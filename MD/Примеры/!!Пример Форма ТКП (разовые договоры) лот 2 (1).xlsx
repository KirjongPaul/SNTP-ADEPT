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T\01. Тендера\2025.06.15 Сибур\"/>
    </mc:Choice>
  </mc:AlternateContent>
  <bookViews>
    <workbookView xWindow="0" yWindow="0" windowWidth="38400" windowHeight="17580" tabRatio="880" firstSheet="1" activeTab="9"/>
  </bookViews>
  <sheets>
    <sheet name="Лист1" sheetId="1" state="hidden" r:id="rId1"/>
    <sheet name="КП" sheetId="18" r:id="rId2"/>
    <sheet name="СВОД" sheetId="7" r:id="rId3"/>
    <sheet name="ТЭО_ФО+ЛС+ССР" sheetId="15" r:id="rId4"/>
    <sheet name="ОТР_BOQ " sheetId="14" r:id="rId5"/>
    <sheet name="FEED_BOQ тит1" sheetId="16" r:id="rId6"/>
    <sheet name="FEED_BOQ тит2" sheetId="17" r:id="rId7"/>
    <sheet name="ПД_BOQ тит1." sheetId="6" r:id="rId8"/>
    <sheet name="ПД_BOQ тит2" sheetId="12" r:id="rId9"/>
    <sheet name="РД_BOQ тит.1" sheetId="10" r:id="rId10"/>
    <sheet name="РД_BOQ тит.2" sheetId="13" r:id="rId11"/>
    <sheet name="РД_Ресурс.метод тит.1" sheetId="11" r:id="rId12"/>
    <sheet name="Лист2" sheetId="2" state="hidden" r:id="rId13"/>
    <sheet name="Лист3" sheetId="3" state="hidden" r:id="rId14"/>
  </sheets>
  <calcPr calcId="162913"/>
</workbook>
</file>

<file path=xl/calcChain.xml><?xml version="1.0" encoding="utf-8"?>
<calcChain xmlns="http://schemas.openxmlformats.org/spreadsheetml/2006/main">
  <c r="O1608" i="11" l="1"/>
  <c r="N1608" i="11"/>
  <c r="O1607" i="11"/>
  <c r="N1607" i="11"/>
  <c r="O1606" i="11"/>
  <c r="N1606" i="11"/>
  <c r="O1605" i="11"/>
  <c r="N1605" i="11"/>
  <c r="O1604" i="11"/>
  <c r="N1604" i="11"/>
  <c r="O1603" i="11"/>
  <c r="N1603" i="11"/>
  <c r="O1602" i="11"/>
  <c r="N1602" i="11"/>
  <c r="D1602" i="11"/>
  <c r="E1602" i="11"/>
  <c r="C1602" i="11"/>
  <c r="O1601" i="11"/>
  <c r="N1601" i="11"/>
  <c r="O1600" i="11"/>
  <c r="N1600" i="11"/>
  <c r="O1599" i="11"/>
  <c r="N1599" i="11"/>
  <c r="O1598" i="11"/>
  <c r="N1598" i="11"/>
  <c r="O1597" i="11"/>
  <c r="N1597" i="11"/>
  <c r="O1596" i="11"/>
  <c r="O1595" i="11"/>
  <c r="D1595" i="11"/>
  <c r="N1596" i="11"/>
  <c r="N1595" i="11"/>
  <c r="C1595" i="11"/>
  <c r="E1595" i="11"/>
  <c r="O1594" i="11"/>
  <c r="N1594" i="11"/>
  <c r="O1593" i="11"/>
  <c r="N1593" i="11"/>
  <c r="O1592" i="11"/>
  <c r="N1592" i="11"/>
  <c r="O1591" i="11"/>
  <c r="N1591" i="11"/>
  <c r="O1590" i="11"/>
  <c r="N1590" i="11"/>
  <c r="O1589" i="11"/>
  <c r="O1588" i="11"/>
  <c r="D1588" i="11"/>
  <c r="N1589" i="11"/>
  <c r="N1588" i="11"/>
  <c r="C1588" i="11"/>
  <c r="E1588" i="11"/>
  <c r="O1587" i="11"/>
  <c r="N1587" i="11"/>
  <c r="O1586" i="11"/>
  <c r="N1586" i="11"/>
  <c r="O1585" i="11"/>
  <c r="N1585" i="11"/>
  <c r="O1584" i="11"/>
  <c r="N1584" i="11"/>
  <c r="O1583" i="11"/>
  <c r="N1583" i="11"/>
  <c r="O1582" i="11"/>
  <c r="N1582" i="11"/>
  <c r="O1581" i="11"/>
  <c r="D1581" i="11"/>
  <c r="E1581" i="11"/>
  <c r="N1581" i="11"/>
  <c r="C1581" i="11"/>
  <c r="O1580" i="11"/>
  <c r="N1580" i="11"/>
  <c r="O1579" i="11"/>
  <c r="N1579" i="11"/>
  <c r="O1578" i="11"/>
  <c r="N1578" i="11"/>
  <c r="O1577" i="11"/>
  <c r="N1577" i="11"/>
  <c r="O1576" i="11"/>
  <c r="N1576" i="11"/>
  <c r="O1575" i="11"/>
  <c r="N1575" i="11"/>
  <c r="O1574" i="11"/>
  <c r="D1574" i="11"/>
  <c r="E1574" i="11"/>
  <c r="N1574" i="11"/>
  <c r="C1574" i="11"/>
  <c r="O1573" i="11"/>
  <c r="N1573" i="11"/>
  <c r="O1572" i="11"/>
  <c r="N1572" i="11"/>
  <c r="O1571" i="11"/>
  <c r="N1571" i="11"/>
  <c r="O1570" i="11"/>
  <c r="N1570" i="11"/>
  <c r="O1569" i="11"/>
  <c r="N1569" i="11"/>
  <c r="O1568" i="11"/>
  <c r="N1568" i="11"/>
  <c r="O1567" i="11"/>
  <c r="N1567" i="11"/>
  <c r="D1567" i="11"/>
  <c r="E1567" i="11"/>
  <c r="O1566" i="11"/>
  <c r="N1566" i="11"/>
  <c r="O1565" i="11"/>
  <c r="N1565" i="11"/>
  <c r="O1564" i="11"/>
  <c r="N1564" i="11"/>
  <c r="O1563" i="11"/>
  <c r="N1563" i="11"/>
  <c r="O1562" i="11"/>
  <c r="N1562" i="11"/>
  <c r="O1561" i="11"/>
  <c r="N1561" i="11"/>
  <c r="O1560" i="11"/>
  <c r="D1560" i="11"/>
  <c r="N1560" i="11"/>
  <c r="C1560" i="11"/>
  <c r="O1558" i="11"/>
  <c r="N1558" i="11"/>
  <c r="O1557" i="11"/>
  <c r="N1557" i="11"/>
  <c r="O1556" i="11"/>
  <c r="N1556" i="11"/>
  <c r="O1555" i="11"/>
  <c r="N1555" i="11"/>
  <c r="O1554" i="11"/>
  <c r="N1554" i="11"/>
  <c r="O1553" i="11"/>
  <c r="N1553" i="11"/>
  <c r="O1552" i="11"/>
  <c r="N1552" i="11"/>
  <c r="C1552" i="11"/>
  <c r="C1551" i="11"/>
  <c r="O1550" i="11"/>
  <c r="N1550" i="11"/>
  <c r="O1549" i="11"/>
  <c r="N1549" i="11"/>
  <c r="O1548" i="11"/>
  <c r="N1548" i="11"/>
  <c r="O1547" i="11"/>
  <c r="N1547" i="11"/>
  <c r="O1546" i="11"/>
  <c r="N1546" i="11"/>
  <c r="O1545" i="11"/>
  <c r="N1545" i="11"/>
  <c r="O1544" i="11"/>
  <c r="N1544" i="11"/>
  <c r="C1544" i="11"/>
  <c r="O1543" i="11"/>
  <c r="N1543" i="11"/>
  <c r="O1542" i="11"/>
  <c r="N1542" i="11"/>
  <c r="O1541" i="11"/>
  <c r="N1541" i="11"/>
  <c r="O1540" i="11"/>
  <c r="N1540" i="11"/>
  <c r="O1539" i="11"/>
  <c r="N1539" i="11"/>
  <c r="O1538" i="11"/>
  <c r="N1538" i="11"/>
  <c r="O1537" i="11"/>
  <c r="D1537" i="11"/>
  <c r="N1537" i="11"/>
  <c r="C1537" i="11"/>
  <c r="C1536" i="11"/>
  <c r="O1535" i="11"/>
  <c r="N1535" i="11"/>
  <c r="O1534" i="11"/>
  <c r="N1534" i="11"/>
  <c r="O1533" i="11"/>
  <c r="N1533" i="11"/>
  <c r="O1532" i="11"/>
  <c r="N1532" i="11"/>
  <c r="O1531" i="11"/>
  <c r="N1531" i="11"/>
  <c r="O1530" i="11"/>
  <c r="N1530" i="11"/>
  <c r="O1529" i="11"/>
  <c r="D1529" i="11"/>
  <c r="E1529" i="11"/>
  <c r="N1529" i="11"/>
  <c r="C1529" i="11"/>
  <c r="O1528" i="11"/>
  <c r="N1528" i="11"/>
  <c r="O1527" i="11"/>
  <c r="N1527" i="11"/>
  <c r="O1526" i="11"/>
  <c r="N1526" i="11"/>
  <c r="O1525" i="11"/>
  <c r="N1525" i="11"/>
  <c r="O1524" i="11"/>
  <c r="N1524" i="11"/>
  <c r="O1523" i="11"/>
  <c r="N1523" i="11"/>
  <c r="O1522" i="11"/>
  <c r="D1522" i="11"/>
  <c r="E1522" i="11"/>
  <c r="N1522" i="11"/>
  <c r="C1522" i="11"/>
  <c r="O1521" i="11"/>
  <c r="N1521" i="11"/>
  <c r="O1520" i="11"/>
  <c r="N1520" i="11"/>
  <c r="O1519" i="11"/>
  <c r="N1519" i="11"/>
  <c r="O1518" i="11"/>
  <c r="N1518" i="11"/>
  <c r="O1517" i="11"/>
  <c r="N1517" i="11"/>
  <c r="O1516" i="11"/>
  <c r="N1516" i="11"/>
  <c r="O1515" i="11"/>
  <c r="N1515" i="11"/>
  <c r="D1515" i="11"/>
  <c r="E1515" i="11"/>
  <c r="E1514" i="11"/>
  <c r="D1514" i="11"/>
  <c r="O1513" i="11"/>
  <c r="N1513" i="11"/>
  <c r="O1512" i="11"/>
  <c r="N1512" i="11"/>
  <c r="O1511" i="11"/>
  <c r="N1511" i="11"/>
  <c r="O1510" i="11"/>
  <c r="N1510" i="11"/>
  <c r="O1509" i="11"/>
  <c r="N1509" i="11"/>
  <c r="O1508" i="11"/>
  <c r="O1507" i="11"/>
  <c r="D1507" i="11"/>
  <c r="D1506" i="11"/>
  <c r="N1508" i="11"/>
  <c r="N1507" i="11"/>
  <c r="C1507" i="11"/>
  <c r="E1507" i="11"/>
  <c r="E1506" i="11"/>
  <c r="C1506" i="11"/>
  <c r="O1505" i="11"/>
  <c r="N1505" i="11"/>
  <c r="O1504" i="11"/>
  <c r="N1504" i="11"/>
  <c r="O1503" i="11"/>
  <c r="N1503" i="11"/>
  <c r="O1502" i="11"/>
  <c r="N1502" i="11"/>
  <c r="O1501" i="11"/>
  <c r="N1501" i="11"/>
  <c r="O1500" i="11"/>
  <c r="N1500" i="11"/>
  <c r="O1499" i="11"/>
  <c r="N1499" i="11"/>
  <c r="D1499" i="11"/>
  <c r="E1499" i="11"/>
  <c r="E1498" i="11"/>
  <c r="D1498" i="11"/>
  <c r="O1497" i="11"/>
  <c r="N1497" i="11"/>
  <c r="O1496" i="11"/>
  <c r="N1496" i="11"/>
  <c r="O1495" i="11"/>
  <c r="N1495" i="11"/>
  <c r="O1494" i="11"/>
  <c r="N1494" i="11"/>
  <c r="O1493" i="11"/>
  <c r="N1493" i="11"/>
  <c r="O1492" i="11"/>
  <c r="O1491" i="11"/>
  <c r="D1491" i="11"/>
  <c r="D1490" i="11"/>
  <c r="N1492" i="11"/>
  <c r="N1491" i="11"/>
  <c r="C1491" i="11"/>
  <c r="E1491" i="11"/>
  <c r="E1490" i="11"/>
  <c r="C1490" i="11"/>
  <c r="O1489" i="11"/>
  <c r="N1489" i="11"/>
  <c r="O1488" i="11"/>
  <c r="N1488" i="11"/>
  <c r="O1487" i="11"/>
  <c r="N1487" i="11"/>
  <c r="O1486" i="11"/>
  <c r="N1486" i="11"/>
  <c r="O1485" i="11"/>
  <c r="N1485" i="11"/>
  <c r="O1484" i="11"/>
  <c r="N1484" i="11"/>
  <c r="O1483" i="11"/>
  <c r="N1483" i="11"/>
  <c r="D1483" i="11"/>
  <c r="E1483" i="11"/>
  <c r="E1482" i="11"/>
  <c r="D1482" i="11"/>
  <c r="O1481" i="11"/>
  <c r="N1481" i="11"/>
  <c r="O1480" i="11"/>
  <c r="N1480" i="11"/>
  <c r="O1479" i="11"/>
  <c r="N1479" i="11"/>
  <c r="O1478" i="11"/>
  <c r="N1478" i="11"/>
  <c r="O1477" i="11"/>
  <c r="N1477" i="11"/>
  <c r="O1476" i="11"/>
  <c r="O1475" i="11"/>
  <c r="D1475" i="11"/>
  <c r="D1474" i="11"/>
  <c r="N1476" i="11"/>
  <c r="N1475" i="11"/>
  <c r="C1475" i="11"/>
  <c r="E1475" i="11"/>
  <c r="E1474" i="11"/>
  <c r="C1474" i="11"/>
  <c r="O1473" i="11"/>
  <c r="N1473" i="11"/>
  <c r="O1472" i="11"/>
  <c r="N1472" i="11"/>
  <c r="O1471" i="11"/>
  <c r="N1471" i="11"/>
  <c r="O1470" i="11"/>
  <c r="N1470" i="11"/>
  <c r="O1469" i="11"/>
  <c r="N1469" i="11"/>
  <c r="O1468" i="11"/>
  <c r="N1468" i="11"/>
  <c r="O1467" i="11"/>
  <c r="N1467" i="11"/>
  <c r="D1467" i="11"/>
  <c r="E1467" i="11"/>
  <c r="O1466" i="11"/>
  <c r="N1466" i="11"/>
  <c r="O1465" i="11"/>
  <c r="N1465" i="11"/>
  <c r="O1464" i="11"/>
  <c r="N1464" i="11"/>
  <c r="O1463" i="11"/>
  <c r="N1463" i="11"/>
  <c r="O1462" i="11"/>
  <c r="N1462" i="11"/>
  <c r="O1461" i="11"/>
  <c r="N1461" i="11"/>
  <c r="O1460" i="11"/>
  <c r="D1460" i="11"/>
  <c r="E1460" i="11"/>
  <c r="N1460" i="11"/>
  <c r="C1460" i="11"/>
  <c r="O1459" i="11"/>
  <c r="N1459" i="11"/>
  <c r="O1458" i="11"/>
  <c r="N1458" i="11"/>
  <c r="O1457" i="11"/>
  <c r="N1457" i="11"/>
  <c r="O1456" i="11"/>
  <c r="N1456" i="11"/>
  <c r="O1455" i="11"/>
  <c r="N1455" i="11"/>
  <c r="O1454" i="11"/>
  <c r="N1454" i="11"/>
  <c r="O1453" i="11"/>
  <c r="D1453" i="11"/>
  <c r="N1453" i="11"/>
  <c r="C1453" i="11"/>
  <c r="C1424" i="11"/>
  <c r="O1452" i="11"/>
  <c r="N1452" i="11"/>
  <c r="O1451" i="11"/>
  <c r="N1451" i="11"/>
  <c r="O1450" i="11"/>
  <c r="N1450" i="11"/>
  <c r="O1449" i="11"/>
  <c r="N1449" i="11"/>
  <c r="O1448" i="11"/>
  <c r="N1448" i="11"/>
  <c r="O1447" i="11"/>
  <c r="N1447" i="11"/>
  <c r="O1446" i="11"/>
  <c r="N1446" i="11"/>
  <c r="D1446" i="11"/>
  <c r="E1446" i="11"/>
  <c r="C1446" i="11"/>
  <c r="O1445" i="11"/>
  <c r="N1445" i="11"/>
  <c r="O1444" i="11"/>
  <c r="N1444" i="11"/>
  <c r="O1443" i="11"/>
  <c r="N1443" i="11"/>
  <c r="O1442" i="11"/>
  <c r="N1442" i="11"/>
  <c r="O1441" i="11"/>
  <c r="N1441" i="11"/>
  <c r="O1440" i="11"/>
  <c r="O1439" i="11"/>
  <c r="D1439" i="11"/>
  <c r="N1440" i="11"/>
  <c r="N1439" i="11"/>
  <c r="C1439" i="11"/>
  <c r="E1439" i="11"/>
  <c r="O1438" i="11"/>
  <c r="N1438" i="11"/>
  <c r="O1437" i="11"/>
  <c r="N1437" i="11"/>
  <c r="O1436" i="11"/>
  <c r="N1436" i="11"/>
  <c r="O1435" i="11"/>
  <c r="N1435" i="11"/>
  <c r="O1434" i="11"/>
  <c r="N1434" i="11"/>
  <c r="O1433" i="11"/>
  <c r="N1433" i="11"/>
  <c r="O1432" i="11"/>
  <c r="N1432" i="11"/>
  <c r="C1432" i="11"/>
  <c r="O1431" i="11"/>
  <c r="N1431" i="11"/>
  <c r="O1430" i="11"/>
  <c r="N1430" i="11"/>
  <c r="O1429" i="11"/>
  <c r="N1429" i="11"/>
  <c r="O1428" i="11"/>
  <c r="N1428" i="11"/>
  <c r="O1427" i="11"/>
  <c r="N1427" i="11"/>
  <c r="O1426" i="11"/>
  <c r="N1426" i="11"/>
  <c r="O1425" i="11"/>
  <c r="D1425" i="11"/>
  <c r="E1425" i="11"/>
  <c r="N1425" i="11"/>
  <c r="C1425" i="11"/>
  <c r="O1423" i="11"/>
  <c r="N1423" i="11"/>
  <c r="O1422" i="11"/>
  <c r="N1422" i="11"/>
  <c r="O1421" i="11"/>
  <c r="N1421" i="11"/>
  <c r="O1420" i="11"/>
  <c r="N1420" i="11"/>
  <c r="O1419" i="11"/>
  <c r="N1419" i="11"/>
  <c r="O1418" i="11"/>
  <c r="N1418" i="11"/>
  <c r="O1417" i="11"/>
  <c r="D1417" i="11"/>
  <c r="E1417" i="11"/>
  <c r="N1417" i="11"/>
  <c r="C1417" i="11"/>
  <c r="O1416" i="11"/>
  <c r="N1416" i="11"/>
  <c r="O1415" i="11"/>
  <c r="N1415" i="11"/>
  <c r="O1414" i="11"/>
  <c r="N1414" i="11"/>
  <c r="O1413" i="11"/>
  <c r="N1413" i="11"/>
  <c r="O1412" i="11"/>
  <c r="N1412" i="11"/>
  <c r="O1411" i="11"/>
  <c r="N1411" i="11"/>
  <c r="N1410" i="11"/>
  <c r="C1410" i="11"/>
  <c r="C1409" i="11"/>
  <c r="O1410" i="11"/>
  <c r="D1410" i="11"/>
  <c r="O1408" i="11"/>
  <c r="N1408" i="11"/>
  <c r="O1407" i="11"/>
  <c r="N1407" i="11"/>
  <c r="O1406" i="11"/>
  <c r="N1406" i="11"/>
  <c r="O1405" i="11"/>
  <c r="N1405" i="11"/>
  <c r="O1404" i="11"/>
  <c r="N1404" i="11"/>
  <c r="O1403" i="11"/>
  <c r="N1403" i="11"/>
  <c r="O1402" i="11"/>
  <c r="N1402" i="11"/>
  <c r="D1402" i="11"/>
  <c r="E1402" i="11"/>
  <c r="C1402" i="11"/>
  <c r="O1401" i="11"/>
  <c r="N1401" i="11"/>
  <c r="O1400" i="11"/>
  <c r="N1400" i="11"/>
  <c r="O1399" i="11"/>
  <c r="N1399" i="11"/>
  <c r="O1398" i="11"/>
  <c r="N1398" i="11"/>
  <c r="O1397" i="11"/>
  <c r="N1397" i="11"/>
  <c r="O1396" i="11"/>
  <c r="N1396" i="11"/>
  <c r="O1395" i="11"/>
  <c r="N1395" i="11"/>
  <c r="D1395" i="11"/>
  <c r="E1395" i="11"/>
  <c r="O1394" i="11"/>
  <c r="N1394" i="11"/>
  <c r="O1393" i="11"/>
  <c r="N1393" i="11"/>
  <c r="O1392" i="11"/>
  <c r="N1392" i="11"/>
  <c r="O1391" i="11"/>
  <c r="N1391" i="11"/>
  <c r="O1390" i="11"/>
  <c r="N1390" i="11"/>
  <c r="O1389" i="11"/>
  <c r="N1389" i="11"/>
  <c r="O1388" i="11"/>
  <c r="N1388" i="11"/>
  <c r="C1388" i="11"/>
  <c r="O1387" i="11"/>
  <c r="N1387" i="11"/>
  <c r="O1386" i="11"/>
  <c r="N1386" i="11"/>
  <c r="O1385" i="11"/>
  <c r="N1385" i="11"/>
  <c r="O1384" i="11"/>
  <c r="N1384" i="11"/>
  <c r="O1383" i="11"/>
  <c r="N1383" i="11"/>
  <c r="O1382" i="11"/>
  <c r="N1382" i="11"/>
  <c r="O1381" i="11"/>
  <c r="D1381" i="11"/>
  <c r="E1381" i="11"/>
  <c r="N1381" i="11"/>
  <c r="C1381" i="11"/>
  <c r="O1380" i="11"/>
  <c r="N1380" i="11"/>
  <c r="O1379" i="11"/>
  <c r="N1379" i="11"/>
  <c r="O1378" i="11"/>
  <c r="N1378" i="11"/>
  <c r="O1377" i="11"/>
  <c r="N1377" i="11"/>
  <c r="O1376" i="11"/>
  <c r="N1376" i="11"/>
  <c r="O1375" i="11"/>
  <c r="N1375" i="11"/>
  <c r="O1374" i="11"/>
  <c r="D1374" i="11"/>
  <c r="E1374" i="11"/>
  <c r="N1374" i="11"/>
  <c r="C1374" i="11"/>
  <c r="O1373" i="11"/>
  <c r="N1373" i="11"/>
  <c r="O1372" i="11"/>
  <c r="N1372" i="11"/>
  <c r="O1371" i="11"/>
  <c r="N1371" i="11"/>
  <c r="O1370" i="11"/>
  <c r="N1370" i="11"/>
  <c r="O1369" i="11"/>
  <c r="N1369" i="11"/>
  <c r="O1368" i="11"/>
  <c r="O1367" i="11"/>
  <c r="D1367" i="11"/>
  <c r="E1367" i="11"/>
  <c r="N1368" i="11"/>
  <c r="N1367" i="11"/>
  <c r="C1367" i="11"/>
  <c r="O1366" i="11"/>
  <c r="N1366" i="11"/>
  <c r="O1365" i="11"/>
  <c r="N1365" i="11"/>
  <c r="O1364" i="11"/>
  <c r="N1364" i="11"/>
  <c r="O1363" i="11"/>
  <c r="N1363" i="11"/>
  <c r="O1362" i="11"/>
  <c r="N1362" i="11"/>
  <c r="O1361" i="11"/>
  <c r="N1361" i="11"/>
  <c r="O1360" i="11"/>
  <c r="D1360" i="11"/>
  <c r="E1360" i="11"/>
  <c r="N1360" i="11"/>
  <c r="C1360" i="11"/>
  <c r="O1359" i="11"/>
  <c r="N1359" i="11"/>
  <c r="O1358" i="11"/>
  <c r="N1358" i="11"/>
  <c r="O1357" i="11"/>
  <c r="N1357" i="11"/>
  <c r="O1356" i="11"/>
  <c r="N1356" i="11"/>
  <c r="O1355" i="11"/>
  <c r="N1355" i="11"/>
  <c r="O1354" i="11"/>
  <c r="N1354" i="11"/>
  <c r="O1353" i="11"/>
  <c r="D1353" i="11"/>
  <c r="E1353" i="11"/>
  <c r="N1353" i="11"/>
  <c r="C1353" i="11"/>
  <c r="O1352" i="11"/>
  <c r="N1352" i="11"/>
  <c r="O1351" i="11"/>
  <c r="N1351" i="11"/>
  <c r="O1350" i="11"/>
  <c r="N1350" i="11"/>
  <c r="O1349" i="11"/>
  <c r="N1349" i="11"/>
  <c r="O1348" i="11"/>
  <c r="N1348" i="11"/>
  <c r="O1347" i="11"/>
  <c r="N1347" i="11"/>
  <c r="O1346" i="11"/>
  <c r="N1346" i="11"/>
  <c r="D1346" i="11"/>
  <c r="E1346" i="11"/>
  <c r="C1346" i="11"/>
  <c r="O1345" i="11"/>
  <c r="N1345" i="11"/>
  <c r="O1344" i="11"/>
  <c r="N1344" i="11"/>
  <c r="O1343" i="11"/>
  <c r="N1343" i="11"/>
  <c r="O1342" i="11"/>
  <c r="N1342" i="11"/>
  <c r="O1341" i="11"/>
  <c r="N1341" i="11"/>
  <c r="O1340" i="11"/>
  <c r="N1340" i="11"/>
  <c r="O1339" i="11"/>
  <c r="N1339" i="11"/>
  <c r="D1339" i="11"/>
  <c r="E1339" i="11"/>
  <c r="O1338" i="11"/>
  <c r="N1338" i="11"/>
  <c r="O1337" i="11"/>
  <c r="N1337" i="11"/>
  <c r="O1336" i="11"/>
  <c r="N1336" i="11"/>
  <c r="O1335" i="11"/>
  <c r="N1335" i="11"/>
  <c r="O1334" i="11"/>
  <c r="N1334" i="11"/>
  <c r="O1333" i="11"/>
  <c r="N1333" i="11"/>
  <c r="O1332" i="11"/>
  <c r="N1332" i="11"/>
  <c r="C1332" i="11"/>
  <c r="O1331" i="11"/>
  <c r="N1331" i="11"/>
  <c r="O1330" i="11"/>
  <c r="N1330" i="11"/>
  <c r="O1329" i="11"/>
  <c r="N1329" i="11"/>
  <c r="O1328" i="11"/>
  <c r="N1328" i="11"/>
  <c r="O1327" i="11"/>
  <c r="N1327" i="11"/>
  <c r="O1326" i="11"/>
  <c r="N1326" i="11"/>
  <c r="O1325" i="11"/>
  <c r="D1325" i="11"/>
  <c r="E1325" i="11"/>
  <c r="N1325" i="11"/>
  <c r="C1325" i="11"/>
  <c r="O1324" i="11"/>
  <c r="N1324" i="11"/>
  <c r="O1323" i="11"/>
  <c r="N1323" i="11"/>
  <c r="O1322" i="11"/>
  <c r="N1322" i="11"/>
  <c r="O1321" i="11"/>
  <c r="N1321" i="11"/>
  <c r="O1320" i="11"/>
  <c r="N1320" i="11"/>
  <c r="O1319" i="11"/>
  <c r="N1319" i="11"/>
  <c r="O1318" i="11"/>
  <c r="D1318" i="11"/>
  <c r="E1318" i="11"/>
  <c r="N1318" i="11"/>
  <c r="C1318" i="11"/>
  <c r="O1317" i="11"/>
  <c r="N1317" i="11"/>
  <c r="O1316" i="11"/>
  <c r="N1316" i="11"/>
  <c r="O1315" i="11"/>
  <c r="N1315" i="11"/>
  <c r="O1314" i="11"/>
  <c r="N1314" i="11"/>
  <c r="O1313" i="11"/>
  <c r="N1313" i="11"/>
  <c r="O1312" i="11"/>
  <c r="O1311" i="11"/>
  <c r="D1311" i="11"/>
  <c r="E1311" i="11"/>
  <c r="N1312" i="11"/>
  <c r="N1311" i="11"/>
  <c r="C1311" i="11"/>
  <c r="O1310" i="11"/>
  <c r="N1310" i="11"/>
  <c r="O1309" i="11"/>
  <c r="N1309" i="11"/>
  <c r="O1308" i="11"/>
  <c r="N1308" i="11"/>
  <c r="O1307" i="11"/>
  <c r="N1307" i="11"/>
  <c r="O1306" i="11"/>
  <c r="N1306" i="11"/>
  <c r="O1305" i="11"/>
  <c r="N1305" i="11"/>
  <c r="O1304" i="11"/>
  <c r="D1304" i="11"/>
  <c r="E1304" i="11"/>
  <c r="N1304" i="11"/>
  <c r="C1304" i="11"/>
  <c r="O1303" i="11"/>
  <c r="N1303" i="11"/>
  <c r="O1302" i="11"/>
  <c r="N1302" i="11"/>
  <c r="O1301" i="11"/>
  <c r="N1301" i="11"/>
  <c r="O1300" i="11"/>
  <c r="N1300" i="11"/>
  <c r="O1299" i="11"/>
  <c r="N1299" i="11"/>
  <c r="O1298" i="11"/>
  <c r="N1298" i="11"/>
  <c r="O1297" i="11"/>
  <c r="D1297" i="11"/>
  <c r="E1297" i="11"/>
  <c r="N1297" i="11"/>
  <c r="C1297" i="11"/>
  <c r="O1296" i="11"/>
  <c r="N1296" i="11"/>
  <c r="O1295" i="11"/>
  <c r="N1295" i="11"/>
  <c r="O1294" i="11"/>
  <c r="N1294" i="11"/>
  <c r="O1293" i="11"/>
  <c r="N1293" i="11"/>
  <c r="O1292" i="11"/>
  <c r="N1292" i="11"/>
  <c r="O1291" i="11"/>
  <c r="N1291" i="11"/>
  <c r="O1290" i="11"/>
  <c r="N1290" i="11"/>
  <c r="D1290" i="11"/>
  <c r="E1290" i="11"/>
  <c r="C1290" i="11"/>
  <c r="O1289" i="11"/>
  <c r="N1289" i="11"/>
  <c r="O1288" i="11"/>
  <c r="N1288" i="11"/>
  <c r="O1287" i="11"/>
  <c r="N1287" i="11"/>
  <c r="O1286" i="11"/>
  <c r="N1286" i="11"/>
  <c r="O1285" i="11"/>
  <c r="N1285" i="11"/>
  <c r="O1284" i="11"/>
  <c r="N1284" i="11"/>
  <c r="O1283" i="11"/>
  <c r="N1283" i="11"/>
  <c r="D1283" i="11"/>
  <c r="E1283" i="11"/>
  <c r="O1282" i="11"/>
  <c r="N1282" i="11"/>
  <c r="O1281" i="11"/>
  <c r="N1281" i="11"/>
  <c r="O1280" i="11"/>
  <c r="N1280" i="11"/>
  <c r="O1279" i="11"/>
  <c r="N1279" i="11"/>
  <c r="O1278" i="11"/>
  <c r="N1278" i="11"/>
  <c r="O1277" i="11"/>
  <c r="N1277" i="11"/>
  <c r="O1276" i="11"/>
  <c r="N1276" i="11"/>
  <c r="C1276" i="11"/>
  <c r="O1275" i="11"/>
  <c r="N1275" i="11"/>
  <c r="O1274" i="11"/>
  <c r="N1274" i="11"/>
  <c r="O1273" i="11"/>
  <c r="N1273" i="11"/>
  <c r="O1272" i="11"/>
  <c r="N1272" i="11"/>
  <c r="O1271" i="11"/>
  <c r="N1271" i="11"/>
  <c r="O1270" i="11"/>
  <c r="N1270" i="11"/>
  <c r="O1269" i="11"/>
  <c r="D1269" i="11"/>
  <c r="E1269" i="11"/>
  <c r="N1269" i="11"/>
  <c r="C1269" i="11"/>
  <c r="O1268" i="11"/>
  <c r="N1268" i="11"/>
  <c r="O1267" i="11"/>
  <c r="N1267" i="11"/>
  <c r="O1266" i="11"/>
  <c r="N1266" i="11"/>
  <c r="O1265" i="11"/>
  <c r="N1265" i="11"/>
  <c r="O1264" i="11"/>
  <c r="N1264" i="11"/>
  <c r="O1263" i="11"/>
  <c r="N1263" i="11"/>
  <c r="O1262" i="11"/>
  <c r="D1262" i="11"/>
  <c r="E1262" i="11"/>
  <c r="N1262" i="11"/>
  <c r="C1262" i="11"/>
  <c r="O1261" i="11"/>
  <c r="N1261" i="11"/>
  <c r="O1260" i="11"/>
  <c r="N1260" i="11"/>
  <c r="O1259" i="11"/>
  <c r="N1259" i="11"/>
  <c r="O1258" i="11"/>
  <c r="N1258" i="11"/>
  <c r="O1257" i="11"/>
  <c r="N1257" i="11"/>
  <c r="O1256" i="11"/>
  <c r="O1255" i="11"/>
  <c r="D1255" i="11"/>
  <c r="E1255" i="11"/>
  <c r="N1256" i="11"/>
  <c r="N1255" i="11"/>
  <c r="C1255" i="11"/>
  <c r="O1254" i="11"/>
  <c r="N1254" i="11"/>
  <c r="O1253" i="11"/>
  <c r="N1253" i="11"/>
  <c r="O1252" i="11"/>
  <c r="N1252" i="11"/>
  <c r="O1251" i="11"/>
  <c r="N1251" i="11"/>
  <c r="O1250" i="11"/>
  <c r="N1250" i="11"/>
  <c r="O1249" i="11"/>
  <c r="N1249" i="11"/>
  <c r="O1248" i="11"/>
  <c r="D1248" i="11"/>
  <c r="E1248" i="11"/>
  <c r="N1248" i="11"/>
  <c r="C1248" i="11"/>
  <c r="O1247" i="11"/>
  <c r="N1247" i="11"/>
  <c r="O1246" i="11"/>
  <c r="N1246" i="11"/>
  <c r="O1245" i="11"/>
  <c r="N1245" i="11"/>
  <c r="O1244" i="11"/>
  <c r="N1244" i="11"/>
  <c r="O1243" i="11"/>
  <c r="N1243" i="11"/>
  <c r="O1242" i="11"/>
  <c r="N1242" i="11"/>
  <c r="O1241" i="11"/>
  <c r="D1241" i="11"/>
  <c r="E1241" i="11"/>
  <c r="N1241" i="11"/>
  <c r="C1241" i="11"/>
  <c r="O1240" i="11"/>
  <c r="N1240" i="11"/>
  <c r="O1239" i="11"/>
  <c r="N1239" i="11"/>
  <c r="O1238" i="11"/>
  <c r="N1238" i="11"/>
  <c r="O1237" i="11"/>
  <c r="N1237" i="11"/>
  <c r="O1236" i="11"/>
  <c r="N1236" i="11"/>
  <c r="O1235" i="11"/>
  <c r="N1235" i="11"/>
  <c r="O1234" i="11"/>
  <c r="N1234" i="11"/>
  <c r="D1234" i="11"/>
  <c r="E1234" i="11"/>
  <c r="C1234" i="11"/>
  <c r="O1233" i="11"/>
  <c r="N1233" i="11"/>
  <c r="O1232" i="11"/>
  <c r="N1232" i="11"/>
  <c r="O1231" i="11"/>
  <c r="N1231" i="11"/>
  <c r="O1230" i="11"/>
  <c r="N1230" i="11"/>
  <c r="O1229" i="11"/>
  <c r="N1229" i="11"/>
  <c r="O1228" i="11"/>
  <c r="O1227" i="11"/>
  <c r="D1227" i="11"/>
  <c r="N1228" i="11"/>
  <c r="N1227" i="11"/>
  <c r="E1227" i="11"/>
  <c r="O1225" i="11"/>
  <c r="N1225" i="11"/>
  <c r="O1224" i="11"/>
  <c r="N1224" i="11"/>
  <c r="O1223" i="11"/>
  <c r="N1223" i="11"/>
  <c r="O1222" i="11"/>
  <c r="N1222" i="11"/>
  <c r="O1221" i="11"/>
  <c r="N1221" i="11"/>
  <c r="O1220" i="11"/>
  <c r="O1219" i="11"/>
  <c r="D1219" i="11"/>
  <c r="E1219" i="11"/>
  <c r="E1218" i="11"/>
  <c r="N1220" i="11"/>
  <c r="N1219" i="11"/>
  <c r="C1219" i="11"/>
  <c r="C1218" i="11"/>
  <c r="D1218" i="11"/>
  <c r="O1217" i="11"/>
  <c r="N1217" i="11"/>
  <c r="O1216" i="11"/>
  <c r="N1216" i="11"/>
  <c r="O1215" i="11"/>
  <c r="N1215" i="11"/>
  <c r="O1214" i="11"/>
  <c r="N1214" i="11"/>
  <c r="O1213" i="11"/>
  <c r="N1213" i="11"/>
  <c r="O1212" i="11"/>
  <c r="O1211" i="11"/>
  <c r="D1211" i="11"/>
  <c r="N1212" i="11"/>
  <c r="N1211" i="11"/>
  <c r="E1211" i="11"/>
  <c r="O1210" i="11"/>
  <c r="N1210" i="11"/>
  <c r="O1209" i="11"/>
  <c r="N1209" i="11"/>
  <c r="O1208" i="11"/>
  <c r="N1208" i="11"/>
  <c r="O1207" i="11"/>
  <c r="N1207" i="11"/>
  <c r="O1206" i="11"/>
  <c r="N1206" i="11"/>
  <c r="O1205" i="11"/>
  <c r="N1205" i="11"/>
  <c r="O1204" i="11"/>
  <c r="N1204" i="11"/>
  <c r="C1204" i="11"/>
  <c r="O1202" i="11"/>
  <c r="N1202" i="11"/>
  <c r="O1201" i="11"/>
  <c r="N1201" i="11"/>
  <c r="O1200" i="11"/>
  <c r="N1200" i="11"/>
  <c r="O1199" i="11"/>
  <c r="N1199" i="11"/>
  <c r="O1198" i="11"/>
  <c r="N1198" i="11"/>
  <c r="O1197" i="11"/>
  <c r="N1197" i="11"/>
  <c r="O1196" i="11"/>
  <c r="N1196" i="11"/>
  <c r="C1196" i="11"/>
  <c r="C1195" i="11"/>
  <c r="O1194" i="11"/>
  <c r="N1194" i="11"/>
  <c r="O1193" i="11"/>
  <c r="N1193" i="11"/>
  <c r="O1192" i="11"/>
  <c r="N1192" i="11"/>
  <c r="O1191" i="11"/>
  <c r="N1191" i="11"/>
  <c r="O1190" i="11"/>
  <c r="N1190" i="11"/>
  <c r="O1189" i="11"/>
  <c r="N1189" i="11"/>
  <c r="O1188" i="11"/>
  <c r="D1188" i="11"/>
  <c r="E1188" i="11"/>
  <c r="N1188" i="11"/>
  <c r="C1188" i="11"/>
  <c r="O1187" i="11"/>
  <c r="N1187" i="11"/>
  <c r="O1186" i="11"/>
  <c r="N1186" i="11"/>
  <c r="O1185" i="11"/>
  <c r="N1185" i="11"/>
  <c r="O1184" i="11"/>
  <c r="N1184" i="11"/>
  <c r="O1183" i="11"/>
  <c r="N1183" i="11"/>
  <c r="O1182" i="11"/>
  <c r="N1182" i="11"/>
  <c r="O1181" i="11"/>
  <c r="D1181" i="11"/>
  <c r="E1181" i="11"/>
  <c r="N1181" i="11"/>
  <c r="C1181" i="11"/>
  <c r="O1180" i="11"/>
  <c r="N1180" i="11"/>
  <c r="O1179" i="11"/>
  <c r="N1179" i="11"/>
  <c r="O1178" i="11"/>
  <c r="N1178" i="11"/>
  <c r="O1177" i="11"/>
  <c r="N1177" i="11"/>
  <c r="O1176" i="11"/>
  <c r="N1176" i="11"/>
  <c r="O1175" i="11"/>
  <c r="N1175" i="11"/>
  <c r="O1174" i="11"/>
  <c r="N1174" i="11"/>
  <c r="D1174" i="11"/>
  <c r="E1174" i="11"/>
  <c r="C1174" i="11"/>
  <c r="O1173" i="11"/>
  <c r="N1173" i="11"/>
  <c r="O1172" i="11"/>
  <c r="N1172" i="11"/>
  <c r="O1171" i="11"/>
  <c r="N1171" i="11"/>
  <c r="O1170" i="11"/>
  <c r="N1170" i="11"/>
  <c r="O1169" i="11"/>
  <c r="N1169" i="11"/>
  <c r="O1168" i="11"/>
  <c r="O1167" i="11"/>
  <c r="D1167" i="11"/>
  <c r="N1168" i="11"/>
  <c r="N1167" i="11"/>
  <c r="E1167" i="11"/>
  <c r="O1166" i="11"/>
  <c r="N1166" i="11"/>
  <c r="O1165" i="11"/>
  <c r="N1165" i="11"/>
  <c r="O1164" i="11"/>
  <c r="N1164" i="11"/>
  <c r="O1163" i="11"/>
  <c r="N1163" i="11"/>
  <c r="O1162" i="11"/>
  <c r="N1162" i="11"/>
  <c r="O1161" i="11"/>
  <c r="N1161" i="11"/>
  <c r="O1160" i="11"/>
  <c r="N1160" i="11"/>
  <c r="C1160" i="11"/>
  <c r="O1159" i="11"/>
  <c r="N1159" i="11"/>
  <c r="O1158" i="11"/>
  <c r="N1158" i="11"/>
  <c r="O1157" i="11"/>
  <c r="N1157" i="11"/>
  <c r="O1156" i="11"/>
  <c r="N1156" i="11"/>
  <c r="O1155" i="11"/>
  <c r="N1155" i="11"/>
  <c r="O1154" i="11"/>
  <c r="N1154" i="11"/>
  <c r="O1153" i="11"/>
  <c r="D1153" i="11"/>
  <c r="E1153" i="11"/>
  <c r="N1153" i="11"/>
  <c r="C1153" i="11"/>
  <c r="O1152" i="11"/>
  <c r="N1152" i="11"/>
  <c r="O1151" i="11"/>
  <c r="N1151" i="11"/>
  <c r="O1150" i="11"/>
  <c r="N1150" i="11"/>
  <c r="O1149" i="11"/>
  <c r="N1149" i="11"/>
  <c r="O1148" i="11"/>
  <c r="N1148" i="11"/>
  <c r="O1147" i="11"/>
  <c r="N1147" i="11"/>
  <c r="O1146" i="11"/>
  <c r="D1146" i="11"/>
  <c r="E1146" i="11"/>
  <c r="N1146" i="11"/>
  <c r="C1146" i="11"/>
  <c r="O1145" i="11"/>
  <c r="N1145" i="11"/>
  <c r="O1144" i="11"/>
  <c r="N1144" i="11"/>
  <c r="O1143" i="11"/>
  <c r="N1143" i="11"/>
  <c r="O1142" i="11"/>
  <c r="N1142" i="11"/>
  <c r="O1141" i="11"/>
  <c r="N1141" i="11"/>
  <c r="O1140" i="11"/>
  <c r="O1139" i="11"/>
  <c r="D1139" i="11"/>
  <c r="E1139" i="11"/>
  <c r="N1140" i="11"/>
  <c r="N1139" i="11"/>
  <c r="C1139" i="11"/>
  <c r="O1138" i="11"/>
  <c r="N1138" i="11"/>
  <c r="O1137" i="11"/>
  <c r="N1137" i="11"/>
  <c r="O1136" i="11"/>
  <c r="N1136" i="11"/>
  <c r="O1135" i="11"/>
  <c r="N1135" i="11"/>
  <c r="O1134" i="11"/>
  <c r="N1134" i="11"/>
  <c r="O1133" i="11"/>
  <c r="N1133" i="11"/>
  <c r="O1132" i="11"/>
  <c r="D1132" i="11"/>
  <c r="E1132" i="11"/>
  <c r="N1132" i="11"/>
  <c r="C1132" i="11"/>
  <c r="O1131" i="11"/>
  <c r="N1131" i="11"/>
  <c r="O1130" i="11"/>
  <c r="N1130" i="11"/>
  <c r="O1129" i="11"/>
  <c r="N1129" i="11"/>
  <c r="O1128" i="11"/>
  <c r="N1128" i="11"/>
  <c r="O1127" i="11"/>
  <c r="N1127" i="11"/>
  <c r="O1126" i="11"/>
  <c r="N1126" i="11"/>
  <c r="O1125" i="11"/>
  <c r="D1125" i="11"/>
  <c r="E1125" i="11"/>
  <c r="N1125" i="11"/>
  <c r="C1125" i="11"/>
  <c r="O1124" i="11"/>
  <c r="N1124" i="11"/>
  <c r="O1123" i="11"/>
  <c r="N1123" i="11"/>
  <c r="O1122" i="11"/>
  <c r="N1122" i="11"/>
  <c r="O1121" i="11"/>
  <c r="N1121" i="11"/>
  <c r="O1120" i="11"/>
  <c r="N1120" i="11"/>
  <c r="O1119" i="11"/>
  <c r="N1119" i="11"/>
  <c r="O1118" i="11"/>
  <c r="N1118" i="11"/>
  <c r="D1118" i="11"/>
  <c r="E1118" i="11"/>
  <c r="C1118" i="11"/>
  <c r="O1117" i="11"/>
  <c r="N1117" i="11"/>
  <c r="O1116" i="11"/>
  <c r="N1116" i="11"/>
  <c r="O1115" i="11"/>
  <c r="N1115" i="11"/>
  <c r="O1114" i="11"/>
  <c r="N1114" i="11"/>
  <c r="O1113" i="11"/>
  <c r="N1113" i="11"/>
  <c r="O1112" i="11"/>
  <c r="N1112" i="11"/>
  <c r="O1111" i="11"/>
  <c r="N1111" i="11"/>
  <c r="D1111" i="11"/>
  <c r="E1111" i="11"/>
  <c r="O1110" i="11"/>
  <c r="N1110" i="11"/>
  <c r="O1109" i="11"/>
  <c r="N1109" i="11"/>
  <c r="O1108" i="11"/>
  <c r="N1108" i="11"/>
  <c r="O1107" i="11"/>
  <c r="N1107" i="11"/>
  <c r="O1106" i="11"/>
  <c r="N1106" i="11"/>
  <c r="O1105" i="11"/>
  <c r="N1105" i="11"/>
  <c r="O1104" i="11"/>
  <c r="N1104" i="11"/>
  <c r="C1104" i="11"/>
  <c r="O1103" i="11"/>
  <c r="N1103" i="11"/>
  <c r="O1102" i="11"/>
  <c r="N1102" i="11"/>
  <c r="O1101" i="11"/>
  <c r="N1101" i="11"/>
  <c r="O1100" i="11"/>
  <c r="N1100" i="11"/>
  <c r="O1099" i="11"/>
  <c r="N1099" i="11"/>
  <c r="O1098" i="11"/>
  <c r="N1098" i="11"/>
  <c r="O1097" i="11"/>
  <c r="D1097" i="11"/>
  <c r="E1097" i="11"/>
  <c r="N1097" i="11"/>
  <c r="C1097" i="11"/>
  <c r="O1096" i="11"/>
  <c r="N1096" i="11"/>
  <c r="O1095" i="11"/>
  <c r="N1095" i="11"/>
  <c r="O1094" i="11"/>
  <c r="N1094" i="11"/>
  <c r="O1093" i="11"/>
  <c r="N1093" i="11"/>
  <c r="O1092" i="11"/>
  <c r="N1092" i="11"/>
  <c r="O1091" i="11"/>
  <c r="N1091" i="11"/>
  <c r="O1090" i="11"/>
  <c r="D1090" i="11"/>
  <c r="E1090" i="11"/>
  <c r="N1090" i="11"/>
  <c r="C1090" i="11"/>
  <c r="O1089" i="11"/>
  <c r="N1089" i="11"/>
  <c r="O1088" i="11"/>
  <c r="N1088" i="11"/>
  <c r="O1087" i="11"/>
  <c r="N1087" i="11"/>
  <c r="O1086" i="11"/>
  <c r="N1086" i="11"/>
  <c r="O1085" i="11"/>
  <c r="N1085" i="11"/>
  <c r="O1084" i="11"/>
  <c r="O1083" i="11"/>
  <c r="D1083" i="11"/>
  <c r="E1083" i="11"/>
  <c r="N1084" i="11"/>
  <c r="N1083" i="11"/>
  <c r="C1083" i="11"/>
  <c r="O1082" i="11"/>
  <c r="N1082" i="11"/>
  <c r="O1081" i="11"/>
  <c r="N1081" i="11"/>
  <c r="O1080" i="11"/>
  <c r="N1080" i="11"/>
  <c r="O1079" i="11"/>
  <c r="N1079" i="11"/>
  <c r="O1078" i="11"/>
  <c r="N1078" i="11"/>
  <c r="O1077" i="11"/>
  <c r="N1077" i="11"/>
  <c r="O1076" i="11"/>
  <c r="D1076" i="11"/>
  <c r="E1076" i="11"/>
  <c r="N1076" i="11"/>
  <c r="C1076" i="11"/>
  <c r="O1075" i="11"/>
  <c r="N1075" i="11"/>
  <c r="O1074" i="11"/>
  <c r="N1074" i="11"/>
  <c r="O1073" i="11"/>
  <c r="N1073" i="11"/>
  <c r="O1072" i="11"/>
  <c r="N1072" i="11"/>
  <c r="O1071" i="11"/>
  <c r="N1071" i="11"/>
  <c r="O1070" i="11"/>
  <c r="N1070" i="11"/>
  <c r="O1069" i="11"/>
  <c r="D1069" i="11"/>
  <c r="E1069" i="11"/>
  <c r="N1069" i="11"/>
  <c r="C1069" i="11"/>
  <c r="O1068" i="11"/>
  <c r="N1068" i="11"/>
  <c r="O1067" i="11"/>
  <c r="N1067" i="11"/>
  <c r="O1066" i="11"/>
  <c r="N1066" i="11"/>
  <c r="O1065" i="11"/>
  <c r="N1065" i="11"/>
  <c r="O1064" i="11"/>
  <c r="N1064" i="11"/>
  <c r="O1063" i="11"/>
  <c r="N1063" i="11"/>
  <c r="O1062" i="11"/>
  <c r="D1062" i="11"/>
  <c r="E1062" i="11"/>
  <c r="N1062" i="11"/>
  <c r="C1062" i="11"/>
  <c r="O1061" i="11"/>
  <c r="N1061" i="11"/>
  <c r="O1060" i="11"/>
  <c r="N1060" i="11"/>
  <c r="O1059" i="11"/>
  <c r="N1059" i="11"/>
  <c r="O1058" i="11"/>
  <c r="N1058" i="11"/>
  <c r="O1057" i="11"/>
  <c r="N1057" i="11"/>
  <c r="O1056" i="11"/>
  <c r="N1056" i="11"/>
  <c r="O1055" i="11"/>
  <c r="N1055" i="11"/>
  <c r="D1055" i="11"/>
  <c r="E1055" i="11"/>
  <c r="O1054" i="11"/>
  <c r="N1054" i="11"/>
  <c r="O1053" i="11"/>
  <c r="N1053" i="11"/>
  <c r="O1052" i="11"/>
  <c r="N1052" i="11"/>
  <c r="O1051" i="11"/>
  <c r="N1051" i="11"/>
  <c r="O1050" i="11"/>
  <c r="N1050" i="11"/>
  <c r="O1049" i="11"/>
  <c r="N1049" i="11"/>
  <c r="O1048" i="11"/>
  <c r="D1048" i="11"/>
  <c r="E1048" i="11"/>
  <c r="N1048" i="11"/>
  <c r="C1048" i="11"/>
  <c r="O1047" i="11"/>
  <c r="N1047" i="11"/>
  <c r="O1046" i="11"/>
  <c r="N1046" i="11"/>
  <c r="O1045" i="11"/>
  <c r="N1045" i="11"/>
  <c r="O1044" i="11"/>
  <c r="N1044" i="11"/>
  <c r="O1043" i="11"/>
  <c r="N1043" i="11"/>
  <c r="O1042" i="11"/>
  <c r="N1042" i="11"/>
  <c r="N1041" i="11"/>
  <c r="C1041" i="11"/>
  <c r="O1041" i="11"/>
  <c r="D1041" i="11"/>
  <c r="E1041" i="11"/>
  <c r="O1040" i="11"/>
  <c r="N1040" i="11"/>
  <c r="O1039" i="11"/>
  <c r="N1039" i="11"/>
  <c r="O1038" i="11"/>
  <c r="N1038" i="11"/>
  <c r="O1037" i="11"/>
  <c r="N1037" i="11"/>
  <c r="O1036" i="11"/>
  <c r="N1036" i="11"/>
  <c r="O1035" i="11"/>
  <c r="N1035" i="11"/>
  <c r="O1034" i="11"/>
  <c r="D1034" i="11"/>
  <c r="E1034" i="11"/>
  <c r="N1034" i="11"/>
  <c r="C1034" i="11"/>
  <c r="O1033" i="11"/>
  <c r="N1033" i="11"/>
  <c r="O1032" i="11"/>
  <c r="N1032" i="11"/>
  <c r="O1031" i="11"/>
  <c r="N1031" i="11"/>
  <c r="O1030" i="11"/>
  <c r="N1030" i="11"/>
  <c r="O1029" i="11"/>
  <c r="N1029" i="11"/>
  <c r="O1028" i="11"/>
  <c r="O1027" i="11"/>
  <c r="D1027" i="11"/>
  <c r="E1027" i="11"/>
  <c r="N1028" i="11"/>
  <c r="N1027" i="11"/>
  <c r="O1026" i="11"/>
  <c r="N1026" i="11"/>
  <c r="O1025" i="11"/>
  <c r="N1025" i="11"/>
  <c r="O1024" i="11"/>
  <c r="N1024" i="11"/>
  <c r="O1023" i="11"/>
  <c r="N1023" i="11"/>
  <c r="O1022" i="11"/>
  <c r="N1022" i="11"/>
  <c r="O1021" i="11"/>
  <c r="N1021" i="11"/>
  <c r="O1020" i="11"/>
  <c r="N1020" i="11"/>
  <c r="C1020" i="11"/>
  <c r="O1019" i="11"/>
  <c r="N1019" i="11"/>
  <c r="O1018" i="11"/>
  <c r="N1018" i="11"/>
  <c r="O1017" i="11"/>
  <c r="N1017" i="11"/>
  <c r="O1016" i="11"/>
  <c r="N1016" i="11"/>
  <c r="O1015" i="11"/>
  <c r="N1015" i="11"/>
  <c r="O1014" i="11"/>
  <c r="N1014" i="11"/>
  <c r="O1013" i="11"/>
  <c r="N1013" i="11"/>
  <c r="D1013" i="11"/>
  <c r="E1013" i="11"/>
  <c r="C1013" i="11"/>
  <c r="O1012" i="11"/>
  <c r="N1012" i="11"/>
  <c r="O1011" i="11"/>
  <c r="N1011" i="11"/>
  <c r="O1010" i="11"/>
  <c r="N1010" i="11"/>
  <c r="O1009" i="11"/>
  <c r="N1009" i="11"/>
  <c r="O1008" i="11"/>
  <c r="N1008" i="11"/>
  <c r="O1007" i="11"/>
  <c r="O1006" i="11"/>
  <c r="D1006" i="11"/>
  <c r="E1006" i="11"/>
  <c r="N1007" i="11"/>
  <c r="N1006" i="11"/>
  <c r="C1006" i="11"/>
  <c r="O1005" i="11"/>
  <c r="N1005" i="11"/>
  <c r="O1004" i="11"/>
  <c r="N1004" i="11"/>
  <c r="O1003" i="11"/>
  <c r="N1003" i="11"/>
  <c r="O1002" i="11"/>
  <c r="N1002" i="11"/>
  <c r="O1001" i="11"/>
  <c r="N1001" i="11"/>
  <c r="O1000" i="11"/>
  <c r="O999" i="11"/>
  <c r="D999" i="11"/>
  <c r="N1000" i="11"/>
  <c r="N999" i="11"/>
  <c r="C999" i="11"/>
  <c r="E999" i="11"/>
  <c r="O998" i="11"/>
  <c r="N998" i="11"/>
  <c r="O997" i="11"/>
  <c r="N997" i="11"/>
  <c r="O996" i="11"/>
  <c r="N996" i="11"/>
  <c r="O995" i="11"/>
  <c r="N995" i="11"/>
  <c r="O994" i="11"/>
  <c r="N994" i="11"/>
  <c r="O993" i="11"/>
  <c r="N993" i="11"/>
  <c r="O992" i="11"/>
  <c r="N992" i="11"/>
  <c r="C992" i="11"/>
  <c r="O991" i="11"/>
  <c r="N991" i="11"/>
  <c r="O990" i="11"/>
  <c r="N990" i="11"/>
  <c r="O989" i="11"/>
  <c r="N989" i="11"/>
  <c r="O988" i="11"/>
  <c r="N988" i="11"/>
  <c r="O987" i="11"/>
  <c r="N987" i="11"/>
  <c r="O986" i="11"/>
  <c r="N986" i="11"/>
  <c r="O985" i="11"/>
  <c r="N985" i="11"/>
  <c r="C985" i="11"/>
  <c r="D985" i="11"/>
  <c r="E985" i="11"/>
  <c r="O984" i="11"/>
  <c r="N984" i="11"/>
  <c r="O983" i="11"/>
  <c r="N983" i="11"/>
  <c r="O982" i="11"/>
  <c r="N982" i="11"/>
  <c r="O981" i="11"/>
  <c r="N981" i="11"/>
  <c r="O980" i="11"/>
  <c r="N980" i="11"/>
  <c r="O979" i="11"/>
  <c r="O978" i="11"/>
  <c r="D978" i="11"/>
  <c r="N979" i="11"/>
  <c r="N978" i="11"/>
  <c r="C978" i="11"/>
  <c r="E978" i="11"/>
  <c r="O977" i="11"/>
  <c r="N977" i="11"/>
  <c r="O976" i="11"/>
  <c r="N976" i="11"/>
  <c r="O975" i="11"/>
  <c r="N975" i="11"/>
  <c r="O974" i="11"/>
  <c r="N974" i="11"/>
  <c r="O973" i="11"/>
  <c r="N973" i="11"/>
  <c r="O972" i="11"/>
  <c r="O971" i="11"/>
  <c r="D971" i="11"/>
  <c r="E971" i="11"/>
  <c r="N972" i="11"/>
  <c r="N971" i="11"/>
  <c r="C971" i="11"/>
  <c r="O970" i="11"/>
  <c r="N970" i="11"/>
  <c r="O969" i="11"/>
  <c r="N969" i="11"/>
  <c r="O968" i="11"/>
  <c r="N968" i="11"/>
  <c r="O967" i="11"/>
  <c r="N967" i="11"/>
  <c r="O966" i="11"/>
  <c r="N966" i="11"/>
  <c r="O965" i="11"/>
  <c r="N965" i="11"/>
  <c r="O964" i="11"/>
  <c r="D964" i="11"/>
  <c r="E964" i="11"/>
  <c r="N964" i="11"/>
  <c r="C964" i="11"/>
  <c r="O963" i="11"/>
  <c r="N963" i="11"/>
  <c r="O962" i="11"/>
  <c r="N962" i="11"/>
  <c r="O961" i="11"/>
  <c r="N961" i="11"/>
  <c r="O960" i="11"/>
  <c r="N960" i="11"/>
  <c r="O959" i="11"/>
  <c r="N959" i="11"/>
  <c r="O958" i="11"/>
  <c r="N958" i="11"/>
  <c r="O957" i="11"/>
  <c r="D957" i="11"/>
  <c r="E957" i="11"/>
  <c r="N957" i="11"/>
  <c r="C957" i="11"/>
  <c r="O956" i="11"/>
  <c r="N956" i="11"/>
  <c r="O955" i="11"/>
  <c r="N955" i="11"/>
  <c r="O954" i="11"/>
  <c r="N954" i="11"/>
  <c r="O953" i="11"/>
  <c r="N953" i="11"/>
  <c r="O952" i="11"/>
  <c r="N952" i="11"/>
  <c r="O951" i="11"/>
  <c r="N951" i="11"/>
  <c r="O950" i="11"/>
  <c r="D950" i="11"/>
  <c r="E950" i="11"/>
  <c r="N950" i="11"/>
  <c r="C950" i="11"/>
  <c r="O949" i="11"/>
  <c r="N949" i="11"/>
  <c r="O948" i="11"/>
  <c r="N948" i="11"/>
  <c r="O947" i="11"/>
  <c r="N947" i="11"/>
  <c r="O946" i="11"/>
  <c r="N946" i="11"/>
  <c r="O945" i="11"/>
  <c r="N945" i="11"/>
  <c r="O944" i="11"/>
  <c r="N944" i="11"/>
  <c r="O943" i="11"/>
  <c r="N943" i="11"/>
  <c r="D943" i="11"/>
  <c r="E943" i="11"/>
  <c r="O942" i="11"/>
  <c r="N942" i="11"/>
  <c r="O941" i="11"/>
  <c r="N941" i="11"/>
  <c r="O940" i="11"/>
  <c r="N940" i="11"/>
  <c r="O939" i="11"/>
  <c r="N939" i="11"/>
  <c r="O938" i="11"/>
  <c r="N938" i="11"/>
  <c r="O937" i="11"/>
  <c r="N937" i="11"/>
  <c r="O936" i="11"/>
  <c r="D936" i="11"/>
  <c r="E936" i="11"/>
  <c r="N936" i="11"/>
  <c r="C936" i="11"/>
  <c r="O935" i="11"/>
  <c r="N935" i="11"/>
  <c r="O934" i="11"/>
  <c r="N934" i="11"/>
  <c r="O933" i="11"/>
  <c r="N933" i="11"/>
  <c r="O932" i="11"/>
  <c r="N932" i="11"/>
  <c r="O931" i="11"/>
  <c r="N931" i="11"/>
  <c r="O930" i="11"/>
  <c r="N930" i="11"/>
  <c r="O929" i="11"/>
  <c r="D929" i="11"/>
  <c r="E929" i="11"/>
  <c r="N929" i="11"/>
  <c r="C929" i="11"/>
  <c r="O928" i="11"/>
  <c r="N928" i="11"/>
  <c r="O927" i="11"/>
  <c r="N927" i="11"/>
  <c r="O926" i="11"/>
  <c r="N926" i="11"/>
  <c r="O925" i="11"/>
  <c r="N925" i="11"/>
  <c r="O924" i="11"/>
  <c r="N924" i="11"/>
  <c r="O923" i="11"/>
  <c r="N923" i="11"/>
  <c r="O922" i="11"/>
  <c r="N922" i="11"/>
  <c r="D922" i="11"/>
  <c r="E922" i="11"/>
  <c r="C922" i="11"/>
  <c r="O921" i="11"/>
  <c r="N921" i="11"/>
  <c r="O920" i="11"/>
  <c r="N920" i="11"/>
  <c r="O919" i="11"/>
  <c r="N919" i="11"/>
  <c r="O918" i="11"/>
  <c r="N918" i="11"/>
  <c r="O917" i="11"/>
  <c r="N917" i="11"/>
  <c r="O916" i="11"/>
  <c r="O915" i="11"/>
  <c r="D915" i="11"/>
  <c r="N916" i="11"/>
  <c r="N915" i="11"/>
  <c r="E915" i="11"/>
  <c r="O914" i="11"/>
  <c r="N914" i="11"/>
  <c r="O913" i="11"/>
  <c r="N913" i="11"/>
  <c r="O912" i="11"/>
  <c r="N912" i="11"/>
  <c r="O911" i="11"/>
  <c r="N911" i="11"/>
  <c r="O910" i="11"/>
  <c r="N910" i="11"/>
  <c r="O909" i="11"/>
  <c r="N909" i="11"/>
  <c r="O908" i="11"/>
  <c r="N908" i="11"/>
  <c r="C908" i="11"/>
  <c r="O907" i="11"/>
  <c r="N907" i="11"/>
  <c r="O906" i="11"/>
  <c r="N906" i="11"/>
  <c r="O905" i="11"/>
  <c r="N905" i="11"/>
  <c r="O904" i="11"/>
  <c r="N904" i="11"/>
  <c r="O903" i="11"/>
  <c r="N903" i="11"/>
  <c r="O902" i="11"/>
  <c r="N902" i="11"/>
  <c r="O901" i="11"/>
  <c r="N901" i="11"/>
  <c r="D901" i="11"/>
  <c r="E901" i="11"/>
  <c r="C901" i="11"/>
  <c r="O900" i="11"/>
  <c r="N900" i="11"/>
  <c r="O899" i="11"/>
  <c r="N899" i="11"/>
  <c r="O898" i="11"/>
  <c r="N898" i="11"/>
  <c r="O897" i="11"/>
  <c r="N897" i="11"/>
  <c r="O896" i="11"/>
  <c r="N896" i="11"/>
  <c r="O895" i="11"/>
  <c r="O894" i="11"/>
  <c r="D894" i="11"/>
  <c r="N895" i="11"/>
  <c r="N894" i="11"/>
  <c r="C894" i="11"/>
  <c r="E894" i="11"/>
  <c r="O893" i="11"/>
  <c r="N893" i="11"/>
  <c r="O892" i="11"/>
  <c r="N892" i="11"/>
  <c r="O891" i="11"/>
  <c r="N891" i="11"/>
  <c r="O890" i="11"/>
  <c r="N890" i="11"/>
  <c r="O889" i="11"/>
  <c r="N889" i="11"/>
  <c r="O888" i="11"/>
  <c r="O887" i="11"/>
  <c r="D887" i="11"/>
  <c r="N888" i="11"/>
  <c r="N887" i="11"/>
  <c r="C887" i="11"/>
  <c r="E887" i="11"/>
  <c r="O886" i="11"/>
  <c r="N886" i="11"/>
  <c r="O885" i="11"/>
  <c r="N885" i="11"/>
  <c r="O884" i="11"/>
  <c r="N884" i="11"/>
  <c r="O883" i="11"/>
  <c r="N883" i="11"/>
  <c r="O882" i="11"/>
  <c r="N882" i="11"/>
  <c r="O881" i="11"/>
  <c r="N881" i="11"/>
  <c r="O880" i="11"/>
  <c r="D880" i="11"/>
  <c r="E880" i="11"/>
  <c r="N880" i="11"/>
  <c r="C880" i="11"/>
  <c r="O879" i="11"/>
  <c r="N879" i="11"/>
  <c r="O878" i="11"/>
  <c r="N878" i="11"/>
  <c r="O877" i="11"/>
  <c r="N877" i="11"/>
  <c r="O876" i="11"/>
  <c r="N876" i="11"/>
  <c r="O875" i="11"/>
  <c r="N875" i="11"/>
  <c r="O874" i="11"/>
  <c r="N874" i="11"/>
  <c r="O873" i="11"/>
  <c r="D873" i="11"/>
  <c r="E873" i="11"/>
  <c r="N873" i="11"/>
  <c r="C873" i="11"/>
  <c r="O872" i="11"/>
  <c r="N872" i="11"/>
  <c r="O871" i="11"/>
  <c r="N871" i="11"/>
  <c r="O870" i="11"/>
  <c r="N870" i="11"/>
  <c r="O869" i="11"/>
  <c r="N869" i="11"/>
  <c r="O868" i="11"/>
  <c r="N868" i="11"/>
  <c r="O867" i="11"/>
  <c r="O866" i="11"/>
  <c r="D866" i="11"/>
  <c r="E866" i="11"/>
  <c r="N867" i="11"/>
  <c r="N866" i="11"/>
  <c r="C866" i="11"/>
  <c r="O865" i="11"/>
  <c r="N865" i="11"/>
  <c r="O864" i="11"/>
  <c r="N864" i="11"/>
  <c r="O863" i="11"/>
  <c r="N863" i="11"/>
  <c r="O862" i="11"/>
  <c r="N862" i="11"/>
  <c r="O861" i="11"/>
  <c r="N861" i="11"/>
  <c r="O860" i="11"/>
  <c r="O859" i="11"/>
  <c r="D859" i="11"/>
  <c r="N860" i="11"/>
  <c r="N859" i="11"/>
  <c r="C859" i="11"/>
  <c r="E859" i="11"/>
  <c r="O858" i="11"/>
  <c r="N858" i="11"/>
  <c r="O857" i="11"/>
  <c r="N857" i="11"/>
  <c r="O856" i="11"/>
  <c r="N856" i="11"/>
  <c r="O855" i="11"/>
  <c r="N855" i="11"/>
  <c r="O854" i="11"/>
  <c r="N854" i="11"/>
  <c r="O853" i="11"/>
  <c r="N853" i="11"/>
  <c r="O852" i="11"/>
  <c r="D852" i="11"/>
  <c r="E852" i="11"/>
  <c r="N852" i="11"/>
  <c r="C852" i="11"/>
  <c r="O851" i="11"/>
  <c r="N851" i="11"/>
  <c r="O850" i="11"/>
  <c r="N850" i="11"/>
  <c r="O849" i="11"/>
  <c r="N849" i="11"/>
  <c r="O848" i="11"/>
  <c r="N848" i="11"/>
  <c r="O847" i="11"/>
  <c r="N847" i="11"/>
  <c r="O846" i="11"/>
  <c r="N846" i="11"/>
  <c r="O845" i="11"/>
  <c r="N845" i="11"/>
  <c r="D845" i="11"/>
  <c r="E845" i="11"/>
  <c r="C845" i="11"/>
  <c r="O844" i="11"/>
  <c r="N844" i="11"/>
  <c r="O843" i="11"/>
  <c r="N843" i="11"/>
  <c r="O842" i="11"/>
  <c r="N842" i="11"/>
  <c r="O841" i="11"/>
  <c r="N841" i="11"/>
  <c r="O840" i="11"/>
  <c r="N840" i="11"/>
  <c r="O839" i="11"/>
  <c r="O838" i="11"/>
  <c r="D838" i="11"/>
  <c r="N839" i="11"/>
  <c r="N838" i="11"/>
  <c r="C838" i="11"/>
  <c r="E838" i="11"/>
  <c r="O837" i="11"/>
  <c r="N837" i="11"/>
  <c r="O836" i="11"/>
  <c r="N836" i="11"/>
  <c r="O835" i="11"/>
  <c r="N835" i="11"/>
  <c r="O834" i="11"/>
  <c r="N834" i="11"/>
  <c r="O833" i="11"/>
  <c r="N833" i="11"/>
  <c r="O832" i="11"/>
  <c r="O831" i="11"/>
  <c r="D831" i="11"/>
  <c r="N832" i="11"/>
  <c r="N831" i="11"/>
  <c r="C831" i="11"/>
  <c r="E831" i="11"/>
  <c r="O830" i="11"/>
  <c r="N830" i="11"/>
  <c r="O829" i="11"/>
  <c r="N829" i="11"/>
  <c r="O828" i="11"/>
  <c r="N828" i="11"/>
  <c r="O827" i="11"/>
  <c r="N827" i="11"/>
  <c r="O826" i="11"/>
  <c r="N826" i="11"/>
  <c r="O825" i="11"/>
  <c r="N825" i="11"/>
  <c r="O824" i="11"/>
  <c r="D824" i="11"/>
  <c r="E824" i="11"/>
  <c r="N824" i="11"/>
  <c r="C824" i="11"/>
  <c r="O823" i="11"/>
  <c r="N823" i="11"/>
  <c r="O822" i="11"/>
  <c r="N822" i="11"/>
  <c r="O821" i="11"/>
  <c r="N821" i="11"/>
  <c r="O820" i="11"/>
  <c r="N820" i="11"/>
  <c r="O819" i="11"/>
  <c r="N819" i="11"/>
  <c r="O818" i="11"/>
  <c r="N818" i="11"/>
  <c r="O817" i="11"/>
  <c r="D817" i="11"/>
  <c r="E817" i="11"/>
  <c r="N817" i="11"/>
  <c r="C817" i="11"/>
  <c r="O816" i="11"/>
  <c r="N816" i="11"/>
  <c r="O815" i="11"/>
  <c r="N815" i="11"/>
  <c r="O814" i="11"/>
  <c r="N814" i="11"/>
  <c r="O813" i="11"/>
  <c r="N813" i="11"/>
  <c r="O812" i="11"/>
  <c r="N812" i="11"/>
  <c r="O811" i="11"/>
  <c r="O810" i="11"/>
  <c r="D810" i="11"/>
  <c r="E810" i="11"/>
  <c r="N811" i="11"/>
  <c r="N810" i="11"/>
  <c r="C810" i="11"/>
  <c r="O809" i="11"/>
  <c r="N809" i="11"/>
  <c r="O808" i="11"/>
  <c r="N808" i="11"/>
  <c r="O807" i="11"/>
  <c r="N807" i="11"/>
  <c r="O806" i="11"/>
  <c r="N806" i="11"/>
  <c r="O805" i="11"/>
  <c r="N805" i="11"/>
  <c r="O804" i="11"/>
  <c r="O803" i="11"/>
  <c r="D803" i="11"/>
  <c r="N804" i="11"/>
  <c r="N803" i="11"/>
  <c r="C803" i="11"/>
  <c r="E803" i="11"/>
  <c r="O802" i="11"/>
  <c r="N802" i="11"/>
  <c r="O801" i="11"/>
  <c r="N801" i="11"/>
  <c r="O800" i="11"/>
  <c r="N800" i="11"/>
  <c r="O799" i="11"/>
  <c r="N799" i="11"/>
  <c r="O798" i="11"/>
  <c r="N798" i="11"/>
  <c r="O797" i="11"/>
  <c r="N797" i="11"/>
  <c r="O796" i="11"/>
  <c r="D796" i="11"/>
  <c r="E796" i="11"/>
  <c r="N796" i="11"/>
  <c r="C796" i="11"/>
  <c r="O795" i="11"/>
  <c r="N795" i="11"/>
  <c r="O794" i="11"/>
  <c r="N794" i="11"/>
  <c r="O793" i="11"/>
  <c r="N793" i="11"/>
  <c r="O792" i="11"/>
  <c r="N792" i="11"/>
  <c r="O791" i="11"/>
  <c r="N791" i="11"/>
  <c r="O790" i="11"/>
  <c r="N790" i="11"/>
  <c r="O789" i="11"/>
  <c r="N789" i="11"/>
  <c r="D789" i="11"/>
  <c r="E789" i="11"/>
  <c r="C789" i="11"/>
  <c r="O788" i="11"/>
  <c r="N788" i="11"/>
  <c r="O787" i="11"/>
  <c r="N787" i="11"/>
  <c r="O786" i="11"/>
  <c r="N786" i="11"/>
  <c r="O785" i="11"/>
  <c r="N785" i="11"/>
  <c r="O784" i="11"/>
  <c r="N784" i="11"/>
  <c r="O783" i="11"/>
  <c r="O782" i="11"/>
  <c r="D782" i="11"/>
  <c r="N783" i="11"/>
  <c r="N782" i="11"/>
  <c r="C782" i="11"/>
  <c r="E782" i="11"/>
  <c r="O781" i="11"/>
  <c r="N781" i="11"/>
  <c r="O780" i="11"/>
  <c r="N780" i="11"/>
  <c r="O779" i="11"/>
  <c r="N779" i="11"/>
  <c r="O778" i="11"/>
  <c r="N778" i="11"/>
  <c r="O777" i="11"/>
  <c r="N777" i="11"/>
  <c r="O776" i="11"/>
  <c r="O775" i="11"/>
  <c r="D775" i="11"/>
  <c r="N776" i="11"/>
  <c r="N775" i="11"/>
  <c r="C775" i="11"/>
  <c r="E775" i="11"/>
  <c r="O774" i="11"/>
  <c r="N774" i="11"/>
  <c r="O773" i="11"/>
  <c r="N773" i="11"/>
  <c r="O772" i="11"/>
  <c r="N772" i="11"/>
  <c r="O771" i="11"/>
  <c r="N771" i="11"/>
  <c r="O770" i="11"/>
  <c r="N770" i="11"/>
  <c r="O769" i="11"/>
  <c r="N769" i="11"/>
  <c r="O768" i="11"/>
  <c r="D768" i="11"/>
  <c r="E768" i="11"/>
  <c r="N768" i="11"/>
  <c r="C768" i="11"/>
  <c r="O767" i="11"/>
  <c r="N767" i="11"/>
  <c r="O766" i="11"/>
  <c r="N766" i="11"/>
  <c r="O765" i="11"/>
  <c r="N765" i="11"/>
  <c r="O764" i="11"/>
  <c r="N764" i="11"/>
  <c r="O763" i="11"/>
  <c r="N763" i="11"/>
  <c r="O762" i="11"/>
  <c r="N762" i="11"/>
  <c r="O761" i="11"/>
  <c r="D761" i="11"/>
  <c r="E761" i="11"/>
  <c r="N761" i="11"/>
  <c r="C761" i="11"/>
  <c r="O760" i="11"/>
  <c r="N760" i="11"/>
  <c r="O759" i="11"/>
  <c r="N759" i="11"/>
  <c r="O758" i="11"/>
  <c r="N758" i="11"/>
  <c r="O757" i="11"/>
  <c r="N757" i="11"/>
  <c r="O756" i="11"/>
  <c r="N756" i="11"/>
  <c r="O755" i="11"/>
  <c r="O754" i="11"/>
  <c r="D754" i="11"/>
  <c r="N755" i="11"/>
  <c r="N754" i="11"/>
  <c r="C754" i="11"/>
  <c r="O753" i="11"/>
  <c r="N753" i="11"/>
  <c r="O752" i="11"/>
  <c r="N752" i="11"/>
  <c r="O751" i="11"/>
  <c r="N751" i="11"/>
  <c r="O750" i="11"/>
  <c r="N750" i="11"/>
  <c r="O749" i="11"/>
  <c r="N749" i="11"/>
  <c r="O748" i="11"/>
  <c r="O747" i="11"/>
  <c r="D747" i="11"/>
  <c r="N748" i="11"/>
  <c r="N747" i="11"/>
  <c r="C747" i="11"/>
  <c r="E747" i="11"/>
  <c r="O745" i="11"/>
  <c r="N745" i="11"/>
  <c r="O744" i="11"/>
  <c r="N744" i="11"/>
  <c r="O743" i="11"/>
  <c r="N743" i="11"/>
  <c r="O742" i="11"/>
  <c r="N742" i="11"/>
  <c r="O741" i="11"/>
  <c r="N741" i="11"/>
  <c r="O740" i="11"/>
  <c r="O739" i="11"/>
  <c r="D739" i="11"/>
  <c r="N740" i="11"/>
  <c r="N739" i="11"/>
  <c r="C739" i="11"/>
  <c r="E739" i="11"/>
  <c r="O738" i="11"/>
  <c r="N738" i="11"/>
  <c r="O737" i="11"/>
  <c r="N737" i="11"/>
  <c r="O736" i="11"/>
  <c r="N736" i="11"/>
  <c r="O735" i="11"/>
  <c r="N735" i="11"/>
  <c r="O734" i="11"/>
  <c r="N734" i="11"/>
  <c r="O733" i="11"/>
  <c r="N733" i="11"/>
  <c r="O732" i="11"/>
  <c r="D732" i="11"/>
  <c r="E732" i="11"/>
  <c r="N732" i="11"/>
  <c r="C732" i="11"/>
  <c r="O731" i="11"/>
  <c r="N731" i="11"/>
  <c r="O730" i="11"/>
  <c r="N730" i="11"/>
  <c r="O729" i="11"/>
  <c r="N729" i="11"/>
  <c r="O728" i="11"/>
  <c r="N728" i="11"/>
  <c r="O727" i="11"/>
  <c r="N727" i="11"/>
  <c r="O726" i="11"/>
  <c r="N726" i="11"/>
  <c r="O725" i="11"/>
  <c r="N725" i="11"/>
  <c r="D725" i="11"/>
  <c r="E725" i="11"/>
  <c r="C725" i="11"/>
  <c r="O724" i="11"/>
  <c r="N724" i="11"/>
  <c r="O723" i="11"/>
  <c r="N723" i="11"/>
  <c r="O722" i="11"/>
  <c r="N722" i="11"/>
  <c r="O721" i="11"/>
  <c r="N721" i="11"/>
  <c r="O720" i="11"/>
  <c r="N720" i="11"/>
  <c r="O719" i="11"/>
  <c r="O718" i="11"/>
  <c r="D718" i="11"/>
  <c r="N719" i="11"/>
  <c r="N718" i="11"/>
  <c r="C718" i="11"/>
  <c r="E718" i="11"/>
  <c r="O717" i="11"/>
  <c r="N717" i="11"/>
  <c r="O716" i="11"/>
  <c r="N716" i="11"/>
  <c r="O715" i="11"/>
  <c r="N715" i="11"/>
  <c r="O714" i="11"/>
  <c r="N714" i="11"/>
  <c r="O713" i="11"/>
  <c r="N713" i="11"/>
  <c r="O712" i="11"/>
  <c r="O711" i="11"/>
  <c r="D711" i="11"/>
  <c r="N712" i="11"/>
  <c r="N711" i="11"/>
  <c r="C711" i="11"/>
  <c r="E711" i="11"/>
  <c r="O710" i="11"/>
  <c r="N710" i="11"/>
  <c r="O709" i="11"/>
  <c r="N709" i="11"/>
  <c r="O708" i="11"/>
  <c r="N708" i="11"/>
  <c r="O707" i="11"/>
  <c r="N707" i="11"/>
  <c r="O706" i="11"/>
  <c r="N706" i="11"/>
  <c r="O705" i="11"/>
  <c r="N705" i="11"/>
  <c r="O704" i="11"/>
  <c r="D704" i="11"/>
  <c r="E704" i="11"/>
  <c r="N704" i="11"/>
  <c r="C704" i="11"/>
  <c r="O703" i="11"/>
  <c r="N703" i="11"/>
  <c r="O702" i="11"/>
  <c r="N702" i="11"/>
  <c r="O701" i="11"/>
  <c r="N701" i="11"/>
  <c r="O700" i="11"/>
  <c r="N700" i="11"/>
  <c r="O699" i="11"/>
  <c r="N699" i="11"/>
  <c r="O698" i="11"/>
  <c r="N698" i="11"/>
  <c r="O697" i="11"/>
  <c r="D697" i="11"/>
  <c r="E697" i="11"/>
  <c r="N697" i="11"/>
  <c r="C697" i="11"/>
  <c r="O696" i="11"/>
  <c r="N696" i="11"/>
  <c r="O695" i="11"/>
  <c r="N695" i="11"/>
  <c r="O694" i="11"/>
  <c r="N694" i="11"/>
  <c r="O693" i="11"/>
  <c r="N693" i="11"/>
  <c r="O692" i="11"/>
  <c r="N692" i="11"/>
  <c r="O691" i="11"/>
  <c r="N691" i="11"/>
  <c r="N690" i="11"/>
  <c r="C690" i="11"/>
  <c r="O690" i="11"/>
  <c r="D690" i="11"/>
  <c r="E690" i="11"/>
  <c r="O689" i="11"/>
  <c r="N689" i="11"/>
  <c r="O688" i="11"/>
  <c r="N688" i="11"/>
  <c r="O687" i="11"/>
  <c r="N687" i="11"/>
  <c r="O686" i="11"/>
  <c r="N686" i="11"/>
  <c r="O685" i="11"/>
  <c r="N685" i="11"/>
  <c r="O684" i="11"/>
  <c r="O683" i="11"/>
  <c r="D683" i="11"/>
  <c r="N684" i="11"/>
  <c r="N683" i="11"/>
  <c r="C683" i="11"/>
  <c r="E683" i="11"/>
  <c r="O682" i="11"/>
  <c r="N682" i="11"/>
  <c r="O681" i="11"/>
  <c r="N681" i="11"/>
  <c r="O680" i="11"/>
  <c r="N680" i="11"/>
  <c r="O679" i="11"/>
  <c r="N679" i="11"/>
  <c r="O678" i="11"/>
  <c r="N678" i="11"/>
  <c r="O677" i="11"/>
  <c r="N677" i="11"/>
  <c r="O676" i="11"/>
  <c r="D676" i="11"/>
  <c r="E676" i="11"/>
  <c r="N676" i="11"/>
  <c r="C676" i="11"/>
  <c r="O675" i="11"/>
  <c r="N675" i="11"/>
  <c r="O674" i="11"/>
  <c r="N674" i="11"/>
  <c r="O673" i="11"/>
  <c r="N673" i="11"/>
  <c r="O672" i="11"/>
  <c r="N672" i="11"/>
  <c r="O671" i="11"/>
  <c r="N671" i="11"/>
  <c r="O670" i="11"/>
  <c r="N670" i="11"/>
  <c r="O669" i="11"/>
  <c r="N669" i="11"/>
  <c r="D669" i="11"/>
  <c r="E669" i="11"/>
  <c r="C669" i="11"/>
  <c r="O668" i="11"/>
  <c r="N668" i="11"/>
  <c r="O667" i="11"/>
  <c r="N667" i="11"/>
  <c r="O666" i="11"/>
  <c r="N666" i="11"/>
  <c r="O665" i="11"/>
  <c r="N665" i="11"/>
  <c r="O664" i="11"/>
  <c r="N664" i="11"/>
  <c r="O663" i="11"/>
  <c r="O662" i="11"/>
  <c r="D662" i="11"/>
  <c r="N663" i="11"/>
  <c r="N662" i="11"/>
  <c r="C662" i="11"/>
  <c r="E662" i="11"/>
  <c r="O661" i="11"/>
  <c r="N661" i="11"/>
  <c r="O660" i="11"/>
  <c r="N660" i="11"/>
  <c r="O659" i="11"/>
  <c r="N659" i="11"/>
  <c r="O658" i="11"/>
  <c r="N658" i="11"/>
  <c r="O657" i="11"/>
  <c r="N657" i="11"/>
  <c r="O656" i="11"/>
  <c r="O655" i="11"/>
  <c r="D655" i="11"/>
  <c r="N656" i="11"/>
  <c r="N655" i="11"/>
  <c r="C655" i="11"/>
  <c r="E655" i="11"/>
  <c r="O654" i="11"/>
  <c r="N654" i="11"/>
  <c r="O653" i="11"/>
  <c r="N653" i="11"/>
  <c r="O652" i="11"/>
  <c r="N652" i="11"/>
  <c r="O651" i="11"/>
  <c r="N651" i="11"/>
  <c r="O650" i="11"/>
  <c r="N650" i="11"/>
  <c r="O649" i="11"/>
  <c r="N649" i="11"/>
  <c r="O648" i="11"/>
  <c r="N648" i="11"/>
  <c r="C648" i="11"/>
  <c r="O647" i="11"/>
  <c r="N647" i="11"/>
  <c r="O646" i="11"/>
  <c r="N646" i="11"/>
  <c r="O645" i="11"/>
  <c r="N645" i="11"/>
  <c r="O644" i="11"/>
  <c r="N644" i="11"/>
  <c r="O643" i="11"/>
  <c r="N643" i="11"/>
  <c r="O642" i="11"/>
  <c r="N642" i="11"/>
  <c r="O641" i="11"/>
  <c r="N641" i="11"/>
  <c r="D641" i="11"/>
  <c r="E641" i="11"/>
  <c r="C641" i="11"/>
  <c r="O640" i="11"/>
  <c r="N640" i="11"/>
  <c r="O639" i="11"/>
  <c r="N639" i="11"/>
  <c r="O638" i="11"/>
  <c r="N638" i="11"/>
  <c r="O637" i="11"/>
  <c r="N637" i="11"/>
  <c r="O636" i="11"/>
  <c r="N636" i="11"/>
  <c r="O635" i="11"/>
  <c r="O634" i="11"/>
  <c r="D634" i="11"/>
  <c r="E634" i="11"/>
  <c r="N635" i="11"/>
  <c r="N634" i="11"/>
  <c r="C634" i="11"/>
  <c r="O633" i="11"/>
  <c r="N633" i="11"/>
  <c r="O632" i="11"/>
  <c r="N632" i="11"/>
  <c r="O631" i="11"/>
  <c r="N631" i="11"/>
  <c r="O630" i="11"/>
  <c r="N630" i="11"/>
  <c r="O629" i="11"/>
  <c r="N629" i="11"/>
  <c r="O628" i="11"/>
  <c r="O627" i="11"/>
  <c r="D627" i="11"/>
  <c r="N628" i="11"/>
  <c r="N627" i="11"/>
  <c r="C627" i="11"/>
  <c r="E627" i="11"/>
  <c r="O626" i="11"/>
  <c r="N626" i="11"/>
  <c r="O625" i="11"/>
  <c r="N625" i="11"/>
  <c r="O624" i="11"/>
  <c r="N624" i="11"/>
  <c r="O623" i="11"/>
  <c r="N623" i="11"/>
  <c r="O622" i="11"/>
  <c r="N622" i="11"/>
  <c r="O621" i="11"/>
  <c r="O620" i="11"/>
  <c r="D620" i="11"/>
  <c r="N621" i="11"/>
  <c r="N620" i="11"/>
  <c r="C620" i="11"/>
  <c r="E620" i="11"/>
  <c r="O619" i="11"/>
  <c r="N619" i="11"/>
  <c r="O618" i="11"/>
  <c r="N618" i="11"/>
  <c r="O617" i="11"/>
  <c r="N617" i="11"/>
  <c r="O616" i="11"/>
  <c r="N616" i="11"/>
  <c r="O615" i="11"/>
  <c r="N615" i="11"/>
  <c r="O614" i="11"/>
  <c r="N614" i="11"/>
  <c r="O613" i="11"/>
  <c r="D613" i="11"/>
  <c r="E613" i="11"/>
  <c r="N613" i="11"/>
  <c r="C613" i="11"/>
  <c r="O612" i="11"/>
  <c r="N612" i="11"/>
  <c r="O611" i="11"/>
  <c r="N611" i="11"/>
  <c r="O610" i="11"/>
  <c r="N610" i="11"/>
  <c r="O609" i="11"/>
  <c r="N609" i="11"/>
  <c r="O608" i="11"/>
  <c r="N608" i="11"/>
  <c r="O607" i="11"/>
  <c r="N607" i="11"/>
  <c r="O606" i="11"/>
  <c r="D606" i="11"/>
  <c r="E606" i="11"/>
  <c r="N606" i="11"/>
  <c r="C606" i="11"/>
  <c r="O605" i="11"/>
  <c r="N605" i="11"/>
  <c r="O604" i="11"/>
  <c r="N604" i="11"/>
  <c r="O603" i="11"/>
  <c r="N603" i="11"/>
  <c r="O602" i="11"/>
  <c r="N602" i="11"/>
  <c r="O601" i="11"/>
  <c r="N601" i="11"/>
  <c r="O600" i="11"/>
  <c r="O599" i="11"/>
  <c r="D599" i="11"/>
  <c r="E599" i="11"/>
  <c r="N600" i="11"/>
  <c r="N599" i="11"/>
  <c r="C599" i="11"/>
  <c r="O598" i="11"/>
  <c r="N598" i="11"/>
  <c r="O597" i="11"/>
  <c r="N597" i="11"/>
  <c r="O596" i="11"/>
  <c r="N596" i="11"/>
  <c r="O595" i="11"/>
  <c r="N595" i="11"/>
  <c r="O594" i="11"/>
  <c r="N594" i="11"/>
  <c r="O593" i="11"/>
  <c r="O592" i="11"/>
  <c r="D592" i="11"/>
  <c r="N593" i="11"/>
  <c r="N592" i="11"/>
  <c r="C592" i="11"/>
  <c r="E592" i="11"/>
  <c r="O591" i="11"/>
  <c r="N591" i="11"/>
  <c r="O590" i="11"/>
  <c r="N590" i="11"/>
  <c r="O589" i="11"/>
  <c r="N589" i="11"/>
  <c r="O588" i="11"/>
  <c r="N588" i="11"/>
  <c r="O587" i="11"/>
  <c r="N587" i="11"/>
  <c r="O586" i="11"/>
  <c r="N586" i="11"/>
  <c r="O585" i="11"/>
  <c r="D585" i="11"/>
  <c r="E585" i="11"/>
  <c r="N585" i="11"/>
  <c r="C585" i="11"/>
  <c r="O584" i="11"/>
  <c r="N584" i="11"/>
  <c r="O583" i="11"/>
  <c r="N583" i="11"/>
  <c r="O582" i="11"/>
  <c r="N582" i="11"/>
  <c r="O581" i="11"/>
  <c r="N581" i="11"/>
  <c r="O580" i="11"/>
  <c r="N580" i="11"/>
  <c r="O579" i="11"/>
  <c r="N579" i="11"/>
  <c r="O578" i="11"/>
  <c r="N578" i="11"/>
  <c r="D578" i="11"/>
  <c r="E578" i="11"/>
  <c r="C578" i="11"/>
  <c r="O577" i="11"/>
  <c r="N577" i="11"/>
  <c r="O576" i="11"/>
  <c r="N576" i="11"/>
  <c r="O575" i="11"/>
  <c r="N575" i="11"/>
  <c r="O574" i="11"/>
  <c r="N574" i="11"/>
  <c r="O573" i="11"/>
  <c r="N573" i="11"/>
  <c r="O572" i="11"/>
  <c r="O571" i="11"/>
  <c r="D571" i="11"/>
  <c r="N572" i="11"/>
  <c r="N571" i="11"/>
  <c r="C571" i="11"/>
  <c r="E571" i="11"/>
  <c r="O570" i="11"/>
  <c r="N570" i="11"/>
  <c r="O569" i="11"/>
  <c r="N569" i="11"/>
  <c r="O568" i="11"/>
  <c r="N568" i="11"/>
  <c r="O567" i="11"/>
  <c r="N567" i="11"/>
  <c r="O566" i="11"/>
  <c r="N566" i="11"/>
  <c r="O565" i="11"/>
  <c r="O564" i="11"/>
  <c r="D564" i="11"/>
  <c r="N565" i="11"/>
  <c r="N564" i="11"/>
  <c r="C564" i="11"/>
  <c r="E564" i="11"/>
  <c r="O563" i="11"/>
  <c r="N563" i="11"/>
  <c r="O562" i="11"/>
  <c r="N562" i="11"/>
  <c r="O561" i="11"/>
  <c r="N561" i="11"/>
  <c r="O560" i="11"/>
  <c r="N560" i="11"/>
  <c r="O559" i="11"/>
  <c r="N559" i="11"/>
  <c r="O558" i="11"/>
  <c r="N558" i="11"/>
  <c r="O557" i="11"/>
  <c r="D557" i="11"/>
  <c r="E557" i="11"/>
  <c r="N557" i="11"/>
  <c r="C557" i="11"/>
  <c r="O556" i="11"/>
  <c r="N556" i="11"/>
  <c r="O555" i="11"/>
  <c r="N555" i="11"/>
  <c r="O554" i="11"/>
  <c r="N554" i="11"/>
  <c r="O553" i="11"/>
  <c r="N553" i="11"/>
  <c r="O552" i="11"/>
  <c r="N552" i="11"/>
  <c r="O551" i="11"/>
  <c r="N551" i="11"/>
  <c r="O550" i="11"/>
  <c r="D550" i="11"/>
  <c r="E550" i="11"/>
  <c r="N550" i="11"/>
  <c r="C550" i="11"/>
  <c r="O549" i="11"/>
  <c r="N549" i="11"/>
  <c r="O548" i="11"/>
  <c r="N548" i="11"/>
  <c r="O547" i="11"/>
  <c r="N547" i="11"/>
  <c r="O546" i="11"/>
  <c r="N546" i="11"/>
  <c r="O545" i="11"/>
  <c r="N545" i="11"/>
  <c r="O544" i="11"/>
  <c r="O543" i="11"/>
  <c r="D543" i="11"/>
  <c r="E543" i="11"/>
  <c r="N544" i="11"/>
  <c r="N543" i="11"/>
  <c r="C543" i="11"/>
  <c r="O542" i="11"/>
  <c r="N542" i="11"/>
  <c r="O541" i="11"/>
  <c r="N541" i="11"/>
  <c r="O540" i="11"/>
  <c r="N540" i="11"/>
  <c r="O539" i="11"/>
  <c r="N539" i="11"/>
  <c r="O538" i="11"/>
  <c r="N538" i="11"/>
  <c r="O537" i="11"/>
  <c r="O536" i="11"/>
  <c r="D536" i="11"/>
  <c r="N537" i="11"/>
  <c r="N536" i="11"/>
  <c r="C536" i="11"/>
  <c r="E536" i="11"/>
  <c r="O535" i="11"/>
  <c r="N535" i="11"/>
  <c r="O534" i="11"/>
  <c r="N534" i="11"/>
  <c r="O533" i="11"/>
  <c r="N533" i="11"/>
  <c r="O532" i="11"/>
  <c r="N532" i="11"/>
  <c r="O531" i="11"/>
  <c r="N531" i="11"/>
  <c r="O530" i="11"/>
  <c r="N530" i="11"/>
  <c r="O529" i="11"/>
  <c r="D529" i="11"/>
  <c r="E529" i="11"/>
  <c r="N529" i="11"/>
  <c r="C529" i="11"/>
  <c r="O528" i="11"/>
  <c r="N528" i="11"/>
  <c r="O527" i="11"/>
  <c r="N527" i="11"/>
  <c r="O526" i="11"/>
  <c r="N526" i="11"/>
  <c r="O525" i="11"/>
  <c r="N525" i="11"/>
  <c r="O524" i="11"/>
  <c r="N524" i="11"/>
  <c r="O523" i="11"/>
  <c r="N523" i="11"/>
  <c r="O522" i="11"/>
  <c r="N522" i="11"/>
  <c r="D522" i="11"/>
  <c r="E522" i="11"/>
  <c r="C522" i="11"/>
  <c r="O521" i="11"/>
  <c r="N521" i="11"/>
  <c r="O520" i="11"/>
  <c r="N520" i="11"/>
  <c r="O519" i="11"/>
  <c r="N519" i="11"/>
  <c r="O518" i="11"/>
  <c r="N518" i="11"/>
  <c r="O517" i="11"/>
  <c r="N517" i="11"/>
  <c r="O516" i="11"/>
  <c r="O515" i="11"/>
  <c r="D515" i="11"/>
  <c r="N516" i="11"/>
  <c r="N515" i="11"/>
  <c r="C515" i="11"/>
  <c r="E515" i="11"/>
  <c r="O514" i="11"/>
  <c r="N514" i="11"/>
  <c r="O513" i="11"/>
  <c r="N513" i="11"/>
  <c r="O512" i="11"/>
  <c r="N512" i="11"/>
  <c r="O511" i="11"/>
  <c r="N511" i="11"/>
  <c r="O510" i="11"/>
  <c r="N510" i="11"/>
  <c r="O509" i="11"/>
  <c r="O508" i="11"/>
  <c r="D508" i="11"/>
  <c r="N509" i="11"/>
  <c r="N508" i="11"/>
  <c r="C508" i="11"/>
  <c r="E508" i="11"/>
  <c r="O507" i="11"/>
  <c r="N507" i="11"/>
  <c r="O506" i="11"/>
  <c r="N506" i="11"/>
  <c r="O505" i="11"/>
  <c r="N505" i="11"/>
  <c r="O504" i="11"/>
  <c r="N504" i="11"/>
  <c r="O503" i="11"/>
  <c r="N503" i="11"/>
  <c r="O502" i="11"/>
  <c r="N502" i="11"/>
  <c r="O501" i="11"/>
  <c r="D501" i="11"/>
  <c r="E501" i="11"/>
  <c r="N501" i="11"/>
  <c r="C501" i="11"/>
  <c r="O500" i="11"/>
  <c r="N500" i="11"/>
  <c r="O499" i="11"/>
  <c r="N499" i="11"/>
  <c r="O498" i="11"/>
  <c r="N498" i="11"/>
  <c r="O497" i="11"/>
  <c r="N497" i="11"/>
  <c r="O496" i="11"/>
  <c r="N496" i="11"/>
  <c r="O495" i="11"/>
  <c r="N495" i="11"/>
  <c r="O494" i="11"/>
  <c r="D494" i="11"/>
  <c r="E494" i="11"/>
  <c r="N494" i="11"/>
  <c r="C494" i="11"/>
  <c r="O493" i="11"/>
  <c r="N493" i="11"/>
  <c r="O492" i="11"/>
  <c r="N492" i="11"/>
  <c r="O491" i="11"/>
  <c r="N491" i="11"/>
  <c r="O490" i="11"/>
  <c r="N490" i="11"/>
  <c r="O489" i="11"/>
  <c r="N489" i="11"/>
  <c r="O488" i="11"/>
  <c r="O487" i="11"/>
  <c r="D487" i="11"/>
  <c r="E487" i="11"/>
  <c r="N488" i="11"/>
  <c r="N487" i="11"/>
  <c r="C487" i="11"/>
  <c r="O486" i="11"/>
  <c r="N486" i="11"/>
  <c r="O485" i="11"/>
  <c r="N485" i="11"/>
  <c r="O484" i="11"/>
  <c r="N484" i="11"/>
  <c r="O483" i="11"/>
  <c r="N483" i="11"/>
  <c r="O482" i="11"/>
  <c r="N482" i="11"/>
  <c r="O481" i="11"/>
  <c r="O480" i="11"/>
  <c r="D480" i="11"/>
  <c r="N481" i="11"/>
  <c r="N480" i="11"/>
  <c r="C480" i="11"/>
  <c r="E480" i="11"/>
  <c r="O479" i="11"/>
  <c r="N479" i="11"/>
  <c r="O478" i="11"/>
  <c r="N478" i="11"/>
  <c r="O477" i="11"/>
  <c r="N477" i="11"/>
  <c r="O476" i="11"/>
  <c r="N476" i="11"/>
  <c r="O475" i="11"/>
  <c r="N475" i="11"/>
  <c r="O474" i="11"/>
  <c r="N474" i="11"/>
  <c r="O473" i="11"/>
  <c r="D473" i="11"/>
  <c r="E473" i="11"/>
  <c r="N473" i="11"/>
  <c r="C473" i="11"/>
  <c r="O472" i="11"/>
  <c r="N472" i="11"/>
  <c r="O471" i="11"/>
  <c r="N471" i="11"/>
  <c r="O470" i="11"/>
  <c r="N470" i="11"/>
  <c r="O469" i="11"/>
  <c r="N469" i="11"/>
  <c r="O468" i="11"/>
  <c r="N468" i="11"/>
  <c r="O467" i="11"/>
  <c r="N467" i="11"/>
  <c r="O466" i="11"/>
  <c r="N466" i="11"/>
  <c r="D466" i="11"/>
  <c r="E466" i="11"/>
  <c r="C466" i="11"/>
  <c r="O465" i="11"/>
  <c r="N465" i="11"/>
  <c r="O464" i="11"/>
  <c r="N464" i="11"/>
  <c r="O463" i="11"/>
  <c r="N463" i="11"/>
  <c r="O462" i="11"/>
  <c r="N462" i="11"/>
  <c r="O461" i="11"/>
  <c r="N461" i="11"/>
  <c r="O460" i="11"/>
  <c r="O459" i="11"/>
  <c r="D459" i="11"/>
  <c r="N460" i="11"/>
  <c r="N459" i="11"/>
  <c r="C459" i="11"/>
  <c r="E459" i="11"/>
  <c r="O458" i="11"/>
  <c r="N458" i="11"/>
  <c r="O457" i="11"/>
  <c r="N457" i="11"/>
  <c r="O456" i="11"/>
  <c r="N456" i="11"/>
  <c r="O455" i="11"/>
  <c r="N455" i="11"/>
  <c r="O454" i="11"/>
  <c r="N454" i="11"/>
  <c r="O453" i="11"/>
  <c r="O452" i="11"/>
  <c r="D452" i="11"/>
  <c r="N453" i="11"/>
  <c r="N452" i="11"/>
  <c r="C452" i="11"/>
  <c r="E452" i="11"/>
  <c r="O451" i="11"/>
  <c r="N451" i="11"/>
  <c r="O450" i="11"/>
  <c r="N450" i="11"/>
  <c r="O449" i="11"/>
  <c r="N449" i="11"/>
  <c r="O448" i="11"/>
  <c r="N448" i="11"/>
  <c r="O447" i="11"/>
  <c r="N447" i="11"/>
  <c r="O446" i="11"/>
  <c r="N446" i="11"/>
  <c r="O445" i="11"/>
  <c r="D445" i="11"/>
  <c r="E445" i="11"/>
  <c r="N445" i="11"/>
  <c r="C445" i="11"/>
  <c r="O444" i="11"/>
  <c r="N444" i="11"/>
  <c r="O443" i="11"/>
  <c r="N443" i="11"/>
  <c r="O442" i="11"/>
  <c r="N442" i="11"/>
  <c r="O441" i="11"/>
  <c r="N441" i="11"/>
  <c r="O440" i="11"/>
  <c r="N440" i="11"/>
  <c r="O439" i="11"/>
  <c r="N439" i="11"/>
  <c r="O438" i="11"/>
  <c r="D438" i="11"/>
  <c r="E438" i="11"/>
  <c r="N438" i="11"/>
  <c r="C438" i="11"/>
  <c r="O437" i="11"/>
  <c r="N437" i="11"/>
  <c r="O436" i="11"/>
  <c r="N436" i="11"/>
  <c r="O435" i="11"/>
  <c r="N435" i="11"/>
  <c r="O434" i="11"/>
  <c r="N434" i="11"/>
  <c r="O433" i="11"/>
  <c r="N433" i="11"/>
  <c r="O432" i="11"/>
  <c r="O431" i="11"/>
  <c r="D431" i="11"/>
  <c r="E431" i="11"/>
  <c r="N432" i="11"/>
  <c r="N431" i="11"/>
  <c r="C431" i="11"/>
  <c r="O430" i="11"/>
  <c r="N430" i="11"/>
  <c r="O429" i="11"/>
  <c r="N429" i="11"/>
  <c r="O428" i="11"/>
  <c r="N428" i="11"/>
  <c r="O427" i="11"/>
  <c r="N427" i="11"/>
  <c r="O426" i="11"/>
  <c r="N426" i="11"/>
  <c r="O425" i="11"/>
  <c r="O424" i="11"/>
  <c r="D424" i="11"/>
  <c r="N425" i="11"/>
  <c r="N424" i="11"/>
  <c r="C424" i="11"/>
  <c r="E424" i="11"/>
  <c r="O423" i="11"/>
  <c r="N423" i="11"/>
  <c r="O422" i="11"/>
  <c r="N422" i="11"/>
  <c r="O421" i="11"/>
  <c r="N421" i="11"/>
  <c r="O420" i="11"/>
  <c r="N420" i="11"/>
  <c r="O419" i="11"/>
  <c r="N419" i="11"/>
  <c r="O418" i="11"/>
  <c r="N418" i="11"/>
  <c r="O417" i="11"/>
  <c r="D417" i="11"/>
  <c r="E417" i="11"/>
  <c r="N417" i="11"/>
  <c r="C417" i="11"/>
  <c r="O416" i="11"/>
  <c r="N416" i="11"/>
  <c r="O415" i="11"/>
  <c r="N415" i="11"/>
  <c r="O414" i="11"/>
  <c r="N414" i="11"/>
  <c r="O413" i="11"/>
  <c r="N413" i="11"/>
  <c r="O412" i="11"/>
  <c r="N412" i="11"/>
  <c r="O411" i="11"/>
  <c r="N411" i="11"/>
  <c r="O410" i="11"/>
  <c r="N410" i="11"/>
  <c r="D410" i="11"/>
  <c r="E410" i="11"/>
  <c r="C410" i="11"/>
  <c r="O409" i="11"/>
  <c r="N409" i="11"/>
  <c r="O408" i="11"/>
  <c r="N408" i="11"/>
  <c r="O407" i="11"/>
  <c r="N407" i="11"/>
  <c r="O406" i="11"/>
  <c r="N406" i="11"/>
  <c r="O405" i="11"/>
  <c r="N405" i="11"/>
  <c r="O404" i="11"/>
  <c r="O403" i="11"/>
  <c r="D403" i="11"/>
  <c r="N404" i="11"/>
  <c r="N403" i="11"/>
  <c r="C403" i="11"/>
  <c r="E403" i="11"/>
  <c r="O402" i="11"/>
  <c r="N402" i="11"/>
  <c r="O401" i="11"/>
  <c r="N401" i="11"/>
  <c r="O400" i="11"/>
  <c r="N400" i="11"/>
  <c r="O399" i="11"/>
  <c r="N399" i="11"/>
  <c r="O398" i="11"/>
  <c r="N398" i="11"/>
  <c r="O397" i="11"/>
  <c r="O396" i="11"/>
  <c r="D396" i="11"/>
  <c r="N397" i="11"/>
  <c r="N396" i="11"/>
  <c r="C396" i="11"/>
  <c r="E396" i="11"/>
  <c r="O395" i="11"/>
  <c r="N395" i="11"/>
  <c r="O394" i="11"/>
  <c r="N394" i="11"/>
  <c r="O393" i="11"/>
  <c r="N393" i="11"/>
  <c r="O392" i="11"/>
  <c r="N392" i="11"/>
  <c r="O391" i="11"/>
  <c r="N391" i="11"/>
  <c r="O390" i="11"/>
  <c r="N390" i="11"/>
  <c r="O389" i="11"/>
  <c r="D389" i="11"/>
  <c r="E389" i="11"/>
  <c r="N389" i="11"/>
  <c r="C389" i="11"/>
  <c r="O388" i="11"/>
  <c r="N388" i="11"/>
  <c r="O387" i="11"/>
  <c r="N387" i="11"/>
  <c r="O386" i="11"/>
  <c r="N386" i="11"/>
  <c r="O385" i="11"/>
  <c r="N385" i="11"/>
  <c r="O384" i="11"/>
  <c r="N384" i="11"/>
  <c r="O383" i="11"/>
  <c r="N383" i="11"/>
  <c r="O382" i="11"/>
  <c r="D382" i="11"/>
  <c r="E382" i="11"/>
  <c r="N382" i="11"/>
  <c r="C382" i="11"/>
  <c r="O381" i="11"/>
  <c r="N381" i="11"/>
  <c r="O380" i="11"/>
  <c r="N380" i="11"/>
  <c r="O379" i="11"/>
  <c r="N379" i="11"/>
  <c r="O378" i="11"/>
  <c r="N378" i="11"/>
  <c r="O377" i="11"/>
  <c r="N377" i="11"/>
  <c r="O376" i="11"/>
  <c r="O375" i="11"/>
  <c r="D375" i="11"/>
  <c r="E375" i="11"/>
  <c r="N376" i="11"/>
  <c r="N375" i="11"/>
  <c r="C375" i="11"/>
  <c r="O374" i="11"/>
  <c r="N374" i="11"/>
  <c r="O373" i="11"/>
  <c r="N373" i="11"/>
  <c r="O372" i="11"/>
  <c r="N372" i="11"/>
  <c r="O371" i="11"/>
  <c r="N371" i="11"/>
  <c r="O370" i="11"/>
  <c r="N370" i="11"/>
  <c r="O369" i="11"/>
  <c r="O368" i="11"/>
  <c r="D368" i="11"/>
  <c r="N369" i="11"/>
  <c r="N368" i="11"/>
  <c r="C368" i="11"/>
  <c r="E368" i="11"/>
  <c r="O367" i="11"/>
  <c r="N367" i="11"/>
  <c r="O366" i="11"/>
  <c r="N366" i="11"/>
  <c r="O365" i="11"/>
  <c r="N365" i="11"/>
  <c r="O364" i="11"/>
  <c r="N364" i="11"/>
  <c r="O363" i="11"/>
  <c r="N363" i="11"/>
  <c r="O362" i="11"/>
  <c r="N362" i="11"/>
  <c r="O361" i="11"/>
  <c r="D361" i="11"/>
  <c r="E361" i="11"/>
  <c r="N361" i="11"/>
  <c r="C361" i="11"/>
  <c r="O360" i="11"/>
  <c r="N360" i="11"/>
  <c r="O359" i="11"/>
  <c r="N359" i="11"/>
  <c r="O358" i="11"/>
  <c r="N358" i="11"/>
  <c r="O357" i="11"/>
  <c r="N357" i="11"/>
  <c r="O356" i="11"/>
  <c r="N356" i="11"/>
  <c r="O355" i="11"/>
  <c r="N355" i="11"/>
  <c r="O354" i="11"/>
  <c r="N354" i="11"/>
  <c r="D354" i="11"/>
  <c r="E354" i="11"/>
  <c r="C354" i="11"/>
  <c r="O353" i="11"/>
  <c r="N353" i="11"/>
  <c r="O352" i="11"/>
  <c r="N352" i="11"/>
  <c r="O351" i="11"/>
  <c r="N351" i="11"/>
  <c r="O350" i="11"/>
  <c r="N350" i="11"/>
  <c r="O349" i="11"/>
  <c r="N349" i="11"/>
  <c r="O348" i="11"/>
  <c r="O347" i="11"/>
  <c r="D347" i="11"/>
  <c r="N348" i="11"/>
  <c r="N347" i="11"/>
  <c r="C347" i="11"/>
  <c r="E347" i="11"/>
  <c r="O346" i="11"/>
  <c r="N346" i="11"/>
  <c r="O345" i="11"/>
  <c r="N345" i="11"/>
  <c r="O344" i="11"/>
  <c r="N344" i="11"/>
  <c r="O343" i="11"/>
  <c r="N343" i="11"/>
  <c r="O342" i="11"/>
  <c r="N342" i="11"/>
  <c r="O341" i="11"/>
  <c r="O340" i="11"/>
  <c r="D340" i="11"/>
  <c r="N341" i="11"/>
  <c r="N340" i="11"/>
  <c r="C340" i="11"/>
  <c r="E340" i="11"/>
  <c r="O339" i="11"/>
  <c r="N339" i="11"/>
  <c r="O338" i="11"/>
  <c r="N338" i="11"/>
  <c r="O337" i="11"/>
  <c r="N337" i="11"/>
  <c r="O336" i="11"/>
  <c r="N336" i="11"/>
  <c r="O335" i="11"/>
  <c r="N335" i="11"/>
  <c r="O334" i="11"/>
  <c r="N334" i="11"/>
  <c r="O333" i="11"/>
  <c r="D333" i="11"/>
  <c r="E333" i="11"/>
  <c r="N333" i="11"/>
  <c r="C333" i="11"/>
  <c r="O332" i="11"/>
  <c r="N332" i="11"/>
  <c r="O331" i="11"/>
  <c r="N331" i="11"/>
  <c r="O330" i="11"/>
  <c r="N330" i="11"/>
  <c r="O329" i="11"/>
  <c r="N329" i="11"/>
  <c r="O328" i="11"/>
  <c r="N328" i="11"/>
  <c r="O327" i="11"/>
  <c r="N327" i="11"/>
  <c r="O326" i="11"/>
  <c r="D326" i="11"/>
  <c r="E326" i="11"/>
  <c r="N326" i="11"/>
  <c r="C326" i="11"/>
  <c r="O325" i="11"/>
  <c r="N325" i="11"/>
  <c r="O324" i="11"/>
  <c r="N324" i="11"/>
  <c r="O323" i="11"/>
  <c r="N323" i="11"/>
  <c r="O322" i="11"/>
  <c r="N322" i="11"/>
  <c r="O321" i="11"/>
  <c r="N321" i="11"/>
  <c r="O320" i="11"/>
  <c r="O319" i="11"/>
  <c r="D319" i="11"/>
  <c r="E319" i="11"/>
  <c r="N320" i="11"/>
  <c r="N319" i="11"/>
  <c r="C319" i="11"/>
  <c r="O318" i="11"/>
  <c r="N318" i="11"/>
  <c r="O317" i="11"/>
  <c r="N317" i="11"/>
  <c r="O316" i="11"/>
  <c r="N316" i="11"/>
  <c r="O315" i="11"/>
  <c r="N315" i="11"/>
  <c r="O314" i="11"/>
  <c r="N314" i="11"/>
  <c r="O313" i="11"/>
  <c r="O312" i="11"/>
  <c r="D312" i="11"/>
  <c r="N313" i="11"/>
  <c r="N312" i="11"/>
  <c r="C312" i="11"/>
  <c r="E312" i="11"/>
  <c r="O311" i="11"/>
  <c r="N311" i="11"/>
  <c r="O310" i="11"/>
  <c r="N310" i="11"/>
  <c r="O309" i="11"/>
  <c r="N309" i="11"/>
  <c r="O308" i="11"/>
  <c r="N308" i="11"/>
  <c r="O307" i="11"/>
  <c r="N307" i="11"/>
  <c r="O306" i="11"/>
  <c r="N306" i="11"/>
  <c r="O305" i="11"/>
  <c r="D305" i="11"/>
  <c r="E305" i="11"/>
  <c r="N305" i="11"/>
  <c r="C305" i="11"/>
  <c r="O304" i="11"/>
  <c r="N304" i="11"/>
  <c r="O303" i="11"/>
  <c r="N303" i="11"/>
  <c r="O302" i="11"/>
  <c r="N302" i="11"/>
  <c r="O301" i="11"/>
  <c r="N301" i="11"/>
  <c r="O300" i="11"/>
  <c r="N300" i="11"/>
  <c r="O299" i="11"/>
  <c r="N299" i="11"/>
  <c r="O298" i="11"/>
  <c r="N298" i="11"/>
  <c r="D298" i="11"/>
  <c r="C298" i="11"/>
  <c r="C297" i="11"/>
  <c r="O296" i="11"/>
  <c r="N296" i="11"/>
  <c r="O295" i="11"/>
  <c r="N295" i="11"/>
  <c r="O294" i="11"/>
  <c r="N294" i="11"/>
  <c r="O293" i="11"/>
  <c r="N293" i="11"/>
  <c r="O292" i="11"/>
  <c r="N292" i="11"/>
  <c r="O291" i="11"/>
  <c r="N291" i="11"/>
  <c r="O290" i="11"/>
  <c r="N290" i="11"/>
  <c r="D290" i="11"/>
  <c r="E290" i="11"/>
  <c r="C290" i="11"/>
  <c r="O289" i="11"/>
  <c r="N289" i="11"/>
  <c r="O288" i="11"/>
  <c r="N288" i="11"/>
  <c r="O287" i="11"/>
  <c r="N287" i="11"/>
  <c r="O286" i="11"/>
  <c r="N286" i="11"/>
  <c r="O285" i="11"/>
  <c r="N285" i="11"/>
  <c r="O284" i="11"/>
  <c r="N284" i="11"/>
  <c r="N283" i="11"/>
  <c r="C283" i="11"/>
  <c r="O283" i="11"/>
  <c r="D283" i="11"/>
  <c r="E283" i="11"/>
  <c r="E282" i="11"/>
  <c r="C282" i="11"/>
  <c r="O281" i="11"/>
  <c r="N281" i="11"/>
  <c r="O280" i="11"/>
  <c r="N280" i="11"/>
  <c r="O279" i="11"/>
  <c r="N279" i="11"/>
  <c r="O278" i="11"/>
  <c r="N278" i="11"/>
  <c r="O277" i="11"/>
  <c r="N277" i="11"/>
  <c r="O276" i="11"/>
  <c r="N276" i="11"/>
  <c r="N275" i="11"/>
  <c r="C275" i="11"/>
  <c r="O275" i="11"/>
  <c r="D275" i="11"/>
  <c r="E275" i="11"/>
  <c r="O274" i="11"/>
  <c r="N274" i="11"/>
  <c r="O273" i="11"/>
  <c r="N273" i="11"/>
  <c r="O272" i="11"/>
  <c r="N272" i="11"/>
  <c r="O271" i="11"/>
  <c r="N271" i="11"/>
  <c r="O270" i="11"/>
  <c r="N270" i="11"/>
  <c r="O269" i="11"/>
  <c r="O268" i="11"/>
  <c r="D268" i="11"/>
  <c r="N269" i="11"/>
  <c r="N268" i="11"/>
  <c r="C268" i="11"/>
  <c r="E268" i="11"/>
  <c r="O267" i="11"/>
  <c r="N267" i="11"/>
  <c r="O266" i="11"/>
  <c r="N266" i="11"/>
  <c r="O265" i="11"/>
  <c r="N265" i="11"/>
  <c r="O264" i="11"/>
  <c r="N264" i="11"/>
  <c r="O263" i="11"/>
  <c r="N263" i="11"/>
  <c r="O262" i="11"/>
  <c r="N262" i="11"/>
  <c r="O261" i="11"/>
  <c r="D261" i="11"/>
  <c r="N261" i="11"/>
  <c r="C261" i="11"/>
  <c r="O259" i="11"/>
  <c r="N259" i="11"/>
  <c r="O258" i="11"/>
  <c r="N258" i="11"/>
  <c r="O257" i="11"/>
  <c r="N257" i="11"/>
  <c r="O256" i="11"/>
  <c r="N256" i="11"/>
  <c r="O255" i="11"/>
  <c r="N255" i="11"/>
  <c r="O254" i="11"/>
  <c r="N254" i="11"/>
  <c r="O253" i="11"/>
  <c r="D253" i="11"/>
  <c r="E253" i="11"/>
  <c r="N253" i="11"/>
  <c r="C253" i="11"/>
  <c r="O252" i="11"/>
  <c r="N252" i="11"/>
  <c r="O251" i="11"/>
  <c r="N251" i="11"/>
  <c r="O250" i="11"/>
  <c r="N250" i="11"/>
  <c r="O249" i="11"/>
  <c r="N249" i="11"/>
  <c r="O248" i="11"/>
  <c r="N248" i="11"/>
  <c r="O247" i="11"/>
  <c r="N247" i="11"/>
  <c r="O246" i="11"/>
  <c r="N246" i="11"/>
  <c r="D246" i="11"/>
  <c r="C246" i="11"/>
  <c r="C245" i="11"/>
  <c r="O244" i="11"/>
  <c r="N244" i="11"/>
  <c r="O243" i="11"/>
  <c r="N243" i="11"/>
  <c r="O242" i="11"/>
  <c r="N242" i="11"/>
  <c r="O241" i="11"/>
  <c r="N241" i="11"/>
  <c r="O240" i="11"/>
  <c r="N240" i="11"/>
  <c r="O239" i="11"/>
  <c r="N239" i="11"/>
  <c r="O238" i="11"/>
  <c r="D238" i="11"/>
  <c r="E238" i="11"/>
  <c r="N238" i="11"/>
  <c r="C238" i="11"/>
  <c r="O237" i="11"/>
  <c r="N237" i="11"/>
  <c r="O236" i="11"/>
  <c r="N236" i="11"/>
  <c r="O235" i="11"/>
  <c r="N235" i="11"/>
  <c r="O234" i="11"/>
  <c r="N234" i="11"/>
  <c r="O233" i="11"/>
  <c r="N233" i="11"/>
  <c r="O232" i="11"/>
  <c r="O231" i="11"/>
  <c r="D231" i="11"/>
  <c r="E231" i="11"/>
  <c r="N232" i="11"/>
  <c r="N231" i="11"/>
  <c r="C231" i="11"/>
  <c r="O230" i="11"/>
  <c r="N230" i="11"/>
  <c r="O229" i="11"/>
  <c r="N229" i="11"/>
  <c r="O228" i="11"/>
  <c r="N228" i="11"/>
  <c r="O227" i="11"/>
  <c r="N227" i="11"/>
  <c r="O226" i="11"/>
  <c r="N226" i="11"/>
  <c r="O225" i="11"/>
  <c r="O224" i="11"/>
  <c r="D224" i="11"/>
  <c r="N225" i="11"/>
  <c r="N224" i="11"/>
  <c r="C224" i="11"/>
  <c r="E224" i="11"/>
  <c r="O223" i="11"/>
  <c r="N223" i="11"/>
  <c r="O222" i="11"/>
  <c r="N222" i="11"/>
  <c r="O221" i="11"/>
  <c r="N221" i="11"/>
  <c r="O220" i="11"/>
  <c r="N220" i="11"/>
  <c r="O219" i="11"/>
  <c r="N219" i="11"/>
  <c r="O218" i="11"/>
  <c r="N218" i="11"/>
  <c r="O217" i="11"/>
  <c r="D217" i="11"/>
  <c r="E217" i="11"/>
  <c r="N217" i="11"/>
  <c r="C217" i="11"/>
  <c r="O216" i="11"/>
  <c r="N216" i="11"/>
  <c r="O215" i="11"/>
  <c r="N215" i="11"/>
  <c r="O214" i="11"/>
  <c r="N214" i="11"/>
  <c r="O213" i="11"/>
  <c r="N213" i="11"/>
  <c r="O212" i="11"/>
  <c r="N212" i="11"/>
  <c r="O211" i="11"/>
  <c r="N211" i="11"/>
  <c r="O210" i="11"/>
  <c r="N210" i="11"/>
  <c r="D210" i="11"/>
  <c r="E210" i="11"/>
  <c r="C210" i="11"/>
  <c r="O209" i="11"/>
  <c r="N209" i="11"/>
  <c r="O208" i="11"/>
  <c r="N208" i="11"/>
  <c r="O207" i="11"/>
  <c r="N207" i="11"/>
  <c r="O206" i="11"/>
  <c r="N206" i="11"/>
  <c r="O205" i="11"/>
  <c r="N205" i="11"/>
  <c r="O204" i="11"/>
  <c r="O203" i="11"/>
  <c r="D203" i="11"/>
  <c r="N204" i="11"/>
  <c r="N203" i="11"/>
  <c r="C203" i="11"/>
  <c r="E203" i="11"/>
  <c r="O202" i="11"/>
  <c r="N202" i="11"/>
  <c r="O201" i="11"/>
  <c r="N201" i="11"/>
  <c r="O200" i="11"/>
  <c r="N200" i="11"/>
  <c r="O199" i="11"/>
  <c r="N199" i="11"/>
  <c r="O198" i="11"/>
  <c r="N198" i="11"/>
  <c r="O197" i="11"/>
  <c r="O196" i="11"/>
  <c r="D196" i="11"/>
  <c r="N197" i="11"/>
  <c r="N196" i="11"/>
  <c r="C196" i="11"/>
  <c r="E196" i="11"/>
  <c r="O195" i="11"/>
  <c r="N195" i="11"/>
  <c r="O194" i="11"/>
  <c r="N194" i="11"/>
  <c r="O193" i="11"/>
  <c r="N193" i="11"/>
  <c r="O192" i="11"/>
  <c r="N192" i="11"/>
  <c r="O191" i="11"/>
  <c r="N191" i="11"/>
  <c r="O190" i="11"/>
  <c r="N190" i="11"/>
  <c r="O189" i="11"/>
  <c r="D189" i="11"/>
  <c r="E189" i="11"/>
  <c r="N189" i="11"/>
  <c r="C189" i="11"/>
  <c r="O188" i="11"/>
  <c r="N188" i="11"/>
  <c r="O187" i="11"/>
  <c r="N187" i="11"/>
  <c r="O186" i="11"/>
  <c r="N186" i="11"/>
  <c r="O185" i="11"/>
  <c r="N185" i="11"/>
  <c r="O184" i="11"/>
  <c r="N184" i="11"/>
  <c r="O183" i="11"/>
  <c r="N183" i="11"/>
  <c r="O182" i="11"/>
  <c r="D182" i="11"/>
  <c r="N182" i="11"/>
  <c r="C182" i="11"/>
  <c r="C181" i="11"/>
  <c r="O180" i="11"/>
  <c r="N180" i="11"/>
  <c r="O179" i="11"/>
  <c r="N179" i="11"/>
  <c r="O178" i="11"/>
  <c r="N178" i="11"/>
  <c r="O177" i="11"/>
  <c r="N177" i="11"/>
  <c r="O176" i="11"/>
  <c r="N176" i="11"/>
  <c r="O175" i="11"/>
  <c r="N175" i="11"/>
  <c r="N174" i="11"/>
  <c r="C174" i="11"/>
  <c r="O174" i="11"/>
  <c r="D174" i="11"/>
  <c r="E174" i="11"/>
  <c r="O173" i="11"/>
  <c r="N173" i="11"/>
  <c r="O172" i="11"/>
  <c r="N172" i="11"/>
  <c r="O171" i="11"/>
  <c r="N171" i="11"/>
  <c r="O170" i="11"/>
  <c r="N170" i="11"/>
  <c r="O169" i="11"/>
  <c r="N169" i="11"/>
  <c r="O168" i="11"/>
  <c r="N168" i="11"/>
  <c r="N167" i="11"/>
  <c r="C167" i="11"/>
  <c r="O167" i="11"/>
  <c r="D167" i="11"/>
  <c r="E167" i="11"/>
  <c r="O166" i="11"/>
  <c r="N166" i="11"/>
  <c r="O165" i="11"/>
  <c r="N165" i="11"/>
  <c r="O164" i="11"/>
  <c r="N164" i="11"/>
  <c r="O163" i="11"/>
  <c r="N163" i="11"/>
  <c r="O162" i="11"/>
  <c r="N162" i="11"/>
  <c r="O161" i="11"/>
  <c r="O160" i="11"/>
  <c r="D160" i="11"/>
  <c r="N161" i="11"/>
  <c r="N160" i="11"/>
  <c r="C160" i="11"/>
  <c r="E160" i="11"/>
  <c r="O159" i="11"/>
  <c r="N159" i="11"/>
  <c r="O158" i="11"/>
  <c r="N158" i="11"/>
  <c r="O157" i="11"/>
  <c r="N157" i="11"/>
  <c r="O156" i="11"/>
  <c r="N156" i="11"/>
  <c r="O155" i="11"/>
  <c r="N155" i="11"/>
  <c r="O154" i="11"/>
  <c r="N154" i="11"/>
  <c r="O153" i="11"/>
  <c r="D153" i="11"/>
  <c r="E153" i="11"/>
  <c r="N153" i="11"/>
  <c r="C153" i="11"/>
  <c r="O152" i="11"/>
  <c r="N152" i="11"/>
  <c r="O151" i="11"/>
  <c r="N151" i="11"/>
  <c r="O150" i="11"/>
  <c r="N150" i="11"/>
  <c r="O149" i="11"/>
  <c r="N149" i="11"/>
  <c r="O148" i="11"/>
  <c r="N148" i="11"/>
  <c r="O147" i="11"/>
  <c r="N147" i="11"/>
  <c r="O146" i="11"/>
  <c r="N146" i="11"/>
  <c r="D146" i="11"/>
  <c r="E146" i="11"/>
  <c r="C146" i="11"/>
  <c r="O145" i="11"/>
  <c r="N145" i="11"/>
  <c r="O144" i="11"/>
  <c r="N144" i="11"/>
  <c r="O143" i="11"/>
  <c r="N143" i="11"/>
  <c r="O142" i="11"/>
  <c r="N142" i="11"/>
  <c r="O141" i="11"/>
  <c r="N141" i="11"/>
  <c r="O140" i="11"/>
  <c r="N140" i="11"/>
  <c r="N139" i="11"/>
  <c r="C139" i="11"/>
  <c r="O139" i="11"/>
  <c r="D139" i="11"/>
  <c r="E139" i="11"/>
  <c r="O138" i="11"/>
  <c r="N138" i="11"/>
  <c r="O137" i="11"/>
  <c r="N137" i="11"/>
  <c r="O136" i="11"/>
  <c r="N136" i="11"/>
  <c r="O135" i="11"/>
  <c r="N135" i="11"/>
  <c r="O134" i="11"/>
  <c r="N134" i="11"/>
  <c r="O133" i="11"/>
  <c r="O132" i="11"/>
  <c r="D132" i="11"/>
  <c r="N133" i="11"/>
  <c r="N132" i="11"/>
  <c r="C132" i="11"/>
  <c r="E132" i="11"/>
  <c r="O131" i="11"/>
  <c r="N131" i="11"/>
  <c r="O130" i="11"/>
  <c r="N130" i="11"/>
  <c r="O129" i="11"/>
  <c r="N129" i="11"/>
  <c r="O128" i="11"/>
  <c r="N128" i="11"/>
  <c r="O127" i="11"/>
  <c r="N127" i="11"/>
  <c r="O126" i="11"/>
  <c r="N126" i="11"/>
  <c r="O125" i="11"/>
  <c r="D125" i="11"/>
  <c r="E125" i="11"/>
  <c r="N125" i="11"/>
  <c r="C125" i="11"/>
  <c r="O124" i="11"/>
  <c r="N124" i="11"/>
  <c r="O123" i="11"/>
  <c r="N123" i="11"/>
  <c r="O122" i="11"/>
  <c r="N122" i="11"/>
  <c r="O121" i="11"/>
  <c r="N121" i="11"/>
  <c r="O120" i="11"/>
  <c r="N120" i="11"/>
  <c r="O119" i="11"/>
  <c r="N119" i="11"/>
  <c r="O118" i="11"/>
  <c r="D118" i="11"/>
  <c r="E118" i="11"/>
  <c r="N118" i="11"/>
  <c r="C118" i="11"/>
  <c r="O117" i="11"/>
  <c r="N117" i="11"/>
  <c r="O116" i="11"/>
  <c r="N116" i="11"/>
  <c r="O115" i="11"/>
  <c r="N115" i="11"/>
  <c r="O114" i="11"/>
  <c r="N114" i="11"/>
  <c r="O113" i="11"/>
  <c r="N113" i="11"/>
  <c r="O112" i="11"/>
  <c r="N112" i="11"/>
  <c r="N111" i="11"/>
  <c r="C111" i="11"/>
  <c r="O111" i="11"/>
  <c r="D111" i="11"/>
  <c r="E111" i="11"/>
  <c r="O110" i="11"/>
  <c r="N110" i="11"/>
  <c r="O109" i="11"/>
  <c r="N109" i="11"/>
  <c r="O108" i="11"/>
  <c r="N108" i="11"/>
  <c r="O107" i="11"/>
  <c r="N107" i="11"/>
  <c r="O106" i="11"/>
  <c r="N106" i="11"/>
  <c r="O105" i="11"/>
  <c r="O104" i="11"/>
  <c r="D104" i="11"/>
  <c r="N105" i="11"/>
  <c r="N104" i="11"/>
  <c r="C104" i="11"/>
  <c r="E104" i="11"/>
  <c r="O102" i="11"/>
  <c r="N102" i="11"/>
  <c r="O101" i="11"/>
  <c r="N101" i="11"/>
  <c r="O100" i="11"/>
  <c r="N100" i="11"/>
  <c r="O99" i="11"/>
  <c r="N99" i="11"/>
  <c r="O98" i="11"/>
  <c r="N98" i="11"/>
  <c r="O97" i="11"/>
  <c r="N97" i="11"/>
  <c r="O96" i="11"/>
  <c r="D96" i="11"/>
  <c r="E96" i="11"/>
  <c r="N96" i="11"/>
  <c r="C96" i="11"/>
  <c r="O95" i="11"/>
  <c r="N95" i="11"/>
  <c r="O94" i="11"/>
  <c r="N94" i="11"/>
  <c r="O93" i="11"/>
  <c r="N93" i="11"/>
  <c r="O92" i="11"/>
  <c r="N92" i="11"/>
  <c r="O91" i="11"/>
  <c r="N91" i="11"/>
  <c r="O90" i="11"/>
  <c r="N90" i="11"/>
  <c r="N89" i="11"/>
  <c r="C89" i="11"/>
  <c r="O89" i="11"/>
  <c r="D89" i="11"/>
  <c r="E89" i="11"/>
  <c r="O88" i="11"/>
  <c r="N88" i="11"/>
  <c r="O87" i="11"/>
  <c r="N87" i="11"/>
  <c r="O86" i="11"/>
  <c r="N86" i="11"/>
  <c r="O85" i="11"/>
  <c r="N85" i="11"/>
  <c r="O84" i="11"/>
  <c r="N84" i="11"/>
  <c r="O83" i="11"/>
  <c r="O82" i="11"/>
  <c r="D82" i="11"/>
  <c r="N83" i="11"/>
  <c r="N82" i="11"/>
  <c r="C82" i="11"/>
  <c r="E82" i="11"/>
  <c r="O81" i="11"/>
  <c r="N81" i="11"/>
  <c r="O80" i="11"/>
  <c r="N80" i="11"/>
  <c r="O79" i="11"/>
  <c r="N79" i="11"/>
  <c r="O78" i="11"/>
  <c r="N78" i="11"/>
  <c r="O77" i="11"/>
  <c r="N77" i="11"/>
  <c r="O76" i="11"/>
  <c r="N76" i="11"/>
  <c r="O75" i="11"/>
  <c r="D75" i="11"/>
  <c r="N75" i="11"/>
  <c r="C75" i="11"/>
  <c r="O73" i="11"/>
  <c r="N73" i="11"/>
  <c r="O72" i="11"/>
  <c r="N72" i="11"/>
  <c r="O71" i="11"/>
  <c r="N71" i="11"/>
  <c r="O70" i="11"/>
  <c r="N70" i="11"/>
  <c r="O69" i="11"/>
  <c r="N69" i="11"/>
  <c r="O68" i="11"/>
  <c r="N68" i="11"/>
  <c r="O67" i="11"/>
  <c r="D67" i="11"/>
  <c r="E67" i="11"/>
  <c r="N67" i="11"/>
  <c r="C67" i="11"/>
  <c r="O66" i="11"/>
  <c r="N66" i="11"/>
  <c r="O65" i="11"/>
  <c r="N65" i="11"/>
  <c r="O64" i="11"/>
  <c r="N64" i="11"/>
  <c r="O63" i="11"/>
  <c r="N63" i="11"/>
  <c r="O62" i="11"/>
  <c r="N62" i="11"/>
  <c r="O61" i="11"/>
  <c r="N61" i="11"/>
  <c r="O60" i="11"/>
  <c r="N60" i="11"/>
  <c r="D60" i="11"/>
  <c r="E60" i="11"/>
  <c r="C60" i="11"/>
  <c r="O59" i="11"/>
  <c r="N59" i="11"/>
  <c r="O58" i="11"/>
  <c r="N58" i="11"/>
  <c r="O57" i="11"/>
  <c r="N57" i="11"/>
  <c r="O56" i="11"/>
  <c r="N56" i="11"/>
  <c r="O55" i="11"/>
  <c r="N55" i="11"/>
  <c r="O54" i="11"/>
  <c r="N54" i="11"/>
  <c r="N53" i="11"/>
  <c r="C53" i="11"/>
  <c r="O53" i="11"/>
  <c r="D53" i="11"/>
  <c r="E53" i="11"/>
  <c r="O52" i="11"/>
  <c r="N52" i="11"/>
  <c r="O51" i="11"/>
  <c r="N51" i="11"/>
  <c r="O50" i="11"/>
  <c r="N50" i="11"/>
  <c r="O49" i="11"/>
  <c r="N49" i="11"/>
  <c r="O48" i="11"/>
  <c r="N48" i="11"/>
  <c r="O47" i="11"/>
  <c r="O46" i="11"/>
  <c r="D46" i="11"/>
  <c r="N47" i="11"/>
  <c r="N46" i="11"/>
  <c r="C46" i="11"/>
  <c r="E46" i="11"/>
  <c r="O45" i="11"/>
  <c r="N45" i="11"/>
  <c r="O44" i="11"/>
  <c r="N44" i="11"/>
  <c r="O43" i="11"/>
  <c r="N43" i="11"/>
  <c r="O42" i="11"/>
  <c r="N42" i="11"/>
  <c r="O41" i="11"/>
  <c r="N41" i="11"/>
  <c r="O40" i="11"/>
  <c r="N40" i="11"/>
  <c r="O39" i="11"/>
  <c r="D39" i="11"/>
  <c r="E39" i="11"/>
  <c r="N39" i="11"/>
  <c r="C39" i="11"/>
  <c r="O38" i="11"/>
  <c r="N38" i="11"/>
  <c r="O37" i="11"/>
  <c r="N37" i="11"/>
  <c r="O36" i="11"/>
  <c r="N36" i="11"/>
  <c r="O35" i="11"/>
  <c r="N35" i="11"/>
  <c r="O34" i="11"/>
  <c r="N34" i="11"/>
  <c r="O33" i="11"/>
  <c r="N33" i="11"/>
  <c r="O32" i="11"/>
  <c r="D32" i="11"/>
  <c r="E32" i="11"/>
  <c r="N32" i="11"/>
  <c r="C32" i="11"/>
  <c r="O31" i="11"/>
  <c r="N31" i="11"/>
  <c r="O30" i="11"/>
  <c r="N30" i="11"/>
  <c r="O29" i="11"/>
  <c r="N29" i="11"/>
  <c r="O28" i="11"/>
  <c r="N28" i="11"/>
  <c r="O27" i="11"/>
  <c r="N27" i="11"/>
  <c r="O26" i="11"/>
  <c r="N26" i="11"/>
  <c r="N25" i="11"/>
  <c r="C25" i="11"/>
  <c r="O25" i="11"/>
  <c r="D25" i="11"/>
  <c r="E25" i="11"/>
  <c r="O24" i="11"/>
  <c r="N24" i="11"/>
  <c r="O23" i="11"/>
  <c r="N23" i="11"/>
  <c r="O22" i="11"/>
  <c r="N22" i="11"/>
  <c r="O21" i="11"/>
  <c r="N21" i="11"/>
  <c r="O20" i="11"/>
  <c r="N20" i="11"/>
  <c r="O19" i="11"/>
  <c r="O18" i="11"/>
  <c r="D18" i="11"/>
  <c r="N19" i="11"/>
  <c r="N18" i="11"/>
  <c r="C18" i="11"/>
  <c r="E18" i="11"/>
  <c r="O17" i="11"/>
  <c r="N17" i="11"/>
  <c r="O16" i="11"/>
  <c r="N16" i="11"/>
  <c r="O15" i="11"/>
  <c r="N15" i="11"/>
  <c r="O14" i="11"/>
  <c r="N14" i="11"/>
  <c r="O13" i="11"/>
  <c r="N13" i="11"/>
  <c r="O12" i="11"/>
  <c r="N12" i="11"/>
  <c r="O11" i="11"/>
  <c r="D11" i="11"/>
  <c r="N11" i="11"/>
  <c r="C11" i="11"/>
  <c r="O1608" i="13"/>
  <c r="N1608" i="13"/>
  <c r="O1607" i="13"/>
  <c r="N1607" i="13"/>
  <c r="O1606" i="13"/>
  <c r="N1606" i="13"/>
  <c r="O1605" i="13"/>
  <c r="N1605" i="13"/>
  <c r="O1604" i="13"/>
  <c r="N1604" i="13"/>
  <c r="O1603" i="13"/>
  <c r="O1602" i="13"/>
  <c r="D1602" i="13"/>
  <c r="N1603" i="13"/>
  <c r="N1602" i="13"/>
  <c r="C1602" i="13"/>
  <c r="E1602" i="13"/>
  <c r="O1601" i="13"/>
  <c r="N1601" i="13"/>
  <c r="O1600" i="13"/>
  <c r="N1600" i="13"/>
  <c r="O1599" i="13"/>
  <c r="N1599" i="13"/>
  <c r="O1598" i="13"/>
  <c r="N1598" i="13"/>
  <c r="O1597" i="13"/>
  <c r="N1597" i="13"/>
  <c r="O1596" i="13"/>
  <c r="N1596" i="13"/>
  <c r="O1595" i="13"/>
  <c r="D1595" i="13"/>
  <c r="E1595" i="13"/>
  <c r="N1595" i="13"/>
  <c r="C1595" i="13"/>
  <c r="O1594" i="13"/>
  <c r="N1594" i="13"/>
  <c r="O1593" i="13"/>
  <c r="N1593" i="13"/>
  <c r="O1592" i="13"/>
  <c r="N1592" i="13"/>
  <c r="O1591" i="13"/>
  <c r="N1591" i="13"/>
  <c r="O1590" i="13"/>
  <c r="N1590" i="13"/>
  <c r="O1589" i="13"/>
  <c r="N1589" i="13"/>
  <c r="O1588" i="13"/>
  <c r="D1588" i="13"/>
  <c r="E1588" i="13"/>
  <c r="N1588" i="13"/>
  <c r="C1588" i="13"/>
  <c r="O1587" i="13"/>
  <c r="N1587" i="13"/>
  <c r="O1586" i="13"/>
  <c r="N1586" i="13"/>
  <c r="O1585" i="13"/>
  <c r="N1585" i="13"/>
  <c r="O1584" i="13"/>
  <c r="N1584" i="13"/>
  <c r="O1583" i="13"/>
  <c r="N1583" i="13"/>
  <c r="O1582" i="13"/>
  <c r="O1581" i="13"/>
  <c r="D1581" i="13"/>
  <c r="E1581" i="13"/>
  <c r="N1582" i="13"/>
  <c r="N1581" i="13"/>
  <c r="C1581" i="13"/>
  <c r="O1580" i="13"/>
  <c r="N1580" i="13"/>
  <c r="O1579" i="13"/>
  <c r="N1579" i="13"/>
  <c r="O1578" i="13"/>
  <c r="N1578" i="13"/>
  <c r="O1577" i="13"/>
  <c r="N1577" i="13"/>
  <c r="O1576" i="13"/>
  <c r="N1576" i="13"/>
  <c r="O1575" i="13"/>
  <c r="O1574" i="13"/>
  <c r="D1574" i="13"/>
  <c r="N1575" i="13"/>
  <c r="N1574" i="13"/>
  <c r="C1574" i="13"/>
  <c r="E1574" i="13"/>
  <c r="O1573" i="13"/>
  <c r="N1573" i="13"/>
  <c r="O1572" i="13"/>
  <c r="N1572" i="13"/>
  <c r="O1571" i="13"/>
  <c r="N1571" i="13"/>
  <c r="O1570" i="13"/>
  <c r="N1570" i="13"/>
  <c r="O1569" i="13"/>
  <c r="N1569" i="13"/>
  <c r="O1568" i="13"/>
  <c r="N1568" i="13"/>
  <c r="O1567" i="13"/>
  <c r="D1567" i="13"/>
  <c r="E1567" i="13"/>
  <c r="N1567" i="13"/>
  <c r="C1567" i="13"/>
  <c r="N1560" i="13"/>
  <c r="N1561" i="13"/>
  <c r="N1562" i="13"/>
  <c r="N1563" i="13"/>
  <c r="N1564" i="13"/>
  <c r="N1565" i="13"/>
  <c r="N1566" i="13"/>
  <c r="C1560" i="13"/>
  <c r="C1559" i="13"/>
  <c r="O1566" i="13"/>
  <c r="O1565" i="13"/>
  <c r="O1564" i="13"/>
  <c r="O1563" i="13"/>
  <c r="O1562" i="13"/>
  <c r="O1561" i="13"/>
  <c r="O1560" i="13"/>
  <c r="D1560" i="13"/>
  <c r="O1558" i="13"/>
  <c r="N1558" i="13"/>
  <c r="O1557" i="13"/>
  <c r="N1557" i="13"/>
  <c r="O1556" i="13"/>
  <c r="N1556" i="13"/>
  <c r="O1555" i="13"/>
  <c r="N1555" i="13"/>
  <c r="O1554" i="13"/>
  <c r="N1554" i="13"/>
  <c r="O1553" i="13"/>
  <c r="N1553" i="13"/>
  <c r="O1552" i="13"/>
  <c r="N1552" i="13"/>
  <c r="D1552" i="13"/>
  <c r="C1552" i="13"/>
  <c r="C1551" i="13"/>
  <c r="O1550" i="13"/>
  <c r="N1550" i="13"/>
  <c r="O1549" i="13"/>
  <c r="N1549" i="13"/>
  <c r="O1548" i="13"/>
  <c r="N1548" i="13"/>
  <c r="O1547" i="13"/>
  <c r="N1547" i="13"/>
  <c r="O1546" i="13"/>
  <c r="N1546" i="13"/>
  <c r="O1545" i="13"/>
  <c r="N1545" i="13"/>
  <c r="O1544" i="13"/>
  <c r="D1544" i="13"/>
  <c r="E1544" i="13"/>
  <c r="N1544" i="13"/>
  <c r="C1544" i="13"/>
  <c r="O1543" i="13"/>
  <c r="N1543" i="13"/>
  <c r="O1542" i="13"/>
  <c r="N1542" i="13"/>
  <c r="O1541" i="13"/>
  <c r="N1541" i="13"/>
  <c r="O1540" i="13"/>
  <c r="N1540" i="13"/>
  <c r="O1539" i="13"/>
  <c r="N1539" i="13"/>
  <c r="O1538" i="13"/>
  <c r="O1537" i="13"/>
  <c r="D1537" i="13"/>
  <c r="E1537" i="13"/>
  <c r="N1538" i="13"/>
  <c r="N1537" i="13"/>
  <c r="C1537" i="13"/>
  <c r="C1536" i="13"/>
  <c r="O1535" i="13"/>
  <c r="N1535" i="13"/>
  <c r="O1534" i="13"/>
  <c r="N1534" i="13"/>
  <c r="O1533" i="13"/>
  <c r="N1533" i="13"/>
  <c r="O1532" i="13"/>
  <c r="N1532" i="13"/>
  <c r="O1531" i="13"/>
  <c r="N1531" i="13"/>
  <c r="O1530" i="13"/>
  <c r="O1529" i="13"/>
  <c r="D1529" i="13"/>
  <c r="N1530" i="13"/>
  <c r="N1529" i="13"/>
  <c r="C1529" i="13"/>
  <c r="E1529" i="13"/>
  <c r="O1528" i="13"/>
  <c r="N1528" i="13"/>
  <c r="O1527" i="13"/>
  <c r="N1527" i="13"/>
  <c r="O1526" i="13"/>
  <c r="N1526" i="13"/>
  <c r="O1525" i="13"/>
  <c r="N1525" i="13"/>
  <c r="O1524" i="13"/>
  <c r="N1524" i="13"/>
  <c r="O1523" i="13"/>
  <c r="O1522" i="13"/>
  <c r="D1522" i="13"/>
  <c r="N1523" i="13"/>
  <c r="N1522" i="13"/>
  <c r="C1522" i="13"/>
  <c r="E1522" i="13"/>
  <c r="O1521" i="13"/>
  <c r="N1521" i="13"/>
  <c r="O1520" i="13"/>
  <c r="N1520" i="13"/>
  <c r="O1519" i="13"/>
  <c r="N1519" i="13"/>
  <c r="O1518" i="13"/>
  <c r="N1518" i="13"/>
  <c r="O1517" i="13"/>
  <c r="N1517" i="13"/>
  <c r="O1516" i="13"/>
  <c r="N1516" i="13"/>
  <c r="O1515" i="13"/>
  <c r="D1515" i="13"/>
  <c r="N1515" i="13"/>
  <c r="C1515" i="13"/>
  <c r="C1514" i="13"/>
  <c r="O1513" i="13"/>
  <c r="N1513" i="13"/>
  <c r="O1512" i="13"/>
  <c r="N1512" i="13"/>
  <c r="O1511" i="13"/>
  <c r="N1511" i="13"/>
  <c r="O1510" i="13"/>
  <c r="N1510" i="13"/>
  <c r="O1509" i="13"/>
  <c r="N1509" i="13"/>
  <c r="O1508" i="13"/>
  <c r="N1508" i="13"/>
  <c r="O1507" i="13"/>
  <c r="D1507" i="13"/>
  <c r="N1507" i="13"/>
  <c r="C1507" i="13"/>
  <c r="C1506" i="13"/>
  <c r="O1505" i="13"/>
  <c r="N1505" i="13"/>
  <c r="O1504" i="13"/>
  <c r="N1504" i="13"/>
  <c r="O1503" i="13"/>
  <c r="N1503" i="13"/>
  <c r="O1502" i="13"/>
  <c r="N1502" i="13"/>
  <c r="O1501" i="13"/>
  <c r="N1501" i="13"/>
  <c r="O1500" i="13"/>
  <c r="N1500" i="13"/>
  <c r="O1499" i="13"/>
  <c r="D1499" i="13"/>
  <c r="N1499" i="13"/>
  <c r="C1499" i="13"/>
  <c r="C1498" i="13"/>
  <c r="O1497" i="13"/>
  <c r="N1497" i="13"/>
  <c r="O1496" i="13"/>
  <c r="N1496" i="13"/>
  <c r="O1495" i="13"/>
  <c r="N1495" i="13"/>
  <c r="O1494" i="13"/>
  <c r="N1494" i="13"/>
  <c r="O1493" i="13"/>
  <c r="N1493" i="13"/>
  <c r="O1492" i="13"/>
  <c r="N1492" i="13"/>
  <c r="O1491" i="13"/>
  <c r="D1491" i="13"/>
  <c r="N1491" i="13"/>
  <c r="C1491" i="13"/>
  <c r="C1490" i="13"/>
  <c r="O1489" i="13"/>
  <c r="N1489" i="13"/>
  <c r="O1488" i="13"/>
  <c r="N1488" i="13"/>
  <c r="O1487" i="13"/>
  <c r="N1487" i="13"/>
  <c r="O1486" i="13"/>
  <c r="N1486" i="13"/>
  <c r="O1485" i="13"/>
  <c r="N1485" i="13"/>
  <c r="O1484" i="13"/>
  <c r="N1484" i="13"/>
  <c r="O1483" i="13"/>
  <c r="D1483" i="13"/>
  <c r="N1483" i="13"/>
  <c r="C1483" i="13"/>
  <c r="C1482" i="13"/>
  <c r="O1481" i="13"/>
  <c r="N1481" i="13"/>
  <c r="O1480" i="13"/>
  <c r="N1480" i="13"/>
  <c r="O1479" i="13"/>
  <c r="N1479" i="13"/>
  <c r="O1478" i="13"/>
  <c r="N1478" i="13"/>
  <c r="O1477" i="13"/>
  <c r="N1477" i="13"/>
  <c r="O1476" i="13"/>
  <c r="N1476" i="13"/>
  <c r="O1475" i="13"/>
  <c r="D1475" i="13"/>
  <c r="N1475" i="13"/>
  <c r="C1475" i="13"/>
  <c r="C1474" i="13"/>
  <c r="O1473" i="13"/>
  <c r="N1473" i="13"/>
  <c r="O1472" i="13"/>
  <c r="N1472" i="13"/>
  <c r="O1471" i="13"/>
  <c r="N1471" i="13"/>
  <c r="O1470" i="13"/>
  <c r="N1470" i="13"/>
  <c r="O1469" i="13"/>
  <c r="N1469" i="13"/>
  <c r="O1468" i="13"/>
  <c r="N1468" i="13"/>
  <c r="O1467" i="13"/>
  <c r="D1467" i="13"/>
  <c r="E1467" i="13"/>
  <c r="N1467" i="13"/>
  <c r="C1467" i="13"/>
  <c r="O1466" i="13"/>
  <c r="N1466" i="13"/>
  <c r="O1465" i="13"/>
  <c r="N1465" i="13"/>
  <c r="O1464" i="13"/>
  <c r="N1464" i="13"/>
  <c r="O1463" i="13"/>
  <c r="N1463" i="13"/>
  <c r="O1462" i="13"/>
  <c r="N1462" i="13"/>
  <c r="O1461" i="13"/>
  <c r="N1461" i="13"/>
  <c r="O1460" i="13"/>
  <c r="D1460" i="13"/>
  <c r="E1460" i="13"/>
  <c r="N1460" i="13"/>
  <c r="C1460" i="13"/>
  <c r="O1459" i="13"/>
  <c r="N1459" i="13"/>
  <c r="O1458" i="13"/>
  <c r="N1458" i="13"/>
  <c r="O1457" i="13"/>
  <c r="N1457" i="13"/>
  <c r="O1456" i="13"/>
  <c r="N1456" i="13"/>
  <c r="O1455" i="13"/>
  <c r="N1455" i="13"/>
  <c r="O1454" i="13"/>
  <c r="O1453" i="13"/>
  <c r="D1453" i="13"/>
  <c r="N1454" i="13"/>
  <c r="N1453" i="13"/>
  <c r="C1453" i="13"/>
  <c r="O1452" i="13"/>
  <c r="N1452" i="13"/>
  <c r="O1451" i="13"/>
  <c r="N1451" i="13"/>
  <c r="O1450" i="13"/>
  <c r="N1450" i="13"/>
  <c r="O1449" i="13"/>
  <c r="N1449" i="13"/>
  <c r="O1448" i="13"/>
  <c r="N1448" i="13"/>
  <c r="O1447" i="13"/>
  <c r="O1446" i="13"/>
  <c r="D1446" i="13"/>
  <c r="N1447" i="13"/>
  <c r="N1446" i="13"/>
  <c r="C1446" i="13"/>
  <c r="E1446" i="13"/>
  <c r="O1445" i="13"/>
  <c r="N1445" i="13"/>
  <c r="O1444" i="13"/>
  <c r="N1444" i="13"/>
  <c r="O1443" i="13"/>
  <c r="N1443" i="13"/>
  <c r="O1442" i="13"/>
  <c r="N1442" i="13"/>
  <c r="O1441" i="13"/>
  <c r="N1441" i="13"/>
  <c r="O1440" i="13"/>
  <c r="N1440" i="13"/>
  <c r="O1439" i="13"/>
  <c r="D1439" i="13"/>
  <c r="E1439" i="13"/>
  <c r="N1439" i="13"/>
  <c r="C1439" i="13"/>
  <c r="O1438" i="13"/>
  <c r="N1438" i="13"/>
  <c r="O1437" i="13"/>
  <c r="N1437" i="13"/>
  <c r="O1436" i="13"/>
  <c r="N1436" i="13"/>
  <c r="O1435" i="13"/>
  <c r="N1435" i="13"/>
  <c r="O1434" i="13"/>
  <c r="N1434" i="13"/>
  <c r="O1433" i="13"/>
  <c r="N1433" i="13"/>
  <c r="O1432" i="13"/>
  <c r="N1432" i="13"/>
  <c r="D1432" i="13"/>
  <c r="E1432" i="13"/>
  <c r="C1432" i="13"/>
  <c r="O1431" i="13"/>
  <c r="N1431" i="13"/>
  <c r="O1430" i="13"/>
  <c r="N1430" i="13"/>
  <c r="O1429" i="13"/>
  <c r="N1429" i="13"/>
  <c r="O1428" i="13"/>
  <c r="N1428" i="13"/>
  <c r="O1427" i="13"/>
  <c r="N1427" i="13"/>
  <c r="O1426" i="13"/>
  <c r="O1425" i="13"/>
  <c r="D1425" i="13"/>
  <c r="N1426" i="13"/>
  <c r="N1425" i="13"/>
  <c r="C1425" i="13"/>
  <c r="E1425" i="13"/>
  <c r="C1424" i="13"/>
  <c r="O1423" i="13"/>
  <c r="N1423" i="13"/>
  <c r="O1422" i="13"/>
  <c r="N1422" i="13"/>
  <c r="O1421" i="13"/>
  <c r="N1421" i="13"/>
  <c r="O1420" i="13"/>
  <c r="N1420" i="13"/>
  <c r="O1419" i="13"/>
  <c r="N1419" i="13"/>
  <c r="O1418" i="13"/>
  <c r="O1417" i="13"/>
  <c r="D1417" i="13"/>
  <c r="E1417" i="13"/>
  <c r="N1418" i="13"/>
  <c r="N1417" i="13"/>
  <c r="C1417" i="13"/>
  <c r="O1416" i="13"/>
  <c r="N1416" i="13"/>
  <c r="O1415" i="13"/>
  <c r="N1415" i="13"/>
  <c r="O1414" i="13"/>
  <c r="N1414" i="13"/>
  <c r="O1413" i="13"/>
  <c r="N1413" i="13"/>
  <c r="O1412" i="13"/>
  <c r="N1412" i="13"/>
  <c r="O1411" i="13"/>
  <c r="O1410" i="13"/>
  <c r="D1410" i="13"/>
  <c r="N1411" i="13"/>
  <c r="N1410" i="13"/>
  <c r="C1410" i="13"/>
  <c r="C1409" i="13"/>
  <c r="E1410" i="13"/>
  <c r="E1409" i="13"/>
  <c r="D1409" i="13"/>
  <c r="O1408" i="13"/>
  <c r="N1408" i="13"/>
  <c r="O1407" i="13"/>
  <c r="N1407" i="13"/>
  <c r="O1406" i="13"/>
  <c r="N1406" i="13"/>
  <c r="O1405" i="13"/>
  <c r="N1405" i="13"/>
  <c r="O1404" i="13"/>
  <c r="N1404" i="13"/>
  <c r="O1403" i="13"/>
  <c r="O1402" i="13"/>
  <c r="D1402" i="13"/>
  <c r="N1403" i="13"/>
  <c r="N1402" i="13"/>
  <c r="C1402" i="13"/>
  <c r="E1402" i="13"/>
  <c r="O1401" i="13"/>
  <c r="N1401" i="13"/>
  <c r="O1400" i="13"/>
  <c r="N1400" i="13"/>
  <c r="O1399" i="13"/>
  <c r="N1399" i="13"/>
  <c r="O1398" i="13"/>
  <c r="N1398" i="13"/>
  <c r="O1397" i="13"/>
  <c r="N1397" i="13"/>
  <c r="O1396" i="13"/>
  <c r="N1396" i="13"/>
  <c r="O1395" i="13"/>
  <c r="D1395" i="13"/>
  <c r="E1395" i="13"/>
  <c r="N1395" i="13"/>
  <c r="C1395" i="13"/>
  <c r="O1394" i="13"/>
  <c r="N1394" i="13"/>
  <c r="O1393" i="13"/>
  <c r="N1393" i="13"/>
  <c r="O1392" i="13"/>
  <c r="N1392" i="13"/>
  <c r="O1391" i="13"/>
  <c r="N1391" i="13"/>
  <c r="O1390" i="13"/>
  <c r="N1390" i="13"/>
  <c r="O1389" i="13"/>
  <c r="N1389" i="13"/>
  <c r="O1388" i="13"/>
  <c r="N1388" i="13"/>
  <c r="D1388" i="13"/>
  <c r="E1388" i="13"/>
  <c r="C1388" i="13"/>
  <c r="O1387" i="13"/>
  <c r="N1387" i="13"/>
  <c r="O1386" i="13"/>
  <c r="N1386" i="13"/>
  <c r="O1385" i="13"/>
  <c r="N1385" i="13"/>
  <c r="O1384" i="13"/>
  <c r="N1384" i="13"/>
  <c r="O1383" i="13"/>
  <c r="N1383" i="13"/>
  <c r="O1382" i="13"/>
  <c r="N1382" i="13"/>
  <c r="N1381" i="13"/>
  <c r="C1381" i="13"/>
  <c r="O1381" i="13"/>
  <c r="D1381" i="13"/>
  <c r="E1381" i="13"/>
  <c r="O1380" i="13"/>
  <c r="N1380" i="13"/>
  <c r="O1379" i="13"/>
  <c r="N1379" i="13"/>
  <c r="O1378" i="13"/>
  <c r="N1378" i="13"/>
  <c r="O1377" i="13"/>
  <c r="N1377" i="13"/>
  <c r="O1376" i="13"/>
  <c r="N1376" i="13"/>
  <c r="O1375" i="13"/>
  <c r="O1374" i="13"/>
  <c r="D1374" i="13"/>
  <c r="N1375" i="13"/>
  <c r="N1374" i="13"/>
  <c r="C1374" i="13"/>
  <c r="E1374" i="13"/>
  <c r="O1373" i="13"/>
  <c r="N1373" i="13"/>
  <c r="O1372" i="13"/>
  <c r="N1372" i="13"/>
  <c r="O1371" i="13"/>
  <c r="N1371" i="13"/>
  <c r="O1370" i="13"/>
  <c r="N1370" i="13"/>
  <c r="O1369" i="13"/>
  <c r="N1369" i="13"/>
  <c r="O1368" i="13"/>
  <c r="N1368" i="13"/>
  <c r="O1367" i="13"/>
  <c r="D1367" i="13"/>
  <c r="E1367" i="13"/>
  <c r="N1367" i="13"/>
  <c r="C1367" i="13"/>
  <c r="O1366" i="13"/>
  <c r="N1366" i="13"/>
  <c r="O1365" i="13"/>
  <c r="N1365" i="13"/>
  <c r="O1364" i="13"/>
  <c r="N1364" i="13"/>
  <c r="O1363" i="13"/>
  <c r="N1363" i="13"/>
  <c r="O1362" i="13"/>
  <c r="N1362" i="13"/>
  <c r="O1361" i="13"/>
  <c r="N1361" i="13"/>
  <c r="O1360" i="13"/>
  <c r="D1360" i="13"/>
  <c r="E1360" i="13"/>
  <c r="N1360" i="13"/>
  <c r="C1360" i="13"/>
  <c r="O1359" i="13"/>
  <c r="N1359" i="13"/>
  <c r="O1358" i="13"/>
  <c r="N1358" i="13"/>
  <c r="O1357" i="13"/>
  <c r="N1357" i="13"/>
  <c r="O1356" i="13"/>
  <c r="N1356" i="13"/>
  <c r="O1355" i="13"/>
  <c r="N1355" i="13"/>
  <c r="O1354" i="13"/>
  <c r="N1354" i="13"/>
  <c r="N1353" i="13"/>
  <c r="C1353" i="13"/>
  <c r="O1353" i="13"/>
  <c r="D1353" i="13"/>
  <c r="E1353" i="13"/>
  <c r="O1352" i="13"/>
  <c r="N1352" i="13"/>
  <c r="O1351" i="13"/>
  <c r="N1351" i="13"/>
  <c r="O1350" i="13"/>
  <c r="N1350" i="13"/>
  <c r="O1349" i="13"/>
  <c r="N1349" i="13"/>
  <c r="O1348" i="13"/>
  <c r="N1348" i="13"/>
  <c r="O1347" i="13"/>
  <c r="O1346" i="13"/>
  <c r="D1346" i="13"/>
  <c r="N1347" i="13"/>
  <c r="N1346" i="13"/>
  <c r="C1346" i="13"/>
  <c r="E1346" i="13"/>
  <c r="O1345" i="13"/>
  <c r="N1345" i="13"/>
  <c r="O1344" i="13"/>
  <c r="N1344" i="13"/>
  <c r="O1343" i="13"/>
  <c r="N1343" i="13"/>
  <c r="O1342" i="13"/>
  <c r="N1342" i="13"/>
  <c r="O1341" i="13"/>
  <c r="N1341" i="13"/>
  <c r="O1340" i="13"/>
  <c r="N1340" i="13"/>
  <c r="O1339" i="13"/>
  <c r="D1339" i="13"/>
  <c r="E1339" i="13"/>
  <c r="N1339" i="13"/>
  <c r="C1339" i="13"/>
  <c r="O1338" i="13"/>
  <c r="N1338" i="13"/>
  <c r="O1337" i="13"/>
  <c r="N1337" i="13"/>
  <c r="O1336" i="13"/>
  <c r="N1336" i="13"/>
  <c r="O1335" i="13"/>
  <c r="N1335" i="13"/>
  <c r="O1334" i="13"/>
  <c r="N1334" i="13"/>
  <c r="O1333" i="13"/>
  <c r="N1333" i="13"/>
  <c r="O1332" i="13"/>
  <c r="N1332" i="13"/>
  <c r="D1332" i="13"/>
  <c r="E1332" i="13"/>
  <c r="C1332" i="13"/>
  <c r="O1331" i="13"/>
  <c r="N1331" i="13"/>
  <c r="O1330" i="13"/>
  <c r="N1330" i="13"/>
  <c r="O1329" i="13"/>
  <c r="N1329" i="13"/>
  <c r="O1328" i="13"/>
  <c r="N1328" i="13"/>
  <c r="O1327" i="13"/>
  <c r="N1327" i="13"/>
  <c r="O1326" i="13"/>
  <c r="N1326" i="13"/>
  <c r="N1325" i="13"/>
  <c r="C1325" i="13"/>
  <c r="O1325" i="13"/>
  <c r="D1325" i="13"/>
  <c r="E1325" i="13"/>
  <c r="O1324" i="13"/>
  <c r="N1324" i="13"/>
  <c r="O1323" i="13"/>
  <c r="N1323" i="13"/>
  <c r="O1322" i="13"/>
  <c r="N1322" i="13"/>
  <c r="O1321" i="13"/>
  <c r="N1321" i="13"/>
  <c r="O1320" i="13"/>
  <c r="N1320" i="13"/>
  <c r="O1319" i="13"/>
  <c r="O1318" i="13"/>
  <c r="D1318" i="13"/>
  <c r="N1319" i="13"/>
  <c r="N1318" i="13"/>
  <c r="C1318" i="13"/>
  <c r="E1318" i="13"/>
  <c r="O1317" i="13"/>
  <c r="N1317" i="13"/>
  <c r="O1316" i="13"/>
  <c r="N1316" i="13"/>
  <c r="O1315" i="13"/>
  <c r="N1315" i="13"/>
  <c r="O1314" i="13"/>
  <c r="N1314" i="13"/>
  <c r="O1313" i="13"/>
  <c r="N1313" i="13"/>
  <c r="O1312" i="13"/>
  <c r="N1312" i="13"/>
  <c r="O1311" i="13"/>
  <c r="D1311" i="13"/>
  <c r="E1311" i="13"/>
  <c r="N1311" i="13"/>
  <c r="C1311" i="13"/>
  <c r="O1310" i="13"/>
  <c r="N1310" i="13"/>
  <c r="O1309" i="13"/>
  <c r="N1309" i="13"/>
  <c r="O1308" i="13"/>
  <c r="N1308" i="13"/>
  <c r="O1307" i="13"/>
  <c r="N1307" i="13"/>
  <c r="O1306" i="13"/>
  <c r="N1306" i="13"/>
  <c r="O1305" i="13"/>
  <c r="N1305" i="13"/>
  <c r="N1304" i="13"/>
  <c r="C1304" i="13"/>
  <c r="O1304" i="13"/>
  <c r="D1304" i="13"/>
  <c r="E1304" i="13"/>
  <c r="O1303" i="13"/>
  <c r="N1303" i="13"/>
  <c r="O1302" i="13"/>
  <c r="N1302" i="13"/>
  <c r="O1301" i="13"/>
  <c r="N1301" i="13"/>
  <c r="O1300" i="13"/>
  <c r="N1300" i="13"/>
  <c r="O1299" i="13"/>
  <c r="N1299" i="13"/>
  <c r="O1298" i="13"/>
  <c r="N1298" i="13"/>
  <c r="N1297" i="13"/>
  <c r="C1297" i="13"/>
  <c r="O1297" i="13"/>
  <c r="D1297" i="13"/>
  <c r="E1297" i="13"/>
  <c r="O1296" i="13"/>
  <c r="N1296" i="13"/>
  <c r="O1295" i="13"/>
  <c r="N1295" i="13"/>
  <c r="O1294" i="13"/>
  <c r="N1294" i="13"/>
  <c r="O1293" i="13"/>
  <c r="N1293" i="13"/>
  <c r="O1292" i="13"/>
  <c r="N1292" i="13"/>
  <c r="O1291" i="13"/>
  <c r="O1290" i="13"/>
  <c r="D1290" i="13"/>
  <c r="N1291" i="13"/>
  <c r="N1290" i="13"/>
  <c r="C1290" i="13"/>
  <c r="E1290" i="13"/>
  <c r="O1289" i="13"/>
  <c r="N1289" i="13"/>
  <c r="O1288" i="13"/>
  <c r="N1288" i="13"/>
  <c r="O1287" i="13"/>
  <c r="N1287" i="13"/>
  <c r="O1286" i="13"/>
  <c r="N1286" i="13"/>
  <c r="O1285" i="13"/>
  <c r="N1285" i="13"/>
  <c r="O1284" i="13"/>
  <c r="N1284" i="13"/>
  <c r="O1283" i="13"/>
  <c r="D1283" i="13"/>
  <c r="E1283" i="13"/>
  <c r="N1283" i="13"/>
  <c r="C1283" i="13"/>
  <c r="O1282" i="13"/>
  <c r="N1282" i="13"/>
  <c r="O1281" i="13"/>
  <c r="N1281" i="13"/>
  <c r="O1280" i="13"/>
  <c r="N1280" i="13"/>
  <c r="O1279" i="13"/>
  <c r="N1279" i="13"/>
  <c r="O1278" i="13"/>
  <c r="N1278" i="13"/>
  <c r="O1277" i="13"/>
  <c r="N1277" i="13"/>
  <c r="O1276" i="13"/>
  <c r="N1276" i="13"/>
  <c r="D1276" i="13"/>
  <c r="E1276" i="13"/>
  <c r="C1276" i="13"/>
  <c r="O1275" i="13"/>
  <c r="N1275" i="13"/>
  <c r="O1274" i="13"/>
  <c r="N1274" i="13"/>
  <c r="O1273" i="13"/>
  <c r="N1273" i="13"/>
  <c r="O1272" i="13"/>
  <c r="N1272" i="13"/>
  <c r="O1271" i="13"/>
  <c r="N1271" i="13"/>
  <c r="O1270" i="13"/>
  <c r="N1270" i="13"/>
  <c r="N1269" i="13"/>
  <c r="C1269" i="13"/>
  <c r="O1269" i="13"/>
  <c r="D1269" i="13"/>
  <c r="E1269" i="13"/>
  <c r="O1268" i="13"/>
  <c r="N1268" i="13"/>
  <c r="O1267" i="13"/>
  <c r="N1267" i="13"/>
  <c r="O1266" i="13"/>
  <c r="N1266" i="13"/>
  <c r="O1265" i="13"/>
  <c r="N1265" i="13"/>
  <c r="O1264" i="13"/>
  <c r="N1264" i="13"/>
  <c r="O1263" i="13"/>
  <c r="O1262" i="13"/>
  <c r="D1262" i="13"/>
  <c r="N1263" i="13"/>
  <c r="N1262" i="13"/>
  <c r="C1262" i="13"/>
  <c r="E1262" i="13"/>
  <c r="O1261" i="13"/>
  <c r="N1261" i="13"/>
  <c r="O1260" i="13"/>
  <c r="N1260" i="13"/>
  <c r="O1259" i="13"/>
  <c r="N1259" i="13"/>
  <c r="O1258" i="13"/>
  <c r="N1258" i="13"/>
  <c r="O1257" i="13"/>
  <c r="N1257" i="13"/>
  <c r="O1256" i="13"/>
  <c r="N1256" i="13"/>
  <c r="O1255" i="13"/>
  <c r="D1255" i="13"/>
  <c r="E1255" i="13"/>
  <c r="N1255" i="13"/>
  <c r="C1255" i="13"/>
  <c r="O1254" i="13"/>
  <c r="N1254" i="13"/>
  <c r="O1253" i="13"/>
  <c r="N1253" i="13"/>
  <c r="O1252" i="13"/>
  <c r="N1252" i="13"/>
  <c r="O1251" i="13"/>
  <c r="N1251" i="13"/>
  <c r="O1250" i="13"/>
  <c r="N1250" i="13"/>
  <c r="O1249" i="13"/>
  <c r="N1249" i="13"/>
  <c r="O1248" i="13"/>
  <c r="D1248" i="13"/>
  <c r="E1248" i="13"/>
  <c r="N1248" i="13"/>
  <c r="C1248" i="13"/>
  <c r="O1247" i="13"/>
  <c r="N1247" i="13"/>
  <c r="O1246" i="13"/>
  <c r="N1246" i="13"/>
  <c r="O1245" i="13"/>
  <c r="N1245" i="13"/>
  <c r="O1244" i="13"/>
  <c r="N1244" i="13"/>
  <c r="O1243" i="13"/>
  <c r="N1243" i="13"/>
  <c r="O1242" i="13"/>
  <c r="N1242" i="13"/>
  <c r="N1241" i="13"/>
  <c r="C1241" i="13"/>
  <c r="O1241" i="13"/>
  <c r="D1241" i="13"/>
  <c r="E1241" i="13"/>
  <c r="O1240" i="13"/>
  <c r="N1240" i="13"/>
  <c r="O1239" i="13"/>
  <c r="N1239" i="13"/>
  <c r="O1238" i="13"/>
  <c r="N1238" i="13"/>
  <c r="O1237" i="13"/>
  <c r="N1237" i="13"/>
  <c r="O1236" i="13"/>
  <c r="N1236" i="13"/>
  <c r="O1235" i="13"/>
  <c r="O1234" i="13"/>
  <c r="D1234" i="13"/>
  <c r="N1235" i="13"/>
  <c r="N1234" i="13"/>
  <c r="C1234" i="13"/>
  <c r="E1234" i="13"/>
  <c r="O1233" i="13"/>
  <c r="N1233" i="13"/>
  <c r="O1232" i="13"/>
  <c r="N1232" i="13"/>
  <c r="O1231" i="13"/>
  <c r="N1231" i="13"/>
  <c r="O1230" i="13"/>
  <c r="N1230" i="13"/>
  <c r="O1229" i="13"/>
  <c r="N1229" i="13"/>
  <c r="O1228" i="13"/>
  <c r="N1228" i="13"/>
  <c r="O1227" i="13"/>
  <c r="D1227" i="13"/>
  <c r="N1227" i="13"/>
  <c r="C1227" i="13"/>
  <c r="O1225" i="13"/>
  <c r="N1225" i="13"/>
  <c r="O1224" i="13"/>
  <c r="N1224" i="13"/>
  <c r="O1223" i="13"/>
  <c r="N1223" i="13"/>
  <c r="O1222" i="13"/>
  <c r="N1222" i="13"/>
  <c r="O1221" i="13"/>
  <c r="N1221" i="13"/>
  <c r="O1220" i="13"/>
  <c r="N1220" i="13"/>
  <c r="O1219" i="13"/>
  <c r="D1219" i="13"/>
  <c r="N1219" i="13"/>
  <c r="C1219" i="13"/>
  <c r="C1218" i="13"/>
  <c r="O1217" i="13"/>
  <c r="N1217" i="13"/>
  <c r="O1216" i="13"/>
  <c r="N1216" i="13"/>
  <c r="O1215" i="13"/>
  <c r="N1215" i="13"/>
  <c r="O1214" i="13"/>
  <c r="N1214" i="13"/>
  <c r="O1213" i="13"/>
  <c r="N1213" i="13"/>
  <c r="O1212" i="13"/>
  <c r="N1212" i="13"/>
  <c r="O1211" i="13"/>
  <c r="D1211" i="13"/>
  <c r="E1211" i="13"/>
  <c r="N1211" i="13"/>
  <c r="C1211" i="13"/>
  <c r="O1210" i="13"/>
  <c r="N1210" i="13"/>
  <c r="O1209" i="13"/>
  <c r="N1209" i="13"/>
  <c r="O1208" i="13"/>
  <c r="N1208" i="13"/>
  <c r="O1207" i="13"/>
  <c r="N1207" i="13"/>
  <c r="O1206" i="13"/>
  <c r="N1206" i="13"/>
  <c r="O1205" i="13"/>
  <c r="N1205" i="13"/>
  <c r="O1204" i="13"/>
  <c r="N1204" i="13"/>
  <c r="D1204" i="13"/>
  <c r="C1204" i="13"/>
  <c r="C1203" i="13"/>
  <c r="O1202" i="13"/>
  <c r="N1202" i="13"/>
  <c r="O1201" i="13"/>
  <c r="N1201" i="13"/>
  <c r="O1200" i="13"/>
  <c r="N1200" i="13"/>
  <c r="O1199" i="13"/>
  <c r="N1199" i="13"/>
  <c r="O1198" i="13"/>
  <c r="N1198" i="13"/>
  <c r="O1197" i="13"/>
  <c r="N1197" i="13"/>
  <c r="O1196" i="13"/>
  <c r="D1196" i="13"/>
  <c r="N1196" i="13"/>
  <c r="C1196" i="13"/>
  <c r="C1195" i="13"/>
  <c r="O1194" i="13"/>
  <c r="N1194" i="13"/>
  <c r="O1193" i="13"/>
  <c r="N1193" i="13"/>
  <c r="O1192" i="13"/>
  <c r="N1192" i="13"/>
  <c r="O1191" i="13"/>
  <c r="N1191" i="13"/>
  <c r="O1190" i="13"/>
  <c r="N1190" i="13"/>
  <c r="O1189" i="13"/>
  <c r="N1189" i="13"/>
  <c r="O1188" i="13"/>
  <c r="D1188" i="13"/>
  <c r="E1188" i="13"/>
  <c r="N1188" i="13"/>
  <c r="C1188" i="13"/>
  <c r="O1187" i="13"/>
  <c r="N1187" i="13"/>
  <c r="O1186" i="13"/>
  <c r="N1186" i="13"/>
  <c r="O1185" i="13"/>
  <c r="N1185" i="13"/>
  <c r="O1184" i="13"/>
  <c r="N1184" i="13"/>
  <c r="O1183" i="13"/>
  <c r="N1183" i="13"/>
  <c r="O1182" i="13"/>
  <c r="N1182" i="13"/>
  <c r="N1181" i="13"/>
  <c r="C1181" i="13"/>
  <c r="O1181" i="13"/>
  <c r="D1181" i="13"/>
  <c r="E1181" i="13"/>
  <c r="O1180" i="13"/>
  <c r="N1180" i="13"/>
  <c r="O1179" i="13"/>
  <c r="N1179" i="13"/>
  <c r="O1178" i="13"/>
  <c r="N1178" i="13"/>
  <c r="O1177" i="13"/>
  <c r="N1177" i="13"/>
  <c r="O1176" i="13"/>
  <c r="N1176" i="13"/>
  <c r="O1175" i="13"/>
  <c r="O1174" i="13"/>
  <c r="D1174" i="13"/>
  <c r="N1175" i="13"/>
  <c r="N1174" i="13"/>
  <c r="C1174" i="13"/>
  <c r="E1174" i="13"/>
  <c r="O1173" i="13"/>
  <c r="N1173" i="13"/>
  <c r="O1172" i="13"/>
  <c r="N1172" i="13"/>
  <c r="O1171" i="13"/>
  <c r="N1171" i="13"/>
  <c r="O1170" i="13"/>
  <c r="N1170" i="13"/>
  <c r="O1169" i="13"/>
  <c r="N1169" i="13"/>
  <c r="O1168" i="13"/>
  <c r="N1168" i="13"/>
  <c r="O1167" i="13"/>
  <c r="D1167" i="13"/>
  <c r="E1167" i="13"/>
  <c r="N1167" i="13"/>
  <c r="C1167" i="13"/>
  <c r="O1166" i="13"/>
  <c r="N1166" i="13"/>
  <c r="O1165" i="13"/>
  <c r="N1165" i="13"/>
  <c r="O1164" i="13"/>
  <c r="N1164" i="13"/>
  <c r="O1163" i="13"/>
  <c r="N1163" i="13"/>
  <c r="O1162" i="13"/>
  <c r="N1162" i="13"/>
  <c r="O1161" i="13"/>
  <c r="N1161" i="13"/>
  <c r="O1160" i="13"/>
  <c r="N1160" i="13"/>
  <c r="D1160" i="13"/>
  <c r="E1160" i="13"/>
  <c r="C1160" i="13"/>
  <c r="O1159" i="13"/>
  <c r="N1159" i="13"/>
  <c r="O1158" i="13"/>
  <c r="N1158" i="13"/>
  <c r="O1157" i="13"/>
  <c r="N1157" i="13"/>
  <c r="O1156" i="13"/>
  <c r="N1156" i="13"/>
  <c r="O1155" i="13"/>
  <c r="N1155" i="13"/>
  <c r="O1154" i="13"/>
  <c r="N1154" i="13"/>
  <c r="N1153" i="13"/>
  <c r="C1153" i="13"/>
  <c r="O1153" i="13"/>
  <c r="D1153" i="13"/>
  <c r="E1153" i="13"/>
  <c r="O1152" i="13"/>
  <c r="N1152" i="13"/>
  <c r="O1151" i="13"/>
  <c r="N1151" i="13"/>
  <c r="O1150" i="13"/>
  <c r="N1150" i="13"/>
  <c r="O1149" i="13"/>
  <c r="N1149" i="13"/>
  <c r="O1148" i="13"/>
  <c r="N1148" i="13"/>
  <c r="O1147" i="13"/>
  <c r="O1146" i="13"/>
  <c r="D1146" i="13"/>
  <c r="N1147" i="13"/>
  <c r="N1146" i="13"/>
  <c r="C1146" i="13"/>
  <c r="E1146" i="13"/>
  <c r="O1145" i="13"/>
  <c r="N1145" i="13"/>
  <c r="O1144" i="13"/>
  <c r="N1144" i="13"/>
  <c r="O1143" i="13"/>
  <c r="N1143" i="13"/>
  <c r="O1142" i="13"/>
  <c r="N1142" i="13"/>
  <c r="O1141" i="13"/>
  <c r="N1141" i="13"/>
  <c r="O1140" i="13"/>
  <c r="N1140" i="13"/>
  <c r="O1139" i="13"/>
  <c r="D1139" i="13"/>
  <c r="E1139" i="13"/>
  <c r="N1139" i="13"/>
  <c r="C1139" i="13"/>
  <c r="O1138" i="13"/>
  <c r="N1138" i="13"/>
  <c r="O1137" i="13"/>
  <c r="N1137" i="13"/>
  <c r="O1136" i="13"/>
  <c r="N1136" i="13"/>
  <c r="O1135" i="13"/>
  <c r="N1135" i="13"/>
  <c r="O1134" i="13"/>
  <c r="N1134" i="13"/>
  <c r="O1133" i="13"/>
  <c r="N1133" i="13"/>
  <c r="N1132" i="13"/>
  <c r="C1132" i="13"/>
  <c r="O1132" i="13"/>
  <c r="D1132" i="13"/>
  <c r="E1132" i="13"/>
  <c r="O1131" i="13"/>
  <c r="N1131" i="13"/>
  <c r="O1130" i="13"/>
  <c r="N1130" i="13"/>
  <c r="O1129" i="13"/>
  <c r="N1129" i="13"/>
  <c r="O1128" i="13"/>
  <c r="N1128" i="13"/>
  <c r="O1127" i="13"/>
  <c r="N1127" i="13"/>
  <c r="O1126" i="13"/>
  <c r="N1126" i="13"/>
  <c r="N1125" i="13"/>
  <c r="C1125" i="13"/>
  <c r="O1125" i="13"/>
  <c r="D1125" i="13"/>
  <c r="E1125" i="13"/>
  <c r="O1124" i="13"/>
  <c r="N1124" i="13"/>
  <c r="O1123" i="13"/>
  <c r="N1123" i="13"/>
  <c r="O1122" i="13"/>
  <c r="N1122" i="13"/>
  <c r="O1121" i="13"/>
  <c r="N1121" i="13"/>
  <c r="O1120" i="13"/>
  <c r="N1120" i="13"/>
  <c r="O1119" i="13"/>
  <c r="O1118" i="13"/>
  <c r="D1118" i="13"/>
  <c r="N1119" i="13"/>
  <c r="N1118" i="13"/>
  <c r="C1118" i="13"/>
  <c r="E1118" i="13"/>
  <c r="O1117" i="13"/>
  <c r="N1117" i="13"/>
  <c r="O1116" i="13"/>
  <c r="N1116" i="13"/>
  <c r="O1115" i="13"/>
  <c r="N1115" i="13"/>
  <c r="O1114" i="13"/>
  <c r="N1114" i="13"/>
  <c r="O1113" i="13"/>
  <c r="N1113" i="13"/>
  <c r="O1112" i="13"/>
  <c r="N1112" i="13"/>
  <c r="O1111" i="13"/>
  <c r="D1111" i="13"/>
  <c r="E1111" i="13"/>
  <c r="N1111" i="13"/>
  <c r="C1111" i="13"/>
  <c r="O1110" i="13"/>
  <c r="N1110" i="13"/>
  <c r="O1109" i="13"/>
  <c r="N1109" i="13"/>
  <c r="O1108" i="13"/>
  <c r="N1108" i="13"/>
  <c r="O1107" i="13"/>
  <c r="N1107" i="13"/>
  <c r="O1106" i="13"/>
  <c r="N1106" i="13"/>
  <c r="O1105" i="13"/>
  <c r="N1105" i="13"/>
  <c r="O1104" i="13"/>
  <c r="N1104" i="13"/>
  <c r="C1104" i="13"/>
  <c r="D1104" i="13"/>
  <c r="E1104" i="13"/>
  <c r="O1103" i="13"/>
  <c r="N1103" i="13"/>
  <c r="O1102" i="13"/>
  <c r="N1102" i="13"/>
  <c r="O1101" i="13"/>
  <c r="N1101" i="13"/>
  <c r="O1100" i="13"/>
  <c r="N1100" i="13"/>
  <c r="O1099" i="13"/>
  <c r="N1099" i="13"/>
  <c r="O1098" i="13"/>
  <c r="N1098" i="13"/>
  <c r="O1097" i="13"/>
  <c r="N1097" i="13"/>
  <c r="C1097" i="13"/>
  <c r="O1096" i="13"/>
  <c r="N1096" i="13"/>
  <c r="O1095" i="13"/>
  <c r="N1095" i="13"/>
  <c r="O1094" i="13"/>
  <c r="N1094" i="13"/>
  <c r="O1093" i="13"/>
  <c r="N1093" i="13"/>
  <c r="O1092" i="13"/>
  <c r="N1092" i="13"/>
  <c r="O1091" i="13"/>
  <c r="N1091" i="13"/>
  <c r="O1090" i="13"/>
  <c r="N1090" i="13"/>
  <c r="D1090" i="13"/>
  <c r="E1090" i="13"/>
  <c r="O1089" i="13"/>
  <c r="N1089" i="13"/>
  <c r="O1088" i="13"/>
  <c r="N1088" i="13"/>
  <c r="O1087" i="13"/>
  <c r="N1087" i="13"/>
  <c r="O1086" i="13"/>
  <c r="N1086" i="13"/>
  <c r="O1085" i="13"/>
  <c r="N1085" i="13"/>
  <c r="O1084" i="13"/>
  <c r="N1084" i="13"/>
  <c r="O1083" i="13"/>
  <c r="D1083" i="13"/>
  <c r="E1083" i="13"/>
  <c r="N1083" i="13"/>
  <c r="C1083" i="13"/>
  <c r="O1082" i="13"/>
  <c r="N1082" i="13"/>
  <c r="O1081" i="13"/>
  <c r="N1081" i="13"/>
  <c r="O1080" i="13"/>
  <c r="N1080" i="13"/>
  <c r="O1079" i="13"/>
  <c r="N1079" i="13"/>
  <c r="O1078" i="13"/>
  <c r="N1078" i="13"/>
  <c r="O1077" i="13"/>
  <c r="N1077" i="13"/>
  <c r="O1076" i="13"/>
  <c r="D1076" i="13"/>
  <c r="E1076" i="13"/>
  <c r="N1076" i="13"/>
  <c r="C1076" i="13"/>
  <c r="O1075" i="13"/>
  <c r="N1075" i="13"/>
  <c r="O1074" i="13"/>
  <c r="N1074" i="13"/>
  <c r="O1073" i="13"/>
  <c r="N1073" i="13"/>
  <c r="O1072" i="13"/>
  <c r="N1072" i="13"/>
  <c r="O1071" i="13"/>
  <c r="N1071" i="13"/>
  <c r="O1070" i="13"/>
  <c r="N1070" i="13"/>
  <c r="N1069" i="13"/>
  <c r="C1069" i="13"/>
  <c r="O1069" i="13"/>
  <c r="D1069" i="13"/>
  <c r="E1069" i="13"/>
  <c r="O1068" i="13"/>
  <c r="N1068" i="13"/>
  <c r="O1067" i="13"/>
  <c r="N1067" i="13"/>
  <c r="O1066" i="13"/>
  <c r="N1066" i="13"/>
  <c r="O1065" i="13"/>
  <c r="N1065" i="13"/>
  <c r="O1064" i="13"/>
  <c r="N1064" i="13"/>
  <c r="O1063" i="13"/>
  <c r="O1062" i="13"/>
  <c r="D1062" i="13"/>
  <c r="N1063" i="13"/>
  <c r="N1062" i="13"/>
  <c r="E1062" i="13"/>
  <c r="O1061" i="13"/>
  <c r="N1061" i="13"/>
  <c r="O1060" i="13"/>
  <c r="N1060" i="13"/>
  <c r="O1059" i="13"/>
  <c r="N1059" i="13"/>
  <c r="O1058" i="13"/>
  <c r="N1058" i="13"/>
  <c r="O1057" i="13"/>
  <c r="N1057" i="13"/>
  <c r="O1056" i="13"/>
  <c r="N1056" i="13"/>
  <c r="O1055" i="13"/>
  <c r="D1055" i="13"/>
  <c r="E1055" i="13"/>
  <c r="N1055" i="13"/>
  <c r="C1055" i="13"/>
  <c r="O1054" i="13"/>
  <c r="N1054" i="13"/>
  <c r="O1053" i="13"/>
  <c r="N1053" i="13"/>
  <c r="O1052" i="13"/>
  <c r="N1052" i="13"/>
  <c r="O1051" i="13"/>
  <c r="N1051" i="13"/>
  <c r="O1050" i="13"/>
  <c r="N1050" i="13"/>
  <c r="O1049" i="13"/>
  <c r="N1049" i="13"/>
  <c r="O1048" i="13"/>
  <c r="D1048" i="13"/>
  <c r="E1048" i="13"/>
  <c r="N1048" i="13"/>
  <c r="C1048" i="13"/>
  <c r="O1047" i="13"/>
  <c r="N1047" i="13"/>
  <c r="O1046" i="13"/>
  <c r="N1046" i="13"/>
  <c r="O1045" i="13"/>
  <c r="N1045" i="13"/>
  <c r="O1044" i="13"/>
  <c r="N1044" i="13"/>
  <c r="O1043" i="13"/>
  <c r="N1043" i="13"/>
  <c r="O1042" i="13"/>
  <c r="N1042" i="13"/>
  <c r="O1041" i="13"/>
  <c r="D1041" i="13"/>
  <c r="E1041" i="13"/>
  <c r="N1041" i="13"/>
  <c r="C1041" i="13"/>
  <c r="O1040" i="13"/>
  <c r="N1040" i="13"/>
  <c r="O1039" i="13"/>
  <c r="N1039" i="13"/>
  <c r="O1038" i="13"/>
  <c r="N1038" i="13"/>
  <c r="O1037" i="13"/>
  <c r="N1037" i="13"/>
  <c r="O1036" i="13"/>
  <c r="N1036" i="13"/>
  <c r="O1035" i="13"/>
  <c r="N1035" i="13"/>
  <c r="O1034" i="13"/>
  <c r="N1034" i="13"/>
  <c r="D1034" i="13"/>
  <c r="E1034" i="13"/>
  <c r="O1033" i="13"/>
  <c r="N1033" i="13"/>
  <c r="O1032" i="13"/>
  <c r="N1032" i="13"/>
  <c r="O1031" i="13"/>
  <c r="N1031" i="13"/>
  <c r="O1030" i="13"/>
  <c r="N1030" i="13"/>
  <c r="O1029" i="13"/>
  <c r="N1029" i="13"/>
  <c r="O1028" i="13"/>
  <c r="N1028" i="13"/>
  <c r="O1027" i="13"/>
  <c r="N1027" i="13"/>
  <c r="C1027" i="13"/>
  <c r="O1026" i="13"/>
  <c r="N1026" i="13"/>
  <c r="O1025" i="13"/>
  <c r="N1025" i="13"/>
  <c r="O1024" i="13"/>
  <c r="N1024" i="13"/>
  <c r="O1023" i="13"/>
  <c r="N1023" i="13"/>
  <c r="O1022" i="13"/>
  <c r="N1022" i="13"/>
  <c r="O1021" i="13"/>
  <c r="N1021" i="13"/>
  <c r="O1020" i="13"/>
  <c r="N1020" i="13"/>
  <c r="C1020" i="13"/>
  <c r="D1020" i="13"/>
  <c r="E1020" i="13"/>
  <c r="O1019" i="13"/>
  <c r="N1019" i="13"/>
  <c r="O1018" i="13"/>
  <c r="N1018" i="13"/>
  <c r="O1017" i="13"/>
  <c r="N1017" i="13"/>
  <c r="O1016" i="13"/>
  <c r="N1016" i="13"/>
  <c r="O1015" i="13"/>
  <c r="N1015" i="13"/>
  <c r="O1014" i="13"/>
  <c r="N1014" i="13"/>
  <c r="N1013" i="13"/>
  <c r="C1013" i="13"/>
  <c r="O1013" i="13"/>
  <c r="D1013" i="13"/>
  <c r="E1013" i="13"/>
  <c r="O1012" i="13"/>
  <c r="N1012" i="13"/>
  <c r="O1011" i="13"/>
  <c r="N1011" i="13"/>
  <c r="O1010" i="13"/>
  <c r="N1010" i="13"/>
  <c r="O1009" i="13"/>
  <c r="N1009" i="13"/>
  <c r="O1008" i="13"/>
  <c r="N1008" i="13"/>
  <c r="O1007" i="13"/>
  <c r="O1006" i="13"/>
  <c r="D1006" i="13"/>
  <c r="N1007" i="13"/>
  <c r="N1006" i="13"/>
  <c r="C1006" i="13"/>
  <c r="E1006" i="13"/>
  <c r="O1005" i="13"/>
  <c r="N1005" i="13"/>
  <c r="O1004" i="13"/>
  <c r="N1004" i="13"/>
  <c r="O1003" i="13"/>
  <c r="N1003" i="13"/>
  <c r="O1002" i="13"/>
  <c r="N1002" i="13"/>
  <c r="O1001" i="13"/>
  <c r="N1001" i="13"/>
  <c r="O1000" i="13"/>
  <c r="N1000" i="13"/>
  <c r="O999" i="13"/>
  <c r="D999" i="13"/>
  <c r="E999" i="13"/>
  <c r="N999" i="13"/>
  <c r="C999" i="13"/>
  <c r="O998" i="13"/>
  <c r="N998" i="13"/>
  <c r="O997" i="13"/>
  <c r="N997" i="13"/>
  <c r="O996" i="13"/>
  <c r="N996" i="13"/>
  <c r="O995" i="13"/>
  <c r="N995" i="13"/>
  <c r="O994" i="13"/>
  <c r="N994" i="13"/>
  <c r="O993" i="13"/>
  <c r="N993" i="13"/>
  <c r="O992" i="13"/>
  <c r="N992" i="13"/>
  <c r="D992" i="13"/>
  <c r="E992" i="13"/>
  <c r="O991" i="13"/>
  <c r="N991" i="13"/>
  <c r="O990" i="13"/>
  <c r="N990" i="13"/>
  <c r="O989" i="13"/>
  <c r="N989" i="13"/>
  <c r="O988" i="13"/>
  <c r="N988" i="13"/>
  <c r="O987" i="13"/>
  <c r="N987" i="13"/>
  <c r="O986" i="13"/>
  <c r="N986" i="13"/>
  <c r="O985" i="13"/>
  <c r="D985" i="13"/>
  <c r="E985" i="13"/>
  <c r="N985" i="13"/>
  <c r="C985" i="13"/>
  <c r="O984" i="13"/>
  <c r="N984" i="13"/>
  <c r="O983" i="13"/>
  <c r="N983" i="13"/>
  <c r="O982" i="13"/>
  <c r="N982" i="13"/>
  <c r="O981" i="13"/>
  <c r="N981" i="13"/>
  <c r="O980" i="13"/>
  <c r="N980" i="13"/>
  <c r="O979" i="13"/>
  <c r="N979" i="13"/>
  <c r="O978" i="13"/>
  <c r="N978" i="13"/>
  <c r="C978" i="13"/>
  <c r="D978" i="13"/>
  <c r="E978" i="13"/>
  <c r="O977" i="13"/>
  <c r="N977" i="13"/>
  <c r="O976" i="13"/>
  <c r="N976" i="13"/>
  <c r="O975" i="13"/>
  <c r="N975" i="13"/>
  <c r="O974" i="13"/>
  <c r="N974" i="13"/>
  <c r="O973" i="13"/>
  <c r="N973" i="13"/>
  <c r="O972" i="13"/>
  <c r="N972" i="13"/>
  <c r="O971" i="13"/>
  <c r="N971" i="13"/>
  <c r="C971" i="13"/>
  <c r="O970" i="13"/>
  <c r="N970" i="13"/>
  <c r="O969" i="13"/>
  <c r="N969" i="13"/>
  <c r="O968" i="13"/>
  <c r="N968" i="13"/>
  <c r="O967" i="13"/>
  <c r="N967" i="13"/>
  <c r="O966" i="13"/>
  <c r="N966" i="13"/>
  <c r="O965" i="13"/>
  <c r="N965" i="13"/>
  <c r="O964" i="13"/>
  <c r="N964" i="13"/>
  <c r="C964" i="13"/>
  <c r="D964" i="13"/>
  <c r="E964" i="13"/>
  <c r="O963" i="13"/>
  <c r="N963" i="13"/>
  <c r="O962" i="13"/>
  <c r="N962" i="13"/>
  <c r="O961" i="13"/>
  <c r="N961" i="13"/>
  <c r="O960" i="13"/>
  <c r="N960" i="13"/>
  <c r="O959" i="13"/>
  <c r="N959" i="13"/>
  <c r="O958" i="13"/>
  <c r="N958" i="13"/>
  <c r="O957" i="13"/>
  <c r="N957" i="13"/>
  <c r="C957" i="13"/>
  <c r="O956" i="13"/>
  <c r="N956" i="13"/>
  <c r="O955" i="13"/>
  <c r="N955" i="13"/>
  <c r="O954" i="13"/>
  <c r="N954" i="13"/>
  <c r="O953" i="13"/>
  <c r="N953" i="13"/>
  <c r="O952" i="13"/>
  <c r="N952" i="13"/>
  <c r="O951" i="13"/>
  <c r="N951" i="13"/>
  <c r="O950" i="13"/>
  <c r="N950" i="13"/>
  <c r="D950" i="13"/>
  <c r="E950" i="13"/>
  <c r="O949" i="13"/>
  <c r="N949" i="13"/>
  <c r="O948" i="13"/>
  <c r="N948" i="13"/>
  <c r="O947" i="13"/>
  <c r="N947" i="13"/>
  <c r="O946" i="13"/>
  <c r="N946" i="13"/>
  <c r="O945" i="13"/>
  <c r="N945" i="13"/>
  <c r="O944" i="13"/>
  <c r="N944" i="13"/>
  <c r="O943" i="13"/>
  <c r="D943" i="13"/>
  <c r="E943" i="13"/>
  <c r="N943" i="13"/>
  <c r="C943" i="13"/>
  <c r="O942" i="13"/>
  <c r="N942" i="13"/>
  <c r="O941" i="13"/>
  <c r="N941" i="13"/>
  <c r="O940" i="13"/>
  <c r="N940" i="13"/>
  <c r="O939" i="13"/>
  <c r="N939" i="13"/>
  <c r="O938" i="13"/>
  <c r="N938" i="13"/>
  <c r="O937" i="13"/>
  <c r="N937" i="13"/>
  <c r="O936" i="13"/>
  <c r="N936" i="13"/>
  <c r="D936" i="13"/>
  <c r="E936" i="13"/>
  <c r="O935" i="13"/>
  <c r="N935" i="13"/>
  <c r="O934" i="13"/>
  <c r="N934" i="13"/>
  <c r="O933" i="13"/>
  <c r="N933" i="13"/>
  <c r="O932" i="13"/>
  <c r="N932" i="13"/>
  <c r="O931" i="13"/>
  <c r="N931" i="13"/>
  <c r="O930" i="13"/>
  <c r="N930" i="13"/>
  <c r="O929" i="13"/>
  <c r="D929" i="13"/>
  <c r="E929" i="13"/>
  <c r="N929" i="13"/>
  <c r="C929" i="13"/>
  <c r="O928" i="13"/>
  <c r="N928" i="13"/>
  <c r="O927" i="13"/>
  <c r="N927" i="13"/>
  <c r="O926" i="13"/>
  <c r="N926" i="13"/>
  <c r="O925" i="13"/>
  <c r="N925" i="13"/>
  <c r="O924" i="13"/>
  <c r="N924" i="13"/>
  <c r="O923" i="13"/>
  <c r="N923" i="13"/>
  <c r="O922" i="13"/>
  <c r="N922" i="13"/>
  <c r="C922" i="13"/>
  <c r="D922" i="13"/>
  <c r="E922" i="13"/>
  <c r="O921" i="13"/>
  <c r="N921" i="13"/>
  <c r="O920" i="13"/>
  <c r="N920" i="13"/>
  <c r="O919" i="13"/>
  <c r="N919" i="13"/>
  <c r="O918" i="13"/>
  <c r="N918" i="13"/>
  <c r="O917" i="13"/>
  <c r="N917" i="13"/>
  <c r="O916" i="13"/>
  <c r="N916" i="13"/>
  <c r="O915" i="13"/>
  <c r="N915" i="13"/>
  <c r="C915" i="13"/>
  <c r="O914" i="13"/>
  <c r="N914" i="13"/>
  <c r="O913" i="13"/>
  <c r="N913" i="13"/>
  <c r="O912" i="13"/>
  <c r="N912" i="13"/>
  <c r="O911" i="13"/>
  <c r="N911" i="13"/>
  <c r="O910" i="13"/>
  <c r="N910" i="13"/>
  <c r="O909" i="13"/>
  <c r="N909" i="13"/>
  <c r="O908" i="13"/>
  <c r="N908" i="13"/>
  <c r="C908" i="13"/>
  <c r="D908" i="13"/>
  <c r="E908" i="13"/>
  <c r="O907" i="13"/>
  <c r="N907" i="13"/>
  <c r="O906" i="13"/>
  <c r="N906" i="13"/>
  <c r="O905" i="13"/>
  <c r="N905" i="13"/>
  <c r="O904" i="13"/>
  <c r="N904" i="13"/>
  <c r="O903" i="13"/>
  <c r="N903" i="13"/>
  <c r="O902" i="13"/>
  <c r="N902" i="13"/>
  <c r="O901" i="13"/>
  <c r="N901" i="13"/>
  <c r="C901" i="13"/>
  <c r="O900" i="13"/>
  <c r="N900" i="13"/>
  <c r="O899" i="13"/>
  <c r="N899" i="13"/>
  <c r="O898" i="13"/>
  <c r="N898" i="13"/>
  <c r="O897" i="13"/>
  <c r="N897" i="13"/>
  <c r="O896" i="13"/>
  <c r="N896" i="13"/>
  <c r="O895" i="13"/>
  <c r="N895" i="13"/>
  <c r="O894" i="13"/>
  <c r="N894" i="13"/>
  <c r="D894" i="13"/>
  <c r="E894" i="13"/>
  <c r="O893" i="13"/>
  <c r="N893" i="13"/>
  <c r="O892" i="13"/>
  <c r="N892" i="13"/>
  <c r="O891" i="13"/>
  <c r="N891" i="13"/>
  <c r="O890" i="13"/>
  <c r="N890" i="13"/>
  <c r="O889" i="13"/>
  <c r="N889" i="13"/>
  <c r="O888" i="13"/>
  <c r="N888" i="13"/>
  <c r="O887" i="13"/>
  <c r="D887" i="13"/>
  <c r="E887" i="13"/>
  <c r="N887" i="13"/>
  <c r="C887" i="13"/>
  <c r="O886" i="13"/>
  <c r="N886" i="13"/>
  <c r="O885" i="13"/>
  <c r="N885" i="13"/>
  <c r="O884" i="13"/>
  <c r="N884" i="13"/>
  <c r="O883" i="13"/>
  <c r="N883" i="13"/>
  <c r="O882" i="13"/>
  <c r="N882" i="13"/>
  <c r="O881" i="13"/>
  <c r="N881" i="13"/>
  <c r="O880" i="13"/>
  <c r="N880" i="13"/>
  <c r="D880" i="13"/>
  <c r="E880" i="13"/>
  <c r="O879" i="13"/>
  <c r="N879" i="13"/>
  <c r="O878" i="13"/>
  <c r="N878" i="13"/>
  <c r="O877" i="13"/>
  <c r="N877" i="13"/>
  <c r="O876" i="13"/>
  <c r="N876" i="13"/>
  <c r="O875" i="13"/>
  <c r="N875" i="13"/>
  <c r="O874" i="13"/>
  <c r="N874" i="13"/>
  <c r="O873" i="13"/>
  <c r="D873" i="13"/>
  <c r="E873" i="13"/>
  <c r="N873" i="13"/>
  <c r="C873" i="13"/>
  <c r="O872" i="13"/>
  <c r="N872" i="13"/>
  <c r="O871" i="13"/>
  <c r="N871" i="13"/>
  <c r="O870" i="13"/>
  <c r="N870" i="13"/>
  <c r="O869" i="13"/>
  <c r="N869" i="13"/>
  <c r="O868" i="13"/>
  <c r="N868" i="13"/>
  <c r="O867" i="13"/>
  <c r="O866" i="13"/>
  <c r="D866" i="13"/>
  <c r="E866" i="13"/>
  <c r="N867" i="13"/>
  <c r="N866" i="13"/>
  <c r="C866" i="13"/>
  <c r="O865" i="13"/>
  <c r="N865" i="13"/>
  <c r="O864" i="13"/>
  <c r="N864" i="13"/>
  <c r="O863" i="13"/>
  <c r="N863" i="13"/>
  <c r="O862" i="13"/>
  <c r="N862" i="13"/>
  <c r="O861" i="13"/>
  <c r="N861" i="13"/>
  <c r="O860" i="13"/>
  <c r="N860" i="13"/>
  <c r="O859" i="13"/>
  <c r="D859" i="13"/>
  <c r="E859" i="13"/>
  <c r="N859" i="13"/>
  <c r="C859" i="13"/>
  <c r="O858" i="13"/>
  <c r="N858" i="13"/>
  <c r="O857" i="13"/>
  <c r="N857" i="13"/>
  <c r="O856" i="13"/>
  <c r="N856" i="13"/>
  <c r="O855" i="13"/>
  <c r="N855" i="13"/>
  <c r="O854" i="13"/>
  <c r="N854" i="13"/>
  <c r="O853" i="13"/>
  <c r="N853" i="13"/>
  <c r="O852" i="13"/>
  <c r="D852" i="13"/>
  <c r="E852" i="13"/>
  <c r="N852" i="13"/>
  <c r="C852" i="13"/>
  <c r="O851" i="13"/>
  <c r="N851" i="13"/>
  <c r="O850" i="13"/>
  <c r="N850" i="13"/>
  <c r="O849" i="13"/>
  <c r="N849" i="13"/>
  <c r="O848" i="13"/>
  <c r="N848" i="13"/>
  <c r="O847" i="13"/>
  <c r="N847" i="13"/>
  <c r="O846" i="13"/>
  <c r="N846" i="13"/>
  <c r="O845" i="13"/>
  <c r="D845" i="13"/>
  <c r="E845" i="13"/>
  <c r="N845" i="13"/>
  <c r="C845" i="13"/>
  <c r="O844" i="13"/>
  <c r="N844" i="13"/>
  <c r="O843" i="13"/>
  <c r="N843" i="13"/>
  <c r="O842" i="13"/>
  <c r="N842" i="13"/>
  <c r="O841" i="13"/>
  <c r="N841" i="13"/>
  <c r="O840" i="13"/>
  <c r="N840" i="13"/>
  <c r="O839" i="13"/>
  <c r="N839" i="13"/>
  <c r="O838" i="13"/>
  <c r="N838" i="13"/>
  <c r="C838" i="13"/>
  <c r="D838" i="13"/>
  <c r="E838" i="13"/>
  <c r="O837" i="13"/>
  <c r="N837" i="13"/>
  <c r="O836" i="13"/>
  <c r="N836" i="13"/>
  <c r="O835" i="13"/>
  <c r="N835" i="13"/>
  <c r="O834" i="13"/>
  <c r="N834" i="13"/>
  <c r="O833" i="13"/>
  <c r="N833" i="13"/>
  <c r="O832" i="13"/>
  <c r="N832" i="13"/>
  <c r="O831" i="13"/>
  <c r="N831" i="13"/>
  <c r="C831" i="13"/>
  <c r="O830" i="13"/>
  <c r="N830" i="13"/>
  <c r="O829" i="13"/>
  <c r="N829" i="13"/>
  <c r="O828" i="13"/>
  <c r="N828" i="13"/>
  <c r="O827" i="13"/>
  <c r="N827" i="13"/>
  <c r="O826" i="13"/>
  <c r="N826" i="13"/>
  <c r="O825" i="13"/>
  <c r="N825" i="13"/>
  <c r="O824" i="13"/>
  <c r="N824" i="13"/>
  <c r="C824" i="13"/>
  <c r="D824" i="13"/>
  <c r="E824" i="13"/>
  <c r="O823" i="13"/>
  <c r="N823" i="13"/>
  <c r="O822" i="13"/>
  <c r="N822" i="13"/>
  <c r="O821" i="13"/>
  <c r="N821" i="13"/>
  <c r="O820" i="13"/>
  <c r="N820" i="13"/>
  <c r="O819" i="13"/>
  <c r="N819" i="13"/>
  <c r="O818" i="13"/>
  <c r="N818" i="13"/>
  <c r="O817" i="13"/>
  <c r="D817" i="13"/>
  <c r="E817" i="13"/>
  <c r="N817" i="13"/>
  <c r="C817" i="13"/>
  <c r="O816" i="13"/>
  <c r="N816" i="13"/>
  <c r="O815" i="13"/>
  <c r="N815" i="13"/>
  <c r="O814" i="13"/>
  <c r="N814" i="13"/>
  <c r="O813" i="13"/>
  <c r="N813" i="13"/>
  <c r="O812" i="13"/>
  <c r="N812" i="13"/>
  <c r="O811" i="13"/>
  <c r="N811" i="13"/>
  <c r="O810" i="13"/>
  <c r="N810" i="13"/>
  <c r="D810" i="13"/>
  <c r="E810" i="13"/>
  <c r="O809" i="13"/>
  <c r="N809" i="13"/>
  <c r="O808" i="13"/>
  <c r="N808" i="13"/>
  <c r="O807" i="13"/>
  <c r="N807" i="13"/>
  <c r="O806" i="13"/>
  <c r="N806" i="13"/>
  <c r="O805" i="13"/>
  <c r="N805" i="13"/>
  <c r="O804" i="13"/>
  <c r="N804" i="13"/>
  <c r="O803" i="13"/>
  <c r="D803" i="13"/>
  <c r="E803" i="13"/>
  <c r="N803" i="13"/>
  <c r="C803" i="13"/>
  <c r="O802" i="13"/>
  <c r="N802" i="13"/>
  <c r="O801" i="13"/>
  <c r="N801" i="13"/>
  <c r="O800" i="13"/>
  <c r="N800" i="13"/>
  <c r="O799" i="13"/>
  <c r="N799" i="13"/>
  <c r="O798" i="13"/>
  <c r="N798" i="13"/>
  <c r="O797" i="13"/>
  <c r="N797" i="13"/>
  <c r="O796" i="13"/>
  <c r="N796" i="13"/>
  <c r="C796" i="13"/>
  <c r="D796" i="13"/>
  <c r="E796" i="13"/>
  <c r="O795" i="13"/>
  <c r="N795" i="13"/>
  <c r="O794" i="13"/>
  <c r="N794" i="13"/>
  <c r="O793" i="13"/>
  <c r="N793" i="13"/>
  <c r="O792" i="13"/>
  <c r="N792" i="13"/>
  <c r="O791" i="13"/>
  <c r="N791" i="13"/>
  <c r="O790" i="13"/>
  <c r="N790" i="13"/>
  <c r="O789" i="13"/>
  <c r="D789" i="13"/>
  <c r="E789" i="13"/>
  <c r="N789" i="13"/>
  <c r="C789" i="13"/>
  <c r="O788" i="13"/>
  <c r="N788" i="13"/>
  <c r="O787" i="13"/>
  <c r="N787" i="13"/>
  <c r="O786" i="13"/>
  <c r="N786" i="13"/>
  <c r="O785" i="13"/>
  <c r="N785" i="13"/>
  <c r="O784" i="13"/>
  <c r="N784" i="13"/>
  <c r="O783" i="13"/>
  <c r="N783" i="13"/>
  <c r="O782" i="13"/>
  <c r="N782" i="13"/>
  <c r="D782" i="13"/>
  <c r="E782" i="13"/>
  <c r="O781" i="13"/>
  <c r="N781" i="13"/>
  <c r="O780" i="13"/>
  <c r="N780" i="13"/>
  <c r="O779" i="13"/>
  <c r="N779" i="13"/>
  <c r="O778" i="13"/>
  <c r="N778" i="13"/>
  <c r="O777" i="13"/>
  <c r="N777" i="13"/>
  <c r="O776" i="13"/>
  <c r="N776" i="13"/>
  <c r="O775" i="13"/>
  <c r="D775" i="13"/>
  <c r="E775" i="13"/>
  <c r="N775" i="13"/>
  <c r="C775" i="13"/>
  <c r="O774" i="13"/>
  <c r="N774" i="13"/>
  <c r="O773" i="13"/>
  <c r="N773" i="13"/>
  <c r="O772" i="13"/>
  <c r="N772" i="13"/>
  <c r="O771" i="13"/>
  <c r="N771" i="13"/>
  <c r="O770" i="13"/>
  <c r="N770" i="13"/>
  <c r="O769" i="13"/>
  <c r="N769" i="13"/>
  <c r="O768" i="13"/>
  <c r="N768" i="13"/>
  <c r="C768" i="13"/>
  <c r="D768" i="13"/>
  <c r="E768" i="13"/>
  <c r="O767" i="13"/>
  <c r="N767" i="13"/>
  <c r="O766" i="13"/>
  <c r="N766" i="13"/>
  <c r="O765" i="13"/>
  <c r="N765" i="13"/>
  <c r="O764" i="13"/>
  <c r="N764" i="13"/>
  <c r="O763" i="13"/>
  <c r="N763" i="13"/>
  <c r="O762" i="13"/>
  <c r="N762" i="13"/>
  <c r="O761" i="13"/>
  <c r="D761" i="13"/>
  <c r="E761" i="13"/>
  <c r="N761" i="13"/>
  <c r="C761" i="13"/>
  <c r="O760" i="13"/>
  <c r="N760" i="13"/>
  <c r="O759" i="13"/>
  <c r="N759" i="13"/>
  <c r="O758" i="13"/>
  <c r="N758" i="13"/>
  <c r="O757" i="13"/>
  <c r="N757" i="13"/>
  <c r="O756" i="13"/>
  <c r="N756" i="13"/>
  <c r="O755" i="13"/>
  <c r="N755" i="13"/>
  <c r="O754" i="13"/>
  <c r="N754" i="13"/>
  <c r="C754" i="13"/>
  <c r="D754" i="13"/>
  <c r="E754" i="13"/>
  <c r="O753" i="13"/>
  <c r="N753" i="13"/>
  <c r="O752" i="13"/>
  <c r="N752" i="13"/>
  <c r="O751" i="13"/>
  <c r="N751" i="13"/>
  <c r="O750" i="13"/>
  <c r="N750" i="13"/>
  <c r="O749" i="13"/>
  <c r="N749" i="13"/>
  <c r="O748" i="13"/>
  <c r="N748" i="13"/>
  <c r="O747" i="13"/>
  <c r="N747" i="13"/>
  <c r="C747" i="13"/>
  <c r="O745" i="13"/>
  <c r="N745" i="13"/>
  <c r="O744" i="13"/>
  <c r="N744" i="13"/>
  <c r="O743" i="13"/>
  <c r="N743" i="13"/>
  <c r="O742" i="13"/>
  <c r="N742" i="13"/>
  <c r="O741" i="13"/>
  <c r="N741" i="13"/>
  <c r="O740" i="13"/>
  <c r="N740" i="13"/>
  <c r="O739" i="13"/>
  <c r="N739" i="13"/>
  <c r="C739" i="13"/>
  <c r="O738" i="13"/>
  <c r="N738" i="13"/>
  <c r="O737" i="13"/>
  <c r="N737" i="13"/>
  <c r="O736" i="13"/>
  <c r="N736" i="13"/>
  <c r="O735" i="13"/>
  <c r="N735" i="13"/>
  <c r="O734" i="13"/>
  <c r="N734" i="13"/>
  <c r="O733" i="13"/>
  <c r="N733" i="13"/>
  <c r="O732" i="13"/>
  <c r="N732" i="13"/>
  <c r="C732" i="13"/>
  <c r="D732" i="13"/>
  <c r="E732" i="13"/>
  <c r="O731" i="13"/>
  <c r="N731" i="13"/>
  <c r="O730" i="13"/>
  <c r="N730" i="13"/>
  <c r="O729" i="13"/>
  <c r="N729" i="13"/>
  <c r="O728" i="13"/>
  <c r="N728" i="13"/>
  <c r="O727" i="13"/>
  <c r="N727" i="13"/>
  <c r="O726" i="13"/>
  <c r="N726" i="13"/>
  <c r="O725" i="13"/>
  <c r="D725" i="13"/>
  <c r="E725" i="13"/>
  <c r="N725" i="13"/>
  <c r="C725" i="13"/>
  <c r="O724" i="13"/>
  <c r="N724" i="13"/>
  <c r="O723" i="13"/>
  <c r="N723" i="13"/>
  <c r="O722" i="13"/>
  <c r="N722" i="13"/>
  <c r="O721" i="13"/>
  <c r="N721" i="13"/>
  <c r="O720" i="13"/>
  <c r="N720" i="13"/>
  <c r="O719" i="13"/>
  <c r="N719" i="13"/>
  <c r="O718" i="13"/>
  <c r="N718" i="13"/>
  <c r="D718" i="13"/>
  <c r="E718" i="13"/>
  <c r="O717" i="13"/>
  <c r="N717" i="13"/>
  <c r="O716" i="13"/>
  <c r="N716" i="13"/>
  <c r="O715" i="13"/>
  <c r="N715" i="13"/>
  <c r="O714" i="13"/>
  <c r="N714" i="13"/>
  <c r="O713" i="13"/>
  <c r="N713" i="13"/>
  <c r="O712" i="13"/>
  <c r="N712" i="13"/>
  <c r="O711" i="13"/>
  <c r="D711" i="13"/>
  <c r="E711" i="13"/>
  <c r="N711" i="13"/>
  <c r="C711" i="13"/>
  <c r="O710" i="13"/>
  <c r="N710" i="13"/>
  <c r="O709" i="13"/>
  <c r="N709" i="13"/>
  <c r="O708" i="13"/>
  <c r="N708" i="13"/>
  <c r="O707" i="13"/>
  <c r="N707" i="13"/>
  <c r="O706" i="13"/>
  <c r="N706" i="13"/>
  <c r="O705" i="13"/>
  <c r="N705" i="13"/>
  <c r="O704" i="13"/>
  <c r="N704" i="13"/>
  <c r="C704" i="13"/>
  <c r="D704" i="13"/>
  <c r="E704" i="13"/>
  <c r="O703" i="13"/>
  <c r="N703" i="13"/>
  <c r="O702" i="13"/>
  <c r="N702" i="13"/>
  <c r="O701" i="13"/>
  <c r="N701" i="13"/>
  <c r="O700" i="13"/>
  <c r="N700" i="13"/>
  <c r="O699" i="13"/>
  <c r="N699" i="13"/>
  <c r="O698" i="13"/>
  <c r="N698" i="13"/>
  <c r="O697" i="13"/>
  <c r="D697" i="13"/>
  <c r="E697" i="13"/>
  <c r="N697" i="13"/>
  <c r="C697" i="13"/>
  <c r="O696" i="13"/>
  <c r="N696" i="13"/>
  <c r="O695" i="13"/>
  <c r="N695" i="13"/>
  <c r="O694" i="13"/>
  <c r="N694" i="13"/>
  <c r="O693" i="13"/>
  <c r="N693" i="13"/>
  <c r="O692" i="13"/>
  <c r="N692" i="13"/>
  <c r="O691" i="13"/>
  <c r="N691" i="13"/>
  <c r="O690" i="13"/>
  <c r="N690" i="13"/>
  <c r="D690" i="13"/>
  <c r="E690" i="13"/>
  <c r="O689" i="13"/>
  <c r="N689" i="13"/>
  <c r="O688" i="13"/>
  <c r="N688" i="13"/>
  <c r="O687" i="13"/>
  <c r="N687" i="13"/>
  <c r="O686" i="13"/>
  <c r="N686" i="13"/>
  <c r="O685" i="13"/>
  <c r="N685" i="13"/>
  <c r="O684" i="13"/>
  <c r="N684" i="13"/>
  <c r="O683" i="13"/>
  <c r="D683" i="13"/>
  <c r="E683" i="13"/>
  <c r="N683" i="13"/>
  <c r="C683" i="13"/>
  <c r="O682" i="13"/>
  <c r="N682" i="13"/>
  <c r="O681" i="13"/>
  <c r="N681" i="13"/>
  <c r="O680" i="13"/>
  <c r="N680" i="13"/>
  <c r="O679" i="13"/>
  <c r="N679" i="13"/>
  <c r="O678" i="13"/>
  <c r="N678" i="13"/>
  <c r="O677" i="13"/>
  <c r="N677" i="13"/>
  <c r="O676" i="13"/>
  <c r="N676" i="13"/>
  <c r="C676" i="13"/>
  <c r="D676" i="13"/>
  <c r="E676" i="13"/>
  <c r="O675" i="13"/>
  <c r="N675" i="13"/>
  <c r="O674" i="13"/>
  <c r="N674" i="13"/>
  <c r="O673" i="13"/>
  <c r="N673" i="13"/>
  <c r="O672" i="13"/>
  <c r="N672" i="13"/>
  <c r="O671" i="13"/>
  <c r="N671" i="13"/>
  <c r="O670" i="13"/>
  <c r="N670" i="13"/>
  <c r="O669" i="13"/>
  <c r="D669" i="13"/>
  <c r="E669" i="13"/>
  <c r="N669" i="13"/>
  <c r="C669" i="13"/>
  <c r="O668" i="13"/>
  <c r="N668" i="13"/>
  <c r="O667" i="13"/>
  <c r="N667" i="13"/>
  <c r="O666" i="13"/>
  <c r="N666" i="13"/>
  <c r="O665" i="13"/>
  <c r="N665" i="13"/>
  <c r="O664" i="13"/>
  <c r="N664" i="13"/>
  <c r="O663" i="13"/>
  <c r="N663" i="13"/>
  <c r="O662" i="13"/>
  <c r="N662" i="13"/>
  <c r="C662" i="13"/>
  <c r="D662" i="13"/>
  <c r="E662" i="13"/>
  <c r="O661" i="13"/>
  <c r="N661" i="13"/>
  <c r="O660" i="13"/>
  <c r="N660" i="13"/>
  <c r="O659" i="13"/>
  <c r="N659" i="13"/>
  <c r="O658" i="13"/>
  <c r="N658" i="13"/>
  <c r="O657" i="13"/>
  <c r="N657" i="13"/>
  <c r="O656" i="13"/>
  <c r="N656" i="13"/>
  <c r="O655" i="13"/>
  <c r="N655" i="13"/>
  <c r="C655" i="13"/>
  <c r="O654" i="13"/>
  <c r="N654" i="13"/>
  <c r="O653" i="13"/>
  <c r="N653" i="13"/>
  <c r="O652" i="13"/>
  <c r="N652" i="13"/>
  <c r="O651" i="13"/>
  <c r="N651" i="13"/>
  <c r="O650" i="13"/>
  <c r="N650" i="13"/>
  <c r="O649" i="13"/>
  <c r="N649" i="13"/>
  <c r="O648" i="13"/>
  <c r="N648" i="13"/>
  <c r="C648" i="13"/>
  <c r="D648" i="13"/>
  <c r="E648" i="13"/>
  <c r="O647" i="13"/>
  <c r="N647" i="13"/>
  <c r="O646" i="13"/>
  <c r="N646" i="13"/>
  <c r="O645" i="13"/>
  <c r="N645" i="13"/>
  <c r="O644" i="13"/>
  <c r="N644" i="13"/>
  <c r="O643" i="13"/>
  <c r="N643" i="13"/>
  <c r="O642" i="13"/>
  <c r="N642" i="13"/>
  <c r="O641" i="13"/>
  <c r="D641" i="13"/>
  <c r="E641" i="13"/>
  <c r="N641" i="13"/>
  <c r="C641" i="13"/>
  <c r="O640" i="13"/>
  <c r="N640" i="13"/>
  <c r="O639" i="13"/>
  <c r="N639" i="13"/>
  <c r="O638" i="13"/>
  <c r="N638" i="13"/>
  <c r="O637" i="13"/>
  <c r="N637" i="13"/>
  <c r="O636" i="13"/>
  <c r="N636" i="13"/>
  <c r="O635" i="13"/>
  <c r="N635" i="13"/>
  <c r="O634" i="13"/>
  <c r="N634" i="13"/>
  <c r="C634" i="13"/>
  <c r="D634" i="13"/>
  <c r="E634" i="13"/>
  <c r="O633" i="13"/>
  <c r="N633" i="13"/>
  <c r="O632" i="13"/>
  <c r="N632" i="13"/>
  <c r="O631" i="13"/>
  <c r="N631" i="13"/>
  <c r="O630" i="13"/>
  <c r="N630" i="13"/>
  <c r="O629" i="13"/>
  <c r="N629" i="13"/>
  <c r="O628" i="13"/>
  <c r="N628" i="13"/>
  <c r="O627" i="13"/>
  <c r="N627" i="13"/>
  <c r="C627" i="13"/>
  <c r="O626" i="13"/>
  <c r="N626" i="13"/>
  <c r="O625" i="13"/>
  <c r="N625" i="13"/>
  <c r="O624" i="13"/>
  <c r="N624" i="13"/>
  <c r="O623" i="13"/>
  <c r="N623" i="13"/>
  <c r="O622" i="13"/>
  <c r="N622" i="13"/>
  <c r="O621" i="13"/>
  <c r="N621" i="13"/>
  <c r="O620" i="13"/>
  <c r="N620" i="13"/>
  <c r="C620" i="13"/>
  <c r="D620" i="13"/>
  <c r="E620" i="13"/>
  <c r="O619" i="13"/>
  <c r="N619" i="13"/>
  <c r="O618" i="13"/>
  <c r="N618" i="13"/>
  <c r="O617" i="13"/>
  <c r="N617" i="13"/>
  <c r="O616" i="13"/>
  <c r="N616" i="13"/>
  <c r="O615" i="13"/>
  <c r="N615" i="13"/>
  <c r="O614" i="13"/>
  <c r="N614" i="13"/>
  <c r="O613" i="13"/>
  <c r="D613" i="13"/>
  <c r="E613" i="13"/>
  <c r="N613" i="13"/>
  <c r="C613" i="13"/>
  <c r="O612" i="13"/>
  <c r="N612" i="13"/>
  <c r="O611" i="13"/>
  <c r="N611" i="13"/>
  <c r="O610" i="13"/>
  <c r="N610" i="13"/>
  <c r="O609" i="13"/>
  <c r="N609" i="13"/>
  <c r="O608" i="13"/>
  <c r="N608" i="13"/>
  <c r="O607" i="13"/>
  <c r="N607" i="13"/>
  <c r="O606" i="13"/>
  <c r="N606" i="13"/>
  <c r="D606" i="13"/>
  <c r="E606" i="13"/>
  <c r="O605" i="13"/>
  <c r="N605" i="13"/>
  <c r="O604" i="13"/>
  <c r="N604" i="13"/>
  <c r="O603" i="13"/>
  <c r="N603" i="13"/>
  <c r="O602" i="13"/>
  <c r="N602" i="13"/>
  <c r="O601" i="13"/>
  <c r="N601" i="13"/>
  <c r="O600" i="13"/>
  <c r="N600" i="13"/>
  <c r="O599" i="13"/>
  <c r="D599" i="13"/>
  <c r="E599" i="13"/>
  <c r="N599" i="13"/>
  <c r="C599" i="13"/>
  <c r="O598" i="13"/>
  <c r="N598" i="13"/>
  <c r="O597" i="13"/>
  <c r="N597" i="13"/>
  <c r="O596" i="13"/>
  <c r="N596" i="13"/>
  <c r="O595" i="13"/>
  <c r="N595" i="13"/>
  <c r="O594" i="13"/>
  <c r="N594" i="13"/>
  <c r="O593" i="13"/>
  <c r="N593" i="13"/>
  <c r="O592" i="13"/>
  <c r="N592" i="13"/>
  <c r="C592" i="13"/>
  <c r="D592" i="13"/>
  <c r="E592" i="13"/>
  <c r="O591" i="13"/>
  <c r="N591" i="13"/>
  <c r="O590" i="13"/>
  <c r="N590" i="13"/>
  <c r="O589" i="13"/>
  <c r="N589" i="13"/>
  <c r="O588" i="13"/>
  <c r="N588" i="13"/>
  <c r="O587" i="13"/>
  <c r="N587" i="13"/>
  <c r="O586" i="13"/>
  <c r="N586" i="13"/>
  <c r="O585" i="13"/>
  <c r="D585" i="13"/>
  <c r="E585" i="13"/>
  <c r="N585" i="13"/>
  <c r="C585" i="13"/>
  <c r="O584" i="13"/>
  <c r="N584" i="13"/>
  <c r="O583" i="13"/>
  <c r="N583" i="13"/>
  <c r="O582" i="13"/>
  <c r="N582" i="13"/>
  <c r="O581" i="13"/>
  <c r="N581" i="13"/>
  <c r="O580" i="13"/>
  <c r="N580" i="13"/>
  <c r="O579" i="13"/>
  <c r="N579" i="13"/>
  <c r="O578" i="13"/>
  <c r="N578" i="13"/>
  <c r="D578" i="13"/>
  <c r="E578" i="13"/>
  <c r="O577" i="13"/>
  <c r="N577" i="13"/>
  <c r="O576" i="13"/>
  <c r="N576" i="13"/>
  <c r="O575" i="13"/>
  <c r="N575" i="13"/>
  <c r="O574" i="13"/>
  <c r="N574" i="13"/>
  <c r="O573" i="13"/>
  <c r="N573" i="13"/>
  <c r="O572" i="13"/>
  <c r="N572" i="13"/>
  <c r="O571" i="13"/>
  <c r="D571" i="13"/>
  <c r="E571" i="13"/>
  <c r="N571" i="13"/>
  <c r="C571" i="13"/>
  <c r="O570" i="13"/>
  <c r="N570" i="13"/>
  <c r="O569" i="13"/>
  <c r="N569" i="13"/>
  <c r="O568" i="13"/>
  <c r="N568" i="13"/>
  <c r="O567" i="13"/>
  <c r="N567" i="13"/>
  <c r="O566" i="13"/>
  <c r="N566" i="13"/>
  <c r="O565" i="13"/>
  <c r="N565" i="13"/>
  <c r="O564" i="13"/>
  <c r="N564" i="13"/>
  <c r="C564" i="13"/>
  <c r="D564" i="13"/>
  <c r="E564" i="13"/>
  <c r="O563" i="13"/>
  <c r="N563" i="13"/>
  <c r="O562" i="13"/>
  <c r="N562" i="13"/>
  <c r="O561" i="13"/>
  <c r="N561" i="13"/>
  <c r="O560" i="13"/>
  <c r="N560" i="13"/>
  <c r="O559" i="13"/>
  <c r="N559" i="13"/>
  <c r="O558" i="13"/>
  <c r="N558" i="13"/>
  <c r="O557" i="13"/>
  <c r="D557" i="13"/>
  <c r="E557" i="13"/>
  <c r="N557" i="13"/>
  <c r="C557" i="13"/>
  <c r="O556" i="13"/>
  <c r="N556" i="13"/>
  <c r="O555" i="13"/>
  <c r="N555" i="13"/>
  <c r="O554" i="13"/>
  <c r="N554" i="13"/>
  <c r="O553" i="13"/>
  <c r="N553" i="13"/>
  <c r="O552" i="13"/>
  <c r="N552" i="13"/>
  <c r="O551" i="13"/>
  <c r="N551" i="13"/>
  <c r="O550" i="13"/>
  <c r="N550" i="13"/>
  <c r="C550" i="13"/>
  <c r="D550" i="13"/>
  <c r="E550" i="13"/>
  <c r="O549" i="13"/>
  <c r="N549" i="13"/>
  <c r="O548" i="13"/>
  <c r="N548" i="13"/>
  <c r="O547" i="13"/>
  <c r="N547" i="13"/>
  <c r="O546" i="13"/>
  <c r="N546" i="13"/>
  <c r="O545" i="13"/>
  <c r="N545" i="13"/>
  <c r="O544" i="13"/>
  <c r="N544" i="13"/>
  <c r="O543" i="13"/>
  <c r="N543" i="13"/>
  <c r="C543" i="13"/>
  <c r="O542" i="13"/>
  <c r="N542" i="13"/>
  <c r="O541" i="13"/>
  <c r="N541" i="13"/>
  <c r="O540" i="13"/>
  <c r="N540" i="13"/>
  <c r="O539" i="13"/>
  <c r="N539" i="13"/>
  <c r="O538" i="13"/>
  <c r="N538" i="13"/>
  <c r="O537" i="13"/>
  <c r="N537" i="13"/>
  <c r="O536" i="13"/>
  <c r="N536" i="13"/>
  <c r="C536" i="13"/>
  <c r="D536" i="13"/>
  <c r="E536" i="13"/>
  <c r="O535" i="13"/>
  <c r="N535" i="13"/>
  <c r="O534" i="13"/>
  <c r="N534" i="13"/>
  <c r="O533" i="13"/>
  <c r="N533" i="13"/>
  <c r="O532" i="13"/>
  <c r="N532" i="13"/>
  <c r="O531" i="13"/>
  <c r="N531" i="13"/>
  <c r="O530" i="13"/>
  <c r="N530" i="13"/>
  <c r="O529" i="13"/>
  <c r="D529" i="13"/>
  <c r="E529" i="13"/>
  <c r="N529" i="13"/>
  <c r="C529" i="13"/>
  <c r="O528" i="13"/>
  <c r="N528" i="13"/>
  <c r="O527" i="13"/>
  <c r="N527" i="13"/>
  <c r="O526" i="13"/>
  <c r="N526" i="13"/>
  <c r="O525" i="13"/>
  <c r="N525" i="13"/>
  <c r="O524" i="13"/>
  <c r="N524" i="13"/>
  <c r="O523" i="13"/>
  <c r="N523" i="13"/>
  <c r="O522" i="13"/>
  <c r="N522" i="13"/>
  <c r="C522" i="13"/>
  <c r="D522" i="13"/>
  <c r="E522" i="13"/>
  <c r="O521" i="13"/>
  <c r="N521" i="13"/>
  <c r="O520" i="13"/>
  <c r="N520" i="13"/>
  <c r="O519" i="13"/>
  <c r="N519" i="13"/>
  <c r="O518" i="13"/>
  <c r="N518" i="13"/>
  <c r="O517" i="13"/>
  <c r="N517" i="13"/>
  <c r="O516" i="13"/>
  <c r="N516" i="13"/>
  <c r="O515" i="13"/>
  <c r="N515" i="13"/>
  <c r="C515" i="13"/>
  <c r="O514" i="13"/>
  <c r="N514" i="13"/>
  <c r="O513" i="13"/>
  <c r="N513" i="13"/>
  <c r="O512" i="13"/>
  <c r="N512" i="13"/>
  <c r="O511" i="13"/>
  <c r="N511" i="13"/>
  <c r="O510" i="13"/>
  <c r="N510" i="13"/>
  <c r="O509" i="13"/>
  <c r="N509" i="13"/>
  <c r="O508" i="13"/>
  <c r="N508" i="13"/>
  <c r="C508" i="13"/>
  <c r="D508" i="13"/>
  <c r="E508" i="13"/>
  <c r="O507" i="13"/>
  <c r="N507" i="13"/>
  <c r="O506" i="13"/>
  <c r="N506" i="13"/>
  <c r="O505" i="13"/>
  <c r="N505" i="13"/>
  <c r="O504" i="13"/>
  <c r="N504" i="13"/>
  <c r="O503" i="13"/>
  <c r="N503" i="13"/>
  <c r="O502" i="13"/>
  <c r="N502" i="13"/>
  <c r="O501" i="13"/>
  <c r="D501" i="13"/>
  <c r="E501" i="13"/>
  <c r="N501" i="13"/>
  <c r="C501" i="13"/>
  <c r="O500" i="13"/>
  <c r="N500" i="13"/>
  <c r="O499" i="13"/>
  <c r="N499" i="13"/>
  <c r="O498" i="13"/>
  <c r="N498" i="13"/>
  <c r="O497" i="13"/>
  <c r="N497" i="13"/>
  <c r="O496" i="13"/>
  <c r="N496" i="13"/>
  <c r="O495" i="13"/>
  <c r="N495" i="13"/>
  <c r="O494" i="13"/>
  <c r="N494" i="13"/>
  <c r="D494" i="13"/>
  <c r="E494" i="13"/>
  <c r="O493" i="13"/>
  <c r="N493" i="13"/>
  <c r="O492" i="13"/>
  <c r="N492" i="13"/>
  <c r="O491" i="13"/>
  <c r="N491" i="13"/>
  <c r="O490" i="13"/>
  <c r="N490" i="13"/>
  <c r="O489" i="13"/>
  <c r="N489" i="13"/>
  <c r="O488" i="13"/>
  <c r="N488" i="13"/>
  <c r="O487" i="13"/>
  <c r="D487" i="13"/>
  <c r="E487" i="13"/>
  <c r="N487" i="13"/>
  <c r="C487" i="13"/>
  <c r="O486" i="13"/>
  <c r="N486" i="13"/>
  <c r="O485" i="13"/>
  <c r="N485" i="13"/>
  <c r="O484" i="13"/>
  <c r="N484" i="13"/>
  <c r="O483" i="13"/>
  <c r="N483" i="13"/>
  <c r="O482" i="13"/>
  <c r="N482" i="13"/>
  <c r="O481" i="13"/>
  <c r="N481" i="13"/>
  <c r="O480" i="13"/>
  <c r="N480" i="13"/>
  <c r="C480" i="13"/>
  <c r="D480" i="13"/>
  <c r="E480" i="13"/>
  <c r="O479" i="13"/>
  <c r="N479" i="13"/>
  <c r="O478" i="13"/>
  <c r="N478" i="13"/>
  <c r="O477" i="13"/>
  <c r="N477" i="13"/>
  <c r="O476" i="13"/>
  <c r="N476" i="13"/>
  <c r="O475" i="13"/>
  <c r="N475" i="13"/>
  <c r="O474" i="13"/>
  <c r="N474" i="13"/>
  <c r="O473" i="13"/>
  <c r="D473" i="13"/>
  <c r="E473" i="13"/>
  <c r="N473" i="13"/>
  <c r="C473" i="13"/>
  <c r="O472" i="13"/>
  <c r="N472" i="13"/>
  <c r="O471" i="13"/>
  <c r="N471" i="13"/>
  <c r="O470" i="13"/>
  <c r="N470" i="13"/>
  <c r="O469" i="13"/>
  <c r="N469" i="13"/>
  <c r="O468" i="13"/>
  <c r="N468" i="13"/>
  <c r="O467" i="13"/>
  <c r="N467" i="13"/>
  <c r="O466" i="13"/>
  <c r="N466" i="13"/>
  <c r="D466" i="13"/>
  <c r="E466" i="13"/>
  <c r="O465" i="13"/>
  <c r="N465" i="13"/>
  <c r="O464" i="13"/>
  <c r="N464" i="13"/>
  <c r="O463" i="13"/>
  <c r="N463" i="13"/>
  <c r="O462" i="13"/>
  <c r="N462" i="13"/>
  <c r="O461" i="13"/>
  <c r="N461" i="13"/>
  <c r="O460" i="13"/>
  <c r="N460" i="13"/>
  <c r="O459" i="13"/>
  <c r="D459" i="13"/>
  <c r="E459" i="13"/>
  <c r="N459" i="13"/>
  <c r="C459" i="13"/>
  <c r="O458" i="13"/>
  <c r="N458" i="13"/>
  <c r="O457" i="13"/>
  <c r="N457" i="13"/>
  <c r="O456" i="13"/>
  <c r="N456" i="13"/>
  <c r="O455" i="13"/>
  <c r="N455" i="13"/>
  <c r="O454" i="13"/>
  <c r="N454" i="13"/>
  <c r="O453" i="13"/>
  <c r="N453" i="13"/>
  <c r="O452" i="13"/>
  <c r="N452" i="13"/>
  <c r="C452" i="13"/>
  <c r="D452" i="13"/>
  <c r="E452" i="13"/>
  <c r="O451" i="13"/>
  <c r="N451" i="13"/>
  <c r="O450" i="13"/>
  <c r="N450" i="13"/>
  <c r="O449" i="13"/>
  <c r="N449" i="13"/>
  <c r="O448" i="13"/>
  <c r="N448" i="13"/>
  <c r="O447" i="13"/>
  <c r="N447" i="13"/>
  <c r="O446" i="13"/>
  <c r="N446" i="13"/>
  <c r="O445" i="13"/>
  <c r="D445" i="13"/>
  <c r="E445" i="13"/>
  <c r="N445" i="13"/>
  <c r="C445" i="13"/>
  <c r="O444" i="13"/>
  <c r="N444" i="13"/>
  <c r="O443" i="13"/>
  <c r="N443" i="13"/>
  <c r="O442" i="13"/>
  <c r="N442" i="13"/>
  <c r="O441" i="13"/>
  <c r="N441" i="13"/>
  <c r="O440" i="13"/>
  <c r="N440" i="13"/>
  <c r="O439" i="13"/>
  <c r="N439" i="13"/>
  <c r="O438" i="13"/>
  <c r="N438" i="13"/>
  <c r="C438" i="13"/>
  <c r="D438" i="13"/>
  <c r="E438" i="13"/>
  <c r="O437" i="13"/>
  <c r="N437" i="13"/>
  <c r="O436" i="13"/>
  <c r="N436" i="13"/>
  <c r="O435" i="13"/>
  <c r="N435" i="13"/>
  <c r="O434" i="13"/>
  <c r="N434" i="13"/>
  <c r="O433" i="13"/>
  <c r="N433" i="13"/>
  <c r="O432" i="13"/>
  <c r="N432" i="13"/>
  <c r="O431" i="13"/>
  <c r="N431" i="13"/>
  <c r="C431" i="13"/>
  <c r="O430" i="13"/>
  <c r="N430" i="13"/>
  <c r="O429" i="13"/>
  <c r="N429" i="13"/>
  <c r="O428" i="13"/>
  <c r="N428" i="13"/>
  <c r="O427" i="13"/>
  <c r="N427" i="13"/>
  <c r="O426" i="13"/>
  <c r="N426" i="13"/>
  <c r="O425" i="13"/>
  <c r="N425" i="13"/>
  <c r="O424" i="13"/>
  <c r="N424" i="13"/>
  <c r="C424" i="13"/>
  <c r="D424" i="13"/>
  <c r="E424" i="13"/>
  <c r="O423" i="13"/>
  <c r="N423" i="13"/>
  <c r="O422" i="13"/>
  <c r="N422" i="13"/>
  <c r="O421" i="13"/>
  <c r="N421" i="13"/>
  <c r="O420" i="13"/>
  <c r="N420" i="13"/>
  <c r="O419" i="13"/>
  <c r="N419" i="13"/>
  <c r="O418" i="13"/>
  <c r="N418" i="13"/>
  <c r="O417" i="13"/>
  <c r="D417" i="13"/>
  <c r="E417" i="13"/>
  <c r="N417" i="13"/>
  <c r="C417" i="13"/>
  <c r="O416" i="13"/>
  <c r="N416" i="13"/>
  <c r="O415" i="13"/>
  <c r="N415" i="13"/>
  <c r="O414" i="13"/>
  <c r="N414" i="13"/>
  <c r="O413" i="13"/>
  <c r="N413" i="13"/>
  <c r="O412" i="13"/>
  <c r="N412" i="13"/>
  <c r="O411" i="13"/>
  <c r="N411" i="13"/>
  <c r="O410" i="13"/>
  <c r="N410" i="13"/>
  <c r="C410" i="13"/>
  <c r="D410" i="13"/>
  <c r="E410" i="13"/>
  <c r="O409" i="13"/>
  <c r="N409" i="13"/>
  <c r="O408" i="13"/>
  <c r="N408" i="13"/>
  <c r="O407" i="13"/>
  <c r="N407" i="13"/>
  <c r="O406" i="13"/>
  <c r="N406" i="13"/>
  <c r="O405" i="13"/>
  <c r="N405" i="13"/>
  <c r="O404" i="13"/>
  <c r="N404" i="13"/>
  <c r="O403" i="13"/>
  <c r="N403" i="13"/>
  <c r="C403" i="13"/>
  <c r="O402" i="13"/>
  <c r="N402" i="13"/>
  <c r="O401" i="13"/>
  <c r="N401" i="13"/>
  <c r="O400" i="13"/>
  <c r="N400" i="13"/>
  <c r="O399" i="13"/>
  <c r="N399" i="13"/>
  <c r="O398" i="13"/>
  <c r="N398" i="13"/>
  <c r="O397" i="13"/>
  <c r="N397" i="13"/>
  <c r="O396" i="13"/>
  <c r="N396" i="13"/>
  <c r="C396" i="13"/>
  <c r="D396" i="13"/>
  <c r="E396" i="13"/>
  <c r="O395" i="13"/>
  <c r="N395" i="13"/>
  <c r="O394" i="13"/>
  <c r="N394" i="13"/>
  <c r="O393" i="13"/>
  <c r="N393" i="13"/>
  <c r="O392" i="13"/>
  <c r="N392" i="13"/>
  <c r="O391" i="13"/>
  <c r="N391" i="13"/>
  <c r="O390" i="13"/>
  <c r="N390" i="13"/>
  <c r="O389" i="13"/>
  <c r="D389" i="13"/>
  <c r="E389" i="13"/>
  <c r="N389" i="13"/>
  <c r="C389" i="13"/>
  <c r="O388" i="13"/>
  <c r="N388" i="13"/>
  <c r="O387" i="13"/>
  <c r="N387" i="13"/>
  <c r="O386" i="13"/>
  <c r="N386" i="13"/>
  <c r="O385" i="13"/>
  <c r="N385" i="13"/>
  <c r="O384" i="13"/>
  <c r="N384" i="13"/>
  <c r="O383" i="13"/>
  <c r="N383" i="13"/>
  <c r="O382" i="13"/>
  <c r="N382" i="13"/>
  <c r="D382" i="13"/>
  <c r="E382" i="13"/>
  <c r="O381" i="13"/>
  <c r="N381" i="13"/>
  <c r="O380" i="13"/>
  <c r="N380" i="13"/>
  <c r="O379" i="13"/>
  <c r="N379" i="13"/>
  <c r="O378" i="13"/>
  <c r="N378" i="13"/>
  <c r="O377" i="13"/>
  <c r="N377" i="13"/>
  <c r="O376" i="13"/>
  <c r="N376" i="13"/>
  <c r="O375" i="13"/>
  <c r="D375" i="13"/>
  <c r="E375" i="13"/>
  <c r="N375" i="13"/>
  <c r="C375" i="13"/>
  <c r="O374" i="13"/>
  <c r="N374" i="13"/>
  <c r="O373" i="13"/>
  <c r="N373" i="13"/>
  <c r="O372" i="13"/>
  <c r="N372" i="13"/>
  <c r="O371" i="13"/>
  <c r="N371" i="13"/>
  <c r="O370" i="13"/>
  <c r="N370" i="13"/>
  <c r="O369" i="13"/>
  <c r="N369" i="13"/>
  <c r="O368" i="13"/>
  <c r="N368" i="13"/>
  <c r="C368" i="13"/>
  <c r="D368" i="13"/>
  <c r="E368" i="13"/>
  <c r="O367" i="13"/>
  <c r="N367" i="13"/>
  <c r="O366" i="13"/>
  <c r="N366" i="13"/>
  <c r="O365" i="13"/>
  <c r="N365" i="13"/>
  <c r="O364" i="13"/>
  <c r="N364" i="13"/>
  <c r="O363" i="13"/>
  <c r="N363" i="13"/>
  <c r="O362" i="13"/>
  <c r="N362" i="13"/>
  <c r="O361" i="13"/>
  <c r="D361" i="13"/>
  <c r="E361" i="13"/>
  <c r="N361" i="13"/>
  <c r="C361" i="13"/>
  <c r="O360" i="13"/>
  <c r="N360" i="13"/>
  <c r="O359" i="13"/>
  <c r="N359" i="13"/>
  <c r="O358" i="13"/>
  <c r="N358" i="13"/>
  <c r="O357" i="13"/>
  <c r="N357" i="13"/>
  <c r="O356" i="13"/>
  <c r="N356" i="13"/>
  <c r="O355" i="13"/>
  <c r="N355" i="13"/>
  <c r="O354" i="13"/>
  <c r="N354" i="13"/>
  <c r="D354" i="13"/>
  <c r="E354" i="13"/>
  <c r="O353" i="13"/>
  <c r="N353" i="13"/>
  <c r="O352" i="13"/>
  <c r="N352" i="13"/>
  <c r="O351" i="13"/>
  <c r="N351" i="13"/>
  <c r="O350" i="13"/>
  <c r="N350" i="13"/>
  <c r="O349" i="13"/>
  <c r="N349" i="13"/>
  <c r="O348" i="13"/>
  <c r="N348" i="13"/>
  <c r="O347" i="13"/>
  <c r="D347" i="13"/>
  <c r="E347" i="13"/>
  <c r="N347" i="13"/>
  <c r="C347" i="13"/>
  <c r="O346" i="13"/>
  <c r="N346" i="13"/>
  <c r="O345" i="13"/>
  <c r="N345" i="13"/>
  <c r="O344" i="13"/>
  <c r="N344" i="13"/>
  <c r="O343" i="13"/>
  <c r="N343" i="13"/>
  <c r="O342" i="13"/>
  <c r="N342" i="13"/>
  <c r="O341" i="13"/>
  <c r="N341" i="13"/>
  <c r="O340" i="13"/>
  <c r="N340" i="13"/>
  <c r="C340" i="13"/>
  <c r="D340" i="13"/>
  <c r="E340" i="13"/>
  <c r="O339" i="13"/>
  <c r="N339" i="13"/>
  <c r="O338" i="13"/>
  <c r="N338" i="13"/>
  <c r="O337" i="13"/>
  <c r="N337" i="13"/>
  <c r="O336" i="13"/>
  <c r="N336" i="13"/>
  <c r="O335" i="13"/>
  <c r="N335" i="13"/>
  <c r="O334" i="13"/>
  <c r="N334" i="13"/>
  <c r="O333" i="13"/>
  <c r="D333" i="13"/>
  <c r="E333" i="13"/>
  <c r="N333" i="13"/>
  <c r="C333" i="13"/>
  <c r="O332" i="13"/>
  <c r="N332" i="13"/>
  <c r="O331" i="13"/>
  <c r="N331" i="13"/>
  <c r="O330" i="13"/>
  <c r="N330" i="13"/>
  <c r="O329" i="13"/>
  <c r="N329" i="13"/>
  <c r="O328" i="13"/>
  <c r="N328" i="13"/>
  <c r="O327" i="13"/>
  <c r="N327" i="13"/>
  <c r="O326" i="13"/>
  <c r="N326" i="13"/>
  <c r="C326" i="13"/>
  <c r="D326" i="13"/>
  <c r="E326" i="13"/>
  <c r="O325" i="13"/>
  <c r="N325" i="13"/>
  <c r="O324" i="13"/>
  <c r="N324" i="13"/>
  <c r="O323" i="13"/>
  <c r="N323" i="13"/>
  <c r="O322" i="13"/>
  <c r="N322" i="13"/>
  <c r="O321" i="13"/>
  <c r="N321" i="13"/>
  <c r="O320" i="13"/>
  <c r="N320" i="13"/>
  <c r="O319" i="13"/>
  <c r="N319" i="13"/>
  <c r="C319" i="13"/>
  <c r="O318" i="13"/>
  <c r="N318" i="13"/>
  <c r="O317" i="13"/>
  <c r="N317" i="13"/>
  <c r="O316" i="13"/>
  <c r="N316" i="13"/>
  <c r="O315" i="13"/>
  <c r="N315" i="13"/>
  <c r="O314" i="13"/>
  <c r="N314" i="13"/>
  <c r="O313" i="13"/>
  <c r="N313" i="13"/>
  <c r="O312" i="13"/>
  <c r="N312" i="13"/>
  <c r="C312" i="13"/>
  <c r="D312" i="13"/>
  <c r="E312" i="13"/>
  <c r="O311" i="13"/>
  <c r="N311" i="13"/>
  <c r="O310" i="13"/>
  <c r="N310" i="13"/>
  <c r="O309" i="13"/>
  <c r="N309" i="13"/>
  <c r="O308" i="13"/>
  <c r="N308" i="13"/>
  <c r="O307" i="13"/>
  <c r="N307" i="13"/>
  <c r="O306" i="13"/>
  <c r="N306" i="13"/>
  <c r="O305" i="13"/>
  <c r="D305" i="13"/>
  <c r="E305" i="13"/>
  <c r="N305" i="13"/>
  <c r="C305" i="13"/>
  <c r="O304" i="13"/>
  <c r="N304" i="13"/>
  <c r="O303" i="13"/>
  <c r="N303" i="13"/>
  <c r="O302" i="13"/>
  <c r="N302" i="13"/>
  <c r="O301" i="13"/>
  <c r="N301" i="13"/>
  <c r="O300" i="13"/>
  <c r="N300" i="13"/>
  <c r="O299" i="13"/>
  <c r="N299" i="13"/>
  <c r="O298" i="13"/>
  <c r="N298" i="13"/>
  <c r="C298" i="13"/>
  <c r="D298" i="13"/>
  <c r="O296" i="13"/>
  <c r="N296" i="13"/>
  <c r="O295" i="13"/>
  <c r="N295" i="13"/>
  <c r="O294" i="13"/>
  <c r="N294" i="13"/>
  <c r="O293" i="13"/>
  <c r="N293" i="13"/>
  <c r="O292" i="13"/>
  <c r="N292" i="13"/>
  <c r="O291" i="13"/>
  <c r="N291" i="13"/>
  <c r="O290" i="13"/>
  <c r="N290" i="13"/>
  <c r="C290" i="13"/>
  <c r="D290" i="13"/>
  <c r="E290" i="13"/>
  <c r="O289" i="13"/>
  <c r="N289" i="13"/>
  <c r="O288" i="13"/>
  <c r="N288" i="13"/>
  <c r="O287" i="13"/>
  <c r="N287" i="13"/>
  <c r="O286" i="13"/>
  <c r="N286" i="13"/>
  <c r="O285" i="13"/>
  <c r="N285" i="13"/>
  <c r="O284" i="13"/>
  <c r="N284" i="13"/>
  <c r="O283" i="13"/>
  <c r="N283" i="13"/>
  <c r="C283" i="13"/>
  <c r="O281" i="13"/>
  <c r="N281" i="13"/>
  <c r="O280" i="13"/>
  <c r="N280" i="13"/>
  <c r="O279" i="13"/>
  <c r="N279" i="13"/>
  <c r="O278" i="13"/>
  <c r="N278" i="13"/>
  <c r="O277" i="13"/>
  <c r="N277" i="13"/>
  <c r="O276" i="13"/>
  <c r="N276" i="13"/>
  <c r="O275" i="13"/>
  <c r="N275" i="13"/>
  <c r="C275" i="13"/>
  <c r="O274" i="13"/>
  <c r="N274" i="13"/>
  <c r="O273" i="13"/>
  <c r="N273" i="13"/>
  <c r="O272" i="13"/>
  <c r="N272" i="13"/>
  <c r="O271" i="13"/>
  <c r="N271" i="13"/>
  <c r="O270" i="13"/>
  <c r="N270" i="13"/>
  <c r="O269" i="13"/>
  <c r="N269" i="13"/>
  <c r="O268" i="13"/>
  <c r="N268" i="13"/>
  <c r="C268" i="13"/>
  <c r="D268" i="13"/>
  <c r="E268" i="13"/>
  <c r="O267" i="13"/>
  <c r="N267" i="13"/>
  <c r="O266" i="13"/>
  <c r="N266" i="13"/>
  <c r="O265" i="13"/>
  <c r="N265" i="13"/>
  <c r="O264" i="13"/>
  <c r="N264" i="13"/>
  <c r="O263" i="13"/>
  <c r="N263" i="13"/>
  <c r="O262" i="13"/>
  <c r="N262" i="13"/>
  <c r="O261" i="13"/>
  <c r="D261" i="13"/>
  <c r="N261" i="13"/>
  <c r="C261" i="13"/>
  <c r="C260" i="13"/>
  <c r="O259" i="13"/>
  <c r="N259" i="13"/>
  <c r="O258" i="13"/>
  <c r="N258" i="13"/>
  <c r="O257" i="13"/>
  <c r="N257" i="13"/>
  <c r="O256" i="13"/>
  <c r="N256" i="13"/>
  <c r="O255" i="13"/>
  <c r="N255" i="13"/>
  <c r="O254" i="13"/>
  <c r="N254" i="13"/>
  <c r="O253" i="13"/>
  <c r="D253" i="13"/>
  <c r="E253" i="13"/>
  <c r="N253" i="13"/>
  <c r="C253" i="13"/>
  <c r="O252" i="13"/>
  <c r="N252" i="13"/>
  <c r="O251" i="13"/>
  <c r="N251" i="13"/>
  <c r="O250" i="13"/>
  <c r="N250" i="13"/>
  <c r="O249" i="13"/>
  <c r="N249" i="13"/>
  <c r="O248" i="13"/>
  <c r="N248" i="13"/>
  <c r="O247" i="13"/>
  <c r="N247" i="13"/>
  <c r="O246" i="13"/>
  <c r="N246" i="13"/>
  <c r="C246" i="13"/>
  <c r="C245" i="13"/>
  <c r="D246" i="13"/>
  <c r="O244" i="13"/>
  <c r="N244" i="13"/>
  <c r="O243" i="13"/>
  <c r="N243" i="13"/>
  <c r="O242" i="13"/>
  <c r="N242" i="13"/>
  <c r="O241" i="13"/>
  <c r="N241" i="13"/>
  <c r="O240" i="13"/>
  <c r="N240" i="13"/>
  <c r="O239" i="13"/>
  <c r="N239" i="13"/>
  <c r="O238" i="13"/>
  <c r="N238" i="13"/>
  <c r="C238" i="13"/>
  <c r="D238" i="13"/>
  <c r="E238" i="13"/>
  <c r="O237" i="13"/>
  <c r="N237" i="13"/>
  <c r="O236" i="13"/>
  <c r="N236" i="13"/>
  <c r="O235" i="13"/>
  <c r="N235" i="13"/>
  <c r="O234" i="13"/>
  <c r="N234" i="13"/>
  <c r="O233" i="13"/>
  <c r="N233" i="13"/>
  <c r="O232" i="13"/>
  <c r="N232" i="13"/>
  <c r="O231" i="13"/>
  <c r="N231" i="13"/>
  <c r="C231" i="13"/>
  <c r="O230" i="13"/>
  <c r="N230" i="13"/>
  <c r="O229" i="13"/>
  <c r="N229" i="13"/>
  <c r="O228" i="13"/>
  <c r="N228" i="13"/>
  <c r="O227" i="13"/>
  <c r="N227" i="13"/>
  <c r="O226" i="13"/>
  <c r="N226" i="13"/>
  <c r="O225" i="13"/>
  <c r="N225" i="13"/>
  <c r="O224" i="13"/>
  <c r="N224" i="13"/>
  <c r="C224" i="13"/>
  <c r="D224" i="13"/>
  <c r="E224" i="13"/>
  <c r="O223" i="13"/>
  <c r="N223" i="13"/>
  <c r="O222" i="13"/>
  <c r="N222" i="13"/>
  <c r="O221" i="13"/>
  <c r="N221" i="13"/>
  <c r="O220" i="13"/>
  <c r="N220" i="13"/>
  <c r="O219" i="13"/>
  <c r="N219" i="13"/>
  <c r="O218" i="13"/>
  <c r="N218" i="13"/>
  <c r="O217" i="13"/>
  <c r="D217" i="13"/>
  <c r="E217" i="13"/>
  <c r="N217" i="13"/>
  <c r="C217" i="13"/>
  <c r="O216" i="13"/>
  <c r="N216" i="13"/>
  <c r="O215" i="13"/>
  <c r="N215" i="13"/>
  <c r="O214" i="13"/>
  <c r="N214" i="13"/>
  <c r="O213" i="13"/>
  <c r="N213" i="13"/>
  <c r="O212" i="13"/>
  <c r="N212" i="13"/>
  <c r="O211" i="13"/>
  <c r="N211" i="13"/>
  <c r="O210" i="13"/>
  <c r="N210" i="13"/>
  <c r="D210" i="13"/>
  <c r="E210" i="13"/>
  <c r="O209" i="13"/>
  <c r="N209" i="13"/>
  <c r="O208" i="13"/>
  <c r="N208" i="13"/>
  <c r="O207" i="13"/>
  <c r="N207" i="13"/>
  <c r="O206" i="13"/>
  <c r="N206" i="13"/>
  <c r="O205" i="13"/>
  <c r="N205" i="13"/>
  <c r="O204" i="13"/>
  <c r="N204" i="13"/>
  <c r="O203" i="13"/>
  <c r="D203" i="13"/>
  <c r="E203" i="13"/>
  <c r="N203" i="13"/>
  <c r="C203" i="13"/>
  <c r="O202" i="13"/>
  <c r="N202" i="13"/>
  <c r="O201" i="13"/>
  <c r="N201" i="13"/>
  <c r="O200" i="13"/>
  <c r="N200" i="13"/>
  <c r="O199" i="13"/>
  <c r="N199" i="13"/>
  <c r="O198" i="13"/>
  <c r="N198" i="13"/>
  <c r="O197" i="13"/>
  <c r="N197" i="13"/>
  <c r="O196" i="13"/>
  <c r="N196" i="13"/>
  <c r="C196" i="13"/>
  <c r="D196" i="13"/>
  <c r="E196" i="13"/>
  <c r="O195" i="13"/>
  <c r="N195" i="13"/>
  <c r="O194" i="13"/>
  <c r="N194" i="13"/>
  <c r="O193" i="13"/>
  <c r="N193" i="13"/>
  <c r="O192" i="13"/>
  <c r="N192" i="13"/>
  <c r="O191" i="13"/>
  <c r="N191" i="13"/>
  <c r="O190" i="13"/>
  <c r="N190" i="13"/>
  <c r="O189" i="13"/>
  <c r="D189" i="13"/>
  <c r="E189" i="13"/>
  <c r="N189" i="13"/>
  <c r="C189" i="13"/>
  <c r="O188" i="13"/>
  <c r="N188" i="13"/>
  <c r="O187" i="13"/>
  <c r="N187" i="13"/>
  <c r="O186" i="13"/>
  <c r="N186" i="13"/>
  <c r="O185" i="13"/>
  <c r="N185" i="13"/>
  <c r="O184" i="13"/>
  <c r="N184" i="13"/>
  <c r="O183" i="13"/>
  <c r="N183" i="13"/>
  <c r="O182" i="13"/>
  <c r="N182" i="13"/>
  <c r="D182" i="13"/>
  <c r="O180" i="13"/>
  <c r="N180" i="13"/>
  <c r="O179" i="13"/>
  <c r="N179" i="13"/>
  <c r="O178" i="13"/>
  <c r="N178" i="13"/>
  <c r="O177" i="13"/>
  <c r="N177" i="13"/>
  <c r="O176" i="13"/>
  <c r="N176" i="13"/>
  <c r="O175" i="13"/>
  <c r="N175" i="13"/>
  <c r="O174" i="13"/>
  <c r="N174" i="13"/>
  <c r="D174" i="13"/>
  <c r="E174" i="13"/>
  <c r="O173" i="13"/>
  <c r="N173" i="13"/>
  <c r="O172" i="13"/>
  <c r="N172" i="13"/>
  <c r="O171" i="13"/>
  <c r="N171" i="13"/>
  <c r="O170" i="13"/>
  <c r="N170" i="13"/>
  <c r="O169" i="13"/>
  <c r="N169" i="13"/>
  <c r="O168" i="13"/>
  <c r="N168" i="13"/>
  <c r="O167" i="13"/>
  <c r="D167" i="13"/>
  <c r="E167" i="13"/>
  <c r="N167" i="13"/>
  <c r="C167" i="13"/>
  <c r="O166" i="13"/>
  <c r="N166" i="13"/>
  <c r="O165" i="13"/>
  <c r="N165" i="13"/>
  <c r="O164" i="13"/>
  <c r="N164" i="13"/>
  <c r="O163" i="13"/>
  <c r="N163" i="13"/>
  <c r="O162" i="13"/>
  <c r="N162" i="13"/>
  <c r="O161" i="13"/>
  <c r="N161" i="13"/>
  <c r="O160" i="13"/>
  <c r="N160" i="13"/>
  <c r="C160" i="13"/>
  <c r="D160" i="13"/>
  <c r="E160" i="13"/>
  <c r="O159" i="13"/>
  <c r="N159" i="13"/>
  <c r="O158" i="13"/>
  <c r="N158" i="13"/>
  <c r="O157" i="13"/>
  <c r="N157" i="13"/>
  <c r="O156" i="13"/>
  <c r="N156" i="13"/>
  <c r="O155" i="13"/>
  <c r="N155" i="13"/>
  <c r="O154" i="13"/>
  <c r="N154" i="13"/>
  <c r="O153" i="13"/>
  <c r="D153" i="13"/>
  <c r="E153" i="13"/>
  <c r="N153" i="13"/>
  <c r="C153" i="13"/>
  <c r="O152" i="13"/>
  <c r="N152" i="13"/>
  <c r="O151" i="13"/>
  <c r="N151" i="13"/>
  <c r="O150" i="13"/>
  <c r="N150" i="13"/>
  <c r="O149" i="13"/>
  <c r="N149" i="13"/>
  <c r="O148" i="13"/>
  <c r="N148" i="13"/>
  <c r="O147" i="13"/>
  <c r="N147" i="13"/>
  <c r="O146" i="13"/>
  <c r="N146" i="13"/>
  <c r="C146" i="13"/>
  <c r="D146" i="13"/>
  <c r="E146" i="13"/>
  <c r="O145" i="13"/>
  <c r="N145" i="13"/>
  <c r="O144" i="13"/>
  <c r="N144" i="13"/>
  <c r="O143" i="13"/>
  <c r="N143" i="13"/>
  <c r="O142" i="13"/>
  <c r="N142" i="13"/>
  <c r="O141" i="13"/>
  <c r="N141" i="13"/>
  <c r="O140" i="13"/>
  <c r="N140" i="13"/>
  <c r="O139" i="13"/>
  <c r="N139" i="13"/>
  <c r="C139" i="13"/>
  <c r="O138" i="13"/>
  <c r="N138" i="13"/>
  <c r="O137" i="13"/>
  <c r="N137" i="13"/>
  <c r="O136" i="13"/>
  <c r="N136" i="13"/>
  <c r="O135" i="13"/>
  <c r="N135" i="13"/>
  <c r="O134" i="13"/>
  <c r="N134" i="13"/>
  <c r="O133" i="13"/>
  <c r="N133" i="13"/>
  <c r="O132" i="13"/>
  <c r="N132" i="13"/>
  <c r="C132" i="13"/>
  <c r="D132" i="13"/>
  <c r="E132" i="13"/>
  <c r="O131" i="13"/>
  <c r="N131" i="13"/>
  <c r="O130" i="13"/>
  <c r="N130" i="13"/>
  <c r="O129" i="13"/>
  <c r="N129" i="13"/>
  <c r="O128" i="13"/>
  <c r="N128" i="13"/>
  <c r="O127" i="13"/>
  <c r="N127" i="13"/>
  <c r="O126" i="13"/>
  <c r="N126" i="13"/>
  <c r="O125" i="13"/>
  <c r="D125" i="13"/>
  <c r="E125" i="13"/>
  <c r="N125" i="13"/>
  <c r="C125" i="13"/>
  <c r="O124" i="13"/>
  <c r="N124" i="13"/>
  <c r="O123" i="13"/>
  <c r="N123" i="13"/>
  <c r="O122" i="13"/>
  <c r="N122" i="13"/>
  <c r="O121" i="13"/>
  <c r="N121" i="13"/>
  <c r="O120" i="13"/>
  <c r="N120" i="13"/>
  <c r="O119" i="13"/>
  <c r="N119" i="13"/>
  <c r="O118" i="13"/>
  <c r="N118" i="13"/>
  <c r="C118" i="13"/>
  <c r="D118" i="13"/>
  <c r="E118" i="13"/>
  <c r="O117" i="13"/>
  <c r="N117" i="13"/>
  <c r="O116" i="13"/>
  <c r="N116" i="13"/>
  <c r="O115" i="13"/>
  <c r="N115" i="13"/>
  <c r="O114" i="13"/>
  <c r="N114" i="13"/>
  <c r="O113" i="13"/>
  <c r="N113" i="13"/>
  <c r="O112" i="13"/>
  <c r="N112" i="13"/>
  <c r="O111" i="13"/>
  <c r="N111" i="13"/>
  <c r="C111" i="13"/>
  <c r="O110" i="13"/>
  <c r="N110" i="13"/>
  <c r="O109" i="13"/>
  <c r="N109" i="13"/>
  <c r="O108" i="13"/>
  <c r="N108" i="13"/>
  <c r="O107" i="13"/>
  <c r="N107" i="13"/>
  <c r="O106" i="13"/>
  <c r="N106" i="13"/>
  <c r="O105" i="13"/>
  <c r="N105" i="13"/>
  <c r="O104" i="13"/>
  <c r="N104" i="13"/>
  <c r="C104" i="13"/>
  <c r="D104" i="13"/>
  <c r="E104" i="13"/>
  <c r="O102" i="13"/>
  <c r="N102" i="13"/>
  <c r="O101" i="13"/>
  <c r="N101" i="13"/>
  <c r="O100" i="13"/>
  <c r="N100" i="13"/>
  <c r="O99" i="13"/>
  <c r="N99" i="13"/>
  <c r="O98" i="13"/>
  <c r="N98" i="13"/>
  <c r="O97" i="13"/>
  <c r="N97" i="13"/>
  <c r="O96" i="13"/>
  <c r="N96" i="13"/>
  <c r="C96" i="13"/>
  <c r="D96" i="13"/>
  <c r="E96" i="13"/>
  <c r="O95" i="13"/>
  <c r="N95" i="13"/>
  <c r="O94" i="13"/>
  <c r="N94" i="13"/>
  <c r="O93" i="13"/>
  <c r="N93" i="13"/>
  <c r="O92" i="13"/>
  <c r="N92" i="13"/>
  <c r="O91" i="13"/>
  <c r="N91" i="13"/>
  <c r="O90" i="13"/>
  <c r="N90" i="13"/>
  <c r="O89" i="13"/>
  <c r="N89" i="13"/>
  <c r="C89" i="13"/>
  <c r="O88" i="13"/>
  <c r="N88" i="13"/>
  <c r="O87" i="13"/>
  <c r="N87" i="13"/>
  <c r="O86" i="13"/>
  <c r="N86" i="13"/>
  <c r="O85" i="13"/>
  <c r="N85" i="13"/>
  <c r="O84" i="13"/>
  <c r="N84" i="13"/>
  <c r="O83" i="13"/>
  <c r="N83" i="13"/>
  <c r="O82" i="13"/>
  <c r="N82" i="13"/>
  <c r="C82" i="13"/>
  <c r="D82" i="13"/>
  <c r="E82" i="13"/>
  <c r="O81" i="13"/>
  <c r="N81" i="13"/>
  <c r="O80" i="13"/>
  <c r="N80" i="13"/>
  <c r="O79" i="13"/>
  <c r="N79" i="13"/>
  <c r="O78" i="13"/>
  <c r="N78" i="13"/>
  <c r="O77" i="13"/>
  <c r="N77" i="13"/>
  <c r="O76" i="13"/>
  <c r="N76" i="13"/>
  <c r="O75" i="13"/>
  <c r="D75" i="13"/>
  <c r="N75" i="13"/>
  <c r="C75" i="13"/>
  <c r="O73" i="13"/>
  <c r="N73" i="13"/>
  <c r="O72" i="13"/>
  <c r="N72" i="13"/>
  <c r="O71" i="13"/>
  <c r="N71" i="13"/>
  <c r="O70" i="13"/>
  <c r="N70" i="13"/>
  <c r="O69" i="13"/>
  <c r="N69" i="13"/>
  <c r="O68" i="13"/>
  <c r="N68" i="13"/>
  <c r="O67" i="13"/>
  <c r="D67" i="13"/>
  <c r="E67" i="13"/>
  <c r="N67" i="13"/>
  <c r="C67" i="13"/>
  <c r="O66" i="13"/>
  <c r="N66" i="13"/>
  <c r="O65" i="13"/>
  <c r="N65" i="13"/>
  <c r="O64" i="13"/>
  <c r="N64" i="13"/>
  <c r="O63" i="13"/>
  <c r="N63" i="13"/>
  <c r="O62" i="13"/>
  <c r="N62" i="13"/>
  <c r="O61" i="13"/>
  <c r="N61" i="13"/>
  <c r="O60" i="13"/>
  <c r="N60" i="13"/>
  <c r="C60" i="13"/>
  <c r="D60" i="13"/>
  <c r="E60" i="13"/>
  <c r="O59" i="13"/>
  <c r="N59" i="13"/>
  <c r="O58" i="13"/>
  <c r="N58" i="13"/>
  <c r="O57" i="13"/>
  <c r="N57" i="13"/>
  <c r="O56" i="13"/>
  <c r="N56" i="13"/>
  <c r="O55" i="13"/>
  <c r="N55" i="13"/>
  <c r="O54" i="13"/>
  <c r="N54" i="13"/>
  <c r="O53" i="13"/>
  <c r="N53" i="13"/>
  <c r="C53" i="13"/>
  <c r="O52" i="13"/>
  <c r="N52" i="13"/>
  <c r="O51" i="13"/>
  <c r="N51" i="13"/>
  <c r="O50" i="13"/>
  <c r="N50" i="13"/>
  <c r="O49" i="13"/>
  <c r="N49" i="13"/>
  <c r="O48" i="13"/>
  <c r="N48" i="13"/>
  <c r="O47" i="13"/>
  <c r="N47" i="13"/>
  <c r="O46" i="13"/>
  <c r="N46" i="13"/>
  <c r="C46" i="13"/>
  <c r="D46" i="13"/>
  <c r="E46" i="13"/>
  <c r="O45" i="13"/>
  <c r="N45" i="13"/>
  <c r="O44" i="13"/>
  <c r="N44" i="13"/>
  <c r="O43" i="13"/>
  <c r="N43" i="13"/>
  <c r="O42" i="13"/>
  <c r="N42" i="13"/>
  <c r="O41" i="13"/>
  <c r="N41" i="13"/>
  <c r="O40" i="13"/>
  <c r="N40" i="13"/>
  <c r="O39" i="13"/>
  <c r="D39" i="13"/>
  <c r="E39" i="13"/>
  <c r="N39" i="13"/>
  <c r="C39" i="13"/>
  <c r="O38" i="13"/>
  <c r="N38" i="13"/>
  <c r="O37" i="13"/>
  <c r="N37" i="13"/>
  <c r="O36" i="13"/>
  <c r="N36" i="13"/>
  <c r="O35" i="13"/>
  <c r="N35" i="13"/>
  <c r="O34" i="13"/>
  <c r="N34" i="13"/>
  <c r="O33" i="13"/>
  <c r="N33" i="13"/>
  <c r="O32" i="13"/>
  <c r="N32" i="13"/>
  <c r="D32" i="13"/>
  <c r="E32" i="13"/>
  <c r="O31" i="13"/>
  <c r="N31" i="13"/>
  <c r="O30" i="13"/>
  <c r="N30" i="13"/>
  <c r="O29" i="13"/>
  <c r="N29" i="13"/>
  <c r="O28" i="13"/>
  <c r="N28" i="13"/>
  <c r="O27" i="13"/>
  <c r="N27" i="13"/>
  <c r="O26" i="13"/>
  <c r="N26" i="13"/>
  <c r="O25" i="13"/>
  <c r="N25" i="13"/>
  <c r="C25" i="13"/>
  <c r="O24" i="13"/>
  <c r="N24" i="13"/>
  <c r="O23" i="13"/>
  <c r="N23" i="13"/>
  <c r="O22" i="13"/>
  <c r="N22" i="13"/>
  <c r="O21" i="13"/>
  <c r="N21" i="13"/>
  <c r="O20" i="13"/>
  <c r="N20" i="13"/>
  <c r="O19" i="13"/>
  <c r="N19" i="13"/>
  <c r="O18" i="13"/>
  <c r="N18" i="13"/>
  <c r="C18" i="13"/>
  <c r="D18" i="13"/>
  <c r="E18" i="13"/>
  <c r="O17" i="13"/>
  <c r="N17" i="13"/>
  <c r="O16" i="13"/>
  <c r="N16" i="13"/>
  <c r="O15" i="13"/>
  <c r="N15" i="13"/>
  <c r="O14" i="13"/>
  <c r="N14" i="13"/>
  <c r="O13" i="13"/>
  <c r="N13" i="13"/>
  <c r="O12" i="13"/>
  <c r="N12" i="13"/>
  <c r="O11" i="13"/>
  <c r="D11" i="13"/>
  <c r="N11" i="13"/>
  <c r="C11" i="13"/>
  <c r="P1608" i="10"/>
  <c r="O1608" i="10"/>
  <c r="P1607" i="10"/>
  <c r="O1607" i="10"/>
  <c r="P1606" i="10"/>
  <c r="O1606" i="10"/>
  <c r="P1605" i="10"/>
  <c r="O1605" i="10"/>
  <c r="P1604" i="10"/>
  <c r="O1604" i="10"/>
  <c r="P1603" i="10"/>
  <c r="O1603" i="10"/>
  <c r="P1602" i="10"/>
  <c r="O1602" i="10"/>
  <c r="C1602" i="10"/>
  <c r="D1602" i="10"/>
  <c r="E1602" i="10"/>
  <c r="P1601" i="10"/>
  <c r="O1601" i="10"/>
  <c r="P1600" i="10"/>
  <c r="O1600" i="10"/>
  <c r="P1599" i="10"/>
  <c r="O1599" i="10"/>
  <c r="P1598" i="10"/>
  <c r="O1598" i="10"/>
  <c r="P1597" i="10"/>
  <c r="O1597" i="10"/>
  <c r="P1596" i="10"/>
  <c r="O1596" i="10"/>
  <c r="P1595" i="10"/>
  <c r="D1595" i="10"/>
  <c r="E1595" i="10"/>
  <c r="O1595" i="10"/>
  <c r="C1595" i="10"/>
  <c r="P1594" i="10"/>
  <c r="O1594" i="10"/>
  <c r="P1593" i="10"/>
  <c r="O1593" i="10"/>
  <c r="P1592" i="10"/>
  <c r="O1592" i="10"/>
  <c r="P1591" i="10"/>
  <c r="O1591" i="10"/>
  <c r="P1590" i="10"/>
  <c r="O1590" i="10"/>
  <c r="P1589" i="10"/>
  <c r="O1589" i="10"/>
  <c r="P1588" i="10"/>
  <c r="O1588" i="10"/>
  <c r="D1588" i="10"/>
  <c r="E1588" i="10"/>
  <c r="P1587" i="10"/>
  <c r="O1587" i="10"/>
  <c r="P1586" i="10"/>
  <c r="O1586" i="10"/>
  <c r="P1585" i="10"/>
  <c r="O1585" i="10"/>
  <c r="P1584" i="10"/>
  <c r="O1584" i="10"/>
  <c r="P1583" i="10"/>
  <c r="O1583" i="10"/>
  <c r="P1582" i="10"/>
  <c r="O1582" i="10"/>
  <c r="P1581" i="10"/>
  <c r="O1581" i="10"/>
  <c r="C1581" i="10"/>
  <c r="P1580" i="10"/>
  <c r="O1580" i="10"/>
  <c r="P1579" i="10"/>
  <c r="O1579" i="10"/>
  <c r="P1578" i="10"/>
  <c r="O1578" i="10"/>
  <c r="P1577" i="10"/>
  <c r="O1577" i="10"/>
  <c r="P1576" i="10"/>
  <c r="O1576" i="10"/>
  <c r="P1575" i="10"/>
  <c r="O1575" i="10"/>
  <c r="P1574" i="10"/>
  <c r="O1574" i="10"/>
  <c r="C1574" i="10"/>
  <c r="D1574" i="10"/>
  <c r="E1574" i="10"/>
  <c r="P1573" i="10"/>
  <c r="O1573" i="10"/>
  <c r="P1572" i="10"/>
  <c r="O1572" i="10"/>
  <c r="P1571" i="10"/>
  <c r="O1571" i="10"/>
  <c r="P1570" i="10"/>
  <c r="O1570" i="10"/>
  <c r="P1569" i="10"/>
  <c r="O1569" i="10"/>
  <c r="P1568" i="10"/>
  <c r="O1568" i="10"/>
  <c r="P1567" i="10"/>
  <c r="O1567" i="10"/>
  <c r="C1567" i="10"/>
  <c r="P1566" i="10"/>
  <c r="O1566" i="10"/>
  <c r="P1565" i="10"/>
  <c r="O1565" i="10"/>
  <c r="P1564" i="10"/>
  <c r="O1564" i="10"/>
  <c r="P1563" i="10"/>
  <c r="O1563" i="10"/>
  <c r="P1562" i="10"/>
  <c r="O1562" i="10"/>
  <c r="P1561" i="10"/>
  <c r="O1561" i="10"/>
  <c r="P1560" i="10"/>
  <c r="O1560" i="10"/>
  <c r="C1560" i="10"/>
  <c r="D1560" i="10"/>
  <c r="P1558" i="10"/>
  <c r="O1558" i="10"/>
  <c r="P1557" i="10"/>
  <c r="O1557" i="10"/>
  <c r="P1556" i="10"/>
  <c r="O1556" i="10"/>
  <c r="P1555" i="10"/>
  <c r="O1555" i="10"/>
  <c r="P1554" i="10"/>
  <c r="O1554" i="10"/>
  <c r="P1553" i="10"/>
  <c r="O1553" i="10"/>
  <c r="P1552" i="10"/>
  <c r="O1552" i="10"/>
  <c r="C1552" i="10"/>
  <c r="C1551" i="10"/>
  <c r="D1552" i="10"/>
  <c r="P1550" i="10"/>
  <c r="O1550" i="10"/>
  <c r="P1549" i="10"/>
  <c r="O1549" i="10"/>
  <c r="P1548" i="10"/>
  <c r="O1548" i="10"/>
  <c r="P1547" i="10"/>
  <c r="O1547" i="10"/>
  <c r="P1546" i="10"/>
  <c r="O1546" i="10"/>
  <c r="P1545" i="10"/>
  <c r="O1545" i="10"/>
  <c r="P1544" i="10"/>
  <c r="O1544" i="10"/>
  <c r="C1544" i="10"/>
  <c r="D1544" i="10"/>
  <c r="E1544" i="10"/>
  <c r="P1543" i="10"/>
  <c r="O1543" i="10"/>
  <c r="P1542" i="10"/>
  <c r="O1542" i="10"/>
  <c r="P1541" i="10"/>
  <c r="O1541" i="10"/>
  <c r="P1540" i="10"/>
  <c r="O1540" i="10"/>
  <c r="P1539" i="10"/>
  <c r="O1539" i="10"/>
  <c r="P1538" i="10"/>
  <c r="O1538" i="10"/>
  <c r="P1537" i="10"/>
  <c r="O1537" i="10"/>
  <c r="C1537" i="10"/>
  <c r="C1536" i="10"/>
  <c r="P1535" i="10"/>
  <c r="O1535" i="10"/>
  <c r="P1534" i="10"/>
  <c r="O1534" i="10"/>
  <c r="P1533" i="10"/>
  <c r="O1533" i="10"/>
  <c r="P1532" i="10"/>
  <c r="O1532" i="10"/>
  <c r="P1531" i="10"/>
  <c r="O1531" i="10"/>
  <c r="P1530" i="10"/>
  <c r="O1530" i="10"/>
  <c r="P1529" i="10"/>
  <c r="D1529" i="10"/>
  <c r="E1529" i="10"/>
  <c r="O1529" i="10"/>
  <c r="C1529" i="10"/>
  <c r="P1528" i="10"/>
  <c r="O1528" i="10"/>
  <c r="P1527" i="10"/>
  <c r="O1527" i="10"/>
  <c r="P1526" i="10"/>
  <c r="O1526" i="10"/>
  <c r="P1525" i="10"/>
  <c r="O1525" i="10"/>
  <c r="P1524" i="10"/>
  <c r="O1524" i="10"/>
  <c r="P1523" i="10"/>
  <c r="O1523" i="10"/>
  <c r="P1522" i="10"/>
  <c r="O1522" i="10"/>
  <c r="C1522" i="10"/>
  <c r="D1522" i="10"/>
  <c r="E1522" i="10"/>
  <c r="P1521" i="10"/>
  <c r="O1521" i="10"/>
  <c r="P1520" i="10"/>
  <c r="O1520" i="10"/>
  <c r="P1519" i="10"/>
  <c r="O1519" i="10"/>
  <c r="P1518" i="10"/>
  <c r="O1518" i="10"/>
  <c r="P1517" i="10"/>
  <c r="O1517" i="10"/>
  <c r="P1516" i="10"/>
  <c r="O1516" i="10"/>
  <c r="P1515" i="10"/>
  <c r="D1515" i="10"/>
  <c r="E1515" i="10"/>
  <c r="E1514" i="10"/>
  <c r="O1515" i="10"/>
  <c r="C1515" i="10"/>
  <c r="C1514" i="10"/>
  <c r="P1513" i="10"/>
  <c r="O1513" i="10"/>
  <c r="P1512" i="10"/>
  <c r="O1512" i="10"/>
  <c r="P1511" i="10"/>
  <c r="O1511" i="10"/>
  <c r="P1510" i="10"/>
  <c r="O1510" i="10"/>
  <c r="P1509" i="10"/>
  <c r="O1509" i="10"/>
  <c r="P1508" i="10"/>
  <c r="O1508" i="10"/>
  <c r="P1507" i="10"/>
  <c r="D1507" i="10"/>
  <c r="E1507" i="10"/>
  <c r="E1506" i="10"/>
  <c r="O1507" i="10"/>
  <c r="C1507" i="10"/>
  <c r="C1506" i="10"/>
  <c r="P1505" i="10"/>
  <c r="O1505" i="10"/>
  <c r="P1504" i="10"/>
  <c r="O1504" i="10"/>
  <c r="P1503" i="10"/>
  <c r="O1503" i="10"/>
  <c r="P1502" i="10"/>
  <c r="O1502" i="10"/>
  <c r="P1501" i="10"/>
  <c r="O1501" i="10"/>
  <c r="P1500" i="10"/>
  <c r="O1500" i="10"/>
  <c r="P1499" i="10"/>
  <c r="O1499" i="10"/>
  <c r="C1499" i="10"/>
  <c r="C1498" i="10"/>
  <c r="P1497" i="10"/>
  <c r="O1497" i="10"/>
  <c r="P1496" i="10"/>
  <c r="O1496" i="10"/>
  <c r="P1495" i="10"/>
  <c r="O1495" i="10"/>
  <c r="P1494" i="10"/>
  <c r="O1494" i="10"/>
  <c r="P1493" i="10"/>
  <c r="O1493" i="10"/>
  <c r="P1492" i="10"/>
  <c r="O1492" i="10"/>
  <c r="P1491" i="10"/>
  <c r="O1491" i="10"/>
  <c r="C1491" i="10"/>
  <c r="C1490" i="10"/>
  <c r="P1489" i="10"/>
  <c r="O1489" i="10"/>
  <c r="P1488" i="10"/>
  <c r="O1488" i="10"/>
  <c r="P1487" i="10"/>
  <c r="O1487" i="10"/>
  <c r="P1486" i="10"/>
  <c r="O1486" i="10"/>
  <c r="P1485" i="10"/>
  <c r="O1485" i="10"/>
  <c r="P1484" i="10"/>
  <c r="O1484" i="10"/>
  <c r="P1483" i="10"/>
  <c r="D1483" i="10"/>
  <c r="E1483" i="10"/>
  <c r="E1482" i="10"/>
  <c r="O1483" i="10"/>
  <c r="C1483" i="10"/>
  <c r="C1482" i="10"/>
  <c r="D1482" i="10"/>
  <c r="P1481" i="10"/>
  <c r="O1481" i="10"/>
  <c r="P1480" i="10"/>
  <c r="O1480" i="10"/>
  <c r="P1479" i="10"/>
  <c r="O1479" i="10"/>
  <c r="P1478" i="10"/>
  <c r="O1478" i="10"/>
  <c r="P1477" i="10"/>
  <c r="O1477" i="10"/>
  <c r="P1476" i="10"/>
  <c r="O1476" i="10"/>
  <c r="P1475" i="10"/>
  <c r="D1475" i="10"/>
  <c r="E1475" i="10"/>
  <c r="E1474" i="10"/>
  <c r="O1475" i="10"/>
  <c r="C1475" i="10"/>
  <c r="C1474" i="10"/>
  <c r="D1474" i="10"/>
  <c r="P1473" i="10"/>
  <c r="O1473" i="10"/>
  <c r="P1472" i="10"/>
  <c r="O1472" i="10"/>
  <c r="P1471" i="10"/>
  <c r="O1471" i="10"/>
  <c r="P1470" i="10"/>
  <c r="O1470" i="10"/>
  <c r="P1469" i="10"/>
  <c r="O1469" i="10"/>
  <c r="P1468" i="10"/>
  <c r="O1468" i="10"/>
  <c r="P1467" i="10"/>
  <c r="O1467" i="10"/>
  <c r="C1467" i="10"/>
  <c r="P1466" i="10"/>
  <c r="O1466" i="10"/>
  <c r="P1465" i="10"/>
  <c r="O1465" i="10"/>
  <c r="P1464" i="10"/>
  <c r="O1464" i="10"/>
  <c r="P1463" i="10"/>
  <c r="O1463" i="10"/>
  <c r="P1462" i="10"/>
  <c r="O1462" i="10"/>
  <c r="P1461" i="10"/>
  <c r="O1461" i="10"/>
  <c r="P1460" i="10"/>
  <c r="O1460" i="10"/>
  <c r="D1460" i="10"/>
  <c r="E1460" i="10"/>
  <c r="P1459" i="10"/>
  <c r="O1459" i="10"/>
  <c r="P1458" i="10"/>
  <c r="O1458" i="10"/>
  <c r="P1457" i="10"/>
  <c r="O1457" i="10"/>
  <c r="P1456" i="10"/>
  <c r="O1456" i="10"/>
  <c r="P1455" i="10"/>
  <c r="O1455" i="10"/>
  <c r="P1454" i="10"/>
  <c r="O1454" i="10"/>
  <c r="P1453" i="10"/>
  <c r="D1453" i="10"/>
  <c r="O1453" i="10"/>
  <c r="C1453" i="10"/>
  <c r="P1452" i="10"/>
  <c r="O1452" i="10"/>
  <c r="P1451" i="10"/>
  <c r="O1451" i="10"/>
  <c r="P1450" i="10"/>
  <c r="O1450" i="10"/>
  <c r="P1449" i="10"/>
  <c r="O1449" i="10"/>
  <c r="P1448" i="10"/>
  <c r="O1448" i="10"/>
  <c r="P1447" i="10"/>
  <c r="O1447" i="10"/>
  <c r="P1446" i="10"/>
  <c r="O1446" i="10"/>
  <c r="D1446" i="10"/>
  <c r="E1446" i="10"/>
  <c r="P1445" i="10"/>
  <c r="O1445" i="10"/>
  <c r="P1444" i="10"/>
  <c r="O1444" i="10"/>
  <c r="P1443" i="10"/>
  <c r="O1443" i="10"/>
  <c r="P1442" i="10"/>
  <c r="O1442" i="10"/>
  <c r="P1441" i="10"/>
  <c r="O1441" i="10"/>
  <c r="P1440" i="10"/>
  <c r="O1440" i="10"/>
  <c r="P1439" i="10"/>
  <c r="D1439" i="10"/>
  <c r="E1439" i="10"/>
  <c r="O1439" i="10"/>
  <c r="C1439" i="10"/>
  <c r="P1438" i="10"/>
  <c r="O1438" i="10"/>
  <c r="P1437" i="10"/>
  <c r="O1437" i="10"/>
  <c r="P1436" i="10"/>
  <c r="O1436" i="10"/>
  <c r="P1435" i="10"/>
  <c r="O1435" i="10"/>
  <c r="P1434" i="10"/>
  <c r="O1434" i="10"/>
  <c r="P1433" i="10"/>
  <c r="O1433" i="10"/>
  <c r="P1432" i="10"/>
  <c r="O1432" i="10"/>
  <c r="C1432" i="10"/>
  <c r="D1432" i="10"/>
  <c r="E1432" i="10"/>
  <c r="P1431" i="10"/>
  <c r="O1431" i="10"/>
  <c r="P1430" i="10"/>
  <c r="O1430" i="10"/>
  <c r="P1429" i="10"/>
  <c r="O1429" i="10"/>
  <c r="P1428" i="10"/>
  <c r="O1428" i="10"/>
  <c r="P1427" i="10"/>
  <c r="O1427" i="10"/>
  <c r="P1426" i="10"/>
  <c r="O1426" i="10"/>
  <c r="P1425" i="10"/>
  <c r="O1425" i="10"/>
  <c r="C1425" i="10"/>
  <c r="P1423" i="10"/>
  <c r="O1423" i="10"/>
  <c r="P1422" i="10"/>
  <c r="O1422" i="10"/>
  <c r="P1421" i="10"/>
  <c r="O1421" i="10"/>
  <c r="P1420" i="10"/>
  <c r="O1420" i="10"/>
  <c r="P1419" i="10"/>
  <c r="O1419" i="10"/>
  <c r="P1418" i="10"/>
  <c r="O1418" i="10"/>
  <c r="P1417" i="10"/>
  <c r="D1417" i="10"/>
  <c r="E1417" i="10"/>
  <c r="O1417" i="10"/>
  <c r="C1417" i="10"/>
  <c r="P1416" i="10"/>
  <c r="O1416" i="10"/>
  <c r="P1415" i="10"/>
  <c r="O1415" i="10"/>
  <c r="P1414" i="10"/>
  <c r="O1414" i="10"/>
  <c r="P1413" i="10"/>
  <c r="O1413" i="10"/>
  <c r="P1412" i="10"/>
  <c r="O1412" i="10"/>
  <c r="P1411" i="10"/>
  <c r="O1411" i="10"/>
  <c r="P1410" i="10"/>
  <c r="O1410" i="10"/>
  <c r="C1410" i="10"/>
  <c r="C1409" i="10"/>
  <c r="D1410" i="10"/>
  <c r="P1408" i="10"/>
  <c r="O1408" i="10"/>
  <c r="P1407" i="10"/>
  <c r="O1407" i="10"/>
  <c r="P1406" i="10"/>
  <c r="O1406" i="10"/>
  <c r="P1405" i="10"/>
  <c r="O1405" i="10"/>
  <c r="P1404" i="10"/>
  <c r="O1404" i="10"/>
  <c r="P1403" i="10"/>
  <c r="O1403" i="10"/>
  <c r="P1402" i="10"/>
  <c r="O1402" i="10"/>
  <c r="C1402" i="10"/>
  <c r="D1402" i="10"/>
  <c r="E1402" i="10"/>
  <c r="P1401" i="10"/>
  <c r="O1401" i="10"/>
  <c r="P1400" i="10"/>
  <c r="O1400" i="10"/>
  <c r="P1399" i="10"/>
  <c r="O1399" i="10"/>
  <c r="P1398" i="10"/>
  <c r="O1398" i="10"/>
  <c r="P1397" i="10"/>
  <c r="O1397" i="10"/>
  <c r="P1396" i="10"/>
  <c r="O1396" i="10"/>
  <c r="P1395" i="10"/>
  <c r="D1395" i="10"/>
  <c r="E1395" i="10"/>
  <c r="O1395" i="10"/>
  <c r="C1395" i="10"/>
  <c r="P1394" i="10"/>
  <c r="O1394" i="10"/>
  <c r="P1393" i="10"/>
  <c r="O1393" i="10"/>
  <c r="P1392" i="10"/>
  <c r="O1392" i="10"/>
  <c r="P1391" i="10"/>
  <c r="O1391" i="10"/>
  <c r="P1390" i="10"/>
  <c r="O1390" i="10"/>
  <c r="P1389" i="10"/>
  <c r="O1389" i="10"/>
  <c r="P1388" i="10"/>
  <c r="O1388" i="10"/>
  <c r="C1388" i="10"/>
  <c r="D1388" i="10"/>
  <c r="E1388" i="10"/>
  <c r="P1387" i="10"/>
  <c r="O1387" i="10"/>
  <c r="P1386" i="10"/>
  <c r="O1386" i="10"/>
  <c r="P1385" i="10"/>
  <c r="O1385" i="10"/>
  <c r="P1384" i="10"/>
  <c r="O1384" i="10"/>
  <c r="P1383" i="10"/>
  <c r="O1383" i="10"/>
  <c r="P1382" i="10"/>
  <c r="O1382" i="10"/>
  <c r="P1381" i="10"/>
  <c r="O1381" i="10"/>
  <c r="C1381" i="10"/>
  <c r="P1380" i="10"/>
  <c r="O1380" i="10"/>
  <c r="P1379" i="10"/>
  <c r="O1379" i="10"/>
  <c r="P1378" i="10"/>
  <c r="O1378" i="10"/>
  <c r="P1377" i="10"/>
  <c r="O1377" i="10"/>
  <c r="P1376" i="10"/>
  <c r="O1376" i="10"/>
  <c r="P1375" i="10"/>
  <c r="O1375" i="10"/>
  <c r="P1374" i="10"/>
  <c r="O1374" i="10"/>
  <c r="D1374" i="10"/>
  <c r="E1374" i="10"/>
  <c r="P1373" i="10"/>
  <c r="O1373" i="10"/>
  <c r="P1372" i="10"/>
  <c r="O1372" i="10"/>
  <c r="P1371" i="10"/>
  <c r="O1371" i="10"/>
  <c r="P1370" i="10"/>
  <c r="O1370" i="10"/>
  <c r="P1369" i="10"/>
  <c r="O1369" i="10"/>
  <c r="P1368" i="10"/>
  <c r="O1368" i="10"/>
  <c r="P1367" i="10"/>
  <c r="D1367" i="10"/>
  <c r="E1367" i="10"/>
  <c r="O1367" i="10"/>
  <c r="C1367" i="10"/>
  <c r="P1366" i="10"/>
  <c r="O1366" i="10"/>
  <c r="P1365" i="10"/>
  <c r="O1365" i="10"/>
  <c r="P1364" i="10"/>
  <c r="O1364" i="10"/>
  <c r="P1363" i="10"/>
  <c r="O1363" i="10"/>
  <c r="P1362" i="10"/>
  <c r="O1362" i="10"/>
  <c r="P1361" i="10"/>
  <c r="O1361" i="10"/>
  <c r="P1360" i="10"/>
  <c r="O1360" i="10"/>
  <c r="D1360" i="10"/>
  <c r="E1360" i="10"/>
  <c r="P1359" i="10"/>
  <c r="O1359" i="10"/>
  <c r="P1358" i="10"/>
  <c r="O1358" i="10"/>
  <c r="P1357" i="10"/>
  <c r="O1357" i="10"/>
  <c r="P1356" i="10"/>
  <c r="O1356" i="10"/>
  <c r="P1355" i="10"/>
  <c r="O1355" i="10"/>
  <c r="P1354" i="10"/>
  <c r="O1354" i="10"/>
  <c r="P1353" i="10"/>
  <c r="D1353" i="10"/>
  <c r="E1353" i="10"/>
  <c r="O1353" i="10"/>
  <c r="C1353" i="10"/>
  <c r="P1352" i="10"/>
  <c r="O1352" i="10"/>
  <c r="P1351" i="10"/>
  <c r="O1351" i="10"/>
  <c r="P1350" i="10"/>
  <c r="O1350" i="10"/>
  <c r="P1349" i="10"/>
  <c r="O1349" i="10"/>
  <c r="P1348" i="10"/>
  <c r="O1348" i="10"/>
  <c r="P1347" i="10"/>
  <c r="O1347" i="10"/>
  <c r="P1346" i="10"/>
  <c r="O1346" i="10"/>
  <c r="C1346" i="10"/>
  <c r="D1346" i="10"/>
  <c r="E1346" i="10"/>
  <c r="P1345" i="10"/>
  <c r="O1345" i="10"/>
  <c r="P1344" i="10"/>
  <c r="O1344" i="10"/>
  <c r="P1343" i="10"/>
  <c r="O1343" i="10"/>
  <c r="P1342" i="10"/>
  <c r="O1342" i="10"/>
  <c r="P1341" i="10"/>
  <c r="O1341" i="10"/>
  <c r="P1340" i="10"/>
  <c r="O1340" i="10"/>
  <c r="P1339" i="10"/>
  <c r="O1339" i="10"/>
  <c r="C1339" i="10"/>
  <c r="P1338" i="10"/>
  <c r="O1338" i="10"/>
  <c r="P1337" i="10"/>
  <c r="O1337" i="10"/>
  <c r="P1336" i="10"/>
  <c r="O1336" i="10"/>
  <c r="P1335" i="10"/>
  <c r="O1335" i="10"/>
  <c r="P1334" i="10"/>
  <c r="O1334" i="10"/>
  <c r="P1333" i="10"/>
  <c r="O1333" i="10"/>
  <c r="P1332" i="10"/>
  <c r="O1332" i="10"/>
  <c r="C1332" i="10"/>
  <c r="D1332" i="10"/>
  <c r="E1332" i="10"/>
  <c r="P1331" i="10"/>
  <c r="O1331" i="10"/>
  <c r="P1330" i="10"/>
  <c r="O1330" i="10"/>
  <c r="P1329" i="10"/>
  <c r="O1329" i="10"/>
  <c r="P1328" i="10"/>
  <c r="O1328" i="10"/>
  <c r="P1327" i="10"/>
  <c r="O1327" i="10"/>
  <c r="P1326" i="10"/>
  <c r="O1326" i="10"/>
  <c r="P1325" i="10"/>
  <c r="O1325" i="10"/>
  <c r="C1325" i="10"/>
  <c r="P1324" i="10"/>
  <c r="O1324" i="10"/>
  <c r="P1323" i="10"/>
  <c r="O1323" i="10"/>
  <c r="P1322" i="10"/>
  <c r="O1322" i="10"/>
  <c r="P1321" i="10"/>
  <c r="O1321" i="10"/>
  <c r="P1320" i="10"/>
  <c r="O1320" i="10"/>
  <c r="P1319" i="10"/>
  <c r="O1319" i="10"/>
  <c r="P1318" i="10"/>
  <c r="O1318" i="10"/>
  <c r="D1318" i="10"/>
  <c r="E1318" i="10"/>
  <c r="P1317" i="10"/>
  <c r="O1317" i="10"/>
  <c r="P1316" i="10"/>
  <c r="O1316" i="10"/>
  <c r="P1315" i="10"/>
  <c r="O1315" i="10"/>
  <c r="P1314" i="10"/>
  <c r="O1314" i="10"/>
  <c r="P1313" i="10"/>
  <c r="O1313" i="10"/>
  <c r="P1312" i="10"/>
  <c r="O1312" i="10"/>
  <c r="P1311" i="10"/>
  <c r="D1311" i="10"/>
  <c r="E1311" i="10"/>
  <c r="O1311" i="10"/>
  <c r="C1311" i="10"/>
  <c r="P1310" i="10"/>
  <c r="O1310" i="10"/>
  <c r="P1309" i="10"/>
  <c r="O1309" i="10"/>
  <c r="P1308" i="10"/>
  <c r="O1308" i="10"/>
  <c r="P1307" i="10"/>
  <c r="O1307" i="10"/>
  <c r="P1306" i="10"/>
  <c r="O1306" i="10"/>
  <c r="P1305" i="10"/>
  <c r="O1305" i="10"/>
  <c r="P1304" i="10"/>
  <c r="O1304" i="10"/>
  <c r="D1304" i="10"/>
  <c r="E1304" i="10"/>
  <c r="P1303" i="10"/>
  <c r="O1303" i="10"/>
  <c r="P1302" i="10"/>
  <c r="O1302" i="10"/>
  <c r="P1301" i="10"/>
  <c r="O1301" i="10"/>
  <c r="P1300" i="10"/>
  <c r="O1300" i="10"/>
  <c r="P1299" i="10"/>
  <c r="O1299" i="10"/>
  <c r="P1298" i="10"/>
  <c r="O1298" i="10"/>
  <c r="P1297" i="10"/>
  <c r="D1297" i="10"/>
  <c r="E1297" i="10"/>
  <c r="O1297" i="10"/>
  <c r="C1297" i="10"/>
  <c r="P1296" i="10"/>
  <c r="O1296" i="10"/>
  <c r="P1295" i="10"/>
  <c r="O1295" i="10"/>
  <c r="P1294" i="10"/>
  <c r="O1294" i="10"/>
  <c r="P1293" i="10"/>
  <c r="O1293" i="10"/>
  <c r="P1292" i="10"/>
  <c r="O1292" i="10"/>
  <c r="P1291" i="10"/>
  <c r="O1291" i="10"/>
  <c r="P1290" i="10"/>
  <c r="O1290" i="10"/>
  <c r="C1290" i="10"/>
  <c r="D1290" i="10"/>
  <c r="E1290" i="10"/>
  <c r="P1289" i="10"/>
  <c r="O1289" i="10"/>
  <c r="P1288" i="10"/>
  <c r="O1288" i="10"/>
  <c r="P1287" i="10"/>
  <c r="O1287" i="10"/>
  <c r="P1286" i="10"/>
  <c r="O1286" i="10"/>
  <c r="P1285" i="10"/>
  <c r="O1285" i="10"/>
  <c r="P1284" i="10"/>
  <c r="O1284" i="10"/>
  <c r="P1283" i="10"/>
  <c r="O1283" i="10"/>
  <c r="C1283" i="10"/>
  <c r="P1282" i="10"/>
  <c r="O1282" i="10"/>
  <c r="P1281" i="10"/>
  <c r="O1281" i="10"/>
  <c r="P1280" i="10"/>
  <c r="O1280" i="10"/>
  <c r="P1279" i="10"/>
  <c r="O1279" i="10"/>
  <c r="P1278" i="10"/>
  <c r="O1278" i="10"/>
  <c r="P1277" i="10"/>
  <c r="O1277" i="10"/>
  <c r="P1276" i="10"/>
  <c r="O1276" i="10"/>
  <c r="C1276" i="10"/>
  <c r="D1276" i="10"/>
  <c r="E1276" i="10"/>
  <c r="P1275" i="10"/>
  <c r="O1275" i="10"/>
  <c r="P1274" i="10"/>
  <c r="O1274" i="10"/>
  <c r="P1273" i="10"/>
  <c r="O1273" i="10"/>
  <c r="P1272" i="10"/>
  <c r="O1272" i="10"/>
  <c r="P1271" i="10"/>
  <c r="O1271" i="10"/>
  <c r="P1270" i="10"/>
  <c r="O1270" i="10"/>
  <c r="P1269" i="10"/>
  <c r="O1269" i="10"/>
  <c r="C1269" i="10"/>
  <c r="P1268" i="10"/>
  <c r="O1268" i="10"/>
  <c r="P1267" i="10"/>
  <c r="O1267" i="10"/>
  <c r="P1266" i="10"/>
  <c r="O1266" i="10"/>
  <c r="P1265" i="10"/>
  <c r="O1265" i="10"/>
  <c r="P1264" i="10"/>
  <c r="O1264" i="10"/>
  <c r="P1263" i="10"/>
  <c r="O1263" i="10"/>
  <c r="P1262" i="10"/>
  <c r="O1262" i="10"/>
  <c r="D1262" i="10"/>
  <c r="E1262" i="10"/>
  <c r="P1261" i="10"/>
  <c r="O1261" i="10"/>
  <c r="P1260" i="10"/>
  <c r="O1260" i="10"/>
  <c r="P1259" i="10"/>
  <c r="O1259" i="10"/>
  <c r="P1258" i="10"/>
  <c r="O1258" i="10"/>
  <c r="P1257" i="10"/>
  <c r="O1257" i="10"/>
  <c r="P1256" i="10"/>
  <c r="O1256" i="10"/>
  <c r="P1255" i="10"/>
  <c r="D1255" i="10"/>
  <c r="E1255" i="10"/>
  <c r="O1255" i="10"/>
  <c r="C1255" i="10"/>
  <c r="P1254" i="10"/>
  <c r="O1254" i="10"/>
  <c r="P1253" i="10"/>
  <c r="O1253" i="10"/>
  <c r="P1252" i="10"/>
  <c r="O1252" i="10"/>
  <c r="P1251" i="10"/>
  <c r="O1251" i="10"/>
  <c r="P1250" i="10"/>
  <c r="O1250" i="10"/>
  <c r="P1249" i="10"/>
  <c r="O1249" i="10"/>
  <c r="P1248" i="10"/>
  <c r="O1248" i="10"/>
  <c r="D1248" i="10"/>
  <c r="E1248" i="10"/>
  <c r="P1247" i="10"/>
  <c r="O1247" i="10"/>
  <c r="P1246" i="10"/>
  <c r="O1246" i="10"/>
  <c r="P1245" i="10"/>
  <c r="O1245" i="10"/>
  <c r="P1244" i="10"/>
  <c r="O1244" i="10"/>
  <c r="P1243" i="10"/>
  <c r="O1243" i="10"/>
  <c r="P1242" i="10"/>
  <c r="O1242" i="10"/>
  <c r="P1241" i="10"/>
  <c r="D1241" i="10"/>
  <c r="E1241" i="10"/>
  <c r="O1241" i="10"/>
  <c r="C1241" i="10"/>
  <c r="P1240" i="10"/>
  <c r="O1240" i="10"/>
  <c r="P1239" i="10"/>
  <c r="O1239" i="10"/>
  <c r="P1238" i="10"/>
  <c r="O1238" i="10"/>
  <c r="P1237" i="10"/>
  <c r="O1237" i="10"/>
  <c r="P1236" i="10"/>
  <c r="O1236" i="10"/>
  <c r="P1235" i="10"/>
  <c r="O1235" i="10"/>
  <c r="P1234" i="10"/>
  <c r="O1234" i="10"/>
  <c r="C1234" i="10"/>
  <c r="D1234" i="10"/>
  <c r="E1234" i="10"/>
  <c r="P1233" i="10"/>
  <c r="O1233" i="10"/>
  <c r="P1232" i="10"/>
  <c r="O1232" i="10"/>
  <c r="P1231" i="10"/>
  <c r="O1231" i="10"/>
  <c r="P1230" i="10"/>
  <c r="O1230" i="10"/>
  <c r="P1229" i="10"/>
  <c r="O1229" i="10"/>
  <c r="P1228" i="10"/>
  <c r="O1228" i="10"/>
  <c r="P1227" i="10"/>
  <c r="O1227" i="10"/>
  <c r="C1227" i="10"/>
  <c r="P1225" i="10"/>
  <c r="O1225" i="10"/>
  <c r="P1224" i="10"/>
  <c r="O1224" i="10"/>
  <c r="P1223" i="10"/>
  <c r="O1223" i="10"/>
  <c r="P1222" i="10"/>
  <c r="O1222" i="10"/>
  <c r="P1221" i="10"/>
  <c r="O1221" i="10"/>
  <c r="P1220" i="10"/>
  <c r="O1220" i="10"/>
  <c r="P1219" i="10"/>
  <c r="O1219" i="10"/>
  <c r="C1219" i="10"/>
  <c r="C1218" i="10"/>
  <c r="D1219" i="10"/>
  <c r="P1217" i="10"/>
  <c r="O1217" i="10"/>
  <c r="P1216" i="10"/>
  <c r="O1216" i="10"/>
  <c r="P1215" i="10"/>
  <c r="O1215" i="10"/>
  <c r="P1214" i="10"/>
  <c r="O1214" i="10"/>
  <c r="P1213" i="10"/>
  <c r="O1213" i="10"/>
  <c r="P1212" i="10"/>
  <c r="O1212" i="10"/>
  <c r="P1211" i="10"/>
  <c r="O1211" i="10"/>
  <c r="C1211" i="10"/>
  <c r="D1211" i="10"/>
  <c r="E1211" i="10"/>
  <c r="P1210" i="10"/>
  <c r="O1210" i="10"/>
  <c r="P1209" i="10"/>
  <c r="O1209" i="10"/>
  <c r="P1208" i="10"/>
  <c r="O1208" i="10"/>
  <c r="P1207" i="10"/>
  <c r="O1207" i="10"/>
  <c r="P1206" i="10"/>
  <c r="O1206" i="10"/>
  <c r="P1205" i="10"/>
  <c r="O1205" i="10"/>
  <c r="P1204" i="10"/>
  <c r="O1204" i="10"/>
  <c r="C1204" i="10"/>
  <c r="P1202" i="10"/>
  <c r="O1202" i="10"/>
  <c r="P1201" i="10"/>
  <c r="O1201" i="10"/>
  <c r="P1200" i="10"/>
  <c r="O1200" i="10"/>
  <c r="P1199" i="10"/>
  <c r="O1199" i="10"/>
  <c r="P1198" i="10"/>
  <c r="O1198" i="10"/>
  <c r="P1197" i="10"/>
  <c r="O1197" i="10"/>
  <c r="P1196" i="10"/>
  <c r="O1196" i="10"/>
  <c r="C1196" i="10"/>
  <c r="C1195" i="10"/>
  <c r="P1194" i="10"/>
  <c r="O1194" i="10"/>
  <c r="P1193" i="10"/>
  <c r="O1193" i="10"/>
  <c r="P1192" i="10"/>
  <c r="O1192" i="10"/>
  <c r="P1191" i="10"/>
  <c r="O1191" i="10"/>
  <c r="P1190" i="10"/>
  <c r="O1190" i="10"/>
  <c r="P1189" i="10"/>
  <c r="O1189" i="10"/>
  <c r="P1188" i="10"/>
  <c r="D1188" i="10"/>
  <c r="E1188" i="10"/>
  <c r="O1188" i="10"/>
  <c r="C1188" i="10"/>
  <c r="P1187" i="10"/>
  <c r="O1187" i="10"/>
  <c r="P1186" i="10"/>
  <c r="O1186" i="10"/>
  <c r="P1185" i="10"/>
  <c r="O1185" i="10"/>
  <c r="P1184" i="10"/>
  <c r="O1184" i="10"/>
  <c r="P1183" i="10"/>
  <c r="O1183" i="10"/>
  <c r="P1182" i="10"/>
  <c r="O1182" i="10"/>
  <c r="P1181" i="10"/>
  <c r="O1181" i="10"/>
  <c r="C1181" i="10"/>
  <c r="D1181" i="10"/>
  <c r="E1181" i="10"/>
  <c r="P1180" i="10"/>
  <c r="O1180" i="10"/>
  <c r="P1179" i="10"/>
  <c r="O1179" i="10"/>
  <c r="P1178" i="10"/>
  <c r="O1178" i="10"/>
  <c r="P1177" i="10"/>
  <c r="O1177" i="10"/>
  <c r="P1176" i="10"/>
  <c r="O1176" i="10"/>
  <c r="P1175" i="10"/>
  <c r="O1175" i="10"/>
  <c r="P1174" i="10"/>
  <c r="D1174" i="10"/>
  <c r="E1174" i="10"/>
  <c r="O1174" i="10"/>
  <c r="C1174" i="10"/>
  <c r="P1173" i="10"/>
  <c r="O1173" i="10"/>
  <c r="P1172" i="10"/>
  <c r="O1172" i="10"/>
  <c r="P1171" i="10"/>
  <c r="O1171" i="10"/>
  <c r="P1170" i="10"/>
  <c r="O1170" i="10"/>
  <c r="P1169" i="10"/>
  <c r="O1169" i="10"/>
  <c r="P1168" i="10"/>
  <c r="O1168" i="10"/>
  <c r="P1167" i="10"/>
  <c r="O1167" i="10"/>
  <c r="D1167" i="10"/>
  <c r="E1167" i="10"/>
  <c r="P1166" i="10"/>
  <c r="O1166" i="10"/>
  <c r="P1165" i="10"/>
  <c r="O1165" i="10"/>
  <c r="P1164" i="10"/>
  <c r="O1164" i="10"/>
  <c r="P1163" i="10"/>
  <c r="O1163" i="10"/>
  <c r="P1162" i="10"/>
  <c r="O1162" i="10"/>
  <c r="P1161" i="10"/>
  <c r="O1161" i="10"/>
  <c r="P1160" i="10"/>
  <c r="D1160" i="10"/>
  <c r="E1160" i="10"/>
  <c r="O1160" i="10"/>
  <c r="C1160" i="10"/>
  <c r="P1159" i="10"/>
  <c r="O1159" i="10"/>
  <c r="P1158" i="10"/>
  <c r="O1158" i="10"/>
  <c r="P1157" i="10"/>
  <c r="O1157" i="10"/>
  <c r="P1156" i="10"/>
  <c r="O1156" i="10"/>
  <c r="P1155" i="10"/>
  <c r="O1155" i="10"/>
  <c r="P1154" i="10"/>
  <c r="O1154" i="10"/>
  <c r="P1153" i="10"/>
  <c r="O1153" i="10"/>
  <c r="C1153" i="10"/>
  <c r="D1153" i="10"/>
  <c r="E1153" i="10"/>
  <c r="P1152" i="10"/>
  <c r="O1152" i="10"/>
  <c r="P1151" i="10"/>
  <c r="O1151" i="10"/>
  <c r="P1150" i="10"/>
  <c r="O1150" i="10"/>
  <c r="P1149" i="10"/>
  <c r="O1149" i="10"/>
  <c r="P1148" i="10"/>
  <c r="O1148" i="10"/>
  <c r="P1147" i="10"/>
  <c r="O1147" i="10"/>
  <c r="P1146" i="10"/>
  <c r="D1146" i="10"/>
  <c r="E1146" i="10"/>
  <c r="O1146" i="10"/>
  <c r="C1146" i="10"/>
  <c r="P1145" i="10"/>
  <c r="O1145" i="10"/>
  <c r="P1144" i="10"/>
  <c r="O1144" i="10"/>
  <c r="P1143" i="10"/>
  <c r="O1143" i="10"/>
  <c r="P1142" i="10"/>
  <c r="O1142" i="10"/>
  <c r="P1141" i="10"/>
  <c r="O1141" i="10"/>
  <c r="P1140" i="10"/>
  <c r="O1140" i="10"/>
  <c r="P1139" i="10"/>
  <c r="O1139" i="10"/>
  <c r="C1139" i="10"/>
  <c r="D1139" i="10"/>
  <c r="E1139" i="10"/>
  <c r="P1138" i="10"/>
  <c r="O1138" i="10"/>
  <c r="P1137" i="10"/>
  <c r="O1137" i="10"/>
  <c r="P1136" i="10"/>
  <c r="O1136" i="10"/>
  <c r="P1135" i="10"/>
  <c r="O1135" i="10"/>
  <c r="P1134" i="10"/>
  <c r="O1134" i="10"/>
  <c r="P1133" i="10"/>
  <c r="O1133" i="10"/>
  <c r="P1132" i="10"/>
  <c r="O1132" i="10"/>
  <c r="C1132" i="10"/>
  <c r="P1131" i="10"/>
  <c r="O1131" i="10"/>
  <c r="P1130" i="10"/>
  <c r="O1130" i="10"/>
  <c r="P1129" i="10"/>
  <c r="O1129" i="10"/>
  <c r="P1128" i="10"/>
  <c r="O1128" i="10"/>
  <c r="P1127" i="10"/>
  <c r="O1127" i="10"/>
  <c r="P1126" i="10"/>
  <c r="O1126" i="10"/>
  <c r="P1125" i="10"/>
  <c r="O1125" i="10"/>
  <c r="C1125" i="10"/>
  <c r="D1125" i="10"/>
  <c r="E1125" i="10"/>
  <c r="P1124" i="10"/>
  <c r="O1124" i="10"/>
  <c r="P1123" i="10"/>
  <c r="O1123" i="10"/>
  <c r="P1122" i="10"/>
  <c r="O1122" i="10"/>
  <c r="P1121" i="10"/>
  <c r="O1121" i="10"/>
  <c r="P1120" i="10"/>
  <c r="O1120" i="10"/>
  <c r="P1119" i="10"/>
  <c r="O1119" i="10"/>
  <c r="P1118" i="10"/>
  <c r="D1118" i="10"/>
  <c r="E1118" i="10"/>
  <c r="O1118" i="10"/>
  <c r="C1118" i="10"/>
  <c r="P1117" i="10"/>
  <c r="O1117" i="10"/>
  <c r="P1116" i="10"/>
  <c r="O1116" i="10"/>
  <c r="P1115" i="10"/>
  <c r="O1115" i="10"/>
  <c r="P1114" i="10"/>
  <c r="O1114" i="10"/>
  <c r="P1113" i="10"/>
  <c r="O1113" i="10"/>
  <c r="P1112" i="10"/>
  <c r="O1112" i="10"/>
  <c r="P1111" i="10"/>
  <c r="O1111" i="10"/>
  <c r="C1111" i="10"/>
  <c r="D1111" i="10"/>
  <c r="E1111" i="10"/>
  <c r="P1110" i="10"/>
  <c r="O1110" i="10"/>
  <c r="P1109" i="10"/>
  <c r="O1109" i="10"/>
  <c r="P1108" i="10"/>
  <c r="O1108" i="10"/>
  <c r="P1107" i="10"/>
  <c r="O1107" i="10"/>
  <c r="P1106" i="10"/>
  <c r="O1106" i="10"/>
  <c r="P1105" i="10"/>
  <c r="O1105" i="10"/>
  <c r="P1104" i="10"/>
  <c r="O1104" i="10"/>
  <c r="C1104" i="10"/>
  <c r="P1103" i="10"/>
  <c r="O1103" i="10"/>
  <c r="P1102" i="10"/>
  <c r="O1102" i="10"/>
  <c r="P1101" i="10"/>
  <c r="O1101" i="10"/>
  <c r="P1100" i="10"/>
  <c r="O1100" i="10"/>
  <c r="P1099" i="10"/>
  <c r="O1099" i="10"/>
  <c r="P1098" i="10"/>
  <c r="O1098" i="10"/>
  <c r="P1097" i="10"/>
  <c r="O1097" i="10"/>
  <c r="C1097" i="10"/>
  <c r="D1097" i="10"/>
  <c r="E1097" i="10"/>
  <c r="P1096" i="10"/>
  <c r="O1096" i="10"/>
  <c r="P1095" i="10"/>
  <c r="O1095" i="10"/>
  <c r="P1094" i="10"/>
  <c r="O1094" i="10"/>
  <c r="P1093" i="10"/>
  <c r="O1093" i="10"/>
  <c r="P1092" i="10"/>
  <c r="O1092" i="10"/>
  <c r="P1091" i="10"/>
  <c r="O1091" i="10"/>
  <c r="P1090" i="10"/>
  <c r="D1090" i="10"/>
  <c r="E1090" i="10"/>
  <c r="O1090" i="10"/>
  <c r="C1090" i="10"/>
  <c r="P1089" i="10"/>
  <c r="O1089" i="10"/>
  <c r="P1088" i="10"/>
  <c r="O1088" i="10"/>
  <c r="P1087" i="10"/>
  <c r="O1087" i="10"/>
  <c r="P1086" i="10"/>
  <c r="O1086" i="10"/>
  <c r="P1085" i="10"/>
  <c r="O1085" i="10"/>
  <c r="P1084" i="10"/>
  <c r="O1084" i="10"/>
  <c r="P1083" i="10"/>
  <c r="O1083" i="10"/>
  <c r="D1083" i="10"/>
  <c r="E1083" i="10"/>
  <c r="P1082" i="10"/>
  <c r="O1082" i="10"/>
  <c r="P1081" i="10"/>
  <c r="O1081" i="10"/>
  <c r="P1080" i="10"/>
  <c r="O1080" i="10"/>
  <c r="P1079" i="10"/>
  <c r="O1079" i="10"/>
  <c r="P1078" i="10"/>
  <c r="O1078" i="10"/>
  <c r="P1077" i="10"/>
  <c r="O1077" i="10"/>
  <c r="P1076" i="10"/>
  <c r="D1076" i="10"/>
  <c r="E1076" i="10"/>
  <c r="O1076" i="10"/>
  <c r="C1076" i="10"/>
  <c r="P1075" i="10"/>
  <c r="O1075" i="10"/>
  <c r="P1074" i="10"/>
  <c r="O1074" i="10"/>
  <c r="P1073" i="10"/>
  <c r="O1073" i="10"/>
  <c r="P1072" i="10"/>
  <c r="O1072" i="10"/>
  <c r="P1071" i="10"/>
  <c r="O1071" i="10"/>
  <c r="P1070" i="10"/>
  <c r="O1070" i="10"/>
  <c r="P1069" i="10"/>
  <c r="O1069" i="10"/>
  <c r="C1069" i="10"/>
  <c r="D1069" i="10"/>
  <c r="E1069" i="10"/>
  <c r="P1068" i="10"/>
  <c r="O1068" i="10"/>
  <c r="P1067" i="10"/>
  <c r="O1067" i="10"/>
  <c r="P1066" i="10"/>
  <c r="O1066" i="10"/>
  <c r="P1065" i="10"/>
  <c r="O1065" i="10"/>
  <c r="P1064" i="10"/>
  <c r="O1064" i="10"/>
  <c r="P1063" i="10"/>
  <c r="O1063" i="10"/>
  <c r="P1062" i="10"/>
  <c r="D1062" i="10"/>
  <c r="E1062" i="10"/>
  <c r="O1062" i="10"/>
  <c r="C1062" i="10"/>
  <c r="P1061" i="10"/>
  <c r="O1061" i="10"/>
  <c r="P1060" i="10"/>
  <c r="O1060" i="10"/>
  <c r="P1059" i="10"/>
  <c r="O1059" i="10"/>
  <c r="P1058" i="10"/>
  <c r="O1058" i="10"/>
  <c r="P1057" i="10"/>
  <c r="O1057" i="10"/>
  <c r="P1056" i="10"/>
  <c r="O1056" i="10"/>
  <c r="P1055" i="10"/>
  <c r="O1055" i="10"/>
  <c r="D1055" i="10"/>
  <c r="E1055" i="10"/>
  <c r="P1054" i="10"/>
  <c r="O1054" i="10"/>
  <c r="P1053" i="10"/>
  <c r="O1053" i="10"/>
  <c r="P1052" i="10"/>
  <c r="O1052" i="10"/>
  <c r="P1051" i="10"/>
  <c r="O1051" i="10"/>
  <c r="P1050" i="10"/>
  <c r="O1050" i="10"/>
  <c r="P1049" i="10"/>
  <c r="O1049" i="10"/>
  <c r="P1048" i="10"/>
  <c r="D1048" i="10"/>
  <c r="E1048" i="10"/>
  <c r="O1048" i="10"/>
  <c r="C1048" i="10"/>
  <c r="P1047" i="10"/>
  <c r="O1047" i="10"/>
  <c r="P1046" i="10"/>
  <c r="O1046" i="10"/>
  <c r="P1045" i="10"/>
  <c r="O1045" i="10"/>
  <c r="P1044" i="10"/>
  <c r="O1044" i="10"/>
  <c r="P1043" i="10"/>
  <c r="O1043" i="10"/>
  <c r="P1042" i="10"/>
  <c r="O1042" i="10"/>
  <c r="P1041" i="10"/>
  <c r="O1041" i="10"/>
  <c r="C1041" i="10"/>
  <c r="D1041" i="10"/>
  <c r="E1041" i="10"/>
  <c r="P1040" i="10"/>
  <c r="O1040" i="10"/>
  <c r="P1039" i="10"/>
  <c r="O1039" i="10"/>
  <c r="P1038" i="10"/>
  <c r="O1038" i="10"/>
  <c r="P1037" i="10"/>
  <c r="O1037" i="10"/>
  <c r="P1036" i="10"/>
  <c r="O1036" i="10"/>
  <c r="P1035" i="10"/>
  <c r="O1035" i="10"/>
  <c r="P1034" i="10"/>
  <c r="D1034" i="10"/>
  <c r="E1034" i="10"/>
  <c r="O1034" i="10"/>
  <c r="C1034" i="10"/>
  <c r="P1033" i="10"/>
  <c r="O1033" i="10"/>
  <c r="P1032" i="10"/>
  <c r="O1032" i="10"/>
  <c r="P1031" i="10"/>
  <c r="O1031" i="10"/>
  <c r="P1030" i="10"/>
  <c r="O1030" i="10"/>
  <c r="P1029" i="10"/>
  <c r="O1029" i="10"/>
  <c r="P1028" i="10"/>
  <c r="O1028" i="10"/>
  <c r="P1027" i="10"/>
  <c r="O1027" i="10"/>
  <c r="C1027" i="10"/>
  <c r="D1027" i="10"/>
  <c r="E1027" i="10"/>
  <c r="P1026" i="10"/>
  <c r="O1026" i="10"/>
  <c r="P1025" i="10"/>
  <c r="O1025" i="10"/>
  <c r="P1024" i="10"/>
  <c r="O1024" i="10"/>
  <c r="P1023" i="10"/>
  <c r="O1023" i="10"/>
  <c r="P1022" i="10"/>
  <c r="O1022" i="10"/>
  <c r="P1021" i="10"/>
  <c r="O1021" i="10"/>
  <c r="P1020" i="10"/>
  <c r="O1020" i="10"/>
  <c r="C1020" i="10"/>
  <c r="P1019" i="10"/>
  <c r="O1019" i="10"/>
  <c r="P1018" i="10"/>
  <c r="O1018" i="10"/>
  <c r="P1017" i="10"/>
  <c r="O1017" i="10"/>
  <c r="P1016" i="10"/>
  <c r="O1016" i="10"/>
  <c r="P1015" i="10"/>
  <c r="O1015" i="10"/>
  <c r="P1014" i="10"/>
  <c r="O1014" i="10"/>
  <c r="P1013" i="10"/>
  <c r="O1013" i="10"/>
  <c r="C1013" i="10"/>
  <c r="D1013" i="10"/>
  <c r="E1013" i="10"/>
  <c r="P1012" i="10"/>
  <c r="O1012" i="10"/>
  <c r="P1011" i="10"/>
  <c r="O1011" i="10"/>
  <c r="P1010" i="10"/>
  <c r="O1010" i="10"/>
  <c r="P1009" i="10"/>
  <c r="O1009" i="10"/>
  <c r="P1008" i="10"/>
  <c r="O1008" i="10"/>
  <c r="P1007" i="10"/>
  <c r="O1007" i="10"/>
  <c r="P1006" i="10"/>
  <c r="D1006" i="10"/>
  <c r="E1006" i="10"/>
  <c r="O1006" i="10"/>
  <c r="C1006" i="10"/>
  <c r="P1005" i="10"/>
  <c r="O1005" i="10"/>
  <c r="P1004" i="10"/>
  <c r="O1004" i="10"/>
  <c r="P1003" i="10"/>
  <c r="O1003" i="10"/>
  <c r="P1002" i="10"/>
  <c r="O1002" i="10"/>
  <c r="P1001" i="10"/>
  <c r="O1001" i="10"/>
  <c r="P1000" i="10"/>
  <c r="O1000" i="10"/>
  <c r="P999" i="10"/>
  <c r="O999" i="10"/>
  <c r="C999" i="10"/>
  <c r="D999" i="10"/>
  <c r="E999" i="10"/>
  <c r="P998" i="10"/>
  <c r="O998" i="10"/>
  <c r="P997" i="10"/>
  <c r="O997" i="10"/>
  <c r="P996" i="10"/>
  <c r="O996" i="10"/>
  <c r="P995" i="10"/>
  <c r="O995" i="10"/>
  <c r="P994" i="10"/>
  <c r="O994" i="10"/>
  <c r="P993" i="10"/>
  <c r="O993" i="10"/>
  <c r="P992" i="10"/>
  <c r="O992" i="10"/>
  <c r="C992" i="10"/>
  <c r="P991" i="10"/>
  <c r="O991" i="10"/>
  <c r="P990" i="10"/>
  <c r="O990" i="10"/>
  <c r="P989" i="10"/>
  <c r="O989" i="10"/>
  <c r="P988" i="10"/>
  <c r="O988" i="10"/>
  <c r="P987" i="10"/>
  <c r="O987" i="10"/>
  <c r="P986" i="10"/>
  <c r="O986" i="10"/>
  <c r="P985" i="10"/>
  <c r="O985" i="10"/>
  <c r="C985" i="10"/>
  <c r="D985" i="10"/>
  <c r="E985" i="10"/>
  <c r="P984" i="10"/>
  <c r="O984" i="10"/>
  <c r="P983" i="10"/>
  <c r="O983" i="10"/>
  <c r="P982" i="10"/>
  <c r="O982" i="10"/>
  <c r="P981" i="10"/>
  <c r="O981" i="10"/>
  <c r="P980" i="10"/>
  <c r="O980" i="10"/>
  <c r="P979" i="10"/>
  <c r="O979" i="10"/>
  <c r="P978" i="10"/>
  <c r="D978" i="10"/>
  <c r="E978" i="10"/>
  <c r="O978" i="10"/>
  <c r="C978" i="10"/>
  <c r="P977" i="10"/>
  <c r="O977" i="10"/>
  <c r="P976" i="10"/>
  <c r="O976" i="10"/>
  <c r="P975" i="10"/>
  <c r="O975" i="10"/>
  <c r="P974" i="10"/>
  <c r="O974" i="10"/>
  <c r="P973" i="10"/>
  <c r="O973" i="10"/>
  <c r="P972" i="10"/>
  <c r="O972" i="10"/>
  <c r="P971" i="10"/>
  <c r="O971" i="10"/>
  <c r="D971" i="10"/>
  <c r="E971" i="10"/>
  <c r="P970" i="10"/>
  <c r="O970" i="10"/>
  <c r="P969" i="10"/>
  <c r="O969" i="10"/>
  <c r="P968" i="10"/>
  <c r="O968" i="10"/>
  <c r="P967" i="10"/>
  <c r="O967" i="10"/>
  <c r="P966" i="10"/>
  <c r="O966" i="10"/>
  <c r="P965" i="10"/>
  <c r="O965" i="10"/>
  <c r="P964" i="10"/>
  <c r="D964" i="10"/>
  <c r="E964" i="10"/>
  <c r="O964" i="10"/>
  <c r="C964" i="10"/>
  <c r="P963" i="10"/>
  <c r="O963" i="10"/>
  <c r="P962" i="10"/>
  <c r="O962" i="10"/>
  <c r="P961" i="10"/>
  <c r="O961" i="10"/>
  <c r="P960" i="10"/>
  <c r="O960" i="10"/>
  <c r="P959" i="10"/>
  <c r="O959" i="10"/>
  <c r="P958" i="10"/>
  <c r="O958" i="10"/>
  <c r="P957" i="10"/>
  <c r="O957" i="10"/>
  <c r="C957" i="10"/>
  <c r="D957" i="10"/>
  <c r="E957" i="10"/>
  <c r="P956" i="10"/>
  <c r="O956" i="10"/>
  <c r="P955" i="10"/>
  <c r="O955" i="10"/>
  <c r="P954" i="10"/>
  <c r="O954" i="10"/>
  <c r="P953" i="10"/>
  <c r="O953" i="10"/>
  <c r="P952" i="10"/>
  <c r="O952" i="10"/>
  <c r="P951" i="10"/>
  <c r="O951" i="10"/>
  <c r="P950" i="10"/>
  <c r="D950" i="10"/>
  <c r="E950" i="10"/>
  <c r="O950" i="10"/>
  <c r="C950" i="10"/>
  <c r="P949" i="10"/>
  <c r="O949" i="10"/>
  <c r="P948" i="10"/>
  <c r="O948" i="10"/>
  <c r="P947" i="10"/>
  <c r="O947" i="10"/>
  <c r="P946" i="10"/>
  <c r="O946" i="10"/>
  <c r="P945" i="10"/>
  <c r="O945" i="10"/>
  <c r="P944" i="10"/>
  <c r="O944" i="10"/>
  <c r="P943" i="10"/>
  <c r="O943" i="10"/>
  <c r="D943" i="10"/>
  <c r="E943" i="10"/>
  <c r="P942" i="10"/>
  <c r="O942" i="10"/>
  <c r="P941" i="10"/>
  <c r="O941" i="10"/>
  <c r="P940" i="10"/>
  <c r="O940" i="10"/>
  <c r="P939" i="10"/>
  <c r="O939" i="10"/>
  <c r="P938" i="10"/>
  <c r="O938" i="10"/>
  <c r="P937" i="10"/>
  <c r="O937" i="10"/>
  <c r="P936" i="10"/>
  <c r="D936" i="10"/>
  <c r="E936" i="10"/>
  <c r="O936" i="10"/>
  <c r="C936" i="10"/>
  <c r="P935" i="10"/>
  <c r="O935" i="10"/>
  <c r="P934" i="10"/>
  <c r="O934" i="10"/>
  <c r="P933" i="10"/>
  <c r="O933" i="10"/>
  <c r="P932" i="10"/>
  <c r="O932" i="10"/>
  <c r="P931" i="10"/>
  <c r="O931" i="10"/>
  <c r="P930" i="10"/>
  <c r="O930" i="10"/>
  <c r="P929" i="10"/>
  <c r="O929" i="10"/>
  <c r="C929" i="10"/>
  <c r="D929" i="10"/>
  <c r="E929" i="10"/>
  <c r="P928" i="10"/>
  <c r="O928" i="10"/>
  <c r="P927" i="10"/>
  <c r="O927" i="10"/>
  <c r="P926" i="10"/>
  <c r="O926" i="10"/>
  <c r="P925" i="10"/>
  <c r="O925" i="10"/>
  <c r="P924" i="10"/>
  <c r="O924" i="10"/>
  <c r="P923" i="10"/>
  <c r="O923" i="10"/>
  <c r="P922" i="10"/>
  <c r="D922" i="10"/>
  <c r="E922" i="10"/>
  <c r="O922" i="10"/>
  <c r="C922" i="10"/>
  <c r="P921" i="10"/>
  <c r="O921" i="10"/>
  <c r="P920" i="10"/>
  <c r="O920" i="10"/>
  <c r="P919" i="10"/>
  <c r="O919" i="10"/>
  <c r="P918" i="10"/>
  <c r="O918" i="10"/>
  <c r="P917" i="10"/>
  <c r="O917" i="10"/>
  <c r="P916" i="10"/>
  <c r="O916" i="10"/>
  <c r="P915" i="10"/>
  <c r="O915" i="10"/>
  <c r="C915" i="10"/>
  <c r="D915" i="10"/>
  <c r="E915" i="10"/>
  <c r="P914" i="10"/>
  <c r="O914" i="10"/>
  <c r="P913" i="10"/>
  <c r="O913" i="10"/>
  <c r="P912" i="10"/>
  <c r="O912" i="10"/>
  <c r="P911" i="10"/>
  <c r="O911" i="10"/>
  <c r="P910" i="10"/>
  <c r="O910" i="10"/>
  <c r="P909" i="10"/>
  <c r="O909" i="10"/>
  <c r="P908" i="10"/>
  <c r="O908" i="10"/>
  <c r="C908" i="10"/>
  <c r="P907" i="10"/>
  <c r="O907" i="10"/>
  <c r="P906" i="10"/>
  <c r="O906" i="10"/>
  <c r="P905" i="10"/>
  <c r="O905" i="10"/>
  <c r="P904" i="10"/>
  <c r="O904" i="10"/>
  <c r="P903" i="10"/>
  <c r="O903" i="10"/>
  <c r="P902" i="10"/>
  <c r="O902" i="10"/>
  <c r="P901" i="10"/>
  <c r="O901" i="10"/>
  <c r="C901" i="10"/>
  <c r="D901" i="10"/>
  <c r="E901" i="10"/>
  <c r="P900" i="10"/>
  <c r="O900" i="10"/>
  <c r="P899" i="10"/>
  <c r="O899" i="10"/>
  <c r="P898" i="10"/>
  <c r="O898" i="10"/>
  <c r="P897" i="10"/>
  <c r="O897" i="10"/>
  <c r="P896" i="10"/>
  <c r="O896" i="10"/>
  <c r="P895" i="10"/>
  <c r="O895" i="10"/>
  <c r="P894" i="10"/>
  <c r="D894" i="10"/>
  <c r="E894" i="10"/>
  <c r="O894" i="10"/>
  <c r="C894" i="10"/>
  <c r="P893" i="10"/>
  <c r="O893" i="10"/>
  <c r="P892" i="10"/>
  <c r="O892" i="10"/>
  <c r="P891" i="10"/>
  <c r="O891" i="10"/>
  <c r="P890" i="10"/>
  <c r="O890" i="10"/>
  <c r="P889" i="10"/>
  <c r="O889" i="10"/>
  <c r="P888" i="10"/>
  <c r="O888" i="10"/>
  <c r="P887" i="10"/>
  <c r="O887" i="10"/>
  <c r="C887" i="10"/>
  <c r="D887" i="10"/>
  <c r="E887" i="10"/>
  <c r="P886" i="10"/>
  <c r="O886" i="10"/>
  <c r="P885" i="10"/>
  <c r="O885" i="10"/>
  <c r="P884" i="10"/>
  <c r="O884" i="10"/>
  <c r="P883" i="10"/>
  <c r="O883" i="10"/>
  <c r="P882" i="10"/>
  <c r="O882" i="10"/>
  <c r="P881" i="10"/>
  <c r="O881" i="10"/>
  <c r="P880" i="10"/>
  <c r="O880" i="10"/>
  <c r="C880" i="10"/>
  <c r="P879" i="10"/>
  <c r="O879" i="10"/>
  <c r="P878" i="10"/>
  <c r="O878" i="10"/>
  <c r="P877" i="10"/>
  <c r="O877" i="10"/>
  <c r="P876" i="10"/>
  <c r="O876" i="10"/>
  <c r="P875" i="10"/>
  <c r="O875" i="10"/>
  <c r="P874" i="10"/>
  <c r="O874" i="10"/>
  <c r="P873" i="10"/>
  <c r="O873" i="10"/>
  <c r="C873" i="10"/>
  <c r="D873" i="10"/>
  <c r="E873" i="10"/>
  <c r="P872" i="10"/>
  <c r="O872" i="10"/>
  <c r="P871" i="10"/>
  <c r="O871" i="10"/>
  <c r="P870" i="10"/>
  <c r="O870" i="10"/>
  <c r="P869" i="10"/>
  <c r="O869" i="10"/>
  <c r="P868" i="10"/>
  <c r="O868" i="10"/>
  <c r="P867" i="10"/>
  <c r="O867" i="10"/>
  <c r="P866" i="10"/>
  <c r="D866" i="10"/>
  <c r="E866" i="10"/>
  <c r="O866" i="10"/>
  <c r="C866" i="10"/>
  <c r="P865" i="10"/>
  <c r="O865" i="10"/>
  <c r="P864" i="10"/>
  <c r="O864" i="10"/>
  <c r="P863" i="10"/>
  <c r="O863" i="10"/>
  <c r="P862" i="10"/>
  <c r="O862" i="10"/>
  <c r="P861" i="10"/>
  <c r="O861" i="10"/>
  <c r="P860" i="10"/>
  <c r="O860" i="10"/>
  <c r="P859" i="10"/>
  <c r="O859" i="10"/>
  <c r="D859" i="10"/>
  <c r="E859" i="10"/>
  <c r="P858" i="10"/>
  <c r="O858" i="10"/>
  <c r="P857" i="10"/>
  <c r="O857" i="10"/>
  <c r="P856" i="10"/>
  <c r="O856" i="10"/>
  <c r="P855" i="10"/>
  <c r="O855" i="10"/>
  <c r="P854" i="10"/>
  <c r="O854" i="10"/>
  <c r="P853" i="10"/>
  <c r="O853" i="10"/>
  <c r="P852" i="10"/>
  <c r="D852" i="10"/>
  <c r="E852" i="10"/>
  <c r="O852" i="10"/>
  <c r="C852" i="10"/>
  <c r="P851" i="10"/>
  <c r="O851" i="10"/>
  <c r="P850" i="10"/>
  <c r="O850" i="10"/>
  <c r="P849" i="10"/>
  <c r="O849" i="10"/>
  <c r="P848" i="10"/>
  <c r="O848" i="10"/>
  <c r="P847" i="10"/>
  <c r="O847" i="10"/>
  <c r="P846" i="10"/>
  <c r="O846" i="10"/>
  <c r="P845" i="10"/>
  <c r="O845" i="10"/>
  <c r="C845" i="10"/>
  <c r="D845" i="10"/>
  <c r="E845" i="10"/>
  <c r="P844" i="10"/>
  <c r="O844" i="10"/>
  <c r="P843" i="10"/>
  <c r="O843" i="10"/>
  <c r="P842" i="10"/>
  <c r="O842" i="10"/>
  <c r="P841" i="10"/>
  <c r="O841" i="10"/>
  <c r="P840" i="10"/>
  <c r="O840" i="10"/>
  <c r="P839" i="10"/>
  <c r="O839" i="10"/>
  <c r="P838" i="10"/>
  <c r="D838" i="10"/>
  <c r="E838" i="10"/>
  <c r="O838" i="10"/>
  <c r="C838" i="10"/>
  <c r="P837" i="10"/>
  <c r="O837" i="10"/>
  <c r="P836" i="10"/>
  <c r="O836" i="10"/>
  <c r="P835" i="10"/>
  <c r="O835" i="10"/>
  <c r="P834" i="10"/>
  <c r="O834" i="10"/>
  <c r="P833" i="10"/>
  <c r="O833" i="10"/>
  <c r="P832" i="10"/>
  <c r="O832" i="10"/>
  <c r="P831" i="10"/>
  <c r="O831" i="10"/>
  <c r="D831" i="10"/>
  <c r="E831" i="10"/>
  <c r="P830" i="10"/>
  <c r="O830" i="10"/>
  <c r="P829" i="10"/>
  <c r="O829" i="10"/>
  <c r="P828" i="10"/>
  <c r="O828" i="10"/>
  <c r="P827" i="10"/>
  <c r="O827" i="10"/>
  <c r="P826" i="10"/>
  <c r="O826" i="10"/>
  <c r="P825" i="10"/>
  <c r="O825" i="10"/>
  <c r="P824" i="10"/>
  <c r="D824" i="10"/>
  <c r="E824" i="10"/>
  <c r="O824" i="10"/>
  <c r="C824" i="10"/>
  <c r="P823" i="10"/>
  <c r="O823" i="10"/>
  <c r="P822" i="10"/>
  <c r="O822" i="10"/>
  <c r="P821" i="10"/>
  <c r="O821" i="10"/>
  <c r="P820" i="10"/>
  <c r="O820" i="10"/>
  <c r="P819" i="10"/>
  <c r="O819" i="10"/>
  <c r="P818" i="10"/>
  <c r="O818" i="10"/>
  <c r="P817" i="10"/>
  <c r="O817" i="10"/>
  <c r="C817" i="10"/>
  <c r="D817" i="10"/>
  <c r="E817" i="10"/>
  <c r="P816" i="10"/>
  <c r="O816" i="10"/>
  <c r="P815" i="10"/>
  <c r="O815" i="10"/>
  <c r="P814" i="10"/>
  <c r="O814" i="10"/>
  <c r="P813" i="10"/>
  <c r="O813" i="10"/>
  <c r="P812" i="10"/>
  <c r="O812" i="10"/>
  <c r="P811" i="10"/>
  <c r="O811" i="10"/>
  <c r="P810" i="10"/>
  <c r="D810" i="10"/>
  <c r="E810" i="10"/>
  <c r="O810" i="10"/>
  <c r="C810" i="10"/>
  <c r="P809" i="10"/>
  <c r="O809" i="10"/>
  <c r="P808" i="10"/>
  <c r="O808" i="10"/>
  <c r="P807" i="10"/>
  <c r="O807" i="10"/>
  <c r="P806" i="10"/>
  <c r="O806" i="10"/>
  <c r="P805" i="10"/>
  <c r="O805" i="10"/>
  <c r="P804" i="10"/>
  <c r="O804" i="10"/>
  <c r="P803" i="10"/>
  <c r="O803" i="10"/>
  <c r="C803" i="10"/>
  <c r="D803" i="10"/>
  <c r="E803" i="10"/>
  <c r="P802" i="10"/>
  <c r="O802" i="10"/>
  <c r="P801" i="10"/>
  <c r="O801" i="10"/>
  <c r="P800" i="10"/>
  <c r="O800" i="10"/>
  <c r="P799" i="10"/>
  <c r="O799" i="10"/>
  <c r="P798" i="10"/>
  <c r="O798" i="10"/>
  <c r="P797" i="10"/>
  <c r="O797" i="10"/>
  <c r="P796" i="10"/>
  <c r="O796" i="10"/>
  <c r="C796" i="10"/>
  <c r="P795" i="10"/>
  <c r="O795" i="10"/>
  <c r="P794" i="10"/>
  <c r="O794" i="10"/>
  <c r="P793" i="10"/>
  <c r="O793" i="10"/>
  <c r="P792" i="10"/>
  <c r="O792" i="10"/>
  <c r="P791" i="10"/>
  <c r="O791" i="10"/>
  <c r="P790" i="10"/>
  <c r="O790" i="10"/>
  <c r="P789" i="10"/>
  <c r="O789" i="10"/>
  <c r="C789" i="10"/>
  <c r="D789" i="10"/>
  <c r="E789" i="10"/>
  <c r="P788" i="10"/>
  <c r="O788" i="10"/>
  <c r="P787" i="10"/>
  <c r="O787" i="10"/>
  <c r="P786" i="10"/>
  <c r="O786" i="10"/>
  <c r="P785" i="10"/>
  <c r="O785" i="10"/>
  <c r="P784" i="10"/>
  <c r="O784" i="10"/>
  <c r="P783" i="10"/>
  <c r="O783" i="10"/>
  <c r="P782" i="10"/>
  <c r="D782" i="10"/>
  <c r="E782" i="10"/>
  <c r="O782" i="10"/>
  <c r="C782" i="10"/>
  <c r="P781" i="10"/>
  <c r="O781" i="10"/>
  <c r="P780" i="10"/>
  <c r="O780" i="10"/>
  <c r="P779" i="10"/>
  <c r="O779" i="10"/>
  <c r="P778" i="10"/>
  <c r="O778" i="10"/>
  <c r="P777" i="10"/>
  <c r="O777" i="10"/>
  <c r="P776" i="10"/>
  <c r="O776" i="10"/>
  <c r="P775" i="10"/>
  <c r="O775" i="10"/>
  <c r="C775" i="10"/>
  <c r="D775" i="10"/>
  <c r="E775" i="10"/>
  <c r="P774" i="10"/>
  <c r="O774" i="10"/>
  <c r="P773" i="10"/>
  <c r="O773" i="10"/>
  <c r="P772" i="10"/>
  <c r="O772" i="10"/>
  <c r="P771" i="10"/>
  <c r="O771" i="10"/>
  <c r="P770" i="10"/>
  <c r="O770" i="10"/>
  <c r="P769" i="10"/>
  <c r="O769" i="10"/>
  <c r="P768" i="10"/>
  <c r="O768" i="10"/>
  <c r="C768" i="10"/>
  <c r="P767" i="10"/>
  <c r="O767" i="10"/>
  <c r="P766" i="10"/>
  <c r="O766" i="10"/>
  <c r="P765" i="10"/>
  <c r="O765" i="10"/>
  <c r="P764" i="10"/>
  <c r="O764" i="10"/>
  <c r="P763" i="10"/>
  <c r="O763" i="10"/>
  <c r="P762" i="10"/>
  <c r="O762" i="10"/>
  <c r="P761" i="10"/>
  <c r="O761" i="10"/>
  <c r="C761" i="10"/>
  <c r="D761" i="10"/>
  <c r="E761" i="10"/>
  <c r="P760" i="10"/>
  <c r="O760" i="10"/>
  <c r="P759" i="10"/>
  <c r="O759" i="10"/>
  <c r="P758" i="10"/>
  <c r="O758" i="10"/>
  <c r="P757" i="10"/>
  <c r="O757" i="10"/>
  <c r="P756" i="10"/>
  <c r="O756" i="10"/>
  <c r="P755" i="10"/>
  <c r="O755" i="10"/>
  <c r="P754" i="10"/>
  <c r="D754" i="10"/>
  <c r="E754" i="10"/>
  <c r="O754" i="10"/>
  <c r="C754" i="10"/>
  <c r="P753" i="10"/>
  <c r="O753" i="10"/>
  <c r="P752" i="10"/>
  <c r="O752" i="10"/>
  <c r="P751" i="10"/>
  <c r="O751" i="10"/>
  <c r="P750" i="10"/>
  <c r="O750" i="10"/>
  <c r="P749" i="10"/>
  <c r="O749" i="10"/>
  <c r="P748" i="10"/>
  <c r="O748" i="10"/>
  <c r="P747" i="10"/>
  <c r="O747" i="10"/>
  <c r="D747" i="10"/>
  <c r="P745" i="10"/>
  <c r="O745" i="10"/>
  <c r="P744" i="10"/>
  <c r="O744" i="10"/>
  <c r="P743" i="10"/>
  <c r="O743" i="10"/>
  <c r="P742" i="10"/>
  <c r="O742" i="10"/>
  <c r="P741" i="10"/>
  <c r="O741" i="10"/>
  <c r="P740" i="10"/>
  <c r="O740" i="10"/>
  <c r="P739" i="10"/>
  <c r="O739" i="10"/>
  <c r="D739" i="10"/>
  <c r="E739" i="10"/>
  <c r="P738" i="10"/>
  <c r="O738" i="10"/>
  <c r="P737" i="10"/>
  <c r="O737" i="10"/>
  <c r="P736" i="10"/>
  <c r="O736" i="10"/>
  <c r="P735" i="10"/>
  <c r="O735" i="10"/>
  <c r="P734" i="10"/>
  <c r="O734" i="10"/>
  <c r="P733" i="10"/>
  <c r="O733" i="10"/>
  <c r="P732" i="10"/>
  <c r="D732" i="10"/>
  <c r="E732" i="10"/>
  <c r="O732" i="10"/>
  <c r="C732" i="10"/>
  <c r="P731" i="10"/>
  <c r="O731" i="10"/>
  <c r="P730" i="10"/>
  <c r="O730" i="10"/>
  <c r="P729" i="10"/>
  <c r="O729" i="10"/>
  <c r="P728" i="10"/>
  <c r="O728" i="10"/>
  <c r="P727" i="10"/>
  <c r="O727" i="10"/>
  <c r="P726" i="10"/>
  <c r="O726" i="10"/>
  <c r="P725" i="10"/>
  <c r="O725" i="10"/>
  <c r="C725" i="10"/>
  <c r="D725" i="10"/>
  <c r="E725" i="10"/>
  <c r="P724" i="10"/>
  <c r="O724" i="10"/>
  <c r="P723" i="10"/>
  <c r="O723" i="10"/>
  <c r="P722" i="10"/>
  <c r="O722" i="10"/>
  <c r="P721" i="10"/>
  <c r="O721" i="10"/>
  <c r="P720" i="10"/>
  <c r="O720" i="10"/>
  <c r="P719" i="10"/>
  <c r="O719" i="10"/>
  <c r="P718" i="10"/>
  <c r="D718" i="10"/>
  <c r="E718" i="10"/>
  <c r="O718" i="10"/>
  <c r="C718" i="10"/>
  <c r="P717" i="10"/>
  <c r="O717" i="10"/>
  <c r="P716" i="10"/>
  <c r="O716" i="10"/>
  <c r="P715" i="10"/>
  <c r="O715" i="10"/>
  <c r="P714" i="10"/>
  <c r="O714" i="10"/>
  <c r="P713" i="10"/>
  <c r="O713" i="10"/>
  <c r="P712" i="10"/>
  <c r="O712" i="10"/>
  <c r="P711" i="10"/>
  <c r="O711" i="10"/>
  <c r="D711" i="10"/>
  <c r="E711" i="10"/>
  <c r="P710" i="10"/>
  <c r="O710" i="10"/>
  <c r="P709" i="10"/>
  <c r="O709" i="10"/>
  <c r="P708" i="10"/>
  <c r="O708" i="10"/>
  <c r="P707" i="10"/>
  <c r="O707" i="10"/>
  <c r="P706" i="10"/>
  <c r="O706" i="10"/>
  <c r="P705" i="10"/>
  <c r="O705" i="10"/>
  <c r="P704" i="10"/>
  <c r="D704" i="10"/>
  <c r="E704" i="10"/>
  <c r="O704" i="10"/>
  <c r="C704" i="10"/>
  <c r="P703" i="10"/>
  <c r="O703" i="10"/>
  <c r="P702" i="10"/>
  <c r="O702" i="10"/>
  <c r="P701" i="10"/>
  <c r="O701" i="10"/>
  <c r="P700" i="10"/>
  <c r="O700" i="10"/>
  <c r="P699" i="10"/>
  <c r="O699" i="10"/>
  <c r="P698" i="10"/>
  <c r="O698" i="10"/>
  <c r="P697" i="10"/>
  <c r="O697" i="10"/>
  <c r="C697" i="10"/>
  <c r="D697" i="10"/>
  <c r="E697" i="10"/>
  <c r="P696" i="10"/>
  <c r="O696" i="10"/>
  <c r="P695" i="10"/>
  <c r="O695" i="10"/>
  <c r="P694" i="10"/>
  <c r="O694" i="10"/>
  <c r="P693" i="10"/>
  <c r="O693" i="10"/>
  <c r="P692" i="10"/>
  <c r="O692" i="10"/>
  <c r="P691" i="10"/>
  <c r="O691" i="10"/>
  <c r="P690" i="10"/>
  <c r="D690" i="10"/>
  <c r="E690" i="10"/>
  <c r="O690" i="10"/>
  <c r="C690" i="10"/>
  <c r="P689" i="10"/>
  <c r="O689" i="10"/>
  <c r="P688" i="10"/>
  <c r="O688" i="10"/>
  <c r="P687" i="10"/>
  <c r="O687" i="10"/>
  <c r="P686" i="10"/>
  <c r="O686" i="10"/>
  <c r="P685" i="10"/>
  <c r="O685" i="10"/>
  <c r="P684" i="10"/>
  <c r="O684" i="10"/>
  <c r="P683" i="10"/>
  <c r="O683" i="10"/>
  <c r="C683" i="10"/>
  <c r="D683" i="10"/>
  <c r="E683" i="10"/>
  <c r="P682" i="10"/>
  <c r="O682" i="10"/>
  <c r="P681" i="10"/>
  <c r="O681" i="10"/>
  <c r="P680" i="10"/>
  <c r="O680" i="10"/>
  <c r="P679" i="10"/>
  <c r="O679" i="10"/>
  <c r="P678" i="10"/>
  <c r="O678" i="10"/>
  <c r="P677" i="10"/>
  <c r="O677" i="10"/>
  <c r="P676" i="10"/>
  <c r="O676" i="10"/>
  <c r="C676" i="10"/>
  <c r="P675" i="10"/>
  <c r="O675" i="10"/>
  <c r="P674" i="10"/>
  <c r="O674" i="10"/>
  <c r="P673" i="10"/>
  <c r="O673" i="10"/>
  <c r="P672" i="10"/>
  <c r="O672" i="10"/>
  <c r="P671" i="10"/>
  <c r="O671" i="10"/>
  <c r="P670" i="10"/>
  <c r="O670" i="10"/>
  <c r="P669" i="10"/>
  <c r="O669" i="10"/>
  <c r="C669" i="10"/>
  <c r="D669" i="10"/>
  <c r="E669" i="10"/>
  <c r="P668" i="10"/>
  <c r="O668" i="10"/>
  <c r="P667" i="10"/>
  <c r="O667" i="10"/>
  <c r="P666" i="10"/>
  <c r="O666" i="10"/>
  <c r="P665" i="10"/>
  <c r="O665" i="10"/>
  <c r="P664" i="10"/>
  <c r="O664" i="10"/>
  <c r="P663" i="10"/>
  <c r="O663" i="10"/>
  <c r="P662" i="10"/>
  <c r="D662" i="10"/>
  <c r="E662" i="10"/>
  <c r="O662" i="10"/>
  <c r="C662" i="10"/>
  <c r="P661" i="10"/>
  <c r="O661" i="10"/>
  <c r="P660" i="10"/>
  <c r="O660" i="10"/>
  <c r="P659" i="10"/>
  <c r="O659" i="10"/>
  <c r="P658" i="10"/>
  <c r="O658" i="10"/>
  <c r="P657" i="10"/>
  <c r="O657" i="10"/>
  <c r="P656" i="10"/>
  <c r="O656" i="10"/>
  <c r="P655" i="10"/>
  <c r="O655" i="10"/>
  <c r="C655" i="10"/>
  <c r="D655" i="10"/>
  <c r="E655" i="10"/>
  <c r="P654" i="10"/>
  <c r="O654" i="10"/>
  <c r="P653" i="10"/>
  <c r="O653" i="10"/>
  <c r="P652" i="10"/>
  <c r="O652" i="10"/>
  <c r="P651" i="10"/>
  <c r="O651" i="10"/>
  <c r="P650" i="10"/>
  <c r="O650" i="10"/>
  <c r="P649" i="10"/>
  <c r="O649" i="10"/>
  <c r="P648" i="10"/>
  <c r="O648" i="10"/>
  <c r="C648" i="10"/>
  <c r="P647" i="10"/>
  <c r="O647" i="10"/>
  <c r="P646" i="10"/>
  <c r="O646" i="10"/>
  <c r="P645" i="10"/>
  <c r="O645" i="10"/>
  <c r="P644" i="10"/>
  <c r="O644" i="10"/>
  <c r="P643" i="10"/>
  <c r="O643" i="10"/>
  <c r="P642" i="10"/>
  <c r="O642" i="10"/>
  <c r="P641" i="10"/>
  <c r="O641" i="10"/>
  <c r="C641" i="10"/>
  <c r="D641" i="10"/>
  <c r="E641" i="10"/>
  <c r="P640" i="10"/>
  <c r="O640" i="10"/>
  <c r="P639" i="10"/>
  <c r="O639" i="10"/>
  <c r="P638" i="10"/>
  <c r="O638" i="10"/>
  <c r="P637" i="10"/>
  <c r="O637" i="10"/>
  <c r="P636" i="10"/>
  <c r="O636" i="10"/>
  <c r="P635" i="10"/>
  <c r="O635" i="10"/>
  <c r="P634" i="10"/>
  <c r="D634" i="10"/>
  <c r="E634" i="10"/>
  <c r="O634" i="10"/>
  <c r="C634" i="10"/>
  <c r="P633" i="10"/>
  <c r="O633" i="10"/>
  <c r="P632" i="10"/>
  <c r="O632" i="10"/>
  <c r="P631" i="10"/>
  <c r="O631" i="10"/>
  <c r="P630" i="10"/>
  <c r="O630" i="10"/>
  <c r="P629" i="10"/>
  <c r="O629" i="10"/>
  <c r="P628" i="10"/>
  <c r="O628" i="10"/>
  <c r="P627" i="10"/>
  <c r="O627" i="10"/>
  <c r="D627" i="10"/>
  <c r="E627" i="10"/>
  <c r="P626" i="10"/>
  <c r="O626" i="10"/>
  <c r="P625" i="10"/>
  <c r="O625" i="10"/>
  <c r="P624" i="10"/>
  <c r="O624" i="10"/>
  <c r="P623" i="10"/>
  <c r="O623" i="10"/>
  <c r="P622" i="10"/>
  <c r="O622" i="10"/>
  <c r="P621" i="10"/>
  <c r="O621" i="10"/>
  <c r="P620" i="10"/>
  <c r="D620" i="10"/>
  <c r="E620" i="10"/>
  <c r="O620" i="10"/>
  <c r="C620" i="10"/>
  <c r="P619" i="10"/>
  <c r="O619" i="10"/>
  <c r="P618" i="10"/>
  <c r="O618" i="10"/>
  <c r="P617" i="10"/>
  <c r="O617" i="10"/>
  <c r="P616" i="10"/>
  <c r="O616" i="10"/>
  <c r="P615" i="10"/>
  <c r="O615" i="10"/>
  <c r="P614" i="10"/>
  <c r="O614" i="10"/>
  <c r="P613" i="10"/>
  <c r="O613" i="10"/>
  <c r="C613" i="10"/>
  <c r="D613" i="10"/>
  <c r="E613" i="10"/>
  <c r="P612" i="10"/>
  <c r="O612" i="10"/>
  <c r="P611" i="10"/>
  <c r="O611" i="10"/>
  <c r="P610" i="10"/>
  <c r="O610" i="10"/>
  <c r="P609" i="10"/>
  <c r="O609" i="10"/>
  <c r="P608" i="10"/>
  <c r="O608" i="10"/>
  <c r="P607" i="10"/>
  <c r="O607" i="10"/>
  <c r="P606" i="10"/>
  <c r="D606" i="10"/>
  <c r="E606" i="10"/>
  <c r="O606" i="10"/>
  <c r="C606" i="10"/>
  <c r="P605" i="10"/>
  <c r="O605" i="10"/>
  <c r="P604" i="10"/>
  <c r="O604" i="10"/>
  <c r="P603" i="10"/>
  <c r="O603" i="10"/>
  <c r="P602" i="10"/>
  <c r="O602" i="10"/>
  <c r="P601" i="10"/>
  <c r="O601" i="10"/>
  <c r="P600" i="10"/>
  <c r="O600" i="10"/>
  <c r="P599" i="10"/>
  <c r="O599" i="10"/>
  <c r="D599" i="10"/>
  <c r="E599" i="10"/>
  <c r="P598" i="10"/>
  <c r="O598" i="10"/>
  <c r="P597" i="10"/>
  <c r="O597" i="10"/>
  <c r="P596" i="10"/>
  <c r="O596" i="10"/>
  <c r="P595" i="10"/>
  <c r="O595" i="10"/>
  <c r="P594" i="10"/>
  <c r="O594" i="10"/>
  <c r="P593" i="10"/>
  <c r="O593" i="10"/>
  <c r="P592" i="10"/>
  <c r="D592" i="10"/>
  <c r="E592" i="10"/>
  <c r="O592" i="10"/>
  <c r="C592" i="10"/>
  <c r="P591" i="10"/>
  <c r="O591" i="10"/>
  <c r="P590" i="10"/>
  <c r="O590" i="10"/>
  <c r="P589" i="10"/>
  <c r="O589" i="10"/>
  <c r="P588" i="10"/>
  <c r="O588" i="10"/>
  <c r="P587" i="10"/>
  <c r="O587" i="10"/>
  <c r="P586" i="10"/>
  <c r="O586" i="10"/>
  <c r="P585" i="10"/>
  <c r="O585" i="10"/>
  <c r="C585" i="10"/>
  <c r="D585" i="10"/>
  <c r="E585" i="10"/>
  <c r="P584" i="10"/>
  <c r="O584" i="10"/>
  <c r="P583" i="10"/>
  <c r="O583" i="10"/>
  <c r="P582" i="10"/>
  <c r="O582" i="10"/>
  <c r="P581" i="10"/>
  <c r="O581" i="10"/>
  <c r="P580" i="10"/>
  <c r="O580" i="10"/>
  <c r="P579" i="10"/>
  <c r="O579" i="10"/>
  <c r="P578" i="10"/>
  <c r="D578" i="10"/>
  <c r="E578" i="10"/>
  <c r="O578" i="10"/>
  <c r="C578" i="10"/>
  <c r="P577" i="10"/>
  <c r="O577" i="10"/>
  <c r="P576" i="10"/>
  <c r="O576" i="10"/>
  <c r="P575" i="10"/>
  <c r="O575" i="10"/>
  <c r="P574" i="10"/>
  <c r="O574" i="10"/>
  <c r="P573" i="10"/>
  <c r="O573" i="10"/>
  <c r="P572" i="10"/>
  <c r="O572" i="10"/>
  <c r="P571" i="10"/>
  <c r="O571" i="10"/>
  <c r="C571" i="10"/>
  <c r="D571" i="10"/>
  <c r="E571" i="10"/>
  <c r="P570" i="10"/>
  <c r="O570" i="10"/>
  <c r="P569" i="10"/>
  <c r="O569" i="10"/>
  <c r="P568" i="10"/>
  <c r="O568" i="10"/>
  <c r="P567" i="10"/>
  <c r="O567" i="10"/>
  <c r="P566" i="10"/>
  <c r="O566" i="10"/>
  <c r="P565" i="10"/>
  <c r="O565" i="10"/>
  <c r="P564" i="10"/>
  <c r="O564" i="10"/>
  <c r="C564" i="10"/>
  <c r="P563" i="10"/>
  <c r="O563" i="10"/>
  <c r="P562" i="10"/>
  <c r="O562" i="10"/>
  <c r="P561" i="10"/>
  <c r="O561" i="10"/>
  <c r="P560" i="10"/>
  <c r="O560" i="10"/>
  <c r="P559" i="10"/>
  <c r="O559" i="10"/>
  <c r="P558" i="10"/>
  <c r="O558" i="10"/>
  <c r="P557" i="10"/>
  <c r="O557" i="10"/>
  <c r="C557" i="10"/>
  <c r="D557" i="10"/>
  <c r="E557" i="10"/>
  <c r="P556" i="10"/>
  <c r="O556" i="10"/>
  <c r="P555" i="10"/>
  <c r="O555" i="10"/>
  <c r="P554" i="10"/>
  <c r="O554" i="10"/>
  <c r="P553" i="10"/>
  <c r="O553" i="10"/>
  <c r="P552" i="10"/>
  <c r="O552" i="10"/>
  <c r="P551" i="10"/>
  <c r="O551" i="10"/>
  <c r="P550" i="10"/>
  <c r="D550" i="10"/>
  <c r="E550" i="10"/>
  <c r="O550" i="10"/>
  <c r="C550" i="10"/>
  <c r="P549" i="10"/>
  <c r="O549" i="10"/>
  <c r="P548" i="10"/>
  <c r="O548" i="10"/>
  <c r="P547" i="10"/>
  <c r="O547" i="10"/>
  <c r="P546" i="10"/>
  <c r="O546" i="10"/>
  <c r="P545" i="10"/>
  <c r="O545" i="10"/>
  <c r="P544" i="10"/>
  <c r="O544" i="10"/>
  <c r="P543" i="10"/>
  <c r="O543" i="10"/>
  <c r="C543" i="10"/>
  <c r="D543" i="10"/>
  <c r="E543" i="10"/>
  <c r="P542" i="10"/>
  <c r="O542" i="10"/>
  <c r="P541" i="10"/>
  <c r="O541" i="10"/>
  <c r="P540" i="10"/>
  <c r="O540" i="10"/>
  <c r="P539" i="10"/>
  <c r="O539" i="10"/>
  <c r="P538" i="10"/>
  <c r="O538" i="10"/>
  <c r="P537" i="10"/>
  <c r="O537" i="10"/>
  <c r="P536" i="10"/>
  <c r="O536" i="10"/>
  <c r="C536" i="10"/>
  <c r="P535" i="10"/>
  <c r="O535" i="10"/>
  <c r="P534" i="10"/>
  <c r="O534" i="10"/>
  <c r="P533" i="10"/>
  <c r="O533" i="10"/>
  <c r="P532" i="10"/>
  <c r="O532" i="10"/>
  <c r="P531" i="10"/>
  <c r="O531" i="10"/>
  <c r="P530" i="10"/>
  <c r="O530" i="10"/>
  <c r="P529" i="10"/>
  <c r="O529" i="10"/>
  <c r="C529" i="10"/>
  <c r="D529" i="10"/>
  <c r="E529" i="10"/>
  <c r="P528" i="10"/>
  <c r="O528" i="10"/>
  <c r="P527" i="10"/>
  <c r="O527" i="10"/>
  <c r="P526" i="10"/>
  <c r="O526" i="10"/>
  <c r="P525" i="10"/>
  <c r="O525" i="10"/>
  <c r="P524" i="10"/>
  <c r="O524" i="10"/>
  <c r="P523" i="10"/>
  <c r="O523" i="10"/>
  <c r="P522" i="10"/>
  <c r="D522" i="10"/>
  <c r="E522" i="10"/>
  <c r="O522" i="10"/>
  <c r="C522" i="10"/>
  <c r="P521" i="10"/>
  <c r="O521" i="10"/>
  <c r="P520" i="10"/>
  <c r="O520" i="10"/>
  <c r="P519" i="10"/>
  <c r="O519" i="10"/>
  <c r="P518" i="10"/>
  <c r="O518" i="10"/>
  <c r="P517" i="10"/>
  <c r="O517" i="10"/>
  <c r="P516" i="10"/>
  <c r="O516" i="10"/>
  <c r="P515" i="10"/>
  <c r="O515" i="10"/>
  <c r="D515" i="10"/>
  <c r="E515" i="10"/>
  <c r="P514" i="10"/>
  <c r="O514" i="10"/>
  <c r="P513" i="10"/>
  <c r="O513" i="10"/>
  <c r="P512" i="10"/>
  <c r="O512" i="10"/>
  <c r="P511" i="10"/>
  <c r="O511" i="10"/>
  <c r="P510" i="10"/>
  <c r="O510" i="10"/>
  <c r="P509" i="10"/>
  <c r="O509" i="10"/>
  <c r="P508" i="10"/>
  <c r="D508" i="10"/>
  <c r="E508" i="10"/>
  <c r="O508" i="10"/>
  <c r="C508" i="10"/>
  <c r="P507" i="10"/>
  <c r="O507" i="10"/>
  <c r="P506" i="10"/>
  <c r="O506" i="10"/>
  <c r="P505" i="10"/>
  <c r="O505" i="10"/>
  <c r="P504" i="10"/>
  <c r="O504" i="10"/>
  <c r="P503" i="10"/>
  <c r="O503" i="10"/>
  <c r="P502" i="10"/>
  <c r="O502" i="10"/>
  <c r="P501" i="10"/>
  <c r="O501" i="10"/>
  <c r="C501" i="10"/>
  <c r="D501" i="10"/>
  <c r="E501" i="10"/>
  <c r="P500" i="10"/>
  <c r="O500" i="10"/>
  <c r="P499" i="10"/>
  <c r="O499" i="10"/>
  <c r="P498" i="10"/>
  <c r="O498" i="10"/>
  <c r="P497" i="10"/>
  <c r="O497" i="10"/>
  <c r="P496" i="10"/>
  <c r="O496" i="10"/>
  <c r="P495" i="10"/>
  <c r="O495" i="10"/>
  <c r="P494" i="10"/>
  <c r="D494" i="10"/>
  <c r="E494" i="10"/>
  <c r="O494" i="10"/>
  <c r="C494" i="10"/>
  <c r="P493" i="10"/>
  <c r="O493" i="10"/>
  <c r="P492" i="10"/>
  <c r="O492" i="10"/>
  <c r="P491" i="10"/>
  <c r="O491" i="10"/>
  <c r="P490" i="10"/>
  <c r="O490" i="10"/>
  <c r="P489" i="10"/>
  <c r="O489" i="10"/>
  <c r="P488" i="10"/>
  <c r="O488" i="10"/>
  <c r="P487" i="10"/>
  <c r="O487" i="10"/>
  <c r="D487" i="10"/>
  <c r="E487" i="10"/>
  <c r="P486" i="10"/>
  <c r="O486" i="10"/>
  <c r="P485" i="10"/>
  <c r="O485" i="10"/>
  <c r="P484" i="10"/>
  <c r="O484" i="10"/>
  <c r="P483" i="10"/>
  <c r="O483" i="10"/>
  <c r="P482" i="10"/>
  <c r="O482" i="10"/>
  <c r="P481" i="10"/>
  <c r="O481" i="10"/>
  <c r="P480" i="10"/>
  <c r="D480" i="10"/>
  <c r="E480" i="10"/>
  <c r="O480" i="10"/>
  <c r="C480" i="10"/>
  <c r="P479" i="10"/>
  <c r="O479" i="10"/>
  <c r="P478" i="10"/>
  <c r="O478" i="10"/>
  <c r="P477" i="10"/>
  <c r="O477" i="10"/>
  <c r="P476" i="10"/>
  <c r="O476" i="10"/>
  <c r="P475" i="10"/>
  <c r="O475" i="10"/>
  <c r="P474" i="10"/>
  <c r="O474" i="10"/>
  <c r="P473" i="10"/>
  <c r="O473" i="10"/>
  <c r="D473" i="10"/>
  <c r="E473" i="10"/>
  <c r="P472" i="10"/>
  <c r="O472" i="10"/>
  <c r="P471" i="10"/>
  <c r="O471" i="10"/>
  <c r="P470" i="10"/>
  <c r="O470" i="10"/>
  <c r="P469" i="10"/>
  <c r="O469" i="10"/>
  <c r="P468" i="10"/>
  <c r="O468" i="10"/>
  <c r="P467" i="10"/>
  <c r="O467" i="10"/>
  <c r="P466" i="10"/>
  <c r="D466" i="10"/>
  <c r="E466" i="10"/>
  <c r="O466" i="10"/>
  <c r="C466" i="10"/>
  <c r="P465" i="10"/>
  <c r="O465" i="10"/>
  <c r="P464" i="10"/>
  <c r="O464" i="10"/>
  <c r="P463" i="10"/>
  <c r="O463" i="10"/>
  <c r="P462" i="10"/>
  <c r="O462" i="10"/>
  <c r="P461" i="10"/>
  <c r="O461" i="10"/>
  <c r="P460" i="10"/>
  <c r="O460" i="10"/>
  <c r="P459" i="10"/>
  <c r="O459" i="10"/>
  <c r="C459" i="10"/>
  <c r="D459" i="10"/>
  <c r="E459" i="10"/>
  <c r="P458" i="10"/>
  <c r="O458" i="10"/>
  <c r="P457" i="10"/>
  <c r="O457" i="10"/>
  <c r="P456" i="10"/>
  <c r="O456" i="10"/>
  <c r="P455" i="10"/>
  <c r="O455" i="10"/>
  <c r="P454" i="10"/>
  <c r="O454" i="10"/>
  <c r="P453" i="10"/>
  <c r="O453" i="10"/>
  <c r="P452" i="10"/>
  <c r="O452" i="10"/>
  <c r="C452" i="10"/>
  <c r="P451" i="10"/>
  <c r="O451" i="10"/>
  <c r="P450" i="10"/>
  <c r="O450" i="10"/>
  <c r="P449" i="10"/>
  <c r="O449" i="10"/>
  <c r="P448" i="10"/>
  <c r="O448" i="10"/>
  <c r="P447" i="10"/>
  <c r="O447" i="10"/>
  <c r="P446" i="10"/>
  <c r="O446" i="10"/>
  <c r="P445" i="10"/>
  <c r="O445" i="10"/>
  <c r="C445" i="10"/>
  <c r="D445" i="10"/>
  <c r="E445" i="10"/>
  <c r="P444" i="10"/>
  <c r="O444" i="10"/>
  <c r="P443" i="10"/>
  <c r="O443" i="10"/>
  <c r="P442" i="10"/>
  <c r="O442" i="10"/>
  <c r="P441" i="10"/>
  <c r="O441" i="10"/>
  <c r="P440" i="10"/>
  <c r="O440" i="10"/>
  <c r="P439" i="10"/>
  <c r="O439" i="10"/>
  <c r="P438" i="10"/>
  <c r="O438" i="10"/>
  <c r="C438" i="10"/>
  <c r="P437" i="10"/>
  <c r="O437" i="10"/>
  <c r="P436" i="10"/>
  <c r="O436" i="10"/>
  <c r="P435" i="10"/>
  <c r="O435" i="10"/>
  <c r="P434" i="10"/>
  <c r="O434" i="10"/>
  <c r="P433" i="10"/>
  <c r="O433" i="10"/>
  <c r="P432" i="10"/>
  <c r="O432" i="10"/>
  <c r="P431" i="10"/>
  <c r="O431" i="10"/>
  <c r="D431" i="10"/>
  <c r="E431" i="10"/>
  <c r="P430" i="10"/>
  <c r="O430" i="10"/>
  <c r="P429" i="10"/>
  <c r="O429" i="10"/>
  <c r="P428" i="10"/>
  <c r="O428" i="10"/>
  <c r="P427" i="10"/>
  <c r="O427" i="10"/>
  <c r="P426" i="10"/>
  <c r="O426" i="10"/>
  <c r="P425" i="10"/>
  <c r="O425" i="10"/>
  <c r="P424" i="10"/>
  <c r="D424" i="10"/>
  <c r="E424" i="10"/>
  <c r="O424" i="10"/>
  <c r="C424" i="10"/>
  <c r="P423" i="10"/>
  <c r="O423" i="10"/>
  <c r="P422" i="10"/>
  <c r="O422" i="10"/>
  <c r="P421" i="10"/>
  <c r="O421" i="10"/>
  <c r="P420" i="10"/>
  <c r="O420" i="10"/>
  <c r="P419" i="10"/>
  <c r="O419" i="10"/>
  <c r="P418" i="10"/>
  <c r="O418" i="10"/>
  <c r="P417" i="10"/>
  <c r="O417" i="10"/>
  <c r="D417" i="10"/>
  <c r="E417" i="10"/>
  <c r="P416" i="10"/>
  <c r="O416" i="10"/>
  <c r="P415" i="10"/>
  <c r="O415" i="10"/>
  <c r="P414" i="10"/>
  <c r="O414" i="10"/>
  <c r="P413" i="10"/>
  <c r="O413" i="10"/>
  <c r="P412" i="10"/>
  <c r="O412" i="10"/>
  <c r="P411" i="10"/>
  <c r="O411" i="10"/>
  <c r="P410" i="10"/>
  <c r="D410" i="10"/>
  <c r="E410" i="10"/>
  <c r="O410" i="10"/>
  <c r="C410" i="10"/>
  <c r="P409" i="10"/>
  <c r="O409" i="10"/>
  <c r="P408" i="10"/>
  <c r="O408" i="10"/>
  <c r="P407" i="10"/>
  <c r="O407" i="10"/>
  <c r="P406" i="10"/>
  <c r="O406" i="10"/>
  <c r="P405" i="10"/>
  <c r="O405" i="10"/>
  <c r="P404" i="10"/>
  <c r="O404" i="10"/>
  <c r="P403" i="10"/>
  <c r="O403" i="10"/>
  <c r="C403" i="10"/>
  <c r="D403" i="10"/>
  <c r="E403" i="10"/>
  <c r="P402" i="10"/>
  <c r="O402" i="10"/>
  <c r="P401" i="10"/>
  <c r="O401" i="10"/>
  <c r="P400" i="10"/>
  <c r="O400" i="10"/>
  <c r="P399" i="10"/>
  <c r="O399" i="10"/>
  <c r="P398" i="10"/>
  <c r="O398" i="10"/>
  <c r="P397" i="10"/>
  <c r="O397" i="10"/>
  <c r="P396" i="10"/>
  <c r="O396" i="10"/>
  <c r="C396" i="10"/>
  <c r="P395" i="10"/>
  <c r="O395" i="10"/>
  <c r="P394" i="10"/>
  <c r="O394" i="10"/>
  <c r="P393" i="10"/>
  <c r="O393" i="10"/>
  <c r="P392" i="10"/>
  <c r="O392" i="10"/>
  <c r="P391" i="10"/>
  <c r="O391" i="10"/>
  <c r="P390" i="10"/>
  <c r="O390" i="10"/>
  <c r="P389" i="10"/>
  <c r="O389" i="10"/>
  <c r="C389" i="10"/>
  <c r="D389" i="10"/>
  <c r="E389" i="10"/>
  <c r="P388" i="10"/>
  <c r="O388" i="10"/>
  <c r="P387" i="10"/>
  <c r="O387" i="10"/>
  <c r="P386" i="10"/>
  <c r="O386" i="10"/>
  <c r="P385" i="10"/>
  <c r="O385" i="10"/>
  <c r="P384" i="10"/>
  <c r="O384" i="10"/>
  <c r="P383" i="10"/>
  <c r="O383" i="10"/>
  <c r="P382" i="10"/>
  <c r="O382" i="10"/>
  <c r="C382" i="10"/>
  <c r="P381" i="10"/>
  <c r="O381" i="10"/>
  <c r="P380" i="10"/>
  <c r="O380" i="10"/>
  <c r="P379" i="10"/>
  <c r="O379" i="10"/>
  <c r="P378" i="10"/>
  <c r="O378" i="10"/>
  <c r="P377" i="10"/>
  <c r="O377" i="10"/>
  <c r="P376" i="10"/>
  <c r="O376" i="10"/>
  <c r="P375" i="10"/>
  <c r="O375" i="10"/>
  <c r="C375" i="10"/>
  <c r="D375" i="10"/>
  <c r="E375" i="10"/>
  <c r="P374" i="10"/>
  <c r="O374" i="10"/>
  <c r="P373" i="10"/>
  <c r="O373" i="10"/>
  <c r="P372" i="10"/>
  <c r="O372" i="10"/>
  <c r="P371" i="10"/>
  <c r="O371" i="10"/>
  <c r="P370" i="10"/>
  <c r="O370" i="10"/>
  <c r="P369" i="10"/>
  <c r="O369" i="10"/>
  <c r="P368" i="10"/>
  <c r="D368" i="10"/>
  <c r="E368" i="10"/>
  <c r="O368" i="10"/>
  <c r="C368" i="10"/>
  <c r="P367" i="10"/>
  <c r="O367" i="10"/>
  <c r="P366" i="10"/>
  <c r="O366" i="10"/>
  <c r="P365" i="10"/>
  <c r="O365" i="10"/>
  <c r="P364" i="10"/>
  <c r="O364" i="10"/>
  <c r="P363" i="10"/>
  <c r="O363" i="10"/>
  <c r="P362" i="10"/>
  <c r="O362" i="10"/>
  <c r="P361" i="10"/>
  <c r="O361" i="10"/>
  <c r="D361" i="10"/>
  <c r="E361" i="10"/>
  <c r="P360" i="10"/>
  <c r="O360" i="10"/>
  <c r="P359" i="10"/>
  <c r="O359" i="10"/>
  <c r="P358" i="10"/>
  <c r="O358" i="10"/>
  <c r="P357" i="10"/>
  <c r="O357" i="10"/>
  <c r="P356" i="10"/>
  <c r="O356" i="10"/>
  <c r="P355" i="10"/>
  <c r="O355" i="10"/>
  <c r="P354" i="10"/>
  <c r="D354" i="10"/>
  <c r="E354" i="10"/>
  <c r="O354" i="10"/>
  <c r="C354" i="10"/>
  <c r="P353" i="10"/>
  <c r="O353" i="10"/>
  <c r="P352" i="10"/>
  <c r="O352" i="10"/>
  <c r="P351" i="10"/>
  <c r="O351" i="10"/>
  <c r="P350" i="10"/>
  <c r="O350" i="10"/>
  <c r="P349" i="10"/>
  <c r="O349" i="10"/>
  <c r="P348" i="10"/>
  <c r="O348" i="10"/>
  <c r="P347" i="10"/>
  <c r="O347" i="10"/>
  <c r="C347" i="10"/>
  <c r="D347" i="10"/>
  <c r="E347" i="10"/>
  <c r="P346" i="10"/>
  <c r="O346" i="10"/>
  <c r="P345" i="10"/>
  <c r="O345" i="10"/>
  <c r="P344" i="10"/>
  <c r="O344" i="10"/>
  <c r="P343" i="10"/>
  <c r="O343" i="10"/>
  <c r="P342" i="10"/>
  <c r="O342" i="10"/>
  <c r="P341" i="10"/>
  <c r="O341" i="10"/>
  <c r="P340" i="10"/>
  <c r="D340" i="10"/>
  <c r="E340" i="10"/>
  <c r="O340" i="10"/>
  <c r="C340" i="10"/>
  <c r="P339" i="10"/>
  <c r="O339" i="10"/>
  <c r="P338" i="10"/>
  <c r="O338" i="10"/>
  <c r="P337" i="10"/>
  <c r="O337" i="10"/>
  <c r="P336" i="10"/>
  <c r="O336" i="10"/>
  <c r="P335" i="10"/>
  <c r="O335" i="10"/>
  <c r="P334" i="10"/>
  <c r="O334" i="10"/>
  <c r="P333" i="10"/>
  <c r="O333" i="10"/>
  <c r="C333" i="10"/>
  <c r="D333" i="10"/>
  <c r="E333" i="10"/>
  <c r="P332" i="10"/>
  <c r="O332" i="10"/>
  <c r="P331" i="10"/>
  <c r="O331" i="10"/>
  <c r="P330" i="10"/>
  <c r="O330" i="10"/>
  <c r="P329" i="10"/>
  <c r="O329" i="10"/>
  <c r="P328" i="10"/>
  <c r="O328" i="10"/>
  <c r="P327" i="10"/>
  <c r="O327" i="10"/>
  <c r="P326" i="10"/>
  <c r="O326" i="10"/>
  <c r="C326" i="10"/>
  <c r="P325" i="10"/>
  <c r="O325" i="10"/>
  <c r="P324" i="10"/>
  <c r="O324" i="10"/>
  <c r="P323" i="10"/>
  <c r="O323" i="10"/>
  <c r="P322" i="10"/>
  <c r="O322" i="10"/>
  <c r="P321" i="10"/>
  <c r="O321" i="10"/>
  <c r="P320" i="10"/>
  <c r="O320" i="10"/>
  <c r="P319" i="10"/>
  <c r="O319" i="10"/>
  <c r="C319" i="10"/>
  <c r="D319" i="10"/>
  <c r="E319" i="10"/>
  <c r="P318" i="10"/>
  <c r="O318" i="10"/>
  <c r="P317" i="10"/>
  <c r="O317" i="10"/>
  <c r="P316" i="10"/>
  <c r="O316" i="10"/>
  <c r="P315" i="10"/>
  <c r="O315" i="10"/>
  <c r="P314" i="10"/>
  <c r="O314" i="10"/>
  <c r="P313" i="10"/>
  <c r="O313" i="10"/>
  <c r="P312" i="10"/>
  <c r="D312" i="10"/>
  <c r="E312" i="10"/>
  <c r="O312" i="10"/>
  <c r="C312" i="10"/>
  <c r="P311" i="10"/>
  <c r="O311" i="10"/>
  <c r="P310" i="10"/>
  <c r="O310" i="10"/>
  <c r="P309" i="10"/>
  <c r="O309" i="10"/>
  <c r="P308" i="10"/>
  <c r="O308" i="10"/>
  <c r="P307" i="10"/>
  <c r="O307" i="10"/>
  <c r="P306" i="10"/>
  <c r="O306" i="10"/>
  <c r="P305" i="10"/>
  <c r="O305" i="10"/>
  <c r="D305" i="10"/>
  <c r="E305" i="10"/>
  <c r="P304" i="10"/>
  <c r="O304" i="10"/>
  <c r="P303" i="10"/>
  <c r="O303" i="10"/>
  <c r="P302" i="10"/>
  <c r="O302" i="10"/>
  <c r="P301" i="10"/>
  <c r="O301" i="10"/>
  <c r="P300" i="10"/>
  <c r="O300" i="10"/>
  <c r="P299" i="10"/>
  <c r="O299" i="10"/>
  <c r="P298" i="10"/>
  <c r="D298" i="10"/>
  <c r="E298" i="10"/>
  <c r="O298" i="10"/>
  <c r="C298" i="10"/>
  <c r="P296" i="10"/>
  <c r="O296" i="10"/>
  <c r="P295" i="10"/>
  <c r="O295" i="10"/>
  <c r="P294" i="10"/>
  <c r="O294" i="10"/>
  <c r="P293" i="10"/>
  <c r="O293" i="10"/>
  <c r="P292" i="10"/>
  <c r="O292" i="10"/>
  <c r="P291" i="10"/>
  <c r="O291" i="10"/>
  <c r="P290" i="10"/>
  <c r="O290" i="10"/>
  <c r="C290" i="10"/>
  <c r="P289" i="10"/>
  <c r="O289" i="10"/>
  <c r="P288" i="10"/>
  <c r="O288" i="10"/>
  <c r="P287" i="10"/>
  <c r="O287" i="10"/>
  <c r="P286" i="10"/>
  <c r="O286" i="10"/>
  <c r="P285" i="10"/>
  <c r="O285" i="10"/>
  <c r="P284" i="10"/>
  <c r="O284" i="10"/>
  <c r="P283" i="10"/>
  <c r="O283" i="10"/>
  <c r="D283" i="10"/>
  <c r="P281" i="10"/>
  <c r="O281" i="10"/>
  <c r="P280" i="10"/>
  <c r="O280" i="10"/>
  <c r="P279" i="10"/>
  <c r="O279" i="10"/>
  <c r="P278" i="10"/>
  <c r="O278" i="10"/>
  <c r="P277" i="10"/>
  <c r="O277" i="10"/>
  <c r="P276" i="10"/>
  <c r="O276" i="10"/>
  <c r="P275" i="10"/>
  <c r="O275" i="10"/>
  <c r="C275" i="10"/>
  <c r="D275" i="10"/>
  <c r="E275" i="10"/>
  <c r="P274" i="10"/>
  <c r="O274" i="10"/>
  <c r="P273" i="10"/>
  <c r="O273" i="10"/>
  <c r="P272" i="10"/>
  <c r="O272" i="10"/>
  <c r="P271" i="10"/>
  <c r="O271" i="10"/>
  <c r="P270" i="10"/>
  <c r="O270" i="10"/>
  <c r="P269" i="10"/>
  <c r="O269" i="10"/>
  <c r="P268" i="10"/>
  <c r="O268" i="10"/>
  <c r="C268" i="10"/>
  <c r="P267" i="10"/>
  <c r="O267" i="10"/>
  <c r="P266" i="10"/>
  <c r="O266" i="10"/>
  <c r="P265" i="10"/>
  <c r="O265" i="10"/>
  <c r="P264" i="10"/>
  <c r="O264" i="10"/>
  <c r="P263" i="10"/>
  <c r="O263" i="10"/>
  <c r="P262" i="10"/>
  <c r="O262" i="10"/>
  <c r="P261" i="10"/>
  <c r="O261" i="10"/>
  <c r="D261" i="10"/>
  <c r="P259" i="10"/>
  <c r="O259" i="10"/>
  <c r="P258" i="10"/>
  <c r="O258" i="10"/>
  <c r="P257" i="10"/>
  <c r="O257" i="10"/>
  <c r="P256" i="10"/>
  <c r="O256" i="10"/>
  <c r="P255" i="10"/>
  <c r="O255" i="10"/>
  <c r="P254" i="10"/>
  <c r="O254" i="10"/>
  <c r="P253" i="10"/>
  <c r="O253" i="10"/>
  <c r="C253" i="10"/>
  <c r="D253" i="10"/>
  <c r="E253" i="10"/>
  <c r="P252" i="10"/>
  <c r="O252" i="10"/>
  <c r="P251" i="10"/>
  <c r="O251" i="10"/>
  <c r="P250" i="10"/>
  <c r="O250" i="10"/>
  <c r="P249" i="10"/>
  <c r="O249" i="10"/>
  <c r="P248" i="10"/>
  <c r="O248" i="10"/>
  <c r="P247" i="10"/>
  <c r="O247" i="10"/>
  <c r="P246" i="10"/>
  <c r="O246" i="10"/>
  <c r="C246" i="10"/>
  <c r="C245" i="10"/>
  <c r="P244" i="10"/>
  <c r="O244" i="10"/>
  <c r="P243" i="10"/>
  <c r="O243" i="10"/>
  <c r="P242" i="10"/>
  <c r="O242" i="10"/>
  <c r="P241" i="10"/>
  <c r="O241" i="10"/>
  <c r="P240" i="10"/>
  <c r="O240" i="10"/>
  <c r="P239" i="10"/>
  <c r="O239" i="10"/>
  <c r="P238" i="10"/>
  <c r="O238" i="10"/>
  <c r="C238" i="10"/>
  <c r="P237" i="10"/>
  <c r="O237" i="10"/>
  <c r="P236" i="10"/>
  <c r="O236" i="10"/>
  <c r="P235" i="10"/>
  <c r="O235" i="10"/>
  <c r="P234" i="10"/>
  <c r="O234" i="10"/>
  <c r="P233" i="10"/>
  <c r="O233" i="10"/>
  <c r="P232" i="10"/>
  <c r="O232" i="10"/>
  <c r="P231" i="10"/>
  <c r="O231" i="10"/>
  <c r="C231" i="10"/>
  <c r="D231" i="10"/>
  <c r="E231" i="10"/>
  <c r="P230" i="10"/>
  <c r="O230" i="10"/>
  <c r="P229" i="10"/>
  <c r="O229" i="10"/>
  <c r="P228" i="10"/>
  <c r="O228" i="10"/>
  <c r="P227" i="10"/>
  <c r="O227" i="10"/>
  <c r="P226" i="10"/>
  <c r="O226" i="10"/>
  <c r="P225" i="10"/>
  <c r="O225" i="10"/>
  <c r="P224" i="10"/>
  <c r="O224" i="10"/>
  <c r="C224" i="10"/>
  <c r="P223" i="10"/>
  <c r="O223" i="10"/>
  <c r="P222" i="10"/>
  <c r="O222" i="10"/>
  <c r="P221" i="10"/>
  <c r="O221" i="10"/>
  <c r="P220" i="10"/>
  <c r="O220" i="10"/>
  <c r="P219" i="10"/>
  <c r="O219" i="10"/>
  <c r="P218" i="10"/>
  <c r="O218" i="10"/>
  <c r="P217" i="10"/>
  <c r="O217" i="10"/>
  <c r="D217" i="10"/>
  <c r="E217" i="10"/>
  <c r="P216" i="10"/>
  <c r="O216" i="10"/>
  <c r="P215" i="10"/>
  <c r="O215" i="10"/>
  <c r="P214" i="10"/>
  <c r="O214" i="10"/>
  <c r="P213" i="10"/>
  <c r="O213" i="10"/>
  <c r="P212" i="10"/>
  <c r="O212" i="10"/>
  <c r="P211" i="10"/>
  <c r="O211" i="10"/>
  <c r="P210" i="10"/>
  <c r="D210" i="10"/>
  <c r="E210" i="10"/>
  <c r="O210" i="10"/>
  <c r="C210" i="10"/>
  <c r="P209" i="10"/>
  <c r="O209" i="10"/>
  <c r="P208" i="10"/>
  <c r="O208" i="10"/>
  <c r="P207" i="10"/>
  <c r="O207" i="10"/>
  <c r="P206" i="10"/>
  <c r="O206" i="10"/>
  <c r="P205" i="10"/>
  <c r="O205" i="10"/>
  <c r="P204" i="10"/>
  <c r="O204" i="10"/>
  <c r="P203" i="10"/>
  <c r="O203" i="10"/>
  <c r="D203" i="10"/>
  <c r="E203" i="10"/>
  <c r="P202" i="10"/>
  <c r="O202" i="10"/>
  <c r="P201" i="10"/>
  <c r="O201" i="10"/>
  <c r="P200" i="10"/>
  <c r="O200" i="10"/>
  <c r="P199" i="10"/>
  <c r="O199" i="10"/>
  <c r="P198" i="10"/>
  <c r="O198" i="10"/>
  <c r="P197" i="10"/>
  <c r="O197" i="10"/>
  <c r="P196" i="10"/>
  <c r="D196" i="10"/>
  <c r="E196" i="10"/>
  <c r="O196" i="10"/>
  <c r="C196" i="10"/>
  <c r="P195" i="10"/>
  <c r="O195" i="10"/>
  <c r="P194" i="10"/>
  <c r="O194" i="10"/>
  <c r="P193" i="10"/>
  <c r="O193" i="10"/>
  <c r="P192" i="10"/>
  <c r="O192" i="10"/>
  <c r="P191" i="10"/>
  <c r="O191" i="10"/>
  <c r="P190" i="10"/>
  <c r="O190" i="10"/>
  <c r="P189" i="10"/>
  <c r="O189" i="10"/>
  <c r="C189" i="10"/>
  <c r="D189" i="10"/>
  <c r="E189" i="10"/>
  <c r="P188" i="10"/>
  <c r="O188" i="10"/>
  <c r="P187" i="10"/>
  <c r="O187" i="10"/>
  <c r="P186" i="10"/>
  <c r="O186" i="10"/>
  <c r="P185" i="10"/>
  <c r="O185" i="10"/>
  <c r="P184" i="10"/>
  <c r="O184" i="10"/>
  <c r="P183" i="10"/>
  <c r="O183" i="10"/>
  <c r="P182" i="10"/>
  <c r="O182" i="10"/>
  <c r="C182" i="10"/>
  <c r="P180" i="10"/>
  <c r="O180" i="10"/>
  <c r="P179" i="10"/>
  <c r="O179" i="10"/>
  <c r="P178" i="10"/>
  <c r="O178" i="10"/>
  <c r="P177" i="10"/>
  <c r="O177" i="10"/>
  <c r="P176" i="10"/>
  <c r="O176" i="10"/>
  <c r="P175" i="10"/>
  <c r="O175" i="10"/>
  <c r="P174" i="10"/>
  <c r="D174" i="10"/>
  <c r="E174" i="10"/>
  <c r="O174" i="10"/>
  <c r="C174" i="10"/>
  <c r="P173" i="10"/>
  <c r="O173" i="10"/>
  <c r="P172" i="10"/>
  <c r="O172" i="10"/>
  <c r="P171" i="10"/>
  <c r="O171" i="10"/>
  <c r="P170" i="10"/>
  <c r="O170" i="10"/>
  <c r="P169" i="10"/>
  <c r="O169" i="10"/>
  <c r="P168" i="10"/>
  <c r="O168" i="10"/>
  <c r="P167" i="10"/>
  <c r="O167" i="10"/>
  <c r="C167" i="10"/>
  <c r="D167" i="10"/>
  <c r="E167" i="10"/>
  <c r="P166" i="10"/>
  <c r="O166" i="10"/>
  <c r="P165" i="10"/>
  <c r="O165" i="10"/>
  <c r="P164" i="10"/>
  <c r="O164" i="10"/>
  <c r="P163" i="10"/>
  <c r="O163" i="10"/>
  <c r="P162" i="10"/>
  <c r="O162" i="10"/>
  <c r="P161" i="10"/>
  <c r="O161" i="10"/>
  <c r="P160" i="10"/>
  <c r="O160" i="10"/>
  <c r="C160" i="10"/>
  <c r="P159" i="10"/>
  <c r="O159" i="10"/>
  <c r="P158" i="10"/>
  <c r="O158" i="10"/>
  <c r="P157" i="10"/>
  <c r="O157" i="10"/>
  <c r="P156" i="10"/>
  <c r="O156" i="10"/>
  <c r="P155" i="10"/>
  <c r="O155" i="10"/>
  <c r="P154" i="10"/>
  <c r="O154" i="10"/>
  <c r="P153" i="10"/>
  <c r="O153" i="10"/>
  <c r="C153" i="10"/>
  <c r="D153" i="10"/>
  <c r="E153" i="10"/>
  <c r="P152" i="10"/>
  <c r="O152" i="10"/>
  <c r="P151" i="10"/>
  <c r="O151" i="10"/>
  <c r="P150" i="10"/>
  <c r="O150" i="10"/>
  <c r="P149" i="10"/>
  <c r="O149" i="10"/>
  <c r="P148" i="10"/>
  <c r="O148" i="10"/>
  <c r="P147" i="10"/>
  <c r="O147" i="10"/>
  <c r="P146" i="10"/>
  <c r="D146" i="10"/>
  <c r="E146" i="10"/>
  <c r="O146" i="10"/>
  <c r="C146" i="10"/>
  <c r="P145" i="10"/>
  <c r="O145" i="10"/>
  <c r="P144" i="10"/>
  <c r="O144" i="10"/>
  <c r="P143" i="10"/>
  <c r="O143" i="10"/>
  <c r="P142" i="10"/>
  <c r="O142" i="10"/>
  <c r="P141" i="10"/>
  <c r="O141" i="10"/>
  <c r="P140" i="10"/>
  <c r="O140" i="10"/>
  <c r="P139" i="10"/>
  <c r="O139" i="10"/>
  <c r="D139" i="10"/>
  <c r="E139" i="10"/>
  <c r="P138" i="10"/>
  <c r="O138" i="10"/>
  <c r="P137" i="10"/>
  <c r="O137" i="10"/>
  <c r="P136" i="10"/>
  <c r="O136" i="10"/>
  <c r="P135" i="10"/>
  <c r="O135" i="10"/>
  <c r="P134" i="10"/>
  <c r="O134" i="10"/>
  <c r="P133" i="10"/>
  <c r="O133" i="10"/>
  <c r="P132" i="10"/>
  <c r="D132" i="10"/>
  <c r="E132" i="10"/>
  <c r="O132" i="10"/>
  <c r="C132" i="10"/>
  <c r="P131" i="10"/>
  <c r="O131" i="10"/>
  <c r="P130" i="10"/>
  <c r="O130" i="10"/>
  <c r="P129" i="10"/>
  <c r="O129" i="10"/>
  <c r="P128" i="10"/>
  <c r="O128" i="10"/>
  <c r="P127" i="10"/>
  <c r="O127" i="10"/>
  <c r="P126" i="10"/>
  <c r="O126" i="10"/>
  <c r="P125" i="10"/>
  <c r="O125" i="10"/>
  <c r="C125" i="10"/>
  <c r="D125" i="10"/>
  <c r="E125" i="10"/>
  <c r="P124" i="10"/>
  <c r="O124" i="10"/>
  <c r="P123" i="10"/>
  <c r="O123" i="10"/>
  <c r="P122" i="10"/>
  <c r="O122" i="10"/>
  <c r="P121" i="10"/>
  <c r="O121" i="10"/>
  <c r="P120" i="10"/>
  <c r="O120" i="10"/>
  <c r="P119" i="10"/>
  <c r="O119" i="10"/>
  <c r="P118" i="10"/>
  <c r="D118" i="10"/>
  <c r="E118" i="10"/>
  <c r="O118" i="10"/>
  <c r="C118" i="10"/>
  <c r="P117" i="10"/>
  <c r="O117" i="10"/>
  <c r="P116" i="10"/>
  <c r="O116" i="10"/>
  <c r="P115" i="10"/>
  <c r="O115" i="10"/>
  <c r="P114" i="10"/>
  <c r="O114" i="10"/>
  <c r="P113" i="10"/>
  <c r="O113" i="10"/>
  <c r="P112" i="10"/>
  <c r="O112" i="10"/>
  <c r="P111" i="10"/>
  <c r="O111" i="10"/>
  <c r="C111" i="10"/>
  <c r="D111" i="10"/>
  <c r="E111" i="10"/>
  <c r="P110" i="10"/>
  <c r="O110" i="10"/>
  <c r="P109" i="10"/>
  <c r="O109" i="10"/>
  <c r="P108" i="10"/>
  <c r="O108" i="10"/>
  <c r="P107" i="10"/>
  <c r="O107" i="10"/>
  <c r="P106" i="10"/>
  <c r="O106" i="10"/>
  <c r="P105" i="10"/>
  <c r="O105" i="10"/>
  <c r="P104" i="10"/>
  <c r="O104" i="10"/>
  <c r="C104" i="10"/>
  <c r="P102" i="10"/>
  <c r="O102" i="10"/>
  <c r="P101" i="10"/>
  <c r="O101" i="10"/>
  <c r="P100" i="10"/>
  <c r="O100" i="10"/>
  <c r="P99" i="10"/>
  <c r="O99" i="10"/>
  <c r="P98" i="10"/>
  <c r="O98" i="10"/>
  <c r="P97" i="10"/>
  <c r="O97" i="10"/>
  <c r="P96" i="10"/>
  <c r="O96" i="10"/>
  <c r="C96" i="10"/>
  <c r="P95" i="10"/>
  <c r="O95" i="10"/>
  <c r="P94" i="10"/>
  <c r="O94" i="10"/>
  <c r="P93" i="10"/>
  <c r="O93" i="10"/>
  <c r="P92" i="10"/>
  <c r="O92" i="10"/>
  <c r="P91" i="10"/>
  <c r="O91" i="10"/>
  <c r="P90" i="10"/>
  <c r="O90" i="10"/>
  <c r="P89" i="10"/>
  <c r="O89" i="10"/>
  <c r="D89" i="10"/>
  <c r="P88" i="10"/>
  <c r="O88" i="10"/>
  <c r="P87" i="10"/>
  <c r="O87" i="10"/>
  <c r="P86" i="10"/>
  <c r="O86" i="10"/>
  <c r="P85" i="10"/>
  <c r="O85" i="10"/>
  <c r="P84" i="10"/>
  <c r="O84" i="10"/>
  <c r="P83" i="10"/>
  <c r="O83" i="10"/>
  <c r="P82" i="10"/>
  <c r="D82" i="10"/>
  <c r="E82" i="10"/>
  <c r="O82" i="10"/>
  <c r="C82" i="10"/>
  <c r="P81" i="10"/>
  <c r="O81" i="10"/>
  <c r="P80" i="10"/>
  <c r="O80" i="10"/>
  <c r="P79" i="10"/>
  <c r="O79" i="10"/>
  <c r="P78" i="10"/>
  <c r="O78" i="10"/>
  <c r="P77" i="10"/>
  <c r="O77" i="10"/>
  <c r="P76" i="10"/>
  <c r="O76" i="10"/>
  <c r="P75" i="10"/>
  <c r="O75" i="10"/>
  <c r="D75" i="10"/>
  <c r="E75" i="10"/>
  <c r="C75" i="10"/>
  <c r="P73" i="10"/>
  <c r="O73" i="10"/>
  <c r="P72" i="10"/>
  <c r="O72" i="10"/>
  <c r="P71" i="10"/>
  <c r="O71" i="10"/>
  <c r="P70" i="10"/>
  <c r="O70" i="10"/>
  <c r="P69" i="10"/>
  <c r="O69" i="10"/>
  <c r="P68" i="10"/>
  <c r="O68" i="10"/>
  <c r="P67" i="10"/>
  <c r="D67" i="10"/>
  <c r="E67" i="10"/>
  <c r="O67" i="10"/>
  <c r="C67" i="10"/>
  <c r="P66" i="10"/>
  <c r="O66" i="10"/>
  <c r="P65" i="10"/>
  <c r="O65" i="10"/>
  <c r="P64" i="10"/>
  <c r="O64" i="10"/>
  <c r="P63" i="10"/>
  <c r="O63" i="10"/>
  <c r="P62" i="10"/>
  <c r="O62" i="10"/>
  <c r="P61" i="10"/>
  <c r="O61" i="10"/>
  <c r="P60" i="10"/>
  <c r="O60" i="10"/>
  <c r="D60" i="10"/>
  <c r="E60" i="10"/>
  <c r="P59" i="10"/>
  <c r="O59" i="10"/>
  <c r="P58" i="10"/>
  <c r="O58" i="10"/>
  <c r="P57" i="10"/>
  <c r="O57" i="10"/>
  <c r="P56" i="10"/>
  <c r="O56" i="10"/>
  <c r="P55" i="10"/>
  <c r="O55" i="10"/>
  <c r="P54" i="10"/>
  <c r="O54" i="10"/>
  <c r="P53" i="10"/>
  <c r="D53" i="10"/>
  <c r="E53" i="10"/>
  <c r="O53" i="10"/>
  <c r="C53" i="10"/>
  <c r="P52" i="10"/>
  <c r="O52" i="10"/>
  <c r="P51" i="10"/>
  <c r="O51" i="10"/>
  <c r="P50" i="10"/>
  <c r="O50" i="10"/>
  <c r="P49" i="10"/>
  <c r="O49" i="10"/>
  <c r="P48" i="10"/>
  <c r="O48" i="10"/>
  <c r="P47" i="10"/>
  <c r="O47" i="10"/>
  <c r="P46" i="10"/>
  <c r="O46" i="10"/>
  <c r="C46" i="10"/>
  <c r="D46" i="10"/>
  <c r="E46" i="10"/>
  <c r="P45" i="10"/>
  <c r="O45" i="10"/>
  <c r="P44" i="10"/>
  <c r="O44" i="10"/>
  <c r="P43" i="10"/>
  <c r="O43" i="10"/>
  <c r="P42" i="10"/>
  <c r="O42" i="10"/>
  <c r="P41" i="10"/>
  <c r="O41" i="10"/>
  <c r="P40" i="10"/>
  <c r="O40" i="10"/>
  <c r="P39" i="10"/>
  <c r="D39" i="10"/>
  <c r="E39" i="10"/>
  <c r="O39" i="10"/>
  <c r="C39" i="10"/>
  <c r="P38" i="10"/>
  <c r="O38" i="10"/>
  <c r="P37" i="10"/>
  <c r="O37" i="10"/>
  <c r="P36" i="10"/>
  <c r="O36" i="10"/>
  <c r="P35" i="10"/>
  <c r="O35" i="10"/>
  <c r="P34" i="10"/>
  <c r="O34" i="10"/>
  <c r="P33" i="10"/>
  <c r="O33" i="10"/>
  <c r="P32" i="10"/>
  <c r="O32" i="10"/>
  <c r="C32" i="10"/>
  <c r="D32" i="10"/>
  <c r="E32" i="10"/>
  <c r="P31" i="10"/>
  <c r="O31" i="10"/>
  <c r="P30" i="10"/>
  <c r="O30" i="10"/>
  <c r="P29" i="10"/>
  <c r="O29" i="10"/>
  <c r="P28" i="10"/>
  <c r="O28" i="10"/>
  <c r="P27" i="10"/>
  <c r="O27" i="10"/>
  <c r="P26" i="10"/>
  <c r="O26" i="10"/>
  <c r="P25" i="10"/>
  <c r="O25" i="10"/>
  <c r="C25" i="10"/>
  <c r="P24" i="10"/>
  <c r="O24" i="10"/>
  <c r="P23" i="10"/>
  <c r="O23" i="10"/>
  <c r="P22" i="10"/>
  <c r="O22" i="10"/>
  <c r="P21" i="10"/>
  <c r="O21" i="10"/>
  <c r="P20" i="10"/>
  <c r="O20" i="10"/>
  <c r="P19" i="10"/>
  <c r="O19" i="10"/>
  <c r="P18" i="10"/>
  <c r="O18" i="10"/>
  <c r="C18" i="10"/>
  <c r="D18" i="10"/>
  <c r="E18" i="10"/>
  <c r="P17" i="10"/>
  <c r="O17" i="10"/>
  <c r="P16" i="10"/>
  <c r="O16" i="10"/>
  <c r="P15" i="10"/>
  <c r="O15" i="10"/>
  <c r="P14" i="10"/>
  <c r="O14" i="10"/>
  <c r="P13" i="10"/>
  <c r="O13" i="10"/>
  <c r="P12" i="10"/>
  <c r="O12" i="10"/>
  <c r="P11" i="10"/>
  <c r="D11" i="10"/>
  <c r="O11" i="10"/>
  <c r="C11" i="10"/>
  <c r="O745" i="12"/>
  <c r="N745" i="12"/>
  <c r="O744" i="12"/>
  <c r="N744" i="12"/>
  <c r="O743" i="12"/>
  <c r="N743" i="12"/>
  <c r="O742" i="12"/>
  <c r="N742" i="12"/>
  <c r="O741" i="12"/>
  <c r="N741" i="12"/>
  <c r="O740" i="12"/>
  <c r="N740" i="12"/>
  <c r="O739" i="12"/>
  <c r="N739" i="12"/>
  <c r="C739" i="12"/>
  <c r="D739" i="12"/>
  <c r="E739" i="12"/>
  <c r="O738" i="12"/>
  <c r="N738" i="12"/>
  <c r="O737" i="12"/>
  <c r="N737" i="12"/>
  <c r="O736" i="12"/>
  <c r="N736" i="12"/>
  <c r="O735" i="12"/>
  <c r="N735" i="12"/>
  <c r="O734" i="12"/>
  <c r="N734" i="12"/>
  <c r="O733" i="12"/>
  <c r="N733" i="12"/>
  <c r="O732" i="12"/>
  <c r="D732" i="12"/>
  <c r="E732" i="12"/>
  <c r="N732" i="12"/>
  <c r="C732" i="12"/>
  <c r="O731" i="12"/>
  <c r="N731" i="12"/>
  <c r="O730" i="12"/>
  <c r="N730" i="12"/>
  <c r="O729" i="12"/>
  <c r="N729" i="12"/>
  <c r="O728" i="12"/>
  <c r="N728" i="12"/>
  <c r="O727" i="12"/>
  <c r="N727" i="12"/>
  <c r="O726" i="12"/>
  <c r="N726" i="12"/>
  <c r="O725" i="12"/>
  <c r="N725" i="12"/>
  <c r="C725" i="12"/>
  <c r="D725" i="12"/>
  <c r="E725" i="12"/>
  <c r="O724" i="12"/>
  <c r="N724" i="12"/>
  <c r="O723" i="12"/>
  <c r="N723" i="12"/>
  <c r="O722" i="12"/>
  <c r="N722" i="12"/>
  <c r="O721" i="12"/>
  <c r="N721" i="12"/>
  <c r="O720" i="12"/>
  <c r="N720" i="12"/>
  <c r="O719" i="12"/>
  <c r="N719" i="12"/>
  <c r="O718" i="12"/>
  <c r="N718" i="12"/>
  <c r="C718" i="12"/>
  <c r="O717" i="12"/>
  <c r="N717" i="12"/>
  <c r="O716" i="12"/>
  <c r="N716" i="12"/>
  <c r="O715" i="12"/>
  <c r="N715" i="12"/>
  <c r="O714" i="12"/>
  <c r="N714" i="12"/>
  <c r="O713" i="12"/>
  <c r="N713" i="12"/>
  <c r="O712" i="12"/>
  <c r="N712" i="12"/>
  <c r="O711" i="12"/>
  <c r="N711" i="12"/>
  <c r="C711" i="12"/>
  <c r="D711" i="12"/>
  <c r="E711" i="12"/>
  <c r="O710" i="12"/>
  <c r="N710" i="12"/>
  <c r="O709" i="12"/>
  <c r="N709" i="12"/>
  <c r="O708" i="12"/>
  <c r="N708" i="12"/>
  <c r="O707" i="12"/>
  <c r="N707" i="12"/>
  <c r="O706" i="12"/>
  <c r="N706" i="12"/>
  <c r="O705" i="12"/>
  <c r="N705" i="12"/>
  <c r="O704" i="12"/>
  <c r="D704" i="12"/>
  <c r="E704" i="12"/>
  <c r="N704" i="12"/>
  <c r="C704" i="12"/>
  <c r="O703" i="12"/>
  <c r="N703" i="12"/>
  <c r="O702" i="12"/>
  <c r="N702" i="12"/>
  <c r="O701" i="12"/>
  <c r="N701" i="12"/>
  <c r="O700" i="12"/>
  <c r="N700" i="12"/>
  <c r="O699" i="12"/>
  <c r="N699" i="12"/>
  <c r="O698" i="12"/>
  <c r="N698" i="12"/>
  <c r="O697" i="12"/>
  <c r="N697" i="12"/>
  <c r="C697" i="12"/>
  <c r="D697" i="12"/>
  <c r="E697" i="12"/>
  <c r="O696" i="12"/>
  <c r="N696" i="12"/>
  <c r="O695" i="12"/>
  <c r="N695" i="12"/>
  <c r="O694" i="12"/>
  <c r="N694" i="12"/>
  <c r="O693" i="12"/>
  <c r="N693" i="12"/>
  <c r="O692" i="12"/>
  <c r="N692" i="12"/>
  <c r="O691" i="12"/>
  <c r="N691" i="12"/>
  <c r="O690" i="12"/>
  <c r="N690" i="12"/>
  <c r="C690" i="12"/>
  <c r="O689" i="12"/>
  <c r="N689" i="12"/>
  <c r="O688" i="12"/>
  <c r="N688" i="12"/>
  <c r="O687" i="12"/>
  <c r="N687" i="12"/>
  <c r="O686" i="12"/>
  <c r="N686" i="12"/>
  <c r="O685" i="12"/>
  <c r="N685" i="12"/>
  <c r="O684" i="12"/>
  <c r="N684" i="12"/>
  <c r="O683" i="12"/>
  <c r="N683" i="12"/>
  <c r="C683" i="12"/>
  <c r="D683" i="12"/>
  <c r="E683" i="12"/>
  <c r="O682" i="12"/>
  <c r="N682" i="12"/>
  <c r="O681" i="12"/>
  <c r="N681" i="12"/>
  <c r="O680" i="12"/>
  <c r="N680" i="12"/>
  <c r="O679" i="12"/>
  <c r="N679" i="12"/>
  <c r="O678" i="12"/>
  <c r="N678" i="12"/>
  <c r="O677" i="12"/>
  <c r="N677" i="12"/>
  <c r="O676" i="12"/>
  <c r="D676" i="12"/>
  <c r="E676" i="12"/>
  <c r="N676" i="12"/>
  <c r="C676" i="12"/>
  <c r="O675" i="12"/>
  <c r="N675" i="12"/>
  <c r="O674" i="12"/>
  <c r="N674" i="12"/>
  <c r="O673" i="12"/>
  <c r="N673" i="12"/>
  <c r="O672" i="12"/>
  <c r="N672" i="12"/>
  <c r="O671" i="12"/>
  <c r="N671" i="12"/>
  <c r="O670" i="12"/>
  <c r="N670" i="12"/>
  <c r="O669" i="12"/>
  <c r="N669" i="12"/>
  <c r="D669" i="12"/>
  <c r="E669" i="12"/>
  <c r="O668" i="12"/>
  <c r="N668" i="12"/>
  <c r="O667" i="12"/>
  <c r="N667" i="12"/>
  <c r="O666" i="12"/>
  <c r="N666" i="12"/>
  <c r="O665" i="12"/>
  <c r="N665" i="12"/>
  <c r="O664" i="12"/>
  <c r="N664" i="12"/>
  <c r="O663" i="12"/>
  <c r="N663" i="12"/>
  <c r="O662" i="12"/>
  <c r="D662" i="12"/>
  <c r="E662" i="12"/>
  <c r="N662" i="12"/>
  <c r="C662" i="12"/>
  <c r="O661" i="12"/>
  <c r="N661" i="12"/>
  <c r="O660" i="12"/>
  <c r="N660" i="12"/>
  <c r="O659" i="12"/>
  <c r="N659" i="12"/>
  <c r="O658" i="12"/>
  <c r="N658" i="12"/>
  <c r="O657" i="12"/>
  <c r="N657" i="12"/>
  <c r="O656" i="12"/>
  <c r="N656" i="12"/>
  <c r="O655" i="12"/>
  <c r="N655" i="12"/>
  <c r="C655" i="12"/>
  <c r="D655" i="12"/>
  <c r="E655" i="12"/>
  <c r="O654" i="12"/>
  <c r="N654" i="12"/>
  <c r="O653" i="12"/>
  <c r="N653" i="12"/>
  <c r="O652" i="12"/>
  <c r="N652" i="12"/>
  <c r="O651" i="12"/>
  <c r="N651" i="12"/>
  <c r="O650" i="12"/>
  <c r="N650" i="12"/>
  <c r="O649" i="12"/>
  <c r="N649" i="12"/>
  <c r="O648" i="12"/>
  <c r="D648" i="12"/>
  <c r="E648" i="12"/>
  <c r="N648" i="12"/>
  <c r="C648" i="12"/>
  <c r="O647" i="12"/>
  <c r="N647" i="12"/>
  <c r="O646" i="12"/>
  <c r="N646" i="12"/>
  <c r="O645" i="12"/>
  <c r="N645" i="12"/>
  <c r="O644" i="12"/>
  <c r="N644" i="12"/>
  <c r="O643" i="12"/>
  <c r="N643" i="12"/>
  <c r="O642" i="12"/>
  <c r="N642" i="12"/>
  <c r="O641" i="12"/>
  <c r="N641" i="12"/>
  <c r="D641" i="12"/>
  <c r="E641" i="12"/>
  <c r="O640" i="12"/>
  <c r="N640" i="12"/>
  <c r="O639" i="12"/>
  <c r="N639" i="12"/>
  <c r="O638" i="12"/>
  <c r="N638" i="12"/>
  <c r="O637" i="12"/>
  <c r="N637" i="12"/>
  <c r="O636" i="12"/>
  <c r="N636" i="12"/>
  <c r="O635" i="12"/>
  <c r="N635" i="12"/>
  <c r="O634" i="12"/>
  <c r="D634" i="12"/>
  <c r="E634" i="12"/>
  <c r="N634" i="12"/>
  <c r="C634" i="12"/>
  <c r="O633" i="12"/>
  <c r="N633" i="12"/>
  <c r="O632" i="12"/>
  <c r="N632" i="12"/>
  <c r="O631" i="12"/>
  <c r="N631" i="12"/>
  <c r="O630" i="12"/>
  <c r="N630" i="12"/>
  <c r="O629" i="12"/>
  <c r="N629" i="12"/>
  <c r="O628" i="12"/>
  <c r="N628" i="12"/>
  <c r="O627" i="12"/>
  <c r="N627" i="12"/>
  <c r="C627" i="12"/>
  <c r="D627" i="12"/>
  <c r="E627" i="12"/>
  <c r="O626" i="12"/>
  <c r="N626" i="12"/>
  <c r="O625" i="12"/>
  <c r="N625" i="12"/>
  <c r="O624" i="12"/>
  <c r="N624" i="12"/>
  <c r="O623" i="12"/>
  <c r="N623" i="12"/>
  <c r="O622" i="12"/>
  <c r="N622" i="12"/>
  <c r="O621" i="12"/>
  <c r="N621" i="12"/>
  <c r="O620" i="12"/>
  <c r="D620" i="12"/>
  <c r="E620" i="12"/>
  <c r="N620" i="12"/>
  <c r="C620" i="12"/>
  <c r="O617" i="12"/>
  <c r="N617" i="12"/>
  <c r="O616" i="12"/>
  <c r="N616" i="12"/>
  <c r="O615" i="12"/>
  <c r="N615" i="12"/>
  <c r="O614" i="12"/>
  <c r="N614" i="12"/>
  <c r="O613" i="12"/>
  <c r="N613" i="12"/>
  <c r="O612" i="12"/>
  <c r="N612" i="12"/>
  <c r="O611" i="12"/>
  <c r="N611" i="12"/>
  <c r="C611" i="12"/>
  <c r="D611" i="12"/>
  <c r="E611" i="12"/>
  <c r="O610" i="12"/>
  <c r="N610" i="12"/>
  <c r="O609" i="12"/>
  <c r="N609" i="12"/>
  <c r="O608" i="12"/>
  <c r="N608" i="12"/>
  <c r="O607" i="12"/>
  <c r="N607" i="12"/>
  <c r="O606" i="12"/>
  <c r="N606" i="12"/>
  <c r="O605" i="12"/>
  <c r="N605" i="12"/>
  <c r="O604" i="12"/>
  <c r="N604" i="12"/>
  <c r="C604" i="12"/>
  <c r="O603" i="12"/>
  <c r="N603" i="12"/>
  <c r="O602" i="12"/>
  <c r="N602" i="12"/>
  <c r="O601" i="12"/>
  <c r="N601" i="12"/>
  <c r="O600" i="12"/>
  <c r="N600" i="12"/>
  <c r="O599" i="12"/>
  <c r="N599" i="12"/>
  <c r="O598" i="12"/>
  <c r="N598" i="12"/>
  <c r="O597" i="12"/>
  <c r="N597" i="12"/>
  <c r="C597" i="12"/>
  <c r="D597" i="12"/>
  <c r="E597" i="12"/>
  <c r="O596" i="12"/>
  <c r="N596" i="12"/>
  <c r="O595" i="12"/>
  <c r="N595" i="12"/>
  <c r="O594" i="12"/>
  <c r="N594" i="12"/>
  <c r="O593" i="12"/>
  <c r="N593" i="12"/>
  <c r="O592" i="12"/>
  <c r="N592" i="12"/>
  <c r="O591" i="12"/>
  <c r="N591" i="12"/>
  <c r="O590" i="12"/>
  <c r="D590" i="12"/>
  <c r="E590" i="12"/>
  <c r="N590" i="12"/>
  <c r="C590" i="12"/>
  <c r="O589" i="12"/>
  <c r="N589" i="12"/>
  <c r="O588" i="12"/>
  <c r="N588" i="12"/>
  <c r="O587" i="12"/>
  <c r="N587" i="12"/>
  <c r="O586" i="12"/>
  <c r="N586" i="12"/>
  <c r="O585" i="12"/>
  <c r="N585" i="12"/>
  <c r="O584" i="12"/>
  <c r="N584" i="12"/>
  <c r="O583" i="12"/>
  <c r="N583" i="12"/>
  <c r="C583" i="12"/>
  <c r="D583" i="12"/>
  <c r="E583" i="12"/>
  <c r="O582" i="12"/>
  <c r="N582" i="12"/>
  <c r="O581" i="12"/>
  <c r="N581" i="12"/>
  <c r="O580" i="12"/>
  <c r="N580" i="12"/>
  <c r="O579" i="12"/>
  <c r="N579" i="12"/>
  <c r="O578" i="12"/>
  <c r="N578" i="12"/>
  <c r="O577" i="12"/>
  <c r="N577" i="12"/>
  <c r="O576" i="12"/>
  <c r="N576" i="12"/>
  <c r="C576" i="12"/>
  <c r="O575" i="12"/>
  <c r="N575" i="12"/>
  <c r="O574" i="12"/>
  <c r="N574" i="12"/>
  <c r="O573" i="12"/>
  <c r="N573" i="12"/>
  <c r="O572" i="12"/>
  <c r="N572" i="12"/>
  <c r="O571" i="12"/>
  <c r="N571" i="12"/>
  <c r="O570" i="12"/>
  <c r="N570" i="12"/>
  <c r="O569" i="12"/>
  <c r="N569" i="12"/>
  <c r="C569" i="12"/>
  <c r="D569" i="12"/>
  <c r="E569" i="12"/>
  <c r="O568" i="12"/>
  <c r="N568" i="12"/>
  <c r="O567" i="12"/>
  <c r="N567" i="12"/>
  <c r="O566" i="12"/>
  <c r="N566" i="12"/>
  <c r="O565" i="12"/>
  <c r="N565" i="12"/>
  <c r="O564" i="12"/>
  <c r="N564" i="12"/>
  <c r="O563" i="12"/>
  <c r="N563" i="12"/>
  <c r="O562" i="12"/>
  <c r="D562" i="12"/>
  <c r="E562" i="12"/>
  <c r="N562" i="12"/>
  <c r="C562" i="12"/>
  <c r="O561" i="12"/>
  <c r="N561" i="12"/>
  <c r="O560" i="12"/>
  <c r="N560" i="12"/>
  <c r="O559" i="12"/>
  <c r="N559" i="12"/>
  <c r="O558" i="12"/>
  <c r="N558" i="12"/>
  <c r="O557" i="12"/>
  <c r="N557" i="12"/>
  <c r="O556" i="12"/>
  <c r="N556" i="12"/>
  <c r="O555" i="12"/>
  <c r="N555" i="12"/>
  <c r="D555" i="12"/>
  <c r="E555" i="12"/>
  <c r="O554" i="12"/>
  <c r="N554" i="12"/>
  <c r="O553" i="12"/>
  <c r="N553" i="12"/>
  <c r="O552" i="12"/>
  <c r="N552" i="12"/>
  <c r="O551" i="12"/>
  <c r="N551" i="12"/>
  <c r="O550" i="12"/>
  <c r="N550" i="12"/>
  <c r="O549" i="12"/>
  <c r="N549" i="12"/>
  <c r="O548" i="12"/>
  <c r="D548" i="12"/>
  <c r="E548" i="12"/>
  <c r="N548" i="12"/>
  <c r="C548" i="12"/>
  <c r="O547" i="12"/>
  <c r="N547" i="12"/>
  <c r="O546" i="12"/>
  <c r="N546" i="12"/>
  <c r="O545" i="12"/>
  <c r="N545" i="12"/>
  <c r="O544" i="12"/>
  <c r="N544" i="12"/>
  <c r="O543" i="12"/>
  <c r="N543" i="12"/>
  <c r="O542" i="12"/>
  <c r="N542" i="12"/>
  <c r="O541" i="12"/>
  <c r="N541" i="12"/>
  <c r="C541" i="12"/>
  <c r="D541" i="12"/>
  <c r="E541" i="12"/>
  <c r="O540" i="12"/>
  <c r="N540" i="12"/>
  <c r="O539" i="12"/>
  <c r="N539" i="12"/>
  <c r="O538" i="12"/>
  <c r="N538" i="12"/>
  <c r="O537" i="12"/>
  <c r="N537" i="12"/>
  <c r="O536" i="12"/>
  <c r="N536" i="12"/>
  <c r="O535" i="12"/>
  <c r="N535" i="12"/>
  <c r="O534" i="12"/>
  <c r="D534" i="12"/>
  <c r="E534" i="12"/>
  <c r="N534" i="12"/>
  <c r="C534" i="12"/>
  <c r="O533" i="12"/>
  <c r="N533" i="12"/>
  <c r="O532" i="12"/>
  <c r="N532" i="12"/>
  <c r="O531" i="12"/>
  <c r="N531" i="12"/>
  <c r="O530" i="12"/>
  <c r="N530" i="12"/>
  <c r="O529" i="12"/>
  <c r="N529" i="12"/>
  <c r="O528" i="12"/>
  <c r="N528" i="12"/>
  <c r="O527" i="12"/>
  <c r="N527" i="12"/>
  <c r="D527" i="12"/>
  <c r="E527" i="12"/>
  <c r="O526" i="12"/>
  <c r="N526" i="12"/>
  <c r="O525" i="12"/>
  <c r="N525" i="12"/>
  <c r="O524" i="12"/>
  <c r="N524" i="12"/>
  <c r="O523" i="12"/>
  <c r="N523" i="12"/>
  <c r="O522" i="12"/>
  <c r="N522" i="12"/>
  <c r="O521" i="12"/>
  <c r="N521" i="12"/>
  <c r="O520" i="12"/>
  <c r="D520" i="12"/>
  <c r="E520" i="12"/>
  <c r="N520" i="12"/>
  <c r="C520" i="12"/>
  <c r="O517" i="12"/>
  <c r="N517" i="12"/>
  <c r="O516" i="12"/>
  <c r="N516" i="12"/>
  <c r="O515" i="12"/>
  <c r="N515" i="12"/>
  <c r="O514" i="12"/>
  <c r="N514" i="12"/>
  <c r="O513" i="12"/>
  <c r="N513" i="12"/>
  <c r="O512" i="12"/>
  <c r="N512" i="12"/>
  <c r="O511" i="12"/>
  <c r="N511" i="12"/>
  <c r="C511" i="12"/>
  <c r="D511" i="12"/>
  <c r="E511" i="12"/>
  <c r="O510" i="12"/>
  <c r="N510" i="12"/>
  <c r="O509" i="12"/>
  <c r="N509" i="12"/>
  <c r="O508" i="12"/>
  <c r="N508" i="12"/>
  <c r="O507" i="12"/>
  <c r="N507" i="12"/>
  <c r="O506" i="12"/>
  <c r="N506" i="12"/>
  <c r="O505" i="12"/>
  <c r="N505" i="12"/>
  <c r="O504" i="12"/>
  <c r="D504" i="12"/>
  <c r="E504" i="12"/>
  <c r="N504" i="12"/>
  <c r="C504" i="12"/>
  <c r="O503" i="12"/>
  <c r="N503" i="12"/>
  <c r="O502" i="12"/>
  <c r="N502" i="12"/>
  <c r="O501" i="12"/>
  <c r="N501" i="12"/>
  <c r="O500" i="12"/>
  <c r="N500" i="12"/>
  <c r="O499" i="12"/>
  <c r="N499" i="12"/>
  <c r="O498" i="12"/>
  <c r="N498" i="12"/>
  <c r="O497" i="12"/>
  <c r="N497" i="12"/>
  <c r="C497" i="12"/>
  <c r="D497" i="12"/>
  <c r="E497" i="12"/>
  <c r="O496" i="12"/>
  <c r="N496" i="12"/>
  <c r="O495" i="12"/>
  <c r="N495" i="12"/>
  <c r="O494" i="12"/>
  <c r="N494" i="12"/>
  <c r="O493" i="12"/>
  <c r="N493" i="12"/>
  <c r="O492" i="12"/>
  <c r="N492" i="12"/>
  <c r="O491" i="12"/>
  <c r="N491" i="12"/>
  <c r="O490" i="12"/>
  <c r="N490" i="12"/>
  <c r="C490" i="12"/>
  <c r="O489" i="12"/>
  <c r="N489" i="12"/>
  <c r="O488" i="12"/>
  <c r="N488" i="12"/>
  <c r="O487" i="12"/>
  <c r="N487" i="12"/>
  <c r="O486" i="12"/>
  <c r="N486" i="12"/>
  <c r="O485" i="12"/>
  <c r="N485" i="12"/>
  <c r="O484" i="12"/>
  <c r="N484" i="12"/>
  <c r="O483" i="12"/>
  <c r="N483" i="12"/>
  <c r="C483" i="12"/>
  <c r="D483" i="12"/>
  <c r="E483" i="12"/>
  <c r="O482" i="12"/>
  <c r="N482" i="12"/>
  <c r="O481" i="12"/>
  <c r="N481" i="12"/>
  <c r="O480" i="12"/>
  <c r="N480" i="12"/>
  <c r="O479" i="12"/>
  <c r="N479" i="12"/>
  <c r="O478" i="12"/>
  <c r="N478" i="12"/>
  <c r="O477" i="12"/>
  <c r="N477" i="12"/>
  <c r="O476" i="12"/>
  <c r="D476" i="12"/>
  <c r="E476" i="12"/>
  <c r="N476" i="12"/>
  <c r="C476" i="12"/>
  <c r="O475" i="12"/>
  <c r="N475" i="12"/>
  <c r="O474" i="12"/>
  <c r="N474" i="12"/>
  <c r="O473" i="12"/>
  <c r="N473" i="12"/>
  <c r="O472" i="12"/>
  <c r="N472" i="12"/>
  <c r="O471" i="12"/>
  <c r="N471" i="12"/>
  <c r="O470" i="12"/>
  <c r="N470" i="12"/>
  <c r="O469" i="12"/>
  <c r="N469" i="12"/>
  <c r="C469" i="12"/>
  <c r="D469" i="12"/>
  <c r="E469" i="12"/>
  <c r="O468" i="12"/>
  <c r="N468" i="12"/>
  <c r="O467" i="12"/>
  <c r="N467" i="12"/>
  <c r="O466" i="12"/>
  <c r="N466" i="12"/>
  <c r="O465" i="12"/>
  <c r="N465" i="12"/>
  <c r="O464" i="12"/>
  <c r="N464" i="12"/>
  <c r="O463" i="12"/>
  <c r="N463" i="12"/>
  <c r="O462" i="12"/>
  <c r="N462" i="12"/>
  <c r="C462" i="12"/>
  <c r="O461" i="12"/>
  <c r="N461" i="12"/>
  <c r="O460" i="12"/>
  <c r="N460" i="12"/>
  <c r="O459" i="12"/>
  <c r="N459" i="12"/>
  <c r="O458" i="12"/>
  <c r="N458" i="12"/>
  <c r="O457" i="12"/>
  <c r="N457" i="12"/>
  <c r="O456" i="12"/>
  <c r="N456" i="12"/>
  <c r="O455" i="12"/>
  <c r="N455" i="12"/>
  <c r="C455" i="12"/>
  <c r="D455" i="12"/>
  <c r="E455" i="12"/>
  <c r="O454" i="12"/>
  <c r="N454" i="12"/>
  <c r="O453" i="12"/>
  <c r="N453" i="12"/>
  <c r="O452" i="12"/>
  <c r="N452" i="12"/>
  <c r="O451" i="12"/>
  <c r="N451" i="12"/>
  <c r="O450" i="12"/>
  <c r="N450" i="12"/>
  <c r="O449" i="12"/>
  <c r="N449" i="12"/>
  <c r="O448" i="12"/>
  <c r="D448" i="12"/>
  <c r="E448" i="12"/>
  <c r="N448" i="12"/>
  <c r="C448" i="12"/>
  <c r="O447" i="12"/>
  <c r="N447" i="12"/>
  <c r="O446" i="12"/>
  <c r="N446" i="12"/>
  <c r="O445" i="12"/>
  <c r="N445" i="12"/>
  <c r="O444" i="12"/>
  <c r="N444" i="12"/>
  <c r="O443" i="12"/>
  <c r="N443" i="12"/>
  <c r="O442" i="12"/>
  <c r="N442" i="12"/>
  <c r="O441" i="12"/>
  <c r="N441" i="12"/>
  <c r="D441" i="12"/>
  <c r="E441" i="12"/>
  <c r="O440" i="12"/>
  <c r="N440" i="12"/>
  <c r="O439" i="12"/>
  <c r="N439" i="12"/>
  <c r="O438" i="12"/>
  <c r="N438" i="12"/>
  <c r="O437" i="12"/>
  <c r="N437" i="12"/>
  <c r="O436" i="12"/>
  <c r="N436" i="12"/>
  <c r="O435" i="12"/>
  <c r="N435" i="12"/>
  <c r="O434" i="12"/>
  <c r="D434" i="12"/>
  <c r="E434" i="12"/>
  <c r="N434" i="12"/>
  <c r="C434" i="12"/>
  <c r="O433" i="12"/>
  <c r="N433" i="12"/>
  <c r="O432" i="12"/>
  <c r="N432" i="12"/>
  <c r="O431" i="12"/>
  <c r="N431" i="12"/>
  <c r="O430" i="12"/>
  <c r="N430" i="12"/>
  <c r="O429" i="12"/>
  <c r="N429" i="12"/>
  <c r="O428" i="12"/>
  <c r="N428" i="12"/>
  <c r="O427" i="12"/>
  <c r="N427" i="12"/>
  <c r="C427" i="12"/>
  <c r="D427" i="12"/>
  <c r="E427" i="12"/>
  <c r="O426" i="12"/>
  <c r="N426" i="12"/>
  <c r="O425" i="12"/>
  <c r="N425" i="12"/>
  <c r="O424" i="12"/>
  <c r="N424" i="12"/>
  <c r="O423" i="12"/>
  <c r="N423" i="12"/>
  <c r="O422" i="12"/>
  <c r="N422" i="12"/>
  <c r="O421" i="12"/>
  <c r="N421" i="12"/>
  <c r="O420" i="12"/>
  <c r="D420" i="12"/>
  <c r="E420" i="12"/>
  <c r="N420" i="12"/>
  <c r="C420" i="12"/>
  <c r="O419" i="12"/>
  <c r="N419" i="12"/>
  <c r="O418" i="12"/>
  <c r="N418" i="12"/>
  <c r="O417" i="12"/>
  <c r="N417" i="12"/>
  <c r="O416" i="12"/>
  <c r="N416" i="12"/>
  <c r="O415" i="12"/>
  <c r="N415" i="12"/>
  <c r="O414" i="12"/>
  <c r="N414" i="12"/>
  <c r="O413" i="12"/>
  <c r="N413" i="12"/>
  <c r="D413" i="12"/>
  <c r="E413" i="12"/>
  <c r="O412" i="12"/>
  <c r="N412" i="12"/>
  <c r="O411" i="12"/>
  <c r="N411" i="12"/>
  <c r="O410" i="12"/>
  <c r="N410" i="12"/>
  <c r="O409" i="12"/>
  <c r="N409" i="12"/>
  <c r="O408" i="12"/>
  <c r="N408" i="12"/>
  <c r="O407" i="12"/>
  <c r="N407" i="12"/>
  <c r="O406" i="12"/>
  <c r="D406" i="12"/>
  <c r="E406" i="12"/>
  <c r="N406" i="12"/>
  <c r="C406" i="12"/>
  <c r="O405" i="12"/>
  <c r="N405" i="12"/>
  <c r="O404" i="12"/>
  <c r="N404" i="12"/>
  <c r="O403" i="12"/>
  <c r="N403" i="12"/>
  <c r="O402" i="12"/>
  <c r="N402" i="12"/>
  <c r="O401" i="12"/>
  <c r="N401" i="12"/>
  <c r="O400" i="12"/>
  <c r="N400" i="12"/>
  <c r="O399" i="12"/>
  <c r="N399" i="12"/>
  <c r="C399" i="12"/>
  <c r="D399" i="12"/>
  <c r="E399" i="12"/>
  <c r="O398" i="12"/>
  <c r="N398" i="12"/>
  <c r="O397" i="12"/>
  <c r="N397" i="12"/>
  <c r="O396" i="12"/>
  <c r="N396" i="12"/>
  <c r="O395" i="12"/>
  <c r="N395" i="12"/>
  <c r="O394" i="12"/>
  <c r="N394" i="12"/>
  <c r="O393" i="12"/>
  <c r="N393" i="12"/>
  <c r="O392" i="12"/>
  <c r="D392" i="12"/>
  <c r="E392" i="12"/>
  <c r="N392" i="12"/>
  <c r="C392" i="12"/>
  <c r="O391" i="12"/>
  <c r="N391" i="12"/>
  <c r="O390" i="12"/>
  <c r="N390" i="12"/>
  <c r="O389" i="12"/>
  <c r="N389" i="12"/>
  <c r="O388" i="12"/>
  <c r="N388" i="12"/>
  <c r="O387" i="12"/>
  <c r="N387" i="12"/>
  <c r="O386" i="12"/>
  <c r="N386" i="12"/>
  <c r="O385" i="12"/>
  <c r="N385" i="12"/>
  <c r="C385" i="12"/>
  <c r="D385" i="12"/>
  <c r="E385" i="12"/>
  <c r="O384" i="12"/>
  <c r="N384" i="12"/>
  <c r="O383" i="12"/>
  <c r="N383" i="12"/>
  <c r="O382" i="12"/>
  <c r="N382" i="12"/>
  <c r="O381" i="12"/>
  <c r="N381" i="12"/>
  <c r="O380" i="12"/>
  <c r="N380" i="12"/>
  <c r="O379" i="12"/>
  <c r="N379" i="12"/>
  <c r="O378" i="12"/>
  <c r="N378" i="12"/>
  <c r="C378" i="12"/>
  <c r="O377" i="12"/>
  <c r="N377" i="12"/>
  <c r="O376" i="12"/>
  <c r="N376" i="12"/>
  <c r="O375" i="12"/>
  <c r="N375" i="12"/>
  <c r="O374" i="12"/>
  <c r="N374" i="12"/>
  <c r="O373" i="12"/>
  <c r="N373" i="12"/>
  <c r="O372" i="12"/>
  <c r="N372" i="12"/>
  <c r="O371" i="12"/>
  <c r="N371" i="12"/>
  <c r="C371" i="12"/>
  <c r="D371" i="12"/>
  <c r="E371" i="12"/>
  <c r="O370" i="12"/>
  <c r="N370" i="12"/>
  <c r="O369" i="12"/>
  <c r="N369" i="12"/>
  <c r="O368" i="12"/>
  <c r="N368" i="12"/>
  <c r="O367" i="12"/>
  <c r="N367" i="12"/>
  <c r="O366" i="12"/>
  <c r="N366" i="12"/>
  <c r="O365" i="12"/>
  <c r="N365" i="12"/>
  <c r="O364" i="12"/>
  <c r="D364" i="12"/>
  <c r="E364" i="12"/>
  <c r="N364" i="12"/>
  <c r="C364" i="12"/>
  <c r="O363" i="12"/>
  <c r="N363" i="12"/>
  <c r="O362" i="12"/>
  <c r="N362" i="12"/>
  <c r="O361" i="12"/>
  <c r="N361" i="12"/>
  <c r="O360" i="12"/>
  <c r="N360" i="12"/>
  <c r="O359" i="12"/>
  <c r="N359" i="12"/>
  <c r="O358" i="12"/>
  <c r="N358" i="12"/>
  <c r="O357" i="12"/>
  <c r="N357" i="12"/>
  <c r="C357" i="12"/>
  <c r="D357" i="12"/>
  <c r="E357" i="12"/>
  <c r="O356" i="12"/>
  <c r="N356" i="12"/>
  <c r="O355" i="12"/>
  <c r="N355" i="12"/>
  <c r="O354" i="12"/>
  <c r="N354" i="12"/>
  <c r="O353" i="12"/>
  <c r="N353" i="12"/>
  <c r="O352" i="12"/>
  <c r="N352" i="12"/>
  <c r="O351" i="12"/>
  <c r="N351" i="12"/>
  <c r="O350" i="12"/>
  <c r="N350" i="12"/>
  <c r="C350" i="12"/>
  <c r="O349" i="12"/>
  <c r="N349" i="12"/>
  <c r="O348" i="12"/>
  <c r="N348" i="12"/>
  <c r="O347" i="12"/>
  <c r="N347" i="12"/>
  <c r="O346" i="12"/>
  <c r="N346" i="12"/>
  <c r="O345" i="12"/>
  <c r="N345" i="12"/>
  <c r="O344" i="12"/>
  <c r="N344" i="12"/>
  <c r="O343" i="12"/>
  <c r="N343" i="12"/>
  <c r="C343" i="12"/>
  <c r="D343" i="12"/>
  <c r="E343" i="12"/>
  <c r="O342" i="12"/>
  <c r="N342" i="12"/>
  <c r="O341" i="12"/>
  <c r="N341" i="12"/>
  <c r="O340" i="12"/>
  <c r="N340" i="12"/>
  <c r="O339" i="12"/>
  <c r="N339" i="12"/>
  <c r="O338" i="12"/>
  <c r="N338" i="12"/>
  <c r="O337" i="12"/>
  <c r="N337" i="12"/>
  <c r="O336" i="12"/>
  <c r="D336" i="12"/>
  <c r="E336" i="12"/>
  <c r="N336" i="12"/>
  <c r="C336" i="12"/>
  <c r="O335" i="12"/>
  <c r="N335" i="12"/>
  <c r="O334" i="12"/>
  <c r="N334" i="12"/>
  <c r="O333" i="12"/>
  <c r="N333" i="12"/>
  <c r="O332" i="12"/>
  <c r="N332" i="12"/>
  <c r="O331" i="12"/>
  <c r="N331" i="12"/>
  <c r="O330" i="12"/>
  <c r="N330" i="12"/>
  <c r="O329" i="12"/>
  <c r="N329" i="12"/>
  <c r="D329" i="12"/>
  <c r="E329" i="12"/>
  <c r="O328" i="12"/>
  <c r="N328" i="12"/>
  <c r="O327" i="12"/>
  <c r="N327" i="12"/>
  <c r="O326" i="12"/>
  <c r="N326" i="12"/>
  <c r="O325" i="12"/>
  <c r="N325" i="12"/>
  <c r="O324" i="12"/>
  <c r="N324" i="12"/>
  <c r="O323" i="12"/>
  <c r="N323" i="12"/>
  <c r="O322" i="12"/>
  <c r="D322" i="12"/>
  <c r="E322" i="12"/>
  <c r="N322" i="12"/>
  <c r="C322" i="12"/>
  <c r="O321" i="12"/>
  <c r="N321" i="12"/>
  <c r="O320" i="12"/>
  <c r="N320" i="12"/>
  <c r="O319" i="12"/>
  <c r="N319" i="12"/>
  <c r="O318" i="12"/>
  <c r="N318" i="12"/>
  <c r="O317" i="12"/>
  <c r="N317" i="12"/>
  <c r="O316" i="12"/>
  <c r="N316" i="12"/>
  <c r="O315" i="12"/>
  <c r="N315" i="12"/>
  <c r="C315" i="12"/>
  <c r="D315" i="12"/>
  <c r="E315" i="12"/>
  <c r="O314" i="12"/>
  <c r="N314" i="12"/>
  <c r="O313" i="12"/>
  <c r="N313" i="12"/>
  <c r="O312" i="12"/>
  <c r="N312" i="12"/>
  <c r="O311" i="12"/>
  <c r="N311" i="12"/>
  <c r="O310" i="12"/>
  <c r="N310" i="12"/>
  <c r="O309" i="12"/>
  <c r="N309" i="12"/>
  <c r="O308" i="12"/>
  <c r="D308" i="12"/>
  <c r="E308" i="12"/>
  <c r="N308" i="12"/>
  <c r="C308" i="12"/>
  <c r="O307" i="12"/>
  <c r="N307" i="12"/>
  <c r="O306" i="12"/>
  <c r="N306" i="12"/>
  <c r="O305" i="12"/>
  <c r="N305" i="12"/>
  <c r="O304" i="12"/>
  <c r="N304" i="12"/>
  <c r="O303" i="12"/>
  <c r="N303" i="12"/>
  <c r="O302" i="12"/>
  <c r="N302" i="12"/>
  <c r="O301" i="12"/>
  <c r="N301" i="12"/>
  <c r="D301" i="12"/>
  <c r="E301" i="12"/>
  <c r="O300" i="12"/>
  <c r="N300" i="12"/>
  <c r="O299" i="12"/>
  <c r="N299" i="12"/>
  <c r="O298" i="12"/>
  <c r="N298" i="12"/>
  <c r="O297" i="12"/>
  <c r="N297" i="12"/>
  <c r="O296" i="12"/>
  <c r="N296" i="12"/>
  <c r="O295" i="12"/>
  <c r="N295" i="12"/>
  <c r="O294" i="12"/>
  <c r="D294" i="12"/>
  <c r="E294" i="12"/>
  <c r="N294" i="12"/>
  <c r="C294" i="12"/>
  <c r="O293" i="12"/>
  <c r="N293" i="12"/>
  <c r="O292" i="12"/>
  <c r="N292" i="12"/>
  <c r="O291" i="12"/>
  <c r="N291" i="12"/>
  <c r="O290" i="12"/>
  <c r="N290" i="12"/>
  <c r="O289" i="12"/>
  <c r="N289" i="12"/>
  <c r="O288" i="12"/>
  <c r="N288" i="12"/>
  <c r="O287" i="12"/>
  <c r="N287" i="12"/>
  <c r="C287" i="12"/>
  <c r="D287" i="12"/>
  <c r="E287" i="12"/>
  <c r="O286" i="12"/>
  <c r="N286" i="12"/>
  <c r="O285" i="12"/>
  <c r="N285" i="12"/>
  <c r="O284" i="12"/>
  <c r="N284" i="12"/>
  <c r="O283" i="12"/>
  <c r="N283" i="12"/>
  <c r="O282" i="12"/>
  <c r="N282" i="12"/>
  <c r="O281" i="12"/>
  <c r="N281" i="12"/>
  <c r="O280" i="12"/>
  <c r="D280" i="12"/>
  <c r="E280" i="12"/>
  <c r="N280" i="12"/>
  <c r="C280" i="12"/>
  <c r="O279" i="12"/>
  <c r="N279" i="12"/>
  <c r="O278" i="12"/>
  <c r="N278" i="12"/>
  <c r="O277" i="12"/>
  <c r="N277" i="12"/>
  <c r="O276" i="12"/>
  <c r="N276" i="12"/>
  <c r="O275" i="12"/>
  <c r="N275" i="12"/>
  <c r="O274" i="12"/>
  <c r="N274" i="12"/>
  <c r="O273" i="12"/>
  <c r="N273" i="12"/>
  <c r="C273" i="12"/>
  <c r="D273" i="12"/>
  <c r="O271" i="12"/>
  <c r="N271" i="12"/>
  <c r="O270" i="12"/>
  <c r="N270" i="12"/>
  <c r="O269" i="12"/>
  <c r="N269" i="12"/>
  <c r="O268" i="12"/>
  <c r="N268" i="12"/>
  <c r="O267" i="12"/>
  <c r="N267" i="12"/>
  <c r="O266" i="12"/>
  <c r="N266" i="12"/>
  <c r="O265" i="12"/>
  <c r="N265" i="12"/>
  <c r="C265" i="12"/>
  <c r="D265" i="12"/>
  <c r="E265" i="12"/>
  <c r="O264" i="12"/>
  <c r="N264" i="12"/>
  <c r="O263" i="12"/>
  <c r="N263" i="12"/>
  <c r="O262" i="12"/>
  <c r="N262" i="12"/>
  <c r="O261" i="12"/>
  <c r="N261" i="12"/>
  <c r="O260" i="12"/>
  <c r="N260" i="12"/>
  <c r="O259" i="12"/>
  <c r="N259" i="12"/>
  <c r="O258" i="12"/>
  <c r="N258" i="12"/>
  <c r="C258" i="12"/>
  <c r="O257" i="12"/>
  <c r="N257" i="12"/>
  <c r="O256" i="12"/>
  <c r="N256" i="12"/>
  <c r="O255" i="12"/>
  <c r="N255" i="12"/>
  <c r="O254" i="12"/>
  <c r="N254" i="12"/>
  <c r="O253" i="12"/>
  <c r="N253" i="12"/>
  <c r="O252" i="12"/>
  <c r="N252" i="12"/>
  <c r="O251" i="12"/>
  <c r="N251" i="12"/>
  <c r="C251" i="12"/>
  <c r="D251" i="12"/>
  <c r="E251" i="12"/>
  <c r="O250" i="12"/>
  <c r="N250" i="12"/>
  <c r="O249" i="12"/>
  <c r="N249" i="12"/>
  <c r="O248" i="12"/>
  <c r="N248" i="12"/>
  <c r="O247" i="12"/>
  <c r="N247" i="12"/>
  <c r="O246" i="12"/>
  <c r="N246" i="12"/>
  <c r="O245" i="12"/>
  <c r="N245" i="12"/>
  <c r="O244" i="12"/>
  <c r="D244" i="12"/>
  <c r="E244" i="12"/>
  <c r="N244" i="12"/>
  <c r="C244" i="12"/>
  <c r="O243" i="12"/>
  <c r="N243" i="12"/>
  <c r="O242" i="12"/>
  <c r="N242" i="12"/>
  <c r="O241" i="12"/>
  <c r="N241" i="12"/>
  <c r="O240" i="12"/>
  <c r="N240" i="12"/>
  <c r="O239" i="12"/>
  <c r="N239" i="12"/>
  <c r="O238" i="12"/>
  <c r="N238" i="12"/>
  <c r="O237" i="12"/>
  <c r="N237" i="12"/>
  <c r="C237" i="12"/>
  <c r="D237" i="12"/>
  <c r="E237" i="12"/>
  <c r="O236" i="12"/>
  <c r="N236" i="12"/>
  <c r="O235" i="12"/>
  <c r="N235" i="12"/>
  <c r="O234" i="12"/>
  <c r="N234" i="12"/>
  <c r="O233" i="12"/>
  <c r="N233" i="12"/>
  <c r="O232" i="12"/>
  <c r="N232" i="12"/>
  <c r="O231" i="12"/>
  <c r="N231" i="12"/>
  <c r="O230" i="12"/>
  <c r="N230" i="12"/>
  <c r="C230" i="12"/>
  <c r="O229" i="12"/>
  <c r="N229" i="12"/>
  <c r="O228" i="12"/>
  <c r="N228" i="12"/>
  <c r="O227" i="12"/>
  <c r="N227" i="12"/>
  <c r="O226" i="12"/>
  <c r="N226" i="12"/>
  <c r="O225" i="12"/>
  <c r="N225" i="12"/>
  <c r="O224" i="12"/>
  <c r="N224" i="12"/>
  <c r="O223" i="12"/>
  <c r="N223" i="12"/>
  <c r="C223" i="12"/>
  <c r="D223" i="12"/>
  <c r="E223" i="12"/>
  <c r="O222" i="12"/>
  <c r="N222" i="12"/>
  <c r="O221" i="12"/>
  <c r="N221" i="12"/>
  <c r="O220" i="12"/>
  <c r="N220" i="12"/>
  <c r="O219" i="12"/>
  <c r="N219" i="12"/>
  <c r="O218" i="12"/>
  <c r="N218" i="12"/>
  <c r="O217" i="12"/>
  <c r="N217" i="12"/>
  <c r="O216" i="12"/>
  <c r="D216" i="12"/>
  <c r="E216" i="12"/>
  <c r="N216" i="12"/>
  <c r="C216" i="12"/>
  <c r="O215" i="12"/>
  <c r="N215" i="12"/>
  <c r="O214" i="12"/>
  <c r="N214" i="12"/>
  <c r="O213" i="12"/>
  <c r="N213" i="12"/>
  <c r="O212" i="12"/>
  <c r="N212" i="12"/>
  <c r="O211" i="12"/>
  <c r="N211" i="12"/>
  <c r="O210" i="12"/>
  <c r="N210" i="12"/>
  <c r="O209" i="12"/>
  <c r="N209" i="12"/>
  <c r="D209" i="12"/>
  <c r="E209" i="12"/>
  <c r="O208" i="12"/>
  <c r="N208" i="12"/>
  <c r="O207" i="12"/>
  <c r="N207" i="12"/>
  <c r="O206" i="12"/>
  <c r="N206" i="12"/>
  <c r="O205" i="12"/>
  <c r="N205" i="12"/>
  <c r="O204" i="12"/>
  <c r="N204" i="12"/>
  <c r="O203" i="12"/>
  <c r="N203" i="12"/>
  <c r="O202" i="12"/>
  <c r="D202" i="12"/>
  <c r="E202" i="12"/>
  <c r="N202" i="12"/>
  <c r="C202" i="12"/>
  <c r="O201" i="12"/>
  <c r="N201" i="12"/>
  <c r="O200" i="12"/>
  <c r="N200" i="12"/>
  <c r="O199" i="12"/>
  <c r="N199" i="12"/>
  <c r="O198" i="12"/>
  <c r="N198" i="12"/>
  <c r="O197" i="12"/>
  <c r="N197" i="12"/>
  <c r="O196" i="12"/>
  <c r="N196" i="12"/>
  <c r="O195" i="12"/>
  <c r="N195" i="12"/>
  <c r="C195" i="12"/>
  <c r="D195" i="12"/>
  <c r="E195" i="12"/>
  <c r="O194" i="12"/>
  <c r="N194" i="12"/>
  <c r="O193" i="12"/>
  <c r="N193" i="12"/>
  <c r="O192" i="12"/>
  <c r="N192" i="12"/>
  <c r="O191" i="12"/>
  <c r="N191" i="12"/>
  <c r="O190" i="12"/>
  <c r="N190" i="12"/>
  <c r="O189" i="12"/>
  <c r="N189" i="12"/>
  <c r="O188" i="12"/>
  <c r="D188" i="12"/>
  <c r="E188" i="12"/>
  <c r="N188" i="12"/>
  <c r="C188" i="12"/>
  <c r="O187" i="12"/>
  <c r="N187" i="12"/>
  <c r="O186" i="12"/>
  <c r="N186" i="12"/>
  <c r="O185" i="12"/>
  <c r="N185" i="12"/>
  <c r="O184" i="12"/>
  <c r="N184" i="12"/>
  <c r="O183" i="12"/>
  <c r="N183" i="12"/>
  <c r="O182" i="12"/>
  <c r="N182" i="12"/>
  <c r="O181" i="12"/>
  <c r="N181" i="12"/>
  <c r="D181" i="12"/>
  <c r="E181" i="12"/>
  <c r="O180" i="12"/>
  <c r="N180" i="12"/>
  <c r="O179" i="12"/>
  <c r="N179" i="12"/>
  <c r="O178" i="12"/>
  <c r="N178" i="12"/>
  <c r="O177" i="12"/>
  <c r="N177" i="12"/>
  <c r="O176" i="12"/>
  <c r="N176" i="12"/>
  <c r="O175" i="12"/>
  <c r="N175" i="12"/>
  <c r="O174" i="12"/>
  <c r="D174" i="12"/>
  <c r="E174" i="12"/>
  <c r="N174" i="12"/>
  <c r="C174" i="12"/>
  <c r="O173" i="12"/>
  <c r="N173" i="12"/>
  <c r="O172" i="12"/>
  <c r="N172" i="12"/>
  <c r="O171" i="12"/>
  <c r="N171" i="12"/>
  <c r="O170" i="12"/>
  <c r="N170" i="12"/>
  <c r="O169" i="12"/>
  <c r="N169" i="12"/>
  <c r="O168" i="12"/>
  <c r="N168" i="12"/>
  <c r="O167" i="12"/>
  <c r="N167" i="12"/>
  <c r="C167" i="12"/>
  <c r="D167" i="12"/>
  <c r="E167" i="12"/>
  <c r="O166" i="12"/>
  <c r="N166" i="12"/>
  <c r="O165" i="12"/>
  <c r="N165" i="12"/>
  <c r="O164" i="12"/>
  <c r="N164" i="12"/>
  <c r="O163" i="12"/>
  <c r="N163" i="12"/>
  <c r="O162" i="12"/>
  <c r="N162" i="12"/>
  <c r="O161" i="12"/>
  <c r="N161" i="12"/>
  <c r="O160" i="12"/>
  <c r="D160" i="12"/>
  <c r="E160" i="12"/>
  <c r="N160" i="12"/>
  <c r="C160" i="12"/>
  <c r="O159" i="12"/>
  <c r="N159" i="12"/>
  <c r="O158" i="12"/>
  <c r="N158" i="12"/>
  <c r="O157" i="12"/>
  <c r="N157" i="12"/>
  <c r="O156" i="12"/>
  <c r="N156" i="12"/>
  <c r="O155" i="12"/>
  <c r="N155" i="12"/>
  <c r="O154" i="12"/>
  <c r="N154" i="12"/>
  <c r="O153" i="12"/>
  <c r="N153" i="12"/>
  <c r="C153" i="12"/>
  <c r="D153" i="12"/>
  <c r="E153" i="12"/>
  <c r="O152" i="12"/>
  <c r="N152" i="12"/>
  <c r="O151" i="12"/>
  <c r="N151" i="12"/>
  <c r="O150" i="12"/>
  <c r="N150" i="12"/>
  <c r="O149" i="12"/>
  <c r="N149" i="12"/>
  <c r="O148" i="12"/>
  <c r="N148" i="12"/>
  <c r="O147" i="12"/>
  <c r="N147" i="12"/>
  <c r="O146" i="12"/>
  <c r="N146" i="12"/>
  <c r="C146" i="12"/>
  <c r="O145" i="12"/>
  <c r="N145" i="12"/>
  <c r="O144" i="12"/>
  <c r="N144" i="12"/>
  <c r="O143" i="12"/>
  <c r="N143" i="12"/>
  <c r="O142" i="12"/>
  <c r="N142" i="12"/>
  <c r="O141" i="12"/>
  <c r="N141" i="12"/>
  <c r="O140" i="12"/>
  <c r="N140" i="12"/>
  <c r="O139" i="12"/>
  <c r="N139" i="12"/>
  <c r="C139" i="12"/>
  <c r="D139" i="12"/>
  <c r="E139" i="12"/>
  <c r="O138" i="12"/>
  <c r="N138" i="12"/>
  <c r="O137" i="12"/>
  <c r="N137" i="12"/>
  <c r="O136" i="12"/>
  <c r="N136" i="12"/>
  <c r="O135" i="12"/>
  <c r="N135" i="12"/>
  <c r="O134" i="12"/>
  <c r="N134" i="12"/>
  <c r="O133" i="12"/>
  <c r="N133" i="12"/>
  <c r="O132" i="12"/>
  <c r="D132" i="12"/>
  <c r="E132" i="12"/>
  <c r="N132" i="12"/>
  <c r="C132" i="12"/>
  <c r="O131" i="12"/>
  <c r="N131" i="12"/>
  <c r="O130" i="12"/>
  <c r="N130" i="12"/>
  <c r="O129" i="12"/>
  <c r="N129" i="12"/>
  <c r="O128" i="12"/>
  <c r="N128" i="12"/>
  <c r="O127" i="12"/>
  <c r="N127" i="12"/>
  <c r="O126" i="12"/>
  <c r="N126" i="12"/>
  <c r="O125" i="12"/>
  <c r="N125" i="12"/>
  <c r="D125" i="12"/>
  <c r="E125" i="12"/>
  <c r="O124" i="12"/>
  <c r="N124" i="12"/>
  <c r="O123" i="12"/>
  <c r="N123" i="12"/>
  <c r="O122" i="12"/>
  <c r="N122" i="12"/>
  <c r="O121" i="12"/>
  <c r="N121" i="12"/>
  <c r="O120" i="12"/>
  <c r="N120" i="12"/>
  <c r="O119" i="12"/>
  <c r="N119" i="12"/>
  <c r="O118" i="12"/>
  <c r="N118" i="12"/>
  <c r="C118" i="12"/>
  <c r="O117" i="12"/>
  <c r="N117" i="12"/>
  <c r="O116" i="12"/>
  <c r="N116" i="12"/>
  <c r="O115" i="12"/>
  <c r="N115" i="12"/>
  <c r="O114" i="12"/>
  <c r="N114" i="12"/>
  <c r="O113" i="12"/>
  <c r="N113" i="12"/>
  <c r="O112" i="12"/>
  <c r="N112" i="12"/>
  <c r="O111" i="12"/>
  <c r="N111" i="12"/>
  <c r="C111" i="12"/>
  <c r="D111" i="12"/>
  <c r="E111" i="12"/>
  <c r="O110" i="12"/>
  <c r="N110" i="12"/>
  <c r="O109" i="12"/>
  <c r="N109" i="12"/>
  <c r="O108" i="12"/>
  <c r="N108" i="12"/>
  <c r="O107" i="12"/>
  <c r="N107" i="12"/>
  <c r="O106" i="12"/>
  <c r="N106" i="12"/>
  <c r="O105" i="12"/>
  <c r="N105" i="12"/>
  <c r="O104" i="12"/>
  <c r="D104" i="12"/>
  <c r="E104" i="12"/>
  <c r="N104" i="12"/>
  <c r="C104" i="12"/>
  <c r="O103" i="12"/>
  <c r="N103" i="12"/>
  <c r="O102" i="12"/>
  <c r="N102" i="12"/>
  <c r="O101" i="12"/>
  <c r="N101" i="12"/>
  <c r="O100" i="12"/>
  <c r="N100" i="12"/>
  <c r="O99" i="12"/>
  <c r="N99" i="12"/>
  <c r="O98" i="12"/>
  <c r="N98" i="12"/>
  <c r="O97" i="12"/>
  <c r="N97" i="12"/>
  <c r="D97" i="12"/>
  <c r="E97" i="12"/>
  <c r="O96" i="12"/>
  <c r="N96" i="12"/>
  <c r="O95" i="12"/>
  <c r="N95" i="12"/>
  <c r="O94" i="12"/>
  <c r="N94" i="12"/>
  <c r="O93" i="12"/>
  <c r="N93" i="12"/>
  <c r="O92" i="12"/>
  <c r="N92" i="12"/>
  <c r="O91" i="12"/>
  <c r="N91" i="12"/>
  <c r="O90" i="12"/>
  <c r="D90" i="12"/>
  <c r="E90" i="12"/>
  <c r="N90" i="12"/>
  <c r="C90" i="12"/>
  <c r="O88" i="12"/>
  <c r="N88" i="12"/>
  <c r="O87" i="12"/>
  <c r="N87" i="12"/>
  <c r="O86" i="12"/>
  <c r="N86" i="12"/>
  <c r="O85" i="12"/>
  <c r="N85" i="12"/>
  <c r="O84" i="12"/>
  <c r="N84" i="12"/>
  <c r="O83" i="12"/>
  <c r="N83" i="12"/>
  <c r="O82" i="12"/>
  <c r="D82" i="12"/>
  <c r="E82" i="12"/>
  <c r="N82" i="12"/>
  <c r="C82" i="12"/>
  <c r="O81" i="12"/>
  <c r="N81" i="12"/>
  <c r="O80" i="12"/>
  <c r="N80" i="12"/>
  <c r="O79" i="12"/>
  <c r="N79" i="12"/>
  <c r="O78" i="12"/>
  <c r="N78" i="12"/>
  <c r="O77" i="12"/>
  <c r="N77" i="12"/>
  <c r="O76" i="12"/>
  <c r="N76" i="12"/>
  <c r="O75" i="12"/>
  <c r="N75" i="12"/>
  <c r="C75" i="12"/>
  <c r="D75" i="12"/>
  <c r="E75" i="12"/>
  <c r="O74" i="12"/>
  <c r="N74" i="12"/>
  <c r="O73" i="12"/>
  <c r="N73" i="12"/>
  <c r="O72" i="12"/>
  <c r="N72" i="12"/>
  <c r="O71" i="12"/>
  <c r="N71" i="12"/>
  <c r="O70" i="12"/>
  <c r="N70" i="12"/>
  <c r="O69" i="12"/>
  <c r="N69" i="12"/>
  <c r="O68" i="12"/>
  <c r="N68" i="12"/>
  <c r="C68" i="12"/>
  <c r="O67" i="12"/>
  <c r="N67" i="12"/>
  <c r="O66" i="12"/>
  <c r="N66" i="12"/>
  <c r="O65" i="12"/>
  <c r="N65" i="12"/>
  <c r="O64" i="12"/>
  <c r="N64" i="12"/>
  <c r="O63" i="12"/>
  <c r="N63" i="12"/>
  <c r="O62" i="12"/>
  <c r="N62" i="12"/>
  <c r="O61" i="12"/>
  <c r="N61" i="12"/>
  <c r="C61" i="12"/>
  <c r="D61" i="12"/>
  <c r="E61" i="12"/>
  <c r="O59" i="12"/>
  <c r="N59" i="12"/>
  <c r="O58" i="12"/>
  <c r="N58" i="12"/>
  <c r="O57" i="12"/>
  <c r="N57" i="12"/>
  <c r="O56" i="12"/>
  <c r="N56" i="12"/>
  <c r="O55" i="12"/>
  <c r="N55" i="12"/>
  <c r="O54" i="12"/>
  <c r="N54" i="12"/>
  <c r="O53" i="12"/>
  <c r="N53" i="12"/>
  <c r="C53" i="12"/>
  <c r="D53" i="12"/>
  <c r="E53" i="12"/>
  <c r="O52" i="12"/>
  <c r="N52" i="12"/>
  <c r="O51" i="12"/>
  <c r="N51" i="12"/>
  <c r="O50" i="12"/>
  <c r="N50" i="12"/>
  <c r="O49" i="12"/>
  <c r="N49" i="12"/>
  <c r="O48" i="12"/>
  <c r="N48" i="12"/>
  <c r="O47" i="12"/>
  <c r="N47" i="12"/>
  <c r="O46" i="12"/>
  <c r="D46" i="12"/>
  <c r="E46" i="12"/>
  <c r="N46" i="12"/>
  <c r="C46" i="12"/>
  <c r="O45" i="12"/>
  <c r="N45" i="12"/>
  <c r="O44" i="12"/>
  <c r="N44" i="12"/>
  <c r="O43" i="12"/>
  <c r="N43" i="12"/>
  <c r="O42" i="12"/>
  <c r="N42" i="12"/>
  <c r="O41" i="12"/>
  <c r="N41" i="12"/>
  <c r="O40" i="12"/>
  <c r="N40" i="12"/>
  <c r="O39" i="12"/>
  <c r="N39" i="12"/>
  <c r="D39" i="12"/>
  <c r="E39" i="12"/>
  <c r="O38" i="12"/>
  <c r="N38" i="12"/>
  <c r="O37" i="12"/>
  <c r="N37" i="12"/>
  <c r="O36" i="12"/>
  <c r="N36" i="12"/>
  <c r="O35" i="12"/>
  <c r="N35" i="12"/>
  <c r="O34" i="12"/>
  <c r="N34" i="12"/>
  <c r="O33" i="12"/>
  <c r="N33" i="12"/>
  <c r="O32" i="12"/>
  <c r="D32" i="12"/>
  <c r="E32" i="12"/>
  <c r="N32" i="12"/>
  <c r="C32" i="12"/>
  <c r="O31" i="12"/>
  <c r="N31" i="12"/>
  <c r="O30" i="12"/>
  <c r="N30" i="12"/>
  <c r="O29" i="12"/>
  <c r="N29" i="12"/>
  <c r="O28" i="12"/>
  <c r="N28" i="12"/>
  <c r="O27" i="12"/>
  <c r="N27" i="12"/>
  <c r="O26" i="12"/>
  <c r="N26" i="12"/>
  <c r="O25" i="12"/>
  <c r="N25" i="12"/>
  <c r="C25" i="12"/>
  <c r="D25" i="12"/>
  <c r="E25" i="12"/>
  <c r="O24" i="12"/>
  <c r="N24" i="12"/>
  <c r="O23" i="12"/>
  <c r="N23" i="12"/>
  <c r="O22" i="12"/>
  <c r="N22" i="12"/>
  <c r="O21" i="12"/>
  <c r="N21" i="12"/>
  <c r="O20" i="12"/>
  <c r="N20" i="12"/>
  <c r="O19" i="12"/>
  <c r="N19" i="12"/>
  <c r="O18" i="12"/>
  <c r="D18" i="12"/>
  <c r="E18" i="12"/>
  <c r="N18" i="12"/>
  <c r="C18" i="12"/>
  <c r="O17" i="12"/>
  <c r="N17" i="12"/>
  <c r="O16" i="12"/>
  <c r="N16" i="12"/>
  <c r="O15" i="12"/>
  <c r="N15" i="12"/>
  <c r="O14" i="12"/>
  <c r="N14" i="12"/>
  <c r="O13" i="12"/>
  <c r="N13" i="12"/>
  <c r="O12" i="12"/>
  <c r="N12" i="12"/>
  <c r="O11" i="12"/>
  <c r="N11" i="12"/>
  <c r="D11" i="12"/>
  <c r="O745" i="6"/>
  <c r="N745" i="6"/>
  <c r="O744" i="6"/>
  <c r="N744" i="6"/>
  <c r="O743" i="6"/>
  <c r="N743" i="6"/>
  <c r="O742" i="6"/>
  <c r="N742" i="6"/>
  <c r="O741" i="6"/>
  <c r="N741" i="6"/>
  <c r="O740" i="6"/>
  <c r="N740" i="6"/>
  <c r="O739" i="6"/>
  <c r="D739" i="6"/>
  <c r="E739" i="6"/>
  <c r="N739" i="6"/>
  <c r="C739" i="6"/>
  <c r="O738" i="6"/>
  <c r="N738" i="6"/>
  <c r="O737" i="6"/>
  <c r="N737" i="6"/>
  <c r="O736" i="6"/>
  <c r="N736" i="6"/>
  <c r="O735" i="6"/>
  <c r="N735" i="6"/>
  <c r="O734" i="6"/>
  <c r="N734" i="6"/>
  <c r="O733" i="6"/>
  <c r="N733" i="6"/>
  <c r="O732" i="6"/>
  <c r="N732" i="6"/>
  <c r="D732" i="6"/>
  <c r="E732" i="6"/>
  <c r="O731" i="6"/>
  <c r="N731" i="6"/>
  <c r="O730" i="6"/>
  <c r="N730" i="6"/>
  <c r="O729" i="6"/>
  <c r="N729" i="6"/>
  <c r="O728" i="6"/>
  <c r="N728" i="6"/>
  <c r="O727" i="6"/>
  <c r="N727" i="6"/>
  <c r="O726" i="6"/>
  <c r="N726" i="6"/>
  <c r="O725" i="6"/>
  <c r="D725" i="6"/>
  <c r="E725" i="6"/>
  <c r="N725" i="6"/>
  <c r="C725" i="6"/>
  <c r="O724" i="6"/>
  <c r="N724" i="6"/>
  <c r="O723" i="6"/>
  <c r="N723" i="6"/>
  <c r="O722" i="6"/>
  <c r="N722" i="6"/>
  <c r="O721" i="6"/>
  <c r="N721" i="6"/>
  <c r="O720" i="6"/>
  <c r="N720" i="6"/>
  <c r="O719" i="6"/>
  <c r="N719" i="6"/>
  <c r="O718" i="6"/>
  <c r="N718" i="6"/>
  <c r="C718" i="6"/>
  <c r="D718" i="6"/>
  <c r="E718" i="6"/>
  <c r="O717" i="6"/>
  <c r="N717" i="6"/>
  <c r="O716" i="6"/>
  <c r="N716" i="6"/>
  <c r="O715" i="6"/>
  <c r="N715" i="6"/>
  <c r="O714" i="6"/>
  <c r="N714" i="6"/>
  <c r="O713" i="6"/>
  <c r="N713" i="6"/>
  <c r="O712" i="6"/>
  <c r="N712" i="6"/>
  <c r="O711" i="6"/>
  <c r="D711" i="6"/>
  <c r="E711" i="6"/>
  <c r="N711" i="6"/>
  <c r="C711" i="6"/>
  <c r="O710" i="6"/>
  <c r="N710" i="6"/>
  <c r="O709" i="6"/>
  <c r="N709" i="6"/>
  <c r="O708" i="6"/>
  <c r="N708" i="6"/>
  <c r="O707" i="6"/>
  <c r="N707" i="6"/>
  <c r="O706" i="6"/>
  <c r="N706" i="6"/>
  <c r="O705" i="6"/>
  <c r="N705" i="6"/>
  <c r="O704" i="6"/>
  <c r="N704" i="6"/>
  <c r="D704" i="6"/>
  <c r="E704" i="6"/>
  <c r="O703" i="6"/>
  <c r="N703" i="6"/>
  <c r="O702" i="6"/>
  <c r="N702" i="6"/>
  <c r="O701" i="6"/>
  <c r="N701" i="6"/>
  <c r="O700" i="6"/>
  <c r="N700" i="6"/>
  <c r="O699" i="6"/>
  <c r="N699" i="6"/>
  <c r="O698" i="6"/>
  <c r="N698" i="6"/>
  <c r="O697" i="6"/>
  <c r="D697" i="6"/>
  <c r="E697" i="6"/>
  <c r="N697" i="6"/>
  <c r="C697" i="6"/>
  <c r="O696" i="6"/>
  <c r="N696" i="6"/>
  <c r="O695" i="6"/>
  <c r="N695" i="6"/>
  <c r="O694" i="6"/>
  <c r="N694" i="6"/>
  <c r="O693" i="6"/>
  <c r="N693" i="6"/>
  <c r="O692" i="6"/>
  <c r="N692" i="6"/>
  <c r="O691" i="6"/>
  <c r="N691" i="6"/>
  <c r="O690" i="6"/>
  <c r="N690" i="6"/>
  <c r="C690" i="6"/>
  <c r="D690" i="6"/>
  <c r="E690" i="6"/>
  <c r="O689" i="6"/>
  <c r="N689" i="6"/>
  <c r="O688" i="6"/>
  <c r="N688" i="6"/>
  <c r="O687" i="6"/>
  <c r="N687" i="6"/>
  <c r="O686" i="6"/>
  <c r="N686" i="6"/>
  <c r="O685" i="6"/>
  <c r="N685" i="6"/>
  <c r="O684" i="6"/>
  <c r="N684" i="6"/>
  <c r="O683" i="6"/>
  <c r="D683" i="6"/>
  <c r="E683" i="6"/>
  <c r="N683" i="6"/>
  <c r="C683" i="6"/>
  <c r="O682" i="6"/>
  <c r="N682" i="6"/>
  <c r="O681" i="6"/>
  <c r="N681" i="6"/>
  <c r="O680" i="6"/>
  <c r="N680" i="6"/>
  <c r="O679" i="6"/>
  <c r="N679" i="6"/>
  <c r="O678" i="6"/>
  <c r="N678" i="6"/>
  <c r="O677" i="6"/>
  <c r="N677" i="6"/>
  <c r="O676" i="6"/>
  <c r="N676" i="6"/>
  <c r="C676" i="6"/>
  <c r="D676" i="6"/>
  <c r="E676" i="6"/>
  <c r="O675" i="6"/>
  <c r="N675" i="6"/>
  <c r="O674" i="6"/>
  <c r="N674" i="6"/>
  <c r="O673" i="6"/>
  <c r="N673" i="6"/>
  <c r="O672" i="6"/>
  <c r="N672" i="6"/>
  <c r="O671" i="6"/>
  <c r="N671" i="6"/>
  <c r="O670" i="6"/>
  <c r="N670" i="6"/>
  <c r="O669" i="6"/>
  <c r="N669" i="6"/>
  <c r="C669" i="6"/>
  <c r="O668" i="6"/>
  <c r="N668" i="6"/>
  <c r="O667" i="6"/>
  <c r="N667" i="6"/>
  <c r="O666" i="6"/>
  <c r="N666" i="6"/>
  <c r="O665" i="6"/>
  <c r="N665" i="6"/>
  <c r="O664" i="6"/>
  <c r="N664" i="6"/>
  <c r="O663" i="6"/>
  <c r="N663" i="6"/>
  <c r="O662" i="6"/>
  <c r="N662" i="6"/>
  <c r="C662" i="6"/>
  <c r="D662" i="6"/>
  <c r="E662" i="6"/>
  <c r="O661" i="6"/>
  <c r="N661" i="6"/>
  <c r="O660" i="6"/>
  <c r="N660" i="6"/>
  <c r="O659" i="6"/>
  <c r="N659" i="6"/>
  <c r="O658" i="6"/>
  <c r="N658" i="6"/>
  <c r="O657" i="6"/>
  <c r="N657" i="6"/>
  <c r="O656" i="6"/>
  <c r="N656" i="6"/>
  <c r="O655" i="6"/>
  <c r="D655" i="6"/>
  <c r="E655" i="6"/>
  <c r="N655" i="6"/>
  <c r="C655" i="6"/>
  <c r="O654" i="6"/>
  <c r="N654" i="6"/>
  <c r="O653" i="6"/>
  <c r="N653" i="6"/>
  <c r="O652" i="6"/>
  <c r="N652" i="6"/>
  <c r="O651" i="6"/>
  <c r="N651" i="6"/>
  <c r="O650" i="6"/>
  <c r="N650" i="6"/>
  <c r="O649" i="6"/>
  <c r="N649" i="6"/>
  <c r="O648" i="6"/>
  <c r="N648" i="6"/>
  <c r="C648" i="6"/>
  <c r="D648" i="6"/>
  <c r="E648" i="6"/>
  <c r="O647" i="6"/>
  <c r="N647" i="6"/>
  <c r="O646" i="6"/>
  <c r="N646" i="6"/>
  <c r="O645" i="6"/>
  <c r="N645" i="6"/>
  <c r="O644" i="6"/>
  <c r="N644" i="6"/>
  <c r="O643" i="6"/>
  <c r="N643" i="6"/>
  <c r="O642" i="6"/>
  <c r="N642" i="6"/>
  <c r="O641" i="6"/>
  <c r="N641" i="6"/>
  <c r="C641" i="6"/>
  <c r="O640" i="6"/>
  <c r="N640" i="6"/>
  <c r="O639" i="6"/>
  <c r="N639" i="6"/>
  <c r="O638" i="6"/>
  <c r="N638" i="6"/>
  <c r="O637" i="6"/>
  <c r="N637" i="6"/>
  <c r="O636" i="6"/>
  <c r="N636" i="6"/>
  <c r="O635" i="6"/>
  <c r="N635" i="6"/>
  <c r="O634" i="6"/>
  <c r="N634" i="6"/>
  <c r="C634" i="6"/>
  <c r="D634" i="6"/>
  <c r="E634" i="6"/>
  <c r="O633" i="6"/>
  <c r="N633" i="6"/>
  <c r="O632" i="6"/>
  <c r="N632" i="6"/>
  <c r="O631" i="6"/>
  <c r="N631" i="6"/>
  <c r="O630" i="6"/>
  <c r="N630" i="6"/>
  <c r="O629" i="6"/>
  <c r="N629" i="6"/>
  <c r="O628" i="6"/>
  <c r="N628" i="6"/>
  <c r="O627" i="6"/>
  <c r="D627" i="6"/>
  <c r="E627" i="6"/>
  <c r="N627" i="6"/>
  <c r="C627" i="6"/>
  <c r="O626" i="6"/>
  <c r="N626" i="6"/>
  <c r="O625" i="6"/>
  <c r="N625" i="6"/>
  <c r="O624" i="6"/>
  <c r="N624" i="6"/>
  <c r="O623" i="6"/>
  <c r="N623" i="6"/>
  <c r="O622" i="6"/>
  <c r="N622" i="6"/>
  <c r="O621" i="6"/>
  <c r="N621" i="6"/>
  <c r="O620" i="6"/>
  <c r="N620" i="6"/>
  <c r="D620" i="6"/>
  <c r="E620" i="6"/>
  <c r="O617" i="6"/>
  <c r="N617" i="6"/>
  <c r="O616" i="6"/>
  <c r="N616" i="6"/>
  <c r="O615" i="6"/>
  <c r="N615" i="6"/>
  <c r="O614" i="6"/>
  <c r="N614" i="6"/>
  <c r="O613" i="6"/>
  <c r="N613" i="6"/>
  <c r="O612" i="6"/>
  <c r="N612" i="6"/>
  <c r="O611" i="6"/>
  <c r="D611" i="6"/>
  <c r="E611" i="6"/>
  <c r="N611" i="6"/>
  <c r="C611" i="6"/>
  <c r="O610" i="6"/>
  <c r="N610" i="6"/>
  <c r="O609" i="6"/>
  <c r="N609" i="6"/>
  <c r="O608" i="6"/>
  <c r="N608" i="6"/>
  <c r="O607" i="6"/>
  <c r="N607" i="6"/>
  <c r="O606" i="6"/>
  <c r="N606" i="6"/>
  <c r="O605" i="6"/>
  <c r="N605" i="6"/>
  <c r="O604" i="6"/>
  <c r="N604" i="6"/>
  <c r="C604" i="6"/>
  <c r="D604" i="6"/>
  <c r="E604" i="6"/>
  <c r="O603" i="6"/>
  <c r="N603" i="6"/>
  <c r="O602" i="6"/>
  <c r="N602" i="6"/>
  <c r="O601" i="6"/>
  <c r="N601" i="6"/>
  <c r="O600" i="6"/>
  <c r="N600" i="6"/>
  <c r="O599" i="6"/>
  <c r="N599" i="6"/>
  <c r="O598" i="6"/>
  <c r="N598" i="6"/>
  <c r="O597" i="6"/>
  <c r="D597" i="6"/>
  <c r="E597" i="6"/>
  <c r="N597" i="6"/>
  <c r="C597" i="6"/>
  <c r="O596" i="6"/>
  <c r="N596" i="6"/>
  <c r="O595" i="6"/>
  <c r="N595" i="6"/>
  <c r="O594" i="6"/>
  <c r="N594" i="6"/>
  <c r="O593" i="6"/>
  <c r="N593" i="6"/>
  <c r="O592" i="6"/>
  <c r="N592" i="6"/>
  <c r="O591" i="6"/>
  <c r="N591" i="6"/>
  <c r="O590" i="6"/>
  <c r="N590" i="6"/>
  <c r="D590" i="6"/>
  <c r="E590" i="6"/>
  <c r="O589" i="6"/>
  <c r="N589" i="6"/>
  <c r="O588" i="6"/>
  <c r="N588" i="6"/>
  <c r="O587" i="6"/>
  <c r="N587" i="6"/>
  <c r="O586" i="6"/>
  <c r="N586" i="6"/>
  <c r="O585" i="6"/>
  <c r="N585" i="6"/>
  <c r="O584" i="6"/>
  <c r="N584" i="6"/>
  <c r="O583" i="6"/>
  <c r="D583" i="6"/>
  <c r="E583" i="6"/>
  <c r="N583" i="6"/>
  <c r="C583" i="6"/>
  <c r="O582" i="6"/>
  <c r="N582" i="6"/>
  <c r="O581" i="6"/>
  <c r="N581" i="6"/>
  <c r="O580" i="6"/>
  <c r="N580" i="6"/>
  <c r="O579" i="6"/>
  <c r="N579" i="6"/>
  <c r="O578" i="6"/>
  <c r="N578" i="6"/>
  <c r="O577" i="6"/>
  <c r="N577" i="6"/>
  <c r="O576" i="6"/>
  <c r="N576" i="6"/>
  <c r="C576" i="6"/>
  <c r="D576" i="6"/>
  <c r="E576" i="6"/>
  <c r="O575" i="6"/>
  <c r="N575" i="6"/>
  <c r="O574" i="6"/>
  <c r="N574" i="6"/>
  <c r="O573" i="6"/>
  <c r="N573" i="6"/>
  <c r="O572" i="6"/>
  <c r="N572" i="6"/>
  <c r="O571" i="6"/>
  <c r="N571" i="6"/>
  <c r="O570" i="6"/>
  <c r="N570" i="6"/>
  <c r="O569" i="6"/>
  <c r="D569" i="6"/>
  <c r="E569" i="6"/>
  <c r="N569" i="6"/>
  <c r="C569" i="6"/>
  <c r="O568" i="6"/>
  <c r="N568" i="6"/>
  <c r="O567" i="6"/>
  <c r="N567" i="6"/>
  <c r="O566" i="6"/>
  <c r="N566" i="6"/>
  <c r="O565" i="6"/>
  <c r="N565" i="6"/>
  <c r="O564" i="6"/>
  <c r="N564" i="6"/>
  <c r="O563" i="6"/>
  <c r="N563" i="6"/>
  <c r="O562" i="6"/>
  <c r="N562" i="6"/>
  <c r="C562" i="6"/>
  <c r="D562" i="6"/>
  <c r="E562" i="6"/>
  <c r="O561" i="6"/>
  <c r="N561" i="6"/>
  <c r="O560" i="6"/>
  <c r="N560" i="6"/>
  <c r="O559" i="6"/>
  <c r="N559" i="6"/>
  <c r="O558" i="6"/>
  <c r="N558" i="6"/>
  <c r="O557" i="6"/>
  <c r="N557" i="6"/>
  <c r="O556" i="6"/>
  <c r="N556" i="6"/>
  <c r="O555" i="6"/>
  <c r="N555" i="6"/>
  <c r="C555" i="6"/>
  <c r="O554" i="6"/>
  <c r="N554" i="6"/>
  <c r="O553" i="6"/>
  <c r="N553" i="6"/>
  <c r="O552" i="6"/>
  <c r="N552" i="6"/>
  <c r="O551" i="6"/>
  <c r="N551" i="6"/>
  <c r="O550" i="6"/>
  <c r="N550" i="6"/>
  <c r="O549" i="6"/>
  <c r="N549" i="6"/>
  <c r="O548" i="6"/>
  <c r="N548" i="6"/>
  <c r="C548" i="6"/>
  <c r="D548" i="6"/>
  <c r="E548" i="6"/>
  <c r="O547" i="6"/>
  <c r="N547" i="6"/>
  <c r="O546" i="6"/>
  <c r="N546" i="6"/>
  <c r="O545" i="6"/>
  <c r="N545" i="6"/>
  <c r="O544" i="6"/>
  <c r="N544" i="6"/>
  <c r="O543" i="6"/>
  <c r="N543" i="6"/>
  <c r="O542" i="6"/>
  <c r="N542" i="6"/>
  <c r="O541" i="6"/>
  <c r="D541" i="6"/>
  <c r="E541" i="6"/>
  <c r="N541" i="6"/>
  <c r="C541" i="6"/>
  <c r="O540" i="6"/>
  <c r="N540" i="6"/>
  <c r="O539" i="6"/>
  <c r="N539" i="6"/>
  <c r="O538" i="6"/>
  <c r="N538" i="6"/>
  <c r="O537" i="6"/>
  <c r="N537" i="6"/>
  <c r="O536" i="6"/>
  <c r="N536" i="6"/>
  <c r="O535" i="6"/>
  <c r="N535" i="6"/>
  <c r="O534" i="6"/>
  <c r="N534" i="6"/>
  <c r="C534" i="6"/>
  <c r="D534" i="6"/>
  <c r="E534" i="6"/>
  <c r="O533" i="6"/>
  <c r="N533" i="6"/>
  <c r="O532" i="6"/>
  <c r="N532" i="6"/>
  <c r="O531" i="6"/>
  <c r="N531" i="6"/>
  <c r="O530" i="6"/>
  <c r="N530" i="6"/>
  <c r="O529" i="6"/>
  <c r="N529" i="6"/>
  <c r="O528" i="6"/>
  <c r="N528" i="6"/>
  <c r="O527" i="6"/>
  <c r="N527" i="6"/>
  <c r="C527" i="6"/>
  <c r="O526" i="6"/>
  <c r="N526" i="6"/>
  <c r="O525" i="6"/>
  <c r="N525" i="6"/>
  <c r="O524" i="6"/>
  <c r="N524" i="6"/>
  <c r="O523" i="6"/>
  <c r="N523" i="6"/>
  <c r="O522" i="6"/>
  <c r="N522" i="6"/>
  <c r="O521" i="6"/>
  <c r="N521" i="6"/>
  <c r="O520" i="6"/>
  <c r="N520" i="6"/>
  <c r="C520" i="6"/>
  <c r="D520" i="6"/>
  <c r="E520" i="6"/>
  <c r="O517" i="6"/>
  <c r="N517" i="6"/>
  <c r="O516" i="6"/>
  <c r="N516" i="6"/>
  <c r="O515" i="6"/>
  <c r="N515" i="6"/>
  <c r="O514" i="6"/>
  <c r="N514" i="6"/>
  <c r="O513" i="6"/>
  <c r="N513" i="6"/>
  <c r="O512" i="6"/>
  <c r="N512" i="6"/>
  <c r="O511" i="6"/>
  <c r="D511" i="6"/>
  <c r="E511" i="6"/>
  <c r="N511" i="6"/>
  <c r="C511" i="6"/>
  <c r="O510" i="6"/>
  <c r="N510" i="6"/>
  <c r="O509" i="6"/>
  <c r="N509" i="6"/>
  <c r="O508" i="6"/>
  <c r="N508" i="6"/>
  <c r="O507" i="6"/>
  <c r="N507" i="6"/>
  <c r="O506" i="6"/>
  <c r="N506" i="6"/>
  <c r="O505" i="6"/>
  <c r="N505" i="6"/>
  <c r="O504" i="6"/>
  <c r="N504" i="6"/>
  <c r="D504" i="6"/>
  <c r="E504" i="6"/>
  <c r="O503" i="6"/>
  <c r="N503" i="6"/>
  <c r="O502" i="6"/>
  <c r="N502" i="6"/>
  <c r="O501" i="6"/>
  <c r="N501" i="6"/>
  <c r="O500" i="6"/>
  <c r="N500" i="6"/>
  <c r="O499" i="6"/>
  <c r="N499" i="6"/>
  <c r="O498" i="6"/>
  <c r="N498" i="6"/>
  <c r="O497" i="6"/>
  <c r="D497" i="6"/>
  <c r="E497" i="6"/>
  <c r="N497" i="6"/>
  <c r="C497" i="6"/>
  <c r="O496" i="6"/>
  <c r="N496" i="6"/>
  <c r="O495" i="6"/>
  <c r="N495" i="6"/>
  <c r="O494" i="6"/>
  <c r="N494" i="6"/>
  <c r="O493" i="6"/>
  <c r="N493" i="6"/>
  <c r="O492" i="6"/>
  <c r="N492" i="6"/>
  <c r="O491" i="6"/>
  <c r="N491" i="6"/>
  <c r="O490" i="6"/>
  <c r="N490" i="6"/>
  <c r="C490" i="6"/>
  <c r="D490" i="6"/>
  <c r="E490" i="6"/>
  <c r="O489" i="6"/>
  <c r="N489" i="6"/>
  <c r="O488" i="6"/>
  <c r="N488" i="6"/>
  <c r="O487" i="6"/>
  <c r="N487" i="6"/>
  <c r="O486" i="6"/>
  <c r="N486" i="6"/>
  <c r="O485" i="6"/>
  <c r="N485" i="6"/>
  <c r="O484" i="6"/>
  <c r="N484" i="6"/>
  <c r="O483" i="6"/>
  <c r="D483" i="6"/>
  <c r="E483" i="6"/>
  <c r="N483" i="6"/>
  <c r="C483" i="6"/>
  <c r="O482" i="6"/>
  <c r="N482" i="6"/>
  <c r="O481" i="6"/>
  <c r="N481" i="6"/>
  <c r="O480" i="6"/>
  <c r="N480" i="6"/>
  <c r="O479" i="6"/>
  <c r="N479" i="6"/>
  <c r="O478" i="6"/>
  <c r="N478" i="6"/>
  <c r="O477" i="6"/>
  <c r="N477" i="6"/>
  <c r="O476" i="6"/>
  <c r="N476" i="6"/>
  <c r="D476" i="6"/>
  <c r="E476" i="6"/>
  <c r="O475" i="6"/>
  <c r="N475" i="6"/>
  <c r="O474" i="6"/>
  <c r="N474" i="6"/>
  <c r="O473" i="6"/>
  <c r="N473" i="6"/>
  <c r="O472" i="6"/>
  <c r="N472" i="6"/>
  <c r="O471" i="6"/>
  <c r="N471" i="6"/>
  <c r="O470" i="6"/>
  <c r="N470" i="6"/>
  <c r="O469" i="6"/>
  <c r="D469" i="6"/>
  <c r="E469" i="6"/>
  <c r="N469" i="6"/>
  <c r="C469" i="6"/>
  <c r="O468" i="6"/>
  <c r="N468" i="6"/>
  <c r="O467" i="6"/>
  <c r="N467" i="6"/>
  <c r="O466" i="6"/>
  <c r="N466" i="6"/>
  <c r="O465" i="6"/>
  <c r="N465" i="6"/>
  <c r="O464" i="6"/>
  <c r="N464" i="6"/>
  <c r="O463" i="6"/>
  <c r="N463" i="6"/>
  <c r="O462" i="6"/>
  <c r="N462" i="6"/>
  <c r="C462" i="6"/>
  <c r="D462" i="6"/>
  <c r="E462" i="6"/>
  <c r="O461" i="6"/>
  <c r="N461" i="6"/>
  <c r="O460" i="6"/>
  <c r="N460" i="6"/>
  <c r="O459" i="6"/>
  <c r="N459" i="6"/>
  <c r="O458" i="6"/>
  <c r="N458" i="6"/>
  <c r="O457" i="6"/>
  <c r="N457" i="6"/>
  <c r="O456" i="6"/>
  <c r="N456" i="6"/>
  <c r="O455" i="6"/>
  <c r="D455" i="6"/>
  <c r="E455" i="6"/>
  <c r="N455" i="6"/>
  <c r="C455" i="6"/>
  <c r="O454" i="6"/>
  <c r="N454" i="6"/>
  <c r="O453" i="6"/>
  <c r="N453" i="6"/>
  <c r="O452" i="6"/>
  <c r="N452" i="6"/>
  <c r="O451" i="6"/>
  <c r="N451" i="6"/>
  <c r="O450" i="6"/>
  <c r="N450" i="6"/>
  <c r="O449" i="6"/>
  <c r="N449" i="6"/>
  <c r="O448" i="6"/>
  <c r="N448" i="6"/>
  <c r="C448" i="6"/>
  <c r="D448" i="6"/>
  <c r="E448" i="6"/>
  <c r="O447" i="6"/>
  <c r="N447" i="6"/>
  <c r="O446" i="6"/>
  <c r="N446" i="6"/>
  <c r="O445" i="6"/>
  <c r="N445" i="6"/>
  <c r="O444" i="6"/>
  <c r="N444" i="6"/>
  <c r="O443" i="6"/>
  <c r="N443" i="6"/>
  <c r="O442" i="6"/>
  <c r="N442" i="6"/>
  <c r="O441" i="6"/>
  <c r="N441" i="6"/>
  <c r="C441" i="6"/>
  <c r="O440" i="6"/>
  <c r="N440" i="6"/>
  <c r="O439" i="6"/>
  <c r="N439" i="6"/>
  <c r="O438" i="6"/>
  <c r="N438" i="6"/>
  <c r="O437" i="6"/>
  <c r="N437" i="6"/>
  <c r="O436" i="6"/>
  <c r="N436" i="6"/>
  <c r="O435" i="6"/>
  <c r="N435" i="6"/>
  <c r="O434" i="6"/>
  <c r="N434" i="6"/>
  <c r="C434" i="6"/>
  <c r="D434" i="6"/>
  <c r="E434" i="6"/>
  <c r="O433" i="6"/>
  <c r="N433" i="6"/>
  <c r="O432" i="6"/>
  <c r="N432" i="6"/>
  <c r="O431" i="6"/>
  <c r="N431" i="6"/>
  <c r="O430" i="6"/>
  <c r="N430" i="6"/>
  <c r="O429" i="6"/>
  <c r="N429" i="6"/>
  <c r="O428" i="6"/>
  <c r="N428" i="6"/>
  <c r="O427" i="6"/>
  <c r="D427" i="6"/>
  <c r="E427" i="6"/>
  <c r="N427" i="6"/>
  <c r="C427" i="6"/>
  <c r="O426" i="6"/>
  <c r="N426" i="6"/>
  <c r="O425" i="6"/>
  <c r="N425" i="6"/>
  <c r="O424" i="6"/>
  <c r="N424" i="6"/>
  <c r="O423" i="6"/>
  <c r="N423" i="6"/>
  <c r="O422" i="6"/>
  <c r="N422" i="6"/>
  <c r="O421" i="6"/>
  <c r="N421" i="6"/>
  <c r="O420" i="6"/>
  <c r="N420" i="6"/>
  <c r="C420" i="6"/>
  <c r="D420" i="6"/>
  <c r="E420" i="6"/>
  <c r="O419" i="6"/>
  <c r="N419" i="6"/>
  <c r="O418" i="6"/>
  <c r="N418" i="6"/>
  <c r="O417" i="6"/>
  <c r="N417" i="6"/>
  <c r="O416" i="6"/>
  <c r="N416" i="6"/>
  <c r="O415" i="6"/>
  <c r="N415" i="6"/>
  <c r="O414" i="6"/>
  <c r="N414" i="6"/>
  <c r="O413" i="6"/>
  <c r="N413" i="6"/>
  <c r="C413" i="6"/>
  <c r="O412" i="6"/>
  <c r="N412" i="6"/>
  <c r="O411" i="6"/>
  <c r="N411" i="6"/>
  <c r="O410" i="6"/>
  <c r="N410" i="6"/>
  <c r="O409" i="6"/>
  <c r="N409" i="6"/>
  <c r="O408" i="6"/>
  <c r="N408" i="6"/>
  <c r="O407" i="6"/>
  <c r="N407" i="6"/>
  <c r="O406" i="6"/>
  <c r="N406" i="6"/>
  <c r="C406" i="6"/>
  <c r="D406" i="6"/>
  <c r="E406" i="6"/>
  <c r="O405" i="6"/>
  <c r="N405" i="6"/>
  <c r="O404" i="6"/>
  <c r="N404" i="6"/>
  <c r="O403" i="6"/>
  <c r="N403" i="6"/>
  <c r="O402" i="6"/>
  <c r="N402" i="6"/>
  <c r="O401" i="6"/>
  <c r="N401" i="6"/>
  <c r="O400" i="6"/>
  <c r="N400" i="6"/>
  <c r="O399" i="6"/>
  <c r="D399" i="6"/>
  <c r="E399" i="6"/>
  <c r="N399" i="6"/>
  <c r="C399" i="6"/>
  <c r="O398" i="6"/>
  <c r="N398" i="6"/>
  <c r="O397" i="6"/>
  <c r="N397" i="6"/>
  <c r="O396" i="6"/>
  <c r="N396" i="6"/>
  <c r="O395" i="6"/>
  <c r="N395" i="6"/>
  <c r="O394" i="6"/>
  <c r="N394" i="6"/>
  <c r="O393" i="6"/>
  <c r="N393" i="6"/>
  <c r="O392" i="6"/>
  <c r="N392" i="6"/>
  <c r="D392" i="6"/>
  <c r="E392" i="6"/>
  <c r="O391" i="6"/>
  <c r="N391" i="6"/>
  <c r="O390" i="6"/>
  <c r="N390" i="6"/>
  <c r="O389" i="6"/>
  <c r="N389" i="6"/>
  <c r="O388" i="6"/>
  <c r="N388" i="6"/>
  <c r="O387" i="6"/>
  <c r="N387" i="6"/>
  <c r="O386" i="6"/>
  <c r="N386" i="6"/>
  <c r="O385" i="6"/>
  <c r="D385" i="6"/>
  <c r="E385" i="6"/>
  <c r="N385" i="6"/>
  <c r="C385" i="6"/>
  <c r="O384" i="6"/>
  <c r="N384" i="6"/>
  <c r="O383" i="6"/>
  <c r="N383" i="6"/>
  <c r="O382" i="6"/>
  <c r="N382" i="6"/>
  <c r="O381" i="6"/>
  <c r="N381" i="6"/>
  <c r="O380" i="6"/>
  <c r="N380" i="6"/>
  <c r="O379" i="6"/>
  <c r="N379" i="6"/>
  <c r="O378" i="6"/>
  <c r="N378" i="6"/>
  <c r="C378" i="6"/>
  <c r="D378" i="6"/>
  <c r="E378" i="6"/>
  <c r="O377" i="6"/>
  <c r="N377" i="6"/>
  <c r="O376" i="6"/>
  <c r="N376" i="6"/>
  <c r="O375" i="6"/>
  <c r="N375" i="6"/>
  <c r="O374" i="6"/>
  <c r="N374" i="6"/>
  <c r="O373" i="6"/>
  <c r="N373" i="6"/>
  <c r="O372" i="6"/>
  <c r="N372" i="6"/>
  <c r="O371" i="6"/>
  <c r="D371" i="6"/>
  <c r="E371" i="6"/>
  <c r="N371" i="6"/>
  <c r="C371" i="6"/>
  <c r="O370" i="6"/>
  <c r="N370" i="6"/>
  <c r="O369" i="6"/>
  <c r="N369" i="6"/>
  <c r="O368" i="6"/>
  <c r="N368" i="6"/>
  <c r="O367" i="6"/>
  <c r="N367" i="6"/>
  <c r="O366" i="6"/>
  <c r="N366" i="6"/>
  <c r="O365" i="6"/>
  <c r="N365" i="6"/>
  <c r="O364" i="6"/>
  <c r="N364" i="6"/>
  <c r="D364" i="6"/>
  <c r="E364" i="6"/>
  <c r="O363" i="6"/>
  <c r="N363" i="6"/>
  <c r="O362" i="6"/>
  <c r="N362" i="6"/>
  <c r="O361" i="6"/>
  <c r="N361" i="6"/>
  <c r="O360" i="6"/>
  <c r="N360" i="6"/>
  <c r="O359" i="6"/>
  <c r="N359" i="6"/>
  <c r="O358" i="6"/>
  <c r="N358" i="6"/>
  <c r="O357" i="6"/>
  <c r="D357" i="6"/>
  <c r="E357" i="6"/>
  <c r="N357" i="6"/>
  <c r="C357" i="6"/>
  <c r="O356" i="6"/>
  <c r="N356" i="6"/>
  <c r="O355" i="6"/>
  <c r="N355" i="6"/>
  <c r="O354" i="6"/>
  <c r="N354" i="6"/>
  <c r="O353" i="6"/>
  <c r="N353" i="6"/>
  <c r="O352" i="6"/>
  <c r="N352" i="6"/>
  <c r="O351" i="6"/>
  <c r="N351" i="6"/>
  <c r="O350" i="6"/>
  <c r="N350" i="6"/>
  <c r="C350" i="6"/>
  <c r="D350" i="6"/>
  <c r="E350" i="6"/>
  <c r="O349" i="6"/>
  <c r="N349" i="6"/>
  <c r="O348" i="6"/>
  <c r="N348" i="6"/>
  <c r="O347" i="6"/>
  <c r="N347" i="6"/>
  <c r="O346" i="6"/>
  <c r="N346" i="6"/>
  <c r="O345" i="6"/>
  <c r="N345" i="6"/>
  <c r="O344" i="6"/>
  <c r="N344" i="6"/>
  <c r="O343" i="6"/>
  <c r="D343" i="6"/>
  <c r="E343" i="6"/>
  <c r="N343" i="6"/>
  <c r="C343" i="6"/>
  <c r="O342" i="6"/>
  <c r="N342" i="6"/>
  <c r="O341" i="6"/>
  <c r="N341" i="6"/>
  <c r="O340" i="6"/>
  <c r="N340" i="6"/>
  <c r="O339" i="6"/>
  <c r="N339" i="6"/>
  <c r="O338" i="6"/>
  <c r="N338" i="6"/>
  <c r="O337" i="6"/>
  <c r="N337" i="6"/>
  <c r="O336" i="6"/>
  <c r="N336" i="6"/>
  <c r="C336" i="6"/>
  <c r="D336" i="6"/>
  <c r="E336" i="6"/>
  <c r="O335" i="6"/>
  <c r="N335" i="6"/>
  <c r="O334" i="6"/>
  <c r="N334" i="6"/>
  <c r="O333" i="6"/>
  <c r="N333" i="6"/>
  <c r="O332" i="6"/>
  <c r="N332" i="6"/>
  <c r="O331" i="6"/>
  <c r="N331" i="6"/>
  <c r="O330" i="6"/>
  <c r="N330" i="6"/>
  <c r="O329" i="6"/>
  <c r="N329" i="6"/>
  <c r="C329" i="6"/>
  <c r="O328" i="6"/>
  <c r="N328" i="6"/>
  <c r="O327" i="6"/>
  <c r="N327" i="6"/>
  <c r="O326" i="6"/>
  <c r="N326" i="6"/>
  <c r="O325" i="6"/>
  <c r="N325" i="6"/>
  <c r="O324" i="6"/>
  <c r="N324" i="6"/>
  <c r="O323" i="6"/>
  <c r="N323" i="6"/>
  <c r="O322" i="6"/>
  <c r="N322" i="6"/>
  <c r="C322" i="6"/>
  <c r="D322" i="6"/>
  <c r="E322" i="6"/>
  <c r="O321" i="6"/>
  <c r="N321" i="6"/>
  <c r="O320" i="6"/>
  <c r="N320" i="6"/>
  <c r="O319" i="6"/>
  <c r="N319" i="6"/>
  <c r="O318" i="6"/>
  <c r="N318" i="6"/>
  <c r="O317" i="6"/>
  <c r="N317" i="6"/>
  <c r="O316" i="6"/>
  <c r="N316" i="6"/>
  <c r="O315" i="6"/>
  <c r="D315" i="6"/>
  <c r="E315" i="6"/>
  <c r="N315" i="6"/>
  <c r="C315" i="6"/>
  <c r="O314" i="6"/>
  <c r="N314" i="6"/>
  <c r="O313" i="6"/>
  <c r="N313" i="6"/>
  <c r="O312" i="6"/>
  <c r="N312" i="6"/>
  <c r="O311" i="6"/>
  <c r="N311" i="6"/>
  <c r="O310" i="6"/>
  <c r="N310" i="6"/>
  <c r="O309" i="6"/>
  <c r="N309" i="6"/>
  <c r="O308" i="6"/>
  <c r="N308" i="6"/>
  <c r="C308" i="6"/>
  <c r="D308" i="6"/>
  <c r="E308" i="6"/>
  <c r="O307" i="6"/>
  <c r="N307" i="6"/>
  <c r="O306" i="6"/>
  <c r="N306" i="6"/>
  <c r="O305" i="6"/>
  <c r="N305" i="6"/>
  <c r="O304" i="6"/>
  <c r="N304" i="6"/>
  <c r="O303" i="6"/>
  <c r="N303" i="6"/>
  <c r="O302" i="6"/>
  <c r="N302" i="6"/>
  <c r="O301" i="6"/>
  <c r="N301" i="6"/>
  <c r="C301" i="6"/>
  <c r="O300" i="6"/>
  <c r="N300" i="6"/>
  <c r="O299" i="6"/>
  <c r="N299" i="6"/>
  <c r="O298" i="6"/>
  <c r="N298" i="6"/>
  <c r="O297" i="6"/>
  <c r="N297" i="6"/>
  <c r="O296" i="6"/>
  <c r="N296" i="6"/>
  <c r="O295" i="6"/>
  <c r="N295" i="6"/>
  <c r="O294" i="6"/>
  <c r="N294" i="6"/>
  <c r="C294" i="6"/>
  <c r="D294" i="6"/>
  <c r="E294" i="6"/>
  <c r="O293" i="6"/>
  <c r="N293" i="6"/>
  <c r="O292" i="6"/>
  <c r="N292" i="6"/>
  <c r="O291" i="6"/>
  <c r="N291" i="6"/>
  <c r="O290" i="6"/>
  <c r="N290" i="6"/>
  <c r="O289" i="6"/>
  <c r="N289" i="6"/>
  <c r="O288" i="6"/>
  <c r="N288" i="6"/>
  <c r="O287" i="6"/>
  <c r="D287" i="6"/>
  <c r="E287" i="6"/>
  <c r="N287" i="6"/>
  <c r="C287" i="6"/>
  <c r="O286" i="6"/>
  <c r="N286" i="6"/>
  <c r="O285" i="6"/>
  <c r="N285" i="6"/>
  <c r="O284" i="6"/>
  <c r="N284" i="6"/>
  <c r="O283" i="6"/>
  <c r="N283" i="6"/>
  <c r="O282" i="6"/>
  <c r="N282" i="6"/>
  <c r="O281" i="6"/>
  <c r="N281" i="6"/>
  <c r="O280" i="6"/>
  <c r="N280" i="6"/>
  <c r="D280" i="6"/>
  <c r="E280" i="6"/>
  <c r="O279" i="6"/>
  <c r="N279" i="6"/>
  <c r="O278" i="6"/>
  <c r="N278" i="6"/>
  <c r="O277" i="6"/>
  <c r="N277" i="6"/>
  <c r="O276" i="6"/>
  <c r="N276" i="6"/>
  <c r="O275" i="6"/>
  <c r="N275" i="6"/>
  <c r="O274" i="6"/>
  <c r="N274" i="6"/>
  <c r="O273" i="6"/>
  <c r="D273" i="6"/>
  <c r="N273" i="6"/>
  <c r="C273" i="6"/>
  <c r="O271" i="6"/>
  <c r="N271" i="6"/>
  <c r="O270" i="6"/>
  <c r="N270" i="6"/>
  <c r="O269" i="6"/>
  <c r="N269" i="6"/>
  <c r="O268" i="6"/>
  <c r="N268" i="6"/>
  <c r="O267" i="6"/>
  <c r="N267" i="6"/>
  <c r="O266" i="6"/>
  <c r="N266" i="6"/>
  <c r="O265" i="6"/>
  <c r="N265" i="6"/>
  <c r="C265" i="6"/>
  <c r="D265" i="6"/>
  <c r="E265" i="6"/>
  <c r="O264" i="6"/>
  <c r="N264" i="6"/>
  <c r="O263" i="6"/>
  <c r="N263" i="6"/>
  <c r="O262" i="6"/>
  <c r="N262" i="6"/>
  <c r="O261" i="6"/>
  <c r="N261" i="6"/>
  <c r="O260" i="6"/>
  <c r="N260" i="6"/>
  <c r="O259" i="6"/>
  <c r="N259" i="6"/>
  <c r="O258" i="6"/>
  <c r="D258" i="6"/>
  <c r="E258" i="6"/>
  <c r="N258" i="6"/>
  <c r="C258" i="6"/>
  <c r="O257" i="6"/>
  <c r="N257" i="6"/>
  <c r="O256" i="6"/>
  <c r="N256" i="6"/>
  <c r="O255" i="6"/>
  <c r="N255" i="6"/>
  <c r="O254" i="6"/>
  <c r="N254" i="6"/>
  <c r="O253" i="6"/>
  <c r="N253" i="6"/>
  <c r="O252" i="6"/>
  <c r="N252" i="6"/>
  <c r="O251" i="6"/>
  <c r="N251" i="6"/>
  <c r="C251" i="6"/>
  <c r="D251" i="6"/>
  <c r="E251" i="6"/>
  <c r="O250" i="6"/>
  <c r="N250" i="6"/>
  <c r="O249" i="6"/>
  <c r="N249" i="6"/>
  <c r="O248" i="6"/>
  <c r="N248" i="6"/>
  <c r="O247" i="6"/>
  <c r="N247" i="6"/>
  <c r="O246" i="6"/>
  <c r="N246" i="6"/>
  <c r="O245" i="6"/>
  <c r="N245" i="6"/>
  <c r="O244" i="6"/>
  <c r="N244" i="6"/>
  <c r="C244" i="6"/>
  <c r="O243" i="6"/>
  <c r="N243" i="6"/>
  <c r="O242" i="6"/>
  <c r="N242" i="6"/>
  <c r="O241" i="6"/>
  <c r="N241" i="6"/>
  <c r="O240" i="6"/>
  <c r="N240" i="6"/>
  <c r="O239" i="6"/>
  <c r="N239" i="6"/>
  <c r="O238" i="6"/>
  <c r="N238" i="6"/>
  <c r="O237" i="6"/>
  <c r="N237" i="6"/>
  <c r="C237" i="6"/>
  <c r="D237" i="6"/>
  <c r="E237" i="6"/>
  <c r="O236" i="6"/>
  <c r="N236" i="6"/>
  <c r="O235" i="6"/>
  <c r="N235" i="6"/>
  <c r="O234" i="6"/>
  <c r="N234" i="6"/>
  <c r="O233" i="6"/>
  <c r="N233" i="6"/>
  <c r="O232" i="6"/>
  <c r="N232" i="6"/>
  <c r="O231" i="6"/>
  <c r="N231" i="6"/>
  <c r="O230" i="6"/>
  <c r="D230" i="6"/>
  <c r="E230" i="6"/>
  <c r="N230" i="6"/>
  <c r="C230" i="6"/>
  <c r="O229" i="6"/>
  <c r="N229" i="6"/>
  <c r="O228" i="6"/>
  <c r="N228" i="6"/>
  <c r="O227" i="6"/>
  <c r="N227" i="6"/>
  <c r="O226" i="6"/>
  <c r="N226" i="6"/>
  <c r="O225" i="6"/>
  <c r="N225" i="6"/>
  <c r="O224" i="6"/>
  <c r="N224" i="6"/>
  <c r="O223" i="6"/>
  <c r="N223" i="6"/>
  <c r="C223" i="6"/>
  <c r="D223" i="6"/>
  <c r="E223" i="6"/>
  <c r="O222" i="6"/>
  <c r="N222" i="6"/>
  <c r="O221" i="6"/>
  <c r="N221" i="6"/>
  <c r="O220" i="6"/>
  <c r="N220" i="6"/>
  <c r="O219" i="6"/>
  <c r="N219" i="6"/>
  <c r="O218" i="6"/>
  <c r="N218" i="6"/>
  <c r="O217" i="6"/>
  <c r="N217" i="6"/>
  <c r="O216" i="6"/>
  <c r="N216" i="6"/>
  <c r="C216" i="6"/>
  <c r="O215" i="6"/>
  <c r="N215" i="6"/>
  <c r="O214" i="6"/>
  <c r="N214" i="6"/>
  <c r="O213" i="6"/>
  <c r="N213" i="6"/>
  <c r="O212" i="6"/>
  <c r="N212" i="6"/>
  <c r="O211" i="6"/>
  <c r="N211" i="6"/>
  <c r="O210" i="6"/>
  <c r="N210" i="6"/>
  <c r="O209" i="6"/>
  <c r="N209" i="6"/>
  <c r="C209" i="6"/>
  <c r="D209" i="6"/>
  <c r="E209" i="6"/>
  <c r="O208" i="6"/>
  <c r="N208" i="6"/>
  <c r="O207" i="6"/>
  <c r="N207" i="6"/>
  <c r="O206" i="6"/>
  <c r="N206" i="6"/>
  <c r="O205" i="6"/>
  <c r="N205" i="6"/>
  <c r="O204" i="6"/>
  <c r="N204" i="6"/>
  <c r="O203" i="6"/>
  <c r="N203" i="6"/>
  <c r="O202" i="6"/>
  <c r="D202" i="6"/>
  <c r="E202" i="6"/>
  <c r="N202" i="6"/>
  <c r="C202" i="6"/>
  <c r="O201" i="6"/>
  <c r="N201" i="6"/>
  <c r="O200" i="6"/>
  <c r="N200" i="6"/>
  <c r="O199" i="6"/>
  <c r="N199" i="6"/>
  <c r="O198" i="6"/>
  <c r="N198" i="6"/>
  <c r="O197" i="6"/>
  <c r="N197" i="6"/>
  <c r="O196" i="6"/>
  <c r="N196" i="6"/>
  <c r="O195" i="6"/>
  <c r="N195" i="6"/>
  <c r="D195" i="6"/>
  <c r="E195" i="6"/>
  <c r="O194" i="6"/>
  <c r="N194" i="6"/>
  <c r="O193" i="6"/>
  <c r="N193" i="6"/>
  <c r="O192" i="6"/>
  <c r="N192" i="6"/>
  <c r="O191" i="6"/>
  <c r="N191" i="6"/>
  <c r="O190" i="6"/>
  <c r="N190" i="6"/>
  <c r="O189" i="6"/>
  <c r="N189" i="6"/>
  <c r="O188" i="6"/>
  <c r="D188" i="6"/>
  <c r="E188" i="6"/>
  <c r="N188" i="6"/>
  <c r="C188" i="6"/>
  <c r="O187" i="6"/>
  <c r="N187" i="6"/>
  <c r="O186" i="6"/>
  <c r="N186" i="6"/>
  <c r="O185" i="6"/>
  <c r="N185" i="6"/>
  <c r="O184" i="6"/>
  <c r="N184" i="6"/>
  <c r="O183" i="6"/>
  <c r="N183" i="6"/>
  <c r="O182" i="6"/>
  <c r="N182" i="6"/>
  <c r="O181" i="6"/>
  <c r="N181" i="6"/>
  <c r="C181" i="6"/>
  <c r="D181" i="6"/>
  <c r="E181" i="6"/>
  <c r="O180" i="6"/>
  <c r="N180" i="6"/>
  <c r="O179" i="6"/>
  <c r="N179" i="6"/>
  <c r="O178" i="6"/>
  <c r="N178" i="6"/>
  <c r="O177" i="6"/>
  <c r="N177" i="6"/>
  <c r="O176" i="6"/>
  <c r="N176" i="6"/>
  <c r="O175" i="6"/>
  <c r="N175" i="6"/>
  <c r="O174" i="6"/>
  <c r="D174" i="6"/>
  <c r="E174" i="6"/>
  <c r="N174" i="6"/>
  <c r="C174" i="6"/>
  <c r="O173" i="6"/>
  <c r="N173" i="6"/>
  <c r="O172" i="6"/>
  <c r="N172" i="6"/>
  <c r="O171" i="6"/>
  <c r="N171" i="6"/>
  <c r="O170" i="6"/>
  <c r="N170" i="6"/>
  <c r="O169" i="6"/>
  <c r="N169" i="6"/>
  <c r="O168" i="6"/>
  <c r="N168" i="6"/>
  <c r="O167" i="6"/>
  <c r="N167" i="6"/>
  <c r="D167" i="6"/>
  <c r="E167" i="6"/>
  <c r="O166" i="6"/>
  <c r="N166" i="6"/>
  <c r="O165" i="6"/>
  <c r="N165" i="6"/>
  <c r="O164" i="6"/>
  <c r="N164" i="6"/>
  <c r="O163" i="6"/>
  <c r="N163" i="6"/>
  <c r="O162" i="6"/>
  <c r="N162" i="6"/>
  <c r="O161" i="6"/>
  <c r="N161" i="6"/>
  <c r="O160" i="6"/>
  <c r="D160" i="6"/>
  <c r="E160" i="6"/>
  <c r="N160" i="6"/>
  <c r="C160" i="6"/>
  <c r="O159" i="6"/>
  <c r="N159" i="6"/>
  <c r="O158" i="6"/>
  <c r="N158" i="6"/>
  <c r="O157" i="6"/>
  <c r="N157" i="6"/>
  <c r="O156" i="6"/>
  <c r="N156" i="6"/>
  <c r="O155" i="6"/>
  <c r="N155" i="6"/>
  <c r="O154" i="6"/>
  <c r="N154" i="6"/>
  <c r="O153" i="6"/>
  <c r="N153" i="6"/>
  <c r="C153" i="6"/>
  <c r="D153" i="6"/>
  <c r="E153" i="6"/>
  <c r="O152" i="6"/>
  <c r="N152" i="6"/>
  <c r="O151" i="6"/>
  <c r="N151" i="6"/>
  <c r="O150" i="6"/>
  <c r="N150" i="6"/>
  <c r="O149" i="6"/>
  <c r="N149" i="6"/>
  <c r="O148" i="6"/>
  <c r="N148" i="6"/>
  <c r="O147" i="6"/>
  <c r="N147" i="6"/>
  <c r="O146" i="6"/>
  <c r="D146" i="6"/>
  <c r="E146" i="6"/>
  <c r="N146" i="6"/>
  <c r="C146" i="6"/>
  <c r="O145" i="6"/>
  <c r="N145" i="6"/>
  <c r="O144" i="6"/>
  <c r="N144" i="6"/>
  <c r="O143" i="6"/>
  <c r="N143" i="6"/>
  <c r="O142" i="6"/>
  <c r="N142" i="6"/>
  <c r="O141" i="6"/>
  <c r="N141" i="6"/>
  <c r="O140" i="6"/>
  <c r="N140" i="6"/>
  <c r="O139" i="6"/>
  <c r="N139" i="6"/>
  <c r="C139" i="6"/>
  <c r="D139" i="6"/>
  <c r="E139" i="6"/>
  <c r="O138" i="6"/>
  <c r="N138" i="6"/>
  <c r="O137" i="6"/>
  <c r="N137" i="6"/>
  <c r="O136" i="6"/>
  <c r="N136" i="6"/>
  <c r="O135" i="6"/>
  <c r="N135" i="6"/>
  <c r="O134" i="6"/>
  <c r="N134" i="6"/>
  <c r="O133" i="6"/>
  <c r="N133" i="6"/>
  <c r="O132" i="6"/>
  <c r="N132" i="6"/>
  <c r="C132" i="6"/>
  <c r="O131" i="6"/>
  <c r="N131" i="6"/>
  <c r="O130" i="6"/>
  <c r="N130" i="6"/>
  <c r="O129" i="6"/>
  <c r="N129" i="6"/>
  <c r="O128" i="6"/>
  <c r="N128" i="6"/>
  <c r="O127" i="6"/>
  <c r="N127" i="6"/>
  <c r="O126" i="6"/>
  <c r="N126" i="6"/>
  <c r="O125" i="6"/>
  <c r="N125" i="6"/>
  <c r="C125" i="6"/>
  <c r="D125" i="6"/>
  <c r="E125" i="6"/>
  <c r="O124" i="6"/>
  <c r="N124" i="6"/>
  <c r="O123" i="6"/>
  <c r="N123" i="6"/>
  <c r="O122" i="6"/>
  <c r="N122" i="6"/>
  <c r="O121" i="6"/>
  <c r="N121" i="6"/>
  <c r="O120" i="6"/>
  <c r="N120" i="6"/>
  <c r="O119" i="6"/>
  <c r="N119" i="6"/>
  <c r="O118" i="6"/>
  <c r="D118" i="6"/>
  <c r="E118" i="6"/>
  <c r="N118" i="6"/>
  <c r="C118" i="6"/>
  <c r="O117" i="6"/>
  <c r="N117" i="6"/>
  <c r="O116" i="6"/>
  <c r="N116" i="6"/>
  <c r="O115" i="6"/>
  <c r="N115" i="6"/>
  <c r="O114" i="6"/>
  <c r="N114" i="6"/>
  <c r="O113" i="6"/>
  <c r="N113" i="6"/>
  <c r="O112" i="6"/>
  <c r="N112" i="6"/>
  <c r="O111" i="6"/>
  <c r="N111" i="6"/>
  <c r="C111" i="6"/>
  <c r="D111" i="6"/>
  <c r="E111" i="6"/>
  <c r="O110" i="6"/>
  <c r="N110" i="6"/>
  <c r="O109" i="6"/>
  <c r="N109" i="6"/>
  <c r="O108" i="6"/>
  <c r="N108" i="6"/>
  <c r="O107" i="6"/>
  <c r="N107" i="6"/>
  <c r="O106" i="6"/>
  <c r="N106" i="6"/>
  <c r="O105" i="6"/>
  <c r="N105" i="6"/>
  <c r="O104" i="6"/>
  <c r="N104" i="6"/>
  <c r="C104" i="6"/>
  <c r="O103" i="6"/>
  <c r="N103" i="6"/>
  <c r="O102" i="6"/>
  <c r="N102" i="6"/>
  <c r="O101" i="6"/>
  <c r="N101" i="6"/>
  <c r="O100" i="6"/>
  <c r="N100" i="6"/>
  <c r="O99" i="6"/>
  <c r="N99" i="6"/>
  <c r="O98" i="6"/>
  <c r="N98" i="6"/>
  <c r="O97" i="6"/>
  <c r="N97" i="6"/>
  <c r="C97" i="6"/>
  <c r="D97" i="6"/>
  <c r="E97" i="6"/>
  <c r="O96" i="6"/>
  <c r="N96" i="6"/>
  <c r="O95" i="6"/>
  <c r="N95" i="6"/>
  <c r="O94" i="6"/>
  <c r="N94" i="6"/>
  <c r="O93" i="6"/>
  <c r="N93" i="6"/>
  <c r="O92" i="6"/>
  <c r="N92" i="6"/>
  <c r="O91" i="6"/>
  <c r="N91" i="6"/>
  <c r="O90" i="6"/>
  <c r="D90" i="6"/>
  <c r="E90" i="6"/>
  <c r="N90" i="6"/>
  <c r="C90" i="6"/>
  <c r="O88" i="6"/>
  <c r="N88" i="6"/>
  <c r="O87" i="6"/>
  <c r="N87" i="6"/>
  <c r="O86" i="6"/>
  <c r="N86" i="6"/>
  <c r="O85" i="6"/>
  <c r="N85" i="6"/>
  <c r="O84" i="6"/>
  <c r="N84" i="6"/>
  <c r="O83" i="6"/>
  <c r="N83" i="6"/>
  <c r="O82" i="6"/>
  <c r="D82" i="6"/>
  <c r="E82" i="6"/>
  <c r="N82" i="6"/>
  <c r="C82" i="6"/>
  <c r="O81" i="6"/>
  <c r="N81" i="6"/>
  <c r="O80" i="6"/>
  <c r="N80" i="6"/>
  <c r="O79" i="6"/>
  <c r="N79" i="6"/>
  <c r="O78" i="6"/>
  <c r="N78" i="6"/>
  <c r="O77" i="6"/>
  <c r="N77" i="6"/>
  <c r="O76" i="6"/>
  <c r="N76" i="6"/>
  <c r="O75" i="6"/>
  <c r="N75" i="6"/>
  <c r="C75" i="6"/>
  <c r="D75" i="6"/>
  <c r="E75" i="6"/>
  <c r="O74" i="6"/>
  <c r="N74" i="6"/>
  <c r="O73" i="6"/>
  <c r="N73" i="6"/>
  <c r="O72" i="6"/>
  <c r="N72" i="6"/>
  <c r="O71" i="6"/>
  <c r="N71" i="6"/>
  <c r="O70" i="6"/>
  <c r="N70" i="6"/>
  <c r="O69" i="6"/>
  <c r="N69" i="6"/>
  <c r="O68" i="6"/>
  <c r="N68" i="6"/>
  <c r="C68" i="6"/>
  <c r="O67" i="6"/>
  <c r="N67" i="6"/>
  <c r="O66" i="6"/>
  <c r="N66" i="6"/>
  <c r="O65" i="6"/>
  <c r="N65" i="6"/>
  <c r="O64" i="6"/>
  <c r="N64" i="6"/>
  <c r="O63" i="6"/>
  <c r="N63" i="6"/>
  <c r="O62" i="6"/>
  <c r="N62" i="6"/>
  <c r="O61" i="6"/>
  <c r="D61" i="6"/>
  <c r="N61" i="6"/>
  <c r="C61" i="6"/>
  <c r="O59" i="6"/>
  <c r="N59" i="6"/>
  <c r="O58" i="6"/>
  <c r="N58" i="6"/>
  <c r="O57" i="6"/>
  <c r="N57" i="6"/>
  <c r="O56" i="6"/>
  <c r="N56" i="6"/>
  <c r="O55" i="6"/>
  <c r="N55" i="6"/>
  <c r="O54" i="6"/>
  <c r="N54" i="6"/>
  <c r="O53" i="6"/>
  <c r="N53" i="6"/>
  <c r="C53" i="6"/>
  <c r="D53" i="6"/>
  <c r="E53" i="6"/>
  <c r="O52" i="6"/>
  <c r="N52" i="6"/>
  <c r="O51" i="6"/>
  <c r="N51" i="6"/>
  <c r="O50" i="6"/>
  <c r="N50" i="6"/>
  <c r="O49" i="6"/>
  <c r="N49" i="6"/>
  <c r="O48" i="6"/>
  <c r="N48" i="6"/>
  <c r="O47" i="6"/>
  <c r="N47" i="6"/>
  <c r="O46" i="6"/>
  <c r="N46" i="6"/>
  <c r="C46" i="6"/>
  <c r="O45" i="6"/>
  <c r="N45" i="6"/>
  <c r="O44" i="6"/>
  <c r="N44" i="6"/>
  <c r="O43" i="6"/>
  <c r="N43" i="6"/>
  <c r="O42" i="6"/>
  <c r="N42" i="6"/>
  <c r="O41" i="6"/>
  <c r="N41" i="6"/>
  <c r="O40" i="6"/>
  <c r="N40" i="6"/>
  <c r="O39" i="6"/>
  <c r="N39" i="6"/>
  <c r="C39" i="6"/>
  <c r="D39" i="6"/>
  <c r="E39" i="6"/>
  <c r="O38" i="6"/>
  <c r="N38" i="6"/>
  <c r="O37" i="6"/>
  <c r="N37" i="6"/>
  <c r="O36" i="6"/>
  <c r="N36" i="6"/>
  <c r="O35" i="6"/>
  <c r="N35" i="6"/>
  <c r="O34" i="6"/>
  <c r="N34" i="6"/>
  <c r="O33" i="6"/>
  <c r="N33" i="6"/>
  <c r="O32" i="6"/>
  <c r="D32" i="6"/>
  <c r="E32" i="6"/>
  <c r="N32" i="6"/>
  <c r="C32" i="6"/>
  <c r="O31" i="6"/>
  <c r="N31" i="6"/>
  <c r="O30" i="6"/>
  <c r="N30" i="6"/>
  <c r="O29" i="6"/>
  <c r="N29" i="6"/>
  <c r="O28" i="6"/>
  <c r="N28" i="6"/>
  <c r="O27" i="6"/>
  <c r="N27" i="6"/>
  <c r="O26" i="6"/>
  <c r="N26" i="6"/>
  <c r="O25" i="6"/>
  <c r="N25" i="6"/>
  <c r="C25" i="6"/>
  <c r="D25" i="6"/>
  <c r="E25" i="6"/>
  <c r="O24" i="6"/>
  <c r="N24" i="6"/>
  <c r="O23" i="6"/>
  <c r="N23" i="6"/>
  <c r="O22" i="6"/>
  <c r="N22" i="6"/>
  <c r="O21" i="6"/>
  <c r="N21" i="6"/>
  <c r="O20" i="6"/>
  <c r="N20" i="6"/>
  <c r="O19" i="6"/>
  <c r="O11" i="6"/>
  <c r="O12" i="6"/>
  <c r="O13" i="6"/>
  <c r="O14" i="6"/>
  <c r="O15" i="6"/>
  <c r="O16" i="6"/>
  <c r="O17" i="6"/>
  <c r="O18" i="6"/>
  <c r="O10" i="6"/>
  <c r="N19" i="6"/>
  <c r="N18" i="6"/>
  <c r="C18" i="6"/>
  <c r="N17" i="6"/>
  <c r="N16" i="6"/>
  <c r="N15" i="6"/>
  <c r="N14" i="6"/>
  <c r="N13" i="6"/>
  <c r="N12" i="6"/>
  <c r="N11" i="6"/>
  <c r="C11" i="6"/>
  <c r="D11" i="6"/>
  <c r="E11" i="6"/>
  <c r="O617" i="17"/>
  <c r="N617" i="17"/>
  <c r="O616" i="17"/>
  <c r="N616" i="17"/>
  <c r="O615" i="17"/>
  <c r="N615" i="17"/>
  <c r="O614" i="17"/>
  <c r="N614" i="17"/>
  <c r="O613" i="17"/>
  <c r="N613" i="17"/>
  <c r="O612" i="17"/>
  <c r="N612" i="17"/>
  <c r="O611" i="17"/>
  <c r="N611" i="17"/>
  <c r="C611" i="17"/>
  <c r="D611" i="17"/>
  <c r="E611" i="17"/>
  <c r="O610" i="17"/>
  <c r="N610" i="17"/>
  <c r="O609" i="17"/>
  <c r="N609" i="17"/>
  <c r="O608" i="17"/>
  <c r="N608" i="17"/>
  <c r="O607" i="17"/>
  <c r="N607" i="17"/>
  <c r="O606" i="17"/>
  <c r="N606" i="17"/>
  <c r="O605" i="17"/>
  <c r="D604" i="17" s="1"/>
  <c r="E604" i="17" s="1"/>
  <c r="N605" i="17"/>
  <c r="C604" i="17" s="1"/>
  <c r="O604" i="17"/>
  <c r="N604" i="17"/>
  <c r="O603" i="17"/>
  <c r="N603" i="17"/>
  <c r="O602" i="17"/>
  <c r="N602" i="17"/>
  <c r="O601" i="17"/>
  <c r="N601" i="17"/>
  <c r="O600" i="17"/>
  <c r="N600" i="17"/>
  <c r="O599" i="17"/>
  <c r="N599" i="17"/>
  <c r="O598" i="17"/>
  <c r="N598" i="17"/>
  <c r="O597" i="17"/>
  <c r="N597" i="17"/>
  <c r="C597" i="17" s="1"/>
  <c r="D597" i="17"/>
  <c r="E597" i="17"/>
  <c r="O596" i="17"/>
  <c r="N596" i="17"/>
  <c r="O595" i="17"/>
  <c r="N595" i="17"/>
  <c r="O594" i="17"/>
  <c r="N594" i="17"/>
  <c r="O593" i="17"/>
  <c r="N593" i="17"/>
  <c r="O592" i="17"/>
  <c r="N592" i="17"/>
  <c r="C590" i="17" s="1"/>
  <c r="O591" i="17"/>
  <c r="N591" i="17"/>
  <c r="O590" i="17"/>
  <c r="D590" i="17" s="1"/>
  <c r="E590" i="17" s="1"/>
  <c r="N590" i="17"/>
  <c r="O589" i="17"/>
  <c r="N589" i="17"/>
  <c r="O588" i="17"/>
  <c r="N588" i="17"/>
  <c r="O587" i="17"/>
  <c r="N587" i="17"/>
  <c r="O586" i="17"/>
  <c r="N586" i="17"/>
  <c r="O585" i="17"/>
  <c r="N585" i="17"/>
  <c r="O584" i="17"/>
  <c r="N584" i="17"/>
  <c r="O583" i="17"/>
  <c r="N583" i="17"/>
  <c r="C583" i="17"/>
  <c r="D583" i="17"/>
  <c r="E583" i="17"/>
  <c r="O582" i="17"/>
  <c r="N582" i="17"/>
  <c r="O581" i="17"/>
  <c r="N581" i="17"/>
  <c r="O580" i="17"/>
  <c r="N580" i="17"/>
  <c r="O579" i="17"/>
  <c r="N579" i="17"/>
  <c r="O578" i="17"/>
  <c r="D576" i="17" s="1"/>
  <c r="E576" i="17" s="1"/>
  <c r="N578" i="17"/>
  <c r="O577" i="17"/>
  <c r="N577" i="17"/>
  <c r="C576" i="17" s="1"/>
  <c r="O576" i="17"/>
  <c r="N576" i="17"/>
  <c r="O575" i="17"/>
  <c r="N575" i="17"/>
  <c r="O574" i="17"/>
  <c r="N574" i="17"/>
  <c r="O573" i="17"/>
  <c r="N573" i="17"/>
  <c r="O572" i="17"/>
  <c r="N572" i="17"/>
  <c r="O571" i="17"/>
  <c r="N571" i="17"/>
  <c r="O570" i="17"/>
  <c r="N570" i="17"/>
  <c r="O569" i="17"/>
  <c r="N569" i="17"/>
  <c r="C569" i="17"/>
  <c r="D569" i="17"/>
  <c r="E569" i="17"/>
  <c r="O568" i="17"/>
  <c r="N568" i="17"/>
  <c r="O567" i="17"/>
  <c r="N567" i="17"/>
  <c r="O566" i="17"/>
  <c r="N566" i="17"/>
  <c r="O565" i="17"/>
  <c r="N565" i="17"/>
  <c r="O564" i="17"/>
  <c r="N564" i="17"/>
  <c r="O563" i="17"/>
  <c r="N563" i="17"/>
  <c r="C562" i="17" s="1"/>
  <c r="O562" i="17"/>
  <c r="N562" i="17"/>
  <c r="O561" i="17"/>
  <c r="N561" i="17"/>
  <c r="O560" i="17"/>
  <c r="N560" i="17"/>
  <c r="O559" i="17"/>
  <c r="N559" i="17"/>
  <c r="O558" i="17"/>
  <c r="N558" i="17"/>
  <c r="O557" i="17"/>
  <c r="N557" i="17"/>
  <c r="O556" i="17"/>
  <c r="N556" i="17"/>
  <c r="O555" i="17"/>
  <c r="N555" i="17"/>
  <c r="C555" i="17"/>
  <c r="D555" i="17"/>
  <c r="E555" i="17"/>
  <c r="O554" i="17"/>
  <c r="N554" i="17"/>
  <c r="O553" i="17"/>
  <c r="N553" i="17"/>
  <c r="O552" i="17"/>
  <c r="N552" i="17"/>
  <c r="O551" i="17"/>
  <c r="N551" i="17"/>
  <c r="O550" i="17"/>
  <c r="N550" i="17"/>
  <c r="O549" i="17"/>
  <c r="N549" i="17"/>
  <c r="O548" i="17"/>
  <c r="D548" i="17" s="1"/>
  <c r="E548" i="17" s="1"/>
  <c r="N548" i="17"/>
  <c r="C548" i="17" s="1"/>
  <c r="O545" i="17"/>
  <c r="N545" i="17"/>
  <c r="O544" i="17"/>
  <c r="N544" i="17"/>
  <c r="O543" i="17"/>
  <c r="N543" i="17"/>
  <c r="O542" i="17"/>
  <c r="N542" i="17"/>
  <c r="O541" i="17"/>
  <c r="N541" i="17"/>
  <c r="O540" i="17"/>
  <c r="N540" i="17"/>
  <c r="O539" i="17"/>
  <c r="N539" i="17"/>
  <c r="C539" i="17"/>
  <c r="D539" i="17"/>
  <c r="E539" i="17"/>
  <c r="O538" i="17"/>
  <c r="N538" i="17"/>
  <c r="O537" i="17"/>
  <c r="N537" i="17"/>
  <c r="O536" i="17"/>
  <c r="N536" i="17"/>
  <c r="O535" i="17"/>
  <c r="N535" i="17"/>
  <c r="O534" i="17"/>
  <c r="N534" i="17"/>
  <c r="O533" i="17"/>
  <c r="D532" i="17" s="1"/>
  <c r="E532" i="17" s="1"/>
  <c r="N533" i="17"/>
  <c r="O532" i="17"/>
  <c r="N532" i="17"/>
  <c r="C532" i="17" s="1"/>
  <c r="O531" i="17"/>
  <c r="N531" i="17"/>
  <c r="O530" i="17"/>
  <c r="N530" i="17"/>
  <c r="O529" i="17"/>
  <c r="N529" i="17"/>
  <c r="O528" i="17"/>
  <c r="N528" i="17"/>
  <c r="O527" i="17"/>
  <c r="N527" i="17"/>
  <c r="O526" i="17"/>
  <c r="N526" i="17"/>
  <c r="O525" i="17"/>
  <c r="N525" i="17"/>
  <c r="C525" i="17"/>
  <c r="D525" i="17"/>
  <c r="E525" i="17"/>
  <c r="O524" i="17"/>
  <c r="N524" i="17"/>
  <c r="O523" i="17"/>
  <c r="N523" i="17"/>
  <c r="O522" i="17"/>
  <c r="N522" i="17"/>
  <c r="O521" i="17"/>
  <c r="N521" i="17"/>
  <c r="O520" i="17"/>
  <c r="N520" i="17"/>
  <c r="C518" i="17" s="1"/>
  <c r="O519" i="17"/>
  <c r="N519" i="17"/>
  <c r="O518" i="17"/>
  <c r="D518" i="17" s="1"/>
  <c r="E518" i="17" s="1"/>
  <c r="N518" i="17"/>
  <c r="O517" i="17"/>
  <c r="N517" i="17"/>
  <c r="O516" i="17"/>
  <c r="N516" i="17"/>
  <c r="O515" i="17"/>
  <c r="N515" i="17"/>
  <c r="O514" i="17"/>
  <c r="N514" i="17"/>
  <c r="O513" i="17"/>
  <c r="N513" i="17"/>
  <c r="O512" i="17"/>
  <c r="N512" i="17"/>
  <c r="O511" i="17"/>
  <c r="N511" i="17"/>
  <c r="D511" i="17"/>
  <c r="E511" i="17"/>
  <c r="O510" i="17"/>
  <c r="N510" i="17"/>
  <c r="O509" i="17"/>
  <c r="N509" i="17"/>
  <c r="O508" i="17"/>
  <c r="N508" i="17"/>
  <c r="O507" i="17"/>
  <c r="N507" i="17"/>
  <c r="O506" i="17"/>
  <c r="N506" i="17"/>
  <c r="C504" i="17" s="1"/>
  <c r="O505" i="17"/>
  <c r="N505" i="17"/>
  <c r="O504" i="17"/>
  <c r="D504" i="17" s="1"/>
  <c r="E504" i="17" s="1"/>
  <c r="N504" i="17"/>
  <c r="O503" i="17"/>
  <c r="N503" i="17"/>
  <c r="O502" i="17"/>
  <c r="N502" i="17"/>
  <c r="O501" i="17"/>
  <c r="N501" i="17"/>
  <c r="O500" i="17"/>
  <c r="N500" i="17"/>
  <c r="O499" i="17"/>
  <c r="N499" i="17"/>
  <c r="O498" i="17"/>
  <c r="N498" i="17"/>
  <c r="O497" i="17"/>
  <c r="N497" i="17"/>
  <c r="C497" i="17"/>
  <c r="D497" i="17"/>
  <c r="E497" i="17"/>
  <c r="O496" i="17"/>
  <c r="N496" i="17"/>
  <c r="O495" i="17"/>
  <c r="N495" i="17"/>
  <c r="O494" i="17"/>
  <c r="N494" i="17"/>
  <c r="O493" i="17"/>
  <c r="D490" i="17" s="1"/>
  <c r="E490" i="17" s="1"/>
  <c r="N493" i="17"/>
  <c r="C490" i="17" s="1"/>
  <c r="O492" i="17"/>
  <c r="N492" i="17"/>
  <c r="O491" i="17"/>
  <c r="N491" i="17"/>
  <c r="O490" i="17"/>
  <c r="N490" i="17"/>
  <c r="O489" i="17"/>
  <c r="N489" i="17"/>
  <c r="O488" i="17"/>
  <c r="N488" i="17"/>
  <c r="O487" i="17"/>
  <c r="N487" i="17"/>
  <c r="O486" i="17"/>
  <c r="N486" i="17"/>
  <c r="O485" i="17"/>
  <c r="N485" i="17"/>
  <c r="O484" i="17"/>
  <c r="N484" i="17"/>
  <c r="O483" i="17"/>
  <c r="N483" i="17"/>
  <c r="C483" i="17" s="1"/>
  <c r="D483" i="17"/>
  <c r="E483" i="17"/>
  <c r="O482" i="17"/>
  <c r="N482" i="17"/>
  <c r="O481" i="17"/>
  <c r="N481" i="17"/>
  <c r="O480" i="17"/>
  <c r="N480" i="17"/>
  <c r="O479" i="17"/>
  <c r="D476" i="17" s="1"/>
  <c r="E476" i="17" s="1"/>
  <c r="N479" i="17"/>
  <c r="O478" i="17"/>
  <c r="N478" i="17"/>
  <c r="O477" i="17"/>
  <c r="N477" i="17"/>
  <c r="O476" i="17"/>
  <c r="N476" i="17"/>
  <c r="C476" i="17"/>
  <c r="O475" i="17"/>
  <c r="N475" i="17"/>
  <c r="O474" i="17"/>
  <c r="N474" i="17"/>
  <c r="O473" i="17"/>
  <c r="N473" i="17"/>
  <c r="O472" i="17"/>
  <c r="N472" i="17"/>
  <c r="O471" i="17"/>
  <c r="N471" i="17"/>
  <c r="O470" i="17"/>
  <c r="N470" i="17"/>
  <c r="O469" i="17"/>
  <c r="D469" i="17" s="1"/>
  <c r="E469" i="17" s="1"/>
  <c r="N469" i="17"/>
  <c r="C469" i="17"/>
  <c r="O468" i="17"/>
  <c r="N468" i="17"/>
  <c r="O467" i="17"/>
  <c r="N467" i="17"/>
  <c r="O466" i="17"/>
  <c r="D462" i="17" s="1"/>
  <c r="E462" i="17" s="1"/>
  <c r="N466" i="17"/>
  <c r="O465" i="17"/>
  <c r="N465" i="17"/>
  <c r="O464" i="17"/>
  <c r="N464" i="17"/>
  <c r="O463" i="17"/>
  <c r="N463" i="17"/>
  <c r="O462" i="17"/>
  <c r="N462" i="17"/>
  <c r="C462" i="17"/>
  <c r="O461" i="17"/>
  <c r="N461" i="17"/>
  <c r="O460" i="17"/>
  <c r="N460" i="17"/>
  <c r="O459" i="17"/>
  <c r="N459" i="17"/>
  <c r="O458" i="17"/>
  <c r="N458" i="17"/>
  <c r="O457" i="17"/>
  <c r="N457" i="17"/>
  <c r="O456" i="17"/>
  <c r="N456" i="17"/>
  <c r="O455" i="17"/>
  <c r="D455" i="17" s="1"/>
  <c r="E455" i="17" s="1"/>
  <c r="N455" i="17"/>
  <c r="C455" i="17" s="1"/>
  <c r="O454" i="17"/>
  <c r="N454" i="17"/>
  <c r="O453" i="17"/>
  <c r="N453" i="17"/>
  <c r="O452" i="17"/>
  <c r="N452" i="17"/>
  <c r="O451" i="17"/>
  <c r="N451" i="17"/>
  <c r="O450" i="17"/>
  <c r="N450" i="17"/>
  <c r="O449" i="17"/>
  <c r="N449" i="17"/>
  <c r="O448" i="17"/>
  <c r="N448" i="17"/>
  <c r="C448" i="17"/>
  <c r="O447" i="17"/>
  <c r="N447" i="17"/>
  <c r="O446" i="17"/>
  <c r="N446" i="17"/>
  <c r="O445" i="17"/>
  <c r="N445" i="17"/>
  <c r="O444" i="17"/>
  <c r="N444" i="17"/>
  <c r="O443" i="17"/>
  <c r="N443" i="17"/>
  <c r="O442" i="17"/>
  <c r="N442" i="17"/>
  <c r="O441" i="17"/>
  <c r="D441" i="17" s="1"/>
  <c r="E441" i="17" s="1"/>
  <c r="N441" i="17"/>
  <c r="C441" i="17" s="1"/>
  <c r="O440" i="17"/>
  <c r="N440" i="17"/>
  <c r="O439" i="17"/>
  <c r="N439" i="17"/>
  <c r="O438" i="17"/>
  <c r="N438" i="17"/>
  <c r="O437" i="17"/>
  <c r="N437" i="17"/>
  <c r="O436" i="17"/>
  <c r="N436" i="17"/>
  <c r="O435" i="17"/>
  <c r="N435" i="17"/>
  <c r="O434" i="17"/>
  <c r="D434" i="17"/>
  <c r="E434" i="17"/>
  <c r="N434" i="17"/>
  <c r="C434" i="17"/>
  <c r="O433" i="17"/>
  <c r="N433" i="17"/>
  <c r="O432" i="17"/>
  <c r="N432" i="17"/>
  <c r="O431" i="17"/>
  <c r="N431" i="17"/>
  <c r="O430" i="17"/>
  <c r="N430" i="17"/>
  <c r="O429" i="17"/>
  <c r="N429" i="17"/>
  <c r="O428" i="17"/>
  <c r="D427" i="17" s="1"/>
  <c r="E427" i="17" s="1"/>
  <c r="N428" i="17"/>
  <c r="O427" i="17"/>
  <c r="N427" i="17"/>
  <c r="C427" i="17" s="1"/>
  <c r="O426" i="17"/>
  <c r="N426" i="17"/>
  <c r="O425" i="17"/>
  <c r="N425" i="17"/>
  <c r="O424" i="17"/>
  <c r="N424" i="17"/>
  <c r="O423" i="17"/>
  <c r="N423" i="17"/>
  <c r="O422" i="17"/>
  <c r="N422" i="17"/>
  <c r="O421" i="17"/>
  <c r="N421" i="17"/>
  <c r="O420" i="17"/>
  <c r="N420" i="17"/>
  <c r="C420" i="17"/>
  <c r="O419" i="17"/>
  <c r="N419" i="17"/>
  <c r="O418" i="17"/>
  <c r="N418" i="17"/>
  <c r="O417" i="17"/>
  <c r="N417" i="17"/>
  <c r="O416" i="17"/>
  <c r="N416" i="17"/>
  <c r="O415" i="17"/>
  <c r="N415" i="17"/>
  <c r="O414" i="17"/>
  <c r="D413" i="17" s="1"/>
  <c r="E413" i="17" s="1"/>
  <c r="N414" i="17"/>
  <c r="O413" i="17"/>
  <c r="N413" i="17"/>
  <c r="C413" i="17" s="1"/>
  <c r="O412" i="17"/>
  <c r="N412" i="17"/>
  <c r="O411" i="17"/>
  <c r="N411" i="17"/>
  <c r="O410" i="17"/>
  <c r="N410" i="17"/>
  <c r="O409" i="17"/>
  <c r="N409" i="17"/>
  <c r="O408" i="17"/>
  <c r="N408" i="17"/>
  <c r="O407" i="17"/>
  <c r="N407" i="17"/>
  <c r="O406" i="17"/>
  <c r="D406" i="17"/>
  <c r="E406" i="17"/>
  <c r="N406" i="17"/>
  <c r="C406" i="17"/>
  <c r="O405" i="17"/>
  <c r="N405" i="17"/>
  <c r="O404" i="17"/>
  <c r="N404" i="17"/>
  <c r="O403" i="17"/>
  <c r="N403" i="17"/>
  <c r="O402" i="17"/>
  <c r="N402" i="17"/>
  <c r="C399" i="17" s="1"/>
  <c r="O401" i="17"/>
  <c r="D399" i="17" s="1"/>
  <c r="E399" i="17" s="1"/>
  <c r="N401" i="17"/>
  <c r="O400" i="17"/>
  <c r="N400" i="17"/>
  <c r="O399" i="17"/>
  <c r="N399" i="17"/>
  <c r="O398" i="17"/>
  <c r="N398" i="17"/>
  <c r="O397" i="17"/>
  <c r="N397" i="17"/>
  <c r="O396" i="17"/>
  <c r="N396" i="17"/>
  <c r="O395" i="17"/>
  <c r="N395" i="17"/>
  <c r="O394" i="17"/>
  <c r="N394" i="17"/>
  <c r="O393" i="17"/>
  <c r="N393" i="17"/>
  <c r="O392" i="17"/>
  <c r="D392" i="17"/>
  <c r="E392" i="17"/>
  <c r="N392" i="17"/>
  <c r="C392" i="17"/>
  <c r="O391" i="17"/>
  <c r="N391" i="17"/>
  <c r="O390" i="17"/>
  <c r="N390" i="17"/>
  <c r="O389" i="17"/>
  <c r="N389" i="17"/>
  <c r="O388" i="17"/>
  <c r="N388" i="17"/>
  <c r="C385" i="17" s="1"/>
  <c r="O387" i="17"/>
  <c r="N387" i="17"/>
  <c r="O386" i="17"/>
  <c r="N386" i="17"/>
  <c r="O385" i="17"/>
  <c r="D385" i="17" s="1"/>
  <c r="E385" i="17" s="1"/>
  <c r="N385" i="17"/>
  <c r="O384" i="17"/>
  <c r="N384" i="17"/>
  <c r="O383" i="17"/>
  <c r="N383" i="17"/>
  <c r="O382" i="17"/>
  <c r="N382" i="17"/>
  <c r="O381" i="17"/>
  <c r="N381" i="17"/>
  <c r="O380" i="17"/>
  <c r="N380" i="17"/>
  <c r="O379" i="17"/>
  <c r="N379" i="17"/>
  <c r="O378" i="17"/>
  <c r="D378" i="17"/>
  <c r="E378" i="17"/>
  <c r="N378" i="17"/>
  <c r="C378" i="17"/>
  <c r="O377" i="17"/>
  <c r="N377" i="17"/>
  <c r="O376" i="17"/>
  <c r="N376" i="17"/>
  <c r="O375" i="17"/>
  <c r="N375" i="17"/>
  <c r="C371" i="17" s="1"/>
  <c r="O374" i="17"/>
  <c r="N374" i="17"/>
  <c r="O373" i="17"/>
  <c r="N373" i="17"/>
  <c r="O372" i="17"/>
  <c r="N372" i="17"/>
  <c r="O371" i="17"/>
  <c r="D371" i="17" s="1"/>
  <c r="E371" i="17" s="1"/>
  <c r="N371" i="17"/>
  <c r="O370" i="17"/>
  <c r="N370" i="17"/>
  <c r="O369" i="17"/>
  <c r="N369" i="17"/>
  <c r="O368" i="17"/>
  <c r="N368" i="17"/>
  <c r="O367" i="17"/>
  <c r="N367" i="17"/>
  <c r="O366" i="17"/>
  <c r="N366" i="17"/>
  <c r="O365" i="17"/>
  <c r="N365" i="17"/>
  <c r="O364" i="17"/>
  <c r="D364" i="17"/>
  <c r="E364" i="17"/>
  <c r="N364" i="17"/>
  <c r="C364" i="17"/>
  <c r="O363" i="17"/>
  <c r="N363" i="17"/>
  <c r="O362" i="17"/>
  <c r="N362" i="17"/>
  <c r="O361" i="17"/>
  <c r="N361" i="17"/>
  <c r="O360" i="17"/>
  <c r="N360" i="17"/>
  <c r="O359" i="17"/>
  <c r="N359" i="17"/>
  <c r="O358" i="17"/>
  <c r="N358" i="17"/>
  <c r="O357" i="17"/>
  <c r="D357" i="17" s="1"/>
  <c r="E357" i="17" s="1"/>
  <c r="N357" i="17"/>
  <c r="C357" i="17" s="1"/>
  <c r="O356" i="17"/>
  <c r="N356" i="17"/>
  <c r="O355" i="17"/>
  <c r="N355" i="17"/>
  <c r="O354" i="17"/>
  <c r="N354" i="17"/>
  <c r="O353" i="17"/>
  <c r="N353" i="17"/>
  <c r="O352" i="17"/>
  <c r="N352" i="17"/>
  <c r="O351" i="17"/>
  <c r="N351" i="17"/>
  <c r="O350" i="17"/>
  <c r="D350" i="17"/>
  <c r="E350" i="17"/>
  <c r="N350" i="17"/>
  <c r="C350" i="17"/>
  <c r="O349" i="17"/>
  <c r="N349" i="17"/>
  <c r="O348" i="17"/>
  <c r="N348" i="17"/>
  <c r="O347" i="17"/>
  <c r="N347" i="17"/>
  <c r="O346" i="17"/>
  <c r="N346" i="17"/>
  <c r="O345" i="17"/>
  <c r="D343" i="17" s="1"/>
  <c r="E343" i="17" s="1"/>
  <c r="N345" i="17"/>
  <c r="C343" i="17" s="1"/>
  <c r="O344" i="17"/>
  <c r="N344" i="17"/>
  <c r="O343" i="17"/>
  <c r="N343" i="17"/>
  <c r="O342" i="17"/>
  <c r="N342" i="17"/>
  <c r="O341" i="17"/>
  <c r="N341" i="17"/>
  <c r="O340" i="17"/>
  <c r="N340" i="17"/>
  <c r="O339" i="17"/>
  <c r="N339" i="17"/>
  <c r="O338" i="17"/>
  <c r="N338" i="17"/>
  <c r="O337" i="17"/>
  <c r="N337" i="17"/>
  <c r="O336" i="17"/>
  <c r="D336" i="17" s="1"/>
  <c r="E336" i="17" s="1"/>
  <c r="N336" i="17"/>
  <c r="C336" i="17"/>
  <c r="O335" i="17"/>
  <c r="N335" i="17"/>
  <c r="O334" i="17"/>
  <c r="N334" i="17"/>
  <c r="O333" i="17"/>
  <c r="N333" i="17"/>
  <c r="O332" i="17"/>
  <c r="N332" i="17"/>
  <c r="O331" i="17"/>
  <c r="D329" i="17" s="1"/>
  <c r="E329" i="17" s="1"/>
  <c r="N331" i="17"/>
  <c r="C329" i="17" s="1"/>
  <c r="O330" i="17"/>
  <c r="N330" i="17"/>
  <c r="O329" i="17"/>
  <c r="N329" i="17"/>
  <c r="O328" i="17"/>
  <c r="N328" i="17"/>
  <c r="O327" i="17"/>
  <c r="N327" i="17"/>
  <c r="O326" i="17"/>
  <c r="N326" i="17"/>
  <c r="O325" i="17"/>
  <c r="N325" i="17"/>
  <c r="O324" i="17"/>
  <c r="N324" i="17"/>
  <c r="O323" i="17"/>
  <c r="N323" i="17"/>
  <c r="O322" i="17"/>
  <c r="D322" i="17"/>
  <c r="E322" i="17"/>
  <c r="N322" i="17"/>
  <c r="C322" i="17"/>
  <c r="O321" i="17"/>
  <c r="N321" i="17"/>
  <c r="O320" i="17"/>
  <c r="N320" i="17"/>
  <c r="O319" i="17"/>
  <c r="N319" i="17"/>
  <c r="O318" i="17"/>
  <c r="D315" i="17" s="1"/>
  <c r="E315" i="17" s="1"/>
  <c r="N318" i="17"/>
  <c r="C315" i="17" s="1"/>
  <c r="O317" i="17"/>
  <c r="N317" i="17"/>
  <c r="O316" i="17"/>
  <c r="N316" i="17"/>
  <c r="O315" i="17"/>
  <c r="N315" i="17"/>
  <c r="O314" i="17"/>
  <c r="N314" i="17"/>
  <c r="O313" i="17"/>
  <c r="N313" i="17"/>
  <c r="O312" i="17"/>
  <c r="N312" i="17"/>
  <c r="O311" i="17"/>
  <c r="N311" i="17"/>
  <c r="O310" i="17"/>
  <c r="N310" i="17"/>
  <c r="O309" i="17"/>
  <c r="N309" i="17"/>
  <c r="O308" i="17"/>
  <c r="D308" i="17" s="1"/>
  <c r="E308" i="17" s="1"/>
  <c r="N308" i="17"/>
  <c r="C308" i="17"/>
  <c r="O307" i="17"/>
  <c r="N307" i="17"/>
  <c r="O306" i="17"/>
  <c r="N306" i="17"/>
  <c r="O305" i="17"/>
  <c r="N305" i="17"/>
  <c r="O304" i="17"/>
  <c r="D301" i="17" s="1"/>
  <c r="E301" i="17" s="1"/>
  <c r="N304" i="17"/>
  <c r="C301" i="17" s="1"/>
  <c r="O303" i="17"/>
  <c r="N303" i="17"/>
  <c r="O302" i="17"/>
  <c r="N302" i="17"/>
  <c r="O301" i="17"/>
  <c r="N301" i="17"/>
  <c r="O300" i="17"/>
  <c r="N300" i="17"/>
  <c r="O299" i="17"/>
  <c r="N299" i="17"/>
  <c r="O298" i="17"/>
  <c r="N298" i="17"/>
  <c r="O297" i="17"/>
  <c r="N297" i="17"/>
  <c r="O296" i="17"/>
  <c r="N296" i="17"/>
  <c r="O295" i="17"/>
  <c r="N295" i="17"/>
  <c r="O294" i="17"/>
  <c r="D294" i="17"/>
  <c r="E294" i="17"/>
  <c r="N294" i="17"/>
  <c r="C294" i="17" s="1"/>
  <c r="O293" i="17"/>
  <c r="N293" i="17"/>
  <c r="O292" i="17"/>
  <c r="N292" i="17"/>
  <c r="O291" i="17"/>
  <c r="N291" i="17"/>
  <c r="O290" i="17"/>
  <c r="N290" i="17"/>
  <c r="O289" i="17"/>
  <c r="N289" i="17"/>
  <c r="O288" i="17"/>
  <c r="N288" i="17"/>
  <c r="O287" i="17"/>
  <c r="N287" i="17"/>
  <c r="D287" i="17"/>
  <c r="E287" i="17"/>
  <c r="O286" i="17"/>
  <c r="N286" i="17"/>
  <c r="O285" i="17"/>
  <c r="N285" i="17"/>
  <c r="O284" i="17"/>
  <c r="N284" i="17"/>
  <c r="O283" i="17"/>
  <c r="N283" i="17"/>
  <c r="O282" i="17"/>
  <c r="N282" i="17"/>
  <c r="O281" i="17"/>
  <c r="N281" i="17"/>
  <c r="O280" i="17"/>
  <c r="D280" i="17"/>
  <c r="E280" i="17"/>
  <c r="N280" i="17"/>
  <c r="C280" i="17" s="1"/>
  <c r="O279" i="17"/>
  <c r="N279" i="17"/>
  <c r="O278" i="17"/>
  <c r="N278" i="17"/>
  <c r="O277" i="17"/>
  <c r="N277" i="17"/>
  <c r="O276" i="17"/>
  <c r="N276" i="17"/>
  <c r="O275" i="17"/>
  <c r="N275" i="17"/>
  <c r="O274" i="17"/>
  <c r="N274" i="17"/>
  <c r="O273" i="17"/>
  <c r="N273" i="17"/>
  <c r="C273" i="17"/>
  <c r="D273" i="17"/>
  <c r="E273" i="17"/>
  <c r="O272" i="17"/>
  <c r="N272" i="17"/>
  <c r="O271" i="17"/>
  <c r="N271" i="17"/>
  <c r="O270" i="17"/>
  <c r="N270" i="17"/>
  <c r="O269" i="17"/>
  <c r="N269" i="17"/>
  <c r="O268" i="17"/>
  <c r="N268" i="17"/>
  <c r="O267" i="17"/>
  <c r="N267" i="17"/>
  <c r="O266" i="17"/>
  <c r="O258" i="17" s="1"/>
  <c r="N266" i="17"/>
  <c r="C266" i="17" s="1"/>
  <c r="O265" i="17"/>
  <c r="N265" i="17"/>
  <c r="O264" i="17"/>
  <c r="N264" i="17"/>
  <c r="O263" i="17"/>
  <c r="N263" i="17"/>
  <c r="O262" i="17"/>
  <c r="N262" i="17"/>
  <c r="O261" i="17"/>
  <c r="N261" i="17"/>
  <c r="O260" i="17"/>
  <c r="N260" i="17"/>
  <c r="O259" i="17"/>
  <c r="N259" i="17"/>
  <c r="D259" i="17"/>
  <c r="E259" i="17"/>
  <c r="O257" i="17"/>
  <c r="N257" i="17"/>
  <c r="O256" i="17"/>
  <c r="N256" i="17"/>
  <c r="O255" i="17"/>
  <c r="N255" i="17"/>
  <c r="O254" i="17"/>
  <c r="N254" i="17"/>
  <c r="O253" i="17"/>
  <c r="N253" i="17"/>
  <c r="O252" i="17"/>
  <c r="N252" i="17"/>
  <c r="O251" i="17"/>
  <c r="D251" i="17" s="1"/>
  <c r="E251" i="17" s="1"/>
  <c r="N251" i="17"/>
  <c r="C251" i="17" s="1"/>
  <c r="O250" i="17"/>
  <c r="N250" i="17"/>
  <c r="O249" i="17"/>
  <c r="N249" i="17"/>
  <c r="O248" i="17"/>
  <c r="N248" i="17"/>
  <c r="C244" i="17" s="1"/>
  <c r="O247" i="17"/>
  <c r="N247" i="17"/>
  <c r="O246" i="17"/>
  <c r="N246" i="17"/>
  <c r="O245" i="17"/>
  <c r="N245" i="17"/>
  <c r="O244" i="17"/>
  <c r="N244" i="17"/>
  <c r="D244" i="17"/>
  <c r="E244" i="17"/>
  <c r="O243" i="17"/>
  <c r="N243" i="17"/>
  <c r="O242" i="17"/>
  <c r="N242" i="17"/>
  <c r="O241" i="17"/>
  <c r="N241" i="17"/>
  <c r="O240" i="17"/>
  <c r="N240" i="17"/>
  <c r="O239" i="17"/>
  <c r="N239" i="17"/>
  <c r="O238" i="17"/>
  <c r="N238" i="17"/>
  <c r="C237" i="17" s="1"/>
  <c r="O237" i="17"/>
  <c r="D237" i="17"/>
  <c r="E237" i="17" s="1"/>
  <c r="N237" i="17"/>
  <c r="O236" i="17"/>
  <c r="N236" i="17"/>
  <c r="O235" i="17"/>
  <c r="N235" i="17"/>
  <c r="O234" i="17"/>
  <c r="N234" i="17"/>
  <c r="O233" i="17"/>
  <c r="N233" i="17"/>
  <c r="O232" i="17"/>
  <c r="N232" i="17"/>
  <c r="O231" i="17"/>
  <c r="N231" i="17"/>
  <c r="O230" i="17"/>
  <c r="N230" i="17"/>
  <c r="C230" i="17"/>
  <c r="D230" i="17"/>
  <c r="E230" i="17"/>
  <c r="O229" i="17"/>
  <c r="N229" i="17"/>
  <c r="O228" i="17"/>
  <c r="N228" i="17"/>
  <c r="O227" i="17"/>
  <c r="N227" i="17"/>
  <c r="O226" i="17"/>
  <c r="N226" i="17"/>
  <c r="O225" i="17"/>
  <c r="N225" i="17"/>
  <c r="O224" i="17"/>
  <c r="N224" i="17"/>
  <c r="C223" i="17" s="1"/>
  <c r="O223" i="17"/>
  <c r="D223" i="17" s="1"/>
  <c r="E223" i="17" s="1"/>
  <c r="N223" i="17"/>
  <c r="O222" i="17"/>
  <c r="N222" i="17"/>
  <c r="O221" i="17"/>
  <c r="N221" i="17"/>
  <c r="O220" i="17"/>
  <c r="N220" i="17"/>
  <c r="O219" i="17"/>
  <c r="N219" i="17"/>
  <c r="O218" i="17"/>
  <c r="N218" i="17"/>
  <c r="O217" i="17"/>
  <c r="N217" i="17"/>
  <c r="O216" i="17"/>
  <c r="N216" i="17"/>
  <c r="C216" i="17"/>
  <c r="D216" i="17"/>
  <c r="E216" i="17"/>
  <c r="O215" i="17"/>
  <c r="N215" i="17"/>
  <c r="O214" i="17"/>
  <c r="N214" i="17"/>
  <c r="O213" i="17"/>
  <c r="N213" i="17"/>
  <c r="O212" i="17"/>
  <c r="N212" i="17"/>
  <c r="O211" i="17"/>
  <c r="N211" i="17"/>
  <c r="O210" i="17"/>
  <c r="N210" i="17"/>
  <c r="C209" i="17" s="1"/>
  <c r="O209" i="17"/>
  <c r="D209" i="17" s="1"/>
  <c r="E209" i="17" s="1"/>
  <c r="N209" i="17"/>
  <c r="O208" i="17"/>
  <c r="N208" i="17"/>
  <c r="O207" i="17"/>
  <c r="N207" i="17"/>
  <c r="O206" i="17"/>
  <c r="N206" i="17"/>
  <c r="O205" i="17"/>
  <c r="N205" i="17"/>
  <c r="O204" i="17"/>
  <c r="N204" i="17"/>
  <c r="O203" i="17"/>
  <c r="N203" i="17"/>
  <c r="O202" i="17"/>
  <c r="N202" i="17"/>
  <c r="C202" i="17" s="1"/>
  <c r="D202" i="17"/>
  <c r="E202" i="17"/>
  <c r="O201" i="17"/>
  <c r="N201" i="17"/>
  <c r="O200" i="17"/>
  <c r="N200" i="17"/>
  <c r="O199" i="17"/>
  <c r="N199" i="17"/>
  <c r="O198" i="17"/>
  <c r="N198" i="17"/>
  <c r="O197" i="17"/>
  <c r="N197" i="17"/>
  <c r="O196" i="17"/>
  <c r="D195" i="17" s="1"/>
  <c r="E195" i="17" s="1"/>
  <c r="N196" i="17"/>
  <c r="C195" i="17" s="1"/>
  <c r="O195" i="17"/>
  <c r="N195" i="17"/>
  <c r="O194" i="17"/>
  <c r="N194" i="17"/>
  <c r="O193" i="17"/>
  <c r="N193" i="17"/>
  <c r="O192" i="17"/>
  <c r="N192" i="17"/>
  <c r="O191" i="17"/>
  <c r="N191" i="17"/>
  <c r="O190" i="17"/>
  <c r="N190" i="17"/>
  <c r="O189" i="17"/>
  <c r="N189" i="17"/>
  <c r="O188" i="17"/>
  <c r="N188" i="17"/>
  <c r="C188" i="17"/>
  <c r="D188" i="17"/>
  <c r="E188" i="17"/>
  <c r="O187" i="17"/>
  <c r="N187" i="17"/>
  <c r="O186" i="17"/>
  <c r="N186" i="17"/>
  <c r="O185" i="17"/>
  <c r="N185" i="17"/>
  <c r="O184" i="17"/>
  <c r="N184" i="17"/>
  <c r="O183" i="17"/>
  <c r="D181" i="17" s="1"/>
  <c r="E181" i="17" s="1"/>
  <c r="N183" i="17"/>
  <c r="O182" i="17"/>
  <c r="N182" i="17"/>
  <c r="O181" i="17"/>
  <c r="N181" i="17"/>
  <c r="C181" i="17" s="1"/>
  <c r="O180" i="17"/>
  <c r="N180" i="17"/>
  <c r="O179" i="17"/>
  <c r="N179" i="17"/>
  <c r="O178" i="17"/>
  <c r="N178" i="17"/>
  <c r="O177" i="17"/>
  <c r="N177" i="17"/>
  <c r="O176" i="17"/>
  <c r="N176" i="17"/>
  <c r="O175" i="17"/>
  <c r="N175" i="17"/>
  <c r="O174" i="17"/>
  <c r="N174" i="17"/>
  <c r="D174" i="17"/>
  <c r="E174" i="17"/>
  <c r="O173" i="17"/>
  <c r="N173" i="17"/>
  <c r="O172" i="17"/>
  <c r="N172" i="17"/>
  <c r="O171" i="17"/>
  <c r="N171" i="17"/>
  <c r="O170" i="17"/>
  <c r="N170" i="17"/>
  <c r="O169" i="17"/>
  <c r="D167" i="17" s="1"/>
  <c r="E167" i="17" s="1"/>
  <c r="N169" i="17"/>
  <c r="O168" i="17"/>
  <c r="N168" i="17"/>
  <c r="C167" i="17" s="1"/>
  <c r="O167" i="17"/>
  <c r="N167" i="17"/>
  <c r="O166" i="17"/>
  <c r="N166" i="17"/>
  <c r="O165" i="17"/>
  <c r="N165" i="17"/>
  <c r="O164" i="17"/>
  <c r="N164" i="17"/>
  <c r="O163" i="17"/>
  <c r="N163" i="17"/>
  <c r="O162" i="17"/>
  <c r="N162" i="17"/>
  <c r="O161" i="17"/>
  <c r="N161" i="17"/>
  <c r="O160" i="17"/>
  <c r="N160" i="17"/>
  <c r="C160" i="17"/>
  <c r="D160" i="17"/>
  <c r="E160" i="17"/>
  <c r="O159" i="17"/>
  <c r="N159" i="17"/>
  <c r="O158" i="17"/>
  <c r="N158" i="17"/>
  <c r="O157" i="17"/>
  <c r="N157" i="17"/>
  <c r="O156" i="17"/>
  <c r="N156" i="17"/>
  <c r="O155" i="17"/>
  <c r="N155" i="17"/>
  <c r="O154" i="17"/>
  <c r="N154" i="17"/>
  <c r="O153" i="17"/>
  <c r="D153" i="17" s="1"/>
  <c r="E153" i="17" s="1"/>
  <c r="N153" i="17"/>
  <c r="C153" i="17" s="1"/>
  <c r="O152" i="17"/>
  <c r="N152" i="17"/>
  <c r="O151" i="17"/>
  <c r="N151" i="17"/>
  <c r="O150" i="17"/>
  <c r="N150" i="17"/>
  <c r="O149" i="17"/>
  <c r="N149" i="17"/>
  <c r="O148" i="17"/>
  <c r="N148" i="17"/>
  <c r="O147" i="17"/>
  <c r="N147" i="17"/>
  <c r="O146" i="17"/>
  <c r="N146" i="17"/>
  <c r="C146" i="17"/>
  <c r="D146" i="17"/>
  <c r="E146" i="17"/>
  <c r="O145" i="17"/>
  <c r="N145" i="17"/>
  <c r="O144" i="17"/>
  <c r="N144" i="17"/>
  <c r="O143" i="17"/>
  <c r="D139" i="17" s="1"/>
  <c r="E139" i="17" s="1"/>
  <c r="N143" i="17"/>
  <c r="O142" i="17"/>
  <c r="N142" i="17"/>
  <c r="O141" i="17"/>
  <c r="N141" i="17"/>
  <c r="O140" i="17"/>
  <c r="N140" i="17"/>
  <c r="O139" i="17"/>
  <c r="N139" i="17"/>
  <c r="C139" i="17" s="1"/>
  <c r="O138" i="17"/>
  <c r="N138" i="17"/>
  <c r="O137" i="17"/>
  <c r="N137" i="17"/>
  <c r="O136" i="17"/>
  <c r="N136" i="17"/>
  <c r="O135" i="17"/>
  <c r="N135" i="17"/>
  <c r="O134" i="17"/>
  <c r="N134" i="17"/>
  <c r="O133" i="17"/>
  <c r="N133" i="17"/>
  <c r="O132" i="17"/>
  <c r="N132" i="17"/>
  <c r="C132" i="17"/>
  <c r="D132" i="17"/>
  <c r="E132" i="17"/>
  <c r="O131" i="17"/>
  <c r="N131" i="17"/>
  <c r="O130" i="17"/>
  <c r="N130" i="17"/>
  <c r="O129" i="17"/>
  <c r="N129" i="17"/>
  <c r="O128" i="17"/>
  <c r="N128" i="17"/>
  <c r="O127" i="17"/>
  <c r="N127" i="17"/>
  <c r="C125" i="17" s="1"/>
  <c r="O126" i="17"/>
  <c r="N126" i="17"/>
  <c r="O125" i="17"/>
  <c r="D125" i="17" s="1"/>
  <c r="E125" i="17" s="1"/>
  <c r="N125" i="17"/>
  <c r="O124" i="17"/>
  <c r="N124" i="17"/>
  <c r="O123" i="17"/>
  <c r="N123" i="17"/>
  <c r="O122" i="17"/>
  <c r="N122" i="17"/>
  <c r="O121" i="17"/>
  <c r="N121" i="17"/>
  <c r="O120" i="17"/>
  <c r="N120" i="17"/>
  <c r="O119" i="17"/>
  <c r="N119" i="17"/>
  <c r="O118" i="17"/>
  <c r="N118" i="17"/>
  <c r="C118" i="17"/>
  <c r="D118" i="17"/>
  <c r="E118" i="17"/>
  <c r="O117" i="17"/>
  <c r="N117" i="17"/>
  <c r="O116" i="17"/>
  <c r="D111" i="17" s="1"/>
  <c r="E111" i="17" s="1"/>
  <c r="N116" i="17"/>
  <c r="O115" i="17"/>
  <c r="N115" i="17"/>
  <c r="O114" i="17"/>
  <c r="N114" i="17"/>
  <c r="C111" i="17" s="1"/>
  <c r="O113" i="17"/>
  <c r="N113" i="17"/>
  <c r="O112" i="17"/>
  <c r="N112" i="17"/>
  <c r="O111" i="17"/>
  <c r="N111" i="17"/>
  <c r="O110" i="17"/>
  <c r="N110" i="17"/>
  <c r="O109" i="17"/>
  <c r="N109" i="17"/>
  <c r="O108" i="17"/>
  <c r="N108" i="17"/>
  <c r="O107" i="17"/>
  <c r="N107" i="17"/>
  <c r="O106" i="17"/>
  <c r="N106" i="17"/>
  <c r="O105" i="17"/>
  <c r="N105" i="17"/>
  <c r="O104" i="17"/>
  <c r="N104" i="17"/>
  <c r="C104" i="17"/>
  <c r="D104" i="17"/>
  <c r="E104" i="17"/>
  <c r="O103" i="17"/>
  <c r="N103" i="17"/>
  <c r="O102" i="17"/>
  <c r="N102" i="17"/>
  <c r="O101" i="17"/>
  <c r="N101" i="17"/>
  <c r="O100" i="17"/>
  <c r="N100" i="17"/>
  <c r="O99" i="17"/>
  <c r="N99" i="17"/>
  <c r="O98" i="17"/>
  <c r="D97" i="17" s="1"/>
  <c r="N98" i="17"/>
  <c r="O97" i="17"/>
  <c r="N97" i="17"/>
  <c r="C97" i="17" s="1"/>
  <c r="O96" i="17"/>
  <c r="N96" i="17"/>
  <c r="O95" i="17"/>
  <c r="N95" i="17"/>
  <c r="O94" i="17"/>
  <c r="N94" i="17"/>
  <c r="O93" i="17"/>
  <c r="N93" i="17"/>
  <c r="O92" i="17"/>
  <c r="N92" i="17"/>
  <c r="O91" i="17"/>
  <c r="N91" i="17"/>
  <c r="O90" i="17"/>
  <c r="N90" i="17"/>
  <c r="C90" i="17" s="1"/>
  <c r="C89" i="17" s="1"/>
  <c r="D90" i="17"/>
  <c r="E90" i="17" s="1"/>
  <c r="O88" i="17"/>
  <c r="N88" i="17"/>
  <c r="O87" i="17"/>
  <c r="N87" i="17"/>
  <c r="O86" i="17"/>
  <c r="N86" i="17"/>
  <c r="O85" i="17"/>
  <c r="N85" i="17"/>
  <c r="C82" i="17" s="1"/>
  <c r="O84" i="17"/>
  <c r="D82" i="17" s="1"/>
  <c r="E82" i="17" s="1"/>
  <c r="N84" i="17"/>
  <c r="O83" i="17"/>
  <c r="N83" i="17"/>
  <c r="O82" i="17"/>
  <c r="N82" i="17"/>
  <c r="O81" i="17"/>
  <c r="N81" i="17"/>
  <c r="O80" i="17"/>
  <c r="N80" i="17"/>
  <c r="O79" i="17"/>
  <c r="N79" i="17"/>
  <c r="O78" i="17"/>
  <c r="N78" i="17"/>
  <c r="O77" i="17"/>
  <c r="N77" i="17"/>
  <c r="O76" i="17"/>
  <c r="N76" i="17"/>
  <c r="O75" i="17"/>
  <c r="D75" i="17"/>
  <c r="E75" i="17"/>
  <c r="N75" i="17"/>
  <c r="C75" i="17"/>
  <c r="O74" i="17"/>
  <c r="N74" i="17"/>
  <c r="O73" i="17"/>
  <c r="N73" i="17"/>
  <c r="O72" i="17"/>
  <c r="N72" i="17"/>
  <c r="O71" i="17"/>
  <c r="D68" i="17" s="1"/>
  <c r="E68" i="17" s="1"/>
  <c r="N71" i="17"/>
  <c r="C68" i="17" s="1"/>
  <c r="O70" i="17"/>
  <c r="N70" i="17"/>
  <c r="O69" i="17"/>
  <c r="N69" i="17"/>
  <c r="O68" i="17"/>
  <c r="N68" i="17"/>
  <c r="O67" i="17"/>
  <c r="N67" i="17"/>
  <c r="O66" i="17"/>
  <c r="N66" i="17"/>
  <c r="O65" i="17"/>
  <c r="N65" i="17"/>
  <c r="O64" i="17"/>
  <c r="N64" i="17"/>
  <c r="O63" i="17"/>
  <c r="N63" i="17"/>
  <c r="O62" i="17"/>
  <c r="N62" i="17"/>
  <c r="O61" i="17"/>
  <c r="O60" i="17" s="1"/>
  <c r="D61" i="17"/>
  <c r="N61" i="17"/>
  <c r="C61" i="17"/>
  <c r="O59" i="17"/>
  <c r="N59" i="17"/>
  <c r="O58" i="17"/>
  <c r="N58" i="17"/>
  <c r="O57" i="17"/>
  <c r="N57" i="17"/>
  <c r="O56" i="17"/>
  <c r="N56" i="17"/>
  <c r="O55" i="17"/>
  <c r="N55" i="17"/>
  <c r="O54" i="17"/>
  <c r="N54" i="17"/>
  <c r="O53" i="17"/>
  <c r="D53" i="17" s="1"/>
  <c r="E53" i="17" s="1"/>
  <c r="N53" i="17"/>
  <c r="C53" i="17"/>
  <c r="O52" i="17"/>
  <c r="N52" i="17"/>
  <c r="O51" i="17"/>
  <c r="N51" i="17"/>
  <c r="O50" i="17"/>
  <c r="N50" i="17"/>
  <c r="O49" i="17"/>
  <c r="N49" i="17"/>
  <c r="O48" i="17"/>
  <c r="N48" i="17"/>
  <c r="O47" i="17"/>
  <c r="N47" i="17"/>
  <c r="O46" i="17"/>
  <c r="D46" i="17" s="1"/>
  <c r="E46" i="17" s="1"/>
  <c r="N46" i="17"/>
  <c r="C46" i="17" s="1"/>
  <c r="O45" i="17"/>
  <c r="N45" i="17"/>
  <c r="O44" i="17"/>
  <c r="N44" i="17"/>
  <c r="O43" i="17"/>
  <c r="D39" i="17" s="1"/>
  <c r="E39" i="17" s="1"/>
  <c r="N43" i="17"/>
  <c r="O42" i="17"/>
  <c r="N42" i="17"/>
  <c r="O41" i="17"/>
  <c r="N41" i="17"/>
  <c r="O40" i="17"/>
  <c r="N40" i="17"/>
  <c r="O39" i="17"/>
  <c r="N39" i="17"/>
  <c r="C39" i="17"/>
  <c r="O38" i="17"/>
  <c r="N38" i="17"/>
  <c r="O37" i="17"/>
  <c r="N37" i="17"/>
  <c r="O36" i="17"/>
  <c r="N36" i="17"/>
  <c r="O35" i="17"/>
  <c r="N35" i="17"/>
  <c r="O34" i="17"/>
  <c r="N34" i="17"/>
  <c r="O33" i="17"/>
  <c r="N33" i="17"/>
  <c r="O32" i="17"/>
  <c r="D32" i="17" s="1"/>
  <c r="E32" i="17" s="1"/>
  <c r="N32" i="17"/>
  <c r="C32" i="17" s="1"/>
  <c r="O31" i="17"/>
  <c r="N31" i="17"/>
  <c r="O30" i="17"/>
  <c r="N30" i="17"/>
  <c r="O29" i="17"/>
  <c r="N29" i="17"/>
  <c r="O28" i="17"/>
  <c r="N28" i="17"/>
  <c r="O27" i="17"/>
  <c r="N27" i="17"/>
  <c r="O26" i="17"/>
  <c r="N26" i="17"/>
  <c r="O25" i="17"/>
  <c r="D25" i="17"/>
  <c r="E25" i="17"/>
  <c r="N25" i="17"/>
  <c r="C25" i="17"/>
  <c r="O24" i="17"/>
  <c r="N24" i="17"/>
  <c r="O23" i="17"/>
  <c r="N23" i="17"/>
  <c r="O22" i="17"/>
  <c r="N22" i="17"/>
  <c r="O21" i="17"/>
  <c r="N21" i="17"/>
  <c r="O20" i="17"/>
  <c r="N20" i="17"/>
  <c r="O19" i="17"/>
  <c r="O10" i="17" s="1"/>
  <c r="N19" i="17"/>
  <c r="C18" i="17" s="1"/>
  <c r="O18" i="17"/>
  <c r="N18" i="17"/>
  <c r="O17" i="17"/>
  <c r="N17" i="17"/>
  <c r="O16" i="17"/>
  <c r="N16" i="17"/>
  <c r="O15" i="17"/>
  <c r="N15" i="17"/>
  <c r="O14" i="17"/>
  <c r="N14" i="17"/>
  <c r="O13" i="17"/>
  <c r="N13" i="17"/>
  <c r="O12" i="17"/>
  <c r="N12" i="17"/>
  <c r="O11" i="17"/>
  <c r="D11" i="17"/>
  <c r="E11" i="17" s="1"/>
  <c r="N11" i="17"/>
  <c r="C11" i="17"/>
  <c r="O617" i="16"/>
  <c r="N617" i="16"/>
  <c r="O616" i="16"/>
  <c r="N616" i="16"/>
  <c r="O615" i="16"/>
  <c r="N615" i="16"/>
  <c r="O614" i="16"/>
  <c r="N614" i="16"/>
  <c r="O613" i="16"/>
  <c r="N613" i="16"/>
  <c r="O612" i="16"/>
  <c r="N612" i="16"/>
  <c r="O611" i="16"/>
  <c r="N611" i="16"/>
  <c r="C611" i="16"/>
  <c r="O610" i="16"/>
  <c r="N610" i="16"/>
  <c r="O609" i="16"/>
  <c r="N609" i="16"/>
  <c r="O608" i="16"/>
  <c r="N608" i="16"/>
  <c r="O607" i="16"/>
  <c r="N607" i="16"/>
  <c r="O606" i="16"/>
  <c r="N606" i="16"/>
  <c r="O605" i="16"/>
  <c r="N605" i="16"/>
  <c r="O604" i="16"/>
  <c r="N604" i="16"/>
  <c r="C604" i="16"/>
  <c r="D604" i="16"/>
  <c r="E604" i="16"/>
  <c r="O603" i="16"/>
  <c r="N603" i="16"/>
  <c r="O602" i="16"/>
  <c r="N602" i="16"/>
  <c r="O601" i="16"/>
  <c r="N601" i="16"/>
  <c r="O600" i="16"/>
  <c r="N600" i="16"/>
  <c r="O599" i="16"/>
  <c r="N599" i="16"/>
  <c r="O598" i="16"/>
  <c r="N598" i="16"/>
  <c r="O597" i="16"/>
  <c r="N597" i="16"/>
  <c r="C597" i="16"/>
  <c r="O596" i="16"/>
  <c r="N596" i="16"/>
  <c r="O595" i="16"/>
  <c r="N595" i="16"/>
  <c r="O594" i="16"/>
  <c r="N594" i="16"/>
  <c r="O593" i="16"/>
  <c r="N593" i="16"/>
  <c r="O592" i="16"/>
  <c r="N592" i="16"/>
  <c r="O591" i="16"/>
  <c r="N591" i="16"/>
  <c r="O590" i="16"/>
  <c r="N590" i="16"/>
  <c r="D590" i="16"/>
  <c r="E590" i="16"/>
  <c r="O589" i="16"/>
  <c r="N589" i="16"/>
  <c r="O588" i="16"/>
  <c r="N588" i="16"/>
  <c r="O587" i="16"/>
  <c r="N587" i="16"/>
  <c r="O586" i="16"/>
  <c r="N586" i="16"/>
  <c r="O585" i="16"/>
  <c r="N585" i="16"/>
  <c r="O584" i="16"/>
  <c r="N584" i="16"/>
  <c r="O583" i="16"/>
  <c r="D583" i="16"/>
  <c r="E583" i="16"/>
  <c r="N583" i="16"/>
  <c r="C583" i="16"/>
  <c r="O582" i="16"/>
  <c r="N582" i="16"/>
  <c r="O581" i="16"/>
  <c r="N581" i="16"/>
  <c r="O580" i="16"/>
  <c r="N580" i="16"/>
  <c r="O579" i="16"/>
  <c r="N579" i="16"/>
  <c r="O578" i="16"/>
  <c r="N578" i="16"/>
  <c r="O577" i="16"/>
  <c r="N577" i="16"/>
  <c r="O576" i="16"/>
  <c r="N576" i="16"/>
  <c r="D576" i="16"/>
  <c r="E576" i="16"/>
  <c r="O575" i="16"/>
  <c r="N575" i="16"/>
  <c r="O574" i="16"/>
  <c r="N574" i="16"/>
  <c r="O573" i="16"/>
  <c r="N573" i="16"/>
  <c r="O572" i="16"/>
  <c r="N572" i="16"/>
  <c r="O571" i="16"/>
  <c r="N571" i="16"/>
  <c r="O570" i="16"/>
  <c r="N570" i="16"/>
  <c r="O569" i="16"/>
  <c r="D569" i="16"/>
  <c r="E569" i="16"/>
  <c r="N569" i="16"/>
  <c r="C569" i="16"/>
  <c r="O568" i="16"/>
  <c r="N568" i="16"/>
  <c r="O567" i="16"/>
  <c r="N567" i="16"/>
  <c r="O566" i="16"/>
  <c r="N566" i="16"/>
  <c r="O565" i="16"/>
  <c r="N565" i="16"/>
  <c r="O564" i="16"/>
  <c r="N564" i="16"/>
  <c r="O563" i="16"/>
  <c r="N563" i="16"/>
  <c r="O562" i="16"/>
  <c r="N562" i="16"/>
  <c r="C562" i="16"/>
  <c r="D562" i="16"/>
  <c r="E562" i="16"/>
  <c r="O561" i="16"/>
  <c r="N561" i="16"/>
  <c r="O560" i="16"/>
  <c r="N560" i="16"/>
  <c r="O559" i="16"/>
  <c r="N559" i="16"/>
  <c r="O558" i="16"/>
  <c r="N558" i="16"/>
  <c r="O557" i="16"/>
  <c r="N557" i="16"/>
  <c r="O556" i="16"/>
  <c r="N556" i="16"/>
  <c r="O555" i="16"/>
  <c r="N555" i="16"/>
  <c r="C555" i="16"/>
  <c r="O554" i="16"/>
  <c r="N554" i="16"/>
  <c r="O553" i="16"/>
  <c r="N553" i="16"/>
  <c r="O552" i="16"/>
  <c r="N552" i="16"/>
  <c r="O551" i="16"/>
  <c r="N551" i="16"/>
  <c r="O550" i="16"/>
  <c r="N550" i="16"/>
  <c r="O549" i="16"/>
  <c r="N549" i="16"/>
  <c r="O548" i="16"/>
  <c r="N548" i="16"/>
  <c r="C548" i="16"/>
  <c r="D548" i="16"/>
  <c r="E548" i="16"/>
  <c r="O545" i="16"/>
  <c r="N545" i="16"/>
  <c r="O544" i="16"/>
  <c r="N544" i="16"/>
  <c r="O543" i="16"/>
  <c r="N543" i="16"/>
  <c r="O542" i="16"/>
  <c r="N542" i="16"/>
  <c r="O541" i="16"/>
  <c r="N541" i="16"/>
  <c r="O540" i="16"/>
  <c r="N540" i="16"/>
  <c r="O539" i="16"/>
  <c r="N539" i="16"/>
  <c r="C539" i="16"/>
  <c r="O538" i="16"/>
  <c r="N538" i="16"/>
  <c r="O537" i="16"/>
  <c r="N537" i="16"/>
  <c r="O536" i="16"/>
  <c r="N536" i="16"/>
  <c r="O535" i="16"/>
  <c r="N535" i="16"/>
  <c r="O534" i="16"/>
  <c r="N534" i="16"/>
  <c r="O533" i="16"/>
  <c r="N533" i="16"/>
  <c r="O532" i="16"/>
  <c r="N532" i="16"/>
  <c r="D532" i="16"/>
  <c r="E532" i="16"/>
  <c r="O531" i="16"/>
  <c r="N531" i="16"/>
  <c r="O530" i="16"/>
  <c r="N530" i="16"/>
  <c r="O529" i="16"/>
  <c r="N529" i="16"/>
  <c r="O528" i="16"/>
  <c r="N528" i="16"/>
  <c r="O527" i="16"/>
  <c r="N527" i="16"/>
  <c r="O526" i="16"/>
  <c r="N526" i="16"/>
  <c r="O525" i="16"/>
  <c r="D525" i="16"/>
  <c r="E525" i="16"/>
  <c r="N525" i="16"/>
  <c r="C525" i="16"/>
  <c r="O524" i="16"/>
  <c r="N524" i="16"/>
  <c r="O523" i="16"/>
  <c r="N523" i="16"/>
  <c r="O522" i="16"/>
  <c r="N522" i="16"/>
  <c r="O521" i="16"/>
  <c r="N521" i="16"/>
  <c r="O520" i="16"/>
  <c r="N520" i="16"/>
  <c r="O519" i="16"/>
  <c r="N519" i="16"/>
  <c r="O518" i="16"/>
  <c r="N518" i="16"/>
  <c r="D518" i="16"/>
  <c r="E518" i="16"/>
  <c r="O517" i="16"/>
  <c r="N517" i="16"/>
  <c r="O516" i="16"/>
  <c r="N516" i="16"/>
  <c r="O515" i="16"/>
  <c r="N515" i="16"/>
  <c r="O514" i="16"/>
  <c r="N514" i="16"/>
  <c r="O513" i="16"/>
  <c r="N513" i="16"/>
  <c r="O512" i="16"/>
  <c r="N512" i="16"/>
  <c r="O511" i="16"/>
  <c r="D511" i="16"/>
  <c r="E511" i="16"/>
  <c r="N511" i="16"/>
  <c r="C511" i="16"/>
  <c r="O510" i="16"/>
  <c r="N510" i="16"/>
  <c r="O509" i="16"/>
  <c r="N509" i="16"/>
  <c r="O508" i="16"/>
  <c r="N508" i="16"/>
  <c r="O507" i="16"/>
  <c r="N507" i="16"/>
  <c r="O506" i="16"/>
  <c r="N506" i="16"/>
  <c r="O505" i="16"/>
  <c r="N505" i="16"/>
  <c r="O504" i="16"/>
  <c r="N504" i="16"/>
  <c r="C504" i="16"/>
  <c r="D504" i="16"/>
  <c r="E504" i="16"/>
  <c r="O503" i="16"/>
  <c r="N503" i="16"/>
  <c r="O502" i="16"/>
  <c r="N502" i="16"/>
  <c r="O501" i="16"/>
  <c r="N501" i="16"/>
  <c r="O500" i="16"/>
  <c r="N500" i="16"/>
  <c r="O499" i="16"/>
  <c r="N499" i="16"/>
  <c r="O498" i="16"/>
  <c r="N498" i="16"/>
  <c r="O497" i="16"/>
  <c r="N497" i="16"/>
  <c r="C497" i="16"/>
  <c r="O496" i="16"/>
  <c r="N496" i="16"/>
  <c r="O495" i="16"/>
  <c r="N495" i="16"/>
  <c r="O494" i="16"/>
  <c r="N494" i="16"/>
  <c r="O493" i="16"/>
  <c r="N493" i="16"/>
  <c r="O492" i="16"/>
  <c r="N492" i="16"/>
  <c r="O491" i="16"/>
  <c r="N491" i="16"/>
  <c r="O490" i="16"/>
  <c r="N490" i="16"/>
  <c r="C490" i="16"/>
  <c r="D490" i="16"/>
  <c r="E490" i="16"/>
  <c r="O489" i="16"/>
  <c r="N489" i="16"/>
  <c r="O488" i="16"/>
  <c r="N488" i="16"/>
  <c r="O487" i="16"/>
  <c r="N487" i="16"/>
  <c r="O486" i="16"/>
  <c r="N486" i="16"/>
  <c r="O485" i="16"/>
  <c r="N485" i="16"/>
  <c r="O484" i="16"/>
  <c r="N484" i="16"/>
  <c r="O483" i="16"/>
  <c r="N483" i="16"/>
  <c r="C483" i="16"/>
  <c r="O482" i="16"/>
  <c r="N482" i="16"/>
  <c r="O481" i="16"/>
  <c r="N481" i="16"/>
  <c r="O480" i="16"/>
  <c r="N480" i="16"/>
  <c r="O479" i="16"/>
  <c r="N479" i="16"/>
  <c r="O478" i="16"/>
  <c r="N478" i="16"/>
  <c r="O477" i="16"/>
  <c r="N477" i="16"/>
  <c r="O476" i="16"/>
  <c r="N476" i="16"/>
  <c r="D476" i="16"/>
  <c r="E476" i="16"/>
  <c r="O475" i="16"/>
  <c r="N475" i="16"/>
  <c r="O474" i="16"/>
  <c r="N474" i="16"/>
  <c r="O473" i="16"/>
  <c r="N473" i="16"/>
  <c r="O472" i="16"/>
  <c r="N472" i="16"/>
  <c r="O471" i="16"/>
  <c r="N471" i="16"/>
  <c r="O470" i="16"/>
  <c r="N470" i="16"/>
  <c r="O469" i="16"/>
  <c r="D469" i="16"/>
  <c r="E469" i="16"/>
  <c r="N469" i="16"/>
  <c r="C469" i="16"/>
  <c r="O468" i="16"/>
  <c r="N468" i="16"/>
  <c r="O467" i="16"/>
  <c r="N467" i="16"/>
  <c r="O466" i="16"/>
  <c r="N466" i="16"/>
  <c r="O465" i="16"/>
  <c r="N465" i="16"/>
  <c r="O464" i="16"/>
  <c r="N464" i="16"/>
  <c r="O463" i="16"/>
  <c r="N463" i="16"/>
  <c r="O462" i="16"/>
  <c r="N462" i="16"/>
  <c r="D462" i="16"/>
  <c r="E462" i="16"/>
  <c r="O461" i="16"/>
  <c r="N461" i="16"/>
  <c r="O460" i="16"/>
  <c r="N460" i="16"/>
  <c r="O459" i="16"/>
  <c r="N459" i="16"/>
  <c r="O458" i="16"/>
  <c r="N458" i="16"/>
  <c r="O457" i="16"/>
  <c r="N457" i="16"/>
  <c r="O456" i="16"/>
  <c r="N456" i="16"/>
  <c r="O455" i="16"/>
  <c r="D455" i="16"/>
  <c r="E455" i="16"/>
  <c r="N455" i="16"/>
  <c r="C455" i="16"/>
  <c r="O454" i="16"/>
  <c r="N454" i="16"/>
  <c r="O453" i="16"/>
  <c r="N453" i="16"/>
  <c r="O452" i="16"/>
  <c r="N452" i="16"/>
  <c r="O451" i="16"/>
  <c r="N451" i="16"/>
  <c r="O450" i="16"/>
  <c r="N450" i="16"/>
  <c r="O449" i="16"/>
  <c r="N449" i="16"/>
  <c r="O448" i="16"/>
  <c r="N448" i="16"/>
  <c r="C448" i="16"/>
  <c r="D448" i="16"/>
  <c r="E448" i="16"/>
  <c r="O447" i="16"/>
  <c r="N447" i="16"/>
  <c r="O446" i="16"/>
  <c r="N446" i="16"/>
  <c r="O445" i="16"/>
  <c r="N445" i="16"/>
  <c r="O444" i="16"/>
  <c r="N444" i="16"/>
  <c r="O443" i="16"/>
  <c r="N443" i="16"/>
  <c r="O442" i="16"/>
  <c r="N442" i="16"/>
  <c r="O441" i="16"/>
  <c r="N441" i="16"/>
  <c r="C441" i="16"/>
  <c r="O440" i="16"/>
  <c r="N440" i="16"/>
  <c r="O439" i="16"/>
  <c r="N439" i="16"/>
  <c r="O438" i="16"/>
  <c r="N438" i="16"/>
  <c r="O437" i="16"/>
  <c r="N437" i="16"/>
  <c r="O436" i="16"/>
  <c r="N436" i="16"/>
  <c r="O435" i="16"/>
  <c r="N435" i="16"/>
  <c r="O434" i="16"/>
  <c r="N434" i="16"/>
  <c r="C434" i="16"/>
  <c r="D434" i="16"/>
  <c r="E434" i="16"/>
  <c r="O433" i="16"/>
  <c r="N433" i="16"/>
  <c r="O432" i="16"/>
  <c r="N432" i="16"/>
  <c r="O431" i="16"/>
  <c r="N431" i="16"/>
  <c r="O430" i="16"/>
  <c r="N430" i="16"/>
  <c r="O429" i="16"/>
  <c r="N429" i="16"/>
  <c r="O428" i="16"/>
  <c r="N428" i="16"/>
  <c r="O427" i="16"/>
  <c r="N427" i="16"/>
  <c r="C427" i="16"/>
  <c r="O426" i="16"/>
  <c r="N426" i="16"/>
  <c r="O425" i="16"/>
  <c r="N425" i="16"/>
  <c r="O424" i="16"/>
  <c r="N424" i="16"/>
  <c r="O423" i="16"/>
  <c r="N423" i="16"/>
  <c r="O422" i="16"/>
  <c r="N422" i="16"/>
  <c r="O421" i="16"/>
  <c r="N421" i="16"/>
  <c r="O420" i="16"/>
  <c r="N420" i="16"/>
  <c r="D420" i="16"/>
  <c r="E420" i="16"/>
  <c r="O419" i="16"/>
  <c r="N419" i="16"/>
  <c r="O418" i="16"/>
  <c r="N418" i="16"/>
  <c r="O417" i="16"/>
  <c r="N417" i="16"/>
  <c r="O416" i="16"/>
  <c r="N416" i="16"/>
  <c r="O415" i="16"/>
  <c r="N415" i="16"/>
  <c r="O414" i="16"/>
  <c r="N414" i="16"/>
  <c r="O413" i="16"/>
  <c r="D413" i="16"/>
  <c r="E413" i="16"/>
  <c r="N413" i="16"/>
  <c r="C413" i="16"/>
  <c r="O412" i="16"/>
  <c r="N412" i="16"/>
  <c r="O411" i="16"/>
  <c r="N411" i="16"/>
  <c r="O410" i="16"/>
  <c r="N410" i="16"/>
  <c r="O409" i="16"/>
  <c r="N409" i="16"/>
  <c r="O408" i="16"/>
  <c r="N408" i="16"/>
  <c r="O407" i="16"/>
  <c r="N407" i="16"/>
  <c r="O406" i="16"/>
  <c r="N406" i="16"/>
  <c r="D406" i="16"/>
  <c r="E406" i="16"/>
  <c r="O405" i="16"/>
  <c r="N405" i="16"/>
  <c r="O404" i="16"/>
  <c r="N404" i="16"/>
  <c r="O403" i="16"/>
  <c r="N403" i="16"/>
  <c r="O402" i="16"/>
  <c r="N402" i="16"/>
  <c r="O401" i="16"/>
  <c r="N401" i="16"/>
  <c r="O400" i="16"/>
  <c r="N400" i="16"/>
  <c r="O399" i="16"/>
  <c r="D399" i="16"/>
  <c r="E399" i="16"/>
  <c r="N399" i="16"/>
  <c r="C399" i="16"/>
  <c r="O398" i="16"/>
  <c r="N398" i="16"/>
  <c r="O397" i="16"/>
  <c r="N397" i="16"/>
  <c r="O396" i="16"/>
  <c r="N396" i="16"/>
  <c r="O395" i="16"/>
  <c r="N395" i="16"/>
  <c r="O394" i="16"/>
  <c r="N394" i="16"/>
  <c r="O393" i="16"/>
  <c r="N393" i="16"/>
  <c r="O392" i="16"/>
  <c r="N392" i="16"/>
  <c r="C392" i="16"/>
  <c r="D392" i="16"/>
  <c r="E392" i="16"/>
  <c r="O391" i="16"/>
  <c r="N391" i="16"/>
  <c r="O390" i="16"/>
  <c r="N390" i="16"/>
  <c r="O389" i="16"/>
  <c r="N389" i="16"/>
  <c r="O388" i="16"/>
  <c r="N388" i="16"/>
  <c r="O387" i="16"/>
  <c r="N387" i="16"/>
  <c r="O386" i="16"/>
  <c r="N386" i="16"/>
  <c r="O385" i="16"/>
  <c r="N385" i="16"/>
  <c r="C385" i="16"/>
  <c r="O384" i="16"/>
  <c r="N384" i="16"/>
  <c r="O383" i="16"/>
  <c r="N383" i="16"/>
  <c r="O382" i="16"/>
  <c r="N382" i="16"/>
  <c r="O381" i="16"/>
  <c r="N381" i="16"/>
  <c r="O380" i="16"/>
  <c r="N380" i="16"/>
  <c r="O379" i="16"/>
  <c r="N379" i="16"/>
  <c r="O378" i="16"/>
  <c r="N378" i="16"/>
  <c r="C378" i="16"/>
  <c r="D378" i="16"/>
  <c r="E378" i="16"/>
  <c r="O377" i="16"/>
  <c r="N377" i="16"/>
  <c r="O376" i="16"/>
  <c r="N376" i="16"/>
  <c r="O375" i="16"/>
  <c r="N375" i="16"/>
  <c r="O374" i="16"/>
  <c r="N374" i="16"/>
  <c r="O373" i="16"/>
  <c r="N373" i="16"/>
  <c r="O372" i="16"/>
  <c r="N372" i="16"/>
  <c r="O371" i="16"/>
  <c r="N371" i="16"/>
  <c r="C371" i="16"/>
  <c r="O370" i="16"/>
  <c r="N370" i="16"/>
  <c r="O369" i="16"/>
  <c r="N369" i="16"/>
  <c r="O368" i="16"/>
  <c r="N368" i="16"/>
  <c r="O367" i="16"/>
  <c r="N367" i="16"/>
  <c r="O366" i="16"/>
  <c r="N366" i="16"/>
  <c r="O365" i="16"/>
  <c r="N365" i="16"/>
  <c r="O364" i="16"/>
  <c r="N364" i="16"/>
  <c r="D364" i="16"/>
  <c r="E364" i="16"/>
  <c r="O363" i="16"/>
  <c r="N363" i="16"/>
  <c r="O362" i="16"/>
  <c r="N362" i="16"/>
  <c r="O361" i="16"/>
  <c r="N361" i="16"/>
  <c r="O360" i="16"/>
  <c r="N360" i="16"/>
  <c r="O359" i="16"/>
  <c r="N359" i="16"/>
  <c r="O358" i="16"/>
  <c r="N358" i="16"/>
  <c r="O357" i="16"/>
  <c r="D357" i="16"/>
  <c r="E357" i="16"/>
  <c r="N357" i="16"/>
  <c r="C357" i="16"/>
  <c r="O356" i="16"/>
  <c r="N356" i="16"/>
  <c r="O355" i="16"/>
  <c r="N355" i="16"/>
  <c r="O354" i="16"/>
  <c r="N354" i="16"/>
  <c r="O353" i="16"/>
  <c r="N353" i="16"/>
  <c r="O352" i="16"/>
  <c r="N352" i="16"/>
  <c r="O351" i="16"/>
  <c r="N351" i="16"/>
  <c r="O350" i="16"/>
  <c r="N350" i="16"/>
  <c r="D350" i="16"/>
  <c r="E350" i="16"/>
  <c r="O349" i="16"/>
  <c r="N349" i="16"/>
  <c r="O348" i="16"/>
  <c r="N348" i="16"/>
  <c r="O347" i="16"/>
  <c r="N347" i="16"/>
  <c r="O346" i="16"/>
  <c r="N346" i="16"/>
  <c r="O345" i="16"/>
  <c r="N345" i="16"/>
  <c r="O344" i="16"/>
  <c r="N344" i="16"/>
  <c r="O343" i="16"/>
  <c r="D343" i="16"/>
  <c r="E343" i="16"/>
  <c r="N343" i="16"/>
  <c r="C343" i="16"/>
  <c r="O342" i="16"/>
  <c r="N342" i="16"/>
  <c r="O341" i="16"/>
  <c r="N341" i="16"/>
  <c r="O340" i="16"/>
  <c r="N340" i="16"/>
  <c r="O339" i="16"/>
  <c r="N339" i="16"/>
  <c r="O338" i="16"/>
  <c r="N338" i="16"/>
  <c r="O337" i="16"/>
  <c r="N337" i="16"/>
  <c r="O336" i="16"/>
  <c r="N336" i="16"/>
  <c r="C336" i="16"/>
  <c r="D336" i="16"/>
  <c r="E336" i="16"/>
  <c r="O335" i="16"/>
  <c r="N335" i="16"/>
  <c r="O334" i="16"/>
  <c r="N334" i="16"/>
  <c r="O333" i="16"/>
  <c r="N333" i="16"/>
  <c r="O332" i="16"/>
  <c r="N332" i="16"/>
  <c r="O331" i="16"/>
  <c r="N331" i="16"/>
  <c r="O330" i="16"/>
  <c r="N330" i="16"/>
  <c r="O329" i="16"/>
  <c r="N329" i="16"/>
  <c r="C329" i="16"/>
  <c r="O328" i="16"/>
  <c r="N328" i="16"/>
  <c r="O327" i="16"/>
  <c r="N327" i="16"/>
  <c r="O326" i="16"/>
  <c r="N326" i="16"/>
  <c r="O325" i="16"/>
  <c r="N325" i="16"/>
  <c r="O324" i="16"/>
  <c r="N324" i="16"/>
  <c r="O323" i="16"/>
  <c r="N323" i="16"/>
  <c r="O322" i="16"/>
  <c r="N322" i="16"/>
  <c r="C322" i="16"/>
  <c r="D322" i="16"/>
  <c r="E322" i="16"/>
  <c r="O321" i="16"/>
  <c r="N321" i="16"/>
  <c r="O320" i="16"/>
  <c r="N320" i="16"/>
  <c r="O319" i="16"/>
  <c r="N319" i="16"/>
  <c r="O318" i="16"/>
  <c r="N318" i="16"/>
  <c r="O317" i="16"/>
  <c r="N317" i="16"/>
  <c r="O316" i="16"/>
  <c r="N316" i="16"/>
  <c r="O315" i="16"/>
  <c r="N315" i="16"/>
  <c r="C315" i="16"/>
  <c r="O314" i="16"/>
  <c r="N314" i="16"/>
  <c r="O313" i="16"/>
  <c r="N313" i="16"/>
  <c r="O312" i="16"/>
  <c r="N312" i="16"/>
  <c r="O311" i="16"/>
  <c r="N311" i="16"/>
  <c r="O310" i="16"/>
  <c r="N310" i="16"/>
  <c r="O309" i="16"/>
  <c r="N309" i="16"/>
  <c r="O308" i="16"/>
  <c r="N308" i="16"/>
  <c r="D308" i="16"/>
  <c r="E308" i="16"/>
  <c r="O307" i="16"/>
  <c r="N307" i="16"/>
  <c r="O306" i="16"/>
  <c r="N306" i="16"/>
  <c r="O305" i="16"/>
  <c r="N305" i="16"/>
  <c r="O304" i="16"/>
  <c r="N304" i="16"/>
  <c r="O303" i="16"/>
  <c r="N303" i="16"/>
  <c r="O302" i="16"/>
  <c r="N302" i="16"/>
  <c r="O301" i="16"/>
  <c r="D301" i="16"/>
  <c r="E301" i="16"/>
  <c r="N301" i="16"/>
  <c r="C301" i="16"/>
  <c r="O300" i="16"/>
  <c r="N300" i="16"/>
  <c r="O299" i="16"/>
  <c r="N299" i="16"/>
  <c r="O298" i="16"/>
  <c r="N298" i="16"/>
  <c r="O297" i="16"/>
  <c r="N297" i="16"/>
  <c r="O296" i="16"/>
  <c r="N296" i="16"/>
  <c r="O295" i="16"/>
  <c r="N295" i="16"/>
  <c r="O294" i="16"/>
  <c r="N294" i="16"/>
  <c r="D294" i="16"/>
  <c r="E294" i="16"/>
  <c r="O293" i="16"/>
  <c r="N293" i="16"/>
  <c r="O292" i="16"/>
  <c r="N292" i="16"/>
  <c r="O291" i="16"/>
  <c r="N291" i="16"/>
  <c r="O290" i="16"/>
  <c r="N290" i="16"/>
  <c r="O289" i="16"/>
  <c r="N289" i="16"/>
  <c r="O288" i="16"/>
  <c r="N288" i="16"/>
  <c r="O287" i="16"/>
  <c r="D287" i="16"/>
  <c r="E287" i="16"/>
  <c r="N287" i="16"/>
  <c r="C287" i="16"/>
  <c r="O286" i="16"/>
  <c r="N286" i="16"/>
  <c r="O285" i="16"/>
  <c r="N285" i="16"/>
  <c r="O284" i="16"/>
  <c r="N284" i="16"/>
  <c r="O283" i="16"/>
  <c r="N283" i="16"/>
  <c r="O282" i="16"/>
  <c r="N282" i="16"/>
  <c r="O281" i="16"/>
  <c r="N281" i="16"/>
  <c r="O280" i="16"/>
  <c r="N280" i="16"/>
  <c r="C280" i="16"/>
  <c r="D280" i="16"/>
  <c r="E280" i="16"/>
  <c r="O279" i="16"/>
  <c r="N279" i="16"/>
  <c r="O278" i="16"/>
  <c r="N278" i="16"/>
  <c r="O277" i="16"/>
  <c r="N277" i="16"/>
  <c r="O276" i="16"/>
  <c r="N276" i="16"/>
  <c r="O275" i="16"/>
  <c r="N275" i="16"/>
  <c r="O274" i="16"/>
  <c r="N274" i="16"/>
  <c r="O273" i="16"/>
  <c r="N273" i="16"/>
  <c r="C273" i="16"/>
  <c r="O272" i="16"/>
  <c r="N272" i="16"/>
  <c r="O271" i="16"/>
  <c r="N271" i="16"/>
  <c r="O270" i="16"/>
  <c r="N270" i="16"/>
  <c r="O269" i="16"/>
  <c r="N269" i="16"/>
  <c r="O268" i="16"/>
  <c r="N268" i="16"/>
  <c r="O267" i="16"/>
  <c r="N267" i="16"/>
  <c r="O266" i="16"/>
  <c r="N266" i="16"/>
  <c r="C266" i="16"/>
  <c r="D266" i="16"/>
  <c r="E266" i="16"/>
  <c r="O265" i="16"/>
  <c r="N265" i="16"/>
  <c r="O264" i="16"/>
  <c r="N264" i="16"/>
  <c r="O263" i="16"/>
  <c r="N263" i="16"/>
  <c r="O262" i="16"/>
  <c r="N262" i="16"/>
  <c r="O261" i="16"/>
  <c r="N261" i="16"/>
  <c r="O260" i="16"/>
  <c r="N260" i="16"/>
  <c r="O259" i="16"/>
  <c r="N259" i="16"/>
  <c r="C259" i="16"/>
  <c r="O257" i="16"/>
  <c r="N257" i="16"/>
  <c r="O256" i="16"/>
  <c r="N256" i="16"/>
  <c r="O255" i="16"/>
  <c r="N255" i="16"/>
  <c r="O254" i="16"/>
  <c r="N254" i="16"/>
  <c r="O253" i="16"/>
  <c r="N253" i="16"/>
  <c r="O252" i="16"/>
  <c r="N252" i="16"/>
  <c r="O251" i="16"/>
  <c r="N251" i="16"/>
  <c r="C251" i="16"/>
  <c r="D251" i="16"/>
  <c r="E251" i="16"/>
  <c r="O250" i="16"/>
  <c r="N250" i="16"/>
  <c r="O249" i="16"/>
  <c r="N249" i="16"/>
  <c r="O248" i="16"/>
  <c r="N248" i="16"/>
  <c r="O247" i="16"/>
  <c r="N247" i="16"/>
  <c r="O246" i="16"/>
  <c r="N246" i="16"/>
  <c r="O245" i="16"/>
  <c r="N245" i="16"/>
  <c r="O244" i="16"/>
  <c r="N244" i="16"/>
  <c r="C244" i="16"/>
  <c r="O243" i="16"/>
  <c r="N243" i="16"/>
  <c r="O242" i="16"/>
  <c r="N242" i="16"/>
  <c r="O241" i="16"/>
  <c r="N241" i="16"/>
  <c r="O240" i="16"/>
  <c r="N240" i="16"/>
  <c r="O239" i="16"/>
  <c r="N239" i="16"/>
  <c r="O238" i="16"/>
  <c r="N238" i="16"/>
  <c r="O237" i="16"/>
  <c r="N237" i="16"/>
  <c r="C237" i="16"/>
  <c r="D237" i="16"/>
  <c r="E237" i="16"/>
  <c r="O236" i="16"/>
  <c r="N236" i="16"/>
  <c r="O235" i="16"/>
  <c r="N235" i="16"/>
  <c r="O234" i="16"/>
  <c r="N234" i="16"/>
  <c r="O233" i="16"/>
  <c r="N233" i="16"/>
  <c r="O232" i="16"/>
  <c r="N232" i="16"/>
  <c r="O231" i="16"/>
  <c r="N231" i="16"/>
  <c r="O230" i="16"/>
  <c r="N230" i="16"/>
  <c r="C230" i="16"/>
  <c r="O229" i="16"/>
  <c r="N229" i="16"/>
  <c r="O228" i="16"/>
  <c r="N228" i="16"/>
  <c r="O227" i="16"/>
  <c r="N227" i="16"/>
  <c r="O226" i="16"/>
  <c r="N226" i="16"/>
  <c r="O225" i="16"/>
  <c r="N225" i="16"/>
  <c r="O224" i="16"/>
  <c r="N224" i="16"/>
  <c r="O223" i="16"/>
  <c r="N223" i="16"/>
  <c r="D223" i="16"/>
  <c r="E223" i="16"/>
  <c r="O222" i="16"/>
  <c r="N222" i="16"/>
  <c r="O221" i="16"/>
  <c r="N221" i="16"/>
  <c r="O220" i="16"/>
  <c r="N220" i="16"/>
  <c r="O219" i="16"/>
  <c r="N219" i="16"/>
  <c r="O218" i="16"/>
  <c r="N218" i="16"/>
  <c r="O217" i="16"/>
  <c r="N217" i="16"/>
  <c r="O216" i="16"/>
  <c r="D216" i="16"/>
  <c r="E216" i="16"/>
  <c r="N216" i="16"/>
  <c r="C216" i="16"/>
  <c r="O215" i="16"/>
  <c r="N215" i="16"/>
  <c r="O214" i="16"/>
  <c r="N214" i="16"/>
  <c r="O213" i="16"/>
  <c r="N213" i="16"/>
  <c r="O212" i="16"/>
  <c r="N212" i="16"/>
  <c r="O211" i="16"/>
  <c r="N211" i="16"/>
  <c r="O210" i="16"/>
  <c r="N210" i="16"/>
  <c r="O209" i="16"/>
  <c r="N209" i="16"/>
  <c r="D209" i="16"/>
  <c r="E209" i="16"/>
  <c r="O208" i="16"/>
  <c r="N208" i="16"/>
  <c r="O207" i="16"/>
  <c r="N207" i="16"/>
  <c r="O206" i="16"/>
  <c r="N206" i="16"/>
  <c r="O205" i="16"/>
  <c r="N205" i="16"/>
  <c r="O204" i="16"/>
  <c r="N204" i="16"/>
  <c r="O203" i="16"/>
  <c r="N203" i="16"/>
  <c r="O202" i="16"/>
  <c r="D202" i="16"/>
  <c r="E202" i="16"/>
  <c r="N202" i="16"/>
  <c r="C202" i="16"/>
  <c r="O201" i="16"/>
  <c r="N201" i="16"/>
  <c r="O200" i="16"/>
  <c r="N200" i="16"/>
  <c r="O199" i="16"/>
  <c r="N199" i="16"/>
  <c r="O198" i="16"/>
  <c r="N198" i="16"/>
  <c r="O197" i="16"/>
  <c r="N197" i="16"/>
  <c r="O196" i="16"/>
  <c r="N196" i="16"/>
  <c r="O195" i="16"/>
  <c r="N195" i="16"/>
  <c r="C195" i="16"/>
  <c r="D195" i="16"/>
  <c r="E195" i="16"/>
  <c r="O194" i="16"/>
  <c r="N194" i="16"/>
  <c r="O193" i="16"/>
  <c r="N193" i="16"/>
  <c r="O192" i="16"/>
  <c r="N192" i="16"/>
  <c r="O191" i="16"/>
  <c r="N191" i="16"/>
  <c r="O190" i="16"/>
  <c r="N190" i="16"/>
  <c r="O189" i="16"/>
  <c r="N189" i="16"/>
  <c r="O188" i="16"/>
  <c r="N188" i="16"/>
  <c r="C188" i="16"/>
  <c r="O187" i="16"/>
  <c r="N187" i="16"/>
  <c r="O186" i="16"/>
  <c r="N186" i="16"/>
  <c r="O185" i="16"/>
  <c r="N185" i="16"/>
  <c r="O184" i="16"/>
  <c r="N184" i="16"/>
  <c r="O183" i="16"/>
  <c r="N183" i="16"/>
  <c r="O182" i="16"/>
  <c r="N182" i="16"/>
  <c r="O181" i="16"/>
  <c r="N181" i="16"/>
  <c r="C181" i="16"/>
  <c r="D181" i="16"/>
  <c r="E181" i="16"/>
  <c r="O180" i="16"/>
  <c r="N180" i="16"/>
  <c r="O179" i="16"/>
  <c r="N179" i="16"/>
  <c r="O178" i="16"/>
  <c r="N178" i="16"/>
  <c r="O177" i="16"/>
  <c r="N177" i="16"/>
  <c r="O176" i="16"/>
  <c r="N176" i="16"/>
  <c r="O175" i="16"/>
  <c r="N175" i="16"/>
  <c r="O174" i="16"/>
  <c r="N174" i="16"/>
  <c r="C174" i="16"/>
  <c r="O173" i="16"/>
  <c r="N173" i="16"/>
  <c r="O172" i="16"/>
  <c r="N172" i="16"/>
  <c r="O171" i="16"/>
  <c r="N171" i="16"/>
  <c r="O170" i="16"/>
  <c r="N170" i="16"/>
  <c r="O169" i="16"/>
  <c r="N169" i="16"/>
  <c r="O168" i="16"/>
  <c r="N168" i="16"/>
  <c r="O167" i="16"/>
  <c r="N167" i="16"/>
  <c r="D167" i="16"/>
  <c r="E167" i="16"/>
  <c r="O166" i="16"/>
  <c r="N166" i="16"/>
  <c r="O165" i="16"/>
  <c r="N165" i="16"/>
  <c r="O164" i="16"/>
  <c r="N164" i="16"/>
  <c r="O163" i="16"/>
  <c r="N163" i="16"/>
  <c r="O162" i="16"/>
  <c r="N162" i="16"/>
  <c r="O161" i="16"/>
  <c r="N161" i="16"/>
  <c r="O160" i="16"/>
  <c r="D160" i="16"/>
  <c r="E160" i="16"/>
  <c r="N160" i="16"/>
  <c r="C160" i="16"/>
  <c r="O159" i="16"/>
  <c r="N159" i="16"/>
  <c r="O158" i="16"/>
  <c r="N158" i="16"/>
  <c r="O157" i="16"/>
  <c r="N157" i="16"/>
  <c r="O156" i="16"/>
  <c r="N156" i="16"/>
  <c r="O155" i="16"/>
  <c r="N155" i="16"/>
  <c r="O154" i="16"/>
  <c r="N154" i="16"/>
  <c r="O153" i="16"/>
  <c r="N153" i="16"/>
  <c r="D153" i="16"/>
  <c r="E153" i="16"/>
  <c r="O152" i="16"/>
  <c r="N152" i="16"/>
  <c r="O151" i="16"/>
  <c r="N151" i="16"/>
  <c r="O150" i="16"/>
  <c r="N150" i="16"/>
  <c r="O149" i="16"/>
  <c r="N149" i="16"/>
  <c r="O148" i="16"/>
  <c r="N148" i="16"/>
  <c r="O147" i="16"/>
  <c r="N147" i="16"/>
  <c r="O146" i="16"/>
  <c r="D146" i="16"/>
  <c r="E146" i="16"/>
  <c r="N146" i="16"/>
  <c r="C146" i="16"/>
  <c r="O145" i="16"/>
  <c r="N145" i="16"/>
  <c r="O144" i="16"/>
  <c r="N144" i="16"/>
  <c r="O143" i="16"/>
  <c r="N143" i="16"/>
  <c r="O142" i="16"/>
  <c r="N142" i="16"/>
  <c r="O141" i="16"/>
  <c r="N141" i="16"/>
  <c r="O140" i="16"/>
  <c r="N140" i="16"/>
  <c r="O139" i="16"/>
  <c r="N139" i="16"/>
  <c r="C139" i="16"/>
  <c r="D139" i="16"/>
  <c r="E139" i="16"/>
  <c r="O138" i="16"/>
  <c r="N138" i="16"/>
  <c r="O137" i="16"/>
  <c r="N137" i="16"/>
  <c r="O136" i="16"/>
  <c r="N136" i="16"/>
  <c r="O135" i="16"/>
  <c r="N135" i="16"/>
  <c r="O134" i="16"/>
  <c r="N134" i="16"/>
  <c r="O133" i="16"/>
  <c r="N133" i="16"/>
  <c r="O132" i="16"/>
  <c r="N132" i="16"/>
  <c r="C132" i="16"/>
  <c r="O131" i="16"/>
  <c r="N131" i="16"/>
  <c r="O130" i="16"/>
  <c r="N130" i="16"/>
  <c r="O129" i="16"/>
  <c r="N129" i="16"/>
  <c r="O128" i="16"/>
  <c r="N128" i="16"/>
  <c r="O127" i="16"/>
  <c r="N127" i="16"/>
  <c r="O126" i="16"/>
  <c r="N126" i="16"/>
  <c r="O125" i="16"/>
  <c r="N125" i="16"/>
  <c r="C125" i="16"/>
  <c r="D125" i="16"/>
  <c r="E125" i="16"/>
  <c r="O124" i="16"/>
  <c r="N124" i="16"/>
  <c r="O123" i="16"/>
  <c r="N123" i="16"/>
  <c r="O122" i="16"/>
  <c r="N122" i="16"/>
  <c r="O121" i="16"/>
  <c r="N121" i="16"/>
  <c r="O120" i="16"/>
  <c r="N120" i="16"/>
  <c r="O119" i="16"/>
  <c r="N119" i="16"/>
  <c r="O118" i="16"/>
  <c r="N118" i="16"/>
  <c r="C118" i="16"/>
  <c r="O117" i="16"/>
  <c r="N117" i="16"/>
  <c r="O116" i="16"/>
  <c r="N116" i="16"/>
  <c r="O115" i="16"/>
  <c r="N115" i="16"/>
  <c r="O114" i="16"/>
  <c r="N114" i="16"/>
  <c r="O113" i="16"/>
  <c r="N113" i="16"/>
  <c r="O112" i="16"/>
  <c r="N112" i="16"/>
  <c r="N111" i="16"/>
  <c r="C111" i="16"/>
  <c r="O111" i="16"/>
  <c r="D111" i="16"/>
  <c r="E111" i="16"/>
  <c r="O110" i="16"/>
  <c r="N110" i="16"/>
  <c r="O109" i="16"/>
  <c r="N109" i="16"/>
  <c r="O108" i="16"/>
  <c r="N108" i="16"/>
  <c r="O107" i="16"/>
  <c r="N107" i="16"/>
  <c r="O106" i="16"/>
  <c r="N106" i="16"/>
  <c r="O105" i="16"/>
  <c r="O104" i="16"/>
  <c r="D104" i="16"/>
  <c r="E104" i="16"/>
  <c r="N105" i="16"/>
  <c r="N104" i="16"/>
  <c r="C104" i="16"/>
  <c r="O103" i="16"/>
  <c r="N103" i="16"/>
  <c r="O102" i="16"/>
  <c r="N102" i="16"/>
  <c r="O101" i="16"/>
  <c r="N101" i="16"/>
  <c r="O100" i="16"/>
  <c r="N100" i="16"/>
  <c r="O99" i="16"/>
  <c r="N99" i="16"/>
  <c r="O98" i="16"/>
  <c r="N98" i="16"/>
  <c r="O97" i="16"/>
  <c r="D97" i="16"/>
  <c r="E97" i="16"/>
  <c r="N97" i="16"/>
  <c r="C97" i="16"/>
  <c r="O96" i="16"/>
  <c r="N96" i="16"/>
  <c r="O95" i="16"/>
  <c r="N95" i="16"/>
  <c r="O94" i="16"/>
  <c r="N94" i="16"/>
  <c r="O93" i="16"/>
  <c r="N93" i="16"/>
  <c r="O92" i="16"/>
  <c r="N92" i="16"/>
  <c r="O91" i="16"/>
  <c r="N91" i="16"/>
  <c r="O90" i="16"/>
  <c r="D90" i="16"/>
  <c r="N90" i="16"/>
  <c r="C90" i="16"/>
  <c r="C89" i="16"/>
  <c r="O88" i="16"/>
  <c r="N88" i="16"/>
  <c r="O87" i="16"/>
  <c r="N87" i="16"/>
  <c r="O86" i="16"/>
  <c r="N86" i="16"/>
  <c r="O85" i="16"/>
  <c r="N85" i="16"/>
  <c r="O84" i="16"/>
  <c r="N84" i="16"/>
  <c r="O83" i="16"/>
  <c r="N83" i="16"/>
  <c r="O82" i="16"/>
  <c r="D82" i="16"/>
  <c r="E82" i="16"/>
  <c r="N82" i="16"/>
  <c r="C82" i="16"/>
  <c r="O81" i="16"/>
  <c r="N81" i="16"/>
  <c r="O80" i="16"/>
  <c r="N80" i="16"/>
  <c r="O79" i="16"/>
  <c r="N79" i="16"/>
  <c r="O78" i="16"/>
  <c r="N78" i="16"/>
  <c r="O77" i="16"/>
  <c r="N77" i="16"/>
  <c r="O76" i="16"/>
  <c r="N76" i="16"/>
  <c r="N75" i="16"/>
  <c r="C75" i="16"/>
  <c r="O75" i="16"/>
  <c r="D75" i="16"/>
  <c r="E75" i="16"/>
  <c r="O74" i="16"/>
  <c r="N74" i="16"/>
  <c r="O73" i="16"/>
  <c r="N73" i="16"/>
  <c r="O72" i="16"/>
  <c r="N72" i="16"/>
  <c r="O71" i="16"/>
  <c r="N71" i="16"/>
  <c r="O70" i="16"/>
  <c r="N70" i="16"/>
  <c r="O69" i="16"/>
  <c r="O68" i="16"/>
  <c r="D68" i="16"/>
  <c r="E68" i="16"/>
  <c r="N69" i="16"/>
  <c r="N68" i="16"/>
  <c r="C68" i="16"/>
  <c r="O67" i="16"/>
  <c r="N67" i="16"/>
  <c r="O66" i="16"/>
  <c r="N66" i="16"/>
  <c r="O65" i="16"/>
  <c r="N65" i="16"/>
  <c r="O64" i="16"/>
  <c r="N64" i="16"/>
  <c r="O63" i="16"/>
  <c r="N63" i="16"/>
  <c r="O62" i="16"/>
  <c r="N62" i="16"/>
  <c r="O61" i="16"/>
  <c r="D61" i="16"/>
  <c r="N61" i="16"/>
  <c r="C61" i="16"/>
  <c r="O59" i="16"/>
  <c r="N59" i="16"/>
  <c r="O58" i="16"/>
  <c r="N58" i="16"/>
  <c r="O57" i="16"/>
  <c r="N57" i="16"/>
  <c r="O56" i="16"/>
  <c r="N56" i="16"/>
  <c r="O55" i="16"/>
  <c r="N55" i="16"/>
  <c r="O54" i="16"/>
  <c r="N54" i="16"/>
  <c r="O53" i="16"/>
  <c r="D53" i="16"/>
  <c r="E53" i="16"/>
  <c r="N53" i="16"/>
  <c r="C53" i="16"/>
  <c r="O52" i="16"/>
  <c r="N52" i="16"/>
  <c r="O51" i="16"/>
  <c r="N51" i="16"/>
  <c r="O50" i="16"/>
  <c r="N50" i="16"/>
  <c r="O49" i="16"/>
  <c r="N49" i="16"/>
  <c r="O48" i="16"/>
  <c r="N48" i="16"/>
  <c r="O47" i="16"/>
  <c r="N47" i="16"/>
  <c r="O46" i="16"/>
  <c r="D46" i="16"/>
  <c r="E46" i="16"/>
  <c r="N46" i="16"/>
  <c r="C46" i="16"/>
  <c r="O45" i="16"/>
  <c r="N45" i="16"/>
  <c r="O44" i="16"/>
  <c r="N44" i="16"/>
  <c r="O43" i="16"/>
  <c r="N43" i="16"/>
  <c r="O42" i="16"/>
  <c r="N42" i="16"/>
  <c r="O41" i="16"/>
  <c r="N41" i="16"/>
  <c r="O40" i="16"/>
  <c r="N40" i="16"/>
  <c r="O39" i="16"/>
  <c r="N39" i="16"/>
  <c r="C39" i="16"/>
  <c r="D39" i="16"/>
  <c r="E39" i="16"/>
  <c r="O38" i="16"/>
  <c r="N38" i="16"/>
  <c r="O37" i="16"/>
  <c r="N37" i="16"/>
  <c r="O36" i="16"/>
  <c r="N36" i="16"/>
  <c r="O35" i="16"/>
  <c r="N35" i="16"/>
  <c r="O34" i="16"/>
  <c r="N34" i="16"/>
  <c r="O33" i="16"/>
  <c r="N33" i="16"/>
  <c r="O32" i="16"/>
  <c r="D32" i="16"/>
  <c r="E32" i="16"/>
  <c r="N32" i="16"/>
  <c r="C32" i="16"/>
  <c r="O31" i="16"/>
  <c r="N31" i="16"/>
  <c r="O30" i="16"/>
  <c r="N30" i="16"/>
  <c r="O29" i="16"/>
  <c r="N29" i="16"/>
  <c r="O28" i="16"/>
  <c r="N28" i="16"/>
  <c r="O27" i="16"/>
  <c r="N27" i="16"/>
  <c r="O26" i="16"/>
  <c r="N26" i="16"/>
  <c r="O25" i="16"/>
  <c r="D25" i="16"/>
  <c r="E25" i="16"/>
  <c r="N25" i="16"/>
  <c r="C25" i="16"/>
  <c r="O24" i="16"/>
  <c r="N24" i="16"/>
  <c r="O23" i="16"/>
  <c r="N23" i="16"/>
  <c r="O22" i="16"/>
  <c r="N22" i="16"/>
  <c r="O21" i="16"/>
  <c r="N21" i="16"/>
  <c r="O20" i="16"/>
  <c r="N20" i="16"/>
  <c r="O19" i="16"/>
  <c r="N19" i="16"/>
  <c r="O18" i="16"/>
  <c r="D18" i="16"/>
  <c r="N18" i="16"/>
  <c r="C18" i="16"/>
  <c r="O17" i="16"/>
  <c r="N17" i="16"/>
  <c r="O16" i="16"/>
  <c r="N16" i="16"/>
  <c r="O15" i="16"/>
  <c r="N15" i="16"/>
  <c r="O14" i="16"/>
  <c r="N14" i="16"/>
  <c r="O13" i="16"/>
  <c r="N13" i="16"/>
  <c r="O12" i="16"/>
  <c r="O11" i="16"/>
  <c r="O10" i="16"/>
  <c r="N12" i="16"/>
  <c r="N11" i="16"/>
  <c r="C11" i="16"/>
  <c r="D11" i="16"/>
  <c r="E11" i="16"/>
  <c r="O296" i="14"/>
  <c r="N296" i="14"/>
  <c r="O295" i="14"/>
  <c r="N295" i="14"/>
  <c r="O294" i="14"/>
  <c r="N294" i="14"/>
  <c r="O293" i="14"/>
  <c r="N293" i="14"/>
  <c r="O292" i="14"/>
  <c r="N292" i="14"/>
  <c r="O291" i="14"/>
  <c r="N291" i="14"/>
  <c r="O290" i="14"/>
  <c r="N290" i="14"/>
  <c r="C290" i="14"/>
  <c r="C289" i="14"/>
  <c r="D290" i="14"/>
  <c r="E290" i="14"/>
  <c r="E289" i="14"/>
  <c r="O288" i="14"/>
  <c r="N288" i="14"/>
  <c r="O287" i="14"/>
  <c r="N287" i="14"/>
  <c r="O286" i="14"/>
  <c r="N286" i="14"/>
  <c r="O285" i="14"/>
  <c r="N285" i="14"/>
  <c r="O284" i="14"/>
  <c r="N284" i="14"/>
  <c r="O283" i="14"/>
  <c r="N283" i="14"/>
  <c r="O282" i="14"/>
  <c r="N282" i="14"/>
  <c r="C282" i="14"/>
  <c r="D282" i="14"/>
  <c r="E282" i="14"/>
  <c r="O281" i="14"/>
  <c r="N281" i="14"/>
  <c r="O280" i="14"/>
  <c r="N280" i="14"/>
  <c r="O279" i="14"/>
  <c r="N279" i="14"/>
  <c r="O278" i="14"/>
  <c r="N278" i="14"/>
  <c r="O277" i="14"/>
  <c r="N277" i="14"/>
  <c r="O276" i="14"/>
  <c r="N276" i="14"/>
  <c r="O275" i="14"/>
  <c r="D275" i="14"/>
  <c r="E275" i="14"/>
  <c r="N275" i="14"/>
  <c r="C275" i="14"/>
  <c r="O274" i="14"/>
  <c r="N274" i="14"/>
  <c r="O273" i="14"/>
  <c r="N273" i="14"/>
  <c r="O272" i="14"/>
  <c r="N272" i="14"/>
  <c r="O271" i="14"/>
  <c r="N271" i="14"/>
  <c r="O270" i="14"/>
  <c r="N270" i="14"/>
  <c r="O269" i="14"/>
  <c r="N269" i="14"/>
  <c r="O268" i="14"/>
  <c r="D268" i="14"/>
  <c r="E268" i="14"/>
  <c r="N268" i="14"/>
  <c r="C268" i="14"/>
  <c r="O267" i="14"/>
  <c r="N267" i="14"/>
  <c r="O266" i="14"/>
  <c r="N266" i="14"/>
  <c r="O265" i="14"/>
  <c r="N265" i="14"/>
  <c r="O264" i="14"/>
  <c r="N264" i="14"/>
  <c r="O263" i="14"/>
  <c r="N263" i="14"/>
  <c r="O262" i="14"/>
  <c r="N262" i="14"/>
  <c r="O261" i="14"/>
  <c r="D261" i="14"/>
  <c r="E261" i="14"/>
  <c r="N261" i="14"/>
  <c r="C261" i="14"/>
  <c r="O260" i="14"/>
  <c r="N260" i="14"/>
  <c r="O259" i="14"/>
  <c r="N259" i="14"/>
  <c r="O258" i="14"/>
  <c r="N258" i="14"/>
  <c r="O257" i="14"/>
  <c r="N257" i="14"/>
  <c r="O256" i="14"/>
  <c r="N256" i="14"/>
  <c r="O255" i="14"/>
  <c r="N255" i="14"/>
  <c r="N254" i="14"/>
  <c r="C254" i="14"/>
  <c r="O254" i="14"/>
  <c r="D254" i="14"/>
  <c r="E254" i="14"/>
  <c r="O253" i="14"/>
  <c r="N253" i="14"/>
  <c r="O252" i="14"/>
  <c r="N252" i="14"/>
  <c r="O251" i="14"/>
  <c r="N251" i="14"/>
  <c r="O250" i="14"/>
  <c r="N250" i="14"/>
  <c r="O249" i="14"/>
  <c r="N249" i="14"/>
  <c r="O248" i="14"/>
  <c r="O247" i="14"/>
  <c r="D247" i="14"/>
  <c r="E247" i="14"/>
  <c r="N248" i="14"/>
  <c r="N247" i="14"/>
  <c r="C247" i="14"/>
  <c r="O246" i="14"/>
  <c r="N246" i="14"/>
  <c r="O245" i="14"/>
  <c r="N245" i="14"/>
  <c r="O244" i="14"/>
  <c r="N244" i="14"/>
  <c r="O243" i="14"/>
  <c r="N243" i="14"/>
  <c r="O242" i="14"/>
  <c r="N242" i="14"/>
  <c r="O241" i="14"/>
  <c r="N241" i="14"/>
  <c r="O240" i="14"/>
  <c r="D240" i="14"/>
  <c r="E240" i="14"/>
  <c r="N240" i="14"/>
  <c r="C240" i="14"/>
  <c r="O239" i="14"/>
  <c r="N239" i="14"/>
  <c r="O238" i="14"/>
  <c r="N238" i="14"/>
  <c r="O237" i="14"/>
  <c r="N237" i="14"/>
  <c r="O236" i="14"/>
  <c r="N236" i="14"/>
  <c r="O235" i="14"/>
  <c r="N235" i="14"/>
  <c r="O234" i="14"/>
  <c r="N234" i="14"/>
  <c r="O233" i="14"/>
  <c r="D233" i="14"/>
  <c r="N233" i="14"/>
  <c r="C233" i="14"/>
  <c r="C232" i="14"/>
  <c r="O231" i="14"/>
  <c r="N231" i="14"/>
  <c r="O230" i="14"/>
  <c r="N230" i="14"/>
  <c r="O229" i="14"/>
  <c r="N229" i="14"/>
  <c r="O228" i="14"/>
  <c r="N228" i="14"/>
  <c r="O227" i="14"/>
  <c r="N227" i="14"/>
  <c r="O226" i="14"/>
  <c r="N226" i="14"/>
  <c r="O225" i="14"/>
  <c r="D225" i="14"/>
  <c r="E225" i="14"/>
  <c r="N225" i="14"/>
  <c r="C225" i="14"/>
  <c r="O224" i="14"/>
  <c r="N224" i="14"/>
  <c r="O223" i="14"/>
  <c r="N223" i="14"/>
  <c r="O222" i="14"/>
  <c r="N222" i="14"/>
  <c r="O221" i="14"/>
  <c r="N221" i="14"/>
  <c r="O220" i="14"/>
  <c r="N220" i="14"/>
  <c r="O219" i="14"/>
  <c r="N219" i="14"/>
  <c r="O218" i="14"/>
  <c r="N218" i="14"/>
  <c r="C218" i="14"/>
  <c r="C217" i="14"/>
  <c r="D218" i="14"/>
  <c r="E218" i="14"/>
  <c r="O216" i="14"/>
  <c r="N216" i="14"/>
  <c r="O215" i="14"/>
  <c r="N215" i="14"/>
  <c r="O214" i="14"/>
  <c r="N214" i="14"/>
  <c r="O213" i="14"/>
  <c r="N213" i="14"/>
  <c r="O212" i="14"/>
  <c r="N212" i="14"/>
  <c r="O211" i="14"/>
  <c r="N211" i="14"/>
  <c r="O210" i="14"/>
  <c r="N210" i="14"/>
  <c r="C210" i="14"/>
  <c r="D210" i="14"/>
  <c r="E210" i="14"/>
  <c r="O209" i="14"/>
  <c r="N209" i="14"/>
  <c r="O208" i="14"/>
  <c r="N208" i="14"/>
  <c r="O207" i="14"/>
  <c r="N207" i="14"/>
  <c r="O206" i="14"/>
  <c r="N206" i="14"/>
  <c r="O205" i="14"/>
  <c r="N205" i="14"/>
  <c r="O204" i="14"/>
  <c r="N204" i="14"/>
  <c r="O203" i="14"/>
  <c r="D203" i="14"/>
  <c r="N203" i="14"/>
  <c r="C203" i="14"/>
  <c r="O201" i="14"/>
  <c r="N201" i="14"/>
  <c r="O200" i="14"/>
  <c r="N200" i="14"/>
  <c r="O199" i="14"/>
  <c r="N199" i="14"/>
  <c r="O198" i="14"/>
  <c r="N198" i="14"/>
  <c r="O197" i="14"/>
  <c r="N197" i="14"/>
  <c r="O196" i="14"/>
  <c r="N196" i="14"/>
  <c r="O195" i="14"/>
  <c r="D195" i="14"/>
  <c r="E195" i="14"/>
  <c r="N195" i="14"/>
  <c r="C195" i="14"/>
  <c r="O194" i="14"/>
  <c r="N194" i="14"/>
  <c r="O193" i="14"/>
  <c r="N193" i="14"/>
  <c r="O192" i="14"/>
  <c r="N192" i="14"/>
  <c r="O191" i="14"/>
  <c r="N191" i="14"/>
  <c r="O190" i="14"/>
  <c r="N190" i="14"/>
  <c r="O189" i="14"/>
  <c r="N189" i="14"/>
  <c r="O188" i="14"/>
  <c r="D188" i="14"/>
  <c r="N188" i="14"/>
  <c r="C188" i="14"/>
  <c r="O186" i="14"/>
  <c r="N186" i="14"/>
  <c r="O185" i="14"/>
  <c r="N185" i="14"/>
  <c r="O184" i="14"/>
  <c r="N184" i="14"/>
  <c r="O183" i="14"/>
  <c r="N183" i="14"/>
  <c r="O182" i="14"/>
  <c r="N182" i="14"/>
  <c r="O181" i="14"/>
  <c r="N181" i="14"/>
  <c r="O180" i="14"/>
  <c r="D180" i="14"/>
  <c r="E180" i="14"/>
  <c r="N180" i="14"/>
  <c r="C180" i="14"/>
  <c r="O179" i="14"/>
  <c r="N179" i="14"/>
  <c r="O178" i="14"/>
  <c r="N178" i="14"/>
  <c r="O177" i="14"/>
  <c r="N177" i="14"/>
  <c r="O176" i="14"/>
  <c r="N176" i="14"/>
  <c r="O175" i="14"/>
  <c r="N175" i="14"/>
  <c r="O174" i="14"/>
  <c r="N174" i="14"/>
  <c r="O173" i="14"/>
  <c r="D173" i="14"/>
  <c r="E173" i="14"/>
  <c r="N173" i="14"/>
  <c r="C173" i="14"/>
  <c r="O172" i="14"/>
  <c r="N172" i="14"/>
  <c r="O171" i="14"/>
  <c r="N171" i="14"/>
  <c r="O170" i="14"/>
  <c r="N170" i="14"/>
  <c r="O169" i="14"/>
  <c r="N169" i="14"/>
  <c r="O168" i="14"/>
  <c r="N168" i="14"/>
  <c r="O167" i="14"/>
  <c r="N167" i="14"/>
  <c r="N166" i="14"/>
  <c r="C166" i="14"/>
  <c r="O166" i="14"/>
  <c r="D166" i="14"/>
  <c r="E166" i="14"/>
  <c r="O165" i="14"/>
  <c r="N165" i="14"/>
  <c r="O164" i="14"/>
  <c r="N164" i="14"/>
  <c r="O163" i="14"/>
  <c r="N163" i="14"/>
  <c r="O162" i="14"/>
  <c r="N162" i="14"/>
  <c r="O161" i="14"/>
  <c r="N161" i="14"/>
  <c r="O160" i="14"/>
  <c r="O159" i="14"/>
  <c r="D159" i="14"/>
  <c r="E159" i="14"/>
  <c r="N160" i="14"/>
  <c r="N159" i="14"/>
  <c r="C159" i="14"/>
  <c r="O158" i="14"/>
  <c r="N158" i="14"/>
  <c r="O157" i="14"/>
  <c r="N157" i="14"/>
  <c r="O156" i="14"/>
  <c r="N156" i="14"/>
  <c r="O155" i="14"/>
  <c r="N155" i="14"/>
  <c r="O154" i="14"/>
  <c r="N154" i="14"/>
  <c r="O153" i="14"/>
  <c r="N153" i="14"/>
  <c r="O152" i="14"/>
  <c r="D152" i="14"/>
  <c r="E152" i="14"/>
  <c r="N152" i="14"/>
  <c r="C152" i="14"/>
  <c r="O151" i="14"/>
  <c r="N151" i="14"/>
  <c r="O150" i="14"/>
  <c r="N150" i="14"/>
  <c r="O149" i="14"/>
  <c r="N149" i="14"/>
  <c r="O148" i="14"/>
  <c r="N148" i="14"/>
  <c r="O147" i="14"/>
  <c r="N147" i="14"/>
  <c r="O146" i="14"/>
  <c r="N146" i="14"/>
  <c r="O145" i="14"/>
  <c r="D145" i="14"/>
  <c r="E145" i="14"/>
  <c r="N145" i="14"/>
  <c r="C145" i="14"/>
  <c r="O144" i="14"/>
  <c r="N144" i="14"/>
  <c r="O143" i="14"/>
  <c r="N143" i="14"/>
  <c r="O142" i="14"/>
  <c r="N142" i="14"/>
  <c r="O141" i="14"/>
  <c r="N141" i="14"/>
  <c r="O140" i="14"/>
  <c r="N140" i="14"/>
  <c r="O139" i="14"/>
  <c r="N139" i="14"/>
  <c r="N138" i="14"/>
  <c r="C138" i="14"/>
  <c r="O138" i="14"/>
  <c r="D138" i="14"/>
  <c r="E138" i="14"/>
  <c r="O137" i="14"/>
  <c r="N137" i="14"/>
  <c r="O136" i="14"/>
  <c r="N136" i="14"/>
  <c r="O135" i="14"/>
  <c r="N135" i="14"/>
  <c r="O134" i="14"/>
  <c r="N134" i="14"/>
  <c r="O133" i="14"/>
  <c r="N133" i="14"/>
  <c r="O132" i="14"/>
  <c r="O131" i="14"/>
  <c r="D131" i="14"/>
  <c r="E131" i="14"/>
  <c r="N132" i="14"/>
  <c r="N131" i="14"/>
  <c r="C131" i="14"/>
  <c r="O130" i="14"/>
  <c r="N130" i="14"/>
  <c r="O129" i="14"/>
  <c r="N129" i="14"/>
  <c r="O128" i="14"/>
  <c r="N128" i="14"/>
  <c r="O127" i="14"/>
  <c r="N127" i="14"/>
  <c r="O126" i="14"/>
  <c r="N126" i="14"/>
  <c r="O125" i="14"/>
  <c r="N125" i="14"/>
  <c r="O124" i="14"/>
  <c r="D124" i="14"/>
  <c r="E124" i="14"/>
  <c r="N124" i="14"/>
  <c r="C124" i="14"/>
  <c r="O123" i="14"/>
  <c r="N123" i="14"/>
  <c r="O122" i="14"/>
  <c r="N122" i="14"/>
  <c r="O121" i="14"/>
  <c r="N121" i="14"/>
  <c r="O120" i="14"/>
  <c r="N120" i="14"/>
  <c r="O119" i="14"/>
  <c r="N119" i="14"/>
  <c r="O118" i="14"/>
  <c r="N118" i="14"/>
  <c r="O117" i="14"/>
  <c r="D117" i="14"/>
  <c r="E117" i="14"/>
  <c r="N117" i="14"/>
  <c r="C117" i="14"/>
  <c r="O116" i="14"/>
  <c r="N116" i="14"/>
  <c r="O115" i="14"/>
  <c r="N115" i="14"/>
  <c r="O114" i="14"/>
  <c r="N114" i="14"/>
  <c r="O113" i="14"/>
  <c r="N113" i="14"/>
  <c r="O112" i="14"/>
  <c r="N112" i="14"/>
  <c r="O111" i="14"/>
  <c r="N111" i="14"/>
  <c r="N110" i="14"/>
  <c r="C110" i="14"/>
  <c r="O110" i="14"/>
  <c r="D110" i="14"/>
  <c r="E110" i="14"/>
  <c r="O109" i="14"/>
  <c r="N109" i="14"/>
  <c r="O108" i="14"/>
  <c r="N108" i="14"/>
  <c r="O107" i="14"/>
  <c r="N107" i="14"/>
  <c r="O106" i="14"/>
  <c r="N106" i="14"/>
  <c r="O105" i="14"/>
  <c r="N105" i="14"/>
  <c r="O104" i="14"/>
  <c r="O103" i="14"/>
  <c r="D103" i="14"/>
  <c r="E103" i="14"/>
  <c r="N104" i="14"/>
  <c r="N103" i="14"/>
  <c r="C103" i="14"/>
  <c r="O102" i="14"/>
  <c r="N102" i="14"/>
  <c r="O101" i="14"/>
  <c r="N101" i="14"/>
  <c r="O100" i="14"/>
  <c r="N100" i="14"/>
  <c r="O99" i="14"/>
  <c r="N99" i="14"/>
  <c r="O98" i="14"/>
  <c r="N98" i="14"/>
  <c r="O97" i="14"/>
  <c r="N97" i="14"/>
  <c r="O96" i="14"/>
  <c r="D96" i="14"/>
  <c r="E96" i="14"/>
  <c r="N96" i="14"/>
  <c r="C96" i="14"/>
  <c r="O95" i="14"/>
  <c r="N95" i="14"/>
  <c r="O94" i="14"/>
  <c r="N94" i="14"/>
  <c r="O93" i="14"/>
  <c r="N93" i="14"/>
  <c r="O92" i="14"/>
  <c r="N92" i="14"/>
  <c r="O91" i="14"/>
  <c r="N91" i="14"/>
  <c r="O90" i="14"/>
  <c r="N90" i="14"/>
  <c r="O89" i="14"/>
  <c r="D89" i="14"/>
  <c r="E89" i="14"/>
  <c r="N89" i="14"/>
  <c r="C89" i="14"/>
  <c r="O88" i="14"/>
  <c r="N88" i="14"/>
  <c r="O87" i="14"/>
  <c r="N87" i="14"/>
  <c r="O86" i="14"/>
  <c r="N86" i="14"/>
  <c r="O85" i="14"/>
  <c r="N85" i="14"/>
  <c r="O84" i="14"/>
  <c r="N84" i="14"/>
  <c r="O83" i="14"/>
  <c r="N83" i="14"/>
  <c r="N82" i="14"/>
  <c r="C82" i="14"/>
  <c r="O82" i="14"/>
  <c r="D82" i="14"/>
  <c r="E82" i="14"/>
  <c r="O81" i="14"/>
  <c r="N81" i="14"/>
  <c r="O80" i="14"/>
  <c r="N80" i="14"/>
  <c r="O79" i="14"/>
  <c r="N79" i="14"/>
  <c r="O78" i="14"/>
  <c r="N78" i="14"/>
  <c r="O77" i="14"/>
  <c r="N77" i="14"/>
  <c r="O76" i="14"/>
  <c r="O75" i="14"/>
  <c r="D75" i="14"/>
  <c r="E75" i="14"/>
  <c r="N76" i="14"/>
  <c r="N75" i="14"/>
  <c r="C75" i="14"/>
  <c r="O74" i="14"/>
  <c r="N74" i="14"/>
  <c r="O73" i="14"/>
  <c r="N73" i="14"/>
  <c r="O72" i="14"/>
  <c r="N72" i="14"/>
  <c r="O71" i="14"/>
  <c r="N71" i="14"/>
  <c r="O70" i="14"/>
  <c r="N70" i="14"/>
  <c r="O69" i="14"/>
  <c r="N69" i="14"/>
  <c r="O68" i="14"/>
  <c r="D68" i="14"/>
  <c r="N68" i="14"/>
  <c r="C68" i="14"/>
  <c r="C67" i="14"/>
  <c r="O66" i="14"/>
  <c r="N66" i="14"/>
  <c r="O65" i="14"/>
  <c r="N65" i="14"/>
  <c r="O64" i="14"/>
  <c r="N64" i="14"/>
  <c r="O63" i="14"/>
  <c r="N63" i="14"/>
  <c r="O62" i="14"/>
  <c r="N62" i="14"/>
  <c r="O61" i="14"/>
  <c r="N61" i="14"/>
  <c r="O60" i="14"/>
  <c r="D60" i="14"/>
  <c r="E60" i="14"/>
  <c r="N60" i="14"/>
  <c r="C60" i="14"/>
  <c r="O59" i="14"/>
  <c r="N59" i="14"/>
  <c r="O58" i="14"/>
  <c r="N58" i="14"/>
  <c r="O57" i="14"/>
  <c r="N57" i="14"/>
  <c r="O56" i="14"/>
  <c r="N56" i="14"/>
  <c r="O55" i="14"/>
  <c r="N55" i="14"/>
  <c r="O54" i="14"/>
  <c r="N54" i="14"/>
  <c r="O53" i="14"/>
  <c r="D53" i="14"/>
  <c r="E53" i="14"/>
  <c r="N53" i="14"/>
  <c r="C53" i="14"/>
  <c r="O52" i="14"/>
  <c r="N52" i="14"/>
  <c r="O51" i="14"/>
  <c r="N51" i="14"/>
  <c r="O50" i="14"/>
  <c r="N50" i="14"/>
  <c r="O49" i="14"/>
  <c r="N49" i="14"/>
  <c r="O48" i="14"/>
  <c r="N48" i="14"/>
  <c r="O47" i="14"/>
  <c r="N47" i="14"/>
  <c r="N46" i="14"/>
  <c r="C46" i="14"/>
  <c r="O46" i="14"/>
  <c r="D46" i="14"/>
  <c r="E46" i="14"/>
  <c r="O45" i="14"/>
  <c r="N45" i="14"/>
  <c r="O44" i="14"/>
  <c r="N44" i="14"/>
  <c r="O43" i="14"/>
  <c r="N43" i="14"/>
  <c r="O42" i="14"/>
  <c r="N42" i="14"/>
  <c r="O41" i="14"/>
  <c r="N41" i="14"/>
  <c r="O40" i="14"/>
  <c r="O39" i="14"/>
  <c r="D39" i="14"/>
  <c r="E39" i="14"/>
  <c r="N40" i="14"/>
  <c r="N39" i="14"/>
  <c r="C39" i="14"/>
  <c r="O38" i="14"/>
  <c r="N38" i="14"/>
  <c r="O37" i="14"/>
  <c r="N37" i="14"/>
  <c r="O36" i="14"/>
  <c r="N36" i="14"/>
  <c r="O35" i="14"/>
  <c r="N35" i="14"/>
  <c r="O34" i="14"/>
  <c r="N34" i="14"/>
  <c r="O33" i="14"/>
  <c r="N33" i="14"/>
  <c r="O32" i="14"/>
  <c r="D32" i="14"/>
  <c r="E32" i="14"/>
  <c r="N32" i="14"/>
  <c r="C32" i="14"/>
  <c r="O31" i="14"/>
  <c r="N31" i="14"/>
  <c r="O30" i="14"/>
  <c r="N30" i="14"/>
  <c r="O29" i="14"/>
  <c r="N29" i="14"/>
  <c r="O28" i="14"/>
  <c r="N28" i="14"/>
  <c r="O27" i="14"/>
  <c r="N27" i="14"/>
  <c r="O26" i="14"/>
  <c r="N26" i="14"/>
  <c r="O25" i="14"/>
  <c r="D25" i="14"/>
  <c r="E25" i="14"/>
  <c r="N25" i="14"/>
  <c r="C25" i="14"/>
  <c r="O24" i="14"/>
  <c r="N24" i="14"/>
  <c r="O23" i="14"/>
  <c r="N23" i="14"/>
  <c r="O22" i="14"/>
  <c r="N22" i="14"/>
  <c r="O21" i="14"/>
  <c r="N21" i="14"/>
  <c r="O20" i="14"/>
  <c r="N20" i="14"/>
  <c r="O19" i="14"/>
  <c r="N19" i="14"/>
  <c r="N18" i="14"/>
  <c r="C18" i="14"/>
  <c r="O18" i="14"/>
  <c r="D18" i="14"/>
  <c r="E18" i="14"/>
  <c r="O17" i="14"/>
  <c r="N17" i="14"/>
  <c r="O16" i="14"/>
  <c r="N16" i="14"/>
  <c r="O15" i="14"/>
  <c r="N15" i="14"/>
  <c r="O14" i="14"/>
  <c r="N14" i="14"/>
  <c r="O13" i="14"/>
  <c r="N13" i="14"/>
  <c r="O12" i="14"/>
  <c r="O11" i="14"/>
  <c r="D11" i="14"/>
  <c r="N12" i="14"/>
  <c r="N11" i="14"/>
  <c r="C11" i="14"/>
  <c r="C10" i="14"/>
  <c r="O696" i="15"/>
  <c r="N696" i="15"/>
  <c r="O695" i="15"/>
  <c r="N695" i="15"/>
  <c r="O694" i="15"/>
  <c r="N694" i="15"/>
  <c r="O693" i="15"/>
  <c r="N693" i="15"/>
  <c r="O692" i="15"/>
  <c r="N692" i="15"/>
  <c r="O691" i="15"/>
  <c r="N691" i="15"/>
  <c r="O690" i="15"/>
  <c r="N690" i="15"/>
  <c r="C690" i="15"/>
  <c r="D690" i="15"/>
  <c r="E690" i="15"/>
  <c r="O689" i="15"/>
  <c r="N689" i="15"/>
  <c r="O688" i="15"/>
  <c r="N688" i="15"/>
  <c r="O687" i="15"/>
  <c r="N687" i="15"/>
  <c r="O686" i="15"/>
  <c r="N686" i="15"/>
  <c r="O685" i="15"/>
  <c r="N685" i="15"/>
  <c r="O684" i="15"/>
  <c r="N684" i="15"/>
  <c r="O683" i="15"/>
  <c r="D683" i="15"/>
  <c r="N683" i="15"/>
  <c r="C683" i="15"/>
  <c r="C682" i="15"/>
  <c r="O681" i="15"/>
  <c r="N681" i="15"/>
  <c r="O680" i="15"/>
  <c r="N680" i="15"/>
  <c r="O679" i="15"/>
  <c r="N679" i="15"/>
  <c r="O678" i="15"/>
  <c r="N678" i="15"/>
  <c r="O677" i="15"/>
  <c r="N677" i="15"/>
  <c r="O676" i="15"/>
  <c r="N676" i="15"/>
  <c r="O675" i="15"/>
  <c r="D675" i="15"/>
  <c r="E675" i="15"/>
  <c r="N675" i="15"/>
  <c r="C675" i="15"/>
  <c r="O674" i="15"/>
  <c r="N674" i="15"/>
  <c r="O673" i="15"/>
  <c r="N673" i="15"/>
  <c r="O672" i="15"/>
  <c r="N672" i="15"/>
  <c r="O671" i="15"/>
  <c r="N671" i="15"/>
  <c r="O670" i="15"/>
  <c r="N670" i="15"/>
  <c r="O669" i="15"/>
  <c r="N669" i="15"/>
  <c r="O668" i="15"/>
  <c r="D668" i="15"/>
  <c r="N668" i="15"/>
  <c r="C668" i="15"/>
  <c r="O666" i="15"/>
  <c r="N666" i="15"/>
  <c r="O665" i="15"/>
  <c r="N665" i="15"/>
  <c r="O664" i="15"/>
  <c r="N664" i="15"/>
  <c r="O663" i="15"/>
  <c r="N663" i="15"/>
  <c r="O662" i="15"/>
  <c r="N662" i="15"/>
  <c r="O661" i="15"/>
  <c r="N661" i="15"/>
  <c r="O660" i="15"/>
  <c r="D660" i="15"/>
  <c r="N660" i="15"/>
  <c r="C660" i="15"/>
  <c r="C659" i="15"/>
  <c r="O658" i="15"/>
  <c r="N658" i="15"/>
  <c r="O657" i="15"/>
  <c r="N657" i="15"/>
  <c r="O656" i="15"/>
  <c r="N656" i="15"/>
  <c r="O655" i="15"/>
  <c r="N655" i="15"/>
  <c r="O654" i="15"/>
  <c r="N654" i="15"/>
  <c r="O653" i="15"/>
  <c r="N653" i="15"/>
  <c r="O652" i="15"/>
  <c r="D652" i="15"/>
  <c r="N652" i="15"/>
  <c r="C652" i="15"/>
  <c r="C651" i="15"/>
  <c r="O650" i="15"/>
  <c r="N650" i="15"/>
  <c r="O649" i="15"/>
  <c r="N649" i="15"/>
  <c r="O648" i="15"/>
  <c r="N648" i="15"/>
  <c r="O647" i="15"/>
  <c r="N647" i="15"/>
  <c r="O646" i="15"/>
  <c r="N646" i="15"/>
  <c r="O645" i="15"/>
  <c r="N645" i="15"/>
  <c r="O644" i="15"/>
  <c r="D644" i="15"/>
  <c r="N644" i="15"/>
  <c r="C644" i="15"/>
  <c r="C643" i="15"/>
  <c r="O642" i="15"/>
  <c r="N642" i="15"/>
  <c r="O641" i="15"/>
  <c r="N641" i="15"/>
  <c r="O640" i="15"/>
  <c r="N640" i="15"/>
  <c r="O639" i="15"/>
  <c r="N639" i="15"/>
  <c r="O638" i="15"/>
  <c r="N638" i="15"/>
  <c r="O637" i="15"/>
  <c r="N637" i="15"/>
  <c r="O636" i="15"/>
  <c r="D636" i="15"/>
  <c r="N636" i="15"/>
  <c r="C636" i="15"/>
  <c r="C635" i="15"/>
  <c r="O634" i="15"/>
  <c r="N634" i="15"/>
  <c r="O633" i="15"/>
  <c r="N633" i="15"/>
  <c r="O632" i="15"/>
  <c r="N632" i="15"/>
  <c r="O631" i="15"/>
  <c r="N631" i="15"/>
  <c r="O630" i="15"/>
  <c r="N630" i="15"/>
  <c r="O629" i="15"/>
  <c r="N629" i="15"/>
  <c r="O628" i="15"/>
  <c r="D628" i="15"/>
  <c r="E628" i="15"/>
  <c r="N628" i="15"/>
  <c r="C628" i="15"/>
  <c r="O627" i="15"/>
  <c r="N627" i="15"/>
  <c r="O626" i="15"/>
  <c r="N626" i="15"/>
  <c r="O625" i="15"/>
  <c r="N625" i="15"/>
  <c r="O624" i="15"/>
  <c r="N624" i="15"/>
  <c r="O623" i="15"/>
  <c r="N623" i="15"/>
  <c r="O622" i="15"/>
  <c r="N622" i="15"/>
  <c r="O621" i="15"/>
  <c r="D621" i="15"/>
  <c r="E621" i="15"/>
  <c r="N621" i="15"/>
  <c r="C621" i="15"/>
  <c r="O620" i="15"/>
  <c r="N620" i="15"/>
  <c r="O619" i="15"/>
  <c r="N619" i="15"/>
  <c r="O618" i="15"/>
  <c r="N618" i="15"/>
  <c r="O617" i="15"/>
  <c r="N617" i="15"/>
  <c r="O616" i="15"/>
  <c r="N616" i="15"/>
  <c r="O615" i="15"/>
  <c r="N615" i="15"/>
  <c r="O614" i="15"/>
  <c r="N614" i="15"/>
  <c r="C614" i="15"/>
  <c r="D614" i="15"/>
  <c r="E614" i="15"/>
  <c r="O613" i="15"/>
  <c r="N613" i="15"/>
  <c r="O612" i="15"/>
  <c r="N612" i="15"/>
  <c r="O611" i="15"/>
  <c r="N611" i="15"/>
  <c r="O610" i="15"/>
  <c r="N610" i="15"/>
  <c r="O609" i="15"/>
  <c r="N609" i="15"/>
  <c r="O608" i="15"/>
  <c r="N608" i="15"/>
  <c r="O607" i="15"/>
  <c r="D607" i="15"/>
  <c r="E607" i="15"/>
  <c r="N607" i="15"/>
  <c r="C607" i="15"/>
  <c r="O606" i="15"/>
  <c r="N606" i="15"/>
  <c r="O605" i="15"/>
  <c r="N605" i="15"/>
  <c r="O604" i="15"/>
  <c r="N604" i="15"/>
  <c r="O603" i="15"/>
  <c r="N603" i="15"/>
  <c r="O602" i="15"/>
  <c r="N602" i="15"/>
  <c r="O601" i="15"/>
  <c r="N601" i="15"/>
  <c r="O600" i="15"/>
  <c r="D600" i="15"/>
  <c r="E600" i="15"/>
  <c r="N600" i="15"/>
  <c r="C600" i="15"/>
  <c r="O599" i="15"/>
  <c r="N599" i="15"/>
  <c r="O598" i="15"/>
  <c r="N598" i="15"/>
  <c r="O597" i="15"/>
  <c r="N597" i="15"/>
  <c r="O596" i="15"/>
  <c r="N596" i="15"/>
  <c r="O595" i="15"/>
  <c r="N595" i="15"/>
  <c r="O594" i="15"/>
  <c r="N594" i="15"/>
  <c r="O593" i="15"/>
  <c r="D593" i="15"/>
  <c r="E593" i="15"/>
  <c r="N593" i="15"/>
  <c r="C593" i="15"/>
  <c r="O592" i="15"/>
  <c r="N592" i="15"/>
  <c r="O591" i="15"/>
  <c r="N591" i="15"/>
  <c r="O590" i="15"/>
  <c r="N590" i="15"/>
  <c r="O589" i="15"/>
  <c r="N589" i="15"/>
  <c r="O588" i="15"/>
  <c r="N588" i="15"/>
  <c r="O587" i="15"/>
  <c r="N587" i="15"/>
  <c r="N586" i="15"/>
  <c r="C586" i="15"/>
  <c r="O586" i="15"/>
  <c r="D586" i="15"/>
  <c r="E586" i="15"/>
  <c r="O585" i="15"/>
  <c r="N585" i="15"/>
  <c r="O584" i="15"/>
  <c r="N584" i="15"/>
  <c r="O583" i="15"/>
  <c r="N583" i="15"/>
  <c r="O582" i="15"/>
  <c r="N582" i="15"/>
  <c r="O581" i="15"/>
  <c r="N581" i="15"/>
  <c r="O580" i="15"/>
  <c r="O579" i="15"/>
  <c r="D579" i="15"/>
  <c r="E579" i="15"/>
  <c r="N580" i="15"/>
  <c r="N579" i="15"/>
  <c r="C579" i="15"/>
  <c r="O578" i="15"/>
  <c r="N578" i="15"/>
  <c r="O577" i="15"/>
  <c r="N577" i="15"/>
  <c r="O576" i="15"/>
  <c r="N576" i="15"/>
  <c r="O575" i="15"/>
  <c r="N575" i="15"/>
  <c r="O574" i="15"/>
  <c r="N574" i="15"/>
  <c r="O573" i="15"/>
  <c r="N573" i="15"/>
  <c r="O572" i="15"/>
  <c r="D572" i="15"/>
  <c r="E572" i="15"/>
  <c r="N572" i="15"/>
  <c r="C572" i="15"/>
  <c r="O571" i="15"/>
  <c r="N571" i="15"/>
  <c r="O570" i="15"/>
  <c r="N570" i="15"/>
  <c r="O569" i="15"/>
  <c r="N569" i="15"/>
  <c r="O568" i="15"/>
  <c r="N568" i="15"/>
  <c r="O567" i="15"/>
  <c r="N567" i="15"/>
  <c r="O566" i="15"/>
  <c r="N566" i="15"/>
  <c r="O565" i="15"/>
  <c r="D565" i="15"/>
  <c r="E565" i="15"/>
  <c r="N565" i="15"/>
  <c r="C565" i="15"/>
  <c r="O564" i="15"/>
  <c r="N564" i="15"/>
  <c r="O563" i="15"/>
  <c r="N563" i="15"/>
  <c r="O562" i="15"/>
  <c r="N562" i="15"/>
  <c r="O561" i="15"/>
  <c r="N561" i="15"/>
  <c r="O560" i="15"/>
  <c r="N560" i="15"/>
  <c r="O559" i="15"/>
  <c r="N559" i="15"/>
  <c r="N558" i="15"/>
  <c r="C558" i="15"/>
  <c r="O558" i="15"/>
  <c r="D558" i="15"/>
  <c r="E558" i="15"/>
  <c r="O557" i="15"/>
  <c r="N557" i="15"/>
  <c r="O556" i="15"/>
  <c r="N556" i="15"/>
  <c r="O555" i="15"/>
  <c r="N555" i="15"/>
  <c r="O554" i="15"/>
  <c r="N554" i="15"/>
  <c r="O553" i="15"/>
  <c r="N553" i="15"/>
  <c r="O552" i="15"/>
  <c r="O551" i="15"/>
  <c r="D551" i="15"/>
  <c r="E551" i="15"/>
  <c r="N552" i="15"/>
  <c r="N551" i="15"/>
  <c r="C551" i="15"/>
  <c r="O550" i="15"/>
  <c r="N550" i="15"/>
  <c r="O549" i="15"/>
  <c r="N549" i="15"/>
  <c r="O548" i="15"/>
  <c r="N548" i="15"/>
  <c r="O547" i="15"/>
  <c r="N547" i="15"/>
  <c r="O546" i="15"/>
  <c r="N546" i="15"/>
  <c r="O545" i="15"/>
  <c r="N545" i="15"/>
  <c r="O544" i="15"/>
  <c r="D544" i="15"/>
  <c r="E544" i="15"/>
  <c r="N544" i="15"/>
  <c r="C544" i="15"/>
  <c r="O543" i="15"/>
  <c r="N543" i="15"/>
  <c r="O542" i="15"/>
  <c r="N542" i="15"/>
  <c r="O541" i="15"/>
  <c r="N541" i="15"/>
  <c r="O540" i="15"/>
  <c r="N540" i="15"/>
  <c r="O539" i="15"/>
  <c r="N539" i="15"/>
  <c r="O538" i="15"/>
  <c r="N538" i="15"/>
  <c r="O537" i="15"/>
  <c r="D537" i="15"/>
  <c r="E537" i="15"/>
  <c r="N537" i="15"/>
  <c r="C537" i="15"/>
  <c r="O536" i="15"/>
  <c r="N536" i="15"/>
  <c r="O535" i="15"/>
  <c r="N535" i="15"/>
  <c r="O534" i="15"/>
  <c r="N534" i="15"/>
  <c r="O533" i="15"/>
  <c r="N533" i="15"/>
  <c r="O532" i="15"/>
  <c r="N532" i="15"/>
  <c r="O531" i="15"/>
  <c r="N531" i="15"/>
  <c r="N530" i="15"/>
  <c r="C530" i="15"/>
  <c r="O530" i="15"/>
  <c r="D530" i="15"/>
  <c r="E530" i="15"/>
  <c r="O529" i="15"/>
  <c r="N529" i="15"/>
  <c r="O528" i="15"/>
  <c r="N528" i="15"/>
  <c r="O527" i="15"/>
  <c r="N527" i="15"/>
  <c r="O526" i="15"/>
  <c r="N526" i="15"/>
  <c r="O525" i="15"/>
  <c r="N525" i="15"/>
  <c r="O524" i="15"/>
  <c r="O523" i="15"/>
  <c r="D523" i="15"/>
  <c r="E523" i="15"/>
  <c r="N524" i="15"/>
  <c r="N523" i="15"/>
  <c r="C523" i="15"/>
  <c r="O522" i="15"/>
  <c r="N522" i="15"/>
  <c r="O521" i="15"/>
  <c r="N521" i="15"/>
  <c r="O520" i="15"/>
  <c r="N520" i="15"/>
  <c r="O519" i="15"/>
  <c r="N519" i="15"/>
  <c r="O518" i="15"/>
  <c r="N518" i="15"/>
  <c r="O517" i="15"/>
  <c r="N517" i="15"/>
  <c r="O516" i="15"/>
  <c r="D516" i="15"/>
  <c r="E516" i="15"/>
  <c r="N516" i="15"/>
  <c r="C516" i="15"/>
  <c r="O515" i="15"/>
  <c r="N515" i="15"/>
  <c r="O514" i="15"/>
  <c r="N514" i="15"/>
  <c r="O513" i="15"/>
  <c r="N513" i="15"/>
  <c r="O512" i="15"/>
  <c r="N512" i="15"/>
  <c r="O511" i="15"/>
  <c r="N511" i="15"/>
  <c r="O510" i="15"/>
  <c r="N510" i="15"/>
  <c r="O509" i="15"/>
  <c r="D509" i="15"/>
  <c r="E509" i="15"/>
  <c r="N509" i="15"/>
  <c r="C509" i="15"/>
  <c r="O508" i="15"/>
  <c r="N508" i="15"/>
  <c r="O507" i="15"/>
  <c r="N507" i="15"/>
  <c r="O506" i="15"/>
  <c r="N506" i="15"/>
  <c r="O505" i="15"/>
  <c r="N505" i="15"/>
  <c r="O504" i="15"/>
  <c r="N504" i="15"/>
  <c r="O503" i="15"/>
  <c r="N503" i="15"/>
  <c r="O502" i="15"/>
  <c r="N502" i="15"/>
  <c r="C502" i="15"/>
  <c r="D502" i="15"/>
  <c r="E502" i="15"/>
  <c r="O501" i="15"/>
  <c r="N501" i="15"/>
  <c r="O500" i="15"/>
  <c r="N500" i="15"/>
  <c r="O499" i="15"/>
  <c r="N499" i="15"/>
  <c r="O498" i="15"/>
  <c r="N498" i="15"/>
  <c r="O497" i="15"/>
  <c r="N497" i="15"/>
  <c r="O496" i="15"/>
  <c r="N496" i="15"/>
  <c r="O495" i="15"/>
  <c r="D495" i="15"/>
  <c r="E495" i="15"/>
  <c r="N495" i="15"/>
  <c r="C495" i="15"/>
  <c r="O494" i="15"/>
  <c r="N494" i="15"/>
  <c r="O493" i="15"/>
  <c r="N493" i="15"/>
  <c r="O492" i="15"/>
  <c r="N492" i="15"/>
  <c r="O491" i="15"/>
  <c r="N491" i="15"/>
  <c r="O490" i="15"/>
  <c r="N490" i="15"/>
  <c r="O489" i="15"/>
  <c r="N489" i="15"/>
  <c r="O488" i="15"/>
  <c r="D488" i="15"/>
  <c r="E488" i="15"/>
  <c r="N488" i="15"/>
  <c r="C488" i="15"/>
  <c r="O487" i="15"/>
  <c r="N487" i="15"/>
  <c r="O486" i="15"/>
  <c r="N486" i="15"/>
  <c r="O485" i="15"/>
  <c r="N485" i="15"/>
  <c r="O484" i="15"/>
  <c r="N484" i="15"/>
  <c r="O483" i="15"/>
  <c r="N483" i="15"/>
  <c r="O482" i="15"/>
  <c r="N482" i="15"/>
  <c r="O481" i="15"/>
  <c r="D481" i="15"/>
  <c r="E481" i="15"/>
  <c r="N481" i="15"/>
  <c r="C481" i="15"/>
  <c r="O480" i="15"/>
  <c r="N480" i="15"/>
  <c r="O479" i="15"/>
  <c r="N479" i="15"/>
  <c r="O478" i="15"/>
  <c r="N478" i="15"/>
  <c r="O477" i="15"/>
  <c r="N477" i="15"/>
  <c r="O476" i="15"/>
  <c r="N476" i="15"/>
  <c r="O475" i="15"/>
  <c r="N475" i="15"/>
  <c r="O474" i="15"/>
  <c r="N474" i="15"/>
  <c r="C474" i="15"/>
  <c r="D474" i="15"/>
  <c r="E474" i="15"/>
  <c r="O473" i="15"/>
  <c r="N473" i="15"/>
  <c r="O472" i="15"/>
  <c r="N472" i="15"/>
  <c r="O471" i="15"/>
  <c r="N471" i="15"/>
  <c r="O470" i="15"/>
  <c r="N470" i="15"/>
  <c r="O469" i="15"/>
  <c r="N469" i="15"/>
  <c r="O468" i="15"/>
  <c r="N468" i="15"/>
  <c r="O467" i="15"/>
  <c r="D467" i="15"/>
  <c r="E467" i="15"/>
  <c r="N467" i="15"/>
  <c r="C467" i="15"/>
  <c r="O466" i="15"/>
  <c r="N466" i="15"/>
  <c r="O465" i="15"/>
  <c r="N465" i="15"/>
  <c r="O464" i="15"/>
  <c r="N464" i="15"/>
  <c r="O463" i="15"/>
  <c r="N463" i="15"/>
  <c r="O462" i="15"/>
  <c r="N462" i="15"/>
  <c r="O461" i="15"/>
  <c r="N461" i="15"/>
  <c r="O460" i="15"/>
  <c r="D460" i="15"/>
  <c r="E460" i="15"/>
  <c r="N460" i="15"/>
  <c r="C460" i="15"/>
  <c r="O459" i="15"/>
  <c r="N459" i="15"/>
  <c r="O458" i="15"/>
  <c r="N458" i="15"/>
  <c r="O457" i="15"/>
  <c r="N457" i="15"/>
  <c r="O456" i="15"/>
  <c r="N456" i="15"/>
  <c r="O455" i="15"/>
  <c r="N455" i="15"/>
  <c r="O454" i="15"/>
  <c r="N454" i="15"/>
  <c r="O453" i="15"/>
  <c r="D453" i="15"/>
  <c r="N453" i="15"/>
  <c r="C453" i="15"/>
  <c r="O451" i="15"/>
  <c r="N451" i="15"/>
  <c r="O450" i="15"/>
  <c r="N450" i="15"/>
  <c r="O449" i="15"/>
  <c r="N449" i="15"/>
  <c r="O448" i="15"/>
  <c r="N448" i="15"/>
  <c r="O447" i="15"/>
  <c r="N447" i="15"/>
  <c r="O446" i="15"/>
  <c r="N446" i="15"/>
  <c r="O445" i="15"/>
  <c r="D445" i="15"/>
  <c r="N445" i="15"/>
  <c r="C445" i="15"/>
  <c r="C444" i="15"/>
  <c r="O443" i="15"/>
  <c r="N443" i="15"/>
  <c r="O442" i="15"/>
  <c r="N442" i="15"/>
  <c r="O441" i="15"/>
  <c r="N441" i="15"/>
  <c r="O440" i="15"/>
  <c r="N440" i="15"/>
  <c r="O439" i="15"/>
  <c r="N439" i="15"/>
  <c r="O438" i="15"/>
  <c r="N438" i="15"/>
  <c r="O437" i="15"/>
  <c r="D437" i="15"/>
  <c r="E437" i="15"/>
  <c r="N437" i="15"/>
  <c r="C437" i="15"/>
  <c r="O436" i="15"/>
  <c r="N436" i="15"/>
  <c r="O435" i="15"/>
  <c r="N435" i="15"/>
  <c r="O434" i="15"/>
  <c r="N434" i="15"/>
  <c r="O433" i="15"/>
  <c r="N433" i="15"/>
  <c r="O432" i="15"/>
  <c r="N432" i="15"/>
  <c r="O431" i="15"/>
  <c r="N431" i="15"/>
  <c r="N430" i="15"/>
  <c r="C430" i="15"/>
  <c r="C429" i="15"/>
  <c r="O430" i="15"/>
  <c r="D430" i="15"/>
  <c r="E430" i="15"/>
  <c r="E429" i="15"/>
  <c r="O428" i="15"/>
  <c r="N428" i="15"/>
  <c r="O427" i="15"/>
  <c r="N427" i="15"/>
  <c r="O426" i="15"/>
  <c r="N426" i="15"/>
  <c r="O425" i="15"/>
  <c r="N425" i="15"/>
  <c r="O424" i="15"/>
  <c r="N424" i="15"/>
  <c r="O423" i="15"/>
  <c r="N423" i="15"/>
  <c r="N422" i="15"/>
  <c r="C422" i="15"/>
  <c r="O422" i="15"/>
  <c r="D422" i="15"/>
  <c r="E422" i="15"/>
  <c r="O421" i="15"/>
  <c r="N421" i="15"/>
  <c r="O420" i="15"/>
  <c r="N420" i="15"/>
  <c r="O419" i="15"/>
  <c r="N419" i="15"/>
  <c r="O418" i="15"/>
  <c r="N418" i="15"/>
  <c r="O417" i="15"/>
  <c r="N417" i="15"/>
  <c r="O416" i="15"/>
  <c r="O415" i="15"/>
  <c r="D415" i="15"/>
  <c r="E415" i="15"/>
  <c r="N416" i="15"/>
  <c r="N415" i="15"/>
  <c r="C415" i="15"/>
  <c r="O414" i="15"/>
  <c r="N414" i="15"/>
  <c r="O413" i="15"/>
  <c r="N413" i="15"/>
  <c r="O412" i="15"/>
  <c r="N412" i="15"/>
  <c r="O411" i="15"/>
  <c r="N411" i="15"/>
  <c r="O410" i="15"/>
  <c r="N410" i="15"/>
  <c r="O409" i="15"/>
  <c r="N409" i="15"/>
  <c r="O408" i="15"/>
  <c r="D408" i="15"/>
  <c r="E408" i="15"/>
  <c r="N408" i="15"/>
  <c r="C408" i="15"/>
  <c r="O407" i="15"/>
  <c r="N407" i="15"/>
  <c r="O406" i="15"/>
  <c r="N406" i="15"/>
  <c r="O405" i="15"/>
  <c r="N405" i="15"/>
  <c r="O404" i="15"/>
  <c r="N404" i="15"/>
  <c r="O403" i="15"/>
  <c r="N403" i="15"/>
  <c r="O402" i="15"/>
  <c r="N402" i="15"/>
  <c r="O401" i="15"/>
  <c r="D401" i="15"/>
  <c r="E401" i="15"/>
  <c r="N401" i="15"/>
  <c r="C401" i="15"/>
  <c r="O400" i="15"/>
  <c r="N400" i="15"/>
  <c r="O399" i="15"/>
  <c r="N399" i="15"/>
  <c r="O398" i="15"/>
  <c r="N398" i="15"/>
  <c r="O397" i="15"/>
  <c r="N397" i="15"/>
  <c r="O396" i="15"/>
  <c r="N396" i="15"/>
  <c r="O395" i="15"/>
  <c r="N395" i="15"/>
  <c r="O394" i="15"/>
  <c r="N394" i="15"/>
  <c r="C394" i="15"/>
  <c r="D394" i="15"/>
  <c r="E394" i="15"/>
  <c r="O393" i="15"/>
  <c r="N393" i="15"/>
  <c r="O392" i="15"/>
  <c r="N392" i="15"/>
  <c r="O391" i="15"/>
  <c r="N391" i="15"/>
  <c r="O390" i="15"/>
  <c r="N390" i="15"/>
  <c r="O389" i="15"/>
  <c r="N389" i="15"/>
  <c r="O388" i="15"/>
  <c r="N388" i="15"/>
  <c r="O387" i="15"/>
  <c r="D387" i="15"/>
  <c r="E387" i="15"/>
  <c r="N387" i="15"/>
  <c r="C387" i="15"/>
  <c r="O386" i="15"/>
  <c r="N386" i="15"/>
  <c r="O385" i="15"/>
  <c r="N385" i="15"/>
  <c r="O384" i="15"/>
  <c r="N384" i="15"/>
  <c r="O383" i="15"/>
  <c r="N383" i="15"/>
  <c r="O382" i="15"/>
  <c r="N382" i="15"/>
  <c r="O381" i="15"/>
  <c r="N381" i="15"/>
  <c r="O380" i="15"/>
  <c r="D380" i="15"/>
  <c r="E380" i="15"/>
  <c r="N380" i="15"/>
  <c r="C380" i="15"/>
  <c r="O379" i="15"/>
  <c r="N379" i="15"/>
  <c r="O378" i="15"/>
  <c r="N378" i="15"/>
  <c r="O377" i="15"/>
  <c r="N377" i="15"/>
  <c r="O376" i="15"/>
  <c r="N376" i="15"/>
  <c r="O375" i="15"/>
  <c r="N375" i="15"/>
  <c r="O374" i="15"/>
  <c r="N374" i="15"/>
  <c r="O373" i="15"/>
  <c r="D373" i="15"/>
  <c r="E373" i="15"/>
  <c r="N373" i="15"/>
  <c r="C373" i="15"/>
  <c r="O372" i="15"/>
  <c r="N372" i="15"/>
  <c r="O371" i="15"/>
  <c r="N371" i="15"/>
  <c r="O370" i="15"/>
  <c r="N370" i="15"/>
  <c r="O369" i="15"/>
  <c r="N369" i="15"/>
  <c r="O368" i="15"/>
  <c r="N368" i="15"/>
  <c r="O367" i="15"/>
  <c r="N367" i="15"/>
  <c r="O366" i="15"/>
  <c r="N366" i="15"/>
  <c r="C366" i="15"/>
  <c r="D366" i="15"/>
  <c r="E366" i="15"/>
  <c r="O365" i="15"/>
  <c r="N365" i="15"/>
  <c r="O364" i="15"/>
  <c r="N364" i="15"/>
  <c r="O363" i="15"/>
  <c r="N363" i="15"/>
  <c r="O362" i="15"/>
  <c r="N362" i="15"/>
  <c r="O361" i="15"/>
  <c r="N361" i="15"/>
  <c r="O360" i="15"/>
  <c r="N360" i="15"/>
  <c r="O359" i="15"/>
  <c r="D359" i="15"/>
  <c r="E359" i="15"/>
  <c r="N359" i="15"/>
  <c r="C359" i="15"/>
  <c r="O358" i="15"/>
  <c r="N358" i="15"/>
  <c r="O357" i="15"/>
  <c r="N357" i="15"/>
  <c r="O356" i="15"/>
  <c r="N356" i="15"/>
  <c r="O355" i="15"/>
  <c r="N355" i="15"/>
  <c r="O354" i="15"/>
  <c r="N354" i="15"/>
  <c r="O353" i="15"/>
  <c r="N353" i="15"/>
  <c r="O352" i="15"/>
  <c r="D352" i="15"/>
  <c r="E352" i="15"/>
  <c r="N352" i="15"/>
  <c r="C352" i="15"/>
  <c r="O351" i="15"/>
  <c r="N351" i="15"/>
  <c r="O350" i="15"/>
  <c r="N350" i="15"/>
  <c r="O349" i="15"/>
  <c r="N349" i="15"/>
  <c r="O348" i="15"/>
  <c r="N348" i="15"/>
  <c r="O347" i="15"/>
  <c r="N347" i="15"/>
  <c r="O346" i="15"/>
  <c r="N346" i="15"/>
  <c r="O345" i="15"/>
  <c r="D345" i="15"/>
  <c r="E345" i="15"/>
  <c r="N345" i="15"/>
  <c r="C345" i="15"/>
  <c r="O344" i="15"/>
  <c r="N344" i="15"/>
  <c r="O343" i="15"/>
  <c r="N343" i="15"/>
  <c r="O342" i="15"/>
  <c r="N342" i="15"/>
  <c r="O341" i="15"/>
  <c r="N341" i="15"/>
  <c r="O340" i="15"/>
  <c r="N340" i="15"/>
  <c r="O339" i="15"/>
  <c r="N339" i="15"/>
  <c r="O338" i="15"/>
  <c r="N338" i="15"/>
  <c r="C338" i="15"/>
  <c r="D338" i="15"/>
  <c r="E338" i="15"/>
  <c r="O337" i="15"/>
  <c r="N337" i="15"/>
  <c r="O336" i="15"/>
  <c r="N336" i="15"/>
  <c r="O335" i="15"/>
  <c r="N335" i="15"/>
  <c r="O334" i="15"/>
  <c r="N334" i="15"/>
  <c r="O333" i="15"/>
  <c r="N333" i="15"/>
  <c r="O332" i="15"/>
  <c r="O331" i="15"/>
  <c r="D331" i="15"/>
  <c r="N332" i="15"/>
  <c r="N331" i="15"/>
  <c r="C331" i="15"/>
  <c r="E331" i="15"/>
  <c r="O330" i="15"/>
  <c r="N330" i="15"/>
  <c r="O329" i="15"/>
  <c r="N329" i="15"/>
  <c r="O328" i="15"/>
  <c r="N328" i="15"/>
  <c r="O327" i="15"/>
  <c r="N327" i="15"/>
  <c r="O326" i="15"/>
  <c r="N326" i="15"/>
  <c r="O325" i="15"/>
  <c r="N325" i="15"/>
  <c r="O324" i="15"/>
  <c r="D324" i="15"/>
  <c r="E324" i="15"/>
  <c r="N324" i="15"/>
  <c r="C324" i="15"/>
  <c r="O323" i="15"/>
  <c r="N323" i="15"/>
  <c r="O322" i="15"/>
  <c r="N322" i="15"/>
  <c r="O321" i="15"/>
  <c r="N321" i="15"/>
  <c r="O320" i="15"/>
  <c r="N320" i="15"/>
  <c r="O319" i="15"/>
  <c r="N319" i="15"/>
  <c r="O318" i="15"/>
  <c r="N318" i="15"/>
  <c r="O317" i="15"/>
  <c r="D317" i="15"/>
  <c r="E317" i="15"/>
  <c r="N317" i="15"/>
  <c r="C317" i="15"/>
  <c r="O316" i="15"/>
  <c r="N316" i="15"/>
  <c r="O315" i="15"/>
  <c r="N315" i="15"/>
  <c r="O314" i="15"/>
  <c r="N314" i="15"/>
  <c r="O313" i="15"/>
  <c r="N313" i="15"/>
  <c r="O312" i="15"/>
  <c r="N312" i="15"/>
  <c r="O311" i="15"/>
  <c r="N311" i="15"/>
  <c r="N310" i="15"/>
  <c r="C310" i="15"/>
  <c r="O310" i="15"/>
  <c r="D310" i="15"/>
  <c r="E310" i="15"/>
  <c r="O309" i="15"/>
  <c r="N309" i="15"/>
  <c r="O308" i="15"/>
  <c r="N308" i="15"/>
  <c r="O307" i="15"/>
  <c r="N307" i="15"/>
  <c r="O306" i="15"/>
  <c r="N306" i="15"/>
  <c r="O305" i="15"/>
  <c r="N305" i="15"/>
  <c r="O304" i="15"/>
  <c r="O303" i="15"/>
  <c r="D303" i="15"/>
  <c r="N304" i="15"/>
  <c r="N303" i="15"/>
  <c r="C303" i="15"/>
  <c r="E303" i="15"/>
  <c r="O302" i="15"/>
  <c r="N302" i="15"/>
  <c r="O301" i="15"/>
  <c r="N301" i="15"/>
  <c r="O300" i="15"/>
  <c r="N300" i="15"/>
  <c r="O299" i="15"/>
  <c r="N299" i="15"/>
  <c r="O298" i="15"/>
  <c r="N298" i="15"/>
  <c r="O297" i="15"/>
  <c r="N297" i="15"/>
  <c r="O296" i="15"/>
  <c r="D296" i="15"/>
  <c r="E296" i="15"/>
  <c r="N296" i="15"/>
  <c r="C296" i="15"/>
  <c r="O295" i="15"/>
  <c r="N295" i="15"/>
  <c r="O294" i="15"/>
  <c r="N294" i="15"/>
  <c r="O293" i="15"/>
  <c r="N293" i="15"/>
  <c r="O292" i="15"/>
  <c r="N292" i="15"/>
  <c r="O291" i="15"/>
  <c r="N291" i="15"/>
  <c r="O290" i="15"/>
  <c r="N290" i="15"/>
  <c r="O289" i="15"/>
  <c r="D289" i="15"/>
  <c r="E289" i="15"/>
  <c r="N289" i="15"/>
  <c r="C289" i="15"/>
  <c r="O288" i="15"/>
  <c r="N288" i="15"/>
  <c r="O287" i="15"/>
  <c r="N287" i="15"/>
  <c r="O286" i="15"/>
  <c r="N286" i="15"/>
  <c r="O285" i="15"/>
  <c r="N285" i="15"/>
  <c r="O284" i="15"/>
  <c r="N284" i="15"/>
  <c r="O283" i="15"/>
  <c r="N283" i="15"/>
  <c r="O282" i="15"/>
  <c r="N282" i="15"/>
  <c r="D282" i="15"/>
  <c r="E282" i="15"/>
  <c r="O281" i="15"/>
  <c r="N281" i="15"/>
  <c r="O280" i="15"/>
  <c r="N280" i="15"/>
  <c r="O279" i="15"/>
  <c r="N279" i="15"/>
  <c r="O278" i="15"/>
  <c r="N278" i="15"/>
  <c r="O277" i="15"/>
  <c r="N277" i="15"/>
  <c r="O276" i="15"/>
  <c r="N276" i="15"/>
  <c r="O275" i="15"/>
  <c r="D275" i="15"/>
  <c r="E275" i="15"/>
  <c r="N275" i="15"/>
  <c r="C275" i="15"/>
  <c r="O274" i="15"/>
  <c r="N274" i="15"/>
  <c r="O273" i="15"/>
  <c r="N273" i="15"/>
  <c r="O272" i="15"/>
  <c r="N272" i="15"/>
  <c r="O271" i="15"/>
  <c r="N271" i="15"/>
  <c r="O270" i="15"/>
  <c r="N270" i="15"/>
  <c r="O269" i="15"/>
  <c r="N269" i="15"/>
  <c r="O268" i="15"/>
  <c r="D268" i="15"/>
  <c r="E268" i="15"/>
  <c r="N268" i="15"/>
  <c r="C268" i="15"/>
  <c r="O267" i="15"/>
  <c r="N267" i="15"/>
  <c r="O266" i="15"/>
  <c r="N266" i="15"/>
  <c r="O265" i="15"/>
  <c r="N265" i="15"/>
  <c r="O264" i="15"/>
  <c r="N264" i="15"/>
  <c r="O263" i="15"/>
  <c r="N263" i="15"/>
  <c r="O262" i="15"/>
  <c r="N262" i="15"/>
  <c r="O261" i="15"/>
  <c r="D261" i="15"/>
  <c r="E261" i="15"/>
  <c r="N261" i="15"/>
  <c r="C261" i="15"/>
  <c r="O260" i="15"/>
  <c r="N260" i="15"/>
  <c r="O259" i="15"/>
  <c r="N259" i="15"/>
  <c r="O258" i="15"/>
  <c r="N258" i="15"/>
  <c r="O257" i="15"/>
  <c r="N257" i="15"/>
  <c r="O256" i="15"/>
  <c r="N256" i="15"/>
  <c r="O255" i="15"/>
  <c r="N255" i="15"/>
  <c r="O254" i="15"/>
  <c r="N254" i="15"/>
  <c r="C254" i="15"/>
  <c r="D254" i="15"/>
  <c r="E254" i="15"/>
  <c r="O253" i="15"/>
  <c r="N253" i="15"/>
  <c r="O252" i="15"/>
  <c r="N252" i="15"/>
  <c r="O251" i="15"/>
  <c r="N251" i="15"/>
  <c r="O250" i="15"/>
  <c r="N250" i="15"/>
  <c r="O249" i="15"/>
  <c r="N249" i="15"/>
  <c r="O248" i="15"/>
  <c r="N248" i="15"/>
  <c r="O247" i="15"/>
  <c r="N247" i="15"/>
  <c r="C247" i="15"/>
  <c r="O246" i="15"/>
  <c r="N246" i="15"/>
  <c r="O245" i="15"/>
  <c r="N245" i="15"/>
  <c r="O244" i="15"/>
  <c r="N244" i="15"/>
  <c r="O243" i="15"/>
  <c r="N243" i="15"/>
  <c r="O242" i="15"/>
  <c r="N242" i="15"/>
  <c r="O241" i="15"/>
  <c r="N241" i="15"/>
  <c r="O240" i="15"/>
  <c r="D240" i="15"/>
  <c r="E240" i="15"/>
  <c r="N240" i="15"/>
  <c r="C240" i="15"/>
  <c r="O239" i="15"/>
  <c r="N239" i="15"/>
  <c r="O238" i="15"/>
  <c r="N238" i="15"/>
  <c r="O237" i="15"/>
  <c r="N237" i="15"/>
  <c r="O236" i="15"/>
  <c r="N236" i="15"/>
  <c r="O235" i="15"/>
  <c r="N235" i="15"/>
  <c r="O234" i="15"/>
  <c r="N234" i="15"/>
  <c r="O233" i="15"/>
  <c r="D233" i="15"/>
  <c r="E233" i="15"/>
  <c r="N233" i="15"/>
  <c r="C233" i="15"/>
  <c r="O232" i="15"/>
  <c r="N232" i="15"/>
  <c r="O231" i="15"/>
  <c r="N231" i="15"/>
  <c r="O230" i="15"/>
  <c r="N230" i="15"/>
  <c r="O229" i="15"/>
  <c r="N229" i="15"/>
  <c r="O228" i="15"/>
  <c r="N228" i="15"/>
  <c r="O227" i="15"/>
  <c r="N227" i="15"/>
  <c r="N226" i="15"/>
  <c r="C226" i="15"/>
  <c r="O226" i="15"/>
  <c r="D226" i="15"/>
  <c r="E226" i="15"/>
  <c r="O225" i="15"/>
  <c r="N225" i="15"/>
  <c r="O224" i="15"/>
  <c r="N224" i="15"/>
  <c r="O223" i="15"/>
  <c r="N223" i="15"/>
  <c r="O222" i="15"/>
  <c r="N222" i="15"/>
  <c r="O221" i="15"/>
  <c r="N221" i="15"/>
  <c r="O220" i="15"/>
  <c r="O219" i="15"/>
  <c r="D219" i="15"/>
  <c r="N220" i="15"/>
  <c r="N219" i="15"/>
  <c r="C219" i="15"/>
  <c r="E219" i="15"/>
  <c r="O218" i="15"/>
  <c r="N218" i="15"/>
  <c r="O217" i="15"/>
  <c r="N217" i="15"/>
  <c r="O216" i="15"/>
  <c r="N216" i="15"/>
  <c r="O215" i="15"/>
  <c r="N215" i="15"/>
  <c r="O214" i="15"/>
  <c r="N214" i="15"/>
  <c r="O213" i="15"/>
  <c r="N213" i="15"/>
  <c r="O212" i="15"/>
  <c r="D212" i="15"/>
  <c r="E212" i="15"/>
  <c r="N212" i="15"/>
  <c r="C212" i="15"/>
  <c r="O211" i="15"/>
  <c r="N211" i="15"/>
  <c r="O210" i="15"/>
  <c r="N210" i="15"/>
  <c r="O209" i="15"/>
  <c r="N209" i="15"/>
  <c r="O208" i="15"/>
  <c r="N208" i="15"/>
  <c r="O207" i="15"/>
  <c r="N207" i="15"/>
  <c r="O206" i="15"/>
  <c r="N206" i="15"/>
  <c r="O205" i="15"/>
  <c r="D205" i="15"/>
  <c r="E205" i="15"/>
  <c r="N205" i="15"/>
  <c r="C205" i="15"/>
  <c r="O204" i="15"/>
  <c r="N204" i="15"/>
  <c r="O203" i="15"/>
  <c r="N203" i="15"/>
  <c r="O202" i="15"/>
  <c r="N202" i="15"/>
  <c r="O201" i="15"/>
  <c r="N201" i="15"/>
  <c r="O200" i="15"/>
  <c r="N200" i="15"/>
  <c r="O199" i="15"/>
  <c r="N199" i="15"/>
  <c r="O198" i="15"/>
  <c r="N198" i="15"/>
  <c r="D198" i="15"/>
  <c r="E198" i="15"/>
  <c r="O197" i="15"/>
  <c r="N197" i="15"/>
  <c r="O196" i="15"/>
  <c r="N196" i="15"/>
  <c r="O195" i="15"/>
  <c r="N195" i="15"/>
  <c r="O194" i="15"/>
  <c r="N194" i="15"/>
  <c r="O193" i="15"/>
  <c r="N193" i="15"/>
  <c r="O192" i="15"/>
  <c r="N192" i="15"/>
  <c r="O191" i="15"/>
  <c r="D191" i="15"/>
  <c r="E191" i="15"/>
  <c r="N191" i="15"/>
  <c r="C191" i="15"/>
  <c r="O190" i="15"/>
  <c r="N190" i="15"/>
  <c r="O189" i="15"/>
  <c r="N189" i="15"/>
  <c r="O188" i="15"/>
  <c r="N188" i="15"/>
  <c r="O187" i="15"/>
  <c r="N187" i="15"/>
  <c r="O186" i="15"/>
  <c r="N186" i="15"/>
  <c r="O185" i="15"/>
  <c r="N185" i="15"/>
  <c r="O184" i="15"/>
  <c r="D184" i="15"/>
  <c r="N184" i="15"/>
  <c r="C184" i="15"/>
  <c r="O182" i="15"/>
  <c r="N182" i="15"/>
  <c r="O181" i="15"/>
  <c r="N181" i="15"/>
  <c r="O180" i="15"/>
  <c r="N180" i="15"/>
  <c r="O179" i="15"/>
  <c r="N179" i="15"/>
  <c r="O178" i="15"/>
  <c r="N178" i="15"/>
  <c r="O177" i="15"/>
  <c r="N177" i="15"/>
  <c r="O176" i="15"/>
  <c r="D176" i="15"/>
  <c r="E176" i="15"/>
  <c r="N176" i="15"/>
  <c r="C176" i="15"/>
  <c r="N169" i="15"/>
  <c r="N170" i="15"/>
  <c r="N171" i="15"/>
  <c r="N172" i="15"/>
  <c r="N173" i="15"/>
  <c r="N174" i="15"/>
  <c r="N175" i="15"/>
  <c r="C169" i="15"/>
  <c r="C168" i="15"/>
  <c r="G11" i="18"/>
  <c r="O175" i="15"/>
  <c r="O174" i="15"/>
  <c r="O173" i="15"/>
  <c r="O172" i="15"/>
  <c r="O171" i="15"/>
  <c r="O170" i="15"/>
  <c r="O169" i="15"/>
  <c r="D169" i="15"/>
  <c r="O167" i="15"/>
  <c r="N167" i="15"/>
  <c r="O166" i="15"/>
  <c r="N166" i="15"/>
  <c r="O165" i="15"/>
  <c r="N165" i="15"/>
  <c r="O164" i="15"/>
  <c r="N164" i="15"/>
  <c r="O163" i="15"/>
  <c r="N163" i="15"/>
  <c r="O162" i="15"/>
  <c r="N162" i="15"/>
  <c r="O161" i="15"/>
  <c r="D161" i="15"/>
  <c r="N161" i="15"/>
  <c r="C161" i="15"/>
  <c r="O160" i="15"/>
  <c r="N160" i="15"/>
  <c r="O159" i="15"/>
  <c r="N159" i="15"/>
  <c r="O158" i="15"/>
  <c r="N158" i="15"/>
  <c r="O157" i="15"/>
  <c r="N157" i="15"/>
  <c r="O156" i="15"/>
  <c r="N156" i="15"/>
  <c r="O155" i="15"/>
  <c r="N155" i="15"/>
  <c r="N154" i="15"/>
  <c r="C154" i="15"/>
  <c r="O154" i="15"/>
  <c r="D154" i="15"/>
  <c r="E154" i="15"/>
  <c r="C153" i="15"/>
  <c r="O152" i="15"/>
  <c r="N152" i="15"/>
  <c r="O151" i="15"/>
  <c r="N151" i="15"/>
  <c r="O150" i="15"/>
  <c r="N150" i="15"/>
  <c r="O149" i="15"/>
  <c r="N149" i="15"/>
  <c r="O148" i="15"/>
  <c r="N148" i="15"/>
  <c r="O147" i="15"/>
  <c r="N147" i="15"/>
  <c r="N146" i="15"/>
  <c r="C146" i="15"/>
  <c r="O146" i="15"/>
  <c r="D146" i="15"/>
  <c r="E146" i="15"/>
  <c r="O145" i="15"/>
  <c r="N145" i="15"/>
  <c r="O144" i="15"/>
  <c r="N144" i="15"/>
  <c r="O143" i="15"/>
  <c r="N143" i="15"/>
  <c r="O142" i="15"/>
  <c r="N142" i="15"/>
  <c r="O141" i="15"/>
  <c r="N141" i="15"/>
  <c r="O140" i="15"/>
  <c r="O139" i="15"/>
  <c r="D139" i="15"/>
  <c r="N140" i="15"/>
  <c r="N139" i="15"/>
  <c r="C139" i="15"/>
  <c r="E139" i="15"/>
  <c r="O138" i="15"/>
  <c r="N138" i="15"/>
  <c r="O137" i="15"/>
  <c r="N137" i="15"/>
  <c r="O136" i="15"/>
  <c r="N136" i="15"/>
  <c r="O135" i="15"/>
  <c r="N135" i="15"/>
  <c r="O134" i="15"/>
  <c r="N134" i="15"/>
  <c r="O133" i="15"/>
  <c r="N133" i="15"/>
  <c r="O132" i="15"/>
  <c r="D132" i="15"/>
  <c r="N132" i="15"/>
  <c r="C132" i="15"/>
  <c r="O130" i="15"/>
  <c r="N130" i="15"/>
  <c r="O129" i="15"/>
  <c r="N129" i="15"/>
  <c r="O128" i="15"/>
  <c r="N128" i="15"/>
  <c r="O127" i="15"/>
  <c r="N127" i="15"/>
  <c r="O126" i="15"/>
  <c r="N126" i="15"/>
  <c r="O125" i="15"/>
  <c r="N125" i="15"/>
  <c r="O124" i="15"/>
  <c r="D124" i="15"/>
  <c r="E124" i="15"/>
  <c r="N124" i="15"/>
  <c r="C124" i="15"/>
  <c r="O123" i="15"/>
  <c r="N123" i="15"/>
  <c r="O122" i="15"/>
  <c r="N122" i="15"/>
  <c r="O121" i="15"/>
  <c r="N121" i="15"/>
  <c r="O120" i="15"/>
  <c r="N120" i="15"/>
  <c r="O119" i="15"/>
  <c r="N119" i="15"/>
  <c r="O118" i="15"/>
  <c r="N118" i="15"/>
  <c r="O117" i="15"/>
  <c r="D117" i="15"/>
  <c r="E117" i="15"/>
  <c r="N117" i="15"/>
  <c r="C117" i="15"/>
  <c r="O116" i="15"/>
  <c r="N116" i="15"/>
  <c r="O115" i="15"/>
  <c r="N115" i="15"/>
  <c r="O114" i="15"/>
  <c r="N114" i="15"/>
  <c r="O113" i="15"/>
  <c r="N113" i="15"/>
  <c r="O112" i="15"/>
  <c r="N112" i="15"/>
  <c r="O111" i="15"/>
  <c r="N111" i="15"/>
  <c r="N110" i="15"/>
  <c r="C110" i="15"/>
  <c r="O110" i="15"/>
  <c r="D110" i="15"/>
  <c r="E110" i="15"/>
  <c r="O109" i="15"/>
  <c r="N109" i="15"/>
  <c r="O108" i="15"/>
  <c r="N108" i="15"/>
  <c r="O107" i="15"/>
  <c r="N107" i="15"/>
  <c r="O106" i="15"/>
  <c r="N106" i="15"/>
  <c r="O105" i="15"/>
  <c r="N105" i="15"/>
  <c r="O104" i="15"/>
  <c r="N104" i="15"/>
  <c r="O103" i="15"/>
  <c r="D103" i="15"/>
  <c r="E103" i="15"/>
  <c r="N103" i="15"/>
  <c r="C103" i="15"/>
  <c r="O102" i="15"/>
  <c r="N102" i="15"/>
  <c r="O101" i="15"/>
  <c r="N101" i="15"/>
  <c r="O100" i="15"/>
  <c r="N100" i="15"/>
  <c r="O99" i="15"/>
  <c r="N99" i="15"/>
  <c r="O98" i="15"/>
  <c r="N98" i="15"/>
  <c r="O97" i="15"/>
  <c r="N97" i="15"/>
  <c r="O96" i="15"/>
  <c r="D96" i="15"/>
  <c r="E96" i="15"/>
  <c r="N96" i="15"/>
  <c r="C96" i="15"/>
  <c r="O95" i="15"/>
  <c r="N95" i="15"/>
  <c r="O94" i="15"/>
  <c r="N94" i="15"/>
  <c r="O93" i="15"/>
  <c r="N93" i="15"/>
  <c r="O92" i="15"/>
  <c r="N92" i="15"/>
  <c r="O91" i="15"/>
  <c r="N91" i="15"/>
  <c r="O90" i="15"/>
  <c r="N90" i="15"/>
  <c r="O89" i="15"/>
  <c r="N89" i="15"/>
  <c r="D89" i="15"/>
  <c r="E89" i="15"/>
  <c r="C89" i="15"/>
  <c r="O88" i="15"/>
  <c r="N88" i="15"/>
  <c r="O87" i="15"/>
  <c r="N87" i="15"/>
  <c r="O86" i="15"/>
  <c r="N86" i="15"/>
  <c r="O85" i="15"/>
  <c r="N85" i="15"/>
  <c r="O84" i="15"/>
  <c r="N84" i="15"/>
  <c r="O83" i="15"/>
  <c r="N83" i="15"/>
  <c r="O82" i="15"/>
  <c r="N82" i="15"/>
  <c r="D82" i="15"/>
  <c r="E82" i="15"/>
  <c r="O81" i="15"/>
  <c r="N81" i="15"/>
  <c r="O80" i="15"/>
  <c r="N80" i="15"/>
  <c r="O79" i="15"/>
  <c r="N79" i="15"/>
  <c r="O78" i="15"/>
  <c r="N78" i="15"/>
  <c r="O77" i="15"/>
  <c r="N77" i="15"/>
  <c r="O76" i="15"/>
  <c r="O75" i="15"/>
  <c r="D75" i="15"/>
  <c r="N76" i="15"/>
  <c r="N75" i="15"/>
  <c r="C75" i="15"/>
  <c r="E75" i="15"/>
  <c r="O74" i="15"/>
  <c r="N74" i="15"/>
  <c r="O73" i="15"/>
  <c r="N73" i="15"/>
  <c r="O72" i="15"/>
  <c r="N72" i="15"/>
  <c r="O71" i="15"/>
  <c r="N71" i="15"/>
  <c r="O70" i="15"/>
  <c r="N70" i="15"/>
  <c r="O69" i="15"/>
  <c r="N69" i="15"/>
  <c r="O68" i="15"/>
  <c r="D68" i="15"/>
  <c r="N68" i="15"/>
  <c r="C68" i="15"/>
  <c r="O66" i="15"/>
  <c r="N66" i="15"/>
  <c r="O65" i="15"/>
  <c r="N65" i="15"/>
  <c r="O64" i="15"/>
  <c r="N64" i="15"/>
  <c r="O63" i="15"/>
  <c r="N63" i="15"/>
  <c r="O62" i="15"/>
  <c r="N62" i="15"/>
  <c r="O61" i="15"/>
  <c r="N61" i="15"/>
  <c r="O60" i="15"/>
  <c r="D60" i="15"/>
  <c r="E60" i="15"/>
  <c r="N60" i="15"/>
  <c r="C60" i="15"/>
  <c r="O59" i="15"/>
  <c r="N59" i="15"/>
  <c r="O58" i="15"/>
  <c r="N58" i="15"/>
  <c r="O57" i="15"/>
  <c r="N57" i="15"/>
  <c r="O56" i="15"/>
  <c r="N56" i="15"/>
  <c r="O55" i="15"/>
  <c r="N55" i="15"/>
  <c r="O54" i="15"/>
  <c r="N54" i="15"/>
  <c r="O53" i="15"/>
  <c r="D53" i="15"/>
  <c r="E53" i="15"/>
  <c r="N53" i="15"/>
  <c r="C53" i="15"/>
  <c r="O52" i="15"/>
  <c r="N52" i="15"/>
  <c r="O51" i="15"/>
  <c r="N51" i="15"/>
  <c r="O50" i="15"/>
  <c r="N50" i="15"/>
  <c r="O49" i="15"/>
  <c r="N49" i="15"/>
  <c r="O48" i="15"/>
  <c r="N48" i="15"/>
  <c r="O47" i="15"/>
  <c r="N47" i="15"/>
  <c r="N46" i="15"/>
  <c r="C46" i="15"/>
  <c r="O46" i="15"/>
  <c r="D46" i="15"/>
  <c r="E46" i="15"/>
  <c r="O45" i="15"/>
  <c r="N45" i="15"/>
  <c r="O44" i="15"/>
  <c r="N44" i="15"/>
  <c r="O43" i="15"/>
  <c r="N43" i="15"/>
  <c r="O42" i="15"/>
  <c r="N42" i="15"/>
  <c r="O41" i="15"/>
  <c r="N41" i="15"/>
  <c r="O40" i="15"/>
  <c r="N40" i="15"/>
  <c r="O39" i="15"/>
  <c r="D39" i="15"/>
  <c r="E39" i="15"/>
  <c r="N39" i="15"/>
  <c r="C39" i="15"/>
  <c r="O38" i="15"/>
  <c r="N38" i="15"/>
  <c r="O37" i="15"/>
  <c r="N37" i="15"/>
  <c r="O36" i="15"/>
  <c r="N36" i="15"/>
  <c r="O35" i="15"/>
  <c r="N35" i="15"/>
  <c r="O34" i="15"/>
  <c r="N34" i="15"/>
  <c r="O33" i="15"/>
  <c r="N33" i="15"/>
  <c r="O32" i="15"/>
  <c r="D32" i="15"/>
  <c r="E32" i="15"/>
  <c r="N32" i="15"/>
  <c r="C32" i="15"/>
  <c r="O31" i="15"/>
  <c r="N31" i="15"/>
  <c r="O30" i="15"/>
  <c r="N30" i="15"/>
  <c r="O29" i="15"/>
  <c r="N29" i="15"/>
  <c r="O28" i="15"/>
  <c r="N28" i="15"/>
  <c r="O27" i="15"/>
  <c r="N27" i="15"/>
  <c r="O26" i="15"/>
  <c r="N26" i="15"/>
  <c r="O25" i="15"/>
  <c r="N25" i="15"/>
  <c r="D25" i="15"/>
  <c r="E25" i="15"/>
  <c r="C25" i="15"/>
  <c r="O24" i="15"/>
  <c r="N24" i="15"/>
  <c r="O23" i="15"/>
  <c r="N23" i="15"/>
  <c r="O22" i="15"/>
  <c r="N22" i="15"/>
  <c r="O21" i="15"/>
  <c r="N21" i="15"/>
  <c r="O20" i="15"/>
  <c r="N20" i="15"/>
  <c r="O19" i="15"/>
  <c r="N19" i="15"/>
  <c r="O18" i="15"/>
  <c r="N18" i="15"/>
  <c r="D18" i="15"/>
  <c r="D10" i="15"/>
  <c r="O17" i="15"/>
  <c r="N17" i="15"/>
  <c r="O16" i="15"/>
  <c r="N16" i="15"/>
  <c r="O15" i="15"/>
  <c r="N15" i="15"/>
  <c r="O14" i="15"/>
  <c r="N14" i="15"/>
  <c r="O13" i="15"/>
  <c r="N13" i="15"/>
  <c r="O12" i="15"/>
  <c r="O11" i="15"/>
  <c r="D11" i="15"/>
  <c r="E11" i="15"/>
  <c r="N12" i="15"/>
  <c r="N11" i="15"/>
  <c r="C11" i="15"/>
  <c r="A8" i="7"/>
  <c r="A9" i="7"/>
  <c r="A10" i="7"/>
  <c r="A11" i="7"/>
  <c r="A12" i="7"/>
  <c r="A13" i="7"/>
  <c r="A14" i="7"/>
  <c r="C8" i="7"/>
  <c r="B51" i="18"/>
  <c r="B50" i="18"/>
  <c r="B49" i="18"/>
  <c r="A49" i="18"/>
  <c r="A50" i="18"/>
  <c r="A51" i="18"/>
  <c r="B46" i="18"/>
  <c r="A44" i="18"/>
  <c r="A45" i="18"/>
  <c r="A46" i="18"/>
  <c r="B45" i="18"/>
  <c r="B44" i="18"/>
  <c r="B41" i="18"/>
  <c r="B40" i="18"/>
  <c r="B39" i="18"/>
  <c r="A39" i="18"/>
  <c r="A40" i="18"/>
  <c r="A41" i="18"/>
  <c r="B36" i="18"/>
  <c r="A34" i="18"/>
  <c r="A35" i="18"/>
  <c r="A36" i="18"/>
  <c r="B35" i="18"/>
  <c r="B34" i="18"/>
  <c r="G31" i="18"/>
  <c r="B31" i="18"/>
  <c r="G30" i="18"/>
  <c r="B30" i="18"/>
  <c r="G29" i="18"/>
  <c r="B29" i="18"/>
  <c r="G28" i="18"/>
  <c r="B28" i="18"/>
  <c r="B27" i="18"/>
  <c r="B26" i="18"/>
  <c r="G25" i="18"/>
  <c r="B25" i="18"/>
  <c r="A25" i="18"/>
  <c r="A26" i="18"/>
  <c r="A27" i="18"/>
  <c r="A28" i="18"/>
  <c r="A29" i="18"/>
  <c r="A30" i="18"/>
  <c r="A31" i="18"/>
  <c r="B22" i="18"/>
  <c r="G21" i="18"/>
  <c r="B21" i="18"/>
  <c r="B20" i="18"/>
  <c r="G19" i="18"/>
  <c r="B19" i="18"/>
  <c r="G18" i="18"/>
  <c r="B18" i="18"/>
  <c r="G17" i="18"/>
  <c r="B17" i="18"/>
  <c r="G16" i="18"/>
  <c r="B16" i="18"/>
  <c r="B15" i="18"/>
  <c r="G14" i="18"/>
  <c r="B14" i="18"/>
  <c r="G13" i="18"/>
  <c r="B13" i="18"/>
  <c r="B12" i="18"/>
  <c r="B11" i="18"/>
  <c r="G10" i="18"/>
  <c r="B10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B9" i="18"/>
  <c r="B8" i="18"/>
  <c r="E161" i="15"/>
  <c r="E153" i="15"/>
  <c r="D153" i="15"/>
  <c r="C187" i="14"/>
  <c r="G26" i="18"/>
  <c r="C202" i="14"/>
  <c r="G27" i="18"/>
  <c r="G24" i="18"/>
  <c r="C18" i="15"/>
  <c r="C10" i="15"/>
  <c r="C82" i="15"/>
  <c r="C67" i="15"/>
  <c r="G8" i="18"/>
  <c r="C131" i="15"/>
  <c r="G9" i="18"/>
  <c r="C198" i="15"/>
  <c r="C282" i="15"/>
  <c r="C183" i="15"/>
  <c r="G12" i="18"/>
  <c r="D247" i="15"/>
  <c r="E247" i="15"/>
  <c r="C452" i="15"/>
  <c r="G15" i="18"/>
  <c r="E644" i="15"/>
  <c r="E643" i="15"/>
  <c r="D643" i="15"/>
  <c r="E660" i="15"/>
  <c r="E659" i="15"/>
  <c r="D659" i="15"/>
  <c r="E90" i="16"/>
  <c r="E18" i="15"/>
  <c r="E10" i="15"/>
  <c r="C667" i="15"/>
  <c r="G20" i="18"/>
  <c r="E11" i="14"/>
  <c r="E10" i="14"/>
  <c r="D10" i="14"/>
  <c r="E188" i="14"/>
  <c r="E187" i="14"/>
  <c r="D187" i="14"/>
  <c r="E203" i="14"/>
  <c r="E202" i="14"/>
  <c r="D202" i="14"/>
  <c r="E217" i="14"/>
  <c r="E233" i="14"/>
  <c r="E232" i="14"/>
  <c r="D232" i="14"/>
  <c r="E68" i="15"/>
  <c r="E67" i="15"/>
  <c r="D67" i="15"/>
  <c r="D131" i="15"/>
  <c r="D168" i="15"/>
  <c r="D183" i="15"/>
  <c r="D429" i="15"/>
  <c r="D444" i="15"/>
  <c r="D452" i="15"/>
  <c r="D635" i="15"/>
  <c r="D651" i="15"/>
  <c r="D667" i="15"/>
  <c r="D682" i="15"/>
  <c r="D697" i="15"/>
  <c r="E132" i="15"/>
  <c r="E131" i="15"/>
  <c r="E169" i="15"/>
  <c r="E168" i="15"/>
  <c r="E453" i="15"/>
  <c r="E452" i="15"/>
  <c r="E636" i="15"/>
  <c r="E635" i="15"/>
  <c r="E652" i="15"/>
  <c r="E651" i="15"/>
  <c r="E668" i="15"/>
  <c r="E667" i="15"/>
  <c r="E683" i="15"/>
  <c r="E682" i="15"/>
  <c r="C297" i="14"/>
  <c r="E184" i="15"/>
  <c r="E183" i="15"/>
  <c r="E445" i="15"/>
  <c r="E444" i="15"/>
  <c r="E68" i="14"/>
  <c r="E67" i="14"/>
  <c r="D67" i="14"/>
  <c r="C10" i="16"/>
  <c r="G36" i="18"/>
  <c r="E18" i="16"/>
  <c r="E10" i="16"/>
  <c r="D10" i="16"/>
  <c r="E1560" i="11"/>
  <c r="E1559" i="11"/>
  <c r="D1559" i="11"/>
  <c r="D217" i="14"/>
  <c r="D289" i="14"/>
  <c r="O60" i="16"/>
  <c r="C10" i="6"/>
  <c r="G46" i="18"/>
  <c r="O60" i="6"/>
  <c r="D68" i="6"/>
  <c r="E68" i="6"/>
  <c r="C89" i="6"/>
  <c r="C167" i="6"/>
  <c r="C195" i="6"/>
  <c r="C60" i="6"/>
  <c r="G44" i="18"/>
  <c r="E11" i="12"/>
  <c r="E10" i="12"/>
  <c r="D10" i="12"/>
  <c r="D118" i="12"/>
  <c r="E118" i="12"/>
  <c r="C181" i="12"/>
  <c r="D230" i="12"/>
  <c r="E230" i="12"/>
  <c r="C301" i="12"/>
  <c r="C329" i="12"/>
  <c r="C413" i="12"/>
  <c r="C441" i="12"/>
  <c r="C527" i="12"/>
  <c r="C555" i="12"/>
  <c r="C641" i="12"/>
  <c r="C669" i="12"/>
  <c r="C272" i="12"/>
  <c r="D350" i="12"/>
  <c r="E350" i="12"/>
  <c r="D462" i="12"/>
  <c r="E462" i="12"/>
  <c r="D576" i="12"/>
  <c r="E576" i="12"/>
  <c r="D690" i="12"/>
  <c r="E690" i="12"/>
  <c r="C60" i="10"/>
  <c r="C10" i="10"/>
  <c r="E89" i="10"/>
  <c r="D96" i="10"/>
  <c r="E96" i="10"/>
  <c r="E74" i="10"/>
  <c r="D132" i="16"/>
  <c r="E132" i="16"/>
  <c r="C167" i="16"/>
  <c r="D188" i="16"/>
  <c r="E188" i="16"/>
  <c r="C223" i="16"/>
  <c r="D244" i="16"/>
  <c r="E244" i="16"/>
  <c r="D273" i="16"/>
  <c r="E273" i="16"/>
  <c r="C308" i="16"/>
  <c r="D329" i="16"/>
  <c r="E329" i="16"/>
  <c r="C364" i="16"/>
  <c r="D385" i="16"/>
  <c r="E385" i="16"/>
  <c r="C420" i="16"/>
  <c r="D441" i="16"/>
  <c r="E441" i="16"/>
  <c r="C476" i="16"/>
  <c r="D497" i="16"/>
  <c r="E497" i="16"/>
  <c r="C532" i="16"/>
  <c r="D555" i="16"/>
  <c r="E555" i="16"/>
  <c r="C590" i="16"/>
  <c r="D611" i="16"/>
  <c r="E611" i="16"/>
  <c r="C174" i="17"/>
  <c r="C259" i="17"/>
  <c r="D420" i="17"/>
  <c r="E420" i="17"/>
  <c r="D18" i="6"/>
  <c r="D104" i="6"/>
  <c r="E104" i="6"/>
  <c r="D216" i="6"/>
  <c r="E216" i="6"/>
  <c r="D301" i="6"/>
  <c r="E301" i="6"/>
  <c r="C364" i="6"/>
  <c r="D413" i="6"/>
  <c r="E413" i="6"/>
  <c r="C476" i="6"/>
  <c r="D527" i="6"/>
  <c r="E527" i="6"/>
  <c r="C590" i="6"/>
  <c r="D641" i="6"/>
  <c r="E641" i="6"/>
  <c r="C704" i="6"/>
  <c r="C11" i="12"/>
  <c r="D68" i="12"/>
  <c r="E68" i="12"/>
  <c r="D146" i="12"/>
  <c r="E146" i="12"/>
  <c r="E60" i="12"/>
  <c r="C97" i="12"/>
  <c r="C125" i="12"/>
  <c r="C89" i="12"/>
  <c r="C209" i="12"/>
  <c r="C60" i="12"/>
  <c r="G49" i="18"/>
  <c r="D258" i="12"/>
  <c r="E258" i="12"/>
  <c r="D378" i="12"/>
  <c r="E378" i="12"/>
  <c r="D490" i="12"/>
  <c r="E490" i="12"/>
  <c r="D604" i="12"/>
  <c r="E604" i="12"/>
  <c r="D718" i="12"/>
  <c r="E718" i="12"/>
  <c r="D25" i="10"/>
  <c r="E25" i="10"/>
  <c r="D118" i="16"/>
  <c r="E118" i="16"/>
  <c r="C153" i="16"/>
  <c r="C209" i="16"/>
  <c r="C60" i="16"/>
  <c r="G34" i="18"/>
  <c r="D174" i="16"/>
  <c r="E174" i="16"/>
  <c r="D230" i="16"/>
  <c r="E230" i="16"/>
  <c r="O258" i="16"/>
  <c r="D259" i="16"/>
  <c r="C294" i="16"/>
  <c r="C350" i="16"/>
  <c r="C406" i="16"/>
  <c r="C462" i="16"/>
  <c r="C518" i="16"/>
  <c r="C576" i="16"/>
  <c r="C258" i="16"/>
  <c r="D315" i="16"/>
  <c r="E315" i="16"/>
  <c r="D371" i="16"/>
  <c r="E371" i="16"/>
  <c r="D427" i="16"/>
  <c r="E427" i="16"/>
  <c r="D483" i="16"/>
  <c r="E483" i="16"/>
  <c r="D539" i="16"/>
  <c r="E539" i="16"/>
  <c r="D597" i="16"/>
  <c r="E597" i="16"/>
  <c r="C287" i="17"/>
  <c r="D448" i="17"/>
  <c r="E448" i="17"/>
  <c r="C511" i="17"/>
  <c r="D562" i="17"/>
  <c r="E562" i="17"/>
  <c r="D46" i="6"/>
  <c r="E46" i="6"/>
  <c r="D132" i="6"/>
  <c r="E132" i="6"/>
  <c r="D244" i="6"/>
  <c r="E244" i="6"/>
  <c r="E273" i="6"/>
  <c r="C280" i="6"/>
  <c r="D329" i="6"/>
  <c r="E329" i="6"/>
  <c r="C392" i="6"/>
  <c r="D441" i="6"/>
  <c r="E441" i="6"/>
  <c r="C504" i="6"/>
  <c r="D555" i="6"/>
  <c r="E555" i="6"/>
  <c r="C620" i="6"/>
  <c r="D669" i="6"/>
  <c r="E669" i="6"/>
  <c r="C732" i="6"/>
  <c r="C39" i="12"/>
  <c r="E273" i="12"/>
  <c r="E272" i="12"/>
  <c r="D272" i="12"/>
  <c r="E11" i="10"/>
  <c r="E10" i="10"/>
  <c r="D10" i="10"/>
  <c r="O272" i="6"/>
  <c r="C89" i="10"/>
  <c r="E261" i="10"/>
  <c r="E283" i="10"/>
  <c r="D396" i="10"/>
  <c r="E396" i="10"/>
  <c r="C431" i="10"/>
  <c r="D452" i="10"/>
  <c r="E452" i="10"/>
  <c r="C487" i="10"/>
  <c r="D536" i="10"/>
  <c r="E536" i="10"/>
  <c r="C599" i="10"/>
  <c r="D648" i="10"/>
  <c r="E648" i="10"/>
  <c r="C711" i="10"/>
  <c r="E747" i="10"/>
  <c r="D768" i="10"/>
  <c r="E768" i="10"/>
  <c r="C831" i="10"/>
  <c r="D880" i="10"/>
  <c r="E880" i="10"/>
  <c r="C943" i="10"/>
  <c r="D992" i="10"/>
  <c r="E992" i="10"/>
  <c r="C1055" i="10"/>
  <c r="D1104" i="10"/>
  <c r="E1104" i="10"/>
  <c r="C1167" i="10"/>
  <c r="D1196" i="10"/>
  <c r="E1453" i="10"/>
  <c r="E1424" i="10"/>
  <c r="D1424" i="10"/>
  <c r="E1560" i="10"/>
  <c r="D104" i="10"/>
  <c r="E104" i="10"/>
  <c r="C139" i="10"/>
  <c r="C103" i="10"/>
  <c r="D160" i="10"/>
  <c r="E160" i="10"/>
  <c r="D182" i="10"/>
  <c r="C217" i="10"/>
  <c r="D238" i="10"/>
  <c r="E238" i="10"/>
  <c r="C261" i="10"/>
  <c r="C260" i="10"/>
  <c r="C283" i="10"/>
  <c r="C282" i="10"/>
  <c r="C305" i="10"/>
  <c r="D326" i="10"/>
  <c r="C361" i="10"/>
  <c r="C417" i="10"/>
  <c r="C473" i="10"/>
  <c r="C515" i="10"/>
  <c r="C627" i="10"/>
  <c r="C739" i="10"/>
  <c r="C297" i="10"/>
  <c r="D382" i="10"/>
  <c r="E382" i="10"/>
  <c r="D438" i="10"/>
  <c r="E438" i="10"/>
  <c r="D564" i="10"/>
  <c r="E564" i="10"/>
  <c r="D676" i="10"/>
  <c r="E676" i="10"/>
  <c r="C747" i="10"/>
  <c r="D796" i="10"/>
  <c r="E796" i="10"/>
  <c r="C859" i="10"/>
  <c r="D908" i="10"/>
  <c r="E908" i="10"/>
  <c r="C971" i="10"/>
  <c r="D1020" i="10"/>
  <c r="E1020" i="10"/>
  <c r="C1083" i="10"/>
  <c r="D1132" i="10"/>
  <c r="E1132" i="10"/>
  <c r="D1204" i="10"/>
  <c r="E182" i="13"/>
  <c r="D231" i="13"/>
  <c r="E231" i="13"/>
  <c r="E181" i="13"/>
  <c r="D181" i="13"/>
  <c r="D60" i="12"/>
  <c r="C203" i="10"/>
  <c r="C181" i="10"/>
  <c r="D224" i="10"/>
  <c r="E224" i="10"/>
  <c r="D246" i="10"/>
  <c r="D268" i="10"/>
  <c r="E268" i="10"/>
  <c r="D290" i="10"/>
  <c r="E290" i="10"/>
  <c r="C1203" i="10"/>
  <c r="E1219" i="10"/>
  <c r="E1218" i="10"/>
  <c r="D1218" i="10"/>
  <c r="D1506" i="10"/>
  <c r="D1227" i="10"/>
  <c r="C1262" i="10"/>
  <c r="D1283" i="10"/>
  <c r="E1283" i="10"/>
  <c r="C1318" i="10"/>
  <c r="D1339" i="10"/>
  <c r="E1339" i="10"/>
  <c r="C1374" i="10"/>
  <c r="C1460" i="10"/>
  <c r="C1424" i="10"/>
  <c r="D1514" i="10"/>
  <c r="D1537" i="10"/>
  <c r="D1581" i="10"/>
  <c r="E1581" i="10"/>
  <c r="D25" i="13"/>
  <c r="E25" i="13"/>
  <c r="D111" i="13"/>
  <c r="E111" i="13"/>
  <c r="C174" i="13"/>
  <c r="C103" i="13"/>
  <c r="C74" i="13"/>
  <c r="C182" i="13"/>
  <c r="C210" i="13"/>
  <c r="C181" i="13"/>
  <c r="D275" i="13"/>
  <c r="E275" i="13"/>
  <c r="E1560" i="13"/>
  <c r="E1559" i="13"/>
  <c r="D1559" i="13"/>
  <c r="C103" i="11"/>
  <c r="C1248" i="10"/>
  <c r="D1269" i="10"/>
  <c r="E1269" i="10"/>
  <c r="C1304" i="10"/>
  <c r="D1325" i="10"/>
  <c r="E1325" i="10"/>
  <c r="C1360" i="10"/>
  <c r="D1381" i="10"/>
  <c r="E1381" i="10"/>
  <c r="D1425" i="10"/>
  <c r="E1425" i="10"/>
  <c r="D1491" i="10"/>
  <c r="D1567" i="10"/>
  <c r="E1567" i="10"/>
  <c r="E11" i="13"/>
  <c r="D53" i="13"/>
  <c r="E53" i="13"/>
  <c r="E10" i="13"/>
  <c r="D89" i="13"/>
  <c r="E89" i="13"/>
  <c r="D139" i="13"/>
  <c r="E139" i="13"/>
  <c r="E246" i="13"/>
  <c r="E245" i="13"/>
  <c r="D245" i="13"/>
  <c r="E261" i="13"/>
  <c r="E260" i="13"/>
  <c r="D283" i="13"/>
  <c r="C354" i="13"/>
  <c r="C382" i="13"/>
  <c r="C466" i="13"/>
  <c r="C494" i="13"/>
  <c r="C578" i="13"/>
  <c r="C606" i="13"/>
  <c r="C690" i="13"/>
  <c r="C718" i="13"/>
  <c r="C297" i="13"/>
  <c r="D403" i="13"/>
  <c r="E403" i="13"/>
  <c r="D515" i="13"/>
  <c r="E515" i="13"/>
  <c r="D627" i="13"/>
  <c r="E627" i="13"/>
  <c r="D739" i="13"/>
  <c r="E739" i="13"/>
  <c r="C782" i="13"/>
  <c r="C810" i="13"/>
  <c r="C880" i="13"/>
  <c r="C894" i="13"/>
  <c r="C936" i="13"/>
  <c r="C950" i="13"/>
  <c r="C992" i="13"/>
  <c r="C1034" i="13"/>
  <c r="C1062" i="13"/>
  <c r="C1090" i="13"/>
  <c r="C746" i="13"/>
  <c r="D831" i="13"/>
  <c r="E831" i="13"/>
  <c r="E1453" i="13"/>
  <c r="E1424" i="13"/>
  <c r="D1424" i="13"/>
  <c r="E1410" i="10"/>
  <c r="E1409" i="10"/>
  <c r="D1409" i="10"/>
  <c r="C1446" i="10"/>
  <c r="D1467" i="10"/>
  <c r="E1467" i="10"/>
  <c r="D1499" i="10"/>
  <c r="E1552" i="10"/>
  <c r="E1551" i="10"/>
  <c r="D1551" i="10"/>
  <c r="C1588" i="10"/>
  <c r="C1559" i="10"/>
  <c r="C32" i="13"/>
  <c r="C10" i="13"/>
  <c r="C282" i="13"/>
  <c r="C1226" i="13"/>
  <c r="C1609" i="13"/>
  <c r="C14" i="7"/>
  <c r="E75" i="13"/>
  <c r="E74" i="13"/>
  <c r="E298" i="13"/>
  <c r="D319" i="13"/>
  <c r="D431" i="13"/>
  <c r="D543" i="13"/>
  <c r="D655" i="13"/>
  <c r="D297" i="13"/>
  <c r="E319" i="13"/>
  <c r="E431" i="13"/>
  <c r="E543" i="13"/>
  <c r="E655" i="13"/>
  <c r="D747" i="13"/>
  <c r="E1219" i="13"/>
  <c r="E1218" i="13"/>
  <c r="D1218" i="13"/>
  <c r="D915" i="13"/>
  <c r="E915" i="13"/>
  <c r="D971" i="13"/>
  <c r="E971" i="13"/>
  <c r="D1536" i="13"/>
  <c r="E1536" i="13"/>
  <c r="E11" i="11"/>
  <c r="E10" i="11"/>
  <c r="D10" i="11"/>
  <c r="E75" i="11"/>
  <c r="E74" i="11"/>
  <c r="D74" i="11"/>
  <c r="E182" i="11"/>
  <c r="E181" i="11"/>
  <c r="D181" i="11"/>
  <c r="E261" i="11"/>
  <c r="E260" i="11"/>
  <c r="D260" i="11"/>
  <c r="E298" i="11"/>
  <c r="D648" i="11"/>
  <c r="E648" i="11"/>
  <c r="E297" i="11"/>
  <c r="D901" i="13"/>
  <c r="E901" i="13"/>
  <c r="D957" i="13"/>
  <c r="E957" i="13"/>
  <c r="D1097" i="13"/>
  <c r="E1097" i="13"/>
  <c r="E1196" i="13"/>
  <c r="E1195" i="13"/>
  <c r="D1195" i="13"/>
  <c r="E754" i="11"/>
  <c r="E1227" i="13"/>
  <c r="E1226" i="13"/>
  <c r="D1226" i="13"/>
  <c r="D1027" i="13"/>
  <c r="E1027" i="13"/>
  <c r="D282" i="11"/>
  <c r="C10" i="11"/>
  <c r="C74" i="11"/>
  <c r="C260" i="11"/>
  <c r="D908" i="11"/>
  <c r="E908" i="11"/>
  <c r="D992" i="11"/>
  <c r="E992" i="11"/>
  <c r="D1020" i="11"/>
  <c r="E1020" i="11"/>
  <c r="D1104" i="11"/>
  <c r="E1104" i="11"/>
  <c r="D1160" i="11"/>
  <c r="E1160" i="11"/>
  <c r="E746" i="11"/>
  <c r="E1204" i="13"/>
  <c r="E1203" i="13"/>
  <c r="D1203" i="13"/>
  <c r="E1475" i="13"/>
  <c r="E1474" i="13"/>
  <c r="D1474" i="13"/>
  <c r="E1483" i="13"/>
  <c r="E1482" i="13"/>
  <c r="D1482" i="13"/>
  <c r="E1491" i="13"/>
  <c r="E1490" i="13"/>
  <c r="D1490" i="13"/>
  <c r="E1499" i="13"/>
  <c r="E1498" i="13"/>
  <c r="D1498" i="13"/>
  <c r="E1507" i="13"/>
  <c r="E1506" i="13"/>
  <c r="D1506" i="13"/>
  <c r="E1515" i="13"/>
  <c r="E1514" i="13"/>
  <c r="D1514" i="13"/>
  <c r="E1552" i="13"/>
  <c r="E1551" i="13"/>
  <c r="D1551" i="13"/>
  <c r="E246" i="11"/>
  <c r="E245" i="11"/>
  <c r="D245" i="11"/>
  <c r="E1453" i="11"/>
  <c r="E1424" i="11"/>
  <c r="D1424" i="11"/>
  <c r="E1410" i="11"/>
  <c r="E1409" i="11"/>
  <c r="D1409" i="11"/>
  <c r="C915" i="11"/>
  <c r="C1027" i="11"/>
  <c r="C1111" i="11"/>
  <c r="C1167" i="11"/>
  <c r="D1196" i="11"/>
  <c r="C1211" i="11"/>
  <c r="C1203" i="11"/>
  <c r="C1227" i="11"/>
  <c r="C1283" i="11"/>
  <c r="C1339" i="11"/>
  <c r="C1395" i="11"/>
  <c r="D1432" i="11"/>
  <c r="E1432" i="11"/>
  <c r="D1544" i="11"/>
  <c r="E1544" i="11"/>
  <c r="C943" i="11"/>
  <c r="C1055" i="11"/>
  <c r="C746" i="11"/>
  <c r="D1204" i="11"/>
  <c r="D1276" i="11"/>
  <c r="E1276" i="11"/>
  <c r="D1332" i="11"/>
  <c r="E1332" i="11"/>
  <c r="D1388" i="11"/>
  <c r="E1388" i="11"/>
  <c r="E1226" i="11"/>
  <c r="C1467" i="11"/>
  <c r="C1483" i="11"/>
  <c r="C1482" i="11"/>
  <c r="C1499" i="11"/>
  <c r="C1498" i="11"/>
  <c r="C1515" i="11"/>
  <c r="C1514" i="11"/>
  <c r="E1537" i="11"/>
  <c r="E1536" i="11"/>
  <c r="D1536" i="11"/>
  <c r="D1552" i="11"/>
  <c r="C1567" i="11"/>
  <c r="C1559" i="11"/>
  <c r="C697" i="15"/>
  <c r="C7" i="7"/>
  <c r="G22" i="18"/>
  <c r="C618" i="16"/>
  <c r="C9" i="7"/>
  <c r="G35" i="18"/>
  <c r="G50" i="18"/>
  <c r="C10" i="12"/>
  <c r="G51" i="18"/>
  <c r="G48" i="18"/>
  <c r="C746" i="12"/>
  <c r="C12" i="7"/>
  <c r="C74" i="10"/>
  <c r="C746" i="10"/>
  <c r="C1226" i="10"/>
  <c r="C1609" i="10"/>
  <c r="C13" i="7"/>
  <c r="G33" i="18"/>
  <c r="E89" i="16"/>
  <c r="E60" i="16"/>
  <c r="E259" i="16"/>
  <c r="E258" i="16"/>
  <c r="E618" i="16"/>
  <c r="G7" i="18"/>
  <c r="D1551" i="11"/>
  <c r="E1552" i="11"/>
  <c r="E1551" i="11"/>
  <c r="D1203" i="11"/>
  <c r="E1204" i="11"/>
  <c r="E1203" i="11"/>
  <c r="C1226" i="11"/>
  <c r="C1609" i="11"/>
  <c r="D297" i="11"/>
  <c r="D746" i="11"/>
  <c r="D1195" i="11"/>
  <c r="D1226" i="11"/>
  <c r="D1609" i="11"/>
  <c r="D746" i="13"/>
  <c r="E747" i="13"/>
  <c r="E746" i="13"/>
  <c r="D74" i="13"/>
  <c r="D260" i="13"/>
  <c r="D10" i="13"/>
  <c r="D245" i="10"/>
  <c r="E246" i="10"/>
  <c r="E245" i="10"/>
  <c r="E182" i="10"/>
  <c r="E181" i="10"/>
  <c r="E260" i="10"/>
  <c r="E282" i="10"/>
  <c r="E326" i="10"/>
  <c r="E297" i="10"/>
  <c r="E746" i="10"/>
  <c r="E1196" i="10"/>
  <c r="E1195" i="10"/>
  <c r="E1204" i="10"/>
  <c r="E1203" i="10"/>
  <c r="E1227" i="10"/>
  <c r="E1226" i="10"/>
  <c r="E1491" i="10"/>
  <c r="E1490" i="10"/>
  <c r="E1499" i="10"/>
  <c r="E1498" i="10"/>
  <c r="E1537" i="10"/>
  <c r="E1536" i="10"/>
  <c r="E1559" i="10"/>
  <c r="E1609" i="10"/>
  <c r="D1203" i="10"/>
  <c r="D1559" i="10"/>
  <c r="D1195" i="10"/>
  <c r="D282" i="10"/>
  <c r="D60" i="6"/>
  <c r="D272" i="6"/>
  <c r="E1196" i="11"/>
  <c r="E1195" i="11"/>
  <c r="E1609" i="11"/>
  <c r="D181" i="10"/>
  <c r="D74" i="10"/>
  <c r="D260" i="10"/>
  <c r="D297" i="10"/>
  <c r="D746" i="10"/>
  <c r="D1226" i="10"/>
  <c r="D1490" i="10"/>
  <c r="D1498" i="10"/>
  <c r="D1536" i="10"/>
  <c r="D1609" i="10"/>
  <c r="D258" i="16"/>
  <c r="D10" i="6"/>
  <c r="D746" i="6"/>
  <c r="E18" i="6"/>
  <c r="E10" i="6"/>
  <c r="D89" i="16"/>
  <c r="D60" i="16"/>
  <c r="D618" i="16"/>
  <c r="D297" i="14"/>
  <c r="E697" i="15"/>
  <c r="E297" i="13"/>
  <c r="C272" i="6"/>
  <c r="D746" i="12"/>
  <c r="E60" i="6"/>
  <c r="E297" i="14"/>
  <c r="D282" i="13"/>
  <c r="E283" i="13"/>
  <c r="E282" i="13"/>
  <c r="E1609" i="13"/>
  <c r="E272" i="6"/>
  <c r="E746" i="12"/>
  <c r="C746" i="6"/>
  <c r="C11" i="7"/>
  <c r="G45" i="18"/>
  <c r="G43" i="18"/>
  <c r="D1609" i="13"/>
  <c r="E746" i="6"/>
  <c r="G52" i="18"/>
  <c r="C60" i="17" l="1"/>
  <c r="G39" i="18" s="1"/>
  <c r="E97" i="17"/>
  <c r="D89" i="17"/>
  <c r="D60" i="17" s="1"/>
  <c r="E89" i="17"/>
  <c r="E60" i="17" s="1"/>
  <c r="C10" i="17"/>
  <c r="G41" i="18" s="1"/>
  <c r="C258" i="17"/>
  <c r="D18" i="17"/>
  <c r="D266" i="17"/>
  <c r="E266" i="17" s="1"/>
  <c r="E258" i="17" s="1"/>
  <c r="E18" i="17" l="1"/>
  <c r="E10" i="17" s="1"/>
  <c r="E618" i="17" s="1"/>
  <c r="D10" i="17"/>
  <c r="D258" i="17"/>
  <c r="C618" i="17"/>
  <c r="C10" i="7" s="1"/>
  <c r="C15" i="7" s="1"/>
  <c r="G40" i="18"/>
  <c r="G38" i="18" s="1"/>
  <c r="D618" i="17" l="1"/>
</calcChain>
</file>

<file path=xl/sharedStrings.xml><?xml version="1.0" encoding="utf-8"?>
<sst xmlns="http://schemas.openxmlformats.org/spreadsheetml/2006/main" count="11311" uniqueCount="979">
  <si>
    <t xml:space="preserve">
</t>
  </si>
  <si>
    <t>Форма для заполнения по тендерной процедуре №ТП.....</t>
  </si>
  <si>
    <t xml:space="preserve">Разработка проектной и рабочей документации объекта
"Перевод установки получения масляных альдегидов методом оксосинтеза
на Rh катализатор с наращением мощности по 2-ЭГ и 2-ЭГК на АО «Сибур-Химпром»
</t>
  </si>
  <si>
    <t>№
п/п</t>
  </si>
  <si>
    <t xml:space="preserve">Наименование показателей </t>
  </si>
  <si>
    <t>Претендент</t>
  </si>
  <si>
    <t xml:space="preserve"> Соответствие техническому заданию.</t>
  </si>
  <si>
    <t>п. 4.10 Смета на строительство объектов капитального строительства</t>
  </si>
  <si>
    <t>1.</t>
  </si>
  <si>
    <t>Разработка сметной документации в 2-х форматах:
- ресурсным методом
-базисно индексным методом</t>
  </si>
  <si>
    <t>2.</t>
  </si>
  <si>
    <t>Базисно-индексный метод:</t>
  </si>
  <si>
    <t>2.1</t>
  </si>
  <si>
    <t>По основным (ценообразующим) материалам и вспомогательному оборудованию провести мониторинг рынка поставщиков</t>
  </si>
  <si>
    <t>2.2</t>
  </si>
  <si>
    <t>Предоставить ведомости объемов работ к каждому  расчету за подписью разработчика марки проекта.</t>
  </si>
  <si>
    <t>2.3</t>
  </si>
  <si>
    <t xml:space="preserve">Предоставить ведомости материалов с построчной стоимостью ресурсов </t>
  </si>
  <si>
    <t>2.4</t>
  </si>
  <si>
    <t xml:space="preserve">Предоставить ведомости оборудования с построчной стоимостью ресурсов </t>
  </si>
  <si>
    <t>2.5</t>
  </si>
  <si>
    <t>В локальных сметных расчетах учесть разделение ТМЦ поставки Заказчик / Подрядчик.</t>
  </si>
  <si>
    <t>2.6</t>
  </si>
  <si>
    <t>Базисно-индексным методом: локальные сметные расчеты выполнить в сметно-нормативной базе ФЕР-2001 в ред.2017 (с изм.1-4) в программном комплексе «Гранд-Смета» с применением индексов пересчета по статьям затрат Пермского Регионального Центра Ценообразования (ПРЦЦС).</t>
  </si>
  <si>
    <t>2.7</t>
  </si>
  <si>
    <t xml:space="preserve">Сметную документацию (для БИМ) сформировать в составе:  
- сводный сметный расчет;  
- объектные сметные расчеты; 
- локальные сметные расчеты ;
- ведомости объемов работ; 
- ведомости ресурсов;  
- ведомости оборудования </t>
  </si>
  <si>
    <t>3.</t>
  </si>
  <si>
    <t>Ресурсный метод:</t>
  </si>
  <si>
    <t>3.1</t>
  </si>
  <si>
    <t>Ресурсные ведомости под каждую единичную расценку (ЕР) и титул</t>
  </si>
  <si>
    <t>3.2</t>
  </si>
  <si>
    <t>Для определения  стоимости ресурсов использовать текущие цены на ресурсы, согласованные с Заказчиком.</t>
  </si>
  <si>
    <t>3.3</t>
  </si>
  <si>
    <t>Ресурсным методом: расчеты выполнить в сметно-нормативной базе ГЭСН-2001 в ред.2017 (с изм.1-4) в программном комплексе «Гранд-Смета»</t>
  </si>
  <si>
    <t>3.4</t>
  </si>
  <si>
    <t xml:space="preserve">Локальные сметные расчеты  составить   под каждую ЕР ресурсным методом на основании ВОР (Ведомостей объемов работ), сформированных  в соответствии  с BOQ  (Описанием выполняемых работ). </t>
  </si>
  <si>
    <t>3.5</t>
  </si>
  <si>
    <t xml:space="preserve">Пусконаладочные  работы (ПНР, ППНР) на стадии РД определить расчетом, разработать  ЕР. ЕР  и их основания должны содержать в том числе информацию по видам очистки технологических трубопроводов ,среды промывок и испытаний.   Информацию по работам в действующих электроустановках.    </t>
  </si>
  <si>
    <t>3.6</t>
  </si>
  <si>
    <t xml:space="preserve">Сметную документацию (для ресурсного метода) сформировать в составе:  
- свод стоимости ;  
- сводный перечень ЕР и объемов по проекту ; 
- свод стоимости  по каждому титульному объекту ;
- расчет стоимости каждого титульного объекта на основании Ведомости объемов работ под каждый титул; 
- реестр  Единичных расценок;  
- локальный сметный расчет (ЛСР) под каждую единичную расценку (ЕР) ,  
- ведомость объемов работ по каждой единичной расценке, сформированной на основании  Описания выполняемых работ  -   BOQ ; 
</t>
  </si>
  <si>
    <t>4.</t>
  </si>
  <si>
    <t>Разработать по-титульно, по-марочно, единичные показатели по проекту.</t>
  </si>
  <si>
    <t>5.</t>
  </si>
  <si>
    <t>Выполнить экспертизу сметной документации Сметным центром ООО «Сибур».</t>
  </si>
  <si>
    <t>6.</t>
  </si>
  <si>
    <t>Предоставить пояснительную записку по формированию стоимости с указанием перечня затрат, возможных к реализации, но не учтенных в стоимости строительства</t>
  </si>
  <si>
    <t>Форма для заполнения по тендерной процедуре №…….</t>
  </si>
  <si>
    <t xml:space="preserve"> Этапы  №
п/п</t>
  </si>
  <si>
    <t xml:space="preserve">Наименование Этапа </t>
  </si>
  <si>
    <t>Отчетная документация</t>
  </si>
  <si>
    <t>Дата начала</t>
  </si>
  <si>
    <t>Дата окончания*</t>
  </si>
  <si>
    <t>Перечень пунктов из формы ТКП  входящих в этап</t>
  </si>
  <si>
    <t>Стоимость, руб. без НДС</t>
  </si>
  <si>
    <t>Перечень пунктов из</t>
  </si>
  <si>
    <t>Стадия ТЭО (ТЭО_ФО+ЛС+ССР)</t>
  </si>
  <si>
    <t>Отчеты</t>
  </si>
  <si>
    <t>2.1 - 2.9</t>
  </si>
  <si>
    <t>3.1 - 3.2</t>
  </si>
  <si>
    <t>4.1 - 4.2</t>
  </si>
  <si>
    <t>5.1 - 5.2</t>
  </si>
  <si>
    <t>Документация</t>
  </si>
  <si>
    <t>6.1 - 6.35</t>
  </si>
  <si>
    <t>7.1. - 7.2</t>
  </si>
  <si>
    <t>Модель</t>
  </si>
  <si>
    <t xml:space="preserve">8.1. </t>
  </si>
  <si>
    <t>9.1. - 9.26</t>
  </si>
  <si>
    <t>Акт</t>
  </si>
  <si>
    <t>10.1.</t>
  </si>
  <si>
    <t xml:space="preserve">11.1. </t>
  </si>
  <si>
    <t>Утвержд. Согласования</t>
  </si>
  <si>
    <t>12.1.</t>
  </si>
  <si>
    <t>Расчеты</t>
  </si>
  <si>
    <t xml:space="preserve">13.1. </t>
  </si>
  <si>
    <t>Сметы</t>
  </si>
  <si>
    <t>14.1. - 14.2</t>
  </si>
  <si>
    <t>15.1. - 15.2.</t>
  </si>
  <si>
    <t>1.1. - 1.8</t>
  </si>
  <si>
    <t>Стадия ОТР (ОТР_BOQ)</t>
  </si>
  <si>
    <t>2.1 - 2.17</t>
  </si>
  <si>
    <t>6.1 - 6.8</t>
  </si>
  <si>
    <t>7.1.</t>
  </si>
  <si>
    <t>Стадия FEED (FEED_BOQ тит1)</t>
  </si>
  <si>
    <t>2.1 - 2.22</t>
  </si>
  <si>
    <t>3.1 - 3.50</t>
  </si>
  <si>
    <t>1.1 - 1.7</t>
  </si>
  <si>
    <t>Стадия FEED (FEED_BOQ тит2)</t>
  </si>
  <si>
    <t>Стадия ПД (ПД_BOQ тит1)</t>
  </si>
  <si>
    <t>2.1 - 2.23</t>
  </si>
  <si>
    <t>3.1 - 3.64</t>
  </si>
  <si>
    <t>Стадия ПД (ПД_BOQ тит2)</t>
  </si>
  <si>
    <t>Итого стоимость предложения</t>
  </si>
  <si>
    <t>* - Датай окончания является дата подписания Заказчиком акта приемки выполненных работ</t>
  </si>
  <si>
    <t>Наименование организации</t>
  </si>
  <si>
    <t>Должность подписавшего</t>
  </si>
  <si>
    <t>Фамилия, Имя, Отчество подписавшего</t>
  </si>
  <si>
    <t>Дата:</t>
  </si>
  <si>
    <t>( подпись, M.П.)</t>
  </si>
  <si>
    <t>Итого стоимость предложения на ТЭО</t>
  </si>
  <si>
    <t>Итого стоимость предложения на ОТР</t>
  </si>
  <si>
    <t>Итого стоимость предложения на FEED. титул1</t>
  </si>
  <si>
    <t>Итого стоимость предложения на FEED. Титул2</t>
  </si>
  <si>
    <t>Итого стоимость предложения на ПД. титул1</t>
  </si>
  <si>
    <t>Итого стоимость предложения на ПД. титул2</t>
  </si>
  <si>
    <t>Итого стоимость предложения на РД. Титул1</t>
  </si>
  <si>
    <t>Итого стоимость предложения на РД. Титул2</t>
  </si>
  <si>
    <t>(заполняется участником)</t>
  </si>
  <si>
    <t>Трудозатраты чел.час</t>
  </si>
  <si>
    <t>Трудозатраты чел.дни</t>
  </si>
  <si>
    <t>Наименование подрядчика</t>
  </si>
  <si>
    <t>Обоснование расчета*</t>
  </si>
  <si>
    <t>Должность</t>
  </si>
  <si>
    <t>Оценка количества листов документации</t>
  </si>
  <si>
    <t>чел.</t>
  </si>
  <si>
    <t>Дней</t>
  </si>
  <si>
    <t>Часов</t>
  </si>
  <si>
    <t>Ст-ть чел. часа (руб.) без НДС</t>
  </si>
  <si>
    <t>Итого Ст-ть (руб.) без НДС</t>
  </si>
  <si>
    <t>Итого кол. чел.час</t>
  </si>
  <si>
    <t>(текст.) ф.А4</t>
  </si>
  <si>
    <t>(граф.) ф.А1</t>
  </si>
  <si>
    <t xml:space="preserve"> Соответствие техническому заданию стадии ТЭО</t>
  </si>
  <si>
    <t>Смета на строительство объектов капитального строительства</t>
  </si>
  <si>
    <t>1.1.</t>
  </si>
  <si>
    <t>Провести мониторинг рынка для определения стоимости ценообразующих материалов</t>
  </si>
  <si>
    <t>ГИП</t>
  </si>
  <si>
    <t>Нач. отдела</t>
  </si>
  <si>
    <t>Гл. специалист</t>
  </si>
  <si>
    <t>Рук. Группы</t>
  </si>
  <si>
    <t>Вед. инженер</t>
  </si>
  <si>
    <t>Старший инженер</t>
  </si>
  <si>
    <t>Инженер</t>
  </si>
  <si>
    <t>1.2.</t>
  </si>
  <si>
    <t>Предоставить ведомости объемов работ в формате BOQ (Описание выполняемых работ/объемы) (с точностью +50% минус 30%)</t>
  </si>
  <si>
    <t>1.3.</t>
  </si>
  <si>
    <t>Предоставить таблицу физических объемов сводную / по титульно (с точностью +50% минус 30%)</t>
  </si>
  <si>
    <t>1.4.</t>
  </si>
  <si>
    <t>Предоставить ведомости материалов с построчной стоимостью ресурсов (BOM) (с точностью +50% минус 30%)</t>
  </si>
  <si>
    <t>1.5.</t>
  </si>
  <si>
    <t>Предоставить ведомости оборудования с построчной стоимостью ресурсов (BOE) (с точностью +50% минус 30%)</t>
  </si>
  <si>
    <t>1.6.</t>
  </si>
  <si>
    <t>Предоставить пусконаладочные работы (ПНР, ППНР) определить расчетом.(с точностью +50% минус 30%)</t>
  </si>
  <si>
    <t>Выполнение локальных сметных расчётов, объектных смет, сводного сметного расчета стоимости строительства (с точностью +50% минус 30%)</t>
  </si>
  <si>
    <t>1.8.</t>
  </si>
  <si>
    <t xml:space="preserve">Предоставить пояснительную записку </t>
  </si>
  <si>
    <t>Инженерные Изыскания</t>
  </si>
  <si>
    <t>2.1.</t>
  </si>
  <si>
    <t xml:space="preserve">   Инженерно-геодезические изыскания. (Миниминально требуемый объем для результатов ТЭО). При отсутствии фондовых материалов.</t>
  </si>
  <si>
    <t>2.2.</t>
  </si>
  <si>
    <t xml:space="preserve">  Инженерно-геологические изыскания. (Миниминально требуемый объем для результатов ТЭО). При отсутствии фондовых материалов.</t>
  </si>
  <si>
    <t>2.3.</t>
  </si>
  <si>
    <t xml:space="preserve">  Инженерно-экологические изыскания. (Миниминально требуемый объем для результатов ТЭО). При отсутствии фондовых материалов.</t>
  </si>
  <si>
    <t>2.4.</t>
  </si>
  <si>
    <t xml:space="preserve">  Инженерно-гидрометеорологические изыскания. (Миниминально требуемый объем для результатов ТЭО). При отсутствии фондовых материалов.</t>
  </si>
  <si>
    <t>25.</t>
  </si>
  <si>
    <t xml:space="preserve"> Инженерно-геофизические исследования. (Миниминально требуемый объем для результатов ТЭО). При отсутствии фондовых материалов.</t>
  </si>
  <si>
    <t>2.6.</t>
  </si>
  <si>
    <t xml:space="preserve">  Историко-культурная экспертиза. Археологические изыскания. (Миниминально требуемый объем для результатов ТЭО). При отсутствии фондовых материалов.</t>
  </si>
  <si>
    <t>2.7.</t>
  </si>
  <si>
    <t xml:space="preserve">  Противокарстовые изыскания (при необходимости). (Миниминально требуемый объем для результатов ТЭО). При отсутствии фондовых материалов.</t>
  </si>
  <si>
    <t>2.8.</t>
  </si>
  <si>
    <t xml:space="preserve">  Обследования состояния грунтов оснований зданий и сооружений (при необходимости). (Миниминально требуемый объем для результатов ТЭО). При отсутствии фондовых материалов.</t>
  </si>
  <si>
    <t>2.9.</t>
  </si>
  <si>
    <t xml:space="preserve">  Обследования на наличие взрывчатых веществ. (Миниминально требуемый объем для результатов ТЭО). При отсутствии фондовых материалов.</t>
  </si>
  <si>
    <t>Сбор исходных данных</t>
  </si>
  <si>
    <t>3.1.</t>
  </si>
  <si>
    <t xml:space="preserve">    Сбор, приемка исходных данных на площадке </t>
  </si>
  <si>
    <t>3.2.</t>
  </si>
  <si>
    <t xml:space="preserve">    Сбор, приемка исходных данных с выездом к лицензиару (при необходимости)</t>
  </si>
  <si>
    <t>3.3.</t>
  </si>
  <si>
    <t xml:space="preserve">Сбор и анализ исходных данных по локациям, анализ инфраструктуры потенциальных локаций, авто, ж.д. дороги, порты, аэродромы, выбор перечня технически и экономиче-ски обоснованных площадок для размещения (при необходимости и указании в ТЗ):
• Производственных мощностей;
• Транспортных терминалов и портов;  
</t>
  </si>
  <si>
    <t>Обследование существующих строительных конструкций, трубопроводов, оборудования</t>
  </si>
  <si>
    <t>4.1.</t>
  </si>
  <si>
    <t>Инструментальные Обследования существующих строительных конструкций / усиление (В объеме достаточном для ТЭО при отсутствии архивной проектной/исполнительной документации). Выполнить расчеты на прогрессирующие обрушения. (при необходимости)</t>
  </si>
  <si>
    <t>4.2.</t>
  </si>
  <si>
    <t>Инструментальное обследование существующего оборудования. (В объеме достаточном для ТЭО при отсутствии архивной проектной/исполнительной документации на оборудование).</t>
  </si>
  <si>
    <t>Проектное технологическое обследование объекта</t>
  </si>
  <si>
    <t>5.1.</t>
  </si>
  <si>
    <t>Проектное технологическое обследование объекта. Замеры существующих конструкций, оборудования, трубопроводов (в объеме достаточном для разработки ТЭО, при отсутствии архивной проектной\исполнительной документации). (при необходимости)</t>
  </si>
  <si>
    <t>5.2.</t>
  </si>
  <si>
    <t>Проведение 3d сканирования. Обработка материалов. Формирование файла. (при необходимости)</t>
  </si>
  <si>
    <t>Разработка разделов ТЭО</t>
  </si>
  <si>
    <t>6.1.</t>
  </si>
  <si>
    <t>Пояснительная записка. Общие данные.</t>
  </si>
  <si>
    <t>6.2.</t>
  </si>
  <si>
    <t>Основные технологические решения</t>
  </si>
  <si>
    <t>6.3.</t>
  </si>
  <si>
    <t>Основные технические решения по снабжению производства энергоресурсами и вспомогательными системами</t>
  </si>
  <si>
    <t>6.4.</t>
  </si>
  <si>
    <t>Основные архитектурные решения</t>
  </si>
  <si>
    <t>6.5.</t>
  </si>
  <si>
    <t>Основные конструктивные строительные решения</t>
  </si>
  <si>
    <t>6.6.</t>
  </si>
  <si>
    <t>Основные гидротехнические решения</t>
  </si>
  <si>
    <t>6.7.</t>
  </si>
  <si>
    <t>Основные решения по Антикоррозионной защите конструкций и трубопроводов</t>
  </si>
  <si>
    <t>6.8.</t>
  </si>
  <si>
    <t>Основные решения по Электроснабжению</t>
  </si>
  <si>
    <t>6.9.</t>
  </si>
  <si>
    <t>Основные решения по Электрообогреву</t>
  </si>
  <si>
    <t>6.10.</t>
  </si>
  <si>
    <t>Основные решения по Молниезащите и заземлению</t>
  </si>
  <si>
    <t>6.11.</t>
  </si>
  <si>
    <t>Основные решения по Информационному заземлению</t>
  </si>
  <si>
    <t>6.12.</t>
  </si>
  <si>
    <t>Основные решения по Наружному электроосвещению</t>
  </si>
  <si>
    <t>6.13.</t>
  </si>
  <si>
    <t>Основные решения по внутреннему электроосвещению</t>
  </si>
  <si>
    <t>6.14.</t>
  </si>
  <si>
    <t>Основные решения по Системе охранного освещения</t>
  </si>
  <si>
    <t>6.15.</t>
  </si>
  <si>
    <t>Основные решения по Наружным сетям водоснабжения и канализации</t>
  </si>
  <si>
    <t>6.16</t>
  </si>
  <si>
    <t>Основные решения по Внутренним системам водоснабжения и канализации</t>
  </si>
  <si>
    <t>6.17.</t>
  </si>
  <si>
    <t>Основные решения по Пожаротушению. Водяное, пенотушение.</t>
  </si>
  <si>
    <t>6.18.</t>
  </si>
  <si>
    <t>Основные решения по Пожаротушению. Газовое.</t>
  </si>
  <si>
    <t>6.19.</t>
  </si>
  <si>
    <t>Основные решения по Отоплению, вентиляции и кондиционированию</t>
  </si>
  <si>
    <t>6.20.</t>
  </si>
  <si>
    <t>Основные решения по Воздухоснабжению</t>
  </si>
  <si>
    <t>6.21.</t>
  </si>
  <si>
    <t>Основные решения по Пылеудалению</t>
  </si>
  <si>
    <t>6.22.</t>
  </si>
  <si>
    <t>Основные решения по Наружным газопроводам</t>
  </si>
  <si>
    <t>6.23.</t>
  </si>
  <si>
    <t>Основные решения по Холодоснабжению</t>
  </si>
  <si>
    <t>6.24.</t>
  </si>
  <si>
    <t>Основные решения по Тепломеханическим решениям</t>
  </si>
  <si>
    <t>6.25.</t>
  </si>
  <si>
    <t>Основные решения по Автоматизации технологии производства</t>
  </si>
  <si>
    <t>6.26.</t>
  </si>
  <si>
    <t xml:space="preserve">Основные решения по Автоматизации </t>
  </si>
  <si>
    <t>6.27.</t>
  </si>
  <si>
    <t xml:space="preserve">Основные решения по АСУТП (Автоматическая система управления технологическим процессом) </t>
  </si>
  <si>
    <t>6.28.</t>
  </si>
  <si>
    <t xml:space="preserve">Основные решения по АСДУЭ (Автоматическая система диспетчерского управления электроснабжения) </t>
  </si>
  <si>
    <t>6.29.</t>
  </si>
  <si>
    <t xml:space="preserve">Основные решения по Системам связи (технолгическая, оперативная,телефонная, радиосвязь) </t>
  </si>
  <si>
    <t>6.30.</t>
  </si>
  <si>
    <t xml:space="preserve">Основные решения по Охранной сигнализации </t>
  </si>
  <si>
    <t>6.31.</t>
  </si>
  <si>
    <t>Основные решения по Технологическому видеонаблюдению</t>
  </si>
  <si>
    <t>6.32.</t>
  </si>
  <si>
    <t xml:space="preserve">Основные решения по Охранному видеонаблюдению </t>
  </si>
  <si>
    <t>6.33.</t>
  </si>
  <si>
    <t xml:space="preserve">Основные решения по Тепловой изоляции </t>
  </si>
  <si>
    <t>6.34.</t>
  </si>
  <si>
    <t>Основные решения по Оценке воздействия объекта на окружающую среду.                                                           • Характеристики отходов с вариантами удаления с предприятия и выбросов                                                             • Характеристика источников выбросов                                                                                                                          • Характеристика водоотведения и очистки сточных вод</t>
  </si>
  <si>
    <t>6.35.</t>
  </si>
  <si>
    <t>Основные решения по проекту полосы отвода земельного участка</t>
  </si>
  <si>
    <t>7.</t>
  </si>
  <si>
    <t>Сессии VE (Value Engineering)</t>
  </si>
  <si>
    <t>Участи в 1 сессии VE (Value Engineering)</t>
  </si>
  <si>
    <t>7.2.</t>
  </si>
  <si>
    <t>Участи в 2 сессии VE (Value Engineering) (при необходимости)</t>
  </si>
  <si>
    <t>8.</t>
  </si>
  <si>
    <t>3D модель</t>
  </si>
  <si>
    <t>8.1.</t>
  </si>
  <si>
    <t>Разработка 3D модели (30%) по всем дисциплинам проектирования для формирования Ф.О. (при необходимости и требонии ТЗ)</t>
  </si>
  <si>
    <t>9.</t>
  </si>
  <si>
    <t>Смежные работы (при необходимости)</t>
  </si>
  <si>
    <t>9.1.</t>
  </si>
  <si>
    <t xml:space="preserve">   Участие в совещаниях, необходимых для разработки ТЭО и верификации физ.объемов в том числе на стадиях FEED, ПД</t>
  </si>
  <si>
    <t>9.2.</t>
  </si>
  <si>
    <t xml:space="preserve">  Рассмотрение и приемка Базового проекта, и/или ИДП (Исходные данные для проектирования) (при необходимости и указании в ТЗ)</t>
  </si>
  <si>
    <t>9.3.</t>
  </si>
  <si>
    <t xml:space="preserve"> Проведение обследования, испытаний по очистным сооружениям на новые нагрузки. Работа с Лицензиаром процесса ЛОСВ ____. Все полученные предложения об очистке сточных вод на действующих очистных сооружениях принять совместно с Заказчиком и лицензиаром БОС после проведения тестирования на биоразлагаемость и токсичность.(при необходимости и указании в ТЗ)</t>
  </si>
  <si>
    <t>9.4.</t>
  </si>
  <si>
    <t xml:space="preserve">Провести оценку конкурентноспособности проекта, получаемых на основе технологий (при необходимости и указании в ТЗ):
• Технология 1
• Технология 2
• Технология 3
</t>
  </si>
  <si>
    <t>9.5.</t>
  </si>
  <si>
    <t>Провести анализ логистических схем транспортировки сырья и продукции.  Проработать и оценить затраты и пропускную способность логистических маршрутов продуктов переработки (при необходимости и указании в ТЗ)</t>
  </si>
  <si>
    <t>9.6.</t>
  </si>
  <si>
    <t>Проработать сбыт в части прогноза производ-ства/потребления, мощности, загрузки мощностей в реги-ональном разрезе (при необходимости и указании в ТЗ)</t>
  </si>
  <si>
    <t>9.7.</t>
  </si>
  <si>
    <t>Выбрать (обосновать) наилучшие конфигурации ком-плекса (проектная мощность по сырью и продукции, технологии, местоположение),  с учетом этапности ввода про-изводственных объектов.  (при необходимости и указании в ТЗ)</t>
  </si>
  <si>
    <t>9.8.</t>
  </si>
  <si>
    <t>Провести анализ технологий и лицензий на предмет доступности, апробированности, экономической эффек-тивности и применимости. Сформировать перечень технологий получения рентабельных конечных продуктов по каждой из локаций. (при необходимости и указании в ТЗ)</t>
  </si>
  <si>
    <t>9.9.</t>
  </si>
  <si>
    <t>Выполнить концептуальную технико-технологическую проработку выбранных конфигураций (продукт-технология-локация). (при необходимости и указании в ТЗ)</t>
  </si>
  <si>
    <t>9.10.</t>
  </si>
  <si>
    <t>Разработка проекта дооснащения ЦЗЛ (при необходимости)</t>
  </si>
  <si>
    <t>9.11.</t>
  </si>
  <si>
    <t>Выполнение расчета энергетического баланса. Разработака профиля потребления энергоресурсов и общего профиля с пиковыми расходами.(при необходимости)</t>
  </si>
  <si>
    <t>9.12.</t>
  </si>
  <si>
    <t>Выполнение расчета материально-технического баланса в ПО HYSYS/Aspen (при необходимости)</t>
  </si>
  <si>
    <t>9.13.</t>
  </si>
  <si>
    <t>Расчет зон звукового воздействия (уровни шума). (при необходимости)</t>
  </si>
  <si>
    <t>9.14.</t>
  </si>
  <si>
    <t>Расчет на воздействие ударной волны (взрыв).(при необходимости)</t>
  </si>
  <si>
    <t>9.15.</t>
  </si>
  <si>
    <t>Выполнение расчета границ СЗЗ. (при необходимости)</t>
  </si>
  <si>
    <t>9.16.</t>
  </si>
  <si>
    <t>Командировочные расходы</t>
  </si>
  <si>
    <t>9.17.</t>
  </si>
  <si>
    <t>Переводы. (при необходимости)</t>
  </si>
  <si>
    <t>9.18.</t>
  </si>
  <si>
    <t>Принципиальные решения по консервации на исключаемые из тех.процесса установок/корпусов/сооружений/оборудования и т.п. (при необходимости)</t>
  </si>
  <si>
    <t>9.19.</t>
  </si>
  <si>
    <t>Проведение обследования сетей энергоресурсов (оборотная вода, азот, воздух КИП, пар, дем.вода и т.п.) на новые нагрузки. (при необходимости)</t>
  </si>
  <si>
    <t>9.20.</t>
  </si>
  <si>
    <t>Проработка и определение специализированной организации по утилизации отходов и стоков. (при необходимости)</t>
  </si>
  <si>
    <t>9.21.</t>
  </si>
  <si>
    <t>Выполнение обоснования требуемой численности персонала. (при необходимости)</t>
  </si>
  <si>
    <t>9.22.</t>
  </si>
  <si>
    <t>Объединение всех частей проекта, выполнение сводного общего материального и теплового баланса. (при необходимости)</t>
  </si>
  <si>
    <t>9.23.</t>
  </si>
  <si>
    <t>Проведение оптимизации энергопотребления проектируемого комплекса и обоснования нецелесообразности использования вторичных тепловых энергоресурсов на технологические и вспомогательные нужды проектируемого производственного объекта или смежных объектов. (при необходимости)</t>
  </si>
  <si>
    <t>9.24.</t>
  </si>
  <si>
    <t>Подготовить отчет рассмотрения целесообразности блочного строительства (повышенной заводской готовно-сти) для технологических и вспомогательных объектов по сравнению с традиционной «по месту» (stick built) c уче-том доступных логистических путей и возможностей (порт, морские маршруты, доступность судов и пр.) (при необходимости и указании в ТЗ).</t>
  </si>
  <si>
    <t>9.25.</t>
  </si>
  <si>
    <t xml:space="preserve">Оценить соответствие технологических, техниче-ских и проектных решений наилучшим доступным техноло-гиям (НДТ ИТС и ВАТ ЕС), лучшим мировым практикам </t>
  </si>
  <si>
    <t>9.26.</t>
  </si>
  <si>
    <t>Разработка презентации результатов ТЭО (при необходимости и указании в ТЗ).</t>
  </si>
  <si>
    <t>10.</t>
  </si>
  <si>
    <t>Электронный документооборот</t>
  </si>
  <si>
    <t>Организация, ведение, поддержание электронного документооборота ЭДО (при необходимости и требовании ТЗ)</t>
  </si>
  <si>
    <t>11.</t>
  </si>
  <si>
    <t>Отчетная документация по проекту</t>
  </si>
  <si>
    <t>11.1.</t>
  </si>
  <si>
    <t>Разработка, ведение, актуализация графика КСП, графика мобилизации</t>
  </si>
  <si>
    <t>12.</t>
  </si>
  <si>
    <t xml:space="preserve">Согласование с собственниками существующих сооружений пересечение с проектируемыми сооружениями </t>
  </si>
  <si>
    <t xml:space="preserve">Перечень необходимых согласований с собственниками существующих сооружений, сетей, земель пересечение с проектируемыми сооружениями </t>
  </si>
  <si>
    <t>13.</t>
  </si>
  <si>
    <t>Расчет зон поражения аварийных химически опасных веществ</t>
  </si>
  <si>
    <t>13.1.</t>
  </si>
  <si>
    <t>Выполнить расчет зон поражения аварийных химически опасных веществ (при необходимости)</t>
  </si>
  <si>
    <t>14.</t>
  </si>
  <si>
    <t>Разработка СТУ</t>
  </si>
  <si>
    <t>14.1.</t>
  </si>
  <si>
    <t xml:space="preserve">Разработка перечня СТУ по общестроительным решениям. </t>
  </si>
  <si>
    <t>14.2.</t>
  </si>
  <si>
    <t>Разработка перечня СТУ по противопожарной безопасности. Согласование в МЧС России</t>
  </si>
  <si>
    <t>15.</t>
  </si>
  <si>
    <t>Выполнение работ связанных с земельным участком под строительство</t>
  </si>
  <si>
    <t>15.1.</t>
  </si>
  <si>
    <t>Провести анализ влияния правил землепользования и застройки, генеральных планов, схем территориального планирования, проектов межевания и планировки территории (далее – «Градостроительная документация») и зон с особыми условиями использования территорий (охранные, санитарно-защитные зоны объектов и т.д., далее – «ЗОУИТ») на возможность размещения объекта (при необходимости и указании в ТЗ).</t>
  </si>
  <si>
    <t>15.2.</t>
  </si>
  <si>
    <t>Провести анализ документов/обстоятельств на возможность размещения проектируемого объекта и оформления прав на земельные участки (новый землеотвод).Разработать отчет с приложением картографических материалов в форматах PDF и MapInfo в системе координат, установленной для ведения ЕГРН. (при необходимости и указании в ТЗ).</t>
  </si>
  <si>
    <t xml:space="preserve"> Соответствие техническому заданию стадии ПД</t>
  </si>
  <si>
    <t>Выполнить мониторинг рынка поставщиков  и предоставить данные с учетом доставки до г. ……….:
- по основным (ценообразующим) материалам 
- по вспомогательному оборудованию</t>
  </si>
  <si>
    <t>Предоставить ведомости объемов работ в формате BOQ (Описание выполняемых работ/объемы) точность +50% минус 30%</t>
  </si>
  <si>
    <t>Предоставить таблицу физических объемов сводную / по титульно точность +50% минус 30%</t>
  </si>
  <si>
    <t>Предоставить ведомости материалов с построчной стоимостью ресурсов (BOM) точность +50% минус 30%</t>
  </si>
  <si>
    <t>Предоставить ведомости оборудования с построчной стоимостью ресурсов (BOE) точность +50% минус 30%</t>
  </si>
  <si>
    <t>Расчитать количество стыков / дюйм диаметров по проекту (с приведением методики и пояснения расчетов) точность +50% минус 30%</t>
  </si>
  <si>
    <t>1.7.</t>
  </si>
  <si>
    <t>Предоставить пусконаладочные работы (ПНР, ППНР) определить расчетом.точность +50% минус 30%</t>
  </si>
  <si>
    <t>Документация ОТР</t>
  </si>
  <si>
    <t xml:space="preserve">Пояснительная записка. </t>
  </si>
  <si>
    <t>Основные технические решения. Технология производства.</t>
  </si>
  <si>
    <t>Технологическая схема и схема автоматизации</t>
  </si>
  <si>
    <t>Экспликация технологического оборудования</t>
  </si>
  <si>
    <t>2.5.</t>
  </si>
  <si>
    <t>Потребление энергоресурсов</t>
  </si>
  <si>
    <t>Основные технические решения по компоновке технологического оборудования</t>
  </si>
  <si>
    <t>Основные технические решения по контролю и автоматизации</t>
  </si>
  <si>
    <t>Основные решения по электроснабжению</t>
  </si>
  <si>
    <t>Основные решения по связи и сигнализации</t>
  </si>
  <si>
    <t>2.10.</t>
  </si>
  <si>
    <t>Водоснабжение и канализация</t>
  </si>
  <si>
    <t>2.11.</t>
  </si>
  <si>
    <t>Отопление, вентиляция и кондиционирование</t>
  </si>
  <si>
    <t>2.12.</t>
  </si>
  <si>
    <t>Основные строительные решения</t>
  </si>
  <si>
    <t>2.13.</t>
  </si>
  <si>
    <t>Архитектурные решения</t>
  </si>
  <si>
    <t>2.14.</t>
  </si>
  <si>
    <t>Основные решения по генеральному плану</t>
  </si>
  <si>
    <t>2.15.</t>
  </si>
  <si>
    <t>Основные решения по обеспечению пожарной и промышленной безопасности</t>
  </si>
  <si>
    <t>2.16.</t>
  </si>
  <si>
    <t>Расчет энергетический потенциалов. Разработка чертежа радиусов зон разрушения</t>
  </si>
  <si>
    <t>2.17.</t>
  </si>
  <si>
    <t>Основные решения по экологической безопасности</t>
  </si>
  <si>
    <t>Сбор исходных данных.</t>
  </si>
  <si>
    <t>Проектное технологическое обследование объекта. Замеры существующих конструкций, оборудования, трубопроводов</t>
  </si>
  <si>
    <t>Проведение 3d сканирования. Обработка материалов. Формирование файла.</t>
  </si>
  <si>
    <t>Участи в 2 сессии VE (Value Engineering)</t>
  </si>
  <si>
    <t xml:space="preserve">   Участие в совещаниях, необходимых для разработки ОТР и верификации физ.объемов</t>
  </si>
  <si>
    <t xml:space="preserve">  Рассмотрение и приемка Базового проекта, и/или ИДП (Исходные данные для проектирования)</t>
  </si>
  <si>
    <t>Предварительный расчет границ СЗЗ. (при необходимости)</t>
  </si>
  <si>
    <t>Разработка, ведение, актуализация MDR, графика КСП, графика мобилизации</t>
  </si>
  <si>
    <t>Трудозатраты чел.день</t>
  </si>
  <si>
    <t>Итого кол. чел.часов</t>
  </si>
  <si>
    <t>Предоставить ведомости объемов работ в формате BOQ</t>
  </si>
  <si>
    <t>Предоставить таблицу физических объемов сводную / по титульно</t>
  </si>
  <si>
    <t xml:space="preserve">Предоставить ведомости материалов с построчной стоимостью ресурсов (BOM) </t>
  </si>
  <si>
    <t xml:space="preserve">Предоставить ведомости оборудования с построчной стоимостью ресурсов (BOE) </t>
  </si>
  <si>
    <t>Расчитать количество стыков / дюйм диаметров по проекту (с приведением методики и пояснения расчетов)</t>
  </si>
  <si>
    <t>FEED (все разделы)</t>
  </si>
  <si>
    <t>Раздел 1. Пояснительная записка.</t>
  </si>
  <si>
    <t>Раздел 2. Схема планировочной организации земельного участка.</t>
  </si>
  <si>
    <t>Раздел 3. Архитектурные решения.</t>
  </si>
  <si>
    <t>Раздел 4. Конструктивные и объемно-планировочные решения.</t>
  </si>
  <si>
    <t>Раздел 5. Сведения об инженерном оборудовании, сетях инженерно-технического обеспечения, перечень инженерно-технических мероприятий, содержание технологических решений.</t>
  </si>
  <si>
    <t>2.5.1.</t>
  </si>
  <si>
    <t xml:space="preserve">      подраздел 5.1 Система электроснабжения</t>
  </si>
  <si>
    <t>2.5.2.</t>
  </si>
  <si>
    <t xml:space="preserve">      подраздел 5.2 Система водоснабжения</t>
  </si>
  <si>
    <t>2.5.3.</t>
  </si>
  <si>
    <t xml:space="preserve">     подраздел 5.3 Система водоотведения</t>
  </si>
  <si>
    <t>2.5.4.</t>
  </si>
  <si>
    <t xml:space="preserve">     подраздел 5.4 Отопление, вентиляция и кондиционирование воздуха, тепловые сети</t>
  </si>
  <si>
    <t>2.5.5.</t>
  </si>
  <si>
    <t xml:space="preserve">     подраздел 5.5 Сети связи</t>
  </si>
  <si>
    <t>2.5.6.</t>
  </si>
  <si>
    <t xml:space="preserve">      подраздел 5.6 Система газоснабжения</t>
  </si>
  <si>
    <t>2.5.7.</t>
  </si>
  <si>
    <t xml:space="preserve">      подраздел 5.7 Технологические решения</t>
  </si>
  <si>
    <t>2.5.8.</t>
  </si>
  <si>
    <r>
      <t xml:space="preserve">       подраздел 5.8. Мероприятия по противодействию террористическим актам. </t>
    </r>
    <r>
      <rPr>
        <b/>
        <sz val="11"/>
        <rFont val="Times New Roman"/>
        <family val="1"/>
        <charset val="204"/>
      </rPr>
      <t>(при необходимости в объеме достаточном для формирования BOM\BOQ стадии FEED)</t>
    </r>
  </si>
  <si>
    <r>
      <t xml:space="preserve">      Раздел 6. Проект организации строительства. (деталировка согласно ТЗ) </t>
    </r>
    <r>
      <rPr>
        <b/>
        <sz val="11"/>
        <rFont val="Times New Roman"/>
        <family val="1"/>
        <charset val="204"/>
      </rPr>
      <t>(при необходимости в объеме достаточном для формирования BOM\BOQ стадии FEED)</t>
    </r>
  </si>
  <si>
    <r>
      <t xml:space="preserve">     Раздел 7. Проект организации по сносу или демонтажу зданий, строений, сооружений объектов капитального строительства. </t>
    </r>
    <r>
      <rPr>
        <b/>
        <sz val="11"/>
        <rFont val="Times New Roman"/>
        <family val="1"/>
        <charset val="204"/>
      </rPr>
      <t>(при необходимости в объеме достаточном для формирования BOM\BOQ стадии FEED)</t>
    </r>
  </si>
  <si>
    <r>
      <t xml:space="preserve">    Раздел 8. Перечень мероприятий по охране окружающей среды </t>
    </r>
    <r>
      <rPr>
        <b/>
        <sz val="11"/>
        <rFont val="Times New Roman"/>
        <family val="1"/>
        <charset val="204"/>
      </rPr>
      <t>(при необходимости в объеме достаточном для формирования BOM\BOQ стадии FEED)</t>
    </r>
  </si>
  <si>
    <r>
      <t xml:space="preserve">    Раздел 9. Мероприятия по обеспечению пожарной безопасности </t>
    </r>
    <r>
      <rPr>
        <b/>
        <sz val="11"/>
        <rFont val="Times New Roman"/>
        <family val="1"/>
        <charset val="204"/>
      </rPr>
      <t>(при необходимости в объеме достаточном для формирования BOM\BOQ стадии FEED)</t>
    </r>
  </si>
  <si>
    <t xml:space="preserve">   Участие в совещаниях, необходимых для разработки FEED и верификации физ.объемов</t>
  </si>
  <si>
    <t xml:space="preserve">   Разработка ИТТ/ТЗ на АСУТП</t>
  </si>
  <si>
    <r>
      <t xml:space="preserve">   Инженерно-геодезические изыскания </t>
    </r>
    <r>
      <rPr>
        <b/>
        <sz val="11"/>
        <rFont val="Times New Roman"/>
        <family val="1"/>
        <charset val="204"/>
      </rPr>
      <t>(в объеме достаточном для формирования BOM\BOQ стадии FEED)</t>
    </r>
  </si>
  <si>
    <r>
      <t xml:space="preserve">  Инженерно-геологические изыскания</t>
    </r>
    <r>
      <rPr>
        <b/>
        <sz val="11"/>
        <rFont val="Times New Roman"/>
        <family val="1"/>
        <charset val="204"/>
      </rPr>
      <t xml:space="preserve"> (в объеме достаточном для формирования BOM\BOQ стадии FEED)</t>
    </r>
  </si>
  <si>
    <r>
      <t xml:space="preserve">  Инженерно-экологические изыскания </t>
    </r>
    <r>
      <rPr>
        <b/>
        <sz val="11"/>
        <rFont val="Times New Roman"/>
        <family val="1"/>
        <charset val="204"/>
      </rPr>
      <t>(в объеме достаточном для формирования BOM\BOQ стадии FEED)</t>
    </r>
  </si>
  <si>
    <r>
      <t xml:space="preserve">  Инженерно-гидрометеорологические изыскания </t>
    </r>
    <r>
      <rPr>
        <b/>
        <sz val="11"/>
        <rFont val="Times New Roman"/>
        <family val="1"/>
        <charset val="204"/>
      </rPr>
      <t>(в объеме достаточном для формирования BOM\BOQ стадии FEED)</t>
    </r>
  </si>
  <si>
    <t>2.18.</t>
  </si>
  <si>
    <r>
      <t xml:space="preserve"> Инженерно-геофизические исследования </t>
    </r>
    <r>
      <rPr>
        <b/>
        <sz val="11"/>
        <rFont val="Times New Roman"/>
        <family val="1"/>
        <charset val="204"/>
      </rPr>
      <t>(в объеме достаточном для формирования BOM\BOQ стадии FEED)</t>
    </r>
  </si>
  <si>
    <t>2.19.</t>
  </si>
  <si>
    <r>
      <t xml:space="preserve">  Историко-культурная экспертиза </t>
    </r>
    <r>
      <rPr>
        <b/>
        <sz val="11"/>
        <rFont val="Times New Roman"/>
        <family val="1"/>
        <charset val="204"/>
      </rPr>
      <t>(в объеме достаточном для формирования BOM\BOQ стадии FEED)</t>
    </r>
  </si>
  <si>
    <t>2.20.</t>
  </si>
  <si>
    <r>
      <t xml:space="preserve">  Противокарстовые изыскания (при необходимости) </t>
    </r>
    <r>
      <rPr>
        <b/>
        <sz val="11"/>
        <rFont val="Times New Roman"/>
        <family val="1"/>
        <charset val="204"/>
      </rPr>
      <t>(в объеме достаточном для формирования BOM\BOQ стадии FEED)</t>
    </r>
  </si>
  <si>
    <t>2.21.</t>
  </si>
  <si>
    <r>
      <t xml:space="preserve">  Обследования состояния грунтов оснований зданий и сооружений (при необходимости) </t>
    </r>
    <r>
      <rPr>
        <b/>
        <sz val="11"/>
        <rFont val="Times New Roman"/>
        <family val="1"/>
        <charset val="204"/>
      </rPr>
      <t>(в объеме достаточном для формирования BOM\BOQ стадии FEED)</t>
    </r>
  </si>
  <si>
    <t>2.22.</t>
  </si>
  <si>
    <r>
      <t xml:space="preserve">  Обследования на наличие взрывчатых веществ </t>
    </r>
    <r>
      <rPr>
        <b/>
        <sz val="11"/>
        <rFont val="Times New Roman"/>
        <family val="1"/>
        <charset val="204"/>
      </rPr>
      <t>(в объеме достаточном для формирования BOM\BOQ стадии FEED)</t>
    </r>
  </si>
  <si>
    <t xml:space="preserve">  Обследования существующих строительных конструкций / усиление, проведение экспертизы. Выполнить расчеты на прогрессирующие обрушения.</t>
  </si>
  <si>
    <t xml:space="preserve">  Сбор исходных данных по сущ.объектам (факельная система, инфраструктура по энергоресурсам, сущ. установки снабжения сырьем, и пр.)</t>
  </si>
  <si>
    <t>3.4.</t>
  </si>
  <si>
    <t xml:space="preserve">  Обследования сущ. факельных коллекторов, факельного х-ва, проведение экспертизы, проектирование тех.решений. Выполнение перерасчета сброса от лицензионных установок по нормам РФ</t>
  </si>
  <si>
    <t>3.5.</t>
  </si>
  <si>
    <t xml:space="preserve">  Обследование существующих трубопроводных, кабельных эстакад на предмет прокладки новых трубопроводов, демонтаж недействующих трубопроводов, запаса по прокладке кабелей и пр.</t>
  </si>
  <si>
    <t>3.6.</t>
  </si>
  <si>
    <t xml:space="preserve"> Проведение расчетов по всей факельной системе на новые нагрузки, выполнение технических мероприятий, позволяющих подключиться к сущ.факельной системе.</t>
  </si>
  <si>
    <t>3.7.</t>
  </si>
  <si>
    <t xml:space="preserve"> Проведение обследования, испытаний по очистным сооружениям на новые нагрузки. Работа с Лицензиаром процесса ЛОСВ ____. Все полученные предложения об очистке сточных вод на действующих очистных сооружениях принять совместно с Заказчиком и лицензиаром БОС после проведения тестирования на биоразлагаемость и токсичность.</t>
  </si>
  <si>
    <t>3.8.</t>
  </si>
  <si>
    <t xml:space="preserve"> Разработка опросных листов для заказа технологического оборудования</t>
  </si>
  <si>
    <t>3.9.</t>
  </si>
  <si>
    <r>
      <t xml:space="preserve"> Разработка опросных листов для заказа вспомогательного оборудования систем </t>
    </r>
    <r>
      <rPr>
        <b/>
        <sz val="11"/>
        <rFont val="Times New Roman"/>
        <family val="1"/>
        <charset val="204"/>
      </rPr>
      <t>(в объеме достаточном для формирования BOM\BOQ стадии FEED)</t>
    </r>
  </si>
  <si>
    <t>3.10.</t>
  </si>
  <si>
    <r>
      <t xml:space="preserve"> Разработка опросных листов для заказа КИПиА, отсечной, запорной и регулирующей арматры </t>
    </r>
    <r>
      <rPr>
        <b/>
        <sz val="11"/>
        <rFont val="Times New Roman"/>
        <family val="1"/>
        <charset val="204"/>
      </rPr>
      <t>(в объеме достаточном для формирования BOM\BOQ стадии FEED)</t>
    </r>
  </si>
  <si>
    <t>3.11.</t>
  </si>
  <si>
    <t>Разработка проекта дооснащения ЦЗЛ</t>
  </si>
  <si>
    <t>3.12.</t>
  </si>
  <si>
    <t>Разработка перечня необходимых СТУ (с разделением по согласующим: МЧС, Минстрой)</t>
  </si>
  <si>
    <t>3.13.</t>
  </si>
  <si>
    <r>
      <t xml:space="preserve">Разработка проекта ССМД (Система мониторинга и диагности) динамического оборудования </t>
    </r>
    <r>
      <rPr>
        <b/>
        <sz val="11"/>
        <rFont val="Times New Roman"/>
        <family val="1"/>
        <charset val="204"/>
      </rPr>
      <t>(в объеме достаточном для формирования BOM\BOQ стадии FEED)</t>
    </r>
  </si>
  <si>
    <t>3.14.</t>
  </si>
  <si>
    <t>Разработка дизайн-проекта</t>
  </si>
  <si>
    <t>3.15.</t>
  </si>
  <si>
    <t>Выполнение расчета энергетического баланса. Разработака профиля потребления энергоресурсов и общего профиля с пиковыми расходами.</t>
  </si>
  <si>
    <t>3.16.</t>
  </si>
  <si>
    <t>3.17.</t>
  </si>
  <si>
    <t>Применение BIM технологии (кодировка материалов, оборудования, пр.). Произведение кодировки ТМЦ по справочникам Заказчика, выдача заказных спецификаций с кодами Заказчика.</t>
  </si>
  <si>
    <t>3.18.</t>
  </si>
  <si>
    <t>Разработать гигиенические нормативы на вещества которые не обращаются на территории РФ</t>
  </si>
  <si>
    <t>3.19.</t>
  </si>
  <si>
    <t>Разработка ОБУВ/ОДУВ (Ориентировочные безопасные уровни воздействия/Ориентировочные допустимые уровни воздействия)</t>
  </si>
  <si>
    <t>3.20.</t>
  </si>
  <si>
    <r>
      <t xml:space="preserve">Разработка СМИС </t>
    </r>
    <r>
      <rPr>
        <b/>
        <sz val="11"/>
        <rFont val="Times New Roman"/>
        <family val="1"/>
        <charset val="204"/>
      </rPr>
      <t>(в объеме достаточном для формирования BOM\BOQ стадии FEED)</t>
    </r>
  </si>
  <si>
    <t>3.21.</t>
  </si>
  <si>
    <t>Выполнение HAZOP (все установки + ОЗХ)</t>
  </si>
  <si>
    <t>3.22.</t>
  </si>
  <si>
    <t>Выполнение SIL</t>
  </si>
  <si>
    <t>3.23.</t>
  </si>
  <si>
    <t>3.24.</t>
  </si>
  <si>
    <t>Расчет зон звукового воздействия (уровни шума)</t>
  </si>
  <si>
    <t>3.25.</t>
  </si>
  <si>
    <t>Расчет на воздействие ударной волны (взрыв)</t>
  </si>
  <si>
    <t>3.26.</t>
  </si>
  <si>
    <t>Разработка 3D модели в детализации 60%. Требованию к 3D модели объекта проектирования отражены в п. 5.2</t>
  </si>
  <si>
    <t>3.27.</t>
  </si>
  <si>
    <t>Выполнение НТО (научно-техническое обоснование) при необходимости</t>
  </si>
  <si>
    <t>3.28.</t>
  </si>
  <si>
    <t>Подготовка таблицы основных характеристик объектов капитального строительства, инженерных коммуникаций</t>
  </si>
  <si>
    <t>3.29.</t>
  </si>
  <si>
    <t>Выполнение расчета границ  СЗЗ.</t>
  </si>
  <si>
    <t>3.30.</t>
  </si>
  <si>
    <t>3.31.</t>
  </si>
  <si>
    <t>Переводы</t>
  </si>
  <si>
    <t>3.32.</t>
  </si>
  <si>
    <t>Проверка и согласование ТКП Поставщиков  с составлением сводной сравнительной таблицы вопросов/замечаний без ограничений по кол-ву ТКП и волн по основному технологическому оборудованию</t>
  </si>
  <si>
    <t>3.33.</t>
  </si>
  <si>
    <t>Участие в процедуре Value Engineering (оптимизация тех. решений), в том числе расчет эффектов от принятых идей</t>
  </si>
  <si>
    <t>3.34.</t>
  </si>
  <si>
    <r>
      <t xml:space="preserve">Проект консервации на исключаемые из тех.процесса установок/корпусов/сооружений/оборудования и т.п. </t>
    </r>
    <r>
      <rPr>
        <b/>
        <sz val="11"/>
        <rFont val="Times New Roman"/>
        <family val="1"/>
        <charset val="204"/>
      </rPr>
      <t>(в объеме достаточном для формирования BOM\BOQ стадии FEED)</t>
    </r>
  </si>
  <si>
    <t>3.35.</t>
  </si>
  <si>
    <r>
      <t xml:space="preserve">Проект демонтажа/переноса существующих объектов, попадающих в пятно застройки </t>
    </r>
    <r>
      <rPr>
        <b/>
        <sz val="11"/>
        <rFont val="Times New Roman"/>
        <family val="1"/>
        <charset val="204"/>
      </rPr>
      <t>(в объеме достаточном для формирования BOM\BOQ стадии FEED)</t>
    </r>
  </si>
  <si>
    <t>3.36.</t>
  </si>
  <si>
    <r>
      <t xml:space="preserve">Проект выноса коммуникаций, попадающих в пятно застройки </t>
    </r>
    <r>
      <rPr>
        <b/>
        <sz val="11"/>
        <rFont val="Times New Roman"/>
        <family val="1"/>
        <charset val="204"/>
      </rPr>
      <t>(в объеме достаточном для формирования BOM\BOQ стадии FEED)</t>
    </r>
  </si>
  <si>
    <t>3.37.</t>
  </si>
  <si>
    <t>Проведение обследования сетей энергоресурсов (оборотная вода, азот, воздух КИП, пар, дем.вода и т.п.) на новые нагрузки</t>
  </si>
  <si>
    <t>3.38.</t>
  </si>
  <si>
    <r>
      <t xml:space="preserve">Разработка документации по планировке территории (ДПТ) </t>
    </r>
    <r>
      <rPr>
        <b/>
        <sz val="11"/>
        <rFont val="Times New Roman"/>
        <family val="1"/>
        <charset val="204"/>
      </rPr>
      <t>(в объеме достаточном для формирования BOM\BOQ стадии FEED)</t>
    </r>
  </si>
  <si>
    <t>3.39.</t>
  </si>
  <si>
    <t>Выполнение ОБ ОПО с регистрацией (при необходимости),  (резервирование коллекторов, расчет высоты факела по API, снижение расчетного давления факельной системы) по сущ.факельной системе для успешного прохождения экспертиз.</t>
  </si>
  <si>
    <t>3.40.</t>
  </si>
  <si>
    <t>Проработка и определение специализированной организации по утилизации отходов и стоков</t>
  </si>
  <si>
    <t>3.41.</t>
  </si>
  <si>
    <t>Подготовка графика разработки и выдачи разработанной документации FEED</t>
  </si>
  <si>
    <t>3.42.</t>
  </si>
  <si>
    <t>Осуществление календарно-сетевого планирования и отчетности</t>
  </si>
  <si>
    <t>3.43.</t>
  </si>
  <si>
    <t>Организация электронного документооборота (ЭДО). Организация структурированного электронного хранилища технической документации с учётом ревизий и возможности доступа к её актуальным версиям</t>
  </si>
  <si>
    <t>3.44.</t>
  </si>
  <si>
    <t>Выполнение обоснования требуемой численности персонала</t>
  </si>
  <si>
    <t>3.45.</t>
  </si>
  <si>
    <t>Объединение всех частей проекта, выполнение сводного общего материального и теплового баланса</t>
  </si>
  <si>
    <t>3.46.</t>
  </si>
  <si>
    <t>Проведение оптимизации энергопотребления проектируемого комплекса и обоснования нецелесообразности использования вторичных тепловых энергоресурсов на технологические и вспомогательные нужды проектируемого производственного объекта или смежных объекто</t>
  </si>
  <si>
    <t>3.47.</t>
  </si>
  <si>
    <t>Выполнение требования к информационной безопасности объекта</t>
  </si>
  <si>
    <t>3.48.</t>
  </si>
  <si>
    <r>
      <t>Разработать Перечень мероприятий по противодействию терроризму.</t>
    </r>
    <r>
      <rPr>
        <b/>
        <sz val="11"/>
        <rFont val="Times New Roman"/>
        <family val="1"/>
        <charset val="204"/>
      </rPr>
      <t>(в объеме достаточном для формирования BOM\BOQ стадии FEED)</t>
    </r>
    <r>
      <rPr>
        <sz val="11"/>
        <rFont val="Times New Roman"/>
        <family val="1"/>
        <charset val="204"/>
      </rPr>
      <t xml:space="preserve">
</t>
    </r>
  </si>
  <si>
    <t>3.49.</t>
  </si>
  <si>
    <t>Выполнение мероприятий, отраженных в п ТЗ "Требование к надежности"</t>
  </si>
  <si>
    <t>3.50.</t>
  </si>
  <si>
    <t xml:space="preserve">* Спецификации на АСУТП и связанные системы. Описание типичных функций управления процессом и безопасностью. Блок-схема АСУТП. Архитектура АСУТП. Блок-схемы для других систем.  Расположение оборудования АСУТП. Расположение оборудования на территории установок. Расположение оборудования в главной операторной. </t>
  </si>
  <si>
    <t xml:space="preserve">* Перечень КИП </t>
  </si>
  <si>
    <t xml:space="preserve">* Перечень оборудования систем связи, видеонаблюдения, СКУД и т.д. </t>
  </si>
  <si>
    <t>* Чертежи кабельных трасс. Предварительный кабельный журнал. Расчет параметров КИП. Список материалов. Расчет мощности для резервного питания.</t>
  </si>
  <si>
    <t>Итого стоимость предложения на ПД</t>
  </si>
  <si>
    <t>Проектная документация (все разделы)</t>
  </si>
  <si>
    <t xml:space="preserve">       подраздел 5.8. Мероприятия по противодействию террористическим актам.</t>
  </si>
  <si>
    <t xml:space="preserve">      Раздел 6. Проект организации строительства. (деталировка согласно ТЗ)</t>
  </si>
  <si>
    <t xml:space="preserve">     Раздел 7. Проект организации по сносу или демонтажу зданий, строений, сооружений объектов капитального строительства.</t>
  </si>
  <si>
    <t xml:space="preserve">    Раздел 8. Перечень мероприятий по охране окружающей среды</t>
  </si>
  <si>
    <t xml:space="preserve">    Раздел 9. Мероприятия по обеспечению пожарной безопасности </t>
  </si>
  <si>
    <t xml:space="preserve">    Раздел 10.1 Мероприятий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 </t>
  </si>
  <si>
    <t xml:space="preserve">   Участие в совещаниях, необходимых для разработки ПД и верификации физ.объемов</t>
  </si>
  <si>
    <t xml:space="preserve">   Инженерно-геодезические изыскания</t>
  </si>
  <si>
    <t xml:space="preserve">  Инженерно-геологические изыскания </t>
  </si>
  <si>
    <t xml:space="preserve">  Инженерно-экологические изыскания </t>
  </si>
  <si>
    <t xml:space="preserve">  Инженерно-гидрометеорологические изыскания </t>
  </si>
  <si>
    <t xml:space="preserve"> Инженерно-геофизические исследования</t>
  </si>
  <si>
    <t xml:space="preserve">  Историко-культурная экспертиза</t>
  </si>
  <si>
    <t xml:space="preserve">  Противокарстовые изыскания (при необходимости)</t>
  </si>
  <si>
    <t xml:space="preserve">  Обследования состояния грунтов оснований зданий и сооружений (при необходимости)</t>
  </si>
  <si>
    <t xml:space="preserve">  Обследования на наличие взрывчатых веществ</t>
  </si>
  <si>
    <t>2.23.</t>
  </si>
  <si>
    <t xml:space="preserve">  Разработка иных разрешительных документов, необходимость в получении и согласовании которых может возникнуть в процессе разработки ПД.</t>
  </si>
  <si>
    <t xml:space="preserve"> Разработка опросных листов для заказа вспомогательного оборудования систем</t>
  </si>
  <si>
    <t xml:space="preserve"> Разработка опросных листов для заказа КИПиА, отсечной, запорной и регулирующей арматры</t>
  </si>
  <si>
    <t>Разработка и согласование СТУ</t>
  </si>
  <si>
    <t>Разработка проекта ССМД (Система мониторинга и диагности) динамического оборудования</t>
  </si>
  <si>
    <t>Разработка ОВОС</t>
  </si>
  <si>
    <t>Разработка СМИС</t>
  </si>
  <si>
    <t>Разработка Декларация промышленной безопасности</t>
  </si>
  <si>
    <t>Разработка мероприятий ГО и ЧС, согласование с МЧС</t>
  </si>
  <si>
    <t>Разработка проекта СЗЗ, получение санитарно-эпидемиологического заключения Роспотребнадзора и решения об установлении СЗЗ. Выполнить работы по сопровождению экспертизы проекта санитарно-защитной зоны (СЗЗ) и зон санитарной охраны (ЗСО).</t>
  </si>
  <si>
    <t>Разработать Требования к обеспечению безопасной эксплуатации объекта капитального строительства.</t>
  </si>
  <si>
    <t>Организация и проведение общественных слушаний</t>
  </si>
  <si>
    <t>Прохождение ГГЭ. Корректировка документации по замечаниям</t>
  </si>
  <si>
    <t>Сопровождение ГГЭ</t>
  </si>
  <si>
    <t>Сопровождение ГЭЭ</t>
  </si>
  <si>
    <t>Прохождение ГЭЭ. Корректировка документации по замечаниям</t>
  </si>
  <si>
    <t>Выполнение НТС (научно-техническое сопровождение)</t>
  </si>
  <si>
    <t>Проект консервации на исключаемые из тех.процесса установок/корпусов/сооружений/оборудования и т.п.</t>
  </si>
  <si>
    <t xml:space="preserve">Проект демонтажа/переноса существующих объектов, попадающих в пятно застройки </t>
  </si>
  <si>
    <t>Проект выноса коммуникаций, попадающих в пятно застройки</t>
  </si>
  <si>
    <t>Разработка документации по планировке территории (ДПТ)</t>
  </si>
  <si>
    <t>3.51.</t>
  </si>
  <si>
    <t>Подготовка графика разработки и выдачи разработанной проектной документации</t>
  </si>
  <si>
    <t>3.52.</t>
  </si>
  <si>
    <t>3.53.</t>
  </si>
  <si>
    <t>3.54.</t>
  </si>
  <si>
    <t>3.55.</t>
  </si>
  <si>
    <t>3.56.</t>
  </si>
  <si>
    <t>3.57.</t>
  </si>
  <si>
    <t>Разработать отдельной книгой Требования нормативных актов Таможенного союза и РФ к оборудованию.</t>
  </si>
  <si>
    <t>3.58.</t>
  </si>
  <si>
    <t>3.59.</t>
  </si>
  <si>
    <t>Разработка мероприятий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</t>
  </si>
  <si>
    <t>3.60.</t>
  </si>
  <si>
    <t xml:space="preserve">Разработать Перечень мероприятий по противодействию терроризму.
</t>
  </si>
  <si>
    <t>3.61.</t>
  </si>
  <si>
    <t>Выполнение мероприятий, отраженных в п. 5.14 "Требование к надежности"</t>
  </si>
  <si>
    <t>3.62.</t>
  </si>
  <si>
    <t xml:space="preserve">* Спецификации на АСУТП и связанные системы. Описание типичных функций управления процессом и безопасностью. Блок-схема АСУТП. Архитектура АСУТП. Блок-схемы для других систем. Причинно-следственная диаграмма. Перечень входных и выходных сигналов АСУТП. Расположение оборудования АСУТП. Расположение оборудования на территории установок. Расположение оборудования в главной операторной. </t>
  </si>
  <si>
    <t xml:space="preserve">* Опросные листы на системы видеонаблюдения, СКУД, связи и т.д. </t>
  </si>
  <si>
    <t xml:space="preserve">* Описание человеко-машинного интерфейса. Концепция связи оборудования систем автоматизации. Интеграция систем связи с заводскими системами. Перечень оборудования АСУТП среднего и верхнего уровней. </t>
  </si>
  <si>
    <t xml:space="preserve">* Усовершенствованная система управления </t>
  </si>
  <si>
    <t xml:space="preserve">* Общие технические требования к поставке оборудования </t>
  </si>
  <si>
    <t>3.63.</t>
  </si>
  <si>
    <t>Проведение ЭПБ (экспертизы промышленной безопасности) существующих трубопроводов на новые параметры проекта (при необходимости)</t>
  </si>
  <si>
    <t>3.64.</t>
  </si>
  <si>
    <t>Проведение ЭПБ (экспертизы промышленной безопасности) существующего технологического оборудования на новые параметры проекта (при необходимости)</t>
  </si>
  <si>
    <t>Итого кол. Чел.час</t>
  </si>
  <si>
    <t>Предоставить ведомости объемов работ в формате BOQ (Описание выполняемых работ/объемы)</t>
  </si>
  <si>
    <t>Предоставить пусконаладочные работы (ПНР, ППНР) определить расчетом.</t>
  </si>
  <si>
    <t>Выполнить экспертизу сметной документации</t>
  </si>
  <si>
    <t>1.9.</t>
  </si>
  <si>
    <t>Пояснительная записка для ЭПБ на техническое перевооружение</t>
  </si>
  <si>
    <t xml:space="preserve">  Историко-культурная экспертиза. Археологические изыскания.</t>
  </si>
  <si>
    <t xml:space="preserve">  Инструментальные Обследования существующих строительных конструкций / усиление, проведение экспертизы. Выполнить расчеты на прогрессирующие обрушения.</t>
  </si>
  <si>
    <t>Инструментальное обследование существующего оборудования</t>
  </si>
  <si>
    <t>5.3.</t>
  </si>
  <si>
    <t>Инструментальное обследование существующих трубопроводов</t>
  </si>
  <si>
    <t>Разработка рабочей документации</t>
  </si>
  <si>
    <t xml:space="preserve"> Комплект ГП (Генеральный план)</t>
  </si>
  <si>
    <t>Комплект АД (Автомобильные дороги)</t>
  </si>
  <si>
    <t>7.3.</t>
  </si>
  <si>
    <t>Комплект ПЖ (Железнодорожные пути)</t>
  </si>
  <si>
    <t>7.4.</t>
  </si>
  <si>
    <t>Комплект АР (Архитектурные решения)</t>
  </si>
  <si>
    <t>7.5.</t>
  </si>
  <si>
    <t>Комплект АИ (Архитектурные интерьеры)</t>
  </si>
  <si>
    <t>7.6.</t>
  </si>
  <si>
    <t>Комплект КЖ0 (Конструкции железобетонные нулевого цикла)</t>
  </si>
  <si>
    <t>7.7.</t>
  </si>
  <si>
    <t>Комплект КЖ (Конструкции железобетонные)</t>
  </si>
  <si>
    <t>7.8.</t>
  </si>
  <si>
    <t>Комплект КМ (Конструкции металлические)</t>
  </si>
  <si>
    <t>7.9.</t>
  </si>
  <si>
    <t>Комплект ГР (Гидротехнические решения)</t>
  </si>
  <si>
    <t>7.10.</t>
  </si>
  <si>
    <t>Комплект АЗ (Антикоррозионная защита конструкций зданий, сооружений)</t>
  </si>
  <si>
    <t>7.11.</t>
  </si>
  <si>
    <t>Комплект АЗО (Антикоррозионная защита трубопроводов)</t>
  </si>
  <si>
    <t>7.12.</t>
  </si>
  <si>
    <t>Комплект ЭС (Электроснабжение)</t>
  </si>
  <si>
    <t>7.13.</t>
  </si>
  <si>
    <t>Комплект ЭМ (Силовое электрооборудование)</t>
  </si>
  <si>
    <t>7.14.</t>
  </si>
  <si>
    <t>Комплект ЭК (Электрокабельные сети)</t>
  </si>
  <si>
    <t>7.15.</t>
  </si>
  <si>
    <t>Комплект ЭТ (Электрообогрев)</t>
  </si>
  <si>
    <t>7.16.</t>
  </si>
  <si>
    <t>Комплект ЭГ (Молниезащита и заземление)</t>
  </si>
  <si>
    <t>7.17.</t>
  </si>
  <si>
    <t>Комплект ЭГ1 (Информационное заземление)</t>
  </si>
  <si>
    <t>7.18.</t>
  </si>
  <si>
    <t>Комплект ЭН (Наружное электроосвещение)</t>
  </si>
  <si>
    <t>7.19.</t>
  </si>
  <si>
    <t>Комплект ЭО (Внутренне электроосвещение)</t>
  </si>
  <si>
    <t>7.20.</t>
  </si>
  <si>
    <t>Комплект  ЭНО (Система охранного освещения)</t>
  </si>
  <si>
    <t>7.21.</t>
  </si>
  <si>
    <t>Комплект НВК (Наружные сети водоснабжения и канализации)</t>
  </si>
  <si>
    <t>7.22</t>
  </si>
  <si>
    <t>Комплект ВК (Внутренние системы водоснабжения и канализации)</t>
  </si>
  <si>
    <t>7.23.</t>
  </si>
  <si>
    <t>Комплект ПТ (Пожаротушение. Водяное, пенотушение)</t>
  </si>
  <si>
    <t>7.24.</t>
  </si>
  <si>
    <t>Комплект ГПТ (Пожаротушение. Газовое)</t>
  </si>
  <si>
    <t>7.25.</t>
  </si>
  <si>
    <t>Комплект ОВ (Отопление, вентиляция и кондиционирование)</t>
  </si>
  <si>
    <t>7.26.</t>
  </si>
  <si>
    <t>Комплект ВС (Воздухоснабжение)</t>
  </si>
  <si>
    <t>7.27.</t>
  </si>
  <si>
    <t>Комплект ПУ (Пылеудаление)</t>
  </si>
  <si>
    <t>7.28.</t>
  </si>
  <si>
    <t>Комплект ГС (Наружные газопроводы)</t>
  </si>
  <si>
    <t>7.29.</t>
  </si>
  <si>
    <t>Комплект ГСВ (Газоснабжение (внутренние устройства)</t>
  </si>
  <si>
    <t>7.30.</t>
  </si>
  <si>
    <t>Комплект ХС (Холодоснабжение)</t>
  </si>
  <si>
    <t>7.31.</t>
  </si>
  <si>
    <t>Комплект ТМ (Тепломеханические решения)</t>
  </si>
  <si>
    <t>7.32.</t>
  </si>
  <si>
    <t>Комплект ТС (Тепломеханические решения тепловых сетей)</t>
  </si>
  <si>
    <t>7.33.</t>
  </si>
  <si>
    <t>Комплект АТХ (Автоматизация технологии производства)</t>
  </si>
  <si>
    <t>7.34.</t>
  </si>
  <si>
    <t>Комплект АТХ(В) (Вибромониторинг динамического оборудования)</t>
  </si>
  <si>
    <t>7.35.</t>
  </si>
  <si>
    <t>Комплект АОВ (Автоматизация систем отопления, вентиляции, кондиционирования)</t>
  </si>
  <si>
    <t>7.36.</t>
  </si>
  <si>
    <t>Комплект АНВК (Автоматизация систем наружных сетей водоснабжения и канализации)</t>
  </si>
  <si>
    <t>7.37.</t>
  </si>
  <si>
    <t>Комплект АВК (Автоматизация систем внутренних сетей водоснабжения и канализации)</t>
  </si>
  <si>
    <t>7.38.</t>
  </si>
  <si>
    <t xml:space="preserve">Комплект АПТ (Автоматизация систем Пожаротушения (Водяное, пенотушение)) </t>
  </si>
  <si>
    <t>7.39.</t>
  </si>
  <si>
    <t xml:space="preserve">Комплект АГПТ (Автоматизация систем Газовое Пожаротушения ) </t>
  </si>
  <si>
    <t>7.40.</t>
  </si>
  <si>
    <t xml:space="preserve">Комплект АВС (Автоматизация систем ВС (Воздухоснабжение)) </t>
  </si>
  <si>
    <t>7.41.</t>
  </si>
  <si>
    <t xml:space="preserve">Комплект АПУ (Автоматизация систем ПУ (Пылеудаление)) </t>
  </si>
  <si>
    <t>7.42.</t>
  </si>
  <si>
    <t xml:space="preserve">Комплект АХС (Автоматизация систем ХС (Холодоснабжение)) </t>
  </si>
  <si>
    <t>7.43.</t>
  </si>
  <si>
    <t xml:space="preserve">Комплект АТМ (Автоматизация систем ТМ (Тепломеханические решения)) </t>
  </si>
  <si>
    <t>7.44.</t>
  </si>
  <si>
    <t xml:space="preserve">Комплект АГСН (Автоматизация систем ГС (Наружные газопроводы)) </t>
  </si>
  <si>
    <t>7.45.</t>
  </si>
  <si>
    <t xml:space="preserve">Комплект АГСВ (Автоматизация систем ГСВ (Газоснабжение (внутренние устройства))) </t>
  </si>
  <si>
    <t>7.46.</t>
  </si>
  <si>
    <t xml:space="preserve">Комплект АМР (Автоматизация систем МР (Механизация работ)) </t>
  </si>
  <si>
    <t>7.47.</t>
  </si>
  <si>
    <t xml:space="preserve">Комплект АСУТП (Автоматическая система управления технологическим процессом) </t>
  </si>
  <si>
    <t>7.48.</t>
  </si>
  <si>
    <t xml:space="preserve">Комплект АСДУЭ (Автоматическая система диспетчерского управления электроснабжения) </t>
  </si>
  <si>
    <t>7.49.</t>
  </si>
  <si>
    <t xml:space="preserve">Комплект БСОП (Биоакустическая система отпугивания птиц)  </t>
  </si>
  <si>
    <t>7.50.</t>
  </si>
  <si>
    <t xml:space="preserve">Комплект УСОГ (Ультрозвуковая система отпугивания грызунов) </t>
  </si>
  <si>
    <t>7.51.</t>
  </si>
  <si>
    <t xml:space="preserve">Комплект АВТ (Автоматизация системы (Вертикальный транспорт)) </t>
  </si>
  <si>
    <t>7.52.</t>
  </si>
  <si>
    <t>Комплект АПС. СОУЭ (Автоматическая пожарная сигнализация. Система оповещения и управления эвакуацией)</t>
  </si>
  <si>
    <t>7.53.</t>
  </si>
  <si>
    <t xml:space="preserve">Комплект СС (Система связи (технолгическая, оперативная,телефонная, радиосвязь) </t>
  </si>
  <si>
    <t>7.54.</t>
  </si>
  <si>
    <t xml:space="preserve">Комплект СКУД (Система контроля управления доступом) </t>
  </si>
  <si>
    <t>7.55.</t>
  </si>
  <si>
    <t xml:space="preserve">Комплект СКС (Структурированные кабельные сети) </t>
  </si>
  <si>
    <t>7.56.</t>
  </si>
  <si>
    <t xml:space="preserve">Комплект ОС (Охранная сигнализация) </t>
  </si>
  <si>
    <t>7.57.</t>
  </si>
  <si>
    <t xml:space="preserve">Комплект ВНТ (Технологическое видеонаблюдение) </t>
  </si>
  <si>
    <t>7.58.</t>
  </si>
  <si>
    <t xml:space="preserve">Комплект ВН(О) (Охранное видеонаблюдение) </t>
  </si>
  <si>
    <t>7.59.</t>
  </si>
  <si>
    <t xml:space="preserve">Комплект СОТ (Система охранного телевидения) </t>
  </si>
  <si>
    <t>7.60.</t>
  </si>
  <si>
    <t xml:space="preserve">Комплект ТХ (Технология производства) </t>
  </si>
  <si>
    <t>7.61.</t>
  </si>
  <si>
    <t xml:space="preserve">Комплект ТК ( Технологические коммуникации) </t>
  </si>
  <si>
    <t>7.62.</t>
  </si>
  <si>
    <t xml:space="preserve">Комплект Технические проекты на технологическое оборудование </t>
  </si>
  <si>
    <t>7.63.</t>
  </si>
  <si>
    <t xml:space="preserve">Комплект ТХ.ТП (Технология производства. Печи нагрева) </t>
  </si>
  <si>
    <t>7.64.</t>
  </si>
  <si>
    <t xml:space="preserve">Комплект ТИ ( Тепловая изоляция) </t>
  </si>
  <si>
    <t>Корректировка рабочей документации по результатам СМР</t>
  </si>
  <si>
    <t xml:space="preserve"> Комплект ГП (Генеральный план). Корректировка комплекта по результатам СМР. Стадия As build</t>
  </si>
  <si>
    <t>8.2.</t>
  </si>
  <si>
    <t>Комплект АД (Автомобильные дороги). Корректировка комплекта по результатам СМР. Стадия As build</t>
  </si>
  <si>
    <t>8.3.</t>
  </si>
  <si>
    <t>Комплект ПЖ (Железнодорожные пути). Корректировка комплекта по результатам СМР. Стадия As build</t>
  </si>
  <si>
    <t>8.4.</t>
  </si>
  <si>
    <t>Комплект АР (Архитектурные решения). Корректировка комплекта по результатам СМР. Стадия As build</t>
  </si>
  <si>
    <t>8.5.</t>
  </si>
  <si>
    <t>Комплект АИ (Архитектурные интерьеры). Корректировка комплекта по результатам СМР. Стадия As build</t>
  </si>
  <si>
    <t>8.6.</t>
  </si>
  <si>
    <t>Комплект КЖ0 (Конструкции железобетонные нулевого цикла). Корректировка комплекта по результатам СМР. Стадия As build</t>
  </si>
  <si>
    <t>8.7.</t>
  </si>
  <si>
    <t>Комплект КЖ (Конструкции железобетонные). Корректировка комплекта по результатам СМР. Стадия As build</t>
  </si>
  <si>
    <t>8.8.</t>
  </si>
  <si>
    <t>Комплект КМ (Конструкции металлические). Корректировка комплекта по результатам СМР. Стадия As build</t>
  </si>
  <si>
    <t>8.9.</t>
  </si>
  <si>
    <t>Комплект ГР (Гидротехнические решения). Корректировка комплекта по результатам СМР. Стадия As build</t>
  </si>
  <si>
    <t>8.10.</t>
  </si>
  <si>
    <t>Комплект АЗ (Антикоррозионная защита конструкций зданий, сооружений). Корректировка комплекта по результатам СМР. Стадия As build</t>
  </si>
  <si>
    <t>8.11.</t>
  </si>
  <si>
    <t>Комплект АЗО (Антикоррозионная защита трубопроводов). Корректировка комплекта по результатам СМР. Стадия As build</t>
  </si>
  <si>
    <t>8.12.</t>
  </si>
  <si>
    <t>Комплект ЭС (Электроснабжение). Корректировка комплекта по результатам СМР. Стадия As build</t>
  </si>
  <si>
    <t>8.13.</t>
  </si>
  <si>
    <t>Комплект ЭМ (Силовое электрооборудование). Корректировка комплекта по результатам СМР. Стадия As build</t>
  </si>
  <si>
    <t>8.14.</t>
  </si>
  <si>
    <t>Комплект ЭК (Электрокабельные сети). Корректировка комплекта по результатам СМР. Стадия As build</t>
  </si>
  <si>
    <t>8.15.</t>
  </si>
  <si>
    <t>Комплект ЭТ (Электрообогрев). Корректировка комплекта по результатам СМР. Стадия As build</t>
  </si>
  <si>
    <t>8.16.</t>
  </si>
  <si>
    <t>Комплект ЭГ (Молниезащита и заземление). Корректировка комплекта по результатам СМР. Стадия As build</t>
  </si>
  <si>
    <t>8.17.</t>
  </si>
  <si>
    <t>Комплект ЭГ1 (Информационное заземление). Корректировка комплекта по результатам СМР. Стадия As build</t>
  </si>
  <si>
    <t>8.18.</t>
  </si>
  <si>
    <t>Комплект ЭН (Наружное электроосвещение). Корректировка комплекта по результатам СМР. Стадия As build</t>
  </si>
  <si>
    <t>8.19.</t>
  </si>
  <si>
    <t>Комплект ЭО (Внутренне электроосвещение). Корректировка комплекта по результатам СМР. Стадия As build</t>
  </si>
  <si>
    <t>8.20.</t>
  </si>
  <si>
    <t>Комплект  ЭНО (Система охранного освещения). Корректировка комплекта по результатам СМР. Стадия As build</t>
  </si>
  <si>
    <t>8.21.</t>
  </si>
  <si>
    <t>Комплект НВК (Наружные сети водоснабжения и канализации). Корректировка комплекта по результатам СМР. Стадия As build</t>
  </si>
  <si>
    <t>8.22.</t>
  </si>
  <si>
    <t>Комплект ВК (Внутренние системы водоснабжения и канализации). Корректировка комплекта по результатам СМР. Стадия As build</t>
  </si>
  <si>
    <t>8.23.</t>
  </si>
  <si>
    <t>Комплект ПТ (Пожаротушение. Водяное, пенотушение). Корректировка комплекта по результатам СМР. Стадия As build</t>
  </si>
  <si>
    <t>8.24.</t>
  </si>
  <si>
    <t>Комплект ГПТ (Пожаротушение. Газовое). Корректировка комплекта по результатам СМР. Стадия As build</t>
  </si>
  <si>
    <t>8.25.</t>
  </si>
  <si>
    <t>Комплект ОВ (Отопление, вентиляция и кондиционирование). Корректировка комплекта по результатам СМР. Стадия As build</t>
  </si>
  <si>
    <t>8.26.</t>
  </si>
  <si>
    <t>Комплект ВС (Воздухоснабжение). Корректировка комплекта по результатам СМР. Стадия As build</t>
  </si>
  <si>
    <t>8.27.</t>
  </si>
  <si>
    <t>Комплект ПУ (Пылеудаление). Корректировка комплекта по результатам СМР. Стадия As build</t>
  </si>
  <si>
    <t>8.28.</t>
  </si>
  <si>
    <t>Комплект ГС (Наружные газопроводы). Корректировка комплекта по результатам СМР. Стадия As build</t>
  </si>
  <si>
    <t>8.29.</t>
  </si>
  <si>
    <t>Комплект ГСВ (Газоснабжение (внутренние устройства). Корректировка комплекта по результатам СМР. Стадия As build</t>
  </si>
  <si>
    <t>8.30.</t>
  </si>
  <si>
    <t>Комплект ХС (Холодоснабжение). Корректировка комплекта по результатам СМР. Стадия As build</t>
  </si>
  <si>
    <t>8.31.</t>
  </si>
  <si>
    <t>Комплект ТМ (Тепломеханические решения). Корректировка комплекта по результатам СМР. Стадия As build</t>
  </si>
  <si>
    <t>8.32.</t>
  </si>
  <si>
    <t>Комплект ТС (Тепломеханические решения тепловых сетей). Корректировка комплекта по результатам СМР. Стадия As build</t>
  </si>
  <si>
    <t>8.33.</t>
  </si>
  <si>
    <t>Комплект АТХ (Автоматизация технологии производства). Корректировка комплекта по результатам СМР. Стадия As build</t>
  </si>
  <si>
    <t>8.34.</t>
  </si>
  <si>
    <t>Комплект АТХ(В) (Вибромониторинг динамического оборудования). Корректировка комплекта по результатам СМР. Стадия As build</t>
  </si>
  <si>
    <t>8.35.</t>
  </si>
  <si>
    <t>Комплект АОВ (Автоматизация систем отопления, вентиляции, кондиционирования). Корректировка комплекта по результатам СМР. Стадия As build</t>
  </si>
  <si>
    <t>8.36.</t>
  </si>
  <si>
    <t>Комплект АНВК (Автоматизация систем наружных сетей водоснабжения и канализации). Корректировка комплекта по результатам СМР. Стадия As build</t>
  </si>
  <si>
    <t>8.37.</t>
  </si>
  <si>
    <t>Комплект АВК (Автоматизация систем внутренних сетей водоснабжения и канализации). Корректировка комплекта по результатам СМР. Стадия As build</t>
  </si>
  <si>
    <t>8.38.</t>
  </si>
  <si>
    <t>Комплект АПТ (Автоматизация систем Пожаротушения (Водяное, пенотушение)). Корректировка комплекта по результатам СМР. Стадия As build</t>
  </si>
  <si>
    <t>8.39.</t>
  </si>
  <si>
    <t>Комплект АГПТ (Автоматизация систем Газовое Пожаротушения ) . Корректировка комплекта по результатам СМР. Стадия As build</t>
  </si>
  <si>
    <t>8.40.</t>
  </si>
  <si>
    <t>Комплект АВС (Автоматизация систем ВС (Воздухоснабжение)). Корректировка комплекта по результатам СМР. Стадия As build</t>
  </si>
  <si>
    <t>8.41.</t>
  </si>
  <si>
    <t>Комплект АПУ (Автоматизация систем ПУ (Пылеудаление)). Корректировка комплекта по результатам СМР. Стадия As build</t>
  </si>
  <si>
    <t>8.42.</t>
  </si>
  <si>
    <t>Комплект АХС (Автоматизация систем ХС (Холодоснабжение)) . Корректировка комплекта по результатам СМР. Стадия As build</t>
  </si>
  <si>
    <t>8.43.</t>
  </si>
  <si>
    <t>Комплект АТМ (Автоматизация систем ТМ (Тепломеханические решения)). Корректировка комплекта по результатам СМР. Стадия As build</t>
  </si>
  <si>
    <t>8.44.</t>
  </si>
  <si>
    <t>Комплект АГСН (Автоматизация систем ГС (Наружные газопроводы)). Корректировка комплекта по результатам СМР. Стадия As build</t>
  </si>
  <si>
    <t>8.45.</t>
  </si>
  <si>
    <t>Комплект АГСВ (Автоматизация систем ГСВ (Газоснабжение (внутренние устройства))). Корректировка комплекта по результатам СМР. Стадия As build</t>
  </si>
  <si>
    <t>8.46.</t>
  </si>
  <si>
    <t>Комплект АМР (Автоматизация систем МР (Механизация работ)) . Корректировка комплекта по результатам СМР. Стадия As build</t>
  </si>
  <si>
    <t>8.47.</t>
  </si>
  <si>
    <t>Комплект АСУТП (Автоматическая система управления технологическим процессом). Корректировка комплекта по результатам СМР. Стадия As build</t>
  </si>
  <si>
    <t>8.48.</t>
  </si>
  <si>
    <t>Комплект АСДУЭ (Автоматическая система диспетчерского управления электроснабжения). Корректировка комплекта по результатам СМР. Стадия As build</t>
  </si>
  <si>
    <t>8.49.</t>
  </si>
  <si>
    <t>Комплект БСОП (Биоакустическая система отпугивания птиц). Корректировка комплекта по результатам СМР. Стадия As build</t>
  </si>
  <si>
    <t>8.50.</t>
  </si>
  <si>
    <t>Комплект УСОГ (Ультрозвуковая система отпугивания грызунов). Корректировка комплекта по результатам СМР. Стадия As build</t>
  </si>
  <si>
    <t>8.51.</t>
  </si>
  <si>
    <t>Комплект АВТ (Автоматизация системы (Вертикальный транспорт)). Корректировка комплекта по результатам СМР. Стадия As build</t>
  </si>
  <si>
    <t>8.52.</t>
  </si>
  <si>
    <t>Комплект АПС. СОУЭ (Автоматическая пожарная сигнализация. Система оповещения и управления эвакуацией). Корректировка комплекта по результатам СМР. Стадия As build</t>
  </si>
  <si>
    <t>8.53.</t>
  </si>
  <si>
    <t>Комплект СС (Система связи (технолгическая, оперативная,телефонная, радиосвязь). Корректировка комплекта по результатам СМР. Стадия As build</t>
  </si>
  <si>
    <t>8.54.</t>
  </si>
  <si>
    <t>Комплект СКУД (Система контроля управления доступом). Корректировка комплекта по результатам СМР. Стадия As build</t>
  </si>
  <si>
    <t>8.55.</t>
  </si>
  <si>
    <t>Комплект СКС (Структурированные кабельные сети) . Корректировка комплекта по результатам СМР. Стадия As build</t>
  </si>
  <si>
    <t>8.56.</t>
  </si>
  <si>
    <t>Комплект ОС (Охранная сигнализация). Корректировка комплекта по результатам СМР. Стадия As build</t>
  </si>
  <si>
    <t>8.57.</t>
  </si>
  <si>
    <t>Комплект ВНТ (Технологическое видеонаблюдение). Корректировка комплекта по результатам СМР. Стадия As build</t>
  </si>
  <si>
    <t>8.58.</t>
  </si>
  <si>
    <t>Комплект ВН(О) (Охранное видеонаблюдение). Корректировка комплекта по результатам СМР. Стадия As build</t>
  </si>
  <si>
    <t>8.59.</t>
  </si>
  <si>
    <t>Комплект СОТ (Система охранного телевидения). Корректировка комплекта по результатам СМР. Стадия As build</t>
  </si>
  <si>
    <t>8.60.</t>
  </si>
  <si>
    <t>Комплект ТХ (Технология производства). Корректировка комплекта по результатам СМР. Стадия As build</t>
  </si>
  <si>
    <t>8.61.</t>
  </si>
  <si>
    <t>Комплект ТК ( Технологические коммуникации). Корректировка комплекта по результатам СМР. Стадия As build</t>
  </si>
  <si>
    <t>8.62.</t>
  </si>
  <si>
    <t>Комплект Технические проекты на технологическое оборудование. Корректировка комплекта по результатам СМР. Стадия As build</t>
  </si>
  <si>
    <t>8.63.</t>
  </si>
  <si>
    <t>Комплект ТХ.ТП (Технология производства. Печи нагрева). Корректировка комплекта по результатам СМР. Стадия As build</t>
  </si>
  <si>
    <t>8.64.</t>
  </si>
  <si>
    <t>Комплект ТИ ( Тепловая изоляция) . Корректировка комплекта по результатам СМР. Стадия As build</t>
  </si>
  <si>
    <t>Разработка дизайн-концепции оформления зданий (экстерера) и интерьера</t>
  </si>
  <si>
    <t>Разработка дизайн проектов</t>
  </si>
  <si>
    <t>10.2.</t>
  </si>
  <si>
    <t>Разработка сводной 3D модели</t>
  </si>
  <si>
    <t xml:space="preserve">   Участие в совещаниях, необходимых для разработки РД и верификации физ.объемов</t>
  </si>
  <si>
    <t>12.2.</t>
  </si>
  <si>
    <t>12.3.</t>
  </si>
  <si>
    <t>12.4.</t>
  </si>
  <si>
    <t xml:space="preserve"> Приемка ТКП поставщиков технологического оборудования с составлением сводной сравнительной таблицы вопросов/замечаний без ограничений по кол-ву ТКП и волн</t>
  </si>
  <si>
    <t>12.5.</t>
  </si>
  <si>
    <t xml:space="preserve"> Приемка ТКП поставщиков вспомогательного оборудования систем с составлением сводной сравнительной таблицы вопросов/замечаний без ограничений по кол-ву ТКП и волн</t>
  </si>
  <si>
    <t>12.6.</t>
  </si>
  <si>
    <t xml:space="preserve"> Приемка ТКП поставщиков КИПиА, отсечной, запорной и регулирующей арматры с составлением сводной сравнительной таблицы вопросов/замечаний без ограничений по кол-ву ТКП и волн</t>
  </si>
  <si>
    <t>12.7.</t>
  </si>
  <si>
    <t>12.8.</t>
  </si>
  <si>
    <t>12.9.</t>
  </si>
  <si>
    <t>12.10.</t>
  </si>
  <si>
    <t>12.11.</t>
  </si>
  <si>
    <t>12.12.</t>
  </si>
  <si>
    <t>12.13.</t>
  </si>
  <si>
    <t>Разработка проекта СЗЗ, получение санитарно-эпидемиологического заключения Роспотребнадзора и решения об установлении СЗЗ. Выполнить работы по сопровождению экспертизы проекта санитарно-защитной зоны (СЗЗ) и зон санитарной охраны (ЗСО). (при необходимости)</t>
  </si>
  <si>
    <t>12.14.</t>
  </si>
  <si>
    <t>12.15.</t>
  </si>
  <si>
    <t>12.16.</t>
  </si>
  <si>
    <t>Выполнение НТС (научно-техническое сопровождение). (при необходимости)</t>
  </si>
  <si>
    <t>12.17.</t>
  </si>
  <si>
    <t>Проект консервации на исключаемые из тех.процесса установок/корпусов/сооружений/оборудования и т.п. (при необходимости)</t>
  </si>
  <si>
    <t>12.18.</t>
  </si>
  <si>
    <t>12.19.</t>
  </si>
  <si>
    <t>12.20.</t>
  </si>
  <si>
    <t>12.21.</t>
  </si>
  <si>
    <t>12.22.</t>
  </si>
  <si>
    <t>12.23.</t>
  </si>
  <si>
    <t>Разработать отдельной книгой Требования нормативных актов Таможенного союза и РФ к оборудованию. (при необходимости)</t>
  </si>
  <si>
    <t>12.24.</t>
  </si>
  <si>
    <t xml:space="preserve">   Разработка ИТТ/ТЗ на АСУТП. Приемка и согласование документации на АСУТП.</t>
  </si>
  <si>
    <t>12.25.</t>
  </si>
  <si>
    <t xml:space="preserve">   Разработка ТЗ на промышленных тренажер. Приемка и согласование документации.(при необходимости)</t>
  </si>
  <si>
    <t>12.26.</t>
  </si>
  <si>
    <t xml:space="preserve">   Разработка ТЗ на внедрение ситсемы LOTO. Приемка и согласование документации.(при необходимости)</t>
  </si>
  <si>
    <t>Авторский надзор</t>
  </si>
  <si>
    <t>Осуществление авторского надзора за строительством</t>
  </si>
  <si>
    <t>13.2.</t>
  </si>
  <si>
    <t>Осуществление строительного надзора за строительством (при необходимости)</t>
  </si>
  <si>
    <t>Эксплуатационная документация</t>
  </si>
  <si>
    <t>Разработка/корректировка технологического регламента (при необходимости)</t>
  </si>
  <si>
    <t>ПМЛА (План мероприятий ликвидации аварий) (при необходимости)</t>
  </si>
  <si>
    <t>14.3.</t>
  </si>
  <si>
    <t>ПЛАРН (План ликвидации аварийных розливов нефти) (при необходимости)</t>
  </si>
  <si>
    <t>14.4.</t>
  </si>
  <si>
    <t>ПЛАС (План ликвидации аварийных ситуаций) (при необходимости)</t>
  </si>
  <si>
    <t>14.5.</t>
  </si>
  <si>
    <t>Паспорт взрывобезопасности опасного производственного объекта (при необходимости)</t>
  </si>
  <si>
    <t>14.6.</t>
  </si>
  <si>
    <t>Декларация пожарной безопасности (при необходимости)</t>
  </si>
  <si>
    <t>14.7.</t>
  </si>
  <si>
    <t>План действий по предупреждению и ликвидации чрезвычайных ситуаций природного и техногенного характера (при необходимости)</t>
  </si>
  <si>
    <t>Организация, ведение, поддержание электронного документооборота ЭДО</t>
  </si>
  <si>
    <t>16.</t>
  </si>
  <si>
    <t>16.1.</t>
  </si>
  <si>
    <t>17.</t>
  </si>
  <si>
    <t>Полевое проектирование</t>
  </si>
  <si>
    <t>17.1.</t>
  </si>
  <si>
    <t>Организация полевого офиса по проектированию. Ведение проектных работ. (при необходимости)</t>
  </si>
  <si>
    <t>18.</t>
  </si>
  <si>
    <t>18.1.</t>
  </si>
  <si>
    <t xml:space="preserve">Согласование с собственниками существующих сооружений, сетей, земель пересечение с проектируемыми сооружениями </t>
  </si>
  <si>
    <t>19.</t>
  </si>
  <si>
    <t>19.1.</t>
  </si>
  <si>
    <t>20.</t>
  </si>
  <si>
    <t xml:space="preserve">Экспертиза промышленной безопасности </t>
  </si>
  <si>
    <t>20.1.</t>
  </si>
  <si>
    <t>Проведение ЭПБ (экспертизы промышленной безопасности) существующих трубопроводов на новые параметры проекта</t>
  </si>
  <si>
    <t>20.2.</t>
  </si>
  <si>
    <t>Проведение ЭПБ (экспертизы промышленной безопасности) существующего технологического оборудования на новые параметры проекта</t>
  </si>
  <si>
    <t>20.3.</t>
  </si>
  <si>
    <t>Проведение ЭПБ (экспертизы промышленной безопасности) РД</t>
  </si>
  <si>
    <t>21.</t>
  </si>
  <si>
    <t>21.1.</t>
  </si>
  <si>
    <t>Разработка СТУ по общестроительным решениям. Согласование в Минстрое</t>
  </si>
  <si>
    <t>21.2.</t>
  </si>
  <si>
    <t>Разработка СТУ по противопожарной безопасности. Согласование в МЧС России</t>
  </si>
  <si>
    <t>22.</t>
  </si>
  <si>
    <t>Выполнение ОБ ОПО</t>
  </si>
  <si>
    <t>22.1.</t>
  </si>
  <si>
    <t>23.</t>
  </si>
  <si>
    <t>Выполнение проектных расчетов. Оформление передача заказчику.</t>
  </si>
  <si>
    <t>23.1.</t>
  </si>
  <si>
    <t>Выполнение технологических расчетов. Оформление. Формирование файлов разработки. Передача Заказчику оформленных расчетов и исходных файлов.</t>
  </si>
  <si>
    <t>23.2.</t>
  </si>
  <si>
    <t>Выполнение прочностных расчетов трубопроводов. Оформление. Формирование файлов разработки. Передача Заказчику оформленных расчетов и исходных файлов.</t>
  </si>
  <si>
    <t>23.3.</t>
  </si>
  <si>
    <t>Выполнение прочностных расчетов технологического оборудования. Оформление. Формирование файлов разработки. Передача Заказчику оформленных расчетов и исходных файлов.</t>
  </si>
  <si>
    <t>23.4.</t>
  </si>
  <si>
    <t>Выполнение прочностных расчетов строительных конструкций. Оформление. Формирование файлов разработки. Передача Заказчику оформленных расчетов и исходных файлов.</t>
  </si>
  <si>
    <t>23.5.</t>
  </si>
  <si>
    <t>Выполнение расчетов оборудования и сетей электроснабжения, освещения. Оформление. Формирование файлов разработки. Передача Заказчику оформленных расчетов и исходных файлов.</t>
  </si>
  <si>
    <t>23.6.</t>
  </si>
  <si>
    <t>Выполнение расчетов оборудования и сетей КИП, АСУТП. Оформление. Формирование файлов разработки. Передача Заказчику оформленных расчетов и исходных файлов.</t>
  </si>
  <si>
    <t>23.7.</t>
  </si>
  <si>
    <t>Выполнение расчетов оборудования и сетей ОиВ, НВК, ВК. Оформление. Формирование файлов разработки. Передача Заказчику оформленных расчетов и исходных файлов.</t>
  </si>
  <si>
    <t>Итого стоимость предложения на РД</t>
  </si>
  <si>
    <t>Экспертиза промышленной безопасности</t>
  </si>
  <si>
    <t>Предоставить таблицу физических объемов сводная / по титульно</t>
  </si>
  <si>
    <t>Расчитать количество стыков / дюйм диаметров по проекту</t>
  </si>
  <si>
    <t>Разработать сметную документацию ресурсным методом (ГЭСН-2001 в ред.2020 (с изм./доп)</t>
  </si>
  <si>
    <t xml:space="preserve">Предоставить BOQ  (Описание выполняемых работ/объемы). </t>
  </si>
  <si>
    <t xml:space="preserve">Пусконаладочные  работы (ПНР, ППНР) определить расчетом.    </t>
  </si>
  <si>
    <t xml:space="preserve">Выполнить экспертизу сметной документации </t>
  </si>
  <si>
    <t>Разработка ТЭО, ОТР, FEED, проектной и рабочей документации объекта
"Выполнение проектно-изыскательских работ по проектам "Техническое перевооружение сети водопроводов, трубопроводов пенного пожаротушения ООО "Томскнефтехим" »
Календарный план</t>
  </si>
  <si>
    <t xml:space="preserve">Разработка ТЭО, ОТР, FEED, проектной и рабочей документации объекта
"Выполнение проектно-изыскательских работ по проектам "Техническое перевооружение сети водопроводов, трубопроводов пенного пожаротушения ООО "Томскнефтехим" »
</t>
  </si>
  <si>
    <t xml:space="preserve">Разработка ТЭО по объекту
"Выполнение проектно-изыскательских работ по проектам "Техническое перевооружение сети водопроводов, трубопроводов пенного пожаротушения ООО "Томскнефтехим" »
</t>
  </si>
  <si>
    <t xml:space="preserve">Разработка ОТР (Основные технические решения) по объекту
"Выполнение проектно-изыскательских работ по проектам "Техническое перевооружение сети водопроводов, трубопроводов пенного пожаротушения ООО "Томскнефтехим" »
</t>
  </si>
  <si>
    <t xml:space="preserve">Разработка FEED по объекту
"Выполнение проектно-изыскательских работ по проектам "Техническое перевооружение сети водопроводов, трубопроводов пенного пожаротушения ООО "Томскнефтехим" »
</t>
  </si>
  <si>
    <t xml:space="preserve">Разработка FEED по объекту
"Выполнение проектно-изыскательских работ по проектам "Техническое перевооружение сети водопроводов, трубопроводов пенного пожаротушения ООО "Томскнефтехим" .»
</t>
  </si>
  <si>
    <t xml:space="preserve">Разработка проектной документации по объекту
"Выполнение проектно-изыскательских работ по проектам "Техническое перевооружение сети водопроводов, трубопроводов пенного пожаротушения ООО "Томскнефтехим" »
</t>
  </si>
  <si>
    <t xml:space="preserve">Разработка рабочей документации по объекту
"Выполнение проектно-изыскательских работ по проектам "Техническое перевооружение сети водопроводов, трубопроводов пенного пожаротушения ООО "Томскнефтехим" »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</si>
</sst>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.00\ _₽_-;\-* #,##0.00\ _₽_-;_-* &quot;-&quot;??\ _₽_-;_-@_-"/>
    <numFmt numFmtId="165" formatCode="_-* #,##0.00_р_._-;\-* #,##0.00_р_._-;_-* &quot;-&quot;??_р_._-;_-@_-"/>
    <numFmt numFmtId="166" formatCode="_(* #,##0.00_);_(* \(#,##0.00\);_(* &quot;-&quot;??_);_(@_)"/>
    <numFmt numFmtId="167" formatCode="#,##0.00\ &quot;₽&quot;"/>
    <numFmt numFmtId="168" formatCode="#,##0.0"/>
  </numFmts>
  <fonts count="33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Arial Cyr"/>
      <family val="2"/>
      <charset val="204"/>
    </font>
    <font>
      <sz val="10"/>
      <name val="Helv"/>
    </font>
    <font>
      <sz val="10"/>
      <name val="Helv"/>
      <charset val="204"/>
    </font>
    <font>
      <sz val="10"/>
      <name val="Arial"/>
      <family val="2"/>
      <charset val="204"/>
    </font>
    <font>
      <sz val="10"/>
      <name val="Arial Cyr"/>
    </font>
    <font>
      <sz val="10"/>
      <name val="System"/>
      <family val="2"/>
      <charset val="204"/>
    </font>
    <font>
      <sz val="10"/>
      <name val="Arial Cyr"/>
      <charset val="204"/>
    </font>
    <font>
      <b/>
      <sz val="16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6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">
    <xf numFmtId="0" fontId="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9" fillId="0" borderId="0" applyNumberFormat="0" applyFill="0" applyBorder="0" applyAlignment="0" applyProtection="0"/>
    <xf numFmtId="0" fontId="7" fillId="0" borderId="0"/>
    <xf numFmtId="0" fontId="10" fillId="0" borderId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10" fillId="0" borderId="0"/>
  </cellStyleXfs>
  <cellXfs count="166">
    <xf numFmtId="0" fontId="0" fillId="0" borderId="0" xfId="0"/>
    <xf numFmtId="3" fontId="3" fillId="4" borderId="1" xfId="3" applyNumberFormat="1" applyFont="1" applyFill="1" applyBorder="1" applyAlignment="1">
      <alignment horizontal="left" vertical="center"/>
    </xf>
    <xf numFmtId="3" fontId="3" fillId="4" borderId="8" xfId="3" applyNumberFormat="1" applyFont="1" applyFill="1" applyBorder="1" applyAlignment="1">
      <alignment horizontal="left" vertical="center" wrapText="1"/>
    </xf>
    <xf numFmtId="0" fontId="11" fillId="2" borderId="0" xfId="1" applyFont="1" applyFill="1" applyAlignment="1">
      <alignment vertical="top" wrapText="1"/>
    </xf>
    <xf numFmtId="3" fontId="3" fillId="4" borderId="8" xfId="3" applyNumberFormat="1" applyFont="1" applyFill="1" applyBorder="1" applyAlignment="1">
      <alignment horizontal="center" vertical="center" wrapText="1"/>
    </xf>
    <xf numFmtId="0" fontId="2" fillId="2" borderId="0" xfId="1" applyFont="1" applyFill="1" applyAlignment="1">
      <alignment vertical="top" wrapText="1"/>
    </xf>
    <xf numFmtId="0" fontId="2" fillId="5" borderId="9" xfId="1" applyFont="1" applyFill="1" applyBorder="1" applyAlignment="1">
      <alignment vertical="top"/>
    </xf>
    <xf numFmtId="0" fontId="2" fillId="5" borderId="9" xfId="1" applyFont="1" applyFill="1" applyBorder="1" applyAlignment="1">
      <alignment vertical="top" wrapText="1"/>
    </xf>
    <xf numFmtId="49" fontId="2" fillId="5" borderId="10" xfId="1" applyNumberFormat="1" applyFont="1" applyFill="1" applyBorder="1" applyAlignment="1">
      <alignment vertical="top"/>
    </xf>
    <xf numFmtId="4" fontId="2" fillId="5" borderId="12" xfId="1" applyNumberFormat="1" applyFont="1" applyFill="1" applyBorder="1" applyAlignment="1">
      <alignment horizontal="center" vertical="top"/>
    </xf>
    <xf numFmtId="4" fontId="2" fillId="5" borderId="13" xfId="1" applyNumberFormat="1" applyFont="1" applyFill="1" applyBorder="1" applyAlignment="1">
      <alignment horizontal="center" vertical="top"/>
    </xf>
    <xf numFmtId="49" fontId="2" fillId="5" borderId="14" xfId="1" applyNumberFormat="1" applyFont="1" applyFill="1" applyBorder="1" applyAlignment="1">
      <alignment vertical="top"/>
    </xf>
    <xf numFmtId="4" fontId="2" fillId="5" borderId="15" xfId="1" applyNumberFormat="1" applyFont="1" applyFill="1" applyBorder="1" applyAlignment="1">
      <alignment horizontal="center" vertical="top"/>
    </xf>
    <xf numFmtId="0" fontId="2" fillId="5" borderId="11" xfId="1" applyFont="1" applyFill="1" applyBorder="1" applyAlignment="1">
      <alignment vertical="top" wrapText="1"/>
    </xf>
    <xf numFmtId="49" fontId="2" fillId="5" borderId="16" xfId="1" applyNumberFormat="1" applyFont="1" applyFill="1" applyBorder="1" applyAlignment="1">
      <alignment vertical="top"/>
    </xf>
    <xf numFmtId="0" fontId="2" fillId="5" borderId="17" xfId="1" applyFont="1" applyFill="1" applyBorder="1" applyAlignment="1">
      <alignment vertical="top" wrapText="1"/>
    </xf>
    <xf numFmtId="4" fontId="2" fillId="5" borderId="18" xfId="1" applyNumberFormat="1" applyFont="1" applyFill="1" applyBorder="1" applyAlignment="1">
      <alignment horizontal="center" vertical="top"/>
    </xf>
    <xf numFmtId="0" fontId="2" fillId="5" borderId="19" xfId="1" applyFont="1" applyFill="1" applyBorder="1" applyAlignment="1">
      <alignment vertical="top" wrapText="1"/>
    </xf>
    <xf numFmtId="0" fontId="12" fillId="5" borderId="17" xfId="1" applyFont="1" applyFill="1" applyBorder="1" applyAlignment="1">
      <alignment vertical="top" wrapText="1"/>
    </xf>
    <xf numFmtId="0" fontId="13" fillId="2" borderId="0" xfId="1" applyFont="1" applyFill="1" applyAlignment="1">
      <alignment vertical="top" wrapText="1"/>
    </xf>
    <xf numFmtId="0" fontId="14" fillId="2" borderId="0" xfId="1" applyFont="1" applyFill="1" applyAlignment="1">
      <alignment vertical="top" wrapText="1"/>
    </xf>
    <xf numFmtId="0" fontId="15" fillId="0" borderId="0" xfId="0" applyFont="1"/>
    <xf numFmtId="0" fontId="15" fillId="0" borderId="0" xfId="0" applyFont="1" applyAlignment="1">
      <alignment horizontal="center"/>
    </xf>
    <xf numFmtId="0" fontId="13" fillId="2" borderId="0" xfId="1" applyFont="1" applyFill="1" applyAlignment="1">
      <alignment horizontal="center" vertical="top" wrapText="1"/>
    </xf>
    <xf numFmtId="0" fontId="16" fillId="0" borderId="0" xfId="1" applyFont="1" applyAlignment="1">
      <alignment horizontal="center" vertical="top" wrapText="1"/>
    </xf>
    <xf numFmtId="0" fontId="16" fillId="0" borderId="0" xfId="1" applyFont="1" applyAlignment="1">
      <alignment vertical="top" wrapText="1"/>
    </xf>
    <xf numFmtId="0" fontId="17" fillId="0" borderId="0" xfId="1" applyFont="1" applyAlignment="1">
      <alignment horizontal="center" vertical="top" wrapText="1"/>
    </xf>
    <xf numFmtId="3" fontId="17" fillId="0" borderId="9" xfId="3" applyNumberFormat="1" applyFont="1" applyBorder="1" applyAlignment="1">
      <alignment horizontal="center" vertical="center"/>
    </xf>
    <xf numFmtId="0" fontId="19" fillId="0" borderId="0" xfId="0" applyFont="1"/>
    <xf numFmtId="0" fontId="20" fillId="0" borderId="0" xfId="30" applyFont="1" applyAlignment="1" applyProtection="1">
      <alignment horizontal="left"/>
      <protection locked="0"/>
    </xf>
    <xf numFmtId="0" fontId="17" fillId="0" borderId="0" xfId="30" applyFont="1" applyAlignment="1" applyProtection="1">
      <alignment horizontal="left"/>
      <protection locked="0"/>
    </xf>
    <xf numFmtId="0" fontId="19" fillId="0" borderId="0" xfId="0" applyFont="1" applyProtection="1">
      <protection locked="0"/>
    </xf>
    <xf numFmtId="0" fontId="21" fillId="0" borderId="0" xfId="0" applyFont="1" applyAlignment="1" applyProtection="1">
      <alignment vertical="center"/>
      <protection locked="0"/>
    </xf>
    <xf numFmtId="0" fontId="17" fillId="0" borderId="24" xfId="30" applyFont="1" applyBorder="1" applyAlignment="1" applyProtection="1">
      <alignment horizontal="center" vertical="top"/>
      <protection locked="0"/>
    </xf>
    <xf numFmtId="3" fontId="3" fillId="10" borderId="29" xfId="3" applyNumberFormat="1" applyFont="1" applyFill="1" applyBorder="1" applyAlignment="1">
      <alignment vertical="center"/>
    </xf>
    <xf numFmtId="4" fontId="3" fillId="10" borderId="27" xfId="3" applyNumberFormat="1" applyFont="1" applyFill="1" applyBorder="1" applyAlignment="1">
      <alignment horizontal="center" vertical="center"/>
    </xf>
    <xf numFmtId="3" fontId="3" fillId="10" borderId="12" xfId="3" applyNumberFormat="1" applyFont="1" applyFill="1" applyBorder="1" applyAlignment="1">
      <alignment vertical="center"/>
    </xf>
    <xf numFmtId="3" fontId="3" fillId="10" borderId="27" xfId="3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49" fontId="3" fillId="10" borderId="10" xfId="0" applyNumberFormat="1" applyFont="1" applyFill="1" applyBorder="1" applyAlignment="1">
      <alignment horizontal="center" vertical="center"/>
    </xf>
    <xf numFmtId="0" fontId="3" fillId="10" borderId="26" xfId="0" applyFont="1" applyFill="1" applyBorder="1" applyAlignment="1">
      <alignment horizontal="left" vertical="center" wrapText="1"/>
    </xf>
    <xf numFmtId="2" fontId="3" fillId="10" borderId="27" xfId="0" applyNumberFormat="1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vertical="center"/>
    </xf>
    <xf numFmtId="49" fontId="14" fillId="0" borderId="21" xfId="0" applyNumberFormat="1" applyFont="1" applyBorder="1" applyAlignment="1">
      <alignment horizontal="center" vertical="center"/>
    </xf>
    <xf numFmtId="2" fontId="13" fillId="9" borderId="28" xfId="0" applyNumberFormat="1" applyFont="1" applyFill="1" applyBorder="1" applyAlignment="1">
      <alignment horizontal="center" vertical="center"/>
    </xf>
    <xf numFmtId="0" fontId="14" fillId="9" borderId="28" xfId="0" applyFont="1" applyFill="1" applyBorder="1" applyAlignment="1">
      <alignment vertical="center"/>
    </xf>
    <xf numFmtId="0" fontId="3" fillId="10" borderId="27" xfId="0" applyFont="1" applyFill="1" applyBorder="1" applyAlignment="1">
      <alignment vertical="center"/>
    </xf>
    <xf numFmtId="49" fontId="14" fillId="0" borderId="22" xfId="0" applyNumberFormat="1" applyFont="1" applyBorder="1" applyAlignment="1">
      <alignment horizontal="center" vertical="center"/>
    </xf>
    <xf numFmtId="167" fontId="18" fillId="9" borderId="25" xfId="0" applyNumberFormat="1" applyFont="1" applyFill="1" applyBorder="1" applyAlignment="1">
      <alignment horizontal="center"/>
    </xf>
    <xf numFmtId="49" fontId="17" fillId="8" borderId="9" xfId="0" applyNumberFormat="1" applyFont="1" applyFill="1" applyBorder="1" applyAlignment="1">
      <alignment horizontal="center" vertical="top"/>
    </xf>
    <xf numFmtId="0" fontId="18" fillId="8" borderId="9" xfId="0" applyFont="1" applyFill="1" applyBorder="1" applyAlignment="1">
      <alignment horizontal="right" indent="1"/>
    </xf>
    <xf numFmtId="0" fontId="14" fillId="5" borderId="9" xfId="0" applyFont="1" applyFill="1" applyBorder="1" applyAlignment="1">
      <alignment horizontal="left" vertical="center" wrapText="1" indent="1"/>
    </xf>
    <xf numFmtId="0" fontId="14" fillId="9" borderId="31" xfId="0" applyFont="1" applyFill="1" applyBorder="1" applyAlignment="1">
      <alignment vertical="center"/>
    </xf>
    <xf numFmtId="0" fontId="14" fillId="0" borderId="9" xfId="0" applyFont="1" applyBorder="1" applyAlignment="1">
      <alignment horizontal="left" vertical="top" wrapText="1" indent="1"/>
    </xf>
    <xf numFmtId="0" fontId="13" fillId="7" borderId="0" xfId="1" applyFont="1" applyFill="1" applyAlignment="1">
      <alignment horizontal="center" vertical="top" wrapText="1"/>
    </xf>
    <xf numFmtId="4" fontId="3" fillId="10" borderId="36" xfId="3" applyNumberFormat="1" applyFont="1" applyFill="1" applyBorder="1" applyAlignment="1">
      <alignment horizontal="center" vertical="center"/>
    </xf>
    <xf numFmtId="2" fontId="3" fillId="10" borderId="36" xfId="0" applyNumberFormat="1" applyFont="1" applyFill="1" applyBorder="1" applyAlignment="1">
      <alignment horizontal="center" vertical="center"/>
    </xf>
    <xf numFmtId="2" fontId="13" fillId="9" borderId="35" xfId="0" applyNumberFormat="1" applyFont="1" applyFill="1" applyBorder="1" applyAlignment="1">
      <alignment horizontal="center" vertical="center"/>
    </xf>
    <xf numFmtId="167" fontId="18" fillId="9" borderId="20" xfId="0" applyNumberFormat="1" applyFont="1" applyFill="1" applyBorder="1" applyAlignment="1">
      <alignment horizontal="center"/>
    </xf>
    <xf numFmtId="4" fontId="25" fillId="9" borderId="35" xfId="1" applyNumberFormat="1" applyFont="1" applyFill="1" applyBorder="1" applyAlignment="1">
      <alignment horizontal="center" vertical="center"/>
    </xf>
    <xf numFmtId="0" fontId="27" fillId="0" borderId="25" xfId="0" applyFont="1" applyBorder="1" applyAlignment="1">
      <alignment horizontal="center" vertical="center" wrapText="1"/>
    </xf>
    <xf numFmtId="2" fontId="18" fillId="9" borderId="25" xfId="0" applyNumberFormat="1" applyFont="1" applyFill="1" applyBorder="1" applyAlignment="1">
      <alignment horizontal="center"/>
    </xf>
    <xf numFmtId="0" fontId="18" fillId="0" borderId="9" xfId="0" applyFont="1" applyBorder="1" applyAlignment="1">
      <alignment horizontal="left" wrapText="1" indent="1"/>
    </xf>
    <xf numFmtId="2" fontId="18" fillId="9" borderId="20" xfId="0" applyNumberFormat="1" applyFont="1" applyFill="1" applyBorder="1" applyAlignment="1">
      <alignment horizontal="center"/>
    </xf>
    <xf numFmtId="168" fontId="17" fillId="0" borderId="9" xfId="3" applyNumberFormat="1" applyFont="1" applyBorder="1" applyAlignment="1">
      <alignment horizontal="center" vertical="center"/>
    </xf>
    <xf numFmtId="4" fontId="17" fillId="0" borderId="9" xfId="3" applyNumberFormat="1" applyFont="1" applyBorder="1" applyAlignment="1">
      <alignment horizontal="center" vertical="center"/>
    </xf>
    <xf numFmtId="0" fontId="30" fillId="0" borderId="9" xfId="0" applyFont="1" applyBorder="1" applyAlignment="1">
      <alignment horizontal="left" wrapText="1" indent="1"/>
    </xf>
    <xf numFmtId="0" fontId="21" fillId="0" borderId="9" xfId="0" applyFont="1" applyBorder="1" applyAlignment="1">
      <alignment horizontal="left" wrapText="1" indent="1"/>
    </xf>
    <xf numFmtId="16" fontId="21" fillId="0" borderId="9" xfId="0" applyNumberFormat="1" applyFont="1" applyBorder="1" applyAlignment="1">
      <alignment horizontal="left" wrapText="1" indent="1"/>
    </xf>
    <xf numFmtId="0" fontId="31" fillId="0" borderId="9" xfId="0" applyFont="1" applyBorder="1" applyAlignment="1">
      <alignment horizontal="left" wrapText="1" indent="1"/>
    </xf>
    <xf numFmtId="3" fontId="30" fillId="0" borderId="9" xfId="0" applyNumberFormat="1" applyFont="1" applyBorder="1" applyAlignment="1">
      <alignment horizontal="left" wrapText="1" indent="1"/>
    </xf>
    <xf numFmtId="0" fontId="32" fillId="0" borderId="9" xfId="0" applyFont="1" applyBorder="1" applyAlignment="1">
      <alignment horizontal="left" wrapText="1" indent="1"/>
    </xf>
    <xf numFmtId="167" fontId="17" fillId="0" borderId="38" xfId="3" applyNumberFormat="1" applyFont="1" applyBorder="1" applyAlignment="1">
      <alignment horizontal="center" vertical="center"/>
    </xf>
    <xf numFmtId="167" fontId="17" fillId="0" borderId="39" xfId="3" applyNumberFormat="1" applyFont="1" applyBorder="1" applyAlignment="1">
      <alignment horizontal="center" vertical="center"/>
    </xf>
    <xf numFmtId="2" fontId="30" fillId="0" borderId="9" xfId="0" applyNumberFormat="1" applyFont="1" applyBorder="1" applyAlignment="1">
      <alignment horizontal="left" wrapText="1" indent="1"/>
    </xf>
    <xf numFmtId="168" fontId="3" fillId="10" borderId="27" xfId="3" applyNumberFormat="1" applyFont="1" applyFill="1" applyBorder="1" applyAlignment="1">
      <alignment horizontal="center" vertical="center"/>
    </xf>
    <xf numFmtId="0" fontId="11" fillId="2" borderId="0" xfId="1" applyFont="1" applyFill="1" applyAlignment="1">
      <alignment horizontal="center" vertical="top" wrapText="1"/>
    </xf>
    <xf numFmtId="0" fontId="11" fillId="2" borderId="7" xfId="1" applyFont="1" applyFill="1" applyBorder="1" applyAlignment="1">
      <alignment horizontal="center" vertical="top" wrapText="1"/>
    </xf>
    <xf numFmtId="3" fontId="3" fillId="6" borderId="1" xfId="2" applyNumberFormat="1" applyFont="1" applyFill="1" applyBorder="1" applyAlignment="1">
      <alignment horizontal="center" vertical="center" wrapText="1"/>
    </xf>
    <xf numFmtId="3" fontId="3" fillId="6" borderId="2" xfId="2" applyNumberFormat="1" applyFont="1" applyFill="1" applyBorder="1" applyAlignment="1">
      <alignment horizontal="center" vertical="center" wrapText="1"/>
    </xf>
    <xf numFmtId="3" fontId="3" fillId="6" borderId="5" xfId="2" applyNumberFormat="1" applyFont="1" applyFill="1" applyBorder="1" applyAlignment="1">
      <alignment horizontal="center" vertical="center" wrapText="1"/>
    </xf>
    <xf numFmtId="3" fontId="3" fillId="6" borderId="6" xfId="2" applyNumberFormat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left" vertical="center" wrapText="1"/>
    </xf>
    <xf numFmtId="0" fontId="3" fillId="3" borderId="4" xfId="1" applyFont="1" applyFill="1" applyBorder="1" applyAlignment="1">
      <alignment horizontal="left" vertical="center" wrapText="1"/>
    </xf>
    <xf numFmtId="167" fontId="16" fillId="8" borderId="9" xfId="3" applyNumberFormat="1" applyFont="1" applyFill="1" applyBorder="1" applyAlignment="1">
      <alignment horizontal="center" vertical="center"/>
    </xf>
    <xf numFmtId="3" fontId="29" fillId="6" borderId="9" xfId="2" applyNumberFormat="1" applyFont="1" applyFill="1" applyBorder="1" applyAlignment="1">
      <alignment horizontal="center" vertical="center" wrapText="1"/>
    </xf>
    <xf numFmtId="3" fontId="29" fillId="6" borderId="23" xfId="2" applyNumberFormat="1" applyFont="1" applyFill="1" applyBorder="1" applyAlignment="1">
      <alignment horizontal="center" vertical="center" wrapText="1"/>
    </xf>
    <xf numFmtId="3" fontId="28" fillId="6" borderId="9" xfId="2" applyNumberFormat="1" applyFont="1" applyFill="1" applyBorder="1" applyAlignment="1">
      <alignment horizontal="center" vertical="center" wrapText="1"/>
    </xf>
    <xf numFmtId="3" fontId="28" fillId="6" borderId="23" xfId="2" applyNumberFormat="1" applyFont="1" applyFill="1" applyBorder="1" applyAlignment="1">
      <alignment horizontal="center" vertical="center" wrapText="1"/>
    </xf>
    <xf numFmtId="167" fontId="17" fillId="0" borderId="9" xfId="3" applyNumberFormat="1" applyFont="1" applyBorder="1" applyAlignment="1">
      <alignment horizontal="center" vertical="center"/>
    </xf>
    <xf numFmtId="167" fontId="17" fillId="0" borderId="38" xfId="3" applyNumberFormat="1" applyFont="1" applyBorder="1" applyAlignment="1">
      <alignment horizontal="center" vertical="center"/>
    </xf>
    <xf numFmtId="167" fontId="17" fillId="0" borderId="39" xfId="3" applyNumberFormat="1" applyFont="1" applyBorder="1" applyAlignment="1">
      <alignment horizontal="center" vertical="center"/>
    </xf>
    <xf numFmtId="167" fontId="16" fillId="0" borderId="9" xfId="3" applyNumberFormat="1" applyFont="1" applyBorder="1" applyAlignment="1">
      <alignment horizontal="center" vertical="center"/>
    </xf>
    <xf numFmtId="0" fontId="17" fillId="0" borderId="0" xfId="1" applyFont="1" applyAlignment="1">
      <alignment horizontal="center" vertical="top" wrapText="1"/>
    </xf>
    <xf numFmtId="0" fontId="16" fillId="0" borderId="0" xfId="1" applyFont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6" fillId="0" borderId="0" xfId="1" applyFont="1" applyAlignment="1">
      <alignment horizontal="center" vertical="top" wrapText="1"/>
    </xf>
    <xf numFmtId="3" fontId="16" fillId="6" borderId="9" xfId="2" applyNumberFormat="1" applyFont="1" applyFill="1" applyBorder="1" applyAlignment="1">
      <alignment horizontal="center" vertical="center" wrapText="1"/>
    </xf>
    <xf numFmtId="3" fontId="16" fillId="6" borderId="23" xfId="2" applyNumberFormat="1" applyFont="1" applyFill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3" fillId="3" borderId="3" xfId="1" applyFont="1" applyFill="1" applyBorder="1" applyAlignment="1">
      <alignment horizontal="left" vertical="center" wrapText="1"/>
    </xf>
    <xf numFmtId="0" fontId="13" fillId="3" borderId="4" xfId="1" applyFont="1" applyFill="1" applyBorder="1" applyAlignment="1">
      <alignment horizontal="left" vertical="center" wrapText="1"/>
    </xf>
    <xf numFmtId="0" fontId="13" fillId="3" borderId="20" xfId="1" applyFont="1" applyFill="1" applyBorder="1" applyAlignment="1">
      <alignment horizontal="left" vertical="center" wrapText="1"/>
    </xf>
    <xf numFmtId="0" fontId="26" fillId="0" borderId="25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13" fillId="7" borderId="0" xfId="1" applyFont="1" applyFill="1" applyAlignment="1">
      <alignment horizontal="center" vertical="top" wrapText="1"/>
    </xf>
    <xf numFmtId="0" fontId="13" fillId="7" borderId="7" xfId="1" applyFont="1" applyFill="1" applyBorder="1" applyAlignment="1">
      <alignment horizontal="center" vertical="top" wrapText="1"/>
    </xf>
    <xf numFmtId="4" fontId="13" fillId="9" borderId="3" xfId="1" applyNumberFormat="1" applyFont="1" applyFill="1" applyBorder="1" applyAlignment="1">
      <alignment horizontal="center" vertical="center"/>
    </xf>
    <xf numFmtId="4" fontId="13" fillId="9" borderId="4" xfId="1" applyNumberFormat="1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3" fontId="28" fillId="6" borderId="5" xfId="2" applyNumberFormat="1" applyFont="1" applyFill="1" applyBorder="1" applyAlignment="1">
      <alignment horizontal="center" vertical="center" wrapText="1"/>
    </xf>
    <xf numFmtId="3" fontId="28" fillId="6" borderId="34" xfId="2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3" fontId="28" fillId="6" borderId="1" xfId="2" applyNumberFormat="1" applyFont="1" applyFill="1" applyBorder="1" applyAlignment="1">
      <alignment horizontal="center" vertical="center" wrapText="1"/>
    </xf>
    <xf numFmtId="3" fontId="28" fillId="6" borderId="8" xfId="2" applyNumberFormat="1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4" fontId="25" fillId="9" borderId="31" xfId="1" applyNumberFormat="1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14" fillId="0" borderId="31" xfId="1" applyNumberFormat="1" applyFont="1" applyBorder="1" applyAlignment="1">
      <alignment horizontal="center" vertical="center"/>
    </xf>
    <xf numFmtId="0" fontId="14" fillId="0" borderId="31" xfId="29" applyFont="1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4" fontId="14" fillId="9" borderId="31" xfId="1" applyNumberFormat="1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4" fontId="0" fillId="0" borderId="34" xfId="0" applyNumberFormat="1" applyBorder="1" applyAlignment="1">
      <alignment horizontal="center" vertical="center" wrapText="1"/>
    </xf>
    <xf numFmtId="4" fontId="0" fillId="0" borderId="30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49" fontId="14" fillId="0" borderId="34" xfId="1" applyNumberFormat="1" applyFont="1" applyBorder="1" applyAlignment="1">
      <alignment horizontal="center" vertical="center"/>
    </xf>
    <xf numFmtId="49" fontId="14" fillId="0" borderId="30" xfId="1" applyNumberFormat="1" applyFont="1" applyBorder="1" applyAlignment="1">
      <alignment horizontal="center" vertical="center"/>
    </xf>
    <xf numFmtId="0" fontId="14" fillId="0" borderId="34" xfId="29" applyFont="1" applyBorder="1" applyAlignment="1">
      <alignment horizontal="left" vertical="center" wrapText="1"/>
    </xf>
    <xf numFmtId="0" fontId="14" fillId="0" borderId="30" xfId="29" applyFont="1" applyBorder="1" applyAlignment="1">
      <alignment horizontal="left" vertical="center" wrapText="1"/>
    </xf>
    <xf numFmtId="49" fontId="14" fillId="0" borderId="6" xfId="1" applyNumberFormat="1" applyFont="1" applyBorder="1" applyAlignment="1">
      <alignment horizontal="center" vertical="center"/>
    </xf>
    <xf numFmtId="49" fontId="14" fillId="5" borderId="31" xfId="1" applyNumberFormat="1" applyFont="1" applyFill="1" applyBorder="1" applyAlignment="1">
      <alignment horizontal="center" vertical="center"/>
    </xf>
    <xf numFmtId="0" fontId="14" fillId="5" borderId="31" xfId="29" applyFont="1" applyFill="1" applyBorder="1" applyAlignment="1">
      <alignment horizontal="left" vertical="center" wrapText="1"/>
    </xf>
    <xf numFmtId="0" fontId="14" fillId="5" borderId="34" xfId="29" applyFont="1" applyFill="1" applyBorder="1" applyAlignment="1">
      <alignment horizontal="left" vertical="center" wrapText="1"/>
    </xf>
    <xf numFmtId="0" fontId="14" fillId="5" borderId="30" xfId="29" applyFont="1" applyFill="1" applyBorder="1" applyAlignment="1">
      <alignment horizontal="left" vertical="center" wrapText="1"/>
    </xf>
    <xf numFmtId="0" fontId="23" fillId="0" borderId="3" xfId="0" applyFont="1" applyBorder="1" applyAlignment="1">
      <alignment horizontal="right"/>
    </xf>
    <xf numFmtId="0" fontId="23" fillId="0" borderId="20" xfId="0" applyFont="1" applyBorder="1" applyAlignment="1">
      <alignment horizontal="right"/>
    </xf>
    <xf numFmtId="49" fontId="14" fillId="5" borderId="34" xfId="1" applyNumberFormat="1" applyFont="1" applyFill="1" applyBorder="1" applyAlignment="1">
      <alignment horizontal="center" vertical="center"/>
    </xf>
    <xf numFmtId="49" fontId="14" fillId="5" borderId="30" xfId="1" applyNumberFormat="1" applyFont="1" applyFill="1" applyBorder="1" applyAlignment="1">
      <alignment horizontal="center" vertical="center"/>
    </xf>
    <xf numFmtId="4" fontId="14" fillId="9" borderId="34" xfId="1" applyNumberFormat="1" applyFont="1" applyFill="1" applyBorder="1" applyAlignment="1">
      <alignment horizontal="center" vertical="center" wrapText="1"/>
    </xf>
    <xf numFmtId="4" fontId="14" fillId="9" borderId="30" xfId="1" applyNumberFormat="1" applyFont="1" applyFill="1" applyBorder="1" applyAlignment="1">
      <alignment horizontal="center" vertical="center" wrapText="1"/>
    </xf>
    <xf numFmtId="4" fontId="25" fillId="9" borderId="5" xfId="1" applyNumberFormat="1" applyFont="1" applyFill="1" applyBorder="1" applyAlignment="1">
      <alignment horizontal="center" vertical="center"/>
    </xf>
    <xf numFmtId="4" fontId="25" fillId="9" borderId="34" xfId="1" applyNumberFormat="1" applyFont="1" applyFill="1" applyBorder="1" applyAlignment="1">
      <alignment horizontal="center" vertical="center"/>
    </xf>
    <xf numFmtId="4" fontId="25" fillId="9" borderId="6" xfId="1" applyNumberFormat="1" applyFont="1" applyFill="1" applyBorder="1" applyAlignment="1">
      <alignment horizontal="center" vertical="center"/>
    </xf>
    <xf numFmtId="4" fontId="14" fillId="9" borderId="6" xfId="1" applyNumberFormat="1" applyFont="1" applyFill="1" applyBorder="1" applyAlignment="1">
      <alignment horizontal="center" vertical="center" wrapText="1"/>
    </xf>
    <xf numFmtId="49" fontId="14" fillId="0" borderId="33" xfId="0" applyNumberFormat="1" applyFont="1" applyBorder="1" applyAlignment="1">
      <alignment horizontal="center" vertical="center"/>
    </xf>
    <xf numFmtId="49" fontId="14" fillId="5" borderId="6" xfId="1" applyNumberFormat="1" applyFont="1" applyFill="1" applyBorder="1" applyAlignment="1">
      <alignment horizontal="center" vertical="center"/>
    </xf>
    <xf numFmtId="0" fontId="14" fillId="11" borderId="0" xfId="1" applyFont="1" applyFill="1" applyAlignment="1">
      <alignment vertical="top" wrapText="1"/>
    </xf>
    <xf numFmtId="0" fontId="27" fillId="11" borderId="5" xfId="0" applyFont="1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4" fontId="3" fillId="11" borderId="36" xfId="3" applyNumberFormat="1" applyFont="1" applyFill="1" applyBorder="1" applyAlignment="1">
      <alignment horizontal="center" vertical="center"/>
    </xf>
    <xf numFmtId="4" fontId="25" fillId="11" borderId="35" xfId="1" applyNumberFormat="1" applyFont="1" applyFill="1" applyBorder="1" applyAlignment="1">
      <alignment horizontal="center" vertical="center"/>
    </xf>
    <xf numFmtId="2" fontId="3" fillId="11" borderId="36" xfId="0" applyNumberFormat="1" applyFont="1" applyFill="1" applyBorder="1" applyAlignment="1">
      <alignment horizontal="center" vertical="center"/>
    </xf>
    <xf numFmtId="2" fontId="13" fillId="11" borderId="35" xfId="0" applyNumberFormat="1" applyFont="1" applyFill="1" applyBorder="1" applyAlignment="1">
      <alignment horizontal="center" vertical="center"/>
    </xf>
    <xf numFmtId="2" fontId="3" fillId="11" borderId="27" xfId="0" applyNumberFormat="1" applyFont="1" applyFill="1" applyBorder="1" applyAlignment="1">
      <alignment horizontal="center" vertical="center"/>
    </xf>
    <xf numFmtId="167" fontId="18" fillId="11" borderId="20" xfId="0" applyNumberFormat="1" applyFont="1" applyFill="1" applyBorder="1" applyAlignment="1">
      <alignment horizontal="center"/>
    </xf>
    <xf numFmtId="0" fontId="15" fillId="11" borderId="0" xfId="0" applyFont="1" applyFill="1"/>
  </cellXfs>
  <cellStyles count="31">
    <cellStyle name="_2009  прил 1-3 и 6-16 к регл контрактования" xfId="4"/>
    <cellStyle name="_ДДС 3 формы" xfId="5"/>
    <cellStyle name="_Заявка на ДК на 08.12.09г. Лот Предаттестационная подготовка ИТР по ПБ" xfId="6"/>
    <cellStyle name="_Заявка на рассмотрение ДК Предаттестационная подготовка ИТР по ПБ" xfId="7"/>
    <cellStyle name="_Критерии квалификационного отбора 2010" xfId="8"/>
    <cellStyle name="_Критерии квалификационного отбора_Кап. строительство" xfId="9"/>
    <cellStyle name="_Критерии по стирке" xfId="10"/>
    <cellStyle name="_Лот Разработка Пож Декларации1" xfId="11"/>
    <cellStyle name="_Приложение №1" xfId="12"/>
    <cellStyle name="_Приложение №2" xfId="13"/>
    <cellStyle name="_Раздел №6 - Критерии квалификационного отбора_ АС ИТ 171007-1" xfId="14"/>
    <cellStyle name="_Раздел №8 - Прочее (производственная деятельность)" xfId="15"/>
    <cellStyle name="_Раздел №9 - Прочее" xfId="16"/>
    <cellStyle name="=C:\WINNT35\SYSTEM32\COMMAND.COM" xfId="17"/>
    <cellStyle name="AFE" xfId="18"/>
    <cellStyle name="normal" xfId="19"/>
    <cellStyle name="Normal 2" xfId="25"/>
    <cellStyle name="Percent 2" xfId="26"/>
    <cellStyle name="Обычный" xfId="0" builtinId="0"/>
    <cellStyle name="Обычный 2" xfId="20"/>
    <cellStyle name="Обычный 3" xfId="21"/>
    <cellStyle name="Обычный 4" xfId="1"/>
    <cellStyle name="Обычный 4 2" xfId="29"/>
    <cellStyle name="Обычный_Конкурентная карта №54" xfId="30"/>
    <cellStyle name="Обычный_Критерии квалификационного отбора" xfId="3"/>
    <cellStyle name="Процентный 2" xfId="28"/>
    <cellStyle name="Стиль 1" xfId="2"/>
    <cellStyle name="Финансовый 2" xfId="22"/>
    <cellStyle name="Финансовый 3" xfId="23"/>
    <cellStyle name="Финансовый 4" xfId="24"/>
    <cellStyle name="Финансовый 5" xf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B12" sqref="B12"/>
    </sheetView>
  </sheetViews>
  <sheetFormatPr defaultRowHeight="15" x14ac:dyDescent="0.25"/>
  <cols>
    <col min="1" max="1" width="3.42578125" customWidth="1"/>
    <col min="2" max="2" width="60.42578125" customWidth="1"/>
    <col min="3" max="3" width="31.5703125" customWidth="1"/>
  </cols>
  <sheetData>
    <row r="1" spans="1:3" ht="40.5" x14ac:dyDescent="0.25">
      <c r="A1" s="3" t="s">
        <v>0</v>
      </c>
      <c r="B1" s="3"/>
      <c r="C1" s="5" t="s">
        <v>1</v>
      </c>
    </row>
    <row r="2" spans="1:3" x14ac:dyDescent="0.25">
      <c r="A2" s="77" t="s">
        <v>2</v>
      </c>
      <c r="B2" s="77"/>
      <c r="C2" s="77"/>
    </row>
    <row r="3" spans="1:3" ht="15.75" thickBot="1" x14ac:dyDescent="0.3">
      <c r="A3" s="78"/>
      <c r="B3" s="78"/>
      <c r="C3" s="78"/>
    </row>
    <row r="4" spans="1:3" x14ac:dyDescent="0.25">
      <c r="A4" s="79" t="s">
        <v>3</v>
      </c>
      <c r="B4" s="81" t="s">
        <v>4</v>
      </c>
      <c r="C4" s="79" t="s">
        <v>5</v>
      </c>
    </row>
    <row r="5" spans="1:3" ht="15.75" thickBot="1" x14ac:dyDescent="0.3">
      <c r="A5" s="80"/>
      <c r="B5" s="82"/>
      <c r="C5" s="80"/>
    </row>
    <row r="6" spans="1:3" ht="16.5" thickBot="1" x14ac:dyDescent="0.3">
      <c r="A6" s="83" t="s">
        <v>6</v>
      </c>
      <c r="B6" s="84"/>
      <c r="C6" s="84"/>
    </row>
    <row r="7" spans="1:3" ht="16.5" thickBot="1" x14ac:dyDescent="0.3">
      <c r="A7" s="1" t="s">
        <v>7</v>
      </c>
      <c r="B7" s="2"/>
      <c r="C7" s="4"/>
    </row>
    <row r="8" spans="1:3" ht="47.25" x14ac:dyDescent="0.25">
      <c r="A8" s="8" t="s">
        <v>8</v>
      </c>
      <c r="B8" s="13" t="s">
        <v>9</v>
      </c>
      <c r="C8" s="9"/>
    </row>
    <row r="9" spans="1:3" ht="15.75" x14ac:dyDescent="0.25">
      <c r="A9" s="14" t="s">
        <v>10</v>
      </c>
      <c r="B9" s="18" t="s">
        <v>11</v>
      </c>
      <c r="C9" s="16"/>
    </row>
    <row r="10" spans="1:3" ht="47.25" x14ac:dyDescent="0.25">
      <c r="A10" s="14" t="s">
        <v>12</v>
      </c>
      <c r="B10" s="15" t="s">
        <v>13</v>
      </c>
      <c r="C10" s="16"/>
    </row>
    <row r="11" spans="1:3" ht="31.5" x14ac:dyDescent="0.25">
      <c r="A11" s="14" t="s">
        <v>14</v>
      </c>
      <c r="B11" s="15" t="s">
        <v>15</v>
      </c>
      <c r="C11" s="16"/>
    </row>
    <row r="12" spans="1:3" ht="31.5" x14ac:dyDescent="0.25">
      <c r="A12" s="14" t="s">
        <v>16</v>
      </c>
      <c r="B12" s="15" t="s">
        <v>17</v>
      </c>
      <c r="C12" s="16"/>
    </row>
    <row r="13" spans="1:3" ht="31.5" x14ac:dyDescent="0.25">
      <c r="A13" s="14" t="s">
        <v>18</v>
      </c>
      <c r="B13" s="15" t="s">
        <v>19</v>
      </c>
      <c r="C13" s="16"/>
    </row>
    <row r="14" spans="1:3" ht="31.5" x14ac:dyDescent="0.25">
      <c r="A14" s="14" t="s">
        <v>20</v>
      </c>
      <c r="B14" s="15" t="s">
        <v>21</v>
      </c>
      <c r="C14" s="16"/>
    </row>
    <row r="15" spans="1:3" ht="94.5" x14ac:dyDescent="0.25">
      <c r="A15" s="14" t="s">
        <v>22</v>
      </c>
      <c r="B15" s="15" t="s">
        <v>23</v>
      </c>
      <c r="C15" s="16"/>
    </row>
    <row r="16" spans="1:3" ht="126" x14ac:dyDescent="0.25">
      <c r="A16" s="14" t="s">
        <v>24</v>
      </c>
      <c r="B16" s="15" t="s">
        <v>25</v>
      </c>
      <c r="C16" s="16"/>
    </row>
    <row r="17" spans="1:3" ht="15.75" x14ac:dyDescent="0.25">
      <c r="A17" s="14" t="s">
        <v>26</v>
      </c>
      <c r="B17" s="18" t="s">
        <v>27</v>
      </c>
      <c r="C17" s="16"/>
    </row>
    <row r="18" spans="1:3" ht="31.5" x14ac:dyDescent="0.25">
      <c r="A18" s="14" t="s">
        <v>28</v>
      </c>
      <c r="B18" s="15" t="s">
        <v>29</v>
      </c>
      <c r="C18" s="16"/>
    </row>
    <row r="19" spans="1:3" ht="31.5" x14ac:dyDescent="0.25">
      <c r="A19" s="14" t="s">
        <v>30</v>
      </c>
      <c r="B19" s="15" t="s">
        <v>31</v>
      </c>
      <c r="C19" s="16"/>
    </row>
    <row r="20" spans="1:3" ht="47.25" x14ac:dyDescent="0.25">
      <c r="A20" s="14" t="s">
        <v>32</v>
      </c>
      <c r="B20" s="15" t="s">
        <v>33</v>
      </c>
      <c r="C20" s="16"/>
    </row>
    <row r="21" spans="1:3" ht="63" x14ac:dyDescent="0.25">
      <c r="A21" s="14" t="s">
        <v>34</v>
      </c>
      <c r="B21" s="15" t="s">
        <v>35</v>
      </c>
      <c r="C21" s="16"/>
    </row>
    <row r="22" spans="1:3" ht="94.5" x14ac:dyDescent="0.25">
      <c r="A22" s="14" t="s">
        <v>36</v>
      </c>
      <c r="B22" s="15" t="s">
        <v>37</v>
      </c>
      <c r="C22" s="10"/>
    </row>
    <row r="23" spans="1:3" ht="220.5" x14ac:dyDescent="0.25">
      <c r="A23" s="14" t="s">
        <v>38</v>
      </c>
      <c r="B23" s="7" t="s">
        <v>39</v>
      </c>
      <c r="C23" s="10"/>
    </row>
    <row r="24" spans="1:3" ht="15.75" x14ac:dyDescent="0.25">
      <c r="A24" s="14" t="s">
        <v>40</v>
      </c>
      <c r="B24" s="6" t="s">
        <v>41</v>
      </c>
      <c r="C24" s="10"/>
    </row>
    <row r="25" spans="1:3" ht="15.75" x14ac:dyDescent="0.25">
      <c r="A25" s="14" t="s">
        <v>42</v>
      </c>
      <c r="B25" s="6" t="s">
        <v>43</v>
      </c>
      <c r="C25" s="10"/>
    </row>
    <row r="26" spans="1:3" ht="48" thickBot="1" x14ac:dyDescent="0.3">
      <c r="A26" s="11" t="s">
        <v>44</v>
      </c>
      <c r="B26" s="17" t="s">
        <v>45</v>
      </c>
      <c r="C26" s="12"/>
    </row>
  </sheetData>
  <mergeCells count="5">
    <mergeCell ref="A2:C3"/>
    <mergeCell ref="A4:A5"/>
    <mergeCell ref="B4:B5"/>
    <mergeCell ref="C4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opLeftCell="A4" zoomScale="115" zoomScaleNormal="115" workbookViewId="0">
      <pane ySplit="3" topLeftCell="A55" activePane="bottomLeft" state="frozen"/>
      <selection activeCell="A4" sqref="A4"/>
      <selection pane="bottomLeft" activeCell="B10" sqref="B10"/>
    </sheetView>
  </sheetViews>
  <sheetFormatPr defaultRowHeight="15" outlineLevelRow="1" x14ac:dyDescent="0.25"/>
  <cols>
    <col min="1" max="1" width="11.42578125" customWidth="1"/>
    <col min="2" max="2" width="51" customWidth="1"/>
    <col min="3" max="3" width="9.85546875" customWidth="1"/>
    <col min="4" max="4" width="10.5703125" customWidth="1"/>
    <col min="5" max="5" width="11.42578125" customWidth="1"/>
    <col min="6" max="6" width="13.42578125" customWidth="1"/>
    <col min="7" max="7" width="17.42578125" customWidth="1"/>
    <col min="8" max="8" width="3.42578125" customWidth="1"/>
  </cols>
  <sheetData>
    <row r="1" spans="1:8" ht="37.5" x14ac:dyDescent="0.25">
      <c r="A1" s="24" t="s">
        <v>0</v>
      </c>
      <c r="B1" s="25"/>
      <c r="C1" s="25"/>
      <c r="D1" s="25"/>
      <c r="E1" s="25"/>
      <c r="F1" s="25"/>
      <c r="G1" s="94" t="s">
        <v>46</v>
      </c>
      <c r="H1" s="94"/>
    </row>
    <row r="2" spans="1:8" ht="18.75" x14ac:dyDescent="0.25">
      <c r="A2" s="24"/>
      <c r="B2" s="25"/>
      <c r="C2" s="25"/>
      <c r="D2" s="25"/>
      <c r="E2" s="25"/>
      <c r="F2" s="25"/>
      <c r="G2" s="26"/>
      <c r="H2" s="26"/>
    </row>
    <row r="3" spans="1:8" ht="14.45" customHeight="1" x14ac:dyDescent="0.25">
      <c r="A3" s="95" t="s">
        <v>971</v>
      </c>
      <c r="B3" s="95"/>
      <c r="C3" s="95"/>
      <c r="D3" s="95"/>
      <c r="E3" s="95"/>
      <c r="F3" s="95"/>
      <c r="G3" s="95"/>
      <c r="H3" s="95"/>
    </row>
    <row r="4" spans="1:8" ht="104.25" customHeight="1" x14ac:dyDescent="0.25">
      <c r="A4" s="95"/>
      <c r="B4" s="95"/>
      <c r="C4" s="95"/>
      <c r="D4" s="95"/>
      <c r="E4" s="95"/>
      <c r="F4" s="95"/>
      <c r="G4" s="95"/>
      <c r="H4" s="95"/>
    </row>
    <row r="5" spans="1:8" x14ac:dyDescent="0.25">
      <c r="A5" s="88" t="s">
        <v>47</v>
      </c>
      <c r="B5" s="88" t="s">
        <v>48</v>
      </c>
      <c r="C5" s="89" t="s">
        <v>49</v>
      </c>
      <c r="D5" s="88" t="s">
        <v>50</v>
      </c>
      <c r="E5" s="88" t="s">
        <v>51</v>
      </c>
      <c r="F5" s="86" t="s">
        <v>52</v>
      </c>
      <c r="G5" s="88" t="s">
        <v>53</v>
      </c>
      <c r="H5" s="88"/>
    </row>
    <row r="6" spans="1:8" ht="40.35" customHeight="1" x14ac:dyDescent="0.25">
      <c r="A6" s="89"/>
      <c r="B6" s="89"/>
      <c r="C6" s="96"/>
      <c r="D6" s="89" t="s">
        <v>54</v>
      </c>
      <c r="E6" s="89" t="s">
        <v>54</v>
      </c>
      <c r="F6" s="87" t="s">
        <v>54</v>
      </c>
      <c r="G6" s="89"/>
      <c r="H6" s="89"/>
    </row>
    <row r="7" spans="1:8" ht="18" customHeight="1" x14ac:dyDescent="0.3">
      <c r="A7" s="27">
        <v>1</v>
      </c>
      <c r="B7" s="63" t="s">
        <v>55</v>
      </c>
      <c r="C7" s="63"/>
      <c r="D7" s="63"/>
      <c r="E7" s="63"/>
      <c r="F7" s="63"/>
      <c r="G7" s="93">
        <f>SUM(G8:H22)</f>
        <v>0</v>
      </c>
      <c r="H7" s="93"/>
    </row>
    <row r="8" spans="1:8" ht="18.75" outlineLevel="1" x14ac:dyDescent="0.3">
      <c r="A8" s="65">
        <v>1.1000000000000001</v>
      </c>
      <c r="B8" s="67" t="str">
        <f>'ТЭО_ФО+ЛС+ССР'!B67</f>
        <v>Инженерные Изыскания</v>
      </c>
      <c r="C8" s="67" t="s">
        <v>56</v>
      </c>
      <c r="D8" s="68"/>
      <c r="E8" s="68"/>
      <c r="F8" s="68" t="s">
        <v>57</v>
      </c>
      <c r="G8" s="90">
        <f>'ТЭО_ФО+ЛС+ССР'!C67</f>
        <v>0</v>
      </c>
      <c r="H8" s="90"/>
    </row>
    <row r="9" spans="1:8" ht="18.75" outlineLevel="1" x14ac:dyDescent="0.3">
      <c r="A9" s="65">
        <f>A8+0.1</f>
        <v>1.2000000000000002</v>
      </c>
      <c r="B9" s="67" t="str">
        <f>'ТЭО_ФО+ЛС+ССР'!B131</f>
        <v>Сбор исходных данных</v>
      </c>
      <c r="C9" s="67" t="s">
        <v>56</v>
      </c>
      <c r="D9" s="68"/>
      <c r="E9" s="68"/>
      <c r="F9" s="68" t="s">
        <v>58</v>
      </c>
      <c r="G9" s="90">
        <f>'ТЭО_ФО+ЛС+ССР'!C131</f>
        <v>0</v>
      </c>
      <c r="H9" s="90"/>
    </row>
    <row r="10" spans="1:8" ht="27" outlineLevel="1" x14ac:dyDescent="0.3">
      <c r="A10" s="65">
        <f t="shared" ref="A10:A12" si="0">A9+0.1</f>
        <v>1.3000000000000003</v>
      </c>
      <c r="B10" s="67" t="str">
        <f>'ТЭО_ФО+ЛС+ССР'!B153</f>
        <v>Обследование существующих строительных конструкций, трубопроводов, оборудования</v>
      </c>
      <c r="C10" s="67" t="s">
        <v>56</v>
      </c>
      <c r="D10" s="68"/>
      <c r="E10" s="68"/>
      <c r="F10" s="68" t="s">
        <v>59</v>
      </c>
      <c r="G10" s="90">
        <f>'ТЭО_ФО+ЛС+ССР'!C153</f>
        <v>0</v>
      </c>
      <c r="H10" s="90"/>
    </row>
    <row r="11" spans="1:8" ht="18.75" outlineLevel="1" x14ac:dyDescent="0.3">
      <c r="A11" s="65">
        <f t="shared" si="0"/>
        <v>1.4000000000000004</v>
      </c>
      <c r="B11" s="67" t="str">
        <f>'ТЭО_ФО+ЛС+ССР'!B168</f>
        <v>Проектное технологическое обследование объекта</v>
      </c>
      <c r="C11" s="67" t="s">
        <v>56</v>
      </c>
      <c r="D11" s="68"/>
      <c r="E11" s="68"/>
      <c r="F11" s="68" t="s">
        <v>60</v>
      </c>
      <c r="G11" s="90">
        <f>'ТЭО_ФО+ЛС+ССР'!C168</f>
        <v>0</v>
      </c>
      <c r="H11" s="90"/>
    </row>
    <row r="12" spans="1:8" ht="27" outlineLevel="1" x14ac:dyDescent="0.3">
      <c r="A12" s="65">
        <f t="shared" si="0"/>
        <v>1.5000000000000004</v>
      </c>
      <c r="B12" s="67" t="str">
        <f>'ТЭО_ФО+ЛС+ССР'!B183</f>
        <v>Разработка разделов ТЭО</v>
      </c>
      <c r="C12" s="67" t="s">
        <v>61</v>
      </c>
      <c r="D12" s="68"/>
      <c r="E12" s="68"/>
      <c r="F12" s="68" t="s">
        <v>62</v>
      </c>
      <c r="G12" s="90">
        <f>'ТЭО_ФО+ЛС+ССР'!C183</f>
        <v>0</v>
      </c>
      <c r="H12" s="90"/>
    </row>
    <row r="13" spans="1:8" ht="18.75" outlineLevel="1" x14ac:dyDescent="0.3">
      <c r="A13" s="65">
        <f t="shared" ref="A13:A22" si="1">A12+0.1</f>
        <v>1.6000000000000005</v>
      </c>
      <c r="B13" s="67" t="str">
        <f>'ТЭО_ФО+ЛС+ССР'!B429</f>
        <v>Сессии VE (Value Engineering)</v>
      </c>
      <c r="C13" s="67" t="s">
        <v>56</v>
      </c>
      <c r="D13" s="68"/>
      <c r="E13" s="68"/>
      <c r="F13" s="68" t="s">
        <v>63</v>
      </c>
      <c r="G13" s="91">
        <f>'ТЭО_ФО+ЛС+ССР'!C429</f>
        <v>0</v>
      </c>
      <c r="H13" s="92"/>
    </row>
    <row r="14" spans="1:8" ht="18.75" outlineLevel="1" x14ac:dyDescent="0.3">
      <c r="A14" s="65">
        <f t="shared" si="1"/>
        <v>1.7000000000000006</v>
      </c>
      <c r="B14" s="67" t="str">
        <f>'ТЭО_ФО+ЛС+ССР'!B444</f>
        <v>3D модель</v>
      </c>
      <c r="C14" s="67" t="s">
        <v>64</v>
      </c>
      <c r="D14" s="68"/>
      <c r="E14" s="68"/>
      <c r="F14" s="68" t="s">
        <v>65</v>
      </c>
      <c r="G14" s="91">
        <f>'ТЭО_ФО+ЛС+ССР'!C444</f>
        <v>0</v>
      </c>
      <c r="H14" s="92"/>
    </row>
    <row r="15" spans="1:8" ht="18.75" outlineLevel="1" x14ac:dyDescent="0.3">
      <c r="A15" s="65">
        <f t="shared" si="1"/>
        <v>1.8000000000000007</v>
      </c>
      <c r="B15" s="67" t="str">
        <f>'ТЭО_ФО+ЛС+ССР'!B452</f>
        <v>Смежные работы (при необходимости)</v>
      </c>
      <c r="C15" s="67" t="s">
        <v>56</v>
      </c>
      <c r="D15" s="68"/>
      <c r="E15" s="68"/>
      <c r="F15" s="68" t="s">
        <v>66</v>
      </c>
      <c r="G15" s="91">
        <f>'ТЭО_ФО+ЛС+ССР'!C452</f>
        <v>0</v>
      </c>
      <c r="H15" s="92"/>
    </row>
    <row r="16" spans="1:8" ht="18.75" outlineLevel="1" x14ac:dyDescent="0.3">
      <c r="A16" s="65">
        <f t="shared" si="1"/>
        <v>1.9000000000000008</v>
      </c>
      <c r="B16" s="67" t="str">
        <f>'ТЭО_ФО+ЛС+ССР'!B635</f>
        <v>Электронный документооборот</v>
      </c>
      <c r="C16" s="67" t="s">
        <v>67</v>
      </c>
      <c r="D16" s="68"/>
      <c r="E16" s="68"/>
      <c r="F16" s="69" t="s">
        <v>68</v>
      </c>
      <c r="G16" s="91">
        <f>'ТЭО_ФО+ЛС+ССР'!C635</f>
        <v>0</v>
      </c>
      <c r="H16" s="92"/>
    </row>
    <row r="17" spans="1:8" ht="18.75" outlineLevel="1" x14ac:dyDescent="0.3">
      <c r="A17" s="65">
        <f t="shared" si="1"/>
        <v>2.0000000000000009</v>
      </c>
      <c r="B17" s="67" t="str">
        <f>'ТЭО_ФО+ЛС+ССР'!B643</f>
        <v>Отчетная документация по проекту</v>
      </c>
      <c r="C17" s="67" t="s">
        <v>56</v>
      </c>
      <c r="D17" s="68"/>
      <c r="E17" s="68"/>
      <c r="F17" s="68" t="s">
        <v>69</v>
      </c>
      <c r="G17" s="91">
        <f>'ТЭО_ФО+ЛС+ССР'!C643</f>
        <v>0</v>
      </c>
      <c r="H17" s="92"/>
    </row>
    <row r="18" spans="1:8" ht="38.450000000000003" customHeight="1" outlineLevel="1" x14ac:dyDescent="0.3">
      <c r="A18" s="65">
        <f t="shared" si="1"/>
        <v>2.100000000000001</v>
      </c>
      <c r="B18" s="67" t="str">
        <f>'ТЭО_ФО+ЛС+ССР'!B651</f>
        <v xml:space="preserve">Согласование с собственниками существующих сооружений пересечение с проектируемыми сооружениями </v>
      </c>
      <c r="C18" s="70" t="s">
        <v>70</v>
      </c>
      <c r="D18" s="68"/>
      <c r="E18" s="68"/>
      <c r="F18" s="68" t="s">
        <v>71</v>
      </c>
      <c r="G18" s="91">
        <f>'ТЭО_ФО+ЛС+ССР'!C651</f>
        <v>0</v>
      </c>
      <c r="H18" s="92"/>
    </row>
    <row r="19" spans="1:8" ht="30" customHeight="1" outlineLevel="1" x14ac:dyDescent="0.3">
      <c r="A19" s="65">
        <f t="shared" si="1"/>
        <v>2.2000000000000011</v>
      </c>
      <c r="B19" s="67" t="str">
        <f>'ТЭО_ФО+ЛС+ССР'!B659</f>
        <v>Расчет зон поражения аварийных химически опасных веществ</v>
      </c>
      <c r="C19" s="67" t="s">
        <v>72</v>
      </c>
      <c r="D19" s="68"/>
      <c r="E19" s="68"/>
      <c r="F19" s="68" t="s">
        <v>73</v>
      </c>
      <c r="G19" s="91">
        <f>'ТЭО_ФО+ЛС+ССР'!C659</f>
        <v>0</v>
      </c>
      <c r="H19" s="92"/>
    </row>
    <row r="20" spans="1:8" ht="18.75" outlineLevel="1" x14ac:dyDescent="0.3">
      <c r="A20" s="65">
        <f t="shared" si="1"/>
        <v>2.3000000000000012</v>
      </c>
      <c r="B20" s="71" t="str">
        <f>'ТЭО_ФО+ЛС+ССР'!B667</f>
        <v>Разработка СТУ</v>
      </c>
      <c r="C20" s="67" t="s">
        <v>74</v>
      </c>
      <c r="D20" s="68"/>
      <c r="E20" s="68"/>
      <c r="F20" s="72" t="s">
        <v>75</v>
      </c>
      <c r="G20" s="91">
        <f>'ТЭО_ФО+ЛС+ССР'!C667</f>
        <v>0</v>
      </c>
      <c r="H20" s="92"/>
    </row>
    <row r="21" spans="1:8" ht="27" outlineLevel="1" x14ac:dyDescent="0.3">
      <c r="A21" s="65">
        <f t="shared" si="1"/>
        <v>2.4000000000000012</v>
      </c>
      <c r="B21" s="71" t="str">
        <f>'ТЭО_ФО+ЛС+ССР'!B682</f>
        <v>Выполнение работ связанных с земельным участком под строительство</v>
      </c>
      <c r="C21" s="67" t="s">
        <v>74</v>
      </c>
      <c r="D21" s="68"/>
      <c r="E21" s="68"/>
      <c r="F21" s="72" t="s">
        <v>76</v>
      </c>
      <c r="G21" s="91">
        <f>'ТЭО_ФО+ЛС+ССР'!C682</f>
        <v>0</v>
      </c>
      <c r="H21" s="92"/>
    </row>
    <row r="22" spans="1:8" ht="27" outlineLevel="1" x14ac:dyDescent="0.3">
      <c r="A22" s="65">
        <f t="shared" si="1"/>
        <v>2.5000000000000013</v>
      </c>
      <c r="B22" s="71" t="str">
        <f>'ТЭО_ФО+ЛС+ССР'!B10</f>
        <v>Смета на строительство объектов капитального строительства</v>
      </c>
      <c r="C22" s="67" t="s">
        <v>74</v>
      </c>
      <c r="D22" s="68"/>
      <c r="E22" s="68"/>
      <c r="F22" s="68" t="s">
        <v>77</v>
      </c>
      <c r="G22" s="91">
        <f>'ТЭО_ФО+ЛС+ССР'!C10</f>
        <v>0</v>
      </c>
      <c r="H22" s="92"/>
    </row>
    <row r="23" spans="1:8" ht="8.4499999999999993" customHeight="1" outlineLevel="1" x14ac:dyDescent="0.3">
      <c r="A23" s="66"/>
      <c r="B23" s="71"/>
      <c r="C23" s="67"/>
      <c r="D23" s="68"/>
      <c r="E23" s="68"/>
      <c r="F23" s="68"/>
      <c r="G23" s="73"/>
      <c r="H23" s="74"/>
    </row>
    <row r="24" spans="1:8" ht="18" customHeight="1" x14ac:dyDescent="0.3">
      <c r="A24" s="65">
        <v>2</v>
      </c>
      <c r="B24" s="63" t="s">
        <v>78</v>
      </c>
      <c r="C24" s="63"/>
      <c r="D24" s="63"/>
      <c r="E24" s="63"/>
      <c r="F24" s="63"/>
      <c r="G24" s="93">
        <f>SUM(G25:H31)</f>
        <v>0</v>
      </c>
      <c r="H24" s="93"/>
    </row>
    <row r="25" spans="1:8" ht="24" outlineLevel="1" x14ac:dyDescent="0.3">
      <c r="A25" s="65">
        <f>A24+0.1</f>
        <v>2.1</v>
      </c>
      <c r="B25" s="67" t="str">
        <f>'ОТР_BOQ '!B67</f>
        <v>Документация ОТР</v>
      </c>
      <c r="C25" s="70" t="s">
        <v>61</v>
      </c>
      <c r="D25" s="68"/>
      <c r="E25" s="68"/>
      <c r="F25" s="68" t="s">
        <v>79</v>
      </c>
      <c r="G25" s="90">
        <f>'ОТР_BOQ '!C67</f>
        <v>0</v>
      </c>
      <c r="H25" s="90"/>
    </row>
    <row r="26" spans="1:8" ht="18.75" outlineLevel="1" x14ac:dyDescent="0.3">
      <c r="A26" s="65">
        <f t="shared" ref="A26:A31" si="2">A25+0.1</f>
        <v>2.2000000000000002</v>
      </c>
      <c r="B26" s="75" t="str">
        <f>'ОТР_BOQ '!B187</f>
        <v>Сбор исходных данных.</v>
      </c>
      <c r="C26" s="67" t="s">
        <v>56</v>
      </c>
      <c r="D26" s="68"/>
      <c r="E26" s="68"/>
      <c r="F26" s="68" t="s">
        <v>58</v>
      </c>
      <c r="G26" s="90">
        <f>'ОТР_BOQ '!C187</f>
        <v>0</v>
      </c>
      <c r="H26" s="90"/>
    </row>
    <row r="27" spans="1:8" ht="20.45" customHeight="1" outlineLevel="1" x14ac:dyDescent="0.3">
      <c r="A27" s="65">
        <f t="shared" si="2"/>
        <v>2.3000000000000003</v>
      </c>
      <c r="B27" s="67" t="str">
        <f>'ОТР_BOQ '!B202</f>
        <v>Проектное технологическое обследование объекта</v>
      </c>
      <c r="C27" s="67" t="s">
        <v>56</v>
      </c>
      <c r="D27" s="68"/>
      <c r="E27" s="68"/>
      <c r="F27" s="68" t="s">
        <v>59</v>
      </c>
      <c r="G27" s="90">
        <f>'ОТР_BOQ '!C202</f>
        <v>0</v>
      </c>
      <c r="H27" s="90"/>
    </row>
    <row r="28" spans="1:8" ht="18.75" outlineLevel="1" x14ac:dyDescent="0.3">
      <c r="A28" s="65">
        <f t="shared" si="2"/>
        <v>2.4000000000000004</v>
      </c>
      <c r="B28" s="67" t="str">
        <f>'ОТР_BOQ '!B217</f>
        <v>Сессии VE (Value Engineering)</v>
      </c>
      <c r="C28" s="67" t="s">
        <v>56</v>
      </c>
      <c r="D28" s="68"/>
      <c r="E28" s="68"/>
      <c r="F28" s="68" t="s">
        <v>60</v>
      </c>
      <c r="G28" s="90">
        <f>'ОТР_BOQ '!C217</f>
        <v>0</v>
      </c>
      <c r="H28" s="90"/>
    </row>
    <row r="29" spans="1:8" ht="27" outlineLevel="1" x14ac:dyDescent="0.3">
      <c r="A29" s="65">
        <f t="shared" si="2"/>
        <v>2.5000000000000004</v>
      </c>
      <c r="B29" s="67" t="str">
        <f>'ОТР_BOQ '!B232</f>
        <v>Смежные работы (при необходимости)</v>
      </c>
      <c r="C29" s="67" t="s">
        <v>61</v>
      </c>
      <c r="D29" s="68"/>
      <c r="E29" s="68"/>
      <c r="F29" s="68" t="s">
        <v>80</v>
      </c>
      <c r="G29" s="90">
        <f>'ОТР_BOQ '!C232</f>
        <v>0</v>
      </c>
      <c r="H29" s="90"/>
    </row>
    <row r="30" spans="1:8" ht="18.75" outlineLevel="1" x14ac:dyDescent="0.3">
      <c r="A30" s="65">
        <f t="shared" si="2"/>
        <v>2.6000000000000005</v>
      </c>
      <c r="B30" s="67" t="str">
        <f>'ОТР_BOQ '!B289</f>
        <v>Отчетная документация по проекту</v>
      </c>
      <c r="C30" s="67" t="s">
        <v>56</v>
      </c>
      <c r="D30" s="68"/>
      <c r="E30" s="68"/>
      <c r="F30" s="68" t="s">
        <v>81</v>
      </c>
      <c r="G30" s="91">
        <f>'ОТР_BOQ '!C289</f>
        <v>0</v>
      </c>
      <c r="H30" s="92"/>
    </row>
    <row r="31" spans="1:8" ht="27" outlineLevel="1" x14ac:dyDescent="0.3">
      <c r="A31" s="65">
        <f t="shared" si="2"/>
        <v>2.7000000000000006</v>
      </c>
      <c r="B31" s="71" t="str">
        <f>'ОТР_BOQ '!B10</f>
        <v>Смета на строительство объектов капитального строительства</v>
      </c>
      <c r="C31" s="67" t="s">
        <v>74</v>
      </c>
      <c r="D31" s="68"/>
      <c r="E31" s="68"/>
      <c r="F31" s="68" t="s">
        <v>77</v>
      </c>
      <c r="G31" s="91">
        <f>'ОТР_BOQ '!C10</f>
        <v>0</v>
      </c>
      <c r="H31" s="92"/>
    </row>
    <row r="32" spans="1:8" ht="13.35" customHeight="1" x14ac:dyDescent="0.3">
      <c r="A32" s="27"/>
      <c r="B32" s="63"/>
      <c r="C32" s="63"/>
      <c r="D32" s="63"/>
      <c r="E32" s="63"/>
      <c r="F32" s="63"/>
      <c r="G32" s="93"/>
      <c r="H32" s="93"/>
    </row>
    <row r="33" spans="1:8" ht="18" customHeight="1" x14ac:dyDescent="0.3">
      <c r="A33" s="65">
        <v>3</v>
      </c>
      <c r="B33" s="63" t="s">
        <v>82</v>
      </c>
      <c r="C33" s="63"/>
      <c r="D33" s="63"/>
      <c r="E33" s="63"/>
      <c r="F33" s="63"/>
      <c r="G33" s="93">
        <f>SUM(G34:H36)</f>
        <v>0</v>
      </c>
      <c r="H33" s="93"/>
    </row>
    <row r="34" spans="1:8" ht="24" outlineLevel="1" x14ac:dyDescent="0.3">
      <c r="A34" s="65">
        <f t="shared" ref="A34" si="3">A33+0.1</f>
        <v>3.1</v>
      </c>
      <c r="B34" s="67" t="str">
        <f>'FEED_BOQ тит1'!B60</f>
        <v>FEED (все разделы)</v>
      </c>
      <c r="C34" s="70" t="s">
        <v>61</v>
      </c>
      <c r="D34" s="68"/>
      <c r="E34" s="68"/>
      <c r="F34" s="68" t="s">
        <v>83</v>
      </c>
      <c r="G34" s="90">
        <f>'FEED_BOQ тит1'!C60</f>
        <v>0</v>
      </c>
      <c r="H34" s="90"/>
    </row>
    <row r="35" spans="1:8" ht="18.75" outlineLevel="1" x14ac:dyDescent="0.3">
      <c r="A35" s="65">
        <f>A34+0.1</f>
        <v>3.2</v>
      </c>
      <c r="B35" s="67" t="str">
        <f>'FEED_BOQ тит1'!B258</f>
        <v>Смежные работы (при необходимости)</v>
      </c>
      <c r="C35" s="67" t="s">
        <v>56</v>
      </c>
      <c r="D35" s="68"/>
      <c r="E35" s="68"/>
      <c r="F35" s="68" t="s">
        <v>84</v>
      </c>
      <c r="G35" s="90">
        <f>'FEED_BOQ тит1'!C258</f>
        <v>0</v>
      </c>
      <c r="H35" s="90"/>
    </row>
    <row r="36" spans="1:8" ht="27" outlineLevel="1" x14ac:dyDescent="0.3">
      <c r="A36" s="65">
        <f t="shared" ref="A36" si="4">A35+0.1</f>
        <v>3.3000000000000003</v>
      </c>
      <c r="B36" s="71" t="str">
        <f>'FEED_BOQ тит1'!B10</f>
        <v>Смета на строительство объектов капитального строительства</v>
      </c>
      <c r="C36" s="67" t="s">
        <v>56</v>
      </c>
      <c r="D36" s="68"/>
      <c r="E36" s="68"/>
      <c r="F36" s="68" t="s">
        <v>85</v>
      </c>
      <c r="G36" s="90">
        <f>'FEED_BOQ тит1'!C10</f>
        <v>0</v>
      </c>
      <c r="H36" s="90"/>
    </row>
    <row r="37" spans="1:8" ht="13.35" customHeight="1" x14ac:dyDescent="0.3">
      <c r="A37" s="65"/>
      <c r="B37" s="63"/>
      <c r="C37" s="63"/>
      <c r="D37" s="63"/>
      <c r="E37" s="63"/>
      <c r="F37" s="63"/>
      <c r="G37" s="93"/>
      <c r="H37" s="93"/>
    </row>
    <row r="38" spans="1:8" ht="18" customHeight="1" x14ac:dyDescent="0.3">
      <c r="A38" s="65">
        <v>4</v>
      </c>
      <c r="B38" s="63" t="s">
        <v>86</v>
      </c>
      <c r="C38" s="63"/>
      <c r="D38" s="63"/>
      <c r="E38" s="63"/>
      <c r="F38" s="63"/>
      <c r="G38" s="93">
        <f>SUM(G39:H41)</f>
        <v>0</v>
      </c>
      <c r="H38" s="93"/>
    </row>
    <row r="39" spans="1:8" ht="24" outlineLevel="1" x14ac:dyDescent="0.3">
      <c r="A39" s="65">
        <f t="shared" ref="A39" si="5">A38+0.1</f>
        <v>4.0999999999999996</v>
      </c>
      <c r="B39" s="67" t="str">
        <f>'FEED_BOQ тит2'!B60</f>
        <v>FEED (все разделы)</v>
      </c>
      <c r="C39" s="70" t="s">
        <v>61</v>
      </c>
      <c r="D39" s="68"/>
      <c r="E39" s="68"/>
      <c r="F39" s="68" t="s">
        <v>83</v>
      </c>
      <c r="G39" s="90">
        <f>'FEED_BOQ тит2'!C60</f>
        <v>0</v>
      </c>
      <c r="H39" s="90"/>
    </row>
    <row r="40" spans="1:8" ht="18.75" outlineLevel="1" x14ac:dyDescent="0.3">
      <c r="A40" s="65">
        <f>A39+0.1</f>
        <v>4.1999999999999993</v>
      </c>
      <c r="B40" s="67" t="str">
        <f>'FEED_BOQ тит2'!B258</f>
        <v>Смежные работы (при необходимости)</v>
      </c>
      <c r="C40" s="67" t="s">
        <v>56</v>
      </c>
      <c r="D40" s="68"/>
      <c r="E40" s="68"/>
      <c r="F40" s="68" t="s">
        <v>84</v>
      </c>
      <c r="G40" s="90">
        <f>'FEED_BOQ тит2'!C258</f>
        <v>0</v>
      </c>
      <c r="H40" s="90"/>
    </row>
    <row r="41" spans="1:8" ht="27" outlineLevel="1" x14ac:dyDescent="0.3">
      <c r="A41" s="65">
        <f t="shared" ref="A41" si="6">A40+0.1</f>
        <v>4.2999999999999989</v>
      </c>
      <c r="B41" s="71" t="str">
        <f>'FEED_BOQ тит2'!B10</f>
        <v>Смета на строительство объектов капитального строительства</v>
      </c>
      <c r="C41" s="67" t="s">
        <v>56</v>
      </c>
      <c r="D41" s="68"/>
      <c r="E41" s="68"/>
      <c r="F41" s="68" t="s">
        <v>85</v>
      </c>
      <c r="G41" s="90">
        <f>'FEED_BOQ тит2'!C10</f>
        <v>0</v>
      </c>
      <c r="H41" s="90"/>
    </row>
    <row r="42" spans="1:8" ht="9" customHeight="1" x14ac:dyDescent="0.3">
      <c r="A42" s="65"/>
      <c r="B42" s="63"/>
      <c r="C42" s="63"/>
      <c r="D42" s="63"/>
      <c r="E42" s="63"/>
      <c r="F42" s="63"/>
      <c r="G42" s="93"/>
      <c r="H42" s="93"/>
    </row>
    <row r="43" spans="1:8" ht="18" customHeight="1" x14ac:dyDescent="0.3">
      <c r="A43" s="65">
        <v>5</v>
      </c>
      <c r="B43" s="63" t="s">
        <v>87</v>
      </c>
      <c r="C43" s="63"/>
      <c r="D43" s="63"/>
      <c r="E43" s="63"/>
      <c r="F43" s="63"/>
      <c r="G43" s="93">
        <f>SUM(G44:H46)</f>
        <v>0</v>
      </c>
      <c r="H43" s="93"/>
    </row>
    <row r="44" spans="1:8" ht="24" outlineLevel="1" x14ac:dyDescent="0.3">
      <c r="A44" s="65">
        <f t="shared" ref="A44" si="7">A43+0.1</f>
        <v>5.0999999999999996</v>
      </c>
      <c r="B44" s="67" t="str">
        <f>'ПД_BOQ тит1.'!B60</f>
        <v>Проектная документация (все разделы)</v>
      </c>
      <c r="C44" s="70" t="s">
        <v>61</v>
      </c>
      <c r="D44" s="68"/>
      <c r="E44" s="68"/>
      <c r="F44" s="68" t="s">
        <v>88</v>
      </c>
      <c r="G44" s="90">
        <f>'ПД_BOQ тит1.'!C60</f>
        <v>0</v>
      </c>
      <c r="H44" s="90"/>
    </row>
    <row r="45" spans="1:8" ht="18.75" outlineLevel="1" x14ac:dyDescent="0.3">
      <c r="A45" s="65">
        <f>A44+0.1</f>
        <v>5.1999999999999993</v>
      </c>
      <c r="B45" s="67" t="str">
        <f>'ПД_BOQ тит1.'!B272</f>
        <v>Смежные работы (при необходимости)</v>
      </c>
      <c r="C45" s="67" t="s">
        <v>56</v>
      </c>
      <c r="D45" s="68"/>
      <c r="E45" s="68"/>
      <c r="F45" s="68" t="s">
        <v>89</v>
      </c>
      <c r="G45" s="90">
        <f>'ПД_BOQ тит1.'!C272</f>
        <v>0</v>
      </c>
      <c r="H45" s="90"/>
    </row>
    <row r="46" spans="1:8" ht="27" outlineLevel="1" x14ac:dyDescent="0.3">
      <c r="A46" s="65">
        <f t="shared" ref="A46" si="8">A45+0.1</f>
        <v>5.2999999999999989</v>
      </c>
      <c r="B46" s="71" t="str">
        <f>'ПД_BOQ тит1.'!B10</f>
        <v>Смета на строительство объектов капитального строительства</v>
      </c>
      <c r="C46" s="67" t="s">
        <v>56</v>
      </c>
      <c r="D46" s="68"/>
      <c r="E46" s="68"/>
      <c r="F46" s="68" t="s">
        <v>85</v>
      </c>
      <c r="G46" s="90">
        <f>'ПД_BOQ тит1.'!C10</f>
        <v>0</v>
      </c>
      <c r="H46" s="90"/>
    </row>
    <row r="47" spans="1:8" ht="8.4499999999999993" customHeight="1" x14ac:dyDescent="0.3">
      <c r="A47" s="65"/>
      <c r="B47" s="63"/>
      <c r="C47" s="63"/>
      <c r="D47" s="63"/>
      <c r="E47" s="63"/>
      <c r="F47" s="63"/>
      <c r="G47" s="93"/>
      <c r="H47" s="93"/>
    </row>
    <row r="48" spans="1:8" ht="18" customHeight="1" x14ac:dyDescent="0.3">
      <c r="A48" s="65">
        <v>6</v>
      </c>
      <c r="B48" s="63" t="s">
        <v>90</v>
      </c>
      <c r="C48" s="63"/>
      <c r="D48" s="63"/>
      <c r="E48" s="63"/>
      <c r="F48" s="63"/>
      <c r="G48" s="93">
        <f>SUM(G49:H51)</f>
        <v>0</v>
      </c>
      <c r="H48" s="93"/>
    </row>
    <row r="49" spans="1:8" ht="24" outlineLevel="1" x14ac:dyDescent="0.3">
      <c r="A49" s="65">
        <f t="shared" ref="A49" si="9">A48+0.1</f>
        <v>6.1</v>
      </c>
      <c r="B49" s="67" t="str">
        <f>'ПД_BOQ тит2'!B60</f>
        <v>Проектная документация (все разделы)</v>
      </c>
      <c r="C49" s="70" t="s">
        <v>61</v>
      </c>
      <c r="D49" s="68"/>
      <c r="E49" s="68"/>
      <c r="F49" s="68" t="s">
        <v>88</v>
      </c>
      <c r="G49" s="90">
        <f>'ПД_BOQ тит2'!C60</f>
        <v>0</v>
      </c>
      <c r="H49" s="90"/>
    </row>
    <row r="50" spans="1:8" ht="18.75" outlineLevel="1" x14ac:dyDescent="0.3">
      <c r="A50" s="65">
        <f>A49+0.1</f>
        <v>6.1999999999999993</v>
      </c>
      <c r="B50" s="67" t="str">
        <f>'ПД_BOQ тит2'!B272</f>
        <v>Смежные работы (при необходимости)</v>
      </c>
      <c r="C50" s="67" t="s">
        <v>56</v>
      </c>
      <c r="D50" s="68"/>
      <c r="E50" s="68"/>
      <c r="F50" s="68" t="s">
        <v>89</v>
      </c>
      <c r="G50" s="90">
        <f>'ПД_BOQ тит2'!C272</f>
        <v>0</v>
      </c>
      <c r="H50" s="90"/>
    </row>
    <row r="51" spans="1:8" ht="27" outlineLevel="1" x14ac:dyDescent="0.3">
      <c r="A51" s="65">
        <f t="shared" ref="A51" si="10">A50+0.1</f>
        <v>6.2999999999999989</v>
      </c>
      <c r="B51" s="71" t="str">
        <f>'ПД_BOQ тит2'!B10</f>
        <v>Смета на строительство объектов капитального строительства</v>
      </c>
      <c r="C51" s="67" t="s">
        <v>56</v>
      </c>
      <c r="D51" s="68"/>
      <c r="E51" s="68"/>
      <c r="F51" s="68" t="s">
        <v>85</v>
      </c>
      <c r="G51" s="90">
        <f>'ПД_BOQ тит2'!C10</f>
        <v>0</v>
      </c>
      <c r="H51" s="90"/>
    </row>
    <row r="52" spans="1:8" ht="18.75" x14ac:dyDescent="0.3">
      <c r="A52" s="50"/>
      <c r="B52" s="51" t="s">
        <v>91</v>
      </c>
      <c r="C52" s="51"/>
      <c r="D52" s="51"/>
      <c r="E52" s="51"/>
      <c r="F52" s="51"/>
      <c r="G52" s="85">
        <f>G7+G24+G33</f>
        <v>0</v>
      </c>
      <c r="H52" s="85"/>
    </row>
    <row r="53" spans="1:8" ht="18.75" x14ac:dyDescent="0.3">
      <c r="A53" s="28"/>
      <c r="B53" s="28" t="s">
        <v>92</v>
      </c>
      <c r="C53" s="28"/>
      <c r="D53" s="28"/>
      <c r="E53" s="28"/>
      <c r="F53" s="28"/>
      <c r="G53" s="28"/>
      <c r="H53" s="28"/>
    </row>
    <row r="54" spans="1:8" ht="18.75" x14ac:dyDescent="0.3">
      <c r="A54" s="28"/>
      <c r="B54" s="28"/>
      <c r="C54" s="28"/>
      <c r="D54" s="28"/>
      <c r="E54" s="28"/>
      <c r="F54" s="28"/>
      <c r="G54" s="28"/>
      <c r="H54" s="28"/>
    </row>
    <row r="55" spans="1:8" ht="20.25" x14ac:dyDescent="0.3">
      <c r="A55" s="28"/>
      <c r="B55" s="29" t="s">
        <v>93</v>
      </c>
      <c r="C55" s="29"/>
      <c r="D55" s="29"/>
      <c r="E55" s="29"/>
      <c r="F55" s="29"/>
      <c r="G55" s="28"/>
      <c r="H55" s="28"/>
    </row>
    <row r="56" spans="1:8" ht="20.25" x14ac:dyDescent="0.3">
      <c r="A56" s="28"/>
      <c r="B56" s="29"/>
      <c r="C56" s="29"/>
      <c r="D56" s="29"/>
      <c r="E56" s="29"/>
      <c r="F56" s="29"/>
      <c r="G56" s="28"/>
      <c r="H56" s="28"/>
    </row>
    <row r="57" spans="1:8" ht="18.75" x14ac:dyDescent="0.3">
      <c r="A57" s="28"/>
      <c r="B57" s="30" t="s">
        <v>94</v>
      </c>
      <c r="C57" s="30"/>
      <c r="D57" s="30"/>
      <c r="E57" s="30"/>
      <c r="F57" s="30"/>
      <c r="G57" s="31"/>
      <c r="H57" s="31"/>
    </row>
    <row r="58" spans="1:8" ht="18.75" x14ac:dyDescent="0.3">
      <c r="A58" s="28"/>
      <c r="B58" s="30" t="s">
        <v>95</v>
      </c>
      <c r="C58" s="30"/>
      <c r="D58" s="30"/>
      <c r="E58" s="30"/>
      <c r="F58" s="30"/>
      <c r="G58" s="32"/>
      <c r="H58" s="31"/>
    </row>
    <row r="59" spans="1:8" ht="18.75" x14ac:dyDescent="0.3">
      <c r="A59" s="28"/>
      <c r="B59" s="30" t="s">
        <v>96</v>
      </c>
      <c r="C59" s="30"/>
      <c r="D59" s="30"/>
      <c r="E59" s="30"/>
      <c r="F59" s="30"/>
      <c r="G59" s="31"/>
      <c r="H59" s="33" t="s">
        <v>97</v>
      </c>
    </row>
    <row r="62" spans="1:8" x14ac:dyDescent="0.25">
      <c r="A62">
        <v>1.234</v>
      </c>
    </row>
  </sheetData>
  <mergeCells count="54">
    <mergeCell ref="G49:H49"/>
    <mergeCell ref="G50:H50"/>
    <mergeCell ref="G51:H51"/>
    <mergeCell ref="G47:H47"/>
    <mergeCell ref="G48:H48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31:H31"/>
    <mergeCell ref="G33:H33"/>
    <mergeCell ref="G34:H34"/>
    <mergeCell ref="G35:H35"/>
    <mergeCell ref="G36:H36"/>
    <mergeCell ref="G32:H32"/>
    <mergeCell ref="G29:H29"/>
    <mergeCell ref="G30:H30"/>
    <mergeCell ref="G24:H24"/>
    <mergeCell ref="G25:H25"/>
    <mergeCell ref="G26:H26"/>
    <mergeCell ref="G27:H27"/>
    <mergeCell ref="G28:H28"/>
    <mergeCell ref="G14:H14"/>
    <mergeCell ref="G15:H15"/>
    <mergeCell ref="G16:H16"/>
    <mergeCell ref="C5:C6"/>
    <mergeCell ref="G20:H20"/>
    <mergeCell ref="G1:H1"/>
    <mergeCell ref="A3:H4"/>
    <mergeCell ref="A5:A6"/>
    <mergeCell ref="B5:B6"/>
    <mergeCell ref="G5:H6"/>
    <mergeCell ref="G52:H52"/>
    <mergeCell ref="F5:F6"/>
    <mergeCell ref="D5:D6"/>
    <mergeCell ref="E5:E6"/>
    <mergeCell ref="G8:H8"/>
    <mergeCell ref="G9:H9"/>
    <mergeCell ref="G10:H10"/>
    <mergeCell ref="G11:H11"/>
    <mergeCell ref="G12:H12"/>
    <mergeCell ref="G22:H22"/>
    <mergeCell ref="G7:H7"/>
    <mergeCell ref="G19:H19"/>
    <mergeCell ref="G17:H17"/>
    <mergeCell ref="G18:H18"/>
    <mergeCell ref="G13:H13"/>
    <mergeCell ref="G21:H2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I4" sqref="I4"/>
    </sheetView>
  </sheetViews>
  <sheetFormatPr defaultRowHeight="15" x14ac:dyDescent="0.25"/>
  <cols>
    <col min="1" max="1" width="17.5703125" customWidth="1"/>
    <col min="2" max="2" width="51" customWidth="1"/>
    <col min="3" max="3" width="17.42578125" customWidth="1"/>
    <col min="4" max="4" width="34.85546875" customWidth="1"/>
  </cols>
  <sheetData>
    <row r="1" spans="1:4" ht="37.5" x14ac:dyDescent="0.25">
      <c r="A1" s="24" t="s">
        <v>0</v>
      </c>
      <c r="B1" s="25"/>
      <c r="C1" s="94" t="s">
        <v>46</v>
      </c>
      <c r="D1" s="94"/>
    </row>
    <row r="2" spans="1:4" ht="18.75" x14ac:dyDescent="0.25">
      <c r="A2" s="24"/>
      <c r="B2" s="25"/>
      <c r="C2" s="26"/>
      <c r="D2" s="26"/>
    </row>
    <row r="3" spans="1:4" x14ac:dyDescent="0.25">
      <c r="A3" s="97" t="s">
        <v>972</v>
      </c>
      <c r="B3" s="97"/>
      <c r="C3" s="97"/>
      <c r="D3" s="97"/>
    </row>
    <row r="4" spans="1:4" ht="75.75" customHeight="1" x14ac:dyDescent="0.25">
      <c r="A4" s="97"/>
      <c r="B4" s="97"/>
      <c r="C4" s="97"/>
      <c r="D4" s="97"/>
    </row>
    <row r="5" spans="1:4" x14ac:dyDescent="0.25">
      <c r="A5" s="98" t="s">
        <v>3</v>
      </c>
      <c r="B5" s="98" t="s">
        <v>4</v>
      </c>
      <c r="C5" s="98" t="s">
        <v>53</v>
      </c>
      <c r="D5" s="98"/>
    </row>
    <row r="6" spans="1:4" x14ac:dyDescent="0.25">
      <c r="A6" s="99"/>
      <c r="B6" s="99"/>
      <c r="C6" s="99"/>
      <c r="D6" s="99"/>
    </row>
    <row r="7" spans="1:4" ht="37.5" x14ac:dyDescent="0.3">
      <c r="A7" s="27">
        <v>1</v>
      </c>
      <c r="B7" s="63" t="s">
        <v>98</v>
      </c>
      <c r="C7" s="93">
        <f>'ТЭО_ФО+ЛС+ССР'!C697</f>
        <v>0</v>
      </c>
      <c r="D7" s="93"/>
    </row>
    <row r="8" spans="1:4" ht="37.5" x14ac:dyDescent="0.3">
      <c r="A8" s="27">
        <f>A7+1</f>
        <v>2</v>
      </c>
      <c r="B8" s="63" t="s">
        <v>99</v>
      </c>
      <c r="C8" s="93">
        <f>'ОТР_BOQ '!C298</f>
        <v>0</v>
      </c>
      <c r="D8" s="93"/>
    </row>
    <row r="9" spans="1:4" ht="37.5" x14ac:dyDescent="0.3">
      <c r="A9" s="27">
        <f>A8+1</f>
        <v>3</v>
      </c>
      <c r="B9" s="63" t="s">
        <v>100</v>
      </c>
      <c r="C9" s="93">
        <f>'FEED_BOQ тит1'!C618</f>
        <v>0</v>
      </c>
      <c r="D9" s="93"/>
    </row>
    <row r="10" spans="1:4" ht="37.5" x14ac:dyDescent="0.3">
      <c r="A10" s="27">
        <f>A9+1</f>
        <v>4</v>
      </c>
      <c r="B10" s="63" t="s">
        <v>101</v>
      </c>
      <c r="C10" s="93">
        <f>'FEED_BOQ тит2'!C618</f>
        <v>0</v>
      </c>
      <c r="D10" s="93"/>
    </row>
    <row r="11" spans="1:4" ht="37.5" x14ac:dyDescent="0.3">
      <c r="A11" s="27">
        <f>A10+1</f>
        <v>5</v>
      </c>
      <c r="B11" s="63" t="s">
        <v>102</v>
      </c>
      <c r="C11" s="93">
        <f>'ПД_BOQ тит1.'!C746</f>
        <v>0</v>
      </c>
      <c r="D11" s="93"/>
    </row>
    <row r="12" spans="1:4" ht="37.5" x14ac:dyDescent="0.3">
      <c r="A12" s="27">
        <f>A11+1</f>
        <v>6</v>
      </c>
      <c r="B12" s="63" t="s">
        <v>103</v>
      </c>
      <c r="C12" s="93">
        <f>'ПД_BOQ тит2'!C746</f>
        <v>0</v>
      </c>
      <c r="D12" s="93"/>
    </row>
    <row r="13" spans="1:4" ht="37.5" x14ac:dyDescent="0.3">
      <c r="A13" s="27">
        <f t="shared" ref="A13:A14" si="0">A12+1</f>
        <v>7</v>
      </c>
      <c r="B13" s="63" t="s">
        <v>104</v>
      </c>
      <c r="C13" s="93">
        <f>'РД_BOQ тит.1'!C1609</f>
        <v>0</v>
      </c>
      <c r="D13" s="93"/>
    </row>
    <row r="14" spans="1:4" ht="37.5" x14ac:dyDescent="0.3">
      <c r="A14" s="27">
        <f t="shared" si="0"/>
        <v>8</v>
      </c>
      <c r="B14" s="63" t="s">
        <v>105</v>
      </c>
      <c r="C14" s="93">
        <f>'РД_BOQ тит.2'!C1609</f>
        <v>0</v>
      </c>
      <c r="D14" s="93"/>
    </row>
    <row r="15" spans="1:4" ht="18.75" x14ac:dyDescent="0.3">
      <c r="A15" s="50"/>
      <c r="B15" s="51" t="s">
        <v>91</v>
      </c>
      <c r="C15" s="85">
        <f>SUM(C7:D14)</f>
        <v>0</v>
      </c>
      <c r="D15" s="85"/>
    </row>
    <row r="16" spans="1:4" ht="18.75" x14ac:dyDescent="0.3">
      <c r="A16" s="28"/>
      <c r="B16" s="28"/>
      <c r="C16" s="28"/>
      <c r="D16" s="28"/>
    </row>
    <row r="17" spans="1:4" ht="18.75" x14ac:dyDescent="0.3">
      <c r="A17" s="28"/>
      <c r="B17" s="28"/>
      <c r="C17" s="28"/>
      <c r="D17" s="28"/>
    </row>
    <row r="18" spans="1:4" ht="20.25" x14ac:dyDescent="0.3">
      <c r="A18" s="28"/>
      <c r="B18" s="29" t="s">
        <v>93</v>
      </c>
      <c r="C18" s="28"/>
      <c r="D18" s="28"/>
    </row>
    <row r="19" spans="1:4" ht="20.25" x14ac:dyDescent="0.3">
      <c r="A19" s="28"/>
      <c r="B19" s="29"/>
      <c r="C19" s="28"/>
      <c r="D19" s="28"/>
    </row>
    <row r="20" spans="1:4" ht="18.75" x14ac:dyDescent="0.3">
      <c r="A20" s="28"/>
      <c r="B20" s="30" t="s">
        <v>94</v>
      </c>
      <c r="C20" s="31"/>
      <c r="D20" s="31"/>
    </row>
    <row r="21" spans="1:4" ht="18.75" x14ac:dyDescent="0.3">
      <c r="A21" s="28"/>
      <c r="B21" s="30" t="s">
        <v>95</v>
      </c>
      <c r="C21" s="32"/>
      <c r="D21" s="31"/>
    </row>
    <row r="22" spans="1:4" ht="18.75" x14ac:dyDescent="0.3">
      <c r="A22" s="28"/>
      <c r="B22" s="30" t="s">
        <v>96</v>
      </c>
      <c r="C22" s="31"/>
      <c r="D22" s="33" t="s">
        <v>97</v>
      </c>
    </row>
  </sheetData>
  <mergeCells count="14">
    <mergeCell ref="C13:D13"/>
    <mergeCell ref="C15:D15"/>
    <mergeCell ref="C1:D1"/>
    <mergeCell ref="A3:D4"/>
    <mergeCell ref="A5:A6"/>
    <mergeCell ref="B5:B6"/>
    <mergeCell ref="C5:D6"/>
    <mergeCell ref="C11:D11"/>
    <mergeCell ref="C12:D12"/>
    <mergeCell ref="C14:D14"/>
    <mergeCell ref="C7:D7"/>
    <mergeCell ref="C8:D8"/>
    <mergeCell ref="C9:D9"/>
    <mergeCell ref="C10:D1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7"/>
  <sheetViews>
    <sheetView zoomScale="60" zoomScaleNormal="60" workbookViewId="0">
      <selection activeCell="A2" sqref="A2:O3"/>
    </sheetView>
  </sheetViews>
  <sheetFormatPr defaultColWidth="9.140625" defaultRowHeight="15" outlineLevelRow="1" x14ac:dyDescent="0.25"/>
  <cols>
    <col min="1" max="1" width="8.42578125" style="22" customWidth="1"/>
    <col min="2" max="2" width="100.5703125" style="21" customWidth="1"/>
    <col min="3" max="3" width="14.85546875" style="21" customWidth="1"/>
    <col min="4" max="5" width="12.42578125" style="21" customWidth="1"/>
    <col min="6" max="6" width="14.42578125" style="21" customWidth="1"/>
    <col min="7" max="7" width="13.140625" style="21" customWidth="1"/>
    <col min="8" max="8" width="10.85546875" style="21" customWidth="1"/>
    <col min="9" max="9" width="9.85546875" style="21" customWidth="1"/>
    <col min="10" max="10" width="8.140625" style="21" customWidth="1"/>
    <col min="11" max="11" width="8.85546875" style="21" customWidth="1"/>
    <col min="12" max="12" width="13.42578125" style="21" customWidth="1"/>
    <col min="13" max="13" width="19.42578125" style="21" customWidth="1"/>
    <col min="14" max="15" width="18.140625" style="21" customWidth="1"/>
    <col min="16" max="16" width="17.42578125" style="21" customWidth="1"/>
    <col min="17" max="16384" width="9.140625" style="21"/>
  </cols>
  <sheetData>
    <row r="1" spans="1:15" ht="55.35" customHeight="1" x14ac:dyDescent="0.25">
      <c r="A1" s="23" t="s">
        <v>0</v>
      </c>
      <c r="B1" s="19"/>
      <c r="C1" s="20" t="s">
        <v>1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5" ht="15" customHeight="1" x14ac:dyDescent="0.25">
      <c r="A2" s="107" t="s">
        <v>973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</row>
    <row r="3" spans="1:15" ht="36" customHeight="1" thickBot="1" x14ac:dyDescent="0.3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</row>
    <row r="4" spans="1:15" ht="13.7" customHeight="1" thickBot="1" x14ac:dyDescent="0.3">
      <c r="A4" s="55"/>
      <c r="B4" s="55"/>
      <c r="C4" s="109" t="s">
        <v>106</v>
      </c>
      <c r="D4" s="110"/>
      <c r="E4" s="110"/>
      <c r="F4" s="111"/>
      <c r="G4" s="111"/>
      <c r="H4" s="111"/>
      <c r="I4" s="111"/>
      <c r="J4" s="111"/>
      <c r="K4" s="111"/>
      <c r="L4" s="111"/>
      <c r="M4" s="111"/>
      <c r="N4" s="111"/>
      <c r="O4" s="112"/>
    </row>
    <row r="5" spans="1:15" s="38" customFormat="1" ht="19.5" customHeight="1" x14ac:dyDescent="0.25">
      <c r="A5" s="113" t="s">
        <v>3</v>
      </c>
      <c r="B5" s="113" t="s">
        <v>4</v>
      </c>
      <c r="C5" s="113" t="s">
        <v>53</v>
      </c>
      <c r="D5" s="113" t="s">
        <v>107</v>
      </c>
      <c r="E5" s="113" t="s">
        <v>108</v>
      </c>
      <c r="F5" s="113" t="s">
        <v>109</v>
      </c>
      <c r="G5" s="117" t="s">
        <v>110</v>
      </c>
      <c r="H5" s="118"/>
      <c r="I5" s="118"/>
      <c r="J5" s="118"/>
      <c r="K5" s="118"/>
      <c r="L5" s="118"/>
      <c r="M5" s="118"/>
      <c r="N5" s="118"/>
      <c r="O5" s="119"/>
    </row>
    <row r="6" spans="1:15" s="38" customFormat="1" ht="19.5" customHeight="1" thickBot="1" x14ac:dyDescent="0.3">
      <c r="A6" s="114"/>
      <c r="B6" s="114"/>
      <c r="C6" s="114"/>
      <c r="D6" s="115"/>
      <c r="E6" s="115"/>
      <c r="F6" s="116"/>
      <c r="G6" s="120"/>
      <c r="H6" s="121"/>
      <c r="I6" s="121"/>
      <c r="J6" s="121"/>
      <c r="K6" s="121"/>
      <c r="L6" s="121"/>
      <c r="M6" s="121"/>
      <c r="N6" s="121"/>
      <c r="O6" s="122"/>
    </row>
    <row r="7" spans="1:15" s="38" customFormat="1" ht="25.35" customHeight="1" thickBot="1" x14ac:dyDescent="0.3">
      <c r="A7" s="115"/>
      <c r="B7" s="115"/>
      <c r="C7" s="115"/>
      <c r="D7" s="115"/>
      <c r="E7" s="115"/>
      <c r="F7" s="115"/>
      <c r="G7" s="100" t="s">
        <v>111</v>
      </c>
      <c r="H7" s="105" t="s">
        <v>112</v>
      </c>
      <c r="I7" s="106"/>
      <c r="J7" s="100" t="s">
        <v>113</v>
      </c>
      <c r="K7" s="100" t="s">
        <v>114</v>
      </c>
      <c r="L7" s="100" t="s">
        <v>115</v>
      </c>
      <c r="M7" s="100" t="s">
        <v>116</v>
      </c>
      <c r="N7" s="100" t="s">
        <v>117</v>
      </c>
      <c r="O7" s="100" t="s">
        <v>118</v>
      </c>
    </row>
    <row r="8" spans="1:15" s="38" customFormat="1" ht="19.5" customHeight="1" thickBot="1" x14ac:dyDescent="0.3">
      <c r="A8" s="101"/>
      <c r="B8" s="101"/>
      <c r="C8" s="101"/>
      <c r="D8" s="101"/>
      <c r="E8" s="101"/>
      <c r="F8" s="101"/>
      <c r="G8" s="101"/>
      <c r="H8" s="61" t="s">
        <v>119</v>
      </c>
      <c r="I8" s="61" t="s">
        <v>120</v>
      </c>
      <c r="J8" s="101"/>
      <c r="K8" s="101"/>
      <c r="L8" s="101"/>
      <c r="M8" s="101"/>
      <c r="N8" s="101"/>
      <c r="O8" s="101"/>
    </row>
    <row r="9" spans="1:15" s="38" customFormat="1" ht="19.5" customHeight="1" thickBot="1" x14ac:dyDescent="0.3">
      <c r="A9" s="102" t="s">
        <v>121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4"/>
    </row>
    <row r="10" spans="1:15" s="39" customFormat="1" ht="16.5" thickBot="1" x14ac:dyDescent="0.3">
      <c r="A10" s="37" t="s">
        <v>8</v>
      </c>
      <c r="B10" s="34" t="s">
        <v>122</v>
      </c>
      <c r="C10" s="35">
        <f>SUM(C11:C66)</f>
        <v>0</v>
      </c>
      <c r="D10" s="76">
        <f>SUM(D12:D66)</f>
        <v>0</v>
      </c>
      <c r="E10" s="35">
        <f>SUM(E12:E66)</f>
        <v>0</v>
      </c>
      <c r="F10" s="56"/>
      <c r="G10" s="56"/>
      <c r="H10" s="56"/>
      <c r="I10" s="56"/>
      <c r="J10" s="56"/>
      <c r="K10" s="56"/>
      <c r="L10" s="56"/>
      <c r="M10" s="56"/>
      <c r="N10" s="56"/>
      <c r="O10" s="36"/>
    </row>
    <row r="11" spans="1:15" s="38" customFormat="1" ht="14.45" hidden="1" customHeight="1" outlineLevel="1" x14ac:dyDescent="0.25">
      <c r="A11" s="126" t="s">
        <v>123</v>
      </c>
      <c r="B11" s="127" t="s">
        <v>124</v>
      </c>
      <c r="C11" s="130">
        <f>SUM(N11:N17)</f>
        <v>0</v>
      </c>
      <c r="D11" s="130">
        <f>SUM(O11:O17)</f>
        <v>0</v>
      </c>
      <c r="E11" s="130">
        <f t="shared" ref="E11" si="0">D11/8</f>
        <v>0</v>
      </c>
      <c r="F11" s="130"/>
      <c r="G11" s="60" t="s">
        <v>125</v>
      </c>
      <c r="H11" s="123"/>
      <c r="I11" s="123"/>
      <c r="J11" s="60"/>
      <c r="K11" s="60"/>
      <c r="L11" s="60"/>
      <c r="M11" s="60"/>
      <c r="N11" s="60">
        <f>M11*J11*K11*L11</f>
        <v>0</v>
      </c>
      <c r="O11" s="60">
        <f>J11*K11*L11</f>
        <v>0</v>
      </c>
    </row>
    <row r="12" spans="1:15" s="38" customFormat="1" ht="11.45" hidden="1" customHeight="1" outlineLevel="1" x14ac:dyDescent="0.25">
      <c r="A12" s="124"/>
      <c r="B12" s="128"/>
      <c r="C12" s="115"/>
      <c r="D12" s="115"/>
      <c r="E12" s="115"/>
      <c r="F12" s="115"/>
      <c r="G12" s="60" t="s">
        <v>126</v>
      </c>
      <c r="H12" s="124"/>
      <c r="I12" s="124"/>
      <c r="J12" s="60"/>
      <c r="K12" s="60"/>
      <c r="L12" s="60"/>
      <c r="M12" s="60"/>
      <c r="N12" s="60">
        <f t="shared" ref="N12:N17" si="1">M12*J12*K12*L12</f>
        <v>0</v>
      </c>
      <c r="O12" s="60">
        <f t="shared" ref="O12:O66" si="2">J12*K12*L12</f>
        <v>0</v>
      </c>
    </row>
    <row r="13" spans="1:15" s="38" customFormat="1" ht="10.7" hidden="1" customHeight="1" outlineLevel="1" x14ac:dyDescent="0.25">
      <c r="A13" s="124"/>
      <c r="B13" s="128"/>
      <c r="C13" s="115"/>
      <c r="D13" s="115"/>
      <c r="E13" s="115"/>
      <c r="F13" s="115"/>
      <c r="G13" s="60" t="s">
        <v>127</v>
      </c>
      <c r="H13" s="124"/>
      <c r="I13" s="124"/>
      <c r="J13" s="60"/>
      <c r="K13" s="60"/>
      <c r="L13" s="60"/>
      <c r="M13" s="60"/>
      <c r="N13" s="60">
        <f t="shared" si="1"/>
        <v>0</v>
      </c>
      <c r="O13" s="60">
        <f t="shared" si="2"/>
        <v>0</v>
      </c>
    </row>
    <row r="14" spans="1:15" s="38" customFormat="1" ht="10.7" hidden="1" customHeight="1" outlineLevel="1" x14ac:dyDescent="0.25">
      <c r="A14" s="124"/>
      <c r="B14" s="128"/>
      <c r="C14" s="115"/>
      <c r="D14" s="115"/>
      <c r="E14" s="115"/>
      <c r="F14" s="115"/>
      <c r="G14" s="60" t="s">
        <v>128</v>
      </c>
      <c r="H14" s="124"/>
      <c r="I14" s="124"/>
      <c r="J14" s="60"/>
      <c r="K14" s="60"/>
      <c r="L14" s="60"/>
      <c r="M14" s="60"/>
      <c r="N14" s="60">
        <f t="shared" si="1"/>
        <v>0</v>
      </c>
      <c r="O14" s="60">
        <f t="shared" si="2"/>
        <v>0</v>
      </c>
    </row>
    <row r="15" spans="1:15" s="38" customFormat="1" ht="10.7" hidden="1" customHeight="1" outlineLevel="1" x14ac:dyDescent="0.25">
      <c r="A15" s="124"/>
      <c r="B15" s="128"/>
      <c r="C15" s="115"/>
      <c r="D15" s="115"/>
      <c r="E15" s="115"/>
      <c r="F15" s="115"/>
      <c r="G15" s="60" t="s">
        <v>129</v>
      </c>
      <c r="H15" s="124"/>
      <c r="I15" s="124"/>
      <c r="J15" s="60"/>
      <c r="K15" s="60"/>
      <c r="L15" s="60"/>
      <c r="M15" s="60"/>
      <c r="N15" s="60">
        <f t="shared" si="1"/>
        <v>0</v>
      </c>
      <c r="O15" s="60">
        <f t="shared" si="2"/>
        <v>0</v>
      </c>
    </row>
    <row r="16" spans="1:15" s="38" customFormat="1" ht="10.7" hidden="1" customHeight="1" outlineLevel="1" x14ac:dyDescent="0.25">
      <c r="A16" s="124"/>
      <c r="B16" s="128"/>
      <c r="C16" s="115"/>
      <c r="D16" s="115"/>
      <c r="E16" s="115"/>
      <c r="F16" s="115"/>
      <c r="G16" s="60" t="s">
        <v>130</v>
      </c>
      <c r="H16" s="124"/>
      <c r="I16" s="124"/>
      <c r="J16" s="60"/>
      <c r="K16" s="60"/>
      <c r="L16" s="60"/>
      <c r="M16" s="60"/>
      <c r="N16" s="60">
        <f t="shared" si="1"/>
        <v>0</v>
      </c>
      <c r="O16" s="60">
        <f t="shared" si="2"/>
        <v>0</v>
      </c>
    </row>
    <row r="17" spans="1:15" s="38" customFormat="1" ht="12" hidden="1" customHeight="1" outlineLevel="1" x14ac:dyDescent="0.25">
      <c r="A17" s="125"/>
      <c r="B17" s="129"/>
      <c r="C17" s="131"/>
      <c r="D17" s="131"/>
      <c r="E17" s="131"/>
      <c r="F17" s="131"/>
      <c r="G17" s="60" t="s">
        <v>131</v>
      </c>
      <c r="H17" s="125"/>
      <c r="I17" s="125"/>
      <c r="J17" s="60"/>
      <c r="K17" s="60"/>
      <c r="L17" s="60"/>
      <c r="M17" s="60"/>
      <c r="N17" s="60">
        <f t="shared" si="1"/>
        <v>0</v>
      </c>
      <c r="O17" s="60">
        <f t="shared" si="2"/>
        <v>0</v>
      </c>
    </row>
    <row r="18" spans="1:15" s="38" customFormat="1" ht="14.45" hidden="1" customHeight="1" outlineLevel="1" x14ac:dyDescent="0.25">
      <c r="A18" s="126" t="s">
        <v>132</v>
      </c>
      <c r="B18" s="127" t="s">
        <v>133</v>
      </c>
      <c r="C18" s="130">
        <f>SUM(N18:N24)</f>
        <v>0</v>
      </c>
      <c r="D18" s="130">
        <f>SUM(O18:O24)</f>
        <v>0</v>
      </c>
      <c r="E18" s="130">
        <f t="shared" ref="E18" si="3">D18/8</f>
        <v>0</v>
      </c>
      <c r="F18" s="130"/>
      <c r="G18" s="60" t="s">
        <v>125</v>
      </c>
      <c r="H18" s="123"/>
      <c r="I18" s="123"/>
      <c r="J18" s="60"/>
      <c r="K18" s="60"/>
      <c r="L18" s="60"/>
      <c r="M18" s="60"/>
      <c r="N18" s="60">
        <f>M18*J18*K18*L18</f>
        <v>0</v>
      </c>
      <c r="O18" s="60">
        <f t="shared" si="2"/>
        <v>0</v>
      </c>
    </row>
    <row r="19" spans="1:15" s="38" customFormat="1" ht="11.45" hidden="1" customHeight="1" outlineLevel="1" x14ac:dyDescent="0.25">
      <c r="A19" s="124"/>
      <c r="B19" s="128"/>
      <c r="C19" s="115"/>
      <c r="D19" s="115"/>
      <c r="E19" s="132"/>
      <c r="F19" s="115"/>
      <c r="G19" s="60" t="s">
        <v>126</v>
      </c>
      <c r="H19" s="124"/>
      <c r="I19" s="124"/>
      <c r="J19" s="60"/>
      <c r="K19" s="60"/>
      <c r="L19" s="60"/>
      <c r="M19" s="60"/>
      <c r="N19" s="60">
        <f t="shared" ref="N19:N24" si="4">M19*J19*K19*L19</f>
        <v>0</v>
      </c>
      <c r="O19" s="60">
        <f t="shared" si="2"/>
        <v>0</v>
      </c>
    </row>
    <row r="20" spans="1:15" s="38" customFormat="1" ht="10.7" hidden="1" customHeight="1" outlineLevel="1" x14ac:dyDescent="0.25">
      <c r="A20" s="124"/>
      <c r="B20" s="128"/>
      <c r="C20" s="115"/>
      <c r="D20" s="115"/>
      <c r="E20" s="132"/>
      <c r="F20" s="115"/>
      <c r="G20" s="60" t="s">
        <v>127</v>
      </c>
      <c r="H20" s="124"/>
      <c r="I20" s="124"/>
      <c r="J20" s="60"/>
      <c r="K20" s="60"/>
      <c r="L20" s="60"/>
      <c r="M20" s="60"/>
      <c r="N20" s="60">
        <f t="shared" si="4"/>
        <v>0</v>
      </c>
      <c r="O20" s="60">
        <f t="shared" si="2"/>
        <v>0</v>
      </c>
    </row>
    <row r="21" spans="1:15" s="38" customFormat="1" ht="10.7" hidden="1" customHeight="1" outlineLevel="1" x14ac:dyDescent="0.25">
      <c r="A21" s="124"/>
      <c r="B21" s="128"/>
      <c r="C21" s="115"/>
      <c r="D21" s="115"/>
      <c r="E21" s="132"/>
      <c r="F21" s="115"/>
      <c r="G21" s="60" t="s">
        <v>128</v>
      </c>
      <c r="H21" s="124"/>
      <c r="I21" s="124"/>
      <c r="J21" s="60"/>
      <c r="K21" s="60"/>
      <c r="L21" s="60"/>
      <c r="M21" s="60"/>
      <c r="N21" s="60">
        <f t="shared" si="4"/>
        <v>0</v>
      </c>
      <c r="O21" s="60">
        <f t="shared" si="2"/>
        <v>0</v>
      </c>
    </row>
    <row r="22" spans="1:15" s="38" customFormat="1" ht="10.7" hidden="1" customHeight="1" outlineLevel="1" x14ac:dyDescent="0.25">
      <c r="A22" s="124"/>
      <c r="B22" s="128"/>
      <c r="C22" s="115"/>
      <c r="D22" s="115"/>
      <c r="E22" s="132"/>
      <c r="F22" s="115"/>
      <c r="G22" s="60" t="s">
        <v>129</v>
      </c>
      <c r="H22" s="124"/>
      <c r="I22" s="124"/>
      <c r="J22" s="60"/>
      <c r="K22" s="60"/>
      <c r="L22" s="60"/>
      <c r="M22" s="60"/>
      <c r="N22" s="60">
        <f t="shared" si="4"/>
        <v>0</v>
      </c>
      <c r="O22" s="60">
        <f t="shared" si="2"/>
        <v>0</v>
      </c>
    </row>
    <row r="23" spans="1:15" s="38" customFormat="1" ht="10.7" hidden="1" customHeight="1" outlineLevel="1" x14ac:dyDescent="0.25">
      <c r="A23" s="124"/>
      <c r="B23" s="128"/>
      <c r="C23" s="115"/>
      <c r="D23" s="115"/>
      <c r="E23" s="132"/>
      <c r="F23" s="115"/>
      <c r="G23" s="60" t="s">
        <v>130</v>
      </c>
      <c r="H23" s="124"/>
      <c r="I23" s="124"/>
      <c r="J23" s="60"/>
      <c r="K23" s="60"/>
      <c r="L23" s="60"/>
      <c r="M23" s="60"/>
      <c r="N23" s="60">
        <f t="shared" si="4"/>
        <v>0</v>
      </c>
      <c r="O23" s="60">
        <f t="shared" si="2"/>
        <v>0</v>
      </c>
    </row>
    <row r="24" spans="1:15" s="38" customFormat="1" ht="12" hidden="1" customHeight="1" outlineLevel="1" x14ac:dyDescent="0.25">
      <c r="A24" s="125"/>
      <c r="B24" s="129"/>
      <c r="C24" s="131"/>
      <c r="D24" s="131"/>
      <c r="E24" s="133"/>
      <c r="F24" s="131"/>
      <c r="G24" s="60" t="s">
        <v>131</v>
      </c>
      <c r="H24" s="125"/>
      <c r="I24" s="125"/>
      <c r="J24" s="60"/>
      <c r="K24" s="60"/>
      <c r="L24" s="60"/>
      <c r="M24" s="60"/>
      <c r="N24" s="60">
        <f t="shared" si="4"/>
        <v>0</v>
      </c>
      <c r="O24" s="60">
        <f t="shared" si="2"/>
        <v>0</v>
      </c>
    </row>
    <row r="25" spans="1:15" s="38" customFormat="1" ht="14.45" hidden="1" customHeight="1" outlineLevel="1" x14ac:dyDescent="0.25">
      <c r="A25" s="126" t="s">
        <v>134</v>
      </c>
      <c r="B25" s="127" t="s">
        <v>135</v>
      </c>
      <c r="C25" s="130">
        <f>SUM(N25:N31)</f>
        <v>0</v>
      </c>
      <c r="D25" s="130">
        <f>SUM(O25:O31)</f>
        <v>0</v>
      </c>
      <c r="E25" s="130">
        <f t="shared" ref="E25" si="5">D25/8</f>
        <v>0</v>
      </c>
      <c r="F25" s="130"/>
      <c r="G25" s="60" t="s">
        <v>125</v>
      </c>
      <c r="H25" s="123"/>
      <c r="I25" s="123"/>
      <c r="J25" s="60"/>
      <c r="K25" s="60"/>
      <c r="L25" s="60"/>
      <c r="M25" s="60"/>
      <c r="N25" s="60">
        <f>M25*J25*K25*L25</f>
        <v>0</v>
      </c>
      <c r="O25" s="60">
        <f t="shared" si="2"/>
        <v>0</v>
      </c>
    </row>
    <row r="26" spans="1:15" s="38" customFormat="1" ht="11.45" hidden="1" customHeight="1" outlineLevel="1" x14ac:dyDescent="0.25">
      <c r="A26" s="124"/>
      <c r="B26" s="128"/>
      <c r="C26" s="115"/>
      <c r="D26" s="115"/>
      <c r="E26" s="115"/>
      <c r="F26" s="115"/>
      <c r="G26" s="60" t="s">
        <v>126</v>
      </c>
      <c r="H26" s="124"/>
      <c r="I26" s="124"/>
      <c r="J26" s="60"/>
      <c r="K26" s="60"/>
      <c r="L26" s="60"/>
      <c r="M26" s="60"/>
      <c r="N26" s="60">
        <f t="shared" ref="N26:N31" si="6">M26*J26*K26*L26</f>
        <v>0</v>
      </c>
      <c r="O26" s="60">
        <f t="shared" si="2"/>
        <v>0</v>
      </c>
    </row>
    <row r="27" spans="1:15" s="38" customFormat="1" ht="10.7" hidden="1" customHeight="1" outlineLevel="1" x14ac:dyDescent="0.25">
      <c r="A27" s="124"/>
      <c r="B27" s="128"/>
      <c r="C27" s="115"/>
      <c r="D27" s="115"/>
      <c r="E27" s="115"/>
      <c r="F27" s="115"/>
      <c r="G27" s="60" t="s">
        <v>127</v>
      </c>
      <c r="H27" s="124"/>
      <c r="I27" s="124"/>
      <c r="J27" s="60"/>
      <c r="K27" s="60"/>
      <c r="L27" s="60"/>
      <c r="M27" s="60"/>
      <c r="N27" s="60">
        <f t="shared" si="6"/>
        <v>0</v>
      </c>
      <c r="O27" s="60">
        <f t="shared" si="2"/>
        <v>0</v>
      </c>
    </row>
    <row r="28" spans="1:15" s="38" customFormat="1" ht="10.7" hidden="1" customHeight="1" outlineLevel="1" x14ac:dyDescent="0.25">
      <c r="A28" s="124"/>
      <c r="B28" s="128"/>
      <c r="C28" s="115"/>
      <c r="D28" s="115"/>
      <c r="E28" s="115"/>
      <c r="F28" s="115"/>
      <c r="G28" s="60" t="s">
        <v>128</v>
      </c>
      <c r="H28" s="124"/>
      <c r="I28" s="124"/>
      <c r="J28" s="60"/>
      <c r="K28" s="60"/>
      <c r="L28" s="60"/>
      <c r="M28" s="60"/>
      <c r="N28" s="60">
        <f t="shared" si="6"/>
        <v>0</v>
      </c>
      <c r="O28" s="60">
        <f t="shared" si="2"/>
        <v>0</v>
      </c>
    </row>
    <row r="29" spans="1:15" s="38" customFormat="1" ht="10.7" hidden="1" customHeight="1" outlineLevel="1" x14ac:dyDescent="0.25">
      <c r="A29" s="124"/>
      <c r="B29" s="128"/>
      <c r="C29" s="115"/>
      <c r="D29" s="115"/>
      <c r="E29" s="115"/>
      <c r="F29" s="115"/>
      <c r="G29" s="60" t="s">
        <v>129</v>
      </c>
      <c r="H29" s="124"/>
      <c r="I29" s="124"/>
      <c r="J29" s="60"/>
      <c r="K29" s="60"/>
      <c r="L29" s="60"/>
      <c r="M29" s="60"/>
      <c r="N29" s="60">
        <f t="shared" si="6"/>
        <v>0</v>
      </c>
      <c r="O29" s="60">
        <f t="shared" si="2"/>
        <v>0</v>
      </c>
    </row>
    <row r="30" spans="1:15" s="38" customFormat="1" ht="10.7" hidden="1" customHeight="1" outlineLevel="1" x14ac:dyDescent="0.25">
      <c r="A30" s="124"/>
      <c r="B30" s="128"/>
      <c r="C30" s="115"/>
      <c r="D30" s="115"/>
      <c r="E30" s="115"/>
      <c r="F30" s="115"/>
      <c r="G30" s="60" t="s">
        <v>130</v>
      </c>
      <c r="H30" s="124"/>
      <c r="I30" s="124"/>
      <c r="J30" s="60"/>
      <c r="K30" s="60"/>
      <c r="L30" s="60"/>
      <c r="M30" s="60"/>
      <c r="N30" s="60">
        <f t="shared" si="6"/>
        <v>0</v>
      </c>
      <c r="O30" s="60">
        <f t="shared" si="2"/>
        <v>0</v>
      </c>
    </row>
    <row r="31" spans="1:15" s="38" customFormat="1" ht="12" hidden="1" customHeight="1" outlineLevel="1" x14ac:dyDescent="0.25">
      <c r="A31" s="125"/>
      <c r="B31" s="129"/>
      <c r="C31" s="131"/>
      <c r="D31" s="131"/>
      <c r="E31" s="131"/>
      <c r="F31" s="131"/>
      <c r="G31" s="60" t="s">
        <v>131</v>
      </c>
      <c r="H31" s="125"/>
      <c r="I31" s="125"/>
      <c r="J31" s="60"/>
      <c r="K31" s="60"/>
      <c r="L31" s="60"/>
      <c r="M31" s="60"/>
      <c r="N31" s="60">
        <f t="shared" si="6"/>
        <v>0</v>
      </c>
      <c r="O31" s="60">
        <f t="shared" si="2"/>
        <v>0</v>
      </c>
    </row>
    <row r="32" spans="1:15" s="38" customFormat="1" ht="14.45" hidden="1" customHeight="1" outlineLevel="1" x14ac:dyDescent="0.25">
      <c r="A32" s="126" t="s">
        <v>136</v>
      </c>
      <c r="B32" s="127" t="s">
        <v>137</v>
      </c>
      <c r="C32" s="130">
        <f>SUM(N32:N38)</f>
        <v>0</v>
      </c>
      <c r="D32" s="130">
        <f>SUM(O32:O38)</f>
        <v>0</v>
      </c>
      <c r="E32" s="130">
        <f t="shared" ref="E32" si="7">D32/8</f>
        <v>0</v>
      </c>
      <c r="F32" s="130"/>
      <c r="G32" s="60" t="s">
        <v>125</v>
      </c>
      <c r="H32" s="123"/>
      <c r="I32" s="123"/>
      <c r="J32" s="60"/>
      <c r="K32" s="60"/>
      <c r="L32" s="60"/>
      <c r="M32" s="60"/>
      <c r="N32" s="60">
        <f>M32*J32*K32*L32</f>
        <v>0</v>
      </c>
      <c r="O32" s="60">
        <f t="shared" si="2"/>
        <v>0</v>
      </c>
    </row>
    <row r="33" spans="1:15" s="38" customFormat="1" ht="11.45" hidden="1" customHeight="1" outlineLevel="1" x14ac:dyDescent="0.25">
      <c r="A33" s="124"/>
      <c r="B33" s="128"/>
      <c r="C33" s="115"/>
      <c r="D33" s="115"/>
      <c r="E33" s="115"/>
      <c r="F33" s="115"/>
      <c r="G33" s="60" t="s">
        <v>126</v>
      </c>
      <c r="H33" s="124"/>
      <c r="I33" s="124"/>
      <c r="J33" s="60"/>
      <c r="K33" s="60"/>
      <c r="L33" s="60"/>
      <c r="M33" s="60"/>
      <c r="N33" s="60">
        <f t="shared" ref="N33:N38" si="8">M33*J33*K33*L33</f>
        <v>0</v>
      </c>
      <c r="O33" s="60">
        <f t="shared" si="2"/>
        <v>0</v>
      </c>
    </row>
    <row r="34" spans="1:15" s="38" customFormat="1" ht="10.7" hidden="1" customHeight="1" outlineLevel="1" x14ac:dyDescent="0.25">
      <c r="A34" s="124"/>
      <c r="B34" s="128"/>
      <c r="C34" s="115"/>
      <c r="D34" s="115"/>
      <c r="E34" s="115"/>
      <c r="F34" s="115"/>
      <c r="G34" s="60" t="s">
        <v>127</v>
      </c>
      <c r="H34" s="124"/>
      <c r="I34" s="124"/>
      <c r="J34" s="60"/>
      <c r="K34" s="60"/>
      <c r="L34" s="60"/>
      <c r="M34" s="60"/>
      <c r="N34" s="60">
        <f t="shared" si="8"/>
        <v>0</v>
      </c>
      <c r="O34" s="60">
        <f t="shared" si="2"/>
        <v>0</v>
      </c>
    </row>
    <row r="35" spans="1:15" s="38" customFormat="1" ht="10.7" hidden="1" customHeight="1" outlineLevel="1" x14ac:dyDescent="0.25">
      <c r="A35" s="124"/>
      <c r="B35" s="128"/>
      <c r="C35" s="115"/>
      <c r="D35" s="115"/>
      <c r="E35" s="115"/>
      <c r="F35" s="115"/>
      <c r="G35" s="60" t="s">
        <v>128</v>
      </c>
      <c r="H35" s="124"/>
      <c r="I35" s="124"/>
      <c r="J35" s="60"/>
      <c r="K35" s="60"/>
      <c r="L35" s="60"/>
      <c r="M35" s="60"/>
      <c r="N35" s="60">
        <f t="shared" si="8"/>
        <v>0</v>
      </c>
      <c r="O35" s="60">
        <f t="shared" si="2"/>
        <v>0</v>
      </c>
    </row>
    <row r="36" spans="1:15" s="38" customFormat="1" ht="10.7" hidden="1" customHeight="1" outlineLevel="1" x14ac:dyDescent="0.25">
      <c r="A36" s="124"/>
      <c r="B36" s="128"/>
      <c r="C36" s="115"/>
      <c r="D36" s="115"/>
      <c r="E36" s="115"/>
      <c r="F36" s="115"/>
      <c r="G36" s="60" t="s">
        <v>129</v>
      </c>
      <c r="H36" s="124"/>
      <c r="I36" s="124"/>
      <c r="J36" s="60"/>
      <c r="K36" s="60"/>
      <c r="L36" s="60"/>
      <c r="M36" s="60"/>
      <c r="N36" s="60">
        <f t="shared" si="8"/>
        <v>0</v>
      </c>
      <c r="O36" s="60">
        <f t="shared" si="2"/>
        <v>0</v>
      </c>
    </row>
    <row r="37" spans="1:15" s="38" customFormat="1" ht="10.7" hidden="1" customHeight="1" outlineLevel="1" x14ac:dyDescent="0.25">
      <c r="A37" s="124"/>
      <c r="B37" s="128"/>
      <c r="C37" s="115"/>
      <c r="D37" s="115"/>
      <c r="E37" s="115"/>
      <c r="F37" s="115"/>
      <c r="G37" s="60" t="s">
        <v>130</v>
      </c>
      <c r="H37" s="124"/>
      <c r="I37" s="124"/>
      <c r="J37" s="60"/>
      <c r="K37" s="60"/>
      <c r="L37" s="60"/>
      <c r="M37" s="60"/>
      <c r="N37" s="60">
        <f t="shared" si="8"/>
        <v>0</v>
      </c>
      <c r="O37" s="60">
        <f t="shared" si="2"/>
        <v>0</v>
      </c>
    </row>
    <row r="38" spans="1:15" s="38" customFormat="1" ht="12" hidden="1" customHeight="1" outlineLevel="1" x14ac:dyDescent="0.25">
      <c r="A38" s="125"/>
      <c r="B38" s="129"/>
      <c r="C38" s="131"/>
      <c r="D38" s="131"/>
      <c r="E38" s="131"/>
      <c r="F38" s="131"/>
      <c r="G38" s="60" t="s">
        <v>131</v>
      </c>
      <c r="H38" s="125"/>
      <c r="I38" s="125"/>
      <c r="J38" s="60"/>
      <c r="K38" s="60"/>
      <c r="L38" s="60"/>
      <c r="M38" s="60"/>
      <c r="N38" s="60">
        <f t="shared" si="8"/>
        <v>0</v>
      </c>
      <c r="O38" s="60">
        <f t="shared" si="2"/>
        <v>0</v>
      </c>
    </row>
    <row r="39" spans="1:15" s="38" customFormat="1" ht="14.45" hidden="1" customHeight="1" outlineLevel="1" x14ac:dyDescent="0.25">
      <c r="A39" s="126" t="s">
        <v>138</v>
      </c>
      <c r="B39" s="127" t="s">
        <v>139</v>
      </c>
      <c r="C39" s="130">
        <f>SUM(N39:N45)</f>
        <v>0</v>
      </c>
      <c r="D39" s="130">
        <f>SUM(O39:O45)</f>
        <v>0</v>
      </c>
      <c r="E39" s="130">
        <f t="shared" ref="E39" si="9">D39/8</f>
        <v>0</v>
      </c>
      <c r="F39" s="130"/>
      <c r="G39" s="60" t="s">
        <v>125</v>
      </c>
      <c r="H39" s="123"/>
      <c r="I39" s="123"/>
      <c r="J39" s="60"/>
      <c r="K39" s="60"/>
      <c r="L39" s="60"/>
      <c r="M39" s="60"/>
      <c r="N39" s="60">
        <f>M39*J39*K39*L39</f>
        <v>0</v>
      </c>
      <c r="O39" s="60">
        <f t="shared" si="2"/>
        <v>0</v>
      </c>
    </row>
    <row r="40" spans="1:15" s="38" customFormat="1" ht="11.45" hidden="1" customHeight="1" outlineLevel="1" x14ac:dyDescent="0.25">
      <c r="A40" s="124"/>
      <c r="B40" s="128"/>
      <c r="C40" s="115"/>
      <c r="D40" s="115"/>
      <c r="E40" s="115"/>
      <c r="F40" s="115"/>
      <c r="G40" s="60" t="s">
        <v>126</v>
      </c>
      <c r="H40" s="124"/>
      <c r="I40" s="124"/>
      <c r="J40" s="60"/>
      <c r="K40" s="60"/>
      <c r="L40" s="60"/>
      <c r="M40" s="60"/>
      <c r="N40" s="60">
        <f t="shared" ref="N40:N45" si="10">M40*J40*K40*L40</f>
        <v>0</v>
      </c>
      <c r="O40" s="60">
        <f t="shared" si="2"/>
        <v>0</v>
      </c>
    </row>
    <row r="41" spans="1:15" s="38" customFormat="1" ht="10.7" hidden="1" customHeight="1" outlineLevel="1" x14ac:dyDescent="0.25">
      <c r="A41" s="124"/>
      <c r="B41" s="128"/>
      <c r="C41" s="115"/>
      <c r="D41" s="115"/>
      <c r="E41" s="115"/>
      <c r="F41" s="115"/>
      <c r="G41" s="60" t="s">
        <v>127</v>
      </c>
      <c r="H41" s="124"/>
      <c r="I41" s="124"/>
      <c r="J41" s="60"/>
      <c r="K41" s="60"/>
      <c r="L41" s="60"/>
      <c r="M41" s="60"/>
      <c r="N41" s="60">
        <f t="shared" si="10"/>
        <v>0</v>
      </c>
      <c r="O41" s="60">
        <f t="shared" si="2"/>
        <v>0</v>
      </c>
    </row>
    <row r="42" spans="1:15" s="38" customFormat="1" ht="10.7" hidden="1" customHeight="1" outlineLevel="1" x14ac:dyDescent="0.25">
      <c r="A42" s="124"/>
      <c r="B42" s="128"/>
      <c r="C42" s="115"/>
      <c r="D42" s="115"/>
      <c r="E42" s="115"/>
      <c r="F42" s="115"/>
      <c r="G42" s="60" t="s">
        <v>128</v>
      </c>
      <c r="H42" s="124"/>
      <c r="I42" s="124"/>
      <c r="J42" s="60"/>
      <c r="K42" s="60"/>
      <c r="L42" s="60"/>
      <c r="M42" s="60"/>
      <c r="N42" s="60">
        <f t="shared" si="10"/>
        <v>0</v>
      </c>
      <c r="O42" s="60">
        <f t="shared" si="2"/>
        <v>0</v>
      </c>
    </row>
    <row r="43" spans="1:15" s="38" customFormat="1" ht="10.7" hidden="1" customHeight="1" outlineLevel="1" x14ac:dyDescent="0.25">
      <c r="A43" s="124"/>
      <c r="B43" s="128"/>
      <c r="C43" s="115"/>
      <c r="D43" s="115"/>
      <c r="E43" s="115"/>
      <c r="F43" s="115"/>
      <c r="G43" s="60" t="s">
        <v>129</v>
      </c>
      <c r="H43" s="124"/>
      <c r="I43" s="124"/>
      <c r="J43" s="60"/>
      <c r="K43" s="60"/>
      <c r="L43" s="60"/>
      <c r="M43" s="60"/>
      <c r="N43" s="60">
        <f t="shared" si="10"/>
        <v>0</v>
      </c>
      <c r="O43" s="60">
        <f t="shared" si="2"/>
        <v>0</v>
      </c>
    </row>
    <row r="44" spans="1:15" s="38" customFormat="1" ht="10.7" hidden="1" customHeight="1" outlineLevel="1" x14ac:dyDescent="0.25">
      <c r="A44" s="124"/>
      <c r="B44" s="128"/>
      <c r="C44" s="115"/>
      <c r="D44" s="115"/>
      <c r="E44" s="115"/>
      <c r="F44" s="115"/>
      <c r="G44" s="60" t="s">
        <v>130</v>
      </c>
      <c r="H44" s="124"/>
      <c r="I44" s="124"/>
      <c r="J44" s="60"/>
      <c r="K44" s="60"/>
      <c r="L44" s="60"/>
      <c r="M44" s="60"/>
      <c r="N44" s="60">
        <f t="shared" si="10"/>
        <v>0</v>
      </c>
      <c r="O44" s="60">
        <f t="shared" si="2"/>
        <v>0</v>
      </c>
    </row>
    <row r="45" spans="1:15" s="38" customFormat="1" ht="12" hidden="1" customHeight="1" outlineLevel="1" x14ac:dyDescent="0.25">
      <c r="A45" s="125"/>
      <c r="B45" s="129"/>
      <c r="C45" s="131"/>
      <c r="D45" s="131"/>
      <c r="E45" s="131"/>
      <c r="F45" s="131"/>
      <c r="G45" s="60" t="s">
        <v>131</v>
      </c>
      <c r="H45" s="125"/>
      <c r="I45" s="125"/>
      <c r="J45" s="60"/>
      <c r="K45" s="60"/>
      <c r="L45" s="60"/>
      <c r="M45" s="60"/>
      <c r="N45" s="60">
        <f t="shared" si="10"/>
        <v>0</v>
      </c>
      <c r="O45" s="60">
        <f t="shared" si="2"/>
        <v>0</v>
      </c>
    </row>
    <row r="46" spans="1:15" s="38" customFormat="1" ht="14.45" hidden="1" customHeight="1" outlineLevel="1" x14ac:dyDescent="0.25">
      <c r="A46" s="126" t="s">
        <v>140</v>
      </c>
      <c r="B46" s="127" t="s">
        <v>141</v>
      </c>
      <c r="C46" s="130">
        <f>SUM(N46:N52)</f>
        <v>0</v>
      </c>
      <c r="D46" s="130">
        <f>SUM(O46:O52)</f>
        <v>0</v>
      </c>
      <c r="E46" s="130">
        <f t="shared" ref="E46" si="11">D46/8</f>
        <v>0</v>
      </c>
      <c r="F46" s="130"/>
      <c r="G46" s="60" t="s">
        <v>125</v>
      </c>
      <c r="H46" s="123"/>
      <c r="I46" s="123"/>
      <c r="J46" s="60"/>
      <c r="K46" s="60"/>
      <c r="L46" s="60"/>
      <c r="M46" s="60"/>
      <c r="N46" s="60">
        <f>M46*J46*K46*L46</f>
        <v>0</v>
      </c>
      <c r="O46" s="60">
        <f t="shared" si="2"/>
        <v>0</v>
      </c>
    </row>
    <row r="47" spans="1:15" s="38" customFormat="1" ht="11.45" hidden="1" customHeight="1" outlineLevel="1" x14ac:dyDescent="0.25">
      <c r="A47" s="124"/>
      <c r="B47" s="128"/>
      <c r="C47" s="115"/>
      <c r="D47" s="115"/>
      <c r="E47" s="115"/>
      <c r="F47" s="115"/>
      <c r="G47" s="60" t="s">
        <v>126</v>
      </c>
      <c r="H47" s="124"/>
      <c r="I47" s="124"/>
      <c r="J47" s="60"/>
      <c r="K47" s="60"/>
      <c r="L47" s="60"/>
      <c r="M47" s="60"/>
      <c r="N47" s="60">
        <f t="shared" ref="N47:N52" si="12">M47*J47*K47*L47</f>
        <v>0</v>
      </c>
      <c r="O47" s="60">
        <f t="shared" si="2"/>
        <v>0</v>
      </c>
    </row>
    <row r="48" spans="1:15" s="38" customFormat="1" ht="10.7" hidden="1" customHeight="1" outlineLevel="1" x14ac:dyDescent="0.25">
      <c r="A48" s="124"/>
      <c r="B48" s="128"/>
      <c r="C48" s="115"/>
      <c r="D48" s="115"/>
      <c r="E48" s="115"/>
      <c r="F48" s="115"/>
      <c r="G48" s="60" t="s">
        <v>127</v>
      </c>
      <c r="H48" s="124"/>
      <c r="I48" s="124"/>
      <c r="J48" s="60"/>
      <c r="K48" s="60"/>
      <c r="L48" s="60"/>
      <c r="M48" s="60"/>
      <c r="N48" s="60">
        <f t="shared" si="12"/>
        <v>0</v>
      </c>
      <c r="O48" s="60">
        <f t="shared" si="2"/>
        <v>0</v>
      </c>
    </row>
    <row r="49" spans="1:15" s="38" customFormat="1" ht="10.7" hidden="1" customHeight="1" outlineLevel="1" x14ac:dyDescent="0.25">
      <c r="A49" s="124"/>
      <c r="B49" s="128"/>
      <c r="C49" s="115"/>
      <c r="D49" s="115"/>
      <c r="E49" s="115"/>
      <c r="F49" s="115"/>
      <c r="G49" s="60" t="s">
        <v>128</v>
      </c>
      <c r="H49" s="124"/>
      <c r="I49" s="124"/>
      <c r="J49" s="60"/>
      <c r="K49" s="60"/>
      <c r="L49" s="60"/>
      <c r="M49" s="60"/>
      <c r="N49" s="60">
        <f t="shared" si="12"/>
        <v>0</v>
      </c>
      <c r="O49" s="60">
        <f t="shared" si="2"/>
        <v>0</v>
      </c>
    </row>
    <row r="50" spans="1:15" s="38" customFormat="1" ht="10.7" hidden="1" customHeight="1" outlineLevel="1" x14ac:dyDescent="0.25">
      <c r="A50" s="124"/>
      <c r="B50" s="128"/>
      <c r="C50" s="115"/>
      <c r="D50" s="115"/>
      <c r="E50" s="115"/>
      <c r="F50" s="115"/>
      <c r="G50" s="60" t="s">
        <v>129</v>
      </c>
      <c r="H50" s="124"/>
      <c r="I50" s="124"/>
      <c r="J50" s="60"/>
      <c r="K50" s="60"/>
      <c r="L50" s="60"/>
      <c r="M50" s="60"/>
      <c r="N50" s="60">
        <f t="shared" si="12"/>
        <v>0</v>
      </c>
      <c r="O50" s="60">
        <f t="shared" si="2"/>
        <v>0</v>
      </c>
    </row>
    <row r="51" spans="1:15" s="38" customFormat="1" ht="10.7" hidden="1" customHeight="1" outlineLevel="1" x14ac:dyDescent="0.25">
      <c r="A51" s="124"/>
      <c r="B51" s="128"/>
      <c r="C51" s="115"/>
      <c r="D51" s="115"/>
      <c r="E51" s="115"/>
      <c r="F51" s="115"/>
      <c r="G51" s="60" t="s">
        <v>130</v>
      </c>
      <c r="H51" s="124"/>
      <c r="I51" s="124"/>
      <c r="J51" s="60"/>
      <c r="K51" s="60"/>
      <c r="L51" s="60"/>
      <c r="M51" s="60"/>
      <c r="N51" s="60">
        <f t="shared" si="12"/>
        <v>0</v>
      </c>
      <c r="O51" s="60">
        <f t="shared" si="2"/>
        <v>0</v>
      </c>
    </row>
    <row r="52" spans="1:15" s="38" customFormat="1" ht="12" hidden="1" customHeight="1" outlineLevel="1" thickBot="1" x14ac:dyDescent="0.3">
      <c r="A52" s="125"/>
      <c r="B52" s="129"/>
      <c r="C52" s="131"/>
      <c r="D52" s="131"/>
      <c r="E52" s="131"/>
      <c r="F52" s="131"/>
      <c r="G52" s="60" t="s">
        <v>131</v>
      </c>
      <c r="H52" s="134"/>
      <c r="I52" s="134"/>
      <c r="J52" s="60"/>
      <c r="K52" s="60"/>
      <c r="L52" s="60"/>
      <c r="M52" s="60"/>
      <c r="N52" s="60">
        <f t="shared" si="12"/>
        <v>0</v>
      </c>
      <c r="O52" s="60">
        <f t="shared" si="2"/>
        <v>0</v>
      </c>
    </row>
    <row r="53" spans="1:15" s="38" customFormat="1" ht="14.45" hidden="1" customHeight="1" outlineLevel="1" x14ac:dyDescent="0.25">
      <c r="A53" s="126" t="s">
        <v>140</v>
      </c>
      <c r="B53" s="127" t="s">
        <v>142</v>
      </c>
      <c r="C53" s="130">
        <f>SUM(N53:N59)</f>
        <v>0</v>
      </c>
      <c r="D53" s="130">
        <f>SUM(O53:O59)</f>
        <v>0</v>
      </c>
      <c r="E53" s="130">
        <f t="shared" ref="E53" si="13">D53/8</f>
        <v>0</v>
      </c>
      <c r="F53" s="130"/>
      <c r="G53" s="60" t="s">
        <v>125</v>
      </c>
      <c r="H53" s="123"/>
      <c r="I53" s="123"/>
      <c r="J53" s="60"/>
      <c r="K53" s="60"/>
      <c r="L53" s="60"/>
      <c r="M53" s="60"/>
      <c r="N53" s="60">
        <f>M53*J53*K53*L53</f>
        <v>0</v>
      </c>
      <c r="O53" s="60">
        <f t="shared" si="2"/>
        <v>0</v>
      </c>
    </row>
    <row r="54" spans="1:15" s="38" customFormat="1" ht="11.45" hidden="1" customHeight="1" outlineLevel="1" x14ac:dyDescent="0.25">
      <c r="A54" s="124"/>
      <c r="B54" s="128"/>
      <c r="C54" s="115"/>
      <c r="D54" s="115"/>
      <c r="E54" s="115"/>
      <c r="F54" s="115"/>
      <c r="G54" s="60" t="s">
        <v>126</v>
      </c>
      <c r="H54" s="124"/>
      <c r="I54" s="124"/>
      <c r="J54" s="60"/>
      <c r="K54" s="60"/>
      <c r="L54" s="60"/>
      <c r="M54" s="60"/>
      <c r="N54" s="60">
        <f t="shared" ref="N54:N59" si="14">M54*J54*K54*L54</f>
        <v>0</v>
      </c>
      <c r="O54" s="60">
        <f t="shared" si="2"/>
        <v>0</v>
      </c>
    </row>
    <row r="55" spans="1:15" s="38" customFormat="1" ht="10.7" hidden="1" customHeight="1" outlineLevel="1" x14ac:dyDescent="0.25">
      <c r="A55" s="124"/>
      <c r="B55" s="128"/>
      <c r="C55" s="115"/>
      <c r="D55" s="115"/>
      <c r="E55" s="115"/>
      <c r="F55" s="115"/>
      <c r="G55" s="60" t="s">
        <v>127</v>
      </c>
      <c r="H55" s="124"/>
      <c r="I55" s="124"/>
      <c r="J55" s="60"/>
      <c r="K55" s="60"/>
      <c r="L55" s="60"/>
      <c r="M55" s="60"/>
      <c r="N55" s="60">
        <f t="shared" si="14"/>
        <v>0</v>
      </c>
      <c r="O55" s="60">
        <f t="shared" si="2"/>
        <v>0</v>
      </c>
    </row>
    <row r="56" spans="1:15" s="38" customFormat="1" ht="10.7" hidden="1" customHeight="1" outlineLevel="1" x14ac:dyDescent="0.25">
      <c r="A56" s="124"/>
      <c r="B56" s="128"/>
      <c r="C56" s="115"/>
      <c r="D56" s="115"/>
      <c r="E56" s="115"/>
      <c r="F56" s="115"/>
      <c r="G56" s="60" t="s">
        <v>128</v>
      </c>
      <c r="H56" s="124"/>
      <c r="I56" s="124"/>
      <c r="J56" s="60"/>
      <c r="K56" s="60"/>
      <c r="L56" s="60"/>
      <c r="M56" s="60"/>
      <c r="N56" s="60">
        <f t="shared" si="14"/>
        <v>0</v>
      </c>
      <c r="O56" s="60">
        <f t="shared" si="2"/>
        <v>0</v>
      </c>
    </row>
    <row r="57" spans="1:15" s="38" customFormat="1" ht="10.7" hidden="1" customHeight="1" outlineLevel="1" x14ac:dyDescent="0.25">
      <c r="A57" s="124"/>
      <c r="B57" s="128"/>
      <c r="C57" s="115"/>
      <c r="D57" s="115"/>
      <c r="E57" s="115"/>
      <c r="F57" s="115"/>
      <c r="G57" s="60" t="s">
        <v>129</v>
      </c>
      <c r="H57" s="124"/>
      <c r="I57" s="124"/>
      <c r="J57" s="60"/>
      <c r="K57" s="60"/>
      <c r="L57" s="60"/>
      <c r="M57" s="60"/>
      <c r="N57" s="60">
        <f t="shared" si="14"/>
        <v>0</v>
      </c>
      <c r="O57" s="60">
        <f t="shared" si="2"/>
        <v>0</v>
      </c>
    </row>
    <row r="58" spans="1:15" s="38" customFormat="1" ht="10.7" hidden="1" customHeight="1" outlineLevel="1" x14ac:dyDescent="0.25">
      <c r="A58" s="124"/>
      <c r="B58" s="128"/>
      <c r="C58" s="115"/>
      <c r="D58" s="115"/>
      <c r="E58" s="115"/>
      <c r="F58" s="115"/>
      <c r="G58" s="60" t="s">
        <v>130</v>
      </c>
      <c r="H58" s="124"/>
      <c r="I58" s="124"/>
      <c r="J58" s="60"/>
      <c r="K58" s="60"/>
      <c r="L58" s="60"/>
      <c r="M58" s="60"/>
      <c r="N58" s="60">
        <f t="shared" si="14"/>
        <v>0</v>
      </c>
      <c r="O58" s="60">
        <f t="shared" si="2"/>
        <v>0</v>
      </c>
    </row>
    <row r="59" spans="1:15" s="38" customFormat="1" ht="12" hidden="1" customHeight="1" outlineLevel="1" thickBot="1" x14ac:dyDescent="0.3">
      <c r="A59" s="125"/>
      <c r="B59" s="129"/>
      <c r="C59" s="131"/>
      <c r="D59" s="131"/>
      <c r="E59" s="131"/>
      <c r="F59" s="131"/>
      <c r="G59" s="60" t="s">
        <v>131</v>
      </c>
      <c r="H59" s="134"/>
      <c r="I59" s="134"/>
      <c r="J59" s="60"/>
      <c r="K59" s="60"/>
      <c r="L59" s="60"/>
      <c r="M59" s="60"/>
      <c r="N59" s="60">
        <f t="shared" si="14"/>
        <v>0</v>
      </c>
      <c r="O59" s="60">
        <f t="shared" si="2"/>
        <v>0</v>
      </c>
    </row>
    <row r="60" spans="1:15" s="38" customFormat="1" ht="14.45" hidden="1" customHeight="1" outlineLevel="1" x14ac:dyDescent="0.25">
      <c r="A60" s="126" t="s">
        <v>143</v>
      </c>
      <c r="B60" s="127" t="s">
        <v>144</v>
      </c>
      <c r="C60" s="130">
        <f>SUM(N60:N66)</f>
        <v>0</v>
      </c>
      <c r="D60" s="130">
        <f>SUM(O60:O66)</f>
        <v>0</v>
      </c>
      <c r="E60" s="130">
        <f t="shared" ref="E60" si="15">D60/8</f>
        <v>0</v>
      </c>
      <c r="F60" s="130"/>
      <c r="G60" s="60" t="s">
        <v>125</v>
      </c>
      <c r="H60" s="123"/>
      <c r="I60" s="123"/>
      <c r="J60" s="60"/>
      <c r="K60" s="60"/>
      <c r="L60" s="60"/>
      <c r="M60" s="60"/>
      <c r="N60" s="60">
        <f>M60*J60*K60*L60</f>
        <v>0</v>
      </c>
      <c r="O60" s="60">
        <f t="shared" si="2"/>
        <v>0</v>
      </c>
    </row>
    <row r="61" spans="1:15" s="38" customFormat="1" ht="11.45" hidden="1" customHeight="1" outlineLevel="1" x14ac:dyDescent="0.25">
      <c r="A61" s="124"/>
      <c r="B61" s="128"/>
      <c r="C61" s="115"/>
      <c r="D61" s="115"/>
      <c r="E61" s="115"/>
      <c r="F61" s="115"/>
      <c r="G61" s="60" t="s">
        <v>126</v>
      </c>
      <c r="H61" s="124"/>
      <c r="I61" s="124"/>
      <c r="J61" s="60"/>
      <c r="K61" s="60"/>
      <c r="L61" s="60"/>
      <c r="M61" s="60"/>
      <c r="N61" s="60">
        <f t="shared" ref="N61:N66" si="16">M61*J61*K61*L61</f>
        <v>0</v>
      </c>
      <c r="O61" s="60">
        <f t="shared" si="2"/>
        <v>0</v>
      </c>
    </row>
    <row r="62" spans="1:15" s="38" customFormat="1" ht="10.7" hidden="1" customHeight="1" outlineLevel="1" x14ac:dyDescent="0.25">
      <c r="A62" s="124"/>
      <c r="B62" s="128"/>
      <c r="C62" s="115"/>
      <c r="D62" s="115"/>
      <c r="E62" s="115"/>
      <c r="F62" s="115"/>
      <c r="G62" s="60" t="s">
        <v>127</v>
      </c>
      <c r="H62" s="124"/>
      <c r="I62" s="124"/>
      <c r="J62" s="60"/>
      <c r="K62" s="60"/>
      <c r="L62" s="60"/>
      <c r="M62" s="60"/>
      <c r="N62" s="60">
        <f t="shared" si="16"/>
        <v>0</v>
      </c>
      <c r="O62" s="60">
        <f t="shared" si="2"/>
        <v>0</v>
      </c>
    </row>
    <row r="63" spans="1:15" s="38" customFormat="1" ht="10.7" hidden="1" customHeight="1" outlineLevel="1" x14ac:dyDescent="0.25">
      <c r="A63" s="124"/>
      <c r="B63" s="128"/>
      <c r="C63" s="115"/>
      <c r="D63" s="115"/>
      <c r="E63" s="115"/>
      <c r="F63" s="115"/>
      <c r="G63" s="60" t="s">
        <v>128</v>
      </c>
      <c r="H63" s="124"/>
      <c r="I63" s="124"/>
      <c r="J63" s="60"/>
      <c r="K63" s="60"/>
      <c r="L63" s="60"/>
      <c r="M63" s="60"/>
      <c r="N63" s="60">
        <f t="shared" si="16"/>
        <v>0</v>
      </c>
      <c r="O63" s="60">
        <f t="shared" si="2"/>
        <v>0</v>
      </c>
    </row>
    <row r="64" spans="1:15" s="38" customFormat="1" ht="10.7" hidden="1" customHeight="1" outlineLevel="1" x14ac:dyDescent="0.25">
      <c r="A64" s="124"/>
      <c r="B64" s="128"/>
      <c r="C64" s="115"/>
      <c r="D64" s="115"/>
      <c r="E64" s="115"/>
      <c r="F64" s="115"/>
      <c r="G64" s="60" t="s">
        <v>129</v>
      </c>
      <c r="H64" s="124"/>
      <c r="I64" s="124"/>
      <c r="J64" s="60"/>
      <c r="K64" s="60"/>
      <c r="L64" s="60"/>
      <c r="M64" s="60"/>
      <c r="N64" s="60">
        <f t="shared" si="16"/>
        <v>0</v>
      </c>
      <c r="O64" s="60">
        <f t="shared" si="2"/>
        <v>0</v>
      </c>
    </row>
    <row r="65" spans="1:15" s="38" customFormat="1" ht="10.7" hidden="1" customHeight="1" outlineLevel="1" x14ac:dyDescent="0.25">
      <c r="A65" s="124"/>
      <c r="B65" s="128"/>
      <c r="C65" s="115"/>
      <c r="D65" s="115"/>
      <c r="E65" s="115"/>
      <c r="F65" s="115"/>
      <c r="G65" s="60" t="s">
        <v>130</v>
      </c>
      <c r="H65" s="124"/>
      <c r="I65" s="124"/>
      <c r="J65" s="60"/>
      <c r="K65" s="60"/>
      <c r="L65" s="60"/>
      <c r="M65" s="60"/>
      <c r="N65" s="60">
        <f t="shared" si="16"/>
        <v>0</v>
      </c>
      <c r="O65" s="60">
        <f t="shared" si="2"/>
        <v>0</v>
      </c>
    </row>
    <row r="66" spans="1:15" s="38" customFormat="1" ht="12" hidden="1" customHeight="1" outlineLevel="1" thickBot="1" x14ac:dyDescent="0.3">
      <c r="A66" s="125"/>
      <c r="B66" s="129"/>
      <c r="C66" s="131"/>
      <c r="D66" s="131"/>
      <c r="E66" s="131"/>
      <c r="F66" s="131"/>
      <c r="G66" s="60" t="s">
        <v>131</v>
      </c>
      <c r="H66" s="134"/>
      <c r="I66" s="134"/>
      <c r="J66" s="60"/>
      <c r="K66" s="60"/>
      <c r="L66" s="60"/>
      <c r="M66" s="60"/>
      <c r="N66" s="60">
        <f t="shared" si="16"/>
        <v>0</v>
      </c>
      <c r="O66" s="60">
        <f t="shared" si="2"/>
        <v>0</v>
      </c>
    </row>
    <row r="67" spans="1:15" s="39" customFormat="1" ht="16.5" collapsed="1" thickBot="1" x14ac:dyDescent="0.3">
      <c r="A67" s="40" t="s">
        <v>10</v>
      </c>
      <c r="B67" s="41" t="s">
        <v>145</v>
      </c>
      <c r="C67" s="42">
        <f>SUM(C68:C130)</f>
        <v>0</v>
      </c>
      <c r="D67" s="42">
        <f>SUM(D68:D130)</f>
        <v>0</v>
      </c>
      <c r="E67" s="42">
        <f>SUM(E68:E130)</f>
        <v>0</v>
      </c>
      <c r="F67" s="57"/>
      <c r="G67" s="57"/>
      <c r="H67" s="57"/>
      <c r="I67" s="57"/>
      <c r="J67" s="57"/>
      <c r="K67" s="57"/>
      <c r="L67" s="57"/>
      <c r="M67" s="57"/>
      <c r="N67" s="57"/>
      <c r="O67" s="43"/>
    </row>
    <row r="68" spans="1:15" s="38" customFormat="1" ht="14.45" hidden="1" customHeight="1" outlineLevel="1" x14ac:dyDescent="0.25">
      <c r="A68" s="126" t="s">
        <v>146</v>
      </c>
      <c r="B68" s="127" t="s">
        <v>147</v>
      </c>
      <c r="C68" s="130">
        <f>SUM(N68:N74)</f>
        <v>0</v>
      </c>
      <c r="D68" s="130">
        <f>SUM(O68:O74)</f>
        <v>0</v>
      </c>
      <c r="E68" s="130">
        <f t="shared" ref="E68:E124" si="17">D68/8</f>
        <v>0</v>
      </c>
      <c r="F68" s="130"/>
      <c r="G68" s="60" t="s">
        <v>125</v>
      </c>
      <c r="H68" s="123"/>
      <c r="I68" s="123"/>
      <c r="J68" s="60"/>
      <c r="K68" s="60"/>
      <c r="L68" s="60"/>
      <c r="M68" s="60"/>
      <c r="N68" s="60">
        <f>M68*J68*K68*L68</f>
        <v>0</v>
      </c>
      <c r="O68" s="60">
        <f>J68*K68*L68</f>
        <v>0</v>
      </c>
    </row>
    <row r="69" spans="1:15" s="38" customFormat="1" ht="11.45" hidden="1" customHeight="1" outlineLevel="1" x14ac:dyDescent="0.25">
      <c r="A69" s="135"/>
      <c r="B69" s="137"/>
      <c r="C69" s="115"/>
      <c r="D69" s="115"/>
      <c r="E69" s="115"/>
      <c r="F69" s="115"/>
      <c r="G69" s="60" t="s">
        <v>126</v>
      </c>
      <c r="H69" s="124"/>
      <c r="I69" s="124"/>
      <c r="J69" s="60"/>
      <c r="K69" s="60"/>
      <c r="L69" s="60"/>
      <c r="M69" s="60"/>
      <c r="N69" s="60">
        <f t="shared" ref="N69:N74" si="18">M69*J69*K69*L69</f>
        <v>0</v>
      </c>
      <c r="O69" s="60">
        <f t="shared" ref="O69:O130" si="19">J69*K69*L69</f>
        <v>0</v>
      </c>
    </row>
    <row r="70" spans="1:15" s="38" customFormat="1" ht="10.7" hidden="1" customHeight="1" outlineLevel="1" x14ac:dyDescent="0.25">
      <c r="A70" s="135"/>
      <c r="B70" s="137"/>
      <c r="C70" s="115"/>
      <c r="D70" s="115"/>
      <c r="E70" s="115"/>
      <c r="F70" s="115"/>
      <c r="G70" s="60" t="s">
        <v>127</v>
      </c>
      <c r="H70" s="124"/>
      <c r="I70" s="124"/>
      <c r="J70" s="60"/>
      <c r="K70" s="60"/>
      <c r="L70" s="60"/>
      <c r="M70" s="60"/>
      <c r="N70" s="60">
        <f t="shared" si="18"/>
        <v>0</v>
      </c>
      <c r="O70" s="60">
        <f t="shared" si="19"/>
        <v>0</v>
      </c>
    </row>
    <row r="71" spans="1:15" s="38" customFormat="1" ht="10.7" hidden="1" customHeight="1" outlineLevel="1" x14ac:dyDescent="0.25">
      <c r="A71" s="135"/>
      <c r="B71" s="137"/>
      <c r="C71" s="115"/>
      <c r="D71" s="115"/>
      <c r="E71" s="115"/>
      <c r="F71" s="115"/>
      <c r="G71" s="60" t="s">
        <v>128</v>
      </c>
      <c r="H71" s="124"/>
      <c r="I71" s="124"/>
      <c r="J71" s="60"/>
      <c r="K71" s="60"/>
      <c r="L71" s="60"/>
      <c r="M71" s="60"/>
      <c r="N71" s="60">
        <f t="shared" si="18"/>
        <v>0</v>
      </c>
      <c r="O71" s="60">
        <f t="shared" si="19"/>
        <v>0</v>
      </c>
    </row>
    <row r="72" spans="1:15" s="38" customFormat="1" ht="10.7" hidden="1" customHeight="1" outlineLevel="1" x14ac:dyDescent="0.25">
      <c r="A72" s="135"/>
      <c r="B72" s="137"/>
      <c r="C72" s="115"/>
      <c r="D72" s="115"/>
      <c r="E72" s="115"/>
      <c r="F72" s="115"/>
      <c r="G72" s="60" t="s">
        <v>129</v>
      </c>
      <c r="H72" s="124"/>
      <c r="I72" s="124"/>
      <c r="J72" s="60"/>
      <c r="K72" s="60"/>
      <c r="L72" s="60"/>
      <c r="M72" s="60"/>
      <c r="N72" s="60">
        <f t="shared" si="18"/>
        <v>0</v>
      </c>
      <c r="O72" s="60">
        <f t="shared" si="19"/>
        <v>0</v>
      </c>
    </row>
    <row r="73" spans="1:15" s="38" customFormat="1" ht="10.7" hidden="1" customHeight="1" outlineLevel="1" x14ac:dyDescent="0.25">
      <c r="A73" s="135"/>
      <c r="B73" s="137"/>
      <c r="C73" s="115"/>
      <c r="D73" s="115"/>
      <c r="E73" s="115"/>
      <c r="F73" s="115"/>
      <c r="G73" s="60" t="s">
        <v>130</v>
      </c>
      <c r="H73" s="124"/>
      <c r="I73" s="124"/>
      <c r="J73" s="60"/>
      <c r="K73" s="60"/>
      <c r="L73" s="60"/>
      <c r="M73" s="60"/>
      <c r="N73" s="60">
        <f t="shared" si="18"/>
        <v>0</v>
      </c>
      <c r="O73" s="60">
        <f t="shared" si="19"/>
        <v>0</v>
      </c>
    </row>
    <row r="74" spans="1:15" s="38" customFormat="1" ht="12" hidden="1" customHeight="1" outlineLevel="1" thickBot="1" x14ac:dyDescent="0.3">
      <c r="A74" s="136"/>
      <c r="B74" s="138"/>
      <c r="C74" s="131"/>
      <c r="D74" s="131"/>
      <c r="E74" s="131"/>
      <c r="F74" s="131"/>
      <c r="G74" s="60" t="s">
        <v>131</v>
      </c>
      <c r="H74" s="134"/>
      <c r="I74" s="134"/>
      <c r="J74" s="60"/>
      <c r="K74" s="60"/>
      <c r="L74" s="60"/>
      <c r="M74" s="60"/>
      <c r="N74" s="60">
        <f t="shared" si="18"/>
        <v>0</v>
      </c>
      <c r="O74" s="60">
        <f t="shared" si="19"/>
        <v>0</v>
      </c>
    </row>
    <row r="75" spans="1:15" s="38" customFormat="1" ht="14.45" hidden="1" customHeight="1" outlineLevel="1" x14ac:dyDescent="0.25">
      <c r="A75" s="126" t="s">
        <v>148</v>
      </c>
      <c r="B75" s="127" t="s">
        <v>149</v>
      </c>
      <c r="C75" s="130">
        <f>SUM(N75:N81)</f>
        <v>0</v>
      </c>
      <c r="D75" s="130">
        <f>SUM(O75:O81)</f>
        <v>0</v>
      </c>
      <c r="E75" s="130">
        <f t="shared" si="17"/>
        <v>0</v>
      </c>
      <c r="F75" s="130"/>
      <c r="G75" s="60" t="s">
        <v>125</v>
      </c>
      <c r="H75" s="123"/>
      <c r="I75" s="123"/>
      <c r="J75" s="60"/>
      <c r="K75" s="60"/>
      <c r="L75" s="60"/>
      <c r="M75" s="60"/>
      <c r="N75" s="60">
        <f>M75*J75*K75*L75</f>
        <v>0</v>
      </c>
      <c r="O75" s="60">
        <f t="shared" si="19"/>
        <v>0</v>
      </c>
    </row>
    <row r="76" spans="1:15" s="38" customFormat="1" ht="11.45" hidden="1" customHeight="1" outlineLevel="1" x14ac:dyDescent="0.25">
      <c r="A76" s="135"/>
      <c r="B76" s="137"/>
      <c r="C76" s="115"/>
      <c r="D76" s="115"/>
      <c r="E76" s="115"/>
      <c r="F76" s="115"/>
      <c r="G76" s="60" t="s">
        <v>126</v>
      </c>
      <c r="H76" s="124"/>
      <c r="I76" s="124"/>
      <c r="J76" s="60"/>
      <c r="K76" s="60"/>
      <c r="L76" s="60"/>
      <c r="M76" s="60"/>
      <c r="N76" s="60">
        <f t="shared" ref="N76:N81" si="20">M76*J76*K76*L76</f>
        <v>0</v>
      </c>
      <c r="O76" s="60">
        <f t="shared" si="19"/>
        <v>0</v>
      </c>
    </row>
    <row r="77" spans="1:15" s="38" customFormat="1" ht="10.7" hidden="1" customHeight="1" outlineLevel="1" x14ac:dyDescent="0.25">
      <c r="A77" s="135"/>
      <c r="B77" s="137"/>
      <c r="C77" s="115"/>
      <c r="D77" s="115"/>
      <c r="E77" s="115"/>
      <c r="F77" s="115"/>
      <c r="G77" s="60" t="s">
        <v>127</v>
      </c>
      <c r="H77" s="124"/>
      <c r="I77" s="124"/>
      <c r="J77" s="60"/>
      <c r="K77" s="60"/>
      <c r="L77" s="60"/>
      <c r="M77" s="60"/>
      <c r="N77" s="60">
        <f t="shared" si="20"/>
        <v>0</v>
      </c>
      <c r="O77" s="60">
        <f t="shared" si="19"/>
        <v>0</v>
      </c>
    </row>
    <row r="78" spans="1:15" s="38" customFormat="1" ht="10.7" hidden="1" customHeight="1" outlineLevel="1" x14ac:dyDescent="0.25">
      <c r="A78" s="135"/>
      <c r="B78" s="137"/>
      <c r="C78" s="115"/>
      <c r="D78" s="115"/>
      <c r="E78" s="115"/>
      <c r="F78" s="115"/>
      <c r="G78" s="60" t="s">
        <v>128</v>
      </c>
      <c r="H78" s="124"/>
      <c r="I78" s="124"/>
      <c r="J78" s="60"/>
      <c r="K78" s="60"/>
      <c r="L78" s="60"/>
      <c r="M78" s="60"/>
      <c r="N78" s="60">
        <f t="shared" si="20"/>
        <v>0</v>
      </c>
      <c r="O78" s="60">
        <f t="shared" si="19"/>
        <v>0</v>
      </c>
    </row>
    <row r="79" spans="1:15" s="38" customFormat="1" ht="10.7" hidden="1" customHeight="1" outlineLevel="1" x14ac:dyDescent="0.25">
      <c r="A79" s="135"/>
      <c r="B79" s="137"/>
      <c r="C79" s="115"/>
      <c r="D79" s="115"/>
      <c r="E79" s="115"/>
      <c r="F79" s="115"/>
      <c r="G79" s="60" t="s">
        <v>129</v>
      </c>
      <c r="H79" s="124"/>
      <c r="I79" s="124"/>
      <c r="J79" s="60"/>
      <c r="K79" s="60"/>
      <c r="L79" s="60"/>
      <c r="M79" s="60"/>
      <c r="N79" s="60">
        <f t="shared" si="20"/>
        <v>0</v>
      </c>
      <c r="O79" s="60">
        <f t="shared" si="19"/>
        <v>0</v>
      </c>
    </row>
    <row r="80" spans="1:15" s="38" customFormat="1" ht="10.7" hidden="1" customHeight="1" outlineLevel="1" x14ac:dyDescent="0.25">
      <c r="A80" s="135"/>
      <c r="B80" s="137"/>
      <c r="C80" s="115"/>
      <c r="D80" s="115"/>
      <c r="E80" s="115"/>
      <c r="F80" s="115"/>
      <c r="G80" s="60" t="s">
        <v>130</v>
      </c>
      <c r="H80" s="124"/>
      <c r="I80" s="124"/>
      <c r="J80" s="60"/>
      <c r="K80" s="60"/>
      <c r="L80" s="60"/>
      <c r="M80" s="60"/>
      <c r="N80" s="60">
        <f t="shared" si="20"/>
        <v>0</v>
      </c>
      <c r="O80" s="60">
        <f t="shared" si="19"/>
        <v>0</v>
      </c>
    </row>
    <row r="81" spans="1:15" s="38" customFormat="1" ht="12" hidden="1" customHeight="1" outlineLevel="1" thickBot="1" x14ac:dyDescent="0.3">
      <c r="A81" s="136"/>
      <c r="B81" s="138"/>
      <c r="C81" s="131"/>
      <c r="D81" s="131"/>
      <c r="E81" s="131"/>
      <c r="F81" s="131"/>
      <c r="G81" s="60" t="s">
        <v>131</v>
      </c>
      <c r="H81" s="134"/>
      <c r="I81" s="134"/>
      <c r="J81" s="60"/>
      <c r="K81" s="60"/>
      <c r="L81" s="60"/>
      <c r="M81" s="60"/>
      <c r="N81" s="60">
        <f t="shared" si="20"/>
        <v>0</v>
      </c>
      <c r="O81" s="60">
        <f t="shared" si="19"/>
        <v>0</v>
      </c>
    </row>
    <row r="82" spans="1:15" s="38" customFormat="1" ht="14.45" hidden="1" customHeight="1" outlineLevel="1" x14ac:dyDescent="0.25">
      <c r="A82" s="126" t="s">
        <v>150</v>
      </c>
      <c r="B82" s="127" t="s">
        <v>151</v>
      </c>
      <c r="C82" s="130">
        <f>SUM(N82:N88)</f>
        <v>0</v>
      </c>
      <c r="D82" s="130">
        <f>SUM(O82:O88)</f>
        <v>0</v>
      </c>
      <c r="E82" s="130">
        <f t="shared" si="17"/>
        <v>0</v>
      </c>
      <c r="F82" s="130"/>
      <c r="G82" s="60" t="s">
        <v>125</v>
      </c>
      <c r="H82" s="123"/>
      <c r="I82" s="123"/>
      <c r="J82" s="60"/>
      <c r="K82" s="60"/>
      <c r="L82" s="60"/>
      <c r="M82" s="60"/>
      <c r="N82" s="60">
        <f>M82*J82*K82*L82</f>
        <v>0</v>
      </c>
      <c r="O82" s="60">
        <f t="shared" si="19"/>
        <v>0</v>
      </c>
    </row>
    <row r="83" spans="1:15" s="38" customFormat="1" ht="11.45" hidden="1" customHeight="1" outlineLevel="1" x14ac:dyDescent="0.25">
      <c r="A83" s="135"/>
      <c r="B83" s="137"/>
      <c r="C83" s="115"/>
      <c r="D83" s="115"/>
      <c r="E83" s="115"/>
      <c r="F83" s="115"/>
      <c r="G83" s="60" t="s">
        <v>126</v>
      </c>
      <c r="H83" s="124"/>
      <c r="I83" s="124"/>
      <c r="J83" s="60"/>
      <c r="K83" s="60"/>
      <c r="L83" s="60"/>
      <c r="M83" s="60"/>
      <c r="N83" s="60">
        <f t="shared" ref="N83:N88" si="21">M83*J83*K83*L83</f>
        <v>0</v>
      </c>
      <c r="O83" s="60">
        <f t="shared" si="19"/>
        <v>0</v>
      </c>
    </row>
    <row r="84" spans="1:15" s="38" customFormat="1" ht="10.7" hidden="1" customHeight="1" outlineLevel="1" x14ac:dyDescent="0.25">
      <c r="A84" s="135"/>
      <c r="B84" s="137"/>
      <c r="C84" s="115"/>
      <c r="D84" s="115"/>
      <c r="E84" s="115"/>
      <c r="F84" s="115"/>
      <c r="G84" s="60" t="s">
        <v>127</v>
      </c>
      <c r="H84" s="124"/>
      <c r="I84" s="124"/>
      <c r="J84" s="60"/>
      <c r="K84" s="60"/>
      <c r="L84" s="60"/>
      <c r="M84" s="60"/>
      <c r="N84" s="60">
        <f t="shared" si="21"/>
        <v>0</v>
      </c>
      <c r="O84" s="60">
        <f t="shared" si="19"/>
        <v>0</v>
      </c>
    </row>
    <row r="85" spans="1:15" s="38" customFormat="1" ht="10.7" hidden="1" customHeight="1" outlineLevel="1" x14ac:dyDescent="0.25">
      <c r="A85" s="135"/>
      <c r="B85" s="137"/>
      <c r="C85" s="115"/>
      <c r="D85" s="115"/>
      <c r="E85" s="115"/>
      <c r="F85" s="115"/>
      <c r="G85" s="60" t="s">
        <v>128</v>
      </c>
      <c r="H85" s="124"/>
      <c r="I85" s="124"/>
      <c r="J85" s="60"/>
      <c r="K85" s="60"/>
      <c r="L85" s="60"/>
      <c r="M85" s="60"/>
      <c r="N85" s="60">
        <f t="shared" si="21"/>
        <v>0</v>
      </c>
      <c r="O85" s="60">
        <f t="shared" si="19"/>
        <v>0</v>
      </c>
    </row>
    <row r="86" spans="1:15" s="38" customFormat="1" ht="10.7" hidden="1" customHeight="1" outlineLevel="1" x14ac:dyDescent="0.25">
      <c r="A86" s="135"/>
      <c r="B86" s="137"/>
      <c r="C86" s="115"/>
      <c r="D86" s="115"/>
      <c r="E86" s="115"/>
      <c r="F86" s="115"/>
      <c r="G86" s="60" t="s">
        <v>129</v>
      </c>
      <c r="H86" s="124"/>
      <c r="I86" s="124"/>
      <c r="J86" s="60"/>
      <c r="K86" s="60"/>
      <c r="L86" s="60"/>
      <c r="M86" s="60"/>
      <c r="N86" s="60">
        <f t="shared" si="21"/>
        <v>0</v>
      </c>
      <c r="O86" s="60">
        <f t="shared" si="19"/>
        <v>0</v>
      </c>
    </row>
    <row r="87" spans="1:15" s="38" customFormat="1" ht="10.7" hidden="1" customHeight="1" outlineLevel="1" x14ac:dyDescent="0.25">
      <c r="A87" s="135"/>
      <c r="B87" s="137"/>
      <c r="C87" s="115"/>
      <c r="D87" s="115"/>
      <c r="E87" s="115"/>
      <c r="F87" s="115"/>
      <c r="G87" s="60" t="s">
        <v>130</v>
      </c>
      <c r="H87" s="124"/>
      <c r="I87" s="124"/>
      <c r="J87" s="60"/>
      <c r="K87" s="60"/>
      <c r="L87" s="60"/>
      <c r="M87" s="60"/>
      <c r="N87" s="60">
        <f t="shared" si="21"/>
        <v>0</v>
      </c>
      <c r="O87" s="60">
        <f t="shared" si="19"/>
        <v>0</v>
      </c>
    </row>
    <row r="88" spans="1:15" s="38" customFormat="1" ht="12" hidden="1" customHeight="1" outlineLevel="1" thickBot="1" x14ac:dyDescent="0.3">
      <c r="A88" s="136"/>
      <c r="B88" s="138"/>
      <c r="C88" s="131"/>
      <c r="D88" s="131"/>
      <c r="E88" s="131"/>
      <c r="F88" s="131"/>
      <c r="G88" s="60" t="s">
        <v>131</v>
      </c>
      <c r="H88" s="134"/>
      <c r="I88" s="134"/>
      <c r="J88" s="60"/>
      <c r="K88" s="60"/>
      <c r="L88" s="60"/>
      <c r="M88" s="60"/>
      <c r="N88" s="60">
        <f t="shared" si="21"/>
        <v>0</v>
      </c>
      <c r="O88" s="60">
        <f t="shared" si="19"/>
        <v>0</v>
      </c>
    </row>
    <row r="89" spans="1:15" s="38" customFormat="1" ht="14.45" hidden="1" customHeight="1" outlineLevel="1" x14ac:dyDescent="0.25">
      <c r="A89" s="126" t="s">
        <v>152</v>
      </c>
      <c r="B89" s="127" t="s">
        <v>153</v>
      </c>
      <c r="C89" s="130">
        <f>SUM(N89:N95)</f>
        <v>0</v>
      </c>
      <c r="D89" s="130">
        <f>SUM(O89:O95)</f>
        <v>0</v>
      </c>
      <c r="E89" s="130">
        <f t="shared" si="17"/>
        <v>0</v>
      </c>
      <c r="F89" s="130"/>
      <c r="G89" s="60" t="s">
        <v>125</v>
      </c>
      <c r="H89" s="123"/>
      <c r="I89" s="123"/>
      <c r="J89" s="60"/>
      <c r="K89" s="60"/>
      <c r="L89" s="60"/>
      <c r="M89" s="60"/>
      <c r="N89" s="60">
        <f>M89*J89*K89*L89</f>
        <v>0</v>
      </c>
      <c r="O89" s="60">
        <f t="shared" si="19"/>
        <v>0</v>
      </c>
    </row>
    <row r="90" spans="1:15" s="38" customFormat="1" ht="11.45" hidden="1" customHeight="1" outlineLevel="1" x14ac:dyDescent="0.25">
      <c r="A90" s="135"/>
      <c r="B90" s="137"/>
      <c r="C90" s="115"/>
      <c r="D90" s="115"/>
      <c r="E90" s="115"/>
      <c r="F90" s="115"/>
      <c r="G90" s="60" t="s">
        <v>126</v>
      </c>
      <c r="H90" s="124"/>
      <c r="I90" s="124"/>
      <c r="J90" s="60"/>
      <c r="K90" s="60"/>
      <c r="L90" s="60"/>
      <c r="M90" s="60"/>
      <c r="N90" s="60">
        <f t="shared" ref="N90:N95" si="22">M90*J90*K90*L90</f>
        <v>0</v>
      </c>
      <c r="O90" s="60">
        <f t="shared" si="19"/>
        <v>0</v>
      </c>
    </row>
    <row r="91" spans="1:15" s="38" customFormat="1" ht="10.7" hidden="1" customHeight="1" outlineLevel="1" x14ac:dyDescent="0.25">
      <c r="A91" s="135"/>
      <c r="B91" s="137"/>
      <c r="C91" s="115"/>
      <c r="D91" s="115"/>
      <c r="E91" s="115"/>
      <c r="F91" s="115"/>
      <c r="G91" s="60" t="s">
        <v>127</v>
      </c>
      <c r="H91" s="124"/>
      <c r="I91" s="124"/>
      <c r="J91" s="60"/>
      <c r="K91" s="60"/>
      <c r="L91" s="60"/>
      <c r="M91" s="60"/>
      <c r="N91" s="60">
        <f t="shared" si="22"/>
        <v>0</v>
      </c>
      <c r="O91" s="60">
        <f t="shared" si="19"/>
        <v>0</v>
      </c>
    </row>
    <row r="92" spans="1:15" s="38" customFormat="1" ht="10.7" hidden="1" customHeight="1" outlineLevel="1" x14ac:dyDescent="0.25">
      <c r="A92" s="135"/>
      <c r="B92" s="137"/>
      <c r="C92" s="115"/>
      <c r="D92" s="115"/>
      <c r="E92" s="115"/>
      <c r="F92" s="115"/>
      <c r="G92" s="60" t="s">
        <v>128</v>
      </c>
      <c r="H92" s="124"/>
      <c r="I92" s="124"/>
      <c r="J92" s="60"/>
      <c r="K92" s="60"/>
      <c r="L92" s="60"/>
      <c r="M92" s="60"/>
      <c r="N92" s="60">
        <f t="shared" si="22"/>
        <v>0</v>
      </c>
      <c r="O92" s="60">
        <f t="shared" si="19"/>
        <v>0</v>
      </c>
    </row>
    <row r="93" spans="1:15" s="38" customFormat="1" ht="10.7" hidden="1" customHeight="1" outlineLevel="1" x14ac:dyDescent="0.25">
      <c r="A93" s="135"/>
      <c r="B93" s="137"/>
      <c r="C93" s="115"/>
      <c r="D93" s="115"/>
      <c r="E93" s="115"/>
      <c r="F93" s="115"/>
      <c r="G93" s="60" t="s">
        <v>129</v>
      </c>
      <c r="H93" s="124"/>
      <c r="I93" s="124"/>
      <c r="J93" s="60"/>
      <c r="K93" s="60"/>
      <c r="L93" s="60"/>
      <c r="M93" s="60"/>
      <c r="N93" s="60">
        <f t="shared" si="22"/>
        <v>0</v>
      </c>
      <c r="O93" s="60">
        <f t="shared" si="19"/>
        <v>0</v>
      </c>
    </row>
    <row r="94" spans="1:15" s="38" customFormat="1" ht="10.7" hidden="1" customHeight="1" outlineLevel="1" x14ac:dyDescent="0.25">
      <c r="A94" s="135"/>
      <c r="B94" s="137"/>
      <c r="C94" s="115"/>
      <c r="D94" s="115"/>
      <c r="E94" s="115"/>
      <c r="F94" s="115"/>
      <c r="G94" s="60" t="s">
        <v>130</v>
      </c>
      <c r="H94" s="124"/>
      <c r="I94" s="124"/>
      <c r="J94" s="60"/>
      <c r="K94" s="60"/>
      <c r="L94" s="60"/>
      <c r="M94" s="60"/>
      <c r="N94" s="60">
        <f t="shared" si="22"/>
        <v>0</v>
      </c>
      <c r="O94" s="60">
        <f t="shared" si="19"/>
        <v>0</v>
      </c>
    </row>
    <row r="95" spans="1:15" s="38" customFormat="1" ht="12" hidden="1" customHeight="1" outlineLevel="1" thickBot="1" x14ac:dyDescent="0.3">
      <c r="A95" s="136"/>
      <c r="B95" s="138"/>
      <c r="C95" s="131"/>
      <c r="D95" s="131"/>
      <c r="E95" s="131"/>
      <c r="F95" s="131"/>
      <c r="G95" s="60" t="s">
        <v>131</v>
      </c>
      <c r="H95" s="134"/>
      <c r="I95" s="134"/>
      <c r="J95" s="60"/>
      <c r="K95" s="60"/>
      <c r="L95" s="60"/>
      <c r="M95" s="60"/>
      <c r="N95" s="60">
        <f t="shared" si="22"/>
        <v>0</v>
      </c>
      <c r="O95" s="60">
        <f t="shared" si="19"/>
        <v>0</v>
      </c>
    </row>
    <row r="96" spans="1:15" s="38" customFormat="1" ht="14.45" hidden="1" customHeight="1" outlineLevel="1" x14ac:dyDescent="0.25">
      <c r="A96" s="126" t="s">
        <v>154</v>
      </c>
      <c r="B96" s="127" t="s">
        <v>155</v>
      </c>
      <c r="C96" s="130">
        <f>SUM(N96:N102)</f>
        <v>0</v>
      </c>
      <c r="D96" s="130">
        <f>SUM(O96:O102)</f>
        <v>0</v>
      </c>
      <c r="E96" s="130">
        <f t="shared" si="17"/>
        <v>0</v>
      </c>
      <c r="F96" s="130"/>
      <c r="G96" s="60" t="s">
        <v>125</v>
      </c>
      <c r="H96" s="123"/>
      <c r="I96" s="123"/>
      <c r="J96" s="60"/>
      <c r="K96" s="60"/>
      <c r="L96" s="60"/>
      <c r="M96" s="60"/>
      <c r="N96" s="60">
        <f>M96*J96*K96*L96</f>
        <v>0</v>
      </c>
      <c r="O96" s="60">
        <f t="shared" si="19"/>
        <v>0</v>
      </c>
    </row>
    <row r="97" spans="1:15" s="38" customFormat="1" ht="11.45" hidden="1" customHeight="1" outlineLevel="1" x14ac:dyDescent="0.25">
      <c r="A97" s="135"/>
      <c r="B97" s="137"/>
      <c r="C97" s="115"/>
      <c r="D97" s="115"/>
      <c r="E97" s="115"/>
      <c r="F97" s="115"/>
      <c r="G97" s="60" t="s">
        <v>126</v>
      </c>
      <c r="H97" s="124"/>
      <c r="I97" s="124"/>
      <c r="J97" s="60"/>
      <c r="K97" s="60"/>
      <c r="L97" s="60"/>
      <c r="M97" s="60"/>
      <c r="N97" s="60">
        <f t="shared" ref="N97:N102" si="23">M97*J97*K97*L97</f>
        <v>0</v>
      </c>
      <c r="O97" s="60">
        <f t="shared" si="19"/>
        <v>0</v>
      </c>
    </row>
    <row r="98" spans="1:15" s="38" customFormat="1" ht="10.7" hidden="1" customHeight="1" outlineLevel="1" x14ac:dyDescent="0.25">
      <c r="A98" s="135"/>
      <c r="B98" s="137"/>
      <c r="C98" s="115"/>
      <c r="D98" s="115"/>
      <c r="E98" s="115"/>
      <c r="F98" s="115"/>
      <c r="G98" s="60" t="s">
        <v>127</v>
      </c>
      <c r="H98" s="124"/>
      <c r="I98" s="124"/>
      <c r="J98" s="60"/>
      <c r="K98" s="60"/>
      <c r="L98" s="60"/>
      <c r="M98" s="60"/>
      <c r="N98" s="60">
        <f t="shared" si="23"/>
        <v>0</v>
      </c>
      <c r="O98" s="60">
        <f t="shared" si="19"/>
        <v>0</v>
      </c>
    </row>
    <row r="99" spans="1:15" s="38" customFormat="1" ht="10.7" hidden="1" customHeight="1" outlineLevel="1" x14ac:dyDescent="0.25">
      <c r="A99" s="135"/>
      <c r="B99" s="137"/>
      <c r="C99" s="115"/>
      <c r="D99" s="115"/>
      <c r="E99" s="115"/>
      <c r="F99" s="115"/>
      <c r="G99" s="60" t="s">
        <v>128</v>
      </c>
      <c r="H99" s="124"/>
      <c r="I99" s="124"/>
      <c r="J99" s="60"/>
      <c r="K99" s="60"/>
      <c r="L99" s="60"/>
      <c r="M99" s="60"/>
      <c r="N99" s="60">
        <f t="shared" si="23"/>
        <v>0</v>
      </c>
      <c r="O99" s="60">
        <f t="shared" si="19"/>
        <v>0</v>
      </c>
    </row>
    <row r="100" spans="1:15" s="38" customFormat="1" ht="10.7" hidden="1" customHeight="1" outlineLevel="1" x14ac:dyDescent="0.25">
      <c r="A100" s="135"/>
      <c r="B100" s="137"/>
      <c r="C100" s="115"/>
      <c r="D100" s="115"/>
      <c r="E100" s="115"/>
      <c r="F100" s="115"/>
      <c r="G100" s="60" t="s">
        <v>129</v>
      </c>
      <c r="H100" s="124"/>
      <c r="I100" s="124"/>
      <c r="J100" s="60"/>
      <c r="K100" s="60"/>
      <c r="L100" s="60"/>
      <c r="M100" s="60"/>
      <c r="N100" s="60">
        <f t="shared" si="23"/>
        <v>0</v>
      </c>
      <c r="O100" s="60">
        <f t="shared" si="19"/>
        <v>0</v>
      </c>
    </row>
    <row r="101" spans="1:15" s="38" customFormat="1" ht="10.7" hidden="1" customHeight="1" outlineLevel="1" x14ac:dyDescent="0.25">
      <c r="A101" s="135"/>
      <c r="B101" s="137"/>
      <c r="C101" s="115"/>
      <c r="D101" s="115"/>
      <c r="E101" s="115"/>
      <c r="F101" s="115"/>
      <c r="G101" s="60" t="s">
        <v>130</v>
      </c>
      <c r="H101" s="124"/>
      <c r="I101" s="124"/>
      <c r="J101" s="60"/>
      <c r="K101" s="60"/>
      <c r="L101" s="60"/>
      <c r="M101" s="60"/>
      <c r="N101" s="60">
        <f t="shared" si="23"/>
        <v>0</v>
      </c>
      <c r="O101" s="60">
        <f t="shared" si="19"/>
        <v>0</v>
      </c>
    </row>
    <row r="102" spans="1:15" s="38" customFormat="1" ht="12" hidden="1" customHeight="1" outlineLevel="1" thickBot="1" x14ac:dyDescent="0.3">
      <c r="A102" s="136"/>
      <c r="B102" s="138"/>
      <c r="C102" s="131"/>
      <c r="D102" s="131"/>
      <c r="E102" s="131"/>
      <c r="F102" s="131"/>
      <c r="G102" s="60" t="s">
        <v>131</v>
      </c>
      <c r="H102" s="134"/>
      <c r="I102" s="134"/>
      <c r="J102" s="60"/>
      <c r="K102" s="60"/>
      <c r="L102" s="60"/>
      <c r="M102" s="60"/>
      <c r="N102" s="60">
        <f t="shared" si="23"/>
        <v>0</v>
      </c>
      <c r="O102" s="60">
        <f t="shared" si="19"/>
        <v>0</v>
      </c>
    </row>
    <row r="103" spans="1:15" s="38" customFormat="1" ht="14.45" hidden="1" customHeight="1" outlineLevel="1" x14ac:dyDescent="0.25">
      <c r="A103" s="126" t="s">
        <v>156</v>
      </c>
      <c r="B103" s="127" t="s">
        <v>157</v>
      </c>
      <c r="C103" s="130">
        <f>SUM(N103:N109)</f>
        <v>0</v>
      </c>
      <c r="D103" s="130">
        <f>SUM(O103:O109)</f>
        <v>0</v>
      </c>
      <c r="E103" s="130">
        <f t="shared" si="17"/>
        <v>0</v>
      </c>
      <c r="F103" s="130"/>
      <c r="G103" s="60" t="s">
        <v>125</v>
      </c>
      <c r="H103" s="123"/>
      <c r="I103" s="123"/>
      <c r="J103" s="60"/>
      <c r="K103" s="60"/>
      <c r="L103" s="60"/>
      <c r="M103" s="60"/>
      <c r="N103" s="60">
        <f>M103*J103*K103*L103</f>
        <v>0</v>
      </c>
      <c r="O103" s="60">
        <f t="shared" si="19"/>
        <v>0</v>
      </c>
    </row>
    <row r="104" spans="1:15" s="38" customFormat="1" ht="11.45" hidden="1" customHeight="1" outlineLevel="1" x14ac:dyDescent="0.25">
      <c r="A104" s="135"/>
      <c r="B104" s="137"/>
      <c r="C104" s="115"/>
      <c r="D104" s="115"/>
      <c r="E104" s="115"/>
      <c r="F104" s="115"/>
      <c r="G104" s="60" t="s">
        <v>126</v>
      </c>
      <c r="H104" s="124"/>
      <c r="I104" s="124"/>
      <c r="J104" s="60"/>
      <c r="K104" s="60"/>
      <c r="L104" s="60"/>
      <c r="M104" s="60"/>
      <c r="N104" s="60">
        <f t="shared" ref="N104:N109" si="24">M104*J104*K104*L104</f>
        <v>0</v>
      </c>
      <c r="O104" s="60">
        <f t="shared" si="19"/>
        <v>0</v>
      </c>
    </row>
    <row r="105" spans="1:15" s="38" customFormat="1" ht="10.7" hidden="1" customHeight="1" outlineLevel="1" x14ac:dyDescent="0.25">
      <c r="A105" s="135"/>
      <c r="B105" s="137"/>
      <c r="C105" s="115"/>
      <c r="D105" s="115"/>
      <c r="E105" s="115"/>
      <c r="F105" s="115"/>
      <c r="G105" s="60" t="s">
        <v>127</v>
      </c>
      <c r="H105" s="124"/>
      <c r="I105" s="124"/>
      <c r="J105" s="60"/>
      <c r="K105" s="60"/>
      <c r="L105" s="60"/>
      <c r="M105" s="60"/>
      <c r="N105" s="60">
        <f t="shared" si="24"/>
        <v>0</v>
      </c>
      <c r="O105" s="60">
        <f t="shared" si="19"/>
        <v>0</v>
      </c>
    </row>
    <row r="106" spans="1:15" s="38" customFormat="1" ht="10.7" hidden="1" customHeight="1" outlineLevel="1" x14ac:dyDescent="0.25">
      <c r="A106" s="135"/>
      <c r="B106" s="137"/>
      <c r="C106" s="115"/>
      <c r="D106" s="115"/>
      <c r="E106" s="115"/>
      <c r="F106" s="115"/>
      <c r="G106" s="60" t="s">
        <v>128</v>
      </c>
      <c r="H106" s="124"/>
      <c r="I106" s="124"/>
      <c r="J106" s="60"/>
      <c r="K106" s="60"/>
      <c r="L106" s="60"/>
      <c r="M106" s="60"/>
      <c r="N106" s="60">
        <f t="shared" si="24"/>
        <v>0</v>
      </c>
      <c r="O106" s="60">
        <f t="shared" si="19"/>
        <v>0</v>
      </c>
    </row>
    <row r="107" spans="1:15" s="38" customFormat="1" ht="10.7" hidden="1" customHeight="1" outlineLevel="1" x14ac:dyDescent="0.25">
      <c r="A107" s="135"/>
      <c r="B107" s="137"/>
      <c r="C107" s="115"/>
      <c r="D107" s="115"/>
      <c r="E107" s="115"/>
      <c r="F107" s="115"/>
      <c r="G107" s="60" t="s">
        <v>129</v>
      </c>
      <c r="H107" s="124"/>
      <c r="I107" s="124"/>
      <c r="J107" s="60"/>
      <c r="K107" s="60"/>
      <c r="L107" s="60"/>
      <c r="M107" s="60"/>
      <c r="N107" s="60">
        <f t="shared" si="24"/>
        <v>0</v>
      </c>
      <c r="O107" s="60">
        <f t="shared" si="19"/>
        <v>0</v>
      </c>
    </row>
    <row r="108" spans="1:15" s="38" customFormat="1" ht="10.7" hidden="1" customHeight="1" outlineLevel="1" x14ac:dyDescent="0.25">
      <c r="A108" s="135"/>
      <c r="B108" s="137"/>
      <c r="C108" s="115"/>
      <c r="D108" s="115"/>
      <c r="E108" s="115"/>
      <c r="F108" s="115"/>
      <c r="G108" s="60" t="s">
        <v>130</v>
      </c>
      <c r="H108" s="124"/>
      <c r="I108" s="124"/>
      <c r="J108" s="60"/>
      <c r="K108" s="60"/>
      <c r="L108" s="60"/>
      <c r="M108" s="60"/>
      <c r="N108" s="60">
        <f t="shared" si="24"/>
        <v>0</v>
      </c>
      <c r="O108" s="60">
        <f t="shared" si="19"/>
        <v>0</v>
      </c>
    </row>
    <row r="109" spans="1:15" s="38" customFormat="1" ht="12" hidden="1" customHeight="1" outlineLevel="1" thickBot="1" x14ac:dyDescent="0.3">
      <c r="A109" s="136"/>
      <c r="B109" s="138"/>
      <c r="C109" s="131"/>
      <c r="D109" s="131"/>
      <c r="E109" s="131"/>
      <c r="F109" s="131"/>
      <c r="G109" s="60" t="s">
        <v>131</v>
      </c>
      <c r="H109" s="134"/>
      <c r="I109" s="134"/>
      <c r="J109" s="60"/>
      <c r="K109" s="60"/>
      <c r="L109" s="60"/>
      <c r="M109" s="60"/>
      <c r="N109" s="60">
        <f t="shared" si="24"/>
        <v>0</v>
      </c>
      <c r="O109" s="60">
        <f t="shared" si="19"/>
        <v>0</v>
      </c>
    </row>
    <row r="110" spans="1:15" s="38" customFormat="1" ht="14.45" hidden="1" customHeight="1" outlineLevel="1" x14ac:dyDescent="0.25">
      <c r="A110" s="126" t="s">
        <v>158</v>
      </c>
      <c r="B110" s="127" t="s">
        <v>159</v>
      </c>
      <c r="C110" s="130">
        <f>SUM(N110:N116)</f>
        <v>0</v>
      </c>
      <c r="D110" s="130">
        <f>SUM(O110:O116)</f>
        <v>0</v>
      </c>
      <c r="E110" s="130">
        <f t="shared" si="17"/>
        <v>0</v>
      </c>
      <c r="F110" s="130"/>
      <c r="G110" s="60" t="s">
        <v>125</v>
      </c>
      <c r="H110" s="123"/>
      <c r="I110" s="123"/>
      <c r="J110" s="60"/>
      <c r="K110" s="60"/>
      <c r="L110" s="60"/>
      <c r="M110" s="60"/>
      <c r="N110" s="60">
        <f>M110*J110*K110*L110</f>
        <v>0</v>
      </c>
      <c r="O110" s="60">
        <f t="shared" si="19"/>
        <v>0</v>
      </c>
    </row>
    <row r="111" spans="1:15" s="38" customFormat="1" ht="11.45" hidden="1" customHeight="1" outlineLevel="1" x14ac:dyDescent="0.25">
      <c r="A111" s="135"/>
      <c r="B111" s="137"/>
      <c r="C111" s="115"/>
      <c r="D111" s="115"/>
      <c r="E111" s="115"/>
      <c r="F111" s="115"/>
      <c r="G111" s="60" t="s">
        <v>126</v>
      </c>
      <c r="H111" s="124"/>
      <c r="I111" s="124"/>
      <c r="J111" s="60"/>
      <c r="K111" s="60"/>
      <c r="L111" s="60"/>
      <c r="M111" s="60"/>
      <c r="N111" s="60">
        <f t="shared" ref="N111:N116" si="25">M111*J111*K111*L111</f>
        <v>0</v>
      </c>
      <c r="O111" s="60">
        <f t="shared" si="19"/>
        <v>0</v>
      </c>
    </row>
    <row r="112" spans="1:15" s="38" customFormat="1" ht="10.7" hidden="1" customHeight="1" outlineLevel="1" x14ac:dyDescent="0.25">
      <c r="A112" s="135"/>
      <c r="B112" s="137"/>
      <c r="C112" s="115"/>
      <c r="D112" s="115"/>
      <c r="E112" s="115"/>
      <c r="F112" s="115"/>
      <c r="G112" s="60" t="s">
        <v>127</v>
      </c>
      <c r="H112" s="124"/>
      <c r="I112" s="124"/>
      <c r="J112" s="60"/>
      <c r="K112" s="60"/>
      <c r="L112" s="60"/>
      <c r="M112" s="60"/>
      <c r="N112" s="60">
        <f t="shared" si="25"/>
        <v>0</v>
      </c>
      <c r="O112" s="60">
        <f t="shared" si="19"/>
        <v>0</v>
      </c>
    </row>
    <row r="113" spans="1:15" s="38" customFormat="1" ht="10.7" hidden="1" customHeight="1" outlineLevel="1" x14ac:dyDescent="0.25">
      <c r="A113" s="135"/>
      <c r="B113" s="137"/>
      <c r="C113" s="115"/>
      <c r="D113" s="115"/>
      <c r="E113" s="115"/>
      <c r="F113" s="115"/>
      <c r="G113" s="60" t="s">
        <v>128</v>
      </c>
      <c r="H113" s="124"/>
      <c r="I113" s="124"/>
      <c r="J113" s="60"/>
      <c r="K113" s="60"/>
      <c r="L113" s="60"/>
      <c r="M113" s="60"/>
      <c r="N113" s="60">
        <f t="shared" si="25"/>
        <v>0</v>
      </c>
      <c r="O113" s="60">
        <f t="shared" si="19"/>
        <v>0</v>
      </c>
    </row>
    <row r="114" spans="1:15" s="38" customFormat="1" ht="10.7" hidden="1" customHeight="1" outlineLevel="1" x14ac:dyDescent="0.25">
      <c r="A114" s="135"/>
      <c r="B114" s="137"/>
      <c r="C114" s="115"/>
      <c r="D114" s="115"/>
      <c r="E114" s="115"/>
      <c r="F114" s="115"/>
      <c r="G114" s="60" t="s">
        <v>129</v>
      </c>
      <c r="H114" s="124"/>
      <c r="I114" s="124"/>
      <c r="J114" s="60"/>
      <c r="K114" s="60"/>
      <c r="L114" s="60"/>
      <c r="M114" s="60"/>
      <c r="N114" s="60">
        <f t="shared" si="25"/>
        <v>0</v>
      </c>
      <c r="O114" s="60">
        <f t="shared" si="19"/>
        <v>0</v>
      </c>
    </row>
    <row r="115" spans="1:15" s="38" customFormat="1" ht="10.7" hidden="1" customHeight="1" outlineLevel="1" x14ac:dyDescent="0.25">
      <c r="A115" s="135"/>
      <c r="B115" s="137"/>
      <c r="C115" s="115"/>
      <c r="D115" s="115"/>
      <c r="E115" s="115"/>
      <c r="F115" s="115"/>
      <c r="G115" s="60" t="s">
        <v>130</v>
      </c>
      <c r="H115" s="124"/>
      <c r="I115" s="124"/>
      <c r="J115" s="60"/>
      <c r="K115" s="60"/>
      <c r="L115" s="60"/>
      <c r="M115" s="60"/>
      <c r="N115" s="60">
        <f t="shared" si="25"/>
        <v>0</v>
      </c>
      <c r="O115" s="60">
        <f t="shared" si="19"/>
        <v>0</v>
      </c>
    </row>
    <row r="116" spans="1:15" s="38" customFormat="1" ht="12" hidden="1" customHeight="1" outlineLevel="1" thickBot="1" x14ac:dyDescent="0.3">
      <c r="A116" s="136"/>
      <c r="B116" s="138"/>
      <c r="C116" s="131"/>
      <c r="D116" s="131"/>
      <c r="E116" s="131"/>
      <c r="F116" s="131"/>
      <c r="G116" s="60" t="s">
        <v>131</v>
      </c>
      <c r="H116" s="134"/>
      <c r="I116" s="134"/>
      <c r="J116" s="60"/>
      <c r="K116" s="60"/>
      <c r="L116" s="60"/>
      <c r="M116" s="60"/>
      <c r="N116" s="60">
        <f t="shared" si="25"/>
        <v>0</v>
      </c>
      <c r="O116" s="60">
        <f t="shared" si="19"/>
        <v>0</v>
      </c>
    </row>
    <row r="117" spans="1:15" s="38" customFormat="1" ht="14.45" hidden="1" customHeight="1" outlineLevel="1" x14ac:dyDescent="0.25">
      <c r="A117" s="126" t="s">
        <v>160</v>
      </c>
      <c r="B117" s="127" t="s">
        <v>161</v>
      </c>
      <c r="C117" s="130">
        <f>SUM(N117:N123)</f>
        <v>0</v>
      </c>
      <c r="D117" s="130">
        <f>SUM(O117:O123)</f>
        <v>0</v>
      </c>
      <c r="E117" s="130">
        <f t="shared" si="17"/>
        <v>0</v>
      </c>
      <c r="F117" s="130"/>
      <c r="G117" s="60" t="s">
        <v>125</v>
      </c>
      <c r="H117" s="123"/>
      <c r="I117" s="123"/>
      <c r="J117" s="60"/>
      <c r="K117" s="60"/>
      <c r="L117" s="60"/>
      <c r="M117" s="60"/>
      <c r="N117" s="60">
        <f>M117*J117*K117*L117</f>
        <v>0</v>
      </c>
      <c r="O117" s="60">
        <f t="shared" si="19"/>
        <v>0</v>
      </c>
    </row>
    <row r="118" spans="1:15" s="38" customFormat="1" ht="11.45" hidden="1" customHeight="1" outlineLevel="1" x14ac:dyDescent="0.25">
      <c r="A118" s="135"/>
      <c r="B118" s="137"/>
      <c r="C118" s="115"/>
      <c r="D118" s="115"/>
      <c r="E118" s="115"/>
      <c r="F118" s="115"/>
      <c r="G118" s="60" t="s">
        <v>126</v>
      </c>
      <c r="H118" s="124"/>
      <c r="I118" s="124"/>
      <c r="J118" s="60"/>
      <c r="K118" s="60"/>
      <c r="L118" s="60"/>
      <c r="M118" s="60"/>
      <c r="N118" s="60">
        <f t="shared" ref="N118:N123" si="26">M118*J118*K118*L118</f>
        <v>0</v>
      </c>
      <c r="O118" s="60">
        <f t="shared" si="19"/>
        <v>0</v>
      </c>
    </row>
    <row r="119" spans="1:15" s="38" customFormat="1" ht="10.7" hidden="1" customHeight="1" outlineLevel="1" x14ac:dyDescent="0.25">
      <c r="A119" s="135"/>
      <c r="B119" s="137"/>
      <c r="C119" s="115"/>
      <c r="D119" s="115"/>
      <c r="E119" s="115"/>
      <c r="F119" s="115"/>
      <c r="G119" s="60" t="s">
        <v>127</v>
      </c>
      <c r="H119" s="124"/>
      <c r="I119" s="124"/>
      <c r="J119" s="60"/>
      <c r="K119" s="60"/>
      <c r="L119" s="60"/>
      <c r="M119" s="60"/>
      <c r="N119" s="60">
        <f t="shared" si="26"/>
        <v>0</v>
      </c>
      <c r="O119" s="60">
        <f t="shared" si="19"/>
        <v>0</v>
      </c>
    </row>
    <row r="120" spans="1:15" s="38" customFormat="1" ht="10.7" hidden="1" customHeight="1" outlineLevel="1" x14ac:dyDescent="0.25">
      <c r="A120" s="135"/>
      <c r="B120" s="137"/>
      <c r="C120" s="115"/>
      <c r="D120" s="115"/>
      <c r="E120" s="115"/>
      <c r="F120" s="115"/>
      <c r="G120" s="60" t="s">
        <v>128</v>
      </c>
      <c r="H120" s="124"/>
      <c r="I120" s="124"/>
      <c r="J120" s="60"/>
      <c r="K120" s="60"/>
      <c r="L120" s="60"/>
      <c r="M120" s="60"/>
      <c r="N120" s="60">
        <f t="shared" si="26"/>
        <v>0</v>
      </c>
      <c r="O120" s="60">
        <f t="shared" si="19"/>
        <v>0</v>
      </c>
    </row>
    <row r="121" spans="1:15" s="38" customFormat="1" ht="10.7" hidden="1" customHeight="1" outlineLevel="1" x14ac:dyDescent="0.25">
      <c r="A121" s="135"/>
      <c r="B121" s="137"/>
      <c r="C121" s="115"/>
      <c r="D121" s="115"/>
      <c r="E121" s="115"/>
      <c r="F121" s="115"/>
      <c r="G121" s="60" t="s">
        <v>129</v>
      </c>
      <c r="H121" s="124"/>
      <c r="I121" s="124"/>
      <c r="J121" s="60"/>
      <c r="K121" s="60"/>
      <c r="L121" s="60"/>
      <c r="M121" s="60"/>
      <c r="N121" s="60">
        <f t="shared" si="26"/>
        <v>0</v>
      </c>
      <c r="O121" s="60">
        <f t="shared" si="19"/>
        <v>0</v>
      </c>
    </row>
    <row r="122" spans="1:15" s="38" customFormat="1" ht="10.7" hidden="1" customHeight="1" outlineLevel="1" x14ac:dyDescent="0.25">
      <c r="A122" s="135"/>
      <c r="B122" s="137"/>
      <c r="C122" s="115"/>
      <c r="D122" s="115"/>
      <c r="E122" s="115"/>
      <c r="F122" s="115"/>
      <c r="G122" s="60" t="s">
        <v>130</v>
      </c>
      <c r="H122" s="124"/>
      <c r="I122" s="124"/>
      <c r="J122" s="60"/>
      <c r="K122" s="60"/>
      <c r="L122" s="60"/>
      <c r="M122" s="60"/>
      <c r="N122" s="60">
        <f t="shared" si="26"/>
        <v>0</v>
      </c>
      <c r="O122" s="60">
        <f t="shared" si="19"/>
        <v>0</v>
      </c>
    </row>
    <row r="123" spans="1:15" s="38" customFormat="1" ht="12" hidden="1" customHeight="1" outlineLevel="1" thickBot="1" x14ac:dyDescent="0.3">
      <c r="A123" s="136"/>
      <c r="B123" s="138"/>
      <c r="C123" s="131"/>
      <c r="D123" s="131"/>
      <c r="E123" s="131"/>
      <c r="F123" s="131"/>
      <c r="G123" s="60" t="s">
        <v>131</v>
      </c>
      <c r="H123" s="134"/>
      <c r="I123" s="134"/>
      <c r="J123" s="60"/>
      <c r="K123" s="60"/>
      <c r="L123" s="60"/>
      <c r="M123" s="60"/>
      <c r="N123" s="60">
        <f t="shared" si="26"/>
        <v>0</v>
      </c>
      <c r="O123" s="60">
        <f t="shared" si="19"/>
        <v>0</v>
      </c>
    </row>
    <row r="124" spans="1:15" s="38" customFormat="1" ht="14.45" hidden="1" customHeight="1" outlineLevel="1" x14ac:dyDescent="0.25">
      <c r="A124" s="126" t="s">
        <v>162</v>
      </c>
      <c r="B124" s="127" t="s">
        <v>163</v>
      </c>
      <c r="C124" s="130">
        <f>SUM(N124:N130)</f>
        <v>0</v>
      </c>
      <c r="D124" s="130">
        <f>SUM(O124:O130)</f>
        <v>0</v>
      </c>
      <c r="E124" s="130">
        <f t="shared" si="17"/>
        <v>0</v>
      </c>
      <c r="F124" s="130"/>
      <c r="G124" s="60" t="s">
        <v>125</v>
      </c>
      <c r="H124" s="123"/>
      <c r="I124" s="123"/>
      <c r="J124" s="60"/>
      <c r="K124" s="60"/>
      <c r="L124" s="60"/>
      <c r="M124" s="60"/>
      <c r="N124" s="60">
        <f>M124*J124*K124*L124</f>
        <v>0</v>
      </c>
      <c r="O124" s="60">
        <f t="shared" si="19"/>
        <v>0</v>
      </c>
    </row>
    <row r="125" spans="1:15" s="38" customFormat="1" ht="11.45" hidden="1" customHeight="1" outlineLevel="1" x14ac:dyDescent="0.25">
      <c r="A125" s="135"/>
      <c r="B125" s="137"/>
      <c r="C125" s="115"/>
      <c r="D125" s="115"/>
      <c r="E125" s="115"/>
      <c r="F125" s="115"/>
      <c r="G125" s="60" t="s">
        <v>126</v>
      </c>
      <c r="H125" s="124"/>
      <c r="I125" s="124"/>
      <c r="J125" s="60"/>
      <c r="K125" s="60"/>
      <c r="L125" s="60"/>
      <c r="M125" s="60"/>
      <c r="N125" s="60">
        <f t="shared" ref="N125:N130" si="27">M125*J125*K125*L125</f>
        <v>0</v>
      </c>
      <c r="O125" s="60">
        <f t="shared" si="19"/>
        <v>0</v>
      </c>
    </row>
    <row r="126" spans="1:15" s="38" customFormat="1" ht="10.7" hidden="1" customHeight="1" outlineLevel="1" x14ac:dyDescent="0.25">
      <c r="A126" s="135"/>
      <c r="B126" s="137"/>
      <c r="C126" s="115"/>
      <c r="D126" s="115"/>
      <c r="E126" s="115"/>
      <c r="F126" s="115"/>
      <c r="G126" s="60" t="s">
        <v>127</v>
      </c>
      <c r="H126" s="124"/>
      <c r="I126" s="124"/>
      <c r="J126" s="60"/>
      <c r="K126" s="60"/>
      <c r="L126" s="60"/>
      <c r="M126" s="60"/>
      <c r="N126" s="60">
        <f t="shared" si="27"/>
        <v>0</v>
      </c>
      <c r="O126" s="60">
        <f t="shared" si="19"/>
        <v>0</v>
      </c>
    </row>
    <row r="127" spans="1:15" s="38" customFormat="1" ht="10.7" hidden="1" customHeight="1" outlineLevel="1" x14ac:dyDescent="0.25">
      <c r="A127" s="135"/>
      <c r="B127" s="137"/>
      <c r="C127" s="115"/>
      <c r="D127" s="115"/>
      <c r="E127" s="115"/>
      <c r="F127" s="115"/>
      <c r="G127" s="60" t="s">
        <v>128</v>
      </c>
      <c r="H127" s="124"/>
      <c r="I127" s="124"/>
      <c r="J127" s="60"/>
      <c r="K127" s="60"/>
      <c r="L127" s="60"/>
      <c r="M127" s="60"/>
      <c r="N127" s="60">
        <f t="shared" si="27"/>
        <v>0</v>
      </c>
      <c r="O127" s="60">
        <f t="shared" si="19"/>
        <v>0</v>
      </c>
    </row>
    <row r="128" spans="1:15" s="38" customFormat="1" ht="10.7" hidden="1" customHeight="1" outlineLevel="1" x14ac:dyDescent="0.25">
      <c r="A128" s="135"/>
      <c r="B128" s="137"/>
      <c r="C128" s="115"/>
      <c r="D128" s="115"/>
      <c r="E128" s="115"/>
      <c r="F128" s="115"/>
      <c r="G128" s="60" t="s">
        <v>129</v>
      </c>
      <c r="H128" s="124"/>
      <c r="I128" s="124"/>
      <c r="J128" s="60"/>
      <c r="K128" s="60"/>
      <c r="L128" s="60"/>
      <c r="M128" s="60"/>
      <c r="N128" s="60">
        <f t="shared" si="27"/>
        <v>0</v>
      </c>
      <c r="O128" s="60">
        <f t="shared" si="19"/>
        <v>0</v>
      </c>
    </row>
    <row r="129" spans="1:15" s="38" customFormat="1" ht="10.7" hidden="1" customHeight="1" outlineLevel="1" x14ac:dyDescent="0.25">
      <c r="A129" s="135"/>
      <c r="B129" s="137"/>
      <c r="C129" s="115"/>
      <c r="D129" s="115"/>
      <c r="E129" s="115"/>
      <c r="F129" s="115"/>
      <c r="G129" s="60" t="s">
        <v>130</v>
      </c>
      <c r="H129" s="124"/>
      <c r="I129" s="124"/>
      <c r="J129" s="60"/>
      <c r="K129" s="60"/>
      <c r="L129" s="60"/>
      <c r="M129" s="60"/>
      <c r="N129" s="60">
        <f t="shared" si="27"/>
        <v>0</v>
      </c>
      <c r="O129" s="60">
        <f t="shared" si="19"/>
        <v>0</v>
      </c>
    </row>
    <row r="130" spans="1:15" s="38" customFormat="1" ht="12" hidden="1" customHeight="1" outlineLevel="1" thickBot="1" x14ac:dyDescent="0.3">
      <c r="A130" s="139"/>
      <c r="B130" s="138"/>
      <c r="C130" s="131"/>
      <c r="D130" s="131"/>
      <c r="E130" s="131"/>
      <c r="F130" s="131"/>
      <c r="G130" s="60" t="s">
        <v>131</v>
      </c>
      <c r="H130" s="134"/>
      <c r="I130" s="134"/>
      <c r="J130" s="60"/>
      <c r="K130" s="60"/>
      <c r="L130" s="60"/>
      <c r="M130" s="60"/>
      <c r="N130" s="60">
        <f t="shared" si="27"/>
        <v>0</v>
      </c>
      <c r="O130" s="60">
        <f t="shared" si="19"/>
        <v>0</v>
      </c>
    </row>
    <row r="131" spans="1:15" s="39" customFormat="1" ht="16.5" collapsed="1" thickBot="1" x14ac:dyDescent="0.3">
      <c r="A131" s="40" t="s">
        <v>26</v>
      </c>
      <c r="B131" s="41" t="s">
        <v>164</v>
      </c>
      <c r="C131" s="42">
        <f>SUM(C132:C152)</f>
        <v>0</v>
      </c>
      <c r="D131" s="42">
        <f>SUM(D132:D152)</f>
        <v>0</v>
      </c>
      <c r="E131" s="42">
        <f>SUM(E132:E152)</f>
        <v>0</v>
      </c>
      <c r="F131" s="57"/>
      <c r="G131" s="57"/>
      <c r="H131" s="57"/>
      <c r="I131" s="57"/>
      <c r="J131" s="57"/>
      <c r="K131" s="57"/>
      <c r="L131" s="57"/>
      <c r="M131" s="57"/>
      <c r="N131" s="57"/>
      <c r="O131" s="43"/>
    </row>
    <row r="132" spans="1:15" s="38" customFormat="1" ht="14.45" hidden="1" customHeight="1" outlineLevel="1" x14ac:dyDescent="0.25">
      <c r="A132" s="126" t="s">
        <v>165</v>
      </c>
      <c r="B132" s="127" t="s">
        <v>166</v>
      </c>
      <c r="C132" s="130">
        <f>SUM(N132:N138)</f>
        <v>0</v>
      </c>
      <c r="D132" s="130">
        <f>SUM(O132:O138)</f>
        <v>0</v>
      </c>
      <c r="E132" s="130">
        <f t="shared" ref="E132:E146" si="28">D132/8</f>
        <v>0</v>
      </c>
      <c r="F132" s="130"/>
      <c r="G132" s="60" t="s">
        <v>125</v>
      </c>
      <c r="H132" s="123"/>
      <c r="I132" s="123"/>
      <c r="J132" s="60"/>
      <c r="K132" s="60"/>
      <c r="L132" s="60"/>
      <c r="M132" s="60"/>
      <c r="N132" s="60">
        <f>M132*J132*K132*L132</f>
        <v>0</v>
      </c>
      <c r="O132" s="60">
        <f>J132*K132*L132</f>
        <v>0</v>
      </c>
    </row>
    <row r="133" spans="1:15" s="38" customFormat="1" ht="11.45" hidden="1" customHeight="1" outlineLevel="1" x14ac:dyDescent="0.25">
      <c r="A133" s="124"/>
      <c r="B133" s="137"/>
      <c r="C133" s="115"/>
      <c r="D133" s="115"/>
      <c r="E133" s="115"/>
      <c r="F133" s="115"/>
      <c r="G133" s="60" t="s">
        <v>126</v>
      </c>
      <c r="H133" s="124"/>
      <c r="I133" s="124"/>
      <c r="J133" s="60"/>
      <c r="K133" s="60"/>
      <c r="L133" s="60"/>
      <c r="M133" s="60"/>
      <c r="N133" s="60">
        <f t="shared" ref="N133:N138" si="29">M133*J133*K133*L133</f>
        <v>0</v>
      </c>
      <c r="O133" s="60">
        <f t="shared" ref="O133:O152" si="30">J133*K133*L133</f>
        <v>0</v>
      </c>
    </row>
    <row r="134" spans="1:15" s="38" customFormat="1" ht="10.7" hidden="1" customHeight="1" outlineLevel="1" x14ac:dyDescent="0.25">
      <c r="A134" s="124"/>
      <c r="B134" s="137"/>
      <c r="C134" s="115"/>
      <c r="D134" s="115"/>
      <c r="E134" s="115"/>
      <c r="F134" s="115"/>
      <c r="G134" s="60" t="s">
        <v>127</v>
      </c>
      <c r="H134" s="124"/>
      <c r="I134" s="124"/>
      <c r="J134" s="60"/>
      <c r="K134" s="60"/>
      <c r="L134" s="60"/>
      <c r="M134" s="60"/>
      <c r="N134" s="60">
        <f t="shared" si="29"/>
        <v>0</v>
      </c>
      <c r="O134" s="60">
        <f t="shared" si="30"/>
        <v>0</v>
      </c>
    </row>
    <row r="135" spans="1:15" s="38" customFormat="1" ht="10.7" hidden="1" customHeight="1" outlineLevel="1" x14ac:dyDescent="0.25">
      <c r="A135" s="124"/>
      <c r="B135" s="137"/>
      <c r="C135" s="115"/>
      <c r="D135" s="115"/>
      <c r="E135" s="115"/>
      <c r="F135" s="115"/>
      <c r="G135" s="60" t="s">
        <v>128</v>
      </c>
      <c r="H135" s="124"/>
      <c r="I135" s="124"/>
      <c r="J135" s="60"/>
      <c r="K135" s="60"/>
      <c r="L135" s="60"/>
      <c r="M135" s="60"/>
      <c r="N135" s="60">
        <f t="shared" si="29"/>
        <v>0</v>
      </c>
      <c r="O135" s="60">
        <f t="shared" si="30"/>
        <v>0</v>
      </c>
    </row>
    <row r="136" spans="1:15" s="38" customFormat="1" ht="10.7" hidden="1" customHeight="1" outlineLevel="1" x14ac:dyDescent="0.25">
      <c r="A136" s="124"/>
      <c r="B136" s="137"/>
      <c r="C136" s="115"/>
      <c r="D136" s="115"/>
      <c r="E136" s="115"/>
      <c r="F136" s="115"/>
      <c r="G136" s="60" t="s">
        <v>129</v>
      </c>
      <c r="H136" s="124"/>
      <c r="I136" s="124"/>
      <c r="J136" s="60"/>
      <c r="K136" s="60"/>
      <c r="L136" s="60"/>
      <c r="M136" s="60"/>
      <c r="N136" s="60">
        <f t="shared" si="29"/>
        <v>0</v>
      </c>
      <c r="O136" s="60">
        <f t="shared" si="30"/>
        <v>0</v>
      </c>
    </row>
    <row r="137" spans="1:15" s="38" customFormat="1" ht="10.7" hidden="1" customHeight="1" outlineLevel="1" x14ac:dyDescent="0.25">
      <c r="A137" s="124"/>
      <c r="B137" s="137"/>
      <c r="C137" s="115"/>
      <c r="D137" s="115"/>
      <c r="E137" s="115"/>
      <c r="F137" s="115"/>
      <c r="G137" s="60" t="s">
        <v>130</v>
      </c>
      <c r="H137" s="124"/>
      <c r="I137" s="124"/>
      <c r="J137" s="60"/>
      <c r="K137" s="60"/>
      <c r="L137" s="60"/>
      <c r="M137" s="60"/>
      <c r="N137" s="60">
        <f t="shared" si="29"/>
        <v>0</v>
      </c>
      <c r="O137" s="60">
        <f t="shared" si="30"/>
        <v>0</v>
      </c>
    </row>
    <row r="138" spans="1:15" s="38" customFormat="1" ht="12" hidden="1" customHeight="1" outlineLevel="1" thickBot="1" x14ac:dyDescent="0.3">
      <c r="A138" s="125"/>
      <c r="B138" s="138"/>
      <c r="C138" s="131"/>
      <c r="D138" s="131"/>
      <c r="E138" s="131"/>
      <c r="F138" s="131"/>
      <c r="G138" s="60" t="s">
        <v>131</v>
      </c>
      <c r="H138" s="134"/>
      <c r="I138" s="134"/>
      <c r="J138" s="60"/>
      <c r="K138" s="60"/>
      <c r="L138" s="60"/>
      <c r="M138" s="60"/>
      <c r="N138" s="60">
        <f t="shared" si="29"/>
        <v>0</v>
      </c>
      <c r="O138" s="60">
        <f t="shared" si="30"/>
        <v>0</v>
      </c>
    </row>
    <row r="139" spans="1:15" s="38" customFormat="1" ht="14.45" hidden="1" customHeight="1" outlineLevel="1" x14ac:dyDescent="0.25">
      <c r="A139" s="126" t="s">
        <v>167</v>
      </c>
      <c r="B139" s="127" t="s">
        <v>168</v>
      </c>
      <c r="C139" s="130">
        <f>SUM(N139:N145)</f>
        <v>0</v>
      </c>
      <c r="D139" s="130">
        <f>SUM(O139:O145)</f>
        <v>0</v>
      </c>
      <c r="E139" s="130">
        <f t="shared" ref="E139" si="31">D139/8</f>
        <v>0</v>
      </c>
      <c r="F139" s="130"/>
      <c r="G139" s="60" t="s">
        <v>125</v>
      </c>
      <c r="H139" s="123"/>
      <c r="I139" s="123"/>
      <c r="J139" s="60"/>
      <c r="K139" s="60"/>
      <c r="L139" s="60"/>
      <c r="M139" s="60"/>
      <c r="N139" s="60">
        <f>M139*J139*K139*L139</f>
        <v>0</v>
      </c>
      <c r="O139" s="60">
        <f t="shared" si="30"/>
        <v>0</v>
      </c>
    </row>
    <row r="140" spans="1:15" s="38" customFormat="1" ht="11.45" hidden="1" customHeight="1" outlineLevel="1" x14ac:dyDescent="0.25">
      <c r="A140" s="124"/>
      <c r="B140" s="137"/>
      <c r="C140" s="115"/>
      <c r="D140" s="115"/>
      <c r="E140" s="115"/>
      <c r="F140" s="115"/>
      <c r="G140" s="60" t="s">
        <v>126</v>
      </c>
      <c r="H140" s="124"/>
      <c r="I140" s="124"/>
      <c r="J140" s="60"/>
      <c r="K140" s="60"/>
      <c r="L140" s="60"/>
      <c r="M140" s="60"/>
      <c r="N140" s="60">
        <f t="shared" ref="N140:N145" si="32">M140*J140*K140*L140</f>
        <v>0</v>
      </c>
      <c r="O140" s="60">
        <f t="shared" si="30"/>
        <v>0</v>
      </c>
    </row>
    <row r="141" spans="1:15" s="38" customFormat="1" ht="10.7" hidden="1" customHeight="1" outlineLevel="1" x14ac:dyDescent="0.25">
      <c r="A141" s="124"/>
      <c r="B141" s="137"/>
      <c r="C141" s="115"/>
      <c r="D141" s="115"/>
      <c r="E141" s="115"/>
      <c r="F141" s="115"/>
      <c r="G141" s="60" t="s">
        <v>127</v>
      </c>
      <c r="H141" s="124"/>
      <c r="I141" s="124"/>
      <c r="J141" s="60"/>
      <c r="K141" s="60"/>
      <c r="L141" s="60"/>
      <c r="M141" s="60"/>
      <c r="N141" s="60">
        <f t="shared" si="32"/>
        <v>0</v>
      </c>
      <c r="O141" s="60">
        <f t="shared" si="30"/>
        <v>0</v>
      </c>
    </row>
    <row r="142" spans="1:15" s="38" customFormat="1" ht="10.7" hidden="1" customHeight="1" outlineLevel="1" x14ac:dyDescent="0.25">
      <c r="A142" s="124"/>
      <c r="B142" s="137"/>
      <c r="C142" s="115"/>
      <c r="D142" s="115"/>
      <c r="E142" s="115"/>
      <c r="F142" s="115"/>
      <c r="G142" s="60" t="s">
        <v>128</v>
      </c>
      <c r="H142" s="124"/>
      <c r="I142" s="124"/>
      <c r="J142" s="60"/>
      <c r="K142" s="60"/>
      <c r="L142" s="60"/>
      <c r="M142" s="60"/>
      <c r="N142" s="60">
        <f t="shared" si="32"/>
        <v>0</v>
      </c>
      <c r="O142" s="60">
        <f t="shared" si="30"/>
        <v>0</v>
      </c>
    </row>
    <row r="143" spans="1:15" s="38" customFormat="1" ht="10.7" hidden="1" customHeight="1" outlineLevel="1" x14ac:dyDescent="0.25">
      <c r="A143" s="124"/>
      <c r="B143" s="137"/>
      <c r="C143" s="115"/>
      <c r="D143" s="115"/>
      <c r="E143" s="115"/>
      <c r="F143" s="115"/>
      <c r="G143" s="60" t="s">
        <v>129</v>
      </c>
      <c r="H143" s="124"/>
      <c r="I143" s="124"/>
      <c r="J143" s="60"/>
      <c r="K143" s="60"/>
      <c r="L143" s="60"/>
      <c r="M143" s="60"/>
      <c r="N143" s="60">
        <f t="shared" si="32"/>
        <v>0</v>
      </c>
      <c r="O143" s="60">
        <f t="shared" si="30"/>
        <v>0</v>
      </c>
    </row>
    <row r="144" spans="1:15" s="38" customFormat="1" ht="10.7" hidden="1" customHeight="1" outlineLevel="1" x14ac:dyDescent="0.25">
      <c r="A144" s="124"/>
      <c r="B144" s="137"/>
      <c r="C144" s="115"/>
      <c r="D144" s="115"/>
      <c r="E144" s="115"/>
      <c r="F144" s="115"/>
      <c r="G144" s="60" t="s">
        <v>130</v>
      </c>
      <c r="H144" s="124"/>
      <c r="I144" s="124"/>
      <c r="J144" s="60"/>
      <c r="K144" s="60"/>
      <c r="L144" s="60"/>
      <c r="M144" s="60"/>
      <c r="N144" s="60">
        <f t="shared" si="32"/>
        <v>0</v>
      </c>
      <c r="O144" s="60">
        <f t="shared" si="30"/>
        <v>0</v>
      </c>
    </row>
    <row r="145" spans="1:15" s="38" customFormat="1" ht="12" hidden="1" customHeight="1" outlineLevel="1" thickBot="1" x14ac:dyDescent="0.3">
      <c r="A145" s="125"/>
      <c r="B145" s="138"/>
      <c r="C145" s="131"/>
      <c r="D145" s="131"/>
      <c r="E145" s="131"/>
      <c r="F145" s="131"/>
      <c r="G145" s="60" t="s">
        <v>131</v>
      </c>
      <c r="H145" s="134"/>
      <c r="I145" s="134"/>
      <c r="J145" s="60"/>
      <c r="K145" s="60"/>
      <c r="L145" s="60"/>
      <c r="M145" s="60"/>
      <c r="N145" s="60">
        <f t="shared" si="32"/>
        <v>0</v>
      </c>
      <c r="O145" s="60">
        <f t="shared" si="30"/>
        <v>0</v>
      </c>
    </row>
    <row r="146" spans="1:15" s="38" customFormat="1" ht="14.45" hidden="1" customHeight="1" outlineLevel="1" x14ac:dyDescent="0.25">
      <c r="A146" s="126" t="s">
        <v>169</v>
      </c>
      <c r="B146" s="127" t="s">
        <v>170</v>
      </c>
      <c r="C146" s="130">
        <f>SUM(N146:N152)</f>
        <v>0</v>
      </c>
      <c r="D146" s="130">
        <f>SUM(O146:O152)</f>
        <v>0</v>
      </c>
      <c r="E146" s="130">
        <f t="shared" si="28"/>
        <v>0</v>
      </c>
      <c r="F146" s="130"/>
      <c r="G146" s="60" t="s">
        <v>125</v>
      </c>
      <c r="H146" s="123"/>
      <c r="I146" s="123"/>
      <c r="J146" s="60"/>
      <c r="K146" s="60"/>
      <c r="L146" s="60"/>
      <c r="M146" s="60"/>
      <c r="N146" s="60">
        <f>M146*J146*K146*L146</f>
        <v>0</v>
      </c>
      <c r="O146" s="60">
        <f t="shared" si="30"/>
        <v>0</v>
      </c>
    </row>
    <row r="147" spans="1:15" s="38" customFormat="1" ht="11.45" hidden="1" customHeight="1" outlineLevel="1" x14ac:dyDescent="0.25">
      <c r="A147" s="124"/>
      <c r="B147" s="137"/>
      <c r="C147" s="115"/>
      <c r="D147" s="115"/>
      <c r="E147" s="115"/>
      <c r="F147" s="115"/>
      <c r="G147" s="60" t="s">
        <v>126</v>
      </c>
      <c r="H147" s="124"/>
      <c r="I147" s="124"/>
      <c r="J147" s="60"/>
      <c r="K147" s="60"/>
      <c r="L147" s="60"/>
      <c r="M147" s="60"/>
      <c r="N147" s="60">
        <f t="shared" ref="N147:N152" si="33">M147*J147*K147*L147</f>
        <v>0</v>
      </c>
      <c r="O147" s="60">
        <f t="shared" si="30"/>
        <v>0</v>
      </c>
    </row>
    <row r="148" spans="1:15" s="38" customFormat="1" ht="10.7" hidden="1" customHeight="1" outlineLevel="1" x14ac:dyDescent="0.25">
      <c r="A148" s="124"/>
      <c r="B148" s="137"/>
      <c r="C148" s="115"/>
      <c r="D148" s="115"/>
      <c r="E148" s="115"/>
      <c r="F148" s="115"/>
      <c r="G148" s="60" t="s">
        <v>127</v>
      </c>
      <c r="H148" s="124"/>
      <c r="I148" s="124"/>
      <c r="J148" s="60"/>
      <c r="K148" s="60"/>
      <c r="L148" s="60"/>
      <c r="M148" s="60"/>
      <c r="N148" s="60">
        <f t="shared" si="33"/>
        <v>0</v>
      </c>
      <c r="O148" s="60">
        <f t="shared" si="30"/>
        <v>0</v>
      </c>
    </row>
    <row r="149" spans="1:15" s="38" customFormat="1" ht="10.7" hidden="1" customHeight="1" outlineLevel="1" x14ac:dyDescent="0.25">
      <c r="A149" s="124"/>
      <c r="B149" s="137"/>
      <c r="C149" s="115"/>
      <c r="D149" s="115"/>
      <c r="E149" s="115"/>
      <c r="F149" s="115"/>
      <c r="G149" s="60" t="s">
        <v>128</v>
      </c>
      <c r="H149" s="124"/>
      <c r="I149" s="124"/>
      <c r="J149" s="60"/>
      <c r="K149" s="60"/>
      <c r="L149" s="60"/>
      <c r="M149" s="60"/>
      <c r="N149" s="60">
        <f t="shared" si="33"/>
        <v>0</v>
      </c>
      <c r="O149" s="60">
        <f t="shared" si="30"/>
        <v>0</v>
      </c>
    </row>
    <row r="150" spans="1:15" s="38" customFormat="1" ht="10.7" hidden="1" customHeight="1" outlineLevel="1" x14ac:dyDescent="0.25">
      <c r="A150" s="124"/>
      <c r="B150" s="137"/>
      <c r="C150" s="115"/>
      <c r="D150" s="115"/>
      <c r="E150" s="115"/>
      <c r="F150" s="115"/>
      <c r="G150" s="60" t="s">
        <v>129</v>
      </c>
      <c r="H150" s="124"/>
      <c r="I150" s="124"/>
      <c r="J150" s="60"/>
      <c r="K150" s="60"/>
      <c r="L150" s="60"/>
      <c r="M150" s="60"/>
      <c r="N150" s="60">
        <f t="shared" si="33"/>
        <v>0</v>
      </c>
      <c r="O150" s="60">
        <f t="shared" si="30"/>
        <v>0</v>
      </c>
    </row>
    <row r="151" spans="1:15" s="38" customFormat="1" ht="10.7" hidden="1" customHeight="1" outlineLevel="1" x14ac:dyDescent="0.25">
      <c r="A151" s="124"/>
      <c r="B151" s="137"/>
      <c r="C151" s="115"/>
      <c r="D151" s="115"/>
      <c r="E151" s="115"/>
      <c r="F151" s="115"/>
      <c r="G151" s="60" t="s">
        <v>130</v>
      </c>
      <c r="H151" s="124"/>
      <c r="I151" s="124"/>
      <c r="J151" s="60"/>
      <c r="K151" s="60"/>
      <c r="L151" s="60"/>
      <c r="M151" s="60"/>
      <c r="N151" s="60">
        <f t="shared" si="33"/>
        <v>0</v>
      </c>
      <c r="O151" s="60">
        <f t="shared" si="30"/>
        <v>0</v>
      </c>
    </row>
    <row r="152" spans="1:15" s="38" customFormat="1" ht="12" hidden="1" customHeight="1" outlineLevel="1" thickBot="1" x14ac:dyDescent="0.3">
      <c r="A152" s="125"/>
      <c r="B152" s="138"/>
      <c r="C152" s="131"/>
      <c r="D152" s="131"/>
      <c r="E152" s="131"/>
      <c r="F152" s="131"/>
      <c r="G152" s="60" t="s">
        <v>131</v>
      </c>
      <c r="H152" s="134"/>
      <c r="I152" s="134"/>
      <c r="J152" s="60"/>
      <c r="K152" s="60"/>
      <c r="L152" s="60"/>
      <c r="M152" s="60"/>
      <c r="N152" s="60">
        <f t="shared" si="33"/>
        <v>0</v>
      </c>
      <c r="O152" s="60">
        <f t="shared" si="30"/>
        <v>0</v>
      </c>
    </row>
    <row r="153" spans="1:15" s="39" customFormat="1" ht="16.5" collapsed="1" thickBot="1" x14ac:dyDescent="0.3">
      <c r="A153" s="40" t="s">
        <v>40</v>
      </c>
      <c r="B153" s="41" t="s">
        <v>171</v>
      </c>
      <c r="C153" s="42">
        <f>SUM(C154:C167)</f>
        <v>0</v>
      </c>
      <c r="D153" s="42">
        <f>SUM(D154:D167)</f>
        <v>0</v>
      </c>
      <c r="E153" s="42">
        <f>SUM(E154:E167)</f>
        <v>0</v>
      </c>
      <c r="F153" s="57"/>
      <c r="G153" s="57"/>
      <c r="H153" s="57"/>
      <c r="I153" s="57"/>
      <c r="J153" s="57"/>
      <c r="K153" s="57"/>
      <c r="L153" s="57"/>
      <c r="M153" s="57"/>
      <c r="N153" s="57"/>
      <c r="O153" s="43"/>
    </row>
    <row r="154" spans="1:15" s="38" customFormat="1" ht="14.45" hidden="1" customHeight="1" outlineLevel="1" x14ac:dyDescent="0.25">
      <c r="A154" s="140" t="s">
        <v>172</v>
      </c>
      <c r="B154" s="141" t="s">
        <v>173</v>
      </c>
      <c r="C154" s="130">
        <f>SUM(N154:N160)</f>
        <v>0</v>
      </c>
      <c r="D154" s="130">
        <f>SUM(O154:O160)</f>
        <v>0</v>
      </c>
      <c r="E154" s="130">
        <f t="shared" ref="E154:E161" si="34">D154/8</f>
        <v>0</v>
      </c>
      <c r="F154" s="130"/>
      <c r="G154" s="60" t="s">
        <v>125</v>
      </c>
      <c r="H154" s="123"/>
      <c r="I154" s="123"/>
      <c r="J154" s="60"/>
      <c r="K154" s="60"/>
      <c r="L154" s="60"/>
      <c r="M154" s="60"/>
      <c r="N154" s="60">
        <f>M154*J154*K154*L154</f>
        <v>0</v>
      </c>
      <c r="O154" s="60">
        <f>J154*K154*L154</f>
        <v>0</v>
      </c>
    </row>
    <row r="155" spans="1:15" s="38" customFormat="1" ht="11.45" hidden="1" customHeight="1" outlineLevel="1" x14ac:dyDescent="0.25">
      <c r="A155" s="124"/>
      <c r="B155" s="142"/>
      <c r="C155" s="115"/>
      <c r="D155" s="115"/>
      <c r="E155" s="115"/>
      <c r="F155" s="115"/>
      <c r="G155" s="60" t="s">
        <v>126</v>
      </c>
      <c r="H155" s="124"/>
      <c r="I155" s="124"/>
      <c r="J155" s="60"/>
      <c r="K155" s="60"/>
      <c r="L155" s="60"/>
      <c r="M155" s="60"/>
      <c r="N155" s="60">
        <f t="shared" ref="N155:N160" si="35">M155*J155*K155*L155</f>
        <v>0</v>
      </c>
      <c r="O155" s="60">
        <f t="shared" ref="O155:O167" si="36">J155*K155*L155</f>
        <v>0</v>
      </c>
    </row>
    <row r="156" spans="1:15" s="38" customFormat="1" ht="10.7" hidden="1" customHeight="1" outlineLevel="1" x14ac:dyDescent="0.25">
      <c r="A156" s="124"/>
      <c r="B156" s="142"/>
      <c r="C156" s="115"/>
      <c r="D156" s="115"/>
      <c r="E156" s="115"/>
      <c r="F156" s="115"/>
      <c r="G156" s="60" t="s">
        <v>127</v>
      </c>
      <c r="H156" s="124"/>
      <c r="I156" s="124"/>
      <c r="J156" s="60"/>
      <c r="K156" s="60"/>
      <c r="L156" s="60"/>
      <c r="M156" s="60"/>
      <c r="N156" s="60">
        <f t="shared" si="35"/>
        <v>0</v>
      </c>
      <c r="O156" s="60">
        <f t="shared" si="36"/>
        <v>0</v>
      </c>
    </row>
    <row r="157" spans="1:15" s="38" customFormat="1" ht="10.7" hidden="1" customHeight="1" outlineLevel="1" x14ac:dyDescent="0.25">
      <c r="A157" s="124"/>
      <c r="B157" s="142"/>
      <c r="C157" s="115"/>
      <c r="D157" s="115"/>
      <c r="E157" s="115"/>
      <c r="F157" s="115"/>
      <c r="G157" s="60" t="s">
        <v>128</v>
      </c>
      <c r="H157" s="124"/>
      <c r="I157" s="124"/>
      <c r="J157" s="60"/>
      <c r="K157" s="60"/>
      <c r="L157" s="60"/>
      <c r="M157" s="60"/>
      <c r="N157" s="60">
        <f t="shared" si="35"/>
        <v>0</v>
      </c>
      <c r="O157" s="60">
        <f t="shared" si="36"/>
        <v>0</v>
      </c>
    </row>
    <row r="158" spans="1:15" s="38" customFormat="1" ht="10.7" hidden="1" customHeight="1" outlineLevel="1" x14ac:dyDescent="0.25">
      <c r="A158" s="124"/>
      <c r="B158" s="142"/>
      <c r="C158" s="115"/>
      <c r="D158" s="115"/>
      <c r="E158" s="115"/>
      <c r="F158" s="115"/>
      <c r="G158" s="60" t="s">
        <v>129</v>
      </c>
      <c r="H158" s="124"/>
      <c r="I158" s="124"/>
      <c r="J158" s="60"/>
      <c r="K158" s="60"/>
      <c r="L158" s="60"/>
      <c r="M158" s="60"/>
      <c r="N158" s="60">
        <f t="shared" si="35"/>
        <v>0</v>
      </c>
      <c r="O158" s="60">
        <f t="shared" si="36"/>
        <v>0</v>
      </c>
    </row>
    <row r="159" spans="1:15" s="38" customFormat="1" ht="10.7" hidden="1" customHeight="1" outlineLevel="1" x14ac:dyDescent="0.25">
      <c r="A159" s="124"/>
      <c r="B159" s="142"/>
      <c r="C159" s="115"/>
      <c r="D159" s="115"/>
      <c r="E159" s="115"/>
      <c r="F159" s="115"/>
      <c r="G159" s="60" t="s">
        <v>130</v>
      </c>
      <c r="H159" s="124"/>
      <c r="I159" s="124"/>
      <c r="J159" s="60"/>
      <c r="K159" s="60"/>
      <c r="L159" s="60"/>
      <c r="M159" s="60"/>
      <c r="N159" s="60">
        <f t="shared" si="35"/>
        <v>0</v>
      </c>
      <c r="O159" s="60">
        <f t="shared" si="36"/>
        <v>0</v>
      </c>
    </row>
    <row r="160" spans="1:15" s="38" customFormat="1" ht="12" hidden="1" customHeight="1" outlineLevel="1" thickBot="1" x14ac:dyDescent="0.3">
      <c r="A160" s="125"/>
      <c r="B160" s="143"/>
      <c r="C160" s="131"/>
      <c r="D160" s="131"/>
      <c r="E160" s="131"/>
      <c r="F160" s="131"/>
      <c r="G160" s="60" t="s">
        <v>131</v>
      </c>
      <c r="H160" s="134"/>
      <c r="I160" s="134"/>
      <c r="J160" s="60"/>
      <c r="K160" s="60"/>
      <c r="L160" s="60"/>
      <c r="M160" s="60"/>
      <c r="N160" s="60">
        <f t="shared" si="35"/>
        <v>0</v>
      </c>
      <c r="O160" s="60">
        <f t="shared" si="36"/>
        <v>0</v>
      </c>
    </row>
    <row r="161" spans="1:15" s="38" customFormat="1" ht="14.45" hidden="1" customHeight="1" outlineLevel="1" x14ac:dyDescent="0.25">
      <c r="A161" s="140" t="s">
        <v>174</v>
      </c>
      <c r="B161" s="141" t="s">
        <v>175</v>
      </c>
      <c r="C161" s="130">
        <f>SUM(N161:N167)</f>
        <v>0</v>
      </c>
      <c r="D161" s="130">
        <f>SUM(O161:O167)</f>
        <v>0</v>
      </c>
      <c r="E161" s="130">
        <f t="shared" si="34"/>
        <v>0</v>
      </c>
      <c r="F161" s="130"/>
      <c r="G161" s="60" t="s">
        <v>125</v>
      </c>
      <c r="H161" s="123"/>
      <c r="I161" s="123"/>
      <c r="J161" s="60"/>
      <c r="K161" s="60"/>
      <c r="L161" s="60"/>
      <c r="M161" s="60"/>
      <c r="N161" s="60">
        <f>M161*J161*K161*L161</f>
        <v>0</v>
      </c>
      <c r="O161" s="60">
        <f t="shared" si="36"/>
        <v>0</v>
      </c>
    </row>
    <row r="162" spans="1:15" s="38" customFormat="1" ht="11.45" hidden="1" customHeight="1" outlineLevel="1" x14ac:dyDescent="0.25">
      <c r="A162" s="124"/>
      <c r="B162" s="142"/>
      <c r="C162" s="115"/>
      <c r="D162" s="115"/>
      <c r="E162" s="115"/>
      <c r="F162" s="115"/>
      <c r="G162" s="60" t="s">
        <v>126</v>
      </c>
      <c r="H162" s="124"/>
      <c r="I162" s="124"/>
      <c r="J162" s="60"/>
      <c r="K162" s="60"/>
      <c r="L162" s="60"/>
      <c r="M162" s="60"/>
      <c r="N162" s="60">
        <f t="shared" ref="N162:N167" si="37">M162*J162*K162*L162</f>
        <v>0</v>
      </c>
      <c r="O162" s="60">
        <f t="shared" si="36"/>
        <v>0</v>
      </c>
    </row>
    <row r="163" spans="1:15" s="38" customFormat="1" ht="10.7" hidden="1" customHeight="1" outlineLevel="1" x14ac:dyDescent="0.25">
      <c r="A163" s="124"/>
      <c r="B163" s="142"/>
      <c r="C163" s="115"/>
      <c r="D163" s="115"/>
      <c r="E163" s="115"/>
      <c r="F163" s="115"/>
      <c r="G163" s="60" t="s">
        <v>127</v>
      </c>
      <c r="H163" s="124"/>
      <c r="I163" s="124"/>
      <c r="J163" s="60"/>
      <c r="K163" s="60"/>
      <c r="L163" s="60"/>
      <c r="M163" s="60"/>
      <c r="N163" s="60">
        <f t="shared" si="37"/>
        <v>0</v>
      </c>
      <c r="O163" s="60">
        <f t="shared" si="36"/>
        <v>0</v>
      </c>
    </row>
    <row r="164" spans="1:15" s="38" customFormat="1" ht="10.7" hidden="1" customHeight="1" outlineLevel="1" x14ac:dyDescent="0.25">
      <c r="A164" s="124"/>
      <c r="B164" s="142"/>
      <c r="C164" s="115"/>
      <c r="D164" s="115"/>
      <c r="E164" s="115"/>
      <c r="F164" s="115"/>
      <c r="G164" s="60" t="s">
        <v>128</v>
      </c>
      <c r="H164" s="124"/>
      <c r="I164" s="124"/>
      <c r="J164" s="60"/>
      <c r="K164" s="60"/>
      <c r="L164" s="60"/>
      <c r="M164" s="60"/>
      <c r="N164" s="60">
        <f t="shared" si="37"/>
        <v>0</v>
      </c>
      <c r="O164" s="60">
        <f t="shared" si="36"/>
        <v>0</v>
      </c>
    </row>
    <row r="165" spans="1:15" s="38" customFormat="1" ht="10.7" hidden="1" customHeight="1" outlineLevel="1" x14ac:dyDescent="0.25">
      <c r="A165" s="124"/>
      <c r="B165" s="142"/>
      <c r="C165" s="115"/>
      <c r="D165" s="115"/>
      <c r="E165" s="115"/>
      <c r="F165" s="115"/>
      <c r="G165" s="60" t="s">
        <v>129</v>
      </c>
      <c r="H165" s="124"/>
      <c r="I165" s="124"/>
      <c r="J165" s="60"/>
      <c r="K165" s="60"/>
      <c r="L165" s="60"/>
      <c r="M165" s="60"/>
      <c r="N165" s="60">
        <f t="shared" si="37"/>
        <v>0</v>
      </c>
      <c r="O165" s="60">
        <f t="shared" si="36"/>
        <v>0</v>
      </c>
    </row>
    <row r="166" spans="1:15" s="38" customFormat="1" ht="10.7" hidden="1" customHeight="1" outlineLevel="1" x14ac:dyDescent="0.25">
      <c r="A166" s="124"/>
      <c r="B166" s="142"/>
      <c r="C166" s="115"/>
      <c r="D166" s="115"/>
      <c r="E166" s="115"/>
      <c r="F166" s="115"/>
      <c r="G166" s="60" t="s">
        <v>130</v>
      </c>
      <c r="H166" s="124"/>
      <c r="I166" s="124"/>
      <c r="J166" s="60"/>
      <c r="K166" s="60"/>
      <c r="L166" s="60"/>
      <c r="M166" s="60"/>
      <c r="N166" s="60">
        <f t="shared" si="37"/>
        <v>0</v>
      </c>
      <c r="O166" s="60">
        <f t="shared" si="36"/>
        <v>0</v>
      </c>
    </row>
    <row r="167" spans="1:15" s="38" customFormat="1" ht="12" hidden="1" customHeight="1" outlineLevel="1" thickBot="1" x14ac:dyDescent="0.3">
      <c r="A167" s="125"/>
      <c r="B167" s="143"/>
      <c r="C167" s="131"/>
      <c r="D167" s="131"/>
      <c r="E167" s="131"/>
      <c r="F167" s="131"/>
      <c r="G167" s="60" t="s">
        <v>131</v>
      </c>
      <c r="H167" s="134"/>
      <c r="I167" s="134"/>
      <c r="J167" s="60"/>
      <c r="K167" s="60"/>
      <c r="L167" s="60"/>
      <c r="M167" s="60"/>
      <c r="N167" s="60">
        <f t="shared" si="37"/>
        <v>0</v>
      </c>
      <c r="O167" s="60">
        <f t="shared" si="36"/>
        <v>0</v>
      </c>
    </row>
    <row r="168" spans="1:15" s="39" customFormat="1" ht="16.5" collapsed="1" thickBot="1" x14ac:dyDescent="0.3">
      <c r="A168" s="40" t="s">
        <v>42</v>
      </c>
      <c r="B168" s="41" t="s">
        <v>176</v>
      </c>
      <c r="C168" s="42">
        <f>SUM(C169:C182)</f>
        <v>0</v>
      </c>
      <c r="D168" s="42">
        <f>SUM(D169:D182)</f>
        <v>0</v>
      </c>
      <c r="E168" s="42">
        <f>SUM(E169:E182)</f>
        <v>0</v>
      </c>
      <c r="F168" s="57"/>
      <c r="G168" s="57"/>
      <c r="H168" s="57"/>
      <c r="I168" s="57"/>
      <c r="J168" s="57"/>
      <c r="K168" s="57"/>
      <c r="L168" s="57"/>
      <c r="M168" s="57"/>
      <c r="N168" s="57"/>
      <c r="O168" s="43"/>
    </row>
    <row r="169" spans="1:15" s="38" customFormat="1" ht="14.45" hidden="1" customHeight="1" outlineLevel="1" x14ac:dyDescent="0.25">
      <c r="A169" s="140" t="s">
        <v>177</v>
      </c>
      <c r="B169" s="141" t="s">
        <v>178</v>
      </c>
      <c r="C169" s="130">
        <f>SUM(N169:N175)</f>
        <v>0</v>
      </c>
      <c r="D169" s="130">
        <f>SUM(O169:O175)</f>
        <v>0</v>
      </c>
      <c r="E169" s="130">
        <f t="shared" ref="E169:E176" si="38">D169/8</f>
        <v>0</v>
      </c>
      <c r="F169" s="130"/>
      <c r="G169" s="60" t="s">
        <v>125</v>
      </c>
      <c r="H169" s="123"/>
      <c r="I169" s="123"/>
      <c r="J169" s="60"/>
      <c r="K169" s="60"/>
      <c r="L169" s="60"/>
      <c r="M169" s="60"/>
      <c r="N169" s="60">
        <f>M169*J169*K169*L169</f>
        <v>0</v>
      </c>
      <c r="O169" s="60">
        <f>J169*K169*L169</f>
        <v>0</v>
      </c>
    </row>
    <row r="170" spans="1:15" s="38" customFormat="1" ht="11.45" hidden="1" customHeight="1" outlineLevel="1" x14ac:dyDescent="0.25">
      <c r="A170" s="124"/>
      <c r="B170" s="142"/>
      <c r="C170" s="115"/>
      <c r="D170" s="115"/>
      <c r="E170" s="115"/>
      <c r="F170" s="115"/>
      <c r="G170" s="60" t="s">
        <v>126</v>
      </c>
      <c r="H170" s="124"/>
      <c r="I170" s="124"/>
      <c r="J170" s="60"/>
      <c r="K170" s="60"/>
      <c r="L170" s="60"/>
      <c r="M170" s="60"/>
      <c r="N170" s="60">
        <f t="shared" ref="N170:N175" si="39">M170*J170*K170*L170</f>
        <v>0</v>
      </c>
      <c r="O170" s="60">
        <f t="shared" ref="O170:O182" si="40">J170*K170*L170</f>
        <v>0</v>
      </c>
    </row>
    <row r="171" spans="1:15" s="38" customFormat="1" ht="10.7" hidden="1" customHeight="1" outlineLevel="1" x14ac:dyDescent="0.25">
      <c r="A171" s="124"/>
      <c r="B171" s="142"/>
      <c r="C171" s="115"/>
      <c r="D171" s="115"/>
      <c r="E171" s="115"/>
      <c r="F171" s="115"/>
      <c r="G171" s="60" t="s">
        <v>127</v>
      </c>
      <c r="H171" s="124"/>
      <c r="I171" s="124"/>
      <c r="J171" s="60"/>
      <c r="K171" s="60"/>
      <c r="L171" s="60"/>
      <c r="M171" s="60"/>
      <c r="N171" s="60">
        <f t="shared" si="39"/>
        <v>0</v>
      </c>
      <c r="O171" s="60">
        <f t="shared" si="40"/>
        <v>0</v>
      </c>
    </row>
    <row r="172" spans="1:15" s="38" customFormat="1" ht="10.7" hidden="1" customHeight="1" outlineLevel="1" x14ac:dyDescent="0.25">
      <c r="A172" s="124"/>
      <c r="B172" s="142"/>
      <c r="C172" s="115"/>
      <c r="D172" s="115"/>
      <c r="E172" s="115"/>
      <c r="F172" s="115"/>
      <c r="G172" s="60" t="s">
        <v>128</v>
      </c>
      <c r="H172" s="124"/>
      <c r="I172" s="124"/>
      <c r="J172" s="60"/>
      <c r="K172" s="60"/>
      <c r="L172" s="60"/>
      <c r="M172" s="60"/>
      <c r="N172" s="60">
        <f t="shared" si="39"/>
        <v>0</v>
      </c>
      <c r="O172" s="60">
        <f t="shared" si="40"/>
        <v>0</v>
      </c>
    </row>
    <row r="173" spans="1:15" s="38" customFormat="1" ht="10.7" hidden="1" customHeight="1" outlineLevel="1" x14ac:dyDescent="0.25">
      <c r="A173" s="124"/>
      <c r="B173" s="142"/>
      <c r="C173" s="115"/>
      <c r="D173" s="115"/>
      <c r="E173" s="115"/>
      <c r="F173" s="115"/>
      <c r="G173" s="60" t="s">
        <v>129</v>
      </c>
      <c r="H173" s="124"/>
      <c r="I173" s="124"/>
      <c r="J173" s="60"/>
      <c r="K173" s="60"/>
      <c r="L173" s="60"/>
      <c r="M173" s="60"/>
      <c r="N173" s="60">
        <f t="shared" si="39"/>
        <v>0</v>
      </c>
      <c r="O173" s="60">
        <f t="shared" si="40"/>
        <v>0</v>
      </c>
    </row>
    <row r="174" spans="1:15" s="38" customFormat="1" ht="10.7" hidden="1" customHeight="1" outlineLevel="1" x14ac:dyDescent="0.25">
      <c r="A174" s="124"/>
      <c r="B174" s="142"/>
      <c r="C174" s="115"/>
      <c r="D174" s="115"/>
      <c r="E174" s="115"/>
      <c r="F174" s="115"/>
      <c r="G174" s="60" t="s">
        <v>130</v>
      </c>
      <c r="H174" s="124"/>
      <c r="I174" s="124"/>
      <c r="J174" s="60"/>
      <c r="K174" s="60"/>
      <c r="L174" s="60"/>
      <c r="M174" s="60"/>
      <c r="N174" s="60">
        <f t="shared" si="39"/>
        <v>0</v>
      </c>
      <c r="O174" s="60">
        <f t="shared" si="40"/>
        <v>0</v>
      </c>
    </row>
    <row r="175" spans="1:15" s="38" customFormat="1" ht="12" hidden="1" customHeight="1" outlineLevel="1" thickBot="1" x14ac:dyDescent="0.3">
      <c r="A175" s="125"/>
      <c r="B175" s="143"/>
      <c r="C175" s="131"/>
      <c r="D175" s="131"/>
      <c r="E175" s="131"/>
      <c r="F175" s="131"/>
      <c r="G175" s="60" t="s">
        <v>131</v>
      </c>
      <c r="H175" s="134"/>
      <c r="I175" s="134"/>
      <c r="J175" s="60"/>
      <c r="K175" s="60"/>
      <c r="L175" s="60"/>
      <c r="M175" s="60"/>
      <c r="N175" s="60">
        <f t="shared" si="39"/>
        <v>0</v>
      </c>
      <c r="O175" s="60">
        <f t="shared" si="40"/>
        <v>0</v>
      </c>
    </row>
    <row r="176" spans="1:15" s="38" customFormat="1" ht="14.45" hidden="1" customHeight="1" outlineLevel="1" x14ac:dyDescent="0.25">
      <c r="A176" s="140" t="s">
        <v>179</v>
      </c>
      <c r="B176" s="141" t="s">
        <v>180</v>
      </c>
      <c r="C176" s="130">
        <f>SUM(N176:N182)</f>
        <v>0</v>
      </c>
      <c r="D176" s="130">
        <f>SUM(O176:O182)</f>
        <v>0</v>
      </c>
      <c r="E176" s="130">
        <f t="shared" si="38"/>
        <v>0</v>
      </c>
      <c r="F176" s="130"/>
      <c r="G176" s="60" t="s">
        <v>125</v>
      </c>
      <c r="H176" s="123"/>
      <c r="I176" s="123"/>
      <c r="J176" s="60"/>
      <c r="K176" s="60"/>
      <c r="L176" s="60"/>
      <c r="M176" s="60"/>
      <c r="N176" s="60">
        <f>M176*J176*K176*L176</f>
        <v>0</v>
      </c>
      <c r="O176" s="60">
        <f t="shared" si="40"/>
        <v>0</v>
      </c>
    </row>
    <row r="177" spans="1:15" s="38" customFormat="1" ht="11.45" hidden="1" customHeight="1" outlineLevel="1" x14ac:dyDescent="0.25">
      <c r="A177" s="124"/>
      <c r="B177" s="142"/>
      <c r="C177" s="115"/>
      <c r="D177" s="115"/>
      <c r="E177" s="115"/>
      <c r="F177" s="115"/>
      <c r="G177" s="60" t="s">
        <v>126</v>
      </c>
      <c r="H177" s="124"/>
      <c r="I177" s="124"/>
      <c r="J177" s="60"/>
      <c r="K177" s="60"/>
      <c r="L177" s="60"/>
      <c r="M177" s="60"/>
      <c r="N177" s="60">
        <f t="shared" ref="N177:N182" si="41">M177*J177*K177*L177</f>
        <v>0</v>
      </c>
      <c r="O177" s="60">
        <f t="shared" si="40"/>
        <v>0</v>
      </c>
    </row>
    <row r="178" spans="1:15" s="38" customFormat="1" ht="10.7" hidden="1" customHeight="1" outlineLevel="1" x14ac:dyDescent="0.25">
      <c r="A178" s="124"/>
      <c r="B178" s="142"/>
      <c r="C178" s="115"/>
      <c r="D178" s="115"/>
      <c r="E178" s="115"/>
      <c r="F178" s="115"/>
      <c r="G178" s="60" t="s">
        <v>127</v>
      </c>
      <c r="H178" s="124"/>
      <c r="I178" s="124"/>
      <c r="J178" s="60"/>
      <c r="K178" s="60"/>
      <c r="L178" s="60"/>
      <c r="M178" s="60"/>
      <c r="N178" s="60">
        <f t="shared" si="41"/>
        <v>0</v>
      </c>
      <c r="O178" s="60">
        <f t="shared" si="40"/>
        <v>0</v>
      </c>
    </row>
    <row r="179" spans="1:15" s="38" customFormat="1" ht="10.7" hidden="1" customHeight="1" outlineLevel="1" x14ac:dyDescent="0.25">
      <c r="A179" s="124"/>
      <c r="B179" s="142"/>
      <c r="C179" s="115"/>
      <c r="D179" s="115"/>
      <c r="E179" s="115"/>
      <c r="F179" s="115"/>
      <c r="G179" s="60" t="s">
        <v>128</v>
      </c>
      <c r="H179" s="124"/>
      <c r="I179" s="124"/>
      <c r="J179" s="60"/>
      <c r="K179" s="60"/>
      <c r="L179" s="60"/>
      <c r="M179" s="60"/>
      <c r="N179" s="60">
        <f t="shared" si="41"/>
        <v>0</v>
      </c>
      <c r="O179" s="60">
        <f t="shared" si="40"/>
        <v>0</v>
      </c>
    </row>
    <row r="180" spans="1:15" s="38" customFormat="1" ht="10.7" hidden="1" customHeight="1" outlineLevel="1" x14ac:dyDescent="0.25">
      <c r="A180" s="124"/>
      <c r="B180" s="142"/>
      <c r="C180" s="115"/>
      <c r="D180" s="115"/>
      <c r="E180" s="115"/>
      <c r="F180" s="115"/>
      <c r="G180" s="60" t="s">
        <v>129</v>
      </c>
      <c r="H180" s="124"/>
      <c r="I180" s="124"/>
      <c r="J180" s="60"/>
      <c r="K180" s="60"/>
      <c r="L180" s="60"/>
      <c r="M180" s="60"/>
      <c r="N180" s="60">
        <f t="shared" si="41"/>
        <v>0</v>
      </c>
      <c r="O180" s="60">
        <f t="shared" si="40"/>
        <v>0</v>
      </c>
    </row>
    <row r="181" spans="1:15" s="38" customFormat="1" ht="10.7" hidden="1" customHeight="1" outlineLevel="1" x14ac:dyDescent="0.25">
      <c r="A181" s="124"/>
      <c r="B181" s="142"/>
      <c r="C181" s="115"/>
      <c r="D181" s="115"/>
      <c r="E181" s="115"/>
      <c r="F181" s="115"/>
      <c r="G181" s="60" t="s">
        <v>130</v>
      </c>
      <c r="H181" s="124"/>
      <c r="I181" s="124"/>
      <c r="J181" s="60"/>
      <c r="K181" s="60"/>
      <c r="L181" s="60"/>
      <c r="M181" s="60"/>
      <c r="N181" s="60">
        <f t="shared" si="41"/>
        <v>0</v>
      </c>
      <c r="O181" s="60">
        <f t="shared" si="40"/>
        <v>0</v>
      </c>
    </row>
    <row r="182" spans="1:15" s="38" customFormat="1" ht="12" hidden="1" customHeight="1" outlineLevel="1" thickBot="1" x14ac:dyDescent="0.3">
      <c r="A182" s="125"/>
      <c r="B182" s="143"/>
      <c r="C182" s="131"/>
      <c r="D182" s="131"/>
      <c r="E182" s="131"/>
      <c r="F182" s="131"/>
      <c r="G182" s="60" t="s">
        <v>131</v>
      </c>
      <c r="H182" s="134"/>
      <c r="I182" s="134"/>
      <c r="J182" s="60"/>
      <c r="K182" s="60"/>
      <c r="L182" s="60"/>
      <c r="M182" s="60"/>
      <c r="N182" s="60">
        <f t="shared" si="41"/>
        <v>0</v>
      </c>
      <c r="O182" s="60">
        <f t="shared" si="40"/>
        <v>0</v>
      </c>
    </row>
    <row r="183" spans="1:15" s="39" customFormat="1" ht="16.5" collapsed="1" thickBot="1" x14ac:dyDescent="0.3">
      <c r="A183" s="40" t="s">
        <v>44</v>
      </c>
      <c r="B183" s="41" t="s">
        <v>181</v>
      </c>
      <c r="C183" s="42">
        <f>SUM(C184:C428)</f>
        <v>0</v>
      </c>
      <c r="D183" s="42">
        <f>SUM(D184:D428)</f>
        <v>0</v>
      </c>
      <c r="E183" s="42">
        <f>SUM(E184:E428)</f>
        <v>0</v>
      </c>
      <c r="F183" s="57"/>
      <c r="G183" s="57"/>
      <c r="H183" s="57"/>
      <c r="I183" s="57"/>
      <c r="J183" s="57"/>
      <c r="K183" s="57"/>
      <c r="L183" s="57"/>
      <c r="M183" s="57"/>
      <c r="N183" s="57"/>
      <c r="O183" s="43"/>
    </row>
    <row r="184" spans="1:15" s="38" customFormat="1" ht="14.45" hidden="1" customHeight="1" outlineLevel="1" x14ac:dyDescent="0.25">
      <c r="A184" s="126" t="s">
        <v>182</v>
      </c>
      <c r="B184" s="127" t="s">
        <v>183</v>
      </c>
      <c r="C184" s="130">
        <f>SUM(N184:N190)</f>
        <v>0</v>
      </c>
      <c r="D184" s="130">
        <f>SUM(O184:O190)</f>
        <v>0</v>
      </c>
      <c r="E184" s="130">
        <f t="shared" ref="E184:E226" si="42">D184/8</f>
        <v>0</v>
      </c>
      <c r="F184" s="130"/>
      <c r="G184" s="60" t="s">
        <v>125</v>
      </c>
      <c r="H184" s="123"/>
      <c r="I184" s="123"/>
      <c r="J184" s="60"/>
      <c r="K184" s="60"/>
      <c r="L184" s="60"/>
      <c r="M184" s="60"/>
      <c r="N184" s="60">
        <f>M184*J184*K184*L184</f>
        <v>0</v>
      </c>
      <c r="O184" s="60">
        <f>J184*K184*L184</f>
        <v>0</v>
      </c>
    </row>
    <row r="185" spans="1:15" s="38" customFormat="1" ht="11.45" hidden="1" customHeight="1" outlineLevel="1" x14ac:dyDescent="0.25">
      <c r="A185" s="124"/>
      <c r="B185" s="137"/>
      <c r="C185" s="115"/>
      <c r="D185" s="115"/>
      <c r="E185" s="115"/>
      <c r="F185" s="115"/>
      <c r="G185" s="60" t="s">
        <v>126</v>
      </c>
      <c r="H185" s="124"/>
      <c r="I185" s="124"/>
      <c r="J185" s="60"/>
      <c r="K185" s="60"/>
      <c r="L185" s="60"/>
      <c r="M185" s="60"/>
      <c r="N185" s="60">
        <f t="shared" ref="N185:N190" si="43">M185*J185*K185*L185</f>
        <v>0</v>
      </c>
      <c r="O185" s="60">
        <f t="shared" ref="O185:O248" si="44">J185*K185*L185</f>
        <v>0</v>
      </c>
    </row>
    <row r="186" spans="1:15" s="38" customFormat="1" ht="10.7" hidden="1" customHeight="1" outlineLevel="1" x14ac:dyDescent="0.25">
      <c r="A186" s="124"/>
      <c r="B186" s="137"/>
      <c r="C186" s="115"/>
      <c r="D186" s="115"/>
      <c r="E186" s="115"/>
      <c r="F186" s="115"/>
      <c r="G186" s="60" t="s">
        <v>127</v>
      </c>
      <c r="H186" s="124"/>
      <c r="I186" s="124"/>
      <c r="J186" s="60"/>
      <c r="K186" s="60"/>
      <c r="L186" s="60"/>
      <c r="M186" s="60"/>
      <c r="N186" s="60">
        <f t="shared" si="43"/>
        <v>0</v>
      </c>
      <c r="O186" s="60">
        <f t="shared" si="44"/>
        <v>0</v>
      </c>
    </row>
    <row r="187" spans="1:15" s="38" customFormat="1" ht="10.7" hidden="1" customHeight="1" outlineLevel="1" x14ac:dyDescent="0.25">
      <c r="A187" s="124"/>
      <c r="B187" s="137"/>
      <c r="C187" s="115"/>
      <c r="D187" s="115"/>
      <c r="E187" s="115"/>
      <c r="F187" s="115"/>
      <c r="G187" s="60" t="s">
        <v>128</v>
      </c>
      <c r="H187" s="124"/>
      <c r="I187" s="124"/>
      <c r="J187" s="60"/>
      <c r="K187" s="60"/>
      <c r="L187" s="60"/>
      <c r="M187" s="60"/>
      <c r="N187" s="60">
        <f t="shared" si="43"/>
        <v>0</v>
      </c>
      <c r="O187" s="60">
        <f t="shared" si="44"/>
        <v>0</v>
      </c>
    </row>
    <row r="188" spans="1:15" s="38" customFormat="1" ht="10.7" hidden="1" customHeight="1" outlineLevel="1" x14ac:dyDescent="0.25">
      <c r="A188" s="124"/>
      <c r="B188" s="137"/>
      <c r="C188" s="115"/>
      <c r="D188" s="115"/>
      <c r="E188" s="115"/>
      <c r="F188" s="115"/>
      <c r="G188" s="60" t="s">
        <v>129</v>
      </c>
      <c r="H188" s="124"/>
      <c r="I188" s="124"/>
      <c r="J188" s="60"/>
      <c r="K188" s="60"/>
      <c r="L188" s="60"/>
      <c r="M188" s="60"/>
      <c r="N188" s="60">
        <f t="shared" si="43"/>
        <v>0</v>
      </c>
      <c r="O188" s="60">
        <f t="shared" si="44"/>
        <v>0</v>
      </c>
    </row>
    <row r="189" spans="1:15" s="38" customFormat="1" ht="10.7" hidden="1" customHeight="1" outlineLevel="1" x14ac:dyDescent="0.25">
      <c r="A189" s="124"/>
      <c r="B189" s="137"/>
      <c r="C189" s="115"/>
      <c r="D189" s="115"/>
      <c r="E189" s="115"/>
      <c r="F189" s="115"/>
      <c r="G189" s="60" t="s">
        <v>130</v>
      </c>
      <c r="H189" s="124"/>
      <c r="I189" s="124"/>
      <c r="J189" s="60"/>
      <c r="K189" s="60"/>
      <c r="L189" s="60"/>
      <c r="M189" s="60"/>
      <c r="N189" s="60">
        <f t="shared" si="43"/>
        <v>0</v>
      </c>
      <c r="O189" s="60">
        <f t="shared" si="44"/>
        <v>0</v>
      </c>
    </row>
    <row r="190" spans="1:15" s="38" customFormat="1" ht="12" hidden="1" customHeight="1" outlineLevel="1" thickBot="1" x14ac:dyDescent="0.3">
      <c r="A190" s="125"/>
      <c r="B190" s="138"/>
      <c r="C190" s="131"/>
      <c r="D190" s="131"/>
      <c r="E190" s="131"/>
      <c r="F190" s="131"/>
      <c r="G190" s="60" t="s">
        <v>131</v>
      </c>
      <c r="H190" s="134"/>
      <c r="I190" s="134"/>
      <c r="J190" s="60"/>
      <c r="K190" s="60"/>
      <c r="L190" s="60"/>
      <c r="M190" s="60"/>
      <c r="N190" s="60">
        <f t="shared" si="43"/>
        <v>0</v>
      </c>
      <c r="O190" s="60">
        <f t="shared" si="44"/>
        <v>0</v>
      </c>
    </row>
    <row r="191" spans="1:15" s="38" customFormat="1" ht="14.45" hidden="1" customHeight="1" outlineLevel="1" x14ac:dyDescent="0.25">
      <c r="A191" s="126" t="s">
        <v>184</v>
      </c>
      <c r="B191" s="127" t="s">
        <v>185</v>
      </c>
      <c r="C191" s="130">
        <f>SUM(N191:N197)</f>
        <v>0</v>
      </c>
      <c r="D191" s="130">
        <f>SUM(O191:O197)</f>
        <v>0</v>
      </c>
      <c r="E191" s="130">
        <f t="shared" si="42"/>
        <v>0</v>
      </c>
      <c r="F191" s="130"/>
      <c r="G191" s="60" t="s">
        <v>125</v>
      </c>
      <c r="H191" s="123"/>
      <c r="I191" s="123"/>
      <c r="J191" s="60"/>
      <c r="K191" s="60"/>
      <c r="L191" s="60"/>
      <c r="M191" s="60"/>
      <c r="N191" s="60">
        <f>M191*J191*K191*L191</f>
        <v>0</v>
      </c>
      <c r="O191" s="60">
        <f t="shared" si="44"/>
        <v>0</v>
      </c>
    </row>
    <row r="192" spans="1:15" s="38" customFormat="1" ht="11.45" hidden="1" customHeight="1" outlineLevel="1" x14ac:dyDescent="0.25">
      <c r="A192" s="124"/>
      <c r="B192" s="137"/>
      <c r="C192" s="115"/>
      <c r="D192" s="115"/>
      <c r="E192" s="115"/>
      <c r="F192" s="115"/>
      <c r="G192" s="60" t="s">
        <v>126</v>
      </c>
      <c r="H192" s="124"/>
      <c r="I192" s="124"/>
      <c r="J192" s="60"/>
      <c r="K192" s="60"/>
      <c r="L192" s="60"/>
      <c r="M192" s="60"/>
      <c r="N192" s="60">
        <f t="shared" ref="N192:N197" si="45">M192*J192*K192*L192</f>
        <v>0</v>
      </c>
      <c r="O192" s="60">
        <f t="shared" si="44"/>
        <v>0</v>
      </c>
    </row>
    <row r="193" spans="1:15" s="38" customFormat="1" ht="10.7" hidden="1" customHeight="1" outlineLevel="1" x14ac:dyDescent="0.25">
      <c r="A193" s="124"/>
      <c r="B193" s="137"/>
      <c r="C193" s="115"/>
      <c r="D193" s="115"/>
      <c r="E193" s="115"/>
      <c r="F193" s="115"/>
      <c r="G193" s="60" t="s">
        <v>127</v>
      </c>
      <c r="H193" s="124"/>
      <c r="I193" s="124"/>
      <c r="J193" s="60"/>
      <c r="K193" s="60"/>
      <c r="L193" s="60"/>
      <c r="M193" s="60"/>
      <c r="N193" s="60">
        <f t="shared" si="45"/>
        <v>0</v>
      </c>
      <c r="O193" s="60">
        <f t="shared" si="44"/>
        <v>0</v>
      </c>
    </row>
    <row r="194" spans="1:15" s="38" customFormat="1" ht="10.7" hidden="1" customHeight="1" outlineLevel="1" x14ac:dyDescent="0.25">
      <c r="A194" s="124"/>
      <c r="B194" s="137"/>
      <c r="C194" s="115"/>
      <c r="D194" s="115"/>
      <c r="E194" s="115"/>
      <c r="F194" s="115"/>
      <c r="G194" s="60" t="s">
        <v>128</v>
      </c>
      <c r="H194" s="124"/>
      <c r="I194" s="124"/>
      <c r="J194" s="60"/>
      <c r="K194" s="60"/>
      <c r="L194" s="60"/>
      <c r="M194" s="60"/>
      <c r="N194" s="60">
        <f t="shared" si="45"/>
        <v>0</v>
      </c>
      <c r="O194" s="60">
        <f t="shared" si="44"/>
        <v>0</v>
      </c>
    </row>
    <row r="195" spans="1:15" s="38" customFormat="1" ht="10.7" hidden="1" customHeight="1" outlineLevel="1" x14ac:dyDescent="0.25">
      <c r="A195" s="124"/>
      <c r="B195" s="137"/>
      <c r="C195" s="115"/>
      <c r="D195" s="115"/>
      <c r="E195" s="115"/>
      <c r="F195" s="115"/>
      <c r="G195" s="60" t="s">
        <v>129</v>
      </c>
      <c r="H195" s="124"/>
      <c r="I195" s="124"/>
      <c r="J195" s="60"/>
      <c r="K195" s="60"/>
      <c r="L195" s="60"/>
      <c r="M195" s="60"/>
      <c r="N195" s="60">
        <f t="shared" si="45"/>
        <v>0</v>
      </c>
      <c r="O195" s="60">
        <f t="shared" si="44"/>
        <v>0</v>
      </c>
    </row>
    <row r="196" spans="1:15" s="38" customFormat="1" ht="10.7" hidden="1" customHeight="1" outlineLevel="1" x14ac:dyDescent="0.25">
      <c r="A196" s="124"/>
      <c r="B196" s="137"/>
      <c r="C196" s="115"/>
      <c r="D196" s="115"/>
      <c r="E196" s="115"/>
      <c r="F196" s="115"/>
      <c r="G196" s="60" t="s">
        <v>130</v>
      </c>
      <c r="H196" s="124"/>
      <c r="I196" s="124"/>
      <c r="J196" s="60"/>
      <c r="K196" s="60"/>
      <c r="L196" s="60"/>
      <c r="M196" s="60"/>
      <c r="N196" s="60">
        <f t="shared" si="45"/>
        <v>0</v>
      </c>
      <c r="O196" s="60">
        <f t="shared" si="44"/>
        <v>0</v>
      </c>
    </row>
    <row r="197" spans="1:15" s="38" customFormat="1" ht="12" hidden="1" customHeight="1" outlineLevel="1" thickBot="1" x14ac:dyDescent="0.3">
      <c r="A197" s="125"/>
      <c r="B197" s="138"/>
      <c r="C197" s="131"/>
      <c r="D197" s="131"/>
      <c r="E197" s="131"/>
      <c r="F197" s="131"/>
      <c r="G197" s="60" t="s">
        <v>131</v>
      </c>
      <c r="H197" s="134"/>
      <c r="I197" s="134"/>
      <c r="J197" s="60"/>
      <c r="K197" s="60"/>
      <c r="L197" s="60"/>
      <c r="M197" s="60"/>
      <c r="N197" s="60">
        <f t="shared" si="45"/>
        <v>0</v>
      </c>
      <c r="O197" s="60">
        <f t="shared" si="44"/>
        <v>0</v>
      </c>
    </row>
    <row r="198" spans="1:15" s="38" customFormat="1" ht="14.45" hidden="1" customHeight="1" outlineLevel="1" x14ac:dyDescent="0.25">
      <c r="A198" s="126" t="s">
        <v>186</v>
      </c>
      <c r="B198" s="127" t="s">
        <v>187</v>
      </c>
      <c r="C198" s="130">
        <f>SUM(N198:N204)</f>
        <v>0</v>
      </c>
      <c r="D198" s="130">
        <f>SUM(O198:O204)</f>
        <v>0</v>
      </c>
      <c r="E198" s="130">
        <f t="shared" si="42"/>
        <v>0</v>
      </c>
      <c r="F198" s="130"/>
      <c r="G198" s="60" t="s">
        <v>125</v>
      </c>
      <c r="H198" s="123"/>
      <c r="I198" s="123"/>
      <c r="J198" s="60"/>
      <c r="K198" s="60"/>
      <c r="L198" s="60"/>
      <c r="M198" s="60"/>
      <c r="N198" s="60">
        <f>M198*J198*K198*L198</f>
        <v>0</v>
      </c>
      <c r="O198" s="60">
        <f t="shared" si="44"/>
        <v>0</v>
      </c>
    </row>
    <row r="199" spans="1:15" s="38" customFormat="1" ht="11.45" hidden="1" customHeight="1" outlineLevel="1" x14ac:dyDescent="0.25">
      <c r="A199" s="124"/>
      <c r="B199" s="137"/>
      <c r="C199" s="115"/>
      <c r="D199" s="115"/>
      <c r="E199" s="115"/>
      <c r="F199" s="115"/>
      <c r="G199" s="60" t="s">
        <v>126</v>
      </c>
      <c r="H199" s="124"/>
      <c r="I199" s="124"/>
      <c r="J199" s="60"/>
      <c r="K199" s="60"/>
      <c r="L199" s="60"/>
      <c r="M199" s="60"/>
      <c r="N199" s="60">
        <f t="shared" ref="N199:N204" si="46">M199*J199*K199*L199</f>
        <v>0</v>
      </c>
      <c r="O199" s="60">
        <f t="shared" si="44"/>
        <v>0</v>
      </c>
    </row>
    <row r="200" spans="1:15" s="38" customFormat="1" ht="10.7" hidden="1" customHeight="1" outlineLevel="1" x14ac:dyDescent="0.25">
      <c r="A200" s="124"/>
      <c r="B200" s="137"/>
      <c r="C200" s="115"/>
      <c r="D200" s="115"/>
      <c r="E200" s="115"/>
      <c r="F200" s="115"/>
      <c r="G200" s="60" t="s">
        <v>127</v>
      </c>
      <c r="H200" s="124"/>
      <c r="I200" s="124"/>
      <c r="J200" s="60"/>
      <c r="K200" s="60"/>
      <c r="L200" s="60"/>
      <c r="M200" s="60"/>
      <c r="N200" s="60">
        <f t="shared" si="46"/>
        <v>0</v>
      </c>
      <c r="O200" s="60">
        <f t="shared" si="44"/>
        <v>0</v>
      </c>
    </row>
    <row r="201" spans="1:15" s="38" customFormat="1" ht="10.7" hidden="1" customHeight="1" outlineLevel="1" x14ac:dyDescent="0.25">
      <c r="A201" s="124"/>
      <c r="B201" s="137"/>
      <c r="C201" s="115"/>
      <c r="D201" s="115"/>
      <c r="E201" s="115"/>
      <c r="F201" s="115"/>
      <c r="G201" s="60" t="s">
        <v>128</v>
      </c>
      <c r="H201" s="124"/>
      <c r="I201" s="124"/>
      <c r="J201" s="60"/>
      <c r="K201" s="60"/>
      <c r="L201" s="60"/>
      <c r="M201" s="60"/>
      <c r="N201" s="60">
        <f t="shared" si="46"/>
        <v>0</v>
      </c>
      <c r="O201" s="60">
        <f t="shared" si="44"/>
        <v>0</v>
      </c>
    </row>
    <row r="202" spans="1:15" s="38" customFormat="1" ht="10.7" hidden="1" customHeight="1" outlineLevel="1" x14ac:dyDescent="0.25">
      <c r="A202" s="124"/>
      <c r="B202" s="137"/>
      <c r="C202" s="115"/>
      <c r="D202" s="115"/>
      <c r="E202" s="115"/>
      <c r="F202" s="115"/>
      <c r="G202" s="60" t="s">
        <v>129</v>
      </c>
      <c r="H202" s="124"/>
      <c r="I202" s="124"/>
      <c r="J202" s="60"/>
      <c r="K202" s="60"/>
      <c r="L202" s="60"/>
      <c r="M202" s="60"/>
      <c r="N202" s="60">
        <f t="shared" si="46"/>
        <v>0</v>
      </c>
      <c r="O202" s="60">
        <f t="shared" si="44"/>
        <v>0</v>
      </c>
    </row>
    <row r="203" spans="1:15" s="38" customFormat="1" ht="10.7" hidden="1" customHeight="1" outlineLevel="1" x14ac:dyDescent="0.25">
      <c r="A203" s="124"/>
      <c r="B203" s="137"/>
      <c r="C203" s="115"/>
      <c r="D203" s="115"/>
      <c r="E203" s="115"/>
      <c r="F203" s="115"/>
      <c r="G203" s="60" t="s">
        <v>130</v>
      </c>
      <c r="H203" s="124"/>
      <c r="I203" s="124"/>
      <c r="J203" s="60"/>
      <c r="K203" s="60"/>
      <c r="L203" s="60"/>
      <c r="M203" s="60"/>
      <c r="N203" s="60">
        <f t="shared" si="46"/>
        <v>0</v>
      </c>
      <c r="O203" s="60">
        <f t="shared" si="44"/>
        <v>0</v>
      </c>
    </row>
    <row r="204" spans="1:15" s="38" customFormat="1" ht="12" hidden="1" customHeight="1" outlineLevel="1" thickBot="1" x14ac:dyDescent="0.3">
      <c r="A204" s="125"/>
      <c r="B204" s="138"/>
      <c r="C204" s="131"/>
      <c r="D204" s="131"/>
      <c r="E204" s="131"/>
      <c r="F204" s="131"/>
      <c r="G204" s="60" t="s">
        <v>131</v>
      </c>
      <c r="H204" s="134"/>
      <c r="I204" s="134"/>
      <c r="J204" s="60"/>
      <c r="K204" s="60"/>
      <c r="L204" s="60"/>
      <c r="M204" s="60"/>
      <c r="N204" s="60">
        <f t="shared" si="46"/>
        <v>0</v>
      </c>
      <c r="O204" s="60">
        <f t="shared" si="44"/>
        <v>0</v>
      </c>
    </row>
    <row r="205" spans="1:15" s="38" customFormat="1" ht="14.45" hidden="1" customHeight="1" outlineLevel="1" x14ac:dyDescent="0.25">
      <c r="A205" s="126" t="s">
        <v>188</v>
      </c>
      <c r="B205" s="127" t="s">
        <v>189</v>
      </c>
      <c r="C205" s="130">
        <f>SUM(N205:N211)</f>
        <v>0</v>
      </c>
      <c r="D205" s="130">
        <f>SUM(O205:O211)</f>
        <v>0</v>
      </c>
      <c r="E205" s="130">
        <f t="shared" si="42"/>
        <v>0</v>
      </c>
      <c r="F205" s="130"/>
      <c r="G205" s="60" t="s">
        <v>125</v>
      </c>
      <c r="H205" s="123"/>
      <c r="I205" s="123"/>
      <c r="J205" s="60"/>
      <c r="K205" s="60"/>
      <c r="L205" s="60"/>
      <c r="M205" s="60"/>
      <c r="N205" s="60">
        <f>M205*J205*K205*L205</f>
        <v>0</v>
      </c>
      <c r="O205" s="60">
        <f t="shared" si="44"/>
        <v>0</v>
      </c>
    </row>
    <row r="206" spans="1:15" s="38" customFormat="1" ht="11.45" hidden="1" customHeight="1" outlineLevel="1" x14ac:dyDescent="0.25">
      <c r="A206" s="124"/>
      <c r="B206" s="137"/>
      <c r="C206" s="115"/>
      <c r="D206" s="115"/>
      <c r="E206" s="115"/>
      <c r="F206" s="115"/>
      <c r="G206" s="60" t="s">
        <v>126</v>
      </c>
      <c r="H206" s="124"/>
      <c r="I206" s="124"/>
      <c r="J206" s="60"/>
      <c r="K206" s="60"/>
      <c r="L206" s="60"/>
      <c r="M206" s="60"/>
      <c r="N206" s="60">
        <f t="shared" ref="N206:N211" si="47">M206*J206*K206*L206</f>
        <v>0</v>
      </c>
      <c r="O206" s="60">
        <f t="shared" si="44"/>
        <v>0</v>
      </c>
    </row>
    <row r="207" spans="1:15" s="38" customFormat="1" ht="10.7" hidden="1" customHeight="1" outlineLevel="1" x14ac:dyDescent="0.25">
      <c r="A207" s="124"/>
      <c r="B207" s="137"/>
      <c r="C207" s="115"/>
      <c r="D207" s="115"/>
      <c r="E207" s="115"/>
      <c r="F207" s="115"/>
      <c r="G207" s="60" t="s">
        <v>127</v>
      </c>
      <c r="H207" s="124"/>
      <c r="I207" s="124"/>
      <c r="J207" s="60"/>
      <c r="K207" s="60"/>
      <c r="L207" s="60"/>
      <c r="M207" s="60"/>
      <c r="N207" s="60">
        <f t="shared" si="47"/>
        <v>0</v>
      </c>
      <c r="O207" s="60">
        <f t="shared" si="44"/>
        <v>0</v>
      </c>
    </row>
    <row r="208" spans="1:15" s="38" customFormat="1" ht="10.7" hidden="1" customHeight="1" outlineLevel="1" x14ac:dyDescent="0.25">
      <c r="A208" s="124"/>
      <c r="B208" s="137"/>
      <c r="C208" s="115"/>
      <c r="D208" s="115"/>
      <c r="E208" s="115"/>
      <c r="F208" s="115"/>
      <c r="G208" s="60" t="s">
        <v>128</v>
      </c>
      <c r="H208" s="124"/>
      <c r="I208" s="124"/>
      <c r="J208" s="60"/>
      <c r="K208" s="60"/>
      <c r="L208" s="60"/>
      <c r="M208" s="60"/>
      <c r="N208" s="60">
        <f t="shared" si="47"/>
        <v>0</v>
      </c>
      <c r="O208" s="60">
        <f t="shared" si="44"/>
        <v>0</v>
      </c>
    </row>
    <row r="209" spans="1:15" s="38" customFormat="1" ht="10.7" hidden="1" customHeight="1" outlineLevel="1" x14ac:dyDescent="0.25">
      <c r="A209" s="124"/>
      <c r="B209" s="137"/>
      <c r="C209" s="115"/>
      <c r="D209" s="115"/>
      <c r="E209" s="115"/>
      <c r="F209" s="115"/>
      <c r="G209" s="60" t="s">
        <v>129</v>
      </c>
      <c r="H209" s="124"/>
      <c r="I209" s="124"/>
      <c r="J209" s="60"/>
      <c r="K209" s="60"/>
      <c r="L209" s="60"/>
      <c r="M209" s="60"/>
      <c r="N209" s="60">
        <f t="shared" si="47"/>
        <v>0</v>
      </c>
      <c r="O209" s="60">
        <f t="shared" si="44"/>
        <v>0</v>
      </c>
    </row>
    <row r="210" spans="1:15" s="38" customFormat="1" ht="10.7" hidden="1" customHeight="1" outlineLevel="1" x14ac:dyDescent="0.25">
      <c r="A210" s="124"/>
      <c r="B210" s="137"/>
      <c r="C210" s="115"/>
      <c r="D210" s="115"/>
      <c r="E210" s="115"/>
      <c r="F210" s="115"/>
      <c r="G210" s="60" t="s">
        <v>130</v>
      </c>
      <c r="H210" s="124"/>
      <c r="I210" s="124"/>
      <c r="J210" s="60"/>
      <c r="K210" s="60"/>
      <c r="L210" s="60"/>
      <c r="M210" s="60"/>
      <c r="N210" s="60">
        <f t="shared" si="47"/>
        <v>0</v>
      </c>
      <c r="O210" s="60">
        <f t="shared" si="44"/>
        <v>0</v>
      </c>
    </row>
    <row r="211" spans="1:15" s="38" customFormat="1" ht="12" hidden="1" customHeight="1" outlineLevel="1" thickBot="1" x14ac:dyDescent="0.3">
      <c r="A211" s="125"/>
      <c r="B211" s="138"/>
      <c r="C211" s="131"/>
      <c r="D211" s="131"/>
      <c r="E211" s="131"/>
      <c r="F211" s="131"/>
      <c r="G211" s="60" t="s">
        <v>131</v>
      </c>
      <c r="H211" s="134"/>
      <c r="I211" s="134"/>
      <c r="J211" s="60"/>
      <c r="K211" s="60"/>
      <c r="L211" s="60"/>
      <c r="M211" s="60"/>
      <c r="N211" s="60">
        <f t="shared" si="47"/>
        <v>0</v>
      </c>
      <c r="O211" s="60">
        <f t="shared" si="44"/>
        <v>0</v>
      </c>
    </row>
    <row r="212" spans="1:15" s="38" customFormat="1" ht="14.45" hidden="1" customHeight="1" outlineLevel="1" x14ac:dyDescent="0.25">
      <c r="A212" s="126" t="s">
        <v>190</v>
      </c>
      <c r="B212" s="127" t="s">
        <v>191</v>
      </c>
      <c r="C212" s="130">
        <f>SUM(N212:N218)</f>
        <v>0</v>
      </c>
      <c r="D212" s="130">
        <f>SUM(O212:O218)</f>
        <v>0</v>
      </c>
      <c r="E212" s="130">
        <f t="shared" si="42"/>
        <v>0</v>
      </c>
      <c r="F212" s="130"/>
      <c r="G212" s="60" t="s">
        <v>125</v>
      </c>
      <c r="H212" s="123"/>
      <c r="I212" s="123"/>
      <c r="J212" s="60"/>
      <c r="K212" s="60"/>
      <c r="L212" s="60"/>
      <c r="M212" s="60"/>
      <c r="N212" s="60">
        <f>M212*J212*K212*L212</f>
        <v>0</v>
      </c>
      <c r="O212" s="60">
        <f t="shared" si="44"/>
        <v>0</v>
      </c>
    </row>
    <row r="213" spans="1:15" s="38" customFormat="1" ht="11.45" hidden="1" customHeight="1" outlineLevel="1" x14ac:dyDescent="0.25">
      <c r="A213" s="124"/>
      <c r="B213" s="137"/>
      <c r="C213" s="115"/>
      <c r="D213" s="115"/>
      <c r="E213" s="115"/>
      <c r="F213" s="115"/>
      <c r="G213" s="60" t="s">
        <v>126</v>
      </c>
      <c r="H213" s="124"/>
      <c r="I213" s="124"/>
      <c r="J213" s="60"/>
      <c r="K213" s="60"/>
      <c r="L213" s="60"/>
      <c r="M213" s="60"/>
      <c r="N213" s="60">
        <f t="shared" ref="N213:N218" si="48">M213*J213*K213*L213</f>
        <v>0</v>
      </c>
      <c r="O213" s="60">
        <f t="shared" si="44"/>
        <v>0</v>
      </c>
    </row>
    <row r="214" spans="1:15" s="38" customFormat="1" ht="10.7" hidden="1" customHeight="1" outlineLevel="1" x14ac:dyDescent="0.25">
      <c r="A214" s="124"/>
      <c r="B214" s="137"/>
      <c r="C214" s="115"/>
      <c r="D214" s="115"/>
      <c r="E214" s="115"/>
      <c r="F214" s="115"/>
      <c r="G214" s="60" t="s">
        <v>127</v>
      </c>
      <c r="H214" s="124"/>
      <c r="I214" s="124"/>
      <c r="J214" s="60"/>
      <c r="K214" s="60"/>
      <c r="L214" s="60"/>
      <c r="M214" s="60"/>
      <c r="N214" s="60">
        <f t="shared" si="48"/>
        <v>0</v>
      </c>
      <c r="O214" s="60">
        <f t="shared" si="44"/>
        <v>0</v>
      </c>
    </row>
    <row r="215" spans="1:15" s="38" customFormat="1" ht="10.7" hidden="1" customHeight="1" outlineLevel="1" x14ac:dyDescent="0.25">
      <c r="A215" s="124"/>
      <c r="B215" s="137"/>
      <c r="C215" s="115"/>
      <c r="D215" s="115"/>
      <c r="E215" s="115"/>
      <c r="F215" s="115"/>
      <c r="G215" s="60" t="s">
        <v>128</v>
      </c>
      <c r="H215" s="124"/>
      <c r="I215" s="124"/>
      <c r="J215" s="60"/>
      <c r="K215" s="60"/>
      <c r="L215" s="60"/>
      <c r="M215" s="60"/>
      <c r="N215" s="60">
        <f t="shared" si="48"/>
        <v>0</v>
      </c>
      <c r="O215" s="60">
        <f t="shared" si="44"/>
        <v>0</v>
      </c>
    </row>
    <row r="216" spans="1:15" s="38" customFormat="1" ht="10.7" hidden="1" customHeight="1" outlineLevel="1" x14ac:dyDescent="0.25">
      <c r="A216" s="124"/>
      <c r="B216" s="137"/>
      <c r="C216" s="115"/>
      <c r="D216" s="115"/>
      <c r="E216" s="115"/>
      <c r="F216" s="115"/>
      <c r="G216" s="60" t="s">
        <v>129</v>
      </c>
      <c r="H216" s="124"/>
      <c r="I216" s="124"/>
      <c r="J216" s="60"/>
      <c r="K216" s="60"/>
      <c r="L216" s="60"/>
      <c r="M216" s="60"/>
      <c r="N216" s="60">
        <f t="shared" si="48"/>
        <v>0</v>
      </c>
      <c r="O216" s="60">
        <f t="shared" si="44"/>
        <v>0</v>
      </c>
    </row>
    <row r="217" spans="1:15" s="38" customFormat="1" ht="10.7" hidden="1" customHeight="1" outlineLevel="1" x14ac:dyDescent="0.25">
      <c r="A217" s="124"/>
      <c r="B217" s="137"/>
      <c r="C217" s="115"/>
      <c r="D217" s="115"/>
      <c r="E217" s="115"/>
      <c r="F217" s="115"/>
      <c r="G217" s="60" t="s">
        <v>130</v>
      </c>
      <c r="H217" s="124"/>
      <c r="I217" s="124"/>
      <c r="J217" s="60"/>
      <c r="K217" s="60"/>
      <c r="L217" s="60"/>
      <c r="M217" s="60"/>
      <c r="N217" s="60">
        <f t="shared" si="48"/>
        <v>0</v>
      </c>
      <c r="O217" s="60">
        <f t="shared" si="44"/>
        <v>0</v>
      </c>
    </row>
    <row r="218" spans="1:15" s="38" customFormat="1" ht="12" hidden="1" customHeight="1" outlineLevel="1" thickBot="1" x14ac:dyDescent="0.3">
      <c r="A218" s="125"/>
      <c r="B218" s="138"/>
      <c r="C218" s="131"/>
      <c r="D218" s="131"/>
      <c r="E218" s="131"/>
      <c r="F218" s="131"/>
      <c r="G218" s="60" t="s">
        <v>131</v>
      </c>
      <c r="H218" s="134"/>
      <c r="I218" s="134"/>
      <c r="J218" s="60"/>
      <c r="K218" s="60"/>
      <c r="L218" s="60"/>
      <c r="M218" s="60"/>
      <c r="N218" s="60">
        <f t="shared" si="48"/>
        <v>0</v>
      </c>
      <c r="O218" s="60">
        <f t="shared" si="44"/>
        <v>0</v>
      </c>
    </row>
    <row r="219" spans="1:15" s="38" customFormat="1" ht="14.45" hidden="1" customHeight="1" outlineLevel="1" x14ac:dyDescent="0.25">
      <c r="A219" s="126" t="s">
        <v>192</v>
      </c>
      <c r="B219" s="127" t="s">
        <v>193</v>
      </c>
      <c r="C219" s="130">
        <f>SUM(N219:N225)</f>
        <v>0</v>
      </c>
      <c r="D219" s="130">
        <f>SUM(O219:O225)</f>
        <v>0</v>
      </c>
      <c r="E219" s="130">
        <f t="shared" si="42"/>
        <v>0</v>
      </c>
      <c r="F219" s="130"/>
      <c r="G219" s="60" t="s">
        <v>125</v>
      </c>
      <c r="H219" s="123"/>
      <c r="I219" s="123"/>
      <c r="J219" s="60"/>
      <c r="K219" s="60"/>
      <c r="L219" s="60"/>
      <c r="M219" s="60"/>
      <c r="N219" s="60">
        <f>M219*J219*K219*L219</f>
        <v>0</v>
      </c>
      <c r="O219" s="60">
        <f t="shared" si="44"/>
        <v>0</v>
      </c>
    </row>
    <row r="220" spans="1:15" s="38" customFormat="1" ht="11.45" hidden="1" customHeight="1" outlineLevel="1" x14ac:dyDescent="0.25">
      <c r="A220" s="124"/>
      <c r="B220" s="137"/>
      <c r="C220" s="115"/>
      <c r="D220" s="115"/>
      <c r="E220" s="115"/>
      <c r="F220" s="115"/>
      <c r="G220" s="60" t="s">
        <v>126</v>
      </c>
      <c r="H220" s="124"/>
      <c r="I220" s="124"/>
      <c r="J220" s="60"/>
      <c r="K220" s="60"/>
      <c r="L220" s="60"/>
      <c r="M220" s="60"/>
      <c r="N220" s="60">
        <f t="shared" ref="N220:N225" si="49">M220*J220*K220*L220</f>
        <v>0</v>
      </c>
      <c r="O220" s="60">
        <f t="shared" si="44"/>
        <v>0</v>
      </c>
    </row>
    <row r="221" spans="1:15" s="38" customFormat="1" ht="10.7" hidden="1" customHeight="1" outlineLevel="1" x14ac:dyDescent="0.25">
      <c r="A221" s="124"/>
      <c r="B221" s="137"/>
      <c r="C221" s="115"/>
      <c r="D221" s="115"/>
      <c r="E221" s="115"/>
      <c r="F221" s="115"/>
      <c r="G221" s="60" t="s">
        <v>127</v>
      </c>
      <c r="H221" s="124"/>
      <c r="I221" s="124"/>
      <c r="J221" s="60"/>
      <c r="K221" s="60"/>
      <c r="L221" s="60"/>
      <c r="M221" s="60"/>
      <c r="N221" s="60">
        <f t="shared" si="49"/>
        <v>0</v>
      </c>
      <c r="O221" s="60">
        <f t="shared" si="44"/>
        <v>0</v>
      </c>
    </row>
    <row r="222" spans="1:15" s="38" customFormat="1" ht="10.7" hidden="1" customHeight="1" outlineLevel="1" x14ac:dyDescent="0.25">
      <c r="A222" s="124"/>
      <c r="B222" s="137"/>
      <c r="C222" s="115"/>
      <c r="D222" s="115"/>
      <c r="E222" s="115"/>
      <c r="F222" s="115"/>
      <c r="G222" s="60" t="s">
        <v>128</v>
      </c>
      <c r="H222" s="124"/>
      <c r="I222" s="124"/>
      <c r="J222" s="60"/>
      <c r="K222" s="60"/>
      <c r="L222" s="60"/>
      <c r="M222" s="60"/>
      <c r="N222" s="60">
        <f t="shared" si="49"/>
        <v>0</v>
      </c>
      <c r="O222" s="60">
        <f t="shared" si="44"/>
        <v>0</v>
      </c>
    </row>
    <row r="223" spans="1:15" s="38" customFormat="1" ht="10.7" hidden="1" customHeight="1" outlineLevel="1" x14ac:dyDescent="0.25">
      <c r="A223" s="124"/>
      <c r="B223" s="137"/>
      <c r="C223" s="115"/>
      <c r="D223" s="115"/>
      <c r="E223" s="115"/>
      <c r="F223" s="115"/>
      <c r="G223" s="60" t="s">
        <v>129</v>
      </c>
      <c r="H223" s="124"/>
      <c r="I223" s="124"/>
      <c r="J223" s="60"/>
      <c r="K223" s="60"/>
      <c r="L223" s="60"/>
      <c r="M223" s="60"/>
      <c r="N223" s="60">
        <f t="shared" si="49"/>
        <v>0</v>
      </c>
      <c r="O223" s="60">
        <f t="shared" si="44"/>
        <v>0</v>
      </c>
    </row>
    <row r="224" spans="1:15" s="38" customFormat="1" ht="10.7" hidden="1" customHeight="1" outlineLevel="1" x14ac:dyDescent="0.25">
      <c r="A224" s="124"/>
      <c r="B224" s="137"/>
      <c r="C224" s="115"/>
      <c r="D224" s="115"/>
      <c r="E224" s="115"/>
      <c r="F224" s="115"/>
      <c r="G224" s="60" t="s">
        <v>130</v>
      </c>
      <c r="H224" s="124"/>
      <c r="I224" s="124"/>
      <c r="J224" s="60"/>
      <c r="K224" s="60"/>
      <c r="L224" s="60"/>
      <c r="M224" s="60"/>
      <c r="N224" s="60">
        <f t="shared" si="49"/>
        <v>0</v>
      </c>
      <c r="O224" s="60">
        <f t="shared" si="44"/>
        <v>0</v>
      </c>
    </row>
    <row r="225" spans="1:15" s="38" customFormat="1" ht="12" hidden="1" customHeight="1" outlineLevel="1" thickBot="1" x14ac:dyDescent="0.3">
      <c r="A225" s="125"/>
      <c r="B225" s="138"/>
      <c r="C225" s="131"/>
      <c r="D225" s="131"/>
      <c r="E225" s="131"/>
      <c r="F225" s="131"/>
      <c r="G225" s="60" t="s">
        <v>131</v>
      </c>
      <c r="H225" s="134"/>
      <c r="I225" s="134"/>
      <c r="J225" s="60"/>
      <c r="K225" s="60"/>
      <c r="L225" s="60"/>
      <c r="M225" s="60"/>
      <c r="N225" s="60">
        <f t="shared" si="49"/>
        <v>0</v>
      </c>
      <c r="O225" s="60">
        <f t="shared" si="44"/>
        <v>0</v>
      </c>
    </row>
    <row r="226" spans="1:15" s="38" customFormat="1" ht="14.45" hidden="1" customHeight="1" outlineLevel="1" x14ac:dyDescent="0.25">
      <c r="A226" s="126" t="s">
        <v>194</v>
      </c>
      <c r="B226" s="127" t="s">
        <v>195</v>
      </c>
      <c r="C226" s="130">
        <f>SUM(N226:N232)</f>
        <v>0</v>
      </c>
      <c r="D226" s="130">
        <f>SUM(O226:O232)</f>
        <v>0</v>
      </c>
      <c r="E226" s="130">
        <f t="shared" si="42"/>
        <v>0</v>
      </c>
      <c r="F226" s="130"/>
      <c r="G226" s="60" t="s">
        <v>125</v>
      </c>
      <c r="H226" s="123"/>
      <c r="I226" s="123"/>
      <c r="J226" s="60"/>
      <c r="K226" s="60"/>
      <c r="L226" s="60"/>
      <c r="M226" s="60"/>
      <c r="N226" s="60">
        <f>M226*J226*K226*L226</f>
        <v>0</v>
      </c>
      <c r="O226" s="60">
        <f t="shared" si="44"/>
        <v>0</v>
      </c>
    </row>
    <row r="227" spans="1:15" s="38" customFormat="1" ht="11.45" hidden="1" customHeight="1" outlineLevel="1" x14ac:dyDescent="0.25">
      <c r="A227" s="124"/>
      <c r="B227" s="137"/>
      <c r="C227" s="115"/>
      <c r="D227" s="115"/>
      <c r="E227" s="115"/>
      <c r="F227" s="115"/>
      <c r="G227" s="60" t="s">
        <v>126</v>
      </c>
      <c r="H227" s="124"/>
      <c r="I227" s="124"/>
      <c r="J227" s="60"/>
      <c r="K227" s="60"/>
      <c r="L227" s="60"/>
      <c r="M227" s="60"/>
      <c r="N227" s="60">
        <f t="shared" ref="N227:N232" si="50">M227*J227*K227*L227</f>
        <v>0</v>
      </c>
      <c r="O227" s="60">
        <f t="shared" si="44"/>
        <v>0</v>
      </c>
    </row>
    <row r="228" spans="1:15" s="38" customFormat="1" ht="10.7" hidden="1" customHeight="1" outlineLevel="1" x14ac:dyDescent="0.25">
      <c r="A228" s="124"/>
      <c r="B228" s="137"/>
      <c r="C228" s="115"/>
      <c r="D228" s="115"/>
      <c r="E228" s="115"/>
      <c r="F228" s="115"/>
      <c r="G228" s="60" t="s">
        <v>127</v>
      </c>
      <c r="H228" s="124"/>
      <c r="I228" s="124"/>
      <c r="J228" s="60"/>
      <c r="K228" s="60"/>
      <c r="L228" s="60"/>
      <c r="M228" s="60"/>
      <c r="N228" s="60">
        <f t="shared" si="50"/>
        <v>0</v>
      </c>
      <c r="O228" s="60">
        <f t="shared" si="44"/>
        <v>0</v>
      </c>
    </row>
    <row r="229" spans="1:15" s="38" customFormat="1" ht="10.7" hidden="1" customHeight="1" outlineLevel="1" x14ac:dyDescent="0.25">
      <c r="A229" s="124"/>
      <c r="B229" s="137"/>
      <c r="C229" s="115"/>
      <c r="D229" s="115"/>
      <c r="E229" s="115"/>
      <c r="F229" s="115"/>
      <c r="G229" s="60" t="s">
        <v>128</v>
      </c>
      <c r="H229" s="124"/>
      <c r="I229" s="124"/>
      <c r="J229" s="60"/>
      <c r="K229" s="60"/>
      <c r="L229" s="60"/>
      <c r="M229" s="60"/>
      <c r="N229" s="60">
        <f t="shared" si="50"/>
        <v>0</v>
      </c>
      <c r="O229" s="60">
        <f t="shared" si="44"/>
        <v>0</v>
      </c>
    </row>
    <row r="230" spans="1:15" s="38" customFormat="1" ht="10.7" hidden="1" customHeight="1" outlineLevel="1" x14ac:dyDescent="0.25">
      <c r="A230" s="124"/>
      <c r="B230" s="137"/>
      <c r="C230" s="115"/>
      <c r="D230" s="115"/>
      <c r="E230" s="115"/>
      <c r="F230" s="115"/>
      <c r="G230" s="60" t="s">
        <v>129</v>
      </c>
      <c r="H230" s="124"/>
      <c r="I230" s="124"/>
      <c r="J230" s="60"/>
      <c r="K230" s="60"/>
      <c r="L230" s="60"/>
      <c r="M230" s="60"/>
      <c r="N230" s="60">
        <f t="shared" si="50"/>
        <v>0</v>
      </c>
      <c r="O230" s="60">
        <f t="shared" si="44"/>
        <v>0</v>
      </c>
    </row>
    <row r="231" spans="1:15" s="38" customFormat="1" ht="10.7" hidden="1" customHeight="1" outlineLevel="1" x14ac:dyDescent="0.25">
      <c r="A231" s="124"/>
      <c r="B231" s="137"/>
      <c r="C231" s="115"/>
      <c r="D231" s="115"/>
      <c r="E231" s="115"/>
      <c r="F231" s="115"/>
      <c r="G231" s="60" t="s">
        <v>130</v>
      </c>
      <c r="H231" s="124"/>
      <c r="I231" s="124"/>
      <c r="J231" s="60"/>
      <c r="K231" s="60"/>
      <c r="L231" s="60"/>
      <c r="M231" s="60"/>
      <c r="N231" s="60">
        <f t="shared" si="50"/>
        <v>0</v>
      </c>
      <c r="O231" s="60">
        <f t="shared" si="44"/>
        <v>0</v>
      </c>
    </row>
    <row r="232" spans="1:15" s="38" customFormat="1" ht="12" hidden="1" customHeight="1" outlineLevel="1" thickBot="1" x14ac:dyDescent="0.3">
      <c r="A232" s="125"/>
      <c r="B232" s="138"/>
      <c r="C232" s="131"/>
      <c r="D232" s="131"/>
      <c r="E232" s="131"/>
      <c r="F232" s="131"/>
      <c r="G232" s="60" t="s">
        <v>131</v>
      </c>
      <c r="H232" s="134"/>
      <c r="I232" s="134"/>
      <c r="J232" s="60"/>
      <c r="K232" s="60"/>
      <c r="L232" s="60"/>
      <c r="M232" s="60"/>
      <c r="N232" s="60">
        <f t="shared" si="50"/>
        <v>0</v>
      </c>
      <c r="O232" s="60">
        <f t="shared" si="44"/>
        <v>0</v>
      </c>
    </row>
    <row r="233" spans="1:15" s="38" customFormat="1" ht="14.45" hidden="1" customHeight="1" outlineLevel="1" x14ac:dyDescent="0.25">
      <c r="A233" s="126" t="s">
        <v>196</v>
      </c>
      <c r="B233" s="127" t="s">
        <v>197</v>
      </c>
      <c r="C233" s="130">
        <f>SUM(N233:N239)</f>
        <v>0</v>
      </c>
      <c r="D233" s="130">
        <f>SUM(O233:O239)</f>
        <v>0</v>
      </c>
      <c r="E233" s="130">
        <f t="shared" ref="E233:E275" si="51">D233/8</f>
        <v>0</v>
      </c>
      <c r="F233" s="130"/>
      <c r="G233" s="60" t="s">
        <v>125</v>
      </c>
      <c r="H233" s="123"/>
      <c r="I233" s="123"/>
      <c r="J233" s="60"/>
      <c r="K233" s="60"/>
      <c r="L233" s="60"/>
      <c r="M233" s="60"/>
      <c r="N233" s="60">
        <f>M233*J233*K233*L233</f>
        <v>0</v>
      </c>
      <c r="O233" s="60">
        <f t="shared" si="44"/>
        <v>0</v>
      </c>
    </row>
    <row r="234" spans="1:15" s="38" customFormat="1" ht="11.45" hidden="1" customHeight="1" outlineLevel="1" x14ac:dyDescent="0.25">
      <c r="A234" s="124"/>
      <c r="B234" s="137"/>
      <c r="C234" s="115"/>
      <c r="D234" s="115"/>
      <c r="E234" s="115"/>
      <c r="F234" s="115"/>
      <c r="G234" s="60" t="s">
        <v>126</v>
      </c>
      <c r="H234" s="124"/>
      <c r="I234" s="124"/>
      <c r="J234" s="60"/>
      <c r="K234" s="60"/>
      <c r="L234" s="60"/>
      <c r="M234" s="60"/>
      <c r="N234" s="60">
        <f t="shared" ref="N234:N239" si="52">M234*J234*K234*L234</f>
        <v>0</v>
      </c>
      <c r="O234" s="60">
        <f t="shared" si="44"/>
        <v>0</v>
      </c>
    </row>
    <row r="235" spans="1:15" s="38" customFormat="1" ht="10.7" hidden="1" customHeight="1" outlineLevel="1" x14ac:dyDescent="0.25">
      <c r="A235" s="124"/>
      <c r="B235" s="137"/>
      <c r="C235" s="115"/>
      <c r="D235" s="115"/>
      <c r="E235" s="115"/>
      <c r="F235" s="115"/>
      <c r="G235" s="60" t="s">
        <v>127</v>
      </c>
      <c r="H235" s="124"/>
      <c r="I235" s="124"/>
      <c r="J235" s="60"/>
      <c r="K235" s="60"/>
      <c r="L235" s="60"/>
      <c r="M235" s="60"/>
      <c r="N235" s="60">
        <f t="shared" si="52"/>
        <v>0</v>
      </c>
      <c r="O235" s="60">
        <f t="shared" si="44"/>
        <v>0</v>
      </c>
    </row>
    <row r="236" spans="1:15" s="38" customFormat="1" ht="10.7" hidden="1" customHeight="1" outlineLevel="1" x14ac:dyDescent="0.25">
      <c r="A236" s="124"/>
      <c r="B236" s="137"/>
      <c r="C236" s="115"/>
      <c r="D236" s="115"/>
      <c r="E236" s="115"/>
      <c r="F236" s="115"/>
      <c r="G236" s="60" t="s">
        <v>128</v>
      </c>
      <c r="H236" s="124"/>
      <c r="I236" s="124"/>
      <c r="J236" s="60"/>
      <c r="K236" s="60"/>
      <c r="L236" s="60"/>
      <c r="M236" s="60"/>
      <c r="N236" s="60">
        <f t="shared" si="52"/>
        <v>0</v>
      </c>
      <c r="O236" s="60">
        <f t="shared" si="44"/>
        <v>0</v>
      </c>
    </row>
    <row r="237" spans="1:15" s="38" customFormat="1" ht="10.7" hidden="1" customHeight="1" outlineLevel="1" x14ac:dyDescent="0.25">
      <c r="A237" s="124"/>
      <c r="B237" s="137"/>
      <c r="C237" s="115"/>
      <c r="D237" s="115"/>
      <c r="E237" s="115"/>
      <c r="F237" s="115"/>
      <c r="G237" s="60" t="s">
        <v>129</v>
      </c>
      <c r="H237" s="124"/>
      <c r="I237" s="124"/>
      <c r="J237" s="60"/>
      <c r="K237" s="60"/>
      <c r="L237" s="60"/>
      <c r="M237" s="60"/>
      <c r="N237" s="60">
        <f t="shared" si="52"/>
        <v>0</v>
      </c>
      <c r="O237" s="60">
        <f t="shared" si="44"/>
        <v>0</v>
      </c>
    </row>
    <row r="238" spans="1:15" s="38" customFormat="1" ht="10.7" hidden="1" customHeight="1" outlineLevel="1" x14ac:dyDescent="0.25">
      <c r="A238" s="124"/>
      <c r="B238" s="137"/>
      <c r="C238" s="115"/>
      <c r="D238" s="115"/>
      <c r="E238" s="115"/>
      <c r="F238" s="115"/>
      <c r="G238" s="60" t="s">
        <v>130</v>
      </c>
      <c r="H238" s="124"/>
      <c r="I238" s="124"/>
      <c r="J238" s="60"/>
      <c r="K238" s="60"/>
      <c r="L238" s="60"/>
      <c r="M238" s="60"/>
      <c r="N238" s="60">
        <f t="shared" si="52"/>
        <v>0</v>
      </c>
      <c r="O238" s="60">
        <f t="shared" si="44"/>
        <v>0</v>
      </c>
    </row>
    <row r="239" spans="1:15" s="38" customFormat="1" ht="12" hidden="1" customHeight="1" outlineLevel="1" thickBot="1" x14ac:dyDescent="0.3">
      <c r="A239" s="125"/>
      <c r="B239" s="138"/>
      <c r="C239" s="131"/>
      <c r="D239" s="131"/>
      <c r="E239" s="131"/>
      <c r="F239" s="131"/>
      <c r="G239" s="60" t="s">
        <v>131</v>
      </c>
      <c r="H239" s="134"/>
      <c r="I239" s="134"/>
      <c r="J239" s="60"/>
      <c r="K239" s="60"/>
      <c r="L239" s="60"/>
      <c r="M239" s="60"/>
      <c r="N239" s="60">
        <f t="shared" si="52"/>
        <v>0</v>
      </c>
      <c r="O239" s="60">
        <f t="shared" si="44"/>
        <v>0</v>
      </c>
    </row>
    <row r="240" spans="1:15" s="38" customFormat="1" ht="14.45" hidden="1" customHeight="1" outlineLevel="1" x14ac:dyDescent="0.25">
      <c r="A240" s="126" t="s">
        <v>198</v>
      </c>
      <c r="B240" s="127" t="s">
        <v>199</v>
      </c>
      <c r="C240" s="130">
        <f>SUM(N240:N246)</f>
        <v>0</v>
      </c>
      <c r="D240" s="130">
        <f>SUM(O240:O246)</f>
        <v>0</v>
      </c>
      <c r="E240" s="130">
        <f t="shared" si="51"/>
        <v>0</v>
      </c>
      <c r="F240" s="130"/>
      <c r="G240" s="60" t="s">
        <v>125</v>
      </c>
      <c r="H240" s="123"/>
      <c r="I240" s="123"/>
      <c r="J240" s="60"/>
      <c r="K240" s="60"/>
      <c r="L240" s="60"/>
      <c r="M240" s="60"/>
      <c r="N240" s="60">
        <f>M240*J240*K240*L240</f>
        <v>0</v>
      </c>
      <c r="O240" s="60">
        <f t="shared" si="44"/>
        <v>0</v>
      </c>
    </row>
    <row r="241" spans="1:15" s="38" customFormat="1" ht="11.45" hidden="1" customHeight="1" outlineLevel="1" x14ac:dyDescent="0.25">
      <c r="A241" s="124"/>
      <c r="B241" s="137"/>
      <c r="C241" s="115"/>
      <c r="D241" s="115"/>
      <c r="E241" s="115"/>
      <c r="F241" s="115"/>
      <c r="G241" s="60" t="s">
        <v>126</v>
      </c>
      <c r="H241" s="124"/>
      <c r="I241" s="124"/>
      <c r="J241" s="60"/>
      <c r="K241" s="60"/>
      <c r="L241" s="60"/>
      <c r="M241" s="60"/>
      <c r="N241" s="60">
        <f t="shared" ref="N241:N246" si="53">M241*J241*K241*L241</f>
        <v>0</v>
      </c>
      <c r="O241" s="60">
        <f t="shared" si="44"/>
        <v>0</v>
      </c>
    </row>
    <row r="242" spans="1:15" s="38" customFormat="1" ht="10.7" hidden="1" customHeight="1" outlineLevel="1" x14ac:dyDescent="0.25">
      <c r="A242" s="124"/>
      <c r="B242" s="137"/>
      <c r="C242" s="115"/>
      <c r="D242" s="115"/>
      <c r="E242" s="115"/>
      <c r="F242" s="115"/>
      <c r="G242" s="60" t="s">
        <v>127</v>
      </c>
      <c r="H242" s="124"/>
      <c r="I242" s="124"/>
      <c r="J242" s="60"/>
      <c r="K242" s="60"/>
      <c r="L242" s="60"/>
      <c r="M242" s="60"/>
      <c r="N242" s="60">
        <f t="shared" si="53"/>
        <v>0</v>
      </c>
      <c r="O242" s="60">
        <f t="shared" si="44"/>
        <v>0</v>
      </c>
    </row>
    <row r="243" spans="1:15" s="38" customFormat="1" ht="10.7" hidden="1" customHeight="1" outlineLevel="1" x14ac:dyDescent="0.25">
      <c r="A243" s="124"/>
      <c r="B243" s="137"/>
      <c r="C243" s="115"/>
      <c r="D243" s="115"/>
      <c r="E243" s="115"/>
      <c r="F243" s="115"/>
      <c r="G243" s="60" t="s">
        <v>128</v>
      </c>
      <c r="H243" s="124"/>
      <c r="I243" s="124"/>
      <c r="J243" s="60"/>
      <c r="K243" s="60"/>
      <c r="L243" s="60"/>
      <c r="M243" s="60"/>
      <c r="N243" s="60">
        <f t="shared" si="53"/>
        <v>0</v>
      </c>
      <c r="O243" s="60">
        <f t="shared" si="44"/>
        <v>0</v>
      </c>
    </row>
    <row r="244" spans="1:15" s="38" customFormat="1" ht="10.7" hidden="1" customHeight="1" outlineLevel="1" x14ac:dyDescent="0.25">
      <c r="A244" s="124"/>
      <c r="B244" s="137"/>
      <c r="C244" s="115"/>
      <c r="D244" s="115"/>
      <c r="E244" s="115"/>
      <c r="F244" s="115"/>
      <c r="G244" s="60" t="s">
        <v>129</v>
      </c>
      <c r="H244" s="124"/>
      <c r="I244" s="124"/>
      <c r="J244" s="60"/>
      <c r="K244" s="60"/>
      <c r="L244" s="60"/>
      <c r="M244" s="60"/>
      <c r="N244" s="60">
        <f t="shared" si="53"/>
        <v>0</v>
      </c>
      <c r="O244" s="60">
        <f t="shared" si="44"/>
        <v>0</v>
      </c>
    </row>
    <row r="245" spans="1:15" s="38" customFormat="1" ht="10.7" hidden="1" customHeight="1" outlineLevel="1" x14ac:dyDescent="0.25">
      <c r="A245" s="124"/>
      <c r="B245" s="137"/>
      <c r="C245" s="115"/>
      <c r="D245" s="115"/>
      <c r="E245" s="115"/>
      <c r="F245" s="115"/>
      <c r="G245" s="60" t="s">
        <v>130</v>
      </c>
      <c r="H245" s="124"/>
      <c r="I245" s="124"/>
      <c r="J245" s="60"/>
      <c r="K245" s="60"/>
      <c r="L245" s="60"/>
      <c r="M245" s="60"/>
      <c r="N245" s="60">
        <f t="shared" si="53"/>
        <v>0</v>
      </c>
      <c r="O245" s="60">
        <f t="shared" si="44"/>
        <v>0</v>
      </c>
    </row>
    <row r="246" spans="1:15" s="38" customFormat="1" ht="12" hidden="1" customHeight="1" outlineLevel="1" thickBot="1" x14ac:dyDescent="0.3">
      <c r="A246" s="125"/>
      <c r="B246" s="138"/>
      <c r="C246" s="131"/>
      <c r="D246" s="131"/>
      <c r="E246" s="131"/>
      <c r="F246" s="131"/>
      <c r="G246" s="60" t="s">
        <v>131</v>
      </c>
      <c r="H246" s="134"/>
      <c r="I246" s="134"/>
      <c r="J246" s="60"/>
      <c r="K246" s="60"/>
      <c r="L246" s="60"/>
      <c r="M246" s="60"/>
      <c r="N246" s="60">
        <f t="shared" si="53"/>
        <v>0</v>
      </c>
      <c r="O246" s="60">
        <f t="shared" si="44"/>
        <v>0</v>
      </c>
    </row>
    <row r="247" spans="1:15" s="38" customFormat="1" ht="14.45" hidden="1" customHeight="1" outlineLevel="1" x14ac:dyDescent="0.25">
      <c r="A247" s="126" t="s">
        <v>200</v>
      </c>
      <c r="B247" s="127" t="s">
        <v>201</v>
      </c>
      <c r="C247" s="130">
        <f>SUM(N247:N253)</f>
        <v>0</v>
      </c>
      <c r="D247" s="130">
        <f>SUM(O247:O253)</f>
        <v>0</v>
      </c>
      <c r="E247" s="130">
        <f t="shared" si="51"/>
        <v>0</v>
      </c>
      <c r="F247" s="130"/>
      <c r="G247" s="60" t="s">
        <v>125</v>
      </c>
      <c r="H247" s="123"/>
      <c r="I247" s="123"/>
      <c r="J247" s="60"/>
      <c r="K247" s="60"/>
      <c r="L247" s="60"/>
      <c r="M247" s="60"/>
      <c r="N247" s="60">
        <f>M247*J247*K247*L247</f>
        <v>0</v>
      </c>
      <c r="O247" s="60">
        <f t="shared" si="44"/>
        <v>0</v>
      </c>
    </row>
    <row r="248" spans="1:15" s="38" customFormat="1" ht="11.45" hidden="1" customHeight="1" outlineLevel="1" x14ac:dyDescent="0.25">
      <c r="A248" s="124"/>
      <c r="B248" s="137"/>
      <c r="C248" s="115"/>
      <c r="D248" s="115"/>
      <c r="E248" s="115"/>
      <c r="F248" s="115"/>
      <c r="G248" s="60" t="s">
        <v>126</v>
      </c>
      <c r="H248" s="124"/>
      <c r="I248" s="124"/>
      <c r="J248" s="60"/>
      <c r="K248" s="60"/>
      <c r="L248" s="60"/>
      <c r="M248" s="60"/>
      <c r="N248" s="60">
        <f t="shared" ref="N248:N253" si="54">M248*J248*K248*L248</f>
        <v>0</v>
      </c>
      <c r="O248" s="60">
        <f t="shared" si="44"/>
        <v>0</v>
      </c>
    </row>
    <row r="249" spans="1:15" s="38" customFormat="1" ht="10.7" hidden="1" customHeight="1" outlineLevel="1" x14ac:dyDescent="0.25">
      <c r="A249" s="124"/>
      <c r="B249" s="137"/>
      <c r="C249" s="115"/>
      <c r="D249" s="115"/>
      <c r="E249" s="115"/>
      <c r="F249" s="115"/>
      <c r="G249" s="60" t="s">
        <v>127</v>
      </c>
      <c r="H249" s="124"/>
      <c r="I249" s="124"/>
      <c r="J249" s="60"/>
      <c r="K249" s="60"/>
      <c r="L249" s="60"/>
      <c r="M249" s="60"/>
      <c r="N249" s="60">
        <f t="shared" si="54"/>
        <v>0</v>
      </c>
      <c r="O249" s="60">
        <f t="shared" ref="O249:O312" si="55">J249*K249*L249</f>
        <v>0</v>
      </c>
    </row>
    <row r="250" spans="1:15" s="38" customFormat="1" ht="10.7" hidden="1" customHeight="1" outlineLevel="1" x14ac:dyDescent="0.25">
      <c r="A250" s="124"/>
      <c r="B250" s="137"/>
      <c r="C250" s="115"/>
      <c r="D250" s="115"/>
      <c r="E250" s="115"/>
      <c r="F250" s="115"/>
      <c r="G250" s="60" t="s">
        <v>128</v>
      </c>
      <c r="H250" s="124"/>
      <c r="I250" s="124"/>
      <c r="J250" s="60"/>
      <c r="K250" s="60"/>
      <c r="L250" s="60"/>
      <c r="M250" s="60"/>
      <c r="N250" s="60">
        <f t="shared" si="54"/>
        <v>0</v>
      </c>
      <c r="O250" s="60">
        <f t="shared" si="55"/>
        <v>0</v>
      </c>
    </row>
    <row r="251" spans="1:15" s="38" customFormat="1" ht="10.7" hidden="1" customHeight="1" outlineLevel="1" x14ac:dyDescent="0.25">
      <c r="A251" s="124"/>
      <c r="B251" s="137"/>
      <c r="C251" s="115"/>
      <c r="D251" s="115"/>
      <c r="E251" s="115"/>
      <c r="F251" s="115"/>
      <c r="G251" s="60" t="s">
        <v>129</v>
      </c>
      <c r="H251" s="124"/>
      <c r="I251" s="124"/>
      <c r="J251" s="60"/>
      <c r="K251" s="60"/>
      <c r="L251" s="60"/>
      <c r="M251" s="60"/>
      <c r="N251" s="60">
        <f t="shared" si="54"/>
        <v>0</v>
      </c>
      <c r="O251" s="60">
        <f t="shared" si="55"/>
        <v>0</v>
      </c>
    </row>
    <row r="252" spans="1:15" s="38" customFormat="1" ht="10.7" hidden="1" customHeight="1" outlineLevel="1" x14ac:dyDescent="0.25">
      <c r="A252" s="124"/>
      <c r="B252" s="137"/>
      <c r="C252" s="115"/>
      <c r="D252" s="115"/>
      <c r="E252" s="115"/>
      <c r="F252" s="115"/>
      <c r="G252" s="60" t="s">
        <v>130</v>
      </c>
      <c r="H252" s="124"/>
      <c r="I252" s="124"/>
      <c r="J252" s="60"/>
      <c r="K252" s="60"/>
      <c r="L252" s="60"/>
      <c r="M252" s="60"/>
      <c r="N252" s="60">
        <f t="shared" si="54"/>
        <v>0</v>
      </c>
      <c r="O252" s="60">
        <f t="shared" si="55"/>
        <v>0</v>
      </c>
    </row>
    <row r="253" spans="1:15" s="38" customFormat="1" ht="12" hidden="1" customHeight="1" outlineLevel="1" thickBot="1" x14ac:dyDescent="0.3">
      <c r="A253" s="125"/>
      <c r="B253" s="138"/>
      <c r="C253" s="131"/>
      <c r="D253" s="131"/>
      <c r="E253" s="131"/>
      <c r="F253" s="131"/>
      <c r="G253" s="60" t="s">
        <v>131</v>
      </c>
      <c r="H253" s="134"/>
      <c r="I253" s="134"/>
      <c r="J253" s="60"/>
      <c r="K253" s="60"/>
      <c r="L253" s="60"/>
      <c r="M253" s="60"/>
      <c r="N253" s="60">
        <f t="shared" si="54"/>
        <v>0</v>
      </c>
      <c r="O253" s="60">
        <f t="shared" si="55"/>
        <v>0</v>
      </c>
    </row>
    <row r="254" spans="1:15" s="38" customFormat="1" ht="14.45" hidden="1" customHeight="1" outlineLevel="1" x14ac:dyDescent="0.25">
      <c r="A254" s="126" t="s">
        <v>202</v>
      </c>
      <c r="B254" s="127" t="s">
        <v>203</v>
      </c>
      <c r="C254" s="130">
        <f>SUM(N254:N260)</f>
        <v>0</v>
      </c>
      <c r="D254" s="130">
        <f>SUM(O254:O260)</f>
        <v>0</v>
      </c>
      <c r="E254" s="130">
        <f t="shared" si="51"/>
        <v>0</v>
      </c>
      <c r="F254" s="130"/>
      <c r="G254" s="60" t="s">
        <v>125</v>
      </c>
      <c r="H254" s="123"/>
      <c r="I254" s="123"/>
      <c r="J254" s="60"/>
      <c r="K254" s="60"/>
      <c r="L254" s="60"/>
      <c r="M254" s="60"/>
      <c r="N254" s="60">
        <f>M254*J254*K254*L254</f>
        <v>0</v>
      </c>
      <c r="O254" s="60">
        <f t="shared" si="55"/>
        <v>0</v>
      </c>
    </row>
    <row r="255" spans="1:15" s="38" customFormat="1" ht="11.45" hidden="1" customHeight="1" outlineLevel="1" x14ac:dyDescent="0.25">
      <c r="A255" s="124"/>
      <c r="B255" s="137"/>
      <c r="C255" s="115"/>
      <c r="D255" s="115"/>
      <c r="E255" s="115"/>
      <c r="F255" s="115"/>
      <c r="G255" s="60" t="s">
        <v>126</v>
      </c>
      <c r="H255" s="124"/>
      <c r="I255" s="124"/>
      <c r="J255" s="60"/>
      <c r="K255" s="60"/>
      <c r="L255" s="60"/>
      <c r="M255" s="60"/>
      <c r="N255" s="60">
        <f t="shared" ref="N255:N260" si="56">M255*J255*K255*L255</f>
        <v>0</v>
      </c>
      <c r="O255" s="60">
        <f t="shared" si="55"/>
        <v>0</v>
      </c>
    </row>
    <row r="256" spans="1:15" s="38" customFormat="1" ht="10.7" hidden="1" customHeight="1" outlineLevel="1" x14ac:dyDescent="0.25">
      <c r="A256" s="124"/>
      <c r="B256" s="137"/>
      <c r="C256" s="115"/>
      <c r="D256" s="115"/>
      <c r="E256" s="115"/>
      <c r="F256" s="115"/>
      <c r="G256" s="60" t="s">
        <v>127</v>
      </c>
      <c r="H256" s="124"/>
      <c r="I256" s="124"/>
      <c r="J256" s="60"/>
      <c r="K256" s="60"/>
      <c r="L256" s="60"/>
      <c r="M256" s="60"/>
      <c r="N256" s="60">
        <f t="shared" si="56"/>
        <v>0</v>
      </c>
      <c r="O256" s="60">
        <f t="shared" si="55"/>
        <v>0</v>
      </c>
    </row>
    <row r="257" spans="1:15" s="38" customFormat="1" ht="10.7" hidden="1" customHeight="1" outlineLevel="1" x14ac:dyDescent="0.25">
      <c r="A257" s="124"/>
      <c r="B257" s="137"/>
      <c r="C257" s="115"/>
      <c r="D257" s="115"/>
      <c r="E257" s="115"/>
      <c r="F257" s="115"/>
      <c r="G257" s="60" t="s">
        <v>128</v>
      </c>
      <c r="H257" s="124"/>
      <c r="I257" s="124"/>
      <c r="J257" s="60"/>
      <c r="K257" s="60"/>
      <c r="L257" s="60"/>
      <c r="M257" s="60"/>
      <c r="N257" s="60">
        <f t="shared" si="56"/>
        <v>0</v>
      </c>
      <c r="O257" s="60">
        <f t="shared" si="55"/>
        <v>0</v>
      </c>
    </row>
    <row r="258" spans="1:15" s="38" customFormat="1" ht="10.7" hidden="1" customHeight="1" outlineLevel="1" x14ac:dyDescent="0.25">
      <c r="A258" s="124"/>
      <c r="B258" s="137"/>
      <c r="C258" s="115"/>
      <c r="D258" s="115"/>
      <c r="E258" s="115"/>
      <c r="F258" s="115"/>
      <c r="G258" s="60" t="s">
        <v>129</v>
      </c>
      <c r="H258" s="124"/>
      <c r="I258" s="124"/>
      <c r="J258" s="60"/>
      <c r="K258" s="60"/>
      <c r="L258" s="60"/>
      <c r="M258" s="60"/>
      <c r="N258" s="60">
        <f t="shared" si="56"/>
        <v>0</v>
      </c>
      <c r="O258" s="60">
        <f t="shared" si="55"/>
        <v>0</v>
      </c>
    </row>
    <row r="259" spans="1:15" s="38" customFormat="1" ht="10.7" hidden="1" customHeight="1" outlineLevel="1" x14ac:dyDescent="0.25">
      <c r="A259" s="124"/>
      <c r="B259" s="137"/>
      <c r="C259" s="115"/>
      <c r="D259" s="115"/>
      <c r="E259" s="115"/>
      <c r="F259" s="115"/>
      <c r="G259" s="60" t="s">
        <v>130</v>
      </c>
      <c r="H259" s="124"/>
      <c r="I259" s="124"/>
      <c r="J259" s="60"/>
      <c r="K259" s="60"/>
      <c r="L259" s="60"/>
      <c r="M259" s="60"/>
      <c r="N259" s="60">
        <f t="shared" si="56"/>
        <v>0</v>
      </c>
      <c r="O259" s="60">
        <f t="shared" si="55"/>
        <v>0</v>
      </c>
    </row>
    <row r="260" spans="1:15" s="38" customFormat="1" ht="12" hidden="1" customHeight="1" outlineLevel="1" thickBot="1" x14ac:dyDescent="0.3">
      <c r="A260" s="125"/>
      <c r="B260" s="138"/>
      <c r="C260" s="131"/>
      <c r="D260" s="131"/>
      <c r="E260" s="131"/>
      <c r="F260" s="131"/>
      <c r="G260" s="60" t="s">
        <v>131</v>
      </c>
      <c r="H260" s="134"/>
      <c r="I260" s="134"/>
      <c r="J260" s="60"/>
      <c r="K260" s="60"/>
      <c r="L260" s="60"/>
      <c r="M260" s="60"/>
      <c r="N260" s="60">
        <f t="shared" si="56"/>
        <v>0</v>
      </c>
      <c r="O260" s="60">
        <f t="shared" si="55"/>
        <v>0</v>
      </c>
    </row>
    <row r="261" spans="1:15" s="38" customFormat="1" ht="14.45" hidden="1" customHeight="1" outlineLevel="1" x14ac:dyDescent="0.25">
      <c r="A261" s="126" t="s">
        <v>204</v>
      </c>
      <c r="B261" s="127" t="s">
        <v>205</v>
      </c>
      <c r="C261" s="130">
        <f>SUM(N261:N267)</f>
        <v>0</v>
      </c>
      <c r="D261" s="130">
        <f>SUM(O261:O267)</f>
        <v>0</v>
      </c>
      <c r="E261" s="130">
        <f t="shared" si="51"/>
        <v>0</v>
      </c>
      <c r="F261" s="130"/>
      <c r="G261" s="60" t="s">
        <v>125</v>
      </c>
      <c r="H261" s="123"/>
      <c r="I261" s="123"/>
      <c r="J261" s="60"/>
      <c r="K261" s="60"/>
      <c r="L261" s="60"/>
      <c r="M261" s="60"/>
      <c r="N261" s="60">
        <f>M261*J261*K261*L261</f>
        <v>0</v>
      </c>
      <c r="O261" s="60">
        <f t="shared" si="55"/>
        <v>0</v>
      </c>
    </row>
    <row r="262" spans="1:15" s="38" customFormat="1" ht="11.45" hidden="1" customHeight="1" outlineLevel="1" x14ac:dyDescent="0.25">
      <c r="A262" s="124"/>
      <c r="B262" s="137"/>
      <c r="C262" s="115"/>
      <c r="D262" s="115"/>
      <c r="E262" s="115"/>
      <c r="F262" s="115"/>
      <c r="G262" s="60" t="s">
        <v>126</v>
      </c>
      <c r="H262" s="124"/>
      <c r="I262" s="124"/>
      <c r="J262" s="60"/>
      <c r="K262" s="60"/>
      <c r="L262" s="60"/>
      <c r="M262" s="60"/>
      <c r="N262" s="60">
        <f t="shared" ref="N262:N267" si="57">M262*J262*K262*L262</f>
        <v>0</v>
      </c>
      <c r="O262" s="60">
        <f t="shared" si="55"/>
        <v>0</v>
      </c>
    </row>
    <row r="263" spans="1:15" s="38" customFormat="1" ht="10.7" hidden="1" customHeight="1" outlineLevel="1" x14ac:dyDescent="0.25">
      <c r="A263" s="124"/>
      <c r="B263" s="137"/>
      <c r="C263" s="115"/>
      <c r="D263" s="115"/>
      <c r="E263" s="115"/>
      <c r="F263" s="115"/>
      <c r="G263" s="60" t="s">
        <v>127</v>
      </c>
      <c r="H263" s="124"/>
      <c r="I263" s="124"/>
      <c r="J263" s="60"/>
      <c r="K263" s="60"/>
      <c r="L263" s="60"/>
      <c r="M263" s="60"/>
      <c r="N263" s="60">
        <f t="shared" si="57"/>
        <v>0</v>
      </c>
      <c r="O263" s="60">
        <f t="shared" si="55"/>
        <v>0</v>
      </c>
    </row>
    <row r="264" spans="1:15" s="38" customFormat="1" ht="10.7" hidden="1" customHeight="1" outlineLevel="1" x14ac:dyDescent="0.25">
      <c r="A264" s="124"/>
      <c r="B264" s="137"/>
      <c r="C264" s="115"/>
      <c r="D264" s="115"/>
      <c r="E264" s="115"/>
      <c r="F264" s="115"/>
      <c r="G264" s="60" t="s">
        <v>128</v>
      </c>
      <c r="H264" s="124"/>
      <c r="I264" s="124"/>
      <c r="J264" s="60"/>
      <c r="K264" s="60"/>
      <c r="L264" s="60"/>
      <c r="M264" s="60"/>
      <c r="N264" s="60">
        <f t="shared" si="57"/>
        <v>0</v>
      </c>
      <c r="O264" s="60">
        <f t="shared" si="55"/>
        <v>0</v>
      </c>
    </row>
    <row r="265" spans="1:15" s="38" customFormat="1" ht="10.7" hidden="1" customHeight="1" outlineLevel="1" x14ac:dyDescent="0.25">
      <c r="A265" s="124"/>
      <c r="B265" s="137"/>
      <c r="C265" s="115"/>
      <c r="D265" s="115"/>
      <c r="E265" s="115"/>
      <c r="F265" s="115"/>
      <c r="G265" s="60" t="s">
        <v>129</v>
      </c>
      <c r="H265" s="124"/>
      <c r="I265" s="124"/>
      <c r="J265" s="60"/>
      <c r="K265" s="60"/>
      <c r="L265" s="60"/>
      <c r="M265" s="60"/>
      <c r="N265" s="60">
        <f t="shared" si="57"/>
        <v>0</v>
      </c>
      <c r="O265" s="60">
        <f t="shared" si="55"/>
        <v>0</v>
      </c>
    </row>
    <row r="266" spans="1:15" s="38" customFormat="1" ht="10.7" hidden="1" customHeight="1" outlineLevel="1" x14ac:dyDescent="0.25">
      <c r="A266" s="124"/>
      <c r="B266" s="137"/>
      <c r="C266" s="115"/>
      <c r="D266" s="115"/>
      <c r="E266" s="115"/>
      <c r="F266" s="115"/>
      <c r="G266" s="60" t="s">
        <v>130</v>
      </c>
      <c r="H266" s="124"/>
      <c r="I266" s="124"/>
      <c r="J266" s="60"/>
      <c r="K266" s="60"/>
      <c r="L266" s="60"/>
      <c r="M266" s="60"/>
      <c r="N266" s="60">
        <f t="shared" si="57"/>
        <v>0</v>
      </c>
      <c r="O266" s="60">
        <f t="shared" si="55"/>
        <v>0</v>
      </c>
    </row>
    <row r="267" spans="1:15" s="38" customFormat="1" ht="12" hidden="1" customHeight="1" outlineLevel="1" thickBot="1" x14ac:dyDescent="0.3">
      <c r="A267" s="125"/>
      <c r="B267" s="138"/>
      <c r="C267" s="131"/>
      <c r="D267" s="131"/>
      <c r="E267" s="131"/>
      <c r="F267" s="131"/>
      <c r="G267" s="60" t="s">
        <v>131</v>
      </c>
      <c r="H267" s="134"/>
      <c r="I267" s="134"/>
      <c r="J267" s="60"/>
      <c r="K267" s="60"/>
      <c r="L267" s="60"/>
      <c r="M267" s="60"/>
      <c r="N267" s="60">
        <f t="shared" si="57"/>
        <v>0</v>
      </c>
      <c r="O267" s="60">
        <f t="shared" si="55"/>
        <v>0</v>
      </c>
    </row>
    <row r="268" spans="1:15" s="38" customFormat="1" ht="14.45" hidden="1" customHeight="1" outlineLevel="1" x14ac:dyDescent="0.25">
      <c r="A268" s="126" t="s">
        <v>206</v>
      </c>
      <c r="B268" s="127" t="s">
        <v>207</v>
      </c>
      <c r="C268" s="130">
        <f>SUM(N268:N274)</f>
        <v>0</v>
      </c>
      <c r="D268" s="130">
        <f>SUM(O268:O274)</f>
        <v>0</v>
      </c>
      <c r="E268" s="130">
        <f t="shared" si="51"/>
        <v>0</v>
      </c>
      <c r="F268" s="130"/>
      <c r="G268" s="60" t="s">
        <v>125</v>
      </c>
      <c r="H268" s="123"/>
      <c r="I268" s="123"/>
      <c r="J268" s="60"/>
      <c r="K268" s="60"/>
      <c r="L268" s="60"/>
      <c r="M268" s="60"/>
      <c r="N268" s="60">
        <f>M268*J268*K268*L268</f>
        <v>0</v>
      </c>
      <c r="O268" s="60">
        <f t="shared" si="55"/>
        <v>0</v>
      </c>
    </row>
    <row r="269" spans="1:15" s="38" customFormat="1" ht="11.45" hidden="1" customHeight="1" outlineLevel="1" x14ac:dyDescent="0.25">
      <c r="A269" s="124"/>
      <c r="B269" s="137"/>
      <c r="C269" s="115"/>
      <c r="D269" s="115"/>
      <c r="E269" s="115"/>
      <c r="F269" s="115"/>
      <c r="G269" s="60" t="s">
        <v>126</v>
      </c>
      <c r="H269" s="124"/>
      <c r="I269" s="124"/>
      <c r="J269" s="60"/>
      <c r="K269" s="60"/>
      <c r="L269" s="60"/>
      <c r="M269" s="60"/>
      <c r="N269" s="60">
        <f t="shared" ref="N269:N274" si="58">M269*J269*K269*L269</f>
        <v>0</v>
      </c>
      <c r="O269" s="60">
        <f t="shared" si="55"/>
        <v>0</v>
      </c>
    </row>
    <row r="270" spans="1:15" s="38" customFormat="1" ht="10.7" hidden="1" customHeight="1" outlineLevel="1" x14ac:dyDescent="0.25">
      <c r="A270" s="124"/>
      <c r="B270" s="137"/>
      <c r="C270" s="115"/>
      <c r="D270" s="115"/>
      <c r="E270" s="115"/>
      <c r="F270" s="115"/>
      <c r="G270" s="60" t="s">
        <v>127</v>
      </c>
      <c r="H270" s="124"/>
      <c r="I270" s="124"/>
      <c r="J270" s="60"/>
      <c r="K270" s="60"/>
      <c r="L270" s="60"/>
      <c r="M270" s="60"/>
      <c r="N270" s="60">
        <f t="shared" si="58"/>
        <v>0</v>
      </c>
      <c r="O270" s="60">
        <f t="shared" si="55"/>
        <v>0</v>
      </c>
    </row>
    <row r="271" spans="1:15" s="38" customFormat="1" ht="10.7" hidden="1" customHeight="1" outlineLevel="1" x14ac:dyDescent="0.25">
      <c r="A271" s="124"/>
      <c r="B271" s="137"/>
      <c r="C271" s="115"/>
      <c r="D271" s="115"/>
      <c r="E271" s="115"/>
      <c r="F271" s="115"/>
      <c r="G271" s="60" t="s">
        <v>128</v>
      </c>
      <c r="H271" s="124"/>
      <c r="I271" s="124"/>
      <c r="J271" s="60"/>
      <c r="K271" s="60"/>
      <c r="L271" s="60"/>
      <c r="M271" s="60"/>
      <c r="N271" s="60">
        <f t="shared" si="58"/>
        <v>0</v>
      </c>
      <c r="O271" s="60">
        <f t="shared" si="55"/>
        <v>0</v>
      </c>
    </row>
    <row r="272" spans="1:15" s="38" customFormat="1" ht="10.7" hidden="1" customHeight="1" outlineLevel="1" x14ac:dyDescent="0.25">
      <c r="A272" s="124"/>
      <c r="B272" s="137"/>
      <c r="C272" s="115"/>
      <c r="D272" s="115"/>
      <c r="E272" s="115"/>
      <c r="F272" s="115"/>
      <c r="G272" s="60" t="s">
        <v>129</v>
      </c>
      <c r="H272" s="124"/>
      <c r="I272" s="124"/>
      <c r="J272" s="60"/>
      <c r="K272" s="60"/>
      <c r="L272" s="60"/>
      <c r="M272" s="60"/>
      <c r="N272" s="60">
        <f t="shared" si="58"/>
        <v>0</v>
      </c>
      <c r="O272" s="60">
        <f t="shared" si="55"/>
        <v>0</v>
      </c>
    </row>
    <row r="273" spans="1:15" s="38" customFormat="1" ht="10.7" hidden="1" customHeight="1" outlineLevel="1" x14ac:dyDescent="0.25">
      <c r="A273" s="124"/>
      <c r="B273" s="137"/>
      <c r="C273" s="115"/>
      <c r="D273" s="115"/>
      <c r="E273" s="115"/>
      <c r="F273" s="115"/>
      <c r="G273" s="60" t="s">
        <v>130</v>
      </c>
      <c r="H273" s="124"/>
      <c r="I273" s="124"/>
      <c r="J273" s="60"/>
      <c r="K273" s="60"/>
      <c r="L273" s="60"/>
      <c r="M273" s="60"/>
      <c r="N273" s="60">
        <f t="shared" si="58"/>
        <v>0</v>
      </c>
      <c r="O273" s="60">
        <f t="shared" si="55"/>
        <v>0</v>
      </c>
    </row>
    <row r="274" spans="1:15" s="38" customFormat="1" ht="12" hidden="1" customHeight="1" outlineLevel="1" thickBot="1" x14ac:dyDescent="0.3">
      <c r="A274" s="125"/>
      <c r="B274" s="138"/>
      <c r="C274" s="131"/>
      <c r="D274" s="131"/>
      <c r="E274" s="131"/>
      <c r="F274" s="131"/>
      <c r="G274" s="60" t="s">
        <v>131</v>
      </c>
      <c r="H274" s="134"/>
      <c r="I274" s="134"/>
      <c r="J274" s="60"/>
      <c r="K274" s="60"/>
      <c r="L274" s="60"/>
      <c r="M274" s="60"/>
      <c r="N274" s="60">
        <f t="shared" si="58"/>
        <v>0</v>
      </c>
      <c r="O274" s="60">
        <f t="shared" si="55"/>
        <v>0</v>
      </c>
    </row>
    <row r="275" spans="1:15" s="38" customFormat="1" ht="14.45" hidden="1" customHeight="1" outlineLevel="1" x14ac:dyDescent="0.25">
      <c r="A275" s="126" t="s">
        <v>208</v>
      </c>
      <c r="B275" s="127" t="s">
        <v>209</v>
      </c>
      <c r="C275" s="130">
        <f>SUM(N275:N281)</f>
        <v>0</v>
      </c>
      <c r="D275" s="130">
        <f>SUM(O275:O281)</f>
        <v>0</v>
      </c>
      <c r="E275" s="130">
        <f t="shared" si="51"/>
        <v>0</v>
      </c>
      <c r="F275" s="130"/>
      <c r="G275" s="60" t="s">
        <v>125</v>
      </c>
      <c r="H275" s="123"/>
      <c r="I275" s="123"/>
      <c r="J275" s="60"/>
      <c r="K275" s="60"/>
      <c r="L275" s="60"/>
      <c r="M275" s="60"/>
      <c r="N275" s="60">
        <f>M275*J275*K275*L275</f>
        <v>0</v>
      </c>
      <c r="O275" s="60">
        <f t="shared" si="55"/>
        <v>0</v>
      </c>
    </row>
    <row r="276" spans="1:15" s="38" customFormat="1" ht="11.45" hidden="1" customHeight="1" outlineLevel="1" x14ac:dyDescent="0.25">
      <c r="A276" s="124"/>
      <c r="B276" s="137"/>
      <c r="C276" s="115"/>
      <c r="D276" s="115"/>
      <c r="E276" s="115"/>
      <c r="F276" s="115"/>
      <c r="G276" s="60" t="s">
        <v>126</v>
      </c>
      <c r="H276" s="124"/>
      <c r="I276" s="124"/>
      <c r="J276" s="60"/>
      <c r="K276" s="60"/>
      <c r="L276" s="60"/>
      <c r="M276" s="60"/>
      <c r="N276" s="60">
        <f t="shared" ref="N276:N281" si="59">M276*J276*K276*L276</f>
        <v>0</v>
      </c>
      <c r="O276" s="60">
        <f t="shared" si="55"/>
        <v>0</v>
      </c>
    </row>
    <row r="277" spans="1:15" s="38" customFormat="1" ht="10.7" hidden="1" customHeight="1" outlineLevel="1" x14ac:dyDescent="0.25">
      <c r="A277" s="124"/>
      <c r="B277" s="137"/>
      <c r="C277" s="115"/>
      <c r="D277" s="115"/>
      <c r="E277" s="115"/>
      <c r="F277" s="115"/>
      <c r="G277" s="60" t="s">
        <v>127</v>
      </c>
      <c r="H277" s="124"/>
      <c r="I277" s="124"/>
      <c r="J277" s="60"/>
      <c r="K277" s="60"/>
      <c r="L277" s="60"/>
      <c r="M277" s="60"/>
      <c r="N277" s="60">
        <f t="shared" si="59"/>
        <v>0</v>
      </c>
      <c r="O277" s="60">
        <f t="shared" si="55"/>
        <v>0</v>
      </c>
    </row>
    <row r="278" spans="1:15" s="38" customFormat="1" ht="10.7" hidden="1" customHeight="1" outlineLevel="1" x14ac:dyDescent="0.25">
      <c r="A278" s="124"/>
      <c r="B278" s="137"/>
      <c r="C278" s="115"/>
      <c r="D278" s="115"/>
      <c r="E278" s="115"/>
      <c r="F278" s="115"/>
      <c r="G278" s="60" t="s">
        <v>128</v>
      </c>
      <c r="H278" s="124"/>
      <c r="I278" s="124"/>
      <c r="J278" s="60"/>
      <c r="K278" s="60"/>
      <c r="L278" s="60"/>
      <c r="M278" s="60"/>
      <c r="N278" s="60">
        <f t="shared" si="59"/>
        <v>0</v>
      </c>
      <c r="O278" s="60">
        <f t="shared" si="55"/>
        <v>0</v>
      </c>
    </row>
    <row r="279" spans="1:15" s="38" customFormat="1" ht="10.7" hidden="1" customHeight="1" outlineLevel="1" x14ac:dyDescent="0.25">
      <c r="A279" s="124"/>
      <c r="B279" s="137"/>
      <c r="C279" s="115"/>
      <c r="D279" s="115"/>
      <c r="E279" s="115"/>
      <c r="F279" s="115"/>
      <c r="G279" s="60" t="s">
        <v>129</v>
      </c>
      <c r="H279" s="124"/>
      <c r="I279" s="124"/>
      <c r="J279" s="60"/>
      <c r="K279" s="60"/>
      <c r="L279" s="60"/>
      <c r="M279" s="60"/>
      <c r="N279" s="60">
        <f t="shared" si="59"/>
        <v>0</v>
      </c>
      <c r="O279" s="60">
        <f t="shared" si="55"/>
        <v>0</v>
      </c>
    </row>
    <row r="280" spans="1:15" s="38" customFormat="1" ht="10.7" hidden="1" customHeight="1" outlineLevel="1" x14ac:dyDescent="0.25">
      <c r="A280" s="124"/>
      <c r="B280" s="137"/>
      <c r="C280" s="115"/>
      <c r="D280" s="115"/>
      <c r="E280" s="115"/>
      <c r="F280" s="115"/>
      <c r="G280" s="60" t="s">
        <v>130</v>
      </c>
      <c r="H280" s="124"/>
      <c r="I280" s="124"/>
      <c r="J280" s="60"/>
      <c r="K280" s="60"/>
      <c r="L280" s="60"/>
      <c r="M280" s="60"/>
      <c r="N280" s="60">
        <f t="shared" si="59"/>
        <v>0</v>
      </c>
      <c r="O280" s="60">
        <f t="shared" si="55"/>
        <v>0</v>
      </c>
    </row>
    <row r="281" spans="1:15" s="38" customFormat="1" ht="12" hidden="1" customHeight="1" outlineLevel="1" thickBot="1" x14ac:dyDescent="0.3">
      <c r="A281" s="125"/>
      <c r="B281" s="138"/>
      <c r="C281" s="131"/>
      <c r="D281" s="131"/>
      <c r="E281" s="131"/>
      <c r="F281" s="131"/>
      <c r="G281" s="60" t="s">
        <v>131</v>
      </c>
      <c r="H281" s="134"/>
      <c r="I281" s="134"/>
      <c r="J281" s="60"/>
      <c r="K281" s="60"/>
      <c r="L281" s="60"/>
      <c r="M281" s="60"/>
      <c r="N281" s="60">
        <f t="shared" si="59"/>
        <v>0</v>
      </c>
      <c r="O281" s="60">
        <f t="shared" si="55"/>
        <v>0</v>
      </c>
    </row>
    <row r="282" spans="1:15" s="38" customFormat="1" ht="14.45" hidden="1" customHeight="1" outlineLevel="1" x14ac:dyDescent="0.25">
      <c r="A282" s="126" t="s">
        <v>210</v>
      </c>
      <c r="B282" s="127" t="s">
        <v>211</v>
      </c>
      <c r="C282" s="130">
        <f>SUM(N282:N288)</f>
        <v>0</v>
      </c>
      <c r="D282" s="130">
        <f>SUM(O282:O288)</f>
        <v>0</v>
      </c>
      <c r="E282" s="130">
        <f t="shared" ref="E282:E338" si="60">D282/8</f>
        <v>0</v>
      </c>
      <c r="F282" s="130"/>
      <c r="G282" s="60" t="s">
        <v>125</v>
      </c>
      <c r="H282" s="123"/>
      <c r="I282" s="123"/>
      <c r="J282" s="60"/>
      <c r="K282" s="60"/>
      <c r="L282" s="60"/>
      <c r="M282" s="60"/>
      <c r="N282" s="60">
        <f>M282*J282*K282*L282</f>
        <v>0</v>
      </c>
      <c r="O282" s="60">
        <f t="shared" si="55"/>
        <v>0</v>
      </c>
    </row>
    <row r="283" spans="1:15" s="38" customFormat="1" ht="11.45" hidden="1" customHeight="1" outlineLevel="1" x14ac:dyDescent="0.25">
      <c r="A283" s="124"/>
      <c r="B283" s="137"/>
      <c r="C283" s="115"/>
      <c r="D283" s="115"/>
      <c r="E283" s="115"/>
      <c r="F283" s="115"/>
      <c r="G283" s="60" t="s">
        <v>126</v>
      </c>
      <c r="H283" s="124"/>
      <c r="I283" s="124"/>
      <c r="J283" s="60"/>
      <c r="K283" s="60"/>
      <c r="L283" s="60"/>
      <c r="M283" s="60"/>
      <c r="N283" s="60">
        <f t="shared" ref="N283:N288" si="61">M283*J283*K283*L283</f>
        <v>0</v>
      </c>
      <c r="O283" s="60">
        <f t="shared" si="55"/>
        <v>0</v>
      </c>
    </row>
    <row r="284" spans="1:15" s="38" customFormat="1" ht="10.7" hidden="1" customHeight="1" outlineLevel="1" x14ac:dyDescent="0.25">
      <c r="A284" s="124"/>
      <c r="B284" s="137"/>
      <c r="C284" s="115"/>
      <c r="D284" s="115"/>
      <c r="E284" s="115"/>
      <c r="F284" s="115"/>
      <c r="G284" s="60" t="s">
        <v>127</v>
      </c>
      <c r="H284" s="124"/>
      <c r="I284" s="124"/>
      <c r="J284" s="60"/>
      <c r="K284" s="60"/>
      <c r="L284" s="60"/>
      <c r="M284" s="60"/>
      <c r="N284" s="60">
        <f t="shared" si="61"/>
        <v>0</v>
      </c>
      <c r="O284" s="60">
        <f t="shared" si="55"/>
        <v>0</v>
      </c>
    </row>
    <row r="285" spans="1:15" s="38" customFormat="1" ht="10.7" hidden="1" customHeight="1" outlineLevel="1" x14ac:dyDescent="0.25">
      <c r="A285" s="124"/>
      <c r="B285" s="137"/>
      <c r="C285" s="115"/>
      <c r="D285" s="115"/>
      <c r="E285" s="115"/>
      <c r="F285" s="115"/>
      <c r="G285" s="60" t="s">
        <v>128</v>
      </c>
      <c r="H285" s="124"/>
      <c r="I285" s="124"/>
      <c r="J285" s="60"/>
      <c r="K285" s="60"/>
      <c r="L285" s="60"/>
      <c r="M285" s="60"/>
      <c r="N285" s="60">
        <f t="shared" si="61"/>
        <v>0</v>
      </c>
      <c r="O285" s="60">
        <f t="shared" si="55"/>
        <v>0</v>
      </c>
    </row>
    <row r="286" spans="1:15" s="38" customFormat="1" ht="10.7" hidden="1" customHeight="1" outlineLevel="1" x14ac:dyDescent="0.25">
      <c r="A286" s="124"/>
      <c r="B286" s="137"/>
      <c r="C286" s="115"/>
      <c r="D286" s="115"/>
      <c r="E286" s="115"/>
      <c r="F286" s="115"/>
      <c r="G286" s="60" t="s">
        <v>129</v>
      </c>
      <c r="H286" s="124"/>
      <c r="I286" s="124"/>
      <c r="J286" s="60"/>
      <c r="K286" s="60"/>
      <c r="L286" s="60"/>
      <c r="M286" s="60"/>
      <c r="N286" s="60">
        <f t="shared" si="61"/>
        <v>0</v>
      </c>
      <c r="O286" s="60">
        <f t="shared" si="55"/>
        <v>0</v>
      </c>
    </row>
    <row r="287" spans="1:15" s="38" customFormat="1" ht="10.7" hidden="1" customHeight="1" outlineLevel="1" x14ac:dyDescent="0.25">
      <c r="A287" s="124"/>
      <c r="B287" s="137"/>
      <c r="C287" s="115"/>
      <c r="D287" s="115"/>
      <c r="E287" s="115"/>
      <c r="F287" s="115"/>
      <c r="G287" s="60" t="s">
        <v>130</v>
      </c>
      <c r="H287" s="124"/>
      <c r="I287" s="124"/>
      <c r="J287" s="60"/>
      <c r="K287" s="60"/>
      <c r="L287" s="60"/>
      <c r="M287" s="60"/>
      <c r="N287" s="60">
        <f t="shared" si="61"/>
        <v>0</v>
      </c>
      <c r="O287" s="60">
        <f t="shared" si="55"/>
        <v>0</v>
      </c>
    </row>
    <row r="288" spans="1:15" s="38" customFormat="1" ht="12" hidden="1" customHeight="1" outlineLevel="1" thickBot="1" x14ac:dyDescent="0.3">
      <c r="A288" s="125"/>
      <c r="B288" s="138"/>
      <c r="C288" s="131"/>
      <c r="D288" s="131"/>
      <c r="E288" s="131"/>
      <c r="F288" s="131"/>
      <c r="G288" s="60" t="s">
        <v>131</v>
      </c>
      <c r="H288" s="134"/>
      <c r="I288" s="134"/>
      <c r="J288" s="60"/>
      <c r="K288" s="60"/>
      <c r="L288" s="60"/>
      <c r="M288" s="60"/>
      <c r="N288" s="60">
        <f t="shared" si="61"/>
        <v>0</v>
      </c>
      <c r="O288" s="60">
        <f t="shared" si="55"/>
        <v>0</v>
      </c>
    </row>
    <row r="289" spans="1:15" s="38" customFormat="1" ht="14.45" hidden="1" customHeight="1" outlineLevel="1" x14ac:dyDescent="0.25">
      <c r="A289" s="126" t="s">
        <v>212</v>
      </c>
      <c r="B289" s="127" t="s">
        <v>213</v>
      </c>
      <c r="C289" s="130">
        <f>SUM(N289:N295)</f>
        <v>0</v>
      </c>
      <c r="D289" s="130">
        <f>SUM(O289:O295)</f>
        <v>0</v>
      </c>
      <c r="E289" s="130">
        <f t="shared" si="60"/>
        <v>0</v>
      </c>
      <c r="F289" s="130"/>
      <c r="G289" s="60" t="s">
        <v>125</v>
      </c>
      <c r="H289" s="123"/>
      <c r="I289" s="123"/>
      <c r="J289" s="60"/>
      <c r="K289" s="60"/>
      <c r="L289" s="60"/>
      <c r="M289" s="60"/>
      <c r="N289" s="60">
        <f>M289*J289*K289*L289</f>
        <v>0</v>
      </c>
      <c r="O289" s="60">
        <f t="shared" si="55"/>
        <v>0</v>
      </c>
    </row>
    <row r="290" spans="1:15" s="38" customFormat="1" ht="11.45" hidden="1" customHeight="1" outlineLevel="1" x14ac:dyDescent="0.25">
      <c r="A290" s="124"/>
      <c r="B290" s="137"/>
      <c r="C290" s="115"/>
      <c r="D290" s="115"/>
      <c r="E290" s="115"/>
      <c r="F290" s="115"/>
      <c r="G290" s="60" t="s">
        <v>126</v>
      </c>
      <c r="H290" s="124"/>
      <c r="I290" s="124"/>
      <c r="J290" s="60"/>
      <c r="K290" s="60"/>
      <c r="L290" s="60"/>
      <c r="M290" s="60"/>
      <c r="N290" s="60">
        <f t="shared" ref="N290:N295" si="62">M290*J290*K290*L290</f>
        <v>0</v>
      </c>
      <c r="O290" s="60">
        <f t="shared" si="55"/>
        <v>0</v>
      </c>
    </row>
    <row r="291" spans="1:15" s="38" customFormat="1" ht="10.7" hidden="1" customHeight="1" outlineLevel="1" x14ac:dyDescent="0.25">
      <c r="A291" s="124"/>
      <c r="B291" s="137"/>
      <c r="C291" s="115"/>
      <c r="D291" s="115"/>
      <c r="E291" s="115"/>
      <c r="F291" s="115"/>
      <c r="G291" s="60" t="s">
        <v>127</v>
      </c>
      <c r="H291" s="124"/>
      <c r="I291" s="124"/>
      <c r="J291" s="60"/>
      <c r="K291" s="60"/>
      <c r="L291" s="60"/>
      <c r="M291" s="60"/>
      <c r="N291" s="60">
        <f t="shared" si="62"/>
        <v>0</v>
      </c>
      <c r="O291" s="60">
        <f t="shared" si="55"/>
        <v>0</v>
      </c>
    </row>
    <row r="292" spans="1:15" s="38" customFormat="1" ht="10.7" hidden="1" customHeight="1" outlineLevel="1" x14ac:dyDescent="0.25">
      <c r="A292" s="124"/>
      <c r="B292" s="137"/>
      <c r="C292" s="115"/>
      <c r="D292" s="115"/>
      <c r="E292" s="115"/>
      <c r="F292" s="115"/>
      <c r="G292" s="60" t="s">
        <v>128</v>
      </c>
      <c r="H292" s="124"/>
      <c r="I292" s="124"/>
      <c r="J292" s="60"/>
      <c r="K292" s="60"/>
      <c r="L292" s="60"/>
      <c r="M292" s="60"/>
      <c r="N292" s="60">
        <f t="shared" si="62"/>
        <v>0</v>
      </c>
      <c r="O292" s="60">
        <f t="shared" si="55"/>
        <v>0</v>
      </c>
    </row>
    <row r="293" spans="1:15" s="38" customFormat="1" ht="10.7" hidden="1" customHeight="1" outlineLevel="1" x14ac:dyDescent="0.25">
      <c r="A293" s="124"/>
      <c r="B293" s="137"/>
      <c r="C293" s="115"/>
      <c r="D293" s="115"/>
      <c r="E293" s="115"/>
      <c r="F293" s="115"/>
      <c r="G293" s="60" t="s">
        <v>129</v>
      </c>
      <c r="H293" s="124"/>
      <c r="I293" s="124"/>
      <c r="J293" s="60"/>
      <c r="K293" s="60"/>
      <c r="L293" s="60"/>
      <c r="M293" s="60"/>
      <c r="N293" s="60">
        <f t="shared" si="62"/>
        <v>0</v>
      </c>
      <c r="O293" s="60">
        <f t="shared" si="55"/>
        <v>0</v>
      </c>
    </row>
    <row r="294" spans="1:15" s="38" customFormat="1" ht="10.7" hidden="1" customHeight="1" outlineLevel="1" x14ac:dyDescent="0.25">
      <c r="A294" s="124"/>
      <c r="B294" s="137"/>
      <c r="C294" s="115"/>
      <c r="D294" s="115"/>
      <c r="E294" s="115"/>
      <c r="F294" s="115"/>
      <c r="G294" s="60" t="s">
        <v>130</v>
      </c>
      <c r="H294" s="124"/>
      <c r="I294" s="124"/>
      <c r="J294" s="60"/>
      <c r="K294" s="60"/>
      <c r="L294" s="60"/>
      <c r="M294" s="60"/>
      <c r="N294" s="60">
        <f t="shared" si="62"/>
        <v>0</v>
      </c>
      <c r="O294" s="60">
        <f t="shared" si="55"/>
        <v>0</v>
      </c>
    </row>
    <row r="295" spans="1:15" s="38" customFormat="1" ht="12" hidden="1" customHeight="1" outlineLevel="1" thickBot="1" x14ac:dyDescent="0.3">
      <c r="A295" s="125"/>
      <c r="B295" s="138"/>
      <c r="C295" s="131"/>
      <c r="D295" s="131"/>
      <c r="E295" s="131"/>
      <c r="F295" s="131"/>
      <c r="G295" s="60" t="s">
        <v>131</v>
      </c>
      <c r="H295" s="134"/>
      <c r="I295" s="134"/>
      <c r="J295" s="60"/>
      <c r="K295" s="60"/>
      <c r="L295" s="60"/>
      <c r="M295" s="60"/>
      <c r="N295" s="60">
        <f t="shared" si="62"/>
        <v>0</v>
      </c>
      <c r="O295" s="60">
        <f t="shared" si="55"/>
        <v>0</v>
      </c>
    </row>
    <row r="296" spans="1:15" s="38" customFormat="1" ht="14.45" hidden="1" customHeight="1" outlineLevel="1" x14ac:dyDescent="0.25">
      <c r="A296" s="126" t="s">
        <v>214</v>
      </c>
      <c r="B296" s="127" t="s">
        <v>215</v>
      </c>
      <c r="C296" s="130">
        <f>SUM(N296:N302)</f>
        <v>0</v>
      </c>
      <c r="D296" s="130">
        <f>SUM(O296:O302)</f>
        <v>0</v>
      </c>
      <c r="E296" s="130">
        <f t="shared" si="60"/>
        <v>0</v>
      </c>
      <c r="F296" s="130"/>
      <c r="G296" s="60" t="s">
        <v>125</v>
      </c>
      <c r="H296" s="123"/>
      <c r="I296" s="123"/>
      <c r="J296" s="60"/>
      <c r="K296" s="60"/>
      <c r="L296" s="60"/>
      <c r="M296" s="60"/>
      <c r="N296" s="60">
        <f>M296*J296*K296*L296</f>
        <v>0</v>
      </c>
      <c r="O296" s="60">
        <f t="shared" si="55"/>
        <v>0</v>
      </c>
    </row>
    <row r="297" spans="1:15" s="38" customFormat="1" ht="11.45" hidden="1" customHeight="1" outlineLevel="1" x14ac:dyDescent="0.25">
      <c r="A297" s="124"/>
      <c r="B297" s="137"/>
      <c r="C297" s="115"/>
      <c r="D297" s="115"/>
      <c r="E297" s="115"/>
      <c r="F297" s="115"/>
      <c r="G297" s="60" t="s">
        <v>126</v>
      </c>
      <c r="H297" s="124"/>
      <c r="I297" s="124"/>
      <c r="J297" s="60"/>
      <c r="K297" s="60"/>
      <c r="L297" s="60"/>
      <c r="M297" s="60"/>
      <c r="N297" s="60">
        <f t="shared" ref="N297:N302" si="63">M297*J297*K297*L297</f>
        <v>0</v>
      </c>
      <c r="O297" s="60">
        <f t="shared" si="55"/>
        <v>0</v>
      </c>
    </row>
    <row r="298" spans="1:15" s="38" customFormat="1" ht="10.7" hidden="1" customHeight="1" outlineLevel="1" x14ac:dyDescent="0.25">
      <c r="A298" s="124"/>
      <c r="B298" s="137"/>
      <c r="C298" s="115"/>
      <c r="D298" s="115"/>
      <c r="E298" s="115"/>
      <c r="F298" s="115"/>
      <c r="G298" s="60" t="s">
        <v>127</v>
      </c>
      <c r="H298" s="124"/>
      <c r="I298" s="124"/>
      <c r="J298" s="60"/>
      <c r="K298" s="60"/>
      <c r="L298" s="60"/>
      <c r="M298" s="60"/>
      <c r="N298" s="60">
        <f t="shared" si="63"/>
        <v>0</v>
      </c>
      <c r="O298" s="60">
        <f t="shared" si="55"/>
        <v>0</v>
      </c>
    </row>
    <row r="299" spans="1:15" s="38" customFormat="1" ht="10.7" hidden="1" customHeight="1" outlineLevel="1" x14ac:dyDescent="0.25">
      <c r="A299" s="124"/>
      <c r="B299" s="137"/>
      <c r="C299" s="115"/>
      <c r="D299" s="115"/>
      <c r="E299" s="115"/>
      <c r="F299" s="115"/>
      <c r="G299" s="60" t="s">
        <v>128</v>
      </c>
      <c r="H299" s="124"/>
      <c r="I299" s="124"/>
      <c r="J299" s="60"/>
      <c r="K299" s="60"/>
      <c r="L299" s="60"/>
      <c r="M299" s="60"/>
      <c r="N299" s="60">
        <f t="shared" si="63"/>
        <v>0</v>
      </c>
      <c r="O299" s="60">
        <f t="shared" si="55"/>
        <v>0</v>
      </c>
    </row>
    <row r="300" spans="1:15" s="38" customFormat="1" ht="10.7" hidden="1" customHeight="1" outlineLevel="1" x14ac:dyDescent="0.25">
      <c r="A300" s="124"/>
      <c r="B300" s="137"/>
      <c r="C300" s="115"/>
      <c r="D300" s="115"/>
      <c r="E300" s="115"/>
      <c r="F300" s="115"/>
      <c r="G300" s="60" t="s">
        <v>129</v>
      </c>
      <c r="H300" s="124"/>
      <c r="I300" s="124"/>
      <c r="J300" s="60"/>
      <c r="K300" s="60"/>
      <c r="L300" s="60"/>
      <c r="M300" s="60"/>
      <c r="N300" s="60">
        <f t="shared" si="63"/>
        <v>0</v>
      </c>
      <c r="O300" s="60">
        <f t="shared" si="55"/>
        <v>0</v>
      </c>
    </row>
    <row r="301" spans="1:15" s="38" customFormat="1" ht="10.7" hidden="1" customHeight="1" outlineLevel="1" x14ac:dyDescent="0.25">
      <c r="A301" s="124"/>
      <c r="B301" s="137"/>
      <c r="C301" s="115"/>
      <c r="D301" s="115"/>
      <c r="E301" s="115"/>
      <c r="F301" s="115"/>
      <c r="G301" s="60" t="s">
        <v>130</v>
      </c>
      <c r="H301" s="124"/>
      <c r="I301" s="124"/>
      <c r="J301" s="60"/>
      <c r="K301" s="60"/>
      <c r="L301" s="60"/>
      <c r="M301" s="60"/>
      <c r="N301" s="60">
        <f t="shared" si="63"/>
        <v>0</v>
      </c>
      <c r="O301" s="60">
        <f t="shared" si="55"/>
        <v>0</v>
      </c>
    </row>
    <row r="302" spans="1:15" s="38" customFormat="1" ht="12" hidden="1" customHeight="1" outlineLevel="1" thickBot="1" x14ac:dyDescent="0.3">
      <c r="A302" s="125"/>
      <c r="B302" s="138"/>
      <c r="C302" s="131"/>
      <c r="D302" s="131"/>
      <c r="E302" s="131"/>
      <c r="F302" s="131"/>
      <c r="G302" s="60" t="s">
        <v>131</v>
      </c>
      <c r="H302" s="134"/>
      <c r="I302" s="134"/>
      <c r="J302" s="60"/>
      <c r="K302" s="60"/>
      <c r="L302" s="60"/>
      <c r="M302" s="60"/>
      <c r="N302" s="60">
        <f t="shared" si="63"/>
        <v>0</v>
      </c>
      <c r="O302" s="60">
        <f t="shared" si="55"/>
        <v>0</v>
      </c>
    </row>
    <row r="303" spans="1:15" s="38" customFormat="1" ht="14.45" hidden="1" customHeight="1" outlineLevel="1" x14ac:dyDescent="0.25">
      <c r="A303" s="126" t="s">
        <v>216</v>
      </c>
      <c r="B303" s="127" t="s">
        <v>217</v>
      </c>
      <c r="C303" s="130">
        <f>SUM(N303:N309)</f>
        <v>0</v>
      </c>
      <c r="D303" s="130">
        <f>SUM(O303:O309)</f>
        <v>0</v>
      </c>
      <c r="E303" s="130">
        <f t="shared" si="60"/>
        <v>0</v>
      </c>
      <c r="F303" s="130"/>
      <c r="G303" s="60" t="s">
        <v>125</v>
      </c>
      <c r="H303" s="123"/>
      <c r="I303" s="123"/>
      <c r="J303" s="60"/>
      <c r="K303" s="60"/>
      <c r="L303" s="60"/>
      <c r="M303" s="60"/>
      <c r="N303" s="60">
        <f>M303*J303*K303*L303</f>
        <v>0</v>
      </c>
      <c r="O303" s="60">
        <f t="shared" si="55"/>
        <v>0</v>
      </c>
    </row>
    <row r="304" spans="1:15" s="38" customFormat="1" ht="11.45" hidden="1" customHeight="1" outlineLevel="1" x14ac:dyDescent="0.25">
      <c r="A304" s="124"/>
      <c r="B304" s="137"/>
      <c r="C304" s="115"/>
      <c r="D304" s="115"/>
      <c r="E304" s="115"/>
      <c r="F304" s="115"/>
      <c r="G304" s="60" t="s">
        <v>126</v>
      </c>
      <c r="H304" s="124"/>
      <c r="I304" s="124"/>
      <c r="J304" s="60"/>
      <c r="K304" s="60"/>
      <c r="L304" s="60"/>
      <c r="M304" s="60"/>
      <c r="N304" s="60">
        <f t="shared" ref="N304:N309" si="64">M304*J304*K304*L304</f>
        <v>0</v>
      </c>
      <c r="O304" s="60">
        <f t="shared" si="55"/>
        <v>0</v>
      </c>
    </row>
    <row r="305" spans="1:15" s="38" customFormat="1" ht="10.7" hidden="1" customHeight="1" outlineLevel="1" x14ac:dyDescent="0.25">
      <c r="A305" s="124"/>
      <c r="B305" s="137"/>
      <c r="C305" s="115"/>
      <c r="D305" s="115"/>
      <c r="E305" s="115"/>
      <c r="F305" s="115"/>
      <c r="G305" s="60" t="s">
        <v>127</v>
      </c>
      <c r="H305" s="124"/>
      <c r="I305" s="124"/>
      <c r="J305" s="60"/>
      <c r="K305" s="60"/>
      <c r="L305" s="60"/>
      <c r="M305" s="60"/>
      <c r="N305" s="60">
        <f t="shared" si="64"/>
        <v>0</v>
      </c>
      <c r="O305" s="60">
        <f t="shared" si="55"/>
        <v>0</v>
      </c>
    </row>
    <row r="306" spans="1:15" s="38" customFormat="1" ht="10.7" hidden="1" customHeight="1" outlineLevel="1" x14ac:dyDescent="0.25">
      <c r="A306" s="124"/>
      <c r="B306" s="137"/>
      <c r="C306" s="115"/>
      <c r="D306" s="115"/>
      <c r="E306" s="115"/>
      <c r="F306" s="115"/>
      <c r="G306" s="60" t="s">
        <v>128</v>
      </c>
      <c r="H306" s="124"/>
      <c r="I306" s="124"/>
      <c r="J306" s="60"/>
      <c r="K306" s="60"/>
      <c r="L306" s="60"/>
      <c r="M306" s="60"/>
      <c r="N306" s="60">
        <f t="shared" si="64"/>
        <v>0</v>
      </c>
      <c r="O306" s="60">
        <f t="shared" si="55"/>
        <v>0</v>
      </c>
    </row>
    <row r="307" spans="1:15" s="38" customFormat="1" ht="10.7" hidden="1" customHeight="1" outlineLevel="1" x14ac:dyDescent="0.25">
      <c r="A307" s="124"/>
      <c r="B307" s="137"/>
      <c r="C307" s="115"/>
      <c r="D307" s="115"/>
      <c r="E307" s="115"/>
      <c r="F307" s="115"/>
      <c r="G307" s="60" t="s">
        <v>129</v>
      </c>
      <c r="H307" s="124"/>
      <c r="I307" s="124"/>
      <c r="J307" s="60"/>
      <c r="K307" s="60"/>
      <c r="L307" s="60"/>
      <c r="M307" s="60"/>
      <c r="N307" s="60">
        <f t="shared" si="64"/>
        <v>0</v>
      </c>
      <c r="O307" s="60">
        <f t="shared" si="55"/>
        <v>0</v>
      </c>
    </row>
    <row r="308" spans="1:15" s="38" customFormat="1" ht="10.7" hidden="1" customHeight="1" outlineLevel="1" x14ac:dyDescent="0.25">
      <c r="A308" s="124"/>
      <c r="B308" s="137"/>
      <c r="C308" s="115"/>
      <c r="D308" s="115"/>
      <c r="E308" s="115"/>
      <c r="F308" s="115"/>
      <c r="G308" s="60" t="s">
        <v>130</v>
      </c>
      <c r="H308" s="124"/>
      <c r="I308" s="124"/>
      <c r="J308" s="60"/>
      <c r="K308" s="60"/>
      <c r="L308" s="60"/>
      <c r="M308" s="60"/>
      <c r="N308" s="60">
        <f t="shared" si="64"/>
        <v>0</v>
      </c>
      <c r="O308" s="60">
        <f t="shared" si="55"/>
        <v>0</v>
      </c>
    </row>
    <row r="309" spans="1:15" s="38" customFormat="1" ht="12" hidden="1" customHeight="1" outlineLevel="1" thickBot="1" x14ac:dyDescent="0.3">
      <c r="A309" s="125"/>
      <c r="B309" s="138"/>
      <c r="C309" s="131"/>
      <c r="D309" s="131"/>
      <c r="E309" s="131"/>
      <c r="F309" s="131"/>
      <c r="G309" s="60" t="s">
        <v>131</v>
      </c>
      <c r="H309" s="134"/>
      <c r="I309" s="134"/>
      <c r="J309" s="60"/>
      <c r="K309" s="60"/>
      <c r="L309" s="60"/>
      <c r="M309" s="60"/>
      <c r="N309" s="60">
        <f t="shared" si="64"/>
        <v>0</v>
      </c>
      <c r="O309" s="60">
        <f t="shared" si="55"/>
        <v>0</v>
      </c>
    </row>
    <row r="310" spans="1:15" s="38" customFormat="1" ht="14.45" hidden="1" customHeight="1" outlineLevel="1" x14ac:dyDescent="0.25">
      <c r="A310" s="126" t="s">
        <v>218</v>
      </c>
      <c r="B310" s="127" t="s">
        <v>219</v>
      </c>
      <c r="C310" s="130">
        <f>SUM(N310:N316)</f>
        <v>0</v>
      </c>
      <c r="D310" s="130">
        <f>SUM(O310:O316)</f>
        <v>0</v>
      </c>
      <c r="E310" s="130">
        <f t="shared" si="60"/>
        <v>0</v>
      </c>
      <c r="F310" s="130"/>
      <c r="G310" s="60" t="s">
        <v>125</v>
      </c>
      <c r="H310" s="123"/>
      <c r="I310" s="123"/>
      <c r="J310" s="60"/>
      <c r="K310" s="60"/>
      <c r="L310" s="60"/>
      <c r="M310" s="60"/>
      <c r="N310" s="60">
        <f>M310*J310*K310*L310</f>
        <v>0</v>
      </c>
      <c r="O310" s="60">
        <f t="shared" si="55"/>
        <v>0</v>
      </c>
    </row>
    <row r="311" spans="1:15" s="38" customFormat="1" ht="11.45" hidden="1" customHeight="1" outlineLevel="1" x14ac:dyDescent="0.25">
      <c r="A311" s="124"/>
      <c r="B311" s="137"/>
      <c r="C311" s="115"/>
      <c r="D311" s="115"/>
      <c r="E311" s="115"/>
      <c r="F311" s="115"/>
      <c r="G311" s="60" t="s">
        <v>126</v>
      </c>
      <c r="H311" s="124"/>
      <c r="I311" s="124"/>
      <c r="J311" s="60"/>
      <c r="K311" s="60"/>
      <c r="L311" s="60"/>
      <c r="M311" s="60"/>
      <c r="N311" s="60">
        <f t="shared" ref="N311:N316" si="65">M311*J311*K311*L311</f>
        <v>0</v>
      </c>
      <c r="O311" s="60">
        <f t="shared" si="55"/>
        <v>0</v>
      </c>
    </row>
    <row r="312" spans="1:15" s="38" customFormat="1" ht="10.7" hidden="1" customHeight="1" outlineLevel="1" x14ac:dyDescent="0.25">
      <c r="A312" s="124"/>
      <c r="B312" s="137"/>
      <c r="C312" s="115"/>
      <c r="D312" s="115"/>
      <c r="E312" s="115"/>
      <c r="F312" s="115"/>
      <c r="G312" s="60" t="s">
        <v>127</v>
      </c>
      <c r="H312" s="124"/>
      <c r="I312" s="124"/>
      <c r="J312" s="60"/>
      <c r="K312" s="60"/>
      <c r="L312" s="60"/>
      <c r="M312" s="60"/>
      <c r="N312" s="60">
        <f t="shared" si="65"/>
        <v>0</v>
      </c>
      <c r="O312" s="60">
        <f t="shared" si="55"/>
        <v>0</v>
      </c>
    </row>
    <row r="313" spans="1:15" s="38" customFormat="1" ht="10.7" hidden="1" customHeight="1" outlineLevel="1" x14ac:dyDescent="0.25">
      <c r="A313" s="124"/>
      <c r="B313" s="137"/>
      <c r="C313" s="115"/>
      <c r="D313" s="115"/>
      <c r="E313" s="115"/>
      <c r="F313" s="115"/>
      <c r="G313" s="60" t="s">
        <v>128</v>
      </c>
      <c r="H313" s="124"/>
      <c r="I313" s="124"/>
      <c r="J313" s="60"/>
      <c r="K313" s="60"/>
      <c r="L313" s="60"/>
      <c r="M313" s="60"/>
      <c r="N313" s="60">
        <f t="shared" si="65"/>
        <v>0</v>
      </c>
      <c r="O313" s="60">
        <f t="shared" ref="O313:O376" si="66">J313*K313*L313</f>
        <v>0</v>
      </c>
    </row>
    <row r="314" spans="1:15" s="38" customFormat="1" ht="10.7" hidden="1" customHeight="1" outlineLevel="1" x14ac:dyDescent="0.25">
      <c r="A314" s="124"/>
      <c r="B314" s="137"/>
      <c r="C314" s="115"/>
      <c r="D314" s="115"/>
      <c r="E314" s="115"/>
      <c r="F314" s="115"/>
      <c r="G314" s="60" t="s">
        <v>129</v>
      </c>
      <c r="H314" s="124"/>
      <c r="I314" s="124"/>
      <c r="J314" s="60"/>
      <c r="K314" s="60"/>
      <c r="L314" s="60"/>
      <c r="M314" s="60"/>
      <c r="N314" s="60">
        <f t="shared" si="65"/>
        <v>0</v>
      </c>
      <c r="O314" s="60">
        <f t="shared" si="66"/>
        <v>0</v>
      </c>
    </row>
    <row r="315" spans="1:15" s="38" customFormat="1" ht="10.7" hidden="1" customHeight="1" outlineLevel="1" x14ac:dyDescent="0.25">
      <c r="A315" s="124"/>
      <c r="B315" s="137"/>
      <c r="C315" s="115"/>
      <c r="D315" s="115"/>
      <c r="E315" s="115"/>
      <c r="F315" s="115"/>
      <c r="G315" s="60" t="s">
        <v>130</v>
      </c>
      <c r="H315" s="124"/>
      <c r="I315" s="124"/>
      <c r="J315" s="60"/>
      <c r="K315" s="60"/>
      <c r="L315" s="60"/>
      <c r="M315" s="60"/>
      <c r="N315" s="60">
        <f t="shared" si="65"/>
        <v>0</v>
      </c>
      <c r="O315" s="60">
        <f t="shared" si="66"/>
        <v>0</v>
      </c>
    </row>
    <row r="316" spans="1:15" s="38" customFormat="1" ht="12" hidden="1" customHeight="1" outlineLevel="1" thickBot="1" x14ac:dyDescent="0.3">
      <c r="A316" s="125"/>
      <c r="B316" s="138"/>
      <c r="C316" s="131"/>
      <c r="D316" s="131"/>
      <c r="E316" s="131"/>
      <c r="F316" s="131"/>
      <c r="G316" s="60" t="s">
        <v>131</v>
      </c>
      <c r="H316" s="134"/>
      <c r="I316" s="134"/>
      <c r="J316" s="60"/>
      <c r="K316" s="60"/>
      <c r="L316" s="60"/>
      <c r="M316" s="60"/>
      <c r="N316" s="60">
        <f t="shared" si="65"/>
        <v>0</v>
      </c>
      <c r="O316" s="60">
        <f t="shared" si="66"/>
        <v>0</v>
      </c>
    </row>
    <row r="317" spans="1:15" s="38" customFormat="1" ht="14.45" hidden="1" customHeight="1" outlineLevel="1" x14ac:dyDescent="0.25">
      <c r="A317" s="126" t="s">
        <v>220</v>
      </c>
      <c r="B317" s="127" t="s">
        <v>221</v>
      </c>
      <c r="C317" s="130">
        <f>SUM(N317:N323)</f>
        <v>0</v>
      </c>
      <c r="D317" s="130">
        <f>SUM(O317:O323)</f>
        <v>0</v>
      </c>
      <c r="E317" s="130">
        <f t="shared" si="60"/>
        <v>0</v>
      </c>
      <c r="F317" s="130"/>
      <c r="G317" s="60" t="s">
        <v>125</v>
      </c>
      <c r="H317" s="123"/>
      <c r="I317" s="123"/>
      <c r="J317" s="60"/>
      <c r="K317" s="60"/>
      <c r="L317" s="60"/>
      <c r="M317" s="60"/>
      <c r="N317" s="60">
        <f>M317*J317*K317*L317</f>
        <v>0</v>
      </c>
      <c r="O317" s="60">
        <f t="shared" si="66"/>
        <v>0</v>
      </c>
    </row>
    <row r="318" spans="1:15" s="38" customFormat="1" ht="11.45" hidden="1" customHeight="1" outlineLevel="1" x14ac:dyDescent="0.25">
      <c r="A318" s="124"/>
      <c r="B318" s="137"/>
      <c r="C318" s="115"/>
      <c r="D318" s="115"/>
      <c r="E318" s="115"/>
      <c r="F318" s="115"/>
      <c r="G318" s="60" t="s">
        <v>126</v>
      </c>
      <c r="H318" s="124"/>
      <c r="I318" s="124"/>
      <c r="J318" s="60"/>
      <c r="K318" s="60"/>
      <c r="L318" s="60"/>
      <c r="M318" s="60"/>
      <c r="N318" s="60">
        <f t="shared" ref="N318:N323" si="67">M318*J318*K318*L318</f>
        <v>0</v>
      </c>
      <c r="O318" s="60">
        <f t="shared" si="66"/>
        <v>0</v>
      </c>
    </row>
    <row r="319" spans="1:15" s="38" customFormat="1" ht="10.7" hidden="1" customHeight="1" outlineLevel="1" x14ac:dyDescent="0.25">
      <c r="A319" s="124"/>
      <c r="B319" s="137"/>
      <c r="C319" s="115"/>
      <c r="D319" s="115"/>
      <c r="E319" s="115"/>
      <c r="F319" s="115"/>
      <c r="G319" s="60" t="s">
        <v>127</v>
      </c>
      <c r="H319" s="124"/>
      <c r="I319" s="124"/>
      <c r="J319" s="60"/>
      <c r="K319" s="60"/>
      <c r="L319" s="60"/>
      <c r="M319" s="60"/>
      <c r="N319" s="60">
        <f t="shared" si="67"/>
        <v>0</v>
      </c>
      <c r="O319" s="60">
        <f t="shared" si="66"/>
        <v>0</v>
      </c>
    </row>
    <row r="320" spans="1:15" s="38" customFormat="1" ht="10.7" hidden="1" customHeight="1" outlineLevel="1" x14ac:dyDescent="0.25">
      <c r="A320" s="124"/>
      <c r="B320" s="137"/>
      <c r="C320" s="115"/>
      <c r="D320" s="115"/>
      <c r="E320" s="115"/>
      <c r="F320" s="115"/>
      <c r="G320" s="60" t="s">
        <v>128</v>
      </c>
      <c r="H320" s="124"/>
      <c r="I320" s="124"/>
      <c r="J320" s="60"/>
      <c r="K320" s="60"/>
      <c r="L320" s="60"/>
      <c r="M320" s="60"/>
      <c r="N320" s="60">
        <f t="shared" si="67"/>
        <v>0</v>
      </c>
      <c r="O320" s="60">
        <f t="shared" si="66"/>
        <v>0</v>
      </c>
    </row>
    <row r="321" spans="1:15" s="38" customFormat="1" ht="10.7" hidden="1" customHeight="1" outlineLevel="1" x14ac:dyDescent="0.25">
      <c r="A321" s="124"/>
      <c r="B321" s="137"/>
      <c r="C321" s="115"/>
      <c r="D321" s="115"/>
      <c r="E321" s="115"/>
      <c r="F321" s="115"/>
      <c r="G321" s="60" t="s">
        <v>129</v>
      </c>
      <c r="H321" s="124"/>
      <c r="I321" s="124"/>
      <c r="J321" s="60"/>
      <c r="K321" s="60"/>
      <c r="L321" s="60"/>
      <c r="M321" s="60"/>
      <c r="N321" s="60">
        <f t="shared" si="67"/>
        <v>0</v>
      </c>
      <c r="O321" s="60">
        <f t="shared" si="66"/>
        <v>0</v>
      </c>
    </row>
    <row r="322" spans="1:15" s="38" customFormat="1" ht="10.7" hidden="1" customHeight="1" outlineLevel="1" x14ac:dyDescent="0.25">
      <c r="A322" s="124"/>
      <c r="B322" s="137"/>
      <c r="C322" s="115"/>
      <c r="D322" s="115"/>
      <c r="E322" s="115"/>
      <c r="F322" s="115"/>
      <c r="G322" s="60" t="s">
        <v>130</v>
      </c>
      <c r="H322" s="124"/>
      <c r="I322" s="124"/>
      <c r="J322" s="60"/>
      <c r="K322" s="60"/>
      <c r="L322" s="60"/>
      <c r="M322" s="60"/>
      <c r="N322" s="60">
        <f t="shared" si="67"/>
        <v>0</v>
      </c>
      <c r="O322" s="60">
        <f t="shared" si="66"/>
        <v>0</v>
      </c>
    </row>
    <row r="323" spans="1:15" s="38" customFormat="1" ht="12" hidden="1" customHeight="1" outlineLevel="1" thickBot="1" x14ac:dyDescent="0.3">
      <c r="A323" s="125"/>
      <c r="B323" s="138"/>
      <c r="C323" s="131"/>
      <c r="D323" s="131"/>
      <c r="E323" s="131"/>
      <c r="F323" s="131"/>
      <c r="G323" s="60" t="s">
        <v>131</v>
      </c>
      <c r="H323" s="134"/>
      <c r="I323" s="134"/>
      <c r="J323" s="60"/>
      <c r="K323" s="60"/>
      <c r="L323" s="60"/>
      <c r="M323" s="60"/>
      <c r="N323" s="60">
        <f t="shared" si="67"/>
        <v>0</v>
      </c>
      <c r="O323" s="60">
        <f t="shared" si="66"/>
        <v>0</v>
      </c>
    </row>
    <row r="324" spans="1:15" s="38" customFormat="1" ht="14.45" hidden="1" customHeight="1" outlineLevel="1" x14ac:dyDescent="0.25">
      <c r="A324" s="126" t="s">
        <v>222</v>
      </c>
      <c r="B324" s="127" t="s">
        <v>223</v>
      </c>
      <c r="C324" s="130">
        <f>SUM(N324:N330)</f>
        <v>0</v>
      </c>
      <c r="D324" s="130">
        <f>SUM(O324:O330)</f>
        <v>0</v>
      </c>
      <c r="E324" s="130">
        <f t="shared" si="60"/>
        <v>0</v>
      </c>
      <c r="F324" s="130"/>
      <c r="G324" s="60" t="s">
        <v>125</v>
      </c>
      <c r="H324" s="123"/>
      <c r="I324" s="123"/>
      <c r="J324" s="60"/>
      <c r="K324" s="60"/>
      <c r="L324" s="60"/>
      <c r="M324" s="60"/>
      <c r="N324" s="60">
        <f>M324*J324*K324*L324</f>
        <v>0</v>
      </c>
      <c r="O324" s="60">
        <f t="shared" si="66"/>
        <v>0</v>
      </c>
    </row>
    <row r="325" spans="1:15" s="38" customFormat="1" ht="11.45" hidden="1" customHeight="1" outlineLevel="1" x14ac:dyDescent="0.25">
      <c r="A325" s="124"/>
      <c r="B325" s="137"/>
      <c r="C325" s="115"/>
      <c r="D325" s="115"/>
      <c r="E325" s="115"/>
      <c r="F325" s="115"/>
      <c r="G325" s="60" t="s">
        <v>126</v>
      </c>
      <c r="H325" s="124"/>
      <c r="I325" s="124"/>
      <c r="J325" s="60"/>
      <c r="K325" s="60"/>
      <c r="L325" s="60"/>
      <c r="M325" s="60"/>
      <c r="N325" s="60">
        <f t="shared" ref="N325:N330" si="68">M325*J325*K325*L325</f>
        <v>0</v>
      </c>
      <c r="O325" s="60">
        <f t="shared" si="66"/>
        <v>0</v>
      </c>
    </row>
    <row r="326" spans="1:15" s="38" customFormat="1" ht="10.7" hidden="1" customHeight="1" outlineLevel="1" x14ac:dyDescent="0.25">
      <c r="A326" s="124"/>
      <c r="B326" s="137"/>
      <c r="C326" s="115"/>
      <c r="D326" s="115"/>
      <c r="E326" s="115"/>
      <c r="F326" s="115"/>
      <c r="G326" s="60" t="s">
        <v>127</v>
      </c>
      <c r="H326" s="124"/>
      <c r="I326" s="124"/>
      <c r="J326" s="60"/>
      <c r="K326" s="60"/>
      <c r="L326" s="60"/>
      <c r="M326" s="60"/>
      <c r="N326" s="60">
        <f t="shared" si="68"/>
        <v>0</v>
      </c>
      <c r="O326" s="60">
        <f t="shared" si="66"/>
        <v>0</v>
      </c>
    </row>
    <row r="327" spans="1:15" s="38" customFormat="1" ht="10.7" hidden="1" customHeight="1" outlineLevel="1" x14ac:dyDescent="0.25">
      <c r="A327" s="124"/>
      <c r="B327" s="137"/>
      <c r="C327" s="115"/>
      <c r="D327" s="115"/>
      <c r="E327" s="115"/>
      <c r="F327" s="115"/>
      <c r="G327" s="60" t="s">
        <v>128</v>
      </c>
      <c r="H327" s="124"/>
      <c r="I327" s="124"/>
      <c r="J327" s="60"/>
      <c r="K327" s="60"/>
      <c r="L327" s="60"/>
      <c r="M327" s="60"/>
      <c r="N327" s="60">
        <f t="shared" si="68"/>
        <v>0</v>
      </c>
      <c r="O327" s="60">
        <f t="shared" si="66"/>
        <v>0</v>
      </c>
    </row>
    <row r="328" spans="1:15" s="38" customFormat="1" ht="10.7" hidden="1" customHeight="1" outlineLevel="1" x14ac:dyDescent="0.25">
      <c r="A328" s="124"/>
      <c r="B328" s="137"/>
      <c r="C328" s="115"/>
      <c r="D328" s="115"/>
      <c r="E328" s="115"/>
      <c r="F328" s="115"/>
      <c r="G328" s="60" t="s">
        <v>129</v>
      </c>
      <c r="H328" s="124"/>
      <c r="I328" s="124"/>
      <c r="J328" s="60"/>
      <c r="K328" s="60"/>
      <c r="L328" s="60"/>
      <c r="M328" s="60"/>
      <c r="N328" s="60">
        <f t="shared" si="68"/>
        <v>0</v>
      </c>
      <c r="O328" s="60">
        <f t="shared" si="66"/>
        <v>0</v>
      </c>
    </row>
    <row r="329" spans="1:15" s="38" customFormat="1" ht="10.7" hidden="1" customHeight="1" outlineLevel="1" x14ac:dyDescent="0.25">
      <c r="A329" s="124"/>
      <c r="B329" s="137"/>
      <c r="C329" s="115"/>
      <c r="D329" s="115"/>
      <c r="E329" s="115"/>
      <c r="F329" s="115"/>
      <c r="G329" s="60" t="s">
        <v>130</v>
      </c>
      <c r="H329" s="124"/>
      <c r="I329" s="124"/>
      <c r="J329" s="60"/>
      <c r="K329" s="60"/>
      <c r="L329" s="60"/>
      <c r="M329" s="60"/>
      <c r="N329" s="60">
        <f t="shared" si="68"/>
        <v>0</v>
      </c>
      <c r="O329" s="60">
        <f t="shared" si="66"/>
        <v>0</v>
      </c>
    </row>
    <row r="330" spans="1:15" s="38" customFormat="1" ht="12" hidden="1" customHeight="1" outlineLevel="1" thickBot="1" x14ac:dyDescent="0.3">
      <c r="A330" s="125"/>
      <c r="B330" s="138"/>
      <c r="C330" s="131"/>
      <c r="D330" s="131"/>
      <c r="E330" s="131"/>
      <c r="F330" s="131"/>
      <c r="G330" s="60" t="s">
        <v>131</v>
      </c>
      <c r="H330" s="134"/>
      <c r="I330" s="134"/>
      <c r="J330" s="60"/>
      <c r="K330" s="60"/>
      <c r="L330" s="60"/>
      <c r="M330" s="60"/>
      <c r="N330" s="60">
        <f t="shared" si="68"/>
        <v>0</v>
      </c>
      <c r="O330" s="60">
        <f t="shared" si="66"/>
        <v>0</v>
      </c>
    </row>
    <row r="331" spans="1:15" s="38" customFormat="1" ht="14.45" hidden="1" customHeight="1" outlineLevel="1" x14ac:dyDescent="0.25">
      <c r="A331" s="126" t="s">
        <v>224</v>
      </c>
      <c r="B331" s="127" t="s">
        <v>225</v>
      </c>
      <c r="C331" s="130">
        <f>SUM(N331:N337)</f>
        <v>0</v>
      </c>
      <c r="D331" s="130">
        <f>SUM(O331:O337)</f>
        <v>0</v>
      </c>
      <c r="E331" s="130">
        <f t="shared" si="60"/>
        <v>0</v>
      </c>
      <c r="F331" s="130"/>
      <c r="G331" s="60" t="s">
        <v>125</v>
      </c>
      <c r="H331" s="123"/>
      <c r="I331" s="123"/>
      <c r="J331" s="60"/>
      <c r="K331" s="60"/>
      <c r="L331" s="60"/>
      <c r="M331" s="60"/>
      <c r="N331" s="60">
        <f>M331*J331*K331*L331</f>
        <v>0</v>
      </c>
      <c r="O331" s="60">
        <f t="shared" si="66"/>
        <v>0</v>
      </c>
    </row>
    <row r="332" spans="1:15" s="38" customFormat="1" ht="11.45" hidden="1" customHeight="1" outlineLevel="1" x14ac:dyDescent="0.25">
      <c r="A332" s="124"/>
      <c r="B332" s="137"/>
      <c r="C332" s="115"/>
      <c r="D332" s="115"/>
      <c r="E332" s="115"/>
      <c r="F332" s="115"/>
      <c r="G332" s="60" t="s">
        <v>126</v>
      </c>
      <c r="H332" s="124"/>
      <c r="I332" s="124"/>
      <c r="J332" s="60"/>
      <c r="K332" s="60"/>
      <c r="L332" s="60"/>
      <c r="M332" s="60"/>
      <c r="N332" s="60">
        <f t="shared" ref="N332:N337" si="69">M332*J332*K332*L332</f>
        <v>0</v>
      </c>
      <c r="O332" s="60">
        <f t="shared" si="66"/>
        <v>0</v>
      </c>
    </row>
    <row r="333" spans="1:15" s="38" customFormat="1" ht="10.7" hidden="1" customHeight="1" outlineLevel="1" x14ac:dyDescent="0.25">
      <c r="A333" s="124"/>
      <c r="B333" s="137"/>
      <c r="C333" s="115"/>
      <c r="D333" s="115"/>
      <c r="E333" s="115"/>
      <c r="F333" s="115"/>
      <c r="G333" s="60" t="s">
        <v>127</v>
      </c>
      <c r="H333" s="124"/>
      <c r="I333" s="124"/>
      <c r="J333" s="60"/>
      <c r="K333" s="60"/>
      <c r="L333" s="60"/>
      <c r="M333" s="60"/>
      <c r="N333" s="60">
        <f t="shared" si="69"/>
        <v>0</v>
      </c>
      <c r="O333" s="60">
        <f t="shared" si="66"/>
        <v>0</v>
      </c>
    </row>
    <row r="334" spans="1:15" s="38" customFormat="1" ht="10.7" hidden="1" customHeight="1" outlineLevel="1" x14ac:dyDescent="0.25">
      <c r="A334" s="124"/>
      <c r="B334" s="137"/>
      <c r="C334" s="115"/>
      <c r="D334" s="115"/>
      <c r="E334" s="115"/>
      <c r="F334" s="115"/>
      <c r="G334" s="60" t="s">
        <v>128</v>
      </c>
      <c r="H334" s="124"/>
      <c r="I334" s="124"/>
      <c r="J334" s="60"/>
      <c r="K334" s="60"/>
      <c r="L334" s="60"/>
      <c r="M334" s="60"/>
      <c r="N334" s="60">
        <f t="shared" si="69"/>
        <v>0</v>
      </c>
      <c r="O334" s="60">
        <f t="shared" si="66"/>
        <v>0</v>
      </c>
    </row>
    <row r="335" spans="1:15" s="38" customFormat="1" ht="10.7" hidden="1" customHeight="1" outlineLevel="1" x14ac:dyDescent="0.25">
      <c r="A335" s="124"/>
      <c r="B335" s="137"/>
      <c r="C335" s="115"/>
      <c r="D335" s="115"/>
      <c r="E335" s="115"/>
      <c r="F335" s="115"/>
      <c r="G335" s="60" t="s">
        <v>129</v>
      </c>
      <c r="H335" s="124"/>
      <c r="I335" s="124"/>
      <c r="J335" s="60"/>
      <c r="K335" s="60"/>
      <c r="L335" s="60"/>
      <c r="M335" s="60"/>
      <c r="N335" s="60">
        <f t="shared" si="69"/>
        <v>0</v>
      </c>
      <c r="O335" s="60">
        <f t="shared" si="66"/>
        <v>0</v>
      </c>
    </row>
    <row r="336" spans="1:15" s="38" customFormat="1" ht="10.7" hidden="1" customHeight="1" outlineLevel="1" x14ac:dyDescent="0.25">
      <c r="A336" s="124"/>
      <c r="B336" s="137"/>
      <c r="C336" s="115"/>
      <c r="D336" s="115"/>
      <c r="E336" s="115"/>
      <c r="F336" s="115"/>
      <c r="G336" s="60" t="s">
        <v>130</v>
      </c>
      <c r="H336" s="124"/>
      <c r="I336" s="124"/>
      <c r="J336" s="60"/>
      <c r="K336" s="60"/>
      <c r="L336" s="60"/>
      <c r="M336" s="60"/>
      <c r="N336" s="60">
        <f t="shared" si="69"/>
        <v>0</v>
      </c>
      <c r="O336" s="60">
        <f t="shared" si="66"/>
        <v>0</v>
      </c>
    </row>
    <row r="337" spans="1:15" s="38" customFormat="1" ht="12" hidden="1" customHeight="1" outlineLevel="1" thickBot="1" x14ac:dyDescent="0.3">
      <c r="A337" s="125"/>
      <c r="B337" s="138"/>
      <c r="C337" s="131"/>
      <c r="D337" s="131"/>
      <c r="E337" s="131"/>
      <c r="F337" s="131"/>
      <c r="G337" s="60" t="s">
        <v>131</v>
      </c>
      <c r="H337" s="134"/>
      <c r="I337" s="134"/>
      <c r="J337" s="60"/>
      <c r="K337" s="60"/>
      <c r="L337" s="60"/>
      <c r="M337" s="60"/>
      <c r="N337" s="60">
        <f t="shared" si="69"/>
        <v>0</v>
      </c>
      <c r="O337" s="60">
        <f t="shared" si="66"/>
        <v>0</v>
      </c>
    </row>
    <row r="338" spans="1:15" s="38" customFormat="1" ht="14.45" hidden="1" customHeight="1" outlineLevel="1" x14ac:dyDescent="0.25">
      <c r="A338" s="126" t="s">
        <v>226</v>
      </c>
      <c r="B338" s="127" t="s">
        <v>227</v>
      </c>
      <c r="C338" s="130">
        <f>SUM(N338:N344)</f>
        <v>0</v>
      </c>
      <c r="D338" s="130">
        <f>SUM(O338:O344)</f>
        <v>0</v>
      </c>
      <c r="E338" s="130">
        <f t="shared" si="60"/>
        <v>0</v>
      </c>
      <c r="F338" s="130"/>
      <c r="G338" s="60" t="s">
        <v>125</v>
      </c>
      <c r="H338" s="123"/>
      <c r="I338" s="123"/>
      <c r="J338" s="60"/>
      <c r="K338" s="60"/>
      <c r="L338" s="60"/>
      <c r="M338" s="60"/>
      <c r="N338" s="60">
        <f>M338*J338*K338*L338</f>
        <v>0</v>
      </c>
      <c r="O338" s="60">
        <f t="shared" si="66"/>
        <v>0</v>
      </c>
    </row>
    <row r="339" spans="1:15" s="38" customFormat="1" ht="11.45" hidden="1" customHeight="1" outlineLevel="1" x14ac:dyDescent="0.25">
      <c r="A339" s="124"/>
      <c r="B339" s="137"/>
      <c r="C339" s="115"/>
      <c r="D339" s="115"/>
      <c r="E339" s="115"/>
      <c r="F339" s="115"/>
      <c r="G339" s="60" t="s">
        <v>126</v>
      </c>
      <c r="H339" s="124"/>
      <c r="I339" s="124"/>
      <c r="J339" s="60"/>
      <c r="K339" s="60"/>
      <c r="L339" s="60"/>
      <c r="M339" s="60"/>
      <c r="N339" s="60">
        <f t="shared" ref="N339:N344" si="70">M339*J339*K339*L339</f>
        <v>0</v>
      </c>
      <c r="O339" s="60">
        <f t="shared" si="66"/>
        <v>0</v>
      </c>
    </row>
    <row r="340" spans="1:15" s="38" customFormat="1" ht="10.7" hidden="1" customHeight="1" outlineLevel="1" x14ac:dyDescent="0.25">
      <c r="A340" s="124"/>
      <c r="B340" s="137"/>
      <c r="C340" s="115"/>
      <c r="D340" s="115"/>
      <c r="E340" s="115"/>
      <c r="F340" s="115"/>
      <c r="G340" s="60" t="s">
        <v>127</v>
      </c>
      <c r="H340" s="124"/>
      <c r="I340" s="124"/>
      <c r="J340" s="60"/>
      <c r="K340" s="60"/>
      <c r="L340" s="60"/>
      <c r="M340" s="60"/>
      <c r="N340" s="60">
        <f t="shared" si="70"/>
        <v>0</v>
      </c>
      <c r="O340" s="60">
        <f t="shared" si="66"/>
        <v>0</v>
      </c>
    </row>
    <row r="341" spans="1:15" s="38" customFormat="1" ht="10.7" hidden="1" customHeight="1" outlineLevel="1" x14ac:dyDescent="0.25">
      <c r="A341" s="124"/>
      <c r="B341" s="137"/>
      <c r="C341" s="115"/>
      <c r="D341" s="115"/>
      <c r="E341" s="115"/>
      <c r="F341" s="115"/>
      <c r="G341" s="60" t="s">
        <v>128</v>
      </c>
      <c r="H341" s="124"/>
      <c r="I341" s="124"/>
      <c r="J341" s="60"/>
      <c r="K341" s="60"/>
      <c r="L341" s="60"/>
      <c r="M341" s="60"/>
      <c r="N341" s="60">
        <f t="shared" si="70"/>
        <v>0</v>
      </c>
      <c r="O341" s="60">
        <f t="shared" si="66"/>
        <v>0</v>
      </c>
    </row>
    <row r="342" spans="1:15" s="38" customFormat="1" ht="10.7" hidden="1" customHeight="1" outlineLevel="1" x14ac:dyDescent="0.25">
      <c r="A342" s="124"/>
      <c r="B342" s="137"/>
      <c r="C342" s="115"/>
      <c r="D342" s="115"/>
      <c r="E342" s="115"/>
      <c r="F342" s="115"/>
      <c r="G342" s="60" t="s">
        <v>129</v>
      </c>
      <c r="H342" s="124"/>
      <c r="I342" s="124"/>
      <c r="J342" s="60"/>
      <c r="K342" s="60"/>
      <c r="L342" s="60"/>
      <c r="M342" s="60"/>
      <c r="N342" s="60">
        <f t="shared" si="70"/>
        <v>0</v>
      </c>
      <c r="O342" s="60">
        <f t="shared" si="66"/>
        <v>0</v>
      </c>
    </row>
    <row r="343" spans="1:15" s="38" customFormat="1" ht="10.7" hidden="1" customHeight="1" outlineLevel="1" x14ac:dyDescent="0.25">
      <c r="A343" s="124"/>
      <c r="B343" s="137"/>
      <c r="C343" s="115"/>
      <c r="D343" s="115"/>
      <c r="E343" s="115"/>
      <c r="F343" s="115"/>
      <c r="G343" s="60" t="s">
        <v>130</v>
      </c>
      <c r="H343" s="124"/>
      <c r="I343" s="124"/>
      <c r="J343" s="60"/>
      <c r="K343" s="60"/>
      <c r="L343" s="60"/>
      <c r="M343" s="60"/>
      <c r="N343" s="60">
        <f t="shared" si="70"/>
        <v>0</v>
      </c>
      <c r="O343" s="60">
        <f t="shared" si="66"/>
        <v>0</v>
      </c>
    </row>
    <row r="344" spans="1:15" s="38" customFormat="1" ht="12" hidden="1" customHeight="1" outlineLevel="1" thickBot="1" x14ac:dyDescent="0.3">
      <c r="A344" s="125"/>
      <c r="B344" s="138"/>
      <c r="C344" s="131"/>
      <c r="D344" s="131"/>
      <c r="E344" s="131"/>
      <c r="F344" s="131"/>
      <c r="G344" s="60" t="s">
        <v>131</v>
      </c>
      <c r="H344" s="134"/>
      <c r="I344" s="134"/>
      <c r="J344" s="60"/>
      <c r="K344" s="60"/>
      <c r="L344" s="60"/>
      <c r="M344" s="60"/>
      <c r="N344" s="60">
        <f t="shared" si="70"/>
        <v>0</v>
      </c>
      <c r="O344" s="60">
        <f t="shared" si="66"/>
        <v>0</v>
      </c>
    </row>
    <row r="345" spans="1:15" s="38" customFormat="1" ht="14.45" hidden="1" customHeight="1" outlineLevel="1" x14ac:dyDescent="0.25">
      <c r="A345" s="126" t="s">
        <v>228</v>
      </c>
      <c r="B345" s="127" t="s">
        <v>229</v>
      </c>
      <c r="C345" s="130">
        <f>SUM(N345:N351)</f>
        <v>0</v>
      </c>
      <c r="D345" s="130">
        <f>SUM(O345:O351)</f>
        <v>0</v>
      </c>
      <c r="E345" s="130">
        <f t="shared" ref="E345:E359" si="71">D345/8</f>
        <v>0</v>
      </c>
      <c r="F345" s="130"/>
      <c r="G345" s="60" t="s">
        <v>125</v>
      </c>
      <c r="H345" s="123"/>
      <c r="I345" s="123"/>
      <c r="J345" s="60"/>
      <c r="K345" s="60"/>
      <c r="L345" s="60"/>
      <c r="M345" s="60"/>
      <c r="N345" s="60">
        <f>M345*J345*K345*L345</f>
        <v>0</v>
      </c>
      <c r="O345" s="60">
        <f t="shared" si="66"/>
        <v>0</v>
      </c>
    </row>
    <row r="346" spans="1:15" s="38" customFormat="1" ht="11.45" hidden="1" customHeight="1" outlineLevel="1" x14ac:dyDescent="0.25">
      <c r="A346" s="124"/>
      <c r="B346" s="137"/>
      <c r="C346" s="115"/>
      <c r="D346" s="115"/>
      <c r="E346" s="115"/>
      <c r="F346" s="115"/>
      <c r="G346" s="60" t="s">
        <v>126</v>
      </c>
      <c r="H346" s="124"/>
      <c r="I346" s="124"/>
      <c r="J346" s="60"/>
      <c r="K346" s="60"/>
      <c r="L346" s="60"/>
      <c r="M346" s="60"/>
      <c r="N346" s="60">
        <f t="shared" ref="N346:N351" si="72">M346*J346*K346*L346</f>
        <v>0</v>
      </c>
      <c r="O346" s="60">
        <f t="shared" si="66"/>
        <v>0</v>
      </c>
    </row>
    <row r="347" spans="1:15" s="38" customFormat="1" ht="10.7" hidden="1" customHeight="1" outlineLevel="1" x14ac:dyDescent="0.25">
      <c r="A347" s="124"/>
      <c r="B347" s="137"/>
      <c r="C347" s="115"/>
      <c r="D347" s="115"/>
      <c r="E347" s="115"/>
      <c r="F347" s="115"/>
      <c r="G347" s="60" t="s">
        <v>127</v>
      </c>
      <c r="H347" s="124"/>
      <c r="I347" s="124"/>
      <c r="J347" s="60"/>
      <c r="K347" s="60"/>
      <c r="L347" s="60"/>
      <c r="M347" s="60"/>
      <c r="N347" s="60">
        <f t="shared" si="72"/>
        <v>0</v>
      </c>
      <c r="O347" s="60">
        <f t="shared" si="66"/>
        <v>0</v>
      </c>
    </row>
    <row r="348" spans="1:15" s="38" customFormat="1" ht="10.7" hidden="1" customHeight="1" outlineLevel="1" x14ac:dyDescent="0.25">
      <c r="A348" s="124"/>
      <c r="B348" s="137"/>
      <c r="C348" s="115"/>
      <c r="D348" s="115"/>
      <c r="E348" s="115"/>
      <c r="F348" s="115"/>
      <c r="G348" s="60" t="s">
        <v>128</v>
      </c>
      <c r="H348" s="124"/>
      <c r="I348" s="124"/>
      <c r="J348" s="60"/>
      <c r="K348" s="60"/>
      <c r="L348" s="60"/>
      <c r="M348" s="60"/>
      <c r="N348" s="60">
        <f t="shared" si="72"/>
        <v>0</v>
      </c>
      <c r="O348" s="60">
        <f t="shared" si="66"/>
        <v>0</v>
      </c>
    </row>
    <row r="349" spans="1:15" s="38" customFormat="1" ht="10.7" hidden="1" customHeight="1" outlineLevel="1" x14ac:dyDescent="0.25">
      <c r="A349" s="124"/>
      <c r="B349" s="137"/>
      <c r="C349" s="115"/>
      <c r="D349" s="115"/>
      <c r="E349" s="115"/>
      <c r="F349" s="115"/>
      <c r="G349" s="60" t="s">
        <v>129</v>
      </c>
      <c r="H349" s="124"/>
      <c r="I349" s="124"/>
      <c r="J349" s="60"/>
      <c r="K349" s="60"/>
      <c r="L349" s="60"/>
      <c r="M349" s="60"/>
      <c r="N349" s="60">
        <f t="shared" si="72"/>
        <v>0</v>
      </c>
      <c r="O349" s="60">
        <f t="shared" si="66"/>
        <v>0</v>
      </c>
    </row>
    <row r="350" spans="1:15" s="38" customFormat="1" ht="10.7" hidden="1" customHeight="1" outlineLevel="1" x14ac:dyDescent="0.25">
      <c r="A350" s="124"/>
      <c r="B350" s="137"/>
      <c r="C350" s="115"/>
      <c r="D350" s="115"/>
      <c r="E350" s="115"/>
      <c r="F350" s="115"/>
      <c r="G350" s="60" t="s">
        <v>130</v>
      </c>
      <c r="H350" s="124"/>
      <c r="I350" s="124"/>
      <c r="J350" s="60"/>
      <c r="K350" s="60"/>
      <c r="L350" s="60"/>
      <c r="M350" s="60"/>
      <c r="N350" s="60">
        <f t="shared" si="72"/>
        <v>0</v>
      </c>
      <c r="O350" s="60">
        <f t="shared" si="66"/>
        <v>0</v>
      </c>
    </row>
    <row r="351" spans="1:15" s="38" customFormat="1" ht="12" hidden="1" customHeight="1" outlineLevel="1" thickBot="1" x14ac:dyDescent="0.3">
      <c r="A351" s="125"/>
      <c r="B351" s="138"/>
      <c r="C351" s="131"/>
      <c r="D351" s="131"/>
      <c r="E351" s="131"/>
      <c r="F351" s="131"/>
      <c r="G351" s="60" t="s">
        <v>131</v>
      </c>
      <c r="H351" s="134"/>
      <c r="I351" s="134"/>
      <c r="J351" s="60"/>
      <c r="K351" s="60"/>
      <c r="L351" s="60"/>
      <c r="M351" s="60"/>
      <c r="N351" s="60">
        <f t="shared" si="72"/>
        <v>0</v>
      </c>
      <c r="O351" s="60">
        <f t="shared" si="66"/>
        <v>0</v>
      </c>
    </row>
    <row r="352" spans="1:15" s="38" customFormat="1" ht="14.45" hidden="1" customHeight="1" outlineLevel="1" x14ac:dyDescent="0.25">
      <c r="A352" s="126" t="s">
        <v>230</v>
      </c>
      <c r="B352" s="127" t="s">
        <v>231</v>
      </c>
      <c r="C352" s="130">
        <f>SUM(N352:N358)</f>
        <v>0</v>
      </c>
      <c r="D352" s="130">
        <f>SUM(O352:O358)</f>
        <v>0</v>
      </c>
      <c r="E352" s="130">
        <f t="shared" si="71"/>
        <v>0</v>
      </c>
      <c r="F352" s="130"/>
      <c r="G352" s="60" t="s">
        <v>125</v>
      </c>
      <c r="H352" s="123"/>
      <c r="I352" s="123"/>
      <c r="J352" s="60"/>
      <c r="K352" s="60"/>
      <c r="L352" s="60"/>
      <c r="M352" s="60"/>
      <c r="N352" s="60">
        <f>M352*J352*K352*L352</f>
        <v>0</v>
      </c>
      <c r="O352" s="60">
        <f t="shared" si="66"/>
        <v>0</v>
      </c>
    </row>
    <row r="353" spans="1:15" s="38" customFormat="1" ht="11.45" hidden="1" customHeight="1" outlineLevel="1" x14ac:dyDescent="0.25">
      <c r="A353" s="124"/>
      <c r="B353" s="137"/>
      <c r="C353" s="115"/>
      <c r="D353" s="115"/>
      <c r="E353" s="115"/>
      <c r="F353" s="115"/>
      <c r="G353" s="60" t="s">
        <v>126</v>
      </c>
      <c r="H353" s="124"/>
      <c r="I353" s="124"/>
      <c r="J353" s="60"/>
      <c r="K353" s="60"/>
      <c r="L353" s="60"/>
      <c r="M353" s="60"/>
      <c r="N353" s="60">
        <f t="shared" ref="N353:N358" si="73">M353*J353*K353*L353</f>
        <v>0</v>
      </c>
      <c r="O353" s="60">
        <f t="shared" si="66"/>
        <v>0</v>
      </c>
    </row>
    <row r="354" spans="1:15" s="38" customFormat="1" ht="10.7" hidden="1" customHeight="1" outlineLevel="1" x14ac:dyDescent="0.25">
      <c r="A354" s="124"/>
      <c r="B354" s="137"/>
      <c r="C354" s="115"/>
      <c r="D354" s="115"/>
      <c r="E354" s="115"/>
      <c r="F354" s="115"/>
      <c r="G354" s="60" t="s">
        <v>127</v>
      </c>
      <c r="H354" s="124"/>
      <c r="I354" s="124"/>
      <c r="J354" s="60"/>
      <c r="K354" s="60"/>
      <c r="L354" s="60"/>
      <c r="M354" s="60"/>
      <c r="N354" s="60">
        <f t="shared" si="73"/>
        <v>0</v>
      </c>
      <c r="O354" s="60">
        <f t="shared" si="66"/>
        <v>0</v>
      </c>
    </row>
    <row r="355" spans="1:15" s="38" customFormat="1" ht="10.7" hidden="1" customHeight="1" outlineLevel="1" x14ac:dyDescent="0.25">
      <c r="A355" s="124"/>
      <c r="B355" s="137"/>
      <c r="C355" s="115"/>
      <c r="D355" s="115"/>
      <c r="E355" s="115"/>
      <c r="F355" s="115"/>
      <c r="G355" s="60" t="s">
        <v>128</v>
      </c>
      <c r="H355" s="124"/>
      <c r="I355" s="124"/>
      <c r="J355" s="60"/>
      <c r="K355" s="60"/>
      <c r="L355" s="60"/>
      <c r="M355" s="60"/>
      <c r="N355" s="60">
        <f t="shared" si="73"/>
        <v>0</v>
      </c>
      <c r="O355" s="60">
        <f t="shared" si="66"/>
        <v>0</v>
      </c>
    </row>
    <row r="356" spans="1:15" s="38" customFormat="1" ht="10.7" hidden="1" customHeight="1" outlineLevel="1" x14ac:dyDescent="0.25">
      <c r="A356" s="124"/>
      <c r="B356" s="137"/>
      <c r="C356" s="115"/>
      <c r="D356" s="115"/>
      <c r="E356" s="115"/>
      <c r="F356" s="115"/>
      <c r="G356" s="60" t="s">
        <v>129</v>
      </c>
      <c r="H356" s="124"/>
      <c r="I356" s="124"/>
      <c r="J356" s="60"/>
      <c r="K356" s="60"/>
      <c r="L356" s="60"/>
      <c r="M356" s="60"/>
      <c r="N356" s="60">
        <f t="shared" si="73"/>
        <v>0</v>
      </c>
      <c r="O356" s="60">
        <f t="shared" si="66"/>
        <v>0</v>
      </c>
    </row>
    <row r="357" spans="1:15" s="38" customFormat="1" ht="10.7" hidden="1" customHeight="1" outlineLevel="1" x14ac:dyDescent="0.25">
      <c r="A357" s="124"/>
      <c r="B357" s="137"/>
      <c r="C357" s="115"/>
      <c r="D357" s="115"/>
      <c r="E357" s="115"/>
      <c r="F357" s="115"/>
      <c r="G357" s="60" t="s">
        <v>130</v>
      </c>
      <c r="H357" s="124"/>
      <c r="I357" s="124"/>
      <c r="J357" s="60"/>
      <c r="K357" s="60"/>
      <c r="L357" s="60"/>
      <c r="M357" s="60"/>
      <c r="N357" s="60">
        <f t="shared" si="73"/>
        <v>0</v>
      </c>
      <c r="O357" s="60">
        <f t="shared" si="66"/>
        <v>0</v>
      </c>
    </row>
    <row r="358" spans="1:15" s="38" customFormat="1" ht="12" hidden="1" customHeight="1" outlineLevel="1" thickBot="1" x14ac:dyDescent="0.3">
      <c r="A358" s="125"/>
      <c r="B358" s="138"/>
      <c r="C358" s="131"/>
      <c r="D358" s="131"/>
      <c r="E358" s="131"/>
      <c r="F358" s="131"/>
      <c r="G358" s="60" t="s">
        <v>131</v>
      </c>
      <c r="H358" s="134"/>
      <c r="I358" s="134"/>
      <c r="J358" s="60"/>
      <c r="K358" s="60"/>
      <c r="L358" s="60"/>
      <c r="M358" s="60"/>
      <c r="N358" s="60">
        <f t="shared" si="73"/>
        <v>0</v>
      </c>
      <c r="O358" s="60">
        <f t="shared" si="66"/>
        <v>0</v>
      </c>
    </row>
    <row r="359" spans="1:15" s="38" customFormat="1" ht="14.45" hidden="1" customHeight="1" outlineLevel="1" x14ac:dyDescent="0.25">
      <c r="A359" s="126" t="s">
        <v>232</v>
      </c>
      <c r="B359" s="127" t="s">
        <v>233</v>
      </c>
      <c r="C359" s="130">
        <f>SUM(N359:N365)</f>
        <v>0</v>
      </c>
      <c r="D359" s="130">
        <f>SUM(O359:O365)</f>
        <v>0</v>
      </c>
      <c r="E359" s="130">
        <f t="shared" si="71"/>
        <v>0</v>
      </c>
      <c r="F359" s="130"/>
      <c r="G359" s="60" t="s">
        <v>125</v>
      </c>
      <c r="H359" s="123"/>
      <c r="I359" s="123"/>
      <c r="J359" s="60"/>
      <c r="K359" s="60"/>
      <c r="L359" s="60"/>
      <c r="M359" s="60"/>
      <c r="N359" s="60">
        <f>M359*J359*K359*L359</f>
        <v>0</v>
      </c>
      <c r="O359" s="60">
        <f t="shared" si="66"/>
        <v>0</v>
      </c>
    </row>
    <row r="360" spans="1:15" s="38" customFormat="1" ht="11.45" hidden="1" customHeight="1" outlineLevel="1" x14ac:dyDescent="0.25">
      <c r="A360" s="124"/>
      <c r="B360" s="137"/>
      <c r="C360" s="115"/>
      <c r="D360" s="115"/>
      <c r="E360" s="115"/>
      <c r="F360" s="115"/>
      <c r="G360" s="60" t="s">
        <v>126</v>
      </c>
      <c r="H360" s="124"/>
      <c r="I360" s="124"/>
      <c r="J360" s="60"/>
      <c r="K360" s="60"/>
      <c r="L360" s="60"/>
      <c r="M360" s="60"/>
      <c r="N360" s="60">
        <f t="shared" ref="N360:N365" si="74">M360*J360*K360*L360</f>
        <v>0</v>
      </c>
      <c r="O360" s="60">
        <f t="shared" si="66"/>
        <v>0</v>
      </c>
    </row>
    <row r="361" spans="1:15" s="38" customFormat="1" ht="10.7" hidden="1" customHeight="1" outlineLevel="1" x14ac:dyDescent="0.25">
      <c r="A361" s="124"/>
      <c r="B361" s="137"/>
      <c r="C361" s="115"/>
      <c r="D361" s="115"/>
      <c r="E361" s="115"/>
      <c r="F361" s="115"/>
      <c r="G361" s="60" t="s">
        <v>127</v>
      </c>
      <c r="H361" s="124"/>
      <c r="I361" s="124"/>
      <c r="J361" s="60"/>
      <c r="K361" s="60"/>
      <c r="L361" s="60"/>
      <c r="M361" s="60"/>
      <c r="N361" s="60">
        <f t="shared" si="74"/>
        <v>0</v>
      </c>
      <c r="O361" s="60">
        <f t="shared" si="66"/>
        <v>0</v>
      </c>
    </row>
    <row r="362" spans="1:15" s="38" customFormat="1" ht="10.7" hidden="1" customHeight="1" outlineLevel="1" x14ac:dyDescent="0.25">
      <c r="A362" s="124"/>
      <c r="B362" s="137"/>
      <c r="C362" s="115"/>
      <c r="D362" s="115"/>
      <c r="E362" s="115"/>
      <c r="F362" s="115"/>
      <c r="G362" s="60" t="s">
        <v>128</v>
      </c>
      <c r="H362" s="124"/>
      <c r="I362" s="124"/>
      <c r="J362" s="60"/>
      <c r="K362" s="60"/>
      <c r="L362" s="60"/>
      <c r="M362" s="60"/>
      <c r="N362" s="60">
        <f t="shared" si="74"/>
        <v>0</v>
      </c>
      <c r="O362" s="60">
        <f t="shared" si="66"/>
        <v>0</v>
      </c>
    </row>
    <row r="363" spans="1:15" s="38" customFormat="1" ht="10.7" hidden="1" customHeight="1" outlineLevel="1" x14ac:dyDescent="0.25">
      <c r="A363" s="124"/>
      <c r="B363" s="137"/>
      <c r="C363" s="115"/>
      <c r="D363" s="115"/>
      <c r="E363" s="115"/>
      <c r="F363" s="115"/>
      <c r="G363" s="60" t="s">
        <v>129</v>
      </c>
      <c r="H363" s="124"/>
      <c r="I363" s="124"/>
      <c r="J363" s="60"/>
      <c r="K363" s="60"/>
      <c r="L363" s="60"/>
      <c r="M363" s="60"/>
      <c r="N363" s="60">
        <f t="shared" si="74"/>
        <v>0</v>
      </c>
      <c r="O363" s="60">
        <f t="shared" si="66"/>
        <v>0</v>
      </c>
    </row>
    <row r="364" spans="1:15" s="38" customFormat="1" ht="10.7" hidden="1" customHeight="1" outlineLevel="1" x14ac:dyDescent="0.25">
      <c r="A364" s="124"/>
      <c r="B364" s="137"/>
      <c r="C364" s="115"/>
      <c r="D364" s="115"/>
      <c r="E364" s="115"/>
      <c r="F364" s="115"/>
      <c r="G364" s="60" t="s">
        <v>130</v>
      </c>
      <c r="H364" s="124"/>
      <c r="I364" s="124"/>
      <c r="J364" s="60"/>
      <c r="K364" s="60"/>
      <c r="L364" s="60"/>
      <c r="M364" s="60"/>
      <c r="N364" s="60">
        <f t="shared" si="74"/>
        <v>0</v>
      </c>
      <c r="O364" s="60">
        <f t="shared" si="66"/>
        <v>0</v>
      </c>
    </row>
    <row r="365" spans="1:15" s="38" customFormat="1" ht="12" hidden="1" customHeight="1" outlineLevel="1" thickBot="1" x14ac:dyDescent="0.3">
      <c r="A365" s="125"/>
      <c r="B365" s="138"/>
      <c r="C365" s="131"/>
      <c r="D365" s="131"/>
      <c r="E365" s="131"/>
      <c r="F365" s="131"/>
      <c r="G365" s="60" t="s">
        <v>131</v>
      </c>
      <c r="H365" s="134"/>
      <c r="I365" s="134"/>
      <c r="J365" s="60"/>
      <c r="K365" s="60"/>
      <c r="L365" s="60"/>
      <c r="M365" s="60"/>
      <c r="N365" s="60">
        <f t="shared" si="74"/>
        <v>0</v>
      </c>
      <c r="O365" s="60">
        <f t="shared" si="66"/>
        <v>0</v>
      </c>
    </row>
    <row r="366" spans="1:15" s="38" customFormat="1" ht="14.45" hidden="1" customHeight="1" outlineLevel="1" x14ac:dyDescent="0.25">
      <c r="A366" s="126" t="s">
        <v>234</v>
      </c>
      <c r="B366" s="127" t="s">
        <v>235</v>
      </c>
      <c r="C366" s="130">
        <f>SUM(N366:N372)</f>
        <v>0</v>
      </c>
      <c r="D366" s="130">
        <f>SUM(O366:O372)</f>
        <v>0</v>
      </c>
      <c r="E366" s="130">
        <f t="shared" ref="E366:E373" si="75">D366/8</f>
        <v>0</v>
      </c>
      <c r="F366" s="130"/>
      <c r="G366" s="60" t="s">
        <v>125</v>
      </c>
      <c r="H366" s="123"/>
      <c r="I366" s="123"/>
      <c r="J366" s="60"/>
      <c r="K366" s="60"/>
      <c r="L366" s="60"/>
      <c r="M366" s="60"/>
      <c r="N366" s="60">
        <f>M366*J366*K366*L366</f>
        <v>0</v>
      </c>
      <c r="O366" s="60">
        <f t="shared" si="66"/>
        <v>0</v>
      </c>
    </row>
    <row r="367" spans="1:15" s="38" customFormat="1" ht="11.45" hidden="1" customHeight="1" outlineLevel="1" x14ac:dyDescent="0.25">
      <c r="A367" s="124"/>
      <c r="B367" s="137"/>
      <c r="C367" s="115"/>
      <c r="D367" s="115"/>
      <c r="E367" s="115"/>
      <c r="F367" s="115"/>
      <c r="G367" s="60" t="s">
        <v>126</v>
      </c>
      <c r="H367" s="124"/>
      <c r="I367" s="124"/>
      <c r="J367" s="60"/>
      <c r="K367" s="60"/>
      <c r="L367" s="60"/>
      <c r="M367" s="60"/>
      <c r="N367" s="60">
        <f t="shared" ref="N367:N372" si="76">M367*J367*K367*L367</f>
        <v>0</v>
      </c>
      <c r="O367" s="60">
        <f t="shared" si="66"/>
        <v>0</v>
      </c>
    </row>
    <row r="368" spans="1:15" s="38" customFormat="1" ht="10.7" hidden="1" customHeight="1" outlineLevel="1" x14ac:dyDescent="0.25">
      <c r="A368" s="124"/>
      <c r="B368" s="137"/>
      <c r="C368" s="115"/>
      <c r="D368" s="115"/>
      <c r="E368" s="115"/>
      <c r="F368" s="115"/>
      <c r="G368" s="60" t="s">
        <v>127</v>
      </c>
      <c r="H368" s="124"/>
      <c r="I368" s="124"/>
      <c r="J368" s="60"/>
      <c r="K368" s="60"/>
      <c r="L368" s="60"/>
      <c r="M368" s="60"/>
      <c r="N368" s="60">
        <f t="shared" si="76"/>
        <v>0</v>
      </c>
      <c r="O368" s="60">
        <f t="shared" si="66"/>
        <v>0</v>
      </c>
    </row>
    <row r="369" spans="1:15" s="38" customFormat="1" ht="10.7" hidden="1" customHeight="1" outlineLevel="1" x14ac:dyDescent="0.25">
      <c r="A369" s="124"/>
      <c r="B369" s="137"/>
      <c r="C369" s="115"/>
      <c r="D369" s="115"/>
      <c r="E369" s="115"/>
      <c r="F369" s="115"/>
      <c r="G369" s="60" t="s">
        <v>128</v>
      </c>
      <c r="H369" s="124"/>
      <c r="I369" s="124"/>
      <c r="J369" s="60"/>
      <c r="K369" s="60"/>
      <c r="L369" s="60"/>
      <c r="M369" s="60"/>
      <c r="N369" s="60">
        <f t="shared" si="76"/>
        <v>0</v>
      </c>
      <c r="O369" s="60">
        <f t="shared" si="66"/>
        <v>0</v>
      </c>
    </row>
    <row r="370" spans="1:15" s="38" customFormat="1" ht="10.7" hidden="1" customHeight="1" outlineLevel="1" x14ac:dyDescent="0.25">
      <c r="A370" s="124"/>
      <c r="B370" s="137"/>
      <c r="C370" s="115"/>
      <c r="D370" s="115"/>
      <c r="E370" s="115"/>
      <c r="F370" s="115"/>
      <c r="G370" s="60" t="s">
        <v>129</v>
      </c>
      <c r="H370" s="124"/>
      <c r="I370" s="124"/>
      <c r="J370" s="60"/>
      <c r="K370" s="60"/>
      <c r="L370" s="60"/>
      <c r="M370" s="60"/>
      <c r="N370" s="60">
        <f t="shared" si="76"/>
        <v>0</v>
      </c>
      <c r="O370" s="60">
        <f t="shared" si="66"/>
        <v>0</v>
      </c>
    </row>
    <row r="371" spans="1:15" s="38" customFormat="1" ht="10.7" hidden="1" customHeight="1" outlineLevel="1" x14ac:dyDescent="0.25">
      <c r="A371" s="124"/>
      <c r="B371" s="137"/>
      <c r="C371" s="115"/>
      <c r="D371" s="115"/>
      <c r="E371" s="115"/>
      <c r="F371" s="115"/>
      <c r="G371" s="60" t="s">
        <v>130</v>
      </c>
      <c r="H371" s="124"/>
      <c r="I371" s="124"/>
      <c r="J371" s="60"/>
      <c r="K371" s="60"/>
      <c r="L371" s="60"/>
      <c r="M371" s="60"/>
      <c r="N371" s="60">
        <f t="shared" si="76"/>
        <v>0</v>
      </c>
      <c r="O371" s="60">
        <f t="shared" si="66"/>
        <v>0</v>
      </c>
    </row>
    <row r="372" spans="1:15" s="38" customFormat="1" ht="12" hidden="1" customHeight="1" outlineLevel="1" thickBot="1" x14ac:dyDescent="0.3">
      <c r="A372" s="125"/>
      <c r="B372" s="138"/>
      <c r="C372" s="131"/>
      <c r="D372" s="131"/>
      <c r="E372" s="131"/>
      <c r="F372" s="131"/>
      <c r="G372" s="60" t="s">
        <v>131</v>
      </c>
      <c r="H372" s="134"/>
      <c r="I372" s="134"/>
      <c r="J372" s="60"/>
      <c r="K372" s="60"/>
      <c r="L372" s="60"/>
      <c r="M372" s="60"/>
      <c r="N372" s="60">
        <f t="shared" si="76"/>
        <v>0</v>
      </c>
      <c r="O372" s="60">
        <f t="shared" si="66"/>
        <v>0</v>
      </c>
    </row>
    <row r="373" spans="1:15" s="38" customFormat="1" ht="14.45" hidden="1" customHeight="1" outlineLevel="1" x14ac:dyDescent="0.25">
      <c r="A373" s="126" t="s">
        <v>236</v>
      </c>
      <c r="B373" s="127" t="s">
        <v>237</v>
      </c>
      <c r="C373" s="130">
        <f>SUM(N373:N379)</f>
        <v>0</v>
      </c>
      <c r="D373" s="130">
        <f>SUM(O373:O379)</f>
        <v>0</v>
      </c>
      <c r="E373" s="130">
        <f t="shared" si="75"/>
        <v>0</v>
      </c>
      <c r="F373" s="130"/>
      <c r="G373" s="60" t="s">
        <v>125</v>
      </c>
      <c r="H373" s="123"/>
      <c r="I373" s="123"/>
      <c r="J373" s="60"/>
      <c r="K373" s="60"/>
      <c r="L373" s="60"/>
      <c r="M373" s="60"/>
      <c r="N373" s="60">
        <f>M373*J373*K373*L373</f>
        <v>0</v>
      </c>
      <c r="O373" s="60">
        <f t="shared" si="66"/>
        <v>0</v>
      </c>
    </row>
    <row r="374" spans="1:15" s="38" customFormat="1" ht="11.45" hidden="1" customHeight="1" outlineLevel="1" x14ac:dyDescent="0.25">
      <c r="A374" s="124"/>
      <c r="B374" s="137"/>
      <c r="C374" s="115"/>
      <c r="D374" s="115"/>
      <c r="E374" s="115"/>
      <c r="F374" s="115"/>
      <c r="G374" s="60" t="s">
        <v>126</v>
      </c>
      <c r="H374" s="124"/>
      <c r="I374" s="124"/>
      <c r="J374" s="60"/>
      <c r="K374" s="60"/>
      <c r="L374" s="60"/>
      <c r="M374" s="60"/>
      <c r="N374" s="60">
        <f t="shared" ref="N374:N379" si="77">M374*J374*K374*L374</f>
        <v>0</v>
      </c>
      <c r="O374" s="60">
        <f t="shared" si="66"/>
        <v>0</v>
      </c>
    </row>
    <row r="375" spans="1:15" s="38" customFormat="1" ht="10.7" hidden="1" customHeight="1" outlineLevel="1" x14ac:dyDescent="0.25">
      <c r="A375" s="124"/>
      <c r="B375" s="137"/>
      <c r="C375" s="115"/>
      <c r="D375" s="115"/>
      <c r="E375" s="115"/>
      <c r="F375" s="115"/>
      <c r="G375" s="60" t="s">
        <v>127</v>
      </c>
      <c r="H375" s="124"/>
      <c r="I375" s="124"/>
      <c r="J375" s="60"/>
      <c r="K375" s="60"/>
      <c r="L375" s="60"/>
      <c r="M375" s="60"/>
      <c r="N375" s="60">
        <f t="shared" si="77"/>
        <v>0</v>
      </c>
      <c r="O375" s="60">
        <f t="shared" si="66"/>
        <v>0</v>
      </c>
    </row>
    <row r="376" spans="1:15" s="38" customFormat="1" ht="10.7" hidden="1" customHeight="1" outlineLevel="1" x14ac:dyDescent="0.25">
      <c r="A376" s="124"/>
      <c r="B376" s="137"/>
      <c r="C376" s="115"/>
      <c r="D376" s="115"/>
      <c r="E376" s="115"/>
      <c r="F376" s="115"/>
      <c r="G376" s="60" t="s">
        <v>128</v>
      </c>
      <c r="H376" s="124"/>
      <c r="I376" s="124"/>
      <c r="J376" s="60"/>
      <c r="K376" s="60"/>
      <c r="L376" s="60"/>
      <c r="M376" s="60"/>
      <c r="N376" s="60">
        <f t="shared" si="77"/>
        <v>0</v>
      </c>
      <c r="O376" s="60">
        <f t="shared" si="66"/>
        <v>0</v>
      </c>
    </row>
    <row r="377" spans="1:15" s="38" customFormat="1" ht="10.7" hidden="1" customHeight="1" outlineLevel="1" x14ac:dyDescent="0.25">
      <c r="A377" s="124"/>
      <c r="B377" s="137"/>
      <c r="C377" s="115"/>
      <c r="D377" s="115"/>
      <c r="E377" s="115"/>
      <c r="F377" s="115"/>
      <c r="G377" s="60" t="s">
        <v>129</v>
      </c>
      <c r="H377" s="124"/>
      <c r="I377" s="124"/>
      <c r="J377" s="60"/>
      <c r="K377" s="60"/>
      <c r="L377" s="60"/>
      <c r="M377" s="60"/>
      <c r="N377" s="60">
        <f t="shared" si="77"/>
        <v>0</v>
      </c>
      <c r="O377" s="60">
        <f t="shared" ref="O377:O428" si="78">J377*K377*L377</f>
        <v>0</v>
      </c>
    </row>
    <row r="378" spans="1:15" s="38" customFormat="1" ht="10.7" hidden="1" customHeight="1" outlineLevel="1" x14ac:dyDescent="0.25">
      <c r="A378" s="124"/>
      <c r="B378" s="137"/>
      <c r="C378" s="115"/>
      <c r="D378" s="115"/>
      <c r="E378" s="115"/>
      <c r="F378" s="115"/>
      <c r="G378" s="60" t="s">
        <v>130</v>
      </c>
      <c r="H378" s="124"/>
      <c r="I378" s="124"/>
      <c r="J378" s="60"/>
      <c r="K378" s="60"/>
      <c r="L378" s="60"/>
      <c r="M378" s="60"/>
      <c r="N378" s="60">
        <f t="shared" si="77"/>
        <v>0</v>
      </c>
      <c r="O378" s="60">
        <f t="shared" si="78"/>
        <v>0</v>
      </c>
    </row>
    <row r="379" spans="1:15" s="38" customFormat="1" ht="12" hidden="1" customHeight="1" outlineLevel="1" thickBot="1" x14ac:dyDescent="0.3">
      <c r="A379" s="125"/>
      <c r="B379" s="138"/>
      <c r="C379" s="131"/>
      <c r="D379" s="131"/>
      <c r="E379" s="131"/>
      <c r="F379" s="131"/>
      <c r="G379" s="60" t="s">
        <v>131</v>
      </c>
      <c r="H379" s="134"/>
      <c r="I379" s="134"/>
      <c r="J379" s="60"/>
      <c r="K379" s="60"/>
      <c r="L379" s="60"/>
      <c r="M379" s="60"/>
      <c r="N379" s="60">
        <f t="shared" si="77"/>
        <v>0</v>
      </c>
      <c r="O379" s="60">
        <f t="shared" si="78"/>
        <v>0</v>
      </c>
    </row>
    <row r="380" spans="1:15" s="38" customFormat="1" ht="14.45" hidden="1" customHeight="1" outlineLevel="1" x14ac:dyDescent="0.25">
      <c r="A380" s="126" t="s">
        <v>238</v>
      </c>
      <c r="B380" s="127" t="s">
        <v>239</v>
      </c>
      <c r="C380" s="130">
        <f>SUM(N380:N386)</f>
        <v>0</v>
      </c>
      <c r="D380" s="130">
        <f>SUM(O380:O386)</f>
        <v>0</v>
      </c>
      <c r="E380" s="130">
        <f t="shared" ref="E380:E401" si="79">D380/8</f>
        <v>0</v>
      </c>
      <c r="F380" s="130"/>
      <c r="G380" s="60" t="s">
        <v>125</v>
      </c>
      <c r="H380" s="123"/>
      <c r="I380" s="123"/>
      <c r="J380" s="60"/>
      <c r="K380" s="60"/>
      <c r="L380" s="60"/>
      <c r="M380" s="60"/>
      <c r="N380" s="60">
        <f>M380*J380*K380*L380</f>
        <v>0</v>
      </c>
      <c r="O380" s="60">
        <f t="shared" si="78"/>
        <v>0</v>
      </c>
    </row>
    <row r="381" spans="1:15" s="38" customFormat="1" ht="11.45" hidden="1" customHeight="1" outlineLevel="1" x14ac:dyDescent="0.25">
      <c r="A381" s="124"/>
      <c r="B381" s="137"/>
      <c r="C381" s="115"/>
      <c r="D381" s="115"/>
      <c r="E381" s="115"/>
      <c r="F381" s="115"/>
      <c r="G381" s="60" t="s">
        <v>126</v>
      </c>
      <c r="H381" s="124"/>
      <c r="I381" s="124"/>
      <c r="J381" s="60"/>
      <c r="K381" s="60"/>
      <c r="L381" s="60"/>
      <c r="M381" s="60"/>
      <c r="N381" s="60">
        <f t="shared" ref="N381:N386" si="80">M381*J381*K381*L381</f>
        <v>0</v>
      </c>
      <c r="O381" s="60">
        <f t="shared" si="78"/>
        <v>0</v>
      </c>
    </row>
    <row r="382" spans="1:15" s="38" customFormat="1" ht="10.7" hidden="1" customHeight="1" outlineLevel="1" x14ac:dyDescent="0.25">
      <c r="A382" s="124"/>
      <c r="B382" s="137"/>
      <c r="C382" s="115"/>
      <c r="D382" s="115"/>
      <c r="E382" s="115"/>
      <c r="F382" s="115"/>
      <c r="G382" s="60" t="s">
        <v>127</v>
      </c>
      <c r="H382" s="124"/>
      <c r="I382" s="124"/>
      <c r="J382" s="60"/>
      <c r="K382" s="60"/>
      <c r="L382" s="60"/>
      <c r="M382" s="60"/>
      <c r="N382" s="60">
        <f t="shared" si="80"/>
        <v>0</v>
      </c>
      <c r="O382" s="60">
        <f t="shared" si="78"/>
        <v>0</v>
      </c>
    </row>
    <row r="383" spans="1:15" s="38" customFormat="1" ht="10.7" hidden="1" customHeight="1" outlineLevel="1" x14ac:dyDescent="0.25">
      <c r="A383" s="124"/>
      <c r="B383" s="137"/>
      <c r="C383" s="115"/>
      <c r="D383" s="115"/>
      <c r="E383" s="115"/>
      <c r="F383" s="115"/>
      <c r="G383" s="60" t="s">
        <v>128</v>
      </c>
      <c r="H383" s="124"/>
      <c r="I383" s="124"/>
      <c r="J383" s="60"/>
      <c r="K383" s="60"/>
      <c r="L383" s="60"/>
      <c r="M383" s="60"/>
      <c r="N383" s="60">
        <f t="shared" si="80"/>
        <v>0</v>
      </c>
      <c r="O383" s="60">
        <f t="shared" si="78"/>
        <v>0</v>
      </c>
    </row>
    <row r="384" spans="1:15" s="38" customFormat="1" ht="10.7" hidden="1" customHeight="1" outlineLevel="1" x14ac:dyDescent="0.25">
      <c r="A384" s="124"/>
      <c r="B384" s="137"/>
      <c r="C384" s="115"/>
      <c r="D384" s="115"/>
      <c r="E384" s="115"/>
      <c r="F384" s="115"/>
      <c r="G384" s="60" t="s">
        <v>129</v>
      </c>
      <c r="H384" s="124"/>
      <c r="I384" s="124"/>
      <c r="J384" s="60"/>
      <c r="K384" s="60"/>
      <c r="L384" s="60"/>
      <c r="M384" s="60"/>
      <c r="N384" s="60">
        <f t="shared" si="80"/>
        <v>0</v>
      </c>
      <c r="O384" s="60">
        <f t="shared" si="78"/>
        <v>0</v>
      </c>
    </row>
    <row r="385" spans="1:15" s="38" customFormat="1" ht="10.7" hidden="1" customHeight="1" outlineLevel="1" x14ac:dyDescent="0.25">
      <c r="A385" s="124"/>
      <c r="B385" s="137"/>
      <c r="C385" s="115"/>
      <c r="D385" s="115"/>
      <c r="E385" s="115"/>
      <c r="F385" s="115"/>
      <c r="G385" s="60" t="s">
        <v>130</v>
      </c>
      <c r="H385" s="124"/>
      <c r="I385" s="124"/>
      <c r="J385" s="60"/>
      <c r="K385" s="60"/>
      <c r="L385" s="60"/>
      <c r="M385" s="60"/>
      <c r="N385" s="60">
        <f t="shared" si="80"/>
        <v>0</v>
      </c>
      <c r="O385" s="60">
        <f t="shared" si="78"/>
        <v>0</v>
      </c>
    </row>
    <row r="386" spans="1:15" s="38" customFormat="1" ht="12" hidden="1" customHeight="1" outlineLevel="1" thickBot="1" x14ac:dyDescent="0.3">
      <c r="A386" s="125"/>
      <c r="B386" s="138"/>
      <c r="C386" s="131"/>
      <c r="D386" s="131"/>
      <c r="E386" s="131"/>
      <c r="F386" s="131"/>
      <c r="G386" s="60" t="s">
        <v>131</v>
      </c>
      <c r="H386" s="134"/>
      <c r="I386" s="134"/>
      <c r="J386" s="60"/>
      <c r="K386" s="60"/>
      <c r="L386" s="60"/>
      <c r="M386" s="60"/>
      <c r="N386" s="60">
        <f t="shared" si="80"/>
        <v>0</v>
      </c>
      <c r="O386" s="60">
        <f t="shared" si="78"/>
        <v>0</v>
      </c>
    </row>
    <row r="387" spans="1:15" s="38" customFormat="1" ht="14.45" hidden="1" customHeight="1" outlineLevel="1" x14ac:dyDescent="0.25">
      <c r="A387" s="126" t="s">
        <v>240</v>
      </c>
      <c r="B387" s="127" t="s">
        <v>241</v>
      </c>
      <c r="C387" s="130">
        <f>SUM(N387:N393)</f>
        <v>0</v>
      </c>
      <c r="D387" s="130">
        <f>SUM(O387:O393)</f>
        <v>0</v>
      </c>
      <c r="E387" s="130">
        <f t="shared" si="79"/>
        <v>0</v>
      </c>
      <c r="F387" s="130"/>
      <c r="G387" s="60" t="s">
        <v>125</v>
      </c>
      <c r="H387" s="123"/>
      <c r="I387" s="123"/>
      <c r="J387" s="60"/>
      <c r="K387" s="60"/>
      <c r="L387" s="60"/>
      <c r="M387" s="60"/>
      <c r="N387" s="60">
        <f>M387*J387*K387*L387</f>
        <v>0</v>
      </c>
      <c r="O387" s="60">
        <f t="shared" si="78"/>
        <v>0</v>
      </c>
    </row>
    <row r="388" spans="1:15" s="38" customFormat="1" ht="11.45" hidden="1" customHeight="1" outlineLevel="1" x14ac:dyDescent="0.25">
      <c r="A388" s="124"/>
      <c r="B388" s="137"/>
      <c r="C388" s="115"/>
      <c r="D388" s="115"/>
      <c r="E388" s="115"/>
      <c r="F388" s="115"/>
      <c r="G388" s="60" t="s">
        <v>126</v>
      </c>
      <c r="H388" s="124"/>
      <c r="I388" s="124"/>
      <c r="J388" s="60"/>
      <c r="K388" s="60"/>
      <c r="L388" s="60"/>
      <c r="M388" s="60"/>
      <c r="N388" s="60">
        <f t="shared" ref="N388:N393" si="81">M388*J388*K388*L388</f>
        <v>0</v>
      </c>
      <c r="O388" s="60">
        <f t="shared" si="78"/>
        <v>0</v>
      </c>
    </row>
    <row r="389" spans="1:15" s="38" customFormat="1" ht="10.7" hidden="1" customHeight="1" outlineLevel="1" x14ac:dyDescent="0.25">
      <c r="A389" s="124"/>
      <c r="B389" s="137"/>
      <c r="C389" s="115"/>
      <c r="D389" s="115"/>
      <c r="E389" s="115"/>
      <c r="F389" s="115"/>
      <c r="G389" s="60" t="s">
        <v>127</v>
      </c>
      <c r="H389" s="124"/>
      <c r="I389" s="124"/>
      <c r="J389" s="60"/>
      <c r="K389" s="60"/>
      <c r="L389" s="60"/>
      <c r="M389" s="60"/>
      <c r="N389" s="60">
        <f t="shared" si="81"/>
        <v>0</v>
      </c>
      <c r="O389" s="60">
        <f t="shared" si="78"/>
        <v>0</v>
      </c>
    </row>
    <row r="390" spans="1:15" s="38" customFormat="1" ht="10.7" hidden="1" customHeight="1" outlineLevel="1" x14ac:dyDescent="0.25">
      <c r="A390" s="124"/>
      <c r="B390" s="137"/>
      <c r="C390" s="115"/>
      <c r="D390" s="115"/>
      <c r="E390" s="115"/>
      <c r="F390" s="115"/>
      <c r="G390" s="60" t="s">
        <v>128</v>
      </c>
      <c r="H390" s="124"/>
      <c r="I390" s="124"/>
      <c r="J390" s="60"/>
      <c r="K390" s="60"/>
      <c r="L390" s="60"/>
      <c r="M390" s="60"/>
      <c r="N390" s="60">
        <f t="shared" si="81"/>
        <v>0</v>
      </c>
      <c r="O390" s="60">
        <f t="shared" si="78"/>
        <v>0</v>
      </c>
    </row>
    <row r="391" spans="1:15" s="38" customFormat="1" ht="10.7" hidden="1" customHeight="1" outlineLevel="1" x14ac:dyDescent="0.25">
      <c r="A391" s="124"/>
      <c r="B391" s="137"/>
      <c r="C391" s="115"/>
      <c r="D391" s="115"/>
      <c r="E391" s="115"/>
      <c r="F391" s="115"/>
      <c r="G391" s="60" t="s">
        <v>129</v>
      </c>
      <c r="H391" s="124"/>
      <c r="I391" s="124"/>
      <c r="J391" s="60"/>
      <c r="K391" s="60"/>
      <c r="L391" s="60"/>
      <c r="M391" s="60"/>
      <c r="N391" s="60">
        <f t="shared" si="81"/>
        <v>0</v>
      </c>
      <c r="O391" s="60">
        <f t="shared" si="78"/>
        <v>0</v>
      </c>
    </row>
    <row r="392" spans="1:15" s="38" customFormat="1" ht="10.7" hidden="1" customHeight="1" outlineLevel="1" x14ac:dyDescent="0.25">
      <c r="A392" s="124"/>
      <c r="B392" s="137"/>
      <c r="C392" s="115"/>
      <c r="D392" s="115"/>
      <c r="E392" s="115"/>
      <c r="F392" s="115"/>
      <c r="G392" s="60" t="s">
        <v>130</v>
      </c>
      <c r="H392" s="124"/>
      <c r="I392" s="124"/>
      <c r="J392" s="60"/>
      <c r="K392" s="60"/>
      <c r="L392" s="60"/>
      <c r="M392" s="60"/>
      <c r="N392" s="60">
        <f t="shared" si="81"/>
        <v>0</v>
      </c>
      <c r="O392" s="60">
        <f t="shared" si="78"/>
        <v>0</v>
      </c>
    </row>
    <row r="393" spans="1:15" s="38" customFormat="1" ht="12" hidden="1" customHeight="1" outlineLevel="1" thickBot="1" x14ac:dyDescent="0.3">
      <c r="A393" s="125"/>
      <c r="B393" s="138"/>
      <c r="C393" s="131"/>
      <c r="D393" s="131"/>
      <c r="E393" s="131"/>
      <c r="F393" s="131"/>
      <c r="G393" s="60" t="s">
        <v>131</v>
      </c>
      <c r="H393" s="134"/>
      <c r="I393" s="134"/>
      <c r="J393" s="60"/>
      <c r="K393" s="60"/>
      <c r="L393" s="60"/>
      <c r="M393" s="60"/>
      <c r="N393" s="60">
        <f t="shared" si="81"/>
        <v>0</v>
      </c>
      <c r="O393" s="60">
        <f t="shared" si="78"/>
        <v>0</v>
      </c>
    </row>
    <row r="394" spans="1:15" s="38" customFormat="1" ht="14.45" hidden="1" customHeight="1" outlineLevel="1" x14ac:dyDescent="0.25">
      <c r="A394" s="126" t="s">
        <v>242</v>
      </c>
      <c r="B394" s="127" t="s">
        <v>243</v>
      </c>
      <c r="C394" s="130">
        <f>SUM(N394:N400)</f>
        <v>0</v>
      </c>
      <c r="D394" s="130">
        <f>SUM(O394:O400)</f>
        <v>0</v>
      </c>
      <c r="E394" s="130">
        <f t="shared" si="79"/>
        <v>0</v>
      </c>
      <c r="F394" s="130"/>
      <c r="G394" s="60" t="s">
        <v>125</v>
      </c>
      <c r="H394" s="123"/>
      <c r="I394" s="123"/>
      <c r="J394" s="60"/>
      <c r="K394" s="60"/>
      <c r="L394" s="60"/>
      <c r="M394" s="60"/>
      <c r="N394" s="60">
        <f>M394*J394*K394*L394</f>
        <v>0</v>
      </c>
      <c r="O394" s="60">
        <f t="shared" si="78"/>
        <v>0</v>
      </c>
    </row>
    <row r="395" spans="1:15" s="38" customFormat="1" ht="11.45" hidden="1" customHeight="1" outlineLevel="1" x14ac:dyDescent="0.25">
      <c r="A395" s="124"/>
      <c r="B395" s="137"/>
      <c r="C395" s="115"/>
      <c r="D395" s="115"/>
      <c r="E395" s="115"/>
      <c r="F395" s="115"/>
      <c r="G395" s="60" t="s">
        <v>126</v>
      </c>
      <c r="H395" s="124"/>
      <c r="I395" s="124"/>
      <c r="J395" s="60"/>
      <c r="K395" s="60"/>
      <c r="L395" s="60"/>
      <c r="M395" s="60"/>
      <c r="N395" s="60">
        <f t="shared" ref="N395:N400" si="82">M395*J395*K395*L395</f>
        <v>0</v>
      </c>
      <c r="O395" s="60">
        <f t="shared" si="78"/>
        <v>0</v>
      </c>
    </row>
    <row r="396" spans="1:15" s="38" customFormat="1" ht="10.7" hidden="1" customHeight="1" outlineLevel="1" x14ac:dyDescent="0.25">
      <c r="A396" s="124"/>
      <c r="B396" s="137"/>
      <c r="C396" s="115"/>
      <c r="D396" s="115"/>
      <c r="E396" s="115"/>
      <c r="F396" s="115"/>
      <c r="G396" s="60" t="s">
        <v>127</v>
      </c>
      <c r="H396" s="124"/>
      <c r="I396" s="124"/>
      <c r="J396" s="60"/>
      <c r="K396" s="60"/>
      <c r="L396" s="60"/>
      <c r="M396" s="60"/>
      <c r="N396" s="60">
        <f t="shared" si="82"/>
        <v>0</v>
      </c>
      <c r="O396" s="60">
        <f t="shared" si="78"/>
        <v>0</v>
      </c>
    </row>
    <row r="397" spans="1:15" s="38" customFormat="1" ht="10.7" hidden="1" customHeight="1" outlineLevel="1" x14ac:dyDescent="0.25">
      <c r="A397" s="124"/>
      <c r="B397" s="137"/>
      <c r="C397" s="115"/>
      <c r="D397" s="115"/>
      <c r="E397" s="115"/>
      <c r="F397" s="115"/>
      <c r="G397" s="60" t="s">
        <v>128</v>
      </c>
      <c r="H397" s="124"/>
      <c r="I397" s="124"/>
      <c r="J397" s="60"/>
      <c r="K397" s="60"/>
      <c r="L397" s="60"/>
      <c r="M397" s="60"/>
      <c r="N397" s="60">
        <f t="shared" si="82"/>
        <v>0</v>
      </c>
      <c r="O397" s="60">
        <f t="shared" si="78"/>
        <v>0</v>
      </c>
    </row>
    <row r="398" spans="1:15" s="38" customFormat="1" ht="10.7" hidden="1" customHeight="1" outlineLevel="1" x14ac:dyDescent="0.25">
      <c r="A398" s="124"/>
      <c r="B398" s="137"/>
      <c r="C398" s="115"/>
      <c r="D398" s="115"/>
      <c r="E398" s="115"/>
      <c r="F398" s="115"/>
      <c r="G398" s="60" t="s">
        <v>129</v>
      </c>
      <c r="H398" s="124"/>
      <c r="I398" s="124"/>
      <c r="J398" s="60"/>
      <c r="K398" s="60"/>
      <c r="L398" s="60"/>
      <c r="M398" s="60"/>
      <c r="N398" s="60">
        <f t="shared" si="82"/>
        <v>0</v>
      </c>
      <c r="O398" s="60">
        <f t="shared" si="78"/>
        <v>0</v>
      </c>
    </row>
    <row r="399" spans="1:15" s="38" customFormat="1" ht="10.7" hidden="1" customHeight="1" outlineLevel="1" x14ac:dyDescent="0.25">
      <c r="A399" s="124"/>
      <c r="B399" s="137"/>
      <c r="C399" s="115"/>
      <c r="D399" s="115"/>
      <c r="E399" s="115"/>
      <c r="F399" s="115"/>
      <c r="G399" s="60" t="s">
        <v>130</v>
      </c>
      <c r="H399" s="124"/>
      <c r="I399" s="124"/>
      <c r="J399" s="60"/>
      <c r="K399" s="60"/>
      <c r="L399" s="60"/>
      <c r="M399" s="60"/>
      <c r="N399" s="60">
        <f t="shared" si="82"/>
        <v>0</v>
      </c>
      <c r="O399" s="60">
        <f t="shared" si="78"/>
        <v>0</v>
      </c>
    </row>
    <row r="400" spans="1:15" s="38" customFormat="1" ht="12" hidden="1" customHeight="1" outlineLevel="1" thickBot="1" x14ac:dyDescent="0.3">
      <c r="A400" s="125"/>
      <c r="B400" s="138"/>
      <c r="C400" s="131"/>
      <c r="D400" s="131"/>
      <c r="E400" s="131"/>
      <c r="F400" s="131"/>
      <c r="G400" s="60" t="s">
        <v>131</v>
      </c>
      <c r="H400" s="134"/>
      <c r="I400" s="134"/>
      <c r="J400" s="60"/>
      <c r="K400" s="60"/>
      <c r="L400" s="60"/>
      <c r="M400" s="60"/>
      <c r="N400" s="60">
        <f t="shared" si="82"/>
        <v>0</v>
      </c>
      <c r="O400" s="60">
        <f t="shared" si="78"/>
        <v>0</v>
      </c>
    </row>
    <row r="401" spans="1:15" s="38" customFormat="1" ht="14.45" hidden="1" customHeight="1" outlineLevel="1" x14ac:dyDescent="0.25">
      <c r="A401" s="126" t="s">
        <v>244</v>
      </c>
      <c r="B401" s="127" t="s">
        <v>245</v>
      </c>
      <c r="C401" s="130">
        <f>SUM(N401:N407)</f>
        <v>0</v>
      </c>
      <c r="D401" s="130">
        <f>SUM(O401:O407)</f>
        <v>0</v>
      </c>
      <c r="E401" s="130">
        <f t="shared" si="79"/>
        <v>0</v>
      </c>
      <c r="F401" s="130"/>
      <c r="G401" s="60" t="s">
        <v>125</v>
      </c>
      <c r="H401" s="123"/>
      <c r="I401" s="123"/>
      <c r="J401" s="60"/>
      <c r="K401" s="60"/>
      <c r="L401" s="60"/>
      <c r="M401" s="60"/>
      <c r="N401" s="60">
        <f>M401*J401*K401*L401</f>
        <v>0</v>
      </c>
      <c r="O401" s="60">
        <f t="shared" si="78"/>
        <v>0</v>
      </c>
    </row>
    <row r="402" spans="1:15" s="38" customFormat="1" ht="11.45" hidden="1" customHeight="1" outlineLevel="1" x14ac:dyDescent="0.25">
      <c r="A402" s="124"/>
      <c r="B402" s="137"/>
      <c r="C402" s="115"/>
      <c r="D402" s="115"/>
      <c r="E402" s="115"/>
      <c r="F402" s="115"/>
      <c r="G402" s="60" t="s">
        <v>126</v>
      </c>
      <c r="H402" s="124"/>
      <c r="I402" s="124"/>
      <c r="J402" s="60"/>
      <c r="K402" s="60"/>
      <c r="L402" s="60"/>
      <c r="M402" s="60"/>
      <c r="N402" s="60">
        <f t="shared" ref="N402:N407" si="83">M402*J402*K402*L402</f>
        <v>0</v>
      </c>
      <c r="O402" s="60">
        <f t="shared" si="78"/>
        <v>0</v>
      </c>
    </row>
    <row r="403" spans="1:15" s="38" customFormat="1" ht="10.7" hidden="1" customHeight="1" outlineLevel="1" x14ac:dyDescent="0.25">
      <c r="A403" s="124"/>
      <c r="B403" s="137"/>
      <c r="C403" s="115"/>
      <c r="D403" s="115"/>
      <c r="E403" s="115"/>
      <c r="F403" s="115"/>
      <c r="G403" s="60" t="s">
        <v>127</v>
      </c>
      <c r="H403" s="124"/>
      <c r="I403" s="124"/>
      <c r="J403" s="60"/>
      <c r="K403" s="60"/>
      <c r="L403" s="60"/>
      <c r="M403" s="60"/>
      <c r="N403" s="60">
        <f t="shared" si="83"/>
        <v>0</v>
      </c>
      <c r="O403" s="60">
        <f t="shared" si="78"/>
        <v>0</v>
      </c>
    </row>
    <row r="404" spans="1:15" s="38" customFormat="1" ht="10.7" hidden="1" customHeight="1" outlineLevel="1" x14ac:dyDescent="0.25">
      <c r="A404" s="124"/>
      <c r="B404" s="137"/>
      <c r="C404" s="115"/>
      <c r="D404" s="115"/>
      <c r="E404" s="115"/>
      <c r="F404" s="115"/>
      <c r="G404" s="60" t="s">
        <v>128</v>
      </c>
      <c r="H404" s="124"/>
      <c r="I404" s="124"/>
      <c r="J404" s="60"/>
      <c r="K404" s="60"/>
      <c r="L404" s="60"/>
      <c r="M404" s="60"/>
      <c r="N404" s="60">
        <f t="shared" si="83"/>
        <v>0</v>
      </c>
      <c r="O404" s="60">
        <f t="shared" si="78"/>
        <v>0</v>
      </c>
    </row>
    <row r="405" spans="1:15" s="38" customFormat="1" ht="10.7" hidden="1" customHeight="1" outlineLevel="1" x14ac:dyDescent="0.25">
      <c r="A405" s="124"/>
      <c r="B405" s="137"/>
      <c r="C405" s="115"/>
      <c r="D405" s="115"/>
      <c r="E405" s="115"/>
      <c r="F405" s="115"/>
      <c r="G405" s="60" t="s">
        <v>129</v>
      </c>
      <c r="H405" s="124"/>
      <c r="I405" s="124"/>
      <c r="J405" s="60"/>
      <c r="K405" s="60"/>
      <c r="L405" s="60"/>
      <c r="M405" s="60"/>
      <c r="N405" s="60">
        <f t="shared" si="83"/>
        <v>0</v>
      </c>
      <c r="O405" s="60">
        <f t="shared" si="78"/>
        <v>0</v>
      </c>
    </row>
    <row r="406" spans="1:15" s="38" customFormat="1" ht="10.7" hidden="1" customHeight="1" outlineLevel="1" x14ac:dyDescent="0.25">
      <c r="A406" s="124"/>
      <c r="B406" s="137"/>
      <c r="C406" s="115"/>
      <c r="D406" s="115"/>
      <c r="E406" s="115"/>
      <c r="F406" s="115"/>
      <c r="G406" s="60" t="s">
        <v>130</v>
      </c>
      <c r="H406" s="124"/>
      <c r="I406" s="124"/>
      <c r="J406" s="60"/>
      <c r="K406" s="60"/>
      <c r="L406" s="60"/>
      <c r="M406" s="60"/>
      <c r="N406" s="60">
        <f t="shared" si="83"/>
        <v>0</v>
      </c>
      <c r="O406" s="60">
        <f t="shared" si="78"/>
        <v>0</v>
      </c>
    </row>
    <row r="407" spans="1:15" s="38" customFormat="1" ht="12" hidden="1" customHeight="1" outlineLevel="1" thickBot="1" x14ac:dyDescent="0.3">
      <c r="A407" s="125"/>
      <c r="B407" s="138"/>
      <c r="C407" s="131"/>
      <c r="D407" s="131"/>
      <c r="E407" s="131"/>
      <c r="F407" s="131"/>
      <c r="G407" s="60" t="s">
        <v>131</v>
      </c>
      <c r="H407" s="134"/>
      <c r="I407" s="134"/>
      <c r="J407" s="60"/>
      <c r="K407" s="60"/>
      <c r="L407" s="60"/>
      <c r="M407" s="60"/>
      <c r="N407" s="60">
        <f t="shared" si="83"/>
        <v>0</v>
      </c>
      <c r="O407" s="60">
        <f t="shared" si="78"/>
        <v>0</v>
      </c>
    </row>
    <row r="408" spans="1:15" s="38" customFormat="1" ht="14.45" hidden="1" customHeight="1" outlineLevel="1" x14ac:dyDescent="0.25">
      <c r="A408" s="126" t="s">
        <v>246</v>
      </c>
      <c r="B408" s="127" t="s">
        <v>247</v>
      </c>
      <c r="C408" s="130">
        <f>SUM(N408:N414)</f>
        <v>0</v>
      </c>
      <c r="D408" s="130">
        <f>SUM(O408:O414)</f>
        <v>0</v>
      </c>
      <c r="E408" s="130">
        <f t="shared" ref="E408" si="84">D408/8</f>
        <v>0</v>
      </c>
      <c r="F408" s="130"/>
      <c r="G408" s="60" t="s">
        <v>125</v>
      </c>
      <c r="H408" s="123"/>
      <c r="I408" s="123"/>
      <c r="J408" s="60"/>
      <c r="K408" s="60"/>
      <c r="L408" s="60"/>
      <c r="M408" s="60"/>
      <c r="N408" s="60">
        <f>M408*J408*K408*L408</f>
        <v>0</v>
      </c>
      <c r="O408" s="60">
        <f t="shared" si="78"/>
        <v>0</v>
      </c>
    </row>
    <row r="409" spans="1:15" s="38" customFormat="1" ht="11.45" hidden="1" customHeight="1" outlineLevel="1" x14ac:dyDescent="0.25">
      <c r="A409" s="124"/>
      <c r="B409" s="137"/>
      <c r="C409" s="115"/>
      <c r="D409" s="115"/>
      <c r="E409" s="115"/>
      <c r="F409" s="115"/>
      <c r="G409" s="60" t="s">
        <v>126</v>
      </c>
      <c r="H409" s="124"/>
      <c r="I409" s="124"/>
      <c r="J409" s="60"/>
      <c r="K409" s="60"/>
      <c r="L409" s="60"/>
      <c r="M409" s="60"/>
      <c r="N409" s="60">
        <f t="shared" ref="N409:N414" si="85">M409*J409*K409*L409</f>
        <v>0</v>
      </c>
      <c r="O409" s="60">
        <f t="shared" si="78"/>
        <v>0</v>
      </c>
    </row>
    <row r="410" spans="1:15" s="38" customFormat="1" ht="10.7" hidden="1" customHeight="1" outlineLevel="1" x14ac:dyDescent="0.25">
      <c r="A410" s="124"/>
      <c r="B410" s="137"/>
      <c r="C410" s="115"/>
      <c r="D410" s="115"/>
      <c r="E410" s="115"/>
      <c r="F410" s="115"/>
      <c r="G410" s="60" t="s">
        <v>127</v>
      </c>
      <c r="H410" s="124"/>
      <c r="I410" s="124"/>
      <c r="J410" s="60"/>
      <c r="K410" s="60"/>
      <c r="L410" s="60"/>
      <c r="M410" s="60"/>
      <c r="N410" s="60">
        <f t="shared" si="85"/>
        <v>0</v>
      </c>
      <c r="O410" s="60">
        <f t="shared" si="78"/>
        <v>0</v>
      </c>
    </row>
    <row r="411" spans="1:15" s="38" customFormat="1" ht="10.7" hidden="1" customHeight="1" outlineLevel="1" x14ac:dyDescent="0.25">
      <c r="A411" s="124"/>
      <c r="B411" s="137"/>
      <c r="C411" s="115"/>
      <c r="D411" s="115"/>
      <c r="E411" s="115"/>
      <c r="F411" s="115"/>
      <c r="G411" s="60" t="s">
        <v>128</v>
      </c>
      <c r="H411" s="124"/>
      <c r="I411" s="124"/>
      <c r="J411" s="60"/>
      <c r="K411" s="60"/>
      <c r="L411" s="60"/>
      <c r="M411" s="60"/>
      <c r="N411" s="60">
        <f t="shared" si="85"/>
        <v>0</v>
      </c>
      <c r="O411" s="60">
        <f t="shared" si="78"/>
        <v>0</v>
      </c>
    </row>
    <row r="412" spans="1:15" s="38" customFormat="1" ht="10.7" hidden="1" customHeight="1" outlineLevel="1" x14ac:dyDescent="0.25">
      <c r="A412" s="124"/>
      <c r="B412" s="137"/>
      <c r="C412" s="115"/>
      <c r="D412" s="115"/>
      <c r="E412" s="115"/>
      <c r="F412" s="115"/>
      <c r="G412" s="60" t="s">
        <v>129</v>
      </c>
      <c r="H412" s="124"/>
      <c r="I412" s="124"/>
      <c r="J412" s="60"/>
      <c r="K412" s="60"/>
      <c r="L412" s="60"/>
      <c r="M412" s="60"/>
      <c r="N412" s="60">
        <f t="shared" si="85"/>
        <v>0</v>
      </c>
      <c r="O412" s="60">
        <f t="shared" si="78"/>
        <v>0</v>
      </c>
    </row>
    <row r="413" spans="1:15" s="38" customFormat="1" ht="10.7" hidden="1" customHeight="1" outlineLevel="1" x14ac:dyDescent="0.25">
      <c r="A413" s="124"/>
      <c r="B413" s="137"/>
      <c r="C413" s="115"/>
      <c r="D413" s="115"/>
      <c r="E413" s="115"/>
      <c r="F413" s="115"/>
      <c r="G413" s="60" t="s">
        <v>130</v>
      </c>
      <c r="H413" s="124"/>
      <c r="I413" s="124"/>
      <c r="J413" s="60"/>
      <c r="K413" s="60"/>
      <c r="L413" s="60"/>
      <c r="M413" s="60"/>
      <c r="N413" s="60">
        <f t="shared" si="85"/>
        <v>0</v>
      </c>
      <c r="O413" s="60">
        <f t="shared" si="78"/>
        <v>0</v>
      </c>
    </row>
    <row r="414" spans="1:15" s="38" customFormat="1" ht="12" hidden="1" customHeight="1" outlineLevel="1" thickBot="1" x14ac:dyDescent="0.3">
      <c r="A414" s="125"/>
      <c r="B414" s="138"/>
      <c r="C414" s="131"/>
      <c r="D414" s="131"/>
      <c r="E414" s="131"/>
      <c r="F414" s="131"/>
      <c r="G414" s="60" t="s">
        <v>131</v>
      </c>
      <c r="H414" s="134"/>
      <c r="I414" s="134"/>
      <c r="J414" s="60"/>
      <c r="K414" s="60"/>
      <c r="L414" s="60"/>
      <c r="M414" s="60"/>
      <c r="N414" s="60">
        <f t="shared" si="85"/>
        <v>0</v>
      </c>
      <c r="O414" s="60">
        <f t="shared" si="78"/>
        <v>0</v>
      </c>
    </row>
    <row r="415" spans="1:15" s="38" customFormat="1" ht="14.45" hidden="1" customHeight="1" outlineLevel="1" x14ac:dyDescent="0.25">
      <c r="A415" s="126" t="s">
        <v>248</v>
      </c>
      <c r="B415" s="127" t="s">
        <v>249</v>
      </c>
      <c r="C415" s="130">
        <f>SUM(N415:N421)</f>
        <v>0</v>
      </c>
      <c r="D415" s="130">
        <f>SUM(O415:O421)</f>
        <v>0</v>
      </c>
      <c r="E415" s="130">
        <f t="shared" ref="E415" si="86">D415/8</f>
        <v>0</v>
      </c>
      <c r="F415" s="130"/>
      <c r="G415" s="60" t="s">
        <v>125</v>
      </c>
      <c r="H415" s="123"/>
      <c r="I415" s="123"/>
      <c r="J415" s="60"/>
      <c r="K415" s="60"/>
      <c r="L415" s="60"/>
      <c r="M415" s="60"/>
      <c r="N415" s="60">
        <f>M415*J415*K415*L415</f>
        <v>0</v>
      </c>
      <c r="O415" s="60">
        <f t="shared" si="78"/>
        <v>0</v>
      </c>
    </row>
    <row r="416" spans="1:15" s="38" customFormat="1" ht="11.45" hidden="1" customHeight="1" outlineLevel="1" x14ac:dyDescent="0.25">
      <c r="A416" s="124"/>
      <c r="B416" s="137"/>
      <c r="C416" s="115"/>
      <c r="D416" s="115"/>
      <c r="E416" s="115"/>
      <c r="F416" s="115"/>
      <c r="G416" s="60" t="s">
        <v>126</v>
      </c>
      <c r="H416" s="124"/>
      <c r="I416" s="124"/>
      <c r="J416" s="60"/>
      <c r="K416" s="60"/>
      <c r="L416" s="60"/>
      <c r="M416" s="60"/>
      <c r="N416" s="60">
        <f t="shared" ref="N416:N421" si="87">M416*J416*K416*L416</f>
        <v>0</v>
      </c>
      <c r="O416" s="60">
        <f t="shared" si="78"/>
        <v>0</v>
      </c>
    </row>
    <row r="417" spans="1:15" s="38" customFormat="1" ht="10.7" hidden="1" customHeight="1" outlineLevel="1" x14ac:dyDescent="0.25">
      <c r="A417" s="124"/>
      <c r="B417" s="137"/>
      <c r="C417" s="115"/>
      <c r="D417" s="115"/>
      <c r="E417" s="115"/>
      <c r="F417" s="115"/>
      <c r="G417" s="60" t="s">
        <v>127</v>
      </c>
      <c r="H417" s="124"/>
      <c r="I417" s="124"/>
      <c r="J417" s="60"/>
      <c r="K417" s="60"/>
      <c r="L417" s="60"/>
      <c r="M417" s="60"/>
      <c r="N417" s="60">
        <f t="shared" si="87"/>
        <v>0</v>
      </c>
      <c r="O417" s="60">
        <f t="shared" si="78"/>
        <v>0</v>
      </c>
    </row>
    <row r="418" spans="1:15" s="38" customFormat="1" ht="10.7" hidden="1" customHeight="1" outlineLevel="1" x14ac:dyDescent="0.25">
      <c r="A418" s="124"/>
      <c r="B418" s="137"/>
      <c r="C418" s="115"/>
      <c r="D418" s="115"/>
      <c r="E418" s="115"/>
      <c r="F418" s="115"/>
      <c r="G418" s="60" t="s">
        <v>128</v>
      </c>
      <c r="H418" s="124"/>
      <c r="I418" s="124"/>
      <c r="J418" s="60"/>
      <c r="K418" s="60"/>
      <c r="L418" s="60"/>
      <c r="M418" s="60"/>
      <c r="N418" s="60">
        <f t="shared" si="87"/>
        <v>0</v>
      </c>
      <c r="O418" s="60">
        <f t="shared" si="78"/>
        <v>0</v>
      </c>
    </row>
    <row r="419" spans="1:15" s="38" customFormat="1" ht="10.7" hidden="1" customHeight="1" outlineLevel="1" x14ac:dyDescent="0.25">
      <c r="A419" s="124"/>
      <c r="B419" s="137"/>
      <c r="C419" s="115"/>
      <c r="D419" s="115"/>
      <c r="E419" s="115"/>
      <c r="F419" s="115"/>
      <c r="G419" s="60" t="s">
        <v>129</v>
      </c>
      <c r="H419" s="124"/>
      <c r="I419" s="124"/>
      <c r="J419" s="60"/>
      <c r="K419" s="60"/>
      <c r="L419" s="60"/>
      <c r="M419" s="60"/>
      <c r="N419" s="60">
        <f t="shared" si="87"/>
        <v>0</v>
      </c>
      <c r="O419" s="60">
        <f t="shared" si="78"/>
        <v>0</v>
      </c>
    </row>
    <row r="420" spans="1:15" s="38" customFormat="1" ht="10.7" hidden="1" customHeight="1" outlineLevel="1" x14ac:dyDescent="0.25">
      <c r="A420" s="124"/>
      <c r="B420" s="137"/>
      <c r="C420" s="115"/>
      <c r="D420" s="115"/>
      <c r="E420" s="115"/>
      <c r="F420" s="115"/>
      <c r="G420" s="60" t="s">
        <v>130</v>
      </c>
      <c r="H420" s="124"/>
      <c r="I420" s="124"/>
      <c r="J420" s="60"/>
      <c r="K420" s="60"/>
      <c r="L420" s="60"/>
      <c r="M420" s="60"/>
      <c r="N420" s="60">
        <f t="shared" si="87"/>
        <v>0</v>
      </c>
      <c r="O420" s="60">
        <f t="shared" si="78"/>
        <v>0</v>
      </c>
    </row>
    <row r="421" spans="1:15" s="38" customFormat="1" ht="12" hidden="1" customHeight="1" outlineLevel="1" thickBot="1" x14ac:dyDescent="0.3">
      <c r="A421" s="125"/>
      <c r="B421" s="138"/>
      <c r="C421" s="131"/>
      <c r="D421" s="131"/>
      <c r="E421" s="131"/>
      <c r="F421" s="131"/>
      <c r="G421" s="60" t="s">
        <v>131</v>
      </c>
      <c r="H421" s="134"/>
      <c r="I421" s="134"/>
      <c r="J421" s="60"/>
      <c r="K421" s="60"/>
      <c r="L421" s="60"/>
      <c r="M421" s="60"/>
      <c r="N421" s="60">
        <f t="shared" si="87"/>
        <v>0</v>
      </c>
      <c r="O421" s="60">
        <f t="shared" si="78"/>
        <v>0</v>
      </c>
    </row>
    <row r="422" spans="1:15" s="38" customFormat="1" ht="14.45" hidden="1" customHeight="1" outlineLevel="1" x14ac:dyDescent="0.25">
      <c r="A422" s="126" t="s">
        <v>250</v>
      </c>
      <c r="B422" s="127" t="s">
        <v>251</v>
      </c>
      <c r="C422" s="130">
        <f>SUM(N422:N428)</f>
        <v>0</v>
      </c>
      <c r="D422" s="130">
        <f>SUM(O422:O428)</f>
        <v>0</v>
      </c>
      <c r="E422" s="130">
        <f t="shared" ref="E422" si="88">D422/8</f>
        <v>0</v>
      </c>
      <c r="F422" s="130"/>
      <c r="G422" s="60" t="s">
        <v>125</v>
      </c>
      <c r="H422" s="123"/>
      <c r="I422" s="123"/>
      <c r="J422" s="60"/>
      <c r="K422" s="60"/>
      <c r="L422" s="60"/>
      <c r="M422" s="60"/>
      <c r="N422" s="60">
        <f>M422*J422*K422*L422</f>
        <v>0</v>
      </c>
      <c r="O422" s="60">
        <f t="shared" si="78"/>
        <v>0</v>
      </c>
    </row>
    <row r="423" spans="1:15" s="38" customFormat="1" ht="11.45" hidden="1" customHeight="1" outlineLevel="1" x14ac:dyDescent="0.25">
      <c r="A423" s="124"/>
      <c r="B423" s="137"/>
      <c r="C423" s="115"/>
      <c r="D423" s="115"/>
      <c r="E423" s="115"/>
      <c r="F423" s="115"/>
      <c r="G423" s="60" t="s">
        <v>126</v>
      </c>
      <c r="H423" s="124"/>
      <c r="I423" s="124"/>
      <c r="J423" s="60"/>
      <c r="K423" s="60"/>
      <c r="L423" s="60"/>
      <c r="M423" s="60"/>
      <c r="N423" s="60">
        <f t="shared" ref="N423:N428" si="89">M423*J423*K423*L423</f>
        <v>0</v>
      </c>
      <c r="O423" s="60">
        <f t="shared" si="78"/>
        <v>0</v>
      </c>
    </row>
    <row r="424" spans="1:15" s="38" customFormat="1" ht="10.7" hidden="1" customHeight="1" outlineLevel="1" x14ac:dyDescent="0.25">
      <c r="A424" s="124"/>
      <c r="B424" s="137"/>
      <c r="C424" s="115"/>
      <c r="D424" s="115"/>
      <c r="E424" s="115"/>
      <c r="F424" s="115"/>
      <c r="G424" s="60" t="s">
        <v>127</v>
      </c>
      <c r="H424" s="124"/>
      <c r="I424" s="124"/>
      <c r="J424" s="60"/>
      <c r="K424" s="60"/>
      <c r="L424" s="60"/>
      <c r="M424" s="60"/>
      <c r="N424" s="60">
        <f t="shared" si="89"/>
        <v>0</v>
      </c>
      <c r="O424" s="60">
        <f t="shared" si="78"/>
        <v>0</v>
      </c>
    </row>
    <row r="425" spans="1:15" s="38" customFormat="1" ht="10.7" hidden="1" customHeight="1" outlineLevel="1" x14ac:dyDescent="0.25">
      <c r="A425" s="124"/>
      <c r="B425" s="137"/>
      <c r="C425" s="115"/>
      <c r="D425" s="115"/>
      <c r="E425" s="115"/>
      <c r="F425" s="115"/>
      <c r="G425" s="60" t="s">
        <v>128</v>
      </c>
      <c r="H425" s="124"/>
      <c r="I425" s="124"/>
      <c r="J425" s="60"/>
      <c r="K425" s="60"/>
      <c r="L425" s="60"/>
      <c r="M425" s="60"/>
      <c r="N425" s="60">
        <f t="shared" si="89"/>
        <v>0</v>
      </c>
      <c r="O425" s="60">
        <f t="shared" si="78"/>
        <v>0</v>
      </c>
    </row>
    <row r="426" spans="1:15" s="38" customFormat="1" ht="10.7" hidden="1" customHeight="1" outlineLevel="1" x14ac:dyDescent="0.25">
      <c r="A426" s="124"/>
      <c r="B426" s="137"/>
      <c r="C426" s="115"/>
      <c r="D426" s="115"/>
      <c r="E426" s="115"/>
      <c r="F426" s="115"/>
      <c r="G426" s="60" t="s">
        <v>129</v>
      </c>
      <c r="H426" s="124"/>
      <c r="I426" s="124"/>
      <c r="J426" s="60"/>
      <c r="K426" s="60"/>
      <c r="L426" s="60"/>
      <c r="M426" s="60"/>
      <c r="N426" s="60">
        <f t="shared" si="89"/>
        <v>0</v>
      </c>
      <c r="O426" s="60">
        <f t="shared" si="78"/>
        <v>0</v>
      </c>
    </row>
    <row r="427" spans="1:15" s="38" customFormat="1" ht="10.7" hidden="1" customHeight="1" outlineLevel="1" x14ac:dyDescent="0.25">
      <c r="A427" s="124"/>
      <c r="B427" s="137"/>
      <c r="C427" s="115"/>
      <c r="D427" s="115"/>
      <c r="E427" s="115"/>
      <c r="F427" s="115"/>
      <c r="G427" s="60" t="s">
        <v>130</v>
      </c>
      <c r="H427" s="124"/>
      <c r="I427" s="124"/>
      <c r="J427" s="60"/>
      <c r="K427" s="60"/>
      <c r="L427" s="60"/>
      <c r="M427" s="60"/>
      <c r="N427" s="60">
        <f t="shared" si="89"/>
        <v>0</v>
      </c>
      <c r="O427" s="60">
        <f t="shared" si="78"/>
        <v>0</v>
      </c>
    </row>
    <row r="428" spans="1:15" s="38" customFormat="1" ht="12" hidden="1" customHeight="1" outlineLevel="1" thickBot="1" x14ac:dyDescent="0.3">
      <c r="A428" s="125"/>
      <c r="B428" s="138"/>
      <c r="C428" s="131"/>
      <c r="D428" s="131"/>
      <c r="E428" s="131"/>
      <c r="F428" s="131"/>
      <c r="G428" s="60" t="s">
        <v>131</v>
      </c>
      <c r="H428" s="134"/>
      <c r="I428" s="134"/>
      <c r="J428" s="60"/>
      <c r="K428" s="60"/>
      <c r="L428" s="60"/>
      <c r="M428" s="60"/>
      <c r="N428" s="60">
        <f t="shared" si="89"/>
        <v>0</v>
      </c>
      <c r="O428" s="60">
        <f t="shared" si="78"/>
        <v>0</v>
      </c>
    </row>
    <row r="429" spans="1:15" s="39" customFormat="1" ht="16.5" collapsed="1" thickBot="1" x14ac:dyDescent="0.3">
      <c r="A429" s="40" t="s">
        <v>252</v>
      </c>
      <c r="B429" s="41" t="s">
        <v>253</v>
      </c>
      <c r="C429" s="42">
        <f>SUM(C430:C443)</f>
        <v>0</v>
      </c>
      <c r="D429" s="42">
        <f>SUM(D430:D443)</f>
        <v>0</v>
      </c>
      <c r="E429" s="42">
        <f>SUM(E430:E443)</f>
        <v>0</v>
      </c>
      <c r="F429" s="57"/>
      <c r="G429" s="57"/>
      <c r="H429" s="57"/>
      <c r="I429" s="57"/>
      <c r="J429" s="57"/>
      <c r="K429" s="57"/>
      <c r="L429" s="57"/>
      <c r="M429" s="57"/>
      <c r="N429" s="57"/>
      <c r="O429" s="43"/>
    </row>
    <row r="430" spans="1:15" s="38" customFormat="1" ht="14.45" hidden="1" customHeight="1" outlineLevel="1" x14ac:dyDescent="0.25">
      <c r="A430" s="126" t="s">
        <v>81</v>
      </c>
      <c r="B430" s="127" t="s">
        <v>254</v>
      </c>
      <c r="C430" s="130">
        <f>SUM(N430:N436)</f>
        <v>0</v>
      </c>
      <c r="D430" s="130">
        <f>SUM(O430:O436)</f>
        <v>0</v>
      </c>
      <c r="E430" s="130">
        <f t="shared" ref="E430:E437" si="90">D430/8</f>
        <v>0</v>
      </c>
      <c r="F430" s="130"/>
      <c r="G430" s="60" t="s">
        <v>125</v>
      </c>
      <c r="H430" s="123"/>
      <c r="I430" s="123"/>
      <c r="J430" s="60"/>
      <c r="K430" s="60"/>
      <c r="L430" s="60"/>
      <c r="M430" s="60"/>
      <c r="N430" s="60">
        <f>M430*J430*K430*L430</f>
        <v>0</v>
      </c>
      <c r="O430" s="60">
        <f>J430*K430*L430</f>
        <v>0</v>
      </c>
    </row>
    <row r="431" spans="1:15" s="38" customFormat="1" ht="11.45" hidden="1" customHeight="1" outlineLevel="1" x14ac:dyDescent="0.25">
      <c r="A431" s="124"/>
      <c r="B431" s="137"/>
      <c r="C431" s="115"/>
      <c r="D431" s="115"/>
      <c r="E431" s="115"/>
      <c r="F431" s="115"/>
      <c r="G431" s="60" t="s">
        <v>126</v>
      </c>
      <c r="H431" s="124"/>
      <c r="I431" s="124"/>
      <c r="J431" s="60"/>
      <c r="K431" s="60"/>
      <c r="L431" s="60"/>
      <c r="M431" s="60"/>
      <c r="N431" s="60">
        <f t="shared" ref="N431:N436" si="91">M431*J431*K431*L431</f>
        <v>0</v>
      </c>
      <c r="O431" s="60">
        <f t="shared" ref="O431:O436" si="92">J431*K431*L431</f>
        <v>0</v>
      </c>
    </row>
    <row r="432" spans="1:15" s="38" customFormat="1" ht="10.7" hidden="1" customHeight="1" outlineLevel="1" x14ac:dyDescent="0.25">
      <c r="A432" s="124"/>
      <c r="B432" s="137"/>
      <c r="C432" s="115"/>
      <c r="D432" s="115"/>
      <c r="E432" s="115"/>
      <c r="F432" s="115"/>
      <c r="G432" s="60" t="s">
        <v>127</v>
      </c>
      <c r="H432" s="124"/>
      <c r="I432" s="124"/>
      <c r="J432" s="60"/>
      <c r="K432" s="60"/>
      <c r="L432" s="60"/>
      <c r="M432" s="60"/>
      <c r="N432" s="60">
        <f t="shared" si="91"/>
        <v>0</v>
      </c>
      <c r="O432" s="60">
        <f t="shared" si="92"/>
        <v>0</v>
      </c>
    </row>
    <row r="433" spans="1:15" s="38" customFormat="1" ht="10.7" hidden="1" customHeight="1" outlineLevel="1" x14ac:dyDescent="0.25">
      <c r="A433" s="124"/>
      <c r="B433" s="137"/>
      <c r="C433" s="115"/>
      <c r="D433" s="115"/>
      <c r="E433" s="115"/>
      <c r="F433" s="115"/>
      <c r="G433" s="60" t="s">
        <v>128</v>
      </c>
      <c r="H433" s="124"/>
      <c r="I433" s="124"/>
      <c r="J433" s="60"/>
      <c r="K433" s="60"/>
      <c r="L433" s="60"/>
      <c r="M433" s="60"/>
      <c r="N433" s="60">
        <f t="shared" si="91"/>
        <v>0</v>
      </c>
      <c r="O433" s="60">
        <f t="shared" si="92"/>
        <v>0</v>
      </c>
    </row>
    <row r="434" spans="1:15" s="38" customFormat="1" ht="10.7" hidden="1" customHeight="1" outlineLevel="1" x14ac:dyDescent="0.25">
      <c r="A434" s="124"/>
      <c r="B434" s="137"/>
      <c r="C434" s="115"/>
      <c r="D434" s="115"/>
      <c r="E434" s="115"/>
      <c r="F434" s="115"/>
      <c r="G434" s="60" t="s">
        <v>129</v>
      </c>
      <c r="H434" s="124"/>
      <c r="I434" s="124"/>
      <c r="J434" s="60"/>
      <c r="K434" s="60"/>
      <c r="L434" s="60"/>
      <c r="M434" s="60"/>
      <c r="N434" s="60">
        <f t="shared" si="91"/>
        <v>0</v>
      </c>
      <c r="O434" s="60">
        <f t="shared" si="92"/>
        <v>0</v>
      </c>
    </row>
    <row r="435" spans="1:15" s="38" customFormat="1" ht="10.7" hidden="1" customHeight="1" outlineLevel="1" x14ac:dyDescent="0.25">
      <c r="A435" s="124"/>
      <c r="B435" s="137"/>
      <c r="C435" s="115"/>
      <c r="D435" s="115"/>
      <c r="E435" s="115"/>
      <c r="F435" s="115"/>
      <c r="G435" s="60" t="s">
        <v>130</v>
      </c>
      <c r="H435" s="124"/>
      <c r="I435" s="124"/>
      <c r="J435" s="60"/>
      <c r="K435" s="60"/>
      <c r="L435" s="60"/>
      <c r="M435" s="60"/>
      <c r="N435" s="60">
        <f t="shared" si="91"/>
        <v>0</v>
      </c>
      <c r="O435" s="60">
        <f t="shared" si="92"/>
        <v>0</v>
      </c>
    </row>
    <row r="436" spans="1:15" s="38" customFormat="1" ht="12" hidden="1" customHeight="1" outlineLevel="1" thickBot="1" x14ac:dyDescent="0.3">
      <c r="A436" s="125"/>
      <c r="B436" s="138"/>
      <c r="C436" s="131"/>
      <c r="D436" s="131"/>
      <c r="E436" s="131"/>
      <c r="F436" s="131"/>
      <c r="G436" s="60" t="s">
        <v>131</v>
      </c>
      <c r="H436" s="134"/>
      <c r="I436" s="134"/>
      <c r="J436" s="60"/>
      <c r="K436" s="60"/>
      <c r="L436" s="60"/>
      <c r="M436" s="60"/>
      <c r="N436" s="60">
        <f t="shared" si="91"/>
        <v>0</v>
      </c>
      <c r="O436" s="60">
        <f t="shared" si="92"/>
        <v>0</v>
      </c>
    </row>
    <row r="437" spans="1:15" s="38" customFormat="1" ht="14.45" hidden="1" customHeight="1" outlineLevel="1" x14ac:dyDescent="0.25">
      <c r="A437" s="126" t="s">
        <v>255</v>
      </c>
      <c r="B437" s="127" t="s">
        <v>256</v>
      </c>
      <c r="C437" s="130">
        <f>SUM(N437:N443)</f>
        <v>0</v>
      </c>
      <c r="D437" s="130">
        <f>SUM(O437:O443)</f>
        <v>0</v>
      </c>
      <c r="E437" s="130">
        <f t="shared" si="90"/>
        <v>0</v>
      </c>
      <c r="F437" s="130"/>
      <c r="G437" s="60" t="s">
        <v>125</v>
      </c>
      <c r="H437" s="123"/>
      <c r="I437" s="123"/>
      <c r="J437" s="60"/>
      <c r="K437" s="60"/>
      <c r="L437" s="60"/>
      <c r="M437" s="60"/>
      <c r="N437" s="60">
        <f>M437*J437*K437*L437</f>
        <v>0</v>
      </c>
      <c r="O437" s="60">
        <f>J437*K437*L437</f>
        <v>0</v>
      </c>
    </row>
    <row r="438" spans="1:15" s="38" customFormat="1" ht="11.45" hidden="1" customHeight="1" outlineLevel="1" x14ac:dyDescent="0.25">
      <c r="A438" s="124"/>
      <c r="B438" s="137"/>
      <c r="C438" s="115"/>
      <c r="D438" s="115"/>
      <c r="E438" s="115"/>
      <c r="F438" s="115"/>
      <c r="G438" s="60" t="s">
        <v>126</v>
      </c>
      <c r="H438" s="124"/>
      <c r="I438" s="124"/>
      <c r="J438" s="60"/>
      <c r="K438" s="60"/>
      <c r="L438" s="60"/>
      <c r="M438" s="60"/>
      <c r="N438" s="60">
        <f t="shared" ref="N438:N443" si="93">M438*J438*K438*L438</f>
        <v>0</v>
      </c>
      <c r="O438" s="60">
        <f t="shared" ref="O438:O443" si="94">J438*K438*L438</f>
        <v>0</v>
      </c>
    </row>
    <row r="439" spans="1:15" s="38" customFormat="1" ht="10.7" hidden="1" customHeight="1" outlineLevel="1" x14ac:dyDescent="0.25">
      <c r="A439" s="124"/>
      <c r="B439" s="137"/>
      <c r="C439" s="115"/>
      <c r="D439" s="115"/>
      <c r="E439" s="115"/>
      <c r="F439" s="115"/>
      <c r="G439" s="60" t="s">
        <v>127</v>
      </c>
      <c r="H439" s="124"/>
      <c r="I439" s="124"/>
      <c r="J439" s="60"/>
      <c r="K439" s="60"/>
      <c r="L439" s="60"/>
      <c r="M439" s="60"/>
      <c r="N439" s="60">
        <f t="shared" si="93"/>
        <v>0</v>
      </c>
      <c r="O439" s="60">
        <f t="shared" si="94"/>
        <v>0</v>
      </c>
    </row>
    <row r="440" spans="1:15" s="38" customFormat="1" ht="10.7" hidden="1" customHeight="1" outlineLevel="1" x14ac:dyDescent="0.25">
      <c r="A440" s="124"/>
      <c r="B440" s="137"/>
      <c r="C440" s="115"/>
      <c r="D440" s="115"/>
      <c r="E440" s="115"/>
      <c r="F440" s="115"/>
      <c r="G440" s="60" t="s">
        <v>128</v>
      </c>
      <c r="H440" s="124"/>
      <c r="I440" s="124"/>
      <c r="J440" s="60"/>
      <c r="K440" s="60"/>
      <c r="L440" s="60"/>
      <c r="M440" s="60"/>
      <c r="N440" s="60">
        <f t="shared" si="93"/>
        <v>0</v>
      </c>
      <c r="O440" s="60">
        <f t="shared" si="94"/>
        <v>0</v>
      </c>
    </row>
    <row r="441" spans="1:15" s="38" customFormat="1" ht="10.7" hidden="1" customHeight="1" outlineLevel="1" x14ac:dyDescent="0.25">
      <c r="A441" s="124"/>
      <c r="B441" s="137"/>
      <c r="C441" s="115"/>
      <c r="D441" s="115"/>
      <c r="E441" s="115"/>
      <c r="F441" s="115"/>
      <c r="G441" s="60" t="s">
        <v>129</v>
      </c>
      <c r="H441" s="124"/>
      <c r="I441" s="124"/>
      <c r="J441" s="60"/>
      <c r="K441" s="60"/>
      <c r="L441" s="60"/>
      <c r="M441" s="60"/>
      <c r="N441" s="60">
        <f t="shared" si="93"/>
        <v>0</v>
      </c>
      <c r="O441" s="60">
        <f t="shared" si="94"/>
        <v>0</v>
      </c>
    </row>
    <row r="442" spans="1:15" s="38" customFormat="1" ht="10.7" hidden="1" customHeight="1" outlineLevel="1" x14ac:dyDescent="0.25">
      <c r="A442" s="124"/>
      <c r="B442" s="137"/>
      <c r="C442" s="115"/>
      <c r="D442" s="115"/>
      <c r="E442" s="115"/>
      <c r="F442" s="115"/>
      <c r="G442" s="60" t="s">
        <v>130</v>
      </c>
      <c r="H442" s="124"/>
      <c r="I442" s="124"/>
      <c r="J442" s="60"/>
      <c r="K442" s="60"/>
      <c r="L442" s="60"/>
      <c r="M442" s="60"/>
      <c r="N442" s="60">
        <f t="shared" si="93"/>
        <v>0</v>
      </c>
      <c r="O442" s="60">
        <f t="shared" si="94"/>
        <v>0</v>
      </c>
    </row>
    <row r="443" spans="1:15" s="38" customFormat="1" ht="12" hidden="1" customHeight="1" outlineLevel="1" thickBot="1" x14ac:dyDescent="0.3">
      <c r="A443" s="125"/>
      <c r="B443" s="138"/>
      <c r="C443" s="131"/>
      <c r="D443" s="131"/>
      <c r="E443" s="131"/>
      <c r="F443" s="131"/>
      <c r="G443" s="60" t="s">
        <v>131</v>
      </c>
      <c r="H443" s="134"/>
      <c r="I443" s="134"/>
      <c r="J443" s="60"/>
      <c r="K443" s="60"/>
      <c r="L443" s="60"/>
      <c r="M443" s="60"/>
      <c r="N443" s="60">
        <f t="shared" si="93"/>
        <v>0</v>
      </c>
      <c r="O443" s="60">
        <f t="shared" si="94"/>
        <v>0</v>
      </c>
    </row>
    <row r="444" spans="1:15" s="39" customFormat="1" ht="16.5" collapsed="1" thickBot="1" x14ac:dyDescent="0.3">
      <c r="A444" s="40" t="s">
        <v>257</v>
      </c>
      <c r="B444" s="41" t="s">
        <v>258</v>
      </c>
      <c r="C444" s="42">
        <f>SUM(C445)</f>
        <v>0</v>
      </c>
      <c r="D444" s="42">
        <f>SUM(D445)</f>
        <v>0</v>
      </c>
      <c r="E444" s="42">
        <f>SUM(E445)</f>
        <v>0</v>
      </c>
      <c r="F444" s="57"/>
      <c r="G444" s="57"/>
      <c r="H444" s="57"/>
      <c r="I444" s="57"/>
      <c r="J444" s="57"/>
      <c r="K444" s="57"/>
      <c r="L444" s="57"/>
      <c r="M444" s="57"/>
      <c r="N444" s="57"/>
      <c r="O444" s="43"/>
    </row>
    <row r="445" spans="1:15" s="38" customFormat="1" ht="14.45" hidden="1" customHeight="1" outlineLevel="1" x14ac:dyDescent="0.25">
      <c r="A445" s="126" t="s">
        <v>259</v>
      </c>
      <c r="B445" s="127" t="s">
        <v>260</v>
      </c>
      <c r="C445" s="130">
        <f>SUM(N445:N451)</f>
        <v>0</v>
      </c>
      <c r="D445" s="130">
        <f>SUM(O445:O451)</f>
        <v>0</v>
      </c>
      <c r="E445" s="130">
        <f t="shared" ref="E445" si="95">D445/8</f>
        <v>0</v>
      </c>
      <c r="F445" s="130"/>
      <c r="G445" s="60" t="s">
        <v>125</v>
      </c>
      <c r="H445" s="123"/>
      <c r="I445" s="123"/>
      <c r="J445" s="60"/>
      <c r="K445" s="60"/>
      <c r="L445" s="60"/>
      <c r="M445" s="60"/>
      <c r="N445" s="60">
        <f>M445*J445*K445*L445</f>
        <v>0</v>
      </c>
      <c r="O445" s="60">
        <f>J445*K445*L445</f>
        <v>0</v>
      </c>
    </row>
    <row r="446" spans="1:15" s="38" customFormat="1" ht="11.45" hidden="1" customHeight="1" outlineLevel="1" x14ac:dyDescent="0.25">
      <c r="A446" s="124"/>
      <c r="B446" s="137"/>
      <c r="C446" s="115"/>
      <c r="D446" s="115"/>
      <c r="E446" s="115"/>
      <c r="F446" s="115"/>
      <c r="G446" s="60" t="s">
        <v>126</v>
      </c>
      <c r="H446" s="124"/>
      <c r="I446" s="124"/>
      <c r="J446" s="60"/>
      <c r="K446" s="60"/>
      <c r="L446" s="60"/>
      <c r="M446" s="60"/>
      <c r="N446" s="60">
        <f t="shared" ref="N446:N451" si="96">M446*J446*K446*L446</f>
        <v>0</v>
      </c>
      <c r="O446" s="60">
        <f t="shared" ref="O446:O451" si="97">J446*K446*L446</f>
        <v>0</v>
      </c>
    </row>
    <row r="447" spans="1:15" s="38" customFormat="1" ht="10.7" hidden="1" customHeight="1" outlineLevel="1" x14ac:dyDescent="0.25">
      <c r="A447" s="124"/>
      <c r="B447" s="137"/>
      <c r="C447" s="115"/>
      <c r="D447" s="115"/>
      <c r="E447" s="115"/>
      <c r="F447" s="115"/>
      <c r="G447" s="60" t="s">
        <v>127</v>
      </c>
      <c r="H447" s="124"/>
      <c r="I447" s="124"/>
      <c r="J447" s="60"/>
      <c r="K447" s="60"/>
      <c r="L447" s="60"/>
      <c r="M447" s="60"/>
      <c r="N447" s="60">
        <f t="shared" si="96"/>
        <v>0</v>
      </c>
      <c r="O447" s="60">
        <f t="shared" si="97"/>
        <v>0</v>
      </c>
    </row>
    <row r="448" spans="1:15" s="38" customFormat="1" ht="10.7" hidden="1" customHeight="1" outlineLevel="1" x14ac:dyDescent="0.25">
      <c r="A448" s="124"/>
      <c r="B448" s="137"/>
      <c r="C448" s="115"/>
      <c r="D448" s="115"/>
      <c r="E448" s="115"/>
      <c r="F448" s="115"/>
      <c r="G448" s="60" t="s">
        <v>128</v>
      </c>
      <c r="H448" s="124"/>
      <c r="I448" s="124"/>
      <c r="J448" s="60"/>
      <c r="K448" s="60"/>
      <c r="L448" s="60"/>
      <c r="M448" s="60"/>
      <c r="N448" s="60">
        <f t="shared" si="96"/>
        <v>0</v>
      </c>
      <c r="O448" s="60">
        <f t="shared" si="97"/>
        <v>0</v>
      </c>
    </row>
    <row r="449" spans="1:15" s="38" customFormat="1" ht="10.7" hidden="1" customHeight="1" outlineLevel="1" x14ac:dyDescent="0.25">
      <c r="A449" s="124"/>
      <c r="B449" s="137"/>
      <c r="C449" s="115"/>
      <c r="D449" s="115"/>
      <c r="E449" s="115"/>
      <c r="F449" s="115"/>
      <c r="G449" s="60" t="s">
        <v>129</v>
      </c>
      <c r="H449" s="124"/>
      <c r="I449" s="124"/>
      <c r="J449" s="60"/>
      <c r="K449" s="60"/>
      <c r="L449" s="60"/>
      <c r="M449" s="60"/>
      <c r="N449" s="60">
        <f t="shared" si="96"/>
        <v>0</v>
      </c>
      <c r="O449" s="60">
        <f t="shared" si="97"/>
        <v>0</v>
      </c>
    </row>
    <row r="450" spans="1:15" s="38" customFormat="1" ht="10.7" hidden="1" customHeight="1" outlineLevel="1" x14ac:dyDescent="0.25">
      <c r="A450" s="124"/>
      <c r="B450" s="137"/>
      <c r="C450" s="115"/>
      <c r="D450" s="115"/>
      <c r="E450" s="115"/>
      <c r="F450" s="115"/>
      <c r="G450" s="60" t="s">
        <v>130</v>
      </c>
      <c r="H450" s="124"/>
      <c r="I450" s="124"/>
      <c r="J450" s="60"/>
      <c r="K450" s="60"/>
      <c r="L450" s="60"/>
      <c r="M450" s="60"/>
      <c r="N450" s="60">
        <f t="shared" si="96"/>
        <v>0</v>
      </c>
      <c r="O450" s="60">
        <f t="shared" si="97"/>
        <v>0</v>
      </c>
    </row>
    <row r="451" spans="1:15" s="38" customFormat="1" ht="12" hidden="1" customHeight="1" outlineLevel="1" thickBot="1" x14ac:dyDescent="0.3">
      <c r="A451" s="125"/>
      <c r="B451" s="138"/>
      <c r="C451" s="131"/>
      <c r="D451" s="131"/>
      <c r="E451" s="131"/>
      <c r="F451" s="131"/>
      <c r="G451" s="60" t="s">
        <v>131</v>
      </c>
      <c r="H451" s="134"/>
      <c r="I451" s="134"/>
      <c r="J451" s="60"/>
      <c r="K451" s="60"/>
      <c r="L451" s="60"/>
      <c r="M451" s="60"/>
      <c r="N451" s="60">
        <f t="shared" si="96"/>
        <v>0</v>
      </c>
      <c r="O451" s="60">
        <f t="shared" si="97"/>
        <v>0</v>
      </c>
    </row>
    <row r="452" spans="1:15" s="39" customFormat="1" ht="16.5" collapsed="1" thickBot="1" x14ac:dyDescent="0.3">
      <c r="A452" s="40" t="s">
        <v>261</v>
      </c>
      <c r="B452" s="41" t="s">
        <v>262</v>
      </c>
      <c r="C452" s="42">
        <f>SUM(C453:C634)</f>
        <v>0</v>
      </c>
      <c r="D452" s="42">
        <f>SUM(D453:D634)</f>
        <v>0</v>
      </c>
      <c r="E452" s="42">
        <f>SUM(E453:E634)</f>
        <v>0</v>
      </c>
      <c r="F452" s="42"/>
      <c r="G452" s="42"/>
      <c r="H452" s="42"/>
      <c r="I452" s="42"/>
      <c r="J452" s="42"/>
      <c r="K452" s="42"/>
      <c r="L452" s="42"/>
      <c r="M452" s="42"/>
      <c r="N452" s="42"/>
      <c r="O452" s="47"/>
    </row>
    <row r="453" spans="1:15" s="38" customFormat="1" ht="14.45" hidden="1" customHeight="1" outlineLevel="1" x14ac:dyDescent="0.25">
      <c r="A453" s="126" t="s">
        <v>263</v>
      </c>
      <c r="B453" s="127" t="s">
        <v>264</v>
      </c>
      <c r="C453" s="130">
        <f>SUM(N453:N459)</f>
        <v>0</v>
      </c>
      <c r="D453" s="130">
        <f>SUM(O453:O459)</f>
        <v>0</v>
      </c>
      <c r="E453" s="130">
        <f t="shared" ref="E453:E530" si="98">D453/8</f>
        <v>0</v>
      </c>
      <c r="F453" s="130"/>
      <c r="G453" s="60" t="s">
        <v>125</v>
      </c>
      <c r="H453" s="123"/>
      <c r="I453" s="123"/>
      <c r="J453" s="60"/>
      <c r="K453" s="60"/>
      <c r="L453" s="60"/>
      <c r="M453" s="60"/>
      <c r="N453" s="60">
        <f>M453*J453*K453*L453</f>
        <v>0</v>
      </c>
      <c r="O453" s="60">
        <f>J453*K453*L453</f>
        <v>0</v>
      </c>
    </row>
    <row r="454" spans="1:15" s="38" customFormat="1" ht="11.45" hidden="1" customHeight="1" outlineLevel="1" x14ac:dyDescent="0.25">
      <c r="A454" s="124"/>
      <c r="B454" s="137"/>
      <c r="C454" s="115"/>
      <c r="D454" s="115"/>
      <c r="E454" s="115"/>
      <c r="F454" s="115"/>
      <c r="G454" s="60" t="s">
        <v>126</v>
      </c>
      <c r="H454" s="124"/>
      <c r="I454" s="124"/>
      <c r="J454" s="60"/>
      <c r="K454" s="60"/>
      <c r="L454" s="60"/>
      <c r="M454" s="60"/>
      <c r="N454" s="60">
        <f t="shared" ref="N454:N459" si="99">M454*J454*K454*L454</f>
        <v>0</v>
      </c>
      <c r="O454" s="60">
        <f t="shared" ref="O454:O459" si="100">J454*K454*L454</f>
        <v>0</v>
      </c>
    </row>
    <row r="455" spans="1:15" s="38" customFormat="1" ht="10.7" hidden="1" customHeight="1" outlineLevel="1" x14ac:dyDescent="0.25">
      <c r="A455" s="124"/>
      <c r="B455" s="137"/>
      <c r="C455" s="115"/>
      <c r="D455" s="115"/>
      <c r="E455" s="115"/>
      <c r="F455" s="115"/>
      <c r="G455" s="60" t="s">
        <v>127</v>
      </c>
      <c r="H455" s="124"/>
      <c r="I455" s="124"/>
      <c r="J455" s="60"/>
      <c r="K455" s="60"/>
      <c r="L455" s="60"/>
      <c r="M455" s="60"/>
      <c r="N455" s="60">
        <f t="shared" si="99"/>
        <v>0</v>
      </c>
      <c r="O455" s="60">
        <f t="shared" si="100"/>
        <v>0</v>
      </c>
    </row>
    <row r="456" spans="1:15" s="38" customFormat="1" ht="10.7" hidden="1" customHeight="1" outlineLevel="1" x14ac:dyDescent="0.25">
      <c r="A456" s="124"/>
      <c r="B456" s="137"/>
      <c r="C456" s="115"/>
      <c r="D456" s="115"/>
      <c r="E456" s="115"/>
      <c r="F456" s="115"/>
      <c r="G456" s="60" t="s">
        <v>128</v>
      </c>
      <c r="H456" s="124"/>
      <c r="I456" s="124"/>
      <c r="J456" s="60"/>
      <c r="K456" s="60"/>
      <c r="L456" s="60"/>
      <c r="M456" s="60"/>
      <c r="N456" s="60">
        <f t="shared" si="99"/>
        <v>0</v>
      </c>
      <c r="O456" s="60">
        <f t="shared" si="100"/>
        <v>0</v>
      </c>
    </row>
    <row r="457" spans="1:15" s="38" customFormat="1" ht="10.7" hidden="1" customHeight="1" outlineLevel="1" x14ac:dyDescent="0.25">
      <c r="A457" s="124"/>
      <c r="B457" s="137"/>
      <c r="C457" s="115"/>
      <c r="D457" s="115"/>
      <c r="E457" s="115"/>
      <c r="F457" s="115"/>
      <c r="G457" s="60" t="s">
        <v>129</v>
      </c>
      <c r="H457" s="124"/>
      <c r="I457" s="124"/>
      <c r="J457" s="60"/>
      <c r="K457" s="60"/>
      <c r="L457" s="60"/>
      <c r="M457" s="60"/>
      <c r="N457" s="60">
        <f t="shared" si="99"/>
        <v>0</v>
      </c>
      <c r="O457" s="60">
        <f t="shared" si="100"/>
        <v>0</v>
      </c>
    </row>
    <row r="458" spans="1:15" s="38" customFormat="1" ht="10.7" hidden="1" customHeight="1" outlineLevel="1" x14ac:dyDescent="0.25">
      <c r="A458" s="124"/>
      <c r="B458" s="137"/>
      <c r="C458" s="115"/>
      <c r="D458" s="115"/>
      <c r="E458" s="115"/>
      <c r="F458" s="115"/>
      <c r="G458" s="60" t="s">
        <v>130</v>
      </c>
      <c r="H458" s="124"/>
      <c r="I458" s="124"/>
      <c r="J458" s="60"/>
      <c r="K458" s="60"/>
      <c r="L458" s="60"/>
      <c r="M458" s="60"/>
      <c r="N458" s="60">
        <f t="shared" si="99"/>
        <v>0</v>
      </c>
      <c r="O458" s="60">
        <f t="shared" si="100"/>
        <v>0</v>
      </c>
    </row>
    <row r="459" spans="1:15" s="38" customFormat="1" ht="12" hidden="1" customHeight="1" outlineLevel="1" thickBot="1" x14ac:dyDescent="0.3">
      <c r="A459" s="125"/>
      <c r="B459" s="138"/>
      <c r="C459" s="131"/>
      <c r="D459" s="131"/>
      <c r="E459" s="131"/>
      <c r="F459" s="131"/>
      <c r="G459" s="60" t="s">
        <v>131</v>
      </c>
      <c r="H459" s="134"/>
      <c r="I459" s="134"/>
      <c r="J459" s="60"/>
      <c r="K459" s="60"/>
      <c r="L459" s="60"/>
      <c r="M459" s="60"/>
      <c r="N459" s="60">
        <f t="shared" si="99"/>
        <v>0</v>
      </c>
      <c r="O459" s="60">
        <f t="shared" si="100"/>
        <v>0</v>
      </c>
    </row>
    <row r="460" spans="1:15" s="38" customFormat="1" ht="14.45" hidden="1" customHeight="1" outlineLevel="1" x14ac:dyDescent="0.25">
      <c r="A460" s="126" t="s">
        <v>265</v>
      </c>
      <c r="B460" s="127" t="s">
        <v>266</v>
      </c>
      <c r="C460" s="130">
        <f>SUM(N460:N466)</f>
        <v>0</v>
      </c>
      <c r="D460" s="130">
        <f>SUM(O460:O466)</f>
        <v>0</v>
      </c>
      <c r="E460" s="130">
        <f t="shared" si="98"/>
        <v>0</v>
      </c>
      <c r="F460" s="130"/>
      <c r="G460" s="60" t="s">
        <v>125</v>
      </c>
      <c r="H460" s="123"/>
      <c r="I460" s="123"/>
      <c r="J460" s="60"/>
      <c r="K460" s="60"/>
      <c r="L460" s="60"/>
      <c r="M460" s="60"/>
      <c r="N460" s="60">
        <f>M460*J460*K460*L460</f>
        <v>0</v>
      </c>
      <c r="O460" s="60">
        <f>J460*K460*L460</f>
        <v>0</v>
      </c>
    </row>
    <row r="461" spans="1:15" s="38" customFormat="1" ht="11.45" hidden="1" customHeight="1" outlineLevel="1" x14ac:dyDescent="0.25">
      <c r="A461" s="124"/>
      <c r="B461" s="137"/>
      <c r="C461" s="115"/>
      <c r="D461" s="115"/>
      <c r="E461" s="115"/>
      <c r="F461" s="115"/>
      <c r="G461" s="60" t="s">
        <v>126</v>
      </c>
      <c r="H461" s="124"/>
      <c r="I461" s="124"/>
      <c r="J461" s="60"/>
      <c r="K461" s="60"/>
      <c r="L461" s="60"/>
      <c r="M461" s="60"/>
      <c r="N461" s="60">
        <f t="shared" ref="N461:N466" si="101">M461*J461*K461*L461</f>
        <v>0</v>
      </c>
      <c r="O461" s="60">
        <f t="shared" ref="O461:O466" si="102">J461*K461*L461</f>
        <v>0</v>
      </c>
    </row>
    <row r="462" spans="1:15" s="38" customFormat="1" ht="10.7" hidden="1" customHeight="1" outlineLevel="1" x14ac:dyDescent="0.25">
      <c r="A462" s="124"/>
      <c r="B462" s="137"/>
      <c r="C462" s="115"/>
      <c r="D462" s="115"/>
      <c r="E462" s="115"/>
      <c r="F462" s="115"/>
      <c r="G462" s="60" t="s">
        <v>127</v>
      </c>
      <c r="H462" s="124"/>
      <c r="I462" s="124"/>
      <c r="J462" s="60"/>
      <c r="K462" s="60"/>
      <c r="L462" s="60"/>
      <c r="M462" s="60"/>
      <c r="N462" s="60">
        <f t="shared" si="101"/>
        <v>0</v>
      </c>
      <c r="O462" s="60">
        <f t="shared" si="102"/>
        <v>0</v>
      </c>
    </row>
    <row r="463" spans="1:15" s="38" customFormat="1" ht="10.7" hidden="1" customHeight="1" outlineLevel="1" x14ac:dyDescent="0.25">
      <c r="A463" s="124"/>
      <c r="B463" s="137"/>
      <c r="C463" s="115"/>
      <c r="D463" s="115"/>
      <c r="E463" s="115"/>
      <c r="F463" s="115"/>
      <c r="G463" s="60" t="s">
        <v>128</v>
      </c>
      <c r="H463" s="124"/>
      <c r="I463" s="124"/>
      <c r="J463" s="60"/>
      <c r="K463" s="60"/>
      <c r="L463" s="60"/>
      <c r="M463" s="60"/>
      <c r="N463" s="60">
        <f t="shared" si="101"/>
        <v>0</v>
      </c>
      <c r="O463" s="60">
        <f t="shared" si="102"/>
        <v>0</v>
      </c>
    </row>
    <row r="464" spans="1:15" s="38" customFormat="1" ht="10.7" hidden="1" customHeight="1" outlineLevel="1" x14ac:dyDescent="0.25">
      <c r="A464" s="124"/>
      <c r="B464" s="137"/>
      <c r="C464" s="115"/>
      <c r="D464" s="115"/>
      <c r="E464" s="115"/>
      <c r="F464" s="115"/>
      <c r="G464" s="60" t="s">
        <v>129</v>
      </c>
      <c r="H464" s="124"/>
      <c r="I464" s="124"/>
      <c r="J464" s="60"/>
      <c r="K464" s="60"/>
      <c r="L464" s="60"/>
      <c r="M464" s="60"/>
      <c r="N464" s="60">
        <f t="shared" si="101"/>
        <v>0</v>
      </c>
      <c r="O464" s="60">
        <f t="shared" si="102"/>
        <v>0</v>
      </c>
    </row>
    <row r="465" spans="1:15" s="38" customFormat="1" ht="10.7" hidden="1" customHeight="1" outlineLevel="1" x14ac:dyDescent="0.25">
      <c r="A465" s="124"/>
      <c r="B465" s="137"/>
      <c r="C465" s="115"/>
      <c r="D465" s="115"/>
      <c r="E465" s="115"/>
      <c r="F465" s="115"/>
      <c r="G465" s="60" t="s">
        <v>130</v>
      </c>
      <c r="H465" s="124"/>
      <c r="I465" s="124"/>
      <c r="J465" s="60"/>
      <c r="K465" s="60"/>
      <c r="L465" s="60"/>
      <c r="M465" s="60"/>
      <c r="N465" s="60">
        <f t="shared" si="101"/>
        <v>0</v>
      </c>
      <c r="O465" s="60">
        <f t="shared" si="102"/>
        <v>0</v>
      </c>
    </row>
    <row r="466" spans="1:15" s="38" customFormat="1" ht="12" hidden="1" customHeight="1" outlineLevel="1" thickBot="1" x14ac:dyDescent="0.3">
      <c r="A466" s="125"/>
      <c r="B466" s="138"/>
      <c r="C466" s="131"/>
      <c r="D466" s="131"/>
      <c r="E466" s="131"/>
      <c r="F466" s="131"/>
      <c r="G466" s="60" t="s">
        <v>131</v>
      </c>
      <c r="H466" s="134"/>
      <c r="I466" s="134"/>
      <c r="J466" s="60"/>
      <c r="K466" s="60"/>
      <c r="L466" s="60"/>
      <c r="M466" s="60"/>
      <c r="N466" s="60">
        <f t="shared" si="101"/>
        <v>0</v>
      </c>
      <c r="O466" s="60">
        <f t="shared" si="102"/>
        <v>0</v>
      </c>
    </row>
    <row r="467" spans="1:15" s="38" customFormat="1" ht="14.45" hidden="1" customHeight="1" outlineLevel="1" x14ac:dyDescent="0.25">
      <c r="A467" s="126" t="s">
        <v>267</v>
      </c>
      <c r="B467" s="127" t="s">
        <v>268</v>
      </c>
      <c r="C467" s="130">
        <f>SUM(N467:N473)</f>
        <v>0</v>
      </c>
      <c r="D467" s="130">
        <f>SUM(O467:O473)</f>
        <v>0</v>
      </c>
      <c r="E467" s="130">
        <f t="shared" si="98"/>
        <v>0</v>
      </c>
      <c r="F467" s="130"/>
      <c r="G467" s="60" t="s">
        <v>125</v>
      </c>
      <c r="H467" s="123"/>
      <c r="I467" s="123"/>
      <c r="J467" s="60"/>
      <c r="K467" s="60"/>
      <c r="L467" s="60"/>
      <c r="M467" s="60"/>
      <c r="N467" s="60">
        <f>M467*J467*K467*L467</f>
        <v>0</v>
      </c>
      <c r="O467" s="60">
        <f>J467*K467*L467</f>
        <v>0</v>
      </c>
    </row>
    <row r="468" spans="1:15" s="38" customFormat="1" ht="11.45" hidden="1" customHeight="1" outlineLevel="1" x14ac:dyDescent="0.25">
      <c r="A468" s="124"/>
      <c r="B468" s="137"/>
      <c r="C468" s="115"/>
      <c r="D468" s="115"/>
      <c r="E468" s="115"/>
      <c r="F468" s="115"/>
      <c r="G468" s="60" t="s">
        <v>126</v>
      </c>
      <c r="H468" s="124"/>
      <c r="I468" s="124"/>
      <c r="J468" s="60"/>
      <c r="K468" s="60"/>
      <c r="L468" s="60"/>
      <c r="M468" s="60"/>
      <c r="N468" s="60">
        <f t="shared" ref="N468:N473" si="103">M468*J468*K468*L468</f>
        <v>0</v>
      </c>
      <c r="O468" s="60">
        <f t="shared" ref="O468:O473" si="104">J468*K468*L468</f>
        <v>0</v>
      </c>
    </row>
    <row r="469" spans="1:15" s="38" customFormat="1" ht="10.7" hidden="1" customHeight="1" outlineLevel="1" x14ac:dyDescent="0.25">
      <c r="A469" s="124"/>
      <c r="B469" s="137"/>
      <c r="C469" s="115"/>
      <c r="D469" s="115"/>
      <c r="E469" s="115"/>
      <c r="F469" s="115"/>
      <c r="G469" s="60" t="s">
        <v>127</v>
      </c>
      <c r="H469" s="124"/>
      <c r="I469" s="124"/>
      <c r="J469" s="60"/>
      <c r="K469" s="60"/>
      <c r="L469" s="60"/>
      <c r="M469" s="60"/>
      <c r="N469" s="60">
        <f t="shared" si="103"/>
        <v>0</v>
      </c>
      <c r="O469" s="60">
        <f t="shared" si="104"/>
        <v>0</v>
      </c>
    </row>
    <row r="470" spans="1:15" s="38" customFormat="1" ht="10.7" hidden="1" customHeight="1" outlineLevel="1" x14ac:dyDescent="0.25">
      <c r="A470" s="124"/>
      <c r="B470" s="137"/>
      <c r="C470" s="115"/>
      <c r="D470" s="115"/>
      <c r="E470" s="115"/>
      <c r="F470" s="115"/>
      <c r="G470" s="60" t="s">
        <v>128</v>
      </c>
      <c r="H470" s="124"/>
      <c r="I470" s="124"/>
      <c r="J470" s="60"/>
      <c r="K470" s="60"/>
      <c r="L470" s="60"/>
      <c r="M470" s="60"/>
      <c r="N470" s="60">
        <f t="shared" si="103"/>
        <v>0</v>
      </c>
      <c r="O470" s="60">
        <f t="shared" si="104"/>
        <v>0</v>
      </c>
    </row>
    <row r="471" spans="1:15" s="38" customFormat="1" ht="10.7" hidden="1" customHeight="1" outlineLevel="1" x14ac:dyDescent="0.25">
      <c r="A471" s="124"/>
      <c r="B471" s="137"/>
      <c r="C471" s="115"/>
      <c r="D471" s="115"/>
      <c r="E471" s="115"/>
      <c r="F471" s="115"/>
      <c r="G471" s="60" t="s">
        <v>129</v>
      </c>
      <c r="H471" s="124"/>
      <c r="I471" s="124"/>
      <c r="J471" s="60"/>
      <c r="K471" s="60"/>
      <c r="L471" s="60"/>
      <c r="M471" s="60"/>
      <c r="N471" s="60">
        <f t="shared" si="103"/>
        <v>0</v>
      </c>
      <c r="O471" s="60">
        <f t="shared" si="104"/>
        <v>0</v>
      </c>
    </row>
    <row r="472" spans="1:15" s="38" customFormat="1" ht="10.7" hidden="1" customHeight="1" outlineLevel="1" x14ac:dyDescent="0.25">
      <c r="A472" s="124"/>
      <c r="B472" s="137"/>
      <c r="C472" s="115"/>
      <c r="D472" s="115"/>
      <c r="E472" s="115"/>
      <c r="F472" s="115"/>
      <c r="G472" s="60" t="s">
        <v>130</v>
      </c>
      <c r="H472" s="124"/>
      <c r="I472" s="124"/>
      <c r="J472" s="60"/>
      <c r="K472" s="60"/>
      <c r="L472" s="60"/>
      <c r="M472" s="60"/>
      <c r="N472" s="60">
        <f t="shared" si="103"/>
        <v>0</v>
      </c>
      <c r="O472" s="60">
        <f t="shared" si="104"/>
        <v>0</v>
      </c>
    </row>
    <row r="473" spans="1:15" s="38" customFormat="1" ht="12" hidden="1" customHeight="1" outlineLevel="1" thickBot="1" x14ac:dyDescent="0.3">
      <c r="A473" s="125"/>
      <c r="B473" s="138"/>
      <c r="C473" s="131"/>
      <c r="D473" s="131"/>
      <c r="E473" s="131"/>
      <c r="F473" s="131"/>
      <c r="G473" s="60" t="s">
        <v>131</v>
      </c>
      <c r="H473" s="134"/>
      <c r="I473" s="134"/>
      <c r="J473" s="60"/>
      <c r="K473" s="60"/>
      <c r="L473" s="60"/>
      <c r="M473" s="60"/>
      <c r="N473" s="60">
        <f t="shared" si="103"/>
        <v>0</v>
      </c>
      <c r="O473" s="60">
        <f t="shared" si="104"/>
        <v>0</v>
      </c>
    </row>
    <row r="474" spans="1:15" s="38" customFormat="1" ht="14.45" hidden="1" customHeight="1" outlineLevel="1" x14ac:dyDescent="0.25">
      <c r="A474" s="126" t="s">
        <v>269</v>
      </c>
      <c r="B474" s="127" t="s">
        <v>270</v>
      </c>
      <c r="C474" s="130">
        <f>SUM(N474:N480)</f>
        <v>0</v>
      </c>
      <c r="D474" s="130">
        <f>SUM(O474:O480)</f>
        <v>0</v>
      </c>
      <c r="E474" s="130">
        <f t="shared" si="98"/>
        <v>0</v>
      </c>
      <c r="F474" s="130"/>
      <c r="G474" s="60" t="s">
        <v>125</v>
      </c>
      <c r="H474" s="123"/>
      <c r="I474" s="123"/>
      <c r="J474" s="60"/>
      <c r="K474" s="60"/>
      <c r="L474" s="60"/>
      <c r="M474" s="60"/>
      <c r="N474" s="60">
        <f>M474*J474*K474*L474</f>
        <v>0</v>
      </c>
      <c r="O474" s="60">
        <f>J474*K474*L474</f>
        <v>0</v>
      </c>
    </row>
    <row r="475" spans="1:15" s="38" customFormat="1" ht="11.45" hidden="1" customHeight="1" outlineLevel="1" x14ac:dyDescent="0.25">
      <c r="A475" s="124"/>
      <c r="B475" s="137"/>
      <c r="C475" s="115"/>
      <c r="D475" s="115"/>
      <c r="E475" s="115"/>
      <c r="F475" s="115"/>
      <c r="G475" s="60" t="s">
        <v>126</v>
      </c>
      <c r="H475" s="124"/>
      <c r="I475" s="124"/>
      <c r="J475" s="60"/>
      <c r="K475" s="60"/>
      <c r="L475" s="60"/>
      <c r="M475" s="60"/>
      <c r="N475" s="60">
        <f t="shared" ref="N475:N480" si="105">M475*J475*K475*L475</f>
        <v>0</v>
      </c>
      <c r="O475" s="60">
        <f t="shared" ref="O475:O480" si="106">J475*K475*L475</f>
        <v>0</v>
      </c>
    </row>
    <row r="476" spans="1:15" s="38" customFormat="1" ht="10.7" hidden="1" customHeight="1" outlineLevel="1" x14ac:dyDescent="0.25">
      <c r="A476" s="124"/>
      <c r="B476" s="137"/>
      <c r="C476" s="115"/>
      <c r="D476" s="115"/>
      <c r="E476" s="115"/>
      <c r="F476" s="115"/>
      <c r="G476" s="60" t="s">
        <v>127</v>
      </c>
      <c r="H476" s="124"/>
      <c r="I476" s="124"/>
      <c r="J476" s="60"/>
      <c r="K476" s="60"/>
      <c r="L476" s="60"/>
      <c r="M476" s="60"/>
      <c r="N476" s="60">
        <f t="shared" si="105"/>
        <v>0</v>
      </c>
      <c r="O476" s="60">
        <f t="shared" si="106"/>
        <v>0</v>
      </c>
    </row>
    <row r="477" spans="1:15" s="38" customFormat="1" ht="10.7" hidden="1" customHeight="1" outlineLevel="1" x14ac:dyDescent="0.25">
      <c r="A477" s="124"/>
      <c r="B477" s="137"/>
      <c r="C477" s="115"/>
      <c r="D477" s="115"/>
      <c r="E477" s="115"/>
      <c r="F477" s="115"/>
      <c r="G477" s="60" t="s">
        <v>128</v>
      </c>
      <c r="H477" s="124"/>
      <c r="I477" s="124"/>
      <c r="J477" s="60"/>
      <c r="K477" s="60"/>
      <c r="L477" s="60"/>
      <c r="M477" s="60"/>
      <c r="N477" s="60">
        <f t="shared" si="105"/>
        <v>0</v>
      </c>
      <c r="O477" s="60">
        <f t="shared" si="106"/>
        <v>0</v>
      </c>
    </row>
    <row r="478" spans="1:15" s="38" customFormat="1" ht="10.7" hidden="1" customHeight="1" outlineLevel="1" x14ac:dyDescent="0.25">
      <c r="A478" s="124"/>
      <c r="B478" s="137"/>
      <c r="C478" s="115"/>
      <c r="D478" s="115"/>
      <c r="E478" s="115"/>
      <c r="F478" s="115"/>
      <c r="G478" s="60" t="s">
        <v>129</v>
      </c>
      <c r="H478" s="124"/>
      <c r="I478" s="124"/>
      <c r="J478" s="60"/>
      <c r="K478" s="60"/>
      <c r="L478" s="60"/>
      <c r="M478" s="60"/>
      <c r="N478" s="60">
        <f t="shared" si="105"/>
        <v>0</v>
      </c>
      <c r="O478" s="60">
        <f t="shared" si="106"/>
        <v>0</v>
      </c>
    </row>
    <row r="479" spans="1:15" s="38" customFormat="1" ht="10.7" hidden="1" customHeight="1" outlineLevel="1" x14ac:dyDescent="0.25">
      <c r="A479" s="124"/>
      <c r="B479" s="137"/>
      <c r="C479" s="115"/>
      <c r="D479" s="115"/>
      <c r="E479" s="115"/>
      <c r="F479" s="115"/>
      <c r="G479" s="60" t="s">
        <v>130</v>
      </c>
      <c r="H479" s="124"/>
      <c r="I479" s="124"/>
      <c r="J479" s="60"/>
      <c r="K479" s="60"/>
      <c r="L479" s="60"/>
      <c r="M479" s="60"/>
      <c r="N479" s="60">
        <f t="shared" si="105"/>
        <v>0</v>
      </c>
      <c r="O479" s="60">
        <f t="shared" si="106"/>
        <v>0</v>
      </c>
    </row>
    <row r="480" spans="1:15" s="38" customFormat="1" ht="12" hidden="1" customHeight="1" outlineLevel="1" thickBot="1" x14ac:dyDescent="0.3">
      <c r="A480" s="125"/>
      <c r="B480" s="138"/>
      <c r="C480" s="131"/>
      <c r="D480" s="131"/>
      <c r="E480" s="131"/>
      <c r="F480" s="131"/>
      <c r="G480" s="60" t="s">
        <v>131</v>
      </c>
      <c r="H480" s="134"/>
      <c r="I480" s="134"/>
      <c r="J480" s="60"/>
      <c r="K480" s="60"/>
      <c r="L480" s="60"/>
      <c r="M480" s="60"/>
      <c r="N480" s="60">
        <f t="shared" si="105"/>
        <v>0</v>
      </c>
      <c r="O480" s="60">
        <f t="shared" si="106"/>
        <v>0</v>
      </c>
    </row>
    <row r="481" spans="1:15" s="38" customFormat="1" ht="14.45" hidden="1" customHeight="1" outlineLevel="1" x14ac:dyDescent="0.25">
      <c r="A481" s="126" t="s">
        <v>271</v>
      </c>
      <c r="B481" s="127" t="s">
        <v>272</v>
      </c>
      <c r="C481" s="130">
        <f>SUM(N481:N487)</f>
        <v>0</v>
      </c>
      <c r="D481" s="130">
        <f>SUM(O481:O487)</f>
        <v>0</v>
      </c>
      <c r="E481" s="130">
        <f t="shared" si="98"/>
        <v>0</v>
      </c>
      <c r="F481" s="130"/>
      <c r="G481" s="60" t="s">
        <v>125</v>
      </c>
      <c r="H481" s="123"/>
      <c r="I481" s="123"/>
      <c r="J481" s="60"/>
      <c r="K481" s="60"/>
      <c r="L481" s="60"/>
      <c r="M481" s="60"/>
      <c r="N481" s="60">
        <f>M481*J481*K481*L481</f>
        <v>0</v>
      </c>
      <c r="O481" s="60">
        <f>J481*K481*L481</f>
        <v>0</v>
      </c>
    </row>
    <row r="482" spans="1:15" s="38" customFormat="1" ht="11.45" hidden="1" customHeight="1" outlineLevel="1" x14ac:dyDescent="0.25">
      <c r="A482" s="124"/>
      <c r="B482" s="137"/>
      <c r="C482" s="115"/>
      <c r="D482" s="115"/>
      <c r="E482" s="115"/>
      <c r="F482" s="115"/>
      <c r="G482" s="60" t="s">
        <v>126</v>
      </c>
      <c r="H482" s="124"/>
      <c r="I482" s="124"/>
      <c r="J482" s="60"/>
      <c r="K482" s="60"/>
      <c r="L482" s="60"/>
      <c r="M482" s="60"/>
      <c r="N482" s="60">
        <f t="shared" ref="N482:N487" si="107">M482*J482*K482*L482</f>
        <v>0</v>
      </c>
      <c r="O482" s="60">
        <f t="shared" ref="O482:O487" si="108">J482*K482*L482</f>
        <v>0</v>
      </c>
    </row>
    <row r="483" spans="1:15" s="38" customFormat="1" ht="10.7" hidden="1" customHeight="1" outlineLevel="1" x14ac:dyDescent="0.25">
      <c r="A483" s="124"/>
      <c r="B483" s="137"/>
      <c r="C483" s="115"/>
      <c r="D483" s="115"/>
      <c r="E483" s="115"/>
      <c r="F483" s="115"/>
      <c r="G483" s="60" t="s">
        <v>127</v>
      </c>
      <c r="H483" s="124"/>
      <c r="I483" s="124"/>
      <c r="J483" s="60"/>
      <c r="K483" s="60"/>
      <c r="L483" s="60"/>
      <c r="M483" s="60"/>
      <c r="N483" s="60">
        <f t="shared" si="107"/>
        <v>0</v>
      </c>
      <c r="O483" s="60">
        <f t="shared" si="108"/>
        <v>0</v>
      </c>
    </row>
    <row r="484" spans="1:15" s="38" customFormat="1" ht="10.7" hidden="1" customHeight="1" outlineLevel="1" x14ac:dyDescent="0.25">
      <c r="A484" s="124"/>
      <c r="B484" s="137"/>
      <c r="C484" s="115"/>
      <c r="D484" s="115"/>
      <c r="E484" s="115"/>
      <c r="F484" s="115"/>
      <c r="G484" s="60" t="s">
        <v>128</v>
      </c>
      <c r="H484" s="124"/>
      <c r="I484" s="124"/>
      <c r="J484" s="60"/>
      <c r="K484" s="60"/>
      <c r="L484" s="60"/>
      <c r="M484" s="60"/>
      <c r="N484" s="60">
        <f t="shared" si="107"/>
        <v>0</v>
      </c>
      <c r="O484" s="60">
        <f t="shared" si="108"/>
        <v>0</v>
      </c>
    </row>
    <row r="485" spans="1:15" s="38" customFormat="1" ht="10.7" hidden="1" customHeight="1" outlineLevel="1" x14ac:dyDescent="0.25">
      <c r="A485" s="124"/>
      <c r="B485" s="137"/>
      <c r="C485" s="115"/>
      <c r="D485" s="115"/>
      <c r="E485" s="115"/>
      <c r="F485" s="115"/>
      <c r="G485" s="60" t="s">
        <v>129</v>
      </c>
      <c r="H485" s="124"/>
      <c r="I485" s="124"/>
      <c r="J485" s="60"/>
      <c r="K485" s="60"/>
      <c r="L485" s="60"/>
      <c r="M485" s="60"/>
      <c r="N485" s="60">
        <f t="shared" si="107"/>
        <v>0</v>
      </c>
      <c r="O485" s="60">
        <f t="shared" si="108"/>
        <v>0</v>
      </c>
    </row>
    <row r="486" spans="1:15" s="38" customFormat="1" ht="10.7" hidden="1" customHeight="1" outlineLevel="1" x14ac:dyDescent="0.25">
      <c r="A486" s="124"/>
      <c r="B486" s="137"/>
      <c r="C486" s="115"/>
      <c r="D486" s="115"/>
      <c r="E486" s="115"/>
      <c r="F486" s="115"/>
      <c r="G486" s="60" t="s">
        <v>130</v>
      </c>
      <c r="H486" s="124"/>
      <c r="I486" s="124"/>
      <c r="J486" s="60"/>
      <c r="K486" s="60"/>
      <c r="L486" s="60"/>
      <c r="M486" s="60"/>
      <c r="N486" s="60">
        <f t="shared" si="107"/>
        <v>0</v>
      </c>
      <c r="O486" s="60">
        <f t="shared" si="108"/>
        <v>0</v>
      </c>
    </row>
    <row r="487" spans="1:15" s="38" customFormat="1" ht="12" hidden="1" customHeight="1" outlineLevel="1" thickBot="1" x14ac:dyDescent="0.3">
      <c r="A487" s="125"/>
      <c r="B487" s="138"/>
      <c r="C487" s="131"/>
      <c r="D487" s="131"/>
      <c r="E487" s="131"/>
      <c r="F487" s="131"/>
      <c r="G487" s="60" t="s">
        <v>131</v>
      </c>
      <c r="H487" s="134"/>
      <c r="I487" s="134"/>
      <c r="J487" s="60"/>
      <c r="K487" s="60"/>
      <c r="L487" s="60"/>
      <c r="M487" s="60"/>
      <c r="N487" s="60">
        <f t="shared" si="107"/>
        <v>0</v>
      </c>
      <c r="O487" s="60">
        <f t="shared" si="108"/>
        <v>0</v>
      </c>
    </row>
    <row r="488" spans="1:15" s="38" customFormat="1" ht="14.45" hidden="1" customHeight="1" outlineLevel="1" x14ac:dyDescent="0.25">
      <c r="A488" s="126" t="s">
        <v>273</v>
      </c>
      <c r="B488" s="127" t="s">
        <v>274</v>
      </c>
      <c r="C488" s="130">
        <f>SUM(N488:N494)</f>
        <v>0</v>
      </c>
      <c r="D488" s="130">
        <f>SUM(O488:O494)</f>
        <v>0</v>
      </c>
      <c r="E488" s="130">
        <f t="shared" si="98"/>
        <v>0</v>
      </c>
      <c r="F488" s="130"/>
      <c r="G488" s="60" t="s">
        <v>125</v>
      </c>
      <c r="H488" s="123"/>
      <c r="I488" s="123"/>
      <c r="J488" s="60"/>
      <c r="K488" s="60"/>
      <c r="L488" s="60"/>
      <c r="M488" s="60"/>
      <c r="N488" s="60">
        <f>M488*J488*K488*L488</f>
        <v>0</v>
      </c>
      <c r="O488" s="60">
        <f>J488*K488*L488</f>
        <v>0</v>
      </c>
    </row>
    <row r="489" spans="1:15" s="38" customFormat="1" ht="11.45" hidden="1" customHeight="1" outlineLevel="1" x14ac:dyDescent="0.25">
      <c r="A489" s="124"/>
      <c r="B489" s="137"/>
      <c r="C489" s="115"/>
      <c r="D489" s="115"/>
      <c r="E489" s="115"/>
      <c r="F489" s="115"/>
      <c r="G489" s="60" t="s">
        <v>126</v>
      </c>
      <c r="H489" s="124"/>
      <c r="I489" s="124"/>
      <c r="J489" s="60"/>
      <c r="K489" s="60"/>
      <c r="L489" s="60"/>
      <c r="M489" s="60"/>
      <c r="N489" s="60">
        <f t="shared" ref="N489:N494" si="109">M489*J489*K489*L489</f>
        <v>0</v>
      </c>
      <c r="O489" s="60">
        <f t="shared" ref="O489:O494" si="110">J489*K489*L489</f>
        <v>0</v>
      </c>
    </row>
    <row r="490" spans="1:15" s="38" customFormat="1" ht="10.7" hidden="1" customHeight="1" outlineLevel="1" x14ac:dyDescent="0.25">
      <c r="A490" s="124"/>
      <c r="B490" s="137"/>
      <c r="C490" s="115"/>
      <c r="D490" s="115"/>
      <c r="E490" s="115"/>
      <c r="F490" s="115"/>
      <c r="G490" s="60" t="s">
        <v>127</v>
      </c>
      <c r="H490" s="124"/>
      <c r="I490" s="124"/>
      <c r="J490" s="60"/>
      <c r="K490" s="60"/>
      <c r="L490" s="60"/>
      <c r="M490" s="60"/>
      <c r="N490" s="60">
        <f t="shared" si="109"/>
        <v>0</v>
      </c>
      <c r="O490" s="60">
        <f t="shared" si="110"/>
        <v>0</v>
      </c>
    </row>
    <row r="491" spans="1:15" s="38" customFormat="1" ht="10.7" hidden="1" customHeight="1" outlineLevel="1" x14ac:dyDescent="0.25">
      <c r="A491" s="124"/>
      <c r="B491" s="137"/>
      <c r="C491" s="115"/>
      <c r="D491" s="115"/>
      <c r="E491" s="115"/>
      <c r="F491" s="115"/>
      <c r="G491" s="60" t="s">
        <v>128</v>
      </c>
      <c r="H491" s="124"/>
      <c r="I491" s="124"/>
      <c r="J491" s="60"/>
      <c r="K491" s="60"/>
      <c r="L491" s="60"/>
      <c r="M491" s="60"/>
      <c r="N491" s="60">
        <f t="shared" si="109"/>
        <v>0</v>
      </c>
      <c r="O491" s="60">
        <f t="shared" si="110"/>
        <v>0</v>
      </c>
    </row>
    <row r="492" spans="1:15" s="38" customFormat="1" ht="10.7" hidden="1" customHeight="1" outlineLevel="1" x14ac:dyDescent="0.25">
      <c r="A492" s="124"/>
      <c r="B492" s="137"/>
      <c r="C492" s="115"/>
      <c r="D492" s="115"/>
      <c r="E492" s="115"/>
      <c r="F492" s="115"/>
      <c r="G492" s="60" t="s">
        <v>129</v>
      </c>
      <c r="H492" s="124"/>
      <c r="I492" s="124"/>
      <c r="J492" s="60"/>
      <c r="K492" s="60"/>
      <c r="L492" s="60"/>
      <c r="M492" s="60"/>
      <c r="N492" s="60">
        <f t="shared" si="109"/>
        <v>0</v>
      </c>
      <c r="O492" s="60">
        <f t="shared" si="110"/>
        <v>0</v>
      </c>
    </row>
    <row r="493" spans="1:15" s="38" customFormat="1" ht="10.7" hidden="1" customHeight="1" outlineLevel="1" x14ac:dyDescent="0.25">
      <c r="A493" s="124"/>
      <c r="B493" s="137"/>
      <c r="C493" s="115"/>
      <c r="D493" s="115"/>
      <c r="E493" s="115"/>
      <c r="F493" s="115"/>
      <c r="G493" s="60" t="s">
        <v>130</v>
      </c>
      <c r="H493" s="124"/>
      <c r="I493" s="124"/>
      <c r="J493" s="60"/>
      <c r="K493" s="60"/>
      <c r="L493" s="60"/>
      <c r="M493" s="60"/>
      <c r="N493" s="60">
        <f t="shared" si="109"/>
        <v>0</v>
      </c>
      <c r="O493" s="60">
        <f t="shared" si="110"/>
        <v>0</v>
      </c>
    </row>
    <row r="494" spans="1:15" s="38" customFormat="1" ht="12" hidden="1" customHeight="1" outlineLevel="1" thickBot="1" x14ac:dyDescent="0.3">
      <c r="A494" s="125"/>
      <c r="B494" s="138"/>
      <c r="C494" s="131"/>
      <c r="D494" s="131"/>
      <c r="E494" s="131"/>
      <c r="F494" s="131"/>
      <c r="G494" s="60" t="s">
        <v>131</v>
      </c>
      <c r="H494" s="134"/>
      <c r="I494" s="134"/>
      <c r="J494" s="60"/>
      <c r="K494" s="60"/>
      <c r="L494" s="60"/>
      <c r="M494" s="60"/>
      <c r="N494" s="60">
        <f t="shared" si="109"/>
        <v>0</v>
      </c>
      <c r="O494" s="60">
        <f t="shared" si="110"/>
        <v>0</v>
      </c>
    </row>
    <row r="495" spans="1:15" s="38" customFormat="1" ht="14.45" hidden="1" customHeight="1" outlineLevel="1" x14ac:dyDescent="0.25">
      <c r="A495" s="126" t="s">
        <v>275</v>
      </c>
      <c r="B495" s="127" t="s">
        <v>276</v>
      </c>
      <c r="C495" s="130">
        <f>SUM(N495:N501)</f>
        <v>0</v>
      </c>
      <c r="D495" s="130">
        <f>SUM(O495:O501)</f>
        <v>0</v>
      </c>
      <c r="E495" s="130">
        <f t="shared" ref="E495" si="111">D495/8</f>
        <v>0</v>
      </c>
      <c r="F495" s="130"/>
      <c r="G495" s="60" t="s">
        <v>125</v>
      </c>
      <c r="H495" s="123"/>
      <c r="I495" s="123"/>
      <c r="J495" s="60"/>
      <c r="K495" s="60"/>
      <c r="L495" s="60"/>
      <c r="M495" s="60"/>
      <c r="N495" s="60">
        <f>M495*J495*K495*L495</f>
        <v>0</v>
      </c>
      <c r="O495" s="60">
        <f>J495*K495*L495</f>
        <v>0</v>
      </c>
    </row>
    <row r="496" spans="1:15" s="38" customFormat="1" ht="11.45" hidden="1" customHeight="1" outlineLevel="1" x14ac:dyDescent="0.25">
      <c r="A496" s="124"/>
      <c r="B496" s="137"/>
      <c r="C496" s="115"/>
      <c r="D496" s="115"/>
      <c r="E496" s="115"/>
      <c r="F496" s="115"/>
      <c r="G496" s="60" t="s">
        <v>126</v>
      </c>
      <c r="H496" s="124"/>
      <c r="I496" s="124"/>
      <c r="J496" s="60"/>
      <c r="K496" s="60"/>
      <c r="L496" s="60"/>
      <c r="M496" s="60"/>
      <c r="N496" s="60">
        <f t="shared" ref="N496:N501" si="112">M496*J496*K496*L496</f>
        <v>0</v>
      </c>
      <c r="O496" s="60">
        <f t="shared" ref="O496:O501" si="113">J496*K496*L496</f>
        <v>0</v>
      </c>
    </row>
    <row r="497" spans="1:15" s="38" customFormat="1" ht="10.7" hidden="1" customHeight="1" outlineLevel="1" x14ac:dyDescent="0.25">
      <c r="A497" s="124"/>
      <c r="B497" s="137"/>
      <c r="C497" s="115"/>
      <c r="D497" s="115"/>
      <c r="E497" s="115"/>
      <c r="F497" s="115"/>
      <c r="G497" s="60" t="s">
        <v>127</v>
      </c>
      <c r="H497" s="124"/>
      <c r="I497" s="124"/>
      <c r="J497" s="60"/>
      <c r="K497" s="60"/>
      <c r="L497" s="60"/>
      <c r="M497" s="60"/>
      <c r="N497" s="60">
        <f t="shared" si="112"/>
        <v>0</v>
      </c>
      <c r="O497" s="60">
        <f t="shared" si="113"/>
        <v>0</v>
      </c>
    </row>
    <row r="498" spans="1:15" s="38" customFormat="1" ht="10.7" hidden="1" customHeight="1" outlineLevel="1" x14ac:dyDescent="0.25">
      <c r="A498" s="124"/>
      <c r="B498" s="137"/>
      <c r="C498" s="115"/>
      <c r="D498" s="115"/>
      <c r="E498" s="115"/>
      <c r="F498" s="115"/>
      <c r="G498" s="60" t="s">
        <v>128</v>
      </c>
      <c r="H498" s="124"/>
      <c r="I498" s="124"/>
      <c r="J498" s="60"/>
      <c r="K498" s="60"/>
      <c r="L498" s="60"/>
      <c r="M498" s="60"/>
      <c r="N498" s="60">
        <f t="shared" si="112"/>
        <v>0</v>
      </c>
      <c r="O498" s="60">
        <f t="shared" si="113"/>
        <v>0</v>
      </c>
    </row>
    <row r="499" spans="1:15" s="38" customFormat="1" ht="10.7" hidden="1" customHeight="1" outlineLevel="1" x14ac:dyDescent="0.25">
      <c r="A499" s="124"/>
      <c r="B499" s="137"/>
      <c r="C499" s="115"/>
      <c r="D499" s="115"/>
      <c r="E499" s="115"/>
      <c r="F499" s="115"/>
      <c r="G499" s="60" t="s">
        <v>129</v>
      </c>
      <c r="H499" s="124"/>
      <c r="I499" s="124"/>
      <c r="J499" s="60"/>
      <c r="K499" s="60"/>
      <c r="L499" s="60"/>
      <c r="M499" s="60"/>
      <c r="N499" s="60">
        <f t="shared" si="112"/>
        <v>0</v>
      </c>
      <c r="O499" s="60">
        <f t="shared" si="113"/>
        <v>0</v>
      </c>
    </row>
    <row r="500" spans="1:15" s="38" customFormat="1" ht="10.7" hidden="1" customHeight="1" outlineLevel="1" x14ac:dyDescent="0.25">
      <c r="A500" s="124"/>
      <c r="B500" s="137"/>
      <c r="C500" s="115"/>
      <c r="D500" s="115"/>
      <c r="E500" s="115"/>
      <c r="F500" s="115"/>
      <c r="G500" s="60" t="s">
        <v>130</v>
      </c>
      <c r="H500" s="124"/>
      <c r="I500" s="124"/>
      <c r="J500" s="60"/>
      <c r="K500" s="60"/>
      <c r="L500" s="60"/>
      <c r="M500" s="60"/>
      <c r="N500" s="60">
        <f t="shared" si="112"/>
        <v>0</v>
      </c>
      <c r="O500" s="60">
        <f t="shared" si="113"/>
        <v>0</v>
      </c>
    </row>
    <row r="501" spans="1:15" s="38" customFormat="1" ht="12" hidden="1" customHeight="1" outlineLevel="1" thickBot="1" x14ac:dyDescent="0.3">
      <c r="A501" s="125"/>
      <c r="B501" s="138"/>
      <c r="C501" s="131"/>
      <c r="D501" s="131"/>
      <c r="E501" s="131"/>
      <c r="F501" s="131"/>
      <c r="G501" s="60" t="s">
        <v>131</v>
      </c>
      <c r="H501" s="134"/>
      <c r="I501" s="134"/>
      <c r="J501" s="60"/>
      <c r="K501" s="60"/>
      <c r="L501" s="60"/>
      <c r="M501" s="60"/>
      <c r="N501" s="60">
        <f t="shared" si="112"/>
        <v>0</v>
      </c>
      <c r="O501" s="60">
        <f t="shared" si="113"/>
        <v>0</v>
      </c>
    </row>
    <row r="502" spans="1:15" s="38" customFormat="1" ht="14.45" hidden="1" customHeight="1" outlineLevel="1" x14ac:dyDescent="0.25">
      <c r="A502" s="126" t="s">
        <v>277</v>
      </c>
      <c r="B502" s="127" t="s">
        <v>278</v>
      </c>
      <c r="C502" s="130">
        <f>SUM(N502:N508)</f>
        <v>0</v>
      </c>
      <c r="D502" s="130">
        <f>SUM(O502:O508)</f>
        <v>0</v>
      </c>
      <c r="E502" s="130">
        <f t="shared" ref="E502" si="114">D502/8</f>
        <v>0</v>
      </c>
      <c r="F502" s="130"/>
      <c r="G502" s="60" t="s">
        <v>125</v>
      </c>
      <c r="H502" s="123"/>
      <c r="I502" s="123"/>
      <c r="J502" s="60"/>
      <c r="K502" s="60"/>
      <c r="L502" s="60"/>
      <c r="M502" s="60"/>
      <c r="N502" s="60">
        <f>M502*J502*K502*L502</f>
        <v>0</v>
      </c>
      <c r="O502" s="60">
        <f>J502*K502*L502</f>
        <v>0</v>
      </c>
    </row>
    <row r="503" spans="1:15" s="38" customFormat="1" ht="11.45" hidden="1" customHeight="1" outlineLevel="1" x14ac:dyDescent="0.25">
      <c r="A503" s="124"/>
      <c r="B503" s="137"/>
      <c r="C503" s="115"/>
      <c r="D503" s="115"/>
      <c r="E503" s="115"/>
      <c r="F503" s="115"/>
      <c r="G503" s="60" t="s">
        <v>126</v>
      </c>
      <c r="H503" s="124"/>
      <c r="I503" s="124"/>
      <c r="J503" s="60"/>
      <c r="K503" s="60"/>
      <c r="L503" s="60"/>
      <c r="M503" s="60"/>
      <c r="N503" s="60">
        <f t="shared" ref="N503:N508" si="115">M503*J503*K503*L503</f>
        <v>0</v>
      </c>
      <c r="O503" s="60">
        <f t="shared" ref="O503:O508" si="116">J503*K503*L503</f>
        <v>0</v>
      </c>
    </row>
    <row r="504" spans="1:15" s="38" customFormat="1" ht="10.7" hidden="1" customHeight="1" outlineLevel="1" x14ac:dyDescent="0.25">
      <c r="A504" s="124"/>
      <c r="B504" s="137"/>
      <c r="C504" s="115"/>
      <c r="D504" s="115"/>
      <c r="E504" s="115"/>
      <c r="F504" s="115"/>
      <c r="G504" s="60" t="s">
        <v>127</v>
      </c>
      <c r="H504" s="124"/>
      <c r="I504" s="124"/>
      <c r="J504" s="60"/>
      <c r="K504" s="60"/>
      <c r="L504" s="60"/>
      <c r="M504" s="60"/>
      <c r="N504" s="60">
        <f t="shared" si="115"/>
        <v>0</v>
      </c>
      <c r="O504" s="60">
        <f t="shared" si="116"/>
        <v>0</v>
      </c>
    </row>
    <row r="505" spans="1:15" s="38" customFormat="1" ht="10.7" hidden="1" customHeight="1" outlineLevel="1" x14ac:dyDescent="0.25">
      <c r="A505" s="124"/>
      <c r="B505" s="137"/>
      <c r="C505" s="115"/>
      <c r="D505" s="115"/>
      <c r="E505" s="115"/>
      <c r="F505" s="115"/>
      <c r="G505" s="60" t="s">
        <v>128</v>
      </c>
      <c r="H505" s="124"/>
      <c r="I505" s="124"/>
      <c r="J505" s="60"/>
      <c r="K505" s="60"/>
      <c r="L505" s="60"/>
      <c r="M505" s="60"/>
      <c r="N505" s="60">
        <f t="shared" si="115"/>
        <v>0</v>
      </c>
      <c r="O505" s="60">
        <f t="shared" si="116"/>
        <v>0</v>
      </c>
    </row>
    <row r="506" spans="1:15" s="38" customFormat="1" ht="10.7" hidden="1" customHeight="1" outlineLevel="1" x14ac:dyDescent="0.25">
      <c r="A506" s="124"/>
      <c r="B506" s="137"/>
      <c r="C506" s="115"/>
      <c r="D506" s="115"/>
      <c r="E506" s="115"/>
      <c r="F506" s="115"/>
      <c r="G506" s="60" t="s">
        <v>129</v>
      </c>
      <c r="H506" s="124"/>
      <c r="I506" s="124"/>
      <c r="J506" s="60"/>
      <c r="K506" s="60"/>
      <c r="L506" s="60"/>
      <c r="M506" s="60"/>
      <c r="N506" s="60">
        <f t="shared" si="115"/>
        <v>0</v>
      </c>
      <c r="O506" s="60">
        <f t="shared" si="116"/>
        <v>0</v>
      </c>
    </row>
    <row r="507" spans="1:15" s="38" customFormat="1" ht="10.7" hidden="1" customHeight="1" outlineLevel="1" x14ac:dyDescent="0.25">
      <c r="A507" s="124"/>
      <c r="B507" s="137"/>
      <c r="C507" s="115"/>
      <c r="D507" s="115"/>
      <c r="E507" s="115"/>
      <c r="F507" s="115"/>
      <c r="G507" s="60" t="s">
        <v>130</v>
      </c>
      <c r="H507" s="124"/>
      <c r="I507" s="124"/>
      <c r="J507" s="60"/>
      <c r="K507" s="60"/>
      <c r="L507" s="60"/>
      <c r="M507" s="60"/>
      <c r="N507" s="60">
        <f t="shared" si="115"/>
        <v>0</v>
      </c>
      <c r="O507" s="60">
        <f t="shared" si="116"/>
        <v>0</v>
      </c>
    </row>
    <row r="508" spans="1:15" s="38" customFormat="1" ht="12" hidden="1" customHeight="1" outlineLevel="1" thickBot="1" x14ac:dyDescent="0.3">
      <c r="A508" s="125"/>
      <c r="B508" s="138"/>
      <c r="C508" s="131"/>
      <c r="D508" s="131"/>
      <c r="E508" s="131"/>
      <c r="F508" s="131"/>
      <c r="G508" s="60" t="s">
        <v>131</v>
      </c>
      <c r="H508" s="134"/>
      <c r="I508" s="134"/>
      <c r="J508" s="60"/>
      <c r="K508" s="60"/>
      <c r="L508" s="60"/>
      <c r="M508" s="60"/>
      <c r="N508" s="60">
        <f t="shared" si="115"/>
        <v>0</v>
      </c>
      <c r="O508" s="60">
        <f t="shared" si="116"/>
        <v>0</v>
      </c>
    </row>
    <row r="509" spans="1:15" s="38" customFormat="1" ht="14.45" hidden="1" customHeight="1" outlineLevel="1" x14ac:dyDescent="0.25">
      <c r="A509" s="126" t="s">
        <v>279</v>
      </c>
      <c r="B509" s="127" t="s">
        <v>280</v>
      </c>
      <c r="C509" s="130">
        <f>SUM(N509:N515)</f>
        <v>0</v>
      </c>
      <c r="D509" s="130">
        <f>SUM(O509:O515)</f>
        <v>0</v>
      </c>
      <c r="E509" s="130">
        <f t="shared" ref="E509" si="117">D509/8</f>
        <v>0</v>
      </c>
      <c r="F509" s="130"/>
      <c r="G509" s="60" t="s">
        <v>125</v>
      </c>
      <c r="H509" s="123"/>
      <c r="I509" s="123"/>
      <c r="J509" s="60"/>
      <c r="K509" s="60"/>
      <c r="L509" s="60"/>
      <c r="M509" s="60"/>
      <c r="N509" s="60">
        <f>M509*J509*K509*L509</f>
        <v>0</v>
      </c>
      <c r="O509" s="60">
        <f>J509*K509*L509</f>
        <v>0</v>
      </c>
    </row>
    <row r="510" spans="1:15" s="38" customFormat="1" ht="11.45" hidden="1" customHeight="1" outlineLevel="1" x14ac:dyDescent="0.25">
      <c r="A510" s="124"/>
      <c r="B510" s="137"/>
      <c r="C510" s="115"/>
      <c r="D510" s="115"/>
      <c r="E510" s="115"/>
      <c r="F510" s="115"/>
      <c r="G510" s="60" t="s">
        <v>126</v>
      </c>
      <c r="H510" s="124"/>
      <c r="I510" s="124"/>
      <c r="J510" s="60"/>
      <c r="K510" s="60"/>
      <c r="L510" s="60"/>
      <c r="M510" s="60"/>
      <c r="N510" s="60">
        <f t="shared" ref="N510:N515" si="118">M510*J510*K510*L510</f>
        <v>0</v>
      </c>
      <c r="O510" s="60">
        <f t="shared" ref="O510:O515" si="119">J510*K510*L510</f>
        <v>0</v>
      </c>
    </row>
    <row r="511" spans="1:15" s="38" customFormat="1" ht="10.7" hidden="1" customHeight="1" outlineLevel="1" x14ac:dyDescent="0.25">
      <c r="A511" s="124"/>
      <c r="B511" s="137"/>
      <c r="C511" s="115"/>
      <c r="D511" s="115"/>
      <c r="E511" s="115"/>
      <c r="F511" s="115"/>
      <c r="G511" s="60" t="s">
        <v>127</v>
      </c>
      <c r="H511" s="124"/>
      <c r="I511" s="124"/>
      <c r="J511" s="60"/>
      <c r="K511" s="60"/>
      <c r="L511" s="60"/>
      <c r="M511" s="60"/>
      <c r="N511" s="60">
        <f t="shared" si="118"/>
        <v>0</v>
      </c>
      <c r="O511" s="60">
        <f t="shared" si="119"/>
        <v>0</v>
      </c>
    </row>
    <row r="512" spans="1:15" s="38" customFormat="1" ht="10.7" hidden="1" customHeight="1" outlineLevel="1" x14ac:dyDescent="0.25">
      <c r="A512" s="124"/>
      <c r="B512" s="137"/>
      <c r="C512" s="115"/>
      <c r="D512" s="115"/>
      <c r="E512" s="115"/>
      <c r="F512" s="115"/>
      <c r="G512" s="60" t="s">
        <v>128</v>
      </c>
      <c r="H512" s="124"/>
      <c r="I512" s="124"/>
      <c r="J512" s="60"/>
      <c r="K512" s="60"/>
      <c r="L512" s="60"/>
      <c r="M512" s="60"/>
      <c r="N512" s="60">
        <f t="shared" si="118"/>
        <v>0</v>
      </c>
      <c r="O512" s="60">
        <f t="shared" si="119"/>
        <v>0</v>
      </c>
    </row>
    <row r="513" spans="1:15" s="38" customFormat="1" ht="10.7" hidden="1" customHeight="1" outlineLevel="1" x14ac:dyDescent="0.25">
      <c r="A513" s="124"/>
      <c r="B513" s="137"/>
      <c r="C513" s="115"/>
      <c r="D513" s="115"/>
      <c r="E513" s="115"/>
      <c r="F513" s="115"/>
      <c r="G513" s="60" t="s">
        <v>129</v>
      </c>
      <c r="H513" s="124"/>
      <c r="I513" s="124"/>
      <c r="J513" s="60"/>
      <c r="K513" s="60"/>
      <c r="L513" s="60"/>
      <c r="M513" s="60"/>
      <c r="N513" s="60">
        <f t="shared" si="118"/>
        <v>0</v>
      </c>
      <c r="O513" s="60">
        <f t="shared" si="119"/>
        <v>0</v>
      </c>
    </row>
    <row r="514" spans="1:15" s="38" customFormat="1" ht="10.7" hidden="1" customHeight="1" outlineLevel="1" x14ac:dyDescent="0.25">
      <c r="A514" s="124"/>
      <c r="B514" s="137"/>
      <c r="C514" s="115"/>
      <c r="D514" s="115"/>
      <c r="E514" s="115"/>
      <c r="F514" s="115"/>
      <c r="G514" s="60" t="s">
        <v>130</v>
      </c>
      <c r="H514" s="124"/>
      <c r="I514" s="124"/>
      <c r="J514" s="60"/>
      <c r="K514" s="60"/>
      <c r="L514" s="60"/>
      <c r="M514" s="60"/>
      <c r="N514" s="60">
        <f t="shared" si="118"/>
        <v>0</v>
      </c>
      <c r="O514" s="60">
        <f t="shared" si="119"/>
        <v>0</v>
      </c>
    </row>
    <row r="515" spans="1:15" s="38" customFormat="1" ht="12" hidden="1" customHeight="1" outlineLevel="1" thickBot="1" x14ac:dyDescent="0.3">
      <c r="A515" s="125"/>
      <c r="B515" s="138"/>
      <c r="C515" s="131"/>
      <c r="D515" s="131"/>
      <c r="E515" s="131"/>
      <c r="F515" s="131"/>
      <c r="G515" s="60" t="s">
        <v>131</v>
      </c>
      <c r="H515" s="134"/>
      <c r="I515" s="134"/>
      <c r="J515" s="60"/>
      <c r="K515" s="60"/>
      <c r="L515" s="60"/>
      <c r="M515" s="60"/>
      <c r="N515" s="60">
        <f t="shared" si="118"/>
        <v>0</v>
      </c>
      <c r="O515" s="60">
        <f t="shared" si="119"/>
        <v>0</v>
      </c>
    </row>
    <row r="516" spans="1:15" s="38" customFormat="1" ht="14.45" hidden="1" customHeight="1" outlineLevel="1" x14ac:dyDescent="0.25">
      <c r="A516" s="126" t="s">
        <v>281</v>
      </c>
      <c r="B516" s="127" t="s">
        <v>282</v>
      </c>
      <c r="C516" s="130">
        <f>SUM(N516:N522)</f>
        <v>0</v>
      </c>
      <c r="D516" s="130">
        <f>SUM(O516:O522)</f>
        <v>0</v>
      </c>
      <c r="E516" s="130">
        <f t="shared" si="98"/>
        <v>0</v>
      </c>
      <c r="F516" s="130"/>
      <c r="G516" s="60" t="s">
        <v>125</v>
      </c>
      <c r="H516" s="123"/>
      <c r="I516" s="123"/>
      <c r="J516" s="60"/>
      <c r="K516" s="60"/>
      <c r="L516" s="60"/>
      <c r="M516" s="60"/>
      <c r="N516" s="60">
        <f>M516*J516*K516*L516</f>
        <v>0</v>
      </c>
      <c r="O516" s="60">
        <f>J516*K516*L516</f>
        <v>0</v>
      </c>
    </row>
    <row r="517" spans="1:15" s="38" customFormat="1" ht="11.45" hidden="1" customHeight="1" outlineLevel="1" x14ac:dyDescent="0.25">
      <c r="A517" s="124"/>
      <c r="B517" s="137"/>
      <c r="C517" s="115"/>
      <c r="D517" s="115"/>
      <c r="E517" s="115"/>
      <c r="F517" s="115"/>
      <c r="G517" s="60" t="s">
        <v>126</v>
      </c>
      <c r="H517" s="124"/>
      <c r="I517" s="124"/>
      <c r="J517" s="60"/>
      <c r="K517" s="60"/>
      <c r="L517" s="60"/>
      <c r="M517" s="60"/>
      <c r="N517" s="60">
        <f t="shared" ref="N517:N522" si="120">M517*J517*K517*L517</f>
        <v>0</v>
      </c>
      <c r="O517" s="60">
        <f t="shared" ref="O517:O522" si="121">J517*K517*L517</f>
        <v>0</v>
      </c>
    </row>
    <row r="518" spans="1:15" s="38" customFormat="1" ht="10.7" hidden="1" customHeight="1" outlineLevel="1" x14ac:dyDescent="0.25">
      <c r="A518" s="124"/>
      <c r="B518" s="137"/>
      <c r="C518" s="115"/>
      <c r="D518" s="115"/>
      <c r="E518" s="115"/>
      <c r="F518" s="115"/>
      <c r="G518" s="60" t="s">
        <v>127</v>
      </c>
      <c r="H518" s="124"/>
      <c r="I518" s="124"/>
      <c r="J518" s="60"/>
      <c r="K518" s="60"/>
      <c r="L518" s="60"/>
      <c r="M518" s="60"/>
      <c r="N518" s="60">
        <f t="shared" si="120"/>
        <v>0</v>
      </c>
      <c r="O518" s="60">
        <f t="shared" si="121"/>
        <v>0</v>
      </c>
    </row>
    <row r="519" spans="1:15" s="38" customFormat="1" ht="10.7" hidden="1" customHeight="1" outlineLevel="1" x14ac:dyDescent="0.25">
      <c r="A519" s="124"/>
      <c r="B519" s="137"/>
      <c r="C519" s="115"/>
      <c r="D519" s="115"/>
      <c r="E519" s="115"/>
      <c r="F519" s="115"/>
      <c r="G519" s="60" t="s">
        <v>128</v>
      </c>
      <c r="H519" s="124"/>
      <c r="I519" s="124"/>
      <c r="J519" s="60"/>
      <c r="K519" s="60"/>
      <c r="L519" s="60"/>
      <c r="M519" s="60"/>
      <c r="N519" s="60">
        <f t="shared" si="120"/>
        <v>0</v>
      </c>
      <c r="O519" s="60">
        <f t="shared" si="121"/>
        <v>0</v>
      </c>
    </row>
    <row r="520" spans="1:15" s="38" customFormat="1" ht="10.7" hidden="1" customHeight="1" outlineLevel="1" x14ac:dyDescent="0.25">
      <c r="A520" s="124"/>
      <c r="B520" s="137"/>
      <c r="C520" s="115"/>
      <c r="D520" s="115"/>
      <c r="E520" s="115"/>
      <c r="F520" s="115"/>
      <c r="G520" s="60" t="s">
        <v>129</v>
      </c>
      <c r="H520" s="124"/>
      <c r="I520" s="124"/>
      <c r="J520" s="60"/>
      <c r="K520" s="60"/>
      <c r="L520" s="60"/>
      <c r="M520" s="60"/>
      <c r="N520" s="60">
        <f t="shared" si="120"/>
        <v>0</v>
      </c>
      <c r="O520" s="60">
        <f t="shared" si="121"/>
        <v>0</v>
      </c>
    </row>
    <row r="521" spans="1:15" s="38" customFormat="1" ht="10.7" hidden="1" customHeight="1" outlineLevel="1" x14ac:dyDescent="0.25">
      <c r="A521" s="124"/>
      <c r="B521" s="137"/>
      <c r="C521" s="115"/>
      <c r="D521" s="115"/>
      <c r="E521" s="115"/>
      <c r="F521" s="115"/>
      <c r="G521" s="60" t="s">
        <v>130</v>
      </c>
      <c r="H521" s="124"/>
      <c r="I521" s="124"/>
      <c r="J521" s="60"/>
      <c r="K521" s="60"/>
      <c r="L521" s="60"/>
      <c r="M521" s="60"/>
      <c r="N521" s="60">
        <f t="shared" si="120"/>
        <v>0</v>
      </c>
      <c r="O521" s="60">
        <f t="shared" si="121"/>
        <v>0</v>
      </c>
    </row>
    <row r="522" spans="1:15" s="38" customFormat="1" ht="12" hidden="1" customHeight="1" outlineLevel="1" thickBot="1" x14ac:dyDescent="0.3">
      <c r="A522" s="125"/>
      <c r="B522" s="138"/>
      <c r="C522" s="131"/>
      <c r="D522" s="131"/>
      <c r="E522" s="131"/>
      <c r="F522" s="131"/>
      <c r="G522" s="60" t="s">
        <v>131</v>
      </c>
      <c r="H522" s="134"/>
      <c r="I522" s="134"/>
      <c r="J522" s="60"/>
      <c r="K522" s="60"/>
      <c r="L522" s="60"/>
      <c r="M522" s="60"/>
      <c r="N522" s="60">
        <f t="shared" si="120"/>
        <v>0</v>
      </c>
      <c r="O522" s="60">
        <f t="shared" si="121"/>
        <v>0</v>
      </c>
    </row>
    <row r="523" spans="1:15" s="38" customFormat="1" ht="14.45" hidden="1" customHeight="1" outlineLevel="1" x14ac:dyDescent="0.25">
      <c r="A523" s="126" t="s">
        <v>283</v>
      </c>
      <c r="B523" s="127" t="s">
        <v>284</v>
      </c>
      <c r="C523" s="130">
        <f>SUM(N523:N529)</f>
        <v>0</v>
      </c>
      <c r="D523" s="130">
        <f>SUM(O523:O529)</f>
        <v>0</v>
      </c>
      <c r="E523" s="130">
        <f t="shared" si="98"/>
        <v>0</v>
      </c>
      <c r="F523" s="130"/>
      <c r="G523" s="60" t="s">
        <v>125</v>
      </c>
      <c r="H523" s="123"/>
      <c r="I523" s="123"/>
      <c r="J523" s="60"/>
      <c r="K523" s="60"/>
      <c r="L523" s="60"/>
      <c r="M523" s="60"/>
      <c r="N523" s="60">
        <f>M523*J523*K523*L523</f>
        <v>0</v>
      </c>
      <c r="O523" s="60">
        <f>J523*K523*L523</f>
        <v>0</v>
      </c>
    </row>
    <row r="524" spans="1:15" s="38" customFormat="1" ht="11.45" hidden="1" customHeight="1" outlineLevel="1" x14ac:dyDescent="0.25">
      <c r="A524" s="124"/>
      <c r="B524" s="137"/>
      <c r="C524" s="115"/>
      <c r="D524" s="115"/>
      <c r="E524" s="115"/>
      <c r="F524" s="115"/>
      <c r="G524" s="60" t="s">
        <v>126</v>
      </c>
      <c r="H524" s="124"/>
      <c r="I524" s="124"/>
      <c r="J524" s="60"/>
      <c r="K524" s="60"/>
      <c r="L524" s="60"/>
      <c r="M524" s="60"/>
      <c r="N524" s="60">
        <f t="shared" ref="N524:N529" si="122">M524*J524*K524*L524</f>
        <v>0</v>
      </c>
      <c r="O524" s="60">
        <f t="shared" ref="O524:O529" si="123">J524*K524*L524</f>
        <v>0</v>
      </c>
    </row>
    <row r="525" spans="1:15" s="38" customFormat="1" ht="10.7" hidden="1" customHeight="1" outlineLevel="1" x14ac:dyDescent="0.25">
      <c r="A525" s="124"/>
      <c r="B525" s="137"/>
      <c r="C525" s="115"/>
      <c r="D525" s="115"/>
      <c r="E525" s="115"/>
      <c r="F525" s="115"/>
      <c r="G525" s="60" t="s">
        <v>127</v>
      </c>
      <c r="H525" s="124"/>
      <c r="I525" s="124"/>
      <c r="J525" s="60"/>
      <c r="K525" s="60"/>
      <c r="L525" s="60"/>
      <c r="M525" s="60"/>
      <c r="N525" s="60">
        <f t="shared" si="122"/>
        <v>0</v>
      </c>
      <c r="O525" s="60">
        <f t="shared" si="123"/>
        <v>0</v>
      </c>
    </row>
    <row r="526" spans="1:15" s="38" customFormat="1" ht="10.7" hidden="1" customHeight="1" outlineLevel="1" x14ac:dyDescent="0.25">
      <c r="A526" s="124"/>
      <c r="B526" s="137"/>
      <c r="C526" s="115"/>
      <c r="D526" s="115"/>
      <c r="E526" s="115"/>
      <c r="F526" s="115"/>
      <c r="G526" s="60" t="s">
        <v>128</v>
      </c>
      <c r="H526" s="124"/>
      <c r="I526" s="124"/>
      <c r="J526" s="60"/>
      <c r="K526" s="60"/>
      <c r="L526" s="60"/>
      <c r="M526" s="60"/>
      <c r="N526" s="60">
        <f t="shared" si="122"/>
        <v>0</v>
      </c>
      <c r="O526" s="60">
        <f t="shared" si="123"/>
        <v>0</v>
      </c>
    </row>
    <row r="527" spans="1:15" s="38" customFormat="1" ht="10.7" hidden="1" customHeight="1" outlineLevel="1" x14ac:dyDescent="0.25">
      <c r="A527" s="124"/>
      <c r="B527" s="137"/>
      <c r="C527" s="115"/>
      <c r="D527" s="115"/>
      <c r="E527" s="115"/>
      <c r="F527" s="115"/>
      <c r="G527" s="60" t="s">
        <v>129</v>
      </c>
      <c r="H527" s="124"/>
      <c r="I527" s="124"/>
      <c r="J527" s="60"/>
      <c r="K527" s="60"/>
      <c r="L527" s="60"/>
      <c r="M527" s="60"/>
      <c r="N527" s="60">
        <f t="shared" si="122"/>
        <v>0</v>
      </c>
      <c r="O527" s="60">
        <f t="shared" si="123"/>
        <v>0</v>
      </c>
    </row>
    <row r="528" spans="1:15" s="38" customFormat="1" ht="10.7" hidden="1" customHeight="1" outlineLevel="1" x14ac:dyDescent="0.25">
      <c r="A528" s="124"/>
      <c r="B528" s="137"/>
      <c r="C528" s="115"/>
      <c r="D528" s="115"/>
      <c r="E528" s="115"/>
      <c r="F528" s="115"/>
      <c r="G528" s="60" t="s">
        <v>130</v>
      </c>
      <c r="H528" s="124"/>
      <c r="I528" s="124"/>
      <c r="J528" s="60"/>
      <c r="K528" s="60"/>
      <c r="L528" s="60"/>
      <c r="M528" s="60"/>
      <c r="N528" s="60">
        <f t="shared" si="122"/>
        <v>0</v>
      </c>
      <c r="O528" s="60">
        <f t="shared" si="123"/>
        <v>0</v>
      </c>
    </row>
    <row r="529" spans="1:15" s="38" customFormat="1" ht="12" hidden="1" customHeight="1" outlineLevel="1" thickBot="1" x14ac:dyDescent="0.3">
      <c r="A529" s="125"/>
      <c r="B529" s="138"/>
      <c r="C529" s="131"/>
      <c r="D529" s="131"/>
      <c r="E529" s="131"/>
      <c r="F529" s="131"/>
      <c r="G529" s="60" t="s">
        <v>131</v>
      </c>
      <c r="H529" s="134"/>
      <c r="I529" s="134"/>
      <c r="J529" s="60"/>
      <c r="K529" s="60"/>
      <c r="L529" s="60"/>
      <c r="M529" s="60"/>
      <c r="N529" s="60">
        <f t="shared" si="122"/>
        <v>0</v>
      </c>
      <c r="O529" s="60">
        <f t="shared" si="123"/>
        <v>0</v>
      </c>
    </row>
    <row r="530" spans="1:15" s="38" customFormat="1" ht="14.45" hidden="1" customHeight="1" outlineLevel="1" x14ac:dyDescent="0.25">
      <c r="A530" s="126" t="s">
        <v>285</v>
      </c>
      <c r="B530" s="127" t="s">
        <v>286</v>
      </c>
      <c r="C530" s="130">
        <f>SUM(N530:N536)</f>
        <v>0</v>
      </c>
      <c r="D530" s="130">
        <f>SUM(O530:O536)</f>
        <v>0</v>
      </c>
      <c r="E530" s="130">
        <f t="shared" si="98"/>
        <v>0</v>
      </c>
      <c r="F530" s="130"/>
      <c r="G530" s="60" t="s">
        <v>125</v>
      </c>
      <c r="H530" s="123"/>
      <c r="I530" s="123"/>
      <c r="J530" s="60"/>
      <c r="K530" s="60"/>
      <c r="L530" s="60"/>
      <c r="M530" s="60"/>
      <c r="N530" s="60">
        <f>M530*J530*K530*L530</f>
        <v>0</v>
      </c>
      <c r="O530" s="60">
        <f>J530*K530*L530</f>
        <v>0</v>
      </c>
    </row>
    <row r="531" spans="1:15" s="38" customFormat="1" ht="11.45" hidden="1" customHeight="1" outlineLevel="1" x14ac:dyDescent="0.25">
      <c r="A531" s="124"/>
      <c r="B531" s="137"/>
      <c r="C531" s="115"/>
      <c r="D531" s="115"/>
      <c r="E531" s="115"/>
      <c r="F531" s="115"/>
      <c r="G531" s="60" t="s">
        <v>126</v>
      </c>
      <c r="H531" s="124"/>
      <c r="I531" s="124"/>
      <c r="J531" s="60"/>
      <c r="K531" s="60"/>
      <c r="L531" s="60"/>
      <c r="M531" s="60"/>
      <c r="N531" s="60">
        <f t="shared" ref="N531:N536" si="124">M531*J531*K531*L531</f>
        <v>0</v>
      </c>
      <c r="O531" s="60">
        <f t="shared" ref="O531:O536" si="125">J531*K531*L531</f>
        <v>0</v>
      </c>
    </row>
    <row r="532" spans="1:15" s="38" customFormat="1" ht="10.7" hidden="1" customHeight="1" outlineLevel="1" x14ac:dyDescent="0.25">
      <c r="A532" s="124"/>
      <c r="B532" s="137"/>
      <c r="C532" s="115"/>
      <c r="D532" s="115"/>
      <c r="E532" s="115"/>
      <c r="F532" s="115"/>
      <c r="G532" s="60" t="s">
        <v>127</v>
      </c>
      <c r="H532" s="124"/>
      <c r="I532" s="124"/>
      <c r="J532" s="60"/>
      <c r="K532" s="60"/>
      <c r="L532" s="60"/>
      <c r="M532" s="60"/>
      <c r="N532" s="60">
        <f t="shared" si="124"/>
        <v>0</v>
      </c>
      <c r="O532" s="60">
        <f t="shared" si="125"/>
        <v>0</v>
      </c>
    </row>
    <row r="533" spans="1:15" s="38" customFormat="1" ht="10.7" hidden="1" customHeight="1" outlineLevel="1" x14ac:dyDescent="0.25">
      <c r="A533" s="124"/>
      <c r="B533" s="137"/>
      <c r="C533" s="115"/>
      <c r="D533" s="115"/>
      <c r="E533" s="115"/>
      <c r="F533" s="115"/>
      <c r="G533" s="60" t="s">
        <v>128</v>
      </c>
      <c r="H533" s="124"/>
      <c r="I533" s="124"/>
      <c r="J533" s="60"/>
      <c r="K533" s="60"/>
      <c r="L533" s="60"/>
      <c r="M533" s="60"/>
      <c r="N533" s="60">
        <f t="shared" si="124"/>
        <v>0</v>
      </c>
      <c r="O533" s="60">
        <f t="shared" si="125"/>
        <v>0</v>
      </c>
    </row>
    <row r="534" spans="1:15" s="38" customFormat="1" ht="10.7" hidden="1" customHeight="1" outlineLevel="1" x14ac:dyDescent="0.25">
      <c r="A534" s="124"/>
      <c r="B534" s="137"/>
      <c r="C534" s="115"/>
      <c r="D534" s="115"/>
      <c r="E534" s="115"/>
      <c r="F534" s="115"/>
      <c r="G534" s="60" t="s">
        <v>129</v>
      </c>
      <c r="H534" s="124"/>
      <c r="I534" s="124"/>
      <c r="J534" s="60"/>
      <c r="K534" s="60"/>
      <c r="L534" s="60"/>
      <c r="M534" s="60"/>
      <c r="N534" s="60">
        <f t="shared" si="124"/>
        <v>0</v>
      </c>
      <c r="O534" s="60">
        <f t="shared" si="125"/>
        <v>0</v>
      </c>
    </row>
    <row r="535" spans="1:15" s="38" customFormat="1" ht="10.7" hidden="1" customHeight="1" outlineLevel="1" x14ac:dyDescent="0.25">
      <c r="A535" s="124"/>
      <c r="B535" s="137"/>
      <c r="C535" s="115"/>
      <c r="D535" s="115"/>
      <c r="E535" s="115"/>
      <c r="F535" s="115"/>
      <c r="G535" s="60" t="s">
        <v>130</v>
      </c>
      <c r="H535" s="124"/>
      <c r="I535" s="124"/>
      <c r="J535" s="60"/>
      <c r="K535" s="60"/>
      <c r="L535" s="60"/>
      <c r="M535" s="60"/>
      <c r="N535" s="60">
        <f t="shared" si="124"/>
        <v>0</v>
      </c>
      <c r="O535" s="60">
        <f t="shared" si="125"/>
        <v>0</v>
      </c>
    </row>
    <row r="536" spans="1:15" s="38" customFormat="1" ht="12" hidden="1" customHeight="1" outlineLevel="1" thickBot="1" x14ac:dyDescent="0.3">
      <c r="A536" s="125"/>
      <c r="B536" s="138"/>
      <c r="C536" s="131"/>
      <c r="D536" s="131"/>
      <c r="E536" s="131"/>
      <c r="F536" s="131"/>
      <c r="G536" s="60" t="s">
        <v>131</v>
      </c>
      <c r="H536" s="134"/>
      <c r="I536" s="134"/>
      <c r="J536" s="60"/>
      <c r="K536" s="60"/>
      <c r="L536" s="60"/>
      <c r="M536" s="60"/>
      <c r="N536" s="60">
        <f t="shared" si="124"/>
        <v>0</v>
      </c>
      <c r="O536" s="60">
        <f t="shared" si="125"/>
        <v>0</v>
      </c>
    </row>
    <row r="537" spans="1:15" s="38" customFormat="1" ht="14.45" hidden="1" customHeight="1" outlineLevel="1" x14ac:dyDescent="0.25">
      <c r="A537" s="126" t="s">
        <v>287</v>
      </c>
      <c r="B537" s="127" t="s">
        <v>288</v>
      </c>
      <c r="C537" s="130">
        <f>SUM(N537:N543)</f>
        <v>0</v>
      </c>
      <c r="D537" s="130">
        <f>SUM(O537:O543)</f>
        <v>0</v>
      </c>
      <c r="E537" s="130">
        <f t="shared" ref="E537:E593" si="126">D537/8</f>
        <v>0</v>
      </c>
      <c r="F537" s="130"/>
      <c r="G537" s="60" t="s">
        <v>125</v>
      </c>
      <c r="H537" s="123"/>
      <c r="I537" s="123"/>
      <c r="J537" s="60"/>
      <c r="K537" s="60"/>
      <c r="L537" s="60"/>
      <c r="M537" s="60"/>
      <c r="N537" s="60">
        <f>M537*J537*K537*L537</f>
        <v>0</v>
      </c>
      <c r="O537" s="60">
        <f>J537*K537*L537</f>
        <v>0</v>
      </c>
    </row>
    <row r="538" spans="1:15" s="38" customFormat="1" ht="11.45" hidden="1" customHeight="1" outlineLevel="1" x14ac:dyDescent="0.25">
      <c r="A538" s="124"/>
      <c r="B538" s="137"/>
      <c r="C538" s="115"/>
      <c r="D538" s="115"/>
      <c r="E538" s="115"/>
      <c r="F538" s="115"/>
      <c r="G538" s="60" t="s">
        <v>126</v>
      </c>
      <c r="H538" s="124"/>
      <c r="I538" s="124"/>
      <c r="J538" s="60"/>
      <c r="K538" s="60"/>
      <c r="L538" s="60"/>
      <c r="M538" s="60"/>
      <c r="N538" s="60">
        <f t="shared" ref="N538:N543" si="127">M538*J538*K538*L538</f>
        <v>0</v>
      </c>
      <c r="O538" s="60">
        <f t="shared" ref="O538:O543" si="128">J538*K538*L538</f>
        <v>0</v>
      </c>
    </row>
    <row r="539" spans="1:15" s="38" customFormat="1" ht="10.7" hidden="1" customHeight="1" outlineLevel="1" x14ac:dyDescent="0.25">
      <c r="A539" s="124"/>
      <c r="B539" s="137"/>
      <c r="C539" s="115"/>
      <c r="D539" s="115"/>
      <c r="E539" s="115"/>
      <c r="F539" s="115"/>
      <c r="G539" s="60" t="s">
        <v>127</v>
      </c>
      <c r="H539" s="124"/>
      <c r="I539" s="124"/>
      <c r="J539" s="60"/>
      <c r="K539" s="60"/>
      <c r="L539" s="60"/>
      <c r="M539" s="60"/>
      <c r="N539" s="60">
        <f t="shared" si="127"/>
        <v>0</v>
      </c>
      <c r="O539" s="60">
        <f t="shared" si="128"/>
        <v>0</v>
      </c>
    </row>
    <row r="540" spans="1:15" s="38" customFormat="1" ht="10.7" hidden="1" customHeight="1" outlineLevel="1" x14ac:dyDescent="0.25">
      <c r="A540" s="124"/>
      <c r="B540" s="137"/>
      <c r="C540" s="115"/>
      <c r="D540" s="115"/>
      <c r="E540" s="115"/>
      <c r="F540" s="115"/>
      <c r="G540" s="60" t="s">
        <v>128</v>
      </c>
      <c r="H540" s="124"/>
      <c r="I540" s="124"/>
      <c r="J540" s="60"/>
      <c r="K540" s="60"/>
      <c r="L540" s="60"/>
      <c r="M540" s="60"/>
      <c r="N540" s="60">
        <f t="shared" si="127"/>
        <v>0</v>
      </c>
      <c r="O540" s="60">
        <f t="shared" si="128"/>
        <v>0</v>
      </c>
    </row>
    <row r="541" spans="1:15" s="38" customFormat="1" ht="10.7" hidden="1" customHeight="1" outlineLevel="1" x14ac:dyDescent="0.25">
      <c r="A541" s="124"/>
      <c r="B541" s="137"/>
      <c r="C541" s="115"/>
      <c r="D541" s="115"/>
      <c r="E541" s="115"/>
      <c r="F541" s="115"/>
      <c r="G541" s="60" t="s">
        <v>129</v>
      </c>
      <c r="H541" s="124"/>
      <c r="I541" s="124"/>
      <c r="J541" s="60"/>
      <c r="K541" s="60"/>
      <c r="L541" s="60"/>
      <c r="M541" s="60"/>
      <c r="N541" s="60">
        <f t="shared" si="127"/>
        <v>0</v>
      </c>
      <c r="O541" s="60">
        <f t="shared" si="128"/>
        <v>0</v>
      </c>
    </row>
    <row r="542" spans="1:15" s="38" customFormat="1" ht="10.7" hidden="1" customHeight="1" outlineLevel="1" x14ac:dyDescent="0.25">
      <c r="A542" s="124"/>
      <c r="B542" s="137"/>
      <c r="C542" s="115"/>
      <c r="D542" s="115"/>
      <c r="E542" s="115"/>
      <c r="F542" s="115"/>
      <c r="G542" s="60" t="s">
        <v>130</v>
      </c>
      <c r="H542" s="124"/>
      <c r="I542" s="124"/>
      <c r="J542" s="60"/>
      <c r="K542" s="60"/>
      <c r="L542" s="60"/>
      <c r="M542" s="60"/>
      <c r="N542" s="60">
        <f t="shared" si="127"/>
        <v>0</v>
      </c>
      <c r="O542" s="60">
        <f t="shared" si="128"/>
        <v>0</v>
      </c>
    </row>
    <row r="543" spans="1:15" s="38" customFormat="1" ht="12" hidden="1" customHeight="1" outlineLevel="1" thickBot="1" x14ac:dyDescent="0.3">
      <c r="A543" s="125"/>
      <c r="B543" s="138"/>
      <c r="C543" s="131"/>
      <c r="D543" s="131"/>
      <c r="E543" s="131"/>
      <c r="F543" s="131"/>
      <c r="G543" s="60" t="s">
        <v>131</v>
      </c>
      <c r="H543" s="134"/>
      <c r="I543" s="134"/>
      <c r="J543" s="60"/>
      <c r="K543" s="60"/>
      <c r="L543" s="60"/>
      <c r="M543" s="60"/>
      <c r="N543" s="60">
        <f t="shared" si="127"/>
        <v>0</v>
      </c>
      <c r="O543" s="60">
        <f t="shared" si="128"/>
        <v>0</v>
      </c>
    </row>
    <row r="544" spans="1:15" s="38" customFormat="1" ht="14.45" hidden="1" customHeight="1" outlineLevel="1" x14ac:dyDescent="0.25">
      <c r="A544" s="126" t="s">
        <v>289</v>
      </c>
      <c r="B544" s="127" t="s">
        <v>290</v>
      </c>
      <c r="C544" s="130">
        <f>SUM(N544:N550)</f>
        <v>0</v>
      </c>
      <c r="D544" s="130">
        <f>SUM(O544:O550)</f>
        <v>0</v>
      </c>
      <c r="E544" s="130">
        <f t="shared" si="126"/>
        <v>0</v>
      </c>
      <c r="F544" s="130"/>
      <c r="G544" s="60" t="s">
        <v>125</v>
      </c>
      <c r="H544" s="123"/>
      <c r="I544" s="123"/>
      <c r="J544" s="60"/>
      <c r="K544" s="60"/>
      <c r="L544" s="60"/>
      <c r="M544" s="60"/>
      <c r="N544" s="60">
        <f>M544*J544*K544*L544</f>
        <v>0</v>
      </c>
      <c r="O544" s="60">
        <f>J544*K544*L544</f>
        <v>0</v>
      </c>
    </row>
    <row r="545" spans="1:15" s="38" customFormat="1" ht="11.45" hidden="1" customHeight="1" outlineLevel="1" x14ac:dyDescent="0.25">
      <c r="A545" s="124"/>
      <c r="B545" s="137"/>
      <c r="C545" s="115"/>
      <c r="D545" s="115"/>
      <c r="E545" s="115"/>
      <c r="F545" s="115"/>
      <c r="G545" s="60" t="s">
        <v>126</v>
      </c>
      <c r="H545" s="124"/>
      <c r="I545" s="124"/>
      <c r="J545" s="60"/>
      <c r="K545" s="60"/>
      <c r="L545" s="60"/>
      <c r="M545" s="60"/>
      <c r="N545" s="60">
        <f t="shared" ref="N545:N550" si="129">M545*J545*K545*L545</f>
        <v>0</v>
      </c>
      <c r="O545" s="60">
        <f t="shared" ref="O545:O550" si="130">J545*K545*L545</f>
        <v>0</v>
      </c>
    </row>
    <row r="546" spans="1:15" s="38" customFormat="1" ht="10.7" hidden="1" customHeight="1" outlineLevel="1" x14ac:dyDescent="0.25">
      <c r="A546" s="124"/>
      <c r="B546" s="137"/>
      <c r="C546" s="115"/>
      <c r="D546" s="115"/>
      <c r="E546" s="115"/>
      <c r="F546" s="115"/>
      <c r="G546" s="60" t="s">
        <v>127</v>
      </c>
      <c r="H546" s="124"/>
      <c r="I546" s="124"/>
      <c r="J546" s="60"/>
      <c r="K546" s="60"/>
      <c r="L546" s="60"/>
      <c r="M546" s="60"/>
      <c r="N546" s="60">
        <f t="shared" si="129"/>
        <v>0</v>
      </c>
      <c r="O546" s="60">
        <f t="shared" si="130"/>
        <v>0</v>
      </c>
    </row>
    <row r="547" spans="1:15" s="38" customFormat="1" ht="10.7" hidden="1" customHeight="1" outlineLevel="1" x14ac:dyDescent="0.25">
      <c r="A547" s="124"/>
      <c r="B547" s="137"/>
      <c r="C547" s="115"/>
      <c r="D547" s="115"/>
      <c r="E547" s="115"/>
      <c r="F547" s="115"/>
      <c r="G547" s="60" t="s">
        <v>128</v>
      </c>
      <c r="H547" s="124"/>
      <c r="I547" s="124"/>
      <c r="J547" s="60"/>
      <c r="K547" s="60"/>
      <c r="L547" s="60"/>
      <c r="M547" s="60"/>
      <c r="N547" s="60">
        <f t="shared" si="129"/>
        <v>0</v>
      </c>
      <c r="O547" s="60">
        <f t="shared" si="130"/>
        <v>0</v>
      </c>
    </row>
    <row r="548" spans="1:15" s="38" customFormat="1" ht="10.7" hidden="1" customHeight="1" outlineLevel="1" x14ac:dyDescent="0.25">
      <c r="A548" s="124"/>
      <c r="B548" s="137"/>
      <c r="C548" s="115"/>
      <c r="D548" s="115"/>
      <c r="E548" s="115"/>
      <c r="F548" s="115"/>
      <c r="G548" s="60" t="s">
        <v>129</v>
      </c>
      <c r="H548" s="124"/>
      <c r="I548" s="124"/>
      <c r="J548" s="60"/>
      <c r="K548" s="60"/>
      <c r="L548" s="60"/>
      <c r="M548" s="60"/>
      <c r="N548" s="60">
        <f t="shared" si="129"/>
        <v>0</v>
      </c>
      <c r="O548" s="60">
        <f t="shared" si="130"/>
        <v>0</v>
      </c>
    </row>
    <row r="549" spans="1:15" s="38" customFormat="1" ht="10.7" hidden="1" customHeight="1" outlineLevel="1" x14ac:dyDescent="0.25">
      <c r="A549" s="124"/>
      <c r="B549" s="137"/>
      <c r="C549" s="115"/>
      <c r="D549" s="115"/>
      <c r="E549" s="115"/>
      <c r="F549" s="115"/>
      <c r="G549" s="60" t="s">
        <v>130</v>
      </c>
      <c r="H549" s="124"/>
      <c r="I549" s="124"/>
      <c r="J549" s="60"/>
      <c r="K549" s="60"/>
      <c r="L549" s="60"/>
      <c r="M549" s="60"/>
      <c r="N549" s="60">
        <f t="shared" si="129"/>
        <v>0</v>
      </c>
      <c r="O549" s="60">
        <f t="shared" si="130"/>
        <v>0</v>
      </c>
    </row>
    <row r="550" spans="1:15" s="38" customFormat="1" ht="12" hidden="1" customHeight="1" outlineLevel="1" thickBot="1" x14ac:dyDescent="0.3">
      <c r="A550" s="125"/>
      <c r="B550" s="138"/>
      <c r="C550" s="131"/>
      <c r="D550" s="131"/>
      <c r="E550" s="131"/>
      <c r="F550" s="131"/>
      <c r="G550" s="60" t="s">
        <v>131</v>
      </c>
      <c r="H550" s="134"/>
      <c r="I550" s="134"/>
      <c r="J550" s="60"/>
      <c r="K550" s="60"/>
      <c r="L550" s="60"/>
      <c r="M550" s="60"/>
      <c r="N550" s="60">
        <f t="shared" si="129"/>
        <v>0</v>
      </c>
      <c r="O550" s="60">
        <f t="shared" si="130"/>
        <v>0</v>
      </c>
    </row>
    <row r="551" spans="1:15" s="38" customFormat="1" ht="14.45" hidden="1" customHeight="1" outlineLevel="1" x14ac:dyDescent="0.25">
      <c r="A551" s="126" t="s">
        <v>291</v>
      </c>
      <c r="B551" s="127" t="s">
        <v>292</v>
      </c>
      <c r="C551" s="130">
        <f>SUM(N551:N557)</f>
        <v>0</v>
      </c>
      <c r="D551" s="130">
        <f>SUM(O551:O557)</f>
        <v>0</v>
      </c>
      <c r="E551" s="130">
        <f t="shared" si="126"/>
        <v>0</v>
      </c>
      <c r="F551" s="130"/>
      <c r="G551" s="60" t="s">
        <v>125</v>
      </c>
      <c r="H551" s="123"/>
      <c r="I551" s="123"/>
      <c r="J551" s="60"/>
      <c r="K551" s="60"/>
      <c r="L551" s="60"/>
      <c r="M551" s="60"/>
      <c r="N551" s="60">
        <f>M551*J551*K551*L551</f>
        <v>0</v>
      </c>
      <c r="O551" s="60">
        <f>J551*K551*L551</f>
        <v>0</v>
      </c>
    </row>
    <row r="552" spans="1:15" s="38" customFormat="1" ht="11.45" hidden="1" customHeight="1" outlineLevel="1" x14ac:dyDescent="0.25">
      <c r="A552" s="124"/>
      <c r="B552" s="137"/>
      <c r="C552" s="115"/>
      <c r="D552" s="115"/>
      <c r="E552" s="115"/>
      <c r="F552" s="115"/>
      <c r="G552" s="60" t="s">
        <v>126</v>
      </c>
      <c r="H552" s="124"/>
      <c r="I552" s="124"/>
      <c r="J552" s="60"/>
      <c r="K552" s="60"/>
      <c r="L552" s="60"/>
      <c r="M552" s="60"/>
      <c r="N552" s="60">
        <f t="shared" ref="N552:N557" si="131">M552*J552*K552*L552</f>
        <v>0</v>
      </c>
      <c r="O552" s="60">
        <f t="shared" ref="O552:O557" si="132">J552*K552*L552</f>
        <v>0</v>
      </c>
    </row>
    <row r="553" spans="1:15" s="38" customFormat="1" ht="10.7" hidden="1" customHeight="1" outlineLevel="1" x14ac:dyDescent="0.25">
      <c r="A553" s="124"/>
      <c r="B553" s="137"/>
      <c r="C553" s="115"/>
      <c r="D553" s="115"/>
      <c r="E553" s="115"/>
      <c r="F553" s="115"/>
      <c r="G553" s="60" t="s">
        <v>127</v>
      </c>
      <c r="H553" s="124"/>
      <c r="I553" s="124"/>
      <c r="J553" s="60"/>
      <c r="K553" s="60"/>
      <c r="L553" s="60"/>
      <c r="M553" s="60"/>
      <c r="N553" s="60">
        <f t="shared" si="131"/>
        <v>0</v>
      </c>
      <c r="O553" s="60">
        <f t="shared" si="132"/>
        <v>0</v>
      </c>
    </row>
    <row r="554" spans="1:15" s="38" customFormat="1" ht="10.7" hidden="1" customHeight="1" outlineLevel="1" x14ac:dyDescent="0.25">
      <c r="A554" s="124"/>
      <c r="B554" s="137"/>
      <c r="C554" s="115"/>
      <c r="D554" s="115"/>
      <c r="E554" s="115"/>
      <c r="F554" s="115"/>
      <c r="G554" s="60" t="s">
        <v>128</v>
      </c>
      <c r="H554" s="124"/>
      <c r="I554" s="124"/>
      <c r="J554" s="60"/>
      <c r="K554" s="60"/>
      <c r="L554" s="60"/>
      <c r="M554" s="60"/>
      <c r="N554" s="60">
        <f t="shared" si="131"/>
        <v>0</v>
      </c>
      <c r="O554" s="60">
        <f t="shared" si="132"/>
        <v>0</v>
      </c>
    </row>
    <row r="555" spans="1:15" s="38" customFormat="1" ht="10.7" hidden="1" customHeight="1" outlineLevel="1" x14ac:dyDescent="0.25">
      <c r="A555" s="124"/>
      <c r="B555" s="137"/>
      <c r="C555" s="115"/>
      <c r="D555" s="115"/>
      <c r="E555" s="115"/>
      <c r="F555" s="115"/>
      <c r="G555" s="60" t="s">
        <v>129</v>
      </c>
      <c r="H555" s="124"/>
      <c r="I555" s="124"/>
      <c r="J555" s="60"/>
      <c r="K555" s="60"/>
      <c r="L555" s="60"/>
      <c r="M555" s="60"/>
      <c r="N555" s="60">
        <f t="shared" si="131"/>
        <v>0</v>
      </c>
      <c r="O555" s="60">
        <f t="shared" si="132"/>
        <v>0</v>
      </c>
    </row>
    <row r="556" spans="1:15" s="38" customFormat="1" ht="10.7" hidden="1" customHeight="1" outlineLevel="1" x14ac:dyDescent="0.25">
      <c r="A556" s="124"/>
      <c r="B556" s="137"/>
      <c r="C556" s="115"/>
      <c r="D556" s="115"/>
      <c r="E556" s="115"/>
      <c r="F556" s="115"/>
      <c r="G556" s="60" t="s">
        <v>130</v>
      </c>
      <c r="H556" s="124"/>
      <c r="I556" s="124"/>
      <c r="J556" s="60"/>
      <c r="K556" s="60"/>
      <c r="L556" s="60"/>
      <c r="M556" s="60"/>
      <c r="N556" s="60">
        <f t="shared" si="131"/>
        <v>0</v>
      </c>
      <c r="O556" s="60">
        <f t="shared" si="132"/>
        <v>0</v>
      </c>
    </row>
    <row r="557" spans="1:15" s="38" customFormat="1" ht="12" hidden="1" customHeight="1" outlineLevel="1" thickBot="1" x14ac:dyDescent="0.3">
      <c r="A557" s="125"/>
      <c r="B557" s="138"/>
      <c r="C557" s="131"/>
      <c r="D557" s="131"/>
      <c r="E557" s="131"/>
      <c r="F557" s="131"/>
      <c r="G557" s="60" t="s">
        <v>131</v>
      </c>
      <c r="H557" s="134"/>
      <c r="I557" s="134"/>
      <c r="J557" s="60"/>
      <c r="K557" s="60"/>
      <c r="L557" s="60"/>
      <c r="M557" s="60"/>
      <c r="N557" s="60">
        <f t="shared" si="131"/>
        <v>0</v>
      </c>
      <c r="O557" s="60">
        <f t="shared" si="132"/>
        <v>0</v>
      </c>
    </row>
    <row r="558" spans="1:15" s="38" customFormat="1" ht="14.45" hidden="1" customHeight="1" outlineLevel="1" x14ac:dyDescent="0.25">
      <c r="A558" s="126" t="s">
        <v>293</v>
      </c>
      <c r="B558" s="127" t="s">
        <v>294</v>
      </c>
      <c r="C558" s="130">
        <f>SUM(N558:N564)</f>
        <v>0</v>
      </c>
      <c r="D558" s="130">
        <f>SUM(O558:O564)</f>
        <v>0</v>
      </c>
      <c r="E558" s="130">
        <f t="shared" si="126"/>
        <v>0</v>
      </c>
      <c r="F558" s="130"/>
      <c r="G558" s="60" t="s">
        <v>125</v>
      </c>
      <c r="H558" s="123"/>
      <c r="I558" s="123"/>
      <c r="J558" s="60"/>
      <c r="K558" s="60"/>
      <c r="L558" s="60"/>
      <c r="M558" s="60"/>
      <c r="N558" s="60">
        <f>M558*J558*K558*L558</f>
        <v>0</v>
      </c>
      <c r="O558" s="60">
        <f>J558*K558*L558</f>
        <v>0</v>
      </c>
    </row>
    <row r="559" spans="1:15" s="38" customFormat="1" ht="11.45" hidden="1" customHeight="1" outlineLevel="1" x14ac:dyDescent="0.25">
      <c r="A559" s="124"/>
      <c r="B559" s="137"/>
      <c r="C559" s="115"/>
      <c r="D559" s="115"/>
      <c r="E559" s="115"/>
      <c r="F559" s="115"/>
      <c r="G559" s="60" t="s">
        <v>126</v>
      </c>
      <c r="H559" s="124"/>
      <c r="I559" s="124"/>
      <c r="J559" s="60"/>
      <c r="K559" s="60"/>
      <c r="L559" s="60"/>
      <c r="M559" s="60"/>
      <c r="N559" s="60">
        <f t="shared" ref="N559:N564" si="133">M559*J559*K559*L559</f>
        <v>0</v>
      </c>
      <c r="O559" s="60">
        <f t="shared" ref="O559:O564" si="134">J559*K559*L559</f>
        <v>0</v>
      </c>
    </row>
    <row r="560" spans="1:15" s="38" customFormat="1" ht="10.7" hidden="1" customHeight="1" outlineLevel="1" x14ac:dyDescent="0.25">
      <c r="A560" s="124"/>
      <c r="B560" s="137"/>
      <c r="C560" s="115"/>
      <c r="D560" s="115"/>
      <c r="E560" s="115"/>
      <c r="F560" s="115"/>
      <c r="G560" s="60" t="s">
        <v>127</v>
      </c>
      <c r="H560" s="124"/>
      <c r="I560" s="124"/>
      <c r="J560" s="60"/>
      <c r="K560" s="60"/>
      <c r="L560" s="60"/>
      <c r="M560" s="60"/>
      <c r="N560" s="60">
        <f t="shared" si="133"/>
        <v>0</v>
      </c>
      <c r="O560" s="60">
        <f t="shared" si="134"/>
        <v>0</v>
      </c>
    </row>
    <row r="561" spans="1:15" s="38" customFormat="1" ht="10.7" hidden="1" customHeight="1" outlineLevel="1" x14ac:dyDescent="0.25">
      <c r="A561" s="124"/>
      <c r="B561" s="137"/>
      <c r="C561" s="115"/>
      <c r="D561" s="115"/>
      <c r="E561" s="115"/>
      <c r="F561" s="115"/>
      <c r="G561" s="60" t="s">
        <v>128</v>
      </c>
      <c r="H561" s="124"/>
      <c r="I561" s="124"/>
      <c r="J561" s="60"/>
      <c r="K561" s="60"/>
      <c r="L561" s="60"/>
      <c r="M561" s="60"/>
      <c r="N561" s="60">
        <f t="shared" si="133"/>
        <v>0</v>
      </c>
      <c r="O561" s="60">
        <f t="shared" si="134"/>
        <v>0</v>
      </c>
    </row>
    <row r="562" spans="1:15" s="38" customFormat="1" ht="10.7" hidden="1" customHeight="1" outlineLevel="1" x14ac:dyDescent="0.25">
      <c r="A562" s="124"/>
      <c r="B562" s="137"/>
      <c r="C562" s="115"/>
      <c r="D562" s="115"/>
      <c r="E562" s="115"/>
      <c r="F562" s="115"/>
      <c r="G562" s="60" t="s">
        <v>129</v>
      </c>
      <c r="H562" s="124"/>
      <c r="I562" s="124"/>
      <c r="J562" s="60"/>
      <c r="K562" s="60"/>
      <c r="L562" s="60"/>
      <c r="M562" s="60"/>
      <c r="N562" s="60">
        <f t="shared" si="133"/>
        <v>0</v>
      </c>
      <c r="O562" s="60">
        <f t="shared" si="134"/>
        <v>0</v>
      </c>
    </row>
    <row r="563" spans="1:15" s="38" customFormat="1" ht="10.7" hidden="1" customHeight="1" outlineLevel="1" x14ac:dyDescent="0.25">
      <c r="A563" s="124"/>
      <c r="B563" s="137"/>
      <c r="C563" s="115"/>
      <c r="D563" s="115"/>
      <c r="E563" s="115"/>
      <c r="F563" s="115"/>
      <c r="G563" s="60" t="s">
        <v>130</v>
      </c>
      <c r="H563" s="124"/>
      <c r="I563" s="124"/>
      <c r="J563" s="60"/>
      <c r="K563" s="60"/>
      <c r="L563" s="60"/>
      <c r="M563" s="60"/>
      <c r="N563" s="60">
        <f t="shared" si="133"/>
        <v>0</v>
      </c>
      <c r="O563" s="60">
        <f t="shared" si="134"/>
        <v>0</v>
      </c>
    </row>
    <row r="564" spans="1:15" s="38" customFormat="1" ht="12" hidden="1" customHeight="1" outlineLevel="1" thickBot="1" x14ac:dyDescent="0.3">
      <c r="A564" s="125"/>
      <c r="B564" s="138"/>
      <c r="C564" s="131"/>
      <c r="D564" s="131"/>
      <c r="E564" s="131"/>
      <c r="F564" s="131"/>
      <c r="G564" s="60" t="s">
        <v>131</v>
      </c>
      <c r="H564" s="134"/>
      <c r="I564" s="134"/>
      <c r="J564" s="60"/>
      <c r="K564" s="60"/>
      <c r="L564" s="60"/>
      <c r="M564" s="60"/>
      <c r="N564" s="60">
        <f t="shared" si="133"/>
        <v>0</v>
      </c>
      <c r="O564" s="60">
        <f t="shared" si="134"/>
        <v>0</v>
      </c>
    </row>
    <row r="565" spans="1:15" s="38" customFormat="1" ht="14.45" hidden="1" customHeight="1" outlineLevel="1" x14ac:dyDescent="0.25">
      <c r="A565" s="126" t="s">
        <v>295</v>
      </c>
      <c r="B565" s="127" t="s">
        <v>296</v>
      </c>
      <c r="C565" s="130">
        <f>SUM(N565:N571)</f>
        <v>0</v>
      </c>
      <c r="D565" s="130">
        <f>SUM(O565:O571)</f>
        <v>0</v>
      </c>
      <c r="E565" s="130">
        <f t="shared" si="126"/>
        <v>0</v>
      </c>
      <c r="F565" s="130"/>
      <c r="G565" s="60" t="s">
        <v>125</v>
      </c>
      <c r="H565" s="123"/>
      <c r="I565" s="123"/>
      <c r="J565" s="60"/>
      <c r="K565" s="60"/>
      <c r="L565" s="60"/>
      <c r="M565" s="60"/>
      <c r="N565" s="60">
        <f>M565*J565*K565*L565</f>
        <v>0</v>
      </c>
      <c r="O565" s="60">
        <f>J565*K565*L565</f>
        <v>0</v>
      </c>
    </row>
    <row r="566" spans="1:15" s="38" customFormat="1" ht="11.45" hidden="1" customHeight="1" outlineLevel="1" x14ac:dyDescent="0.25">
      <c r="A566" s="124"/>
      <c r="B566" s="137"/>
      <c r="C566" s="115"/>
      <c r="D566" s="115"/>
      <c r="E566" s="115"/>
      <c r="F566" s="115"/>
      <c r="G566" s="60" t="s">
        <v>126</v>
      </c>
      <c r="H566" s="124"/>
      <c r="I566" s="124"/>
      <c r="J566" s="60"/>
      <c r="K566" s="60"/>
      <c r="L566" s="60"/>
      <c r="M566" s="60"/>
      <c r="N566" s="60">
        <f t="shared" ref="N566:N571" si="135">M566*J566*K566*L566</f>
        <v>0</v>
      </c>
      <c r="O566" s="60">
        <f t="shared" ref="O566:O571" si="136">J566*K566*L566</f>
        <v>0</v>
      </c>
    </row>
    <row r="567" spans="1:15" s="38" customFormat="1" ht="10.7" hidden="1" customHeight="1" outlineLevel="1" x14ac:dyDescent="0.25">
      <c r="A567" s="124"/>
      <c r="B567" s="137"/>
      <c r="C567" s="115"/>
      <c r="D567" s="115"/>
      <c r="E567" s="115"/>
      <c r="F567" s="115"/>
      <c r="G567" s="60" t="s">
        <v>127</v>
      </c>
      <c r="H567" s="124"/>
      <c r="I567" s="124"/>
      <c r="J567" s="60"/>
      <c r="K567" s="60"/>
      <c r="L567" s="60"/>
      <c r="M567" s="60"/>
      <c r="N567" s="60">
        <f t="shared" si="135"/>
        <v>0</v>
      </c>
      <c r="O567" s="60">
        <f t="shared" si="136"/>
        <v>0</v>
      </c>
    </row>
    <row r="568" spans="1:15" s="38" customFormat="1" ht="10.7" hidden="1" customHeight="1" outlineLevel="1" x14ac:dyDescent="0.25">
      <c r="A568" s="124"/>
      <c r="B568" s="137"/>
      <c r="C568" s="115"/>
      <c r="D568" s="115"/>
      <c r="E568" s="115"/>
      <c r="F568" s="115"/>
      <c r="G568" s="60" t="s">
        <v>128</v>
      </c>
      <c r="H568" s="124"/>
      <c r="I568" s="124"/>
      <c r="J568" s="60"/>
      <c r="K568" s="60"/>
      <c r="L568" s="60"/>
      <c r="M568" s="60"/>
      <c r="N568" s="60">
        <f t="shared" si="135"/>
        <v>0</v>
      </c>
      <c r="O568" s="60">
        <f t="shared" si="136"/>
        <v>0</v>
      </c>
    </row>
    <row r="569" spans="1:15" s="38" customFormat="1" ht="10.7" hidden="1" customHeight="1" outlineLevel="1" x14ac:dyDescent="0.25">
      <c r="A569" s="124"/>
      <c r="B569" s="137"/>
      <c r="C569" s="115"/>
      <c r="D569" s="115"/>
      <c r="E569" s="115"/>
      <c r="F569" s="115"/>
      <c r="G569" s="60" t="s">
        <v>129</v>
      </c>
      <c r="H569" s="124"/>
      <c r="I569" s="124"/>
      <c r="J569" s="60"/>
      <c r="K569" s="60"/>
      <c r="L569" s="60"/>
      <c r="M569" s="60"/>
      <c r="N569" s="60">
        <f t="shared" si="135"/>
        <v>0</v>
      </c>
      <c r="O569" s="60">
        <f t="shared" si="136"/>
        <v>0</v>
      </c>
    </row>
    <row r="570" spans="1:15" s="38" customFormat="1" ht="10.7" hidden="1" customHeight="1" outlineLevel="1" x14ac:dyDescent="0.25">
      <c r="A570" s="124"/>
      <c r="B570" s="137"/>
      <c r="C570" s="115"/>
      <c r="D570" s="115"/>
      <c r="E570" s="115"/>
      <c r="F570" s="115"/>
      <c r="G570" s="60" t="s">
        <v>130</v>
      </c>
      <c r="H570" s="124"/>
      <c r="I570" s="124"/>
      <c r="J570" s="60"/>
      <c r="K570" s="60"/>
      <c r="L570" s="60"/>
      <c r="M570" s="60"/>
      <c r="N570" s="60">
        <f t="shared" si="135"/>
        <v>0</v>
      </c>
      <c r="O570" s="60">
        <f t="shared" si="136"/>
        <v>0</v>
      </c>
    </row>
    <row r="571" spans="1:15" s="38" customFormat="1" ht="12" hidden="1" customHeight="1" outlineLevel="1" thickBot="1" x14ac:dyDescent="0.3">
      <c r="A571" s="125"/>
      <c r="B571" s="138"/>
      <c r="C571" s="131"/>
      <c r="D571" s="131"/>
      <c r="E571" s="131"/>
      <c r="F571" s="131"/>
      <c r="G571" s="60" t="s">
        <v>131</v>
      </c>
      <c r="H571" s="134"/>
      <c r="I571" s="134"/>
      <c r="J571" s="60"/>
      <c r="K571" s="60"/>
      <c r="L571" s="60"/>
      <c r="M571" s="60"/>
      <c r="N571" s="60">
        <f t="shared" si="135"/>
        <v>0</v>
      </c>
      <c r="O571" s="60">
        <f t="shared" si="136"/>
        <v>0</v>
      </c>
    </row>
    <row r="572" spans="1:15" s="38" customFormat="1" ht="14.45" hidden="1" customHeight="1" outlineLevel="1" x14ac:dyDescent="0.25">
      <c r="A572" s="126" t="s">
        <v>297</v>
      </c>
      <c r="B572" s="127" t="s">
        <v>298</v>
      </c>
      <c r="C572" s="130">
        <f>SUM(N572:N578)</f>
        <v>0</v>
      </c>
      <c r="D572" s="130">
        <f>SUM(O572:O578)</f>
        <v>0</v>
      </c>
      <c r="E572" s="130">
        <f t="shared" si="126"/>
        <v>0</v>
      </c>
      <c r="F572" s="130"/>
      <c r="G572" s="60" t="s">
        <v>125</v>
      </c>
      <c r="H572" s="123"/>
      <c r="I572" s="123"/>
      <c r="J572" s="60"/>
      <c r="K572" s="60"/>
      <c r="L572" s="60"/>
      <c r="M572" s="60"/>
      <c r="N572" s="60">
        <f>M572*J572*K572*L572</f>
        <v>0</v>
      </c>
      <c r="O572" s="60">
        <f>J572*K572*L572</f>
        <v>0</v>
      </c>
    </row>
    <row r="573" spans="1:15" s="38" customFormat="1" ht="11.45" hidden="1" customHeight="1" outlineLevel="1" x14ac:dyDescent="0.25">
      <c r="A573" s="124"/>
      <c r="B573" s="137"/>
      <c r="C573" s="115"/>
      <c r="D573" s="115"/>
      <c r="E573" s="115"/>
      <c r="F573" s="115"/>
      <c r="G573" s="60" t="s">
        <v>126</v>
      </c>
      <c r="H573" s="124"/>
      <c r="I573" s="124"/>
      <c r="J573" s="60"/>
      <c r="K573" s="60"/>
      <c r="L573" s="60"/>
      <c r="M573" s="60"/>
      <c r="N573" s="60">
        <f t="shared" ref="N573:N578" si="137">M573*J573*K573*L573</f>
        <v>0</v>
      </c>
      <c r="O573" s="60">
        <f t="shared" ref="O573:O578" si="138">J573*K573*L573</f>
        <v>0</v>
      </c>
    </row>
    <row r="574" spans="1:15" s="38" customFormat="1" ht="10.7" hidden="1" customHeight="1" outlineLevel="1" x14ac:dyDescent="0.25">
      <c r="A574" s="124"/>
      <c r="B574" s="137"/>
      <c r="C574" s="115"/>
      <c r="D574" s="115"/>
      <c r="E574" s="115"/>
      <c r="F574" s="115"/>
      <c r="G574" s="60" t="s">
        <v>127</v>
      </c>
      <c r="H574" s="124"/>
      <c r="I574" s="124"/>
      <c r="J574" s="60"/>
      <c r="K574" s="60"/>
      <c r="L574" s="60"/>
      <c r="M574" s="60"/>
      <c r="N574" s="60">
        <f t="shared" si="137"/>
        <v>0</v>
      </c>
      <c r="O574" s="60">
        <f t="shared" si="138"/>
        <v>0</v>
      </c>
    </row>
    <row r="575" spans="1:15" s="38" customFormat="1" ht="10.7" hidden="1" customHeight="1" outlineLevel="1" x14ac:dyDescent="0.25">
      <c r="A575" s="124"/>
      <c r="B575" s="137"/>
      <c r="C575" s="115"/>
      <c r="D575" s="115"/>
      <c r="E575" s="115"/>
      <c r="F575" s="115"/>
      <c r="G575" s="60" t="s">
        <v>128</v>
      </c>
      <c r="H575" s="124"/>
      <c r="I575" s="124"/>
      <c r="J575" s="60"/>
      <c r="K575" s="60"/>
      <c r="L575" s="60"/>
      <c r="M575" s="60"/>
      <c r="N575" s="60">
        <f t="shared" si="137"/>
        <v>0</v>
      </c>
      <c r="O575" s="60">
        <f t="shared" si="138"/>
        <v>0</v>
      </c>
    </row>
    <row r="576" spans="1:15" s="38" customFormat="1" ht="10.7" hidden="1" customHeight="1" outlineLevel="1" x14ac:dyDescent="0.25">
      <c r="A576" s="124"/>
      <c r="B576" s="137"/>
      <c r="C576" s="115"/>
      <c r="D576" s="115"/>
      <c r="E576" s="115"/>
      <c r="F576" s="115"/>
      <c r="G576" s="60" t="s">
        <v>129</v>
      </c>
      <c r="H576" s="124"/>
      <c r="I576" s="124"/>
      <c r="J576" s="60"/>
      <c r="K576" s="60"/>
      <c r="L576" s="60"/>
      <c r="M576" s="60"/>
      <c r="N576" s="60">
        <f t="shared" si="137"/>
        <v>0</v>
      </c>
      <c r="O576" s="60">
        <f t="shared" si="138"/>
        <v>0</v>
      </c>
    </row>
    <row r="577" spans="1:15" s="38" customFormat="1" ht="10.7" hidden="1" customHeight="1" outlineLevel="1" x14ac:dyDescent="0.25">
      <c r="A577" s="124"/>
      <c r="B577" s="137"/>
      <c r="C577" s="115"/>
      <c r="D577" s="115"/>
      <c r="E577" s="115"/>
      <c r="F577" s="115"/>
      <c r="G577" s="60" t="s">
        <v>130</v>
      </c>
      <c r="H577" s="124"/>
      <c r="I577" s="124"/>
      <c r="J577" s="60"/>
      <c r="K577" s="60"/>
      <c r="L577" s="60"/>
      <c r="M577" s="60"/>
      <c r="N577" s="60">
        <f t="shared" si="137"/>
        <v>0</v>
      </c>
      <c r="O577" s="60">
        <f t="shared" si="138"/>
        <v>0</v>
      </c>
    </row>
    <row r="578" spans="1:15" s="38" customFormat="1" ht="12" hidden="1" customHeight="1" outlineLevel="1" thickBot="1" x14ac:dyDescent="0.3">
      <c r="A578" s="125"/>
      <c r="B578" s="138"/>
      <c r="C578" s="131"/>
      <c r="D578" s="131"/>
      <c r="E578" s="131"/>
      <c r="F578" s="131"/>
      <c r="G578" s="60" t="s">
        <v>131</v>
      </c>
      <c r="H578" s="134"/>
      <c r="I578" s="134"/>
      <c r="J578" s="60"/>
      <c r="K578" s="60"/>
      <c r="L578" s="60"/>
      <c r="M578" s="60"/>
      <c r="N578" s="60">
        <f t="shared" si="137"/>
        <v>0</v>
      </c>
      <c r="O578" s="60">
        <f t="shared" si="138"/>
        <v>0</v>
      </c>
    </row>
    <row r="579" spans="1:15" s="38" customFormat="1" ht="14.45" hidden="1" customHeight="1" outlineLevel="1" x14ac:dyDescent="0.25">
      <c r="A579" s="126" t="s">
        <v>299</v>
      </c>
      <c r="B579" s="127" t="s">
        <v>300</v>
      </c>
      <c r="C579" s="130">
        <f>SUM(N579:N585)</f>
        <v>0</v>
      </c>
      <c r="D579" s="130">
        <f>SUM(O579:O585)</f>
        <v>0</v>
      </c>
      <c r="E579" s="130">
        <f t="shared" si="126"/>
        <v>0</v>
      </c>
      <c r="F579" s="130"/>
      <c r="G579" s="60" t="s">
        <v>125</v>
      </c>
      <c r="H579" s="123"/>
      <c r="I579" s="123"/>
      <c r="J579" s="60"/>
      <c r="K579" s="60"/>
      <c r="L579" s="60"/>
      <c r="M579" s="60"/>
      <c r="N579" s="60">
        <f>M579*J579*K579*L579</f>
        <v>0</v>
      </c>
      <c r="O579" s="60">
        <f>J579*K579*L579</f>
        <v>0</v>
      </c>
    </row>
    <row r="580" spans="1:15" s="38" customFormat="1" ht="11.45" hidden="1" customHeight="1" outlineLevel="1" x14ac:dyDescent="0.25">
      <c r="A580" s="124"/>
      <c r="B580" s="137"/>
      <c r="C580" s="115"/>
      <c r="D580" s="115"/>
      <c r="E580" s="115"/>
      <c r="F580" s="115"/>
      <c r="G580" s="60" t="s">
        <v>126</v>
      </c>
      <c r="H580" s="124"/>
      <c r="I580" s="124"/>
      <c r="J580" s="60"/>
      <c r="K580" s="60"/>
      <c r="L580" s="60"/>
      <c r="M580" s="60"/>
      <c r="N580" s="60">
        <f t="shared" ref="N580:N585" si="139">M580*J580*K580*L580</f>
        <v>0</v>
      </c>
      <c r="O580" s="60">
        <f t="shared" ref="O580:O585" si="140">J580*K580*L580</f>
        <v>0</v>
      </c>
    </row>
    <row r="581" spans="1:15" s="38" customFormat="1" ht="10.7" hidden="1" customHeight="1" outlineLevel="1" x14ac:dyDescent="0.25">
      <c r="A581" s="124"/>
      <c r="B581" s="137"/>
      <c r="C581" s="115"/>
      <c r="D581" s="115"/>
      <c r="E581" s="115"/>
      <c r="F581" s="115"/>
      <c r="G581" s="60" t="s">
        <v>127</v>
      </c>
      <c r="H581" s="124"/>
      <c r="I581" s="124"/>
      <c r="J581" s="60"/>
      <c r="K581" s="60"/>
      <c r="L581" s="60"/>
      <c r="M581" s="60"/>
      <c r="N581" s="60">
        <f t="shared" si="139"/>
        <v>0</v>
      </c>
      <c r="O581" s="60">
        <f t="shared" si="140"/>
        <v>0</v>
      </c>
    </row>
    <row r="582" spans="1:15" s="38" customFormat="1" ht="10.7" hidden="1" customHeight="1" outlineLevel="1" x14ac:dyDescent="0.25">
      <c r="A582" s="124"/>
      <c r="B582" s="137"/>
      <c r="C582" s="115"/>
      <c r="D582" s="115"/>
      <c r="E582" s="115"/>
      <c r="F582" s="115"/>
      <c r="G582" s="60" t="s">
        <v>128</v>
      </c>
      <c r="H582" s="124"/>
      <c r="I582" s="124"/>
      <c r="J582" s="60"/>
      <c r="K582" s="60"/>
      <c r="L582" s="60"/>
      <c r="M582" s="60"/>
      <c r="N582" s="60">
        <f t="shared" si="139"/>
        <v>0</v>
      </c>
      <c r="O582" s="60">
        <f t="shared" si="140"/>
        <v>0</v>
      </c>
    </row>
    <row r="583" spans="1:15" s="38" customFormat="1" ht="10.7" hidden="1" customHeight="1" outlineLevel="1" x14ac:dyDescent="0.25">
      <c r="A583" s="124"/>
      <c r="B583" s="137"/>
      <c r="C583" s="115"/>
      <c r="D583" s="115"/>
      <c r="E583" s="115"/>
      <c r="F583" s="115"/>
      <c r="G583" s="60" t="s">
        <v>129</v>
      </c>
      <c r="H583" s="124"/>
      <c r="I583" s="124"/>
      <c r="J583" s="60"/>
      <c r="K583" s="60"/>
      <c r="L583" s="60"/>
      <c r="M583" s="60"/>
      <c r="N583" s="60">
        <f t="shared" si="139"/>
        <v>0</v>
      </c>
      <c r="O583" s="60">
        <f t="shared" si="140"/>
        <v>0</v>
      </c>
    </row>
    <row r="584" spans="1:15" s="38" customFormat="1" ht="10.7" hidden="1" customHeight="1" outlineLevel="1" x14ac:dyDescent="0.25">
      <c r="A584" s="124"/>
      <c r="B584" s="137"/>
      <c r="C584" s="115"/>
      <c r="D584" s="115"/>
      <c r="E584" s="115"/>
      <c r="F584" s="115"/>
      <c r="G584" s="60" t="s">
        <v>130</v>
      </c>
      <c r="H584" s="124"/>
      <c r="I584" s="124"/>
      <c r="J584" s="60"/>
      <c r="K584" s="60"/>
      <c r="L584" s="60"/>
      <c r="M584" s="60"/>
      <c r="N584" s="60">
        <f t="shared" si="139"/>
        <v>0</v>
      </c>
      <c r="O584" s="60">
        <f t="shared" si="140"/>
        <v>0</v>
      </c>
    </row>
    <row r="585" spans="1:15" s="38" customFormat="1" ht="12" hidden="1" customHeight="1" outlineLevel="1" thickBot="1" x14ac:dyDescent="0.3">
      <c r="A585" s="125"/>
      <c r="B585" s="138"/>
      <c r="C585" s="131"/>
      <c r="D585" s="131"/>
      <c r="E585" s="131"/>
      <c r="F585" s="131"/>
      <c r="G585" s="60" t="s">
        <v>131</v>
      </c>
      <c r="H585" s="134"/>
      <c r="I585" s="134"/>
      <c r="J585" s="60"/>
      <c r="K585" s="60"/>
      <c r="L585" s="60"/>
      <c r="M585" s="60"/>
      <c r="N585" s="60">
        <f t="shared" si="139"/>
        <v>0</v>
      </c>
      <c r="O585" s="60">
        <f t="shared" si="140"/>
        <v>0</v>
      </c>
    </row>
    <row r="586" spans="1:15" s="38" customFormat="1" ht="14.45" hidden="1" customHeight="1" outlineLevel="1" x14ac:dyDescent="0.25">
      <c r="A586" s="126" t="s">
        <v>301</v>
      </c>
      <c r="B586" s="127" t="s">
        <v>302</v>
      </c>
      <c r="C586" s="130">
        <f>SUM(N586:N592)</f>
        <v>0</v>
      </c>
      <c r="D586" s="130">
        <f>SUM(O586:O592)</f>
        <v>0</v>
      </c>
      <c r="E586" s="130">
        <f t="shared" si="126"/>
        <v>0</v>
      </c>
      <c r="F586" s="130"/>
      <c r="G586" s="60" t="s">
        <v>125</v>
      </c>
      <c r="H586" s="123"/>
      <c r="I586" s="123"/>
      <c r="J586" s="60"/>
      <c r="K586" s="60"/>
      <c r="L586" s="60"/>
      <c r="M586" s="60"/>
      <c r="N586" s="60">
        <f>M586*J586*K586*L586</f>
        <v>0</v>
      </c>
      <c r="O586" s="60">
        <f>J586*K586*L586</f>
        <v>0</v>
      </c>
    </row>
    <row r="587" spans="1:15" s="38" customFormat="1" ht="11.45" hidden="1" customHeight="1" outlineLevel="1" x14ac:dyDescent="0.25">
      <c r="A587" s="124"/>
      <c r="B587" s="137"/>
      <c r="C587" s="115"/>
      <c r="D587" s="115"/>
      <c r="E587" s="115"/>
      <c r="F587" s="115"/>
      <c r="G587" s="60" t="s">
        <v>126</v>
      </c>
      <c r="H587" s="124"/>
      <c r="I587" s="124"/>
      <c r="J587" s="60"/>
      <c r="K587" s="60"/>
      <c r="L587" s="60"/>
      <c r="M587" s="60"/>
      <c r="N587" s="60">
        <f t="shared" ref="N587:N592" si="141">M587*J587*K587*L587</f>
        <v>0</v>
      </c>
      <c r="O587" s="60">
        <f t="shared" ref="O587:O592" si="142">J587*K587*L587</f>
        <v>0</v>
      </c>
    </row>
    <row r="588" spans="1:15" s="38" customFormat="1" ht="10.7" hidden="1" customHeight="1" outlineLevel="1" x14ac:dyDescent="0.25">
      <c r="A588" s="124"/>
      <c r="B588" s="137"/>
      <c r="C588" s="115"/>
      <c r="D588" s="115"/>
      <c r="E588" s="115"/>
      <c r="F588" s="115"/>
      <c r="G588" s="60" t="s">
        <v>127</v>
      </c>
      <c r="H588" s="124"/>
      <c r="I588" s="124"/>
      <c r="J588" s="60"/>
      <c r="K588" s="60"/>
      <c r="L588" s="60"/>
      <c r="M588" s="60"/>
      <c r="N588" s="60">
        <f t="shared" si="141"/>
        <v>0</v>
      </c>
      <c r="O588" s="60">
        <f t="shared" si="142"/>
        <v>0</v>
      </c>
    </row>
    <row r="589" spans="1:15" s="38" customFormat="1" ht="10.7" hidden="1" customHeight="1" outlineLevel="1" x14ac:dyDescent="0.25">
      <c r="A589" s="124"/>
      <c r="B589" s="137"/>
      <c r="C589" s="115"/>
      <c r="D589" s="115"/>
      <c r="E589" s="115"/>
      <c r="F589" s="115"/>
      <c r="G589" s="60" t="s">
        <v>128</v>
      </c>
      <c r="H589" s="124"/>
      <c r="I589" s="124"/>
      <c r="J589" s="60"/>
      <c r="K589" s="60"/>
      <c r="L589" s="60"/>
      <c r="M589" s="60"/>
      <c r="N589" s="60">
        <f t="shared" si="141"/>
        <v>0</v>
      </c>
      <c r="O589" s="60">
        <f t="shared" si="142"/>
        <v>0</v>
      </c>
    </row>
    <row r="590" spans="1:15" s="38" customFormat="1" ht="10.7" hidden="1" customHeight="1" outlineLevel="1" x14ac:dyDescent="0.25">
      <c r="A590" s="124"/>
      <c r="B590" s="137"/>
      <c r="C590" s="115"/>
      <c r="D590" s="115"/>
      <c r="E590" s="115"/>
      <c r="F590" s="115"/>
      <c r="G590" s="60" t="s">
        <v>129</v>
      </c>
      <c r="H590" s="124"/>
      <c r="I590" s="124"/>
      <c r="J590" s="60"/>
      <c r="K590" s="60"/>
      <c r="L590" s="60"/>
      <c r="M590" s="60"/>
      <c r="N590" s="60">
        <f t="shared" si="141"/>
        <v>0</v>
      </c>
      <c r="O590" s="60">
        <f t="shared" si="142"/>
        <v>0</v>
      </c>
    </row>
    <row r="591" spans="1:15" s="38" customFormat="1" ht="10.7" hidden="1" customHeight="1" outlineLevel="1" x14ac:dyDescent="0.25">
      <c r="A591" s="124"/>
      <c r="B591" s="137"/>
      <c r="C591" s="115"/>
      <c r="D591" s="115"/>
      <c r="E591" s="115"/>
      <c r="F591" s="115"/>
      <c r="G591" s="60" t="s">
        <v>130</v>
      </c>
      <c r="H591" s="124"/>
      <c r="I591" s="124"/>
      <c r="J591" s="60"/>
      <c r="K591" s="60"/>
      <c r="L591" s="60"/>
      <c r="M591" s="60"/>
      <c r="N591" s="60">
        <f t="shared" si="141"/>
        <v>0</v>
      </c>
      <c r="O591" s="60">
        <f t="shared" si="142"/>
        <v>0</v>
      </c>
    </row>
    <row r="592" spans="1:15" s="38" customFormat="1" ht="12" hidden="1" customHeight="1" outlineLevel="1" thickBot="1" x14ac:dyDescent="0.3">
      <c r="A592" s="125"/>
      <c r="B592" s="138"/>
      <c r="C592" s="131"/>
      <c r="D592" s="131"/>
      <c r="E592" s="131"/>
      <c r="F592" s="131"/>
      <c r="G592" s="60" t="s">
        <v>131</v>
      </c>
      <c r="H592" s="134"/>
      <c r="I592" s="134"/>
      <c r="J592" s="60"/>
      <c r="K592" s="60"/>
      <c r="L592" s="60"/>
      <c r="M592" s="60"/>
      <c r="N592" s="60">
        <f t="shared" si="141"/>
        <v>0</v>
      </c>
      <c r="O592" s="60">
        <f t="shared" si="142"/>
        <v>0</v>
      </c>
    </row>
    <row r="593" spans="1:15" s="38" customFormat="1" ht="14.45" hidden="1" customHeight="1" outlineLevel="1" x14ac:dyDescent="0.25">
      <c r="A593" s="126" t="s">
        <v>303</v>
      </c>
      <c r="B593" s="127" t="s">
        <v>304</v>
      </c>
      <c r="C593" s="130">
        <f>SUM(N593:N599)</f>
        <v>0</v>
      </c>
      <c r="D593" s="130">
        <f>SUM(O593:O599)</f>
        <v>0</v>
      </c>
      <c r="E593" s="130">
        <f t="shared" si="126"/>
        <v>0</v>
      </c>
      <c r="F593" s="130"/>
      <c r="G593" s="60" t="s">
        <v>125</v>
      </c>
      <c r="H593" s="123"/>
      <c r="I593" s="123"/>
      <c r="J593" s="60"/>
      <c r="K593" s="60"/>
      <c r="L593" s="60"/>
      <c r="M593" s="60"/>
      <c r="N593" s="60">
        <f>M593*J593*K593*L593</f>
        <v>0</v>
      </c>
      <c r="O593" s="60">
        <f>J593*K593*L593</f>
        <v>0</v>
      </c>
    </row>
    <row r="594" spans="1:15" s="38" customFormat="1" ht="11.45" hidden="1" customHeight="1" outlineLevel="1" x14ac:dyDescent="0.25">
      <c r="A594" s="124"/>
      <c r="B594" s="137"/>
      <c r="C594" s="115"/>
      <c r="D594" s="115"/>
      <c r="E594" s="115"/>
      <c r="F594" s="115"/>
      <c r="G594" s="60" t="s">
        <v>126</v>
      </c>
      <c r="H594" s="124"/>
      <c r="I594" s="124"/>
      <c r="J594" s="60"/>
      <c r="K594" s="60"/>
      <c r="L594" s="60"/>
      <c r="M594" s="60"/>
      <c r="N594" s="60">
        <f t="shared" ref="N594:N599" si="143">M594*J594*K594*L594</f>
        <v>0</v>
      </c>
      <c r="O594" s="60">
        <f t="shared" ref="O594:O599" si="144">J594*K594*L594</f>
        <v>0</v>
      </c>
    </row>
    <row r="595" spans="1:15" s="38" customFormat="1" ht="10.7" hidden="1" customHeight="1" outlineLevel="1" x14ac:dyDescent="0.25">
      <c r="A595" s="124"/>
      <c r="B595" s="137"/>
      <c r="C595" s="115"/>
      <c r="D595" s="115"/>
      <c r="E595" s="115"/>
      <c r="F595" s="115"/>
      <c r="G595" s="60" t="s">
        <v>127</v>
      </c>
      <c r="H595" s="124"/>
      <c r="I595" s="124"/>
      <c r="J595" s="60"/>
      <c r="K595" s="60"/>
      <c r="L595" s="60"/>
      <c r="M595" s="60"/>
      <c r="N595" s="60">
        <f t="shared" si="143"/>
        <v>0</v>
      </c>
      <c r="O595" s="60">
        <f t="shared" si="144"/>
        <v>0</v>
      </c>
    </row>
    <row r="596" spans="1:15" s="38" customFormat="1" ht="10.7" hidden="1" customHeight="1" outlineLevel="1" x14ac:dyDescent="0.25">
      <c r="A596" s="124"/>
      <c r="B596" s="137"/>
      <c r="C596" s="115"/>
      <c r="D596" s="115"/>
      <c r="E596" s="115"/>
      <c r="F596" s="115"/>
      <c r="G596" s="60" t="s">
        <v>128</v>
      </c>
      <c r="H596" s="124"/>
      <c r="I596" s="124"/>
      <c r="J596" s="60"/>
      <c r="K596" s="60"/>
      <c r="L596" s="60"/>
      <c r="M596" s="60"/>
      <c r="N596" s="60">
        <f t="shared" si="143"/>
        <v>0</v>
      </c>
      <c r="O596" s="60">
        <f t="shared" si="144"/>
        <v>0</v>
      </c>
    </row>
    <row r="597" spans="1:15" s="38" customFormat="1" ht="10.7" hidden="1" customHeight="1" outlineLevel="1" x14ac:dyDescent="0.25">
      <c r="A597" s="124"/>
      <c r="B597" s="137"/>
      <c r="C597" s="115"/>
      <c r="D597" s="115"/>
      <c r="E597" s="115"/>
      <c r="F597" s="115"/>
      <c r="G597" s="60" t="s">
        <v>129</v>
      </c>
      <c r="H597" s="124"/>
      <c r="I597" s="124"/>
      <c r="J597" s="60"/>
      <c r="K597" s="60"/>
      <c r="L597" s="60"/>
      <c r="M597" s="60"/>
      <c r="N597" s="60">
        <f t="shared" si="143"/>
        <v>0</v>
      </c>
      <c r="O597" s="60">
        <f t="shared" si="144"/>
        <v>0</v>
      </c>
    </row>
    <row r="598" spans="1:15" s="38" customFormat="1" ht="10.7" hidden="1" customHeight="1" outlineLevel="1" x14ac:dyDescent="0.25">
      <c r="A598" s="124"/>
      <c r="B598" s="137"/>
      <c r="C598" s="115"/>
      <c r="D598" s="115"/>
      <c r="E598" s="115"/>
      <c r="F598" s="115"/>
      <c r="G598" s="60" t="s">
        <v>130</v>
      </c>
      <c r="H598" s="124"/>
      <c r="I598" s="124"/>
      <c r="J598" s="60"/>
      <c r="K598" s="60"/>
      <c r="L598" s="60"/>
      <c r="M598" s="60"/>
      <c r="N598" s="60">
        <f t="shared" si="143"/>
        <v>0</v>
      </c>
      <c r="O598" s="60">
        <f t="shared" si="144"/>
        <v>0</v>
      </c>
    </row>
    <row r="599" spans="1:15" s="38" customFormat="1" ht="12" hidden="1" customHeight="1" outlineLevel="1" thickBot="1" x14ac:dyDescent="0.3">
      <c r="A599" s="125"/>
      <c r="B599" s="138"/>
      <c r="C599" s="131"/>
      <c r="D599" s="131"/>
      <c r="E599" s="131"/>
      <c r="F599" s="131"/>
      <c r="G599" s="60" t="s">
        <v>131</v>
      </c>
      <c r="H599" s="134"/>
      <c r="I599" s="134"/>
      <c r="J599" s="60"/>
      <c r="K599" s="60"/>
      <c r="L599" s="60"/>
      <c r="M599" s="60"/>
      <c r="N599" s="60">
        <f t="shared" si="143"/>
        <v>0</v>
      </c>
      <c r="O599" s="60">
        <f t="shared" si="144"/>
        <v>0</v>
      </c>
    </row>
    <row r="600" spans="1:15" s="38" customFormat="1" ht="14.45" hidden="1" customHeight="1" outlineLevel="1" x14ac:dyDescent="0.25">
      <c r="A600" s="126" t="s">
        <v>305</v>
      </c>
      <c r="B600" s="127" t="s">
        <v>306</v>
      </c>
      <c r="C600" s="130">
        <f>SUM(N600:N606)</f>
        <v>0</v>
      </c>
      <c r="D600" s="130">
        <f>SUM(O600:O606)</f>
        <v>0</v>
      </c>
      <c r="E600" s="130">
        <f t="shared" ref="E600:E628" si="145">D600/8</f>
        <v>0</v>
      </c>
      <c r="F600" s="130"/>
      <c r="G600" s="60" t="s">
        <v>125</v>
      </c>
      <c r="H600" s="123"/>
      <c r="I600" s="123"/>
      <c r="J600" s="60"/>
      <c r="K600" s="60"/>
      <c r="L600" s="60"/>
      <c r="M600" s="60"/>
      <c r="N600" s="60">
        <f>M600*J600*K600*L600</f>
        <v>0</v>
      </c>
      <c r="O600" s="60">
        <f>J600*K600*L600</f>
        <v>0</v>
      </c>
    </row>
    <row r="601" spans="1:15" s="38" customFormat="1" ht="11.45" hidden="1" customHeight="1" outlineLevel="1" x14ac:dyDescent="0.25">
      <c r="A601" s="124"/>
      <c r="B601" s="137"/>
      <c r="C601" s="115"/>
      <c r="D601" s="115"/>
      <c r="E601" s="115"/>
      <c r="F601" s="115"/>
      <c r="G601" s="60" t="s">
        <v>126</v>
      </c>
      <c r="H601" s="124"/>
      <c r="I601" s="124"/>
      <c r="J601" s="60"/>
      <c r="K601" s="60"/>
      <c r="L601" s="60"/>
      <c r="M601" s="60"/>
      <c r="N601" s="60">
        <f t="shared" ref="N601:N606" si="146">M601*J601*K601*L601</f>
        <v>0</v>
      </c>
      <c r="O601" s="60">
        <f t="shared" ref="O601:O606" si="147">J601*K601*L601</f>
        <v>0</v>
      </c>
    </row>
    <row r="602" spans="1:15" s="38" customFormat="1" ht="10.7" hidden="1" customHeight="1" outlineLevel="1" x14ac:dyDescent="0.25">
      <c r="A602" s="124"/>
      <c r="B602" s="137"/>
      <c r="C602" s="115"/>
      <c r="D602" s="115"/>
      <c r="E602" s="115"/>
      <c r="F602" s="115"/>
      <c r="G602" s="60" t="s">
        <v>127</v>
      </c>
      <c r="H602" s="124"/>
      <c r="I602" s="124"/>
      <c r="J602" s="60"/>
      <c r="K602" s="60"/>
      <c r="L602" s="60"/>
      <c r="M602" s="60"/>
      <c r="N602" s="60">
        <f t="shared" si="146"/>
        <v>0</v>
      </c>
      <c r="O602" s="60">
        <f t="shared" si="147"/>
        <v>0</v>
      </c>
    </row>
    <row r="603" spans="1:15" s="38" customFormat="1" ht="10.7" hidden="1" customHeight="1" outlineLevel="1" x14ac:dyDescent="0.25">
      <c r="A603" s="124"/>
      <c r="B603" s="137"/>
      <c r="C603" s="115"/>
      <c r="D603" s="115"/>
      <c r="E603" s="115"/>
      <c r="F603" s="115"/>
      <c r="G603" s="60" t="s">
        <v>128</v>
      </c>
      <c r="H603" s="124"/>
      <c r="I603" s="124"/>
      <c r="J603" s="60"/>
      <c r="K603" s="60"/>
      <c r="L603" s="60"/>
      <c r="M603" s="60"/>
      <c r="N603" s="60">
        <f t="shared" si="146"/>
        <v>0</v>
      </c>
      <c r="O603" s="60">
        <f t="shared" si="147"/>
        <v>0</v>
      </c>
    </row>
    <row r="604" spans="1:15" s="38" customFormat="1" ht="10.7" hidden="1" customHeight="1" outlineLevel="1" x14ac:dyDescent="0.25">
      <c r="A604" s="124"/>
      <c r="B604" s="137"/>
      <c r="C604" s="115"/>
      <c r="D604" s="115"/>
      <c r="E604" s="115"/>
      <c r="F604" s="115"/>
      <c r="G604" s="60" t="s">
        <v>129</v>
      </c>
      <c r="H604" s="124"/>
      <c r="I604" s="124"/>
      <c r="J604" s="60"/>
      <c r="K604" s="60"/>
      <c r="L604" s="60"/>
      <c r="M604" s="60"/>
      <c r="N604" s="60">
        <f t="shared" si="146"/>
        <v>0</v>
      </c>
      <c r="O604" s="60">
        <f t="shared" si="147"/>
        <v>0</v>
      </c>
    </row>
    <row r="605" spans="1:15" s="38" customFormat="1" ht="10.7" hidden="1" customHeight="1" outlineLevel="1" x14ac:dyDescent="0.25">
      <c r="A605" s="124"/>
      <c r="B605" s="137"/>
      <c r="C605" s="115"/>
      <c r="D605" s="115"/>
      <c r="E605" s="115"/>
      <c r="F605" s="115"/>
      <c r="G605" s="60" t="s">
        <v>130</v>
      </c>
      <c r="H605" s="124"/>
      <c r="I605" s="124"/>
      <c r="J605" s="60"/>
      <c r="K605" s="60"/>
      <c r="L605" s="60"/>
      <c r="M605" s="60"/>
      <c r="N605" s="60">
        <f t="shared" si="146"/>
        <v>0</v>
      </c>
      <c r="O605" s="60">
        <f t="shared" si="147"/>
        <v>0</v>
      </c>
    </row>
    <row r="606" spans="1:15" s="38" customFormat="1" ht="12" hidden="1" customHeight="1" outlineLevel="1" thickBot="1" x14ac:dyDescent="0.3">
      <c r="A606" s="125"/>
      <c r="B606" s="138"/>
      <c r="C606" s="131"/>
      <c r="D606" s="131"/>
      <c r="E606" s="131"/>
      <c r="F606" s="131"/>
      <c r="G606" s="60" t="s">
        <v>131</v>
      </c>
      <c r="H606" s="134"/>
      <c r="I606" s="134"/>
      <c r="J606" s="60"/>
      <c r="K606" s="60"/>
      <c r="L606" s="60"/>
      <c r="M606" s="60"/>
      <c r="N606" s="60">
        <f t="shared" si="146"/>
        <v>0</v>
      </c>
      <c r="O606" s="60">
        <f t="shared" si="147"/>
        <v>0</v>
      </c>
    </row>
    <row r="607" spans="1:15" s="38" customFormat="1" ht="14.45" hidden="1" customHeight="1" outlineLevel="1" x14ac:dyDescent="0.25">
      <c r="A607" s="126" t="s">
        <v>307</v>
      </c>
      <c r="B607" s="127" t="s">
        <v>308</v>
      </c>
      <c r="C607" s="130">
        <f>SUM(N607:N613)</f>
        <v>0</v>
      </c>
      <c r="D607" s="130">
        <f>SUM(O607:O613)</f>
        <v>0</v>
      </c>
      <c r="E607" s="130">
        <f t="shared" ref="E607" si="148">D607/8</f>
        <v>0</v>
      </c>
      <c r="F607" s="130"/>
      <c r="G607" s="60" t="s">
        <v>125</v>
      </c>
      <c r="H607" s="123"/>
      <c r="I607" s="123"/>
      <c r="J607" s="60"/>
      <c r="K607" s="60"/>
      <c r="L607" s="60"/>
      <c r="M607" s="60"/>
      <c r="N607" s="60">
        <f>M607*J607*K607*L607</f>
        <v>0</v>
      </c>
      <c r="O607" s="60">
        <f>J607*K607*L607</f>
        <v>0</v>
      </c>
    </row>
    <row r="608" spans="1:15" s="38" customFormat="1" ht="11.45" hidden="1" customHeight="1" outlineLevel="1" x14ac:dyDescent="0.25">
      <c r="A608" s="124"/>
      <c r="B608" s="137"/>
      <c r="C608" s="115"/>
      <c r="D608" s="115"/>
      <c r="E608" s="115"/>
      <c r="F608" s="115"/>
      <c r="G608" s="60" t="s">
        <v>126</v>
      </c>
      <c r="H608" s="124"/>
      <c r="I608" s="124"/>
      <c r="J608" s="60"/>
      <c r="K608" s="60"/>
      <c r="L608" s="60"/>
      <c r="M608" s="60"/>
      <c r="N608" s="60">
        <f t="shared" ref="N608:N613" si="149">M608*J608*K608*L608</f>
        <v>0</v>
      </c>
      <c r="O608" s="60">
        <f t="shared" ref="O608:O613" si="150">J608*K608*L608</f>
        <v>0</v>
      </c>
    </row>
    <row r="609" spans="1:15" s="38" customFormat="1" ht="10.7" hidden="1" customHeight="1" outlineLevel="1" x14ac:dyDescent="0.25">
      <c r="A609" s="124"/>
      <c r="B609" s="137"/>
      <c r="C609" s="115"/>
      <c r="D609" s="115"/>
      <c r="E609" s="115"/>
      <c r="F609" s="115"/>
      <c r="G609" s="60" t="s">
        <v>127</v>
      </c>
      <c r="H609" s="124"/>
      <c r="I609" s="124"/>
      <c r="J609" s="60"/>
      <c r="K609" s="60"/>
      <c r="L609" s="60"/>
      <c r="M609" s="60"/>
      <c r="N609" s="60">
        <f t="shared" si="149"/>
        <v>0</v>
      </c>
      <c r="O609" s="60">
        <f t="shared" si="150"/>
        <v>0</v>
      </c>
    </row>
    <row r="610" spans="1:15" s="38" customFormat="1" ht="10.7" hidden="1" customHeight="1" outlineLevel="1" x14ac:dyDescent="0.25">
      <c r="A610" s="124"/>
      <c r="B610" s="137"/>
      <c r="C610" s="115"/>
      <c r="D610" s="115"/>
      <c r="E610" s="115"/>
      <c r="F610" s="115"/>
      <c r="G610" s="60" t="s">
        <v>128</v>
      </c>
      <c r="H610" s="124"/>
      <c r="I610" s="124"/>
      <c r="J610" s="60"/>
      <c r="K610" s="60"/>
      <c r="L610" s="60"/>
      <c r="M610" s="60"/>
      <c r="N610" s="60">
        <f t="shared" si="149"/>
        <v>0</v>
      </c>
      <c r="O610" s="60">
        <f t="shared" si="150"/>
        <v>0</v>
      </c>
    </row>
    <row r="611" spans="1:15" s="38" customFormat="1" ht="10.7" hidden="1" customHeight="1" outlineLevel="1" x14ac:dyDescent="0.25">
      <c r="A611" s="124"/>
      <c r="B611" s="137"/>
      <c r="C611" s="115"/>
      <c r="D611" s="115"/>
      <c r="E611" s="115"/>
      <c r="F611" s="115"/>
      <c r="G611" s="60" t="s">
        <v>129</v>
      </c>
      <c r="H611" s="124"/>
      <c r="I611" s="124"/>
      <c r="J611" s="60"/>
      <c r="K611" s="60"/>
      <c r="L611" s="60"/>
      <c r="M611" s="60"/>
      <c r="N611" s="60">
        <f t="shared" si="149"/>
        <v>0</v>
      </c>
      <c r="O611" s="60">
        <f t="shared" si="150"/>
        <v>0</v>
      </c>
    </row>
    <row r="612" spans="1:15" s="38" customFormat="1" ht="10.7" hidden="1" customHeight="1" outlineLevel="1" x14ac:dyDescent="0.25">
      <c r="A612" s="124"/>
      <c r="B612" s="137"/>
      <c r="C612" s="115"/>
      <c r="D612" s="115"/>
      <c r="E612" s="115"/>
      <c r="F612" s="115"/>
      <c r="G612" s="60" t="s">
        <v>130</v>
      </c>
      <c r="H612" s="124"/>
      <c r="I612" s="124"/>
      <c r="J612" s="60"/>
      <c r="K612" s="60"/>
      <c r="L612" s="60"/>
      <c r="M612" s="60"/>
      <c r="N612" s="60">
        <f t="shared" si="149"/>
        <v>0</v>
      </c>
      <c r="O612" s="60">
        <f t="shared" si="150"/>
        <v>0</v>
      </c>
    </row>
    <row r="613" spans="1:15" s="38" customFormat="1" ht="12" hidden="1" customHeight="1" outlineLevel="1" thickBot="1" x14ac:dyDescent="0.3">
      <c r="A613" s="125"/>
      <c r="B613" s="138"/>
      <c r="C613" s="131"/>
      <c r="D613" s="131"/>
      <c r="E613" s="131"/>
      <c r="F613" s="131"/>
      <c r="G613" s="60" t="s">
        <v>131</v>
      </c>
      <c r="H613" s="134"/>
      <c r="I613" s="134"/>
      <c r="J613" s="60"/>
      <c r="K613" s="60"/>
      <c r="L613" s="60"/>
      <c r="M613" s="60"/>
      <c r="N613" s="60">
        <f t="shared" si="149"/>
        <v>0</v>
      </c>
      <c r="O613" s="60">
        <f t="shared" si="150"/>
        <v>0</v>
      </c>
    </row>
    <row r="614" spans="1:15" s="38" customFormat="1" ht="14.45" hidden="1" customHeight="1" outlineLevel="1" x14ac:dyDescent="0.25">
      <c r="A614" s="126" t="s">
        <v>309</v>
      </c>
      <c r="B614" s="127" t="s">
        <v>310</v>
      </c>
      <c r="C614" s="130">
        <f>SUM(N614:N620)</f>
        <v>0</v>
      </c>
      <c r="D614" s="130">
        <f>SUM(O614:O620)</f>
        <v>0</v>
      </c>
      <c r="E614" s="130">
        <f t="shared" ref="E614" si="151">D614/8</f>
        <v>0</v>
      </c>
      <c r="F614" s="130"/>
      <c r="G614" s="60" t="s">
        <v>125</v>
      </c>
      <c r="H614" s="123"/>
      <c r="I614" s="123"/>
      <c r="J614" s="60"/>
      <c r="K614" s="60"/>
      <c r="L614" s="60"/>
      <c r="M614" s="60"/>
      <c r="N614" s="60">
        <f>M614*J614*K614*L614</f>
        <v>0</v>
      </c>
      <c r="O614" s="60">
        <f>J614*K614*L614</f>
        <v>0</v>
      </c>
    </row>
    <row r="615" spans="1:15" s="38" customFormat="1" ht="11.45" hidden="1" customHeight="1" outlineLevel="1" x14ac:dyDescent="0.25">
      <c r="A615" s="124"/>
      <c r="B615" s="137"/>
      <c r="C615" s="115"/>
      <c r="D615" s="115"/>
      <c r="E615" s="115"/>
      <c r="F615" s="115"/>
      <c r="G615" s="60" t="s">
        <v>126</v>
      </c>
      <c r="H615" s="124"/>
      <c r="I615" s="124"/>
      <c r="J615" s="60"/>
      <c r="K615" s="60"/>
      <c r="L615" s="60"/>
      <c r="M615" s="60"/>
      <c r="N615" s="60">
        <f t="shared" ref="N615:N620" si="152">M615*J615*K615*L615</f>
        <v>0</v>
      </c>
      <c r="O615" s="60">
        <f t="shared" ref="O615:O620" si="153">J615*K615*L615</f>
        <v>0</v>
      </c>
    </row>
    <row r="616" spans="1:15" s="38" customFormat="1" ht="10.7" hidden="1" customHeight="1" outlineLevel="1" x14ac:dyDescent="0.25">
      <c r="A616" s="124"/>
      <c r="B616" s="137"/>
      <c r="C616" s="115"/>
      <c r="D616" s="115"/>
      <c r="E616" s="115"/>
      <c r="F616" s="115"/>
      <c r="G616" s="60" t="s">
        <v>127</v>
      </c>
      <c r="H616" s="124"/>
      <c r="I616" s="124"/>
      <c r="J616" s="60"/>
      <c r="K616" s="60"/>
      <c r="L616" s="60"/>
      <c r="M616" s="60"/>
      <c r="N616" s="60">
        <f t="shared" si="152"/>
        <v>0</v>
      </c>
      <c r="O616" s="60">
        <f t="shared" si="153"/>
        <v>0</v>
      </c>
    </row>
    <row r="617" spans="1:15" s="38" customFormat="1" ht="10.7" hidden="1" customHeight="1" outlineLevel="1" x14ac:dyDescent="0.25">
      <c r="A617" s="124"/>
      <c r="B617" s="137"/>
      <c r="C617" s="115"/>
      <c r="D617" s="115"/>
      <c r="E617" s="115"/>
      <c r="F617" s="115"/>
      <c r="G617" s="60" t="s">
        <v>128</v>
      </c>
      <c r="H617" s="124"/>
      <c r="I617" s="124"/>
      <c r="J617" s="60"/>
      <c r="K617" s="60"/>
      <c r="L617" s="60"/>
      <c r="M617" s="60"/>
      <c r="N617" s="60">
        <f t="shared" si="152"/>
        <v>0</v>
      </c>
      <c r="O617" s="60">
        <f t="shared" si="153"/>
        <v>0</v>
      </c>
    </row>
    <row r="618" spans="1:15" s="38" customFormat="1" ht="10.7" hidden="1" customHeight="1" outlineLevel="1" x14ac:dyDescent="0.25">
      <c r="A618" s="124"/>
      <c r="B618" s="137"/>
      <c r="C618" s="115"/>
      <c r="D618" s="115"/>
      <c r="E618" s="115"/>
      <c r="F618" s="115"/>
      <c r="G618" s="60" t="s">
        <v>129</v>
      </c>
      <c r="H618" s="124"/>
      <c r="I618" s="124"/>
      <c r="J618" s="60"/>
      <c r="K618" s="60"/>
      <c r="L618" s="60"/>
      <c r="M618" s="60"/>
      <c r="N618" s="60">
        <f t="shared" si="152"/>
        <v>0</v>
      </c>
      <c r="O618" s="60">
        <f t="shared" si="153"/>
        <v>0</v>
      </c>
    </row>
    <row r="619" spans="1:15" s="38" customFormat="1" ht="10.7" hidden="1" customHeight="1" outlineLevel="1" x14ac:dyDescent="0.25">
      <c r="A619" s="124"/>
      <c r="B619" s="137"/>
      <c r="C619" s="115"/>
      <c r="D619" s="115"/>
      <c r="E619" s="115"/>
      <c r="F619" s="115"/>
      <c r="G619" s="60" t="s">
        <v>130</v>
      </c>
      <c r="H619" s="124"/>
      <c r="I619" s="124"/>
      <c r="J619" s="60"/>
      <c r="K619" s="60"/>
      <c r="L619" s="60"/>
      <c r="M619" s="60"/>
      <c r="N619" s="60">
        <f t="shared" si="152"/>
        <v>0</v>
      </c>
      <c r="O619" s="60">
        <f t="shared" si="153"/>
        <v>0</v>
      </c>
    </row>
    <row r="620" spans="1:15" s="38" customFormat="1" ht="12" hidden="1" customHeight="1" outlineLevel="1" thickBot="1" x14ac:dyDescent="0.3">
      <c r="A620" s="125"/>
      <c r="B620" s="138"/>
      <c r="C620" s="131"/>
      <c r="D620" s="131"/>
      <c r="E620" s="131"/>
      <c r="F620" s="131"/>
      <c r="G620" s="60" t="s">
        <v>131</v>
      </c>
      <c r="H620" s="134"/>
      <c r="I620" s="134"/>
      <c r="J620" s="60"/>
      <c r="K620" s="60"/>
      <c r="L620" s="60"/>
      <c r="M620" s="60"/>
      <c r="N620" s="60">
        <f t="shared" si="152"/>
        <v>0</v>
      </c>
      <c r="O620" s="60">
        <f t="shared" si="153"/>
        <v>0</v>
      </c>
    </row>
    <row r="621" spans="1:15" s="38" customFormat="1" ht="14.45" hidden="1" customHeight="1" outlineLevel="1" x14ac:dyDescent="0.25">
      <c r="A621" s="126" t="s">
        <v>311</v>
      </c>
      <c r="B621" s="127" t="s">
        <v>312</v>
      </c>
      <c r="C621" s="130">
        <f>SUM(N621:N627)</f>
        <v>0</v>
      </c>
      <c r="D621" s="130">
        <f>SUM(O621:O627)</f>
        <v>0</v>
      </c>
      <c r="E621" s="130">
        <f t="shared" ref="E621" si="154">D621/8</f>
        <v>0</v>
      </c>
      <c r="F621" s="130"/>
      <c r="G621" s="60" t="s">
        <v>125</v>
      </c>
      <c r="H621" s="123"/>
      <c r="I621" s="123"/>
      <c r="J621" s="60"/>
      <c r="K621" s="60"/>
      <c r="L621" s="60"/>
      <c r="M621" s="60"/>
      <c r="N621" s="60">
        <f>M621*J621*K621*L621</f>
        <v>0</v>
      </c>
      <c r="O621" s="60">
        <f>J621*K621*L621</f>
        <v>0</v>
      </c>
    </row>
    <row r="622" spans="1:15" s="38" customFormat="1" ht="11.45" hidden="1" customHeight="1" outlineLevel="1" x14ac:dyDescent="0.25">
      <c r="A622" s="124"/>
      <c r="B622" s="137"/>
      <c r="C622" s="115"/>
      <c r="D622" s="115"/>
      <c r="E622" s="115"/>
      <c r="F622" s="115"/>
      <c r="G622" s="60" t="s">
        <v>126</v>
      </c>
      <c r="H622" s="124"/>
      <c r="I622" s="124"/>
      <c r="J622" s="60"/>
      <c r="K622" s="60"/>
      <c r="L622" s="60"/>
      <c r="M622" s="60"/>
      <c r="N622" s="60">
        <f t="shared" ref="N622:N627" si="155">M622*J622*K622*L622</f>
        <v>0</v>
      </c>
      <c r="O622" s="60">
        <f t="shared" ref="O622:O627" si="156">J622*K622*L622</f>
        <v>0</v>
      </c>
    </row>
    <row r="623" spans="1:15" s="38" customFormat="1" ht="10.7" hidden="1" customHeight="1" outlineLevel="1" x14ac:dyDescent="0.25">
      <c r="A623" s="124"/>
      <c r="B623" s="137"/>
      <c r="C623" s="115"/>
      <c r="D623" s="115"/>
      <c r="E623" s="115"/>
      <c r="F623" s="115"/>
      <c r="G623" s="60" t="s">
        <v>127</v>
      </c>
      <c r="H623" s="124"/>
      <c r="I623" s="124"/>
      <c r="J623" s="60"/>
      <c r="K623" s="60"/>
      <c r="L623" s="60"/>
      <c r="M623" s="60"/>
      <c r="N623" s="60">
        <f t="shared" si="155"/>
        <v>0</v>
      </c>
      <c r="O623" s="60">
        <f t="shared" si="156"/>
        <v>0</v>
      </c>
    </row>
    <row r="624" spans="1:15" s="38" customFormat="1" ht="10.7" hidden="1" customHeight="1" outlineLevel="1" x14ac:dyDescent="0.25">
      <c r="A624" s="124"/>
      <c r="B624" s="137"/>
      <c r="C624" s="115"/>
      <c r="D624" s="115"/>
      <c r="E624" s="115"/>
      <c r="F624" s="115"/>
      <c r="G624" s="60" t="s">
        <v>128</v>
      </c>
      <c r="H624" s="124"/>
      <c r="I624" s="124"/>
      <c r="J624" s="60"/>
      <c r="K624" s="60"/>
      <c r="L624" s="60"/>
      <c r="M624" s="60"/>
      <c r="N624" s="60">
        <f t="shared" si="155"/>
        <v>0</v>
      </c>
      <c r="O624" s="60">
        <f t="shared" si="156"/>
        <v>0</v>
      </c>
    </row>
    <row r="625" spans="1:15" s="38" customFormat="1" ht="10.7" hidden="1" customHeight="1" outlineLevel="1" x14ac:dyDescent="0.25">
      <c r="A625" s="124"/>
      <c r="B625" s="137"/>
      <c r="C625" s="115"/>
      <c r="D625" s="115"/>
      <c r="E625" s="115"/>
      <c r="F625" s="115"/>
      <c r="G625" s="60" t="s">
        <v>129</v>
      </c>
      <c r="H625" s="124"/>
      <c r="I625" s="124"/>
      <c r="J625" s="60"/>
      <c r="K625" s="60"/>
      <c r="L625" s="60"/>
      <c r="M625" s="60"/>
      <c r="N625" s="60">
        <f t="shared" si="155"/>
        <v>0</v>
      </c>
      <c r="O625" s="60">
        <f t="shared" si="156"/>
        <v>0</v>
      </c>
    </row>
    <row r="626" spans="1:15" s="38" customFormat="1" ht="10.7" hidden="1" customHeight="1" outlineLevel="1" x14ac:dyDescent="0.25">
      <c r="A626" s="124"/>
      <c r="B626" s="137"/>
      <c r="C626" s="115"/>
      <c r="D626" s="115"/>
      <c r="E626" s="115"/>
      <c r="F626" s="115"/>
      <c r="G626" s="60" t="s">
        <v>130</v>
      </c>
      <c r="H626" s="124"/>
      <c r="I626" s="124"/>
      <c r="J626" s="60"/>
      <c r="K626" s="60"/>
      <c r="L626" s="60"/>
      <c r="M626" s="60"/>
      <c r="N626" s="60">
        <f t="shared" si="155"/>
        <v>0</v>
      </c>
      <c r="O626" s="60">
        <f t="shared" si="156"/>
        <v>0</v>
      </c>
    </row>
    <row r="627" spans="1:15" s="38" customFormat="1" ht="12" hidden="1" customHeight="1" outlineLevel="1" thickBot="1" x14ac:dyDescent="0.3">
      <c r="A627" s="125"/>
      <c r="B627" s="138"/>
      <c r="C627" s="131"/>
      <c r="D627" s="131"/>
      <c r="E627" s="131"/>
      <c r="F627" s="131"/>
      <c r="G627" s="60" t="s">
        <v>131</v>
      </c>
      <c r="H627" s="134"/>
      <c r="I627" s="134"/>
      <c r="J627" s="60"/>
      <c r="K627" s="60"/>
      <c r="L627" s="60"/>
      <c r="M627" s="60"/>
      <c r="N627" s="60">
        <f t="shared" si="155"/>
        <v>0</v>
      </c>
      <c r="O627" s="60">
        <f t="shared" si="156"/>
        <v>0</v>
      </c>
    </row>
    <row r="628" spans="1:15" s="38" customFormat="1" ht="14.45" hidden="1" customHeight="1" outlineLevel="1" x14ac:dyDescent="0.25">
      <c r="A628" s="126" t="s">
        <v>313</v>
      </c>
      <c r="B628" s="127" t="s">
        <v>314</v>
      </c>
      <c r="C628" s="130">
        <f>SUM(N628:N634)</f>
        <v>0</v>
      </c>
      <c r="D628" s="130">
        <f>SUM(O628:O634)</f>
        <v>0</v>
      </c>
      <c r="E628" s="130">
        <f t="shared" si="145"/>
        <v>0</v>
      </c>
      <c r="F628" s="130"/>
      <c r="G628" s="60" t="s">
        <v>125</v>
      </c>
      <c r="H628" s="123"/>
      <c r="I628" s="123"/>
      <c r="J628" s="60"/>
      <c r="K628" s="60"/>
      <c r="L628" s="60"/>
      <c r="M628" s="60"/>
      <c r="N628" s="60">
        <f>M628*J628*K628*L628</f>
        <v>0</v>
      </c>
      <c r="O628" s="60">
        <f>J628*K628*L628</f>
        <v>0</v>
      </c>
    </row>
    <row r="629" spans="1:15" s="38" customFormat="1" ht="11.45" hidden="1" customHeight="1" outlineLevel="1" x14ac:dyDescent="0.25">
      <c r="A629" s="124"/>
      <c r="B629" s="137"/>
      <c r="C629" s="115"/>
      <c r="D629" s="115"/>
      <c r="E629" s="115"/>
      <c r="F629" s="115"/>
      <c r="G629" s="60" t="s">
        <v>126</v>
      </c>
      <c r="H629" s="124"/>
      <c r="I629" s="124"/>
      <c r="J629" s="60"/>
      <c r="K629" s="60"/>
      <c r="L629" s="60"/>
      <c r="M629" s="60"/>
      <c r="N629" s="60">
        <f t="shared" ref="N629:N634" si="157">M629*J629*K629*L629</f>
        <v>0</v>
      </c>
      <c r="O629" s="60">
        <f t="shared" ref="O629:O634" si="158">J629*K629*L629</f>
        <v>0</v>
      </c>
    </row>
    <row r="630" spans="1:15" s="38" customFormat="1" ht="10.7" hidden="1" customHeight="1" outlineLevel="1" x14ac:dyDescent="0.25">
      <c r="A630" s="124"/>
      <c r="B630" s="137"/>
      <c r="C630" s="115"/>
      <c r="D630" s="115"/>
      <c r="E630" s="115"/>
      <c r="F630" s="115"/>
      <c r="G630" s="60" t="s">
        <v>127</v>
      </c>
      <c r="H630" s="124"/>
      <c r="I630" s="124"/>
      <c r="J630" s="60"/>
      <c r="K630" s="60"/>
      <c r="L630" s="60"/>
      <c r="M630" s="60"/>
      <c r="N630" s="60">
        <f t="shared" si="157"/>
        <v>0</v>
      </c>
      <c r="O630" s="60">
        <f t="shared" si="158"/>
        <v>0</v>
      </c>
    </row>
    <row r="631" spans="1:15" s="38" customFormat="1" ht="10.7" hidden="1" customHeight="1" outlineLevel="1" x14ac:dyDescent="0.25">
      <c r="A631" s="124"/>
      <c r="B631" s="137"/>
      <c r="C631" s="115"/>
      <c r="D631" s="115"/>
      <c r="E631" s="115"/>
      <c r="F631" s="115"/>
      <c r="G631" s="60" t="s">
        <v>128</v>
      </c>
      <c r="H631" s="124"/>
      <c r="I631" s="124"/>
      <c r="J631" s="60"/>
      <c r="K631" s="60"/>
      <c r="L631" s="60"/>
      <c r="M631" s="60"/>
      <c r="N631" s="60">
        <f t="shared" si="157"/>
        <v>0</v>
      </c>
      <c r="O631" s="60">
        <f t="shared" si="158"/>
        <v>0</v>
      </c>
    </row>
    <row r="632" spans="1:15" s="38" customFormat="1" ht="10.7" hidden="1" customHeight="1" outlineLevel="1" x14ac:dyDescent="0.25">
      <c r="A632" s="124"/>
      <c r="B632" s="137"/>
      <c r="C632" s="115"/>
      <c r="D632" s="115"/>
      <c r="E632" s="115"/>
      <c r="F632" s="115"/>
      <c r="G632" s="60" t="s">
        <v>129</v>
      </c>
      <c r="H632" s="124"/>
      <c r="I632" s="124"/>
      <c r="J632" s="60"/>
      <c r="K632" s="60"/>
      <c r="L632" s="60"/>
      <c r="M632" s="60"/>
      <c r="N632" s="60">
        <f t="shared" si="157"/>
        <v>0</v>
      </c>
      <c r="O632" s="60">
        <f t="shared" si="158"/>
        <v>0</v>
      </c>
    </row>
    <row r="633" spans="1:15" s="38" customFormat="1" ht="10.7" hidden="1" customHeight="1" outlineLevel="1" x14ac:dyDescent="0.25">
      <c r="A633" s="124"/>
      <c r="B633" s="137"/>
      <c r="C633" s="115"/>
      <c r="D633" s="115"/>
      <c r="E633" s="115"/>
      <c r="F633" s="115"/>
      <c r="G633" s="60" t="s">
        <v>130</v>
      </c>
      <c r="H633" s="124"/>
      <c r="I633" s="124"/>
      <c r="J633" s="60"/>
      <c r="K633" s="60"/>
      <c r="L633" s="60"/>
      <c r="M633" s="60"/>
      <c r="N633" s="60">
        <f t="shared" si="157"/>
        <v>0</v>
      </c>
      <c r="O633" s="60">
        <f t="shared" si="158"/>
        <v>0</v>
      </c>
    </row>
    <row r="634" spans="1:15" s="38" customFormat="1" ht="12" hidden="1" customHeight="1" outlineLevel="1" thickBot="1" x14ac:dyDescent="0.3">
      <c r="A634" s="125"/>
      <c r="B634" s="138"/>
      <c r="C634" s="131"/>
      <c r="D634" s="131"/>
      <c r="E634" s="131"/>
      <c r="F634" s="131"/>
      <c r="G634" s="60" t="s">
        <v>131</v>
      </c>
      <c r="H634" s="134"/>
      <c r="I634" s="134"/>
      <c r="J634" s="60"/>
      <c r="K634" s="60"/>
      <c r="L634" s="60"/>
      <c r="M634" s="60"/>
      <c r="N634" s="60">
        <f t="shared" si="157"/>
        <v>0</v>
      </c>
      <c r="O634" s="60">
        <f t="shared" si="158"/>
        <v>0</v>
      </c>
    </row>
    <row r="635" spans="1:15" s="39" customFormat="1" ht="16.5" collapsed="1" thickBot="1" x14ac:dyDescent="0.3">
      <c r="A635" s="40" t="s">
        <v>315</v>
      </c>
      <c r="B635" s="41" t="s">
        <v>316</v>
      </c>
      <c r="C635" s="42">
        <f>SUM(C636)</f>
        <v>0</v>
      </c>
      <c r="D635" s="42">
        <f>SUM(D636)</f>
        <v>0</v>
      </c>
      <c r="E635" s="42">
        <f>SUM(E636)</f>
        <v>0</v>
      </c>
      <c r="F635" s="42"/>
      <c r="G635" s="42"/>
      <c r="H635" s="42"/>
      <c r="I635" s="42"/>
      <c r="J635" s="42"/>
      <c r="K635" s="42"/>
      <c r="L635" s="42"/>
      <c r="M635" s="42"/>
      <c r="N635" s="42"/>
      <c r="O635" s="47"/>
    </row>
    <row r="636" spans="1:15" s="38" customFormat="1" ht="14.45" hidden="1" customHeight="1" outlineLevel="1" x14ac:dyDescent="0.25">
      <c r="A636" s="140" t="s">
        <v>68</v>
      </c>
      <c r="B636" s="141" t="s">
        <v>317</v>
      </c>
      <c r="C636" s="130">
        <f>SUM(N636:N642)</f>
        <v>0</v>
      </c>
      <c r="D636" s="130">
        <f>SUM(O636:O642)</f>
        <v>0</v>
      </c>
      <c r="E636" s="130">
        <f t="shared" ref="E636" si="159">D636/8</f>
        <v>0</v>
      </c>
      <c r="F636" s="130"/>
      <c r="G636" s="60" t="s">
        <v>125</v>
      </c>
      <c r="H636" s="123"/>
      <c r="I636" s="123"/>
      <c r="J636" s="60"/>
      <c r="K636" s="60"/>
      <c r="L636" s="60"/>
      <c r="M636" s="60"/>
      <c r="N636" s="60">
        <f>M636*J636*K636*L636</f>
        <v>0</v>
      </c>
      <c r="O636" s="60">
        <f>J636*K636*L636</f>
        <v>0</v>
      </c>
    </row>
    <row r="637" spans="1:15" s="38" customFormat="1" ht="11.45" hidden="1" customHeight="1" outlineLevel="1" x14ac:dyDescent="0.25">
      <c r="A637" s="124"/>
      <c r="B637" s="142"/>
      <c r="C637" s="115"/>
      <c r="D637" s="115"/>
      <c r="E637" s="115"/>
      <c r="F637" s="115"/>
      <c r="G637" s="60" t="s">
        <v>126</v>
      </c>
      <c r="H637" s="124"/>
      <c r="I637" s="124"/>
      <c r="J637" s="60"/>
      <c r="K637" s="60"/>
      <c r="L637" s="60"/>
      <c r="M637" s="60"/>
      <c r="N637" s="60">
        <f t="shared" ref="N637:N642" si="160">M637*J637*K637*L637</f>
        <v>0</v>
      </c>
      <c r="O637" s="60">
        <f t="shared" ref="O637:O642" si="161">J637*K637*L637</f>
        <v>0</v>
      </c>
    </row>
    <row r="638" spans="1:15" s="38" customFormat="1" ht="10.7" hidden="1" customHeight="1" outlineLevel="1" x14ac:dyDescent="0.25">
      <c r="A638" s="124"/>
      <c r="B638" s="142"/>
      <c r="C638" s="115"/>
      <c r="D638" s="115"/>
      <c r="E638" s="115"/>
      <c r="F638" s="115"/>
      <c r="G638" s="60" t="s">
        <v>127</v>
      </c>
      <c r="H638" s="124"/>
      <c r="I638" s="124"/>
      <c r="J638" s="60"/>
      <c r="K638" s="60"/>
      <c r="L638" s="60"/>
      <c r="M638" s="60"/>
      <c r="N638" s="60">
        <f t="shared" si="160"/>
        <v>0</v>
      </c>
      <c r="O638" s="60">
        <f t="shared" si="161"/>
        <v>0</v>
      </c>
    </row>
    <row r="639" spans="1:15" s="38" customFormat="1" ht="10.7" hidden="1" customHeight="1" outlineLevel="1" x14ac:dyDescent="0.25">
      <c r="A639" s="124"/>
      <c r="B639" s="142"/>
      <c r="C639" s="115"/>
      <c r="D639" s="115"/>
      <c r="E639" s="115"/>
      <c r="F639" s="115"/>
      <c r="G639" s="60" t="s">
        <v>128</v>
      </c>
      <c r="H639" s="124"/>
      <c r="I639" s="124"/>
      <c r="J639" s="60"/>
      <c r="K639" s="60"/>
      <c r="L639" s="60"/>
      <c r="M639" s="60"/>
      <c r="N639" s="60">
        <f t="shared" si="160"/>
        <v>0</v>
      </c>
      <c r="O639" s="60">
        <f t="shared" si="161"/>
        <v>0</v>
      </c>
    </row>
    <row r="640" spans="1:15" s="38" customFormat="1" ht="10.7" hidden="1" customHeight="1" outlineLevel="1" x14ac:dyDescent="0.25">
      <c r="A640" s="124"/>
      <c r="B640" s="142"/>
      <c r="C640" s="115"/>
      <c r="D640" s="115"/>
      <c r="E640" s="115"/>
      <c r="F640" s="115"/>
      <c r="G640" s="60" t="s">
        <v>129</v>
      </c>
      <c r="H640" s="124"/>
      <c r="I640" s="124"/>
      <c r="J640" s="60"/>
      <c r="K640" s="60"/>
      <c r="L640" s="60"/>
      <c r="M640" s="60"/>
      <c r="N640" s="60">
        <f t="shared" si="160"/>
        <v>0</v>
      </c>
      <c r="O640" s="60">
        <f t="shared" si="161"/>
        <v>0</v>
      </c>
    </row>
    <row r="641" spans="1:15" s="38" customFormat="1" ht="10.7" hidden="1" customHeight="1" outlineLevel="1" x14ac:dyDescent="0.25">
      <c r="A641" s="124"/>
      <c r="B641" s="142"/>
      <c r="C641" s="115"/>
      <c r="D641" s="115"/>
      <c r="E641" s="115"/>
      <c r="F641" s="115"/>
      <c r="G641" s="60" t="s">
        <v>130</v>
      </c>
      <c r="H641" s="124"/>
      <c r="I641" s="124"/>
      <c r="J641" s="60"/>
      <c r="K641" s="60"/>
      <c r="L641" s="60"/>
      <c r="M641" s="60"/>
      <c r="N641" s="60">
        <f t="shared" si="160"/>
        <v>0</v>
      </c>
      <c r="O641" s="60">
        <f t="shared" si="161"/>
        <v>0</v>
      </c>
    </row>
    <row r="642" spans="1:15" s="38" customFormat="1" ht="12" hidden="1" customHeight="1" outlineLevel="1" thickBot="1" x14ac:dyDescent="0.3">
      <c r="A642" s="125"/>
      <c r="B642" s="143"/>
      <c r="C642" s="131"/>
      <c r="D642" s="131"/>
      <c r="E642" s="131"/>
      <c r="F642" s="131"/>
      <c r="G642" s="60" t="s">
        <v>131</v>
      </c>
      <c r="H642" s="134"/>
      <c r="I642" s="134"/>
      <c r="J642" s="60"/>
      <c r="K642" s="60"/>
      <c r="L642" s="60"/>
      <c r="M642" s="60"/>
      <c r="N642" s="60">
        <f t="shared" si="160"/>
        <v>0</v>
      </c>
      <c r="O642" s="60">
        <f t="shared" si="161"/>
        <v>0</v>
      </c>
    </row>
    <row r="643" spans="1:15" s="39" customFormat="1" ht="16.5" collapsed="1" thickBot="1" x14ac:dyDescent="0.3">
      <c r="A643" s="40" t="s">
        <v>318</v>
      </c>
      <c r="B643" s="41" t="s">
        <v>319</v>
      </c>
      <c r="C643" s="42">
        <f>SUM(C644)</f>
        <v>0</v>
      </c>
      <c r="D643" s="42">
        <f>SUM(D644)</f>
        <v>0</v>
      </c>
      <c r="E643" s="42">
        <f>SUM(E644)</f>
        <v>0</v>
      </c>
      <c r="F643" s="42"/>
      <c r="G643" s="42"/>
      <c r="H643" s="42"/>
      <c r="I643" s="42"/>
      <c r="J643" s="42"/>
      <c r="K643" s="42"/>
      <c r="L643" s="42"/>
      <c r="M643" s="42"/>
      <c r="N643" s="42"/>
      <c r="O643" s="47"/>
    </row>
    <row r="644" spans="1:15" s="38" customFormat="1" ht="14.45" hidden="1" customHeight="1" outlineLevel="1" x14ac:dyDescent="0.25">
      <c r="A644" s="140" t="s">
        <v>320</v>
      </c>
      <c r="B644" s="141" t="s">
        <v>321</v>
      </c>
      <c r="C644" s="130">
        <f>SUM(N644:N650)</f>
        <v>0</v>
      </c>
      <c r="D644" s="130">
        <f>SUM(O644:O650)</f>
        <v>0</v>
      </c>
      <c r="E644" s="130">
        <f t="shared" ref="E644" si="162">D644/8</f>
        <v>0</v>
      </c>
      <c r="F644" s="130"/>
      <c r="G644" s="60" t="s">
        <v>125</v>
      </c>
      <c r="H644" s="123"/>
      <c r="I644" s="123"/>
      <c r="J644" s="60"/>
      <c r="K644" s="60"/>
      <c r="L644" s="60"/>
      <c r="M644" s="60"/>
      <c r="N644" s="60">
        <f>M644*J644*K644*L644</f>
        <v>0</v>
      </c>
      <c r="O644" s="60">
        <f>J644*K644*L644</f>
        <v>0</v>
      </c>
    </row>
    <row r="645" spans="1:15" s="38" customFormat="1" ht="11.45" hidden="1" customHeight="1" outlineLevel="1" x14ac:dyDescent="0.25">
      <c r="A645" s="124"/>
      <c r="B645" s="142"/>
      <c r="C645" s="115"/>
      <c r="D645" s="115"/>
      <c r="E645" s="115"/>
      <c r="F645" s="115"/>
      <c r="G645" s="60" t="s">
        <v>126</v>
      </c>
      <c r="H645" s="124"/>
      <c r="I645" s="124"/>
      <c r="J645" s="60"/>
      <c r="K645" s="60"/>
      <c r="L645" s="60"/>
      <c r="M645" s="60"/>
      <c r="N645" s="60">
        <f t="shared" ref="N645:N650" si="163">M645*J645*K645*L645</f>
        <v>0</v>
      </c>
      <c r="O645" s="60">
        <f t="shared" ref="O645:O650" si="164">J645*K645*L645</f>
        <v>0</v>
      </c>
    </row>
    <row r="646" spans="1:15" s="38" customFormat="1" ht="10.7" hidden="1" customHeight="1" outlineLevel="1" x14ac:dyDescent="0.25">
      <c r="A646" s="124"/>
      <c r="B646" s="142"/>
      <c r="C646" s="115"/>
      <c r="D646" s="115"/>
      <c r="E646" s="115"/>
      <c r="F646" s="115"/>
      <c r="G646" s="60" t="s">
        <v>127</v>
      </c>
      <c r="H646" s="124"/>
      <c r="I646" s="124"/>
      <c r="J646" s="60"/>
      <c r="K646" s="60"/>
      <c r="L646" s="60"/>
      <c r="M646" s="60"/>
      <c r="N646" s="60">
        <f t="shared" si="163"/>
        <v>0</v>
      </c>
      <c r="O646" s="60">
        <f t="shared" si="164"/>
        <v>0</v>
      </c>
    </row>
    <row r="647" spans="1:15" s="38" customFormat="1" ht="10.7" hidden="1" customHeight="1" outlineLevel="1" x14ac:dyDescent="0.25">
      <c r="A647" s="124"/>
      <c r="B647" s="142"/>
      <c r="C647" s="115"/>
      <c r="D647" s="115"/>
      <c r="E647" s="115"/>
      <c r="F647" s="115"/>
      <c r="G647" s="60" t="s">
        <v>128</v>
      </c>
      <c r="H647" s="124"/>
      <c r="I647" s="124"/>
      <c r="J647" s="60"/>
      <c r="K647" s="60"/>
      <c r="L647" s="60"/>
      <c r="M647" s="60"/>
      <c r="N647" s="60">
        <f t="shared" si="163"/>
        <v>0</v>
      </c>
      <c r="O647" s="60">
        <f t="shared" si="164"/>
        <v>0</v>
      </c>
    </row>
    <row r="648" spans="1:15" s="38" customFormat="1" ht="10.7" hidden="1" customHeight="1" outlineLevel="1" x14ac:dyDescent="0.25">
      <c r="A648" s="124"/>
      <c r="B648" s="142"/>
      <c r="C648" s="115"/>
      <c r="D648" s="115"/>
      <c r="E648" s="115"/>
      <c r="F648" s="115"/>
      <c r="G648" s="60" t="s">
        <v>129</v>
      </c>
      <c r="H648" s="124"/>
      <c r="I648" s="124"/>
      <c r="J648" s="60"/>
      <c r="K648" s="60"/>
      <c r="L648" s="60"/>
      <c r="M648" s="60"/>
      <c r="N648" s="60">
        <f t="shared" si="163"/>
        <v>0</v>
      </c>
      <c r="O648" s="60">
        <f t="shared" si="164"/>
        <v>0</v>
      </c>
    </row>
    <row r="649" spans="1:15" s="38" customFormat="1" ht="10.7" hidden="1" customHeight="1" outlineLevel="1" x14ac:dyDescent="0.25">
      <c r="A649" s="124"/>
      <c r="B649" s="142"/>
      <c r="C649" s="115"/>
      <c r="D649" s="115"/>
      <c r="E649" s="115"/>
      <c r="F649" s="115"/>
      <c r="G649" s="60" t="s">
        <v>130</v>
      </c>
      <c r="H649" s="124"/>
      <c r="I649" s="124"/>
      <c r="J649" s="60"/>
      <c r="K649" s="60"/>
      <c r="L649" s="60"/>
      <c r="M649" s="60"/>
      <c r="N649" s="60">
        <f t="shared" si="163"/>
        <v>0</v>
      </c>
      <c r="O649" s="60">
        <f t="shared" si="164"/>
        <v>0</v>
      </c>
    </row>
    <row r="650" spans="1:15" s="38" customFormat="1" ht="12" hidden="1" customHeight="1" outlineLevel="1" thickBot="1" x14ac:dyDescent="0.3">
      <c r="A650" s="125"/>
      <c r="B650" s="143"/>
      <c r="C650" s="131"/>
      <c r="D650" s="131"/>
      <c r="E650" s="131"/>
      <c r="F650" s="131"/>
      <c r="G650" s="60" t="s">
        <v>131</v>
      </c>
      <c r="H650" s="134"/>
      <c r="I650" s="134"/>
      <c r="J650" s="60"/>
      <c r="K650" s="60"/>
      <c r="L650" s="60"/>
      <c r="M650" s="60"/>
      <c r="N650" s="60">
        <f t="shared" si="163"/>
        <v>0</v>
      </c>
      <c r="O650" s="60">
        <f t="shared" si="164"/>
        <v>0</v>
      </c>
    </row>
    <row r="651" spans="1:15" s="39" customFormat="1" ht="32.25" collapsed="1" thickBot="1" x14ac:dyDescent="0.3">
      <c r="A651" s="40" t="s">
        <v>322</v>
      </c>
      <c r="B651" s="41" t="s">
        <v>323</v>
      </c>
      <c r="C651" s="42">
        <f>SUM(C652)</f>
        <v>0</v>
      </c>
      <c r="D651" s="42">
        <f>SUM(D652)</f>
        <v>0</v>
      </c>
      <c r="E651" s="42">
        <f>SUM(E652)</f>
        <v>0</v>
      </c>
      <c r="F651" s="42"/>
      <c r="G651" s="42"/>
      <c r="H651" s="42"/>
      <c r="I651" s="42"/>
      <c r="J651" s="42"/>
      <c r="K651" s="42"/>
      <c r="L651" s="42"/>
      <c r="M651" s="42"/>
      <c r="N651" s="42"/>
      <c r="O651" s="47"/>
    </row>
    <row r="652" spans="1:15" s="38" customFormat="1" ht="14.45" hidden="1" customHeight="1" outlineLevel="1" x14ac:dyDescent="0.25">
      <c r="A652" s="126" t="s">
        <v>71</v>
      </c>
      <c r="B652" s="127" t="s">
        <v>324</v>
      </c>
      <c r="C652" s="130">
        <f>SUM(N652:N658)</f>
        <v>0</v>
      </c>
      <c r="D652" s="130">
        <f>SUM(O652:O658)</f>
        <v>0</v>
      </c>
      <c r="E652" s="130">
        <f t="shared" ref="E652" si="165">D652/8</f>
        <v>0</v>
      </c>
      <c r="F652" s="130"/>
      <c r="G652" s="60" t="s">
        <v>125</v>
      </c>
      <c r="H652" s="123"/>
      <c r="I652" s="123"/>
      <c r="J652" s="60"/>
      <c r="K652" s="60"/>
      <c r="L652" s="60"/>
      <c r="M652" s="60"/>
      <c r="N652" s="60">
        <f>M652*J652*K652*L652</f>
        <v>0</v>
      </c>
      <c r="O652" s="60">
        <f>J652*K652*L652</f>
        <v>0</v>
      </c>
    </row>
    <row r="653" spans="1:15" s="38" customFormat="1" ht="11.45" hidden="1" customHeight="1" outlineLevel="1" x14ac:dyDescent="0.25">
      <c r="A653" s="124"/>
      <c r="B653" s="137"/>
      <c r="C653" s="115"/>
      <c r="D653" s="115"/>
      <c r="E653" s="115"/>
      <c r="F653" s="115"/>
      <c r="G653" s="60" t="s">
        <v>126</v>
      </c>
      <c r="H653" s="124"/>
      <c r="I653" s="124"/>
      <c r="J653" s="60"/>
      <c r="K653" s="60"/>
      <c r="L653" s="60"/>
      <c r="M653" s="60"/>
      <c r="N653" s="60">
        <f t="shared" ref="N653:N658" si="166">M653*J653*K653*L653</f>
        <v>0</v>
      </c>
      <c r="O653" s="60">
        <f t="shared" ref="O653:O658" si="167">J653*K653*L653</f>
        <v>0</v>
      </c>
    </row>
    <row r="654" spans="1:15" s="38" customFormat="1" ht="10.7" hidden="1" customHeight="1" outlineLevel="1" x14ac:dyDescent="0.25">
      <c r="A654" s="124"/>
      <c r="B654" s="137"/>
      <c r="C654" s="115"/>
      <c r="D654" s="115"/>
      <c r="E654" s="115"/>
      <c r="F654" s="115"/>
      <c r="G654" s="60" t="s">
        <v>127</v>
      </c>
      <c r="H654" s="124"/>
      <c r="I654" s="124"/>
      <c r="J654" s="60"/>
      <c r="K654" s="60"/>
      <c r="L654" s="60"/>
      <c r="M654" s="60"/>
      <c r="N654" s="60">
        <f t="shared" si="166"/>
        <v>0</v>
      </c>
      <c r="O654" s="60">
        <f t="shared" si="167"/>
        <v>0</v>
      </c>
    </row>
    <row r="655" spans="1:15" s="38" customFormat="1" ht="10.7" hidden="1" customHeight="1" outlineLevel="1" x14ac:dyDescent="0.25">
      <c r="A655" s="124"/>
      <c r="B655" s="137"/>
      <c r="C655" s="115"/>
      <c r="D655" s="115"/>
      <c r="E655" s="115"/>
      <c r="F655" s="115"/>
      <c r="G655" s="60" t="s">
        <v>128</v>
      </c>
      <c r="H655" s="124"/>
      <c r="I655" s="124"/>
      <c r="J655" s="60"/>
      <c r="K655" s="60"/>
      <c r="L655" s="60"/>
      <c r="M655" s="60"/>
      <c r="N655" s="60">
        <f t="shared" si="166"/>
        <v>0</v>
      </c>
      <c r="O655" s="60">
        <f t="shared" si="167"/>
        <v>0</v>
      </c>
    </row>
    <row r="656" spans="1:15" s="38" customFormat="1" ht="10.7" hidden="1" customHeight="1" outlineLevel="1" x14ac:dyDescent="0.25">
      <c r="A656" s="124"/>
      <c r="B656" s="137"/>
      <c r="C656" s="115"/>
      <c r="D656" s="115"/>
      <c r="E656" s="115"/>
      <c r="F656" s="115"/>
      <c r="G656" s="60" t="s">
        <v>129</v>
      </c>
      <c r="H656" s="124"/>
      <c r="I656" s="124"/>
      <c r="J656" s="60"/>
      <c r="K656" s="60"/>
      <c r="L656" s="60"/>
      <c r="M656" s="60"/>
      <c r="N656" s="60">
        <f t="shared" si="166"/>
        <v>0</v>
      </c>
      <c r="O656" s="60">
        <f t="shared" si="167"/>
        <v>0</v>
      </c>
    </row>
    <row r="657" spans="1:15" s="38" customFormat="1" ht="10.7" hidden="1" customHeight="1" outlineLevel="1" x14ac:dyDescent="0.25">
      <c r="A657" s="124"/>
      <c r="B657" s="137"/>
      <c r="C657" s="115"/>
      <c r="D657" s="115"/>
      <c r="E657" s="115"/>
      <c r="F657" s="115"/>
      <c r="G657" s="60" t="s">
        <v>130</v>
      </c>
      <c r="H657" s="124"/>
      <c r="I657" s="124"/>
      <c r="J657" s="60"/>
      <c r="K657" s="60"/>
      <c r="L657" s="60"/>
      <c r="M657" s="60"/>
      <c r="N657" s="60">
        <f t="shared" si="166"/>
        <v>0</v>
      </c>
      <c r="O657" s="60">
        <f t="shared" si="167"/>
        <v>0</v>
      </c>
    </row>
    <row r="658" spans="1:15" s="38" customFormat="1" ht="12" hidden="1" customHeight="1" outlineLevel="1" thickBot="1" x14ac:dyDescent="0.3">
      <c r="A658" s="125"/>
      <c r="B658" s="138"/>
      <c r="C658" s="131"/>
      <c r="D658" s="131"/>
      <c r="E658" s="131"/>
      <c r="F658" s="131"/>
      <c r="G658" s="60" t="s">
        <v>131</v>
      </c>
      <c r="H658" s="134"/>
      <c r="I658" s="134"/>
      <c r="J658" s="60"/>
      <c r="K658" s="60"/>
      <c r="L658" s="60"/>
      <c r="M658" s="60"/>
      <c r="N658" s="60">
        <f t="shared" si="166"/>
        <v>0</v>
      </c>
      <c r="O658" s="60">
        <f t="shared" si="167"/>
        <v>0</v>
      </c>
    </row>
    <row r="659" spans="1:15" s="39" customFormat="1" ht="16.5" collapsed="1" thickBot="1" x14ac:dyDescent="0.3">
      <c r="A659" s="40" t="s">
        <v>325</v>
      </c>
      <c r="B659" s="41" t="s">
        <v>326</v>
      </c>
      <c r="C659" s="42">
        <f>SUM(C660)</f>
        <v>0</v>
      </c>
      <c r="D659" s="42">
        <f>SUM(D660)</f>
        <v>0</v>
      </c>
      <c r="E659" s="42">
        <f>SUM(E660)</f>
        <v>0</v>
      </c>
      <c r="F659" s="42"/>
      <c r="G659" s="42"/>
      <c r="H659" s="42"/>
      <c r="I659" s="42"/>
      <c r="J659" s="42"/>
      <c r="K659" s="42"/>
      <c r="L659" s="42"/>
      <c r="M659" s="42"/>
      <c r="N659" s="42"/>
      <c r="O659" s="47"/>
    </row>
    <row r="660" spans="1:15" s="38" customFormat="1" ht="14.45" hidden="1" customHeight="1" outlineLevel="1" x14ac:dyDescent="0.25">
      <c r="A660" s="140" t="s">
        <v>327</v>
      </c>
      <c r="B660" s="141" t="s">
        <v>328</v>
      </c>
      <c r="C660" s="130">
        <f>SUM(N660:N666)</f>
        <v>0</v>
      </c>
      <c r="D660" s="130">
        <f>SUM(O660:O666)</f>
        <v>0</v>
      </c>
      <c r="E660" s="130">
        <f t="shared" ref="E660" si="168">D660/8</f>
        <v>0</v>
      </c>
      <c r="F660" s="130"/>
      <c r="G660" s="60" t="s">
        <v>125</v>
      </c>
      <c r="H660" s="123"/>
      <c r="I660" s="123"/>
      <c r="J660" s="60"/>
      <c r="K660" s="60"/>
      <c r="L660" s="60"/>
      <c r="M660" s="60"/>
      <c r="N660" s="60">
        <f>M660*J660*K660*L660</f>
        <v>0</v>
      </c>
      <c r="O660" s="60">
        <f>J660*K660*L660</f>
        <v>0</v>
      </c>
    </row>
    <row r="661" spans="1:15" s="38" customFormat="1" ht="11.45" hidden="1" customHeight="1" outlineLevel="1" x14ac:dyDescent="0.25">
      <c r="A661" s="124"/>
      <c r="B661" s="142"/>
      <c r="C661" s="115"/>
      <c r="D661" s="115"/>
      <c r="E661" s="115"/>
      <c r="F661" s="115"/>
      <c r="G661" s="60" t="s">
        <v>126</v>
      </c>
      <c r="H661" s="124"/>
      <c r="I661" s="124"/>
      <c r="J661" s="60"/>
      <c r="K661" s="60"/>
      <c r="L661" s="60"/>
      <c r="M661" s="60"/>
      <c r="N661" s="60">
        <f t="shared" ref="N661:N666" si="169">M661*J661*K661*L661</f>
        <v>0</v>
      </c>
      <c r="O661" s="60">
        <f t="shared" ref="O661:O666" si="170">J661*K661*L661</f>
        <v>0</v>
      </c>
    </row>
    <row r="662" spans="1:15" s="38" customFormat="1" ht="10.7" hidden="1" customHeight="1" outlineLevel="1" x14ac:dyDescent="0.25">
      <c r="A662" s="124"/>
      <c r="B662" s="142"/>
      <c r="C662" s="115"/>
      <c r="D662" s="115"/>
      <c r="E662" s="115"/>
      <c r="F662" s="115"/>
      <c r="G662" s="60" t="s">
        <v>127</v>
      </c>
      <c r="H662" s="124"/>
      <c r="I662" s="124"/>
      <c r="J662" s="60"/>
      <c r="K662" s="60"/>
      <c r="L662" s="60"/>
      <c r="M662" s="60"/>
      <c r="N662" s="60">
        <f t="shared" si="169"/>
        <v>0</v>
      </c>
      <c r="O662" s="60">
        <f t="shared" si="170"/>
        <v>0</v>
      </c>
    </row>
    <row r="663" spans="1:15" s="38" customFormat="1" ht="10.7" hidden="1" customHeight="1" outlineLevel="1" x14ac:dyDescent="0.25">
      <c r="A663" s="124"/>
      <c r="B663" s="142"/>
      <c r="C663" s="115"/>
      <c r="D663" s="115"/>
      <c r="E663" s="115"/>
      <c r="F663" s="115"/>
      <c r="G663" s="60" t="s">
        <v>128</v>
      </c>
      <c r="H663" s="124"/>
      <c r="I663" s="124"/>
      <c r="J663" s="60"/>
      <c r="K663" s="60"/>
      <c r="L663" s="60"/>
      <c r="M663" s="60"/>
      <c r="N663" s="60">
        <f t="shared" si="169"/>
        <v>0</v>
      </c>
      <c r="O663" s="60">
        <f t="shared" si="170"/>
        <v>0</v>
      </c>
    </row>
    <row r="664" spans="1:15" s="38" customFormat="1" ht="10.7" hidden="1" customHeight="1" outlineLevel="1" x14ac:dyDescent="0.25">
      <c r="A664" s="124"/>
      <c r="B664" s="142"/>
      <c r="C664" s="115"/>
      <c r="D664" s="115"/>
      <c r="E664" s="115"/>
      <c r="F664" s="115"/>
      <c r="G664" s="60" t="s">
        <v>129</v>
      </c>
      <c r="H664" s="124"/>
      <c r="I664" s="124"/>
      <c r="J664" s="60"/>
      <c r="K664" s="60"/>
      <c r="L664" s="60"/>
      <c r="M664" s="60"/>
      <c r="N664" s="60">
        <f t="shared" si="169"/>
        <v>0</v>
      </c>
      <c r="O664" s="60">
        <f t="shared" si="170"/>
        <v>0</v>
      </c>
    </row>
    <row r="665" spans="1:15" s="38" customFormat="1" ht="10.7" hidden="1" customHeight="1" outlineLevel="1" x14ac:dyDescent="0.25">
      <c r="A665" s="124"/>
      <c r="B665" s="142"/>
      <c r="C665" s="115"/>
      <c r="D665" s="115"/>
      <c r="E665" s="115"/>
      <c r="F665" s="115"/>
      <c r="G665" s="60" t="s">
        <v>130</v>
      </c>
      <c r="H665" s="124"/>
      <c r="I665" s="124"/>
      <c r="J665" s="60"/>
      <c r="K665" s="60"/>
      <c r="L665" s="60"/>
      <c r="M665" s="60"/>
      <c r="N665" s="60">
        <f t="shared" si="169"/>
        <v>0</v>
      </c>
      <c r="O665" s="60">
        <f t="shared" si="170"/>
        <v>0</v>
      </c>
    </row>
    <row r="666" spans="1:15" s="38" customFormat="1" ht="12" hidden="1" customHeight="1" outlineLevel="1" thickBot="1" x14ac:dyDescent="0.3">
      <c r="A666" s="125"/>
      <c r="B666" s="143"/>
      <c r="C666" s="131"/>
      <c r="D666" s="131"/>
      <c r="E666" s="131"/>
      <c r="F666" s="131"/>
      <c r="G666" s="60" t="s">
        <v>131</v>
      </c>
      <c r="H666" s="134"/>
      <c r="I666" s="134"/>
      <c r="J666" s="60"/>
      <c r="K666" s="60"/>
      <c r="L666" s="60"/>
      <c r="M666" s="60"/>
      <c r="N666" s="60">
        <f t="shared" si="169"/>
        <v>0</v>
      </c>
      <c r="O666" s="60">
        <f t="shared" si="170"/>
        <v>0</v>
      </c>
    </row>
    <row r="667" spans="1:15" s="39" customFormat="1" ht="16.5" collapsed="1" thickBot="1" x14ac:dyDescent="0.3">
      <c r="A667" s="40" t="s">
        <v>329</v>
      </c>
      <c r="B667" s="41" t="s">
        <v>330</v>
      </c>
      <c r="C667" s="42">
        <f>SUM(C668:C681)</f>
        <v>0</v>
      </c>
      <c r="D667" s="42">
        <f>SUM(D668:D681)</f>
        <v>0</v>
      </c>
      <c r="E667" s="42">
        <f>SUM(E668:E681)</f>
        <v>0</v>
      </c>
      <c r="F667" s="42"/>
      <c r="G667" s="42"/>
      <c r="H667" s="42"/>
      <c r="I667" s="42"/>
      <c r="J667" s="42"/>
      <c r="K667" s="42"/>
      <c r="L667" s="42"/>
      <c r="M667" s="42"/>
      <c r="N667" s="42"/>
      <c r="O667" s="47"/>
    </row>
    <row r="668" spans="1:15" s="38" customFormat="1" ht="14.45" hidden="1" customHeight="1" outlineLevel="1" x14ac:dyDescent="0.25">
      <c r="A668" s="126" t="s">
        <v>331</v>
      </c>
      <c r="B668" s="127" t="s">
        <v>332</v>
      </c>
      <c r="C668" s="130">
        <f>SUM(N668:N674)</f>
        <v>0</v>
      </c>
      <c r="D668" s="130">
        <f>SUM(O668:O674)</f>
        <v>0</v>
      </c>
      <c r="E668" s="130">
        <f t="shared" ref="E668:E675" si="171">D668/8</f>
        <v>0</v>
      </c>
      <c r="F668" s="130"/>
      <c r="G668" s="60" t="s">
        <v>125</v>
      </c>
      <c r="H668" s="123"/>
      <c r="I668" s="123"/>
      <c r="J668" s="60"/>
      <c r="K668" s="60"/>
      <c r="L668" s="60"/>
      <c r="M668" s="60"/>
      <c r="N668" s="60">
        <f>M668*J668*K668*L668</f>
        <v>0</v>
      </c>
      <c r="O668" s="60">
        <f>J668*K668*L668</f>
        <v>0</v>
      </c>
    </row>
    <row r="669" spans="1:15" s="38" customFormat="1" ht="11.45" hidden="1" customHeight="1" outlineLevel="1" x14ac:dyDescent="0.25">
      <c r="A669" s="124"/>
      <c r="B669" s="137"/>
      <c r="C669" s="115"/>
      <c r="D669" s="115"/>
      <c r="E669" s="115"/>
      <c r="F669" s="115"/>
      <c r="G669" s="60" t="s">
        <v>126</v>
      </c>
      <c r="H669" s="124"/>
      <c r="I669" s="124"/>
      <c r="J669" s="60"/>
      <c r="K669" s="60"/>
      <c r="L669" s="60"/>
      <c r="M669" s="60"/>
      <c r="N669" s="60">
        <f t="shared" ref="N669:N674" si="172">M669*J669*K669*L669</f>
        <v>0</v>
      </c>
      <c r="O669" s="60">
        <f t="shared" ref="O669:O674" si="173">J669*K669*L669</f>
        <v>0</v>
      </c>
    </row>
    <row r="670" spans="1:15" s="38" customFormat="1" ht="10.7" hidden="1" customHeight="1" outlineLevel="1" x14ac:dyDescent="0.25">
      <c r="A670" s="124"/>
      <c r="B670" s="137"/>
      <c r="C670" s="115"/>
      <c r="D670" s="115"/>
      <c r="E670" s="115"/>
      <c r="F670" s="115"/>
      <c r="G670" s="60" t="s">
        <v>127</v>
      </c>
      <c r="H670" s="124"/>
      <c r="I670" s="124"/>
      <c r="J670" s="60"/>
      <c r="K670" s="60"/>
      <c r="L670" s="60"/>
      <c r="M670" s="60"/>
      <c r="N670" s="60">
        <f t="shared" si="172"/>
        <v>0</v>
      </c>
      <c r="O670" s="60">
        <f t="shared" si="173"/>
        <v>0</v>
      </c>
    </row>
    <row r="671" spans="1:15" s="38" customFormat="1" ht="10.7" hidden="1" customHeight="1" outlineLevel="1" x14ac:dyDescent="0.25">
      <c r="A671" s="124"/>
      <c r="B671" s="137"/>
      <c r="C671" s="115"/>
      <c r="D671" s="115"/>
      <c r="E671" s="115"/>
      <c r="F671" s="115"/>
      <c r="G671" s="60" t="s">
        <v>128</v>
      </c>
      <c r="H671" s="124"/>
      <c r="I671" s="124"/>
      <c r="J671" s="60"/>
      <c r="K671" s="60"/>
      <c r="L671" s="60"/>
      <c r="M671" s="60"/>
      <c r="N671" s="60">
        <f t="shared" si="172"/>
        <v>0</v>
      </c>
      <c r="O671" s="60">
        <f t="shared" si="173"/>
        <v>0</v>
      </c>
    </row>
    <row r="672" spans="1:15" s="38" customFormat="1" ht="10.7" hidden="1" customHeight="1" outlineLevel="1" x14ac:dyDescent="0.25">
      <c r="A672" s="124"/>
      <c r="B672" s="137"/>
      <c r="C672" s="115"/>
      <c r="D672" s="115"/>
      <c r="E672" s="115"/>
      <c r="F672" s="115"/>
      <c r="G672" s="60" t="s">
        <v>129</v>
      </c>
      <c r="H672" s="124"/>
      <c r="I672" s="124"/>
      <c r="J672" s="60"/>
      <c r="K672" s="60"/>
      <c r="L672" s="60"/>
      <c r="M672" s="60"/>
      <c r="N672" s="60">
        <f t="shared" si="172"/>
        <v>0</v>
      </c>
      <c r="O672" s="60">
        <f t="shared" si="173"/>
        <v>0</v>
      </c>
    </row>
    <row r="673" spans="1:15" s="38" customFormat="1" ht="10.7" hidden="1" customHeight="1" outlineLevel="1" x14ac:dyDescent="0.25">
      <c r="A673" s="124"/>
      <c r="B673" s="137"/>
      <c r="C673" s="115"/>
      <c r="D673" s="115"/>
      <c r="E673" s="115"/>
      <c r="F673" s="115"/>
      <c r="G673" s="60" t="s">
        <v>130</v>
      </c>
      <c r="H673" s="124"/>
      <c r="I673" s="124"/>
      <c r="J673" s="60"/>
      <c r="K673" s="60"/>
      <c r="L673" s="60"/>
      <c r="M673" s="60"/>
      <c r="N673" s="60">
        <f t="shared" si="172"/>
        <v>0</v>
      </c>
      <c r="O673" s="60">
        <f t="shared" si="173"/>
        <v>0</v>
      </c>
    </row>
    <row r="674" spans="1:15" s="38" customFormat="1" ht="12" hidden="1" customHeight="1" outlineLevel="1" thickBot="1" x14ac:dyDescent="0.3">
      <c r="A674" s="125"/>
      <c r="B674" s="138"/>
      <c r="C674" s="131"/>
      <c r="D674" s="131"/>
      <c r="E674" s="131"/>
      <c r="F674" s="131"/>
      <c r="G674" s="60" t="s">
        <v>131</v>
      </c>
      <c r="H674" s="134"/>
      <c r="I674" s="134"/>
      <c r="J674" s="60"/>
      <c r="K674" s="60"/>
      <c r="L674" s="60"/>
      <c r="M674" s="60"/>
      <c r="N674" s="60">
        <f t="shared" si="172"/>
        <v>0</v>
      </c>
      <c r="O674" s="60">
        <f t="shared" si="173"/>
        <v>0</v>
      </c>
    </row>
    <row r="675" spans="1:15" s="38" customFormat="1" ht="14.45" hidden="1" customHeight="1" outlineLevel="1" x14ac:dyDescent="0.25">
      <c r="A675" s="126" t="s">
        <v>333</v>
      </c>
      <c r="B675" s="127" t="s">
        <v>334</v>
      </c>
      <c r="C675" s="130">
        <f>SUM(N675:N681)</f>
        <v>0</v>
      </c>
      <c r="D675" s="130">
        <f>SUM(O675:O681)</f>
        <v>0</v>
      </c>
      <c r="E675" s="130">
        <f t="shared" si="171"/>
        <v>0</v>
      </c>
      <c r="F675" s="130"/>
      <c r="G675" s="60" t="s">
        <v>125</v>
      </c>
      <c r="H675" s="123"/>
      <c r="I675" s="123"/>
      <c r="J675" s="60"/>
      <c r="K675" s="60"/>
      <c r="L675" s="60"/>
      <c r="M675" s="60"/>
      <c r="N675" s="60">
        <f>M675*J675*K675*L675</f>
        <v>0</v>
      </c>
      <c r="O675" s="60">
        <f>J675*K675*L675</f>
        <v>0</v>
      </c>
    </row>
    <row r="676" spans="1:15" s="38" customFormat="1" ht="11.45" hidden="1" customHeight="1" outlineLevel="1" x14ac:dyDescent="0.25">
      <c r="A676" s="124"/>
      <c r="B676" s="137"/>
      <c r="C676" s="115"/>
      <c r="D676" s="115"/>
      <c r="E676" s="115"/>
      <c r="F676" s="115"/>
      <c r="G676" s="60" t="s">
        <v>126</v>
      </c>
      <c r="H676" s="124"/>
      <c r="I676" s="124"/>
      <c r="J676" s="60"/>
      <c r="K676" s="60"/>
      <c r="L676" s="60"/>
      <c r="M676" s="60"/>
      <c r="N676" s="60">
        <f t="shared" ref="N676:N681" si="174">M676*J676*K676*L676</f>
        <v>0</v>
      </c>
      <c r="O676" s="60">
        <f t="shared" ref="O676:O681" si="175">J676*K676*L676</f>
        <v>0</v>
      </c>
    </row>
    <row r="677" spans="1:15" s="38" customFormat="1" ht="10.7" hidden="1" customHeight="1" outlineLevel="1" x14ac:dyDescent="0.25">
      <c r="A677" s="124"/>
      <c r="B677" s="137"/>
      <c r="C677" s="115"/>
      <c r="D677" s="115"/>
      <c r="E677" s="115"/>
      <c r="F677" s="115"/>
      <c r="G677" s="60" t="s">
        <v>127</v>
      </c>
      <c r="H677" s="124"/>
      <c r="I677" s="124"/>
      <c r="J677" s="60"/>
      <c r="K677" s="60"/>
      <c r="L677" s="60"/>
      <c r="M677" s="60"/>
      <c r="N677" s="60">
        <f t="shared" si="174"/>
        <v>0</v>
      </c>
      <c r="O677" s="60">
        <f t="shared" si="175"/>
        <v>0</v>
      </c>
    </row>
    <row r="678" spans="1:15" s="38" customFormat="1" ht="10.7" hidden="1" customHeight="1" outlineLevel="1" x14ac:dyDescent="0.25">
      <c r="A678" s="124"/>
      <c r="B678" s="137"/>
      <c r="C678" s="115"/>
      <c r="D678" s="115"/>
      <c r="E678" s="115"/>
      <c r="F678" s="115"/>
      <c r="G678" s="60" t="s">
        <v>128</v>
      </c>
      <c r="H678" s="124"/>
      <c r="I678" s="124"/>
      <c r="J678" s="60"/>
      <c r="K678" s="60"/>
      <c r="L678" s="60"/>
      <c r="M678" s="60"/>
      <c r="N678" s="60">
        <f t="shared" si="174"/>
        <v>0</v>
      </c>
      <c r="O678" s="60">
        <f t="shared" si="175"/>
        <v>0</v>
      </c>
    </row>
    <row r="679" spans="1:15" s="38" customFormat="1" ht="10.7" hidden="1" customHeight="1" outlineLevel="1" x14ac:dyDescent="0.25">
      <c r="A679" s="124"/>
      <c r="B679" s="137"/>
      <c r="C679" s="115"/>
      <c r="D679" s="115"/>
      <c r="E679" s="115"/>
      <c r="F679" s="115"/>
      <c r="G679" s="60" t="s">
        <v>129</v>
      </c>
      <c r="H679" s="124"/>
      <c r="I679" s="124"/>
      <c r="J679" s="60"/>
      <c r="K679" s="60"/>
      <c r="L679" s="60"/>
      <c r="M679" s="60"/>
      <c r="N679" s="60">
        <f t="shared" si="174"/>
        <v>0</v>
      </c>
      <c r="O679" s="60">
        <f t="shared" si="175"/>
        <v>0</v>
      </c>
    </row>
    <row r="680" spans="1:15" s="38" customFormat="1" ht="10.7" hidden="1" customHeight="1" outlineLevel="1" x14ac:dyDescent="0.25">
      <c r="A680" s="124"/>
      <c r="B680" s="137"/>
      <c r="C680" s="115"/>
      <c r="D680" s="115"/>
      <c r="E680" s="115"/>
      <c r="F680" s="115"/>
      <c r="G680" s="60" t="s">
        <v>130</v>
      </c>
      <c r="H680" s="124"/>
      <c r="I680" s="124"/>
      <c r="J680" s="60"/>
      <c r="K680" s="60"/>
      <c r="L680" s="60"/>
      <c r="M680" s="60"/>
      <c r="N680" s="60">
        <f t="shared" si="174"/>
        <v>0</v>
      </c>
      <c r="O680" s="60">
        <f t="shared" si="175"/>
        <v>0</v>
      </c>
    </row>
    <row r="681" spans="1:15" s="38" customFormat="1" ht="12" hidden="1" customHeight="1" outlineLevel="1" thickBot="1" x14ac:dyDescent="0.3">
      <c r="A681" s="125"/>
      <c r="B681" s="138"/>
      <c r="C681" s="131"/>
      <c r="D681" s="131"/>
      <c r="E681" s="131"/>
      <c r="F681" s="131"/>
      <c r="G681" s="60" t="s">
        <v>131</v>
      </c>
      <c r="H681" s="134"/>
      <c r="I681" s="134"/>
      <c r="J681" s="60"/>
      <c r="K681" s="60"/>
      <c r="L681" s="60"/>
      <c r="M681" s="60"/>
      <c r="N681" s="60">
        <f t="shared" si="174"/>
        <v>0</v>
      </c>
      <c r="O681" s="60">
        <f t="shared" si="175"/>
        <v>0</v>
      </c>
    </row>
    <row r="682" spans="1:15" s="39" customFormat="1" ht="16.5" collapsed="1" thickBot="1" x14ac:dyDescent="0.3">
      <c r="A682" s="40" t="s">
        <v>335</v>
      </c>
      <c r="B682" s="41" t="s">
        <v>336</v>
      </c>
      <c r="C682" s="42">
        <f>SUM(C683:C696)</f>
        <v>0</v>
      </c>
      <c r="D682" s="42">
        <f>SUM(D683:D696)</f>
        <v>0</v>
      </c>
      <c r="E682" s="42">
        <f>SUM(E683:E696)</f>
        <v>0</v>
      </c>
      <c r="F682" s="42"/>
      <c r="G682" s="42"/>
      <c r="H682" s="42"/>
      <c r="I682" s="42"/>
      <c r="J682" s="42"/>
      <c r="K682" s="42"/>
      <c r="L682" s="42"/>
      <c r="M682" s="42"/>
      <c r="N682" s="42"/>
      <c r="O682" s="47"/>
    </row>
    <row r="683" spans="1:15" s="38" customFormat="1" ht="14.45" hidden="1" customHeight="1" outlineLevel="1" x14ac:dyDescent="0.25">
      <c r="A683" s="126" t="s">
        <v>337</v>
      </c>
      <c r="B683" s="127" t="s">
        <v>338</v>
      </c>
      <c r="C683" s="130">
        <f>SUM(N683:N689)</f>
        <v>0</v>
      </c>
      <c r="D683" s="130">
        <f>SUM(O683:O689)</f>
        <v>0</v>
      </c>
      <c r="E683" s="130">
        <f t="shared" ref="E683" si="176">D683/8</f>
        <v>0</v>
      </c>
      <c r="F683" s="130"/>
      <c r="G683" s="60" t="s">
        <v>125</v>
      </c>
      <c r="H683" s="123"/>
      <c r="I683" s="123"/>
      <c r="J683" s="60"/>
      <c r="K683" s="60"/>
      <c r="L683" s="60"/>
      <c r="M683" s="60"/>
      <c r="N683" s="60">
        <f>M683*J683*K683*L683</f>
        <v>0</v>
      </c>
      <c r="O683" s="60">
        <f>J683*K683*L683</f>
        <v>0</v>
      </c>
    </row>
    <row r="684" spans="1:15" s="38" customFormat="1" ht="11.45" hidden="1" customHeight="1" outlineLevel="1" x14ac:dyDescent="0.25">
      <c r="A684" s="124"/>
      <c r="B684" s="137"/>
      <c r="C684" s="115"/>
      <c r="D684" s="115"/>
      <c r="E684" s="115"/>
      <c r="F684" s="115"/>
      <c r="G684" s="60" t="s">
        <v>126</v>
      </c>
      <c r="H684" s="124"/>
      <c r="I684" s="124"/>
      <c r="J684" s="60"/>
      <c r="K684" s="60"/>
      <c r="L684" s="60"/>
      <c r="M684" s="60"/>
      <c r="N684" s="60">
        <f t="shared" ref="N684:N689" si="177">M684*J684*K684*L684</f>
        <v>0</v>
      </c>
      <c r="O684" s="60">
        <f t="shared" ref="O684:O689" si="178">J684*K684*L684</f>
        <v>0</v>
      </c>
    </row>
    <row r="685" spans="1:15" s="38" customFormat="1" ht="10.7" hidden="1" customHeight="1" outlineLevel="1" x14ac:dyDescent="0.25">
      <c r="A685" s="124"/>
      <c r="B685" s="137"/>
      <c r="C685" s="115"/>
      <c r="D685" s="115"/>
      <c r="E685" s="115"/>
      <c r="F685" s="115"/>
      <c r="G685" s="60" t="s">
        <v>127</v>
      </c>
      <c r="H685" s="124"/>
      <c r="I685" s="124"/>
      <c r="J685" s="60"/>
      <c r="K685" s="60"/>
      <c r="L685" s="60"/>
      <c r="M685" s="60"/>
      <c r="N685" s="60">
        <f t="shared" si="177"/>
        <v>0</v>
      </c>
      <c r="O685" s="60">
        <f t="shared" si="178"/>
        <v>0</v>
      </c>
    </row>
    <row r="686" spans="1:15" s="38" customFormat="1" ht="10.7" hidden="1" customHeight="1" outlineLevel="1" x14ac:dyDescent="0.25">
      <c r="A686" s="124"/>
      <c r="B686" s="137"/>
      <c r="C686" s="115"/>
      <c r="D686" s="115"/>
      <c r="E686" s="115"/>
      <c r="F686" s="115"/>
      <c r="G686" s="60" t="s">
        <v>128</v>
      </c>
      <c r="H686" s="124"/>
      <c r="I686" s="124"/>
      <c r="J686" s="60"/>
      <c r="K686" s="60"/>
      <c r="L686" s="60"/>
      <c r="M686" s="60"/>
      <c r="N686" s="60">
        <f t="shared" si="177"/>
        <v>0</v>
      </c>
      <c r="O686" s="60">
        <f t="shared" si="178"/>
        <v>0</v>
      </c>
    </row>
    <row r="687" spans="1:15" s="38" customFormat="1" ht="10.7" hidden="1" customHeight="1" outlineLevel="1" x14ac:dyDescent="0.25">
      <c r="A687" s="124"/>
      <c r="B687" s="137"/>
      <c r="C687" s="115"/>
      <c r="D687" s="115"/>
      <c r="E687" s="115"/>
      <c r="F687" s="115"/>
      <c r="G687" s="60" t="s">
        <v>129</v>
      </c>
      <c r="H687" s="124"/>
      <c r="I687" s="124"/>
      <c r="J687" s="60"/>
      <c r="K687" s="60"/>
      <c r="L687" s="60"/>
      <c r="M687" s="60"/>
      <c r="N687" s="60">
        <f t="shared" si="177"/>
        <v>0</v>
      </c>
      <c r="O687" s="60">
        <f t="shared" si="178"/>
        <v>0</v>
      </c>
    </row>
    <row r="688" spans="1:15" s="38" customFormat="1" ht="10.7" hidden="1" customHeight="1" outlineLevel="1" x14ac:dyDescent="0.25">
      <c r="A688" s="124"/>
      <c r="B688" s="137"/>
      <c r="C688" s="115"/>
      <c r="D688" s="115"/>
      <c r="E688" s="115"/>
      <c r="F688" s="115"/>
      <c r="G688" s="60" t="s">
        <v>130</v>
      </c>
      <c r="H688" s="124"/>
      <c r="I688" s="124"/>
      <c r="J688" s="60"/>
      <c r="K688" s="60"/>
      <c r="L688" s="60"/>
      <c r="M688" s="60"/>
      <c r="N688" s="60">
        <f t="shared" si="177"/>
        <v>0</v>
      </c>
      <c r="O688" s="60">
        <f t="shared" si="178"/>
        <v>0</v>
      </c>
    </row>
    <row r="689" spans="1:15" s="38" customFormat="1" ht="12" hidden="1" customHeight="1" outlineLevel="1" thickBot="1" x14ac:dyDescent="0.3">
      <c r="A689" s="125"/>
      <c r="B689" s="138"/>
      <c r="C689" s="131"/>
      <c r="D689" s="131"/>
      <c r="E689" s="131"/>
      <c r="F689" s="131"/>
      <c r="G689" s="60" t="s">
        <v>131</v>
      </c>
      <c r="H689" s="134"/>
      <c r="I689" s="134"/>
      <c r="J689" s="60"/>
      <c r="K689" s="60"/>
      <c r="L689" s="60"/>
      <c r="M689" s="60"/>
      <c r="N689" s="60">
        <f t="shared" si="177"/>
        <v>0</v>
      </c>
      <c r="O689" s="60">
        <f t="shared" si="178"/>
        <v>0</v>
      </c>
    </row>
    <row r="690" spans="1:15" s="38" customFormat="1" ht="14.45" hidden="1" customHeight="1" outlineLevel="1" x14ac:dyDescent="0.25">
      <c r="A690" s="126" t="s">
        <v>339</v>
      </c>
      <c r="B690" s="127" t="s">
        <v>340</v>
      </c>
      <c r="C690" s="130">
        <f>SUM(N690:N696)</f>
        <v>0</v>
      </c>
      <c r="D690" s="130">
        <f>SUM(O690:O696)</f>
        <v>0</v>
      </c>
      <c r="E690" s="130">
        <f t="shared" ref="E690" si="179">D690/8</f>
        <v>0</v>
      </c>
      <c r="F690" s="130"/>
      <c r="G690" s="60" t="s">
        <v>125</v>
      </c>
      <c r="H690" s="123"/>
      <c r="I690" s="123"/>
      <c r="J690" s="60"/>
      <c r="K690" s="60"/>
      <c r="L690" s="60"/>
      <c r="M690" s="60"/>
      <c r="N690" s="60">
        <f>M690*J690*K690*L690</f>
        <v>0</v>
      </c>
      <c r="O690" s="60">
        <f>J690*K690*L690</f>
        <v>0</v>
      </c>
    </row>
    <row r="691" spans="1:15" s="38" customFormat="1" ht="11.45" hidden="1" customHeight="1" outlineLevel="1" x14ac:dyDescent="0.25">
      <c r="A691" s="124"/>
      <c r="B691" s="137"/>
      <c r="C691" s="115"/>
      <c r="D691" s="115"/>
      <c r="E691" s="115"/>
      <c r="F691" s="115"/>
      <c r="G691" s="60" t="s">
        <v>126</v>
      </c>
      <c r="H691" s="124"/>
      <c r="I691" s="124"/>
      <c r="J691" s="60"/>
      <c r="K691" s="60"/>
      <c r="L691" s="60"/>
      <c r="M691" s="60"/>
      <c r="N691" s="60">
        <f t="shared" ref="N691:N696" si="180">M691*J691*K691*L691</f>
        <v>0</v>
      </c>
      <c r="O691" s="60">
        <f t="shared" ref="O691:O696" si="181">J691*K691*L691</f>
        <v>0</v>
      </c>
    </row>
    <row r="692" spans="1:15" s="38" customFormat="1" ht="10.7" hidden="1" customHeight="1" outlineLevel="1" x14ac:dyDescent="0.25">
      <c r="A692" s="124"/>
      <c r="B692" s="137"/>
      <c r="C692" s="115"/>
      <c r="D692" s="115"/>
      <c r="E692" s="115"/>
      <c r="F692" s="115"/>
      <c r="G692" s="60" t="s">
        <v>127</v>
      </c>
      <c r="H692" s="124"/>
      <c r="I692" s="124"/>
      <c r="J692" s="60"/>
      <c r="K692" s="60"/>
      <c r="L692" s="60"/>
      <c r="M692" s="60"/>
      <c r="N692" s="60">
        <f t="shared" si="180"/>
        <v>0</v>
      </c>
      <c r="O692" s="60">
        <f t="shared" si="181"/>
        <v>0</v>
      </c>
    </row>
    <row r="693" spans="1:15" s="38" customFormat="1" ht="10.7" hidden="1" customHeight="1" outlineLevel="1" x14ac:dyDescent="0.25">
      <c r="A693" s="124"/>
      <c r="B693" s="137"/>
      <c r="C693" s="115"/>
      <c r="D693" s="115"/>
      <c r="E693" s="115"/>
      <c r="F693" s="115"/>
      <c r="G693" s="60" t="s">
        <v>128</v>
      </c>
      <c r="H693" s="124"/>
      <c r="I693" s="124"/>
      <c r="J693" s="60"/>
      <c r="K693" s="60"/>
      <c r="L693" s="60"/>
      <c r="M693" s="60"/>
      <c r="N693" s="60">
        <f t="shared" si="180"/>
        <v>0</v>
      </c>
      <c r="O693" s="60">
        <f t="shared" si="181"/>
        <v>0</v>
      </c>
    </row>
    <row r="694" spans="1:15" s="38" customFormat="1" ht="10.7" hidden="1" customHeight="1" outlineLevel="1" x14ac:dyDescent="0.25">
      <c r="A694" s="124"/>
      <c r="B694" s="137"/>
      <c r="C694" s="115"/>
      <c r="D694" s="115"/>
      <c r="E694" s="115"/>
      <c r="F694" s="115"/>
      <c r="G694" s="60" t="s">
        <v>129</v>
      </c>
      <c r="H694" s="124"/>
      <c r="I694" s="124"/>
      <c r="J694" s="60"/>
      <c r="K694" s="60"/>
      <c r="L694" s="60"/>
      <c r="M694" s="60"/>
      <c r="N694" s="60">
        <f t="shared" si="180"/>
        <v>0</v>
      </c>
      <c r="O694" s="60">
        <f t="shared" si="181"/>
        <v>0</v>
      </c>
    </row>
    <row r="695" spans="1:15" s="38" customFormat="1" ht="10.7" hidden="1" customHeight="1" outlineLevel="1" x14ac:dyDescent="0.25">
      <c r="A695" s="124"/>
      <c r="B695" s="137"/>
      <c r="C695" s="115"/>
      <c r="D695" s="115"/>
      <c r="E695" s="115"/>
      <c r="F695" s="115"/>
      <c r="G695" s="60" t="s">
        <v>130</v>
      </c>
      <c r="H695" s="124"/>
      <c r="I695" s="124"/>
      <c r="J695" s="60"/>
      <c r="K695" s="60"/>
      <c r="L695" s="60"/>
      <c r="M695" s="60"/>
      <c r="N695" s="60">
        <f t="shared" si="180"/>
        <v>0</v>
      </c>
      <c r="O695" s="60">
        <f t="shared" si="181"/>
        <v>0</v>
      </c>
    </row>
    <row r="696" spans="1:15" s="38" customFormat="1" ht="12" hidden="1" customHeight="1" outlineLevel="1" thickBot="1" x14ac:dyDescent="0.3">
      <c r="A696" s="125"/>
      <c r="B696" s="138"/>
      <c r="C696" s="131"/>
      <c r="D696" s="131"/>
      <c r="E696" s="131"/>
      <c r="F696" s="131"/>
      <c r="G696" s="60" t="s">
        <v>131</v>
      </c>
      <c r="H696" s="134"/>
      <c r="I696" s="134"/>
      <c r="J696" s="60"/>
      <c r="K696" s="60"/>
      <c r="L696" s="60"/>
      <c r="M696" s="60"/>
      <c r="N696" s="60">
        <f t="shared" si="180"/>
        <v>0</v>
      </c>
      <c r="O696" s="60">
        <f t="shared" si="181"/>
        <v>0</v>
      </c>
    </row>
    <row r="697" spans="1:15" ht="19.5" collapsed="1" thickBot="1" x14ac:dyDescent="0.35">
      <c r="A697" s="144" t="s">
        <v>98</v>
      </c>
      <c r="B697" s="145"/>
      <c r="C697" s="49">
        <f>C10+C67+C131+C153+C168+C183+C429+C444+C452+C635+C643+C651+C659+C667+C682</f>
        <v>0</v>
      </c>
      <c r="D697" s="62">
        <f>D10+D67+D131+D153+D168+D183+D429+D444+D452+D635+D643+D651+D659+D667+D682</f>
        <v>0</v>
      </c>
      <c r="E697" s="62">
        <f>E10+E67+E131+E153+E168+E183+E429+E444+E452+E635+E643+E651+E659+E667+E682</f>
        <v>0</v>
      </c>
      <c r="F697" s="59"/>
      <c r="G697" s="59"/>
      <c r="H697" s="59"/>
      <c r="I697" s="59"/>
      <c r="J697" s="59"/>
      <c r="K697" s="59"/>
      <c r="L697" s="59"/>
      <c r="M697" s="59"/>
      <c r="N697" s="59"/>
      <c r="O697" s="60"/>
    </row>
  </sheetData>
  <mergeCells count="787">
    <mergeCell ref="H11:H17"/>
    <mergeCell ref="I11:I17"/>
    <mergeCell ref="A11:A17"/>
    <mergeCell ref="B11:B17"/>
    <mergeCell ref="C11:C17"/>
    <mergeCell ref="D11:D17"/>
    <mergeCell ref="E11:E17"/>
    <mergeCell ref="F11:F17"/>
    <mergeCell ref="H408:H414"/>
    <mergeCell ref="I408:I414"/>
    <mergeCell ref="H139:H145"/>
    <mergeCell ref="I139:I145"/>
    <mergeCell ref="H401:H407"/>
    <mergeCell ref="I401:I407"/>
    <mergeCell ref="A401:A407"/>
    <mergeCell ref="B401:B407"/>
    <mergeCell ref="C401:C407"/>
    <mergeCell ref="D401:D407"/>
    <mergeCell ref="E401:E407"/>
    <mergeCell ref="F401:F407"/>
    <mergeCell ref="H387:H393"/>
    <mergeCell ref="I387:I393"/>
    <mergeCell ref="A394:A400"/>
    <mergeCell ref="B394:B400"/>
    <mergeCell ref="B422:B428"/>
    <mergeCell ref="C422:C428"/>
    <mergeCell ref="D422:D428"/>
    <mergeCell ref="E422:E428"/>
    <mergeCell ref="F422:F428"/>
    <mergeCell ref="H422:H428"/>
    <mergeCell ref="I422:I428"/>
    <mergeCell ref="A408:A414"/>
    <mergeCell ref="B408:B414"/>
    <mergeCell ref="C408:C414"/>
    <mergeCell ref="D408:D414"/>
    <mergeCell ref="E408:E414"/>
    <mergeCell ref="F408:F414"/>
    <mergeCell ref="H415:H421"/>
    <mergeCell ref="I415:I421"/>
    <mergeCell ref="A415:A421"/>
    <mergeCell ref="B415:B421"/>
    <mergeCell ref="C415:C421"/>
    <mergeCell ref="D415:D421"/>
    <mergeCell ref="E415:E421"/>
    <mergeCell ref="F415:F421"/>
    <mergeCell ref="H621:H627"/>
    <mergeCell ref="I621:I627"/>
    <mergeCell ref="A614:A620"/>
    <mergeCell ref="B614:B620"/>
    <mergeCell ref="C614:C620"/>
    <mergeCell ref="D614:D620"/>
    <mergeCell ref="E614:E620"/>
    <mergeCell ref="F614:F620"/>
    <mergeCell ref="H614:H620"/>
    <mergeCell ref="I614:I620"/>
    <mergeCell ref="A621:A627"/>
    <mergeCell ref="B621:B627"/>
    <mergeCell ref="C621:C627"/>
    <mergeCell ref="D621:D627"/>
    <mergeCell ref="E621:E627"/>
    <mergeCell ref="F621:F627"/>
    <mergeCell ref="H683:H689"/>
    <mergeCell ref="I683:I689"/>
    <mergeCell ref="A690:A696"/>
    <mergeCell ref="B690:B696"/>
    <mergeCell ref="C690:C696"/>
    <mergeCell ref="D690:D696"/>
    <mergeCell ref="E690:E696"/>
    <mergeCell ref="F690:F696"/>
    <mergeCell ref="H690:H696"/>
    <mergeCell ref="I690:I696"/>
    <mergeCell ref="A683:A689"/>
    <mergeCell ref="B683:B689"/>
    <mergeCell ref="C683:C689"/>
    <mergeCell ref="D683:D689"/>
    <mergeCell ref="E683:E689"/>
    <mergeCell ref="F683:F689"/>
    <mergeCell ref="F607:F613"/>
    <mergeCell ref="H607:H613"/>
    <mergeCell ref="I607:I613"/>
    <mergeCell ref="A139:A145"/>
    <mergeCell ref="B139:B145"/>
    <mergeCell ref="C139:C145"/>
    <mergeCell ref="D139:D145"/>
    <mergeCell ref="E139:E145"/>
    <mergeCell ref="F139:F145"/>
    <mergeCell ref="I502:I508"/>
    <mergeCell ref="A509:A515"/>
    <mergeCell ref="B509:B515"/>
    <mergeCell ref="C509:C515"/>
    <mergeCell ref="D509:D515"/>
    <mergeCell ref="E509:E515"/>
    <mergeCell ref="F509:F515"/>
    <mergeCell ref="H509:H515"/>
    <mergeCell ref="I509:I515"/>
    <mergeCell ref="F495:F501"/>
    <mergeCell ref="H495:H501"/>
    <mergeCell ref="I495:I501"/>
    <mergeCell ref="A502:A508"/>
    <mergeCell ref="B502:B508"/>
    <mergeCell ref="A422:A428"/>
    <mergeCell ref="A697:B697"/>
    <mergeCell ref="A495:A501"/>
    <mergeCell ref="B495:B501"/>
    <mergeCell ref="C495:C501"/>
    <mergeCell ref="D495:D501"/>
    <mergeCell ref="E495:E501"/>
    <mergeCell ref="A607:A613"/>
    <mergeCell ref="B607:B613"/>
    <mergeCell ref="C607:C613"/>
    <mergeCell ref="D607:D613"/>
    <mergeCell ref="A572:A578"/>
    <mergeCell ref="B572:B578"/>
    <mergeCell ref="C572:C578"/>
    <mergeCell ref="D572:D578"/>
    <mergeCell ref="E607:E613"/>
    <mergeCell ref="E572:E578"/>
    <mergeCell ref="A537:A543"/>
    <mergeCell ref="B537:B543"/>
    <mergeCell ref="C537:C543"/>
    <mergeCell ref="D537:D543"/>
    <mergeCell ref="E537:E543"/>
    <mergeCell ref="I668:I674"/>
    <mergeCell ref="A675:A681"/>
    <mergeCell ref="B675:B681"/>
    <mergeCell ref="C675:C681"/>
    <mergeCell ref="D675:D681"/>
    <mergeCell ref="E675:E681"/>
    <mergeCell ref="F675:F681"/>
    <mergeCell ref="H675:H681"/>
    <mergeCell ref="I675:I681"/>
    <mergeCell ref="A668:A674"/>
    <mergeCell ref="B668:B674"/>
    <mergeCell ref="C668:C674"/>
    <mergeCell ref="D668:D674"/>
    <mergeCell ref="E668:E674"/>
    <mergeCell ref="F668:F674"/>
    <mergeCell ref="H668:H674"/>
    <mergeCell ref="I660:I666"/>
    <mergeCell ref="A660:A666"/>
    <mergeCell ref="B660:B666"/>
    <mergeCell ref="C660:C666"/>
    <mergeCell ref="D660:D666"/>
    <mergeCell ref="E660:E666"/>
    <mergeCell ref="F660:F666"/>
    <mergeCell ref="A652:A658"/>
    <mergeCell ref="B652:B658"/>
    <mergeCell ref="C652:C658"/>
    <mergeCell ref="D652:D658"/>
    <mergeCell ref="E652:E658"/>
    <mergeCell ref="F652:F658"/>
    <mergeCell ref="H652:H658"/>
    <mergeCell ref="I652:I658"/>
    <mergeCell ref="H660:H666"/>
    <mergeCell ref="I636:I642"/>
    <mergeCell ref="A644:A650"/>
    <mergeCell ref="B644:B650"/>
    <mergeCell ref="C644:C650"/>
    <mergeCell ref="D644:D650"/>
    <mergeCell ref="E644:E650"/>
    <mergeCell ref="F644:F650"/>
    <mergeCell ref="H644:H650"/>
    <mergeCell ref="I644:I650"/>
    <mergeCell ref="A636:A642"/>
    <mergeCell ref="B636:B642"/>
    <mergeCell ref="C636:C642"/>
    <mergeCell ref="D636:D642"/>
    <mergeCell ref="E636:E642"/>
    <mergeCell ref="F636:F642"/>
    <mergeCell ref="H636:H642"/>
    <mergeCell ref="I628:I634"/>
    <mergeCell ref="A628:A634"/>
    <mergeCell ref="B628:B634"/>
    <mergeCell ref="C628:C634"/>
    <mergeCell ref="D628:D634"/>
    <mergeCell ref="E628:E634"/>
    <mergeCell ref="F628:F634"/>
    <mergeCell ref="H593:H599"/>
    <mergeCell ref="I593:I599"/>
    <mergeCell ref="A600:A606"/>
    <mergeCell ref="B600:B606"/>
    <mergeCell ref="C600:C606"/>
    <mergeCell ref="D600:D606"/>
    <mergeCell ref="E600:E606"/>
    <mergeCell ref="F600:F606"/>
    <mergeCell ref="H600:H606"/>
    <mergeCell ref="I600:I606"/>
    <mergeCell ref="A593:A599"/>
    <mergeCell ref="B593:B599"/>
    <mergeCell ref="C593:C599"/>
    <mergeCell ref="D593:D599"/>
    <mergeCell ref="E593:E599"/>
    <mergeCell ref="F593:F599"/>
    <mergeCell ref="H628:H634"/>
    <mergeCell ref="I579:I585"/>
    <mergeCell ref="A586:A592"/>
    <mergeCell ref="B586:B592"/>
    <mergeCell ref="C586:C592"/>
    <mergeCell ref="D586:D592"/>
    <mergeCell ref="E586:E592"/>
    <mergeCell ref="F586:F592"/>
    <mergeCell ref="H586:H592"/>
    <mergeCell ref="I586:I592"/>
    <mergeCell ref="A579:A585"/>
    <mergeCell ref="B579:B585"/>
    <mergeCell ref="C579:C585"/>
    <mergeCell ref="D579:D585"/>
    <mergeCell ref="E579:E585"/>
    <mergeCell ref="F579:F585"/>
    <mergeCell ref="H579:H585"/>
    <mergeCell ref="F572:F578"/>
    <mergeCell ref="H572:H578"/>
    <mergeCell ref="I572:I578"/>
    <mergeCell ref="H558:H564"/>
    <mergeCell ref="I558:I564"/>
    <mergeCell ref="A565:A571"/>
    <mergeCell ref="B565:B571"/>
    <mergeCell ref="C565:C571"/>
    <mergeCell ref="D565:D571"/>
    <mergeCell ref="E565:E571"/>
    <mergeCell ref="F565:F571"/>
    <mergeCell ref="H565:H571"/>
    <mergeCell ref="I565:I571"/>
    <mergeCell ref="A558:A564"/>
    <mergeCell ref="B558:B564"/>
    <mergeCell ref="C558:C564"/>
    <mergeCell ref="D558:D564"/>
    <mergeCell ref="E558:E564"/>
    <mergeCell ref="F558:F564"/>
    <mergeCell ref="H544:H550"/>
    <mergeCell ref="I544:I550"/>
    <mergeCell ref="A551:A557"/>
    <mergeCell ref="B551:B557"/>
    <mergeCell ref="C551:C557"/>
    <mergeCell ref="D551:D557"/>
    <mergeCell ref="E551:E557"/>
    <mergeCell ref="F551:F557"/>
    <mergeCell ref="H551:H557"/>
    <mergeCell ref="I551:I557"/>
    <mergeCell ref="A544:A550"/>
    <mergeCell ref="B544:B550"/>
    <mergeCell ref="C544:C550"/>
    <mergeCell ref="D544:D550"/>
    <mergeCell ref="E544:E550"/>
    <mergeCell ref="F544:F550"/>
    <mergeCell ref="F537:F543"/>
    <mergeCell ref="H537:H543"/>
    <mergeCell ref="I537:I543"/>
    <mergeCell ref="H523:H529"/>
    <mergeCell ref="I523:I529"/>
    <mergeCell ref="A530:A536"/>
    <mergeCell ref="B530:B536"/>
    <mergeCell ref="C530:C536"/>
    <mergeCell ref="D530:D536"/>
    <mergeCell ref="E530:E536"/>
    <mergeCell ref="F530:F536"/>
    <mergeCell ref="H530:H536"/>
    <mergeCell ref="I530:I536"/>
    <mergeCell ref="A523:A529"/>
    <mergeCell ref="B523:B529"/>
    <mergeCell ref="C523:C529"/>
    <mergeCell ref="D523:D529"/>
    <mergeCell ref="E523:E529"/>
    <mergeCell ref="F523:F529"/>
    <mergeCell ref="H488:H494"/>
    <mergeCell ref="I488:I494"/>
    <mergeCell ref="A516:A522"/>
    <mergeCell ref="B516:B522"/>
    <mergeCell ref="C516:C522"/>
    <mergeCell ref="D516:D522"/>
    <mergeCell ref="E516:E522"/>
    <mergeCell ref="F516:F522"/>
    <mergeCell ref="H516:H522"/>
    <mergeCell ref="I516:I522"/>
    <mergeCell ref="A488:A494"/>
    <mergeCell ref="B488:B494"/>
    <mergeCell ref="C488:C494"/>
    <mergeCell ref="D488:D494"/>
    <mergeCell ref="E488:E494"/>
    <mergeCell ref="F488:F494"/>
    <mergeCell ref="C502:C508"/>
    <mergeCell ref="D502:D508"/>
    <mergeCell ref="E502:E508"/>
    <mergeCell ref="F502:F508"/>
    <mergeCell ref="H502:H508"/>
    <mergeCell ref="H474:H480"/>
    <mergeCell ref="I474:I480"/>
    <mergeCell ref="A481:A487"/>
    <mergeCell ref="B481:B487"/>
    <mergeCell ref="C481:C487"/>
    <mergeCell ref="D481:D487"/>
    <mergeCell ref="E481:E487"/>
    <mergeCell ref="F481:F487"/>
    <mergeCell ref="H481:H487"/>
    <mergeCell ref="I481:I487"/>
    <mergeCell ref="A474:A480"/>
    <mergeCell ref="B474:B480"/>
    <mergeCell ref="C474:C480"/>
    <mergeCell ref="D474:D480"/>
    <mergeCell ref="E474:E480"/>
    <mergeCell ref="F474:F480"/>
    <mergeCell ref="H460:H466"/>
    <mergeCell ref="I460:I466"/>
    <mergeCell ref="A467:A473"/>
    <mergeCell ref="B467:B473"/>
    <mergeCell ref="C467:C473"/>
    <mergeCell ref="D467:D473"/>
    <mergeCell ref="E467:E473"/>
    <mergeCell ref="F467:F473"/>
    <mergeCell ref="H467:H473"/>
    <mergeCell ref="I467:I473"/>
    <mergeCell ref="A460:A466"/>
    <mergeCell ref="B460:B466"/>
    <mergeCell ref="C460:C466"/>
    <mergeCell ref="D460:D466"/>
    <mergeCell ref="E460:E466"/>
    <mergeCell ref="F460:F466"/>
    <mergeCell ref="H445:H451"/>
    <mergeCell ref="I445:I451"/>
    <mergeCell ref="A453:A459"/>
    <mergeCell ref="B453:B459"/>
    <mergeCell ref="C453:C459"/>
    <mergeCell ref="D453:D459"/>
    <mergeCell ref="E453:E459"/>
    <mergeCell ref="F453:F459"/>
    <mergeCell ref="H453:H459"/>
    <mergeCell ref="I453:I459"/>
    <mergeCell ref="A445:A451"/>
    <mergeCell ref="B445:B451"/>
    <mergeCell ref="C445:C451"/>
    <mergeCell ref="D445:D451"/>
    <mergeCell ref="E445:E451"/>
    <mergeCell ref="F445:F451"/>
    <mergeCell ref="H430:H436"/>
    <mergeCell ref="I430:I436"/>
    <mergeCell ref="A437:A443"/>
    <mergeCell ref="B437:B443"/>
    <mergeCell ref="C437:C443"/>
    <mergeCell ref="D437:D443"/>
    <mergeCell ref="E437:E443"/>
    <mergeCell ref="F437:F443"/>
    <mergeCell ref="H437:H443"/>
    <mergeCell ref="I437:I443"/>
    <mergeCell ref="A430:A436"/>
    <mergeCell ref="B430:B436"/>
    <mergeCell ref="C430:C436"/>
    <mergeCell ref="D430:D436"/>
    <mergeCell ref="E430:E436"/>
    <mergeCell ref="F430:F436"/>
    <mergeCell ref="C394:C400"/>
    <mergeCell ref="D394:D400"/>
    <mergeCell ref="E394:E400"/>
    <mergeCell ref="F394:F400"/>
    <mergeCell ref="H394:H400"/>
    <mergeCell ref="I394:I400"/>
    <mergeCell ref="A387:A393"/>
    <mergeCell ref="B387:B393"/>
    <mergeCell ref="C387:C393"/>
    <mergeCell ref="D387:D393"/>
    <mergeCell ref="E387:E393"/>
    <mergeCell ref="F387:F393"/>
    <mergeCell ref="A380:A386"/>
    <mergeCell ref="B380:B386"/>
    <mergeCell ref="C380:C386"/>
    <mergeCell ref="D380:D386"/>
    <mergeCell ref="E380:E386"/>
    <mergeCell ref="F380:F386"/>
    <mergeCell ref="H380:H386"/>
    <mergeCell ref="I380:I386"/>
    <mergeCell ref="H373:H379"/>
    <mergeCell ref="I373:I379"/>
    <mergeCell ref="A373:A379"/>
    <mergeCell ref="B373:B379"/>
    <mergeCell ref="C373:C379"/>
    <mergeCell ref="D373:D379"/>
    <mergeCell ref="E373:E379"/>
    <mergeCell ref="F373:F379"/>
    <mergeCell ref="A366:A372"/>
    <mergeCell ref="B366:B372"/>
    <mergeCell ref="C366:C372"/>
    <mergeCell ref="D366:D372"/>
    <mergeCell ref="E366:E372"/>
    <mergeCell ref="F366:F372"/>
    <mergeCell ref="H366:H372"/>
    <mergeCell ref="I366:I372"/>
    <mergeCell ref="A359:A365"/>
    <mergeCell ref="B359:B365"/>
    <mergeCell ref="C359:C365"/>
    <mergeCell ref="D359:D365"/>
    <mergeCell ref="E359:E365"/>
    <mergeCell ref="F359:F365"/>
    <mergeCell ref="H359:H365"/>
    <mergeCell ref="I359:I365"/>
    <mergeCell ref="A352:A358"/>
    <mergeCell ref="B352:B358"/>
    <mergeCell ref="C352:C358"/>
    <mergeCell ref="D352:D358"/>
    <mergeCell ref="E352:E358"/>
    <mergeCell ref="F352:F358"/>
    <mergeCell ref="H352:H358"/>
    <mergeCell ref="I352:I358"/>
    <mergeCell ref="H338:H344"/>
    <mergeCell ref="I338:I344"/>
    <mergeCell ref="A345:A351"/>
    <mergeCell ref="B345:B351"/>
    <mergeCell ref="C345:C351"/>
    <mergeCell ref="D345:D351"/>
    <mergeCell ref="E345:E351"/>
    <mergeCell ref="F345:F351"/>
    <mergeCell ref="H345:H351"/>
    <mergeCell ref="I345:I351"/>
    <mergeCell ref="A338:A344"/>
    <mergeCell ref="B338:B344"/>
    <mergeCell ref="C338:C344"/>
    <mergeCell ref="D338:D344"/>
    <mergeCell ref="E338:E344"/>
    <mergeCell ref="F338:F344"/>
    <mergeCell ref="H331:H337"/>
    <mergeCell ref="I331:I337"/>
    <mergeCell ref="A331:A337"/>
    <mergeCell ref="B331:B337"/>
    <mergeCell ref="C331:C337"/>
    <mergeCell ref="D331:D337"/>
    <mergeCell ref="E331:E337"/>
    <mergeCell ref="F331:F337"/>
    <mergeCell ref="H317:H323"/>
    <mergeCell ref="I317:I323"/>
    <mergeCell ref="A324:A330"/>
    <mergeCell ref="B324:B330"/>
    <mergeCell ref="C324:C330"/>
    <mergeCell ref="D324:D330"/>
    <mergeCell ref="E324:E330"/>
    <mergeCell ref="F324:F330"/>
    <mergeCell ref="H324:H330"/>
    <mergeCell ref="I324:I330"/>
    <mergeCell ref="A317:A323"/>
    <mergeCell ref="B317:B323"/>
    <mergeCell ref="C317:C323"/>
    <mergeCell ref="D317:D323"/>
    <mergeCell ref="E317:E323"/>
    <mergeCell ref="F317:F323"/>
    <mergeCell ref="H303:H309"/>
    <mergeCell ref="I303:I309"/>
    <mergeCell ref="A310:A316"/>
    <mergeCell ref="B310:B316"/>
    <mergeCell ref="C310:C316"/>
    <mergeCell ref="D310:D316"/>
    <mergeCell ref="E310:E316"/>
    <mergeCell ref="F310:F316"/>
    <mergeCell ref="H310:H316"/>
    <mergeCell ref="I310:I316"/>
    <mergeCell ref="A303:A309"/>
    <mergeCell ref="B303:B309"/>
    <mergeCell ref="C303:C309"/>
    <mergeCell ref="D303:D309"/>
    <mergeCell ref="E303:E309"/>
    <mergeCell ref="F303:F309"/>
    <mergeCell ref="H289:H295"/>
    <mergeCell ref="I289:I295"/>
    <mergeCell ref="A296:A302"/>
    <mergeCell ref="B296:B302"/>
    <mergeCell ref="C296:C302"/>
    <mergeCell ref="D296:D302"/>
    <mergeCell ref="E296:E302"/>
    <mergeCell ref="F296:F302"/>
    <mergeCell ref="H296:H302"/>
    <mergeCell ref="I296:I302"/>
    <mergeCell ref="A289:A295"/>
    <mergeCell ref="B289:B295"/>
    <mergeCell ref="C289:C295"/>
    <mergeCell ref="D289:D295"/>
    <mergeCell ref="E289:E295"/>
    <mergeCell ref="F289:F295"/>
    <mergeCell ref="H275:H281"/>
    <mergeCell ref="I275:I281"/>
    <mergeCell ref="A282:A288"/>
    <mergeCell ref="B282:B288"/>
    <mergeCell ref="C282:C288"/>
    <mergeCell ref="D282:D288"/>
    <mergeCell ref="E282:E288"/>
    <mergeCell ref="F282:F288"/>
    <mergeCell ref="H282:H288"/>
    <mergeCell ref="I282:I288"/>
    <mergeCell ref="A275:A281"/>
    <mergeCell ref="B275:B281"/>
    <mergeCell ref="C275:C281"/>
    <mergeCell ref="D275:D281"/>
    <mergeCell ref="E275:E281"/>
    <mergeCell ref="F275:F281"/>
    <mergeCell ref="H261:H267"/>
    <mergeCell ref="I261:I267"/>
    <mergeCell ref="A268:A274"/>
    <mergeCell ref="B268:B274"/>
    <mergeCell ref="C268:C274"/>
    <mergeCell ref="D268:D274"/>
    <mergeCell ref="E268:E274"/>
    <mergeCell ref="F268:F274"/>
    <mergeCell ref="H268:H274"/>
    <mergeCell ref="I268:I274"/>
    <mergeCell ref="A261:A267"/>
    <mergeCell ref="B261:B267"/>
    <mergeCell ref="C261:C267"/>
    <mergeCell ref="D261:D267"/>
    <mergeCell ref="E261:E267"/>
    <mergeCell ref="F261:F267"/>
    <mergeCell ref="H247:H253"/>
    <mergeCell ref="I247:I253"/>
    <mergeCell ref="A254:A260"/>
    <mergeCell ref="B254:B260"/>
    <mergeCell ref="C254:C260"/>
    <mergeCell ref="D254:D260"/>
    <mergeCell ref="E254:E260"/>
    <mergeCell ref="F254:F260"/>
    <mergeCell ref="H254:H260"/>
    <mergeCell ref="I254:I260"/>
    <mergeCell ref="A247:A253"/>
    <mergeCell ref="B247:B253"/>
    <mergeCell ref="C247:C253"/>
    <mergeCell ref="D247:D253"/>
    <mergeCell ref="E247:E253"/>
    <mergeCell ref="F247:F253"/>
    <mergeCell ref="A240:A246"/>
    <mergeCell ref="B240:B246"/>
    <mergeCell ref="C240:C246"/>
    <mergeCell ref="D240:D246"/>
    <mergeCell ref="E240:E246"/>
    <mergeCell ref="F240:F246"/>
    <mergeCell ref="H240:H246"/>
    <mergeCell ref="I240:I246"/>
    <mergeCell ref="H233:H239"/>
    <mergeCell ref="I233:I239"/>
    <mergeCell ref="A233:A239"/>
    <mergeCell ref="B233:B239"/>
    <mergeCell ref="C233:C239"/>
    <mergeCell ref="D233:D239"/>
    <mergeCell ref="E233:E239"/>
    <mergeCell ref="F233:F239"/>
    <mergeCell ref="H226:H232"/>
    <mergeCell ref="I226:I232"/>
    <mergeCell ref="A226:A232"/>
    <mergeCell ref="B226:B232"/>
    <mergeCell ref="C226:C232"/>
    <mergeCell ref="D226:D232"/>
    <mergeCell ref="E226:E232"/>
    <mergeCell ref="F226:F232"/>
    <mergeCell ref="A219:A225"/>
    <mergeCell ref="B219:B225"/>
    <mergeCell ref="C219:C225"/>
    <mergeCell ref="D219:D225"/>
    <mergeCell ref="E219:E225"/>
    <mergeCell ref="F219:F225"/>
    <mergeCell ref="H219:H225"/>
    <mergeCell ref="I219:I225"/>
    <mergeCell ref="H212:H218"/>
    <mergeCell ref="I212:I218"/>
    <mergeCell ref="A212:A218"/>
    <mergeCell ref="B212:B218"/>
    <mergeCell ref="C212:C218"/>
    <mergeCell ref="D212:D218"/>
    <mergeCell ref="E212:E218"/>
    <mergeCell ref="F212:F218"/>
    <mergeCell ref="H205:H211"/>
    <mergeCell ref="I205:I211"/>
    <mergeCell ref="A205:A211"/>
    <mergeCell ref="B205:B211"/>
    <mergeCell ref="C205:C211"/>
    <mergeCell ref="D205:D211"/>
    <mergeCell ref="E205:E211"/>
    <mergeCell ref="F205:F211"/>
    <mergeCell ref="H191:H197"/>
    <mergeCell ref="I191:I197"/>
    <mergeCell ref="A198:A204"/>
    <mergeCell ref="B198:B204"/>
    <mergeCell ref="C198:C204"/>
    <mergeCell ref="D198:D204"/>
    <mergeCell ref="E198:E204"/>
    <mergeCell ref="F198:F204"/>
    <mergeCell ref="H198:H204"/>
    <mergeCell ref="I198:I204"/>
    <mergeCell ref="A191:A197"/>
    <mergeCell ref="B191:B197"/>
    <mergeCell ref="C191:C197"/>
    <mergeCell ref="D191:D197"/>
    <mergeCell ref="E191:E197"/>
    <mergeCell ref="F191:F197"/>
    <mergeCell ref="H176:H182"/>
    <mergeCell ref="I176:I182"/>
    <mergeCell ref="A184:A190"/>
    <mergeCell ref="B184:B190"/>
    <mergeCell ref="C184:C190"/>
    <mergeCell ref="D184:D190"/>
    <mergeCell ref="E184:E190"/>
    <mergeCell ref="F184:F190"/>
    <mergeCell ref="H184:H190"/>
    <mergeCell ref="I184:I190"/>
    <mergeCell ref="A176:A182"/>
    <mergeCell ref="B176:B182"/>
    <mergeCell ref="C176:C182"/>
    <mergeCell ref="D176:D182"/>
    <mergeCell ref="E176:E182"/>
    <mergeCell ref="F176:F182"/>
    <mergeCell ref="A169:A175"/>
    <mergeCell ref="B169:B175"/>
    <mergeCell ref="C169:C175"/>
    <mergeCell ref="D169:D175"/>
    <mergeCell ref="E169:E175"/>
    <mergeCell ref="F169:F175"/>
    <mergeCell ref="H169:H175"/>
    <mergeCell ref="I169:I175"/>
    <mergeCell ref="H154:H160"/>
    <mergeCell ref="I154:I160"/>
    <mergeCell ref="A161:A167"/>
    <mergeCell ref="B161:B167"/>
    <mergeCell ref="C161:C167"/>
    <mergeCell ref="D161:D167"/>
    <mergeCell ref="E161:E167"/>
    <mergeCell ref="F161:F167"/>
    <mergeCell ref="H161:H167"/>
    <mergeCell ref="I161:I167"/>
    <mergeCell ref="A154:A160"/>
    <mergeCell ref="B154:B160"/>
    <mergeCell ref="C154:C160"/>
    <mergeCell ref="D154:D160"/>
    <mergeCell ref="E154:E160"/>
    <mergeCell ref="F154:F160"/>
    <mergeCell ref="H132:H138"/>
    <mergeCell ref="I132:I138"/>
    <mergeCell ref="A146:A152"/>
    <mergeCell ref="B146:B152"/>
    <mergeCell ref="C146:C152"/>
    <mergeCell ref="D146:D152"/>
    <mergeCell ref="E146:E152"/>
    <mergeCell ref="F146:F152"/>
    <mergeCell ref="H146:H152"/>
    <mergeCell ref="I146:I152"/>
    <mergeCell ref="A132:A138"/>
    <mergeCell ref="B132:B138"/>
    <mergeCell ref="C132:C138"/>
    <mergeCell ref="D132:D138"/>
    <mergeCell ref="E132:E138"/>
    <mergeCell ref="F132:F138"/>
    <mergeCell ref="H117:H123"/>
    <mergeCell ref="I117:I123"/>
    <mergeCell ref="A124:A130"/>
    <mergeCell ref="B124:B130"/>
    <mergeCell ref="C124:C130"/>
    <mergeCell ref="D124:D130"/>
    <mergeCell ref="E124:E130"/>
    <mergeCell ref="F124:F130"/>
    <mergeCell ref="H124:H130"/>
    <mergeCell ref="I124:I130"/>
    <mergeCell ref="A117:A123"/>
    <mergeCell ref="B117:B123"/>
    <mergeCell ref="C117:C123"/>
    <mergeCell ref="D117:D123"/>
    <mergeCell ref="E117:E123"/>
    <mergeCell ref="F117:F123"/>
    <mergeCell ref="H103:H109"/>
    <mergeCell ref="I103:I109"/>
    <mergeCell ref="A110:A116"/>
    <mergeCell ref="B110:B116"/>
    <mergeCell ref="C110:C116"/>
    <mergeCell ref="D110:D116"/>
    <mergeCell ref="E110:E116"/>
    <mergeCell ref="F110:F116"/>
    <mergeCell ref="H110:H116"/>
    <mergeCell ref="I110:I116"/>
    <mergeCell ref="A103:A109"/>
    <mergeCell ref="B103:B109"/>
    <mergeCell ref="C103:C109"/>
    <mergeCell ref="D103:D109"/>
    <mergeCell ref="E103:E109"/>
    <mergeCell ref="F103:F109"/>
    <mergeCell ref="H89:H95"/>
    <mergeCell ref="I89:I95"/>
    <mergeCell ref="A96:A102"/>
    <mergeCell ref="B96:B102"/>
    <mergeCell ref="C96:C102"/>
    <mergeCell ref="D96:D102"/>
    <mergeCell ref="E96:E102"/>
    <mergeCell ref="F96:F102"/>
    <mergeCell ref="H96:H102"/>
    <mergeCell ref="I96:I102"/>
    <mergeCell ref="A89:A95"/>
    <mergeCell ref="B89:B95"/>
    <mergeCell ref="C89:C95"/>
    <mergeCell ref="D89:D95"/>
    <mergeCell ref="E89:E95"/>
    <mergeCell ref="F89:F95"/>
    <mergeCell ref="H75:H81"/>
    <mergeCell ref="I75:I81"/>
    <mergeCell ref="A82:A88"/>
    <mergeCell ref="B82:B88"/>
    <mergeCell ref="C82:C88"/>
    <mergeCell ref="D82:D88"/>
    <mergeCell ref="E82:E88"/>
    <mergeCell ref="F82:F88"/>
    <mergeCell ref="H82:H88"/>
    <mergeCell ref="I82:I88"/>
    <mergeCell ref="A75:A81"/>
    <mergeCell ref="B75:B81"/>
    <mergeCell ref="C75:C81"/>
    <mergeCell ref="D75:D81"/>
    <mergeCell ref="E75:E81"/>
    <mergeCell ref="F75:F81"/>
    <mergeCell ref="A68:A74"/>
    <mergeCell ref="B68:B74"/>
    <mergeCell ref="C68:C74"/>
    <mergeCell ref="D68:D74"/>
    <mergeCell ref="E68:E74"/>
    <mergeCell ref="F68:F74"/>
    <mergeCell ref="H68:H74"/>
    <mergeCell ref="I68:I74"/>
    <mergeCell ref="H53:H59"/>
    <mergeCell ref="I53:I59"/>
    <mergeCell ref="A60:A66"/>
    <mergeCell ref="B60:B66"/>
    <mergeCell ref="C60:C66"/>
    <mergeCell ref="D60:D66"/>
    <mergeCell ref="E60:E66"/>
    <mergeCell ref="F60:F66"/>
    <mergeCell ref="H60:H66"/>
    <mergeCell ref="I60:I66"/>
    <mergeCell ref="A53:A59"/>
    <mergeCell ref="B53:B59"/>
    <mergeCell ref="C53:C59"/>
    <mergeCell ref="D53:D59"/>
    <mergeCell ref="E53:E59"/>
    <mergeCell ref="F53:F59"/>
    <mergeCell ref="A46:A52"/>
    <mergeCell ref="B46:B52"/>
    <mergeCell ref="C46:C52"/>
    <mergeCell ref="D46:D52"/>
    <mergeCell ref="E46:E52"/>
    <mergeCell ref="F46:F52"/>
    <mergeCell ref="H46:H52"/>
    <mergeCell ref="I46:I52"/>
    <mergeCell ref="H32:H38"/>
    <mergeCell ref="I32:I38"/>
    <mergeCell ref="A39:A45"/>
    <mergeCell ref="B39:B45"/>
    <mergeCell ref="C39:C45"/>
    <mergeCell ref="D39:D45"/>
    <mergeCell ref="E39:E45"/>
    <mergeCell ref="F39:F45"/>
    <mergeCell ref="H39:H45"/>
    <mergeCell ref="I39:I45"/>
    <mergeCell ref="A32:A38"/>
    <mergeCell ref="B32:B38"/>
    <mergeCell ref="C32:C38"/>
    <mergeCell ref="D32:D38"/>
    <mergeCell ref="E32:E38"/>
    <mergeCell ref="F32:F38"/>
    <mergeCell ref="H18:H24"/>
    <mergeCell ref="I18:I24"/>
    <mergeCell ref="A25:A31"/>
    <mergeCell ref="B25:B31"/>
    <mergeCell ref="C25:C31"/>
    <mergeCell ref="D25:D31"/>
    <mergeCell ref="E25:E31"/>
    <mergeCell ref="F25:F31"/>
    <mergeCell ref="H25:H31"/>
    <mergeCell ref="I25:I31"/>
    <mergeCell ref="A18:A24"/>
    <mergeCell ref="B18:B24"/>
    <mergeCell ref="C18:C24"/>
    <mergeCell ref="D18:D24"/>
    <mergeCell ref="E18:E24"/>
    <mergeCell ref="F18:F24"/>
    <mergeCell ref="O7:O8"/>
    <mergeCell ref="A9:O9"/>
    <mergeCell ref="H7:I7"/>
    <mergeCell ref="J7:J8"/>
    <mergeCell ref="K7:K8"/>
    <mergeCell ref="L7:L8"/>
    <mergeCell ref="M7:M8"/>
    <mergeCell ref="N7:N8"/>
    <mergeCell ref="A2:O3"/>
    <mergeCell ref="C4:O4"/>
    <mergeCell ref="A5:A8"/>
    <mergeCell ref="B5:B8"/>
    <mergeCell ref="C5:C8"/>
    <mergeCell ref="D5:D8"/>
    <mergeCell ref="E5:E8"/>
    <mergeCell ref="F5:F8"/>
    <mergeCell ref="G5:O6"/>
    <mergeCell ref="G7:G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7"/>
  <sheetViews>
    <sheetView zoomScale="60" zoomScaleNormal="60" workbookViewId="0">
      <selection activeCell="A2" sqref="A2:O3"/>
    </sheetView>
  </sheetViews>
  <sheetFormatPr defaultColWidth="9.140625" defaultRowHeight="15" outlineLevelRow="1" x14ac:dyDescent="0.25"/>
  <cols>
    <col min="1" max="1" width="8.42578125" style="22" customWidth="1"/>
    <col min="2" max="2" width="100.5703125" style="21" customWidth="1"/>
    <col min="3" max="3" width="14.85546875" style="21" customWidth="1"/>
    <col min="4" max="5" width="12.42578125" style="21" customWidth="1"/>
    <col min="6" max="6" width="14.42578125" style="21" customWidth="1"/>
    <col min="7" max="7" width="13.140625" style="21" customWidth="1"/>
    <col min="8" max="8" width="10.85546875" style="21" customWidth="1"/>
    <col min="9" max="9" width="9.85546875" style="21" customWidth="1"/>
    <col min="10" max="10" width="8.140625" style="21" customWidth="1"/>
    <col min="11" max="11" width="8.85546875" style="21" customWidth="1"/>
    <col min="12" max="12" width="13.42578125" style="21" customWidth="1"/>
    <col min="13" max="13" width="19.42578125" style="21" customWidth="1"/>
    <col min="14" max="15" width="18.140625" style="21" customWidth="1"/>
    <col min="16" max="16" width="17.42578125" style="21" customWidth="1"/>
    <col min="17" max="16384" width="9.140625" style="21"/>
  </cols>
  <sheetData>
    <row r="1" spans="1:15" ht="55.35" customHeight="1" x14ac:dyDescent="0.25">
      <c r="A1" s="23" t="s">
        <v>0</v>
      </c>
      <c r="B1" s="19"/>
      <c r="C1" s="20" t="s">
        <v>1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5" ht="15" customHeight="1" x14ac:dyDescent="0.25">
      <c r="A2" s="107" t="s">
        <v>974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</row>
    <row r="3" spans="1:15" ht="36" customHeight="1" thickBot="1" x14ac:dyDescent="0.3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</row>
    <row r="4" spans="1:15" ht="13.7" customHeight="1" thickBot="1" x14ac:dyDescent="0.3">
      <c r="A4" s="55"/>
      <c r="B4" s="55"/>
      <c r="C4" s="109" t="s">
        <v>106</v>
      </c>
      <c r="D4" s="110"/>
      <c r="E4" s="110"/>
      <c r="F4" s="111"/>
      <c r="G4" s="111"/>
      <c r="H4" s="111"/>
      <c r="I4" s="111"/>
      <c r="J4" s="111"/>
      <c r="K4" s="111"/>
      <c r="L4" s="111"/>
      <c r="M4" s="111"/>
      <c r="N4" s="111"/>
      <c r="O4" s="112"/>
    </row>
    <row r="5" spans="1:15" s="38" customFormat="1" ht="19.5" customHeight="1" x14ac:dyDescent="0.25">
      <c r="A5" s="113" t="s">
        <v>3</v>
      </c>
      <c r="B5" s="113" t="s">
        <v>4</v>
      </c>
      <c r="C5" s="113" t="s">
        <v>53</v>
      </c>
      <c r="D5" s="113" t="s">
        <v>107</v>
      </c>
      <c r="E5" s="113" t="s">
        <v>108</v>
      </c>
      <c r="F5" s="113" t="s">
        <v>109</v>
      </c>
      <c r="G5" s="117" t="s">
        <v>110</v>
      </c>
      <c r="H5" s="118"/>
      <c r="I5" s="118"/>
      <c r="J5" s="118"/>
      <c r="K5" s="118"/>
      <c r="L5" s="118"/>
      <c r="M5" s="118"/>
      <c r="N5" s="118"/>
      <c r="O5" s="119"/>
    </row>
    <row r="6" spans="1:15" s="38" customFormat="1" ht="19.5" customHeight="1" thickBot="1" x14ac:dyDescent="0.3">
      <c r="A6" s="114"/>
      <c r="B6" s="114"/>
      <c r="C6" s="114"/>
      <c r="D6" s="115"/>
      <c r="E6" s="115"/>
      <c r="F6" s="116"/>
      <c r="G6" s="120"/>
      <c r="H6" s="121"/>
      <c r="I6" s="121"/>
      <c r="J6" s="121"/>
      <c r="K6" s="121"/>
      <c r="L6" s="121"/>
      <c r="M6" s="121"/>
      <c r="N6" s="121"/>
      <c r="O6" s="122"/>
    </row>
    <row r="7" spans="1:15" s="38" customFormat="1" ht="25.35" customHeight="1" thickBot="1" x14ac:dyDescent="0.3">
      <c r="A7" s="115"/>
      <c r="B7" s="115"/>
      <c r="C7" s="115"/>
      <c r="D7" s="115"/>
      <c r="E7" s="115"/>
      <c r="F7" s="115"/>
      <c r="G7" s="100" t="s">
        <v>111</v>
      </c>
      <c r="H7" s="105" t="s">
        <v>112</v>
      </c>
      <c r="I7" s="106"/>
      <c r="J7" s="100" t="s">
        <v>113</v>
      </c>
      <c r="K7" s="100" t="s">
        <v>114</v>
      </c>
      <c r="L7" s="100" t="s">
        <v>115</v>
      </c>
      <c r="M7" s="100" t="s">
        <v>116</v>
      </c>
      <c r="N7" s="100" t="s">
        <v>117</v>
      </c>
      <c r="O7" s="100" t="s">
        <v>118</v>
      </c>
    </row>
    <row r="8" spans="1:15" s="38" customFormat="1" ht="19.5" customHeight="1" thickBot="1" x14ac:dyDescent="0.3">
      <c r="A8" s="101"/>
      <c r="B8" s="101"/>
      <c r="C8" s="101"/>
      <c r="D8" s="101"/>
      <c r="E8" s="101"/>
      <c r="F8" s="101"/>
      <c r="G8" s="101"/>
      <c r="H8" s="61" t="s">
        <v>119</v>
      </c>
      <c r="I8" s="61" t="s">
        <v>120</v>
      </c>
      <c r="J8" s="101"/>
      <c r="K8" s="101"/>
      <c r="L8" s="101"/>
      <c r="M8" s="101"/>
      <c r="N8" s="101"/>
      <c r="O8" s="101"/>
    </row>
    <row r="9" spans="1:15" s="38" customFormat="1" ht="19.5" customHeight="1" thickBot="1" x14ac:dyDescent="0.3">
      <c r="A9" s="102" t="s">
        <v>341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4"/>
    </row>
    <row r="10" spans="1:15" s="39" customFormat="1" ht="16.5" thickBot="1" x14ac:dyDescent="0.3">
      <c r="A10" s="37" t="s">
        <v>8</v>
      </c>
      <c r="B10" s="34" t="s">
        <v>122</v>
      </c>
      <c r="C10" s="35">
        <f>SUM(C11:C66)</f>
        <v>0</v>
      </c>
      <c r="D10" s="35">
        <f>SUM(D11:D66)</f>
        <v>0</v>
      </c>
      <c r="E10" s="35">
        <f>SUM(E11:E66)</f>
        <v>0</v>
      </c>
      <c r="F10" s="56"/>
      <c r="G10" s="56"/>
      <c r="H10" s="56"/>
      <c r="I10" s="56"/>
      <c r="J10" s="56"/>
      <c r="K10" s="56"/>
      <c r="L10" s="56"/>
      <c r="M10" s="56"/>
      <c r="N10" s="56"/>
      <c r="O10" s="36"/>
    </row>
    <row r="11" spans="1:15" s="38" customFormat="1" ht="14.45" hidden="1" customHeight="1" outlineLevel="1" x14ac:dyDescent="0.25">
      <c r="A11" s="140" t="s">
        <v>123</v>
      </c>
      <c r="B11" s="141" t="s">
        <v>342</v>
      </c>
      <c r="C11" s="130">
        <f>SUM(N11:N17)</f>
        <v>0</v>
      </c>
      <c r="D11" s="130">
        <f>SUM(O11:O17)</f>
        <v>0</v>
      </c>
      <c r="E11" s="130">
        <f>D11/8</f>
        <v>0</v>
      </c>
      <c r="F11" s="130"/>
      <c r="G11" s="60" t="s">
        <v>125</v>
      </c>
      <c r="H11" s="123"/>
      <c r="I11" s="123"/>
      <c r="J11" s="60"/>
      <c r="K11" s="60"/>
      <c r="L11" s="60"/>
      <c r="M11" s="60"/>
      <c r="N11" s="60">
        <f>M11*J11*K11*L11</f>
        <v>0</v>
      </c>
      <c r="O11" s="60">
        <f>J11*K11*L11</f>
        <v>0</v>
      </c>
    </row>
    <row r="12" spans="1:15" s="38" customFormat="1" ht="11.45" hidden="1" customHeight="1" outlineLevel="1" x14ac:dyDescent="0.25">
      <c r="A12" s="124"/>
      <c r="B12" s="128"/>
      <c r="C12" s="115"/>
      <c r="D12" s="115"/>
      <c r="E12" s="115"/>
      <c r="F12" s="115"/>
      <c r="G12" s="60" t="s">
        <v>126</v>
      </c>
      <c r="H12" s="124"/>
      <c r="I12" s="124"/>
      <c r="J12" s="60"/>
      <c r="K12" s="60"/>
      <c r="L12" s="60"/>
      <c r="M12" s="60"/>
      <c r="N12" s="60">
        <f t="shared" ref="N12:N17" si="0">M12*J12*K12*L12</f>
        <v>0</v>
      </c>
      <c r="O12" s="60">
        <f t="shared" ref="O12:O66" si="1">J12*K12*L12</f>
        <v>0</v>
      </c>
    </row>
    <row r="13" spans="1:15" s="38" customFormat="1" ht="10.7" hidden="1" customHeight="1" outlineLevel="1" x14ac:dyDescent="0.25">
      <c r="A13" s="124"/>
      <c r="B13" s="128"/>
      <c r="C13" s="115"/>
      <c r="D13" s="115"/>
      <c r="E13" s="115"/>
      <c r="F13" s="115"/>
      <c r="G13" s="60" t="s">
        <v>127</v>
      </c>
      <c r="H13" s="124"/>
      <c r="I13" s="124"/>
      <c r="J13" s="60"/>
      <c r="K13" s="60"/>
      <c r="L13" s="60"/>
      <c r="M13" s="60"/>
      <c r="N13" s="60">
        <f t="shared" si="0"/>
        <v>0</v>
      </c>
      <c r="O13" s="60">
        <f t="shared" si="1"/>
        <v>0</v>
      </c>
    </row>
    <row r="14" spans="1:15" s="38" customFormat="1" ht="10.7" hidden="1" customHeight="1" outlineLevel="1" x14ac:dyDescent="0.25">
      <c r="A14" s="124"/>
      <c r="B14" s="128"/>
      <c r="C14" s="115"/>
      <c r="D14" s="115"/>
      <c r="E14" s="115"/>
      <c r="F14" s="115"/>
      <c r="G14" s="60" t="s">
        <v>128</v>
      </c>
      <c r="H14" s="124"/>
      <c r="I14" s="124"/>
      <c r="J14" s="60"/>
      <c r="K14" s="60"/>
      <c r="L14" s="60"/>
      <c r="M14" s="60"/>
      <c r="N14" s="60">
        <f t="shared" si="0"/>
        <v>0</v>
      </c>
      <c r="O14" s="60">
        <f t="shared" si="1"/>
        <v>0</v>
      </c>
    </row>
    <row r="15" spans="1:15" s="38" customFormat="1" ht="10.7" hidden="1" customHeight="1" outlineLevel="1" x14ac:dyDescent="0.25">
      <c r="A15" s="124"/>
      <c r="B15" s="128"/>
      <c r="C15" s="115"/>
      <c r="D15" s="115"/>
      <c r="E15" s="115"/>
      <c r="F15" s="115"/>
      <c r="G15" s="60" t="s">
        <v>129</v>
      </c>
      <c r="H15" s="124"/>
      <c r="I15" s="124"/>
      <c r="J15" s="60"/>
      <c r="K15" s="60"/>
      <c r="L15" s="60"/>
      <c r="M15" s="60"/>
      <c r="N15" s="60">
        <f t="shared" si="0"/>
        <v>0</v>
      </c>
      <c r="O15" s="60">
        <f t="shared" si="1"/>
        <v>0</v>
      </c>
    </row>
    <row r="16" spans="1:15" s="38" customFormat="1" ht="10.7" hidden="1" customHeight="1" outlineLevel="1" x14ac:dyDescent="0.25">
      <c r="A16" s="124"/>
      <c r="B16" s="128"/>
      <c r="C16" s="115"/>
      <c r="D16" s="115"/>
      <c r="E16" s="115"/>
      <c r="F16" s="115"/>
      <c r="G16" s="60" t="s">
        <v>130</v>
      </c>
      <c r="H16" s="124"/>
      <c r="I16" s="124"/>
      <c r="J16" s="60"/>
      <c r="K16" s="60"/>
      <c r="L16" s="60"/>
      <c r="M16" s="60"/>
      <c r="N16" s="60">
        <f t="shared" si="0"/>
        <v>0</v>
      </c>
      <c r="O16" s="60">
        <f t="shared" si="1"/>
        <v>0</v>
      </c>
    </row>
    <row r="17" spans="1:15" s="38" customFormat="1" ht="12" hidden="1" customHeight="1" outlineLevel="1" x14ac:dyDescent="0.25">
      <c r="A17" s="125"/>
      <c r="B17" s="129"/>
      <c r="C17" s="131"/>
      <c r="D17" s="131"/>
      <c r="E17" s="131"/>
      <c r="F17" s="131"/>
      <c r="G17" s="60" t="s">
        <v>131</v>
      </c>
      <c r="H17" s="125"/>
      <c r="I17" s="125"/>
      <c r="J17" s="60"/>
      <c r="K17" s="60"/>
      <c r="L17" s="60"/>
      <c r="M17" s="60"/>
      <c r="N17" s="60">
        <f t="shared" si="0"/>
        <v>0</v>
      </c>
      <c r="O17" s="60">
        <f t="shared" si="1"/>
        <v>0</v>
      </c>
    </row>
    <row r="18" spans="1:15" s="38" customFormat="1" ht="14.45" hidden="1" customHeight="1" outlineLevel="1" x14ac:dyDescent="0.25">
      <c r="A18" s="140" t="s">
        <v>132</v>
      </c>
      <c r="B18" s="141" t="s">
        <v>343</v>
      </c>
      <c r="C18" s="130">
        <f>SUM(N18:N24)</f>
        <v>0</v>
      </c>
      <c r="D18" s="130">
        <f>SUM(O18:O24)</f>
        <v>0</v>
      </c>
      <c r="E18" s="130">
        <f t="shared" ref="E18" si="2">D18/8</f>
        <v>0</v>
      </c>
      <c r="F18" s="130"/>
      <c r="G18" s="60" t="s">
        <v>125</v>
      </c>
      <c r="H18" s="123"/>
      <c r="I18" s="123"/>
      <c r="J18" s="60"/>
      <c r="K18" s="60"/>
      <c r="L18" s="60"/>
      <c r="M18" s="60"/>
      <c r="N18" s="60">
        <f>M18*J18*K18*L18</f>
        <v>0</v>
      </c>
      <c r="O18" s="60">
        <f t="shared" si="1"/>
        <v>0</v>
      </c>
    </row>
    <row r="19" spans="1:15" s="38" customFormat="1" ht="11.45" hidden="1" customHeight="1" outlineLevel="1" x14ac:dyDescent="0.25">
      <c r="A19" s="124"/>
      <c r="B19" s="128"/>
      <c r="C19" s="115"/>
      <c r="D19" s="115"/>
      <c r="E19" s="115"/>
      <c r="F19" s="115"/>
      <c r="G19" s="60" t="s">
        <v>126</v>
      </c>
      <c r="H19" s="124"/>
      <c r="I19" s="124"/>
      <c r="J19" s="60"/>
      <c r="K19" s="60"/>
      <c r="L19" s="60"/>
      <c r="M19" s="60"/>
      <c r="N19" s="60">
        <f t="shared" ref="N19:N24" si="3">M19*J19*K19*L19</f>
        <v>0</v>
      </c>
      <c r="O19" s="60">
        <f t="shared" si="1"/>
        <v>0</v>
      </c>
    </row>
    <row r="20" spans="1:15" s="38" customFormat="1" ht="10.7" hidden="1" customHeight="1" outlineLevel="1" x14ac:dyDescent="0.25">
      <c r="A20" s="124"/>
      <c r="B20" s="128"/>
      <c r="C20" s="115"/>
      <c r="D20" s="115"/>
      <c r="E20" s="115"/>
      <c r="F20" s="115"/>
      <c r="G20" s="60" t="s">
        <v>127</v>
      </c>
      <c r="H20" s="124"/>
      <c r="I20" s="124"/>
      <c r="J20" s="60"/>
      <c r="K20" s="60"/>
      <c r="L20" s="60"/>
      <c r="M20" s="60"/>
      <c r="N20" s="60">
        <f t="shared" si="3"/>
        <v>0</v>
      </c>
      <c r="O20" s="60">
        <f t="shared" si="1"/>
        <v>0</v>
      </c>
    </row>
    <row r="21" spans="1:15" s="38" customFormat="1" ht="10.7" hidden="1" customHeight="1" outlineLevel="1" x14ac:dyDescent="0.25">
      <c r="A21" s="124"/>
      <c r="B21" s="128"/>
      <c r="C21" s="115"/>
      <c r="D21" s="115"/>
      <c r="E21" s="115"/>
      <c r="F21" s="115"/>
      <c r="G21" s="60" t="s">
        <v>128</v>
      </c>
      <c r="H21" s="124"/>
      <c r="I21" s="124"/>
      <c r="J21" s="60"/>
      <c r="K21" s="60"/>
      <c r="L21" s="60"/>
      <c r="M21" s="60"/>
      <c r="N21" s="60">
        <f t="shared" si="3"/>
        <v>0</v>
      </c>
      <c r="O21" s="60">
        <f t="shared" si="1"/>
        <v>0</v>
      </c>
    </row>
    <row r="22" spans="1:15" s="38" customFormat="1" ht="10.7" hidden="1" customHeight="1" outlineLevel="1" x14ac:dyDescent="0.25">
      <c r="A22" s="124"/>
      <c r="B22" s="128"/>
      <c r="C22" s="115"/>
      <c r="D22" s="115"/>
      <c r="E22" s="115"/>
      <c r="F22" s="115"/>
      <c r="G22" s="60" t="s">
        <v>129</v>
      </c>
      <c r="H22" s="124"/>
      <c r="I22" s="124"/>
      <c r="J22" s="60"/>
      <c r="K22" s="60"/>
      <c r="L22" s="60"/>
      <c r="M22" s="60"/>
      <c r="N22" s="60">
        <f t="shared" si="3"/>
        <v>0</v>
      </c>
      <c r="O22" s="60">
        <f t="shared" si="1"/>
        <v>0</v>
      </c>
    </row>
    <row r="23" spans="1:15" s="38" customFormat="1" ht="10.7" hidden="1" customHeight="1" outlineLevel="1" x14ac:dyDescent="0.25">
      <c r="A23" s="124"/>
      <c r="B23" s="128"/>
      <c r="C23" s="115"/>
      <c r="D23" s="115"/>
      <c r="E23" s="115"/>
      <c r="F23" s="115"/>
      <c r="G23" s="60" t="s">
        <v>130</v>
      </c>
      <c r="H23" s="124"/>
      <c r="I23" s="124"/>
      <c r="J23" s="60"/>
      <c r="K23" s="60"/>
      <c r="L23" s="60"/>
      <c r="M23" s="60"/>
      <c r="N23" s="60">
        <f t="shared" si="3"/>
        <v>0</v>
      </c>
      <c r="O23" s="60">
        <f t="shared" si="1"/>
        <v>0</v>
      </c>
    </row>
    <row r="24" spans="1:15" s="38" customFormat="1" ht="12" hidden="1" customHeight="1" outlineLevel="1" x14ac:dyDescent="0.25">
      <c r="A24" s="125"/>
      <c r="B24" s="129"/>
      <c r="C24" s="131"/>
      <c r="D24" s="131"/>
      <c r="E24" s="131"/>
      <c r="F24" s="131"/>
      <c r="G24" s="60" t="s">
        <v>131</v>
      </c>
      <c r="H24" s="125"/>
      <c r="I24" s="125"/>
      <c r="J24" s="60"/>
      <c r="K24" s="60"/>
      <c r="L24" s="60"/>
      <c r="M24" s="60"/>
      <c r="N24" s="60">
        <f t="shared" si="3"/>
        <v>0</v>
      </c>
      <c r="O24" s="60">
        <f t="shared" si="1"/>
        <v>0</v>
      </c>
    </row>
    <row r="25" spans="1:15" s="38" customFormat="1" ht="14.45" hidden="1" customHeight="1" outlineLevel="1" x14ac:dyDescent="0.25">
      <c r="A25" s="140" t="s">
        <v>134</v>
      </c>
      <c r="B25" s="141" t="s">
        <v>344</v>
      </c>
      <c r="C25" s="130">
        <f>SUM(N25:N31)</f>
        <v>0</v>
      </c>
      <c r="D25" s="130">
        <f>SUM(O25:O31)</f>
        <v>0</v>
      </c>
      <c r="E25" s="130">
        <f t="shared" ref="E25" si="4">D25/8</f>
        <v>0</v>
      </c>
      <c r="F25" s="130"/>
      <c r="G25" s="60" t="s">
        <v>125</v>
      </c>
      <c r="H25" s="123"/>
      <c r="I25" s="123"/>
      <c r="J25" s="60"/>
      <c r="K25" s="60"/>
      <c r="L25" s="60"/>
      <c r="M25" s="60"/>
      <c r="N25" s="60">
        <f>M25*J25*K25*L25</f>
        <v>0</v>
      </c>
      <c r="O25" s="60">
        <f t="shared" si="1"/>
        <v>0</v>
      </c>
    </row>
    <row r="26" spans="1:15" s="38" customFormat="1" ht="11.45" hidden="1" customHeight="1" outlineLevel="1" x14ac:dyDescent="0.25">
      <c r="A26" s="124"/>
      <c r="B26" s="128"/>
      <c r="C26" s="115"/>
      <c r="D26" s="115"/>
      <c r="E26" s="115"/>
      <c r="F26" s="115"/>
      <c r="G26" s="60" t="s">
        <v>126</v>
      </c>
      <c r="H26" s="124"/>
      <c r="I26" s="124"/>
      <c r="J26" s="60"/>
      <c r="K26" s="60"/>
      <c r="L26" s="60"/>
      <c r="M26" s="60"/>
      <c r="N26" s="60">
        <f t="shared" ref="N26:N31" si="5">M26*J26*K26*L26</f>
        <v>0</v>
      </c>
      <c r="O26" s="60">
        <f t="shared" si="1"/>
        <v>0</v>
      </c>
    </row>
    <row r="27" spans="1:15" s="38" customFormat="1" ht="10.7" hidden="1" customHeight="1" outlineLevel="1" x14ac:dyDescent="0.25">
      <c r="A27" s="124"/>
      <c r="B27" s="128"/>
      <c r="C27" s="115"/>
      <c r="D27" s="115"/>
      <c r="E27" s="115"/>
      <c r="F27" s="115"/>
      <c r="G27" s="60" t="s">
        <v>127</v>
      </c>
      <c r="H27" s="124"/>
      <c r="I27" s="124"/>
      <c r="J27" s="60"/>
      <c r="K27" s="60"/>
      <c r="L27" s="60"/>
      <c r="M27" s="60"/>
      <c r="N27" s="60">
        <f t="shared" si="5"/>
        <v>0</v>
      </c>
      <c r="O27" s="60">
        <f t="shared" si="1"/>
        <v>0</v>
      </c>
    </row>
    <row r="28" spans="1:15" s="38" customFormat="1" ht="10.7" hidden="1" customHeight="1" outlineLevel="1" x14ac:dyDescent="0.25">
      <c r="A28" s="124"/>
      <c r="B28" s="128"/>
      <c r="C28" s="115"/>
      <c r="D28" s="115"/>
      <c r="E28" s="115"/>
      <c r="F28" s="115"/>
      <c r="G28" s="60" t="s">
        <v>128</v>
      </c>
      <c r="H28" s="124"/>
      <c r="I28" s="124"/>
      <c r="J28" s="60"/>
      <c r="K28" s="60"/>
      <c r="L28" s="60"/>
      <c r="M28" s="60"/>
      <c r="N28" s="60">
        <f t="shared" si="5"/>
        <v>0</v>
      </c>
      <c r="O28" s="60">
        <f t="shared" si="1"/>
        <v>0</v>
      </c>
    </row>
    <row r="29" spans="1:15" s="38" customFormat="1" ht="10.7" hidden="1" customHeight="1" outlineLevel="1" x14ac:dyDescent="0.25">
      <c r="A29" s="124"/>
      <c r="B29" s="128"/>
      <c r="C29" s="115"/>
      <c r="D29" s="115"/>
      <c r="E29" s="115"/>
      <c r="F29" s="115"/>
      <c r="G29" s="60" t="s">
        <v>129</v>
      </c>
      <c r="H29" s="124"/>
      <c r="I29" s="124"/>
      <c r="J29" s="60"/>
      <c r="K29" s="60"/>
      <c r="L29" s="60"/>
      <c r="M29" s="60"/>
      <c r="N29" s="60">
        <f t="shared" si="5"/>
        <v>0</v>
      </c>
      <c r="O29" s="60">
        <f t="shared" si="1"/>
        <v>0</v>
      </c>
    </row>
    <row r="30" spans="1:15" s="38" customFormat="1" ht="10.7" hidden="1" customHeight="1" outlineLevel="1" x14ac:dyDescent="0.25">
      <c r="A30" s="124"/>
      <c r="B30" s="128"/>
      <c r="C30" s="115"/>
      <c r="D30" s="115"/>
      <c r="E30" s="115"/>
      <c r="F30" s="115"/>
      <c r="G30" s="60" t="s">
        <v>130</v>
      </c>
      <c r="H30" s="124"/>
      <c r="I30" s="124"/>
      <c r="J30" s="60"/>
      <c r="K30" s="60"/>
      <c r="L30" s="60"/>
      <c r="M30" s="60"/>
      <c r="N30" s="60">
        <f t="shared" si="5"/>
        <v>0</v>
      </c>
      <c r="O30" s="60">
        <f t="shared" si="1"/>
        <v>0</v>
      </c>
    </row>
    <row r="31" spans="1:15" s="38" customFormat="1" ht="12" hidden="1" customHeight="1" outlineLevel="1" x14ac:dyDescent="0.25">
      <c r="A31" s="125"/>
      <c r="B31" s="129"/>
      <c r="C31" s="131"/>
      <c r="D31" s="131"/>
      <c r="E31" s="131"/>
      <c r="F31" s="131"/>
      <c r="G31" s="60" t="s">
        <v>131</v>
      </c>
      <c r="H31" s="125"/>
      <c r="I31" s="125"/>
      <c r="J31" s="60"/>
      <c r="K31" s="60"/>
      <c r="L31" s="60"/>
      <c r="M31" s="60"/>
      <c r="N31" s="60">
        <f t="shared" si="5"/>
        <v>0</v>
      </c>
      <c r="O31" s="60">
        <f t="shared" si="1"/>
        <v>0</v>
      </c>
    </row>
    <row r="32" spans="1:15" s="38" customFormat="1" ht="14.45" hidden="1" customHeight="1" outlineLevel="1" x14ac:dyDescent="0.25">
      <c r="A32" s="140" t="s">
        <v>136</v>
      </c>
      <c r="B32" s="141" t="s">
        <v>345</v>
      </c>
      <c r="C32" s="130">
        <f>SUM(N32:N38)</f>
        <v>0</v>
      </c>
      <c r="D32" s="130">
        <f>SUM(O32:O38)</f>
        <v>0</v>
      </c>
      <c r="E32" s="130">
        <f t="shared" ref="E32" si="6">D32/8</f>
        <v>0</v>
      </c>
      <c r="F32" s="130"/>
      <c r="G32" s="60" t="s">
        <v>125</v>
      </c>
      <c r="H32" s="123"/>
      <c r="I32" s="123"/>
      <c r="J32" s="60"/>
      <c r="K32" s="60"/>
      <c r="L32" s="60"/>
      <c r="M32" s="60"/>
      <c r="N32" s="60">
        <f>M32*J32*K32*L32</f>
        <v>0</v>
      </c>
      <c r="O32" s="60">
        <f t="shared" si="1"/>
        <v>0</v>
      </c>
    </row>
    <row r="33" spans="1:15" s="38" customFormat="1" ht="11.45" hidden="1" customHeight="1" outlineLevel="1" x14ac:dyDescent="0.25">
      <c r="A33" s="124"/>
      <c r="B33" s="128"/>
      <c r="C33" s="115"/>
      <c r="D33" s="115"/>
      <c r="E33" s="115"/>
      <c r="F33" s="115"/>
      <c r="G33" s="60" t="s">
        <v>126</v>
      </c>
      <c r="H33" s="124"/>
      <c r="I33" s="124"/>
      <c r="J33" s="60"/>
      <c r="K33" s="60"/>
      <c r="L33" s="60"/>
      <c r="M33" s="60"/>
      <c r="N33" s="60">
        <f t="shared" ref="N33:N38" si="7">M33*J33*K33*L33</f>
        <v>0</v>
      </c>
      <c r="O33" s="60">
        <f t="shared" si="1"/>
        <v>0</v>
      </c>
    </row>
    <row r="34" spans="1:15" s="38" customFormat="1" ht="10.7" hidden="1" customHeight="1" outlineLevel="1" x14ac:dyDescent="0.25">
      <c r="A34" s="124"/>
      <c r="B34" s="128"/>
      <c r="C34" s="115"/>
      <c r="D34" s="115"/>
      <c r="E34" s="115"/>
      <c r="F34" s="115"/>
      <c r="G34" s="60" t="s">
        <v>127</v>
      </c>
      <c r="H34" s="124"/>
      <c r="I34" s="124"/>
      <c r="J34" s="60"/>
      <c r="K34" s="60"/>
      <c r="L34" s="60"/>
      <c r="M34" s="60"/>
      <c r="N34" s="60">
        <f t="shared" si="7"/>
        <v>0</v>
      </c>
      <c r="O34" s="60">
        <f t="shared" si="1"/>
        <v>0</v>
      </c>
    </row>
    <row r="35" spans="1:15" s="38" customFormat="1" ht="10.7" hidden="1" customHeight="1" outlineLevel="1" x14ac:dyDescent="0.25">
      <c r="A35" s="124"/>
      <c r="B35" s="128"/>
      <c r="C35" s="115"/>
      <c r="D35" s="115"/>
      <c r="E35" s="115"/>
      <c r="F35" s="115"/>
      <c r="G35" s="60" t="s">
        <v>128</v>
      </c>
      <c r="H35" s="124"/>
      <c r="I35" s="124"/>
      <c r="J35" s="60"/>
      <c r="K35" s="60"/>
      <c r="L35" s="60"/>
      <c r="M35" s="60"/>
      <c r="N35" s="60">
        <f t="shared" si="7"/>
        <v>0</v>
      </c>
      <c r="O35" s="60">
        <f t="shared" si="1"/>
        <v>0</v>
      </c>
    </row>
    <row r="36" spans="1:15" s="38" customFormat="1" ht="10.7" hidden="1" customHeight="1" outlineLevel="1" x14ac:dyDescent="0.25">
      <c r="A36" s="124"/>
      <c r="B36" s="128"/>
      <c r="C36" s="115"/>
      <c r="D36" s="115"/>
      <c r="E36" s="115"/>
      <c r="F36" s="115"/>
      <c r="G36" s="60" t="s">
        <v>129</v>
      </c>
      <c r="H36" s="124"/>
      <c r="I36" s="124"/>
      <c r="J36" s="60"/>
      <c r="K36" s="60"/>
      <c r="L36" s="60"/>
      <c r="M36" s="60"/>
      <c r="N36" s="60">
        <f t="shared" si="7"/>
        <v>0</v>
      </c>
      <c r="O36" s="60">
        <f t="shared" si="1"/>
        <v>0</v>
      </c>
    </row>
    <row r="37" spans="1:15" s="38" customFormat="1" ht="10.7" hidden="1" customHeight="1" outlineLevel="1" x14ac:dyDescent="0.25">
      <c r="A37" s="124"/>
      <c r="B37" s="128"/>
      <c r="C37" s="115"/>
      <c r="D37" s="115"/>
      <c r="E37" s="115"/>
      <c r="F37" s="115"/>
      <c r="G37" s="60" t="s">
        <v>130</v>
      </c>
      <c r="H37" s="124"/>
      <c r="I37" s="124"/>
      <c r="J37" s="60"/>
      <c r="K37" s="60"/>
      <c r="L37" s="60"/>
      <c r="M37" s="60"/>
      <c r="N37" s="60">
        <f t="shared" si="7"/>
        <v>0</v>
      </c>
      <c r="O37" s="60">
        <f t="shared" si="1"/>
        <v>0</v>
      </c>
    </row>
    <row r="38" spans="1:15" s="38" customFormat="1" ht="12" hidden="1" customHeight="1" outlineLevel="1" x14ac:dyDescent="0.25">
      <c r="A38" s="125"/>
      <c r="B38" s="129"/>
      <c r="C38" s="131"/>
      <c r="D38" s="131"/>
      <c r="E38" s="131"/>
      <c r="F38" s="131"/>
      <c r="G38" s="60" t="s">
        <v>131</v>
      </c>
      <c r="H38" s="125"/>
      <c r="I38" s="125"/>
      <c r="J38" s="60"/>
      <c r="K38" s="60"/>
      <c r="L38" s="60"/>
      <c r="M38" s="60"/>
      <c r="N38" s="60">
        <f t="shared" si="7"/>
        <v>0</v>
      </c>
      <c r="O38" s="60">
        <f t="shared" si="1"/>
        <v>0</v>
      </c>
    </row>
    <row r="39" spans="1:15" s="38" customFormat="1" ht="14.45" hidden="1" customHeight="1" outlineLevel="1" x14ac:dyDescent="0.25">
      <c r="A39" s="140" t="s">
        <v>138</v>
      </c>
      <c r="B39" s="141" t="s">
        <v>346</v>
      </c>
      <c r="C39" s="130">
        <f>SUM(N39:N45)</f>
        <v>0</v>
      </c>
      <c r="D39" s="130">
        <f>SUM(O39:O45)</f>
        <v>0</v>
      </c>
      <c r="E39" s="130">
        <f t="shared" ref="E39" si="8">D39/8</f>
        <v>0</v>
      </c>
      <c r="F39" s="130"/>
      <c r="G39" s="60" t="s">
        <v>125</v>
      </c>
      <c r="H39" s="123"/>
      <c r="I39" s="123"/>
      <c r="J39" s="60"/>
      <c r="K39" s="60"/>
      <c r="L39" s="60"/>
      <c r="M39" s="60"/>
      <c r="N39" s="60">
        <f>M39*J39*K39*L39</f>
        <v>0</v>
      </c>
      <c r="O39" s="60">
        <f t="shared" si="1"/>
        <v>0</v>
      </c>
    </row>
    <row r="40" spans="1:15" s="38" customFormat="1" ht="11.45" hidden="1" customHeight="1" outlineLevel="1" x14ac:dyDescent="0.25">
      <c r="A40" s="124"/>
      <c r="B40" s="128"/>
      <c r="C40" s="115"/>
      <c r="D40" s="115"/>
      <c r="E40" s="115"/>
      <c r="F40" s="115"/>
      <c r="G40" s="60" t="s">
        <v>126</v>
      </c>
      <c r="H40" s="124"/>
      <c r="I40" s="124"/>
      <c r="J40" s="60"/>
      <c r="K40" s="60"/>
      <c r="L40" s="60"/>
      <c r="M40" s="60"/>
      <c r="N40" s="60">
        <f t="shared" ref="N40:N45" si="9">M40*J40*K40*L40</f>
        <v>0</v>
      </c>
      <c r="O40" s="60">
        <f t="shared" si="1"/>
        <v>0</v>
      </c>
    </row>
    <row r="41" spans="1:15" s="38" customFormat="1" ht="10.7" hidden="1" customHeight="1" outlineLevel="1" x14ac:dyDescent="0.25">
      <c r="A41" s="124"/>
      <c r="B41" s="128"/>
      <c r="C41" s="115"/>
      <c r="D41" s="115"/>
      <c r="E41" s="115"/>
      <c r="F41" s="115"/>
      <c r="G41" s="60" t="s">
        <v>127</v>
      </c>
      <c r="H41" s="124"/>
      <c r="I41" s="124"/>
      <c r="J41" s="60"/>
      <c r="K41" s="60"/>
      <c r="L41" s="60"/>
      <c r="M41" s="60"/>
      <c r="N41" s="60">
        <f t="shared" si="9"/>
        <v>0</v>
      </c>
      <c r="O41" s="60">
        <f t="shared" si="1"/>
        <v>0</v>
      </c>
    </row>
    <row r="42" spans="1:15" s="38" customFormat="1" ht="10.7" hidden="1" customHeight="1" outlineLevel="1" x14ac:dyDescent="0.25">
      <c r="A42" s="124"/>
      <c r="B42" s="128"/>
      <c r="C42" s="115"/>
      <c r="D42" s="115"/>
      <c r="E42" s="115"/>
      <c r="F42" s="115"/>
      <c r="G42" s="60" t="s">
        <v>128</v>
      </c>
      <c r="H42" s="124"/>
      <c r="I42" s="124"/>
      <c r="J42" s="60"/>
      <c r="K42" s="60"/>
      <c r="L42" s="60"/>
      <c r="M42" s="60"/>
      <c r="N42" s="60">
        <f t="shared" si="9"/>
        <v>0</v>
      </c>
      <c r="O42" s="60">
        <f t="shared" si="1"/>
        <v>0</v>
      </c>
    </row>
    <row r="43" spans="1:15" s="38" customFormat="1" ht="10.7" hidden="1" customHeight="1" outlineLevel="1" x14ac:dyDescent="0.25">
      <c r="A43" s="124"/>
      <c r="B43" s="128"/>
      <c r="C43" s="115"/>
      <c r="D43" s="115"/>
      <c r="E43" s="115"/>
      <c r="F43" s="115"/>
      <c r="G43" s="60" t="s">
        <v>129</v>
      </c>
      <c r="H43" s="124"/>
      <c r="I43" s="124"/>
      <c r="J43" s="60"/>
      <c r="K43" s="60"/>
      <c r="L43" s="60"/>
      <c r="M43" s="60"/>
      <c r="N43" s="60">
        <f t="shared" si="9"/>
        <v>0</v>
      </c>
      <c r="O43" s="60">
        <f t="shared" si="1"/>
        <v>0</v>
      </c>
    </row>
    <row r="44" spans="1:15" s="38" customFormat="1" ht="10.7" hidden="1" customHeight="1" outlineLevel="1" x14ac:dyDescent="0.25">
      <c r="A44" s="124"/>
      <c r="B44" s="128"/>
      <c r="C44" s="115"/>
      <c r="D44" s="115"/>
      <c r="E44" s="115"/>
      <c r="F44" s="115"/>
      <c r="G44" s="60" t="s">
        <v>130</v>
      </c>
      <c r="H44" s="124"/>
      <c r="I44" s="124"/>
      <c r="J44" s="60"/>
      <c r="K44" s="60"/>
      <c r="L44" s="60"/>
      <c r="M44" s="60"/>
      <c r="N44" s="60">
        <f t="shared" si="9"/>
        <v>0</v>
      </c>
      <c r="O44" s="60">
        <f t="shared" si="1"/>
        <v>0</v>
      </c>
    </row>
    <row r="45" spans="1:15" s="38" customFormat="1" ht="12" hidden="1" customHeight="1" outlineLevel="1" x14ac:dyDescent="0.25">
      <c r="A45" s="125"/>
      <c r="B45" s="129"/>
      <c r="C45" s="131"/>
      <c r="D45" s="131"/>
      <c r="E45" s="131"/>
      <c r="F45" s="131"/>
      <c r="G45" s="60" t="s">
        <v>131</v>
      </c>
      <c r="H45" s="125"/>
      <c r="I45" s="125"/>
      <c r="J45" s="60"/>
      <c r="K45" s="60"/>
      <c r="L45" s="60"/>
      <c r="M45" s="60"/>
      <c r="N45" s="60">
        <f t="shared" si="9"/>
        <v>0</v>
      </c>
      <c r="O45" s="60">
        <f t="shared" si="1"/>
        <v>0</v>
      </c>
    </row>
    <row r="46" spans="1:15" s="38" customFormat="1" ht="14.45" hidden="1" customHeight="1" outlineLevel="1" x14ac:dyDescent="0.25">
      <c r="A46" s="140" t="s">
        <v>140</v>
      </c>
      <c r="B46" s="141" t="s">
        <v>347</v>
      </c>
      <c r="C46" s="130">
        <f>SUM(N46:N52)</f>
        <v>0</v>
      </c>
      <c r="D46" s="130">
        <f>SUM(O46:O52)</f>
        <v>0</v>
      </c>
      <c r="E46" s="130">
        <f t="shared" ref="E46" si="10">D46/8</f>
        <v>0</v>
      </c>
      <c r="F46" s="130"/>
      <c r="G46" s="60" t="s">
        <v>125</v>
      </c>
      <c r="H46" s="123"/>
      <c r="I46" s="123"/>
      <c r="J46" s="60"/>
      <c r="K46" s="60"/>
      <c r="L46" s="60"/>
      <c r="M46" s="60"/>
      <c r="N46" s="60">
        <f>M46*J46*K46*L46</f>
        <v>0</v>
      </c>
      <c r="O46" s="60">
        <f t="shared" si="1"/>
        <v>0</v>
      </c>
    </row>
    <row r="47" spans="1:15" s="38" customFormat="1" ht="11.45" hidden="1" customHeight="1" outlineLevel="1" x14ac:dyDescent="0.25">
      <c r="A47" s="124"/>
      <c r="B47" s="128"/>
      <c r="C47" s="115"/>
      <c r="D47" s="115"/>
      <c r="E47" s="115"/>
      <c r="F47" s="115"/>
      <c r="G47" s="60" t="s">
        <v>126</v>
      </c>
      <c r="H47" s="124"/>
      <c r="I47" s="124"/>
      <c r="J47" s="60"/>
      <c r="K47" s="60"/>
      <c r="L47" s="60"/>
      <c r="M47" s="60"/>
      <c r="N47" s="60">
        <f t="shared" ref="N47:N52" si="11">M47*J47*K47*L47</f>
        <v>0</v>
      </c>
      <c r="O47" s="60">
        <f t="shared" si="1"/>
        <v>0</v>
      </c>
    </row>
    <row r="48" spans="1:15" s="38" customFormat="1" ht="10.7" hidden="1" customHeight="1" outlineLevel="1" x14ac:dyDescent="0.25">
      <c r="A48" s="124"/>
      <c r="B48" s="128"/>
      <c r="C48" s="115"/>
      <c r="D48" s="115"/>
      <c r="E48" s="115"/>
      <c r="F48" s="115"/>
      <c r="G48" s="60" t="s">
        <v>127</v>
      </c>
      <c r="H48" s="124"/>
      <c r="I48" s="124"/>
      <c r="J48" s="60"/>
      <c r="K48" s="60"/>
      <c r="L48" s="60"/>
      <c r="M48" s="60"/>
      <c r="N48" s="60">
        <f t="shared" si="11"/>
        <v>0</v>
      </c>
      <c r="O48" s="60">
        <f t="shared" si="1"/>
        <v>0</v>
      </c>
    </row>
    <row r="49" spans="1:15" s="38" customFormat="1" ht="10.7" hidden="1" customHeight="1" outlineLevel="1" x14ac:dyDescent="0.25">
      <c r="A49" s="124"/>
      <c r="B49" s="128"/>
      <c r="C49" s="115"/>
      <c r="D49" s="115"/>
      <c r="E49" s="115"/>
      <c r="F49" s="115"/>
      <c r="G49" s="60" t="s">
        <v>128</v>
      </c>
      <c r="H49" s="124"/>
      <c r="I49" s="124"/>
      <c r="J49" s="60"/>
      <c r="K49" s="60"/>
      <c r="L49" s="60"/>
      <c r="M49" s="60"/>
      <c r="N49" s="60">
        <f t="shared" si="11"/>
        <v>0</v>
      </c>
      <c r="O49" s="60">
        <f t="shared" si="1"/>
        <v>0</v>
      </c>
    </row>
    <row r="50" spans="1:15" s="38" customFormat="1" ht="10.7" hidden="1" customHeight="1" outlineLevel="1" x14ac:dyDescent="0.25">
      <c r="A50" s="124"/>
      <c r="B50" s="128"/>
      <c r="C50" s="115"/>
      <c r="D50" s="115"/>
      <c r="E50" s="115"/>
      <c r="F50" s="115"/>
      <c r="G50" s="60" t="s">
        <v>129</v>
      </c>
      <c r="H50" s="124"/>
      <c r="I50" s="124"/>
      <c r="J50" s="60"/>
      <c r="K50" s="60"/>
      <c r="L50" s="60"/>
      <c r="M50" s="60"/>
      <c r="N50" s="60">
        <f t="shared" si="11"/>
        <v>0</v>
      </c>
      <c r="O50" s="60">
        <f t="shared" si="1"/>
        <v>0</v>
      </c>
    </row>
    <row r="51" spans="1:15" s="38" customFormat="1" ht="10.7" hidden="1" customHeight="1" outlineLevel="1" x14ac:dyDescent="0.25">
      <c r="A51" s="124"/>
      <c r="B51" s="128"/>
      <c r="C51" s="115"/>
      <c r="D51" s="115"/>
      <c r="E51" s="115"/>
      <c r="F51" s="115"/>
      <c r="G51" s="60" t="s">
        <v>130</v>
      </c>
      <c r="H51" s="124"/>
      <c r="I51" s="124"/>
      <c r="J51" s="60"/>
      <c r="K51" s="60"/>
      <c r="L51" s="60"/>
      <c r="M51" s="60"/>
      <c r="N51" s="60">
        <f t="shared" si="11"/>
        <v>0</v>
      </c>
      <c r="O51" s="60">
        <f t="shared" si="1"/>
        <v>0</v>
      </c>
    </row>
    <row r="52" spans="1:15" s="38" customFormat="1" ht="12" hidden="1" customHeight="1" outlineLevel="1" x14ac:dyDescent="0.25">
      <c r="A52" s="125"/>
      <c r="B52" s="129"/>
      <c r="C52" s="131"/>
      <c r="D52" s="131"/>
      <c r="E52" s="131"/>
      <c r="F52" s="131"/>
      <c r="G52" s="60" t="s">
        <v>131</v>
      </c>
      <c r="H52" s="125"/>
      <c r="I52" s="125"/>
      <c r="J52" s="60"/>
      <c r="K52" s="60"/>
      <c r="L52" s="60"/>
      <c r="M52" s="60"/>
      <c r="N52" s="60">
        <f t="shared" si="11"/>
        <v>0</v>
      </c>
      <c r="O52" s="60">
        <f t="shared" si="1"/>
        <v>0</v>
      </c>
    </row>
    <row r="53" spans="1:15" s="38" customFormat="1" ht="14.45" hidden="1" customHeight="1" outlineLevel="1" x14ac:dyDescent="0.25">
      <c r="A53" s="140" t="s">
        <v>348</v>
      </c>
      <c r="B53" s="141" t="s">
        <v>349</v>
      </c>
      <c r="C53" s="130">
        <f>SUM(N53:N59)</f>
        <v>0</v>
      </c>
      <c r="D53" s="130">
        <f>SUM(O53:O59)</f>
        <v>0</v>
      </c>
      <c r="E53" s="130">
        <f t="shared" ref="E53" si="12">D53/8</f>
        <v>0</v>
      </c>
      <c r="F53" s="130"/>
      <c r="G53" s="60" t="s">
        <v>125</v>
      </c>
      <c r="H53" s="123"/>
      <c r="I53" s="123"/>
      <c r="J53" s="60"/>
      <c r="K53" s="60"/>
      <c r="L53" s="60"/>
      <c r="M53" s="60"/>
      <c r="N53" s="60">
        <f>M53*J53*K53*L53</f>
        <v>0</v>
      </c>
      <c r="O53" s="60">
        <f t="shared" si="1"/>
        <v>0</v>
      </c>
    </row>
    <row r="54" spans="1:15" s="38" customFormat="1" ht="11.45" hidden="1" customHeight="1" outlineLevel="1" x14ac:dyDescent="0.25">
      <c r="A54" s="124"/>
      <c r="B54" s="128"/>
      <c r="C54" s="115"/>
      <c r="D54" s="115"/>
      <c r="E54" s="115"/>
      <c r="F54" s="115"/>
      <c r="G54" s="60" t="s">
        <v>126</v>
      </c>
      <c r="H54" s="124"/>
      <c r="I54" s="124"/>
      <c r="J54" s="60"/>
      <c r="K54" s="60"/>
      <c r="L54" s="60"/>
      <c r="M54" s="60"/>
      <c r="N54" s="60">
        <f t="shared" ref="N54:N59" si="13">M54*J54*K54*L54</f>
        <v>0</v>
      </c>
      <c r="O54" s="60">
        <f t="shared" si="1"/>
        <v>0</v>
      </c>
    </row>
    <row r="55" spans="1:15" s="38" customFormat="1" ht="10.7" hidden="1" customHeight="1" outlineLevel="1" x14ac:dyDescent="0.25">
      <c r="A55" s="124"/>
      <c r="B55" s="128"/>
      <c r="C55" s="115"/>
      <c r="D55" s="115"/>
      <c r="E55" s="115"/>
      <c r="F55" s="115"/>
      <c r="G55" s="60" t="s">
        <v>127</v>
      </c>
      <c r="H55" s="124"/>
      <c r="I55" s="124"/>
      <c r="J55" s="60"/>
      <c r="K55" s="60"/>
      <c r="L55" s="60"/>
      <c r="M55" s="60"/>
      <c r="N55" s="60">
        <f t="shared" si="13"/>
        <v>0</v>
      </c>
      <c r="O55" s="60">
        <f t="shared" si="1"/>
        <v>0</v>
      </c>
    </row>
    <row r="56" spans="1:15" s="38" customFormat="1" ht="10.7" hidden="1" customHeight="1" outlineLevel="1" x14ac:dyDescent="0.25">
      <c r="A56" s="124"/>
      <c r="B56" s="128"/>
      <c r="C56" s="115"/>
      <c r="D56" s="115"/>
      <c r="E56" s="115"/>
      <c r="F56" s="115"/>
      <c r="G56" s="60" t="s">
        <v>128</v>
      </c>
      <c r="H56" s="124"/>
      <c r="I56" s="124"/>
      <c r="J56" s="60"/>
      <c r="K56" s="60"/>
      <c r="L56" s="60"/>
      <c r="M56" s="60"/>
      <c r="N56" s="60">
        <f t="shared" si="13"/>
        <v>0</v>
      </c>
      <c r="O56" s="60">
        <f t="shared" si="1"/>
        <v>0</v>
      </c>
    </row>
    <row r="57" spans="1:15" s="38" customFormat="1" ht="10.7" hidden="1" customHeight="1" outlineLevel="1" x14ac:dyDescent="0.25">
      <c r="A57" s="124"/>
      <c r="B57" s="128"/>
      <c r="C57" s="115"/>
      <c r="D57" s="115"/>
      <c r="E57" s="115"/>
      <c r="F57" s="115"/>
      <c r="G57" s="60" t="s">
        <v>129</v>
      </c>
      <c r="H57" s="124"/>
      <c r="I57" s="124"/>
      <c r="J57" s="60"/>
      <c r="K57" s="60"/>
      <c r="L57" s="60"/>
      <c r="M57" s="60"/>
      <c r="N57" s="60">
        <f t="shared" si="13"/>
        <v>0</v>
      </c>
      <c r="O57" s="60">
        <f t="shared" si="1"/>
        <v>0</v>
      </c>
    </row>
    <row r="58" spans="1:15" s="38" customFormat="1" ht="10.7" hidden="1" customHeight="1" outlineLevel="1" x14ac:dyDescent="0.25">
      <c r="A58" s="124"/>
      <c r="B58" s="128"/>
      <c r="C58" s="115"/>
      <c r="D58" s="115"/>
      <c r="E58" s="115"/>
      <c r="F58" s="115"/>
      <c r="G58" s="60" t="s">
        <v>130</v>
      </c>
      <c r="H58" s="124"/>
      <c r="I58" s="124"/>
      <c r="J58" s="60"/>
      <c r="K58" s="60"/>
      <c r="L58" s="60"/>
      <c r="M58" s="60"/>
      <c r="N58" s="60">
        <f t="shared" si="13"/>
        <v>0</v>
      </c>
      <c r="O58" s="60">
        <f t="shared" si="1"/>
        <v>0</v>
      </c>
    </row>
    <row r="59" spans="1:15" s="38" customFormat="1" ht="12" hidden="1" customHeight="1" outlineLevel="1" thickBot="1" x14ac:dyDescent="0.3">
      <c r="A59" s="125"/>
      <c r="B59" s="129"/>
      <c r="C59" s="131"/>
      <c r="D59" s="131"/>
      <c r="E59" s="131"/>
      <c r="F59" s="131"/>
      <c r="G59" s="60" t="s">
        <v>131</v>
      </c>
      <c r="H59" s="134"/>
      <c r="I59" s="134"/>
      <c r="J59" s="60"/>
      <c r="K59" s="60"/>
      <c r="L59" s="60"/>
      <c r="M59" s="60"/>
      <c r="N59" s="60">
        <f t="shared" si="13"/>
        <v>0</v>
      </c>
      <c r="O59" s="60">
        <f t="shared" si="1"/>
        <v>0</v>
      </c>
    </row>
    <row r="60" spans="1:15" s="38" customFormat="1" ht="14.45" hidden="1" customHeight="1" outlineLevel="1" x14ac:dyDescent="0.25">
      <c r="A60" s="140" t="s">
        <v>143</v>
      </c>
      <c r="B60" s="141" t="s">
        <v>144</v>
      </c>
      <c r="C60" s="130">
        <f>SUM(N60:N66)</f>
        <v>0</v>
      </c>
      <c r="D60" s="130">
        <f>SUM(O60:O66)</f>
        <v>0</v>
      </c>
      <c r="E60" s="130">
        <f t="shared" ref="E60" si="14">D60/8</f>
        <v>0</v>
      </c>
      <c r="F60" s="130"/>
      <c r="G60" s="60" t="s">
        <v>125</v>
      </c>
      <c r="H60" s="123"/>
      <c r="I60" s="123"/>
      <c r="J60" s="60"/>
      <c r="K60" s="60"/>
      <c r="L60" s="60"/>
      <c r="M60" s="60"/>
      <c r="N60" s="60">
        <f>M60*J60*K60*L60</f>
        <v>0</v>
      </c>
      <c r="O60" s="60">
        <f t="shared" si="1"/>
        <v>0</v>
      </c>
    </row>
    <row r="61" spans="1:15" s="38" customFormat="1" ht="11.45" hidden="1" customHeight="1" outlineLevel="1" x14ac:dyDescent="0.25">
      <c r="A61" s="124"/>
      <c r="B61" s="128"/>
      <c r="C61" s="115"/>
      <c r="D61" s="115"/>
      <c r="E61" s="115"/>
      <c r="F61" s="115"/>
      <c r="G61" s="60" t="s">
        <v>126</v>
      </c>
      <c r="H61" s="124"/>
      <c r="I61" s="124"/>
      <c r="J61" s="60"/>
      <c r="K61" s="60"/>
      <c r="L61" s="60"/>
      <c r="M61" s="60"/>
      <c r="N61" s="60">
        <f t="shared" ref="N61:N66" si="15">M61*J61*K61*L61</f>
        <v>0</v>
      </c>
      <c r="O61" s="60">
        <f t="shared" si="1"/>
        <v>0</v>
      </c>
    </row>
    <row r="62" spans="1:15" s="38" customFormat="1" ht="10.7" hidden="1" customHeight="1" outlineLevel="1" x14ac:dyDescent="0.25">
      <c r="A62" s="124"/>
      <c r="B62" s="128"/>
      <c r="C62" s="115"/>
      <c r="D62" s="115"/>
      <c r="E62" s="115"/>
      <c r="F62" s="115"/>
      <c r="G62" s="60" t="s">
        <v>127</v>
      </c>
      <c r="H62" s="124"/>
      <c r="I62" s="124"/>
      <c r="J62" s="60"/>
      <c r="K62" s="60"/>
      <c r="L62" s="60"/>
      <c r="M62" s="60"/>
      <c r="N62" s="60">
        <f t="shared" si="15"/>
        <v>0</v>
      </c>
      <c r="O62" s="60">
        <f t="shared" si="1"/>
        <v>0</v>
      </c>
    </row>
    <row r="63" spans="1:15" s="38" customFormat="1" ht="10.7" hidden="1" customHeight="1" outlineLevel="1" x14ac:dyDescent="0.25">
      <c r="A63" s="124"/>
      <c r="B63" s="128"/>
      <c r="C63" s="115"/>
      <c r="D63" s="115"/>
      <c r="E63" s="115"/>
      <c r="F63" s="115"/>
      <c r="G63" s="60" t="s">
        <v>128</v>
      </c>
      <c r="H63" s="124"/>
      <c r="I63" s="124"/>
      <c r="J63" s="60"/>
      <c r="K63" s="60"/>
      <c r="L63" s="60"/>
      <c r="M63" s="60"/>
      <c r="N63" s="60">
        <f t="shared" si="15"/>
        <v>0</v>
      </c>
      <c r="O63" s="60">
        <f t="shared" si="1"/>
        <v>0</v>
      </c>
    </row>
    <row r="64" spans="1:15" s="38" customFormat="1" ht="10.7" hidden="1" customHeight="1" outlineLevel="1" x14ac:dyDescent="0.25">
      <c r="A64" s="124"/>
      <c r="B64" s="128"/>
      <c r="C64" s="115"/>
      <c r="D64" s="115"/>
      <c r="E64" s="115"/>
      <c r="F64" s="115"/>
      <c r="G64" s="60" t="s">
        <v>129</v>
      </c>
      <c r="H64" s="124"/>
      <c r="I64" s="124"/>
      <c r="J64" s="60"/>
      <c r="K64" s="60"/>
      <c r="L64" s="60"/>
      <c r="M64" s="60"/>
      <c r="N64" s="60">
        <f t="shared" si="15"/>
        <v>0</v>
      </c>
      <c r="O64" s="60">
        <f t="shared" si="1"/>
        <v>0</v>
      </c>
    </row>
    <row r="65" spans="1:15" s="38" customFormat="1" ht="10.7" hidden="1" customHeight="1" outlineLevel="1" x14ac:dyDescent="0.25">
      <c r="A65" s="124"/>
      <c r="B65" s="128"/>
      <c r="C65" s="115"/>
      <c r="D65" s="115"/>
      <c r="E65" s="115"/>
      <c r="F65" s="115"/>
      <c r="G65" s="60" t="s">
        <v>130</v>
      </c>
      <c r="H65" s="124"/>
      <c r="I65" s="124"/>
      <c r="J65" s="60"/>
      <c r="K65" s="60"/>
      <c r="L65" s="60"/>
      <c r="M65" s="60"/>
      <c r="N65" s="60">
        <f t="shared" si="15"/>
        <v>0</v>
      </c>
      <c r="O65" s="60">
        <f t="shared" si="1"/>
        <v>0</v>
      </c>
    </row>
    <row r="66" spans="1:15" s="38" customFormat="1" ht="12" hidden="1" customHeight="1" outlineLevel="1" thickBot="1" x14ac:dyDescent="0.3">
      <c r="A66" s="125"/>
      <c r="B66" s="129"/>
      <c r="C66" s="131"/>
      <c r="D66" s="131"/>
      <c r="E66" s="131"/>
      <c r="F66" s="131"/>
      <c r="G66" s="60" t="s">
        <v>131</v>
      </c>
      <c r="H66" s="134"/>
      <c r="I66" s="134"/>
      <c r="J66" s="60"/>
      <c r="K66" s="60"/>
      <c r="L66" s="60"/>
      <c r="M66" s="60"/>
      <c r="N66" s="60">
        <f t="shared" si="15"/>
        <v>0</v>
      </c>
      <c r="O66" s="60">
        <f t="shared" si="1"/>
        <v>0</v>
      </c>
    </row>
    <row r="67" spans="1:15" s="39" customFormat="1" ht="16.5" collapsed="1" thickBot="1" x14ac:dyDescent="0.3">
      <c r="A67" s="40" t="s">
        <v>10</v>
      </c>
      <c r="B67" s="41" t="s">
        <v>350</v>
      </c>
      <c r="C67" s="42">
        <f>SUM(C68:C186)</f>
        <v>0</v>
      </c>
      <c r="D67" s="42">
        <f t="shared" ref="D67:E67" si="16">SUM(D68:D186)</f>
        <v>0</v>
      </c>
      <c r="E67" s="42">
        <f t="shared" si="16"/>
        <v>0</v>
      </c>
      <c r="F67" s="57"/>
      <c r="G67" s="57"/>
      <c r="H67" s="57"/>
      <c r="I67" s="57"/>
      <c r="J67" s="57"/>
      <c r="K67" s="57"/>
      <c r="L67" s="57"/>
      <c r="M67" s="57"/>
      <c r="N67" s="57"/>
      <c r="O67" s="43"/>
    </row>
    <row r="68" spans="1:15" s="38" customFormat="1" ht="14.45" hidden="1" customHeight="1" outlineLevel="1" x14ac:dyDescent="0.25">
      <c r="A68" s="140" t="s">
        <v>146</v>
      </c>
      <c r="B68" s="141" t="s">
        <v>351</v>
      </c>
      <c r="C68" s="130">
        <f>SUM(N68:N74)</f>
        <v>0</v>
      </c>
      <c r="D68" s="130">
        <f>SUM(O68:O74)</f>
        <v>0</v>
      </c>
      <c r="E68" s="130">
        <f t="shared" ref="E68:E75" si="17">D68/8</f>
        <v>0</v>
      </c>
      <c r="F68" s="130"/>
      <c r="G68" s="60" t="s">
        <v>125</v>
      </c>
      <c r="H68" s="123"/>
      <c r="I68" s="123"/>
      <c r="J68" s="60"/>
      <c r="K68" s="60"/>
      <c r="L68" s="60"/>
      <c r="M68" s="60"/>
      <c r="N68" s="60">
        <f>M68*J68*K68*L68</f>
        <v>0</v>
      </c>
      <c r="O68" s="60">
        <f>J68*K68*L68</f>
        <v>0</v>
      </c>
    </row>
    <row r="69" spans="1:15" s="38" customFormat="1" ht="11.45" hidden="1" customHeight="1" outlineLevel="1" x14ac:dyDescent="0.25">
      <c r="A69" s="146"/>
      <c r="B69" s="142"/>
      <c r="C69" s="148"/>
      <c r="D69" s="148"/>
      <c r="E69" s="148"/>
      <c r="F69" s="148"/>
      <c r="G69" s="60" t="s">
        <v>126</v>
      </c>
      <c r="H69" s="151"/>
      <c r="I69" s="151"/>
      <c r="J69" s="60"/>
      <c r="K69" s="60"/>
      <c r="L69" s="60"/>
      <c r="M69" s="60"/>
      <c r="N69" s="60">
        <f t="shared" ref="N69:N74" si="18">M69*J69*K69*L69</f>
        <v>0</v>
      </c>
      <c r="O69" s="60">
        <f t="shared" ref="O69:O132" si="19">J69*K69*L69</f>
        <v>0</v>
      </c>
    </row>
    <row r="70" spans="1:15" s="38" customFormat="1" ht="10.7" hidden="1" customHeight="1" outlineLevel="1" x14ac:dyDescent="0.25">
      <c r="A70" s="146"/>
      <c r="B70" s="142"/>
      <c r="C70" s="148"/>
      <c r="D70" s="148"/>
      <c r="E70" s="148"/>
      <c r="F70" s="148"/>
      <c r="G70" s="60" t="s">
        <v>127</v>
      </c>
      <c r="H70" s="151"/>
      <c r="I70" s="151"/>
      <c r="J70" s="60"/>
      <c r="K70" s="60"/>
      <c r="L70" s="60"/>
      <c r="M70" s="60"/>
      <c r="N70" s="60">
        <f t="shared" si="18"/>
        <v>0</v>
      </c>
      <c r="O70" s="60">
        <f t="shared" si="19"/>
        <v>0</v>
      </c>
    </row>
    <row r="71" spans="1:15" s="38" customFormat="1" ht="10.7" hidden="1" customHeight="1" outlineLevel="1" x14ac:dyDescent="0.25">
      <c r="A71" s="146"/>
      <c r="B71" s="142"/>
      <c r="C71" s="148"/>
      <c r="D71" s="148"/>
      <c r="E71" s="148"/>
      <c r="F71" s="148"/>
      <c r="G71" s="60" t="s">
        <v>128</v>
      </c>
      <c r="H71" s="151"/>
      <c r="I71" s="151"/>
      <c r="J71" s="60"/>
      <c r="K71" s="60"/>
      <c r="L71" s="60"/>
      <c r="M71" s="60"/>
      <c r="N71" s="60">
        <f t="shared" si="18"/>
        <v>0</v>
      </c>
      <c r="O71" s="60">
        <f t="shared" si="19"/>
        <v>0</v>
      </c>
    </row>
    <row r="72" spans="1:15" s="38" customFormat="1" ht="10.7" hidden="1" customHeight="1" outlineLevel="1" x14ac:dyDescent="0.25">
      <c r="A72" s="146"/>
      <c r="B72" s="142"/>
      <c r="C72" s="148"/>
      <c r="D72" s="148"/>
      <c r="E72" s="148"/>
      <c r="F72" s="148"/>
      <c r="G72" s="60" t="s">
        <v>129</v>
      </c>
      <c r="H72" s="151"/>
      <c r="I72" s="151"/>
      <c r="J72" s="60"/>
      <c r="K72" s="60"/>
      <c r="L72" s="60"/>
      <c r="M72" s="60"/>
      <c r="N72" s="60">
        <f t="shared" si="18"/>
        <v>0</v>
      </c>
      <c r="O72" s="60">
        <f t="shared" si="19"/>
        <v>0</v>
      </c>
    </row>
    <row r="73" spans="1:15" s="38" customFormat="1" ht="10.7" hidden="1" customHeight="1" outlineLevel="1" x14ac:dyDescent="0.25">
      <c r="A73" s="146"/>
      <c r="B73" s="142"/>
      <c r="C73" s="148"/>
      <c r="D73" s="148"/>
      <c r="E73" s="148"/>
      <c r="F73" s="148"/>
      <c r="G73" s="60" t="s">
        <v>130</v>
      </c>
      <c r="H73" s="151"/>
      <c r="I73" s="151"/>
      <c r="J73" s="60"/>
      <c r="K73" s="60"/>
      <c r="L73" s="60"/>
      <c r="M73" s="60"/>
      <c r="N73" s="60">
        <f t="shared" si="18"/>
        <v>0</v>
      </c>
      <c r="O73" s="60">
        <f t="shared" si="19"/>
        <v>0</v>
      </c>
    </row>
    <row r="74" spans="1:15" s="38" customFormat="1" ht="12" hidden="1" customHeight="1" outlineLevel="1" thickBot="1" x14ac:dyDescent="0.3">
      <c r="A74" s="147"/>
      <c r="B74" s="143"/>
      <c r="C74" s="149"/>
      <c r="D74" s="149"/>
      <c r="E74" s="149"/>
      <c r="F74" s="149"/>
      <c r="G74" s="60" t="s">
        <v>131</v>
      </c>
      <c r="H74" s="152"/>
      <c r="I74" s="152"/>
      <c r="J74" s="60"/>
      <c r="K74" s="60"/>
      <c r="L74" s="60"/>
      <c r="M74" s="60"/>
      <c r="N74" s="60">
        <f t="shared" si="18"/>
        <v>0</v>
      </c>
      <c r="O74" s="60">
        <f t="shared" si="19"/>
        <v>0</v>
      </c>
    </row>
    <row r="75" spans="1:15" s="38" customFormat="1" ht="14.45" hidden="1" customHeight="1" outlineLevel="1" x14ac:dyDescent="0.25">
      <c r="A75" s="140" t="s">
        <v>148</v>
      </c>
      <c r="B75" s="141" t="s">
        <v>352</v>
      </c>
      <c r="C75" s="130">
        <f>SUM(N75:N81)</f>
        <v>0</v>
      </c>
      <c r="D75" s="130">
        <f>SUM(O75:O81)</f>
        <v>0</v>
      </c>
      <c r="E75" s="130">
        <f t="shared" si="17"/>
        <v>0</v>
      </c>
      <c r="F75" s="130"/>
      <c r="G75" s="60" t="s">
        <v>125</v>
      </c>
      <c r="H75" s="150"/>
      <c r="I75" s="150"/>
      <c r="J75" s="60"/>
      <c r="K75" s="60"/>
      <c r="L75" s="60"/>
      <c r="M75" s="60"/>
      <c r="N75" s="60">
        <f>M75*J75*K75*L75</f>
        <v>0</v>
      </c>
      <c r="O75" s="60">
        <f t="shared" si="19"/>
        <v>0</v>
      </c>
    </row>
    <row r="76" spans="1:15" s="38" customFormat="1" ht="11.45" hidden="1" customHeight="1" outlineLevel="1" x14ac:dyDescent="0.25">
      <c r="A76" s="146"/>
      <c r="B76" s="142"/>
      <c r="C76" s="148"/>
      <c r="D76" s="148"/>
      <c r="E76" s="148"/>
      <c r="F76" s="148"/>
      <c r="G76" s="60" t="s">
        <v>126</v>
      </c>
      <c r="H76" s="151"/>
      <c r="I76" s="151"/>
      <c r="J76" s="60"/>
      <c r="K76" s="60"/>
      <c r="L76" s="60"/>
      <c r="M76" s="60"/>
      <c r="N76" s="60">
        <f t="shared" ref="N76:N81" si="20">M76*J76*K76*L76</f>
        <v>0</v>
      </c>
      <c r="O76" s="60">
        <f t="shared" si="19"/>
        <v>0</v>
      </c>
    </row>
    <row r="77" spans="1:15" s="38" customFormat="1" ht="10.7" hidden="1" customHeight="1" outlineLevel="1" x14ac:dyDescent="0.25">
      <c r="A77" s="146"/>
      <c r="B77" s="142"/>
      <c r="C77" s="148"/>
      <c r="D77" s="148"/>
      <c r="E77" s="148"/>
      <c r="F77" s="148"/>
      <c r="G77" s="60" t="s">
        <v>127</v>
      </c>
      <c r="H77" s="151"/>
      <c r="I77" s="151"/>
      <c r="J77" s="60"/>
      <c r="K77" s="60"/>
      <c r="L77" s="60"/>
      <c r="M77" s="60"/>
      <c r="N77" s="60">
        <f t="shared" si="20"/>
        <v>0</v>
      </c>
      <c r="O77" s="60">
        <f t="shared" si="19"/>
        <v>0</v>
      </c>
    </row>
    <row r="78" spans="1:15" s="38" customFormat="1" ht="10.7" hidden="1" customHeight="1" outlineLevel="1" x14ac:dyDescent="0.25">
      <c r="A78" s="146"/>
      <c r="B78" s="142"/>
      <c r="C78" s="148"/>
      <c r="D78" s="148"/>
      <c r="E78" s="148"/>
      <c r="F78" s="148"/>
      <c r="G78" s="60" t="s">
        <v>128</v>
      </c>
      <c r="H78" s="151"/>
      <c r="I78" s="151"/>
      <c r="J78" s="60"/>
      <c r="K78" s="60"/>
      <c r="L78" s="60"/>
      <c r="M78" s="60"/>
      <c r="N78" s="60">
        <f t="shared" si="20"/>
        <v>0</v>
      </c>
      <c r="O78" s="60">
        <f t="shared" si="19"/>
        <v>0</v>
      </c>
    </row>
    <row r="79" spans="1:15" s="38" customFormat="1" ht="10.7" hidden="1" customHeight="1" outlineLevel="1" x14ac:dyDescent="0.25">
      <c r="A79" s="146"/>
      <c r="B79" s="142"/>
      <c r="C79" s="148"/>
      <c r="D79" s="148"/>
      <c r="E79" s="148"/>
      <c r="F79" s="148"/>
      <c r="G79" s="60" t="s">
        <v>129</v>
      </c>
      <c r="H79" s="151"/>
      <c r="I79" s="151"/>
      <c r="J79" s="60"/>
      <c r="K79" s="60"/>
      <c r="L79" s="60"/>
      <c r="M79" s="60"/>
      <c r="N79" s="60">
        <f t="shared" si="20"/>
        <v>0</v>
      </c>
      <c r="O79" s="60">
        <f t="shared" si="19"/>
        <v>0</v>
      </c>
    </row>
    <row r="80" spans="1:15" s="38" customFormat="1" ht="10.7" hidden="1" customHeight="1" outlineLevel="1" x14ac:dyDescent="0.25">
      <c r="A80" s="146"/>
      <c r="B80" s="142"/>
      <c r="C80" s="148"/>
      <c r="D80" s="148"/>
      <c r="E80" s="148"/>
      <c r="F80" s="148"/>
      <c r="G80" s="60" t="s">
        <v>130</v>
      </c>
      <c r="H80" s="151"/>
      <c r="I80" s="151"/>
      <c r="J80" s="60"/>
      <c r="K80" s="60"/>
      <c r="L80" s="60"/>
      <c r="M80" s="60"/>
      <c r="N80" s="60">
        <f t="shared" si="20"/>
        <v>0</v>
      </c>
      <c r="O80" s="60">
        <f t="shared" si="19"/>
        <v>0</v>
      </c>
    </row>
    <row r="81" spans="1:15" s="38" customFormat="1" ht="12" hidden="1" customHeight="1" outlineLevel="1" thickBot="1" x14ac:dyDescent="0.3">
      <c r="A81" s="147"/>
      <c r="B81" s="143"/>
      <c r="C81" s="149"/>
      <c r="D81" s="149"/>
      <c r="E81" s="149"/>
      <c r="F81" s="149"/>
      <c r="G81" s="60" t="s">
        <v>131</v>
      </c>
      <c r="H81" s="152"/>
      <c r="I81" s="152"/>
      <c r="J81" s="60"/>
      <c r="K81" s="60"/>
      <c r="L81" s="60"/>
      <c r="M81" s="60"/>
      <c r="N81" s="60">
        <f t="shared" si="20"/>
        <v>0</v>
      </c>
      <c r="O81" s="60">
        <f t="shared" si="19"/>
        <v>0</v>
      </c>
    </row>
    <row r="82" spans="1:15" s="38" customFormat="1" ht="14.45" hidden="1" customHeight="1" outlineLevel="1" x14ac:dyDescent="0.25">
      <c r="A82" s="140" t="s">
        <v>150</v>
      </c>
      <c r="B82" s="141" t="s">
        <v>353</v>
      </c>
      <c r="C82" s="130">
        <f>SUM(N82:N88)</f>
        <v>0</v>
      </c>
      <c r="D82" s="130">
        <f>SUM(O82:O88)</f>
        <v>0</v>
      </c>
      <c r="E82" s="130">
        <f t="shared" ref="E82" si="21">D82/8</f>
        <v>0</v>
      </c>
      <c r="F82" s="130"/>
      <c r="G82" s="60" t="s">
        <v>125</v>
      </c>
      <c r="H82" s="150"/>
      <c r="I82" s="150"/>
      <c r="J82" s="60"/>
      <c r="K82" s="60"/>
      <c r="L82" s="60"/>
      <c r="M82" s="60"/>
      <c r="N82" s="60">
        <f>M82*J82*K82*L82</f>
        <v>0</v>
      </c>
      <c r="O82" s="60">
        <f t="shared" si="19"/>
        <v>0</v>
      </c>
    </row>
    <row r="83" spans="1:15" s="38" customFormat="1" ht="11.45" hidden="1" customHeight="1" outlineLevel="1" x14ac:dyDescent="0.25">
      <c r="A83" s="146"/>
      <c r="B83" s="142"/>
      <c r="C83" s="148"/>
      <c r="D83" s="148"/>
      <c r="E83" s="148"/>
      <c r="F83" s="148"/>
      <c r="G83" s="60" t="s">
        <v>126</v>
      </c>
      <c r="H83" s="151"/>
      <c r="I83" s="151"/>
      <c r="J83" s="60"/>
      <c r="K83" s="60"/>
      <c r="L83" s="60"/>
      <c r="M83" s="60"/>
      <c r="N83" s="60">
        <f t="shared" ref="N83:N88" si="22">M83*J83*K83*L83</f>
        <v>0</v>
      </c>
      <c r="O83" s="60">
        <f t="shared" si="19"/>
        <v>0</v>
      </c>
    </row>
    <row r="84" spans="1:15" s="38" customFormat="1" ht="10.7" hidden="1" customHeight="1" outlineLevel="1" x14ac:dyDescent="0.25">
      <c r="A84" s="146"/>
      <c r="B84" s="142"/>
      <c r="C84" s="148"/>
      <c r="D84" s="148"/>
      <c r="E84" s="148"/>
      <c r="F84" s="148"/>
      <c r="G84" s="60" t="s">
        <v>127</v>
      </c>
      <c r="H84" s="151"/>
      <c r="I84" s="151"/>
      <c r="J84" s="60"/>
      <c r="K84" s="60"/>
      <c r="L84" s="60"/>
      <c r="M84" s="60"/>
      <c r="N84" s="60">
        <f t="shared" si="22"/>
        <v>0</v>
      </c>
      <c r="O84" s="60">
        <f t="shared" si="19"/>
        <v>0</v>
      </c>
    </row>
    <row r="85" spans="1:15" s="38" customFormat="1" ht="10.7" hidden="1" customHeight="1" outlineLevel="1" x14ac:dyDescent="0.25">
      <c r="A85" s="146"/>
      <c r="B85" s="142"/>
      <c r="C85" s="148"/>
      <c r="D85" s="148"/>
      <c r="E85" s="148"/>
      <c r="F85" s="148"/>
      <c r="G85" s="60" t="s">
        <v>128</v>
      </c>
      <c r="H85" s="151"/>
      <c r="I85" s="151"/>
      <c r="J85" s="60"/>
      <c r="K85" s="60"/>
      <c r="L85" s="60"/>
      <c r="M85" s="60"/>
      <c r="N85" s="60">
        <f t="shared" si="22"/>
        <v>0</v>
      </c>
      <c r="O85" s="60">
        <f t="shared" si="19"/>
        <v>0</v>
      </c>
    </row>
    <row r="86" spans="1:15" s="38" customFormat="1" ht="10.7" hidden="1" customHeight="1" outlineLevel="1" x14ac:dyDescent="0.25">
      <c r="A86" s="146"/>
      <c r="B86" s="142"/>
      <c r="C86" s="148"/>
      <c r="D86" s="148"/>
      <c r="E86" s="148"/>
      <c r="F86" s="148"/>
      <c r="G86" s="60" t="s">
        <v>129</v>
      </c>
      <c r="H86" s="151"/>
      <c r="I86" s="151"/>
      <c r="J86" s="60"/>
      <c r="K86" s="60"/>
      <c r="L86" s="60"/>
      <c r="M86" s="60"/>
      <c r="N86" s="60">
        <f t="shared" si="22"/>
        <v>0</v>
      </c>
      <c r="O86" s="60">
        <f t="shared" si="19"/>
        <v>0</v>
      </c>
    </row>
    <row r="87" spans="1:15" s="38" customFormat="1" ht="10.7" hidden="1" customHeight="1" outlineLevel="1" x14ac:dyDescent="0.25">
      <c r="A87" s="146"/>
      <c r="B87" s="142"/>
      <c r="C87" s="148"/>
      <c r="D87" s="148"/>
      <c r="E87" s="148"/>
      <c r="F87" s="148"/>
      <c r="G87" s="60" t="s">
        <v>130</v>
      </c>
      <c r="H87" s="151"/>
      <c r="I87" s="151"/>
      <c r="J87" s="60"/>
      <c r="K87" s="60"/>
      <c r="L87" s="60"/>
      <c r="M87" s="60"/>
      <c r="N87" s="60">
        <f t="shared" si="22"/>
        <v>0</v>
      </c>
      <c r="O87" s="60">
        <f t="shared" si="19"/>
        <v>0</v>
      </c>
    </row>
    <row r="88" spans="1:15" s="38" customFormat="1" ht="12" hidden="1" customHeight="1" outlineLevel="1" thickBot="1" x14ac:dyDescent="0.3">
      <c r="A88" s="147"/>
      <c r="B88" s="143"/>
      <c r="C88" s="149"/>
      <c r="D88" s="149"/>
      <c r="E88" s="149"/>
      <c r="F88" s="149"/>
      <c r="G88" s="60" t="s">
        <v>131</v>
      </c>
      <c r="H88" s="152"/>
      <c r="I88" s="152"/>
      <c r="J88" s="60"/>
      <c r="K88" s="60"/>
      <c r="L88" s="60"/>
      <c r="M88" s="60"/>
      <c r="N88" s="60">
        <f t="shared" si="22"/>
        <v>0</v>
      </c>
      <c r="O88" s="60">
        <f t="shared" si="19"/>
        <v>0</v>
      </c>
    </row>
    <row r="89" spans="1:15" s="38" customFormat="1" ht="14.45" hidden="1" customHeight="1" outlineLevel="1" x14ac:dyDescent="0.25">
      <c r="A89" s="140" t="s">
        <v>152</v>
      </c>
      <c r="B89" s="141" t="s">
        <v>354</v>
      </c>
      <c r="C89" s="130">
        <f>SUM(N89:N95)</f>
        <v>0</v>
      </c>
      <c r="D89" s="130">
        <f>SUM(O89:O95)</f>
        <v>0</v>
      </c>
      <c r="E89" s="130">
        <f t="shared" ref="E89" si="23">D89/8</f>
        <v>0</v>
      </c>
      <c r="F89" s="130"/>
      <c r="G89" s="60" t="s">
        <v>125</v>
      </c>
      <c r="H89" s="150"/>
      <c r="I89" s="150"/>
      <c r="J89" s="60"/>
      <c r="K89" s="60"/>
      <c r="L89" s="60"/>
      <c r="M89" s="60"/>
      <c r="N89" s="60">
        <f>M89*J89*K89*L89</f>
        <v>0</v>
      </c>
      <c r="O89" s="60">
        <f t="shared" si="19"/>
        <v>0</v>
      </c>
    </row>
    <row r="90" spans="1:15" s="38" customFormat="1" ht="11.45" hidden="1" customHeight="1" outlineLevel="1" x14ac:dyDescent="0.25">
      <c r="A90" s="146"/>
      <c r="B90" s="142"/>
      <c r="C90" s="148"/>
      <c r="D90" s="148"/>
      <c r="E90" s="148"/>
      <c r="F90" s="148"/>
      <c r="G90" s="60" t="s">
        <v>126</v>
      </c>
      <c r="H90" s="151"/>
      <c r="I90" s="151"/>
      <c r="J90" s="60"/>
      <c r="K90" s="60"/>
      <c r="L90" s="60"/>
      <c r="M90" s="60"/>
      <c r="N90" s="60">
        <f t="shared" ref="N90:N95" si="24">M90*J90*K90*L90</f>
        <v>0</v>
      </c>
      <c r="O90" s="60">
        <f t="shared" si="19"/>
        <v>0</v>
      </c>
    </row>
    <row r="91" spans="1:15" s="38" customFormat="1" ht="10.7" hidden="1" customHeight="1" outlineLevel="1" x14ac:dyDescent="0.25">
      <c r="A91" s="146"/>
      <c r="B91" s="142"/>
      <c r="C91" s="148"/>
      <c r="D91" s="148"/>
      <c r="E91" s="148"/>
      <c r="F91" s="148"/>
      <c r="G91" s="60" t="s">
        <v>127</v>
      </c>
      <c r="H91" s="151"/>
      <c r="I91" s="151"/>
      <c r="J91" s="60"/>
      <c r="K91" s="60"/>
      <c r="L91" s="60"/>
      <c r="M91" s="60"/>
      <c r="N91" s="60">
        <f t="shared" si="24"/>
        <v>0</v>
      </c>
      <c r="O91" s="60">
        <f t="shared" si="19"/>
        <v>0</v>
      </c>
    </row>
    <row r="92" spans="1:15" s="38" customFormat="1" ht="10.7" hidden="1" customHeight="1" outlineLevel="1" x14ac:dyDescent="0.25">
      <c r="A92" s="146"/>
      <c r="B92" s="142"/>
      <c r="C92" s="148"/>
      <c r="D92" s="148"/>
      <c r="E92" s="148"/>
      <c r="F92" s="148"/>
      <c r="G92" s="60" t="s">
        <v>128</v>
      </c>
      <c r="H92" s="151"/>
      <c r="I92" s="151"/>
      <c r="J92" s="60"/>
      <c r="K92" s="60"/>
      <c r="L92" s="60"/>
      <c r="M92" s="60"/>
      <c r="N92" s="60">
        <f t="shared" si="24"/>
        <v>0</v>
      </c>
      <c r="O92" s="60">
        <f t="shared" si="19"/>
        <v>0</v>
      </c>
    </row>
    <row r="93" spans="1:15" s="38" customFormat="1" ht="10.7" hidden="1" customHeight="1" outlineLevel="1" x14ac:dyDescent="0.25">
      <c r="A93" s="146"/>
      <c r="B93" s="142"/>
      <c r="C93" s="148"/>
      <c r="D93" s="148"/>
      <c r="E93" s="148"/>
      <c r="F93" s="148"/>
      <c r="G93" s="60" t="s">
        <v>129</v>
      </c>
      <c r="H93" s="151"/>
      <c r="I93" s="151"/>
      <c r="J93" s="60"/>
      <c r="K93" s="60"/>
      <c r="L93" s="60"/>
      <c r="M93" s="60"/>
      <c r="N93" s="60">
        <f t="shared" si="24"/>
        <v>0</v>
      </c>
      <c r="O93" s="60">
        <f t="shared" si="19"/>
        <v>0</v>
      </c>
    </row>
    <row r="94" spans="1:15" s="38" customFormat="1" ht="10.7" hidden="1" customHeight="1" outlineLevel="1" x14ac:dyDescent="0.25">
      <c r="A94" s="146"/>
      <c r="B94" s="142"/>
      <c r="C94" s="148"/>
      <c r="D94" s="148"/>
      <c r="E94" s="148"/>
      <c r="F94" s="148"/>
      <c r="G94" s="60" t="s">
        <v>130</v>
      </c>
      <c r="H94" s="151"/>
      <c r="I94" s="151"/>
      <c r="J94" s="60"/>
      <c r="K94" s="60"/>
      <c r="L94" s="60"/>
      <c r="M94" s="60"/>
      <c r="N94" s="60">
        <f t="shared" si="24"/>
        <v>0</v>
      </c>
      <c r="O94" s="60">
        <f t="shared" si="19"/>
        <v>0</v>
      </c>
    </row>
    <row r="95" spans="1:15" s="38" customFormat="1" ht="12" hidden="1" customHeight="1" outlineLevel="1" thickBot="1" x14ac:dyDescent="0.3">
      <c r="A95" s="147"/>
      <c r="B95" s="143"/>
      <c r="C95" s="149"/>
      <c r="D95" s="149"/>
      <c r="E95" s="149"/>
      <c r="F95" s="149"/>
      <c r="G95" s="60" t="s">
        <v>131</v>
      </c>
      <c r="H95" s="152"/>
      <c r="I95" s="152"/>
      <c r="J95" s="60"/>
      <c r="K95" s="60"/>
      <c r="L95" s="60"/>
      <c r="M95" s="60"/>
      <c r="N95" s="60">
        <f t="shared" si="24"/>
        <v>0</v>
      </c>
      <c r="O95" s="60">
        <f t="shared" si="19"/>
        <v>0</v>
      </c>
    </row>
    <row r="96" spans="1:15" s="38" customFormat="1" ht="14.45" hidden="1" customHeight="1" outlineLevel="1" x14ac:dyDescent="0.25">
      <c r="A96" s="140" t="s">
        <v>355</v>
      </c>
      <c r="B96" s="141" t="s">
        <v>356</v>
      </c>
      <c r="C96" s="130">
        <f>SUM(N96:N102)</f>
        <v>0</v>
      </c>
      <c r="D96" s="130">
        <f>SUM(O96:O102)</f>
        <v>0</v>
      </c>
      <c r="E96" s="130">
        <f t="shared" ref="E96" si="25">D96/8</f>
        <v>0</v>
      </c>
      <c r="F96" s="130"/>
      <c r="G96" s="60" t="s">
        <v>125</v>
      </c>
      <c r="H96" s="150"/>
      <c r="I96" s="150"/>
      <c r="J96" s="60"/>
      <c r="K96" s="60"/>
      <c r="L96" s="60"/>
      <c r="M96" s="60"/>
      <c r="N96" s="60">
        <f>M96*J96*K96*L96</f>
        <v>0</v>
      </c>
      <c r="O96" s="60">
        <f t="shared" si="19"/>
        <v>0</v>
      </c>
    </row>
    <row r="97" spans="1:15" s="38" customFormat="1" ht="11.45" hidden="1" customHeight="1" outlineLevel="1" x14ac:dyDescent="0.25">
      <c r="A97" s="146"/>
      <c r="B97" s="142"/>
      <c r="C97" s="148"/>
      <c r="D97" s="148"/>
      <c r="E97" s="148"/>
      <c r="F97" s="148"/>
      <c r="G97" s="60" t="s">
        <v>126</v>
      </c>
      <c r="H97" s="151"/>
      <c r="I97" s="151"/>
      <c r="J97" s="60"/>
      <c r="K97" s="60"/>
      <c r="L97" s="60"/>
      <c r="M97" s="60"/>
      <c r="N97" s="60">
        <f t="shared" ref="N97:N102" si="26">M97*J97*K97*L97</f>
        <v>0</v>
      </c>
      <c r="O97" s="60">
        <f t="shared" si="19"/>
        <v>0</v>
      </c>
    </row>
    <row r="98" spans="1:15" s="38" customFormat="1" ht="10.7" hidden="1" customHeight="1" outlineLevel="1" x14ac:dyDescent="0.25">
      <c r="A98" s="146"/>
      <c r="B98" s="142"/>
      <c r="C98" s="148"/>
      <c r="D98" s="148"/>
      <c r="E98" s="148"/>
      <c r="F98" s="148"/>
      <c r="G98" s="60" t="s">
        <v>127</v>
      </c>
      <c r="H98" s="151"/>
      <c r="I98" s="151"/>
      <c r="J98" s="60"/>
      <c r="K98" s="60"/>
      <c r="L98" s="60"/>
      <c r="M98" s="60"/>
      <c r="N98" s="60">
        <f t="shared" si="26"/>
        <v>0</v>
      </c>
      <c r="O98" s="60">
        <f t="shared" si="19"/>
        <v>0</v>
      </c>
    </row>
    <row r="99" spans="1:15" s="38" customFormat="1" ht="10.7" hidden="1" customHeight="1" outlineLevel="1" x14ac:dyDescent="0.25">
      <c r="A99" s="146"/>
      <c r="B99" s="142"/>
      <c r="C99" s="148"/>
      <c r="D99" s="148"/>
      <c r="E99" s="148"/>
      <c r="F99" s="148"/>
      <c r="G99" s="60" t="s">
        <v>128</v>
      </c>
      <c r="H99" s="151"/>
      <c r="I99" s="151"/>
      <c r="J99" s="60"/>
      <c r="K99" s="60"/>
      <c r="L99" s="60"/>
      <c r="M99" s="60"/>
      <c r="N99" s="60">
        <f t="shared" si="26"/>
        <v>0</v>
      </c>
      <c r="O99" s="60">
        <f t="shared" si="19"/>
        <v>0</v>
      </c>
    </row>
    <row r="100" spans="1:15" s="38" customFormat="1" ht="10.7" hidden="1" customHeight="1" outlineLevel="1" x14ac:dyDescent="0.25">
      <c r="A100" s="146"/>
      <c r="B100" s="142"/>
      <c r="C100" s="148"/>
      <c r="D100" s="148"/>
      <c r="E100" s="148"/>
      <c r="F100" s="148"/>
      <c r="G100" s="60" t="s">
        <v>129</v>
      </c>
      <c r="H100" s="151"/>
      <c r="I100" s="151"/>
      <c r="J100" s="60"/>
      <c r="K100" s="60"/>
      <c r="L100" s="60"/>
      <c r="M100" s="60"/>
      <c r="N100" s="60">
        <f t="shared" si="26"/>
        <v>0</v>
      </c>
      <c r="O100" s="60">
        <f t="shared" si="19"/>
        <v>0</v>
      </c>
    </row>
    <row r="101" spans="1:15" s="38" customFormat="1" ht="10.7" hidden="1" customHeight="1" outlineLevel="1" x14ac:dyDescent="0.25">
      <c r="A101" s="146"/>
      <c r="B101" s="142"/>
      <c r="C101" s="148"/>
      <c r="D101" s="148"/>
      <c r="E101" s="148"/>
      <c r="F101" s="148"/>
      <c r="G101" s="60" t="s">
        <v>130</v>
      </c>
      <c r="H101" s="151"/>
      <c r="I101" s="151"/>
      <c r="J101" s="60"/>
      <c r="K101" s="60"/>
      <c r="L101" s="60"/>
      <c r="M101" s="60"/>
      <c r="N101" s="60">
        <f t="shared" si="26"/>
        <v>0</v>
      </c>
      <c r="O101" s="60">
        <f t="shared" si="19"/>
        <v>0</v>
      </c>
    </row>
    <row r="102" spans="1:15" s="38" customFormat="1" ht="12" hidden="1" customHeight="1" outlineLevel="1" thickBot="1" x14ac:dyDescent="0.3">
      <c r="A102" s="147"/>
      <c r="B102" s="143"/>
      <c r="C102" s="149"/>
      <c r="D102" s="149"/>
      <c r="E102" s="149"/>
      <c r="F102" s="149"/>
      <c r="G102" s="60" t="s">
        <v>131</v>
      </c>
      <c r="H102" s="152"/>
      <c r="I102" s="152"/>
      <c r="J102" s="60"/>
      <c r="K102" s="60"/>
      <c r="L102" s="60"/>
      <c r="M102" s="60"/>
      <c r="N102" s="60">
        <f t="shared" si="26"/>
        <v>0</v>
      </c>
      <c r="O102" s="60">
        <f t="shared" si="19"/>
        <v>0</v>
      </c>
    </row>
    <row r="103" spans="1:15" s="38" customFormat="1" ht="14.45" hidden="1" customHeight="1" outlineLevel="1" x14ac:dyDescent="0.25">
      <c r="A103" s="140" t="s">
        <v>156</v>
      </c>
      <c r="B103" s="141" t="s">
        <v>357</v>
      </c>
      <c r="C103" s="130">
        <f>SUM(N103:N109)</f>
        <v>0</v>
      </c>
      <c r="D103" s="130">
        <f>SUM(O103:O109)</f>
        <v>0</v>
      </c>
      <c r="E103" s="130">
        <f t="shared" ref="E103" si="27">D103/8</f>
        <v>0</v>
      </c>
      <c r="F103" s="130"/>
      <c r="G103" s="60" t="s">
        <v>125</v>
      </c>
      <c r="H103" s="150"/>
      <c r="I103" s="150"/>
      <c r="J103" s="60"/>
      <c r="K103" s="60"/>
      <c r="L103" s="60"/>
      <c r="M103" s="60"/>
      <c r="N103" s="60">
        <f>M103*J103*K103*L103</f>
        <v>0</v>
      </c>
      <c r="O103" s="60">
        <f t="shared" si="19"/>
        <v>0</v>
      </c>
    </row>
    <row r="104" spans="1:15" s="38" customFormat="1" ht="11.45" hidden="1" customHeight="1" outlineLevel="1" x14ac:dyDescent="0.25">
      <c r="A104" s="146"/>
      <c r="B104" s="142"/>
      <c r="C104" s="148"/>
      <c r="D104" s="148"/>
      <c r="E104" s="148"/>
      <c r="F104" s="148"/>
      <c r="G104" s="60" t="s">
        <v>126</v>
      </c>
      <c r="H104" s="151"/>
      <c r="I104" s="151"/>
      <c r="J104" s="60"/>
      <c r="K104" s="60"/>
      <c r="L104" s="60"/>
      <c r="M104" s="60"/>
      <c r="N104" s="60">
        <f t="shared" ref="N104:N109" si="28">M104*J104*K104*L104</f>
        <v>0</v>
      </c>
      <c r="O104" s="60">
        <f t="shared" si="19"/>
        <v>0</v>
      </c>
    </row>
    <row r="105" spans="1:15" s="38" customFormat="1" ht="10.7" hidden="1" customHeight="1" outlineLevel="1" x14ac:dyDescent="0.25">
      <c r="A105" s="146"/>
      <c r="B105" s="142"/>
      <c r="C105" s="148"/>
      <c r="D105" s="148"/>
      <c r="E105" s="148"/>
      <c r="F105" s="148"/>
      <c r="G105" s="60" t="s">
        <v>127</v>
      </c>
      <c r="H105" s="151"/>
      <c r="I105" s="151"/>
      <c r="J105" s="60"/>
      <c r="K105" s="60"/>
      <c r="L105" s="60"/>
      <c r="M105" s="60"/>
      <c r="N105" s="60">
        <f t="shared" si="28"/>
        <v>0</v>
      </c>
      <c r="O105" s="60">
        <f t="shared" si="19"/>
        <v>0</v>
      </c>
    </row>
    <row r="106" spans="1:15" s="38" customFormat="1" ht="10.7" hidden="1" customHeight="1" outlineLevel="1" x14ac:dyDescent="0.25">
      <c r="A106" s="146"/>
      <c r="B106" s="142"/>
      <c r="C106" s="148"/>
      <c r="D106" s="148"/>
      <c r="E106" s="148"/>
      <c r="F106" s="148"/>
      <c r="G106" s="60" t="s">
        <v>128</v>
      </c>
      <c r="H106" s="151"/>
      <c r="I106" s="151"/>
      <c r="J106" s="60"/>
      <c r="K106" s="60"/>
      <c r="L106" s="60"/>
      <c r="M106" s="60"/>
      <c r="N106" s="60">
        <f t="shared" si="28"/>
        <v>0</v>
      </c>
      <c r="O106" s="60">
        <f t="shared" si="19"/>
        <v>0</v>
      </c>
    </row>
    <row r="107" spans="1:15" s="38" customFormat="1" ht="10.7" hidden="1" customHeight="1" outlineLevel="1" x14ac:dyDescent="0.25">
      <c r="A107" s="146"/>
      <c r="B107" s="142"/>
      <c r="C107" s="148"/>
      <c r="D107" s="148"/>
      <c r="E107" s="148"/>
      <c r="F107" s="148"/>
      <c r="G107" s="60" t="s">
        <v>129</v>
      </c>
      <c r="H107" s="151"/>
      <c r="I107" s="151"/>
      <c r="J107" s="60"/>
      <c r="K107" s="60"/>
      <c r="L107" s="60"/>
      <c r="M107" s="60"/>
      <c r="N107" s="60">
        <f t="shared" si="28"/>
        <v>0</v>
      </c>
      <c r="O107" s="60">
        <f t="shared" si="19"/>
        <v>0</v>
      </c>
    </row>
    <row r="108" spans="1:15" s="38" customFormat="1" ht="10.7" hidden="1" customHeight="1" outlineLevel="1" x14ac:dyDescent="0.25">
      <c r="A108" s="146"/>
      <c r="B108" s="142"/>
      <c r="C108" s="148"/>
      <c r="D108" s="148"/>
      <c r="E108" s="148"/>
      <c r="F108" s="148"/>
      <c r="G108" s="60" t="s">
        <v>130</v>
      </c>
      <c r="H108" s="151"/>
      <c r="I108" s="151"/>
      <c r="J108" s="60"/>
      <c r="K108" s="60"/>
      <c r="L108" s="60"/>
      <c r="M108" s="60"/>
      <c r="N108" s="60">
        <f t="shared" si="28"/>
        <v>0</v>
      </c>
      <c r="O108" s="60">
        <f t="shared" si="19"/>
        <v>0</v>
      </c>
    </row>
    <row r="109" spans="1:15" s="38" customFormat="1" ht="12" hidden="1" customHeight="1" outlineLevel="1" thickBot="1" x14ac:dyDescent="0.3">
      <c r="A109" s="147"/>
      <c r="B109" s="143"/>
      <c r="C109" s="149"/>
      <c r="D109" s="149"/>
      <c r="E109" s="149"/>
      <c r="F109" s="149"/>
      <c r="G109" s="60" t="s">
        <v>131</v>
      </c>
      <c r="H109" s="152"/>
      <c r="I109" s="152"/>
      <c r="J109" s="60"/>
      <c r="K109" s="60"/>
      <c r="L109" s="60"/>
      <c r="M109" s="60"/>
      <c r="N109" s="60">
        <f t="shared" si="28"/>
        <v>0</v>
      </c>
      <c r="O109" s="60">
        <f t="shared" si="19"/>
        <v>0</v>
      </c>
    </row>
    <row r="110" spans="1:15" s="38" customFormat="1" ht="14.45" hidden="1" customHeight="1" outlineLevel="1" x14ac:dyDescent="0.25">
      <c r="A110" s="140" t="s">
        <v>158</v>
      </c>
      <c r="B110" s="141" t="s">
        <v>358</v>
      </c>
      <c r="C110" s="130">
        <f>SUM(N110:N116)</f>
        <v>0</v>
      </c>
      <c r="D110" s="130">
        <f>SUM(O110:O116)</f>
        <v>0</v>
      </c>
      <c r="E110" s="130">
        <f t="shared" ref="E110" si="29">D110/8</f>
        <v>0</v>
      </c>
      <c r="F110" s="130"/>
      <c r="G110" s="60" t="s">
        <v>125</v>
      </c>
      <c r="H110" s="150"/>
      <c r="I110" s="150"/>
      <c r="J110" s="60"/>
      <c r="K110" s="60"/>
      <c r="L110" s="60"/>
      <c r="M110" s="60"/>
      <c r="N110" s="60">
        <f>M110*J110*K110*L110</f>
        <v>0</v>
      </c>
      <c r="O110" s="60">
        <f t="shared" si="19"/>
        <v>0</v>
      </c>
    </row>
    <row r="111" spans="1:15" s="38" customFormat="1" ht="11.45" hidden="1" customHeight="1" outlineLevel="1" x14ac:dyDescent="0.25">
      <c r="A111" s="146"/>
      <c r="B111" s="142"/>
      <c r="C111" s="148"/>
      <c r="D111" s="148"/>
      <c r="E111" s="148"/>
      <c r="F111" s="148"/>
      <c r="G111" s="60" t="s">
        <v>126</v>
      </c>
      <c r="H111" s="151"/>
      <c r="I111" s="151"/>
      <c r="J111" s="60"/>
      <c r="K111" s="60"/>
      <c r="L111" s="60"/>
      <c r="M111" s="60"/>
      <c r="N111" s="60">
        <f t="shared" ref="N111:N116" si="30">M111*J111*K111*L111</f>
        <v>0</v>
      </c>
      <c r="O111" s="60">
        <f t="shared" si="19"/>
        <v>0</v>
      </c>
    </row>
    <row r="112" spans="1:15" s="38" customFormat="1" ht="10.7" hidden="1" customHeight="1" outlineLevel="1" x14ac:dyDescent="0.25">
      <c r="A112" s="146"/>
      <c r="B112" s="142"/>
      <c r="C112" s="148"/>
      <c r="D112" s="148"/>
      <c r="E112" s="148"/>
      <c r="F112" s="148"/>
      <c r="G112" s="60" t="s">
        <v>127</v>
      </c>
      <c r="H112" s="151"/>
      <c r="I112" s="151"/>
      <c r="J112" s="60"/>
      <c r="K112" s="60"/>
      <c r="L112" s="60"/>
      <c r="M112" s="60"/>
      <c r="N112" s="60">
        <f t="shared" si="30"/>
        <v>0</v>
      </c>
      <c r="O112" s="60">
        <f t="shared" si="19"/>
        <v>0</v>
      </c>
    </row>
    <row r="113" spans="1:15" s="38" customFormat="1" ht="10.7" hidden="1" customHeight="1" outlineLevel="1" x14ac:dyDescent="0.25">
      <c r="A113" s="146"/>
      <c r="B113" s="142"/>
      <c r="C113" s="148"/>
      <c r="D113" s="148"/>
      <c r="E113" s="148"/>
      <c r="F113" s="148"/>
      <c r="G113" s="60" t="s">
        <v>128</v>
      </c>
      <c r="H113" s="151"/>
      <c r="I113" s="151"/>
      <c r="J113" s="60"/>
      <c r="K113" s="60"/>
      <c r="L113" s="60"/>
      <c r="M113" s="60"/>
      <c r="N113" s="60">
        <f t="shared" si="30"/>
        <v>0</v>
      </c>
      <c r="O113" s="60">
        <f t="shared" si="19"/>
        <v>0</v>
      </c>
    </row>
    <row r="114" spans="1:15" s="38" customFormat="1" ht="10.7" hidden="1" customHeight="1" outlineLevel="1" x14ac:dyDescent="0.25">
      <c r="A114" s="146"/>
      <c r="B114" s="142"/>
      <c r="C114" s="148"/>
      <c r="D114" s="148"/>
      <c r="E114" s="148"/>
      <c r="F114" s="148"/>
      <c r="G114" s="60" t="s">
        <v>129</v>
      </c>
      <c r="H114" s="151"/>
      <c r="I114" s="151"/>
      <c r="J114" s="60"/>
      <c r="K114" s="60"/>
      <c r="L114" s="60"/>
      <c r="M114" s="60"/>
      <c r="N114" s="60">
        <f t="shared" si="30"/>
        <v>0</v>
      </c>
      <c r="O114" s="60">
        <f t="shared" si="19"/>
        <v>0</v>
      </c>
    </row>
    <row r="115" spans="1:15" s="38" customFormat="1" ht="10.7" hidden="1" customHeight="1" outlineLevel="1" x14ac:dyDescent="0.25">
      <c r="A115" s="146"/>
      <c r="B115" s="142"/>
      <c r="C115" s="148"/>
      <c r="D115" s="148"/>
      <c r="E115" s="148"/>
      <c r="F115" s="148"/>
      <c r="G115" s="60" t="s">
        <v>130</v>
      </c>
      <c r="H115" s="151"/>
      <c r="I115" s="151"/>
      <c r="J115" s="60"/>
      <c r="K115" s="60"/>
      <c r="L115" s="60"/>
      <c r="M115" s="60"/>
      <c r="N115" s="60">
        <f t="shared" si="30"/>
        <v>0</v>
      </c>
      <c r="O115" s="60">
        <f t="shared" si="19"/>
        <v>0</v>
      </c>
    </row>
    <row r="116" spans="1:15" s="38" customFormat="1" ht="12" hidden="1" customHeight="1" outlineLevel="1" thickBot="1" x14ac:dyDescent="0.3">
      <c r="A116" s="147"/>
      <c r="B116" s="143"/>
      <c r="C116" s="149"/>
      <c r="D116" s="149"/>
      <c r="E116" s="149"/>
      <c r="F116" s="149"/>
      <c r="G116" s="60" t="s">
        <v>131</v>
      </c>
      <c r="H116" s="152"/>
      <c r="I116" s="152"/>
      <c r="J116" s="60"/>
      <c r="K116" s="60"/>
      <c r="L116" s="60"/>
      <c r="M116" s="60"/>
      <c r="N116" s="60">
        <f t="shared" si="30"/>
        <v>0</v>
      </c>
      <c r="O116" s="60">
        <f t="shared" si="19"/>
        <v>0</v>
      </c>
    </row>
    <row r="117" spans="1:15" s="38" customFormat="1" ht="14.45" hidden="1" customHeight="1" outlineLevel="1" x14ac:dyDescent="0.25">
      <c r="A117" s="140" t="s">
        <v>160</v>
      </c>
      <c r="B117" s="141" t="s">
        <v>359</v>
      </c>
      <c r="C117" s="130">
        <f>SUM(N117:N123)</f>
        <v>0</v>
      </c>
      <c r="D117" s="130">
        <f>SUM(O117:O123)</f>
        <v>0</v>
      </c>
      <c r="E117" s="130">
        <f t="shared" ref="E117" si="31">D117/8</f>
        <v>0</v>
      </c>
      <c r="F117" s="130"/>
      <c r="G117" s="60" t="s">
        <v>125</v>
      </c>
      <c r="H117" s="150"/>
      <c r="I117" s="150"/>
      <c r="J117" s="60"/>
      <c r="K117" s="60"/>
      <c r="L117" s="60"/>
      <c r="M117" s="60"/>
      <c r="N117" s="60">
        <f>M117*J117*K117*L117</f>
        <v>0</v>
      </c>
      <c r="O117" s="60">
        <f t="shared" si="19"/>
        <v>0</v>
      </c>
    </row>
    <row r="118" spans="1:15" s="38" customFormat="1" ht="11.45" hidden="1" customHeight="1" outlineLevel="1" x14ac:dyDescent="0.25">
      <c r="A118" s="146"/>
      <c r="B118" s="142"/>
      <c r="C118" s="148"/>
      <c r="D118" s="148"/>
      <c r="E118" s="148"/>
      <c r="F118" s="148"/>
      <c r="G118" s="60" t="s">
        <v>126</v>
      </c>
      <c r="H118" s="151"/>
      <c r="I118" s="151"/>
      <c r="J118" s="60"/>
      <c r="K118" s="60"/>
      <c r="L118" s="60"/>
      <c r="M118" s="60"/>
      <c r="N118" s="60">
        <f t="shared" ref="N118:N123" si="32">M118*J118*K118*L118</f>
        <v>0</v>
      </c>
      <c r="O118" s="60">
        <f t="shared" si="19"/>
        <v>0</v>
      </c>
    </row>
    <row r="119" spans="1:15" s="38" customFormat="1" ht="10.7" hidden="1" customHeight="1" outlineLevel="1" x14ac:dyDescent="0.25">
      <c r="A119" s="146"/>
      <c r="B119" s="142"/>
      <c r="C119" s="148"/>
      <c r="D119" s="148"/>
      <c r="E119" s="148"/>
      <c r="F119" s="148"/>
      <c r="G119" s="60" t="s">
        <v>127</v>
      </c>
      <c r="H119" s="151"/>
      <c r="I119" s="151"/>
      <c r="J119" s="60"/>
      <c r="K119" s="60"/>
      <c r="L119" s="60"/>
      <c r="M119" s="60"/>
      <c r="N119" s="60">
        <f t="shared" si="32"/>
        <v>0</v>
      </c>
      <c r="O119" s="60">
        <f t="shared" si="19"/>
        <v>0</v>
      </c>
    </row>
    <row r="120" spans="1:15" s="38" customFormat="1" ht="10.7" hidden="1" customHeight="1" outlineLevel="1" x14ac:dyDescent="0.25">
      <c r="A120" s="146"/>
      <c r="B120" s="142"/>
      <c r="C120" s="148"/>
      <c r="D120" s="148"/>
      <c r="E120" s="148"/>
      <c r="F120" s="148"/>
      <c r="G120" s="60" t="s">
        <v>128</v>
      </c>
      <c r="H120" s="151"/>
      <c r="I120" s="151"/>
      <c r="J120" s="60"/>
      <c r="K120" s="60"/>
      <c r="L120" s="60"/>
      <c r="M120" s="60"/>
      <c r="N120" s="60">
        <f t="shared" si="32"/>
        <v>0</v>
      </c>
      <c r="O120" s="60">
        <f t="shared" si="19"/>
        <v>0</v>
      </c>
    </row>
    <row r="121" spans="1:15" s="38" customFormat="1" ht="10.7" hidden="1" customHeight="1" outlineLevel="1" x14ac:dyDescent="0.25">
      <c r="A121" s="146"/>
      <c r="B121" s="142"/>
      <c r="C121" s="148"/>
      <c r="D121" s="148"/>
      <c r="E121" s="148"/>
      <c r="F121" s="148"/>
      <c r="G121" s="60" t="s">
        <v>129</v>
      </c>
      <c r="H121" s="151"/>
      <c r="I121" s="151"/>
      <c r="J121" s="60"/>
      <c r="K121" s="60"/>
      <c r="L121" s="60"/>
      <c r="M121" s="60"/>
      <c r="N121" s="60">
        <f t="shared" si="32"/>
        <v>0</v>
      </c>
      <c r="O121" s="60">
        <f t="shared" si="19"/>
        <v>0</v>
      </c>
    </row>
    <row r="122" spans="1:15" s="38" customFormat="1" ht="10.7" hidden="1" customHeight="1" outlineLevel="1" x14ac:dyDescent="0.25">
      <c r="A122" s="146"/>
      <c r="B122" s="142"/>
      <c r="C122" s="148"/>
      <c r="D122" s="148"/>
      <c r="E122" s="148"/>
      <c r="F122" s="148"/>
      <c r="G122" s="60" t="s">
        <v>130</v>
      </c>
      <c r="H122" s="151"/>
      <c r="I122" s="151"/>
      <c r="J122" s="60"/>
      <c r="K122" s="60"/>
      <c r="L122" s="60"/>
      <c r="M122" s="60"/>
      <c r="N122" s="60">
        <f t="shared" si="32"/>
        <v>0</v>
      </c>
      <c r="O122" s="60">
        <f t="shared" si="19"/>
        <v>0</v>
      </c>
    </row>
    <row r="123" spans="1:15" s="38" customFormat="1" ht="12" hidden="1" customHeight="1" outlineLevel="1" thickBot="1" x14ac:dyDescent="0.3">
      <c r="A123" s="147"/>
      <c r="B123" s="143"/>
      <c r="C123" s="149"/>
      <c r="D123" s="149"/>
      <c r="E123" s="149"/>
      <c r="F123" s="149"/>
      <c r="G123" s="60" t="s">
        <v>131</v>
      </c>
      <c r="H123" s="152"/>
      <c r="I123" s="152"/>
      <c r="J123" s="60"/>
      <c r="K123" s="60"/>
      <c r="L123" s="60"/>
      <c r="M123" s="60"/>
      <c r="N123" s="60">
        <f t="shared" si="32"/>
        <v>0</v>
      </c>
      <c r="O123" s="60">
        <f t="shared" si="19"/>
        <v>0</v>
      </c>
    </row>
    <row r="124" spans="1:15" s="38" customFormat="1" ht="14.45" hidden="1" customHeight="1" outlineLevel="1" x14ac:dyDescent="0.25">
      <c r="A124" s="140" t="s">
        <v>162</v>
      </c>
      <c r="B124" s="141" t="s">
        <v>360</v>
      </c>
      <c r="C124" s="130">
        <f>SUM(N124:N130)</f>
        <v>0</v>
      </c>
      <c r="D124" s="130">
        <f>SUM(O124:O130)</f>
        <v>0</v>
      </c>
      <c r="E124" s="130">
        <f t="shared" ref="E124" si="33">D124/8</f>
        <v>0</v>
      </c>
      <c r="F124" s="130"/>
      <c r="G124" s="60" t="s">
        <v>125</v>
      </c>
      <c r="H124" s="150"/>
      <c r="I124" s="150"/>
      <c r="J124" s="60"/>
      <c r="K124" s="60"/>
      <c r="L124" s="60"/>
      <c r="M124" s="60"/>
      <c r="N124" s="60">
        <f>M124*J124*K124*L124</f>
        <v>0</v>
      </c>
      <c r="O124" s="60">
        <f t="shared" si="19"/>
        <v>0</v>
      </c>
    </row>
    <row r="125" spans="1:15" s="38" customFormat="1" ht="11.45" hidden="1" customHeight="1" outlineLevel="1" x14ac:dyDescent="0.25">
      <c r="A125" s="146"/>
      <c r="B125" s="142"/>
      <c r="C125" s="148"/>
      <c r="D125" s="148"/>
      <c r="E125" s="148"/>
      <c r="F125" s="148"/>
      <c r="G125" s="60" t="s">
        <v>126</v>
      </c>
      <c r="H125" s="151"/>
      <c r="I125" s="151"/>
      <c r="J125" s="60"/>
      <c r="K125" s="60"/>
      <c r="L125" s="60"/>
      <c r="M125" s="60"/>
      <c r="N125" s="60">
        <f t="shared" ref="N125:N130" si="34">M125*J125*K125*L125</f>
        <v>0</v>
      </c>
      <c r="O125" s="60">
        <f t="shared" si="19"/>
        <v>0</v>
      </c>
    </row>
    <row r="126" spans="1:15" s="38" customFormat="1" ht="10.7" hidden="1" customHeight="1" outlineLevel="1" x14ac:dyDescent="0.25">
      <c r="A126" s="146"/>
      <c r="B126" s="142"/>
      <c r="C126" s="148"/>
      <c r="D126" s="148"/>
      <c r="E126" s="148"/>
      <c r="F126" s="148"/>
      <c r="G126" s="60" t="s">
        <v>127</v>
      </c>
      <c r="H126" s="151"/>
      <c r="I126" s="151"/>
      <c r="J126" s="60"/>
      <c r="K126" s="60"/>
      <c r="L126" s="60"/>
      <c r="M126" s="60"/>
      <c r="N126" s="60">
        <f t="shared" si="34"/>
        <v>0</v>
      </c>
      <c r="O126" s="60">
        <f t="shared" si="19"/>
        <v>0</v>
      </c>
    </row>
    <row r="127" spans="1:15" s="38" customFormat="1" ht="10.7" hidden="1" customHeight="1" outlineLevel="1" x14ac:dyDescent="0.25">
      <c r="A127" s="146"/>
      <c r="B127" s="142"/>
      <c r="C127" s="148"/>
      <c r="D127" s="148"/>
      <c r="E127" s="148"/>
      <c r="F127" s="148"/>
      <c r="G127" s="60" t="s">
        <v>128</v>
      </c>
      <c r="H127" s="151"/>
      <c r="I127" s="151"/>
      <c r="J127" s="60"/>
      <c r="K127" s="60"/>
      <c r="L127" s="60"/>
      <c r="M127" s="60"/>
      <c r="N127" s="60">
        <f t="shared" si="34"/>
        <v>0</v>
      </c>
      <c r="O127" s="60">
        <f t="shared" si="19"/>
        <v>0</v>
      </c>
    </row>
    <row r="128" spans="1:15" s="38" customFormat="1" ht="10.7" hidden="1" customHeight="1" outlineLevel="1" x14ac:dyDescent="0.25">
      <c r="A128" s="146"/>
      <c r="B128" s="142"/>
      <c r="C128" s="148"/>
      <c r="D128" s="148"/>
      <c r="E128" s="148"/>
      <c r="F128" s="148"/>
      <c r="G128" s="60" t="s">
        <v>129</v>
      </c>
      <c r="H128" s="151"/>
      <c r="I128" s="151"/>
      <c r="J128" s="60"/>
      <c r="K128" s="60"/>
      <c r="L128" s="60"/>
      <c r="M128" s="60"/>
      <c r="N128" s="60">
        <f t="shared" si="34"/>
        <v>0</v>
      </c>
      <c r="O128" s="60">
        <f t="shared" si="19"/>
        <v>0</v>
      </c>
    </row>
    <row r="129" spans="1:15" s="38" customFormat="1" ht="10.7" hidden="1" customHeight="1" outlineLevel="1" x14ac:dyDescent="0.25">
      <c r="A129" s="146"/>
      <c r="B129" s="142"/>
      <c r="C129" s="148"/>
      <c r="D129" s="148"/>
      <c r="E129" s="148"/>
      <c r="F129" s="148"/>
      <c r="G129" s="60" t="s">
        <v>130</v>
      </c>
      <c r="H129" s="151"/>
      <c r="I129" s="151"/>
      <c r="J129" s="60"/>
      <c r="K129" s="60"/>
      <c r="L129" s="60"/>
      <c r="M129" s="60"/>
      <c r="N129" s="60">
        <f t="shared" si="34"/>
        <v>0</v>
      </c>
      <c r="O129" s="60">
        <f t="shared" si="19"/>
        <v>0</v>
      </c>
    </row>
    <row r="130" spans="1:15" s="38" customFormat="1" ht="12" hidden="1" customHeight="1" outlineLevel="1" thickBot="1" x14ac:dyDescent="0.3">
      <c r="A130" s="147"/>
      <c r="B130" s="143"/>
      <c r="C130" s="149"/>
      <c r="D130" s="149"/>
      <c r="E130" s="149"/>
      <c r="F130" s="149"/>
      <c r="G130" s="60" t="s">
        <v>131</v>
      </c>
      <c r="H130" s="152"/>
      <c r="I130" s="152"/>
      <c r="J130" s="60"/>
      <c r="K130" s="60"/>
      <c r="L130" s="60"/>
      <c r="M130" s="60"/>
      <c r="N130" s="60">
        <f t="shared" si="34"/>
        <v>0</v>
      </c>
      <c r="O130" s="60">
        <f t="shared" si="19"/>
        <v>0</v>
      </c>
    </row>
    <row r="131" spans="1:15" s="38" customFormat="1" ht="14.45" hidden="1" customHeight="1" outlineLevel="1" x14ac:dyDescent="0.25">
      <c r="A131" s="140" t="s">
        <v>361</v>
      </c>
      <c r="B131" s="141" t="s">
        <v>362</v>
      </c>
      <c r="C131" s="130">
        <f>SUM(N131:N137)</f>
        <v>0</v>
      </c>
      <c r="D131" s="130">
        <f>SUM(O131:O137)</f>
        <v>0</v>
      </c>
      <c r="E131" s="130">
        <f t="shared" ref="E131" si="35">D131/8</f>
        <v>0</v>
      </c>
      <c r="F131" s="130"/>
      <c r="G131" s="60" t="s">
        <v>125</v>
      </c>
      <c r="H131" s="150"/>
      <c r="I131" s="150"/>
      <c r="J131" s="60"/>
      <c r="K131" s="60"/>
      <c r="L131" s="60"/>
      <c r="M131" s="60"/>
      <c r="N131" s="60">
        <f>M131*J131*K131*L131</f>
        <v>0</v>
      </c>
      <c r="O131" s="60">
        <f t="shared" si="19"/>
        <v>0</v>
      </c>
    </row>
    <row r="132" spans="1:15" s="38" customFormat="1" ht="11.45" hidden="1" customHeight="1" outlineLevel="1" x14ac:dyDescent="0.25">
      <c r="A132" s="146"/>
      <c r="B132" s="142"/>
      <c r="C132" s="148"/>
      <c r="D132" s="148"/>
      <c r="E132" s="148"/>
      <c r="F132" s="148"/>
      <c r="G132" s="60" t="s">
        <v>126</v>
      </c>
      <c r="H132" s="151"/>
      <c r="I132" s="151"/>
      <c r="J132" s="60"/>
      <c r="K132" s="60"/>
      <c r="L132" s="60"/>
      <c r="M132" s="60"/>
      <c r="N132" s="60">
        <f t="shared" ref="N132:N137" si="36">M132*J132*K132*L132</f>
        <v>0</v>
      </c>
      <c r="O132" s="60">
        <f t="shared" si="19"/>
        <v>0</v>
      </c>
    </row>
    <row r="133" spans="1:15" s="38" customFormat="1" ht="10.7" hidden="1" customHeight="1" outlineLevel="1" x14ac:dyDescent="0.25">
      <c r="A133" s="146"/>
      <c r="B133" s="142"/>
      <c r="C133" s="148"/>
      <c r="D133" s="148"/>
      <c r="E133" s="148"/>
      <c r="F133" s="148"/>
      <c r="G133" s="60" t="s">
        <v>127</v>
      </c>
      <c r="H133" s="151"/>
      <c r="I133" s="151"/>
      <c r="J133" s="60"/>
      <c r="K133" s="60"/>
      <c r="L133" s="60"/>
      <c r="M133" s="60"/>
      <c r="N133" s="60">
        <f t="shared" si="36"/>
        <v>0</v>
      </c>
      <c r="O133" s="60">
        <f t="shared" ref="O133:O186" si="37">J133*K133*L133</f>
        <v>0</v>
      </c>
    </row>
    <row r="134" spans="1:15" s="38" customFormat="1" ht="10.7" hidden="1" customHeight="1" outlineLevel="1" x14ac:dyDescent="0.25">
      <c r="A134" s="146"/>
      <c r="B134" s="142"/>
      <c r="C134" s="148"/>
      <c r="D134" s="148"/>
      <c r="E134" s="148"/>
      <c r="F134" s="148"/>
      <c r="G134" s="60" t="s">
        <v>128</v>
      </c>
      <c r="H134" s="151"/>
      <c r="I134" s="151"/>
      <c r="J134" s="60"/>
      <c r="K134" s="60"/>
      <c r="L134" s="60"/>
      <c r="M134" s="60"/>
      <c r="N134" s="60">
        <f t="shared" si="36"/>
        <v>0</v>
      </c>
      <c r="O134" s="60">
        <f t="shared" si="37"/>
        <v>0</v>
      </c>
    </row>
    <row r="135" spans="1:15" s="38" customFormat="1" ht="10.7" hidden="1" customHeight="1" outlineLevel="1" x14ac:dyDescent="0.25">
      <c r="A135" s="146"/>
      <c r="B135" s="142"/>
      <c r="C135" s="148"/>
      <c r="D135" s="148"/>
      <c r="E135" s="148"/>
      <c r="F135" s="148"/>
      <c r="G135" s="60" t="s">
        <v>129</v>
      </c>
      <c r="H135" s="151"/>
      <c r="I135" s="151"/>
      <c r="J135" s="60"/>
      <c r="K135" s="60"/>
      <c r="L135" s="60"/>
      <c r="M135" s="60"/>
      <c r="N135" s="60">
        <f t="shared" si="36"/>
        <v>0</v>
      </c>
      <c r="O135" s="60">
        <f t="shared" si="37"/>
        <v>0</v>
      </c>
    </row>
    <row r="136" spans="1:15" s="38" customFormat="1" ht="10.7" hidden="1" customHeight="1" outlineLevel="1" x14ac:dyDescent="0.25">
      <c r="A136" s="146"/>
      <c r="B136" s="142"/>
      <c r="C136" s="148"/>
      <c r="D136" s="148"/>
      <c r="E136" s="148"/>
      <c r="F136" s="148"/>
      <c r="G136" s="60" t="s">
        <v>130</v>
      </c>
      <c r="H136" s="151"/>
      <c r="I136" s="151"/>
      <c r="J136" s="60"/>
      <c r="K136" s="60"/>
      <c r="L136" s="60"/>
      <c r="M136" s="60"/>
      <c r="N136" s="60">
        <f t="shared" si="36"/>
        <v>0</v>
      </c>
      <c r="O136" s="60">
        <f t="shared" si="37"/>
        <v>0</v>
      </c>
    </row>
    <row r="137" spans="1:15" s="38" customFormat="1" ht="12" hidden="1" customHeight="1" outlineLevel="1" thickBot="1" x14ac:dyDescent="0.3">
      <c r="A137" s="147"/>
      <c r="B137" s="143"/>
      <c r="C137" s="149"/>
      <c r="D137" s="149"/>
      <c r="E137" s="149"/>
      <c r="F137" s="149"/>
      <c r="G137" s="60" t="s">
        <v>131</v>
      </c>
      <c r="H137" s="152"/>
      <c r="I137" s="152"/>
      <c r="J137" s="60"/>
      <c r="K137" s="60"/>
      <c r="L137" s="60"/>
      <c r="M137" s="60"/>
      <c r="N137" s="60">
        <f t="shared" si="36"/>
        <v>0</v>
      </c>
      <c r="O137" s="60">
        <f t="shared" si="37"/>
        <v>0</v>
      </c>
    </row>
    <row r="138" spans="1:15" s="38" customFormat="1" ht="14.45" hidden="1" customHeight="1" outlineLevel="1" x14ac:dyDescent="0.25">
      <c r="A138" s="140" t="s">
        <v>363</v>
      </c>
      <c r="B138" s="141" t="s">
        <v>364</v>
      </c>
      <c r="C138" s="130">
        <f>SUM(N138:N144)</f>
        <v>0</v>
      </c>
      <c r="D138" s="130">
        <f>SUM(O138:O144)</f>
        <v>0</v>
      </c>
      <c r="E138" s="130">
        <f t="shared" ref="E138" si="38">D138/8</f>
        <v>0</v>
      </c>
      <c r="F138" s="130"/>
      <c r="G138" s="60" t="s">
        <v>125</v>
      </c>
      <c r="H138" s="150"/>
      <c r="I138" s="150"/>
      <c r="J138" s="60"/>
      <c r="K138" s="60"/>
      <c r="L138" s="60"/>
      <c r="M138" s="60"/>
      <c r="N138" s="60">
        <f>M138*J138*K138*L138</f>
        <v>0</v>
      </c>
      <c r="O138" s="60">
        <f t="shared" si="37"/>
        <v>0</v>
      </c>
    </row>
    <row r="139" spans="1:15" s="38" customFormat="1" ht="11.45" hidden="1" customHeight="1" outlineLevel="1" x14ac:dyDescent="0.25">
      <c r="A139" s="146"/>
      <c r="B139" s="142"/>
      <c r="C139" s="148"/>
      <c r="D139" s="148"/>
      <c r="E139" s="148"/>
      <c r="F139" s="148"/>
      <c r="G139" s="60" t="s">
        <v>126</v>
      </c>
      <c r="H139" s="151"/>
      <c r="I139" s="151"/>
      <c r="J139" s="60"/>
      <c r="K139" s="60"/>
      <c r="L139" s="60"/>
      <c r="M139" s="60"/>
      <c r="N139" s="60">
        <f t="shared" ref="N139:N144" si="39">M139*J139*K139*L139</f>
        <v>0</v>
      </c>
      <c r="O139" s="60">
        <f t="shared" si="37"/>
        <v>0</v>
      </c>
    </row>
    <row r="140" spans="1:15" s="38" customFormat="1" ht="10.7" hidden="1" customHeight="1" outlineLevel="1" x14ac:dyDescent="0.25">
      <c r="A140" s="146"/>
      <c r="B140" s="142"/>
      <c r="C140" s="148"/>
      <c r="D140" s="148"/>
      <c r="E140" s="148"/>
      <c r="F140" s="148"/>
      <c r="G140" s="60" t="s">
        <v>127</v>
      </c>
      <c r="H140" s="151"/>
      <c r="I140" s="151"/>
      <c r="J140" s="60"/>
      <c r="K140" s="60"/>
      <c r="L140" s="60"/>
      <c r="M140" s="60"/>
      <c r="N140" s="60">
        <f t="shared" si="39"/>
        <v>0</v>
      </c>
      <c r="O140" s="60">
        <f t="shared" si="37"/>
        <v>0</v>
      </c>
    </row>
    <row r="141" spans="1:15" s="38" customFormat="1" ht="10.7" hidden="1" customHeight="1" outlineLevel="1" x14ac:dyDescent="0.25">
      <c r="A141" s="146"/>
      <c r="B141" s="142"/>
      <c r="C141" s="148"/>
      <c r="D141" s="148"/>
      <c r="E141" s="148"/>
      <c r="F141" s="148"/>
      <c r="G141" s="60" t="s">
        <v>128</v>
      </c>
      <c r="H141" s="151"/>
      <c r="I141" s="151"/>
      <c r="J141" s="60"/>
      <c r="K141" s="60"/>
      <c r="L141" s="60"/>
      <c r="M141" s="60"/>
      <c r="N141" s="60">
        <f t="shared" si="39"/>
        <v>0</v>
      </c>
      <c r="O141" s="60">
        <f t="shared" si="37"/>
        <v>0</v>
      </c>
    </row>
    <row r="142" spans="1:15" s="38" customFormat="1" ht="10.7" hidden="1" customHeight="1" outlineLevel="1" x14ac:dyDescent="0.25">
      <c r="A142" s="146"/>
      <c r="B142" s="142"/>
      <c r="C142" s="148"/>
      <c r="D142" s="148"/>
      <c r="E142" s="148"/>
      <c r="F142" s="148"/>
      <c r="G142" s="60" t="s">
        <v>129</v>
      </c>
      <c r="H142" s="151"/>
      <c r="I142" s="151"/>
      <c r="J142" s="60"/>
      <c r="K142" s="60"/>
      <c r="L142" s="60"/>
      <c r="M142" s="60"/>
      <c r="N142" s="60">
        <f t="shared" si="39"/>
        <v>0</v>
      </c>
      <c r="O142" s="60">
        <f t="shared" si="37"/>
        <v>0</v>
      </c>
    </row>
    <row r="143" spans="1:15" s="38" customFormat="1" ht="10.7" hidden="1" customHeight="1" outlineLevel="1" x14ac:dyDescent="0.25">
      <c r="A143" s="146"/>
      <c r="B143" s="142"/>
      <c r="C143" s="148"/>
      <c r="D143" s="148"/>
      <c r="E143" s="148"/>
      <c r="F143" s="148"/>
      <c r="G143" s="60" t="s">
        <v>130</v>
      </c>
      <c r="H143" s="151"/>
      <c r="I143" s="151"/>
      <c r="J143" s="60"/>
      <c r="K143" s="60"/>
      <c r="L143" s="60"/>
      <c r="M143" s="60"/>
      <c r="N143" s="60">
        <f t="shared" si="39"/>
        <v>0</v>
      </c>
      <c r="O143" s="60">
        <f t="shared" si="37"/>
        <v>0</v>
      </c>
    </row>
    <row r="144" spans="1:15" s="38" customFormat="1" ht="12" hidden="1" customHeight="1" outlineLevel="1" thickBot="1" x14ac:dyDescent="0.3">
      <c r="A144" s="147"/>
      <c r="B144" s="143"/>
      <c r="C144" s="149"/>
      <c r="D144" s="149"/>
      <c r="E144" s="149"/>
      <c r="F144" s="149"/>
      <c r="G144" s="60" t="s">
        <v>131</v>
      </c>
      <c r="H144" s="152"/>
      <c r="I144" s="152"/>
      <c r="J144" s="60"/>
      <c r="K144" s="60"/>
      <c r="L144" s="60"/>
      <c r="M144" s="60"/>
      <c r="N144" s="60">
        <f t="shared" si="39"/>
        <v>0</v>
      </c>
      <c r="O144" s="60">
        <f t="shared" si="37"/>
        <v>0</v>
      </c>
    </row>
    <row r="145" spans="1:15" s="38" customFormat="1" ht="14.45" hidden="1" customHeight="1" outlineLevel="1" x14ac:dyDescent="0.25">
      <c r="A145" s="140" t="s">
        <v>365</v>
      </c>
      <c r="B145" s="141" t="s">
        <v>366</v>
      </c>
      <c r="C145" s="130">
        <f>SUM(N145:N151)</f>
        <v>0</v>
      </c>
      <c r="D145" s="130">
        <f>SUM(O145:O151)</f>
        <v>0</v>
      </c>
      <c r="E145" s="130">
        <f t="shared" ref="E145" si="40">D145/8</f>
        <v>0</v>
      </c>
      <c r="F145" s="130"/>
      <c r="G145" s="60" t="s">
        <v>125</v>
      </c>
      <c r="H145" s="150"/>
      <c r="I145" s="150"/>
      <c r="J145" s="60"/>
      <c r="K145" s="60"/>
      <c r="L145" s="60"/>
      <c r="M145" s="60"/>
      <c r="N145" s="60">
        <f>M145*J145*K145*L145</f>
        <v>0</v>
      </c>
      <c r="O145" s="60">
        <f t="shared" si="37"/>
        <v>0</v>
      </c>
    </row>
    <row r="146" spans="1:15" s="38" customFormat="1" ht="11.45" hidden="1" customHeight="1" outlineLevel="1" x14ac:dyDescent="0.25">
      <c r="A146" s="146"/>
      <c r="B146" s="142"/>
      <c r="C146" s="148"/>
      <c r="D146" s="148"/>
      <c r="E146" s="148"/>
      <c r="F146" s="148"/>
      <c r="G146" s="60" t="s">
        <v>126</v>
      </c>
      <c r="H146" s="151"/>
      <c r="I146" s="151"/>
      <c r="J146" s="60"/>
      <c r="K146" s="60"/>
      <c r="L146" s="60"/>
      <c r="M146" s="60"/>
      <c r="N146" s="60">
        <f t="shared" ref="N146:N151" si="41">M146*J146*K146*L146</f>
        <v>0</v>
      </c>
      <c r="O146" s="60">
        <f t="shared" si="37"/>
        <v>0</v>
      </c>
    </row>
    <row r="147" spans="1:15" s="38" customFormat="1" ht="10.7" hidden="1" customHeight="1" outlineLevel="1" x14ac:dyDescent="0.25">
      <c r="A147" s="146"/>
      <c r="B147" s="142"/>
      <c r="C147" s="148"/>
      <c r="D147" s="148"/>
      <c r="E147" s="148"/>
      <c r="F147" s="148"/>
      <c r="G147" s="60" t="s">
        <v>127</v>
      </c>
      <c r="H147" s="151"/>
      <c r="I147" s="151"/>
      <c r="J147" s="60"/>
      <c r="K147" s="60"/>
      <c r="L147" s="60"/>
      <c r="M147" s="60"/>
      <c r="N147" s="60">
        <f t="shared" si="41"/>
        <v>0</v>
      </c>
      <c r="O147" s="60">
        <f t="shared" si="37"/>
        <v>0</v>
      </c>
    </row>
    <row r="148" spans="1:15" s="38" customFormat="1" ht="10.7" hidden="1" customHeight="1" outlineLevel="1" x14ac:dyDescent="0.25">
      <c r="A148" s="146"/>
      <c r="B148" s="142"/>
      <c r="C148" s="148"/>
      <c r="D148" s="148"/>
      <c r="E148" s="148"/>
      <c r="F148" s="148"/>
      <c r="G148" s="60" t="s">
        <v>128</v>
      </c>
      <c r="H148" s="151"/>
      <c r="I148" s="151"/>
      <c r="J148" s="60"/>
      <c r="K148" s="60"/>
      <c r="L148" s="60"/>
      <c r="M148" s="60"/>
      <c r="N148" s="60">
        <f t="shared" si="41"/>
        <v>0</v>
      </c>
      <c r="O148" s="60">
        <f t="shared" si="37"/>
        <v>0</v>
      </c>
    </row>
    <row r="149" spans="1:15" s="38" customFormat="1" ht="10.7" hidden="1" customHeight="1" outlineLevel="1" x14ac:dyDescent="0.25">
      <c r="A149" s="146"/>
      <c r="B149" s="142"/>
      <c r="C149" s="148"/>
      <c r="D149" s="148"/>
      <c r="E149" s="148"/>
      <c r="F149" s="148"/>
      <c r="G149" s="60" t="s">
        <v>129</v>
      </c>
      <c r="H149" s="151"/>
      <c r="I149" s="151"/>
      <c r="J149" s="60"/>
      <c r="K149" s="60"/>
      <c r="L149" s="60"/>
      <c r="M149" s="60"/>
      <c r="N149" s="60">
        <f t="shared" si="41"/>
        <v>0</v>
      </c>
      <c r="O149" s="60">
        <f t="shared" si="37"/>
        <v>0</v>
      </c>
    </row>
    <row r="150" spans="1:15" s="38" customFormat="1" ht="10.7" hidden="1" customHeight="1" outlineLevel="1" x14ac:dyDescent="0.25">
      <c r="A150" s="146"/>
      <c r="B150" s="142"/>
      <c r="C150" s="148"/>
      <c r="D150" s="148"/>
      <c r="E150" s="148"/>
      <c r="F150" s="148"/>
      <c r="G150" s="60" t="s">
        <v>130</v>
      </c>
      <c r="H150" s="151"/>
      <c r="I150" s="151"/>
      <c r="J150" s="60"/>
      <c r="K150" s="60"/>
      <c r="L150" s="60"/>
      <c r="M150" s="60"/>
      <c r="N150" s="60">
        <f t="shared" si="41"/>
        <v>0</v>
      </c>
      <c r="O150" s="60">
        <f t="shared" si="37"/>
        <v>0</v>
      </c>
    </row>
    <row r="151" spans="1:15" s="38" customFormat="1" ht="12" hidden="1" customHeight="1" outlineLevel="1" thickBot="1" x14ac:dyDescent="0.3">
      <c r="A151" s="147"/>
      <c r="B151" s="143"/>
      <c r="C151" s="149"/>
      <c r="D151" s="149"/>
      <c r="E151" s="149"/>
      <c r="F151" s="149"/>
      <c r="G151" s="60" t="s">
        <v>131</v>
      </c>
      <c r="H151" s="152"/>
      <c r="I151" s="152"/>
      <c r="J151" s="60"/>
      <c r="K151" s="60"/>
      <c r="L151" s="60"/>
      <c r="M151" s="60"/>
      <c r="N151" s="60">
        <f t="shared" si="41"/>
        <v>0</v>
      </c>
      <c r="O151" s="60">
        <f t="shared" si="37"/>
        <v>0</v>
      </c>
    </row>
    <row r="152" spans="1:15" s="38" customFormat="1" ht="14.45" hidden="1" customHeight="1" outlineLevel="1" x14ac:dyDescent="0.25">
      <c r="A152" s="140" t="s">
        <v>367</v>
      </c>
      <c r="B152" s="141" t="s">
        <v>368</v>
      </c>
      <c r="C152" s="130">
        <f>SUM(N152:N158)</f>
        <v>0</v>
      </c>
      <c r="D152" s="130">
        <f>SUM(O152:O158)</f>
        <v>0</v>
      </c>
      <c r="E152" s="130">
        <f t="shared" ref="E152" si="42">D152/8</f>
        <v>0</v>
      </c>
      <c r="F152" s="130"/>
      <c r="G152" s="60" t="s">
        <v>125</v>
      </c>
      <c r="H152" s="150"/>
      <c r="I152" s="150"/>
      <c r="J152" s="60"/>
      <c r="K152" s="60"/>
      <c r="L152" s="60"/>
      <c r="M152" s="60"/>
      <c r="N152" s="60">
        <f>M152*J152*K152*L152</f>
        <v>0</v>
      </c>
      <c r="O152" s="60">
        <f t="shared" si="37"/>
        <v>0</v>
      </c>
    </row>
    <row r="153" spans="1:15" s="38" customFormat="1" ht="11.45" hidden="1" customHeight="1" outlineLevel="1" x14ac:dyDescent="0.25">
      <c r="A153" s="146"/>
      <c r="B153" s="142"/>
      <c r="C153" s="148"/>
      <c r="D153" s="148"/>
      <c r="E153" s="148"/>
      <c r="F153" s="148"/>
      <c r="G153" s="60" t="s">
        <v>126</v>
      </c>
      <c r="H153" s="151"/>
      <c r="I153" s="151"/>
      <c r="J153" s="60"/>
      <c r="K153" s="60"/>
      <c r="L153" s="60"/>
      <c r="M153" s="60"/>
      <c r="N153" s="60">
        <f t="shared" ref="N153:N158" si="43">M153*J153*K153*L153</f>
        <v>0</v>
      </c>
      <c r="O153" s="60">
        <f t="shared" si="37"/>
        <v>0</v>
      </c>
    </row>
    <row r="154" spans="1:15" s="38" customFormat="1" ht="10.7" hidden="1" customHeight="1" outlineLevel="1" x14ac:dyDescent="0.25">
      <c r="A154" s="146"/>
      <c r="B154" s="142"/>
      <c r="C154" s="148"/>
      <c r="D154" s="148"/>
      <c r="E154" s="148"/>
      <c r="F154" s="148"/>
      <c r="G154" s="60" t="s">
        <v>127</v>
      </c>
      <c r="H154" s="151"/>
      <c r="I154" s="151"/>
      <c r="J154" s="60"/>
      <c r="K154" s="60"/>
      <c r="L154" s="60"/>
      <c r="M154" s="60"/>
      <c r="N154" s="60">
        <f t="shared" si="43"/>
        <v>0</v>
      </c>
      <c r="O154" s="60">
        <f t="shared" si="37"/>
        <v>0</v>
      </c>
    </row>
    <row r="155" spans="1:15" s="38" customFormat="1" ht="10.7" hidden="1" customHeight="1" outlineLevel="1" x14ac:dyDescent="0.25">
      <c r="A155" s="146"/>
      <c r="B155" s="142"/>
      <c r="C155" s="148"/>
      <c r="D155" s="148"/>
      <c r="E155" s="148"/>
      <c r="F155" s="148"/>
      <c r="G155" s="60" t="s">
        <v>128</v>
      </c>
      <c r="H155" s="151"/>
      <c r="I155" s="151"/>
      <c r="J155" s="60"/>
      <c r="K155" s="60"/>
      <c r="L155" s="60"/>
      <c r="M155" s="60"/>
      <c r="N155" s="60">
        <f t="shared" si="43"/>
        <v>0</v>
      </c>
      <c r="O155" s="60">
        <f t="shared" si="37"/>
        <v>0</v>
      </c>
    </row>
    <row r="156" spans="1:15" s="38" customFormat="1" ht="10.7" hidden="1" customHeight="1" outlineLevel="1" x14ac:dyDescent="0.25">
      <c r="A156" s="146"/>
      <c r="B156" s="142"/>
      <c r="C156" s="148"/>
      <c r="D156" s="148"/>
      <c r="E156" s="148"/>
      <c r="F156" s="148"/>
      <c r="G156" s="60" t="s">
        <v>129</v>
      </c>
      <c r="H156" s="151"/>
      <c r="I156" s="151"/>
      <c r="J156" s="60"/>
      <c r="K156" s="60"/>
      <c r="L156" s="60"/>
      <c r="M156" s="60"/>
      <c r="N156" s="60">
        <f t="shared" si="43"/>
        <v>0</v>
      </c>
      <c r="O156" s="60">
        <f t="shared" si="37"/>
        <v>0</v>
      </c>
    </row>
    <row r="157" spans="1:15" s="38" customFormat="1" ht="10.7" hidden="1" customHeight="1" outlineLevel="1" x14ac:dyDescent="0.25">
      <c r="A157" s="146"/>
      <c r="B157" s="142"/>
      <c r="C157" s="148"/>
      <c r="D157" s="148"/>
      <c r="E157" s="148"/>
      <c r="F157" s="148"/>
      <c r="G157" s="60" t="s">
        <v>130</v>
      </c>
      <c r="H157" s="151"/>
      <c r="I157" s="151"/>
      <c r="J157" s="60"/>
      <c r="K157" s="60"/>
      <c r="L157" s="60"/>
      <c r="M157" s="60"/>
      <c r="N157" s="60">
        <f t="shared" si="43"/>
        <v>0</v>
      </c>
      <c r="O157" s="60">
        <f t="shared" si="37"/>
        <v>0</v>
      </c>
    </row>
    <row r="158" spans="1:15" s="38" customFormat="1" ht="12" hidden="1" customHeight="1" outlineLevel="1" thickBot="1" x14ac:dyDescent="0.3">
      <c r="A158" s="147"/>
      <c r="B158" s="143"/>
      <c r="C158" s="149"/>
      <c r="D158" s="149"/>
      <c r="E158" s="149"/>
      <c r="F158" s="149"/>
      <c r="G158" s="60" t="s">
        <v>131</v>
      </c>
      <c r="H158" s="152"/>
      <c r="I158" s="152"/>
      <c r="J158" s="60"/>
      <c r="K158" s="60"/>
      <c r="L158" s="60"/>
      <c r="M158" s="60"/>
      <c r="N158" s="60">
        <f t="shared" si="43"/>
        <v>0</v>
      </c>
      <c r="O158" s="60">
        <f t="shared" si="37"/>
        <v>0</v>
      </c>
    </row>
    <row r="159" spans="1:15" s="38" customFormat="1" ht="14.45" hidden="1" customHeight="1" outlineLevel="1" x14ac:dyDescent="0.25">
      <c r="A159" s="140" t="s">
        <v>369</v>
      </c>
      <c r="B159" s="141" t="s">
        <v>370</v>
      </c>
      <c r="C159" s="130">
        <f>SUM(N159:N165)</f>
        <v>0</v>
      </c>
      <c r="D159" s="130">
        <f>SUM(O159:O165)</f>
        <v>0</v>
      </c>
      <c r="E159" s="130">
        <f t="shared" ref="E159" si="44">D159/8</f>
        <v>0</v>
      </c>
      <c r="F159" s="130"/>
      <c r="G159" s="60" t="s">
        <v>125</v>
      </c>
      <c r="H159" s="150"/>
      <c r="I159" s="150"/>
      <c r="J159" s="60"/>
      <c r="K159" s="60"/>
      <c r="L159" s="60"/>
      <c r="M159" s="60"/>
      <c r="N159" s="60">
        <f>M159*J159*K159*L159</f>
        <v>0</v>
      </c>
      <c r="O159" s="60">
        <f t="shared" si="37"/>
        <v>0</v>
      </c>
    </row>
    <row r="160" spans="1:15" s="38" customFormat="1" ht="11.45" hidden="1" customHeight="1" outlineLevel="1" x14ac:dyDescent="0.25">
      <c r="A160" s="146"/>
      <c r="B160" s="142"/>
      <c r="C160" s="148"/>
      <c r="D160" s="148"/>
      <c r="E160" s="148"/>
      <c r="F160" s="148"/>
      <c r="G160" s="60" t="s">
        <v>126</v>
      </c>
      <c r="H160" s="151"/>
      <c r="I160" s="151"/>
      <c r="J160" s="60"/>
      <c r="K160" s="60"/>
      <c r="L160" s="60"/>
      <c r="M160" s="60"/>
      <c r="N160" s="60">
        <f t="shared" ref="N160:N165" si="45">M160*J160*K160*L160</f>
        <v>0</v>
      </c>
      <c r="O160" s="60">
        <f t="shared" si="37"/>
        <v>0</v>
      </c>
    </row>
    <row r="161" spans="1:15" s="38" customFormat="1" ht="10.7" hidden="1" customHeight="1" outlineLevel="1" x14ac:dyDescent="0.25">
      <c r="A161" s="146"/>
      <c r="B161" s="142"/>
      <c r="C161" s="148"/>
      <c r="D161" s="148"/>
      <c r="E161" s="148"/>
      <c r="F161" s="148"/>
      <c r="G161" s="60" t="s">
        <v>127</v>
      </c>
      <c r="H161" s="151"/>
      <c r="I161" s="151"/>
      <c r="J161" s="60"/>
      <c r="K161" s="60"/>
      <c r="L161" s="60"/>
      <c r="M161" s="60"/>
      <c r="N161" s="60">
        <f t="shared" si="45"/>
        <v>0</v>
      </c>
      <c r="O161" s="60">
        <f t="shared" si="37"/>
        <v>0</v>
      </c>
    </row>
    <row r="162" spans="1:15" s="38" customFormat="1" ht="10.7" hidden="1" customHeight="1" outlineLevel="1" x14ac:dyDescent="0.25">
      <c r="A162" s="146"/>
      <c r="B162" s="142"/>
      <c r="C162" s="148"/>
      <c r="D162" s="148"/>
      <c r="E162" s="148"/>
      <c r="F162" s="148"/>
      <c r="G162" s="60" t="s">
        <v>128</v>
      </c>
      <c r="H162" s="151"/>
      <c r="I162" s="151"/>
      <c r="J162" s="60"/>
      <c r="K162" s="60"/>
      <c r="L162" s="60"/>
      <c r="M162" s="60"/>
      <c r="N162" s="60">
        <f t="shared" si="45"/>
        <v>0</v>
      </c>
      <c r="O162" s="60">
        <f t="shared" si="37"/>
        <v>0</v>
      </c>
    </row>
    <row r="163" spans="1:15" s="38" customFormat="1" ht="10.7" hidden="1" customHeight="1" outlineLevel="1" x14ac:dyDescent="0.25">
      <c r="A163" s="146"/>
      <c r="B163" s="142"/>
      <c r="C163" s="148"/>
      <c r="D163" s="148"/>
      <c r="E163" s="148"/>
      <c r="F163" s="148"/>
      <c r="G163" s="60" t="s">
        <v>129</v>
      </c>
      <c r="H163" s="151"/>
      <c r="I163" s="151"/>
      <c r="J163" s="60"/>
      <c r="K163" s="60"/>
      <c r="L163" s="60"/>
      <c r="M163" s="60"/>
      <c r="N163" s="60">
        <f t="shared" si="45"/>
        <v>0</v>
      </c>
      <c r="O163" s="60">
        <f t="shared" si="37"/>
        <v>0</v>
      </c>
    </row>
    <row r="164" spans="1:15" s="38" customFormat="1" ht="10.7" hidden="1" customHeight="1" outlineLevel="1" x14ac:dyDescent="0.25">
      <c r="A164" s="146"/>
      <c r="B164" s="142"/>
      <c r="C164" s="148"/>
      <c r="D164" s="148"/>
      <c r="E164" s="148"/>
      <c r="F164" s="148"/>
      <c r="G164" s="60" t="s">
        <v>130</v>
      </c>
      <c r="H164" s="151"/>
      <c r="I164" s="151"/>
      <c r="J164" s="60"/>
      <c r="K164" s="60"/>
      <c r="L164" s="60"/>
      <c r="M164" s="60"/>
      <c r="N164" s="60">
        <f t="shared" si="45"/>
        <v>0</v>
      </c>
      <c r="O164" s="60">
        <f t="shared" si="37"/>
        <v>0</v>
      </c>
    </row>
    <row r="165" spans="1:15" s="38" customFormat="1" ht="12" hidden="1" customHeight="1" outlineLevel="1" thickBot="1" x14ac:dyDescent="0.3">
      <c r="A165" s="147"/>
      <c r="B165" s="143"/>
      <c r="C165" s="149"/>
      <c r="D165" s="149"/>
      <c r="E165" s="149"/>
      <c r="F165" s="149"/>
      <c r="G165" s="60" t="s">
        <v>131</v>
      </c>
      <c r="H165" s="152"/>
      <c r="I165" s="152"/>
      <c r="J165" s="60"/>
      <c r="K165" s="60"/>
      <c r="L165" s="60"/>
      <c r="M165" s="60"/>
      <c r="N165" s="60">
        <f t="shared" si="45"/>
        <v>0</v>
      </c>
      <c r="O165" s="60">
        <f t="shared" si="37"/>
        <v>0</v>
      </c>
    </row>
    <row r="166" spans="1:15" s="38" customFormat="1" ht="14.45" hidden="1" customHeight="1" outlineLevel="1" x14ac:dyDescent="0.25">
      <c r="A166" s="140" t="s">
        <v>371</v>
      </c>
      <c r="B166" s="141" t="s">
        <v>372</v>
      </c>
      <c r="C166" s="130">
        <f>SUM(N166:N172)</f>
        <v>0</v>
      </c>
      <c r="D166" s="130">
        <f>SUM(O166:O172)</f>
        <v>0</v>
      </c>
      <c r="E166" s="130">
        <f t="shared" ref="E166" si="46">D166/8</f>
        <v>0</v>
      </c>
      <c r="F166" s="130"/>
      <c r="G166" s="60" t="s">
        <v>125</v>
      </c>
      <c r="H166" s="150"/>
      <c r="I166" s="150"/>
      <c r="J166" s="60"/>
      <c r="K166" s="60"/>
      <c r="L166" s="60"/>
      <c r="M166" s="60"/>
      <c r="N166" s="60">
        <f>M166*J166*K166*L166</f>
        <v>0</v>
      </c>
      <c r="O166" s="60">
        <f t="shared" si="37"/>
        <v>0</v>
      </c>
    </row>
    <row r="167" spans="1:15" s="38" customFormat="1" ht="11.45" hidden="1" customHeight="1" outlineLevel="1" x14ac:dyDescent="0.25">
      <c r="A167" s="146"/>
      <c r="B167" s="142"/>
      <c r="C167" s="148"/>
      <c r="D167" s="148"/>
      <c r="E167" s="148"/>
      <c r="F167" s="148"/>
      <c r="G167" s="60" t="s">
        <v>126</v>
      </c>
      <c r="H167" s="151"/>
      <c r="I167" s="151"/>
      <c r="J167" s="60"/>
      <c r="K167" s="60"/>
      <c r="L167" s="60"/>
      <c r="M167" s="60"/>
      <c r="N167" s="60">
        <f t="shared" ref="N167:N172" si="47">M167*J167*K167*L167</f>
        <v>0</v>
      </c>
      <c r="O167" s="60">
        <f t="shared" si="37"/>
        <v>0</v>
      </c>
    </row>
    <row r="168" spans="1:15" s="38" customFormat="1" ht="10.7" hidden="1" customHeight="1" outlineLevel="1" x14ac:dyDescent="0.25">
      <c r="A168" s="146"/>
      <c r="B168" s="142"/>
      <c r="C168" s="148"/>
      <c r="D168" s="148"/>
      <c r="E168" s="148"/>
      <c r="F168" s="148"/>
      <c r="G168" s="60" t="s">
        <v>127</v>
      </c>
      <c r="H168" s="151"/>
      <c r="I168" s="151"/>
      <c r="J168" s="60"/>
      <c r="K168" s="60"/>
      <c r="L168" s="60"/>
      <c r="M168" s="60"/>
      <c r="N168" s="60">
        <f t="shared" si="47"/>
        <v>0</v>
      </c>
      <c r="O168" s="60">
        <f t="shared" si="37"/>
        <v>0</v>
      </c>
    </row>
    <row r="169" spans="1:15" s="38" customFormat="1" ht="10.7" hidden="1" customHeight="1" outlineLevel="1" x14ac:dyDescent="0.25">
      <c r="A169" s="146"/>
      <c r="B169" s="142"/>
      <c r="C169" s="148"/>
      <c r="D169" s="148"/>
      <c r="E169" s="148"/>
      <c r="F169" s="148"/>
      <c r="G169" s="60" t="s">
        <v>128</v>
      </c>
      <c r="H169" s="151"/>
      <c r="I169" s="151"/>
      <c r="J169" s="60"/>
      <c r="K169" s="60"/>
      <c r="L169" s="60"/>
      <c r="M169" s="60"/>
      <c r="N169" s="60">
        <f t="shared" si="47"/>
        <v>0</v>
      </c>
      <c r="O169" s="60">
        <f t="shared" si="37"/>
        <v>0</v>
      </c>
    </row>
    <row r="170" spans="1:15" s="38" customFormat="1" ht="10.7" hidden="1" customHeight="1" outlineLevel="1" x14ac:dyDescent="0.25">
      <c r="A170" s="146"/>
      <c r="B170" s="142"/>
      <c r="C170" s="148"/>
      <c r="D170" s="148"/>
      <c r="E170" s="148"/>
      <c r="F170" s="148"/>
      <c r="G170" s="60" t="s">
        <v>129</v>
      </c>
      <c r="H170" s="151"/>
      <c r="I170" s="151"/>
      <c r="J170" s="60"/>
      <c r="K170" s="60"/>
      <c r="L170" s="60"/>
      <c r="M170" s="60"/>
      <c r="N170" s="60">
        <f t="shared" si="47"/>
        <v>0</v>
      </c>
      <c r="O170" s="60">
        <f t="shared" si="37"/>
        <v>0</v>
      </c>
    </row>
    <row r="171" spans="1:15" s="38" customFormat="1" ht="10.7" hidden="1" customHeight="1" outlineLevel="1" x14ac:dyDescent="0.25">
      <c r="A171" s="146"/>
      <c r="B171" s="142"/>
      <c r="C171" s="148"/>
      <c r="D171" s="148"/>
      <c r="E171" s="148"/>
      <c r="F171" s="148"/>
      <c r="G171" s="60" t="s">
        <v>130</v>
      </c>
      <c r="H171" s="151"/>
      <c r="I171" s="151"/>
      <c r="J171" s="60"/>
      <c r="K171" s="60"/>
      <c r="L171" s="60"/>
      <c r="M171" s="60"/>
      <c r="N171" s="60">
        <f t="shared" si="47"/>
        <v>0</v>
      </c>
      <c r="O171" s="60">
        <f t="shared" si="37"/>
        <v>0</v>
      </c>
    </row>
    <row r="172" spans="1:15" s="38" customFormat="1" ht="12" hidden="1" customHeight="1" outlineLevel="1" thickBot="1" x14ac:dyDescent="0.3">
      <c r="A172" s="147"/>
      <c r="B172" s="143"/>
      <c r="C172" s="149"/>
      <c r="D172" s="149"/>
      <c r="E172" s="149"/>
      <c r="F172" s="149"/>
      <c r="G172" s="60" t="s">
        <v>131</v>
      </c>
      <c r="H172" s="152"/>
      <c r="I172" s="152"/>
      <c r="J172" s="60"/>
      <c r="K172" s="60"/>
      <c r="L172" s="60"/>
      <c r="M172" s="60"/>
      <c r="N172" s="60">
        <f t="shared" si="47"/>
        <v>0</v>
      </c>
      <c r="O172" s="60">
        <f t="shared" si="37"/>
        <v>0</v>
      </c>
    </row>
    <row r="173" spans="1:15" s="38" customFormat="1" ht="14.45" hidden="1" customHeight="1" outlineLevel="1" x14ac:dyDescent="0.25">
      <c r="A173" s="140" t="s">
        <v>373</v>
      </c>
      <c r="B173" s="141" t="s">
        <v>374</v>
      </c>
      <c r="C173" s="130">
        <f>SUM(N173:N179)</f>
        <v>0</v>
      </c>
      <c r="D173" s="130">
        <f>SUM(O173:O179)</f>
        <v>0</v>
      </c>
      <c r="E173" s="130">
        <f t="shared" ref="E173" si="48">D173/8</f>
        <v>0</v>
      </c>
      <c r="F173" s="130"/>
      <c r="G173" s="60" t="s">
        <v>125</v>
      </c>
      <c r="H173" s="150"/>
      <c r="I173" s="150"/>
      <c r="J173" s="60"/>
      <c r="K173" s="60"/>
      <c r="L173" s="60"/>
      <c r="M173" s="60"/>
      <c r="N173" s="60">
        <f>M173*J173*K173*L173</f>
        <v>0</v>
      </c>
      <c r="O173" s="60">
        <f t="shared" si="37"/>
        <v>0</v>
      </c>
    </row>
    <row r="174" spans="1:15" s="38" customFormat="1" ht="11.45" hidden="1" customHeight="1" outlineLevel="1" x14ac:dyDescent="0.25">
      <c r="A174" s="146"/>
      <c r="B174" s="142"/>
      <c r="C174" s="148"/>
      <c r="D174" s="148"/>
      <c r="E174" s="148"/>
      <c r="F174" s="148"/>
      <c r="G174" s="60" t="s">
        <v>126</v>
      </c>
      <c r="H174" s="151"/>
      <c r="I174" s="151"/>
      <c r="J174" s="60"/>
      <c r="K174" s="60"/>
      <c r="L174" s="60"/>
      <c r="M174" s="60"/>
      <c r="N174" s="60">
        <f t="shared" ref="N174:N179" si="49">M174*J174*K174*L174</f>
        <v>0</v>
      </c>
      <c r="O174" s="60">
        <f t="shared" si="37"/>
        <v>0</v>
      </c>
    </row>
    <row r="175" spans="1:15" s="38" customFormat="1" ht="10.7" hidden="1" customHeight="1" outlineLevel="1" x14ac:dyDescent="0.25">
      <c r="A175" s="146"/>
      <c r="B175" s="142"/>
      <c r="C175" s="148"/>
      <c r="D175" s="148"/>
      <c r="E175" s="148"/>
      <c r="F175" s="148"/>
      <c r="G175" s="60" t="s">
        <v>127</v>
      </c>
      <c r="H175" s="151"/>
      <c r="I175" s="151"/>
      <c r="J175" s="60"/>
      <c r="K175" s="60"/>
      <c r="L175" s="60"/>
      <c r="M175" s="60"/>
      <c r="N175" s="60">
        <f t="shared" si="49"/>
        <v>0</v>
      </c>
      <c r="O175" s="60">
        <f t="shared" si="37"/>
        <v>0</v>
      </c>
    </row>
    <row r="176" spans="1:15" s="38" customFormat="1" ht="10.7" hidden="1" customHeight="1" outlineLevel="1" x14ac:dyDescent="0.25">
      <c r="A176" s="146"/>
      <c r="B176" s="142"/>
      <c r="C176" s="148"/>
      <c r="D176" s="148"/>
      <c r="E176" s="148"/>
      <c r="F176" s="148"/>
      <c r="G176" s="60" t="s">
        <v>128</v>
      </c>
      <c r="H176" s="151"/>
      <c r="I176" s="151"/>
      <c r="J176" s="60"/>
      <c r="K176" s="60"/>
      <c r="L176" s="60"/>
      <c r="M176" s="60"/>
      <c r="N176" s="60">
        <f t="shared" si="49"/>
        <v>0</v>
      </c>
      <c r="O176" s="60">
        <f t="shared" si="37"/>
        <v>0</v>
      </c>
    </row>
    <row r="177" spans="1:15" s="38" customFormat="1" ht="10.7" hidden="1" customHeight="1" outlineLevel="1" x14ac:dyDescent="0.25">
      <c r="A177" s="146"/>
      <c r="B177" s="142"/>
      <c r="C177" s="148"/>
      <c r="D177" s="148"/>
      <c r="E177" s="148"/>
      <c r="F177" s="148"/>
      <c r="G177" s="60" t="s">
        <v>129</v>
      </c>
      <c r="H177" s="151"/>
      <c r="I177" s="151"/>
      <c r="J177" s="60"/>
      <c r="K177" s="60"/>
      <c r="L177" s="60"/>
      <c r="M177" s="60"/>
      <c r="N177" s="60">
        <f t="shared" si="49"/>
        <v>0</v>
      </c>
      <c r="O177" s="60">
        <f t="shared" si="37"/>
        <v>0</v>
      </c>
    </row>
    <row r="178" spans="1:15" s="38" customFormat="1" ht="10.7" hidden="1" customHeight="1" outlineLevel="1" x14ac:dyDescent="0.25">
      <c r="A178" s="146"/>
      <c r="B178" s="142"/>
      <c r="C178" s="148"/>
      <c r="D178" s="148"/>
      <c r="E178" s="148"/>
      <c r="F178" s="148"/>
      <c r="G178" s="60" t="s">
        <v>130</v>
      </c>
      <c r="H178" s="151"/>
      <c r="I178" s="151"/>
      <c r="J178" s="60"/>
      <c r="K178" s="60"/>
      <c r="L178" s="60"/>
      <c r="M178" s="60"/>
      <c r="N178" s="60">
        <f t="shared" si="49"/>
        <v>0</v>
      </c>
      <c r="O178" s="60">
        <f t="shared" si="37"/>
        <v>0</v>
      </c>
    </row>
    <row r="179" spans="1:15" s="38" customFormat="1" ht="12" hidden="1" customHeight="1" outlineLevel="1" thickBot="1" x14ac:dyDescent="0.3">
      <c r="A179" s="147"/>
      <c r="B179" s="143"/>
      <c r="C179" s="149"/>
      <c r="D179" s="149"/>
      <c r="E179" s="149"/>
      <c r="F179" s="149"/>
      <c r="G179" s="60" t="s">
        <v>131</v>
      </c>
      <c r="H179" s="152"/>
      <c r="I179" s="152"/>
      <c r="J179" s="60"/>
      <c r="K179" s="60"/>
      <c r="L179" s="60"/>
      <c r="M179" s="60"/>
      <c r="N179" s="60">
        <f t="shared" si="49"/>
        <v>0</v>
      </c>
      <c r="O179" s="60">
        <f t="shared" si="37"/>
        <v>0</v>
      </c>
    </row>
    <row r="180" spans="1:15" s="38" customFormat="1" ht="14.45" hidden="1" customHeight="1" outlineLevel="1" x14ac:dyDescent="0.25">
      <c r="A180" s="140" t="s">
        <v>375</v>
      </c>
      <c r="B180" s="141" t="s">
        <v>376</v>
      </c>
      <c r="C180" s="130">
        <f>SUM(N180:N186)</f>
        <v>0</v>
      </c>
      <c r="D180" s="130">
        <f>SUM(O180:O186)</f>
        <v>0</v>
      </c>
      <c r="E180" s="130">
        <f t="shared" ref="E180" si="50">D180/8</f>
        <v>0</v>
      </c>
      <c r="F180" s="130"/>
      <c r="G180" s="60" t="s">
        <v>125</v>
      </c>
      <c r="H180" s="150"/>
      <c r="I180" s="150"/>
      <c r="J180" s="60"/>
      <c r="K180" s="60"/>
      <c r="L180" s="60"/>
      <c r="M180" s="60"/>
      <c r="N180" s="60">
        <f>M180*J180*K180*L180</f>
        <v>0</v>
      </c>
      <c r="O180" s="60">
        <f t="shared" si="37"/>
        <v>0</v>
      </c>
    </row>
    <row r="181" spans="1:15" s="38" customFormat="1" ht="11.45" hidden="1" customHeight="1" outlineLevel="1" x14ac:dyDescent="0.25">
      <c r="A181" s="146"/>
      <c r="B181" s="142"/>
      <c r="C181" s="148"/>
      <c r="D181" s="148"/>
      <c r="E181" s="148"/>
      <c r="F181" s="148"/>
      <c r="G181" s="60" t="s">
        <v>126</v>
      </c>
      <c r="H181" s="151"/>
      <c r="I181" s="151"/>
      <c r="J181" s="60"/>
      <c r="K181" s="60"/>
      <c r="L181" s="60"/>
      <c r="M181" s="60"/>
      <c r="N181" s="60">
        <f t="shared" ref="N181:N186" si="51">M181*J181*K181*L181</f>
        <v>0</v>
      </c>
      <c r="O181" s="60">
        <f t="shared" si="37"/>
        <v>0</v>
      </c>
    </row>
    <row r="182" spans="1:15" s="38" customFormat="1" ht="10.7" hidden="1" customHeight="1" outlineLevel="1" x14ac:dyDescent="0.25">
      <c r="A182" s="146"/>
      <c r="B182" s="142"/>
      <c r="C182" s="148"/>
      <c r="D182" s="148"/>
      <c r="E182" s="148"/>
      <c r="F182" s="148"/>
      <c r="G182" s="60" t="s">
        <v>127</v>
      </c>
      <c r="H182" s="151"/>
      <c r="I182" s="151"/>
      <c r="J182" s="60"/>
      <c r="K182" s="60"/>
      <c r="L182" s="60"/>
      <c r="M182" s="60"/>
      <c r="N182" s="60">
        <f t="shared" si="51"/>
        <v>0</v>
      </c>
      <c r="O182" s="60">
        <f t="shared" si="37"/>
        <v>0</v>
      </c>
    </row>
    <row r="183" spans="1:15" s="38" customFormat="1" ht="10.7" hidden="1" customHeight="1" outlineLevel="1" x14ac:dyDescent="0.25">
      <c r="A183" s="146"/>
      <c r="B183" s="142"/>
      <c r="C183" s="148"/>
      <c r="D183" s="148"/>
      <c r="E183" s="148"/>
      <c r="F183" s="148"/>
      <c r="G183" s="60" t="s">
        <v>128</v>
      </c>
      <c r="H183" s="151"/>
      <c r="I183" s="151"/>
      <c r="J183" s="60"/>
      <c r="K183" s="60"/>
      <c r="L183" s="60"/>
      <c r="M183" s="60"/>
      <c r="N183" s="60">
        <f t="shared" si="51"/>
        <v>0</v>
      </c>
      <c r="O183" s="60">
        <f t="shared" si="37"/>
        <v>0</v>
      </c>
    </row>
    <row r="184" spans="1:15" s="38" customFormat="1" ht="10.7" hidden="1" customHeight="1" outlineLevel="1" x14ac:dyDescent="0.25">
      <c r="A184" s="146"/>
      <c r="B184" s="142"/>
      <c r="C184" s="148"/>
      <c r="D184" s="148"/>
      <c r="E184" s="148"/>
      <c r="F184" s="148"/>
      <c r="G184" s="60" t="s">
        <v>129</v>
      </c>
      <c r="H184" s="151"/>
      <c r="I184" s="151"/>
      <c r="J184" s="60"/>
      <c r="K184" s="60"/>
      <c r="L184" s="60"/>
      <c r="M184" s="60"/>
      <c r="N184" s="60">
        <f t="shared" si="51"/>
        <v>0</v>
      </c>
      <c r="O184" s="60">
        <f t="shared" si="37"/>
        <v>0</v>
      </c>
    </row>
    <row r="185" spans="1:15" s="38" customFormat="1" ht="10.7" hidden="1" customHeight="1" outlineLevel="1" x14ac:dyDescent="0.25">
      <c r="A185" s="146"/>
      <c r="B185" s="142"/>
      <c r="C185" s="148"/>
      <c r="D185" s="148"/>
      <c r="E185" s="148"/>
      <c r="F185" s="148"/>
      <c r="G185" s="60" t="s">
        <v>130</v>
      </c>
      <c r="H185" s="151"/>
      <c r="I185" s="151"/>
      <c r="J185" s="60"/>
      <c r="K185" s="60"/>
      <c r="L185" s="60"/>
      <c r="M185" s="60"/>
      <c r="N185" s="60">
        <f t="shared" si="51"/>
        <v>0</v>
      </c>
      <c r="O185" s="60">
        <f t="shared" si="37"/>
        <v>0</v>
      </c>
    </row>
    <row r="186" spans="1:15" s="38" customFormat="1" ht="12" hidden="1" customHeight="1" outlineLevel="1" thickBot="1" x14ac:dyDescent="0.3">
      <c r="A186" s="147"/>
      <c r="B186" s="143"/>
      <c r="C186" s="149"/>
      <c r="D186" s="149"/>
      <c r="E186" s="149"/>
      <c r="F186" s="149"/>
      <c r="G186" s="60" t="s">
        <v>131</v>
      </c>
      <c r="H186" s="152"/>
      <c r="I186" s="152"/>
      <c r="J186" s="60"/>
      <c r="K186" s="60"/>
      <c r="L186" s="60"/>
      <c r="M186" s="60"/>
      <c r="N186" s="60">
        <f t="shared" si="51"/>
        <v>0</v>
      </c>
      <c r="O186" s="60">
        <f t="shared" si="37"/>
        <v>0</v>
      </c>
    </row>
    <row r="187" spans="1:15" s="39" customFormat="1" ht="16.5" collapsed="1" thickBot="1" x14ac:dyDescent="0.3">
      <c r="A187" s="40" t="s">
        <v>26</v>
      </c>
      <c r="B187" s="41" t="s">
        <v>377</v>
      </c>
      <c r="C187" s="42">
        <f>SUM(C188:C201)</f>
        <v>0</v>
      </c>
      <c r="D187" s="42">
        <f>SUM(D188:D201)</f>
        <v>0</v>
      </c>
      <c r="E187" s="42">
        <f>SUM(E188:E201)</f>
        <v>0</v>
      </c>
      <c r="F187" s="57"/>
      <c r="G187" s="57"/>
      <c r="H187" s="57"/>
      <c r="I187" s="57"/>
      <c r="J187" s="57"/>
      <c r="K187" s="57"/>
      <c r="L187" s="57"/>
      <c r="M187" s="57"/>
      <c r="N187" s="57"/>
      <c r="O187" s="43"/>
    </row>
    <row r="188" spans="1:15" s="38" customFormat="1" ht="14.45" hidden="1" customHeight="1" outlineLevel="1" x14ac:dyDescent="0.25">
      <c r="A188" s="140" t="s">
        <v>165</v>
      </c>
      <c r="B188" s="141" t="s">
        <v>166</v>
      </c>
      <c r="C188" s="130">
        <f>SUM(N188:N194)</f>
        <v>0</v>
      </c>
      <c r="D188" s="130">
        <f>SUM(O188:O194)</f>
        <v>0</v>
      </c>
      <c r="E188" s="130">
        <f t="shared" ref="E188:E195" si="52">D188/8</f>
        <v>0</v>
      </c>
      <c r="F188" s="130"/>
      <c r="G188" s="60" t="s">
        <v>125</v>
      </c>
      <c r="H188" s="123"/>
      <c r="I188" s="123"/>
      <c r="J188" s="60"/>
      <c r="K188" s="60"/>
      <c r="L188" s="60"/>
      <c r="M188" s="60"/>
      <c r="N188" s="60">
        <f>M188*J188*K188*L188</f>
        <v>0</v>
      </c>
      <c r="O188" s="60">
        <f>J188*K188*L188</f>
        <v>0</v>
      </c>
    </row>
    <row r="189" spans="1:15" s="38" customFormat="1" ht="11.45" hidden="1" customHeight="1" outlineLevel="1" x14ac:dyDescent="0.25">
      <c r="A189" s="124"/>
      <c r="B189" s="142"/>
      <c r="C189" s="115"/>
      <c r="D189" s="115"/>
      <c r="E189" s="115"/>
      <c r="F189" s="115"/>
      <c r="G189" s="60" t="s">
        <v>126</v>
      </c>
      <c r="H189" s="124"/>
      <c r="I189" s="124"/>
      <c r="J189" s="60"/>
      <c r="K189" s="60"/>
      <c r="L189" s="60"/>
      <c r="M189" s="60"/>
      <c r="N189" s="60">
        <f t="shared" ref="N189:N194" si="53">M189*J189*K189*L189</f>
        <v>0</v>
      </c>
      <c r="O189" s="60">
        <f t="shared" ref="O189:O201" si="54">J189*K189*L189</f>
        <v>0</v>
      </c>
    </row>
    <row r="190" spans="1:15" s="38" customFormat="1" ht="10.7" hidden="1" customHeight="1" outlineLevel="1" x14ac:dyDescent="0.25">
      <c r="A190" s="124"/>
      <c r="B190" s="142"/>
      <c r="C190" s="115"/>
      <c r="D190" s="115"/>
      <c r="E190" s="115"/>
      <c r="F190" s="115"/>
      <c r="G190" s="60" t="s">
        <v>127</v>
      </c>
      <c r="H190" s="124"/>
      <c r="I190" s="124"/>
      <c r="J190" s="60"/>
      <c r="K190" s="60"/>
      <c r="L190" s="60"/>
      <c r="M190" s="60"/>
      <c r="N190" s="60">
        <f t="shared" si="53"/>
        <v>0</v>
      </c>
      <c r="O190" s="60">
        <f t="shared" si="54"/>
        <v>0</v>
      </c>
    </row>
    <row r="191" spans="1:15" s="38" customFormat="1" ht="10.7" hidden="1" customHeight="1" outlineLevel="1" x14ac:dyDescent="0.25">
      <c r="A191" s="124"/>
      <c r="B191" s="142"/>
      <c r="C191" s="115"/>
      <c r="D191" s="115"/>
      <c r="E191" s="115"/>
      <c r="F191" s="115"/>
      <c r="G191" s="60" t="s">
        <v>128</v>
      </c>
      <c r="H191" s="124"/>
      <c r="I191" s="124"/>
      <c r="J191" s="60"/>
      <c r="K191" s="60"/>
      <c r="L191" s="60"/>
      <c r="M191" s="60"/>
      <c r="N191" s="60">
        <f t="shared" si="53"/>
        <v>0</v>
      </c>
      <c r="O191" s="60">
        <f t="shared" si="54"/>
        <v>0</v>
      </c>
    </row>
    <row r="192" spans="1:15" s="38" customFormat="1" ht="10.7" hidden="1" customHeight="1" outlineLevel="1" x14ac:dyDescent="0.25">
      <c r="A192" s="124"/>
      <c r="B192" s="142"/>
      <c r="C192" s="115"/>
      <c r="D192" s="115"/>
      <c r="E192" s="115"/>
      <c r="F192" s="115"/>
      <c r="G192" s="60" t="s">
        <v>129</v>
      </c>
      <c r="H192" s="124"/>
      <c r="I192" s="124"/>
      <c r="J192" s="60"/>
      <c r="K192" s="60"/>
      <c r="L192" s="60"/>
      <c r="M192" s="60"/>
      <c r="N192" s="60">
        <f t="shared" si="53"/>
        <v>0</v>
      </c>
      <c r="O192" s="60">
        <f t="shared" si="54"/>
        <v>0</v>
      </c>
    </row>
    <row r="193" spans="1:15" s="38" customFormat="1" ht="10.7" hidden="1" customHeight="1" outlineLevel="1" x14ac:dyDescent="0.25">
      <c r="A193" s="124"/>
      <c r="B193" s="142"/>
      <c r="C193" s="115"/>
      <c r="D193" s="115"/>
      <c r="E193" s="115"/>
      <c r="F193" s="115"/>
      <c r="G193" s="60" t="s">
        <v>130</v>
      </c>
      <c r="H193" s="124"/>
      <c r="I193" s="124"/>
      <c r="J193" s="60"/>
      <c r="K193" s="60"/>
      <c r="L193" s="60"/>
      <c r="M193" s="60"/>
      <c r="N193" s="60">
        <f t="shared" si="53"/>
        <v>0</v>
      </c>
      <c r="O193" s="60">
        <f t="shared" si="54"/>
        <v>0</v>
      </c>
    </row>
    <row r="194" spans="1:15" s="38" customFormat="1" ht="12" hidden="1" customHeight="1" outlineLevel="1" thickBot="1" x14ac:dyDescent="0.3">
      <c r="A194" s="125"/>
      <c r="B194" s="143"/>
      <c r="C194" s="131"/>
      <c r="D194" s="131"/>
      <c r="E194" s="131"/>
      <c r="F194" s="131"/>
      <c r="G194" s="60" t="s">
        <v>131</v>
      </c>
      <c r="H194" s="134"/>
      <c r="I194" s="134"/>
      <c r="J194" s="60"/>
      <c r="K194" s="60"/>
      <c r="L194" s="60"/>
      <c r="M194" s="60"/>
      <c r="N194" s="60">
        <f t="shared" si="53"/>
        <v>0</v>
      </c>
      <c r="O194" s="60">
        <f t="shared" si="54"/>
        <v>0</v>
      </c>
    </row>
    <row r="195" spans="1:15" s="38" customFormat="1" ht="14.45" hidden="1" customHeight="1" outlineLevel="1" x14ac:dyDescent="0.25">
      <c r="A195" s="140" t="s">
        <v>167</v>
      </c>
      <c r="B195" s="141" t="s">
        <v>168</v>
      </c>
      <c r="C195" s="130">
        <f>SUM(N195:N201)</f>
        <v>0</v>
      </c>
      <c r="D195" s="130">
        <f>SUM(O195:O201)</f>
        <v>0</v>
      </c>
      <c r="E195" s="130">
        <f t="shared" si="52"/>
        <v>0</v>
      </c>
      <c r="F195" s="130"/>
      <c r="G195" s="60" t="s">
        <v>125</v>
      </c>
      <c r="H195" s="123"/>
      <c r="I195" s="123"/>
      <c r="J195" s="60"/>
      <c r="K195" s="60"/>
      <c r="L195" s="60"/>
      <c r="M195" s="60"/>
      <c r="N195" s="60">
        <f>M195*J195*K195*L195</f>
        <v>0</v>
      </c>
      <c r="O195" s="60">
        <f t="shared" si="54"/>
        <v>0</v>
      </c>
    </row>
    <row r="196" spans="1:15" s="38" customFormat="1" ht="11.45" hidden="1" customHeight="1" outlineLevel="1" x14ac:dyDescent="0.25">
      <c r="A196" s="124"/>
      <c r="B196" s="142"/>
      <c r="C196" s="115"/>
      <c r="D196" s="115"/>
      <c r="E196" s="115"/>
      <c r="F196" s="115"/>
      <c r="G196" s="60" t="s">
        <v>126</v>
      </c>
      <c r="H196" s="124"/>
      <c r="I196" s="124"/>
      <c r="J196" s="60"/>
      <c r="K196" s="60"/>
      <c r="L196" s="60"/>
      <c r="M196" s="60"/>
      <c r="N196" s="60">
        <f t="shared" ref="N196:N201" si="55">M196*J196*K196*L196</f>
        <v>0</v>
      </c>
      <c r="O196" s="60">
        <f t="shared" si="54"/>
        <v>0</v>
      </c>
    </row>
    <row r="197" spans="1:15" s="38" customFormat="1" ht="10.7" hidden="1" customHeight="1" outlineLevel="1" x14ac:dyDescent="0.25">
      <c r="A197" s="124"/>
      <c r="B197" s="142"/>
      <c r="C197" s="115"/>
      <c r="D197" s="115"/>
      <c r="E197" s="115"/>
      <c r="F197" s="115"/>
      <c r="G197" s="60" t="s">
        <v>127</v>
      </c>
      <c r="H197" s="124"/>
      <c r="I197" s="124"/>
      <c r="J197" s="60"/>
      <c r="K197" s="60"/>
      <c r="L197" s="60"/>
      <c r="M197" s="60"/>
      <c r="N197" s="60">
        <f t="shared" si="55"/>
        <v>0</v>
      </c>
      <c r="O197" s="60">
        <f t="shared" si="54"/>
        <v>0</v>
      </c>
    </row>
    <row r="198" spans="1:15" s="38" customFormat="1" ht="10.7" hidden="1" customHeight="1" outlineLevel="1" x14ac:dyDescent="0.25">
      <c r="A198" s="124"/>
      <c r="B198" s="142"/>
      <c r="C198" s="115"/>
      <c r="D198" s="115"/>
      <c r="E198" s="115"/>
      <c r="F198" s="115"/>
      <c r="G198" s="60" t="s">
        <v>128</v>
      </c>
      <c r="H198" s="124"/>
      <c r="I198" s="124"/>
      <c r="J198" s="60"/>
      <c r="K198" s="60"/>
      <c r="L198" s="60"/>
      <c r="M198" s="60"/>
      <c r="N198" s="60">
        <f t="shared" si="55"/>
        <v>0</v>
      </c>
      <c r="O198" s="60">
        <f t="shared" si="54"/>
        <v>0</v>
      </c>
    </row>
    <row r="199" spans="1:15" s="38" customFormat="1" ht="10.7" hidden="1" customHeight="1" outlineLevel="1" x14ac:dyDescent="0.25">
      <c r="A199" s="124"/>
      <c r="B199" s="142"/>
      <c r="C199" s="115"/>
      <c r="D199" s="115"/>
      <c r="E199" s="115"/>
      <c r="F199" s="115"/>
      <c r="G199" s="60" t="s">
        <v>129</v>
      </c>
      <c r="H199" s="124"/>
      <c r="I199" s="124"/>
      <c r="J199" s="60"/>
      <c r="K199" s="60"/>
      <c r="L199" s="60"/>
      <c r="M199" s="60"/>
      <c r="N199" s="60">
        <f t="shared" si="55"/>
        <v>0</v>
      </c>
      <c r="O199" s="60">
        <f t="shared" si="54"/>
        <v>0</v>
      </c>
    </row>
    <row r="200" spans="1:15" s="38" customFormat="1" ht="10.7" hidden="1" customHeight="1" outlineLevel="1" x14ac:dyDescent="0.25">
      <c r="A200" s="124"/>
      <c r="B200" s="142"/>
      <c r="C200" s="115"/>
      <c r="D200" s="115"/>
      <c r="E200" s="115"/>
      <c r="F200" s="115"/>
      <c r="G200" s="60" t="s">
        <v>130</v>
      </c>
      <c r="H200" s="124"/>
      <c r="I200" s="124"/>
      <c r="J200" s="60"/>
      <c r="K200" s="60"/>
      <c r="L200" s="60"/>
      <c r="M200" s="60"/>
      <c r="N200" s="60">
        <f t="shared" si="55"/>
        <v>0</v>
      </c>
      <c r="O200" s="60">
        <f t="shared" si="54"/>
        <v>0</v>
      </c>
    </row>
    <row r="201" spans="1:15" s="38" customFormat="1" ht="12" hidden="1" customHeight="1" outlineLevel="1" thickBot="1" x14ac:dyDescent="0.3">
      <c r="A201" s="125"/>
      <c r="B201" s="143"/>
      <c r="C201" s="131"/>
      <c r="D201" s="131"/>
      <c r="E201" s="131"/>
      <c r="F201" s="131"/>
      <c r="G201" s="60" t="s">
        <v>131</v>
      </c>
      <c r="H201" s="134"/>
      <c r="I201" s="134"/>
      <c r="J201" s="60"/>
      <c r="K201" s="60"/>
      <c r="L201" s="60"/>
      <c r="M201" s="60"/>
      <c r="N201" s="60">
        <f t="shared" si="55"/>
        <v>0</v>
      </c>
      <c r="O201" s="60">
        <f t="shared" si="54"/>
        <v>0</v>
      </c>
    </row>
    <row r="202" spans="1:15" s="39" customFormat="1" ht="16.5" collapsed="1" thickBot="1" x14ac:dyDescent="0.3">
      <c r="A202" s="40" t="s">
        <v>40</v>
      </c>
      <c r="B202" s="41" t="s">
        <v>176</v>
      </c>
      <c r="C202" s="42">
        <f>SUM(C203:C216)</f>
        <v>0</v>
      </c>
      <c r="D202" s="42">
        <f>SUM(D203:D216)</f>
        <v>0</v>
      </c>
      <c r="E202" s="42">
        <f>SUM(E203:E216)</f>
        <v>0</v>
      </c>
      <c r="F202" s="57"/>
      <c r="G202" s="57"/>
      <c r="H202" s="57"/>
      <c r="I202" s="57"/>
      <c r="J202" s="57"/>
      <c r="K202" s="57"/>
      <c r="L202" s="57"/>
      <c r="M202" s="57"/>
      <c r="N202" s="57"/>
      <c r="O202" s="43"/>
    </row>
    <row r="203" spans="1:15" s="38" customFormat="1" ht="14.45" hidden="1" customHeight="1" outlineLevel="1" x14ac:dyDescent="0.25">
      <c r="A203" s="140" t="s">
        <v>172</v>
      </c>
      <c r="B203" s="141" t="s">
        <v>378</v>
      </c>
      <c r="C203" s="130">
        <f>SUM(N203:N209)</f>
        <v>0</v>
      </c>
      <c r="D203" s="130">
        <f>SUM(O203:O209)</f>
        <v>0</v>
      </c>
      <c r="E203" s="130">
        <f t="shared" ref="E203:E210" si="56">D203/8</f>
        <v>0</v>
      </c>
      <c r="F203" s="130"/>
      <c r="G203" s="60" t="s">
        <v>125</v>
      </c>
      <c r="H203" s="123"/>
      <c r="I203" s="123"/>
      <c r="J203" s="60"/>
      <c r="K203" s="60"/>
      <c r="L203" s="60"/>
      <c r="M203" s="60"/>
      <c r="N203" s="60">
        <f>M203*J203*K203*L203</f>
        <v>0</v>
      </c>
      <c r="O203" s="60">
        <f>J203*K203*L203</f>
        <v>0</v>
      </c>
    </row>
    <row r="204" spans="1:15" s="38" customFormat="1" ht="11.45" hidden="1" customHeight="1" outlineLevel="1" x14ac:dyDescent="0.25">
      <c r="A204" s="124"/>
      <c r="B204" s="142"/>
      <c r="C204" s="115"/>
      <c r="D204" s="115"/>
      <c r="E204" s="115"/>
      <c r="F204" s="115"/>
      <c r="G204" s="60" t="s">
        <v>126</v>
      </c>
      <c r="H204" s="124"/>
      <c r="I204" s="124"/>
      <c r="J204" s="60"/>
      <c r="K204" s="60"/>
      <c r="L204" s="60"/>
      <c r="M204" s="60"/>
      <c r="N204" s="60">
        <f t="shared" ref="N204:N209" si="57">M204*J204*K204*L204</f>
        <v>0</v>
      </c>
      <c r="O204" s="60">
        <f t="shared" ref="O204:O216" si="58">J204*K204*L204</f>
        <v>0</v>
      </c>
    </row>
    <row r="205" spans="1:15" s="38" customFormat="1" ht="10.7" hidden="1" customHeight="1" outlineLevel="1" x14ac:dyDescent="0.25">
      <c r="A205" s="124"/>
      <c r="B205" s="142"/>
      <c r="C205" s="115"/>
      <c r="D205" s="115"/>
      <c r="E205" s="115"/>
      <c r="F205" s="115"/>
      <c r="G205" s="60" t="s">
        <v>127</v>
      </c>
      <c r="H205" s="124"/>
      <c r="I205" s="124"/>
      <c r="J205" s="60"/>
      <c r="K205" s="60"/>
      <c r="L205" s="60"/>
      <c r="M205" s="60"/>
      <c r="N205" s="60">
        <f t="shared" si="57"/>
        <v>0</v>
      </c>
      <c r="O205" s="60">
        <f t="shared" si="58"/>
        <v>0</v>
      </c>
    </row>
    <row r="206" spans="1:15" s="38" customFormat="1" ht="10.7" hidden="1" customHeight="1" outlineLevel="1" x14ac:dyDescent="0.25">
      <c r="A206" s="124"/>
      <c r="B206" s="142"/>
      <c r="C206" s="115"/>
      <c r="D206" s="115"/>
      <c r="E206" s="115"/>
      <c r="F206" s="115"/>
      <c r="G206" s="60" t="s">
        <v>128</v>
      </c>
      <c r="H206" s="124"/>
      <c r="I206" s="124"/>
      <c r="J206" s="60"/>
      <c r="K206" s="60"/>
      <c r="L206" s="60"/>
      <c r="M206" s="60"/>
      <c r="N206" s="60">
        <f t="shared" si="57"/>
        <v>0</v>
      </c>
      <c r="O206" s="60">
        <f t="shared" si="58"/>
        <v>0</v>
      </c>
    </row>
    <row r="207" spans="1:15" s="38" customFormat="1" ht="10.7" hidden="1" customHeight="1" outlineLevel="1" x14ac:dyDescent="0.25">
      <c r="A207" s="124"/>
      <c r="B207" s="142"/>
      <c r="C207" s="115"/>
      <c r="D207" s="115"/>
      <c r="E207" s="115"/>
      <c r="F207" s="115"/>
      <c r="G207" s="60" t="s">
        <v>129</v>
      </c>
      <c r="H207" s="124"/>
      <c r="I207" s="124"/>
      <c r="J207" s="60"/>
      <c r="K207" s="60"/>
      <c r="L207" s="60"/>
      <c r="M207" s="60"/>
      <c r="N207" s="60">
        <f t="shared" si="57"/>
        <v>0</v>
      </c>
      <c r="O207" s="60">
        <f t="shared" si="58"/>
        <v>0</v>
      </c>
    </row>
    <row r="208" spans="1:15" s="38" customFormat="1" ht="10.7" hidden="1" customHeight="1" outlineLevel="1" x14ac:dyDescent="0.25">
      <c r="A208" s="124"/>
      <c r="B208" s="142"/>
      <c r="C208" s="115"/>
      <c r="D208" s="115"/>
      <c r="E208" s="115"/>
      <c r="F208" s="115"/>
      <c r="G208" s="60" t="s">
        <v>130</v>
      </c>
      <c r="H208" s="124"/>
      <c r="I208" s="124"/>
      <c r="J208" s="60"/>
      <c r="K208" s="60"/>
      <c r="L208" s="60"/>
      <c r="M208" s="60"/>
      <c r="N208" s="60">
        <f t="shared" si="57"/>
        <v>0</v>
      </c>
      <c r="O208" s="60">
        <f t="shared" si="58"/>
        <v>0</v>
      </c>
    </row>
    <row r="209" spans="1:15" s="38" customFormat="1" ht="12" hidden="1" customHeight="1" outlineLevel="1" thickBot="1" x14ac:dyDescent="0.3">
      <c r="A209" s="125"/>
      <c r="B209" s="143"/>
      <c r="C209" s="131"/>
      <c r="D209" s="131"/>
      <c r="E209" s="131"/>
      <c r="F209" s="131"/>
      <c r="G209" s="60" t="s">
        <v>131</v>
      </c>
      <c r="H209" s="134"/>
      <c r="I209" s="134"/>
      <c r="J209" s="60"/>
      <c r="K209" s="60"/>
      <c r="L209" s="60"/>
      <c r="M209" s="60"/>
      <c r="N209" s="60">
        <f t="shared" si="57"/>
        <v>0</v>
      </c>
      <c r="O209" s="60">
        <f t="shared" si="58"/>
        <v>0</v>
      </c>
    </row>
    <row r="210" spans="1:15" s="38" customFormat="1" ht="14.45" hidden="1" customHeight="1" outlineLevel="1" x14ac:dyDescent="0.25">
      <c r="A210" s="140" t="s">
        <v>174</v>
      </c>
      <c r="B210" s="141" t="s">
        <v>379</v>
      </c>
      <c r="C210" s="130">
        <f>SUM(N210:N216)</f>
        <v>0</v>
      </c>
      <c r="D210" s="130">
        <f>SUM(O210:O216)</f>
        <v>0</v>
      </c>
      <c r="E210" s="130">
        <f t="shared" si="56"/>
        <v>0</v>
      </c>
      <c r="F210" s="130"/>
      <c r="G210" s="60" t="s">
        <v>125</v>
      </c>
      <c r="H210" s="123"/>
      <c r="I210" s="123"/>
      <c r="J210" s="60"/>
      <c r="K210" s="60"/>
      <c r="L210" s="60"/>
      <c r="M210" s="60"/>
      <c r="N210" s="60">
        <f>M210*J210*K210*L210</f>
        <v>0</v>
      </c>
      <c r="O210" s="60">
        <f t="shared" si="58"/>
        <v>0</v>
      </c>
    </row>
    <row r="211" spans="1:15" s="38" customFormat="1" ht="11.45" hidden="1" customHeight="1" outlineLevel="1" x14ac:dyDescent="0.25">
      <c r="A211" s="124"/>
      <c r="B211" s="142"/>
      <c r="C211" s="115"/>
      <c r="D211" s="115"/>
      <c r="E211" s="115"/>
      <c r="F211" s="115"/>
      <c r="G211" s="60" t="s">
        <v>126</v>
      </c>
      <c r="H211" s="124"/>
      <c r="I211" s="124"/>
      <c r="J211" s="60"/>
      <c r="K211" s="60"/>
      <c r="L211" s="60"/>
      <c r="M211" s="60"/>
      <c r="N211" s="60">
        <f t="shared" ref="N211:N216" si="59">M211*J211*K211*L211</f>
        <v>0</v>
      </c>
      <c r="O211" s="60">
        <f t="shared" si="58"/>
        <v>0</v>
      </c>
    </row>
    <row r="212" spans="1:15" s="38" customFormat="1" ht="10.7" hidden="1" customHeight="1" outlineLevel="1" x14ac:dyDescent="0.25">
      <c r="A212" s="124"/>
      <c r="B212" s="142"/>
      <c r="C212" s="115"/>
      <c r="D212" s="115"/>
      <c r="E212" s="115"/>
      <c r="F212" s="115"/>
      <c r="G212" s="60" t="s">
        <v>127</v>
      </c>
      <c r="H212" s="124"/>
      <c r="I212" s="124"/>
      <c r="J212" s="60"/>
      <c r="K212" s="60"/>
      <c r="L212" s="60"/>
      <c r="M212" s="60"/>
      <c r="N212" s="60">
        <f t="shared" si="59"/>
        <v>0</v>
      </c>
      <c r="O212" s="60">
        <f t="shared" si="58"/>
        <v>0</v>
      </c>
    </row>
    <row r="213" spans="1:15" s="38" customFormat="1" ht="10.7" hidden="1" customHeight="1" outlineLevel="1" x14ac:dyDescent="0.25">
      <c r="A213" s="124"/>
      <c r="B213" s="142"/>
      <c r="C213" s="115"/>
      <c r="D213" s="115"/>
      <c r="E213" s="115"/>
      <c r="F213" s="115"/>
      <c r="G213" s="60" t="s">
        <v>128</v>
      </c>
      <c r="H213" s="124"/>
      <c r="I213" s="124"/>
      <c r="J213" s="60"/>
      <c r="K213" s="60"/>
      <c r="L213" s="60"/>
      <c r="M213" s="60"/>
      <c r="N213" s="60">
        <f t="shared" si="59"/>
        <v>0</v>
      </c>
      <c r="O213" s="60">
        <f t="shared" si="58"/>
        <v>0</v>
      </c>
    </row>
    <row r="214" spans="1:15" s="38" customFormat="1" ht="10.7" hidden="1" customHeight="1" outlineLevel="1" x14ac:dyDescent="0.25">
      <c r="A214" s="124"/>
      <c r="B214" s="142"/>
      <c r="C214" s="115"/>
      <c r="D214" s="115"/>
      <c r="E214" s="115"/>
      <c r="F214" s="115"/>
      <c r="G214" s="60" t="s">
        <v>129</v>
      </c>
      <c r="H214" s="124"/>
      <c r="I214" s="124"/>
      <c r="J214" s="60"/>
      <c r="K214" s="60"/>
      <c r="L214" s="60"/>
      <c r="M214" s="60"/>
      <c r="N214" s="60">
        <f t="shared" si="59"/>
        <v>0</v>
      </c>
      <c r="O214" s="60">
        <f t="shared" si="58"/>
        <v>0</v>
      </c>
    </row>
    <row r="215" spans="1:15" s="38" customFormat="1" ht="10.7" hidden="1" customHeight="1" outlineLevel="1" x14ac:dyDescent="0.25">
      <c r="A215" s="124"/>
      <c r="B215" s="142"/>
      <c r="C215" s="115"/>
      <c r="D215" s="115"/>
      <c r="E215" s="115"/>
      <c r="F215" s="115"/>
      <c r="G215" s="60" t="s">
        <v>130</v>
      </c>
      <c r="H215" s="124"/>
      <c r="I215" s="124"/>
      <c r="J215" s="60"/>
      <c r="K215" s="60"/>
      <c r="L215" s="60"/>
      <c r="M215" s="60"/>
      <c r="N215" s="60">
        <f t="shared" si="59"/>
        <v>0</v>
      </c>
      <c r="O215" s="60">
        <f t="shared" si="58"/>
        <v>0</v>
      </c>
    </row>
    <row r="216" spans="1:15" s="38" customFormat="1" ht="12" hidden="1" customHeight="1" outlineLevel="1" thickBot="1" x14ac:dyDescent="0.3">
      <c r="A216" s="125"/>
      <c r="B216" s="143"/>
      <c r="C216" s="131"/>
      <c r="D216" s="131"/>
      <c r="E216" s="131"/>
      <c r="F216" s="131"/>
      <c r="G216" s="60" t="s">
        <v>131</v>
      </c>
      <c r="H216" s="134"/>
      <c r="I216" s="134"/>
      <c r="J216" s="60"/>
      <c r="K216" s="60"/>
      <c r="L216" s="60"/>
      <c r="M216" s="60"/>
      <c r="N216" s="60">
        <f t="shared" si="59"/>
        <v>0</v>
      </c>
      <c r="O216" s="60">
        <f t="shared" si="58"/>
        <v>0</v>
      </c>
    </row>
    <row r="217" spans="1:15" s="39" customFormat="1" ht="16.5" collapsed="1" thickBot="1" x14ac:dyDescent="0.3">
      <c r="A217" s="40" t="s">
        <v>42</v>
      </c>
      <c r="B217" s="41" t="s">
        <v>253</v>
      </c>
      <c r="C217" s="42">
        <f>SUM(C218:C231)</f>
        <v>0</v>
      </c>
      <c r="D217" s="42">
        <f>SUM(D218:D231)</f>
        <v>0</v>
      </c>
      <c r="E217" s="42">
        <f>SUM(E218:E231)</f>
        <v>0</v>
      </c>
      <c r="F217" s="57"/>
      <c r="G217" s="57"/>
      <c r="H217" s="57"/>
      <c r="I217" s="57"/>
      <c r="J217" s="57"/>
      <c r="K217" s="57"/>
      <c r="L217" s="57"/>
      <c r="M217" s="57"/>
      <c r="N217" s="57"/>
      <c r="O217" s="43"/>
    </row>
    <row r="218" spans="1:15" s="38" customFormat="1" ht="14.45" hidden="1" customHeight="1" outlineLevel="1" x14ac:dyDescent="0.25">
      <c r="A218" s="140" t="s">
        <v>177</v>
      </c>
      <c r="B218" s="141" t="s">
        <v>254</v>
      </c>
      <c r="C218" s="130">
        <f>SUM(N218:N224)</f>
        <v>0</v>
      </c>
      <c r="D218" s="130">
        <f>SUM(O218:O224)</f>
        <v>0</v>
      </c>
      <c r="E218" s="130">
        <f t="shared" ref="E218:E225" si="60">D218/8</f>
        <v>0</v>
      </c>
      <c r="F218" s="130"/>
      <c r="G218" s="60" t="s">
        <v>125</v>
      </c>
      <c r="H218" s="123"/>
      <c r="I218" s="123"/>
      <c r="J218" s="60"/>
      <c r="K218" s="60"/>
      <c r="L218" s="60"/>
      <c r="M218" s="60"/>
      <c r="N218" s="60">
        <f>M218*J218*K218*L218</f>
        <v>0</v>
      </c>
      <c r="O218" s="60">
        <f>J218*K218*L218</f>
        <v>0</v>
      </c>
    </row>
    <row r="219" spans="1:15" s="38" customFormat="1" ht="11.45" hidden="1" customHeight="1" outlineLevel="1" x14ac:dyDescent="0.25">
      <c r="A219" s="124"/>
      <c r="B219" s="142"/>
      <c r="C219" s="115"/>
      <c r="D219" s="115"/>
      <c r="E219" s="115"/>
      <c r="F219" s="115"/>
      <c r="G219" s="60" t="s">
        <v>126</v>
      </c>
      <c r="H219" s="124"/>
      <c r="I219" s="124"/>
      <c r="J219" s="60"/>
      <c r="K219" s="60"/>
      <c r="L219" s="60"/>
      <c r="M219" s="60"/>
      <c r="N219" s="60">
        <f t="shared" ref="N219:N224" si="61">M219*J219*K219*L219</f>
        <v>0</v>
      </c>
      <c r="O219" s="60">
        <f t="shared" ref="O219:O224" si="62">J219*K219*L219</f>
        <v>0</v>
      </c>
    </row>
    <row r="220" spans="1:15" s="38" customFormat="1" ht="10.7" hidden="1" customHeight="1" outlineLevel="1" x14ac:dyDescent="0.25">
      <c r="A220" s="124"/>
      <c r="B220" s="142"/>
      <c r="C220" s="115"/>
      <c r="D220" s="115"/>
      <c r="E220" s="115"/>
      <c r="F220" s="115"/>
      <c r="G220" s="60" t="s">
        <v>127</v>
      </c>
      <c r="H220" s="124"/>
      <c r="I220" s="124"/>
      <c r="J220" s="60"/>
      <c r="K220" s="60"/>
      <c r="L220" s="60"/>
      <c r="M220" s="60"/>
      <c r="N220" s="60">
        <f t="shared" si="61"/>
        <v>0</v>
      </c>
      <c r="O220" s="60">
        <f t="shared" si="62"/>
        <v>0</v>
      </c>
    </row>
    <row r="221" spans="1:15" s="38" customFormat="1" ht="10.7" hidden="1" customHeight="1" outlineLevel="1" x14ac:dyDescent="0.25">
      <c r="A221" s="124"/>
      <c r="B221" s="142"/>
      <c r="C221" s="115"/>
      <c r="D221" s="115"/>
      <c r="E221" s="115"/>
      <c r="F221" s="115"/>
      <c r="G221" s="60" t="s">
        <v>128</v>
      </c>
      <c r="H221" s="124"/>
      <c r="I221" s="124"/>
      <c r="J221" s="60"/>
      <c r="K221" s="60"/>
      <c r="L221" s="60"/>
      <c r="M221" s="60"/>
      <c r="N221" s="60">
        <f t="shared" si="61"/>
        <v>0</v>
      </c>
      <c r="O221" s="60">
        <f t="shared" si="62"/>
        <v>0</v>
      </c>
    </row>
    <row r="222" spans="1:15" s="38" customFormat="1" ht="10.7" hidden="1" customHeight="1" outlineLevel="1" x14ac:dyDescent="0.25">
      <c r="A222" s="124"/>
      <c r="B222" s="142"/>
      <c r="C222" s="115"/>
      <c r="D222" s="115"/>
      <c r="E222" s="115"/>
      <c r="F222" s="115"/>
      <c r="G222" s="60" t="s">
        <v>129</v>
      </c>
      <c r="H222" s="124"/>
      <c r="I222" s="124"/>
      <c r="J222" s="60"/>
      <c r="K222" s="60"/>
      <c r="L222" s="60"/>
      <c r="M222" s="60"/>
      <c r="N222" s="60">
        <f t="shared" si="61"/>
        <v>0</v>
      </c>
      <c r="O222" s="60">
        <f t="shared" si="62"/>
        <v>0</v>
      </c>
    </row>
    <row r="223" spans="1:15" s="38" customFormat="1" ht="10.7" hidden="1" customHeight="1" outlineLevel="1" x14ac:dyDescent="0.25">
      <c r="A223" s="124"/>
      <c r="B223" s="142"/>
      <c r="C223" s="115"/>
      <c r="D223" s="115"/>
      <c r="E223" s="115"/>
      <c r="F223" s="115"/>
      <c r="G223" s="60" t="s">
        <v>130</v>
      </c>
      <c r="H223" s="124"/>
      <c r="I223" s="124"/>
      <c r="J223" s="60"/>
      <c r="K223" s="60"/>
      <c r="L223" s="60"/>
      <c r="M223" s="60"/>
      <c r="N223" s="60">
        <f t="shared" si="61"/>
        <v>0</v>
      </c>
      <c r="O223" s="60">
        <f t="shared" si="62"/>
        <v>0</v>
      </c>
    </row>
    <row r="224" spans="1:15" s="38" customFormat="1" ht="12" hidden="1" customHeight="1" outlineLevel="1" thickBot="1" x14ac:dyDescent="0.3">
      <c r="A224" s="125"/>
      <c r="B224" s="143"/>
      <c r="C224" s="131"/>
      <c r="D224" s="131"/>
      <c r="E224" s="131"/>
      <c r="F224" s="131"/>
      <c r="G224" s="60" t="s">
        <v>131</v>
      </c>
      <c r="H224" s="134"/>
      <c r="I224" s="134"/>
      <c r="J224" s="60"/>
      <c r="K224" s="60"/>
      <c r="L224" s="60"/>
      <c r="M224" s="60"/>
      <c r="N224" s="60">
        <f t="shared" si="61"/>
        <v>0</v>
      </c>
      <c r="O224" s="60">
        <f t="shared" si="62"/>
        <v>0</v>
      </c>
    </row>
    <row r="225" spans="1:15" s="38" customFormat="1" ht="14.45" hidden="1" customHeight="1" outlineLevel="1" x14ac:dyDescent="0.25">
      <c r="A225" s="140" t="s">
        <v>179</v>
      </c>
      <c r="B225" s="141" t="s">
        <v>380</v>
      </c>
      <c r="C225" s="130">
        <f>SUM(N225:N231)</f>
        <v>0</v>
      </c>
      <c r="D225" s="130">
        <f>SUM(O225:O231)</f>
        <v>0</v>
      </c>
      <c r="E225" s="130">
        <f t="shared" si="60"/>
        <v>0</v>
      </c>
      <c r="F225" s="130"/>
      <c r="G225" s="60" t="s">
        <v>125</v>
      </c>
      <c r="H225" s="123"/>
      <c r="I225" s="123"/>
      <c r="J225" s="60"/>
      <c r="K225" s="60"/>
      <c r="L225" s="60"/>
      <c r="M225" s="60"/>
      <c r="N225" s="60">
        <f>M225*J225*K225*L225</f>
        <v>0</v>
      </c>
      <c r="O225" s="60">
        <f>J225*K225*L225</f>
        <v>0</v>
      </c>
    </row>
    <row r="226" spans="1:15" s="38" customFormat="1" ht="11.45" hidden="1" customHeight="1" outlineLevel="1" x14ac:dyDescent="0.25">
      <c r="A226" s="124"/>
      <c r="B226" s="142"/>
      <c r="C226" s="115"/>
      <c r="D226" s="115"/>
      <c r="E226" s="115"/>
      <c r="F226" s="115"/>
      <c r="G226" s="60" t="s">
        <v>126</v>
      </c>
      <c r="H226" s="124"/>
      <c r="I226" s="124"/>
      <c r="J226" s="60"/>
      <c r="K226" s="60"/>
      <c r="L226" s="60"/>
      <c r="M226" s="60"/>
      <c r="N226" s="60">
        <f t="shared" ref="N226:N231" si="63">M226*J226*K226*L226</f>
        <v>0</v>
      </c>
      <c r="O226" s="60">
        <f t="shared" ref="O226:O231" si="64">J226*K226*L226</f>
        <v>0</v>
      </c>
    </row>
    <row r="227" spans="1:15" s="38" customFormat="1" ht="10.7" hidden="1" customHeight="1" outlineLevel="1" x14ac:dyDescent="0.25">
      <c r="A227" s="124"/>
      <c r="B227" s="142"/>
      <c r="C227" s="115"/>
      <c r="D227" s="115"/>
      <c r="E227" s="115"/>
      <c r="F227" s="115"/>
      <c r="G227" s="60" t="s">
        <v>127</v>
      </c>
      <c r="H227" s="124"/>
      <c r="I227" s="124"/>
      <c r="J227" s="60"/>
      <c r="K227" s="60"/>
      <c r="L227" s="60"/>
      <c r="M227" s="60"/>
      <c r="N227" s="60">
        <f t="shared" si="63"/>
        <v>0</v>
      </c>
      <c r="O227" s="60">
        <f t="shared" si="64"/>
        <v>0</v>
      </c>
    </row>
    <row r="228" spans="1:15" s="38" customFormat="1" ht="10.7" hidden="1" customHeight="1" outlineLevel="1" x14ac:dyDescent="0.25">
      <c r="A228" s="124"/>
      <c r="B228" s="142"/>
      <c r="C228" s="115"/>
      <c r="D228" s="115"/>
      <c r="E228" s="115"/>
      <c r="F228" s="115"/>
      <c r="G228" s="60" t="s">
        <v>128</v>
      </c>
      <c r="H228" s="124"/>
      <c r="I228" s="124"/>
      <c r="J228" s="60"/>
      <c r="K228" s="60"/>
      <c r="L228" s="60"/>
      <c r="M228" s="60"/>
      <c r="N228" s="60">
        <f t="shared" si="63"/>
        <v>0</v>
      </c>
      <c r="O228" s="60">
        <f t="shared" si="64"/>
        <v>0</v>
      </c>
    </row>
    <row r="229" spans="1:15" s="38" customFormat="1" ht="10.7" hidden="1" customHeight="1" outlineLevel="1" x14ac:dyDescent="0.25">
      <c r="A229" s="124"/>
      <c r="B229" s="142"/>
      <c r="C229" s="115"/>
      <c r="D229" s="115"/>
      <c r="E229" s="115"/>
      <c r="F229" s="115"/>
      <c r="G229" s="60" t="s">
        <v>129</v>
      </c>
      <c r="H229" s="124"/>
      <c r="I229" s="124"/>
      <c r="J229" s="60"/>
      <c r="K229" s="60"/>
      <c r="L229" s="60"/>
      <c r="M229" s="60"/>
      <c r="N229" s="60">
        <f t="shared" si="63"/>
        <v>0</v>
      </c>
      <c r="O229" s="60">
        <f t="shared" si="64"/>
        <v>0</v>
      </c>
    </row>
    <row r="230" spans="1:15" s="38" customFormat="1" ht="10.7" hidden="1" customHeight="1" outlineLevel="1" x14ac:dyDescent="0.25">
      <c r="A230" s="124"/>
      <c r="B230" s="142"/>
      <c r="C230" s="115"/>
      <c r="D230" s="115"/>
      <c r="E230" s="115"/>
      <c r="F230" s="115"/>
      <c r="G230" s="60" t="s">
        <v>130</v>
      </c>
      <c r="H230" s="124"/>
      <c r="I230" s="124"/>
      <c r="J230" s="60"/>
      <c r="K230" s="60"/>
      <c r="L230" s="60"/>
      <c r="M230" s="60"/>
      <c r="N230" s="60">
        <f t="shared" si="63"/>
        <v>0</v>
      </c>
      <c r="O230" s="60">
        <f t="shared" si="64"/>
        <v>0</v>
      </c>
    </row>
    <row r="231" spans="1:15" s="38" customFormat="1" ht="12" hidden="1" customHeight="1" outlineLevel="1" thickBot="1" x14ac:dyDescent="0.3">
      <c r="A231" s="125"/>
      <c r="B231" s="143"/>
      <c r="C231" s="131"/>
      <c r="D231" s="131"/>
      <c r="E231" s="131"/>
      <c r="F231" s="131"/>
      <c r="G231" s="60" t="s">
        <v>131</v>
      </c>
      <c r="H231" s="134"/>
      <c r="I231" s="134"/>
      <c r="J231" s="60"/>
      <c r="K231" s="60"/>
      <c r="L231" s="60"/>
      <c r="M231" s="60"/>
      <c r="N231" s="60">
        <f t="shared" si="63"/>
        <v>0</v>
      </c>
      <c r="O231" s="60">
        <f t="shared" si="64"/>
        <v>0</v>
      </c>
    </row>
    <row r="232" spans="1:15" s="39" customFormat="1" ht="16.5" collapsed="1" thickBot="1" x14ac:dyDescent="0.3">
      <c r="A232" s="40" t="s">
        <v>44</v>
      </c>
      <c r="B232" s="41" t="s">
        <v>262</v>
      </c>
      <c r="C232" s="42">
        <f>SUM(C233:C288)</f>
        <v>0</v>
      </c>
      <c r="D232" s="42">
        <f>SUM(D233:D288)</f>
        <v>0</v>
      </c>
      <c r="E232" s="42">
        <f>SUM(E233:E288)</f>
        <v>0</v>
      </c>
      <c r="F232" s="42"/>
      <c r="G232" s="42"/>
      <c r="H232" s="42"/>
      <c r="I232" s="42"/>
      <c r="J232" s="42"/>
      <c r="K232" s="42"/>
      <c r="L232" s="42"/>
      <c r="M232" s="42"/>
      <c r="N232" s="42"/>
      <c r="O232" s="47"/>
    </row>
    <row r="233" spans="1:15" s="38" customFormat="1" ht="14.45" hidden="1" customHeight="1" outlineLevel="1" x14ac:dyDescent="0.25">
      <c r="A233" s="140" t="s">
        <v>182</v>
      </c>
      <c r="B233" s="141" t="s">
        <v>381</v>
      </c>
      <c r="C233" s="130">
        <f>SUM(N233:N239)</f>
        <v>0</v>
      </c>
      <c r="D233" s="130">
        <f>SUM(O233:O239)</f>
        <v>0</v>
      </c>
      <c r="E233" s="130">
        <f t="shared" ref="E233:E254" si="65">D233/8</f>
        <v>0</v>
      </c>
      <c r="F233" s="130"/>
      <c r="G233" s="60" t="s">
        <v>125</v>
      </c>
      <c r="H233" s="123"/>
      <c r="I233" s="123"/>
      <c r="J233" s="60"/>
      <c r="K233" s="60"/>
      <c r="L233" s="60"/>
      <c r="M233" s="60"/>
      <c r="N233" s="60">
        <f>M233*J233*K233*L233</f>
        <v>0</v>
      </c>
      <c r="O233" s="60">
        <f>J233*K233*L233</f>
        <v>0</v>
      </c>
    </row>
    <row r="234" spans="1:15" s="38" customFormat="1" ht="11.45" hidden="1" customHeight="1" outlineLevel="1" x14ac:dyDescent="0.25">
      <c r="A234" s="124"/>
      <c r="B234" s="142"/>
      <c r="C234" s="115"/>
      <c r="D234" s="115"/>
      <c r="E234" s="115"/>
      <c r="F234" s="115"/>
      <c r="G234" s="60" t="s">
        <v>126</v>
      </c>
      <c r="H234" s="124"/>
      <c r="I234" s="124"/>
      <c r="J234" s="60"/>
      <c r="K234" s="60"/>
      <c r="L234" s="60"/>
      <c r="M234" s="60"/>
      <c r="N234" s="60">
        <f t="shared" ref="N234:N239" si="66">M234*J234*K234*L234</f>
        <v>0</v>
      </c>
      <c r="O234" s="60">
        <f t="shared" ref="O234:O239" si="67">J234*K234*L234</f>
        <v>0</v>
      </c>
    </row>
    <row r="235" spans="1:15" s="38" customFormat="1" ht="10.7" hidden="1" customHeight="1" outlineLevel="1" x14ac:dyDescent="0.25">
      <c r="A235" s="124"/>
      <c r="B235" s="142"/>
      <c r="C235" s="115"/>
      <c r="D235" s="115"/>
      <c r="E235" s="115"/>
      <c r="F235" s="115"/>
      <c r="G235" s="60" t="s">
        <v>127</v>
      </c>
      <c r="H235" s="124"/>
      <c r="I235" s="124"/>
      <c r="J235" s="60"/>
      <c r="K235" s="60"/>
      <c r="L235" s="60"/>
      <c r="M235" s="60"/>
      <c r="N235" s="60">
        <f t="shared" si="66"/>
        <v>0</v>
      </c>
      <c r="O235" s="60">
        <f t="shared" si="67"/>
        <v>0</v>
      </c>
    </row>
    <row r="236" spans="1:15" s="38" customFormat="1" ht="10.7" hidden="1" customHeight="1" outlineLevel="1" x14ac:dyDescent="0.25">
      <c r="A236" s="124"/>
      <c r="B236" s="142"/>
      <c r="C236" s="115"/>
      <c r="D236" s="115"/>
      <c r="E236" s="115"/>
      <c r="F236" s="115"/>
      <c r="G236" s="60" t="s">
        <v>128</v>
      </c>
      <c r="H236" s="124"/>
      <c r="I236" s="124"/>
      <c r="J236" s="60"/>
      <c r="K236" s="60"/>
      <c r="L236" s="60"/>
      <c r="M236" s="60"/>
      <c r="N236" s="60">
        <f t="shared" si="66"/>
        <v>0</v>
      </c>
      <c r="O236" s="60">
        <f t="shared" si="67"/>
        <v>0</v>
      </c>
    </row>
    <row r="237" spans="1:15" s="38" customFormat="1" ht="10.7" hidden="1" customHeight="1" outlineLevel="1" x14ac:dyDescent="0.25">
      <c r="A237" s="124"/>
      <c r="B237" s="142"/>
      <c r="C237" s="115"/>
      <c r="D237" s="115"/>
      <c r="E237" s="115"/>
      <c r="F237" s="115"/>
      <c r="G237" s="60" t="s">
        <v>129</v>
      </c>
      <c r="H237" s="124"/>
      <c r="I237" s="124"/>
      <c r="J237" s="60"/>
      <c r="K237" s="60"/>
      <c r="L237" s="60"/>
      <c r="M237" s="60"/>
      <c r="N237" s="60">
        <f t="shared" si="66"/>
        <v>0</v>
      </c>
      <c r="O237" s="60">
        <f t="shared" si="67"/>
        <v>0</v>
      </c>
    </row>
    <row r="238" spans="1:15" s="38" customFormat="1" ht="10.7" hidden="1" customHeight="1" outlineLevel="1" x14ac:dyDescent="0.25">
      <c r="A238" s="124"/>
      <c r="B238" s="142"/>
      <c r="C238" s="115"/>
      <c r="D238" s="115"/>
      <c r="E238" s="115"/>
      <c r="F238" s="115"/>
      <c r="G238" s="60" t="s">
        <v>130</v>
      </c>
      <c r="H238" s="124"/>
      <c r="I238" s="124"/>
      <c r="J238" s="60"/>
      <c r="K238" s="60"/>
      <c r="L238" s="60"/>
      <c r="M238" s="60"/>
      <c r="N238" s="60">
        <f t="shared" si="66"/>
        <v>0</v>
      </c>
      <c r="O238" s="60">
        <f t="shared" si="67"/>
        <v>0</v>
      </c>
    </row>
    <row r="239" spans="1:15" s="38" customFormat="1" ht="12" hidden="1" customHeight="1" outlineLevel="1" thickBot="1" x14ac:dyDescent="0.3">
      <c r="A239" s="125"/>
      <c r="B239" s="143"/>
      <c r="C239" s="131"/>
      <c r="D239" s="131"/>
      <c r="E239" s="131"/>
      <c r="F239" s="131"/>
      <c r="G239" s="60" t="s">
        <v>131</v>
      </c>
      <c r="H239" s="134"/>
      <c r="I239" s="134"/>
      <c r="J239" s="60"/>
      <c r="K239" s="60"/>
      <c r="L239" s="60"/>
      <c r="M239" s="60"/>
      <c r="N239" s="60">
        <f t="shared" si="66"/>
        <v>0</v>
      </c>
      <c r="O239" s="60">
        <f t="shared" si="67"/>
        <v>0</v>
      </c>
    </row>
    <row r="240" spans="1:15" s="38" customFormat="1" ht="14.45" hidden="1" customHeight="1" outlineLevel="1" x14ac:dyDescent="0.25">
      <c r="A240" s="140" t="s">
        <v>184</v>
      </c>
      <c r="B240" s="141" t="s">
        <v>382</v>
      </c>
      <c r="C240" s="130">
        <f>SUM(N240:N246)</f>
        <v>0</v>
      </c>
      <c r="D240" s="130">
        <f>SUM(O240:O246)</f>
        <v>0</v>
      </c>
      <c r="E240" s="130">
        <f t="shared" si="65"/>
        <v>0</v>
      </c>
      <c r="F240" s="130"/>
      <c r="G240" s="60" t="s">
        <v>125</v>
      </c>
      <c r="H240" s="123"/>
      <c r="I240" s="123"/>
      <c r="J240" s="60"/>
      <c r="K240" s="60"/>
      <c r="L240" s="60"/>
      <c r="M240" s="60"/>
      <c r="N240" s="60">
        <f>M240*J240*K240*L240</f>
        <v>0</v>
      </c>
      <c r="O240" s="60">
        <f>J240*K240*L240</f>
        <v>0</v>
      </c>
    </row>
    <row r="241" spans="1:15" s="38" customFormat="1" ht="11.45" hidden="1" customHeight="1" outlineLevel="1" x14ac:dyDescent="0.25">
      <c r="A241" s="124"/>
      <c r="B241" s="142"/>
      <c r="C241" s="115"/>
      <c r="D241" s="115"/>
      <c r="E241" s="115"/>
      <c r="F241" s="115"/>
      <c r="G241" s="60" t="s">
        <v>126</v>
      </c>
      <c r="H241" s="124"/>
      <c r="I241" s="124"/>
      <c r="J241" s="60"/>
      <c r="K241" s="60"/>
      <c r="L241" s="60"/>
      <c r="M241" s="60"/>
      <c r="N241" s="60">
        <f t="shared" ref="N241:N246" si="68">M241*J241*K241*L241</f>
        <v>0</v>
      </c>
      <c r="O241" s="60">
        <f t="shared" ref="O241:O246" si="69">J241*K241*L241</f>
        <v>0</v>
      </c>
    </row>
    <row r="242" spans="1:15" s="38" customFormat="1" ht="10.7" hidden="1" customHeight="1" outlineLevel="1" x14ac:dyDescent="0.25">
      <c r="A242" s="124"/>
      <c r="B242" s="142"/>
      <c r="C242" s="115"/>
      <c r="D242" s="115"/>
      <c r="E242" s="115"/>
      <c r="F242" s="115"/>
      <c r="G242" s="60" t="s">
        <v>127</v>
      </c>
      <c r="H242" s="124"/>
      <c r="I242" s="124"/>
      <c r="J242" s="60"/>
      <c r="K242" s="60"/>
      <c r="L242" s="60"/>
      <c r="M242" s="60"/>
      <c r="N242" s="60">
        <f t="shared" si="68"/>
        <v>0</v>
      </c>
      <c r="O242" s="60">
        <f t="shared" si="69"/>
        <v>0</v>
      </c>
    </row>
    <row r="243" spans="1:15" s="38" customFormat="1" ht="10.7" hidden="1" customHeight="1" outlineLevel="1" x14ac:dyDescent="0.25">
      <c r="A243" s="124"/>
      <c r="B243" s="142"/>
      <c r="C243" s="115"/>
      <c r="D243" s="115"/>
      <c r="E243" s="115"/>
      <c r="F243" s="115"/>
      <c r="G243" s="60" t="s">
        <v>128</v>
      </c>
      <c r="H243" s="124"/>
      <c r="I243" s="124"/>
      <c r="J243" s="60"/>
      <c r="K243" s="60"/>
      <c r="L243" s="60"/>
      <c r="M243" s="60"/>
      <c r="N243" s="60">
        <f t="shared" si="68"/>
        <v>0</v>
      </c>
      <c r="O243" s="60">
        <f t="shared" si="69"/>
        <v>0</v>
      </c>
    </row>
    <row r="244" spans="1:15" s="38" customFormat="1" ht="10.7" hidden="1" customHeight="1" outlineLevel="1" x14ac:dyDescent="0.25">
      <c r="A244" s="124"/>
      <c r="B244" s="142"/>
      <c r="C244" s="115"/>
      <c r="D244" s="115"/>
      <c r="E244" s="115"/>
      <c r="F244" s="115"/>
      <c r="G244" s="60" t="s">
        <v>129</v>
      </c>
      <c r="H244" s="124"/>
      <c r="I244" s="124"/>
      <c r="J244" s="60"/>
      <c r="K244" s="60"/>
      <c r="L244" s="60"/>
      <c r="M244" s="60"/>
      <c r="N244" s="60">
        <f t="shared" si="68"/>
        <v>0</v>
      </c>
      <c r="O244" s="60">
        <f t="shared" si="69"/>
        <v>0</v>
      </c>
    </row>
    <row r="245" spans="1:15" s="38" customFormat="1" ht="10.7" hidden="1" customHeight="1" outlineLevel="1" x14ac:dyDescent="0.25">
      <c r="A245" s="124"/>
      <c r="B245" s="142"/>
      <c r="C245" s="115"/>
      <c r="D245" s="115"/>
      <c r="E245" s="115"/>
      <c r="F245" s="115"/>
      <c r="G245" s="60" t="s">
        <v>130</v>
      </c>
      <c r="H245" s="124"/>
      <c r="I245" s="124"/>
      <c r="J245" s="60"/>
      <c r="K245" s="60"/>
      <c r="L245" s="60"/>
      <c r="M245" s="60"/>
      <c r="N245" s="60">
        <f t="shared" si="68"/>
        <v>0</v>
      </c>
      <c r="O245" s="60">
        <f t="shared" si="69"/>
        <v>0</v>
      </c>
    </row>
    <row r="246" spans="1:15" s="38" customFormat="1" ht="12" hidden="1" customHeight="1" outlineLevel="1" thickBot="1" x14ac:dyDescent="0.3">
      <c r="A246" s="125"/>
      <c r="B246" s="143"/>
      <c r="C246" s="131"/>
      <c r="D246" s="131"/>
      <c r="E246" s="131"/>
      <c r="F246" s="131"/>
      <c r="G246" s="60" t="s">
        <v>131</v>
      </c>
      <c r="H246" s="134"/>
      <c r="I246" s="134"/>
      <c r="J246" s="60"/>
      <c r="K246" s="60"/>
      <c r="L246" s="60"/>
      <c r="M246" s="60"/>
      <c r="N246" s="60">
        <f t="shared" si="68"/>
        <v>0</v>
      </c>
      <c r="O246" s="60">
        <f t="shared" si="69"/>
        <v>0</v>
      </c>
    </row>
    <row r="247" spans="1:15" s="38" customFormat="1" ht="14.45" hidden="1" customHeight="1" outlineLevel="1" x14ac:dyDescent="0.25">
      <c r="A247" s="140" t="s">
        <v>186</v>
      </c>
      <c r="B247" s="141" t="s">
        <v>284</v>
      </c>
      <c r="C247" s="130">
        <f>SUM(N247:N253)</f>
        <v>0</v>
      </c>
      <c r="D247" s="130">
        <f>SUM(O247:O253)</f>
        <v>0</v>
      </c>
      <c r="E247" s="130">
        <f t="shared" si="65"/>
        <v>0</v>
      </c>
      <c r="F247" s="130"/>
      <c r="G247" s="60" t="s">
        <v>125</v>
      </c>
      <c r="H247" s="123"/>
      <c r="I247" s="123"/>
      <c r="J247" s="60"/>
      <c r="K247" s="60"/>
      <c r="L247" s="60"/>
      <c r="M247" s="60"/>
      <c r="N247" s="60">
        <f>M247*J247*K247*L247</f>
        <v>0</v>
      </c>
      <c r="O247" s="60">
        <f>J247*K247*L247</f>
        <v>0</v>
      </c>
    </row>
    <row r="248" spans="1:15" s="38" customFormat="1" ht="11.45" hidden="1" customHeight="1" outlineLevel="1" x14ac:dyDescent="0.25">
      <c r="A248" s="124"/>
      <c r="B248" s="142"/>
      <c r="C248" s="115"/>
      <c r="D248" s="115"/>
      <c r="E248" s="115"/>
      <c r="F248" s="115"/>
      <c r="G248" s="60" t="s">
        <v>126</v>
      </c>
      <c r="H248" s="124"/>
      <c r="I248" s="124"/>
      <c r="J248" s="60"/>
      <c r="K248" s="60"/>
      <c r="L248" s="60"/>
      <c r="M248" s="60"/>
      <c r="N248" s="60">
        <f t="shared" ref="N248:N253" si="70">M248*J248*K248*L248</f>
        <v>0</v>
      </c>
      <c r="O248" s="60">
        <f t="shared" ref="O248:O253" si="71">J248*K248*L248</f>
        <v>0</v>
      </c>
    </row>
    <row r="249" spans="1:15" s="38" customFormat="1" ht="10.7" hidden="1" customHeight="1" outlineLevel="1" x14ac:dyDescent="0.25">
      <c r="A249" s="124"/>
      <c r="B249" s="142"/>
      <c r="C249" s="115"/>
      <c r="D249" s="115"/>
      <c r="E249" s="115"/>
      <c r="F249" s="115"/>
      <c r="G249" s="60" t="s">
        <v>127</v>
      </c>
      <c r="H249" s="124"/>
      <c r="I249" s="124"/>
      <c r="J249" s="60"/>
      <c r="K249" s="60"/>
      <c r="L249" s="60"/>
      <c r="M249" s="60"/>
      <c r="N249" s="60">
        <f t="shared" si="70"/>
        <v>0</v>
      </c>
      <c r="O249" s="60">
        <f t="shared" si="71"/>
        <v>0</v>
      </c>
    </row>
    <row r="250" spans="1:15" s="38" customFormat="1" ht="10.7" hidden="1" customHeight="1" outlineLevel="1" x14ac:dyDescent="0.25">
      <c r="A250" s="124"/>
      <c r="B250" s="142"/>
      <c r="C250" s="115"/>
      <c r="D250" s="115"/>
      <c r="E250" s="115"/>
      <c r="F250" s="115"/>
      <c r="G250" s="60" t="s">
        <v>128</v>
      </c>
      <c r="H250" s="124"/>
      <c r="I250" s="124"/>
      <c r="J250" s="60"/>
      <c r="K250" s="60"/>
      <c r="L250" s="60"/>
      <c r="M250" s="60"/>
      <c r="N250" s="60">
        <f t="shared" si="70"/>
        <v>0</v>
      </c>
      <c r="O250" s="60">
        <f t="shared" si="71"/>
        <v>0</v>
      </c>
    </row>
    <row r="251" spans="1:15" s="38" customFormat="1" ht="10.7" hidden="1" customHeight="1" outlineLevel="1" x14ac:dyDescent="0.25">
      <c r="A251" s="124"/>
      <c r="B251" s="142"/>
      <c r="C251" s="115"/>
      <c r="D251" s="115"/>
      <c r="E251" s="115"/>
      <c r="F251" s="115"/>
      <c r="G251" s="60" t="s">
        <v>129</v>
      </c>
      <c r="H251" s="124"/>
      <c r="I251" s="124"/>
      <c r="J251" s="60"/>
      <c r="K251" s="60"/>
      <c r="L251" s="60"/>
      <c r="M251" s="60"/>
      <c r="N251" s="60">
        <f t="shared" si="70"/>
        <v>0</v>
      </c>
      <c r="O251" s="60">
        <f t="shared" si="71"/>
        <v>0</v>
      </c>
    </row>
    <row r="252" spans="1:15" s="38" customFormat="1" ht="10.7" hidden="1" customHeight="1" outlineLevel="1" x14ac:dyDescent="0.25">
      <c r="A252" s="124"/>
      <c r="B252" s="142"/>
      <c r="C252" s="115"/>
      <c r="D252" s="115"/>
      <c r="E252" s="115"/>
      <c r="F252" s="115"/>
      <c r="G252" s="60" t="s">
        <v>130</v>
      </c>
      <c r="H252" s="124"/>
      <c r="I252" s="124"/>
      <c r="J252" s="60"/>
      <c r="K252" s="60"/>
      <c r="L252" s="60"/>
      <c r="M252" s="60"/>
      <c r="N252" s="60">
        <f t="shared" si="70"/>
        <v>0</v>
      </c>
      <c r="O252" s="60">
        <f t="shared" si="71"/>
        <v>0</v>
      </c>
    </row>
    <row r="253" spans="1:15" s="38" customFormat="1" ht="12" hidden="1" customHeight="1" outlineLevel="1" thickBot="1" x14ac:dyDescent="0.3">
      <c r="A253" s="125"/>
      <c r="B253" s="143"/>
      <c r="C253" s="131"/>
      <c r="D253" s="131"/>
      <c r="E253" s="131"/>
      <c r="F253" s="131"/>
      <c r="G253" s="60" t="s">
        <v>131</v>
      </c>
      <c r="H253" s="134"/>
      <c r="I253" s="134"/>
      <c r="J253" s="60"/>
      <c r="K253" s="60"/>
      <c r="L253" s="60"/>
      <c r="M253" s="60"/>
      <c r="N253" s="60">
        <f t="shared" si="70"/>
        <v>0</v>
      </c>
      <c r="O253" s="60">
        <f t="shared" si="71"/>
        <v>0</v>
      </c>
    </row>
    <row r="254" spans="1:15" s="38" customFormat="1" ht="14.45" hidden="1" customHeight="1" outlineLevel="1" x14ac:dyDescent="0.25">
      <c r="A254" s="140" t="s">
        <v>188</v>
      </c>
      <c r="B254" s="141" t="s">
        <v>286</v>
      </c>
      <c r="C254" s="130">
        <f>SUM(N254:N260)</f>
        <v>0</v>
      </c>
      <c r="D254" s="130">
        <f>SUM(O254:O260)</f>
        <v>0</v>
      </c>
      <c r="E254" s="130">
        <f t="shared" si="65"/>
        <v>0</v>
      </c>
      <c r="F254" s="130"/>
      <c r="G254" s="60" t="s">
        <v>125</v>
      </c>
      <c r="H254" s="123"/>
      <c r="I254" s="123"/>
      <c r="J254" s="60"/>
      <c r="K254" s="60"/>
      <c r="L254" s="60"/>
      <c r="M254" s="60"/>
      <c r="N254" s="60">
        <f>M254*J254*K254*L254</f>
        <v>0</v>
      </c>
      <c r="O254" s="60">
        <f>J254*K254*L254</f>
        <v>0</v>
      </c>
    </row>
    <row r="255" spans="1:15" s="38" customFormat="1" ht="11.45" hidden="1" customHeight="1" outlineLevel="1" x14ac:dyDescent="0.25">
      <c r="A255" s="124"/>
      <c r="B255" s="142"/>
      <c r="C255" s="115"/>
      <c r="D255" s="115"/>
      <c r="E255" s="115"/>
      <c r="F255" s="115"/>
      <c r="G255" s="60" t="s">
        <v>126</v>
      </c>
      <c r="H255" s="124"/>
      <c r="I255" s="124"/>
      <c r="J255" s="60"/>
      <c r="K255" s="60"/>
      <c r="L255" s="60"/>
      <c r="M255" s="60"/>
      <c r="N255" s="60">
        <f t="shared" ref="N255:N260" si="72">M255*J255*K255*L255</f>
        <v>0</v>
      </c>
      <c r="O255" s="60">
        <f t="shared" ref="O255:O260" si="73">J255*K255*L255</f>
        <v>0</v>
      </c>
    </row>
    <row r="256" spans="1:15" s="38" customFormat="1" ht="10.7" hidden="1" customHeight="1" outlineLevel="1" x14ac:dyDescent="0.25">
      <c r="A256" s="124"/>
      <c r="B256" s="142"/>
      <c r="C256" s="115"/>
      <c r="D256" s="115"/>
      <c r="E256" s="115"/>
      <c r="F256" s="115"/>
      <c r="G256" s="60" t="s">
        <v>127</v>
      </c>
      <c r="H256" s="124"/>
      <c r="I256" s="124"/>
      <c r="J256" s="60"/>
      <c r="K256" s="60"/>
      <c r="L256" s="60"/>
      <c r="M256" s="60"/>
      <c r="N256" s="60">
        <f t="shared" si="72"/>
        <v>0</v>
      </c>
      <c r="O256" s="60">
        <f t="shared" si="73"/>
        <v>0</v>
      </c>
    </row>
    <row r="257" spans="1:15" s="38" customFormat="1" ht="10.7" hidden="1" customHeight="1" outlineLevel="1" x14ac:dyDescent="0.25">
      <c r="A257" s="124"/>
      <c r="B257" s="142"/>
      <c r="C257" s="115"/>
      <c r="D257" s="115"/>
      <c r="E257" s="115"/>
      <c r="F257" s="115"/>
      <c r="G257" s="60" t="s">
        <v>128</v>
      </c>
      <c r="H257" s="124"/>
      <c r="I257" s="124"/>
      <c r="J257" s="60"/>
      <c r="K257" s="60"/>
      <c r="L257" s="60"/>
      <c r="M257" s="60"/>
      <c r="N257" s="60">
        <f t="shared" si="72"/>
        <v>0</v>
      </c>
      <c r="O257" s="60">
        <f t="shared" si="73"/>
        <v>0</v>
      </c>
    </row>
    <row r="258" spans="1:15" s="38" customFormat="1" ht="10.7" hidden="1" customHeight="1" outlineLevel="1" x14ac:dyDescent="0.25">
      <c r="A258" s="124"/>
      <c r="B258" s="142"/>
      <c r="C258" s="115"/>
      <c r="D258" s="115"/>
      <c r="E258" s="115"/>
      <c r="F258" s="115"/>
      <c r="G258" s="60" t="s">
        <v>129</v>
      </c>
      <c r="H258" s="124"/>
      <c r="I258" s="124"/>
      <c r="J258" s="60"/>
      <c r="K258" s="60"/>
      <c r="L258" s="60"/>
      <c r="M258" s="60"/>
      <c r="N258" s="60">
        <f t="shared" si="72"/>
        <v>0</v>
      </c>
      <c r="O258" s="60">
        <f t="shared" si="73"/>
        <v>0</v>
      </c>
    </row>
    <row r="259" spans="1:15" s="38" customFormat="1" ht="10.7" hidden="1" customHeight="1" outlineLevel="1" x14ac:dyDescent="0.25">
      <c r="A259" s="124"/>
      <c r="B259" s="142"/>
      <c r="C259" s="115"/>
      <c r="D259" s="115"/>
      <c r="E259" s="115"/>
      <c r="F259" s="115"/>
      <c r="G259" s="60" t="s">
        <v>130</v>
      </c>
      <c r="H259" s="124"/>
      <c r="I259" s="124"/>
      <c r="J259" s="60"/>
      <c r="K259" s="60"/>
      <c r="L259" s="60"/>
      <c r="M259" s="60"/>
      <c r="N259" s="60">
        <f t="shared" si="72"/>
        <v>0</v>
      </c>
      <c r="O259" s="60">
        <f t="shared" si="73"/>
        <v>0</v>
      </c>
    </row>
    <row r="260" spans="1:15" s="38" customFormat="1" ht="12" hidden="1" customHeight="1" outlineLevel="1" thickBot="1" x14ac:dyDescent="0.3">
      <c r="A260" s="125"/>
      <c r="B260" s="143"/>
      <c r="C260" s="131"/>
      <c r="D260" s="131"/>
      <c r="E260" s="131"/>
      <c r="F260" s="131"/>
      <c r="G260" s="60" t="s">
        <v>131</v>
      </c>
      <c r="H260" s="134"/>
      <c r="I260" s="134"/>
      <c r="J260" s="60"/>
      <c r="K260" s="60"/>
      <c r="L260" s="60"/>
      <c r="M260" s="60"/>
      <c r="N260" s="60">
        <f t="shared" si="72"/>
        <v>0</v>
      </c>
      <c r="O260" s="60">
        <f t="shared" si="73"/>
        <v>0</v>
      </c>
    </row>
    <row r="261" spans="1:15" s="38" customFormat="1" ht="14.45" hidden="1" customHeight="1" outlineLevel="1" x14ac:dyDescent="0.25">
      <c r="A261" s="140" t="s">
        <v>190</v>
      </c>
      <c r="B261" s="141" t="s">
        <v>383</v>
      </c>
      <c r="C261" s="130">
        <f>SUM(N261:N267)</f>
        <v>0</v>
      </c>
      <c r="D261" s="130">
        <f>SUM(O261:O267)</f>
        <v>0</v>
      </c>
      <c r="E261" s="130">
        <f t="shared" ref="E261:E282" si="74">D261/8</f>
        <v>0</v>
      </c>
      <c r="F261" s="130"/>
      <c r="G261" s="60" t="s">
        <v>125</v>
      </c>
      <c r="H261" s="123"/>
      <c r="I261" s="123"/>
      <c r="J261" s="60"/>
      <c r="K261" s="60"/>
      <c r="L261" s="60"/>
      <c r="M261" s="60"/>
      <c r="N261" s="60">
        <f>M261*J261*K261*L261</f>
        <v>0</v>
      </c>
      <c r="O261" s="60">
        <f>J261*K261*L261</f>
        <v>0</v>
      </c>
    </row>
    <row r="262" spans="1:15" s="38" customFormat="1" ht="11.45" hidden="1" customHeight="1" outlineLevel="1" x14ac:dyDescent="0.25">
      <c r="A262" s="124"/>
      <c r="B262" s="142"/>
      <c r="C262" s="115"/>
      <c r="D262" s="115"/>
      <c r="E262" s="115"/>
      <c r="F262" s="115"/>
      <c r="G262" s="60" t="s">
        <v>126</v>
      </c>
      <c r="H262" s="124"/>
      <c r="I262" s="124"/>
      <c r="J262" s="60"/>
      <c r="K262" s="60"/>
      <c r="L262" s="60"/>
      <c r="M262" s="60"/>
      <c r="N262" s="60">
        <f t="shared" ref="N262:N267" si="75">M262*J262*K262*L262</f>
        <v>0</v>
      </c>
      <c r="O262" s="60">
        <f t="shared" ref="O262:O267" si="76">J262*K262*L262</f>
        <v>0</v>
      </c>
    </row>
    <row r="263" spans="1:15" s="38" customFormat="1" ht="10.7" hidden="1" customHeight="1" outlineLevel="1" x14ac:dyDescent="0.25">
      <c r="A263" s="124"/>
      <c r="B263" s="142"/>
      <c r="C263" s="115"/>
      <c r="D263" s="115"/>
      <c r="E263" s="115"/>
      <c r="F263" s="115"/>
      <c r="G263" s="60" t="s">
        <v>127</v>
      </c>
      <c r="H263" s="124"/>
      <c r="I263" s="124"/>
      <c r="J263" s="60"/>
      <c r="K263" s="60"/>
      <c r="L263" s="60"/>
      <c r="M263" s="60"/>
      <c r="N263" s="60">
        <f t="shared" si="75"/>
        <v>0</v>
      </c>
      <c r="O263" s="60">
        <f t="shared" si="76"/>
        <v>0</v>
      </c>
    </row>
    <row r="264" spans="1:15" s="38" customFormat="1" ht="10.7" hidden="1" customHeight="1" outlineLevel="1" x14ac:dyDescent="0.25">
      <c r="A264" s="124"/>
      <c r="B264" s="142"/>
      <c r="C264" s="115"/>
      <c r="D264" s="115"/>
      <c r="E264" s="115"/>
      <c r="F264" s="115"/>
      <c r="G264" s="60" t="s">
        <v>128</v>
      </c>
      <c r="H264" s="124"/>
      <c r="I264" s="124"/>
      <c r="J264" s="60"/>
      <c r="K264" s="60"/>
      <c r="L264" s="60"/>
      <c r="M264" s="60"/>
      <c r="N264" s="60">
        <f t="shared" si="75"/>
        <v>0</v>
      </c>
      <c r="O264" s="60">
        <f t="shared" si="76"/>
        <v>0</v>
      </c>
    </row>
    <row r="265" spans="1:15" s="38" customFormat="1" ht="10.7" hidden="1" customHeight="1" outlineLevel="1" x14ac:dyDescent="0.25">
      <c r="A265" s="124"/>
      <c r="B265" s="142"/>
      <c r="C265" s="115"/>
      <c r="D265" s="115"/>
      <c r="E265" s="115"/>
      <c r="F265" s="115"/>
      <c r="G265" s="60" t="s">
        <v>129</v>
      </c>
      <c r="H265" s="124"/>
      <c r="I265" s="124"/>
      <c r="J265" s="60"/>
      <c r="K265" s="60"/>
      <c r="L265" s="60"/>
      <c r="M265" s="60"/>
      <c r="N265" s="60">
        <f t="shared" si="75"/>
        <v>0</v>
      </c>
      <c r="O265" s="60">
        <f t="shared" si="76"/>
        <v>0</v>
      </c>
    </row>
    <row r="266" spans="1:15" s="38" customFormat="1" ht="10.7" hidden="1" customHeight="1" outlineLevel="1" x14ac:dyDescent="0.25">
      <c r="A266" s="124"/>
      <c r="B266" s="142"/>
      <c r="C266" s="115"/>
      <c r="D266" s="115"/>
      <c r="E266" s="115"/>
      <c r="F266" s="115"/>
      <c r="G266" s="60" t="s">
        <v>130</v>
      </c>
      <c r="H266" s="124"/>
      <c r="I266" s="124"/>
      <c r="J266" s="60"/>
      <c r="K266" s="60"/>
      <c r="L266" s="60"/>
      <c r="M266" s="60"/>
      <c r="N266" s="60">
        <f t="shared" si="75"/>
        <v>0</v>
      </c>
      <c r="O266" s="60">
        <f t="shared" si="76"/>
        <v>0</v>
      </c>
    </row>
    <row r="267" spans="1:15" s="38" customFormat="1" ht="12" hidden="1" customHeight="1" outlineLevel="1" thickBot="1" x14ac:dyDescent="0.3">
      <c r="A267" s="125"/>
      <c r="B267" s="143"/>
      <c r="C267" s="131"/>
      <c r="D267" s="131"/>
      <c r="E267" s="131"/>
      <c r="F267" s="131"/>
      <c r="G267" s="60" t="s">
        <v>131</v>
      </c>
      <c r="H267" s="134"/>
      <c r="I267" s="134"/>
      <c r="J267" s="60"/>
      <c r="K267" s="60"/>
      <c r="L267" s="60"/>
      <c r="M267" s="60"/>
      <c r="N267" s="60">
        <f t="shared" si="75"/>
        <v>0</v>
      </c>
      <c r="O267" s="60">
        <f t="shared" si="76"/>
        <v>0</v>
      </c>
    </row>
    <row r="268" spans="1:15" s="38" customFormat="1" ht="14.45" hidden="1" customHeight="1" outlineLevel="1" x14ac:dyDescent="0.25">
      <c r="A268" s="140" t="s">
        <v>192</v>
      </c>
      <c r="B268" s="141" t="s">
        <v>294</v>
      </c>
      <c r="C268" s="130">
        <f>SUM(N268:N274)</f>
        <v>0</v>
      </c>
      <c r="D268" s="130">
        <f>SUM(O268:O274)</f>
        <v>0</v>
      </c>
      <c r="E268" s="130">
        <f t="shared" si="74"/>
        <v>0</v>
      </c>
      <c r="F268" s="130"/>
      <c r="G268" s="60" t="s">
        <v>125</v>
      </c>
      <c r="H268" s="123"/>
      <c r="I268" s="123"/>
      <c r="J268" s="60"/>
      <c r="K268" s="60"/>
      <c r="L268" s="60"/>
      <c r="M268" s="60"/>
      <c r="N268" s="60">
        <f>M268*J268*K268*L268</f>
        <v>0</v>
      </c>
      <c r="O268" s="60">
        <f>J268*K268*L268</f>
        <v>0</v>
      </c>
    </row>
    <row r="269" spans="1:15" s="38" customFormat="1" ht="11.45" hidden="1" customHeight="1" outlineLevel="1" x14ac:dyDescent="0.25">
      <c r="A269" s="124"/>
      <c r="B269" s="142"/>
      <c r="C269" s="115"/>
      <c r="D269" s="115"/>
      <c r="E269" s="115"/>
      <c r="F269" s="115"/>
      <c r="G269" s="60" t="s">
        <v>126</v>
      </c>
      <c r="H269" s="124"/>
      <c r="I269" s="124"/>
      <c r="J269" s="60"/>
      <c r="K269" s="60"/>
      <c r="L269" s="60"/>
      <c r="M269" s="60"/>
      <c r="N269" s="60">
        <f t="shared" ref="N269:N274" si="77">M269*J269*K269*L269</f>
        <v>0</v>
      </c>
      <c r="O269" s="60">
        <f t="shared" ref="O269:O274" si="78">J269*K269*L269</f>
        <v>0</v>
      </c>
    </row>
    <row r="270" spans="1:15" s="38" customFormat="1" ht="10.7" hidden="1" customHeight="1" outlineLevel="1" x14ac:dyDescent="0.25">
      <c r="A270" s="124"/>
      <c r="B270" s="142"/>
      <c r="C270" s="115"/>
      <c r="D270" s="115"/>
      <c r="E270" s="115"/>
      <c r="F270" s="115"/>
      <c r="G270" s="60" t="s">
        <v>127</v>
      </c>
      <c r="H270" s="124"/>
      <c r="I270" s="124"/>
      <c r="J270" s="60"/>
      <c r="K270" s="60"/>
      <c r="L270" s="60"/>
      <c r="M270" s="60"/>
      <c r="N270" s="60">
        <f t="shared" si="77"/>
        <v>0</v>
      </c>
      <c r="O270" s="60">
        <f t="shared" si="78"/>
        <v>0</v>
      </c>
    </row>
    <row r="271" spans="1:15" s="38" customFormat="1" ht="10.7" hidden="1" customHeight="1" outlineLevel="1" x14ac:dyDescent="0.25">
      <c r="A271" s="124"/>
      <c r="B271" s="142"/>
      <c r="C271" s="115"/>
      <c r="D271" s="115"/>
      <c r="E271" s="115"/>
      <c r="F271" s="115"/>
      <c r="G271" s="60" t="s">
        <v>128</v>
      </c>
      <c r="H271" s="124"/>
      <c r="I271" s="124"/>
      <c r="J271" s="60"/>
      <c r="K271" s="60"/>
      <c r="L271" s="60"/>
      <c r="M271" s="60"/>
      <c r="N271" s="60">
        <f t="shared" si="77"/>
        <v>0</v>
      </c>
      <c r="O271" s="60">
        <f t="shared" si="78"/>
        <v>0</v>
      </c>
    </row>
    <row r="272" spans="1:15" s="38" customFormat="1" ht="10.7" hidden="1" customHeight="1" outlineLevel="1" x14ac:dyDescent="0.25">
      <c r="A272" s="124"/>
      <c r="B272" s="142"/>
      <c r="C272" s="115"/>
      <c r="D272" s="115"/>
      <c r="E272" s="115"/>
      <c r="F272" s="115"/>
      <c r="G272" s="60" t="s">
        <v>129</v>
      </c>
      <c r="H272" s="124"/>
      <c r="I272" s="124"/>
      <c r="J272" s="60"/>
      <c r="K272" s="60"/>
      <c r="L272" s="60"/>
      <c r="M272" s="60"/>
      <c r="N272" s="60">
        <f t="shared" si="77"/>
        <v>0</v>
      </c>
      <c r="O272" s="60">
        <f t="shared" si="78"/>
        <v>0</v>
      </c>
    </row>
    <row r="273" spans="1:15" s="38" customFormat="1" ht="10.7" hidden="1" customHeight="1" outlineLevel="1" x14ac:dyDescent="0.25">
      <c r="A273" s="124"/>
      <c r="B273" s="142"/>
      <c r="C273" s="115"/>
      <c r="D273" s="115"/>
      <c r="E273" s="115"/>
      <c r="F273" s="115"/>
      <c r="G273" s="60" t="s">
        <v>130</v>
      </c>
      <c r="H273" s="124"/>
      <c r="I273" s="124"/>
      <c r="J273" s="60"/>
      <c r="K273" s="60"/>
      <c r="L273" s="60"/>
      <c r="M273" s="60"/>
      <c r="N273" s="60">
        <f t="shared" si="77"/>
        <v>0</v>
      </c>
      <c r="O273" s="60">
        <f t="shared" si="78"/>
        <v>0</v>
      </c>
    </row>
    <row r="274" spans="1:15" s="38" customFormat="1" ht="12" hidden="1" customHeight="1" outlineLevel="1" thickBot="1" x14ac:dyDescent="0.3">
      <c r="A274" s="125"/>
      <c r="B274" s="143"/>
      <c r="C274" s="131"/>
      <c r="D274" s="131"/>
      <c r="E274" s="131"/>
      <c r="F274" s="131"/>
      <c r="G274" s="60" t="s">
        <v>131</v>
      </c>
      <c r="H274" s="134"/>
      <c r="I274" s="134"/>
      <c r="J274" s="60"/>
      <c r="K274" s="60"/>
      <c r="L274" s="60"/>
      <c r="M274" s="60"/>
      <c r="N274" s="60">
        <f t="shared" si="77"/>
        <v>0</v>
      </c>
      <c r="O274" s="60">
        <f t="shared" si="78"/>
        <v>0</v>
      </c>
    </row>
    <row r="275" spans="1:15" s="38" customFormat="1" ht="14.45" hidden="1" customHeight="1" outlineLevel="1" x14ac:dyDescent="0.25">
      <c r="A275" s="140" t="s">
        <v>194</v>
      </c>
      <c r="B275" s="141" t="s">
        <v>296</v>
      </c>
      <c r="C275" s="130">
        <f>SUM(N275:N281)</f>
        <v>0</v>
      </c>
      <c r="D275" s="130">
        <f>SUM(O275:O281)</f>
        <v>0</v>
      </c>
      <c r="E275" s="130">
        <f t="shared" si="74"/>
        <v>0</v>
      </c>
      <c r="F275" s="130"/>
      <c r="G275" s="60" t="s">
        <v>125</v>
      </c>
      <c r="H275" s="123"/>
      <c r="I275" s="123"/>
      <c r="J275" s="60"/>
      <c r="K275" s="60"/>
      <c r="L275" s="60"/>
      <c r="M275" s="60"/>
      <c r="N275" s="60">
        <f>M275*J275*K275*L275</f>
        <v>0</v>
      </c>
      <c r="O275" s="60">
        <f>J275*K275*L275</f>
        <v>0</v>
      </c>
    </row>
    <row r="276" spans="1:15" s="38" customFormat="1" ht="11.45" hidden="1" customHeight="1" outlineLevel="1" x14ac:dyDescent="0.25">
      <c r="A276" s="124"/>
      <c r="B276" s="142"/>
      <c r="C276" s="115"/>
      <c r="D276" s="115"/>
      <c r="E276" s="115"/>
      <c r="F276" s="115"/>
      <c r="G276" s="60" t="s">
        <v>126</v>
      </c>
      <c r="H276" s="124"/>
      <c r="I276" s="124"/>
      <c r="J276" s="60"/>
      <c r="K276" s="60"/>
      <c r="L276" s="60"/>
      <c r="M276" s="60"/>
      <c r="N276" s="60">
        <f t="shared" ref="N276:N281" si="79">M276*J276*K276*L276</f>
        <v>0</v>
      </c>
      <c r="O276" s="60">
        <f t="shared" ref="O276:O281" si="80">J276*K276*L276</f>
        <v>0</v>
      </c>
    </row>
    <row r="277" spans="1:15" s="38" customFormat="1" ht="10.7" hidden="1" customHeight="1" outlineLevel="1" x14ac:dyDescent="0.25">
      <c r="A277" s="124"/>
      <c r="B277" s="142"/>
      <c r="C277" s="115"/>
      <c r="D277" s="115"/>
      <c r="E277" s="115"/>
      <c r="F277" s="115"/>
      <c r="G277" s="60" t="s">
        <v>127</v>
      </c>
      <c r="H277" s="124"/>
      <c r="I277" s="124"/>
      <c r="J277" s="60"/>
      <c r="K277" s="60"/>
      <c r="L277" s="60"/>
      <c r="M277" s="60"/>
      <c r="N277" s="60">
        <f t="shared" si="79"/>
        <v>0</v>
      </c>
      <c r="O277" s="60">
        <f t="shared" si="80"/>
        <v>0</v>
      </c>
    </row>
    <row r="278" spans="1:15" s="38" customFormat="1" ht="10.7" hidden="1" customHeight="1" outlineLevel="1" x14ac:dyDescent="0.25">
      <c r="A278" s="124"/>
      <c r="B278" s="142"/>
      <c r="C278" s="115"/>
      <c r="D278" s="115"/>
      <c r="E278" s="115"/>
      <c r="F278" s="115"/>
      <c r="G278" s="60" t="s">
        <v>128</v>
      </c>
      <c r="H278" s="124"/>
      <c r="I278" s="124"/>
      <c r="J278" s="60"/>
      <c r="K278" s="60"/>
      <c r="L278" s="60"/>
      <c r="M278" s="60"/>
      <c r="N278" s="60">
        <f t="shared" si="79"/>
        <v>0</v>
      </c>
      <c r="O278" s="60">
        <f t="shared" si="80"/>
        <v>0</v>
      </c>
    </row>
    <row r="279" spans="1:15" s="38" customFormat="1" ht="10.7" hidden="1" customHeight="1" outlineLevel="1" x14ac:dyDescent="0.25">
      <c r="A279" s="124"/>
      <c r="B279" s="142"/>
      <c r="C279" s="115"/>
      <c r="D279" s="115"/>
      <c r="E279" s="115"/>
      <c r="F279" s="115"/>
      <c r="G279" s="60" t="s">
        <v>129</v>
      </c>
      <c r="H279" s="124"/>
      <c r="I279" s="124"/>
      <c r="J279" s="60"/>
      <c r="K279" s="60"/>
      <c r="L279" s="60"/>
      <c r="M279" s="60"/>
      <c r="N279" s="60">
        <f t="shared" si="79"/>
        <v>0</v>
      </c>
      <c r="O279" s="60">
        <f t="shared" si="80"/>
        <v>0</v>
      </c>
    </row>
    <row r="280" spans="1:15" s="38" customFormat="1" ht="10.7" hidden="1" customHeight="1" outlineLevel="1" x14ac:dyDescent="0.25">
      <c r="A280" s="124"/>
      <c r="B280" s="142"/>
      <c r="C280" s="115"/>
      <c r="D280" s="115"/>
      <c r="E280" s="115"/>
      <c r="F280" s="115"/>
      <c r="G280" s="60" t="s">
        <v>130</v>
      </c>
      <c r="H280" s="124"/>
      <c r="I280" s="124"/>
      <c r="J280" s="60"/>
      <c r="K280" s="60"/>
      <c r="L280" s="60"/>
      <c r="M280" s="60"/>
      <c r="N280" s="60">
        <f t="shared" si="79"/>
        <v>0</v>
      </c>
      <c r="O280" s="60">
        <f t="shared" si="80"/>
        <v>0</v>
      </c>
    </row>
    <row r="281" spans="1:15" s="38" customFormat="1" ht="12" hidden="1" customHeight="1" outlineLevel="1" thickBot="1" x14ac:dyDescent="0.3">
      <c r="A281" s="125"/>
      <c r="B281" s="143"/>
      <c r="C281" s="131"/>
      <c r="D281" s="131"/>
      <c r="E281" s="131"/>
      <c r="F281" s="131"/>
      <c r="G281" s="60" t="s">
        <v>131</v>
      </c>
      <c r="H281" s="134"/>
      <c r="I281" s="134"/>
      <c r="J281" s="60"/>
      <c r="K281" s="60"/>
      <c r="L281" s="60"/>
      <c r="M281" s="60"/>
      <c r="N281" s="60">
        <f t="shared" si="79"/>
        <v>0</v>
      </c>
      <c r="O281" s="60">
        <f t="shared" si="80"/>
        <v>0</v>
      </c>
    </row>
    <row r="282" spans="1:15" s="38" customFormat="1" ht="14.45" hidden="1" customHeight="1" outlineLevel="1" x14ac:dyDescent="0.25">
      <c r="A282" s="140" t="s">
        <v>196</v>
      </c>
      <c r="B282" s="141" t="s">
        <v>304</v>
      </c>
      <c r="C282" s="130">
        <f>SUM(N282:N288)</f>
        <v>0</v>
      </c>
      <c r="D282" s="130">
        <f>SUM(O282:O288)</f>
        <v>0</v>
      </c>
      <c r="E282" s="130">
        <f t="shared" si="74"/>
        <v>0</v>
      </c>
      <c r="F282" s="130"/>
      <c r="G282" s="60" t="s">
        <v>125</v>
      </c>
      <c r="H282" s="123"/>
      <c r="I282" s="123"/>
      <c r="J282" s="60"/>
      <c r="K282" s="60"/>
      <c r="L282" s="60"/>
      <c r="M282" s="60"/>
      <c r="N282" s="60">
        <f>M282*J282*K282*L282</f>
        <v>0</v>
      </c>
      <c r="O282" s="60">
        <f>J282*K282*L282</f>
        <v>0</v>
      </c>
    </row>
    <row r="283" spans="1:15" s="38" customFormat="1" ht="11.45" hidden="1" customHeight="1" outlineLevel="1" x14ac:dyDescent="0.25">
      <c r="A283" s="124"/>
      <c r="B283" s="142"/>
      <c r="C283" s="115"/>
      <c r="D283" s="115"/>
      <c r="E283" s="115"/>
      <c r="F283" s="115"/>
      <c r="G283" s="60" t="s">
        <v>126</v>
      </c>
      <c r="H283" s="124"/>
      <c r="I283" s="124"/>
      <c r="J283" s="60"/>
      <c r="K283" s="60"/>
      <c r="L283" s="60"/>
      <c r="M283" s="60"/>
      <c r="N283" s="60">
        <f t="shared" ref="N283:N288" si="81">M283*J283*K283*L283</f>
        <v>0</v>
      </c>
      <c r="O283" s="60">
        <f t="shared" ref="O283:O288" si="82">J283*K283*L283</f>
        <v>0</v>
      </c>
    </row>
    <row r="284" spans="1:15" s="38" customFormat="1" ht="10.7" hidden="1" customHeight="1" outlineLevel="1" x14ac:dyDescent="0.25">
      <c r="A284" s="124"/>
      <c r="B284" s="142"/>
      <c r="C284" s="115"/>
      <c r="D284" s="115"/>
      <c r="E284" s="115"/>
      <c r="F284" s="115"/>
      <c r="G284" s="60" t="s">
        <v>127</v>
      </c>
      <c r="H284" s="124"/>
      <c r="I284" s="124"/>
      <c r="J284" s="60"/>
      <c r="K284" s="60"/>
      <c r="L284" s="60"/>
      <c r="M284" s="60"/>
      <c r="N284" s="60">
        <f t="shared" si="81"/>
        <v>0</v>
      </c>
      <c r="O284" s="60">
        <f t="shared" si="82"/>
        <v>0</v>
      </c>
    </row>
    <row r="285" spans="1:15" s="38" customFormat="1" ht="10.7" hidden="1" customHeight="1" outlineLevel="1" x14ac:dyDescent="0.25">
      <c r="A285" s="124"/>
      <c r="B285" s="142"/>
      <c r="C285" s="115"/>
      <c r="D285" s="115"/>
      <c r="E285" s="115"/>
      <c r="F285" s="115"/>
      <c r="G285" s="60" t="s">
        <v>128</v>
      </c>
      <c r="H285" s="124"/>
      <c r="I285" s="124"/>
      <c r="J285" s="60"/>
      <c r="K285" s="60"/>
      <c r="L285" s="60"/>
      <c r="M285" s="60"/>
      <c r="N285" s="60">
        <f t="shared" si="81"/>
        <v>0</v>
      </c>
      <c r="O285" s="60">
        <f t="shared" si="82"/>
        <v>0</v>
      </c>
    </row>
    <row r="286" spans="1:15" s="38" customFormat="1" ht="10.7" hidden="1" customHeight="1" outlineLevel="1" x14ac:dyDescent="0.25">
      <c r="A286" s="124"/>
      <c r="B286" s="142"/>
      <c r="C286" s="115"/>
      <c r="D286" s="115"/>
      <c r="E286" s="115"/>
      <c r="F286" s="115"/>
      <c r="G286" s="60" t="s">
        <v>129</v>
      </c>
      <c r="H286" s="124"/>
      <c r="I286" s="124"/>
      <c r="J286" s="60"/>
      <c r="K286" s="60"/>
      <c r="L286" s="60"/>
      <c r="M286" s="60"/>
      <c r="N286" s="60">
        <f t="shared" si="81"/>
        <v>0</v>
      </c>
      <c r="O286" s="60">
        <f t="shared" si="82"/>
        <v>0</v>
      </c>
    </row>
    <row r="287" spans="1:15" s="38" customFormat="1" ht="10.7" hidden="1" customHeight="1" outlineLevel="1" x14ac:dyDescent="0.25">
      <c r="A287" s="124"/>
      <c r="B287" s="142"/>
      <c r="C287" s="115"/>
      <c r="D287" s="115"/>
      <c r="E287" s="115"/>
      <c r="F287" s="115"/>
      <c r="G287" s="60" t="s">
        <v>130</v>
      </c>
      <c r="H287" s="124"/>
      <c r="I287" s="124"/>
      <c r="J287" s="60"/>
      <c r="K287" s="60"/>
      <c r="L287" s="60"/>
      <c r="M287" s="60"/>
      <c r="N287" s="60">
        <f t="shared" si="81"/>
        <v>0</v>
      </c>
      <c r="O287" s="60">
        <f t="shared" si="82"/>
        <v>0</v>
      </c>
    </row>
    <row r="288" spans="1:15" s="38" customFormat="1" ht="12" hidden="1" customHeight="1" outlineLevel="1" thickBot="1" x14ac:dyDescent="0.3">
      <c r="A288" s="125"/>
      <c r="B288" s="143"/>
      <c r="C288" s="131"/>
      <c r="D288" s="131"/>
      <c r="E288" s="131"/>
      <c r="F288" s="131"/>
      <c r="G288" s="60" t="s">
        <v>131</v>
      </c>
      <c r="H288" s="134"/>
      <c r="I288" s="134"/>
      <c r="J288" s="60"/>
      <c r="K288" s="60"/>
      <c r="L288" s="60"/>
      <c r="M288" s="60"/>
      <c r="N288" s="60">
        <f t="shared" si="81"/>
        <v>0</v>
      </c>
      <c r="O288" s="60">
        <f t="shared" si="82"/>
        <v>0</v>
      </c>
    </row>
    <row r="289" spans="1:15" s="39" customFormat="1" ht="16.5" collapsed="1" thickBot="1" x14ac:dyDescent="0.3">
      <c r="A289" s="40" t="s">
        <v>252</v>
      </c>
      <c r="B289" s="41" t="s">
        <v>319</v>
      </c>
      <c r="C289" s="42">
        <f>SUM(C290)</f>
        <v>0</v>
      </c>
      <c r="D289" s="42">
        <f>SUM(D290)</f>
        <v>0</v>
      </c>
      <c r="E289" s="42">
        <f>SUM(E290)</f>
        <v>0</v>
      </c>
      <c r="F289" s="42"/>
      <c r="G289" s="42"/>
      <c r="H289" s="42"/>
      <c r="I289" s="42"/>
      <c r="J289" s="42"/>
      <c r="K289" s="42"/>
      <c r="L289" s="42"/>
      <c r="M289" s="42"/>
      <c r="N289" s="42"/>
      <c r="O289" s="47"/>
    </row>
    <row r="290" spans="1:15" s="38" customFormat="1" ht="14.45" hidden="1" customHeight="1" outlineLevel="1" x14ac:dyDescent="0.25">
      <c r="A290" s="140" t="s">
        <v>81</v>
      </c>
      <c r="B290" s="141" t="s">
        <v>384</v>
      </c>
      <c r="C290" s="130">
        <f>SUM(N290:N296)</f>
        <v>0</v>
      </c>
      <c r="D290" s="130">
        <f>SUM(O290:O296)</f>
        <v>0</v>
      </c>
      <c r="E290" s="130">
        <f t="shared" ref="E290" si="83">D290/8</f>
        <v>0</v>
      </c>
      <c r="F290" s="130"/>
      <c r="G290" s="60" t="s">
        <v>125</v>
      </c>
      <c r="H290" s="123"/>
      <c r="I290" s="123"/>
      <c r="J290" s="60"/>
      <c r="K290" s="60"/>
      <c r="L290" s="60"/>
      <c r="M290" s="60"/>
      <c r="N290" s="60">
        <f>M290*J290*K290*L290</f>
        <v>0</v>
      </c>
      <c r="O290" s="60">
        <f>J290*K290*L290</f>
        <v>0</v>
      </c>
    </row>
    <row r="291" spans="1:15" s="38" customFormat="1" ht="11.45" hidden="1" customHeight="1" outlineLevel="1" x14ac:dyDescent="0.25">
      <c r="A291" s="124"/>
      <c r="B291" s="142"/>
      <c r="C291" s="115"/>
      <c r="D291" s="115"/>
      <c r="E291" s="115"/>
      <c r="F291" s="115"/>
      <c r="G291" s="60" t="s">
        <v>126</v>
      </c>
      <c r="H291" s="124"/>
      <c r="I291" s="124"/>
      <c r="J291" s="60"/>
      <c r="K291" s="60"/>
      <c r="L291" s="60"/>
      <c r="M291" s="60"/>
      <c r="N291" s="60">
        <f t="shared" ref="N291:N296" si="84">M291*J291*K291*L291</f>
        <v>0</v>
      </c>
      <c r="O291" s="60">
        <f t="shared" ref="O291:O296" si="85">J291*K291*L291</f>
        <v>0</v>
      </c>
    </row>
    <row r="292" spans="1:15" s="38" customFormat="1" ht="10.7" hidden="1" customHeight="1" outlineLevel="1" x14ac:dyDescent="0.25">
      <c r="A292" s="124"/>
      <c r="B292" s="142"/>
      <c r="C292" s="115"/>
      <c r="D292" s="115"/>
      <c r="E292" s="115"/>
      <c r="F292" s="115"/>
      <c r="G292" s="60" t="s">
        <v>127</v>
      </c>
      <c r="H292" s="124"/>
      <c r="I292" s="124"/>
      <c r="J292" s="60"/>
      <c r="K292" s="60"/>
      <c r="L292" s="60"/>
      <c r="M292" s="60"/>
      <c r="N292" s="60">
        <f t="shared" si="84"/>
        <v>0</v>
      </c>
      <c r="O292" s="60">
        <f t="shared" si="85"/>
        <v>0</v>
      </c>
    </row>
    <row r="293" spans="1:15" s="38" customFormat="1" ht="10.7" hidden="1" customHeight="1" outlineLevel="1" x14ac:dyDescent="0.25">
      <c r="A293" s="124"/>
      <c r="B293" s="142"/>
      <c r="C293" s="115"/>
      <c r="D293" s="115"/>
      <c r="E293" s="115"/>
      <c r="F293" s="115"/>
      <c r="G293" s="60" t="s">
        <v>128</v>
      </c>
      <c r="H293" s="124"/>
      <c r="I293" s="124"/>
      <c r="J293" s="60"/>
      <c r="K293" s="60"/>
      <c r="L293" s="60"/>
      <c r="M293" s="60"/>
      <c r="N293" s="60">
        <f t="shared" si="84"/>
        <v>0</v>
      </c>
      <c r="O293" s="60">
        <f t="shared" si="85"/>
        <v>0</v>
      </c>
    </row>
    <row r="294" spans="1:15" s="38" customFormat="1" ht="10.7" hidden="1" customHeight="1" outlineLevel="1" x14ac:dyDescent="0.25">
      <c r="A294" s="124"/>
      <c r="B294" s="142"/>
      <c r="C294" s="115"/>
      <c r="D294" s="115"/>
      <c r="E294" s="115"/>
      <c r="F294" s="115"/>
      <c r="G294" s="60" t="s">
        <v>129</v>
      </c>
      <c r="H294" s="124"/>
      <c r="I294" s="124"/>
      <c r="J294" s="60"/>
      <c r="K294" s="60"/>
      <c r="L294" s="60"/>
      <c r="M294" s="60"/>
      <c r="N294" s="60">
        <f t="shared" si="84"/>
        <v>0</v>
      </c>
      <c r="O294" s="60">
        <f t="shared" si="85"/>
        <v>0</v>
      </c>
    </row>
    <row r="295" spans="1:15" s="38" customFormat="1" ht="10.7" hidden="1" customHeight="1" outlineLevel="1" x14ac:dyDescent="0.25">
      <c r="A295" s="124"/>
      <c r="B295" s="142"/>
      <c r="C295" s="115"/>
      <c r="D295" s="115"/>
      <c r="E295" s="115"/>
      <c r="F295" s="115"/>
      <c r="G295" s="60" t="s">
        <v>130</v>
      </c>
      <c r="H295" s="124"/>
      <c r="I295" s="124"/>
      <c r="J295" s="60"/>
      <c r="K295" s="60"/>
      <c r="L295" s="60"/>
      <c r="M295" s="60"/>
      <c r="N295" s="60">
        <f t="shared" si="84"/>
        <v>0</v>
      </c>
      <c r="O295" s="60">
        <f t="shared" si="85"/>
        <v>0</v>
      </c>
    </row>
    <row r="296" spans="1:15" s="38" customFormat="1" ht="12" hidden="1" customHeight="1" outlineLevel="1" thickBot="1" x14ac:dyDescent="0.3">
      <c r="A296" s="125"/>
      <c r="B296" s="143"/>
      <c r="C296" s="131"/>
      <c r="D296" s="131"/>
      <c r="E296" s="131"/>
      <c r="F296" s="131"/>
      <c r="G296" s="60" t="s">
        <v>131</v>
      </c>
      <c r="H296" s="134"/>
      <c r="I296" s="134"/>
      <c r="J296" s="60"/>
      <c r="K296" s="60"/>
      <c r="L296" s="60"/>
      <c r="M296" s="60"/>
      <c r="N296" s="60">
        <f t="shared" si="84"/>
        <v>0</v>
      </c>
      <c r="O296" s="60">
        <f t="shared" si="85"/>
        <v>0</v>
      </c>
    </row>
    <row r="297" spans="1:15" ht="19.5" collapsed="1" thickBot="1" x14ac:dyDescent="0.35">
      <c r="A297" s="144" t="s">
        <v>99</v>
      </c>
      <c r="B297" s="145"/>
      <c r="C297" s="49">
        <f>C10+C67+C187+C202+C217+C232+C289</f>
        <v>0</v>
      </c>
      <c r="D297" s="62">
        <f>D10+D67+D187+D202+D217+D232+D289</f>
        <v>0</v>
      </c>
      <c r="E297" s="62">
        <f>E10+E67+E187+E202+E217+E232+E289</f>
        <v>0</v>
      </c>
      <c r="F297" s="59"/>
      <c r="G297" s="59"/>
      <c r="H297" s="59"/>
      <c r="I297" s="59"/>
      <c r="J297" s="59"/>
      <c r="K297" s="59"/>
      <c r="L297" s="59"/>
      <c r="M297" s="59"/>
      <c r="N297" s="59"/>
      <c r="O297" s="60"/>
    </row>
  </sheetData>
  <mergeCells count="339">
    <mergeCell ref="A2:O3"/>
    <mergeCell ref="C4:O4"/>
    <mergeCell ref="A5:A8"/>
    <mergeCell ref="B5:B8"/>
    <mergeCell ref="C5:C8"/>
    <mergeCell ref="D5:D8"/>
    <mergeCell ref="E5:E8"/>
    <mergeCell ref="F5:F8"/>
    <mergeCell ref="G5:O6"/>
    <mergeCell ref="G7:G8"/>
    <mergeCell ref="O7:O8"/>
    <mergeCell ref="H7:I7"/>
    <mergeCell ref="J7:J8"/>
    <mergeCell ref="K7:K8"/>
    <mergeCell ref="L7:L8"/>
    <mergeCell ref="M7:M8"/>
    <mergeCell ref="N7:N8"/>
    <mergeCell ref="A9:O9"/>
    <mergeCell ref="A11:A17"/>
    <mergeCell ref="B11:B17"/>
    <mergeCell ref="C11:C17"/>
    <mergeCell ref="D11:D17"/>
    <mergeCell ref="E11:E17"/>
    <mergeCell ref="F11:F17"/>
    <mergeCell ref="H11:H17"/>
    <mergeCell ref="I11:I17"/>
    <mergeCell ref="H18:H24"/>
    <mergeCell ref="I18:I24"/>
    <mergeCell ref="A25:A31"/>
    <mergeCell ref="B25:B31"/>
    <mergeCell ref="C25:C31"/>
    <mergeCell ref="D25:D31"/>
    <mergeCell ref="E25:E31"/>
    <mergeCell ref="F25:F31"/>
    <mergeCell ref="H25:H31"/>
    <mergeCell ref="I25:I31"/>
    <mergeCell ref="A18:A24"/>
    <mergeCell ref="B18:B24"/>
    <mergeCell ref="C18:C24"/>
    <mergeCell ref="D18:D24"/>
    <mergeCell ref="E18:E24"/>
    <mergeCell ref="F18:F24"/>
    <mergeCell ref="H32:H38"/>
    <mergeCell ref="I32:I38"/>
    <mergeCell ref="A39:A45"/>
    <mergeCell ref="B39:B45"/>
    <mergeCell ref="C39:C45"/>
    <mergeCell ref="D39:D45"/>
    <mergeCell ref="E39:E45"/>
    <mergeCell ref="F39:F45"/>
    <mergeCell ref="H39:H45"/>
    <mergeCell ref="I39:I45"/>
    <mergeCell ref="A32:A38"/>
    <mergeCell ref="B32:B38"/>
    <mergeCell ref="C32:C38"/>
    <mergeCell ref="D32:D38"/>
    <mergeCell ref="E32:E38"/>
    <mergeCell ref="F32:F38"/>
    <mergeCell ref="A60:A66"/>
    <mergeCell ref="B60:B66"/>
    <mergeCell ref="C60:C66"/>
    <mergeCell ref="D60:D66"/>
    <mergeCell ref="E60:E66"/>
    <mergeCell ref="F60:F66"/>
    <mergeCell ref="H60:H66"/>
    <mergeCell ref="I60:I66"/>
    <mergeCell ref="H46:H52"/>
    <mergeCell ref="I46:I52"/>
    <mergeCell ref="A53:A59"/>
    <mergeCell ref="B53:B59"/>
    <mergeCell ref="C53:C59"/>
    <mergeCell ref="D53:D59"/>
    <mergeCell ref="E53:E59"/>
    <mergeCell ref="F53:F59"/>
    <mergeCell ref="H53:H59"/>
    <mergeCell ref="I53:I59"/>
    <mergeCell ref="A46:A52"/>
    <mergeCell ref="B46:B52"/>
    <mergeCell ref="C46:C52"/>
    <mergeCell ref="D46:D52"/>
    <mergeCell ref="E46:E52"/>
    <mergeCell ref="F46:F52"/>
    <mergeCell ref="H82:H88"/>
    <mergeCell ref="I82:I88"/>
    <mergeCell ref="A82:A88"/>
    <mergeCell ref="B82:B88"/>
    <mergeCell ref="C82:C88"/>
    <mergeCell ref="D82:D88"/>
    <mergeCell ref="E82:E88"/>
    <mergeCell ref="F82:F88"/>
    <mergeCell ref="H68:H74"/>
    <mergeCell ref="I68:I74"/>
    <mergeCell ref="A75:A81"/>
    <mergeCell ref="B75:B81"/>
    <mergeCell ref="C75:C81"/>
    <mergeCell ref="D75:D81"/>
    <mergeCell ref="E75:E81"/>
    <mergeCell ref="F75:F81"/>
    <mergeCell ref="H75:H81"/>
    <mergeCell ref="I75:I81"/>
    <mergeCell ref="A68:A74"/>
    <mergeCell ref="B68:B74"/>
    <mergeCell ref="C68:C74"/>
    <mergeCell ref="D68:D74"/>
    <mergeCell ref="E68:E74"/>
    <mergeCell ref="F68:F74"/>
    <mergeCell ref="H188:H194"/>
    <mergeCell ref="I188:I194"/>
    <mergeCell ref="A195:A201"/>
    <mergeCell ref="B195:B201"/>
    <mergeCell ref="C195:C201"/>
    <mergeCell ref="D195:D201"/>
    <mergeCell ref="E195:E201"/>
    <mergeCell ref="F195:F201"/>
    <mergeCell ref="H195:H201"/>
    <mergeCell ref="I195:I201"/>
    <mergeCell ref="A188:A194"/>
    <mergeCell ref="B188:B194"/>
    <mergeCell ref="C188:C194"/>
    <mergeCell ref="D188:D194"/>
    <mergeCell ref="E188:E194"/>
    <mergeCell ref="F188:F194"/>
    <mergeCell ref="H210:H216"/>
    <mergeCell ref="I210:I216"/>
    <mergeCell ref="A210:A216"/>
    <mergeCell ref="B210:B216"/>
    <mergeCell ref="C210:C216"/>
    <mergeCell ref="D210:D216"/>
    <mergeCell ref="E210:E216"/>
    <mergeCell ref="F210:F216"/>
    <mergeCell ref="A203:A209"/>
    <mergeCell ref="B203:B209"/>
    <mergeCell ref="C203:C209"/>
    <mergeCell ref="D203:D209"/>
    <mergeCell ref="E203:E209"/>
    <mergeCell ref="F203:F209"/>
    <mergeCell ref="H203:H209"/>
    <mergeCell ref="I203:I209"/>
    <mergeCell ref="H218:H224"/>
    <mergeCell ref="I218:I224"/>
    <mergeCell ref="A225:A231"/>
    <mergeCell ref="B225:B231"/>
    <mergeCell ref="C225:C231"/>
    <mergeCell ref="D225:D231"/>
    <mergeCell ref="E225:E231"/>
    <mergeCell ref="F225:F231"/>
    <mergeCell ref="H225:H231"/>
    <mergeCell ref="I225:I231"/>
    <mergeCell ref="A218:A224"/>
    <mergeCell ref="B218:B224"/>
    <mergeCell ref="C218:C224"/>
    <mergeCell ref="D218:D224"/>
    <mergeCell ref="E218:E224"/>
    <mergeCell ref="F218:F224"/>
    <mergeCell ref="H240:H246"/>
    <mergeCell ref="I240:I246"/>
    <mergeCell ref="A240:A246"/>
    <mergeCell ref="B240:B246"/>
    <mergeCell ref="C240:C246"/>
    <mergeCell ref="D240:D246"/>
    <mergeCell ref="E240:E246"/>
    <mergeCell ref="F240:F246"/>
    <mergeCell ref="A233:A239"/>
    <mergeCell ref="B233:B239"/>
    <mergeCell ref="C233:C239"/>
    <mergeCell ref="D233:D239"/>
    <mergeCell ref="E233:E239"/>
    <mergeCell ref="F233:F239"/>
    <mergeCell ref="H233:H239"/>
    <mergeCell ref="I233:I239"/>
    <mergeCell ref="F261:F267"/>
    <mergeCell ref="H261:H267"/>
    <mergeCell ref="I261:I267"/>
    <mergeCell ref="H247:H253"/>
    <mergeCell ref="I247:I253"/>
    <mergeCell ref="A254:A260"/>
    <mergeCell ref="B254:B260"/>
    <mergeCell ref="C254:C260"/>
    <mergeCell ref="D254:D260"/>
    <mergeCell ref="E254:E260"/>
    <mergeCell ref="F254:F260"/>
    <mergeCell ref="H254:H260"/>
    <mergeCell ref="I254:I260"/>
    <mergeCell ref="A247:A253"/>
    <mergeCell ref="B247:B253"/>
    <mergeCell ref="C247:C253"/>
    <mergeCell ref="D247:D253"/>
    <mergeCell ref="E247:E253"/>
    <mergeCell ref="F247:F253"/>
    <mergeCell ref="H268:H274"/>
    <mergeCell ref="I268:I274"/>
    <mergeCell ref="A275:A281"/>
    <mergeCell ref="B275:B281"/>
    <mergeCell ref="C275:C281"/>
    <mergeCell ref="D275:D281"/>
    <mergeCell ref="E275:E281"/>
    <mergeCell ref="F275:F281"/>
    <mergeCell ref="H275:H281"/>
    <mergeCell ref="I275:I281"/>
    <mergeCell ref="A268:A274"/>
    <mergeCell ref="B268:B274"/>
    <mergeCell ref="C268:C274"/>
    <mergeCell ref="D268:D274"/>
    <mergeCell ref="E268:E274"/>
    <mergeCell ref="F268:F274"/>
    <mergeCell ref="F290:F296"/>
    <mergeCell ref="H290:H296"/>
    <mergeCell ref="I290:I296"/>
    <mergeCell ref="H282:H288"/>
    <mergeCell ref="I282:I288"/>
    <mergeCell ref="A282:A288"/>
    <mergeCell ref="B282:B288"/>
    <mergeCell ref="C282:C288"/>
    <mergeCell ref="D282:D288"/>
    <mergeCell ref="E282:E288"/>
    <mergeCell ref="F282:F288"/>
    <mergeCell ref="A297:B297"/>
    <mergeCell ref="A89:A95"/>
    <mergeCell ref="B89:B95"/>
    <mergeCell ref="C89:C95"/>
    <mergeCell ref="D89:D95"/>
    <mergeCell ref="E89:E95"/>
    <mergeCell ref="A110:A116"/>
    <mergeCell ref="B110:B116"/>
    <mergeCell ref="C110:C116"/>
    <mergeCell ref="D110:D116"/>
    <mergeCell ref="A290:A296"/>
    <mergeCell ref="B290:B296"/>
    <mergeCell ref="C290:C296"/>
    <mergeCell ref="D290:D296"/>
    <mergeCell ref="E290:E296"/>
    <mergeCell ref="A261:A267"/>
    <mergeCell ref="B261:B267"/>
    <mergeCell ref="C261:C267"/>
    <mergeCell ref="D261:D267"/>
    <mergeCell ref="E261:E267"/>
    <mergeCell ref="A166:A172"/>
    <mergeCell ref="B166:B172"/>
    <mergeCell ref="C166:C172"/>
    <mergeCell ref="D166:D172"/>
    <mergeCell ref="F89:F95"/>
    <mergeCell ref="H89:H95"/>
    <mergeCell ref="I89:I95"/>
    <mergeCell ref="A96:A102"/>
    <mergeCell ref="B96:B102"/>
    <mergeCell ref="C96:C102"/>
    <mergeCell ref="D96:D102"/>
    <mergeCell ref="E96:E102"/>
    <mergeCell ref="F96:F102"/>
    <mergeCell ref="H96:H102"/>
    <mergeCell ref="I96:I102"/>
    <mergeCell ref="A103:A109"/>
    <mergeCell ref="B103:B109"/>
    <mergeCell ref="C103:C109"/>
    <mergeCell ref="D103:D109"/>
    <mergeCell ref="E103:E109"/>
    <mergeCell ref="F103:F109"/>
    <mergeCell ref="H103:H109"/>
    <mergeCell ref="I103:I109"/>
    <mergeCell ref="H110:H116"/>
    <mergeCell ref="I110:I116"/>
    <mergeCell ref="A117:A123"/>
    <mergeCell ref="B117:B123"/>
    <mergeCell ref="C117:C123"/>
    <mergeCell ref="D117:D123"/>
    <mergeCell ref="E117:E123"/>
    <mergeCell ref="F117:F123"/>
    <mergeCell ref="H117:H123"/>
    <mergeCell ref="I117:I123"/>
    <mergeCell ref="E110:E116"/>
    <mergeCell ref="F110:F116"/>
    <mergeCell ref="A131:A137"/>
    <mergeCell ref="B131:B137"/>
    <mergeCell ref="C131:C137"/>
    <mergeCell ref="D131:D137"/>
    <mergeCell ref="E131:E137"/>
    <mergeCell ref="F131:F137"/>
    <mergeCell ref="A124:A130"/>
    <mergeCell ref="B124:B130"/>
    <mergeCell ref="C124:C130"/>
    <mergeCell ref="D124:D130"/>
    <mergeCell ref="F138:F144"/>
    <mergeCell ref="H138:H144"/>
    <mergeCell ref="I138:I144"/>
    <mergeCell ref="E145:E151"/>
    <mergeCell ref="F145:F151"/>
    <mergeCell ref="H145:H151"/>
    <mergeCell ref="I145:I151"/>
    <mergeCell ref="E124:E130"/>
    <mergeCell ref="F124:F130"/>
    <mergeCell ref="H124:H130"/>
    <mergeCell ref="I124:I130"/>
    <mergeCell ref="H131:H137"/>
    <mergeCell ref="I131:I137"/>
    <mergeCell ref="A145:A151"/>
    <mergeCell ref="B145:B151"/>
    <mergeCell ref="C145:C151"/>
    <mergeCell ref="D145:D151"/>
    <mergeCell ref="A138:A144"/>
    <mergeCell ref="B138:B144"/>
    <mergeCell ref="C138:C144"/>
    <mergeCell ref="D138:D144"/>
    <mergeCell ref="E138:E144"/>
    <mergeCell ref="H152:H158"/>
    <mergeCell ref="I152:I158"/>
    <mergeCell ref="A159:A165"/>
    <mergeCell ref="B159:B165"/>
    <mergeCell ref="C159:C165"/>
    <mergeCell ref="D159:D165"/>
    <mergeCell ref="E159:E165"/>
    <mergeCell ref="F159:F165"/>
    <mergeCell ref="H159:H165"/>
    <mergeCell ref="I159:I165"/>
    <mergeCell ref="A152:A158"/>
    <mergeCell ref="B152:B158"/>
    <mergeCell ref="C152:C158"/>
    <mergeCell ref="D152:D158"/>
    <mergeCell ref="E152:E158"/>
    <mergeCell ref="F152:F158"/>
    <mergeCell ref="A180:A186"/>
    <mergeCell ref="B180:B186"/>
    <mergeCell ref="C180:C186"/>
    <mergeCell ref="D180:D186"/>
    <mergeCell ref="E180:E186"/>
    <mergeCell ref="F180:F186"/>
    <mergeCell ref="H180:H186"/>
    <mergeCell ref="I180:I186"/>
    <mergeCell ref="E166:E172"/>
    <mergeCell ref="F166:F172"/>
    <mergeCell ref="H166:H172"/>
    <mergeCell ref="I166:I172"/>
    <mergeCell ref="A173:A179"/>
    <mergeCell ref="B173:B179"/>
    <mergeCell ref="C173:C179"/>
    <mergeCell ref="D173:D179"/>
    <mergeCell ref="E173:E179"/>
    <mergeCell ref="F173:F179"/>
    <mergeCell ref="H173:H179"/>
    <mergeCell ref="I173:I17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8"/>
  <sheetViews>
    <sheetView zoomScale="60" zoomScaleNormal="60" workbookViewId="0">
      <selection activeCell="A2" sqref="A2:O3"/>
    </sheetView>
  </sheetViews>
  <sheetFormatPr defaultColWidth="9.140625" defaultRowHeight="15" outlineLevelRow="1" x14ac:dyDescent="0.25"/>
  <cols>
    <col min="1" max="1" width="8.42578125" style="22" customWidth="1"/>
    <col min="2" max="2" width="100.5703125" style="21" customWidth="1"/>
    <col min="3" max="3" width="14.85546875" style="21" customWidth="1"/>
    <col min="4" max="5" width="12.42578125" style="21" customWidth="1"/>
    <col min="6" max="6" width="14.42578125" style="21" customWidth="1"/>
    <col min="7" max="7" width="13.140625" style="21" customWidth="1"/>
    <col min="8" max="8" width="10.85546875" style="21" customWidth="1"/>
    <col min="9" max="9" width="9.85546875" style="21" customWidth="1"/>
    <col min="10" max="10" width="7" style="21" customWidth="1"/>
    <col min="11" max="11" width="8" style="21" customWidth="1"/>
    <col min="12" max="12" width="9.140625" style="21" customWidth="1"/>
    <col min="13" max="13" width="14.5703125" style="21" customWidth="1"/>
    <col min="14" max="14" width="17.85546875" style="21" customWidth="1"/>
    <col min="15" max="15" width="18.85546875" style="21" customWidth="1"/>
    <col min="16" max="16" width="17.42578125" style="21" customWidth="1"/>
    <col min="17" max="16384" width="9.140625" style="21"/>
  </cols>
  <sheetData>
    <row r="1" spans="1:15" ht="55.35" customHeight="1" x14ac:dyDescent="0.25">
      <c r="A1" s="23" t="s">
        <v>0</v>
      </c>
      <c r="B1" s="19"/>
      <c r="C1" s="20" t="s">
        <v>1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5" ht="15" customHeight="1" x14ac:dyDescent="0.25">
      <c r="A2" s="107" t="s">
        <v>975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</row>
    <row r="3" spans="1:15" ht="36" customHeight="1" thickBot="1" x14ac:dyDescent="0.3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</row>
    <row r="4" spans="1:15" ht="13.7" customHeight="1" thickBot="1" x14ac:dyDescent="0.3">
      <c r="A4" s="55"/>
      <c r="B4" s="55"/>
      <c r="C4" s="109" t="s">
        <v>106</v>
      </c>
      <c r="D4" s="110"/>
      <c r="E4" s="110"/>
      <c r="F4" s="111"/>
      <c r="G4" s="111"/>
      <c r="H4" s="111"/>
      <c r="I4" s="111"/>
      <c r="J4" s="111"/>
      <c r="K4" s="111"/>
      <c r="L4" s="111"/>
      <c r="M4" s="111"/>
      <c r="N4" s="111"/>
      <c r="O4" s="112"/>
    </row>
    <row r="5" spans="1:15" s="38" customFormat="1" ht="19.5" customHeight="1" x14ac:dyDescent="0.25">
      <c r="A5" s="113" t="s">
        <v>3</v>
      </c>
      <c r="B5" s="113" t="s">
        <v>4</v>
      </c>
      <c r="C5" s="113" t="s">
        <v>53</v>
      </c>
      <c r="D5" s="113" t="s">
        <v>107</v>
      </c>
      <c r="E5" s="113" t="s">
        <v>385</v>
      </c>
      <c r="F5" s="113" t="s">
        <v>109</v>
      </c>
      <c r="G5" s="117" t="s">
        <v>110</v>
      </c>
      <c r="H5" s="118"/>
      <c r="I5" s="118"/>
      <c r="J5" s="118"/>
      <c r="K5" s="118"/>
      <c r="L5" s="118"/>
      <c r="M5" s="118"/>
      <c r="N5" s="118"/>
      <c r="O5" s="119"/>
    </row>
    <row r="6" spans="1:15" s="38" customFormat="1" ht="19.5" customHeight="1" thickBot="1" x14ac:dyDescent="0.3">
      <c r="A6" s="114"/>
      <c r="B6" s="114"/>
      <c r="C6" s="114"/>
      <c r="D6" s="115"/>
      <c r="E6" s="115"/>
      <c r="F6" s="116"/>
      <c r="G6" s="120"/>
      <c r="H6" s="121"/>
      <c r="I6" s="121"/>
      <c r="J6" s="121"/>
      <c r="K6" s="121"/>
      <c r="L6" s="121"/>
      <c r="M6" s="121"/>
      <c r="N6" s="121"/>
      <c r="O6" s="122"/>
    </row>
    <row r="7" spans="1:15" s="38" customFormat="1" ht="25.35" customHeight="1" thickBot="1" x14ac:dyDescent="0.3">
      <c r="A7" s="115"/>
      <c r="B7" s="115"/>
      <c r="C7" s="115"/>
      <c r="D7" s="115"/>
      <c r="E7" s="115"/>
      <c r="F7" s="115"/>
      <c r="G7" s="100" t="s">
        <v>111</v>
      </c>
      <c r="H7" s="105" t="s">
        <v>112</v>
      </c>
      <c r="I7" s="106"/>
      <c r="J7" s="100" t="s">
        <v>113</v>
      </c>
      <c r="K7" s="100" t="s">
        <v>114</v>
      </c>
      <c r="L7" s="100" t="s">
        <v>115</v>
      </c>
      <c r="M7" s="100" t="s">
        <v>116</v>
      </c>
      <c r="N7" s="100" t="s">
        <v>117</v>
      </c>
      <c r="O7" s="100" t="s">
        <v>386</v>
      </c>
    </row>
    <row r="8" spans="1:15" s="38" customFormat="1" ht="19.5" customHeight="1" thickBot="1" x14ac:dyDescent="0.3">
      <c r="A8" s="101"/>
      <c r="B8" s="101"/>
      <c r="C8" s="101"/>
      <c r="D8" s="101"/>
      <c r="E8" s="101"/>
      <c r="F8" s="101"/>
      <c r="G8" s="101"/>
      <c r="H8" s="61" t="s">
        <v>119</v>
      </c>
      <c r="I8" s="61" t="s">
        <v>120</v>
      </c>
      <c r="J8" s="101"/>
      <c r="K8" s="101"/>
      <c r="L8" s="101"/>
      <c r="M8" s="101"/>
      <c r="N8" s="101"/>
      <c r="O8" s="101"/>
    </row>
    <row r="9" spans="1:15" s="38" customFormat="1" ht="19.5" customHeight="1" thickBot="1" x14ac:dyDescent="0.3">
      <c r="A9" s="102" t="s">
        <v>341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4"/>
    </row>
    <row r="10" spans="1:15" s="39" customFormat="1" ht="16.5" thickBot="1" x14ac:dyDescent="0.3">
      <c r="A10" s="37" t="s">
        <v>8</v>
      </c>
      <c r="B10" s="34" t="s">
        <v>122</v>
      </c>
      <c r="C10" s="35">
        <f>SUM(C11:C59)</f>
        <v>0</v>
      </c>
      <c r="D10" s="35">
        <f>SUM(D11:D59)</f>
        <v>0</v>
      </c>
      <c r="E10" s="35">
        <f>SUM(E11:E59)</f>
        <v>0</v>
      </c>
      <c r="F10" s="56"/>
      <c r="G10" s="56"/>
      <c r="H10" s="56"/>
      <c r="I10" s="56"/>
      <c r="J10" s="56"/>
      <c r="K10" s="56"/>
      <c r="L10" s="56"/>
      <c r="M10" s="56"/>
      <c r="N10" s="56"/>
      <c r="O10" s="35">
        <f>SUM(O11:O59)</f>
        <v>0</v>
      </c>
    </row>
    <row r="11" spans="1:15" s="38" customFormat="1" ht="14.45" hidden="1" customHeight="1" outlineLevel="1" x14ac:dyDescent="0.25">
      <c r="A11" s="140" t="s">
        <v>123</v>
      </c>
      <c r="B11" s="141" t="s">
        <v>342</v>
      </c>
      <c r="C11" s="130">
        <f>SUM(N11:N17)</f>
        <v>0</v>
      </c>
      <c r="D11" s="130">
        <f>SUM(O11:O17)</f>
        <v>0</v>
      </c>
      <c r="E11" s="130">
        <f>D11/8</f>
        <v>0</v>
      </c>
      <c r="F11" s="130"/>
      <c r="G11" s="60" t="s">
        <v>125</v>
      </c>
      <c r="H11" s="123"/>
      <c r="I11" s="123"/>
      <c r="J11" s="60"/>
      <c r="K11" s="60"/>
      <c r="L11" s="60"/>
      <c r="M11" s="60"/>
      <c r="N11" s="60">
        <f>M11*J11*K11*L11</f>
        <v>0</v>
      </c>
      <c r="O11" s="60">
        <f>J11*K11*L11</f>
        <v>0</v>
      </c>
    </row>
    <row r="12" spans="1:15" s="38" customFormat="1" ht="11.45" hidden="1" customHeight="1" outlineLevel="1" x14ac:dyDescent="0.25">
      <c r="A12" s="124"/>
      <c r="B12" s="128"/>
      <c r="C12" s="115"/>
      <c r="D12" s="115"/>
      <c r="E12" s="148"/>
      <c r="F12" s="115"/>
      <c r="G12" s="60" t="s">
        <v>126</v>
      </c>
      <c r="H12" s="124"/>
      <c r="I12" s="124"/>
      <c r="J12" s="60"/>
      <c r="K12" s="60"/>
      <c r="L12" s="60"/>
      <c r="M12" s="60"/>
      <c r="N12" s="60">
        <f t="shared" ref="N12:N17" si="0">M12*J12*K12*L12</f>
        <v>0</v>
      </c>
      <c r="O12" s="60">
        <f t="shared" ref="O12:O17" si="1">J12*K12*L12</f>
        <v>0</v>
      </c>
    </row>
    <row r="13" spans="1:15" s="38" customFormat="1" ht="10.7" hidden="1" customHeight="1" outlineLevel="1" x14ac:dyDescent="0.25">
      <c r="A13" s="124"/>
      <c r="B13" s="128"/>
      <c r="C13" s="115"/>
      <c r="D13" s="115"/>
      <c r="E13" s="148"/>
      <c r="F13" s="115"/>
      <c r="G13" s="60" t="s">
        <v>127</v>
      </c>
      <c r="H13" s="124"/>
      <c r="I13" s="124"/>
      <c r="J13" s="60"/>
      <c r="K13" s="60"/>
      <c r="L13" s="60"/>
      <c r="M13" s="60"/>
      <c r="N13" s="60">
        <f t="shared" si="0"/>
        <v>0</v>
      </c>
      <c r="O13" s="60">
        <f t="shared" si="1"/>
        <v>0</v>
      </c>
    </row>
    <row r="14" spans="1:15" s="38" customFormat="1" ht="10.7" hidden="1" customHeight="1" outlineLevel="1" x14ac:dyDescent="0.25">
      <c r="A14" s="124"/>
      <c r="B14" s="128"/>
      <c r="C14" s="115"/>
      <c r="D14" s="115"/>
      <c r="E14" s="148"/>
      <c r="F14" s="115"/>
      <c r="G14" s="60" t="s">
        <v>128</v>
      </c>
      <c r="H14" s="124"/>
      <c r="I14" s="124"/>
      <c r="J14" s="60"/>
      <c r="K14" s="60"/>
      <c r="L14" s="60"/>
      <c r="M14" s="60"/>
      <c r="N14" s="60">
        <f t="shared" si="0"/>
        <v>0</v>
      </c>
      <c r="O14" s="60">
        <f t="shared" si="1"/>
        <v>0</v>
      </c>
    </row>
    <row r="15" spans="1:15" s="38" customFormat="1" ht="10.7" hidden="1" customHeight="1" outlineLevel="1" x14ac:dyDescent="0.25">
      <c r="A15" s="124"/>
      <c r="B15" s="128"/>
      <c r="C15" s="115"/>
      <c r="D15" s="115"/>
      <c r="E15" s="148"/>
      <c r="F15" s="115"/>
      <c r="G15" s="60" t="s">
        <v>129</v>
      </c>
      <c r="H15" s="124"/>
      <c r="I15" s="124"/>
      <c r="J15" s="60"/>
      <c r="K15" s="60"/>
      <c r="L15" s="60"/>
      <c r="M15" s="60"/>
      <c r="N15" s="60">
        <f t="shared" si="0"/>
        <v>0</v>
      </c>
      <c r="O15" s="60">
        <f t="shared" si="1"/>
        <v>0</v>
      </c>
    </row>
    <row r="16" spans="1:15" s="38" customFormat="1" ht="10.7" hidden="1" customHeight="1" outlineLevel="1" x14ac:dyDescent="0.25">
      <c r="A16" s="124"/>
      <c r="B16" s="128"/>
      <c r="C16" s="115"/>
      <c r="D16" s="115"/>
      <c r="E16" s="148"/>
      <c r="F16" s="115"/>
      <c r="G16" s="60" t="s">
        <v>130</v>
      </c>
      <c r="H16" s="124"/>
      <c r="I16" s="124"/>
      <c r="J16" s="60"/>
      <c r="K16" s="60"/>
      <c r="L16" s="60"/>
      <c r="M16" s="60"/>
      <c r="N16" s="60">
        <f t="shared" si="0"/>
        <v>0</v>
      </c>
      <c r="O16" s="60">
        <f t="shared" si="1"/>
        <v>0</v>
      </c>
    </row>
    <row r="17" spans="1:15" s="38" customFormat="1" ht="12" hidden="1" customHeight="1" outlineLevel="1" x14ac:dyDescent="0.25">
      <c r="A17" s="125"/>
      <c r="B17" s="129"/>
      <c r="C17" s="131"/>
      <c r="D17" s="131"/>
      <c r="E17" s="149"/>
      <c r="F17" s="131"/>
      <c r="G17" s="60" t="s">
        <v>131</v>
      </c>
      <c r="H17" s="125"/>
      <c r="I17" s="125"/>
      <c r="J17" s="60"/>
      <c r="K17" s="60"/>
      <c r="L17" s="60"/>
      <c r="M17" s="60"/>
      <c r="N17" s="60">
        <f t="shared" si="0"/>
        <v>0</v>
      </c>
      <c r="O17" s="60">
        <f t="shared" si="1"/>
        <v>0</v>
      </c>
    </row>
    <row r="18" spans="1:15" s="38" customFormat="1" ht="14.45" hidden="1" customHeight="1" outlineLevel="1" x14ac:dyDescent="0.25">
      <c r="A18" s="140" t="s">
        <v>132</v>
      </c>
      <c r="B18" s="141" t="s">
        <v>387</v>
      </c>
      <c r="C18" s="130">
        <f>SUM(N18:N24)</f>
        <v>0</v>
      </c>
      <c r="D18" s="130">
        <f>SUM(O18:O24)</f>
        <v>0</v>
      </c>
      <c r="E18" s="130">
        <f t="shared" ref="E18" si="2">D18/8</f>
        <v>0</v>
      </c>
      <c r="F18" s="130"/>
      <c r="G18" s="60" t="s">
        <v>125</v>
      </c>
      <c r="H18" s="123"/>
      <c r="I18" s="123"/>
      <c r="J18" s="60"/>
      <c r="K18" s="60"/>
      <c r="L18" s="60"/>
      <c r="M18" s="60"/>
      <c r="N18" s="60">
        <f>M18*J18*K18*L18</f>
        <v>0</v>
      </c>
      <c r="O18" s="60">
        <f>J18*K18*L18</f>
        <v>0</v>
      </c>
    </row>
    <row r="19" spans="1:15" s="38" customFormat="1" ht="11.45" hidden="1" customHeight="1" outlineLevel="1" x14ac:dyDescent="0.25">
      <c r="A19" s="124"/>
      <c r="B19" s="128"/>
      <c r="C19" s="115"/>
      <c r="D19" s="115"/>
      <c r="E19" s="148"/>
      <c r="F19" s="115"/>
      <c r="G19" s="60" t="s">
        <v>126</v>
      </c>
      <c r="H19" s="124"/>
      <c r="I19" s="124"/>
      <c r="J19" s="60"/>
      <c r="K19" s="60"/>
      <c r="L19" s="60"/>
      <c r="M19" s="60"/>
      <c r="N19" s="60">
        <f t="shared" ref="N19:N24" si="3">M19*J19*K19*L19</f>
        <v>0</v>
      </c>
      <c r="O19" s="60">
        <f t="shared" ref="O19:O24" si="4">J19*K19*L19</f>
        <v>0</v>
      </c>
    </row>
    <row r="20" spans="1:15" s="38" customFormat="1" ht="10.7" hidden="1" customHeight="1" outlineLevel="1" x14ac:dyDescent="0.25">
      <c r="A20" s="124"/>
      <c r="B20" s="128"/>
      <c r="C20" s="115"/>
      <c r="D20" s="115"/>
      <c r="E20" s="148"/>
      <c r="F20" s="115"/>
      <c r="G20" s="60" t="s">
        <v>127</v>
      </c>
      <c r="H20" s="124"/>
      <c r="I20" s="124"/>
      <c r="J20" s="60"/>
      <c r="K20" s="60"/>
      <c r="L20" s="60"/>
      <c r="M20" s="60"/>
      <c r="N20" s="60">
        <f t="shared" si="3"/>
        <v>0</v>
      </c>
      <c r="O20" s="60">
        <f t="shared" si="4"/>
        <v>0</v>
      </c>
    </row>
    <row r="21" spans="1:15" s="38" customFormat="1" ht="10.7" hidden="1" customHeight="1" outlineLevel="1" x14ac:dyDescent="0.25">
      <c r="A21" s="124"/>
      <c r="B21" s="128"/>
      <c r="C21" s="115"/>
      <c r="D21" s="115"/>
      <c r="E21" s="148"/>
      <c r="F21" s="115"/>
      <c r="G21" s="60" t="s">
        <v>128</v>
      </c>
      <c r="H21" s="124"/>
      <c r="I21" s="124"/>
      <c r="J21" s="60"/>
      <c r="K21" s="60"/>
      <c r="L21" s="60"/>
      <c r="M21" s="60"/>
      <c r="N21" s="60">
        <f t="shared" si="3"/>
        <v>0</v>
      </c>
      <c r="O21" s="60">
        <f t="shared" si="4"/>
        <v>0</v>
      </c>
    </row>
    <row r="22" spans="1:15" s="38" customFormat="1" ht="10.7" hidden="1" customHeight="1" outlineLevel="1" x14ac:dyDescent="0.25">
      <c r="A22" s="124"/>
      <c r="B22" s="128"/>
      <c r="C22" s="115"/>
      <c r="D22" s="115"/>
      <c r="E22" s="148"/>
      <c r="F22" s="115"/>
      <c r="G22" s="60" t="s">
        <v>129</v>
      </c>
      <c r="H22" s="124"/>
      <c r="I22" s="124"/>
      <c r="J22" s="60"/>
      <c r="K22" s="60"/>
      <c r="L22" s="60"/>
      <c r="M22" s="60"/>
      <c r="N22" s="60">
        <f t="shared" si="3"/>
        <v>0</v>
      </c>
      <c r="O22" s="60">
        <f t="shared" si="4"/>
        <v>0</v>
      </c>
    </row>
    <row r="23" spans="1:15" s="38" customFormat="1" ht="10.7" hidden="1" customHeight="1" outlineLevel="1" x14ac:dyDescent="0.25">
      <c r="A23" s="124"/>
      <c r="B23" s="128"/>
      <c r="C23" s="115"/>
      <c r="D23" s="115"/>
      <c r="E23" s="148"/>
      <c r="F23" s="115"/>
      <c r="G23" s="60" t="s">
        <v>130</v>
      </c>
      <c r="H23" s="124"/>
      <c r="I23" s="124"/>
      <c r="J23" s="60"/>
      <c r="K23" s="60"/>
      <c r="L23" s="60"/>
      <c r="M23" s="60"/>
      <c r="N23" s="60">
        <f t="shared" si="3"/>
        <v>0</v>
      </c>
      <c r="O23" s="60">
        <f t="shared" si="4"/>
        <v>0</v>
      </c>
    </row>
    <row r="24" spans="1:15" s="38" customFormat="1" ht="12" hidden="1" customHeight="1" outlineLevel="1" x14ac:dyDescent="0.25">
      <c r="A24" s="125"/>
      <c r="B24" s="129"/>
      <c r="C24" s="131"/>
      <c r="D24" s="131"/>
      <c r="E24" s="149"/>
      <c r="F24" s="131"/>
      <c r="G24" s="60" t="s">
        <v>131</v>
      </c>
      <c r="H24" s="125"/>
      <c r="I24" s="125"/>
      <c r="J24" s="60"/>
      <c r="K24" s="60"/>
      <c r="L24" s="60"/>
      <c r="M24" s="60"/>
      <c r="N24" s="60">
        <f t="shared" si="3"/>
        <v>0</v>
      </c>
      <c r="O24" s="60">
        <f t="shared" si="4"/>
        <v>0</v>
      </c>
    </row>
    <row r="25" spans="1:15" s="38" customFormat="1" ht="14.45" hidden="1" customHeight="1" outlineLevel="1" x14ac:dyDescent="0.25">
      <c r="A25" s="140" t="s">
        <v>134</v>
      </c>
      <c r="B25" s="141" t="s">
        <v>388</v>
      </c>
      <c r="C25" s="130">
        <f>SUM(N25:N31)</f>
        <v>0</v>
      </c>
      <c r="D25" s="130">
        <f>SUM(O25:O31)</f>
        <v>0</v>
      </c>
      <c r="E25" s="130">
        <f t="shared" ref="E25" si="5">D25/8</f>
        <v>0</v>
      </c>
      <c r="F25" s="130"/>
      <c r="G25" s="60" t="s">
        <v>125</v>
      </c>
      <c r="H25" s="123"/>
      <c r="I25" s="123"/>
      <c r="J25" s="60"/>
      <c r="K25" s="60"/>
      <c r="L25" s="60"/>
      <c r="M25" s="60"/>
      <c r="N25" s="60">
        <f>M25*J25*K25*L25</f>
        <v>0</v>
      </c>
      <c r="O25" s="60">
        <f>J25*K25*L25</f>
        <v>0</v>
      </c>
    </row>
    <row r="26" spans="1:15" s="38" customFormat="1" ht="11.45" hidden="1" customHeight="1" outlineLevel="1" x14ac:dyDescent="0.25">
      <c r="A26" s="124"/>
      <c r="B26" s="128"/>
      <c r="C26" s="115"/>
      <c r="D26" s="115"/>
      <c r="E26" s="148"/>
      <c r="F26" s="115"/>
      <c r="G26" s="60" t="s">
        <v>126</v>
      </c>
      <c r="H26" s="124"/>
      <c r="I26" s="124"/>
      <c r="J26" s="60"/>
      <c r="K26" s="60"/>
      <c r="L26" s="60"/>
      <c r="M26" s="60"/>
      <c r="N26" s="60">
        <f t="shared" ref="N26:N31" si="6">M26*J26*K26*L26</f>
        <v>0</v>
      </c>
      <c r="O26" s="60">
        <f t="shared" ref="O26:O31" si="7">J26*K26*L26</f>
        <v>0</v>
      </c>
    </row>
    <row r="27" spans="1:15" s="38" customFormat="1" ht="10.7" hidden="1" customHeight="1" outlineLevel="1" x14ac:dyDescent="0.25">
      <c r="A27" s="124"/>
      <c r="B27" s="128"/>
      <c r="C27" s="115"/>
      <c r="D27" s="115"/>
      <c r="E27" s="148"/>
      <c r="F27" s="115"/>
      <c r="G27" s="60" t="s">
        <v>127</v>
      </c>
      <c r="H27" s="124"/>
      <c r="I27" s="124"/>
      <c r="J27" s="60"/>
      <c r="K27" s="60"/>
      <c r="L27" s="60"/>
      <c r="M27" s="60"/>
      <c r="N27" s="60">
        <f t="shared" si="6"/>
        <v>0</v>
      </c>
      <c r="O27" s="60">
        <f t="shared" si="7"/>
        <v>0</v>
      </c>
    </row>
    <row r="28" spans="1:15" s="38" customFormat="1" ht="10.7" hidden="1" customHeight="1" outlineLevel="1" x14ac:dyDescent="0.25">
      <c r="A28" s="124"/>
      <c r="B28" s="128"/>
      <c r="C28" s="115"/>
      <c r="D28" s="115"/>
      <c r="E28" s="148"/>
      <c r="F28" s="115"/>
      <c r="G28" s="60" t="s">
        <v>128</v>
      </c>
      <c r="H28" s="124"/>
      <c r="I28" s="124"/>
      <c r="J28" s="60"/>
      <c r="K28" s="60"/>
      <c r="L28" s="60"/>
      <c r="M28" s="60"/>
      <c r="N28" s="60">
        <f t="shared" si="6"/>
        <v>0</v>
      </c>
      <c r="O28" s="60">
        <f t="shared" si="7"/>
        <v>0</v>
      </c>
    </row>
    <row r="29" spans="1:15" s="38" customFormat="1" ht="10.7" hidden="1" customHeight="1" outlineLevel="1" x14ac:dyDescent="0.25">
      <c r="A29" s="124"/>
      <c r="B29" s="128"/>
      <c r="C29" s="115"/>
      <c r="D29" s="115"/>
      <c r="E29" s="148"/>
      <c r="F29" s="115"/>
      <c r="G29" s="60" t="s">
        <v>129</v>
      </c>
      <c r="H29" s="124"/>
      <c r="I29" s="124"/>
      <c r="J29" s="60"/>
      <c r="K29" s="60"/>
      <c r="L29" s="60"/>
      <c r="M29" s="60"/>
      <c r="N29" s="60">
        <f t="shared" si="6"/>
        <v>0</v>
      </c>
      <c r="O29" s="60">
        <f t="shared" si="7"/>
        <v>0</v>
      </c>
    </row>
    <row r="30" spans="1:15" s="38" customFormat="1" ht="10.7" hidden="1" customHeight="1" outlineLevel="1" x14ac:dyDescent="0.25">
      <c r="A30" s="124"/>
      <c r="B30" s="128"/>
      <c r="C30" s="115"/>
      <c r="D30" s="115"/>
      <c r="E30" s="148"/>
      <c r="F30" s="115"/>
      <c r="G30" s="60" t="s">
        <v>130</v>
      </c>
      <c r="H30" s="124"/>
      <c r="I30" s="124"/>
      <c r="J30" s="60"/>
      <c r="K30" s="60"/>
      <c r="L30" s="60"/>
      <c r="M30" s="60"/>
      <c r="N30" s="60">
        <f t="shared" si="6"/>
        <v>0</v>
      </c>
      <c r="O30" s="60">
        <f t="shared" si="7"/>
        <v>0</v>
      </c>
    </row>
    <row r="31" spans="1:15" s="38" customFormat="1" ht="12" hidden="1" customHeight="1" outlineLevel="1" x14ac:dyDescent="0.25">
      <c r="A31" s="125"/>
      <c r="B31" s="129"/>
      <c r="C31" s="131"/>
      <c r="D31" s="131"/>
      <c r="E31" s="149"/>
      <c r="F31" s="131"/>
      <c r="G31" s="60" t="s">
        <v>131</v>
      </c>
      <c r="H31" s="125"/>
      <c r="I31" s="125"/>
      <c r="J31" s="60"/>
      <c r="K31" s="60"/>
      <c r="L31" s="60"/>
      <c r="M31" s="60"/>
      <c r="N31" s="60">
        <f t="shared" si="6"/>
        <v>0</v>
      </c>
      <c r="O31" s="60">
        <f t="shared" si="7"/>
        <v>0</v>
      </c>
    </row>
    <row r="32" spans="1:15" s="38" customFormat="1" ht="14.45" hidden="1" customHeight="1" outlineLevel="1" x14ac:dyDescent="0.25">
      <c r="A32" s="140" t="s">
        <v>136</v>
      </c>
      <c r="B32" s="141" t="s">
        <v>389</v>
      </c>
      <c r="C32" s="130">
        <f>SUM(N32:N38)</f>
        <v>0</v>
      </c>
      <c r="D32" s="130">
        <f>SUM(O32:O38)</f>
        <v>0</v>
      </c>
      <c r="E32" s="130">
        <f t="shared" ref="E32" si="8">D32/8</f>
        <v>0</v>
      </c>
      <c r="F32" s="130"/>
      <c r="G32" s="60" t="s">
        <v>125</v>
      </c>
      <c r="H32" s="123"/>
      <c r="I32" s="123"/>
      <c r="J32" s="60"/>
      <c r="K32" s="60"/>
      <c r="L32" s="60"/>
      <c r="M32" s="60"/>
      <c r="N32" s="60">
        <f>M32*J32*K32*L32</f>
        <v>0</v>
      </c>
      <c r="O32" s="60">
        <f>J32*K32*L32</f>
        <v>0</v>
      </c>
    </row>
    <row r="33" spans="1:15" s="38" customFormat="1" ht="11.45" hidden="1" customHeight="1" outlineLevel="1" x14ac:dyDescent="0.25">
      <c r="A33" s="124"/>
      <c r="B33" s="128"/>
      <c r="C33" s="115"/>
      <c r="D33" s="115"/>
      <c r="E33" s="148"/>
      <c r="F33" s="115"/>
      <c r="G33" s="60" t="s">
        <v>126</v>
      </c>
      <c r="H33" s="124"/>
      <c r="I33" s="124"/>
      <c r="J33" s="60"/>
      <c r="K33" s="60"/>
      <c r="L33" s="60"/>
      <c r="M33" s="60"/>
      <c r="N33" s="60">
        <f t="shared" ref="N33:N38" si="9">M33*J33*K33*L33</f>
        <v>0</v>
      </c>
      <c r="O33" s="60">
        <f t="shared" ref="O33:O38" si="10">J33*K33*L33</f>
        <v>0</v>
      </c>
    </row>
    <row r="34" spans="1:15" s="38" customFormat="1" ht="10.7" hidden="1" customHeight="1" outlineLevel="1" x14ac:dyDescent="0.25">
      <c r="A34" s="124"/>
      <c r="B34" s="128"/>
      <c r="C34" s="115"/>
      <c r="D34" s="115"/>
      <c r="E34" s="148"/>
      <c r="F34" s="115"/>
      <c r="G34" s="60" t="s">
        <v>127</v>
      </c>
      <c r="H34" s="124"/>
      <c r="I34" s="124"/>
      <c r="J34" s="60"/>
      <c r="K34" s="60"/>
      <c r="L34" s="60"/>
      <c r="M34" s="60"/>
      <c r="N34" s="60">
        <f t="shared" si="9"/>
        <v>0</v>
      </c>
      <c r="O34" s="60">
        <f t="shared" si="10"/>
        <v>0</v>
      </c>
    </row>
    <row r="35" spans="1:15" s="38" customFormat="1" ht="10.7" hidden="1" customHeight="1" outlineLevel="1" x14ac:dyDescent="0.25">
      <c r="A35" s="124"/>
      <c r="B35" s="128"/>
      <c r="C35" s="115"/>
      <c r="D35" s="115"/>
      <c r="E35" s="148"/>
      <c r="F35" s="115"/>
      <c r="G35" s="60" t="s">
        <v>128</v>
      </c>
      <c r="H35" s="124"/>
      <c r="I35" s="124"/>
      <c r="J35" s="60"/>
      <c r="K35" s="60"/>
      <c r="L35" s="60"/>
      <c r="M35" s="60"/>
      <c r="N35" s="60">
        <f t="shared" si="9"/>
        <v>0</v>
      </c>
      <c r="O35" s="60">
        <f t="shared" si="10"/>
        <v>0</v>
      </c>
    </row>
    <row r="36" spans="1:15" s="38" customFormat="1" ht="10.7" hidden="1" customHeight="1" outlineLevel="1" x14ac:dyDescent="0.25">
      <c r="A36" s="124"/>
      <c r="B36" s="128"/>
      <c r="C36" s="115"/>
      <c r="D36" s="115"/>
      <c r="E36" s="148"/>
      <c r="F36" s="115"/>
      <c r="G36" s="60" t="s">
        <v>129</v>
      </c>
      <c r="H36" s="124"/>
      <c r="I36" s="124"/>
      <c r="J36" s="60"/>
      <c r="K36" s="60"/>
      <c r="L36" s="60"/>
      <c r="M36" s="60"/>
      <c r="N36" s="60">
        <f t="shared" si="9"/>
        <v>0</v>
      </c>
      <c r="O36" s="60">
        <f t="shared" si="10"/>
        <v>0</v>
      </c>
    </row>
    <row r="37" spans="1:15" s="38" customFormat="1" ht="10.7" hidden="1" customHeight="1" outlineLevel="1" x14ac:dyDescent="0.25">
      <c r="A37" s="124"/>
      <c r="B37" s="128"/>
      <c r="C37" s="115"/>
      <c r="D37" s="115"/>
      <c r="E37" s="148"/>
      <c r="F37" s="115"/>
      <c r="G37" s="60" t="s">
        <v>130</v>
      </c>
      <c r="H37" s="124"/>
      <c r="I37" s="124"/>
      <c r="J37" s="60"/>
      <c r="K37" s="60"/>
      <c r="L37" s="60"/>
      <c r="M37" s="60"/>
      <c r="N37" s="60">
        <f t="shared" si="9"/>
        <v>0</v>
      </c>
      <c r="O37" s="60">
        <f t="shared" si="10"/>
        <v>0</v>
      </c>
    </row>
    <row r="38" spans="1:15" s="38" customFormat="1" ht="12" hidden="1" customHeight="1" outlineLevel="1" x14ac:dyDescent="0.25">
      <c r="A38" s="125"/>
      <c r="B38" s="129"/>
      <c r="C38" s="131"/>
      <c r="D38" s="131"/>
      <c r="E38" s="149"/>
      <c r="F38" s="131"/>
      <c r="G38" s="60" t="s">
        <v>131</v>
      </c>
      <c r="H38" s="125"/>
      <c r="I38" s="125"/>
      <c r="J38" s="60"/>
      <c r="K38" s="60"/>
      <c r="L38" s="60"/>
      <c r="M38" s="60"/>
      <c r="N38" s="60">
        <f t="shared" si="9"/>
        <v>0</v>
      </c>
      <c r="O38" s="60">
        <f t="shared" si="10"/>
        <v>0</v>
      </c>
    </row>
    <row r="39" spans="1:15" s="38" customFormat="1" ht="14.45" hidden="1" customHeight="1" outlineLevel="1" x14ac:dyDescent="0.25">
      <c r="A39" s="140" t="s">
        <v>138</v>
      </c>
      <c r="B39" s="141" t="s">
        <v>390</v>
      </c>
      <c r="C39" s="130">
        <f>SUM(N39:N45)</f>
        <v>0</v>
      </c>
      <c r="D39" s="130">
        <f>SUM(O39:O45)</f>
        <v>0</v>
      </c>
      <c r="E39" s="130">
        <f t="shared" ref="E39" si="11">D39/8</f>
        <v>0</v>
      </c>
      <c r="F39" s="130"/>
      <c r="G39" s="60" t="s">
        <v>125</v>
      </c>
      <c r="H39" s="123"/>
      <c r="I39" s="123"/>
      <c r="J39" s="60"/>
      <c r="K39" s="60"/>
      <c r="L39" s="60"/>
      <c r="M39" s="60"/>
      <c r="N39" s="60">
        <f>M39*J39*K39*L39</f>
        <v>0</v>
      </c>
      <c r="O39" s="60">
        <f>J39*K39*L39</f>
        <v>0</v>
      </c>
    </row>
    <row r="40" spans="1:15" s="38" customFormat="1" ht="11.45" hidden="1" customHeight="1" outlineLevel="1" x14ac:dyDescent="0.25">
      <c r="A40" s="124"/>
      <c r="B40" s="128"/>
      <c r="C40" s="115"/>
      <c r="D40" s="115"/>
      <c r="E40" s="148"/>
      <c r="F40" s="115"/>
      <c r="G40" s="60" t="s">
        <v>126</v>
      </c>
      <c r="H40" s="124"/>
      <c r="I40" s="124"/>
      <c r="J40" s="60"/>
      <c r="K40" s="60"/>
      <c r="L40" s="60"/>
      <c r="M40" s="60"/>
      <c r="N40" s="60">
        <f t="shared" ref="N40:N45" si="12">M40*J40*K40*L40</f>
        <v>0</v>
      </c>
      <c r="O40" s="60">
        <f t="shared" ref="O40:O45" si="13">J40*K40*L40</f>
        <v>0</v>
      </c>
    </row>
    <row r="41" spans="1:15" s="38" customFormat="1" ht="10.7" hidden="1" customHeight="1" outlineLevel="1" x14ac:dyDescent="0.25">
      <c r="A41" s="124"/>
      <c r="B41" s="128"/>
      <c r="C41" s="115"/>
      <c r="D41" s="115"/>
      <c r="E41" s="148"/>
      <c r="F41" s="115"/>
      <c r="G41" s="60" t="s">
        <v>127</v>
      </c>
      <c r="H41" s="124"/>
      <c r="I41" s="124"/>
      <c r="J41" s="60"/>
      <c r="K41" s="60"/>
      <c r="L41" s="60"/>
      <c r="M41" s="60"/>
      <c r="N41" s="60">
        <f t="shared" si="12"/>
        <v>0</v>
      </c>
      <c r="O41" s="60">
        <f t="shared" si="13"/>
        <v>0</v>
      </c>
    </row>
    <row r="42" spans="1:15" s="38" customFormat="1" ht="10.7" hidden="1" customHeight="1" outlineLevel="1" x14ac:dyDescent="0.25">
      <c r="A42" s="124"/>
      <c r="B42" s="128"/>
      <c r="C42" s="115"/>
      <c r="D42" s="115"/>
      <c r="E42" s="148"/>
      <c r="F42" s="115"/>
      <c r="G42" s="60" t="s">
        <v>128</v>
      </c>
      <c r="H42" s="124"/>
      <c r="I42" s="124"/>
      <c r="J42" s="60"/>
      <c r="K42" s="60"/>
      <c r="L42" s="60"/>
      <c r="M42" s="60"/>
      <c r="N42" s="60">
        <f t="shared" si="12"/>
        <v>0</v>
      </c>
      <c r="O42" s="60">
        <f t="shared" si="13"/>
        <v>0</v>
      </c>
    </row>
    <row r="43" spans="1:15" s="38" customFormat="1" ht="10.7" hidden="1" customHeight="1" outlineLevel="1" x14ac:dyDescent="0.25">
      <c r="A43" s="124"/>
      <c r="B43" s="128"/>
      <c r="C43" s="115"/>
      <c r="D43" s="115"/>
      <c r="E43" s="148"/>
      <c r="F43" s="115"/>
      <c r="G43" s="60" t="s">
        <v>129</v>
      </c>
      <c r="H43" s="124"/>
      <c r="I43" s="124"/>
      <c r="J43" s="60"/>
      <c r="K43" s="60"/>
      <c r="L43" s="60"/>
      <c r="M43" s="60"/>
      <c r="N43" s="60">
        <f t="shared" si="12"/>
        <v>0</v>
      </c>
      <c r="O43" s="60">
        <f t="shared" si="13"/>
        <v>0</v>
      </c>
    </row>
    <row r="44" spans="1:15" s="38" customFormat="1" ht="10.7" hidden="1" customHeight="1" outlineLevel="1" x14ac:dyDescent="0.25">
      <c r="A44" s="124"/>
      <c r="B44" s="128"/>
      <c r="C44" s="115"/>
      <c r="D44" s="115"/>
      <c r="E44" s="148"/>
      <c r="F44" s="115"/>
      <c r="G44" s="60" t="s">
        <v>130</v>
      </c>
      <c r="H44" s="124"/>
      <c r="I44" s="124"/>
      <c r="J44" s="60"/>
      <c r="K44" s="60"/>
      <c r="L44" s="60"/>
      <c r="M44" s="60"/>
      <c r="N44" s="60">
        <f t="shared" si="12"/>
        <v>0</v>
      </c>
      <c r="O44" s="60">
        <f t="shared" si="13"/>
        <v>0</v>
      </c>
    </row>
    <row r="45" spans="1:15" s="38" customFormat="1" ht="12" hidden="1" customHeight="1" outlineLevel="1" x14ac:dyDescent="0.25">
      <c r="A45" s="125"/>
      <c r="B45" s="129"/>
      <c r="C45" s="131"/>
      <c r="D45" s="131"/>
      <c r="E45" s="149"/>
      <c r="F45" s="131"/>
      <c r="G45" s="60" t="s">
        <v>131</v>
      </c>
      <c r="H45" s="125"/>
      <c r="I45" s="125"/>
      <c r="J45" s="60"/>
      <c r="K45" s="60"/>
      <c r="L45" s="60"/>
      <c r="M45" s="60"/>
      <c r="N45" s="60">
        <f t="shared" si="12"/>
        <v>0</v>
      </c>
      <c r="O45" s="60">
        <f t="shared" si="13"/>
        <v>0</v>
      </c>
    </row>
    <row r="46" spans="1:15" s="38" customFormat="1" ht="14.45" hidden="1" customHeight="1" outlineLevel="1" x14ac:dyDescent="0.25">
      <c r="A46" s="140" t="s">
        <v>140</v>
      </c>
      <c r="B46" s="141" t="s">
        <v>391</v>
      </c>
      <c r="C46" s="130">
        <f>SUM(N46:N52)</f>
        <v>0</v>
      </c>
      <c r="D46" s="130">
        <f>SUM(O46:O52)</f>
        <v>0</v>
      </c>
      <c r="E46" s="130">
        <f t="shared" ref="E46" si="14">D46/8</f>
        <v>0</v>
      </c>
      <c r="F46" s="130"/>
      <c r="G46" s="60" t="s">
        <v>125</v>
      </c>
      <c r="H46" s="123"/>
      <c r="I46" s="123"/>
      <c r="J46" s="60"/>
      <c r="K46" s="60"/>
      <c r="L46" s="60"/>
      <c r="M46" s="60"/>
      <c r="N46" s="60">
        <f>M46*J46*K46*L46</f>
        <v>0</v>
      </c>
      <c r="O46" s="60">
        <f>J46*K46*L46</f>
        <v>0</v>
      </c>
    </row>
    <row r="47" spans="1:15" s="38" customFormat="1" ht="11.45" hidden="1" customHeight="1" outlineLevel="1" x14ac:dyDescent="0.25">
      <c r="A47" s="124"/>
      <c r="B47" s="128"/>
      <c r="C47" s="115"/>
      <c r="D47" s="115"/>
      <c r="E47" s="148"/>
      <c r="F47" s="115"/>
      <c r="G47" s="60" t="s">
        <v>126</v>
      </c>
      <c r="H47" s="124"/>
      <c r="I47" s="124"/>
      <c r="J47" s="60"/>
      <c r="K47" s="60"/>
      <c r="L47" s="60"/>
      <c r="M47" s="60"/>
      <c r="N47" s="60">
        <f t="shared" ref="N47:N52" si="15">M47*J47*K47*L47</f>
        <v>0</v>
      </c>
      <c r="O47" s="60">
        <f t="shared" ref="O47:O52" si="16">J47*K47*L47</f>
        <v>0</v>
      </c>
    </row>
    <row r="48" spans="1:15" s="38" customFormat="1" ht="10.7" hidden="1" customHeight="1" outlineLevel="1" x14ac:dyDescent="0.25">
      <c r="A48" s="124"/>
      <c r="B48" s="128"/>
      <c r="C48" s="115"/>
      <c r="D48" s="115"/>
      <c r="E48" s="148"/>
      <c r="F48" s="115"/>
      <c r="G48" s="60" t="s">
        <v>127</v>
      </c>
      <c r="H48" s="124"/>
      <c r="I48" s="124"/>
      <c r="J48" s="60"/>
      <c r="K48" s="60"/>
      <c r="L48" s="60"/>
      <c r="M48" s="60"/>
      <c r="N48" s="60">
        <f t="shared" si="15"/>
        <v>0</v>
      </c>
      <c r="O48" s="60">
        <f t="shared" si="16"/>
        <v>0</v>
      </c>
    </row>
    <row r="49" spans="1:15" s="38" customFormat="1" ht="10.7" hidden="1" customHeight="1" outlineLevel="1" x14ac:dyDescent="0.25">
      <c r="A49" s="124"/>
      <c r="B49" s="128"/>
      <c r="C49" s="115"/>
      <c r="D49" s="115"/>
      <c r="E49" s="148"/>
      <c r="F49" s="115"/>
      <c r="G49" s="60" t="s">
        <v>128</v>
      </c>
      <c r="H49" s="124"/>
      <c r="I49" s="124"/>
      <c r="J49" s="60"/>
      <c r="K49" s="60"/>
      <c r="L49" s="60"/>
      <c r="M49" s="60"/>
      <c r="N49" s="60">
        <f t="shared" si="15"/>
        <v>0</v>
      </c>
      <c r="O49" s="60">
        <f t="shared" si="16"/>
        <v>0</v>
      </c>
    </row>
    <row r="50" spans="1:15" s="38" customFormat="1" ht="10.7" hidden="1" customHeight="1" outlineLevel="1" x14ac:dyDescent="0.25">
      <c r="A50" s="124"/>
      <c r="B50" s="128"/>
      <c r="C50" s="115"/>
      <c r="D50" s="115"/>
      <c r="E50" s="148"/>
      <c r="F50" s="115"/>
      <c r="G50" s="60" t="s">
        <v>129</v>
      </c>
      <c r="H50" s="124"/>
      <c r="I50" s="124"/>
      <c r="J50" s="60"/>
      <c r="K50" s="60"/>
      <c r="L50" s="60"/>
      <c r="M50" s="60"/>
      <c r="N50" s="60">
        <f t="shared" si="15"/>
        <v>0</v>
      </c>
      <c r="O50" s="60">
        <f t="shared" si="16"/>
        <v>0</v>
      </c>
    </row>
    <row r="51" spans="1:15" s="38" customFormat="1" ht="10.7" hidden="1" customHeight="1" outlineLevel="1" x14ac:dyDescent="0.25">
      <c r="A51" s="124"/>
      <c r="B51" s="128"/>
      <c r="C51" s="115"/>
      <c r="D51" s="115"/>
      <c r="E51" s="148"/>
      <c r="F51" s="115"/>
      <c r="G51" s="60" t="s">
        <v>130</v>
      </c>
      <c r="H51" s="124"/>
      <c r="I51" s="124"/>
      <c r="J51" s="60"/>
      <c r="K51" s="60"/>
      <c r="L51" s="60"/>
      <c r="M51" s="60"/>
      <c r="N51" s="60">
        <f t="shared" si="15"/>
        <v>0</v>
      </c>
      <c r="O51" s="60">
        <f t="shared" si="16"/>
        <v>0</v>
      </c>
    </row>
    <row r="52" spans="1:15" s="38" customFormat="1" ht="12" hidden="1" customHeight="1" outlineLevel="1" x14ac:dyDescent="0.25">
      <c r="A52" s="125"/>
      <c r="B52" s="129"/>
      <c r="C52" s="131"/>
      <c r="D52" s="131"/>
      <c r="E52" s="149"/>
      <c r="F52" s="131"/>
      <c r="G52" s="60" t="s">
        <v>131</v>
      </c>
      <c r="H52" s="125"/>
      <c r="I52" s="125"/>
      <c r="J52" s="60"/>
      <c r="K52" s="60"/>
      <c r="L52" s="60"/>
      <c r="M52" s="60"/>
      <c r="N52" s="60">
        <f t="shared" si="15"/>
        <v>0</v>
      </c>
      <c r="O52" s="60">
        <f t="shared" si="16"/>
        <v>0</v>
      </c>
    </row>
    <row r="53" spans="1:15" s="38" customFormat="1" ht="14.45" hidden="1" customHeight="1" outlineLevel="1" x14ac:dyDescent="0.25">
      <c r="A53" s="140" t="s">
        <v>348</v>
      </c>
      <c r="B53" s="141" t="s">
        <v>144</v>
      </c>
      <c r="C53" s="130">
        <f>SUM(N53:N59)</f>
        <v>0</v>
      </c>
      <c r="D53" s="130">
        <f>SUM(O53:O59)</f>
        <v>0</v>
      </c>
      <c r="E53" s="130">
        <f t="shared" ref="E53" si="17">D53/8</f>
        <v>0</v>
      </c>
      <c r="F53" s="130"/>
      <c r="G53" s="60" t="s">
        <v>125</v>
      </c>
      <c r="H53" s="123"/>
      <c r="I53" s="123"/>
      <c r="J53" s="60"/>
      <c r="K53" s="60"/>
      <c r="L53" s="60"/>
      <c r="M53" s="60"/>
      <c r="N53" s="60">
        <f>M53*J53*K53*L53</f>
        <v>0</v>
      </c>
      <c r="O53" s="60">
        <f>J53*K53*L53</f>
        <v>0</v>
      </c>
    </row>
    <row r="54" spans="1:15" s="38" customFormat="1" ht="11.45" hidden="1" customHeight="1" outlineLevel="1" x14ac:dyDescent="0.25">
      <c r="A54" s="124"/>
      <c r="B54" s="128"/>
      <c r="C54" s="115"/>
      <c r="D54" s="115"/>
      <c r="E54" s="148"/>
      <c r="F54" s="115"/>
      <c r="G54" s="60" t="s">
        <v>126</v>
      </c>
      <c r="H54" s="124"/>
      <c r="I54" s="124"/>
      <c r="J54" s="60"/>
      <c r="K54" s="60"/>
      <c r="L54" s="60"/>
      <c r="M54" s="60"/>
      <c r="N54" s="60">
        <f t="shared" ref="N54:N59" si="18">M54*J54*K54*L54</f>
        <v>0</v>
      </c>
      <c r="O54" s="60">
        <f t="shared" ref="O54:O59" si="19">J54*K54*L54</f>
        <v>0</v>
      </c>
    </row>
    <row r="55" spans="1:15" s="38" customFormat="1" ht="10.7" hidden="1" customHeight="1" outlineLevel="1" x14ac:dyDescent="0.25">
      <c r="A55" s="124"/>
      <c r="B55" s="128"/>
      <c r="C55" s="115"/>
      <c r="D55" s="115"/>
      <c r="E55" s="148"/>
      <c r="F55" s="115"/>
      <c r="G55" s="60" t="s">
        <v>127</v>
      </c>
      <c r="H55" s="124"/>
      <c r="I55" s="124"/>
      <c r="J55" s="60"/>
      <c r="K55" s="60"/>
      <c r="L55" s="60"/>
      <c r="M55" s="60"/>
      <c r="N55" s="60">
        <f t="shared" si="18"/>
        <v>0</v>
      </c>
      <c r="O55" s="60">
        <f t="shared" si="19"/>
        <v>0</v>
      </c>
    </row>
    <row r="56" spans="1:15" s="38" customFormat="1" ht="10.7" hidden="1" customHeight="1" outlineLevel="1" x14ac:dyDescent="0.25">
      <c r="A56" s="124"/>
      <c r="B56" s="128"/>
      <c r="C56" s="115"/>
      <c r="D56" s="115"/>
      <c r="E56" s="148"/>
      <c r="F56" s="115"/>
      <c r="G56" s="60" t="s">
        <v>128</v>
      </c>
      <c r="H56" s="124"/>
      <c r="I56" s="124"/>
      <c r="J56" s="60"/>
      <c r="K56" s="60"/>
      <c r="L56" s="60"/>
      <c r="M56" s="60"/>
      <c r="N56" s="60">
        <f t="shared" si="18"/>
        <v>0</v>
      </c>
      <c r="O56" s="60">
        <f t="shared" si="19"/>
        <v>0</v>
      </c>
    </row>
    <row r="57" spans="1:15" s="38" customFormat="1" ht="10.7" hidden="1" customHeight="1" outlineLevel="1" x14ac:dyDescent="0.25">
      <c r="A57" s="124"/>
      <c r="B57" s="128"/>
      <c r="C57" s="115"/>
      <c r="D57" s="115"/>
      <c r="E57" s="148"/>
      <c r="F57" s="115"/>
      <c r="G57" s="60" t="s">
        <v>129</v>
      </c>
      <c r="H57" s="124"/>
      <c r="I57" s="124"/>
      <c r="J57" s="60"/>
      <c r="K57" s="60"/>
      <c r="L57" s="60"/>
      <c r="M57" s="60"/>
      <c r="N57" s="60">
        <f t="shared" si="18"/>
        <v>0</v>
      </c>
      <c r="O57" s="60">
        <f t="shared" si="19"/>
        <v>0</v>
      </c>
    </row>
    <row r="58" spans="1:15" s="38" customFormat="1" ht="10.7" hidden="1" customHeight="1" outlineLevel="1" x14ac:dyDescent="0.25">
      <c r="A58" s="124"/>
      <c r="B58" s="128"/>
      <c r="C58" s="115"/>
      <c r="D58" s="115"/>
      <c r="E58" s="148"/>
      <c r="F58" s="115"/>
      <c r="G58" s="60" t="s">
        <v>130</v>
      </c>
      <c r="H58" s="124"/>
      <c r="I58" s="124"/>
      <c r="J58" s="60"/>
      <c r="K58" s="60"/>
      <c r="L58" s="60"/>
      <c r="M58" s="60"/>
      <c r="N58" s="60">
        <f t="shared" si="18"/>
        <v>0</v>
      </c>
      <c r="O58" s="60">
        <f t="shared" si="19"/>
        <v>0</v>
      </c>
    </row>
    <row r="59" spans="1:15" s="38" customFormat="1" ht="12" hidden="1" customHeight="1" outlineLevel="1" thickBot="1" x14ac:dyDescent="0.3">
      <c r="A59" s="125"/>
      <c r="B59" s="129"/>
      <c r="C59" s="131"/>
      <c r="D59" s="131"/>
      <c r="E59" s="153"/>
      <c r="F59" s="131"/>
      <c r="G59" s="60" t="s">
        <v>131</v>
      </c>
      <c r="H59" s="134"/>
      <c r="I59" s="134"/>
      <c r="J59" s="60"/>
      <c r="K59" s="60"/>
      <c r="L59" s="60"/>
      <c r="M59" s="60"/>
      <c r="N59" s="60">
        <f t="shared" si="18"/>
        <v>0</v>
      </c>
      <c r="O59" s="60">
        <f t="shared" si="19"/>
        <v>0</v>
      </c>
    </row>
    <row r="60" spans="1:15" s="39" customFormat="1" ht="16.5" collapsed="1" thickBot="1" x14ac:dyDescent="0.3">
      <c r="A60" s="40" t="s">
        <v>10</v>
      </c>
      <c r="B60" s="41" t="s">
        <v>392</v>
      </c>
      <c r="C60" s="42">
        <f>C61+C68+C75+C82+C89+C146+C153+C160+C167+C174+C181+C188+C195+C202+C209+C216+C223+C230+C237+C244+C251</f>
        <v>0</v>
      </c>
      <c r="D60" s="42">
        <f t="shared" ref="D60:E60" si="20">D61+D68+D75+D82+D89+D146+D153+D160+D167+D174+D181+D188+D195+D202+D209+D216+D223+D230+D237+D244+D251</f>
        <v>0</v>
      </c>
      <c r="E60" s="42">
        <f t="shared" si="20"/>
        <v>0</v>
      </c>
      <c r="F60" s="57"/>
      <c r="G60" s="57"/>
      <c r="H60" s="57"/>
      <c r="I60" s="57"/>
      <c r="J60" s="57"/>
      <c r="K60" s="57"/>
      <c r="L60" s="57"/>
      <c r="M60" s="57"/>
      <c r="N60" s="57"/>
      <c r="O60" s="42">
        <f>SUM(O61:O257)</f>
        <v>0</v>
      </c>
    </row>
    <row r="61" spans="1:15" s="38" customFormat="1" ht="14.45" hidden="1" customHeight="1" outlineLevel="1" x14ac:dyDescent="0.25">
      <c r="A61" s="140" t="s">
        <v>146</v>
      </c>
      <c r="B61" s="141" t="s">
        <v>393</v>
      </c>
      <c r="C61" s="130">
        <f>SUM(N61:N67)</f>
        <v>0</v>
      </c>
      <c r="D61" s="130">
        <f>SUM(O61:O67)</f>
        <v>0</v>
      </c>
      <c r="E61" s="130">
        <v>0</v>
      </c>
      <c r="F61" s="130"/>
      <c r="G61" s="60" t="s">
        <v>125</v>
      </c>
      <c r="H61" s="123"/>
      <c r="I61" s="123"/>
      <c r="J61" s="60"/>
      <c r="K61" s="60"/>
      <c r="L61" s="60"/>
      <c r="M61" s="60"/>
      <c r="N61" s="60">
        <f>M61*J61*K61*L61</f>
        <v>0</v>
      </c>
      <c r="O61" s="60">
        <f>J61*K61*L61</f>
        <v>0</v>
      </c>
    </row>
    <row r="62" spans="1:15" s="38" customFormat="1" ht="11.45" hidden="1" customHeight="1" outlineLevel="1" x14ac:dyDescent="0.25">
      <c r="A62" s="124"/>
      <c r="B62" s="128"/>
      <c r="C62" s="115"/>
      <c r="D62" s="115"/>
      <c r="E62" s="148"/>
      <c r="F62" s="115"/>
      <c r="G62" s="60" t="s">
        <v>126</v>
      </c>
      <c r="H62" s="124"/>
      <c r="I62" s="124"/>
      <c r="J62" s="60"/>
      <c r="K62" s="60"/>
      <c r="L62" s="60"/>
      <c r="M62" s="60"/>
      <c r="N62" s="60">
        <f t="shared" ref="N62:N67" si="21">M62*J62*K62*L62</f>
        <v>0</v>
      </c>
      <c r="O62" s="60">
        <f t="shared" ref="O62:O67" si="22">J62*K62*L62</f>
        <v>0</v>
      </c>
    </row>
    <row r="63" spans="1:15" s="38" customFormat="1" ht="10.7" hidden="1" customHeight="1" outlineLevel="1" x14ac:dyDescent="0.25">
      <c r="A63" s="124"/>
      <c r="B63" s="128"/>
      <c r="C63" s="115"/>
      <c r="D63" s="115"/>
      <c r="E63" s="148"/>
      <c r="F63" s="115"/>
      <c r="G63" s="60" t="s">
        <v>127</v>
      </c>
      <c r="H63" s="124"/>
      <c r="I63" s="124"/>
      <c r="J63" s="60"/>
      <c r="K63" s="60"/>
      <c r="L63" s="60"/>
      <c r="M63" s="60"/>
      <c r="N63" s="60">
        <f t="shared" si="21"/>
        <v>0</v>
      </c>
      <c r="O63" s="60">
        <f t="shared" si="22"/>
        <v>0</v>
      </c>
    </row>
    <row r="64" spans="1:15" s="38" customFormat="1" ht="10.7" hidden="1" customHeight="1" outlineLevel="1" x14ac:dyDescent="0.25">
      <c r="A64" s="124"/>
      <c r="B64" s="128"/>
      <c r="C64" s="115"/>
      <c r="D64" s="115"/>
      <c r="E64" s="148"/>
      <c r="F64" s="115"/>
      <c r="G64" s="60" t="s">
        <v>128</v>
      </c>
      <c r="H64" s="124"/>
      <c r="I64" s="124"/>
      <c r="J64" s="60"/>
      <c r="K64" s="60"/>
      <c r="L64" s="60"/>
      <c r="M64" s="60"/>
      <c r="N64" s="60">
        <f t="shared" si="21"/>
        <v>0</v>
      </c>
      <c r="O64" s="60">
        <f t="shared" si="22"/>
        <v>0</v>
      </c>
    </row>
    <row r="65" spans="1:15" s="38" customFormat="1" ht="10.7" hidden="1" customHeight="1" outlineLevel="1" x14ac:dyDescent="0.25">
      <c r="A65" s="124"/>
      <c r="B65" s="128"/>
      <c r="C65" s="115"/>
      <c r="D65" s="115"/>
      <c r="E65" s="148"/>
      <c r="F65" s="115"/>
      <c r="G65" s="60" t="s">
        <v>129</v>
      </c>
      <c r="H65" s="124"/>
      <c r="I65" s="124"/>
      <c r="J65" s="60"/>
      <c r="K65" s="60"/>
      <c r="L65" s="60"/>
      <c r="M65" s="60"/>
      <c r="N65" s="60">
        <f t="shared" si="21"/>
        <v>0</v>
      </c>
      <c r="O65" s="60">
        <f t="shared" si="22"/>
        <v>0</v>
      </c>
    </row>
    <row r="66" spans="1:15" s="38" customFormat="1" ht="10.7" hidden="1" customHeight="1" outlineLevel="1" x14ac:dyDescent="0.25">
      <c r="A66" s="124"/>
      <c r="B66" s="128"/>
      <c r="C66" s="115"/>
      <c r="D66" s="115"/>
      <c r="E66" s="148"/>
      <c r="F66" s="115"/>
      <c r="G66" s="60" t="s">
        <v>130</v>
      </c>
      <c r="H66" s="124"/>
      <c r="I66" s="124"/>
      <c r="J66" s="60"/>
      <c r="K66" s="60"/>
      <c r="L66" s="60"/>
      <c r="M66" s="60"/>
      <c r="N66" s="60">
        <f t="shared" si="21"/>
        <v>0</v>
      </c>
      <c r="O66" s="60">
        <f t="shared" si="22"/>
        <v>0</v>
      </c>
    </row>
    <row r="67" spans="1:15" s="38" customFormat="1" ht="12" hidden="1" customHeight="1" outlineLevel="1" thickBot="1" x14ac:dyDescent="0.3">
      <c r="A67" s="125"/>
      <c r="B67" s="129"/>
      <c r="C67" s="131"/>
      <c r="D67" s="131"/>
      <c r="E67" s="149"/>
      <c r="F67" s="131"/>
      <c r="G67" s="60" t="s">
        <v>131</v>
      </c>
      <c r="H67" s="134"/>
      <c r="I67" s="134"/>
      <c r="J67" s="60"/>
      <c r="K67" s="60"/>
      <c r="L67" s="60"/>
      <c r="M67" s="60"/>
      <c r="N67" s="60">
        <f t="shared" si="21"/>
        <v>0</v>
      </c>
      <c r="O67" s="60">
        <f t="shared" si="22"/>
        <v>0</v>
      </c>
    </row>
    <row r="68" spans="1:15" s="38" customFormat="1" ht="14.45" hidden="1" customHeight="1" outlineLevel="1" x14ac:dyDescent="0.25">
      <c r="A68" s="140" t="s">
        <v>148</v>
      </c>
      <c r="B68" s="141" t="s">
        <v>394</v>
      </c>
      <c r="C68" s="130">
        <f>SUM(N68:N74)</f>
        <v>0</v>
      </c>
      <c r="D68" s="130">
        <f>SUM(O68:O74)</f>
        <v>0</v>
      </c>
      <c r="E68" s="130">
        <f t="shared" ref="E68:E82" si="23">D68/8</f>
        <v>0</v>
      </c>
      <c r="F68" s="130"/>
      <c r="G68" s="60" t="s">
        <v>125</v>
      </c>
      <c r="H68" s="123"/>
      <c r="I68" s="123"/>
      <c r="J68" s="60"/>
      <c r="K68" s="60"/>
      <c r="L68" s="60"/>
      <c r="M68" s="60"/>
      <c r="N68" s="60">
        <f>M68*J68*K68*L68</f>
        <v>0</v>
      </c>
      <c r="O68" s="60">
        <f>J68*K68*L68</f>
        <v>0</v>
      </c>
    </row>
    <row r="69" spans="1:15" s="38" customFormat="1" ht="11.45" hidden="1" customHeight="1" outlineLevel="1" x14ac:dyDescent="0.25">
      <c r="A69" s="124"/>
      <c r="B69" s="128"/>
      <c r="C69" s="115"/>
      <c r="D69" s="115"/>
      <c r="E69" s="148"/>
      <c r="F69" s="115"/>
      <c r="G69" s="60" t="s">
        <v>126</v>
      </c>
      <c r="H69" s="124"/>
      <c r="I69" s="124"/>
      <c r="J69" s="60"/>
      <c r="K69" s="60"/>
      <c r="L69" s="60"/>
      <c r="M69" s="60"/>
      <c r="N69" s="60">
        <f t="shared" ref="N69:N74" si="24">M69*J69*K69*L69</f>
        <v>0</v>
      </c>
      <c r="O69" s="60">
        <f t="shared" ref="O69:O74" si="25">J69*K69*L69</f>
        <v>0</v>
      </c>
    </row>
    <row r="70" spans="1:15" s="38" customFormat="1" ht="10.7" hidden="1" customHeight="1" outlineLevel="1" x14ac:dyDescent="0.25">
      <c r="A70" s="124"/>
      <c r="B70" s="128"/>
      <c r="C70" s="115"/>
      <c r="D70" s="115"/>
      <c r="E70" s="148"/>
      <c r="F70" s="115"/>
      <c r="G70" s="60" t="s">
        <v>127</v>
      </c>
      <c r="H70" s="124"/>
      <c r="I70" s="124"/>
      <c r="J70" s="60"/>
      <c r="K70" s="60"/>
      <c r="L70" s="60"/>
      <c r="M70" s="60"/>
      <c r="N70" s="60">
        <f t="shared" si="24"/>
        <v>0</v>
      </c>
      <c r="O70" s="60">
        <f t="shared" si="25"/>
        <v>0</v>
      </c>
    </row>
    <row r="71" spans="1:15" s="38" customFormat="1" ht="10.7" hidden="1" customHeight="1" outlineLevel="1" x14ac:dyDescent="0.25">
      <c r="A71" s="124"/>
      <c r="B71" s="128"/>
      <c r="C71" s="115"/>
      <c r="D71" s="115"/>
      <c r="E71" s="148"/>
      <c r="F71" s="115"/>
      <c r="G71" s="60" t="s">
        <v>128</v>
      </c>
      <c r="H71" s="124"/>
      <c r="I71" s="124"/>
      <c r="J71" s="60"/>
      <c r="K71" s="60"/>
      <c r="L71" s="60"/>
      <c r="M71" s="60"/>
      <c r="N71" s="60">
        <f t="shared" si="24"/>
        <v>0</v>
      </c>
      <c r="O71" s="60">
        <f t="shared" si="25"/>
        <v>0</v>
      </c>
    </row>
    <row r="72" spans="1:15" s="38" customFormat="1" ht="10.7" hidden="1" customHeight="1" outlineLevel="1" x14ac:dyDescent="0.25">
      <c r="A72" s="124"/>
      <c r="B72" s="128"/>
      <c r="C72" s="115"/>
      <c r="D72" s="115"/>
      <c r="E72" s="148"/>
      <c r="F72" s="115"/>
      <c r="G72" s="60" t="s">
        <v>129</v>
      </c>
      <c r="H72" s="124"/>
      <c r="I72" s="124"/>
      <c r="J72" s="60"/>
      <c r="K72" s="60"/>
      <c r="L72" s="60"/>
      <c r="M72" s="60"/>
      <c r="N72" s="60">
        <f t="shared" si="24"/>
        <v>0</v>
      </c>
      <c r="O72" s="60">
        <f t="shared" si="25"/>
        <v>0</v>
      </c>
    </row>
    <row r="73" spans="1:15" s="38" customFormat="1" ht="10.7" hidden="1" customHeight="1" outlineLevel="1" x14ac:dyDescent="0.25">
      <c r="A73" s="124"/>
      <c r="B73" s="128"/>
      <c r="C73" s="115"/>
      <c r="D73" s="115"/>
      <c r="E73" s="148"/>
      <c r="F73" s="115"/>
      <c r="G73" s="60" t="s">
        <v>130</v>
      </c>
      <c r="H73" s="124"/>
      <c r="I73" s="124"/>
      <c r="J73" s="60"/>
      <c r="K73" s="60"/>
      <c r="L73" s="60"/>
      <c r="M73" s="60"/>
      <c r="N73" s="60">
        <f t="shared" si="24"/>
        <v>0</v>
      </c>
      <c r="O73" s="60">
        <f t="shared" si="25"/>
        <v>0</v>
      </c>
    </row>
    <row r="74" spans="1:15" s="38" customFormat="1" ht="12" hidden="1" customHeight="1" outlineLevel="1" thickBot="1" x14ac:dyDescent="0.3">
      <c r="A74" s="125"/>
      <c r="B74" s="129"/>
      <c r="C74" s="131"/>
      <c r="D74" s="131"/>
      <c r="E74" s="149"/>
      <c r="F74" s="131"/>
      <c r="G74" s="60" t="s">
        <v>131</v>
      </c>
      <c r="H74" s="134"/>
      <c r="I74" s="134"/>
      <c r="J74" s="60"/>
      <c r="K74" s="60"/>
      <c r="L74" s="60"/>
      <c r="M74" s="60"/>
      <c r="N74" s="60">
        <f t="shared" si="24"/>
        <v>0</v>
      </c>
      <c r="O74" s="60">
        <f t="shared" si="25"/>
        <v>0</v>
      </c>
    </row>
    <row r="75" spans="1:15" s="38" customFormat="1" ht="14.45" hidden="1" customHeight="1" outlineLevel="1" x14ac:dyDescent="0.25">
      <c r="A75" s="140" t="s">
        <v>150</v>
      </c>
      <c r="B75" s="141" t="s">
        <v>395</v>
      </c>
      <c r="C75" s="130">
        <f>SUM(N75:N81)</f>
        <v>0</v>
      </c>
      <c r="D75" s="130">
        <f>SUM(O75:O81)</f>
        <v>0</v>
      </c>
      <c r="E75" s="130">
        <f t="shared" si="23"/>
        <v>0</v>
      </c>
      <c r="F75" s="130"/>
      <c r="G75" s="60" t="s">
        <v>125</v>
      </c>
      <c r="H75" s="123"/>
      <c r="I75" s="123"/>
      <c r="J75" s="60"/>
      <c r="K75" s="60"/>
      <c r="L75" s="60"/>
      <c r="M75" s="60"/>
      <c r="N75" s="60">
        <f>M75*J75*K75*L75</f>
        <v>0</v>
      </c>
      <c r="O75" s="60">
        <f>J75*K75*L75</f>
        <v>0</v>
      </c>
    </row>
    <row r="76" spans="1:15" s="38" customFormat="1" ht="11.45" hidden="1" customHeight="1" outlineLevel="1" x14ac:dyDescent="0.25">
      <c r="A76" s="124"/>
      <c r="B76" s="128"/>
      <c r="C76" s="115"/>
      <c r="D76" s="115"/>
      <c r="E76" s="148"/>
      <c r="F76" s="115"/>
      <c r="G76" s="60" t="s">
        <v>126</v>
      </c>
      <c r="H76" s="124"/>
      <c r="I76" s="124"/>
      <c r="J76" s="60"/>
      <c r="K76" s="60"/>
      <c r="L76" s="60"/>
      <c r="M76" s="60"/>
      <c r="N76" s="60">
        <f t="shared" ref="N76:N81" si="26">M76*J76*K76*L76</f>
        <v>0</v>
      </c>
      <c r="O76" s="60">
        <f t="shared" ref="O76:O81" si="27">J76*K76*L76</f>
        <v>0</v>
      </c>
    </row>
    <row r="77" spans="1:15" s="38" customFormat="1" ht="10.7" hidden="1" customHeight="1" outlineLevel="1" x14ac:dyDescent="0.25">
      <c r="A77" s="124"/>
      <c r="B77" s="128"/>
      <c r="C77" s="115"/>
      <c r="D77" s="115"/>
      <c r="E77" s="148"/>
      <c r="F77" s="115"/>
      <c r="G77" s="60" t="s">
        <v>127</v>
      </c>
      <c r="H77" s="124"/>
      <c r="I77" s="124"/>
      <c r="J77" s="60"/>
      <c r="K77" s="60"/>
      <c r="L77" s="60"/>
      <c r="M77" s="60"/>
      <c r="N77" s="60">
        <f t="shared" si="26"/>
        <v>0</v>
      </c>
      <c r="O77" s="60">
        <f t="shared" si="27"/>
        <v>0</v>
      </c>
    </row>
    <row r="78" spans="1:15" s="38" customFormat="1" ht="10.7" hidden="1" customHeight="1" outlineLevel="1" x14ac:dyDescent="0.25">
      <c r="A78" s="124"/>
      <c r="B78" s="128"/>
      <c r="C78" s="115"/>
      <c r="D78" s="115"/>
      <c r="E78" s="148"/>
      <c r="F78" s="115"/>
      <c r="G78" s="60" t="s">
        <v>128</v>
      </c>
      <c r="H78" s="124"/>
      <c r="I78" s="124"/>
      <c r="J78" s="60"/>
      <c r="K78" s="60"/>
      <c r="L78" s="60"/>
      <c r="M78" s="60"/>
      <c r="N78" s="60">
        <f t="shared" si="26"/>
        <v>0</v>
      </c>
      <c r="O78" s="60">
        <f t="shared" si="27"/>
        <v>0</v>
      </c>
    </row>
    <row r="79" spans="1:15" s="38" customFormat="1" ht="10.7" hidden="1" customHeight="1" outlineLevel="1" x14ac:dyDescent="0.25">
      <c r="A79" s="124"/>
      <c r="B79" s="128"/>
      <c r="C79" s="115"/>
      <c r="D79" s="115"/>
      <c r="E79" s="148"/>
      <c r="F79" s="115"/>
      <c r="G79" s="60" t="s">
        <v>129</v>
      </c>
      <c r="H79" s="124"/>
      <c r="I79" s="124"/>
      <c r="J79" s="60"/>
      <c r="K79" s="60"/>
      <c r="L79" s="60"/>
      <c r="M79" s="60"/>
      <c r="N79" s="60">
        <f t="shared" si="26"/>
        <v>0</v>
      </c>
      <c r="O79" s="60">
        <f t="shared" si="27"/>
        <v>0</v>
      </c>
    </row>
    <row r="80" spans="1:15" s="38" customFormat="1" ht="10.7" hidden="1" customHeight="1" outlineLevel="1" x14ac:dyDescent="0.25">
      <c r="A80" s="124"/>
      <c r="B80" s="128"/>
      <c r="C80" s="115"/>
      <c r="D80" s="115"/>
      <c r="E80" s="148"/>
      <c r="F80" s="115"/>
      <c r="G80" s="60" t="s">
        <v>130</v>
      </c>
      <c r="H80" s="124"/>
      <c r="I80" s="124"/>
      <c r="J80" s="60"/>
      <c r="K80" s="60"/>
      <c r="L80" s="60"/>
      <c r="M80" s="60"/>
      <c r="N80" s="60">
        <f t="shared" si="26"/>
        <v>0</v>
      </c>
      <c r="O80" s="60">
        <f t="shared" si="27"/>
        <v>0</v>
      </c>
    </row>
    <row r="81" spans="1:15" s="38" customFormat="1" ht="12" hidden="1" customHeight="1" outlineLevel="1" thickBot="1" x14ac:dyDescent="0.3">
      <c r="A81" s="125"/>
      <c r="B81" s="129"/>
      <c r="C81" s="131"/>
      <c r="D81" s="131"/>
      <c r="E81" s="149"/>
      <c r="F81" s="131"/>
      <c r="G81" s="60" t="s">
        <v>131</v>
      </c>
      <c r="H81" s="134"/>
      <c r="I81" s="134"/>
      <c r="J81" s="60"/>
      <c r="K81" s="60"/>
      <c r="L81" s="60"/>
      <c r="M81" s="60"/>
      <c r="N81" s="60">
        <f t="shared" si="26"/>
        <v>0</v>
      </c>
      <c r="O81" s="60">
        <f t="shared" si="27"/>
        <v>0</v>
      </c>
    </row>
    <row r="82" spans="1:15" s="38" customFormat="1" ht="14.45" hidden="1" customHeight="1" outlineLevel="1" x14ac:dyDescent="0.25">
      <c r="A82" s="140" t="s">
        <v>152</v>
      </c>
      <c r="B82" s="141" t="s">
        <v>396</v>
      </c>
      <c r="C82" s="130">
        <f>SUM(N82:N88)</f>
        <v>0</v>
      </c>
      <c r="D82" s="130">
        <f>SUM(O82:O88)</f>
        <v>0</v>
      </c>
      <c r="E82" s="130">
        <f t="shared" si="23"/>
        <v>0</v>
      </c>
      <c r="F82" s="130"/>
      <c r="G82" s="60" t="s">
        <v>125</v>
      </c>
      <c r="H82" s="123"/>
      <c r="I82" s="123"/>
      <c r="J82" s="60"/>
      <c r="K82" s="60"/>
      <c r="L82" s="60"/>
      <c r="M82" s="60"/>
      <c r="N82" s="60">
        <f>M82*J82*K82*L82</f>
        <v>0</v>
      </c>
      <c r="O82" s="60">
        <f>J82*K82*L82</f>
        <v>0</v>
      </c>
    </row>
    <row r="83" spans="1:15" s="38" customFormat="1" ht="11.45" hidden="1" customHeight="1" outlineLevel="1" x14ac:dyDescent="0.25">
      <c r="A83" s="124"/>
      <c r="B83" s="128"/>
      <c r="C83" s="115"/>
      <c r="D83" s="115"/>
      <c r="E83" s="148"/>
      <c r="F83" s="115"/>
      <c r="G83" s="60" t="s">
        <v>126</v>
      </c>
      <c r="H83" s="124"/>
      <c r="I83" s="124"/>
      <c r="J83" s="60"/>
      <c r="K83" s="60"/>
      <c r="L83" s="60"/>
      <c r="M83" s="60"/>
      <c r="N83" s="60">
        <f t="shared" ref="N83:N88" si="28">M83*J83*K83*L83</f>
        <v>0</v>
      </c>
      <c r="O83" s="60">
        <f t="shared" ref="O83:O88" si="29">J83*K83*L83</f>
        <v>0</v>
      </c>
    </row>
    <row r="84" spans="1:15" s="38" customFormat="1" ht="10.7" hidden="1" customHeight="1" outlineLevel="1" x14ac:dyDescent="0.25">
      <c r="A84" s="124"/>
      <c r="B84" s="128"/>
      <c r="C84" s="115"/>
      <c r="D84" s="115"/>
      <c r="E84" s="148"/>
      <c r="F84" s="115"/>
      <c r="G84" s="60" t="s">
        <v>127</v>
      </c>
      <c r="H84" s="124"/>
      <c r="I84" s="124"/>
      <c r="J84" s="60"/>
      <c r="K84" s="60"/>
      <c r="L84" s="60"/>
      <c r="M84" s="60"/>
      <c r="N84" s="60">
        <f t="shared" si="28"/>
        <v>0</v>
      </c>
      <c r="O84" s="60">
        <f t="shared" si="29"/>
        <v>0</v>
      </c>
    </row>
    <row r="85" spans="1:15" s="38" customFormat="1" ht="10.7" hidden="1" customHeight="1" outlineLevel="1" x14ac:dyDescent="0.25">
      <c r="A85" s="124"/>
      <c r="B85" s="128"/>
      <c r="C85" s="115"/>
      <c r="D85" s="115"/>
      <c r="E85" s="148"/>
      <c r="F85" s="115"/>
      <c r="G85" s="60" t="s">
        <v>128</v>
      </c>
      <c r="H85" s="124"/>
      <c r="I85" s="124"/>
      <c r="J85" s="60"/>
      <c r="K85" s="60"/>
      <c r="L85" s="60"/>
      <c r="M85" s="60"/>
      <c r="N85" s="60">
        <f t="shared" si="28"/>
        <v>0</v>
      </c>
      <c r="O85" s="60">
        <f t="shared" si="29"/>
        <v>0</v>
      </c>
    </row>
    <row r="86" spans="1:15" s="38" customFormat="1" ht="10.7" hidden="1" customHeight="1" outlineLevel="1" x14ac:dyDescent="0.25">
      <c r="A86" s="124"/>
      <c r="B86" s="128"/>
      <c r="C86" s="115"/>
      <c r="D86" s="115"/>
      <c r="E86" s="148"/>
      <c r="F86" s="115"/>
      <c r="G86" s="60" t="s">
        <v>129</v>
      </c>
      <c r="H86" s="124"/>
      <c r="I86" s="124"/>
      <c r="J86" s="60"/>
      <c r="K86" s="60"/>
      <c r="L86" s="60"/>
      <c r="M86" s="60"/>
      <c r="N86" s="60">
        <f t="shared" si="28"/>
        <v>0</v>
      </c>
      <c r="O86" s="60">
        <f t="shared" si="29"/>
        <v>0</v>
      </c>
    </row>
    <row r="87" spans="1:15" s="38" customFormat="1" ht="10.7" hidden="1" customHeight="1" outlineLevel="1" x14ac:dyDescent="0.25">
      <c r="A87" s="124"/>
      <c r="B87" s="128"/>
      <c r="C87" s="115"/>
      <c r="D87" s="115"/>
      <c r="E87" s="148"/>
      <c r="F87" s="115"/>
      <c r="G87" s="60" t="s">
        <v>130</v>
      </c>
      <c r="H87" s="124"/>
      <c r="I87" s="124"/>
      <c r="J87" s="60"/>
      <c r="K87" s="60"/>
      <c r="L87" s="60"/>
      <c r="M87" s="60"/>
      <c r="N87" s="60">
        <f t="shared" si="28"/>
        <v>0</v>
      </c>
      <c r="O87" s="60">
        <f t="shared" si="29"/>
        <v>0</v>
      </c>
    </row>
    <row r="88" spans="1:15" s="38" customFormat="1" ht="12" hidden="1" customHeight="1" outlineLevel="1" thickBot="1" x14ac:dyDescent="0.3">
      <c r="A88" s="125"/>
      <c r="B88" s="129"/>
      <c r="C88" s="131"/>
      <c r="D88" s="131"/>
      <c r="E88" s="149"/>
      <c r="F88" s="131"/>
      <c r="G88" s="60" t="s">
        <v>131</v>
      </c>
      <c r="H88" s="134"/>
      <c r="I88" s="134"/>
      <c r="J88" s="60"/>
      <c r="K88" s="60"/>
      <c r="L88" s="60"/>
      <c r="M88" s="60"/>
      <c r="N88" s="60">
        <f t="shared" si="28"/>
        <v>0</v>
      </c>
      <c r="O88" s="60">
        <f t="shared" si="29"/>
        <v>0</v>
      </c>
    </row>
    <row r="89" spans="1:15" s="38" customFormat="1" ht="30" hidden="1" outlineLevel="1" x14ac:dyDescent="0.25">
      <c r="A89" s="44" t="s">
        <v>355</v>
      </c>
      <c r="B89" s="52" t="s">
        <v>397</v>
      </c>
      <c r="C89" s="45">
        <f>SUM(C90:C145)</f>
        <v>0</v>
      </c>
      <c r="D89" s="45">
        <f t="shared" ref="D89:E89" si="30">SUM(D90:D145)</f>
        <v>0</v>
      </c>
      <c r="E89" s="45">
        <f t="shared" si="30"/>
        <v>0</v>
      </c>
      <c r="F89" s="58"/>
      <c r="G89" s="58"/>
      <c r="H89" s="58"/>
      <c r="I89" s="58"/>
      <c r="J89" s="58"/>
      <c r="K89" s="58"/>
      <c r="L89" s="58"/>
      <c r="M89" s="58"/>
      <c r="N89" s="58"/>
      <c r="O89" s="60"/>
    </row>
    <row r="90" spans="1:15" s="38" customFormat="1" ht="14.45" hidden="1" customHeight="1" outlineLevel="1" x14ac:dyDescent="0.25">
      <c r="A90" s="140" t="s">
        <v>398</v>
      </c>
      <c r="B90" s="141" t="s">
        <v>399</v>
      </c>
      <c r="C90" s="130">
        <f>SUM(N90:N96)</f>
        <v>0</v>
      </c>
      <c r="D90" s="130">
        <f>SUM(O90:O96)</f>
        <v>0</v>
      </c>
      <c r="E90" s="130">
        <f t="shared" ref="E90:E153" si="31">D90/8</f>
        <v>0</v>
      </c>
      <c r="F90" s="130"/>
      <c r="G90" s="60" t="s">
        <v>125</v>
      </c>
      <c r="H90" s="123"/>
      <c r="I90" s="123"/>
      <c r="J90" s="60"/>
      <c r="K90" s="60"/>
      <c r="L90" s="60"/>
      <c r="M90" s="60"/>
      <c r="N90" s="60">
        <f>M90*J90*K90*L90</f>
        <v>0</v>
      </c>
      <c r="O90" s="60">
        <f>J90*K90*L90</f>
        <v>0</v>
      </c>
    </row>
    <row r="91" spans="1:15" s="38" customFormat="1" ht="11.45" hidden="1" customHeight="1" outlineLevel="1" x14ac:dyDescent="0.25">
      <c r="A91" s="124"/>
      <c r="B91" s="142"/>
      <c r="C91" s="115"/>
      <c r="D91" s="115"/>
      <c r="E91" s="115"/>
      <c r="F91" s="115"/>
      <c r="G91" s="60" t="s">
        <v>126</v>
      </c>
      <c r="H91" s="124"/>
      <c r="I91" s="124"/>
      <c r="J91" s="60"/>
      <c r="K91" s="60"/>
      <c r="L91" s="60"/>
      <c r="M91" s="60"/>
      <c r="N91" s="60">
        <f t="shared" ref="N91:N96" si="32">M91*J91*K91*L91</f>
        <v>0</v>
      </c>
      <c r="O91" s="60">
        <f t="shared" ref="O91:O96" si="33">J91*K91*L91</f>
        <v>0</v>
      </c>
    </row>
    <row r="92" spans="1:15" s="38" customFormat="1" ht="10.7" hidden="1" customHeight="1" outlineLevel="1" x14ac:dyDescent="0.25">
      <c r="A92" s="124"/>
      <c r="B92" s="142"/>
      <c r="C92" s="115"/>
      <c r="D92" s="115"/>
      <c r="E92" s="115"/>
      <c r="F92" s="115"/>
      <c r="G92" s="60" t="s">
        <v>127</v>
      </c>
      <c r="H92" s="124"/>
      <c r="I92" s="124"/>
      <c r="J92" s="60"/>
      <c r="K92" s="60"/>
      <c r="L92" s="60"/>
      <c r="M92" s="60"/>
      <c r="N92" s="60">
        <f t="shared" si="32"/>
        <v>0</v>
      </c>
      <c r="O92" s="60">
        <f t="shared" si="33"/>
        <v>0</v>
      </c>
    </row>
    <row r="93" spans="1:15" s="38" customFormat="1" ht="10.7" hidden="1" customHeight="1" outlineLevel="1" x14ac:dyDescent="0.25">
      <c r="A93" s="124"/>
      <c r="B93" s="142"/>
      <c r="C93" s="115"/>
      <c r="D93" s="115"/>
      <c r="E93" s="115"/>
      <c r="F93" s="115"/>
      <c r="G93" s="60" t="s">
        <v>128</v>
      </c>
      <c r="H93" s="124"/>
      <c r="I93" s="124"/>
      <c r="J93" s="60"/>
      <c r="K93" s="60"/>
      <c r="L93" s="60"/>
      <c r="M93" s="60"/>
      <c r="N93" s="60">
        <f t="shared" si="32"/>
        <v>0</v>
      </c>
      <c r="O93" s="60">
        <f t="shared" si="33"/>
        <v>0</v>
      </c>
    </row>
    <row r="94" spans="1:15" s="38" customFormat="1" ht="10.7" hidden="1" customHeight="1" outlineLevel="1" x14ac:dyDescent="0.25">
      <c r="A94" s="124"/>
      <c r="B94" s="142"/>
      <c r="C94" s="115"/>
      <c r="D94" s="115"/>
      <c r="E94" s="115"/>
      <c r="F94" s="115"/>
      <c r="G94" s="60" t="s">
        <v>129</v>
      </c>
      <c r="H94" s="124"/>
      <c r="I94" s="124"/>
      <c r="J94" s="60"/>
      <c r="K94" s="60"/>
      <c r="L94" s="60"/>
      <c r="M94" s="60"/>
      <c r="N94" s="60">
        <f t="shared" si="32"/>
        <v>0</v>
      </c>
      <c r="O94" s="60">
        <f t="shared" si="33"/>
        <v>0</v>
      </c>
    </row>
    <row r="95" spans="1:15" s="38" customFormat="1" ht="10.7" hidden="1" customHeight="1" outlineLevel="1" x14ac:dyDescent="0.25">
      <c r="A95" s="124"/>
      <c r="B95" s="142"/>
      <c r="C95" s="115"/>
      <c r="D95" s="115"/>
      <c r="E95" s="115"/>
      <c r="F95" s="115"/>
      <c r="G95" s="60" t="s">
        <v>130</v>
      </c>
      <c r="H95" s="124"/>
      <c r="I95" s="124"/>
      <c r="J95" s="60"/>
      <c r="K95" s="60"/>
      <c r="L95" s="60"/>
      <c r="M95" s="60"/>
      <c r="N95" s="60">
        <f t="shared" si="32"/>
        <v>0</v>
      </c>
      <c r="O95" s="60">
        <f t="shared" si="33"/>
        <v>0</v>
      </c>
    </row>
    <row r="96" spans="1:15" s="38" customFormat="1" ht="12" hidden="1" customHeight="1" outlineLevel="1" thickBot="1" x14ac:dyDescent="0.3">
      <c r="A96" s="125"/>
      <c r="B96" s="143"/>
      <c r="C96" s="131"/>
      <c r="D96" s="131"/>
      <c r="E96" s="131"/>
      <c r="F96" s="131"/>
      <c r="G96" s="60" t="s">
        <v>131</v>
      </c>
      <c r="H96" s="134"/>
      <c r="I96" s="134"/>
      <c r="J96" s="60"/>
      <c r="K96" s="60"/>
      <c r="L96" s="60"/>
      <c r="M96" s="60"/>
      <c r="N96" s="60">
        <f t="shared" si="32"/>
        <v>0</v>
      </c>
      <c r="O96" s="60">
        <f t="shared" si="33"/>
        <v>0</v>
      </c>
    </row>
    <row r="97" spans="1:15" s="38" customFormat="1" ht="14.45" hidden="1" customHeight="1" outlineLevel="1" x14ac:dyDescent="0.25">
      <c r="A97" s="140" t="s">
        <v>400</v>
      </c>
      <c r="B97" s="141" t="s">
        <v>401</v>
      </c>
      <c r="C97" s="130">
        <f>SUM(N97:N103)</f>
        <v>0</v>
      </c>
      <c r="D97" s="130">
        <f>SUM(O97:O103)</f>
        <v>0</v>
      </c>
      <c r="E97" s="130">
        <f t="shared" si="31"/>
        <v>0</v>
      </c>
      <c r="F97" s="130"/>
      <c r="G97" s="60" t="s">
        <v>125</v>
      </c>
      <c r="H97" s="123"/>
      <c r="I97" s="123"/>
      <c r="J97" s="60"/>
      <c r="K97" s="60"/>
      <c r="L97" s="60"/>
      <c r="M97" s="60"/>
      <c r="N97" s="60">
        <f>M97*J97*K97*L97</f>
        <v>0</v>
      </c>
      <c r="O97" s="60">
        <f>J97*K97*L97</f>
        <v>0</v>
      </c>
    </row>
    <row r="98" spans="1:15" s="38" customFormat="1" ht="11.45" hidden="1" customHeight="1" outlineLevel="1" x14ac:dyDescent="0.25">
      <c r="A98" s="124"/>
      <c r="B98" s="142"/>
      <c r="C98" s="115"/>
      <c r="D98" s="115"/>
      <c r="E98" s="115"/>
      <c r="F98" s="115"/>
      <c r="G98" s="60" t="s">
        <v>126</v>
      </c>
      <c r="H98" s="124"/>
      <c r="I98" s="124"/>
      <c r="J98" s="60"/>
      <c r="K98" s="60"/>
      <c r="L98" s="60"/>
      <c r="M98" s="60"/>
      <c r="N98" s="60">
        <f t="shared" ref="N98:N103" si="34">M98*J98*K98*L98</f>
        <v>0</v>
      </c>
      <c r="O98" s="60">
        <f t="shared" ref="O98:O103" si="35">J98*K98*L98</f>
        <v>0</v>
      </c>
    </row>
    <row r="99" spans="1:15" s="38" customFormat="1" ht="10.7" hidden="1" customHeight="1" outlineLevel="1" x14ac:dyDescent="0.25">
      <c r="A99" s="124"/>
      <c r="B99" s="142"/>
      <c r="C99" s="115"/>
      <c r="D99" s="115"/>
      <c r="E99" s="115"/>
      <c r="F99" s="115"/>
      <c r="G99" s="60" t="s">
        <v>127</v>
      </c>
      <c r="H99" s="124"/>
      <c r="I99" s="124"/>
      <c r="J99" s="60"/>
      <c r="K99" s="60"/>
      <c r="L99" s="60"/>
      <c r="M99" s="60"/>
      <c r="N99" s="60">
        <f t="shared" si="34"/>
        <v>0</v>
      </c>
      <c r="O99" s="60">
        <f t="shared" si="35"/>
        <v>0</v>
      </c>
    </row>
    <row r="100" spans="1:15" s="38" customFormat="1" ht="10.7" hidden="1" customHeight="1" outlineLevel="1" x14ac:dyDescent="0.25">
      <c r="A100" s="124"/>
      <c r="B100" s="142"/>
      <c r="C100" s="115"/>
      <c r="D100" s="115"/>
      <c r="E100" s="115"/>
      <c r="F100" s="115"/>
      <c r="G100" s="60" t="s">
        <v>128</v>
      </c>
      <c r="H100" s="124"/>
      <c r="I100" s="124"/>
      <c r="J100" s="60"/>
      <c r="K100" s="60"/>
      <c r="L100" s="60"/>
      <c r="M100" s="60"/>
      <c r="N100" s="60">
        <f t="shared" si="34"/>
        <v>0</v>
      </c>
      <c r="O100" s="60">
        <f t="shared" si="35"/>
        <v>0</v>
      </c>
    </row>
    <row r="101" spans="1:15" s="38" customFormat="1" ht="10.7" hidden="1" customHeight="1" outlineLevel="1" x14ac:dyDescent="0.25">
      <c r="A101" s="124"/>
      <c r="B101" s="142"/>
      <c r="C101" s="115"/>
      <c r="D101" s="115"/>
      <c r="E101" s="115"/>
      <c r="F101" s="115"/>
      <c r="G101" s="60" t="s">
        <v>129</v>
      </c>
      <c r="H101" s="124"/>
      <c r="I101" s="124"/>
      <c r="J101" s="60"/>
      <c r="K101" s="60"/>
      <c r="L101" s="60"/>
      <c r="M101" s="60"/>
      <c r="N101" s="60">
        <f t="shared" si="34"/>
        <v>0</v>
      </c>
      <c r="O101" s="60">
        <f t="shared" si="35"/>
        <v>0</v>
      </c>
    </row>
    <row r="102" spans="1:15" s="38" customFormat="1" ht="10.7" hidden="1" customHeight="1" outlineLevel="1" x14ac:dyDescent="0.25">
      <c r="A102" s="124"/>
      <c r="B102" s="142"/>
      <c r="C102" s="115"/>
      <c r="D102" s="115"/>
      <c r="E102" s="115"/>
      <c r="F102" s="115"/>
      <c r="G102" s="60" t="s">
        <v>130</v>
      </c>
      <c r="H102" s="124"/>
      <c r="I102" s="124"/>
      <c r="J102" s="60"/>
      <c r="K102" s="60"/>
      <c r="L102" s="60"/>
      <c r="M102" s="60"/>
      <c r="N102" s="60">
        <f t="shared" si="34"/>
        <v>0</v>
      </c>
      <c r="O102" s="60">
        <f t="shared" si="35"/>
        <v>0</v>
      </c>
    </row>
    <row r="103" spans="1:15" s="38" customFormat="1" ht="12" hidden="1" customHeight="1" outlineLevel="1" thickBot="1" x14ac:dyDescent="0.3">
      <c r="A103" s="125"/>
      <c r="B103" s="143"/>
      <c r="C103" s="131"/>
      <c r="D103" s="131"/>
      <c r="E103" s="131"/>
      <c r="F103" s="131"/>
      <c r="G103" s="60" t="s">
        <v>131</v>
      </c>
      <c r="H103" s="134"/>
      <c r="I103" s="134"/>
      <c r="J103" s="60"/>
      <c r="K103" s="60"/>
      <c r="L103" s="60"/>
      <c r="M103" s="60"/>
      <c r="N103" s="60">
        <f t="shared" si="34"/>
        <v>0</v>
      </c>
      <c r="O103" s="60">
        <f t="shared" si="35"/>
        <v>0</v>
      </c>
    </row>
    <row r="104" spans="1:15" s="38" customFormat="1" ht="14.45" hidden="1" customHeight="1" outlineLevel="1" x14ac:dyDescent="0.25">
      <c r="A104" s="140" t="s">
        <v>402</v>
      </c>
      <c r="B104" s="141" t="s">
        <v>403</v>
      </c>
      <c r="C104" s="130">
        <f>SUM(N104:N110)</f>
        <v>0</v>
      </c>
      <c r="D104" s="130">
        <f>SUM(O104:O110)</f>
        <v>0</v>
      </c>
      <c r="E104" s="130">
        <f t="shared" si="31"/>
        <v>0</v>
      </c>
      <c r="F104" s="130"/>
      <c r="G104" s="60" t="s">
        <v>125</v>
      </c>
      <c r="H104" s="123"/>
      <c r="I104" s="123"/>
      <c r="J104" s="60"/>
      <c r="K104" s="60"/>
      <c r="L104" s="60"/>
      <c r="M104" s="60"/>
      <c r="N104" s="60">
        <f>M104*J104*K104*L104</f>
        <v>0</v>
      </c>
      <c r="O104" s="60">
        <f>J104*K104*L104</f>
        <v>0</v>
      </c>
    </row>
    <row r="105" spans="1:15" s="38" customFormat="1" ht="11.45" hidden="1" customHeight="1" outlineLevel="1" x14ac:dyDescent="0.25">
      <c r="A105" s="124"/>
      <c r="B105" s="142"/>
      <c r="C105" s="115"/>
      <c r="D105" s="115"/>
      <c r="E105" s="115"/>
      <c r="F105" s="115"/>
      <c r="G105" s="60" t="s">
        <v>126</v>
      </c>
      <c r="H105" s="124"/>
      <c r="I105" s="124"/>
      <c r="J105" s="60"/>
      <c r="K105" s="60"/>
      <c r="L105" s="60"/>
      <c r="M105" s="60"/>
      <c r="N105" s="60">
        <f t="shared" ref="N105:N110" si="36">M105*J105*K105*L105</f>
        <v>0</v>
      </c>
      <c r="O105" s="60">
        <f t="shared" ref="O105:O110" si="37">J105*K105*L105</f>
        <v>0</v>
      </c>
    </row>
    <row r="106" spans="1:15" s="38" customFormat="1" ht="10.7" hidden="1" customHeight="1" outlineLevel="1" x14ac:dyDescent="0.25">
      <c r="A106" s="124"/>
      <c r="B106" s="142"/>
      <c r="C106" s="115"/>
      <c r="D106" s="115"/>
      <c r="E106" s="115"/>
      <c r="F106" s="115"/>
      <c r="G106" s="60" t="s">
        <v>127</v>
      </c>
      <c r="H106" s="124"/>
      <c r="I106" s="124"/>
      <c r="J106" s="60"/>
      <c r="K106" s="60"/>
      <c r="L106" s="60"/>
      <c r="M106" s="60"/>
      <c r="N106" s="60">
        <f t="shared" si="36"/>
        <v>0</v>
      </c>
      <c r="O106" s="60">
        <f t="shared" si="37"/>
        <v>0</v>
      </c>
    </row>
    <row r="107" spans="1:15" s="38" customFormat="1" ht="10.7" hidden="1" customHeight="1" outlineLevel="1" x14ac:dyDescent="0.25">
      <c r="A107" s="124"/>
      <c r="B107" s="142"/>
      <c r="C107" s="115"/>
      <c r="D107" s="115"/>
      <c r="E107" s="115"/>
      <c r="F107" s="115"/>
      <c r="G107" s="60" t="s">
        <v>128</v>
      </c>
      <c r="H107" s="124"/>
      <c r="I107" s="124"/>
      <c r="J107" s="60"/>
      <c r="K107" s="60"/>
      <c r="L107" s="60"/>
      <c r="M107" s="60"/>
      <c r="N107" s="60">
        <f t="shared" si="36"/>
        <v>0</v>
      </c>
      <c r="O107" s="60">
        <f t="shared" si="37"/>
        <v>0</v>
      </c>
    </row>
    <row r="108" spans="1:15" s="38" customFormat="1" ht="10.7" hidden="1" customHeight="1" outlineLevel="1" x14ac:dyDescent="0.25">
      <c r="A108" s="124"/>
      <c r="B108" s="142"/>
      <c r="C108" s="115"/>
      <c r="D108" s="115"/>
      <c r="E108" s="115"/>
      <c r="F108" s="115"/>
      <c r="G108" s="60" t="s">
        <v>129</v>
      </c>
      <c r="H108" s="124"/>
      <c r="I108" s="124"/>
      <c r="J108" s="60"/>
      <c r="K108" s="60"/>
      <c r="L108" s="60"/>
      <c r="M108" s="60"/>
      <c r="N108" s="60">
        <f t="shared" si="36"/>
        <v>0</v>
      </c>
      <c r="O108" s="60">
        <f t="shared" si="37"/>
        <v>0</v>
      </c>
    </row>
    <row r="109" spans="1:15" s="38" customFormat="1" ht="10.7" hidden="1" customHeight="1" outlineLevel="1" x14ac:dyDescent="0.25">
      <c r="A109" s="124"/>
      <c r="B109" s="142"/>
      <c r="C109" s="115"/>
      <c r="D109" s="115"/>
      <c r="E109" s="115"/>
      <c r="F109" s="115"/>
      <c r="G109" s="60" t="s">
        <v>130</v>
      </c>
      <c r="H109" s="124"/>
      <c r="I109" s="124"/>
      <c r="J109" s="60"/>
      <c r="K109" s="60"/>
      <c r="L109" s="60"/>
      <c r="M109" s="60"/>
      <c r="N109" s="60">
        <f t="shared" si="36"/>
        <v>0</v>
      </c>
      <c r="O109" s="60">
        <f t="shared" si="37"/>
        <v>0</v>
      </c>
    </row>
    <row r="110" spans="1:15" s="38" customFormat="1" ht="12" hidden="1" customHeight="1" outlineLevel="1" thickBot="1" x14ac:dyDescent="0.3">
      <c r="A110" s="125"/>
      <c r="B110" s="143"/>
      <c r="C110" s="131"/>
      <c r="D110" s="131"/>
      <c r="E110" s="131"/>
      <c r="F110" s="131"/>
      <c r="G110" s="60" t="s">
        <v>131</v>
      </c>
      <c r="H110" s="134"/>
      <c r="I110" s="134"/>
      <c r="J110" s="60"/>
      <c r="K110" s="60"/>
      <c r="L110" s="60"/>
      <c r="M110" s="60"/>
      <c r="N110" s="60">
        <f t="shared" si="36"/>
        <v>0</v>
      </c>
      <c r="O110" s="60">
        <f t="shared" si="37"/>
        <v>0</v>
      </c>
    </row>
    <row r="111" spans="1:15" s="38" customFormat="1" ht="14.45" hidden="1" customHeight="1" outlineLevel="1" x14ac:dyDescent="0.25">
      <c r="A111" s="140" t="s">
        <v>404</v>
      </c>
      <c r="B111" s="141" t="s">
        <v>405</v>
      </c>
      <c r="C111" s="130">
        <f>SUM(N111:N117)</f>
        <v>0</v>
      </c>
      <c r="D111" s="130">
        <f>SUM(O111:O117)</f>
        <v>0</v>
      </c>
      <c r="E111" s="130">
        <f t="shared" si="31"/>
        <v>0</v>
      </c>
      <c r="F111" s="130"/>
      <c r="G111" s="60" t="s">
        <v>125</v>
      </c>
      <c r="H111" s="123"/>
      <c r="I111" s="123"/>
      <c r="J111" s="60"/>
      <c r="K111" s="60"/>
      <c r="L111" s="60"/>
      <c r="M111" s="60"/>
      <c r="N111" s="60">
        <f>M111*J111*K111*L111</f>
        <v>0</v>
      </c>
      <c r="O111" s="60">
        <f>J111*K111*L111</f>
        <v>0</v>
      </c>
    </row>
    <row r="112" spans="1:15" s="38" customFormat="1" ht="11.45" hidden="1" customHeight="1" outlineLevel="1" x14ac:dyDescent="0.25">
      <c r="A112" s="124"/>
      <c r="B112" s="142"/>
      <c r="C112" s="115"/>
      <c r="D112" s="115"/>
      <c r="E112" s="115"/>
      <c r="F112" s="115"/>
      <c r="G112" s="60" t="s">
        <v>126</v>
      </c>
      <c r="H112" s="124"/>
      <c r="I112" s="124"/>
      <c r="J112" s="60"/>
      <c r="K112" s="60"/>
      <c r="L112" s="60"/>
      <c r="M112" s="60"/>
      <c r="N112" s="60">
        <f t="shared" ref="N112:N117" si="38">M112*J112*K112*L112</f>
        <v>0</v>
      </c>
      <c r="O112" s="60">
        <f t="shared" ref="O112:O117" si="39">J112*K112*L112</f>
        <v>0</v>
      </c>
    </row>
    <row r="113" spans="1:15" s="38" customFormat="1" ht="10.7" hidden="1" customHeight="1" outlineLevel="1" x14ac:dyDescent="0.25">
      <c r="A113" s="124"/>
      <c r="B113" s="142"/>
      <c r="C113" s="115"/>
      <c r="D113" s="115"/>
      <c r="E113" s="115"/>
      <c r="F113" s="115"/>
      <c r="G113" s="60" t="s">
        <v>127</v>
      </c>
      <c r="H113" s="124"/>
      <c r="I113" s="124"/>
      <c r="J113" s="60"/>
      <c r="K113" s="60"/>
      <c r="L113" s="60"/>
      <c r="M113" s="60"/>
      <c r="N113" s="60">
        <f t="shared" si="38"/>
        <v>0</v>
      </c>
      <c r="O113" s="60">
        <f t="shared" si="39"/>
        <v>0</v>
      </c>
    </row>
    <row r="114" spans="1:15" s="38" customFormat="1" ht="10.7" hidden="1" customHeight="1" outlineLevel="1" x14ac:dyDescent="0.25">
      <c r="A114" s="124"/>
      <c r="B114" s="142"/>
      <c r="C114" s="115"/>
      <c r="D114" s="115"/>
      <c r="E114" s="115"/>
      <c r="F114" s="115"/>
      <c r="G114" s="60" t="s">
        <v>128</v>
      </c>
      <c r="H114" s="124"/>
      <c r="I114" s="124"/>
      <c r="J114" s="60"/>
      <c r="K114" s="60"/>
      <c r="L114" s="60"/>
      <c r="M114" s="60"/>
      <c r="N114" s="60">
        <f t="shared" si="38"/>
        <v>0</v>
      </c>
      <c r="O114" s="60">
        <f t="shared" si="39"/>
        <v>0</v>
      </c>
    </row>
    <row r="115" spans="1:15" s="38" customFormat="1" ht="10.7" hidden="1" customHeight="1" outlineLevel="1" x14ac:dyDescent="0.25">
      <c r="A115" s="124"/>
      <c r="B115" s="142"/>
      <c r="C115" s="115"/>
      <c r="D115" s="115"/>
      <c r="E115" s="115"/>
      <c r="F115" s="115"/>
      <c r="G115" s="60" t="s">
        <v>129</v>
      </c>
      <c r="H115" s="124"/>
      <c r="I115" s="124"/>
      <c r="J115" s="60"/>
      <c r="K115" s="60"/>
      <c r="L115" s="60"/>
      <c r="M115" s="60"/>
      <c r="N115" s="60">
        <f t="shared" si="38"/>
        <v>0</v>
      </c>
      <c r="O115" s="60">
        <f t="shared" si="39"/>
        <v>0</v>
      </c>
    </row>
    <row r="116" spans="1:15" s="38" customFormat="1" ht="10.7" hidden="1" customHeight="1" outlineLevel="1" x14ac:dyDescent="0.25">
      <c r="A116" s="124"/>
      <c r="B116" s="142"/>
      <c r="C116" s="115"/>
      <c r="D116" s="115"/>
      <c r="E116" s="115"/>
      <c r="F116" s="115"/>
      <c r="G116" s="60" t="s">
        <v>130</v>
      </c>
      <c r="H116" s="124"/>
      <c r="I116" s="124"/>
      <c r="J116" s="60"/>
      <c r="K116" s="60"/>
      <c r="L116" s="60"/>
      <c r="M116" s="60"/>
      <c r="N116" s="60">
        <f t="shared" si="38"/>
        <v>0</v>
      </c>
      <c r="O116" s="60">
        <f t="shared" si="39"/>
        <v>0</v>
      </c>
    </row>
    <row r="117" spans="1:15" s="38" customFormat="1" ht="12" hidden="1" customHeight="1" outlineLevel="1" thickBot="1" x14ac:dyDescent="0.3">
      <c r="A117" s="125"/>
      <c r="B117" s="143"/>
      <c r="C117" s="131"/>
      <c r="D117" s="131"/>
      <c r="E117" s="131"/>
      <c r="F117" s="131"/>
      <c r="G117" s="60" t="s">
        <v>131</v>
      </c>
      <c r="H117" s="134"/>
      <c r="I117" s="134"/>
      <c r="J117" s="60"/>
      <c r="K117" s="60"/>
      <c r="L117" s="60"/>
      <c r="M117" s="60"/>
      <c r="N117" s="60">
        <f t="shared" si="38"/>
        <v>0</v>
      </c>
      <c r="O117" s="60">
        <f t="shared" si="39"/>
        <v>0</v>
      </c>
    </row>
    <row r="118" spans="1:15" s="38" customFormat="1" ht="14.45" hidden="1" customHeight="1" outlineLevel="1" x14ac:dyDescent="0.25">
      <c r="A118" s="140" t="s">
        <v>406</v>
      </c>
      <c r="B118" s="141" t="s">
        <v>407</v>
      </c>
      <c r="C118" s="130">
        <f>SUM(N118:N124)</f>
        <v>0</v>
      </c>
      <c r="D118" s="130">
        <f>SUM(O118:O124)</f>
        <v>0</v>
      </c>
      <c r="E118" s="130">
        <f t="shared" si="31"/>
        <v>0</v>
      </c>
      <c r="F118" s="130"/>
      <c r="G118" s="60" t="s">
        <v>125</v>
      </c>
      <c r="H118" s="123"/>
      <c r="I118" s="123"/>
      <c r="J118" s="60"/>
      <c r="K118" s="60"/>
      <c r="L118" s="60"/>
      <c r="M118" s="60"/>
      <c r="N118" s="60">
        <f>M118*J118*K118*L118</f>
        <v>0</v>
      </c>
      <c r="O118" s="60">
        <f>J118*K118*L118</f>
        <v>0</v>
      </c>
    </row>
    <row r="119" spans="1:15" s="38" customFormat="1" ht="11.45" hidden="1" customHeight="1" outlineLevel="1" x14ac:dyDescent="0.25">
      <c r="A119" s="124"/>
      <c r="B119" s="142"/>
      <c r="C119" s="115"/>
      <c r="D119" s="115"/>
      <c r="E119" s="115"/>
      <c r="F119" s="115"/>
      <c r="G119" s="60" t="s">
        <v>126</v>
      </c>
      <c r="H119" s="124"/>
      <c r="I119" s="124"/>
      <c r="J119" s="60"/>
      <c r="K119" s="60"/>
      <c r="L119" s="60"/>
      <c r="M119" s="60"/>
      <c r="N119" s="60">
        <f t="shared" ref="N119:N124" si="40">M119*J119*K119*L119</f>
        <v>0</v>
      </c>
      <c r="O119" s="60">
        <f t="shared" ref="O119:O124" si="41">J119*K119*L119</f>
        <v>0</v>
      </c>
    </row>
    <row r="120" spans="1:15" s="38" customFormat="1" ht="10.7" hidden="1" customHeight="1" outlineLevel="1" x14ac:dyDescent="0.25">
      <c r="A120" s="124"/>
      <c r="B120" s="142"/>
      <c r="C120" s="115"/>
      <c r="D120" s="115"/>
      <c r="E120" s="115"/>
      <c r="F120" s="115"/>
      <c r="G120" s="60" t="s">
        <v>127</v>
      </c>
      <c r="H120" s="124"/>
      <c r="I120" s="124"/>
      <c r="J120" s="60"/>
      <c r="K120" s="60"/>
      <c r="L120" s="60"/>
      <c r="M120" s="60"/>
      <c r="N120" s="60">
        <f t="shared" si="40"/>
        <v>0</v>
      </c>
      <c r="O120" s="60">
        <f t="shared" si="41"/>
        <v>0</v>
      </c>
    </row>
    <row r="121" spans="1:15" s="38" customFormat="1" ht="10.7" hidden="1" customHeight="1" outlineLevel="1" x14ac:dyDescent="0.25">
      <c r="A121" s="124"/>
      <c r="B121" s="142"/>
      <c r="C121" s="115"/>
      <c r="D121" s="115"/>
      <c r="E121" s="115"/>
      <c r="F121" s="115"/>
      <c r="G121" s="60" t="s">
        <v>128</v>
      </c>
      <c r="H121" s="124"/>
      <c r="I121" s="124"/>
      <c r="J121" s="60"/>
      <c r="K121" s="60"/>
      <c r="L121" s="60"/>
      <c r="M121" s="60"/>
      <c r="N121" s="60">
        <f t="shared" si="40"/>
        <v>0</v>
      </c>
      <c r="O121" s="60">
        <f t="shared" si="41"/>
        <v>0</v>
      </c>
    </row>
    <row r="122" spans="1:15" s="38" customFormat="1" ht="10.7" hidden="1" customHeight="1" outlineLevel="1" x14ac:dyDescent="0.25">
      <c r="A122" s="124"/>
      <c r="B122" s="142"/>
      <c r="C122" s="115"/>
      <c r="D122" s="115"/>
      <c r="E122" s="115"/>
      <c r="F122" s="115"/>
      <c r="G122" s="60" t="s">
        <v>129</v>
      </c>
      <c r="H122" s="124"/>
      <c r="I122" s="124"/>
      <c r="J122" s="60"/>
      <c r="K122" s="60"/>
      <c r="L122" s="60"/>
      <c r="M122" s="60"/>
      <c r="N122" s="60">
        <f t="shared" si="40"/>
        <v>0</v>
      </c>
      <c r="O122" s="60">
        <f t="shared" si="41"/>
        <v>0</v>
      </c>
    </row>
    <row r="123" spans="1:15" s="38" customFormat="1" ht="10.7" hidden="1" customHeight="1" outlineLevel="1" x14ac:dyDescent="0.25">
      <c r="A123" s="124"/>
      <c r="B123" s="142"/>
      <c r="C123" s="115"/>
      <c r="D123" s="115"/>
      <c r="E123" s="115"/>
      <c r="F123" s="115"/>
      <c r="G123" s="60" t="s">
        <v>130</v>
      </c>
      <c r="H123" s="124"/>
      <c r="I123" s="124"/>
      <c r="J123" s="60"/>
      <c r="K123" s="60"/>
      <c r="L123" s="60"/>
      <c r="M123" s="60"/>
      <c r="N123" s="60">
        <f t="shared" si="40"/>
        <v>0</v>
      </c>
      <c r="O123" s="60">
        <f t="shared" si="41"/>
        <v>0</v>
      </c>
    </row>
    <row r="124" spans="1:15" s="38" customFormat="1" ht="12" hidden="1" customHeight="1" outlineLevel="1" thickBot="1" x14ac:dyDescent="0.3">
      <c r="A124" s="125"/>
      <c r="B124" s="143"/>
      <c r="C124" s="131"/>
      <c r="D124" s="131"/>
      <c r="E124" s="131"/>
      <c r="F124" s="131"/>
      <c r="G124" s="60" t="s">
        <v>131</v>
      </c>
      <c r="H124" s="134"/>
      <c r="I124" s="134"/>
      <c r="J124" s="60"/>
      <c r="K124" s="60"/>
      <c r="L124" s="60"/>
      <c r="M124" s="60"/>
      <c r="N124" s="60">
        <f t="shared" si="40"/>
        <v>0</v>
      </c>
      <c r="O124" s="60">
        <f t="shared" si="41"/>
        <v>0</v>
      </c>
    </row>
    <row r="125" spans="1:15" s="38" customFormat="1" ht="14.45" hidden="1" customHeight="1" outlineLevel="1" x14ac:dyDescent="0.25">
      <c r="A125" s="140" t="s">
        <v>408</v>
      </c>
      <c r="B125" s="141" t="s">
        <v>409</v>
      </c>
      <c r="C125" s="130">
        <f>SUM(N125:N131)</f>
        <v>0</v>
      </c>
      <c r="D125" s="130">
        <f>SUM(O125:O131)</f>
        <v>0</v>
      </c>
      <c r="E125" s="130">
        <f t="shared" si="31"/>
        <v>0</v>
      </c>
      <c r="F125" s="130"/>
      <c r="G125" s="60" t="s">
        <v>125</v>
      </c>
      <c r="H125" s="123"/>
      <c r="I125" s="123"/>
      <c r="J125" s="60"/>
      <c r="K125" s="60"/>
      <c r="L125" s="60"/>
      <c r="M125" s="60"/>
      <c r="N125" s="60">
        <f>M125*J125*K125*L125</f>
        <v>0</v>
      </c>
      <c r="O125" s="60">
        <f>J125*K125*L125</f>
        <v>0</v>
      </c>
    </row>
    <row r="126" spans="1:15" s="38" customFormat="1" ht="11.45" hidden="1" customHeight="1" outlineLevel="1" x14ac:dyDescent="0.25">
      <c r="A126" s="124"/>
      <c r="B126" s="142"/>
      <c r="C126" s="115"/>
      <c r="D126" s="115"/>
      <c r="E126" s="115"/>
      <c r="F126" s="115"/>
      <c r="G126" s="60" t="s">
        <v>126</v>
      </c>
      <c r="H126" s="124"/>
      <c r="I126" s="124"/>
      <c r="J126" s="60"/>
      <c r="K126" s="60"/>
      <c r="L126" s="60"/>
      <c r="M126" s="60"/>
      <c r="N126" s="60">
        <f t="shared" ref="N126:N131" si="42">M126*J126*K126*L126</f>
        <v>0</v>
      </c>
      <c r="O126" s="60">
        <f t="shared" ref="O126:O131" si="43">J126*K126*L126</f>
        <v>0</v>
      </c>
    </row>
    <row r="127" spans="1:15" s="38" customFormat="1" ht="10.7" hidden="1" customHeight="1" outlineLevel="1" x14ac:dyDescent="0.25">
      <c r="A127" s="124"/>
      <c r="B127" s="142"/>
      <c r="C127" s="115"/>
      <c r="D127" s="115"/>
      <c r="E127" s="115"/>
      <c r="F127" s="115"/>
      <c r="G127" s="60" t="s">
        <v>127</v>
      </c>
      <c r="H127" s="124"/>
      <c r="I127" s="124"/>
      <c r="J127" s="60"/>
      <c r="K127" s="60"/>
      <c r="L127" s="60"/>
      <c r="M127" s="60"/>
      <c r="N127" s="60">
        <f t="shared" si="42"/>
        <v>0</v>
      </c>
      <c r="O127" s="60">
        <f t="shared" si="43"/>
        <v>0</v>
      </c>
    </row>
    <row r="128" spans="1:15" s="38" customFormat="1" ht="10.7" hidden="1" customHeight="1" outlineLevel="1" x14ac:dyDescent="0.25">
      <c r="A128" s="124"/>
      <c r="B128" s="142"/>
      <c r="C128" s="115"/>
      <c r="D128" s="115"/>
      <c r="E128" s="115"/>
      <c r="F128" s="115"/>
      <c r="G128" s="60" t="s">
        <v>128</v>
      </c>
      <c r="H128" s="124"/>
      <c r="I128" s="124"/>
      <c r="J128" s="60"/>
      <c r="K128" s="60"/>
      <c r="L128" s="60"/>
      <c r="M128" s="60"/>
      <c r="N128" s="60">
        <f t="shared" si="42"/>
        <v>0</v>
      </c>
      <c r="O128" s="60">
        <f t="shared" si="43"/>
        <v>0</v>
      </c>
    </row>
    <row r="129" spans="1:15" s="38" customFormat="1" ht="10.7" hidden="1" customHeight="1" outlineLevel="1" x14ac:dyDescent="0.25">
      <c r="A129" s="124"/>
      <c r="B129" s="142"/>
      <c r="C129" s="115"/>
      <c r="D129" s="115"/>
      <c r="E129" s="115"/>
      <c r="F129" s="115"/>
      <c r="G129" s="60" t="s">
        <v>129</v>
      </c>
      <c r="H129" s="124"/>
      <c r="I129" s="124"/>
      <c r="J129" s="60"/>
      <c r="K129" s="60"/>
      <c r="L129" s="60"/>
      <c r="M129" s="60"/>
      <c r="N129" s="60">
        <f t="shared" si="42"/>
        <v>0</v>
      </c>
      <c r="O129" s="60">
        <f t="shared" si="43"/>
        <v>0</v>
      </c>
    </row>
    <row r="130" spans="1:15" s="38" customFormat="1" ht="10.7" hidden="1" customHeight="1" outlineLevel="1" x14ac:dyDescent="0.25">
      <c r="A130" s="124"/>
      <c r="B130" s="142"/>
      <c r="C130" s="115"/>
      <c r="D130" s="115"/>
      <c r="E130" s="115"/>
      <c r="F130" s="115"/>
      <c r="G130" s="60" t="s">
        <v>130</v>
      </c>
      <c r="H130" s="124"/>
      <c r="I130" s="124"/>
      <c r="J130" s="60"/>
      <c r="K130" s="60"/>
      <c r="L130" s="60"/>
      <c r="M130" s="60"/>
      <c r="N130" s="60">
        <f t="shared" si="42"/>
        <v>0</v>
      </c>
      <c r="O130" s="60">
        <f t="shared" si="43"/>
        <v>0</v>
      </c>
    </row>
    <row r="131" spans="1:15" s="38" customFormat="1" ht="12" hidden="1" customHeight="1" outlineLevel="1" thickBot="1" x14ac:dyDescent="0.3">
      <c r="A131" s="125"/>
      <c r="B131" s="143"/>
      <c r="C131" s="131"/>
      <c r="D131" s="131"/>
      <c r="E131" s="131"/>
      <c r="F131" s="131"/>
      <c r="G131" s="60" t="s">
        <v>131</v>
      </c>
      <c r="H131" s="134"/>
      <c r="I131" s="134"/>
      <c r="J131" s="60"/>
      <c r="K131" s="60"/>
      <c r="L131" s="60"/>
      <c r="M131" s="60"/>
      <c r="N131" s="60">
        <f t="shared" si="42"/>
        <v>0</v>
      </c>
      <c r="O131" s="60">
        <f t="shared" si="43"/>
        <v>0</v>
      </c>
    </row>
    <row r="132" spans="1:15" s="38" customFormat="1" ht="14.45" hidden="1" customHeight="1" outlineLevel="1" x14ac:dyDescent="0.25">
      <c r="A132" s="140" t="s">
        <v>410</v>
      </c>
      <c r="B132" s="141" t="s">
        <v>411</v>
      </c>
      <c r="C132" s="130">
        <f>SUM(N132:N138)</f>
        <v>0</v>
      </c>
      <c r="D132" s="130">
        <f>SUM(O132:O138)</f>
        <v>0</v>
      </c>
      <c r="E132" s="130">
        <f t="shared" si="31"/>
        <v>0</v>
      </c>
      <c r="F132" s="130"/>
      <c r="G132" s="60" t="s">
        <v>125</v>
      </c>
      <c r="H132" s="123"/>
      <c r="I132" s="123"/>
      <c r="J132" s="60"/>
      <c r="K132" s="60"/>
      <c r="L132" s="60"/>
      <c r="M132" s="60"/>
      <c r="N132" s="60">
        <f>M132*J132*K132*L132</f>
        <v>0</v>
      </c>
      <c r="O132" s="60">
        <f>J132*K132*L132</f>
        <v>0</v>
      </c>
    </row>
    <row r="133" spans="1:15" s="38" customFormat="1" ht="11.45" hidden="1" customHeight="1" outlineLevel="1" x14ac:dyDescent="0.25">
      <c r="A133" s="124"/>
      <c r="B133" s="142"/>
      <c r="C133" s="115"/>
      <c r="D133" s="115"/>
      <c r="E133" s="115"/>
      <c r="F133" s="115"/>
      <c r="G133" s="60" t="s">
        <v>126</v>
      </c>
      <c r="H133" s="124"/>
      <c r="I133" s="124"/>
      <c r="J133" s="60"/>
      <c r="K133" s="60"/>
      <c r="L133" s="60"/>
      <c r="M133" s="60"/>
      <c r="N133" s="60">
        <f t="shared" ref="N133:N138" si="44">M133*J133*K133*L133</f>
        <v>0</v>
      </c>
      <c r="O133" s="60">
        <f t="shared" ref="O133:O138" si="45">J133*K133*L133</f>
        <v>0</v>
      </c>
    </row>
    <row r="134" spans="1:15" s="38" customFormat="1" ht="10.7" hidden="1" customHeight="1" outlineLevel="1" x14ac:dyDescent="0.25">
      <c r="A134" s="124"/>
      <c r="B134" s="142"/>
      <c r="C134" s="115"/>
      <c r="D134" s="115"/>
      <c r="E134" s="115"/>
      <c r="F134" s="115"/>
      <c r="G134" s="60" t="s">
        <v>127</v>
      </c>
      <c r="H134" s="124"/>
      <c r="I134" s="124"/>
      <c r="J134" s="60"/>
      <c r="K134" s="60"/>
      <c r="L134" s="60"/>
      <c r="M134" s="60"/>
      <c r="N134" s="60">
        <f t="shared" si="44"/>
        <v>0</v>
      </c>
      <c r="O134" s="60">
        <f t="shared" si="45"/>
        <v>0</v>
      </c>
    </row>
    <row r="135" spans="1:15" s="38" customFormat="1" ht="10.7" hidden="1" customHeight="1" outlineLevel="1" x14ac:dyDescent="0.25">
      <c r="A135" s="124"/>
      <c r="B135" s="142"/>
      <c r="C135" s="115"/>
      <c r="D135" s="115"/>
      <c r="E135" s="115"/>
      <c r="F135" s="115"/>
      <c r="G135" s="60" t="s">
        <v>128</v>
      </c>
      <c r="H135" s="124"/>
      <c r="I135" s="124"/>
      <c r="J135" s="60"/>
      <c r="K135" s="60"/>
      <c r="L135" s="60"/>
      <c r="M135" s="60"/>
      <c r="N135" s="60">
        <f t="shared" si="44"/>
        <v>0</v>
      </c>
      <c r="O135" s="60">
        <f t="shared" si="45"/>
        <v>0</v>
      </c>
    </row>
    <row r="136" spans="1:15" s="38" customFormat="1" ht="10.7" hidden="1" customHeight="1" outlineLevel="1" x14ac:dyDescent="0.25">
      <c r="A136" s="124"/>
      <c r="B136" s="142"/>
      <c r="C136" s="115"/>
      <c r="D136" s="115"/>
      <c r="E136" s="115"/>
      <c r="F136" s="115"/>
      <c r="G136" s="60" t="s">
        <v>129</v>
      </c>
      <c r="H136" s="124"/>
      <c r="I136" s="124"/>
      <c r="J136" s="60"/>
      <c r="K136" s="60"/>
      <c r="L136" s="60"/>
      <c r="M136" s="60"/>
      <c r="N136" s="60">
        <f t="shared" si="44"/>
        <v>0</v>
      </c>
      <c r="O136" s="60">
        <f t="shared" si="45"/>
        <v>0</v>
      </c>
    </row>
    <row r="137" spans="1:15" s="38" customFormat="1" ht="10.7" hidden="1" customHeight="1" outlineLevel="1" x14ac:dyDescent="0.25">
      <c r="A137" s="124"/>
      <c r="B137" s="142"/>
      <c r="C137" s="115"/>
      <c r="D137" s="115"/>
      <c r="E137" s="115"/>
      <c r="F137" s="115"/>
      <c r="G137" s="60" t="s">
        <v>130</v>
      </c>
      <c r="H137" s="124"/>
      <c r="I137" s="124"/>
      <c r="J137" s="60"/>
      <c r="K137" s="60"/>
      <c r="L137" s="60"/>
      <c r="M137" s="60"/>
      <c r="N137" s="60">
        <f t="shared" si="44"/>
        <v>0</v>
      </c>
      <c r="O137" s="60">
        <f t="shared" si="45"/>
        <v>0</v>
      </c>
    </row>
    <row r="138" spans="1:15" s="38" customFormat="1" ht="12" hidden="1" customHeight="1" outlineLevel="1" thickBot="1" x14ac:dyDescent="0.3">
      <c r="A138" s="125"/>
      <c r="B138" s="143"/>
      <c r="C138" s="131"/>
      <c r="D138" s="131"/>
      <c r="E138" s="131"/>
      <c r="F138" s="131"/>
      <c r="G138" s="60" t="s">
        <v>131</v>
      </c>
      <c r="H138" s="134"/>
      <c r="I138" s="134"/>
      <c r="J138" s="60"/>
      <c r="K138" s="60"/>
      <c r="L138" s="60"/>
      <c r="M138" s="60"/>
      <c r="N138" s="60">
        <f t="shared" si="44"/>
        <v>0</v>
      </c>
      <c r="O138" s="60">
        <f t="shared" si="45"/>
        <v>0</v>
      </c>
    </row>
    <row r="139" spans="1:15" s="38" customFormat="1" ht="14.45" hidden="1" customHeight="1" outlineLevel="1" x14ac:dyDescent="0.25">
      <c r="A139" s="140" t="s">
        <v>412</v>
      </c>
      <c r="B139" s="141" t="s">
        <v>413</v>
      </c>
      <c r="C139" s="130">
        <f>SUM(N139:N145)</f>
        <v>0</v>
      </c>
      <c r="D139" s="130">
        <f>SUM(O139:O145)</f>
        <v>0</v>
      </c>
      <c r="E139" s="130">
        <f t="shared" si="31"/>
        <v>0</v>
      </c>
      <c r="F139" s="130"/>
      <c r="G139" s="60" t="s">
        <v>125</v>
      </c>
      <c r="H139" s="123"/>
      <c r="I139" s="123"/>
      <c r="J139" s="60"/>
      <c r="K139" s="60"/>
      <c r="L139" s="60"/>
      <c r="M139" s="60"/>
      <c r="N139" s="60">
        <f>M139*J139*K139*L139</f>
        <v>0</v>
      </c>
      <c r="O139" s="60">
        <f>J139*K139*L139</f>
        <v>0</v>
      </c>
    </row>
    <row r="140" spans="1:15" s="38" customFormat="1" ht="11.45" hidden="1" customHeight="1" outlineLevel="1" x14ac:dyDescent="0.25">
      <c r="A140" s="124"/>
      <c r="B140" s="142"/>
      <c r="C140" s="115"/>
      <c r="D140" s="115"/>
      <c r="E140" s="115"/>
      <c r="F140" s="115"/>
      <c r="G140" s="60" t="s">
        <v>126</v>
      </c>
      <c r="H140" s="124"/>
      <c r="I140" s="124"/>
      <c r="J140" s="60"/>
      <c r="K140" s="60"/>
      <c r="L140" s="60"/>
      <c r="M140" s="60"/>
      <c r="N140" s="60">
        <f t="shared" ref="N140:N145" si="46">M140*J140*K140*L140</f>
        <v>0</v>
      </c>
      <c r="O140" s="60">
        <f t="shared" ref="O140:O145" si="47">J140*K140*L140</f>
        <v>0</v>
      </c>
    </row>
    <row r="141" spans="1:15" s="38" customFormat="1" ht="10.7" hidden="1" customHeight="1" outlineLevel="1" x14ac:dyDescent="0.25">
      <c r="A141" s="124"/>
      <c r="B141" s="142"/>
      <c r="C141" s="115"/>
      <c r="D141" s="115"/>
      <c r="E141" s="115"/>
      <c r="F141" s="115"/>
      <c r="G141" s="60" t="s">
        <v>127</v>
      </c>
      <c r="H141" s="124"/>
      <c r="I141" s="124"/>
      <c r="J141" s="60"/>
      <c r="K141" s="60"/>
      <c r="L141" s="60"/>
      <c r="M141" s="60"/>
      <c r="N141" s="60">
        <f t="shared" si="46"/>
        <v>0</v>
      </c>
      <c r="O141" s="60">
        <f t="shared" si="47"/>
        <v>0</v>
      </c>
    </row>
    <row r="142" spans="1:15" s="38" customFormat="1" ht="10.7" hidden="1" customHeight="1" outlineLevel="1" x14ac:dyDescent="0.25">
      <c r="A142" s="124"/>
      <c r="B142" s="142"/>
      <c r="C142" s="115"/>
      <c r="D142" s="115"/>
      <c r="E142" s="115"/>
      <c r="F142" s="115"/>
      <c r="G142" s="60" t="s">
        <v>128</v>
      </c>
      <c r="H142" s="124"/>
      <c r="I142" s="124"/>
      <c r="J142" s="60"/>
      <c r="K142" s="60"/>
      <c r="L142" s="60"/>
      <c r="M142" s="60"/>
      <c r="N142" s="60">
        <f t="shared" si="46"/>
        <v>0</v>
      </c>
      <c r="O142" s="60">
        <f t="shared" si="47"/>
        <v>0</v>
      </c>
    </row>
    <row r="143" spans="1:15" s="38" customFormat="1" ht="10.7" hidden="1" customHeight="1" outlineLevel="1" x14ac:dyDescent="0.25">
      <c r="A143" s="124"/>
      <c r="B143" s="142"/>
      <c r="C143" s="115"/>
      <c r="D143" s="115"/>
      <c r="E143" s="115"/>
      <c r="F143" s="115"/>
      <c r="G143" s="60" t="s">
        <v>129</v>
      </c>
      <c r="H143" s="124"/>
      <c r="I143" s="124"/>
      <c r="J143" s="60"/>
      <c r="K143" s="60"/>
      <c r="L143" s="60"/>
      <c r="M143" s="60"/>
      <c r="N143" s="60">
        <f t="shared" si="46"/>
        <v>0</v>
      </c>
      <c r="O143" s="60">
        <f t="shared" si="47"/>
        <v>0</v>
      </c>
    </row>
    <row r="144" spans="1:15" s="38" customFormat="1" ht="10.7" hidden="1" customHeight="1" outlineLevel="1" x14ac:dyDescent="0.25">
      <c r="A144" s="124"/>
      <c r="B144" s="142"/>
      <c r="C144" s="115"/>
      <c r="D144" s="115"/>
      <c r="E144" s="115"/>
      <c r="F144" s="115"/>
      <c r="G144" s="60" t="s">
        <v>130</v>
      </c>
      <c r="H144" s="124"/>
      <c r="I144" s="124"/>
      <c r="J144" s="60"/>
      <c r="K144" s="60"/>
      <c r="L144" s="60"/>
      <c r="M144" s="60"/>
      <c r="N144" s="60">
        <f t="shared" si="46"/>
        <v>0</v>
      </c>
      <c r="O144" s="60">
        <f t="shared" si="47"/>
        <v>0</v>
      </c>
    </row>
    <row r="145" spans="1:15" s="38" customFormat="1" ht="12" hidden="1" customHeight="1" outlineLevel="1" thickBot="1" x14ac:dyDescent="0.3">
      <c r="A145" s="125"/>
      <c r="B145" s="143"/>
      <c r="C145" s="131"/>
      <c r="D145" s="131"/>
      <c r="E145" s="131"/>
      <c r="F145" s="131"/>
      <c r="G145" s="60" t="s">
        <v>131</v>
      </c>
      <c r="H145" s="134"/>
      <c r="I145" s="134"/>
      <c r="J145" s="60"/>
      <c r="K145" s="60"/>
      <c r="L145" s="60"/>
      <c r="M145" s="60"/>
      <c r="N145" s="60">
        <f t="shared" si="46"/>
        <v>0</v>
      </c>
      <c r="O145" s="60">
        <f t="shared" si="47"/>
        <v>0</v>
      </c>
    </row>
    <row r="146" spans="1:15" s="38" customFormat="1" ht="14.45" hidden="1" customHeight="1" outlineLevel="1" x14ac:dyDescent="0.25">
      <c r="A146" s="140" t="s">
        <v>156</v>
      </c>
      <c r="B146" s="141" t="s">
        <v>414</v>
      </c>
      <c r="C146" s="130">
        <f>SUM(N146:N152)</f>
        <v>0</v>
      </c>
      <c r="D146" s="130">
        <f>SUM(O146:O152)</f>
        <v>0</v>
      </c>
      <c r="E146" s="130">
        <f t="shared" si="31"/>
        <v>0</v>
      </c>
      <c r="F146" s="130"/>
      <c r="G146" s="60" t="s">
        <v>125</v>
      </c>
      <c r="H146" s="123"/>
      <c r="I146" s="123"/>
      <c r="J146" s="60"/>
      <c r="K146" s="60"/>
      <c r="L146" s="60"/>
      <c r="M146" s="60"/>
      <c r="N146" s="60">
        <f>M146*J146*K146*L146</f>
        <v>0</v>
      </c>
      <c r="O146" s="60">
        <f>J146*K146*L146</f>
        <v>0</v>
      </c>
    </row>
    <row r="147" spans="1:15" s="38" customFormat="1" ht="11.45" hidden="1" customHeight="1" outlineLevel="1" x14ac:dyDescent="0.25">
      <c r="A147" s="124"/>
      <c r="B147" s="142"/>
      <c r="C147" s="115"/>
      <c r="D147" s="115"/>
      <c r="E147" s="115"/>
      <c r="F147" s="115"/>
      <c r="G147" s="60" t="s">
        <v>126</v>
      </c>
      <c r="H147" s="124"/>
      <c r="I147" s="124"/>
      <c r="J147" s="60"/>
      <c r="K147" s="60"/>
      <c r="L147" s="60"/>
      <c r="M147" s="60"/>
      <c r="N147" s="60">
        <f t="shared" ref="N147:N152" si="48">M147*J147*K147*L147</f>
        <v>0</v>
      </c>
      <c r="O147" s="60">
        <f t="shared" ref="O147:O152" si="49">J147*K147*L147</f>
        <v>0</v>
      </c>
    </row>
    <row r="148" spans="1:15" s="38" customFormat="1" ht="10.7" hidden="1" customHeight="1" outlineLevel="1" x14ac:dyDescent="0.25">
      <c r="A148" s="124"/>
      <c r="B148" s="142"/>
      <c r="C148" s="115"/>
      <c r="D148" s="115"/>
      <c r="E148" s="115"/>
      <c r="F148" s="115"/>
      <c r="G148" s="60" t="s">
        <v>127</v>
      </c>
      <c r="H148" s="124"/>
      <c r="I148" s="124"/>
      <c r="J148" s="60"/>
      <c r="K148" s="60"/>
      <c r="L148" s="60"/>
      <c r="M148" s="60"/>
      <c r="N148" s="60">
        <f t="shared" si="48"/>
        <v>0</v>
      </c>
      <c r="O148" s="60">
        <f t="shared" si="49"/>
        <v>0</v>
      </c>
    </row>
    <row r="149" spans="1:15" s="38" customFormat="1" ht="10.7" hidden="1" customHeight="1" outlineLevel="1" x14ac:dyDescent="0.25">
      <c r="A149" s="124"/>
      <c r="B149" s="142"/>
      <c r="C149" s="115"/>
      <c r="D149" s="115"/>
      <c r="E149" s="115"/>
      <c r="F149" s="115"/>
      <c r="G149" s="60" t="s">
        <v>128</v>
      </c>
      <c r="H149" s="124"/>
      <c r="I149" s="124"/>
      <c r="J149" s="60"/>
      <c r="K149" s="60"/>
      <c r="L149" s="60"/>
      <c r="M149" s="60"/>
      <c r="N149" s="60">
        <f t="shared" si="48"/>
        <v>0</v>
      </c>
      <c r="O149" s="60">
        <f t="shared" si="49"/>
        <v>0</v>
      </c>
    </row>
    <row r="150" spans="1:15" s="38" customFormat="1" ht="10.7" hidden="1" customHeight="1" outlineLevel="1" x14ac:dyDescent="0.25">
      <c r="A150" s="124"/>
      <c r="B150" s="142"/>
      <c r="C150" s="115"/>
      <c r="D150" s="115"/>
      <c r="E150" s="115"/>
      <c r="F150" s="115"/>
      <c r="G150" s="60" t="s">
        <v>129</v>
      </c>
      <c r="H150" s="124"/>
      <c r="I150" s="124"/>
      <c r="J150" s="60"/>
      <c r="K150" s="60"/>
      <c r="L150" s="60"/>
      <c r="M150" s="60"/>
      <c r="N150" s="60">
        <f t="shared" si="48"/>
        <v>0</v>
      </c>
      <c r="O150" s="60">
        <f t="shared" si="49"/>
        <v>0</v>
      </c>
    </row>
    <row r="151" spans="1:15" s="38" customFormat="1" ht="10.7" hidden="1" customHeight="1" outlineLevel="1" x14ac:dyDescent="0.25">
      <c r="A151" s="124"/>
      <c r="B151" s="142"/>
      <c r="C151" s="115"/>
      <c r="D151" s="115"/>
      <c r="E151" s="115"/>
      <c r="F151" s="115"/>
      <c r="G151" s="60" t="s">
        <v>130</v>
      </c>
      <c r="H151" s="124"/>
      <c r="I151" s="124"/>
      <c r="J151" s="60"/>
      <c r="K151" s="60"/>
      <c r="L151" s="60"/>
      <c r="M151" s="60"/>
      <c r="N151" s="60">
        <f t="shared" si="48"/>
        <v>0</v>
      </c>
      <c r="O151" s="60">
        <f t="shared" si="49"/>
        <v>0</v>
      </c>
    </row>
    <row r="152" spans="1:15" s="38" customFormat="1" ht="12" hidden="1" customHeight="1" outlineLevel="1" thickBot="1" x14ac:dyDescent="0.3">
      <c r="A152" s="125"/>
      <c r="B152" s="143"/>
      <c r="C152" s="131"/>
      <c r="D152" s="131"/>
      <c r="E152" s="131"/>
      <c r="F152" s="131"/>
      <c r="G152" s="60" t="s">
        <v>131</v>
      </c>
      <c r="H152" s="134"/>
      <c r="I152" s="134"/>
      <c r="J152" s="60"/>
      <c r="K152" s="60"/>
      <c r="L152" s="60"/>
      <c r="M152" s="60"/>
      <c r="N152" s="60">
        <f t="shared" si="48"/>
        <v>0</v>
      </c>
      <c r="O152" s="60">
        <f t="shared" si="49"/>
        <v>0</v>
      </c>
    </row>
    <row r="153" spans="1:15" s="38" customFormat="1" ht="14.45" hidden="1" customHeight="1" outlineLevel="1" x14ac:dyDescent="0.25">
      <c r="A153" s="140" t="s">
        <v>158</v>
      </c>
      <c r="B153" s="141" t="s">
        <v>415</v>
      </c>
      <c r="C153" s="130">
        <f>SUM(N153:N159)</f>
        <v>0</v>
      </c>
      <c r="D153" s="130">
        <f>SUM(O153:O159)</f>
        <v>0</v>
      </c>
      <c r="E153" s="130">
        <f t="shared" si="31"/>
        <v>0</v>
      </c>
      <c r="F153" s="130"/>
      <c r="G153" s="60" t="s">
        <v>125</v>
      </c>
      <c r="H153" s="123"/>
      <c r="I153" s="123"/>
      <c r="J153" s="60"/>
      <c r="K153" s="60"/>
      <c r="L153" s="60"/>
      <c r="M153" s="60"/>
      <c r="N153" s="60">
        <f>M153*J153*K153*L153</f>
        <v>0</v>
      </c>
      <c r="O153" s="60">
        <f>J153*K153*L153</f>
        <v>0</v>
      </c>
    </row>
    <row r="154" spans="1:15" s="38" customFormat="1" ht="11.45" hidden="1" customHeight="1" outlineLevel="1" x14ac:dyDescent="0.25">
      <c r="A154" s="124"/>
      <c r="B154" s="142"/>
      <c r="C154" s="115"/>
      <c r="D154" s="115"/>
      <c r="E154" s="115"/>
      <c r="F154" s="115"/>
      <c r="G154" s="60" t="s">
        <v>126</v>
      </c>
      <c r="H154" s="124"/>
      <c r="I154" s="124"/>
      <c r="J154" s="60"/>
      <c r="K154" s="60"/>
      <c r="L154" s="60"/>
      <c r="M154" s="60"/>
      <c r="N154" s="60">
        <f t="shared" ref="N154:N159" si="50">M154*J154*K154*L154</f>
        <v>0</v>
      </c>
      <c r="O154" s="60">
        <f t="shared" ref="O154:O159" si="51">J154*K154*L154</f>
        <v>0</v>
      </c>
    </row>
    <row r="155" spans="1:15" s="38" customFormat="1" ht="10.7" hidden="1" customHeight="1" outlineLevel="1" x14ac:dyDescent="0.25">
      <c r="A155" s="124"/>
      <c r="B155" s="142"/>
      <c r="C155" s="115"/>
      <c r="D155" s="115"/>
      <c r="E155" s="115"/>
      <c r="F155" s="115"/>
      <c r="G155" s="60" t="s">
        <v>127</v>
      </c>
      <c r="H155" s="124"/>
      <c r="I155" s="124"/>
      <c r="J155" s="60"/>
      <c r="K155" s="60"/>
      <c r="L155" s="60"/>
      <c r="M155" s="60"/>
      <c r="N155" s="60">
        <f t="shared" si="50"/>
        <v>0</v>
      </c>
      <c r="O155" s="60">
        <f t="shared" si="51"/>
        <v>0</v>
      </c>
    </row>
    <row r="156" spans="1:15" s="38" customFormat="1" ht="10.7" hidden="1" customHeight="1" outlineLevel="1" x14ac:dyDescent="0.25">
      <c r="A156" s="124"/>
      <c r="B156" s="142"/>
      <c r="C156" s="115"/>
      <c r="D156" s="115"/>
      <c r="E156" s="115"/>
      <c r="F156" s="115"/>
      <c r="G156" s="60" t="s">
        <v>128</v>
      </c>
      <c r="H156" s="124"/>
      <c r="I156" s="124"/>
      <c r="J156" s="60"/>
      <c r="K156" s="60"/>
      <c r="L156" s="60"/>
      <c r="M156" s="60"/>
      <c r="N156" s="60">
        <f t="shared" si="50"/>
        <v>0</v>
      </c>
      <c r="O156" s="60">
        <f t="shared" si="51"/>
        <v>0</v>
      </c>
    </row>
    <row r="157" spans="1:15" s="38" customFormat="1" ht="10.7" hidden="1" customHeight="1" outlineLevel="1" x14ac:dyDescent="0.25">
      <c r="A157" s="124"/>
      <c r="B157" s="142"/>
      <c r="C157" s="115"/>
      <c r="D157" s="115"/>
      <c r="E157" s="115"/>
      <c r="F157" s="115"/>
      <c r="G157" s="60" t="s">
        <v>129</v>
      </c>
      <c r="H157" s="124"/>
      <c r="I157" s="124"/>
      <c r="J157" s="60"/>
      <c r="K157" s="60"/>
      <c r="L157" s="60"/>
      <c r="M157" s="60"/>
      <c r="N157" s="60">
        <f t="shared" si="50"/>
        <v>0</v>
      </c>
      <c r="O157" s="60">
        <f t="shared" si="51"/>
        <v>0</v>
      </c>
    </row>
    <row r="158" spans="1:15" s="38" customFormat="1" ht="10.7" hidden="1" customHeight="1" outlineLevel="1" x14ac:dyDescent="0.25">
      <c r="A158" s="124"/>
      <c r="B158" s="142"/>
      <c r="C158" s="115"/>
      <c r="D158" s="115"/>
      <c r="E158" s="115"/>
      <c r="F158" s="115"/>
      <c r="G158" s="60" t="s">
        <v>130</v>
      </c>
      <c r="H158" s="124"/>
      <c r="I158" s="124"/>
      <c r="J158" s="60"/>
      <c r="K158" s="60"/>
      <c r="L158" s="60"/>
      <c r="M158" s="60"/>
      <c r="N158" s="60">
        <f t="shared" si="50"/>
        <v>0</v>
      </c>
      <c r="O158" s="60">
        <f t="shared" si="51"/>
        <v>0</v>
      </c>
    </row>
    <row r="159" spans="1:15" s="38" customFormat="1" ht="12" hidden="1" customHeight="1" outlineLevel="1" thickBot="1" x14ac:dyDescent="0.3">
      <c r="A159" s="125"/>
      <c r="B159" s="143"/>
      <c r="C159" s="131"/>
      <c r="D159" s="131"/>
      <c r="E159" s="131"/>
      <c r="F159" s="131"/>
      <c r="G159" s="60" t="s">
        <v>131</v>
      </c>
      <c r="H159" s="134"/>
      <c r="I159" s="134"/>
      <c r="J159" s="60"/>
      <c r="K159" s="60"/>
      <c r="L159" s="60"/>
      <c r="M159" s="60"/>
      <c r="N159" s="60">
        <f t="shared" si="50"/>
        <v>0</v>
      </c>
      <c r="O159" s="60">
        <f t="shared" si="51"/>
        <v>0</v>
      </c>
    </row>
    <row r="160" spans="1:15" s="38" customFormat="1" ht="14.45" hidden="1" customHeight="1" outlineLevel="1" x14ac:dyDescent="0.25">
      <c r="A160" s="140" t="s">
        <v>160</v>
      </c>
      <c r="B160" s="141" t="s">
        <v>416</v>
      </c>
      <c r="C160" s="130">
        <f>SUM(N160:N166)</f>
        <v>0</v>
      </c>
      <c r="D160" s="130">
        <f>SUM(O160:O166)</f>
        <v>0</v>
      </c>
      <c r="E160" s="130">
        <f t="shared" ref="E160:E216" si="52">D160/8</f>
        <v>0</v>
      </c>
      <c r="F160" s="130"/>
      <c r="G160" s="60" t="s">
        <v>125</v>
      </c>
      <c r="H160" s="123"/>
      <c r="I160" s="123"/>
      <c r="J160" s="60"/>
      <c r="K160" s="60"/>
      <c r="L160" s="60"/>
      <c r="M160" s="60"/>
      <c r="N160" s="60">
        <f>M160*J160*K160*L160</f>
        <v>0</v>
      </c>
      <c r="O160" s="60">
        <f>J160*K160*L160</f>
        <v>0</v>
      </c>
    </row>
    <row r="161" spans="1:15" s="38" customFormat="1" ht="11.45" hidden="1" customHeight="1" outlineLevel="1" x14ac:dyDescent="0.25">
      <c r="A161" s="124"/>
      <c r="B161" s="142"/>
      <c r="C161" s="115"/>
      <c r="D161" s="115"/>
      <c r="E161" s="115"/>
      <c r="F161" s="115"/>
      <c r="G161" s="60" t="s">
        <v>126</v>
      </c>
      <c r="H161" s="124"/>
      <c r="I161" s="124"/>
      <c r="J161" s="60"/>
      <c r="K161" s="60"/>
      <c r="L161" s="60"/>
      <c r="M161" s="60"/>
      <c r="N161" s="60">
        <f t="shared" ref="N161:N166" si="53">M161*J161*K161*L161</f>
        <v>0</v>
      </c>
      <c r="O161" s="60">
        <f t="shared" ref="O161:O166" si="54">J161*K161*L161</f>
        <v>0</v>
      </c>
    </row>
    <row r="162" spans="1:15" s="38" customFormat="1" ht="10.7" hidden="1" customHeight="1" outlineLevel="1" x14ac:dyDescent="0.25">
      <c r="A162" s="124"/>
      <c r="B162" s="142"/>
      <c r="C162" s="115"/>
      <c r="D162" s="115"/>
      <c r="E162" s="115"/>
      <c r="F162" s="115"/>
      <c r="G162" s="60" t="s">
        <v>127</v>
      </c>
      <c r="H162" s="124"/>
      <c r="I162" s="124"/>
      <c r="J162" s="60"/>
      <c r="K162" s="60"/>
      <c r="L162" s="60"/>
      <c r="M162" s="60"/>
      <c r="N162" s="60">
        <f t="shared" si="53"/>
        <v>0</v>
      </c>
      <c r="O162" s="60">
        <f t="shared" si="54"/>
        <v>0</v>
      </c>
    </row>
    <row r="163" spans="1:15" s="38" customFormat="1" ht="10.7" hidden="1" customHeight="1" outlineLevel="1" x14ac:dyDescent="0.25">
      <c r="A163" s="124"/>
      <c r="B163" s="142"/>
      <c r="C163" s="115"/>
      <c r="D163" s="115"/>
      <c r="E163" s="115"/>
      <c r="F163" s="115"/>
      <c r="G163" s="60" t="s">
        <v>128</v>
      </c>
      <c r="H163" s="124"/>
      <c r="I163" s="124"/>
      <c r="J163" s="60"/>
      <c r="K163" s="60"/>
      <c r="L163" s="60"/>
      <c r="M163" s="60"/>
      <c r="N163" s="60">
        <f t="shared" si="53"/>
        <v>0</v>
      </c>
      <c r="O163" s="60">
        <f t="shared" si="54"/>
        <v>0</v>
      </c>
    </row>
    <row r="164" spans="1:15" s="38" customFormat="1" ht="10.7" hidden="1" customHeight="1" outlineLevel="1" x14ac:dyDescent="0.25">
      <c r="A164" s="124"/>
      <c r="B164" s="142"/>
      <c r="C164" s="115"/>
      <c r="D164" s="115"/>
      <c r="E164" s="115"/>
      <c r="F164" s="115"/>
      <c r="G164" s="60" t="s">
        <v>129</v>
      </c>
      <c r="H164" s="124"/>
      <c r="I164" s="124"/>
      <c r="J164" s="60"/>
      <c r="K164" s="60"/>
      <c r="L164" s="60"/>
      <c r="M164" s="60"/>
      <c r="N164" s="60">
        <f t="shared" si="53"/>
        <v>0</v>
      </c>
      <c r="O164" s="60">
        <f t="shared" si="54"/>
        <v>0</v>
      </c>
    </row>
    <row r="165" spans="1:15" s="38" customFormat="1" ht="10.7" hidden="1" customHeight="1" outlineLevel="1" x14ac:dyDescent="0.25">
      <c r="A165" s="124"/>
      <c r="B165" s="142"/>
      <c r="C165" s="115"/>
      <c r="D165" s="115"/>
      <c r="E165" s="115"/>
      <c r="F165" s="115"/>
      <c r="G165" s="60" t="s">
        <v>130</v>
      </c>
      <c r="H165" s="124"/>
      <c r="I165" s="124"/>
      <c r="J165" s="60"/>
      <c r="K165" s="60"/>
      <c r="L165" s="60"/>
      <c r="M165" s="60"/>
      <c r="N165" s="60">
        <f t="shared" si="53"/>
        <v>0</v>
      </c>
      <c r="O165" s="60">
        <f t="shared" si="54"/>
        <v>0</v>
      </c>
    </row>
    <row r="166" spans="1:15" s="38" customFormat="1" ht="12" hidden="1" customHeight="1" outlineLevel="1" thickBot="1" x14ac:dyDescent="0.3">
      <c r="A166" s="125"/>
      <c r="B166" s="143"/>
      <c r="C166" s="131"/>
      <c r="D166" s="131"/>
      <c r="E166" s="131"/>
      <c r="F166" s="131"/>
      <c r="G166" s="60" t="s">
        <v>131</v>
      </c>
      <c r="H166" s="134"/>
      <c r="I166" s="134"/>
      <c r="J166" s="60"/>
      <c r="K166" s="60"/>
      <c r="L166" s="60"/>
      <c r="M166" s="60"/>
      <c r="N166" s="60">
        <f t="shared" si="53"/>
        <v>0</v>
      </c>
      <c r="O166" s="60">
        <f t="shared" si="54"/>
        <v>0</v>
      </c>
    </row>
    <row r="167" spans="1:15" s="38" customFormat="1" ht="14.45" hidden="1" customHeight="1" outlineLevel="1" x14ac:dyDescent="0.25">
      <c r="A167" s="140" t="s">
        <v>162</v>
      </c>
      <c r="B167" s="141" t="s">
        <v>417</v>
      </c>
      <c r="C167" s="130">
        <f>SUM(N167:N173)</f>
        <v>0</v>
      </c>
      <c r="D167" s="130">
        <f>SUM(O167:O173)</f>
        <v>0</v>
      </c>
      <c r="E167" s="130">
        <f t="shared" si="52"/>
        <v>0</v>
      </c>
      <c r="F167" s="130"/>
      <c r="G167" s="60" t="s">
        <v>125</v>
      </c>
      <c r="H167" s="123"/>
      <c r="I167" s="123"/>
      <c r="J167" s="60"/>
      <c r="K167" s="60"/>
      <c r="L167" s="60"/>
      <c r="M167" s="60"/>
      <c r="N167" s="60">
        <f>M167*J167*K167*L167</f>
        <v>0</v>
      </c>
      <c r="O167" s="60">
        <f>J167*K167*L167</f>
        <v>0</v>
      </c>
    </row>
    <row r="168" spans="1:15" s="38" customFormat="1" ht="11.45" hidden="1" customHeight="1" outlineLevel="1" x14ac:dyDescent="0.25">
      <c r="A168" s="124"/>
      <c r="B168" s="142"/>
      <c r="C168" s="115"/>
      <c r="D168" s="115"/>
      <c r="E168" s="115"/>
      <c r="F168" s="115"/>
      <c r="G168" s="60" t="s">
        <v>126</v>
      </c>
      <c r="H168" s="124"/>
      <c r="I168" s="124"/>
      <c r="J168" s="60"/>
      <c r="K168" s="60"/>
      <c r="L168" s="60"/>
      <c r="M168" s="60"/>
      <c r="N168" s="60">
        <f t="shared" ref="N168:N173" si="55">M168*J168*K168*L168</f>
        <v>0</v>
      </c>
      <c r="O168" s="60">
        <f t="shared" ref="O168:O173" si="56">J168*K168*L168</f>
        <v>0</v>
      </c>
    </row>
    <row r="169" spans="1:15" s="38" customFormat="1" ht="10.7" hidden="1" customHeight="1" outlineLevel="1" x14ac:dyDescent="0.25">
      <c r="A169" s="124"/>
      <c r="B169" s="142"/>
      <c r="C169" s="115"/>
      <c r="D169" s="115"/>
      <c r="E169" s="115"/>
      <c r="F169" s="115"/>
      <c r="G169" s="60" t="s">
        <v>127</v>
      </c>
      <c r="H169" s="124"/>
      <c r="I169" s="124"/>
      <c r="J169" s="60"/>
      <c r="K169" s="60"/>
      <c r="L169" s="60"/>
      <c r="M169" s="60"/>
      <c r="N169" s="60">
        <f t="shared" si="55"/>
        <v>0</v>
      </c>
      <c r="O169" s="60">
        <f t="shared" si="56"/>
        <v>0</v>
      </c>
    </row>
    <row r="170" spans="1:15" s="38" customFormat="1" ht="10.7" hidden="1" customHeight="1" outlineLevel="1" x14ac:dyDescent="0.25">
      <c r="A170" s="124"/>
      <c r="B170" s="142"/>
      <c r="C170" s="115"/>
      <c r="D170" s="115"/>
      <c r="E170" s="115"/>
      <c r="F170" s="115"/>
      <c r="G170" s="60" t="s">
        <v>128</v>
      </c>
      <c r="H170" s="124"/>
      <c r="I170" s="124"/>
      <c r="J170" s="60"/>
      <c r="K170" s="60"/>
      <c r="L170" s="60"/>
      <c r="M170" s="60"/>
      <c r="N170" s="60">
        <f t="shared" si="55"/>
        <v>0</v>
      </c>
      <c r="O170" s="60">
        <f t="shared" si="56"/>
        <v>0</v>
      </c>
    </row>
    <row r="171" spans="1:15" s="38" customFormat="1" ht="10.7" hidden="1" customHeight="1" outlineLevel="1" x14ac:dyDescent="0.25">
      <c r="A171" s="124"/>
      <c r="B171" s="142"/>
      <c r="C171" s="115"/>
      <c r="D171" s="115"/>
      <c r="E171" s="115"/>
      <c r="F171" s="115"/>
      <c r="G171" s="60" t="s">
        <v>129</v>
      </c>
      <c r="H171" s="124"/>
      <c r="I171" s="124"/>
      <c r="J171" s="60"/>
      <c r="K171" s="60"/>
      <c r="L171" s="60"/>
      <c r="M171" s="60"/>
      <c r="N171" s="60">
        <f t="shared" si="55"/>
        <v>0</v>
      </c>
      <c r="O171" s="60">
        <f t="shared" si="56"/>
        <v>0</v>
      </c>
    </row>
    <row r="172" spans="1:15" s="38" customFormat="1" ht="10.7" hidden="1" customHeight="1" outlineLevel="1" x14ac:dyDescent="0.25">
      <c r="A172" s="124"/>
      <c r="B172" s="142"/>
      <c r="C172" s="115"/>
      <c r="D172" s="115"/>
      <c r="E172" s="115"/>
      <c r="F172" s="115"/>
      <c r="G172" s="60" t="s">
        <v>130</v>
      </c>
      <c r="H172" s="124"/>
      <c r="I172" s="124"/>
      <c r="J172" s="60"/>
      <c r="K172" s="60"/>
      <c r="L172" s="60"/>
      <c r="M172" s="60"/>
      <c r="N172" s="60">
        <f t="shared" si="55"/>
        <v>0</v>
      </c>
      <c r="O172" s="60">
        <f t="shared" si="56"/>
        <v>0</v>
      </c>
    </row>
    <row r="173" spans="1:15" s="38" customFormat="1" ht="12" hidden="1" customHeight="1" outlineLevel="1" thickBot="1" x14ac:dyDescent="0.3">
      <c r="A173" s="125"/>
      <c r="B173" s="143"/>
      <c r="C173" s="131"/>
      <c r="D173" s="131"/>
      <c r="E173" s="131"/>
      <c r="F173" s="131"/>
      <c r="G173" s="60" t="s">
        <v>131</v>
      </c>
      <c r="H173" s="134"/>
      <c r="I173" s="134"/>
      <c r="J173" s="60"/>
      <c r="K173" s="60"/>
      <c r="L173" s="60"/>
      <c r="M173" s="60"/>
      <c r="N173" s="60">
        <f t="shared" si="55"/>
        <v>0</v>
      </c>
      <c r="O173" s="60">
        <f t="shared" si="56"/>
        <v>0</v>
      </c>
    </row>
    <row r="174" spans="1:15" s="38" customFormat="1" ht="14.45" hidden="1" customHeight="1" outlineLevel="1" x14ac:dyDescent="0.25">
      <c r="A174" s="140" t="s">
        <v>363</v>
      </c>
      <c r="B174" s="141" t="s">
        <v>166</v>
      </c>
      <c r="C174" s="130">
        <f>SUM(N174:N180)</f>
        <v>0</v>
      </c>
      <c r="D174" s="130">
        <f>SUM(O174:O180)</f>
        <v>0</v>
      </c>
      <c r="E174" s="130">
        <f t="shared" si="52"/>
        <v>0</v>
      </c>
      <c r="F174" s="130"/>
      <c r="G174" s="60" t="s">
        <v>125</v>
      </c>
      <c r="H174" s="123"/>
      <c r="I174" s="123"/>
      <c r="J174" s="60"/>
      <c r="K174" s="60"/>
      <c r="L174" s="60"/>
      <c r="M174" s="60"/>
      <c r="N174" s="60">
        <f>M174*J174*K174*L174</f>
        <v>0</v>
      </c>
      <c r="O174" s="60">
        <f>J174*K174*L174</f>
        <v>0</v>
      </c>
    </row>
    <row r="175" spans="1:15" s="38" customFormat="1" ht="11.45" hidden="1" customHeight="1" outlineLevel="1" x14ac:dyDescent="0.25">
      <c r="A175" s="124"/>
      <c r="B175" s="142"/>
      <c r="C175" s="115"/>
      <c r="D175" s="115"/>
      <c r="E175" s="115"/>
      <c r="F175" s="115"/>
      <c r="G175" s="60" t="s">
        <v>126</v>
      </c>
      <c r="H175" s="124"/>
      <c r="I175" s="124"/>
      <c r="J175" s="60"/>
      <c r="K175" s="60"/>
      <c r="L175" s="60"/>
      <c r="M175" s="60"/>
      <c r="N175" s="60">
        <f t="shared" ref="N175:N180" si="57">M175*J175*K175*L175</f>
        <v>0</v>
      </c>
      <c r="O175" s="60">
        <f t="shared" ref="O175:O180" si="58">J175*K175*L175</f>
        <v>0</v>
      </c>
    </row>
    <row r="176" spans="1:15" s="38" customFormat="1" ht="10.7" hidden="1" customHeight="1" outlineLevel="1" x14ac:dyDescent="0.25">
      <c r="A176" s="124"/>
      <c r="B176" s="142"/>
      <c r="C176" s="115"/>
      <c r="D176" s="115"/>
      <c r="E176" s="115"/>
      <c r="F176" s="115"/>
      <c r="G176" s="60" t="s">
        <v>127</v>
      </c>
      <c r="H176" s="124"/>
      <c r="I176" s="124"/>
      <c r="J176" s="60"/>
      <c r="K176" s="60"/>
      <c r="L176" s="60"/>
      <c r="M176" s="60"/>
      <c r="N176" s="60">
        <f t="shared" si="57"/>
        <v>0</v>
      </c>
      <c r="O176" s="60">
        <f t="shared" si="58"/>
        <v>0</v>
      </c>
    </row>
    <row r="177" spans="1:15" s="38" customFormat="1" ht="10.7" hidden="1" customHeight="1" outlineLevel="1" x14ac:dyDescent="0.25">
      <c r="A177" s="124"/>
      <c r="B177" s="142"/>
      <c r="C177" s="115"/>
      <c r="D177" s="115"/>
      <c r="E177" s="115"/>
      <c r="F177" s="115"/>
      <c r="G177" s="60" t="s">
        <v>128</v>
      </c>
      <c r="H177" s="124"/>
      <c r="I177" s="124"/>
      <c r="J177" s="60"/>
      <c r="K177" s="60"/>
      <c r="L177" s="60"/>
      <c r="M177" s="60"/>
      <c r="N177" s="60">
        <f t="shared" si="57"/>
        <v>0</v>
      </c>
      <c r="O177" s="60">
        <f t="shared" si="58"/>
        <v>0</v>
      </c>
    </row>
    <row r="178" spans="1:15" s="38" customFormat="1" ht="10.7" hidden="1" customHeight="1" outlineLevel="1" x14ac:dyDescent="0.25">
      <c r="A178" s="124"/>
      <c r="B178" s="142"/>
      <c r="C178" s="115"/>
      <c r="D178" s="115"/>
      <c r="E178" s="115"/>
      <c r="F178" s="115"/>
      <c r="G178" s="60" t="s">
        <v>129</v>
      </c>
      <c r="H178" s="124"/>
      <c r="I178" s="124"/>
      <c r="J178" s="60"/>
      <c r="K178" s="60"/>
      <c r="L178" s="60"/>
      <c r="M178" s="60"/>
      <c r="N178" s="60">
        <f t="shared" si="57"/>
        <v>0</v>
      </c>
      <c r="O178" s="60">
        <f t="shared" si="58"/>
        <v>0</v>
      </c>
    </row>
    <row r="179" spans="1:15" s="38" customFormat="1" ht="10.7" hidden="1" customHeight="1" outlineLevel="1" x14ac:dyDescent="0.25">
      <c r="A179" s="124"/>
      <c r="B179" s="142"/>
      <c r="C179" s="115"/>
      <c r="D179" s="115"/>
      <c r="E179" s="115"/>
      <c r="F179" s="115"/>
      <c r="G179" s="60" t="s">
        <v>130</v>
      </c>
      <c r="H179" s="124"/>
      <c r="I179" s="124"/>
      <c r="J179" s="60"/>
      <c r="K179" s="60"/>
      <c r="L179" s="60"/>
      <c r="M179" s="60"/>
      <c r="N179" s="60">
        <f t="shared" si="57"/>
        <v>0</v>
      </c>
      <c r="O179" s="60">
        <f t="shared" si="58"/>
        <v>0</v>
      </c>
    </row>
    <row r="180" spans="1:15" s="38" customFormat="1" ht="12" hidden="1" customHeight="1" outlineLevel="1" thickBot="1" x14ac:dyDescent="0.3">
      <c r="A180" s="125"/>
      <c r="B180" s="143"/>
      <c r="C180" s="131"/>
      <c r="D180" s="131"/>
      <c r="E180" s="131"/>
      <c r="F180" s="131"/>
      <c r="G180" s="60" t="s">
        <v>131</v>
      </c>
      <c r="H180" s="134"/>
      <c r="I180" s="134"/>
      <c r="J180" s="60"/>
      <c r="K180" s="60"/>
      <c r="L180" s="60"/>
      <c r="M180" s="60"/>
      <c r="N180" s="60">
        <f t="shared" si="57"/>
        <v>0</v>
      </c>
      <c r="O180" s="60">
        <f t="shared" si="58"/>
        <v>0</v>
      </c>
    </row>
    <row r="181" spans="1:15" s="38" customFormat="1" ht="14.45" hidden="1" customHeight="1" outlineLevel="1" x14ac:dyDescent="0.25">
      <c r="A181" s="140" t="s">
        <v>365</v>
      </c>
      <c r="B181" s="141" t="s">
        <v>418</v>
      </c>
      <c r="C181" s="130">
        <f>SUM(N181:N187)</f>
        <v>0</v>
      </c>
      <c r="D181" s="130">
        <f>SUM(O181:O187)</f>
        <v>0</v>
      </c>
      <c r="E181" s="130">
        <f t="shared" si="52"/>
        <v>0</v>
      </c>
      <c r="F181" s="130"/>
      <c r="G181" s="60" t="s">
        <v>125</v>
      </c>
      <c r="H181" s="123"/>
      <c r="I181" s="123"/>
      <c r="J181" s="60"/>
      <c r="K181" s="60"/>
      <c r="L181" s="60"/>
      <c r="M181" s="60"/>
      <c r="N181" s="60">
        <f>M181*J181*K181*L181</f>
        <v>0</v>
      </c>
      <c r="O181" s="60">
        <f>J181*K181*L181</f>
        <v>0</v>
      </c>
    </row>
    <row r="182" spans="1:15" s="38" customFormat="1" ht="11.45" hidden="1" customHeight="1" outlineLevel="1" x14ac:dyDescent="0.25">
      <c r="A182" s="124"/>
      <c r="B182" s="142"/>
      <c r="C182" s="115"/>
      <c r="D182" s="115"/>
      <c r="E182" s="115"/>
      <c r="F182" s="115"/>
      <c r="G182" s="60" t="s">
        <v>126</v>
      </c>
      <c r="H182" s="124"/>
      <c r="I182" s="124"/>
      <c r="J182" s="60"/>
      <c r="K182" s="60"/>
      <c r="L182" s="60"/>
      <c r="M182" s="60"/>
      <c r="N182" s="60">
        <f t="shared" ref="N182:N187" si="59">M182*J182*K182*L182</f>
        <v>0</v>
      </c>
      <c r="O182" s="60">
        <f t="shared" ref="O182:O187" si="60">J182*K182*L182</f>
        <v>0</v>
      </c>
    </row>
    <row r="183" spans="1:15" s="38" customFormat="1" ht="10.7" hidden="1" customHeight="1" outlineLevel="1" x14ac:dyDescent="0.25">
      <c r="A183" s="124"/>
      <c r="B183" s="142"/>
      <c r="C183" s="115"/>
      <c r="D183" s="115"/>
      <c r="E183" s="115"/>
      <c r="F183" s="115"/>
      <c r="G183" s="60" t="s">
        <v>127</v>
      </c>
      <c r="H183" s="124"/>
      <c r="I183" s="124"/>
      <c r="J183" s="60"/>
      <c r="K183" s="60"/>
      <c r="L183" s="60"/>
      <c r="M183" s="60"/>
      <c r="N183" s="60">
        <f t="shared" si="59"/>
        <v>0</v>
      </c>
      <c r="O183" s="60">
        <f t="shared" si="60"/>
        <v>0</v>
      </c>
    </row>
    <row r="184" spans="1:15" s="38" customFormat="1" ht="10.7" hidden="1" customHeight="1" outlineLevel="1" x14ac:dyDescent="0.25">
      <c r="A184" s="124"/>
      <c r="B184" s="142"/>
      <c r="C184" s="115"/>
      <c r="D184" s="115"/>
      <c r="E184" s="115"/>
      <c r="F184" s="115"/>
      <c r="G184" s="60" t="s">
        <v>128</v>
      </c>
      <c r="H184" s="124"/>
      <c r="I184" s="124"/>
      <c r="J184" s="60"/>
      <c r="K184" s="60"/>
      <c r="L184" s="60"/>
      <c r="M184" s="60"/>
      <c r="N184" s="60">
        <f t="shared" si="59"/>
        <v>0</v>
      </c>
      <c r="O184" s="60">
        <f t="shared" si="60"/>
        <v>0</v>
      </c>
    </row>
    <row r="185" spans="1:15" s="38" customFormat="1" ht="10.7" hidden="1" customHeight="1" outlineLevel="1" x14ac:dyDescent="0.25">
      <c r="A185" s="124"/>
      <c r="B185" s="142"/>
      <c r="C185" s="115"/>
      <c r="D185" s="115"/>
      <c r="E185" s="115"/>
      <c r="F185" s="115"/>
      <c r="G185" s="60" t="s">
        <v>129</v>
      </c>
      <c r="H185" s="124"/>
      <c r="I185" s="124"/>
      <c r="J185" s="60"/>
      <c r="K185" s="60"/>
      <c r="L185" s="60"/>
      <c r="M185" s="60"/>
      <c r="N185" s="60">
        <f t="shared" si="59"/>
        <v>0</v>
      </c>
      <c r="O185" s="60">
        <f t="shared" si="60"/>
        <v>0</v>
      </c>
    </row>
    <row r="186" spans="1:15" s="38" customFormat="1" ht="10.7" hidden="1" customHeight="1" outlineLevel="1" x14ac:dyDescent="0.25">
      <c r="A186" s="124"/>
      <c r="B186" s="142"/>
      <c r="C186" s="115"/>
      <c r="D186" s="115"/>
      <c r="E186" s="115"/>
      <c r="F186" s="115"/>
      <c r="G186" s="60" t="s">
        <v>130</v>
      </c>
      <c r="H186" s="124"/>
      <c r="I186" s="124"/>
      <c r="J186" s="60"/>
      <c r="K186" s="60"/>
      <c r="L186" s="60"/>
      <c r="M186" s="60"/>
      <c r="N186" s="60">
        <f t="shared" si="59"/>
        <v>0</v>
      </c>
      <c r="O186" s="60">
        <f t="shared" si="60"/>
        <v>0</v>
      </c>
    </row>
    <row r="187" spans="1:15" s="38" customFormat="1" ht="12" hidden="1" customHeight="1" outlineLevel="1" thickBot="1" x14ac:dyDescent="0.3">
      <c r="A187" s="125"/>
      <c r="B187" s="143"/>
      <c r="C187" s="131"/>
      <c r="D187" s="131"/>
      <c r="E187" s="131"/>
      <c r="F187" s="131"/>
      <c r="G187" s="60" t="s">
        <v>131</v>
      </c>
      <c r="H187" s="134"/>
      <c r="I187" s="134"/>
      <c r="J187" s="60"/>
      <c r="K187" s="60"/>
      <c r="L187" s="60"/>
      <c r="M187" s="60"/>
      <c r="N187" s="60">
        <f t="shared" si="59"/>
        <v>0</v>
      </c>
      <c r="O187" s="60">
        <f t="shared" si="60"/>
        <v>0</v>
      </c>
    </row>
    <row r="188" spans="1:15" s="38" customFormat="1" ht="14.45" hidden="1" customHeight="1" outlineLevel="1" x14ac:dyDescent="0.25">
      <c r="A188" s="140" t="s">
        <v>367</v>
      </c>
      <c r="B188" s="141" t="s">
        <v>419</v>
      </c>
      <c r="C188" s="130">
        <f>SUM(N188:N194)</f>
        <v>0</v>
      </c>
      <c r="D188" s="130">
        <f>SUM(O188:O194)</f>
        <v>0</v>
      </c>
      <c r="E188" s="130">
        <f t="shared" si="52"/>
        <v>0</v>
      </c>
      <c r="F188" s="130"/>
      <c r="G188" s="60" t="s">
        <v>125</v>
      </c>
      <c r="H188" s="123"/>
      <c r="I188" s="123"/>
      <c r="J188" s="60"/>
      <c r="K188" s="60"/>
      <c r="L188" s="60"/>
      <c r="M188" s="60"/>
      <c r="N188" s="60">
        <f>M188*J188*K188*L188</f>
        <v>0</v>
      </c>
      <c r="O188" s="60">
        <f>J188*K188*L188</f>
        <v>0</v>
      </c>
    </row>
    <row r="189" spans="1:15" s="38" customFormat="1" ht="11.45" hidden="1" customHeight="1" outlineLevel="1" x14ac:dyDescent="0.25">
      <c r="A189" s="124"/>
      <c r="B189" s="142"/>
      <c r="C189" s="115"/>
      <c r="D189" s="115"/>
      <c r="E189" s="115"/>
      <c r="F189" s="115"/>
      <c r="G189" s="60" t="s">
        <v>126</v>
      </c>
      <c r="H189" s="124"/>
      <c r="I189" s="124"/>
      <c r="J189" s="60"/>
      <c r="K189" s="60"/>
      <c r="L189" s="60"/>
      <c r="M189" s="60"/>
      <c r="N189" s="60">
        <f t="shared" ref="N189:N194" si="61">M189*J189*K189*L189</f>
        <v>0</v>
      </c>
      <c r="O189" s="60">
        <f t="shared" ref="O189:O194" si="62">J189*K189*L189</f>
        <v>0</v>
      </c>
    </row>
    <row r="190" spans="1:15" s="38" customFormat="1" ht="10.7" hidden="1" customHeight="1" outlineLevel="1" x14ac:dyDescent="0.25">
      <c r="A190" s="124"/>
      <c r="B190" s="142"/>
      <c r="C190" s="115"/>
      <c r="D190" s="115"/>
      <c r="E190" s="115"/>
      <c r="F190" s="115"/>
      <c r="G190" s="60" t="s">
        <v>127</v>
      </c>
      <c r="H190" s="124"/>
      <c r="I190" s="124"/>
      <c r="J190" s="60"/>
      <c r="K190" s="60"/>
      <c r="L190" s="60"/>
      <c r="M190" s="60"/>
      <c r="N190" s="60">
        <f t="shared" si="61"/>
        <v>0</v>
      </c>
      <c r="O190" s="60">
        <f t="shared" si="62"/>
        <v>0</v>
      </c>
    </row>
    <row r="191" spans="1:15" s="38" customFormat="1" ht="10.7" hidden="1" customHeight="1" outlineLevel="1" x14ac:dyDescent="0.25">
      <c r="A191" s="124"/>
      <c r="B191" s="142"/>
      <c r="C191" s="115"/>
      <c r="D191" s="115"/>
      <c r="E191" s="115"/>
      <c r="F191" s="115"/>
      <c r="G191" s="60" t="s">
        <v>128</v>
      </c>
      <c r="H191" s="124"/>
      <c r="I191" s="124"/>
      <c r="J191" s="60"/>
      <c r="K191" s="60"/>
      <c r="L191" s="60"/>
      <c r="M191" s="60"/>
      <c r="N191" s="60">
        <f t="shared" si="61"/>
        <v>0</v>
      </c>
      <c r="O191" s="60">
        <f t="shared" si="62"/>
        <v>0</v>
      </c>
    </row>
    <row r="192" spans="1:15" s="38" customFormat="1" ht="10.7" hidden="1" customHeight="1" outlineLevel="1" x14ac:dyDescent="0.25">
      <c r="A192" s="124"/>
      <c r="B192" s="142"/>
      <c r="C192" s="115"/>
      <c r="D192" s="115"/>
      <c r="E192" s="115"/>
      <c r="F192" s="115"/>
      <c r="G192" s="60" t="s">
        <v>129</v>
      </c>
      <c r="H192" s="124"/>
      <c r="I192" s="124"/>
      <c r="J192" s="60"/>
      <c r="K192" s="60"/>
      <c r="L192" s="60"/>
      <c r="M192" s="60"/>
      <c r="N192" s="60">
        <f t="shared" si="61"/>
        <v>0</v>
      </c>
      <c r="O192" s="60">
        <f t="shared" si="62"/>
        <v>0</v>
      </c>
    </row>
    <row r="193" spans="1:15" s="38" customFormat="1" ht="10.7" hidden="1" customHeight="1" outlineLevel="1" x14ac:dyDescent="0.25">
      <c r="A193" s="124"/>
      <c r="B193" s="142"/>
      <c r="C193" s="115"/>
      <c r="D193" s="115"/>
      <c r="E193" s="115"/>
      <c r="F193" s="115"/>
      <c r="G193" s="60" t="s">
        <v>130</v>
      </c>
      <c r="H193" s="124"/>
      <c r="I193" s="124"/>
      <c r="J193" s="60"/>
      <c r="K193" s="60"/>
      <c r="L193" s="60"/>
      <c r="M193" s="60"/>
      <c r="N193" s="60">
        <f t="shared" si="61"/>
        <v>0</v>
      </c>
      <c r="O193" s="60">
        <f t="shared" si="62"/>
        <v>0</v>
      </c>
    </row>
    <row r="194" spans="1:15" s="38" customFormat="1" ht="12" hidden="1" customHeight="1" outlineLevel="1" thickBot="1" x14ac:dyDescent="0.3">
      <c r="A194" s="125"/>
      <c r="B194" s="143"/>
      <c r="C194" s="131"/>
      <c r="D194" s="131"/>
      <c r="E194" s="131"/>
      <c r="F194" s="131"/>
      <c r="G194" s="60" t="s">
        <v>131</v>
      </c>
      <c r="H194" s="134"/>
      <c r="I194" s="134"/>
      <c r="J194" s="60"/>
      <c r="K194" s="60"/>
      <c r="L194" s="60"/>
      <c r="M194" s="60"/>
      <c r="N194" s="60">
        <f t="shared" si="61"/>
        <v>0</v>
      </c>
      <c r="O194" s="60">
        <f t="shared" si="62"/>
        <v>0</v>
      </c>
    </row>
    <row r="195" spans="1:15" s="38" customFormat="1" ht="14.45" hidden="1" customHeight="1" outlineLevel="1" x14ac:dyDescent="0.25">
      <c r="A195" s="140" t="s">
        <v>369</v>
      </c>
      <c r="B195" s="141" t="s">
        <v>420</v>
      </c>
      <c r="C195" s="130">
        <f>SUM(N195:N201)</f>
        <v>0</v>
      </c>
      <c r="D195" s="130">
        <f>SUM(O195:O201)</f>
        <v>0</v>
      </c>
      <c r="E195" s="130">
        <f t="shared" si="52"/>
        <v>0</v>
      </c>
      <c r="F195" s="130"/>
      <c r="G195" s="60" t="s">
        <v>125</v>
      </c>
      <c r="H195" s="123"/>
      <c r="I195" s="123"/>
      <c r="J195" s="60"/>
      <c r="K195" s="60"/>
      <c r="L195" s="60"/>
      <c r="M195" s="60"/>
      <c r="N195" s="60">
        <f>M195*J195*K195*L195</f>
        <v>0</v>
      </c>
      <c r="O195" s="60">
        <f>J195*K195*L195</f>
        <v>0</v>
      </c>
    </row>
    <row r="196" spans="1:15" s="38" customFormat="1" ht="11.45" hidden="1" customHeight="1" outlineLevel="1" x14ac:dyDescent="0.25">
      <c r="A196" s="124"/>
      <c r="B196" s="142"/>
      <c r="C196" s="115"/>
      <c r="D196" s="115"/>
      <c r="E196" s="115"/>
      <c r="F196" s="115"/>
      <c r="G196" s="60" t="s">
        <v>126</v>
      </c>
      <c r="H196" s="124"/>
      <c r="I196" s="124"/>
      <c r="J196" s="60"/>
      <c r="K196" s="60"/>
      <c r="L196" s="60"/>
      <c r="M196" s="60"/>
      <c r="N196" s="60">
        <f t="shared" ref="N196:N201" si="63">M196*J196*K196*L196</f>
        <v>0</v>
      </c>
      <c r="O196" s="60">
        <f t="shared" ref="O196:O201" si="64">J196*K196*L196</f>
        <v>0</v>
      </c>
    </row>
    <row r="197" spans="1:15" s="38" customFormat="1" ht="10.7" hidden="1" customHeight="1" outlineLevel="1" x14ac:dyDescent="0.25">
      <c r="A197" s="124"/>
      <c r="B197" s="142"/>
      <c r="C197" s="115"/>
      <c r="D197" s="115"/>
      <c r="E197" s="115"/>
      <c r="F197" s="115"/>
      <c r="G197" s="60" t="s">
        <v>127</v>
      </c>
      <c r="H197" s="124"/>
      <c r="I197" s="124"/>
      <c r="J197" s="60"/>
      <c r="K197" s="60"/>
      <c r="L197" s="60"/>
      <c r="M197" s="60"/>
      <c r="N197" s="60">
        <f t="shared" si="63"/>
        <v>0</v>
      </c>
      <c r="O197" s="60">
        <f t="shared" si="64"/>
        <v>0</v>
      </c>
    </row>
    <row r="198" spans="1:15" s="38" customFormat="1" ht="10.7" hidden="1" customHeight="1" outlineLevel="1" x14ac:dyDescent="0.25">
      <c r="A198" s="124"/>
      <c r="B198" s="142"/>
      <c r="C198" s="115"/>
      <c r="D198" s="115"/>
      <c r="E198" s="115"/>
      <c r="F198" s="115"/>
      <c r="G198" s="60" t="s">
        <v>128</v>
      </c>
      <c r="H198" s="124"/>
      <c r="I198" s="124"/>
      <c r="J198" s="60"/>
      <c r="K198" s="60"/>
      <c r="L198" s="60"/>
      <c r="M198" s="60"/>
      <c r="N198" s="60">
        <f t="shared" si="63"/>
        <v>0</v>
      </c>
      <c r="O198" s="60">
        <f t="shared" si="64"/>
        <v>0</v>
      </c>
    </row>
    <row r="199" spans="1:15" s="38" customFormat="1" ht="10.7" hidden="1" customHeight="1" outlineLevel="1" x14ac:dyDescent="0.25">
      <c r="A199" s="124"/>
      <c r="B199" s="142"/>
      <c r="C199" s="115"/>
      <c r="D199" s="115"/>
      <c r="E199" s="115"/>
      <c r="F199" s="115"/>
      <c r="G199" s="60" t="s">
        <v>129</v>
      </c>
      <c r="H199" s="124"/>
      <c r="I199" s="124"/>
      <c r="J199" s="60"/>
      <c r="K199" s="60"/>
      <c r="L199" s="60"/>
      <c r="M199" s="60"/>
      <c r="N199" s="60">
        <f t="shared" si="63"/>
        <v>0</v>
      </c>
      <c r="O199" s="60">
        <f t="shared" si="64"/>
        <v>0</v>
      </c>
    </row>
    <row r="200" spans="1:15" s="38" customFormat="1" ht="10.7" hidden="1" customHeight="1" outlineLevel="1" x14ac:dyDescent="0.25">
      <c r="A200" s="124"/>
      <c r="B200" s="142"/>
      <c r="C200" s="115"/>
      <c r="D200" s="115"/>
      <c r="E200" s="115"/>
      <c r="F200" s="115"/>
      <c r="G200" s="60" t="s">
        <v>130</v>
      </c>
      <c r="H200" s="124"/>
      <c r="I200" s="124"/>
      <c r="J200" s="60"/>
      <c r="K200" s="60"/>
      <c r="L200" s="60"/>
      <c r="M200" s="60"/>
      <c r="N200" s="60">
        <f t="shared" si="63"/>
        <v>0</v>
      </c>
      <c r="O200" s="60">
        <f t="shared" si="64"/>
        <v>0</v>
      </c>
    </row>
    <row r="201" spans="1:15" s="38" customFormat="1" ht="12" hidden="1" customHeight="1" outlineLevel="1" thickBot="1" x14ac:dyDescent="0.3">
      <c r="A201" s="125"/>
      <c r="B201" s="143"/>
      <c r="C201" s="131"/>
      <c r="D201" s="131"/>
      <c r="E201" s="131"/>
      <c r="F201" s="131"/>
      <c r="G201" s="60" t="s">
        <v>131</v>
      </c>
      <c r="H201" s="134"/>
      <c r="I201" s="134"/>
      <c r="J201" s="60"/>
      <c r="K201" s="60"/>
      <c r="L201" s="60"/>
      <c r="M201" s="60"/>
      <c r="N201" s="60">
        <f t="shared" si="63"/>
        <v>0</v>
      </c>
      <c r="O201" s="60">
        <f t="shared" si="64"/>
        <v>0</v>
      </c>
    </row>
    <row r="202" spans="1:15" s="38" customFormat="1" ht="14.45" hidden="1" customHeight="1" outlineLevel="1" x14ac:dyDescent="0.25">
      <c r="A202" s="140" t="s">
        <v>371</v>
      </c>
      <c r="B202" s="141" t="s">
        <v>421</v>
      </c>
      <c r="C202" s="130">
        <f>SUM(N202:N208)</f>
        <v>0</v>
      </c>
      <c r="D202" s="130">
        <f>SUM(O202:O208)</f>
        <v>0</v>
      </c>
      <c r="E202" s="130">
        <f t="shared" si="52"/>
        <v>0</v>
      </c>
      <c r="F202" s="130"/>
      <c r="G202" s="60" t="s">
        <v>125</v>
      </c>
      <c r="H202" s="123"/>
      <c r="I202" s="123"/>
      <c r="J202" s="60"/>
      <c r="K202" s="60"/>
      <c r="L202" s="60"/>
      <c r="M202" s="60"/>
      <c r="N202" s="60">
        <f>M202*J202*K202*L202</f>
        <v>0</v>
      </c>
      <c r="O202" s="60">
        <f>J202*K202*L202</f>
        <v>0</v>
      </c>
    </row>
    <row r="203" spans="1:15" s="38" customFormat="1" ht="11.45" hidden="1" customHeight="1" outlineLevel="1" x14ac:dyDescent="0.25">
      <c r="A203" s="124"/>
      <c r="B203" s="142"/>
      <c r="C203" s="115"/>
      <c r="D203" s="115"/>
      <c r="E203" s="115"/>
      <c r="F203" s="115"/>
      <c r="G203" s="60" t="s">
        <v>126</v>
      </c>
      <c r="H203" s="124"/>
      <c r="I203" s="124"/>
      <c r="J203" s="60"/>
      <c r="K203" s="60"/>
      <c r="L203" s="60"/>
      <c r="M203" s="60"/>
      <c r="N203" s="60">
        <f t="shared" ref="N203:N208" si="65">M203*J203*K203*L203</f>
        <v>0</v>
      </c>
      <c r="O203" s="60">
        <f t="shared" ref="O203:O208" si="66">J203*K203*L203</f>
        <v>0</v>
      </c>
    </row>
    <row r="204" spans="1:15" s="38" customFormat="1" ht="10.7" hidden="1" customHeight="1" outlineLevel="1" x14ac:dyDescent="0.25">
      <c r="A204" s="124"/>
      <c r="B204" s="142"/>
      <c r="C204" s="115"/>
      <c r="D204" s="115"/>
      <c r="E204" s="115"/>
      <c r="F204" s="115"/>
      <c r="G204" s="60" t="s">
        <v>127</v>
      </c>
      <c r="H204" s="124"/>
      <c r="I204" s="124"/>
      <c r="J204" s="60"/>
      <c r="K204" s="60"/>
      <c r="L204" s="60"/>
      <c r="M204" s="60"/>
      <c r="N204" s="60">
        <f t="shared" si="65"/>
        <v>0</v>
      </c>
      <c r="O204" s="60">
        <f t="shared" si="66"/>
        <v>0</v>
      </c>
    </row>
    <row r="205" spans="1:15" s="38" customFormat="1" ht="10.7" hidden="1" customHeight="1" outlineLevel="1" x14ac:dyDescent="0.25">
      <c r="A205" s="124"/>
      <c r="B205" s="142"/>
      <c r="C205" s="115"/>
      <c r="D205" s="115"/>
      <c r="E205" s="115"/>
      <c r="F205" s="115"/>
      <c r="G205" s="60" t="s">
        <v>128</v>
      </c>
      <c r="H205" s="124"/>
      <c r="I205" s="124"/>
      <c r="J205" s="60"/>
      <c r="K205" s="60"/>
      <c r="L205" s="60"/>
      <c r="M205" s="60"/>
      <c r="N205" s="60">
        <f t="shared" si="65"/>
        <v>0</v>
      </c>
      <c r="O205" s="60">
        <f t="shared" si="66"/>
        <v>0</v>
      </c>
    </row>
    <row r="206" spans="1:15" s="38" customFormat="1" ht="10.7" hidden="1" customHeight="1" outlineLevel="1" x14ac:dyDescent="0.25">
      <c r="A206" s="124"/>
      <c r="B206" s="142"/>
      <c r="C206" s="115"/>
      <c r="D206" s="115"/>
      <c r="E206" s="115"/>
      <c r="F206" s="115"/>
      <c r="G206" s="60" t="s">
        <v>129</v>
      </c>
      <c r="H206" s="124"/>
      <c r="I206" s="124"/>
      <c r="J206" s="60"/>
      <c r="K206" s="60"/>
      <c r="L206" s="60"/>
      <c r="M206" s="60"/>
      <c r="N206" s="60">
        <f t="shared" si="65"/>
        <v>0</v>
      </c>
      <c r="O206" s="60">
        <f t="shared" si="66"/>
        <v>0</v>
      </c>
    </row>
    <row r="207" spans="1:15" s="38" customFormat="1" ht="10.7" hidden="1" customHeight="1" outlineLevel="1" x14ac:dyDescent="0.25">
      <c r="A207" s="124"/>
      <c r="B207" s="142"/>
      <c r="C207" s="115"/>
      <c r="D207" s="115"/>
      <c r="E207" s="115"/>
      <c r="F207" s="115"/>
      <c r="G207" s="60" t="s">
        <v>130</v>
      </c>
      <c r="H207" s="124"/>
      <c r="I207" s="124"/>
      <c r="J207" s="60"/>
      <c r="K207" s="60"/>
      <c r="L207" s="60"/>
      <c r="M207" s="60"/>
      <c r="N207" s="60">
        <f t="shared" si="65"/>
        <v>0</v>
      </c>
      <c r="O207" s="60">
        <f t="shared" si="66"/>
        <v>0</v>
      </c>
    </row>
    <row r="208" spans="1:15" s="38" customFormat="1" ht="12" hidden="1" customHeight="1" outlineLevel="1" thickBot="1" x14ac:dyDescent="0.3">
      <c r="A208" s="125"/>
      <c r="B208" s="143"/>
      <c r="C208" s="131"/>
      <c r="D208" s="131"/>
      <c r="E208" s="131"/>
      <c r="F208" s="131"/>
      <c r="G208" s="60" t="s">
        <v>131</v>
      </c>
      <c r="H208" s="134"/>
      <c r="I208" s="134"/>
      <c r="J208" s="60"/>
      <c r="K208" s="60"/>
      <c r="L208" s="60"/>
      <c r="M208" s="60"/>
      <c r="N208" s="60">
        <f t="shared" si="65"/>
        <v>0</v>
      </c>
      <c r="O208" s="60">
        <f t="shared" si="66"/>
        <v>0</v>
      </c>
    </row>
    <row r="209" spans="1:15" s="38" customFormat="1" ht="14.45" hidden="1" customHeight="1" outlineLevel="1" x14ac:dyDescent="0.25">
      <c r="A209" s="140" t="s">
        <v>373</v>
      </c>
      <c r="B209" s="141" t="s">
        <v>422</v>
      </c>
      <c r="C209" s="130">
        <f>SUM(N209:N215)</f>
        <v>0</v>
      </c>
      <c r="D209" s="130">
        <f>SUM(O209:O215)</f>
        <v>0</v>
      </c>
      <c r="E209" s="130">
        <f t="shared" si="52"/>
        <v>0</v>
      </c>
      <c r="F209" s="130"/>
      <c r="G209" s="60" t="s">
        <v>125</v>
      </c>
      <c r="H209" s="123"/>
      <c r="I209" s="123"/>
      <c r="J209" s="60"/>
      <c r="K209" s="60"/>
      <c r="L209" s="60"/>
      <c r="M209" s="60"/>
      <c r="N209" s="60">
        <f>M209*J209*K209*L209</f>
        <v>0</v>
      </c>
      <c r="O209" s="60">
        <f>J209*K209*L209</f>
        <v>0</v>
      </c>
    </row>
    <row r="210" spans="1:15" s="38" customFormat="1" ht="11.45" hidden="1" customHeight="1" outlineLevel="1" x14ac:dyDescent="0.25">
      <c r="A210" s="124"/>
      <c r="B210" s="142"/>
      <c r="C210" s="115"/>
      <c r="D210" s="115"/>
      <c r="E210" s="115"/>
      <c r="F210" s="115"/>
      <c r="G210" s="60" t="s">
        <v>126</v>
      </c>
      <c r="H210" s="124"/>
      <c r="I210" s="124"/>
      <c r="J210" s="60"/>
      <c r="K210" s="60"/>
      <c r="L210" s="60"/>
      <c r="M210" s="60"/>
      <c r="N210" s="60">
        <f t="shared" ref="N210:N215" si="67">M210*J210*K210*L210</f>
        <v>0</v>
      </c>
      <c r="O210" s="60">
        <f t="shared" ref="O210:O215" si="68">J210*K210*L210</f>
        <v>0</v>
      </c>
    </row>
    <row r="211" spans="1:15" s="38" customFormat="1" ht="10.7" hidden="1" customHeight="1" outlineLevel="1" x14ac:dyDescent="0.25">
      <c r="A211" s="124"/>
      <c r="B211" s="142"/>
      <c r="C211" s="115"/>
      <c r="D211" s="115"/>
      <c r="E211" s="115"/>
      <c r="F211" s="115"/>
      <c r="G211" s="60" t="s">
        <v>127</v>
      </c>
      <c r="H211" s="124"/>
      <c r="I211" s="124"/>
      <c r="J211" s="60"/>
      <c r="K211" s="60"/>
      <c r="L211" s="60"/>
      <c r="M211" s="60"/>
      <c r="N211" s="60">
        <f t="shared" si="67"/>
        <v>0</v>
      </c>
      <c r="O211" s="60">
        <f t="shared" si="68"/>
        <v>0</v>
      </c>
    </row>
    <row r="212" spans="1:15" s="38" customFormat="1" ht="10.7" hidden="1" customHeight="1" outlineLevel="1" x14ac:dyDescent="0.25">
      <c r="A212" s="124"/>
      <c r="B212" s="142"/>
      <c r="C212" s="115"/>
      <c r="D212" s="115"/>
      <c r="E212" s="115"/>
      <c r="F212" s="115"/>
      <c r="G212" s="60" t="s">
        <v>128</v>
      </c>
      <c r="H212" s="124"/>
      <c r="I212" s="124"/>
      <c r="J212" s="60"/>
      <c r="K212" s="60"/>
      <c r="L212" s="60"/>
      <c r="M212" s="60"/>
      <c r="N212" s="60">
        <f t="shared" si="67"/>
        <v>0</v>
      </c>
      <c r="O212" s="60">
        <f t="shared" si="68"/>
        <v>0</v>
      </c>
    </row>
    <row r="213" spans="1:15" s="38" customFormat="1" ht="10.7" hidden="1" customHeight="1" outlineLevel="1" x14ac:dyDescent="0.25">
      <c r="A213" s="124"/>
      <c r="B213" s="142"/>
      <c r="C213" s="115"/>
      <c r="D213" s="115"/>
      <c r="E213" s="115"/>
      <c r="F213" s="115"/>
      <c r="G213" s="60" t="s">
        <v>129</v>
      </c>
      <c r="H213" s="124"/>
      <c r="I213" s="124"/>
      <c r="J213" s="60"/>
      <c r="K213" s="60"/>
      <c r="L213" s="60"/>
      <c r="M213" s="60"/>
      <c r="N213" s="60">
        <f t="shared" si="67"/>
        <v>0</v>
      </c>
      <c r="O213" s="60">
        <f t="shared" si="68"/>
        <v>0</v>
      </c>
    </row>
    <row r="214" spans="1:15" s="38" customFormat="1" ht="10.7" hidden="1" customHeight="1" outlineLevel="1" x14ac:dyDescent="0.25">
      <c r="A214" s="124"/>
      <c r="B214" s="142"/>
      <c r="C214" s="115"/>
      <c r="D214" s="115"/>
      <c r="E214" s="115"/>
      <c r="F214" s="115"/>
      <c r="G214" s="60" t="s">
        <v>130</v>
      </c>
      <c r="H214" s="124"/>
      <c r="I214" s="124"/>
      <c r="J214" s="60"/>
      <c r="K214" s="60"/>
      <c r="L214" s="60"/>
      <c r="M214" s="60"/>
      <c r="N214" s="60">
        <f t="shared" si="67"/>
        <v>0</v>
      </c>
      <c r="O214" s="60">
        <f t="shared" si="68"/>
        <v>0</v>
      </c>
    </row>
    <row r="215" spans="1:15" s="38" customFormat="1" ht="12" hidden="1" customHeight="1" outlineLevel="1" thickBot="1" x14ac:dyDescent="0.3">
      <c r="A215" s="125"/>
      <c r="B215" s="143"/>
      <c r="C215" s="131"/>
      <c r="D215" s="131"/>
      <c r="E215" s="131"/>
      <c r="F215" s="131"/>
      <c r="G215" s="60" t="s">
        <v>131</v>
      </c>
      <c r="H215" s="134"/>
      <c r="I215" s="134"/>
      <c r="J215" s="60"/>
      <c r="K215" s="60"/>
      <c r="L215" s="60"/>
      <c r="M215" s="60"/>
      <c r="N215" s="60">
        <f t="shared" si="67"/>
        <v>0</v>
      </c>
      <c r="O215" s="60">
        <f t="shared" si="68"/>
        <v>0</v>
      </c>
    </row>
    <row r="216" spans="1:15" s="38" customFormat="1" ht="14.45" hidden="1" customHeight="1" outlineLevel="1" x14ac:dyDescent="0.25">
      <c r="A216" s="140" t="s">
        <v>375</v>
      </c>
      <c r="B216" s="141" t="s">
        <v>423</v>
      </c>
      <c r="C216" s="130">
        <f>SUM(N216:N222)</f>
        <v>0</v>
      </c>
      <c r="D216" s="130">
        <f>SUM(O216:O222)</f>
        <v>0</v>
      </c>
      <c r="E216" s="130">
        <f t="shared" si="52"/>
        <v>0</v>
      </c>
      <c r="F216" s="130"/>
      <c r="G216" s="60" t="s">
        <v>125</v>
      </c>
      <c r="H216" s="123"/>
      <c r="I216" s="123"/>
      <c r="J216" s="60"/>
      <c r="K216" s="60"/>
      <c r="L216" s="60"/>
      <c r="M216" s="60"/>
      <c r="N216" s="60">
        <f>M216*J216*K216*L216</f>
        <v>0</v>
      </c>
      <c r="O216" s="60">
        <f>J216*K216*L216</f>
        <v>0</v>
      </c>
    </row>
    <row r="217" spans="1:15" s="38" customFormat="1" ht="11.45" hidden="1" customHeight="1" outlineLevel="1" x14ac:dyDescent="0.25">
      <c r="A217" s="124"/>
      <c r="B217" s="142"/>
      <c r="C217" s="115"/>
      <c r="D217" s="115"/>
      <c r="E217" s="115"/>
      <c r="F217" s="115"/>
      <c r="G217" s="60" t="s">
        <v>126</v>
      </c>
      <c r="H217" s="124"/>
      <c r="I217" s="124"/>
      <c r="J217" s="60"/>
      <c r="K217" s="60"/>
      <c r="L217" s="60"/>
      <c r="M217" s="60"/>
      <c r="N217" s="60">
        <f t="shared" ref="N217:N222" si="69">M217*J217*K217*L217</f>
        <v>0</v>
      </c>
      <c r="O217" s="60">
        <f t="shared" ref="O217:O222" si="70">J217*K217*L217</f>
        <v>0</v>
      </c>
    </row>
    <row r="218" spans="1:15" s="38" customFormat="1" ht="10.7" hidden="1" customHeight="1" outlineLevel="1" x14ac:dyDescent="0.25">
      <c r="A218" s="124"/>
      <c r="B218" s="142"/>
      <c r="C218" s="115"/>
      <c r="D218" s="115"/>
      <c r="E218" s="115"/>
      <c r="F218" s="115"/>
      <c r="G218" s="60" t="s">
        <v>127</v>
      </c>
      <c r="H218" s="124"/>
      <c r="I218" s="124"/>
      <c r="J218" s="60"/>
      <c r="K218" s="60"/>
      <c r="L218" s="60"/>
      <c r="M218" s="60"/>
      <c r="N218" s="60">
        <f t="shared" si="69"/>
        <v>0</v>
      </c>
      <c r="O218" s="60">
        <f t="shared" si="70"/>
        <v>0</v>
      </c>
    </row>
    <row r="219" spans="1:15" s="38" customFormat="1" ht="10.7" hidden="1" customHeight="1" outlineLevel="1" x14ac:dyDescent="0.25">
      <c r="A219" s="124"/>
      <c r="B219" s="142"/>
      <c r="C219" s="115"/>
      <c r="D219" s="115"/>
      <c r="E219" s="115"/>
      <c r="F219" s="115"/>
      <c r="G219" s="60" t="s">
        <v>128</v>
      </c>
      <c r="H219" s="124"/>
      <c r="I219" s="124"/>
      <c r="J219" s="60"/>
      <c r="K219" s="60"/>
      <c r="L219" s="60"/>
      <c r="M219" s="60"/>
      <c r="N219" s="60">
        <f t="shared" si="69"/>
        <v>0</v>
      </c>
      <c r="O219" s="60">
        <f t="shared" si="70"/>
        <v>0</v>
      </c>
    </row>
    <row r="220" spans="1:15" s="38" customFormat="1" ht="10.7" hidden="1" customHeight="1" outlineLevel="1" x14ac:dyDescent="0.25">
      <c r="A220" s="124"/>
      <c r="B220" s="142"/>
      <c r="C220" s="115"/>
      <c r="D220" s="115"/>
      <c r="E220" s="115"/>
      <c r="F220" s="115"/>
      <c r="G220" s="60" t="s">
        <v>129</v>
      </c>
      <c r="H220" s="124"/>
      <c r="I220" s="124"/>
      <c r="J220" s="60"/>
      <c r="K220" s="60"/>
      <c r="L220" s="60"/>
      <c r="M220" s="60"/>
      <c r="N220" s="60">
        <f t="shared" si="69"/>
        <v>0</v>
      </c>
      <c r="O220" s="60">
        <f t="shared" si="70"/>
        <v>0</v>
      </c>
    </row>
    <row r="221" spans="1:15" s="38" customFormat="1" ht="10.7" hidden="1" customHeight="1" outlineLevel="1" x14ac:dyDescent="0.25">
      <c r="A221" s="124"/>
      <c r="B221" s="142"/>
      <c r="C221" s="115"/>
      <c r="D221" s="115"/>
      <c r="E221" s="115"/>
      <c r="F221" s="115"/>
      <c r="G221" s="60" t="s">
        <v>130</v>
      </c>
      <c r="H221" s="124"/>
      <c r="I221" s="124"/>
      <c r="J221" s="60"/>
      <c r="K221" s="60"/>
      <c r="L221" s="60"/>
      <c r="M221" s="60"/>
      <c r="N221" s="60">
        <f t="shared" si="69"/>
        <v>0</v>
      </c>
      <c r="O221" s="60">
        <f t="shared" si="70"/>
        <v>0</v>
      </c>
    </row>
    <row r="222" spans="1:15" s="38" customFormat="1" ht="12" hidden="1" customHeight="1" outlineLevel="1" thickBot="1" x14ac:dyDescent="0.3">
      <c r="A222" s="125"/>
      <c r="B222" s="143"/>
      <c r="C222" s="131"/>
      <c r="D222" s="131"/>
      <c r="E222" s="131"/>
      <c r="F222" s="131"/>
      <c r="G222" s="60" t="s">
        <v>131</v>
      </c>
      <c r="H222" s="134"/>
      <c r="I222" s="134"/>
      <c r="J222" s="60"/>
      <c r="K222" s="60"/>
      <c r="L222" s="60"/>
      <c r="M222" s="60"/>
      <c r="N222" s="60">
        <f t="shared" si="69"/>
        <v>0</v>
      </c>
      <c r="O222" s="60">
        <f t="shared" si="70"/>
        <v>0</v>
      </c>
    </row>
    <row r="223" spans="1:15" s="38" customFormat="1" ht="14.45" hidden="1" customHeight="1" outlineLevel="1" x14ac:dyDescent="0.25">
      <c r="A223" s="140" t="s">
        <v>424</v>
      </c>
      <c r="B223" s="141" t="s">
        <v>425</v>
      </c>
      <c r="C223" s="130">
        <f>SUM(N223:N229)</f>
        <v>0</v>
      </c>
      <c r="D223" s="130">
        <f>SUM(O223:O229)</f>
        <v>0</v>
      </c>
      <c r="E223" s="130">
        <f t="shared" ref="E223:E251" si="71">D223/8</f>
        <v>0</v>
      </c>
      <c r="F223" s="130"/>
      <c r="G223" s="60" t="s">
        <v>125</v>
      </c>
      <c r="H223" s="123"/>
      <c r="I223" s="123"/>
      <c r="J223" s="60"/>
      <c r="K223" s="60"/>
      <c r="L223" s="60"/>
      <c r="M223" s="60"/>
      <c r="N223" s="60">
        <f>M223*J223*K223*L223</f>
        <v>0</v>
      </c>
      <c r="O223" s="60">
        <f>J223*K223*L223</f>
        <v>0</v>
      </c>
    </row>
    <row r="224" spans="1:15" s="38" customFormat="1" ht="11.45" hidden="1" customHeight="1" outlineLevel="1" x14ac:dyDescent="0.25">
      <c r="A224" s="124"/>
      <c r="B224" s="142"/>
      <c r="C224" s="115"/>
      <c r="D224" s="115"/>
      <c r="E224" s="115"/>
      <c r="F224" s="115"/>
      <c r="G224" s="60" t="s">
        <v>126</v>
      </c>
      <c r="H224" s="124"/>
      <c r="I224" s="124"/>
      <c r="J224" s="60"/>
      <c r="K224" s="60"/>
      <c r="L224" s="60"/>
      <c r="M224" s="60"/>
      <c r="N224" s="60">
        <f t="shared" ref="N224:N229" si="72">M224*J224*K224*L224</f>
        <v>0</v>
      </c>
      <c r="O224" s="60">
        <f t="shared" ref="O224:O229" si="73">J224*K224*L224</f>
        <v>0</v>
      </c>
    </row>
    <row r="225" spans="1:15" s="38" customFormat="1" ht="10.7" hidden="1" customHeight="1" outlineLevel="1" x14ac:dyDescent="0.25">
      <c r="A225" s="124"/>
      <c r="B225" s="142"/>
      <c r="C225" s="115"/>
      <c r="D225" s="115"/>
      <c r="E225" s="115"/>
      <c r="F225" s="115"/>
      <c r="G225" s="60" t="s">
        <v>127</v>
      </c>
      <c r="H225" s="124"/>
      <c r="I225" s="124"/>
      <c r="J225" s="60"/>
      <c r="K225" s="60"/>
      <c r="L225" s="60"/>
      <c r="M225" s="60"/>
      <c r="N225" s="60">
        <f t="shared" si="72"/>
        <v>0</v>
      </c>
      <c r="O225" s="60">
        <f t="shared" si="73"/>
        <v>0</v>
      </c>
    </row>
    <row r="226" spans="1:15" s="38" customFormat="1" ht="10.7" hidden="1" customHeight="1" outlineLevel="1" x14ac:dyDescent="0.25">
      <c r="A226" s="124"/>
      <c r="B226" s="142"/>
      <c r="C226" s="115"/>
      <c r="D226" s="115"/>
      <c r="E226" s="115"/>
      <c r="F226" s="115"/>
      <c r="G226" s="60" t="s">
        <v>128</v>
      </c>
      <c r="H226" s="124"/>
      <c r="I226" s="124"/>
      <c r="J226" s="60"/>
      <c r="K226" s="60"/>
      <c r="L226" s="60"/>
      <c r="M226" s="60"/>
      <c r="N226" s="60">
        <f t="shared" si="72"/>
        <v>0</v>
      </c>
      <c r="O226" s="60">
        <f t="shared" si="73"/>
        <v>0</v>
      </c>
    </row>
    <row r="227" spans="1:15" s="38" customFormat="1" ht="10.7" hidden="1" customHeight="1" outlineLevel="1" x14ac:dyDescent="0.25">
      <c r="A227" s="124"/>
      <c r="B227" s="142"/>
      <c r="C227" s="115"/>
      <c r="D227" s="115"/>
      <c r="E227" s="115"/>
      <c r="F227" s="115"/>
      <c r="G227" s="60" t="s">
        <v>129</v>
      </c>
      <c r="H227" s="124"/>
      <c r="I227" s="124"/>
      <c r="J227" s="60"/>
      <c r="K227" s="60"/>
      <c r="L227" s="60"/>
      <c r="M227" s="60"/>
      <c r="N227" s="60">
        <f t="shared" si="72"/>
        <v>0</v>
      </c>
      <c r="O227" s="60">
        <f t="shared" si="73"/>
        <v>0</v>
      </c>
    </row>
    <row r="228" spans="1:15" s="38" customFormat="1" ht="10.7" hidden="1" customHeight="1" outlineLevel="1" x14ac:dyDescent="0.25">
      <c r="A228" s="124"/>
      <c r="B228" s="142"/>
      <c r="C228" s="115"/>
      <c r="D228" s="115"/>
      <c r="E228" s="115"/>
      <c r="F228" s="115"/>
      <c r="G228" s="60" t="s">
        <v>130</v>
      </c>
      <c r="H228" s="124"/>
      <c r="I228" s="124"/>
      <c r="J228" s="60"/>
      <c r="K228" s="60"/>
      <c r="L228" s="60"/>
      <c r="M228" s="60"/>
      <c r="N228" s="60">
        <f t="shared" si="72"/>
        <v>0</v>
      </c>
      <c r="O228" s="60">
        <f t="shared" si="73"/>
        <v>0</v>
      </c>
    </row>
    <row r="229" spans="1:15" s="38" customFormat="1" ht="12" hidden="1" customHeight="1" outlineLevel="1" thickBot="1" x14ac:dyDescent="0.3">
      <c r="A229" s="125"/>
      <c r="B229" s="143"/>
      <c r="C229" s="131"/>
      <c r="D229" s="131"/>
      <c r="E229" s="131"/>
      <c r="F229" s="131"/>
      <c r="G229" s="60" t="s">
        <v>131</v>
      </c>
      <c r="H229" s="134"/>
      <c r="I229" s="134"/>
      <c r="J229" s="60"/>
      <c r="K229" s="60"/>
      <c r="L229" s="60"/>
      <c r="M229" s="60"/>
      <c r="N229" s="60">
        <f t="shared" si="72"/>
        <v>0</v>
      </c>
      <c r="O229" s="60">
        <f t="shared" si="73"/>
        <v>0</v>
      </c>
    </row>
    <row r="230" spans="1:15" s="38" customFormat="1" ht="14.45" hidden="1" customHeight="1" outlineLevel="1" x14ac:dyDescent="0.25">
      <c r="A230" s="140" t="s">
        <v>426</v>
      </c>
      <c r="B230" s="141" t="s">
        <v>427</v>
      </c>
      <c r="C230" s="130">
        <f>SUM(N230:N236)</f>
        <v>0</v>
      </c>
      <c r="D230" s="130">
        <f>SUM(O230:O236)</f>
        <v>0</v>
      </c>
      <c r="E230" s="130">
        <f t="shared" si="71"/>
        <v>0</v>
      </c>
      <c r="F230" s="130"/>
      <c r="G230" s="60" t="s">
        <v>125</v>
      </c>
      <c r="H230" s="123"/>
      <c r="I230" s="123"/>
      <c r="J230" s="60"/>
      <c r="K230" s="60"/>
      <c r="L230" s="60"/>
      <c r="M230" s="60"/>
      <c r="N230" s="60">
        <f>M230*J230*K230*L230</f>
        <v>0</v>
      </c>
      <c r="O230" s="60">
        <f>J230*K230*L230</f>
        <v>0</v>
      </c>
    </row>
    <row r="231" spans="1:15" s="38" customFormat="1" ht="11.45" hidden="1" customHeight="1" outlineLevel="1" x14ac:dyDescent="0.25">
      <c r="A231" s="124"/>
      <c r="B231" s="142"/>
      <c r="C231" s="115"/>
      <c r="D231" s="115"/>
      <c r="E231" s="115"/>
      <c r="F231" s="115"/>
      <c r="G231" s="60" t="s">
        <v>126</v>
      </c>
      <c r="H231" s="124"/>
      <c r="I231" s="124"/>
      <c r="J231" s="60"/>
      <c r="K231" s="60"/>
      <c r="L231" s="60"/>
      <c r="M231" s="60"/>
      <c r="N231" s="60">
        <f t="shared" ref="N231:N236" si="74">M231*J231*K231*L231</f>
        <v>0</v>
      </c>
      <c r="O231" s="60">
        <f t="shared" ref="O231:O236" si="75">J231*K231*L231</f>
        <v>0</v>
      </c>
    </row>
    <row r="232" spans="1:15" s="38" customFormat="1" ht="10.7" hidden="1" customHeight="1" outlineLevel="1" x14ac:dyDescent="0.25">
      <c r="A232" s="124"/>
      <c r="B232" s="142"/>
      <c r="C232" s="115"/>
      <c r="D232" s="115"/>
      <c r="E232" s="115"/>
      <c r="F232" s="115"/>
      <c r="G232" s="60" t="s">
        <v>127</v>
      </c>
      <c r="H232" s="124"/>
      <c r="I232" s="124"/>
      <c r="J232" s="60"/>
      <c r="K232" s="60"/>
      <c r="L232" s="60"/>
      <c r="M232" s="60"/>
      <c r="N232" s="60">
        <f t="shared" si="74"/>
        <v>0</v>
      </c>
      <c r="O232" s="60">
        <f t="shared" si="75"/>
        <v>0</v>
      </c>
    </row>
    <row r="233" spans="1:15" s="38" customFormat="1" ht="10.7" hidden="1" customHeight="1" outlineLevel="1" x14ac:dyDescent="0.25">
      <c r="A233" s="124"/>
      <c r="B233" s="142"/>
      <c r="C233" s="115"/>
      <c r="D233" s="115"/>
      <c r="E233" s="115"/>
      <c r="F233" s="115"/>
      <c r="G233" s="60" t="s">
        <v>128</v>
      </c>
      <c r="H233" s="124"/>
      <c r="I233" s="124"/>
      <c r="J233" s="60"/>
      <c r="K233" s="60"/>
      <c r="L233" s="60"/>
      <c r="M233" s="60"/>
      <c r="N233" s="60">
        <f t="shared" si="74"/>
        <v>0</v>
      </c>
      <c r="O233" s="60">
        <f t="shared" si="75"/>
        <v>0</v>
      </c>
    </row>
    <row r="234" spans="1:15" s="38" customFormat="1" ht="10.7" hidden="1" customHeight="1" outlineLevel="1" x14ac:dyDescent="0.25">
      <c r="A234" s="124"/>
      <c r="B234" s="142"/>
      <c r="C234" s="115"/>
      <c r="D234" s="115"/>
      <c r="E234" s="115"/>
      <c r="F234" s="115"/>
      <c r="G234" s="60" t="s">
        <v>129</v>
      </c>
      <c r="H234" s="124"/>
      <c r="I234" s="124"/>
      <c r="J234" s="60"/>
      <c r="K234" s="60"/>
      <c r="L234" s="60"/>
      <c r="M234" s="60"/>
      <c r="N234" s="60">
        <f t="shared" si="74"/>
        <v>0</v>
      </c>
      <c r="O234" s="60">
        <f t="shared" si="75"/>
        <v>0</v>
      </c>
    </row>
    <row r="235" spans="1:15" s="38" customFormat="1" ht="10.7" hidden="1" customHeight="1" outlineLevel="1" x14ac:dyDescent="0.25">
      <c r="A235" s="124"/>
      <c r="B235" s="142"/>
      <c r="C235" s="115"/>
      <c r="D235" s="115"/>
      <c r="E235" s="115"/>
      <c r="F235" s="115"/>
      <c r="G235" s="60" t="s">
        <v>130</v>
      </c>
      <c r="H235" s="124"/>
      <c r="I235" s="124"/>
      <c r="J235" s="60"/>
      <c r="K235" s="60"/>
      <c r="L235" s="60"/>
      <c r="M235" s="60"/>
      <c r="N235" s="60">
        <f t="shared" si="74"/>
        <v>0</v>
      </c>
      <c r="O235" s="60">
        <f t="shared" si="75"/>
        <v>0</v>
      </c>
    </row>
    <row r="236" spans="1:15" s="38" customFormat="1" ht="12" hidden="1" customHeight="1" outlineLevel="1" thickBot="1" x14ac:dyDescent="0.3">
      <c r="A236" s="125"/>
      <c r="B236" s="143"/>
      <c r="C236" s="131"/>
      <c r="D236" s="131"/>
      <c r="E236" s="131"/>
      <c r="F236" s="131"/>
      <c r="G236" s="60" t="s">
        <v>131</v>
      </c>
      <c r="H236" s="134"/>
      <c r="I236" s="134"/>
      <c r="J236" s="60"/>
      <c r="K236" s="60"/>
      <c r="L236" s="60"/>
      <c r="M236" s="60"/>
      <c r="N236" s="60">
        <f t="shared" si="74"/>
        <v>0</v>
      </c>
      <c r="O236" s="60">
        <f t="shared" si="75"/>
        <v>0</v>
      </c>
    </row>
    <row r="237" spans="1:15" s="38" customFormat="1" ht="14.45" hidden="1" customHeight="1" outlineLevel="1" x14ac:dyDescent="0.25">
      <c r="A237" s="140" t="s">
        <v>428</v>
      </c>
      <c r="B237" s="141" t="s">
        <v>429</v>
      </c>
      <c r="C237" s="130">
        <f>SUM(N237:N243)</f>
        <v>0</v>
      </c>
      <c r="D237" s="130">
        <f>SUM(O237:O243)</f>
        <v>0</v>
      </c>
      <c r="E237" s="130">
        <f t="shared" si="71"/>
        <v>0</v>
      </c>
      <c r="F237" s="130"/>
      <c r="G237" s="60" t="s">
        <v>125</v>
      </c>
      <c r="H237" s="123"/>
      <c r="I237" s="123"/>
      <c r="J237" s="60"/>
      <c r="K237" s="60"/>
      <c r="L237" s="60"/>
      <c r="M237" s="60"/>
      <c r="N237" s="60">
        <f>M237*J237*K237*L237</f>
        <v>0</v>
      </c>
      <c r="O237" s="60">
        <f>J237*K237*L237</f>
        <v>0</v>
      </c>
    </row>
    <row r="238" spans="1:15" s="38" customFormat="1" ht="11.45" hidden="1" customHeight="1" outlineLevel="1" x14ac:dyDescent="0.25">
      <c r="A238" s="124"/>
      <c r="B238" s="142"/>
      <c r="C238" s="115"/>
      <c r="D238" s="115"/>
      <c r="E238" s="115"/>
      <c r="F238" s="115"/>
      <c r="G238" s="60" t="s">
        <v>126</v>
      </c>
      <c r="H238" s="124"/>
      <c r="I238" s="124"/>
      <c r="J238" s="60"/>
      <c r="K238" s="60"/>
      <c r="L238" s="60"/>
      <c r="M238" s="60"/>
      <c r="N238" s="60">
        <f t="shared" ref="N238:N243" si="76">M238*J238*K238*L238</f>
        <v>0</v>
      </c>
      <c r="O238" s="60">
        <f t="shared" ref="O238:O243" si="77">J238*K238*L238</f>
        <v>0</v>
      </c>
    </row>
    <row r="239" spans="1:15" s="38" customFormat="1" ht="10.7" hidden="1" customHeight="1" outlineLevel="1" x14ac:dyDescent="0.25">
      <c r="A239" s="124"/>
      <c r="B239" s="142"/>
      <c r="C239" s="115"/>
      <c r="D239" s="115"/>
      <c r="E239" s="115"/>
      <c r="F239" s="115"/>
      <c r="G239" s="60" t="s">
        <v>127</v>
      </c>
      <c r="H239" s="124"/>
      <c r="I239" s="124"/>
      <c r="J239" s="60"/>
      <c r="K239" s="60"/>
      <c r="L239" s="60"/>
      <c r="M239" s="60"/>
      <c r="N239" s="60">
        <f t="shared" si="76"/>
        <v>0</v>
      </c>
      <c r="O239" s="60">
        <f t="shared" si="77"/>
        <v>0</v>
      </c>
    </row>
    <row r="240" spans="1:15" s="38" customFormat="1" ht="10.7" hidden="1" customHeight="1" outlineLevel="1" x14ac:dyDescent="0.25">
      <c r="A240" s="124"/>
      <c r="B240" s="142"/>
      <c r="C240" s="115"/>
      <c r="D240" s="115"/>
      <c r="E240" s="115"/>
      <c r="F240" s="115"/>
      <c r="G240" s="60" t="s">
        <v>128</v>
      </c>
      <c r="H240" s="124"/>
      <c r="I240" s="124"/>
      <c r="J240" s="60"/>
      <c r="K240" s="60"/>
      <c r="L240" s="60"/>
      <c r="M240" s="60"/>
      <c r="N240" s="60">
        <f t="shared" si="76"/>
        <v>0</v>
      </c>
      <c r="O240" s="60">
        <f t="shared" si="77"/>
        <v>0</v>
      </c>
    </row>
    <row r="241" spans="1:15" s="38" customFormat="1" ht="10.7" hidden="1" customHeight="1" outlineLevel="1" x14ac:dyDescent="0.25">
      <c r="A241" s="124"/>
      <c r="B241" s="142"/>
      <c r="C241" s="115"/>
      <c r="D241" s="115"/>
      <c r="E241" s="115"/>
      <c r="F241" s="115"/>
      <c r="G241" s="60" t="s">
        <v>129</v>
      </c>
      <c r="H241" s="124"/>
      <c r="I241" s="124"/>
      <c r="J241" s="60"/>
      <c r="K241" s="60"/>
      <c r="L241" s="60"/>
      <c r="M241" s="60"/>
      <c r="N241" s="60">
        <f t="shared" si="76"/>
        <v>0</v>
      </c>
      <c r="O241" s="60">
        <f t="shared" si="77"/>
        <v>0</v>
      </c>
    </row>
    <row r="242" spans="1:15" s="38" customFormat="1" ht="10.7" hidden="1" customHeight="1" outlineLevel="1" x14ac:dyDescent="0.25">
      <c r="A242" s="124"/>
      <c r="B242" s="142"/>
      <c r="C242" s="115"/>
      <c r="D242" s="115"/>
      <c r="E242" s="115"/>
      <c r="F242" s="115"/>
      <c r="G242" s="60" t="s">
        <v>130</v>
      </c>
      <c r="H242" s="124"/>
      <c r="I242" s="124"/>
      <c r="J242" s="60"/>
      <c r="K242" s="60"/>
      <c r="L242" s="60"/>
      <c r="M242" s="60"/>
      <c r="N242" s="60">
        <f t="shared" si="76"/>
        <v>0</v>
      </c>
      <c r="O242" s="60">
        <f t="shared" si="77"/>
        <v>0</v>
      </c>
    </row>
    <row r="243" spans="1:15" s="38" customFormat="1" ht="12" hidden="1" customHeight="1" outlineLevel="1" thickBot="1" x14ac:dyDescent="0.3">
      <c r="A243" s="125"/>
      <c r="B243" s="143"/>
      <c r="C243" s="131"/>
      <c r="D243" s="131"/>
      <c r="E243" s="131"/>
      <c r="F243" s="131"/>
      <c r="G243" s="60" t="s">
        <v>131</v>
      </c>
      <c r="H243" s="134"/>
      <c r="I243" s="134"/>
      <c r="J243" s="60"/>
      <c r="K243" s="60"/>
      <c r="L243" s="60"/>
      <c r="M243" s="60"/>
      <c r="N243" s="60">
        <f t="shared" si="76"/>
        <v>0</v>
      </c>
      <c r="O243" s="60">
        <f t="shared" si="77"/>
        <v>0</v>
      </c>
    </row>
    <row r="244" spans="1:15" s="38" customFormat="1" ht="14.45" hidden="1" customHeight="1" outlineLevel="1" x14ac:dyDescent="0.25">
      <c r="A244" s="140" t="s">
        <v>430</v>
      </c>
      <c r="B244" s="141" t="s">
        <v>431</v>
      </c>
      <c r="C244" s="130">
        <f>SUM(N244:N250)</f>
        <v>0</v>
      </c>
      <c r="D244" s="130">
        <f>SUM(O244:O250)</f>
        <v>0</v>
      </c>
      <c r="E244" s="130">
        <f t="shared" si="71"/>
        <v>0</v>
      </c>
      <c r="F244" s="130"/>
      <c r="G244" s="60" t="s">
        <v>125</v>
      </c>
      <c r="H244" s="123"/>
      <c r="I244" s="123"/>
      <c r="J244" s="60"/>
      <c r="K244" s="60"/>
      <c r="L244" s="60"/>
      <c r="M244" s="60"/>
      <c r="N244" s="60">
        <f>M244*J244*K244*L244</f>
        <v>0</v>
      </c>
      <c r="O244" s="60">
        <f>J244*K244*L244</f>
        <v>0</v>
      </c>
    </row>
    <row r="245" spans="1:15" s="38" customFormat="1" ht="11.45" hidden="1" customHeight="1" outlineLevel="1" x14ac:dyDescent="0.25">
      <c r="A245" s="124"/>
      <c r="B245" s="142"/>
      <c r="C245" s="115"/>
      <c r="D245" s="115"/>
      <c r="E245" s="115"/>
      <c r="F245" s="115"/>
      <c r="G245" s="60" t="s">
        <v>126</v>
      </c>
      <c r="H245" s="124"/>
      <c r="I245" s="124"/>
      <c r="J245" s="60"/>
      <c r="K245" s="60"/>
      <c r="L245" s="60"/>
      <c r="M245" s="60"/>
      <c r="N245" s="60">
        <f t="shared" ref="N245:N250" si="78">M245*J245*K245*L245</f>
        <v>0</v>
      </c>
      <c r="O245" s="60">
        <f t="shared" ref="O245:O250" si="79">J245*K245*L245</f>
        <v>0</v>
      </c>
    </row>
    <row r="246" spans="1:15" s="38" customFormat="1" ht="10.7" hidden="1" customHeight="1" outlineLevel="1" x14ac:dyDescent="0.25">
      <c r="A246" s="124"/>
      <c r="B246" s="142"/>
      <c r="C246" s="115"/>
      <c r="D246" s="115"/>
      <c r="E246" s="115"/>
      <c r="F246" s="115"/>
      <c r="G246" s="60" t="s">
        <v>127</v>
      </c>
      <c r="H246" s="124"/>
      <c r="I246" s="124"/>
      <c r="J246" s="60"/>
      <c r="K246" s="60"/>
      <c r="L246" s="60"/>
      <c r="M246" s="60"/>
      <c r="N246" s="60">
        <f t="shared" si="78"/>
        <v>0</v>
      </c>
      <c r="O246" s="60">
        <f t="shared" si="79"/>
        <v>0</v>
      </c>
    </row>
    <row r="247" spans="1:15" s="38" customFormat="1" ht="10.7" hidden="1" customHeight="1" outlineLevel="1" x14ac:dyDescent="0.25">
      <c r="A247" s="124"/>
      <c r="B247" s="142"/>
      <c r="C247" s="115"/>
      <c r="D247" s="115"/>
      <c r="E247" s="115"/>
      <c r="F247" s="115"/>
      <c r="G247" s="60" t="s">
        <v>128</v>
      </c>
      <c r="H247" s="124"/>
      <c r="I247" s="124"/>
      <c r="J247" s="60"/>
      <c r="K247" s="60"/>
      <c r="L247" s="60"/>
      <c r="M247" s="60"/>
      <c r="N247" s="60">
        <f t="shared" si="78"/>
        <v>0</v>
      </c>
      <c r="O247" s="60">
        <f t="shared" si="79"/>
        <v>0</v>
      </c>
    </row>
    <row r="248" spans="1:15" s="38" customFormat="1" ht="10.7" hidden="1" customHeight="1" outlineLevel="1" x14ac:dyDescent="0.25">
      <c r="A248" s="124"/>
      <c r="B248" s="142"/>
      <c r="C248" s="115"/>
      <c r="D248" s="115"/>
      <c r="E248" s="115"/>
      <c r="F248" s="115"/>
      <c r="G248" s="60" t="s">
        <v>129</v>
      </c>
      <c r="H248" s="124"/>
      <c r="I248" s="124"/>
      <c r="J248" s="60"/>
      <c r="K248" s="60"/>
      <c r="L248" s="60"/>
      <c r="M248" s="60"/>
      <c r="N248" s="60">
        <f t="shared" si="78"/>
        <v>0</v>
      </c>
      <c r="O248" s="60">
        <f t="shared" si="79"/>
        <v>0</v>
      </c>
    </row>
    <row r="249" spans="1:15" s="38" customFormat="1" ht="10.7" hidden="1" customHeight="1" outlineLevel="1" x14ac:dyDescent="0.25">
      <c r="A249" s="124"/>
      <c r="B249" s="142"/>
      <c r="C249" s="115"/>
      <c r="D249" s="115"/>
      <c r="E249" s="115"/>
      <c r="F249" s="115"/>
      <c r="G249" s="60" t="s">
        <v>130</v>
      </c>
      <c r="H249" s="124"/>
      <c r="I249" s="124"/>
      <c r="J249" s="60"/>
      <c r="K249" s="60"/>
      <c r="L249" s="60"/>
      <c r="M249" s="60"/>
      <c r="N249" s="60">
        <f t="shared" si="78"/>
        <v>0</v>
      </c>
      <c r="O249" s="60">
        <f t="shared" si="79"/>
        <v>0</v>
      </c>
    </row>
    <row r="250" spans="1:15" s="38" customFormat="1" ht="12" hidden="1" customHeight="1" outlineLevel="1" thickBot="1" x14ac:dyDescent="0.3">
      <c r="A250" s="125"/>
      <c r="B250" s="143"/>
      <c r="C250" s="131"/>
      <c r="D250" s="131"/>
      <c r="E250" s="131"/>
      <c r="F250" s="131"/>
      <c r="G250" s="60" t="s">
        <v>131</v>
      </c>
      <c r="H250" s="134"/>
      <c r="I250" s="134"/>
      <c r="J250" s="60"/>
      <c r="K250" s="60"/>
      <c r="L250" s="60"/>
      <c r="M250" s="60"/>
      <c r="N250" s="60">
        <f t="shared" si="78"/>
        <v>0</v>
      </c>
      <c r="O250" s="60">
        <f t="shared" si="79"/>
        <v>0</v>
      </c>
    </row>
    <row r="251" spans="1:15" s="38" customFormat="1" ht="14.45" hidden="1" customHeight="1" outlineLevel="1" x14ac:dyDescent="0.25">
      <c r="A251" s="140" t="s">
        <v>432</v>
      </c>
      <c r="B251" s="141" t="s">
        <v>433</v>
      </c>
      <c r="C251" s="130">
        <f>SUM(N251:N257)</f>
        <v>0</v>
      </c>
      <c r="D251" s="130">
        <f>SUM(O251:O257)</f>
        <v>0</v>
      </c>
      <c r="E251" s="130">
        <f t="shared" si="71"/>
        <v>0</v>
      </c>
      <c r="F251" s="130"/>
      <c r="G251" s="60" t="s">
        <v>125</v>
      </c>
      <c r="H251" s="123"/>
      <c r="I251" s="123"/>
      <c r="J251" s="60"/>
      <c r="K251" s="60"/>
      <c r="L251" s="60"/>
      <c r="M251" s="60"/>
      <c r="N251" s="60">
        <f>M251*J251*K251*L251</f>
        <v>0</v>
      </c>
      <c r="O251" s="60">
        <f>J251*K251*L251</f>
        <v>0</v>
      </c>
    </row>
    <row r="252" spans="1:15" s="38" customFormat="1" ht="11.45" hidden="1" customHeight="1" outlineLevel="1" x14ac:dyDescent="0.25">
      <c r="A252" s="124"/>
      <c r="B252" s="142"/>
      <c r="C252" s="115"/>
      <c r="D252" s="115"/>
      <c r="E252" s="115"/>
      <c r="F252" s="115"/>
      <c r="G252" s="60" t="s">
        <v>126</v>
      </c>
      <c r="H252" s="124"/>
      <c r="I252" s="124"/>
      <c r="J252" s="60"/>
      <c r="K252" s="60"/>
      <c r="L252" s="60"/>
      <c r="M252" s="60"/>
      <c r="N252" s="60">
        <f t="shared" ref="N252:N257" si="80">M252*J252*K252*L252</f>
        <v>0</v>
      </c>
      <c r="O252" s="60">
        <f t="shared" ref="O252:O257" si="81">J252*K252*L252</f>
        <v>0</v>
      </c>
    </row>
    <row r="253" spans="1:15" s="38" customFormat="1" ht="10.7" hidden="1" customHeight="1" outlineLevel="1" x14ac:dyDescent="0.25">
      <c r="A253" s="124"/>
      <c r="B253" s="142"/>
      <c r="C253" s="115"/>
      <c r="D253" s="115"/>
      <c r="E253" s="115"/>
      <c r="F253" s="115"/>
      <c r="G253" s="60" t="s">
        <v>127</v>
      </c>
      <c r="H253" s="124"/>
      <c r="I253" s="124"/>
      <c r="J253" s="60"/>
      <c r="K253" s="60"/>
      <c r="L253" s="60"/>
      <c r="M253" s="60"/>
      <c r="N253" s="60">
        <f t="shared" si="80"/>
        <v>0</v>
      </c>
      <c r="O253" s="60">
        <f t="shared" si="81"/>
        <v>0</v>
      </c>
    </row>
    <row r="254" spans="1:15" s="38" customFormat="1" ht="10.7" hidden="1" customHeight="1" outlineLevel="1" x14ac:dyDescent="0.25">
      <c r="A254" s="124"/>
      <c r="B254" s="142"/>
      <c r="C254" s="115"/>
      <c r="D254" s="115"/>
      <c r="E254" s="115"/>
      <c r="F254" s="115"/>
      <c r="G254" s="60" t="s">
        <v>128</v>
      </c>
      <c r="H254" s="124"/>
      <c r="I254" s="124"/>
      <c r="J254" s="60"/>
      <c r="K254" s="60"/>
      <c r="L254" s="60"/>
      <c r="M254" s="60"/>
      <c r="N254" s="60">
        <f t="shared" si="80"/>
        <v>0</v>
      </c>
      <c r="O254" s="60">
        <f t="shared" si="81"/>
        <v>0</v>
      </c>
    </row>
    <row r="255" spans="1:15" s="38" customFormat="1" ht="10.7" hidden="1" customHeight="1" outlineLevel="1" x14ac:dyDescent="0.25">
      <c r="A255" s="124"/>
      <c r="B255" s="142"/>
      <c r="C255" s="115"/>
      <c r="D255" s="115"/>
      <c r="E255" s="115"/>
      <c r="F255" s="115"/>
      <c r="G255" s="60" t="s">
        <v>129</v>
      </c>
      <c r="H255" s="124"/>
      <c r="I255" s="124"/>
      <c r="J255" s="60"/>
      <c r="K255" s="60"/>
      <c r="L255" s="60"/>
      <c r="M255" s="60"/>
      <c r="N255" s="60">
        <f t="shared" si="80"/>
        <v>0</v>
      </c>
      <c r="O255" s="60">
        <f t="shared" si="81"/>
        <v>0</v>
      </c>
    </row>
    <row r="256" spans="1:15" s="38" customFormat="1" ht="10.7" hidden="1" customHeight="1" outlineLevel="1" x14ac:dyDescent="0.25">
      <c r="A256" s="124"/>
      <c r="B256" s="142"/>
      <c r="C256" s="115"/>
      <c r="D256" s="115"/>
      <c r="E256" s="115"/>
      <c r="F256" s="115"/>
      <c r="G256" s="60" t="s">
        <v>130</v>
      </c>
      <c r="H256" s="124"/>
      <c r="I256" s="124"/>
      <c r="J256" s="60"/>
      <c r="K256" s="60"/>
      <c r="L256" s="60"/>
      <c r="M256" s="60"/>
      <c r="N256" s="60">
        <f t="shared" si="80"/>
        <v>0</v>
      </c>
      <c r="O256" s="60">
        <f t="shared" si="81"/>
        <v>0</v>
      </c>
    </row>
    <row r="257" spans="1:15" s="38" customFormat="1" ht="12" hidden="1" customHeight="1" outlineLevel="1" thickBot="1" x14ac:dyDescent="0.3">
      <c r="A257" s="125"/>
      <c r="B257" s="143"/>
      <c r="C257" s="131"/>
      <c r="D257" s="131"/>
      <c r="E257" s="131"/>
      <c r="F257" s="131"/>
      <c r="G257" s="60" t="s">
        <v>131</v>
      </c>
      <c r="H257" s="134"/>
      <c r="I257" s="134"/>
      <c r="J257" s="60"/>
      <c r="K257" s="60"/>
      <c r="L257" s="60"/>
      <c r="M257" s="60"/>
      <c r="N257" s="60">
        <f t="shared" si="80"/>
        <v>0</v>
      </c>
      <c r="O257" s="60">
        <f t="shared" si="81"/>
        <v>0</v>
      </c>
    </row>
    <row r="258" spans="1:15" s="39" customFormat="1" ht="16.5" collapsed="1" thickBot="1" x14ac:dyDescent="0.3">
      <c r="A258" s="40" t="s">
        <v>26</v>
      </c>
      <c r="B258" s="41" t="s">
        <v>262</v>
      </c>
      <c r="C258" s="42">
        <f>SUM(C259:C617)</f>
        <v>0</v>
      </c>
      <c r="D258" s="42">
        <f>SUM(D259:D617)</f>
        <v>0</v>
      </c>
      <c r="E258" s="42">
        <f>SUM(E259:E617)</f>
        <v>0</v>
      </c>
      <c r="F258" s="42"/>
      <c r="G258" s="42"/>
      <c r="H258" s="42"/>
      <c r="I258" s="42"/>
      <c r="J258" s="42"/>
      <c r="K258" s="42"/>
      <c r="L258" s="42"/>
      <c r="M258" s="42"/>
      <c r="N258" s="42"/>
      <c r="O258" s="42">
        <f>SUM(O259:O617)</f>
        <v>0</v>
      </c>
    </row>
    <row r="259" spans="1:15" s="38" customFormat="1" ht="14.45" hidden="1" customHeight="1" outlineLevel="1" x14ac:dyDescent="0.25">
      <c r="A259" s="140" t="s">
        <v>165</v>
      </c>
      <c r="B259" s="141" t="s">
        <v>382</v>
      </c>
      <c r="C259" s="130">
        <f>SUM(N259:N265)</f>
        <v>0</v>
      </c>
      <c r="D259" s="130">
        <f>SUM(O259:O265)</f>
        <v>0</v>
      </c>
      <c r="E259" s="130">
        <f t="shared" ref="E259:E322" si="82">D259/8</f>
        <v>0</v>
      </c>
      <c r="F259" s="130"/>
      <c r="G259" s="60" t="s">
        <v>125</v>
      </c>
      <c r="H259" s="123"/>
      <c r="I259" s="123"/>
      <c r="J259" s="60"/>
      <c r="K259" s="60"/>
      <c r="L259" s="60"/>
      <c r="M259" s="60"/>
      <c r="N259" s="60">
        <f>M259*J259*K259*L259</f>
        <v>0</v>
      </c>
      <c r="O259" s="60">
        <f>J259*K259*L259</f>
        <v>0</v>
      </c>
    </row>
    <row r="260" spans="1:15" s="38" customFormat="1" ht="11.45" hidden="1" customHeight="1" outlineLevel="1" x14ac:dyDescent="0.25">
      <c r="A260" s="124"/>
      <c r="B260" s="142"/>
      <c r="C260" s="115"/>
      <c r="D260" s="115"/>
      <c r="E260" s="115"/>
      <c r="F260" s="115"/>
      <c r="G260" s="60" t="s">
        <v>126</v>
      </c>
      <c r="H260" s="124"/>
      <c r="I260" s="124"/>
      <c r="J260" s="60"/>
      <c r="K260" s="60"/>
      <c r="L260" s="60"/>
      <c r="M260" s="60"/>
      <c r="N260" s="60">
        <f t="shared" ref="N260:N265" si="83">M260*J260*K260*L260</f>
        <v>0</v>
      </c>
      <c r="O260" s="60">
        <f t="shared" ref="O260:O265" si="84">J260*K260*L260</f>
        <v>0</v>
      </c>
    </row>
    <row r="261" spans="1:15" s="38" customFormat="1" ht="10.7" hidden="1" customHeight="1" outlineLevel="1" x14ac:dyDescent="0.25">
      <c r="A261" s="124"/>
      <c r="B261" s="142"/>
      <c r="C261" s="115"/>
      <c r="D261" s="115"/>
      <c r="E261" s="115"/>
      <c r="F261" s="115"/>
      <c r="G261" s="60" t="s">
        <v>127</v>
      </c>
      <c r="H261" s="124"/>
      <c r="I261" s="124"/>
      <c r="J261" s="60"/>
      <c r="K261" s="60"/>
      <c r="L261" s="60"/>
      <c r="M261" s="60"/>
      <c r="N261" s="60">
        <f t="shared" si="83"/>
        <v>0</v>
      </c>
      <c r="O261" s="60">
        <f t="shared" si="84"/>
        <v>0</v>
      </c>
    </row>
    <row r="262" spans="1:15" s="38" customFormat="1" ht="10.7" hidden="1" customHeight="1" outlineLevel="1" x14ac:dyDescent="0.25">
      <c r="A262" s="124"/>
      <c r="B262" s="142"/>
      <c r="C262" s="115"/>
      <c r="D262" s="115"/>
      <c r="E262" s="115"/>
      <c r="F262" s="115"/>
      <c r="G262" s="60" t="s">
        <v>128</v>
      </c>
      <c r="H262" s="124"/>
      <c r="I262" s="124"/>
      <c r="J262" s="60"/>
      <c r="K262" s="60"/>
      <c r="L262" s="60"/>
      <c r="M262" s="60"/>
      <c r="N262" s="60">
        <f t="shared" si="83"/>
        <v>0</v>
      </c>
      <c r="O262" s="60">
        <f t="shared" si="84"/>
        <v>0</v>
      </c>
    </row>
    <row r="263" spans="1:15" s="38" customFormat="1" ht="10.7" hidden="1" customHeight="1" outlineLevel="1" x14ac:dyDescent="0.25">
      <c r="A263" s="124"/>
      <c r="B263" s="142"/>
      <c r="C263" s="115"/>
      <c r="D263" s="115"/>
      <c r="E263" s="115"/>
      <c r="F263" s="115"/>
      <c r="G263" s="60" t="s">
        <v>129</v>
      </c>
      <c r="H263" s="124"/>
      <c r="I263" s="124"/>
      <c r="J263" s="60"/>
      <c r="K263" s="60"/>
      <c r="L263" s="60"/>
      <c r="M263" s="60"/>
      <c r="N263" s="60">
        <f t="shared" si="83"/>
        <v>0</v>
      </c>
      <c r="O263" s="60">
        <f t="shared" si="84"/>
        <v>0</v>
      </c>
    </row>
    <row r="264" spans="1:15" s="38" customFormat="1" ht="10.7" hidden="1" customHeight="1" outlineLevel="1" x14ac:dyDescent="0.25">
      <c r="A264" s="124"/>
      <c r="B264" s="142"/>
      <c r="C264" s="115"/>
      <c r="D264" s="115"/>
      <c r="E264" s="115"/>
      <c r="F264" s="115"/>
      <c r="G264" s="60" t="s">
        <v>130</v>
      </c>
      <c r="H264" s="124"/>
      <c r="I264" s="124"/>
      <c r="J264" s="60"/>
      <c r="K264" s="60"/>
      <c r="L264" s="60"/>
      <c r="M264" s="60"/>
      <c r="N264" s="60">
        <f t="shared" si="83"/>
        <v>0</v>
      </c>
      <c r="O264" s="60">
        <f t="shared" si="84"/>
        <v>0</v>
      </c>
    </row>
    <row r="265" spans="1:15" s="38" customFormat="1" ht="12" hidden="1" customHeight="1" outlineLevel="1" thickBot="1" x14ac:dyDescent="0.3">
      <c r="A265" s="125"/>
      <c r="B265" s="143"/>
      <c r="C265" s="131"/>
      <c r="D265" s="131"/>
      <c r="E265" s="131"/>
      <c r="F265" s="131"/>
      <c r="G265" s="60" t="s">
        <v>131</v>
      </c>
      <c r="H265" s="134"/>
      <c r="I265" s="134"/>
      <c r="J265" s="60"/>
      <c r="K265" s="60"/>
      <c r="L265" s="60"/>
      <c r="M265" s="60"/>
      <c r="N265" s="60">
        <f t="shared" si="83"/>
        <v>0</v>
      </c>
      <c r="O265" s="60">
        <f t="shared" si="84"/>
        <v>0</v>
      </c>
    </row>
    <row r="266" spans="1:15" s="38" customFormat="1" ht="14.45" hidden="1" customHeight="1" outlineLevel="1" x14ac:dyDescent="0.25">
      <c r="A266" s="140" t="s">
        <v>167</v>
      </c>
      <c r="B266" s="141" t="s">
        <v>434</v>
      </c>
      <c r="C266" s="130">
        <f>SUM(N266:N272)</f>
        <v>0</v>
      </c>
      <c r="D266" s="130">
        <f>SUM(O266:O272)</f>
        <v>0</v>
      </c>
      <c r="E266" s="130">
        <f t="shared" si="82"/>
        <v>0</v>
      </c>
      <c r="F266" s="130"/>
      <c r="G266" s="60" t="s">
        <v>125</v>
      </c>
      <c r="H266" s="123"/>
      <c r="I266" s="123"/>
      <c r="J266" s="60"/>
      <c r="K266" s="60"/>
      <c r="L266" s="60"/>
      <c r="M266" s="60"/>
      <c r="N266" s="60">
        <f>M266*J266*K266*L266</f>
        <v>0</v>
      </c>
      <c r="O266" s="60">
        <f>J266*K266*L266</f>
        <v>0</v>
      </c>
    </row>
    <row r="267" spans="1:15" s="38" customFormat="1" ht="11.45" hidden="1" customHeight="1" outlineLevel="1" x14ac:dyDescent="0.25">
      <c r="A267" s="124"/>
      <c r="B267" s="142"/>
      <c r="C267" s="115"/>
      <c r="D267" s="115"/>
      <c r="E267" s="115"/>
      <c r="F267" s="115"/>
      <c r="G267" s="60" t="s">
        <v>126</v>
      </c>
      <c r="H267" s="124"/>
      <c r="I267" s="124"/>
      <c r="J267" s="60"/>
      <c r="K267" s="60"/>
      <c r="L267" s="60"/>
      <c r="M267" s="60"/>
      <c r="N267" s="60">
        <f t="shared" ref="N267:N272" si="85">M267*J267*K267*L267</f>
        <v>0</v>
      </c>
      <c r="O267" s="60">
        <f t="shared" ref="O267:O272" si="86">J267*K267*L267</f>
        <v>0</v>
      </c>
    </row>
    <row r="268" spans="1:15" s="38" customFormat="1" ht="10.7" hidden="1" customHeight="1" outlineLevel="1" x14ac:dyDescent="0.25">
      <c r="A268" s="124"/>
      <c r="B268" s="142"/>
      <c r="C268" s="115"/>
      <c r="D268" s="115"/>
      <c r="E268" s="115"/>
      <c r="F268" s="115"/>
      <c r="G268" s="60" t="s">
        <v>127</v>
      </c>
      <c r="H268" s="124"/>
      <c r="I268" s="124"/>
      <c r="J268" s="60"/>
      <c r="K268" s="60"/>
      <c r="L268" s="60"/>
      <c r="M268" s="60"/>
      <c r="N268" s="60">
        <f t="shared" si="85"/>
        <v>0</v>
      </c>
      <c r="O268" s="60">
        <f t="shared" si="86"/>
        <v>0</v>
      </c>
    </row>
    <row r="269" spans="1:15" s="38" customFormat="1" ht="10.7" hidden="1" customHeight="1" outlineLevel="1" x14ac:dyDescent="0.25">
      <c r="A269" s="124"/>
      <c r="B269" s="142"/>
      <c r="C269" s="115"/>
      <c r="D269" s="115"/>
      <c r="E269" s="115"/>
      <c r="F269" s="115"/>
      <c r="G269" s="60" t="s">
        <v>128</v>
      </c>
      <c r="H269" s="124"/>
      <c r="I269" s="124"/>
      <c r="J269" s="60"/>
      <c r="K269" s="60"/>
      <c r="L269" s="60"/>
      <c r="M269" s="60"/>
      <c r="N269" s="60">
        <f t="shared" si="85"/>
        <v>0</v>
      </c>
      <c r="O269" s="60">
        <f t="shared" si="86"/>
        <v>0</v>
      </c>
    </row>
    <row r="270" spans="1:15" s="38" customFormat="1" ht="10.7" hidden="1" customHeight="1" outlineLevel="1" x14ac:dyDescent="0.25">
      <c r="A270" s="124"/>
      <c r="B270" s="142"/>
      <c r="C270" s="115"/>
      <c r="D270" s="115"/>
      <c r="E270" s="115"/>
      <c r="F270" s="115"/>
      <c r="G270" s="60" t="s">
        <v>129</v>
      </c>
      <c r="H270" s="124"/>
      <c r="I270" s="124"/>
      <c r="J270" s="60"/>
      <c r="K270" s="60"/>
      <c r="L270" s="60"/>
      <c r="M270" s="60"/>
      <c r="N270" s="60">
        <f t="shared" si="85"/>
        <v>0</v>
      </c>
      <c r="O270" s="60">
        <f t="shared" si="86"/>
        <v>0</v>
      </c>
    </row>
    <row r="271" spans="1:15" s="38" customFormat="1" ht="10.7" hidden="1" customHeight="1" outlineLevel="1" x14ac:dyDescent="0.25">
      <c r="A271" s="124"/>
      <c r="B271" s="142"/>
      <c r="C271" s="115"/>
      <c r="D271" s="115"/>
      <c r="E271" s="115"/>
      <c r="F271" s="115"/>
      <c r="G271" s="60" t="s">
        <v>130</v>
      </c>
      <c r="H271" s="124"/>
      <c r="I271" s="124"/>
      <c r="J271" s="60"/>
      <c r="K271" s="60"/>
      <c r="L271" s="60"/>
      <c r="M271" s="60"/>
      <c r="N271" s="60">
        <f t="shared" si="85"/>
        <v>0</v>
      </c>
      <c r="O271" s="60">
        <f t="shared" si="86"/>
        <v>0</v>
      </c>
    </row>
    <row r="272" spans="1:15" s="38" customFormat="1" ht="12" hidden="1" customHeight="1" outlineLevel="1" thickBot="1" x14ac:dyDescent="0.3">
      <c r="A272" s="125"/>
      <c r="B272" s="143"/>
      <c r="C272" s="131"/>
      <c r="D272" s="131"/>
      <c r="E272" s="131"/>
      <c r="F272" s="131"/>
      <c r="G272" s="60" t="s">
        <v>131</v>
      </c>
      <c r="H272" s="134"/>
      <c r="I272" s="134"/>
      <c r="J272" s="60"/>
      <c r="K272" s="60"/>
      <c r="L272" s="60"/>
      <c r="M272" s="60"/>
      <c r="N272" s="60">
        <f t="shared" si="85"/>
        <v>0</v>
      </c>
      <c r="O272" s="60">
        <f t="shared" si="86"/>
        <v>0</v>
      </c>
    </row>
    <row r="273" spans="1:15" s="38" customFormat="1" ht="14.45" hidden="1" customHeight="1" outlineLevel="1" x14ac:dyDescent="0.25">
      <c r="A273" s="140" t="s">
        <v>169</v>
      </c>
      <c r="B273" s="141" t="s">
        <v>435</v>
      </c>
      <c r="C273" s="130">
        <f>SUM(N273:N279)</f>
        <v>0</v>
      </c>
      <c r="D273" s="130">
        <f>SUM(O273:O279)</f>
        <v>0</v>
      </c>
      <c r="E273" s="130">
        <f t="shared" si="82"/>
        <v>0</v>
      </c>
      <c r="F273" s="130"/>
      <c r="G273" s="60" t="s">
        <v>125</v>
      </c>
      <c r="H273" s="123"/>
      <c r="I273" s="123"/>
      <c r="J273" s="60"/>
      <c r="K273" s="60"/>
      <c r="L273" s="60"/>
      <c r="M273" s="60"/>
      <c r="N273" s="60">
        <f>M273*J273*K273*L273</f>
        <v>0</v>
      </c>
      <c r="O273" s="60">
        <f>J273*K273*L273</f>
        <v>0</v>
      </c>
    </row>
    <row r="274" spans="1:15" s="38" customFormat="1" ht="11.45" hidden="1" customHeight="1" outlineLevel="1" x14ac:dyDescent="0.25">
      <c r="A274" s="124"/>
      <c r="B274" s="142"/>
      <c r="C274" s="115"/>
      <c r="D274" s="115"/>
      <c r="E274" s="115"/>
      <c r="F274" s="115"/>
      <c r="G274" s="60" t="s">
        <v>126</v>
      </c>
      <c r="H274" s="124"/>
      <c r="I274" s="124"/>
      <c r="J274" s="60"/>
      <c r="K274" s="60"/>
      <c r="L274" s="60"/>
      <c r="M274" s="60"/>
      <c r="N274" s="60">
        <f t="shared" ref="N274:N279" si="87">M274*J274*K274*L274</f>
        <v>0</v>
      </c>
      <c r="O274" s="60">
        <f t="shared" ref="O274:O279" si="88">J274*K274*L274</f>
        <v>0</v>
      </c>
    </row>
    <row r="275" spans="1:15" s="38" customFormat="1" ht="10.7" hidden="1" customHeight="1" outlineLevel="1" x14ac:dyDescent="0.25">
      <c r="A275" s="124"/>
      <c r="B275" s="142"/>
      <c r="C275" s="115"/>
      <c r="D275" s="115"/>
      <c r="E275" s="115"/>
      <c r="F275" s="115"/>
      <c r="G275" s="60" t="s">
        <v>127</v>
      </c>
      <c r="H275" s="124"/>
      <c r="I275" s="124"/>
      <c r="J275" s="60"/>
      <c r="K275" s="60"/>
      <c r="L275" s="60"/>
      <c r="M275" s="60"/>
      <c r="N275" s="60">
        <f t="shared" si="87"/>
        <v>0</v>
      </c>
      <c r="O275" s="60">
        <f t="shared" si="88"/>
        <v>0</v>
      </c>
    </row>
    <row r="276" spans="1:15" s="38" customFormat="1" ht="10.7" hidden="1" customHeight="1" outlineLevel="1" x14ac:dyDescent="0.25">
      <c r="A276" s="124"/>
      <c r="B276" s="142"/>
      <c r="C276" s="115"/>
      <c r="D276" s="115"/>
      <c r="E276" s="115"/>
      <c r="F276" s="115"/>
      <c r="G276" s="60" t="s">
        <v>128</v>
      </c>
      <c r="H276" s="124"/>
      <c r="I276" s="124"/>
      <c r="J276" s="60"/>
      <c r="K276" s="60"/>
      <c r="L276" s="60"/>
      <c r="M276" s="60"/>
      <c r="N276" s="60">
        <f t="shared" si="87"/>
        <v>0</v>
      </c>
      <c r="O276" s="60">
        <f t="shared" si="88"/>
        <v>0</v>
      </c>
    </row>
    <row r="277" spans="1:15" s="38" customFormat="1" ht="10.7" hidden="1" customHeight="1" outlineLevel="1" x14ac:dyDescent="0.25">
      <c r="A277" s="124"/>
      <c r="B277" s="142"/>
      <c r="C277" s="115"/>
      <c r="D277" s="115"/>
      <c r="E277" s="115"/>
      <c r="F277" s="115"/>
      <c r="G277" s="60" t="s">
        <v>129</v>
      </c>
      <c r="H277" s="124"/>
      <c r="I277" s="124"/>
      <c r="J277" s="60"/>
      <c r="K277" s="60"/>
      <c r="L277" s="60"/>
      <c r="M277" s="60"/>
      <c r="N277" s="60">
        <f t="shared" si="87"/>
        <v>0</v>
      </c>
      <c r="O277" s="60">
        <f t="shared" si="88"/>
        <v>0</v>
      </c>
    </row>
    <row r="278" spans="1:15" s="38" customFormat="1" ht="10.7" hidden="1" customHeight="1" outlineLevel="1" x14ac:dyDescent="0.25">
      <c r="A278" s="124"/>
      <c r="B278" s="142"/>
      <c r="C278" s="115"/>
      <c r="D278" s="115"/>
      <c r="E278" s="115"/>
      <c r="F278" s="115"/>
      <c r="G278" s="60" t="s">
        <v>130</v>
      </c>
      <c r="H278" s="124"/>
      <c r="I278" s="124"/>
      <c r="J278" s="60"/>
      <c r="K278" s="60"/>
      <c r="L278" s="60"/>
      <c r="M278" s="60"/>
      <c r="N278" s="60">
        <f t="shared" si="87"/>
        <v>0</v>
      </c>
      <c r="O278" s="60">
        <f t="shared" si="88"/>
        <v>0</v>
      </c>
    </row>
    <row r="279" spans="1:15" s="38" customFormat="1" ht="12" hidden="1" customHeight="1" outlineLevel="1" thickBot="1" x14ac:dyDescent="0.3">
      <c r="A279" s="125"/>
      <c r="B279" s="143"/>
      <c r="C279" s="131"/>
      <c r="D279" s="131"/>
      <c r="E279" s="131"/>
      <c r="F279" s="131"/>
      <c r="G279" s="60" t="s">
        <v>131</v>
      </c>
      <c r="H279" s="134"/>
      <c r="I279" s="134"/>
      <c r="J279" s="60"/>
      <c r="K279" s="60"/>
      <c r="L279" s="60"/>
      <c r="M279" s="60"/>
      <c r="N279" s="60">
        <f t="shared" si="87"/>
        <v>0</v>
      </c>
      <c r="O279" s="60">
        <f t="shared" si="88"/>
        <v>0</v>
      </c>
    </row>
    <row r="280" spans="1:15" s="38" customFormat="1" ht="14.45" hidden="1" customHeight="1" outlineLevel="1" x14ac:dyDescent="0.25">
      <c r="A280" s="140" t="s">
        <v>436</v>
      </c>
      <c r="B280" s="141" t="s">
        <v>437</v>
      </c>
      <c r="C280" s="130">
        <f>SUM(N280:N286)</f>
        <v>0</v>
      </c>
      <c r="D280" s="130">
        <f>SUM(O280:O286)</f>
        <v>0</v>
      </c>
      <c r="E280" s="130">
        <f t="shared" si="82"/>
        <v>0</v>
      </c>
      <c r="F280" s="130"/>
      <c r="G280" s="60" t="s">
        <v>125</v>
      </c>
      <c r="H280" s="123"/>
      <c r="I280" s="123"/>
      <c r="J280" s="60"/>
      <c r="K280" s="60"/>
      <c r="L280" s="60"/>
      <c r="M280" s="60"/>
      <c r="N280" s="60">
        <f>M280*J280*K280*L280</f>
        <v>0</v>
      </c>
      <c r="O280" s="60">
        <f>J280*K280*L280</f>
        <v>0</v>
      </c>
    </row>
    <row r="281" spans="1:15" s="38" customFormat="1" ht="11.45" hidden="1" customHeight="1" outlineLevel="1" x14ac:dyDescent="0.25">
      <c r="A281" s="124"/>
      <c r="B281" s="142"/>
      <c r="C281" s="115"/>
      <c r="D281" s="115"/>
      <c r="E281" s="115"/>
      <c r="F281" s="115"/>
      <c r="G281" s="60" t="s">
        <v>126</v>
      </c>
      <c r="H281" s="124"/>
      <c r="I281" s="124"/>
      <c r="J281" s="60"/>
      <c r="K281" s="60"/>
      <c r="L281" s="60"/>
      <c r="M281" s="60"/>
      <c r="N281" s="60">
        <f t="shared" ref="N281:N286" si="89">M281*J281*K281*L281</f>
        <v>0</v>
      </c>
      <c r="O281" s="60">
        <f t="shared" ref="O281:O286" si="90">J281*K281*L281</f>
        <v>0</v>
      </c>
    </row>
    <row r="282" spans="1:15" s="38" customFormat="1" ht="10.7" hidden="1" customHeight="1" outlineLevel="1" x14ac:dyDescent="0.25">
      <c r="A282" s="124"/>
      <c r="B282" s="142"/>
      <c r="C282" s="115"/>
      <c r="D282" s="115"/>
      <c r="E282" s="115"/>
      <c r="F282" s="115"/>
      <c r="G282" s="60" t="s">
        <v>127</v>
      </c>
      <c r="H282" s="124"/>
      <c r="I282" s="124"/>
      <c r="J282" s="60"/>
      <c r="K282" s="60"/>
      <c r="L282" s="60"/>
      <c r="M282" s="60"/>
      <c r="N282" s="60">
        <f t="shared" si="89"/>
        <v>0</v>
      </c>
      <c r="O282" s="60">
        <f t="shared" si="90"/>
        <v>0</v>
      </c>
    </row>
    <row r="283" spans="1:15" s="38" customFormat="1" ht="10.7" hidden="1" customHeight="1" outlineLevel="1" x14ac:dyDescent="0.25">
      <c r="A283" s="124"/>
      <c r="B283" s="142"/>
      <c r="C283" s="115"/>
      <c r="D283" s="115"/>
      <c r="E283" s="115"/>
      <c r="F283" s="115"/>
      <c r="G283" s="60" t="s">
        <v>128</v>
      </c>
      <c r="H283" s="124"/>
      <c r="I283" s="124"/>
      <c r="J283" s="60"/>
      <c r="K283" s="60"/>
      <c r="L283" s="60"/>
      <c r="M283" s="60"/>
      <c r="N283" s="60">
        <f t="shared" si="89"/>
        <v>0</v>
      </c>
      <c r="O283" s="60">
        <f t="shared" si="90"/>
        <v>0</v>
      </c>
    </row>
    <row r="284" spans="1:15" s="38" customFormat="1" ht="10.7" hidden="1" customHeight="1" outlineLevel="1" x14ac:dyDescent="0.25">
      <c r="A284" s="124"/>
      <c r="B284" s="142"/>
      <c r="C284" s="115"/>
      <c r="D284" s="115"/>
      <c r="E284" s="115"/>
      <c r="F284" s="115"/>
      <c r="G284" s="60" t="s">
        <v>129</v>
      </c>
      <c r="H284" s="124"/>
      <c r="I284" s="124"/>
      <c r="J284" s="60"/>
      <c r="K284" s="60"/>
      <c r="L284" s="60"/>
      <c r="M284" s="60"/>
      <c r="N284" s="60">
        <f t="shared" si="89"/>
        <v>0</v>
      </c>
      <c r="O284" s="60">
        <f t="shared" si="90"/>
        <v>0</v>
      </c>
    </row>
    <row r="285" spans="1:15" s="38" customFormat="1" ht="10.7" hidden="1" customHeight="1" outlineLevel="1" x14ac:dyDescent="0.25">
      <c r="A285" s="124"/>
      <c r="B285" s="142"/>
      <c r="C285" s="115"/>
      <c r="D285" s="115"/>
      <c r="E285" s="115"/>
      <c r="F285" s="115"/>
      <c r="G285" s="60" t="s">
        <v>130</v>
      </c>
      <c r="H285" s="124"/>
      <c r="I285" s="124"/>
      <c r="J285" s="60"/>
      <c r="K285" s="60"/>
      <c r="L285" s="60"/>
      <c r="M285" s="60"/>
      <c r="N285" s="60">
        <f t="shared" si="89"/>
        <v>0</v>
      </c>
      <c r="O285" s="60">
        <f t="shared" si="90"/>
        <v>0</v>
      </c>
    </row>
    <row r="286" spans="1:15" s="38" customFormat="1" ht="12" hidden="1" customHeight="1" outlineLevel="1" thickBot="1" x14ac:dyDescent="0.3">
      <c r="A286" s="125"/>
      <c r="B286" s="143"/>
      <c r="C286" s="131"/>
      <c r="D286" s="131"/>
      <c r="E286" s="131"/>
      <c r="F286" s="131"/>
      <c r="G286" s="60" t="s">
        <v>131</v>
      </c>
      <c r="H286" s="134"/>
      <c r="I286" s="134"/>
      <c r="J286" s="60"/>
      <c r="K286" s="60"/>
      <c r="L286" s="60"/>
      <c r="M286" s="60"/>
      <c r="N286" s="60">
        <f t="shared" si="89"/>
        <v>0</v>
      </c>
      <c r="O286" s="60">
        <f t="shared" si="90"/>
        <v>0</v>
      </c>
    </row>
    <row r="287" spans="1:15" s="38" customFormat="1" ht="14.45" hidden="1" customHeight="1" outlineLevel="1" x14ac:dyDescent="0.25">
      <c r="A287" s="140" t="s">
        <v>438</v>
      </c>
      <c r="B287" s="141" t="s">
        <v>439</v>
      </c>
      <c r="C287" s="130">
        <f>SUM(N287:N293)</f>
        <v>0</v>
      </c>
      <c r="D287" s="130">
        <f>SUM(O287:O293)</f>
        <v>0</v>
      </c>
      <c r="E287" s="130">
        <f t="shared" si="82"/>
        <v>0</v>
      </c>
      <c r="F287" s="130"/>
      <c r="G287" s="60" t="s">
        <v>125</v>
      </c>
      <c r="H287" s="123"/>
      <c r="I287" s="123"/>
      <c r="J287" s="60"/>
      <c r="K287" s="60"/>
      <c r="L287" s="60"/>
      <c r="M287" s="60"/>
      <c r="N287" s="60">
        <f>M287*J287*K287*L287</f>
        <v>0</v>
      </c>
      <c r="O287" s="60">
        <f>J287*K287*L287</f>
        <v>0</v>
      </c>
    </row>
    <row r="288" spans="1:15" s="38" customFormat="1" ht="11.45" hidden="1" customHeight="1" outlineLevel="1" x14ac:dyDescent="0.25">
      <c r="A288" s="124"/>
      <c r="B288" s="142"/>
      <c r="C288" s="115"/>
      <c r="D288" s="115"/>
      <c r="E288" s="115"/>
      <c r="F288" s="115"/>
      <c r="G288" s="60" t="s">
        <v>126</v>
      </c>
      <c r="H288" s="124"/>
      <c r="I288" s="124"/>
      <c r="J288" s="60"/>
      <c r="K288" s="60"/>
      <c r="L288" s="60"/>
      <c r="M288" s="60"/>
      <c r="N288" s="60">
        <f t="shared" ref="N288:N293" si="91">M288*J288*K288*L288</f>
        <v>0</v>
      </c>
      <c r="O288" s="60">
        <f t="shared" ref="O288:O293" si="92">J288*K288*L288</f>
        <v>0</v>
      </c>
    </row>
    <row r="289" spans="1:15" s="38" customFormat="1" ht="10.7" hidden="1" customHeight="1" outlineLevel="1" x14ac:dyDescent="0.25">
      <c r="A289" s="124"/>
      <c r="B289" s="142"/>
      <c r="C289" s="115"/>
      <c r="D289" s="115"/>
      <c r="E289" s="115"/>
      <c r="F289" s="115"/>
      <c r="G289" s="60" t="s">
        <v>127</v>
      </c>
      <c r="H289" s="124"/>
      <c r="I289" s="124"/>
      <c r="J289" s="60"/>
      <c r="K289" s="60"/>
      <c r="L289" s="60"/>
      <c r="M289" s="60"/>
      <c r="N289" s="60">
        <f t="shared" si="91"/>
        <v>0</v>
      </c>
      <c r="O289" s="60">
        <f t="shared" si="92"/>
        <v>0</v>
      </c>
    </row>
    <row r="290" spans="1:15" s="38" customFormat="1" ht="10.7" hidden="1" customHeight="1" outlineLevel="1" x14ac:dyDescent="0.25">
      <c r="A290" s="124"/>
      <c r="B290" s="142"/>
      <c r="C290" s="115"/>
      <c r="D290" s="115"/>
      <c r="E290" s="115"/>
      <c r="F290" s="115"/>
      <c r="G290" s="60" t="s">
        <v>128</v>
      </c>
      <c r="H290" s="124"/>
      <c r="I290" s="124"/>
      <c r="J290" s="60"/>
      <c r="K290" s="60"/>
      <c r="L290" s="60"/>
      <c r="M290" s="60"/>
      <c r="N290" s="60">
        <f t="shared" si="91"/>
        <v>0</v>
      </c>
      <c r="O290" s="60">
        <f t="shared" si="92"/>
        <v>0</v>
      </c>
    </row>
    <row r="291" spans="1:15" s="38" customFormat="1" ht="10.7" hidden="1" customHeight="1" outlineLevel="1" x14ac:dyDescent="0.25">
      <c r="A291" s="124"/>
      <c r="B291" s="142"/>
      <c r="C291" s="115"/>
      <c r="D291" s="115"/>
      <c r="E291" s="115"/>
      <c r="F291" s="115"/>
      <c r="G291" s="60" t="s">
        <v>129</v>
      </c>
      <c r="H291" s="124"/>
      <c r="I291" s="124"/>
      <c r="J291" s="60"/>
      <c r="K291" s="60"/>
      <c r="L291" s="60"/>
      <c r="M291" s="60"/>
      <c r="N291" s="60">
        <f t="shared" si="91"/>
        <v>0</v>
      </c>
      <c r="O291" s="60">
        <f t="shared" si="92"/>
        <v>0</v>
      </c>
    </row>
    <row r="292" spans="1:15" s="38" customFormat="1" ht="10.7" hidden="1" customHeight="1" outlineLevel="1" x14ac:dyDescent="0.25">
      <c r="A292" s="124"/>
      <c r="B292" s="142"/>
      <c r="C292" s="115"/>
      <c r="D292" s="115"/>
      <c r="E292" s="115"/>
      <c r="F292" s="115"/>
      <c r="G292" s="60" t="s">
        <v>130</v>
      </c>
      <c r="H292" s="124"/>
      <c r="I292" s="124"/>
      <c r="J292" s="60"/>
      <c r="K292" s="60"/>
      <c r="L292" s="60"/>
      <c r="M292" s="60"/>
      <c r="N292" s="60">
        <f t="shared" si="91"/>
        <v>0</v>
      </c>
      <c r="O292" s="60">
        <f t="shared" si="92"/>
        <v>0</v>
      </c>
    </row>
    <row r="293" spans="1:15" s="38" customFormat="1" ht="12" hidden="1" customHeight="1" outlineLevel="1" thickBot="1" x14ac:dyDescent="0.3">
      <c r="A293" s="125"/>
      <c r="B293" s="143"/>
      <c r="C293" s="131"/>
      <c r="D293" s="131"/>
      <c r="E293" s="131"/>
      <c r="F293" s="131"/>
      <c r="G293" s="60" t="s">
        <v>131</v>
      </c>
      <c r="H293" s="134"/>
      <c r="I293" s="134"/>
      <c r="J293" s="60"/>
      <c r="K293" s="60"/>
      <c r="L293" s="60"/>
      <c r="M293" s="60"/>
      <c r="N293" s="60">
        <f t="shared" si="91"/>
        <v>0</v>
      </c>
      <c r="O293" s="60">
        <f t="shared" si="92"/>
        <v>0</v>
      </c>
    </row>
    <row r="294" spans="1:15" s="38" customFormat="1" ht="14.45" hidden="1" customHeight="1" outlineLevel="1" x14ac:dyDescent="0.25">
      <c r="A294" s="140" t="s">
        <v>440</v>
      </c>
      <c r="B294" s="141" t="s">
        <v>441</v>
      </c>
      <c r="C294" s="130">
        <f>SUM(N294:N300)</f>
        <v>0</v>
      </c>
      <c r="D294" s="130">
        <f>SUM(O294:O300)</f>
        <v>0</v>
      </c>
      <c r="E294" s="130">
        <f t="shared" si="82"/>
        <v>0</v>
      </c>
      <c r="F294" s="130"/>
      <c r="G294" s="60" t="s">
        <v>125</v>
      </c>
      <c r="H294" s="123"/>
      <c r="I294" s="123"/>
      <c r="J294" s="60"/>
      <c r="K294" s="60"/>
      <c r="L294" s="60"/>
      <c r="M294" s="60"/>
      <c r="N294" s="60">
        <f>M294*J294*K294*L294</f>
        <v>0</v>
      </c>
      <c r="O294" s="60">
        <f>J294*K294*L294</f>
        <v>0</v>
      </c>
    </row>
    <row r="295" spans="1:15" s="38" customFormat="1" ht="11.45" hidden="1" customHeight="1" outlineLevel="1" x14ac:dyDescent="0.25">
      <c r="A295" s="124"/>
      <c r="B295" s="142"/>
      <c r="C295" s="115"/>
      <c r="D295" s="115"/>
      <c r="E295" s="115"/>
      <c r="F295" s="115"/>
      <c r="G295" s="60" t="s">
        <v>126</v>
      </c>
      <c r="H295" s="124"/>
      <c r="I295" s="124"/>
      <c r="J295" s="60"/>
      <c r="K295" s="60"/>
      <c r="L295" s="60"/>
      <c r="M295" s="60"/>
      <c r="N295" s="60">
        <f t="shared" ref="N295:N300" si="93">M295*J295*K295*L295</f>
        <v>0</v>
      </c>
      <c r="O295" s="60">
        <f t="shared" ref="O295:O300" si="94">J295*K295*L295</f>
        <v>0</v>
      </c>
    </row>
    <row r="296" spans="1:15" s="38" customFormat="1" ht="10.7" hidden="1" customHeight="1" outlineLevel="1" x14ac:dyDescent="0.25">
      <c r="A296" s="124"/>
      <c r="B296" s="142"/>
      <c r="C296" s="115"/>
      <c r="D296" s="115"/>
      <c r="E296" s="115"/>
      <c r="F296" s="115"/>
      <c r="G296" s="60" t="s">
        <v>127</v>
      </c>
      <c r="H296" s="124"/>
      <c r="I296" s="124"/>
      <c r="J296" s="60"/>
      <c r="K296" s="60"/>
      <c r="L296" s="60"/>
      <c r="M296" s="60"/>
      <c r="N296" s="60">
        <f t="shared" si="93"/>
        <v>0</v>
      </c>
      <c r="O296" s="60">
        <f t="shared" si="94"/>
        <v>0</v>
      </c>
    </row>
    <row r="297" spans="1:15" s="38" customFormat="1" ht="10.7" hidden="1" customHeight="1" outlineLevel="1" x14ac:dyDescent="0.25">
      <c r="A297" s="124"/>
      <c r="B297" s="142"/>
      <c r="C297" s="115"/>
      <c r="D297" s="115"/>
      <c r="E297" s="115"/>
      <c r="F297" s="115"/>
      <c r="G297" s="60" t="s">
        <v>128</v>
      </c>
      <c r="H297" s="124"/>
      <c r="I297" s="124"/>
      <c r="J297" s="60"/>
      <c r="K297" s="60"/>
      <c r="L297" s="60"/>
      <c r="M297" s="60"/>
      <c r="N297" s="60">
        <f t="shared" si="93"/>
        <v>0</v>
      </c>
      <c r="O297" s="60">
        <f t="shared" si="94"/>
        <v>0</v>
      </c>
    </row>
    <row r="298" spans="1:15" s="38" customFormat="1" ht="10.7" hidden="1" customHeight="1" outlineLevel="1" x14ac:dyDescent="0.25">
      <c r="A298" s="124"/>
      <c r="B298" s="142"/>
      <c r="C298" s="115"/>
      <c r="D298" s="115"/>
      <c r="E298" s="115"/>
      <c r="F298" s="115"/>
      <c r="G298" s="60" t="s">
        <v>129</v>
      </c>
      <c r="H298" s="124"/>
      <c r="I298" s="124"/>
      <c r="J298" s="60"/>
      <c r="K298" s="60"/>
      <c r="L298" s="60"/>
      <c r="M298" s="60"/>
      <c r="N298" s="60">
        <f t="shared" si="93"/>
        <v>0</v>
      </c>
      <c r="O298" s="60">
        <f t="shared" si="94"/>
        <v>0</v>
      </c>
    </row>
    <row r="299" spans="1:15" s="38" customFormat="1" ht="10.7" hidden="1" customHeight="1" outlineLevel="1" x14ac:dyDescent="0.25">
      <c r="A299" s="124"/>
      <c r="B299" s="142"/>
      <c r="C299" s="115"/>
      <c r="D299" s="115"/>
      <c r="E299" s="115"/>
      <c r="F299" s="115"/>
      <c r="G299" s="60" t="s">
        <v>130</v>
      </c>
      <c r="H299" s="124"/>
      <c r="I299" s="124"/>
      <c r="J299" s="60"/>
      <c r="K299" s="60"/>
      <c r="L299" s="60"/>
      <c r="M299" s="60"/>
      <c r="N299" s="60">
        <f t="shared" si="93"/>
        <v>0</v>
      </c>
      <c r="O299" s="60">
        <f t="shared" si="94"/>
        <v>0</v>
      </c>
    </row>
    <row r="300" spans="1:15" s="38" customFormat="1" ht="12" hidden="1" customHeight="1" outlineLevel="1" thickBot="1" x14ac:dyDescent="0.3">
      <c r="A300" s="125"/>
      <c r="B300" s="143"/>
      <c r="C300" s="131"/>
      <c r="D300" s="131"/>
      <c r="E300" s="131"/>
      <c r="F300" s="131"/>
      <c r="G300" s="60" t="s">
        <v>131</v>
      </c>
      <c r="H300" s="134"/>
      <c r="I300" s="134"/>
      <c r="J300" s="60"/>
      <c r="K300" s="60"/>
      <c r="L300" s="60"/>
      <c r="M300" s="60"/>
      <c r="N300" s="60">
        <f t="shared" si="93"/>
        <v>0</v>
      </c>
      <c r="O300" s="60">
        <f t="shared" si="94"/>
        <v>0</v>
      </c>
    </row>
    <row r="301" spans="1:15" s="38" customFormat="1" ht="14.45" hidden="1" customHeight="1" outlineLevel="1" x14ac:dyDescent="0.25">
      <c r="A301" s="140" t="s">
        <v>442</v>
      </c>
      <c r="B301" s="141" t="s">
        <v>443</v>
      </c>
      <c r="C301" s="130">
        <f>SUM(N301:N307)</f>
        <v>0</v>
      </c>
      <c r="D301" s="130">
        <f>SUM(O301:O307)</f>
        <v>0</v>
      </c>
      <c r="E301" s="130">
        <f t="shared" si="82"/>
        <v>0</v>
      </c>
      <c r="F301" s="130"/>
      <c r="G301" s="60" t="s">
        <v>125</v>
      </c>
      <c r="H301" s="123"/>
      <c r="I301" s="123"/>
      <c r="J301" s="60"/>
      <c r="K301" s="60"/>
      <c r="L301" s="60"/>
      <c r="M301" s="60"/>
      <c r="N301" s="60">
        <f>M301*J301*K301*L301</f>
        <v>0</v>
      </c>
      <c r="O301" s="60">
        <f>J301*K301*L301</f>
        <v>0</v>
      </c>
    </row>
    <row r="302" spans="1:15" s="38" customFormat="1" ht="11.45" hidden="1" customHeight="1" outlineLevel="1" x14ac:dyDescent="0.25">
      <c r="A302" s="124"/>
      <c r="B302" s="142"/>
      <c r="C302" s="115"/>
      <c r="D302" s="115"/>
      <c r="E302" s="115"/>
      <c r="F302" s="115"/>
      <c r="G302" s="60" t="s">
        <v>126</v>
      </c>
      <c r="H302" s="124"/>
      <c r="I302" s="124"/>
      <c r="J302" s="60"/>
      <c r="K302" s="60"/>
      <c r="L302" s="60"/>
      <c r="M302" s="60"/>
      <c r="N302" s="60">
        <f t="shared" ref="N302:N307" si="95">M302*J302*K302*L302</f>
        <v>0</v>
      </c>
      <c r="O302" s="60">
        <f t="shared" ref="O302:O307" si="96">J302*K302*L302</f>
        <v>0</v>
      </c>
    </row>
    <row r="303" spans="1:15" s="38" customFormat="1" ht="10.7" hidden="1" customHeight="1" outlineLevel="1" x14ac:dyDescent="0.25">
      <c r="A303" s="124"/>
      <c r="B303" s="142"/>
      <c r="C303" s="115"/>
      <c r="D303" s="115"/>
      <c r="E303" s="115"/>
      <c r="F303" s="115"/>
      <c r="G303" s="60" t="s">
        <v>127</v>
      </c>
      <c r="H303" s="124"/>
      <c r="I303" s="124"/>
      <c r="J303" s="60"/>
      <c r="K303" s="60"/>
      <c r="L303" s="60"/>
      <c r="M303" s="60"/>
      <c r="N303" s="60">
        <f t="shared" si="95"/>
        <v>0</v>
      </c>
      <c r="O303" s="60">
        <f t="shared" si="96"/>
        <v>0</v>
      </c>
    </row>
    <row r="304" spans="1:15" s="38" customFormat="1" ht="10.7" hidden="1" customHeight="1" outlineLevel="1" x14ac:dyDescent="0.25">
      <c r="A304" s="124"/>
      <c r="B304" s="142"/>
      <c r="C304" s="115"/>
      <c r="D304" s="115"/>
      <c r="E304" s="115"/>
      <c r="F304" s="115"/>
      <c r="G304" s="60" t="s">
        <v>128</v>
      </c>
      <c r="H304" s="124"/>
      <c r="I304" s="124"/>
      <c r="J304" s="60"/>
      <c r="K304" s="60"/>
      <c r="L304" s="60"/>
      <c r="M304" s="60"/>
      <c r="N304" s="60">
        <f t="shared" si="95"/>
        <v>0</v>
      </c>
      <c r="O304" s="60">
        <f t="shared" si="96"/>
        <v>0</v>
      </c>
    </row>
    <row r="305" spans="1:15" s="38" customFormat="1" ht="10.7" hidden="1" customHeight="1" outlineLevel="1" x14ac:dyDescent="0.25">
      <c r="A305" s="124"/>
      <c r="B305" s="142"/>
      <c r="C305" s="115"/>
      <c r="D305" s="115"/>
      <c r="E305" s="115"/>
      <c r="F305" s="115"/>
      <c r="G305" s="60" t="s">
        <v>129</v>
      </c>
      <c r="H305" s="124"/>
      <c r="I305" s="124"/>
      <c r="J305" s="60"/>
      <c r="K305" s="60"/>
      <c r="L305" s="60"/>
      <c r="M305" s="60"/>
      <c r="N305" s="60">
        <f t="shared" si="95"/>
        <v>0</v>
      </c>
      <c r="O305" s="60">
        <f t="shared" si="96"/>
        <v>0</v>
      </c>
    </row>
    <row r="306" spans="1:15" s="38" customFormat="1" ht="10.7" hidden="1" customHeight="1" outlineLevel="1" x14ac:dyDescent="0.25">
      <c r="A306" s="124"/>
      <c r="B306" s="142"/>
      <c r="C306" s="115"/>
      <c r="D306" s="115"/>
      <c r="E306" s="115"/>
      <c r="F306" s="115"/>
      <c r="G306" s="60" t="s">
        <v>130</v>
      </c>
      <c r="H306" s="124"/>
      <c r="I306" s="124"/>
      <c r="J306" s="60"/>
      <c r="K306" s="60"/>
      <c r="L306" s="60"/>
      <c r="M306" s="60"/>
      <c r="N306" s="60">
        <f t="shared" si="95"/>
        <v>0</v>
      </c>
      <c r="O306" s="60">
        <f t="shared" si="96"/>
        <v>0</v>
      </c>
    </row>
    <row r="307" spans="1:15" s="38" customFormat="1" ht="12" hidden="1" customHeight="1" outlineLevel="1" thickBot="1" x14ac:dyDescent="0.3">
      <c r="A307" s="125"/>
      <c r="B307" s="143"/>
      <c r="C307" s="131"/>
      <c r="D307" s="131"/>
      <c r="E307" s="131"/>
      <c r="F307" s="131"/>
      <c r="G307" s="60" t="s">
        <v>131</v>
      </c>
      <c r="H307" s="134"/>
      <c r="I307" s="134"/>
      <c r="J307" s="60"/>
      <c r="K307" s="60"/>
      <c r="L307" s="60"/>
      <c r="M307" s="60"/>
      <c r="N307" s="60">
        <f t="shared" si="95"/>
        <v>0</v>
      </c>
      <c r="O307" s="60">
        <f t="shared" si="96"/>
        <v>0</v>
      </c>
    </row>
    <row r="308" spans="1:15" s="38" customFormat="1" ht="14.45" hidden="1" customHeight="1" outlineLevel="1" x14ac:dyDescent="0.25">
      <c r="A308" s="140" t="s">
        <v>444</v>
      </c>
      <c r="B308" s="141" t="s">
        <v>445</v>
      </c>
      <c r="C308" s="130">
        <f>SUM(N308:N314)</f>
        <v>0</v>
      </c>
      <c r="D308" s="130">
        <f>SUM(O308:O314)</f>
        <v>0</v>
      </c>
      <c r="E308" s="130">
        <f t="shared" si="82"/>
        <v>0</v>
      </c>
      <c r="F308" s="130"/>
      <c r="G308" s="60" t="s">
        <v>125</v>
      </c>
      <c r="H308" s="123"/>
      <c r="I308" s="123"/>
      <c r="J308" s="60"/>
      <c r="K308" s="60"/>
      <c r="L308" s="60"/>
      <c r="M308" s="60"/>
      <c r="N308" s="60">
        <f>M308*J308*K308*L308</f>
        <v>0</v>
      </c>
      <c r="O308" s="60">
        <f>J308*K308*L308</f>
        <v>0</v>
      </c>
    </row>
    <row r="309" spans="1:15" s="38" customFormat="1" ht="11.45" hidden="1" customHeight="1" outlineLevel="1" x14ac:dyDescent="0.25">
      <c r="A309" s="124"/>
      <c r="B309" s="142"/>
      <c r="C309" s="115"/>
      <c r="D309" s="115"/>
      <c r="E309" s="115"/>
      <c r="F309" s="115"/>
      <c r="G309" s="60" t="s">
        <v>126</v>
      </c>
      <c r="H309" s="124"/>
      <c r="I309" s="124"/>
      <c r="J309" s="60"/>
      <c r="K309" s="60"/>
      <c r="L309" s="60"/>
      <c r="M309" s="60"/>
      <c r="N309" s="60">
        <f t="shared" ref="N309:N314" si="97">M309*J309*K309*L309</f>
        <v>0</v>
      </c>
      <c r="O309" s="60">
        <f t="shared" ref="O309:O314" si="98">J309*K309*L309</f>
        <v>0</v>
      </c>
    </row>
    <row r="310" spans="1:15" s="38" customFormat="1" ht="10.7" hidden="1" customHeight="1" outlineLevel="1" x14ac:dyDescent="0.25">
      <c r="A310" s="124"/>
      <c r="B310" s="142"/>
      <c r="C310" s="115"/>
      <c r="D310" s="115"/>
      <c r="E310" s="115"/>
      <c r="F310" s="115"/>
      <c r="G310" s="60" t="s">
        <v>127</v>
      </c>
      <c r="H310" s="124"/>
      <c r="I310" s="124"/>
      <c r="J310" s="60"/>
      <c r="K310" s="60"/>
      <c r="L310" s="60"/>
      <c r="M310" s="60"/>
      <c r="N310" s="60">
        <f t="shared" si="97"/>
        <v>0</v>
      </c>
      <c r="O310" s="60">
        <f t="shared" si="98"/>
        <v>0</v>
      </c>
    </row>
    <row r="311" spans="1:15" s="38" customFormat="1" ht="10.7" hidden="1" customHeight="1" outlineLevel="1" x14ac:dyDescent="0.25">
      <c r="A311" s="124"/>
      <c r="B311" s="142"/>
      <c r="C311" s="115"/>
      <c r="D311" s="115"/>
      <c r="E311" s="115"/>
      <c r="F311" s="115"/>
      <c r="G311" s="60" t="s">
        <v>128</v>
      </c>
      <c r="H311" s="124"/>
      <c r="I311" s="124"/>
      <c r="J311" s="60"/>
      <c r="K311" s="60"/>
      <c r="L311" s="60"/>
      <c r="M311" s="60"/>
      <c r="N311" s="60">
        <f t="shared" si="97"/>
        <v>0</v>
      </c>
      <c r="O311" s="60">
        <f t="shared" si="98"/>
        <v>0</v>
      </c>
    </row>
    <row r="312" spans="1:15" s="38" customFormat="1" ht="10.7" hidden="1" customHeight="1" outlineLevel="1" x14ac:dyDescent="0.25">
      <c r="A312" s="124"/>
      <c r="B312" s="142"/>
      <c r="C312" s="115"/>
      <c r="D312" s="115"/>
      <c r="E312" s="115"/>
      <c r="F312" s="115"/>
      <c r="G312" s="60" t="s">
        <v>129</v>
      </c>
      <c r="H312" s="124"/>
      <c r="I312" s="124"/>
      <c r="J312" s="60"/>
      <c r="K312" s="60"/>
      <c r="L312" s="60"/>
      <c r="M312" s="60"/>
      <c r="N312" s="60">
        <f t="shared" si="97"/>
        <v>0</v>
      </c>
      <c r="O312" s="60">
        <f t="shared" si="98"/>
        <v>0</v>
      </c>
    </row>
    <row r="313" spans="1:15" s="38" customFormat="1" ht="10.7" hidden="1" customHeight="1" outlineLevel="1" x14ac:dyDescent="0.25">
      <c r="A313" s="124"/>
      <c r="B313" s="142"/>
      <c r="C313" s="115"/>
      <c r="D313" s="115"/>
      <c r="E313" s="115"/>
      <c r="F313" s="115"/>
      <c r="G313" s="60" t="s">
        <v>130</v>
      </c>
      <c r="H313" s="124"/>
      <c r="I313" s="124"/>
      <c r="J313" s="60"/>
      <c r="K313" s="60"/>
      <c r="L313" s="60"/>
      <c r="M313" s="60"/>
      <c r="N313" s="60">
        <f t="shared" si="97"/>
        <v>0</v>
      </c>
      <c r="O313" s="60">
        <f t="shared" si="98"/>
        <v>0</v>
      </c>
    </row>
    <row r="314" spans="1:15" s="38" customFormat="1" ht="12" hidden="1" customHeight="1" outlineLevel="1" thickBot="1" x14ac:dyDescent="0.3">
      <c r="A314" s="125"/>
      <c r="B314" s="143"/>
      <c r="C314" s="131"/>
      <c r="D314" s="131"/>
      <c r="E314" s="131"/>
      <c r="F314" s="131"/>
      <c r="G314" s="60" t="s">
        <v>131</v>
      </c>
      <c r="H314" s="134"/>
      <c r="I314" s="134"/>
      <c r="J314" s="60"/>
      <c r="K314" s="60"/>
      <c r="L314" s="60"/>
      <c r="M314" s="60"/>
      <c r="N314" s="60">
        <f t="shared" si="97"/>
        <v>0</v>
      </c>
      <c r="O314" s="60">
        <f t="shared" si="98"/>
        <v>0</v>
      </c>
    </row>
    <row r="315" spans="1:15" s="38" customFormat="1" ht="14.45" hidden="1" customHeight="1" outlineLevel="1" x14ac:dyDescent="0.25">
      <c r="A315" s="140" t="s">
        <v>446</v>
      </c>
      <c r="B315" s="141" t="s">
        <v>447</v>
      </c>
      <c r="C315" s="130">
        <f>SUM(N315:N321)</f>
        <v>0</v>
      </c>
      <c r="D315" s="130">
        <f>SUM(O315:O321)</f>
        <v>0</v>
      </c>
      <c r="E315" s="130">
        <f t="shared" si="82"/>
        <v>0</v>
      </c>
      <c r="F315" s="130"/>
      <c r="G315" s="60" t="s">
        <v>125</v>
      </c>
      <c r="H315" s="123"/>
      <c r="I315" s="123"/>
      <c r="J315" s="60"/>
      <c r="K315" s="60"/>
      <c r="L315" s="60"/>
      <c r="M315" s="60"/>
      <c r="N315" s="60">
        <f>M315*J315*K315*L315</f>
        <v>0</v>
      </c>
      <c r="O315" s="60">
        <f>J315*K315*L315</f>
        <v>0</v>
      </c>
    </row>
    <row r="316" spans="1:15" s="38" customFormat="1" ht="11.45" hidden="1" customHeight="1" outlineLevel="1" x14ac:dyDescent="0.25">
      <c r="A316" s="124"/>
      <c r="B316" s="142"/>
      <c r="C316" s="115"/>
      <c r="D316" s="115"/>
      <c r="E316" s="115"/>
      <c r="F316" s="115"/>
      <c r="G316" s="60" t="s">
        <v>126</v>
      </c>
      <c r="H316" s="124"/>
      <c r="I316" s="124"/>
      <c r="J316" s="60"/>
      <c r="K316" s="60"/>
      <c r="L316" s="60"/>
      <c r="M316" s="60"/>
      <c r="N316" s="60">
        <f t="shared" ref="N316:N321" si="99">M316*J316*K316*L316</f>
        <v>0</v>
      </c>
      <c r="O316" s="60">
        <f t="shared" ref="O316:O321" si="100">J316*K316*L316</f>
        <v>0</v>
      </c>
    </row>
    <row r="317" spans="1:15" s="38" customFormat="1" ht="10.7" hidden="1" customHeight="1" outlineLevel="1" x14ac:dyDescent="0.25">
      <c r="A317" s="124"/>
      <c r="B317" s="142"/>
      <c r="C317" s="115"/>
      <c r="D317" s="115"/>
      <c r="E317" s="115"/>
      <c r="F317" s="115"/>
      <c r="G317" s="60" t="s">
        <v>127</v>
      </c>
      <c r="H317" s="124"/>
      <c r="I317" s="124"/>
      <c r="J317" s="60"/>
      <c r="K317" s="60"/>
      <c r="L317" s="60"/>
      <c r="M317" s="60"/>
      <c r="N317" s="60">
        <f t="shared" si="99"/>
        <v>0</v>
      </c>
      <c r="O317" s="60">
        <f t="shared" si="100"/>
        <v>0</v>
      </c>
    </row>
    <row r="318" spans="1:15" s="38" customFormat="1" ht="10.7" hidden="1" customHeight="1" outlineLevel="1" x14ac:dyDescent="0.25">
      <c r="A318" s="124"/>
      <c r="B318" s="142"/>
      <c r="C318" s="115"/>
      <c r="D318" s="115"/>
      <c r="E318" s="115"/>
      <c r="F318" s="115"/>
      <c r="G318" s="60" t="s">
        <v>128</v>
      </c>
      <c r="H318" s="124"/>
      <c r="I318" s="124"/>
      <c r="J318" s="60"/>
      <c r="K318" s="60"/>
      <c r="L318" s="60"/>
      <c r="M318" s="60"/>
      <c r="N318" s="60">
        <f t="shared" si="99"/>
        <v>0</v>
      </c>
      <c r="O318" s="60">
        <f t="shared" si="100"/>
        <v>0</v>
      </c>
    </row>
    <row r="319" spans="1:15" s="38" customFormat="1" ht="10.7" hidden="1" customHeight="1" outlineLevel="1" x14ac:dyDescent="0.25">
      <c r="A319" s="124"/>
      <c r="B319" s="142"/>
      <c r="C319" s="115"/>
      <c r="D319" s="115"/>
      <c r="E319" s="115"/>
      <c r="F319" s="115"/>
      <c r="G319" s="60" t="s">
        <v>129</v>
      </c>
      <c r="H319" s="124"/>
      <c r="I319" s="124"/>
      <c r="J319" s="60"/>
      <c r="K319" s="60"/>
      <c r="L319" s="60"/>
      <c r="M319" s="60"/>
      <c r="N319" s="60">
        <f t="shared" si="99"/>
        <v>0</v>
      </c>
      <c r="O319" s="60">
        <f t="shared" si="100"/>
        <v>0</v>
      </c>
    </row>
    <row r="320" spans="1:15" s="38" customFormat="1" ht="10.7" hidden="1" customHeight="1" outlineLevel="1" x14ac:dyDescent="0.25">
      <c r="A320" s="124"/>
      <c r="B320" s="142"/>
      <c r="C320" s="115"/>
      <c r="D320" s="115"/>
      <c r="E320" s="115"/>
      <c r="F320" s="115"/>
      <c r="G320" s="60" t="s">
        <v>130</v>
      </c>
      <c r="H320" s="124"/>
      <c r="I320" s="124"/>
      <c r="J320" s="60"/>
      <c r="K320" s="60"/>
      <c r="L320" s="60"/>
      <c r="M320" s="60"/>
      <c r="N320" s="60">
        <f t="shared" si="99"/>
        <v>0</v>
      </c>
      <c r="O320" s="60">
        <f t="shared" si="100"/>
        <v>0</v>
      </c>
    </row>
    <row r="321" spans="1:15" s="38" customFormat="1" ht="12" hidden="1" customHeight="1" outlineLevel="1" thickBot="1" x14ac:dyDescent="0.3">
      <c r="A321" s="125"/>
      <c r="B321" s="143"/>
      <c r="C321" s="131"/>
      <c r="D321" s="131"/>
      <c r="E321" s="131"/>
      <c r="F321" s="131"/>
      <c r="G321" s="60" t="s">
        <v>131</v>
      </c>
      <c r="H321" s="134"/>
      <c r="I321" s="134"/>
      <c r="J321" s="60"/>
      <c r="K321" s="60"/>
      <c r="L321" s="60"/>
      <c r="M321" s="60"/>
      <c r="N321" s="60">
        <f t="shared" si="99"/>
        <v>0</v>
      </c>
      <c r="O321" s="60">
        <f t="shared" si="100"/>
        <v>0</v>
      </c>
    </row>
    <row r="322" spans="1:15" s="38" customFormat="1" ht="14.45" hidden="1" customHeight="1" outlineLevel="1" x14ac:dyDescent="0.25">
      <c r="A322" s="140" t="s">
        <v>448</v>
      </c>
      <c r="B322" s="141" t="s">
        <v>449</v>
      </c>
      <c r="C322" s="130">
        <f>SUM(N322:N328)</f>
        <v>0</v>
      </c>
      <c r="D322" s="130">
        <f>SUM(O322:O328)</f>
        <v>0</v>
      </c>
      <c r="E322" s="130">
        <f t="shared" si="82"/>
        <v>0</v>
      </c>
      <c r="F322" s="130"/>
      <c r="G322" s="60" t="s">
        <v>125</v>
      </c>
      <c r="H322" s="123"/>
      <c r="I322" s="123"/>
      <c r="J322" s="60"/>
      <c r="K322" s="60"/>
      <c r="L322" s="60"/>
      <c r="M322" s="60"/>
      <c r="N322" s="60">
        <f>M322*J322*K322*L322</f>
        <v>0</v>
      </c>
      <c r="O322" s="60">
        <f>J322*K322*L322</f>
        <v>0</v>
      </c>
    </row>
    <row r="323" spans="1:15" s="38" customFormat="1" ht="11.45" hidden="1" customHeight="1" outlineLevel="1" x14ac:dyDescent="0.25">
      <c r="A323" s="124"/>
      <c r="B323" s="142"/>
      <c r="C323" s="115"/>
      <c r="D323" s="115"/>
      <c r="E323" s="115"/>
      <c r="F323" s="115"/>
      <c r="G323" s="60" t="s">
        <v>126</v>
      </c>
      <c r="H323" s="124"/>
      <c r="I323" s="124"/>
      <c r="J323" s="60"/>
      <c r="K323" s="60"/>
      <c r="L323" s="60"/>
      <c r="M323" s="60"/>
      <c r="N323" s="60">
        <f t="shared" ref="N323:N328" si="101">M323*J323*K323*L323</f>
        <v>0</v>
      </c>
      <c r="O323" s="60">
        <f t="shared" ref="O323:O328" si="102">J323*K323*L323</f>
        <v>0</v>
      </c>
    </row>
    <row r="324" spans="1:15" s="38" customFormat="1" ht="10.7" hidden="1" customHeight="1" outlineLevel="1" x14ac:dyDescent="0.25">
      <c r="A324" s="124"/>
      <c r="B324" s="142"/>
      <c r="C324" s="115"/>
      <c r="D324" s="115"/>
      <c r="E324" s="115"/>
      <c r="F324" s="115"/>
      <c r="G324" s="60" t="s">
        <v>127</v>
      </c>
      <c r="H324" s="124"/>
      <c r="I324" s="124"/>
      <c r="J324" s="60"/>
      <c r="K324" s="60"/>
      <c r="L324" s="60"/>
      <c r="M324" s="60"/>
      <c r="N324" s="60">
        <f t="shared" si="101"/>
        <v>0</v>
      </c>
      <c r="O324" s="60">
        <f t="shared" si="102"/>
        <v>0</v>
      </c>
    </row>
    <row r="325" spans="1:15" s="38" customFormat="1" ht="10.7" hidden="1" customHeight="1" outlineLevel="1" x14ac:dyDescent="0.25">
      <c r="A325" s="124"/>
      <c r="B325" s="142"/>
      <c r="C325" s="115"/>
      <c r="D325" s="115"/>
      <c r="E325" s="115"/>
      <c r="F325" s="115"/>
      <c r="G325" s="60" t="s">
        <v>128</v>
      </c>
      <c r="H325" s="124"/>
      <c r="I325" s="124"/>
      <c r="J325" s="60"/>
      <c r="K325" s="60"/>
      <c r="L325" s="60"/>
      <c r="M325" s="60"/>
      <c r="N325" s="60">
        <f t="shared" si="101"/>
        <v>0</v>
      </c>
      <c r="O325" s="60">
        <f t="shared" si="102"/>
        <v>0</v>
      </c>
    </row>
    <row r="326" spans="1:15" s="38" customFormat="1" ht="10.7" hidden="1" customHeight="1" outlineLevel="1" x14ac:dyDescent="0.25">
      <c r="A326" s="124"/>
      <c r="B326" s="142"/>
      <c r="C326" s="115"/>
      <c r="D326" s="115"/>
      <c r="E326" s="115"/>
      <c r="F326" s="115"/>
      <c r="G326" s="60" t="s">
        <v>129</v>
      </c>
      <c r="H326" s="124"/>
      <c r="I326" s="124"/>
      <c r="J326" s="60"/>
      <c r="K326" s="60"/>
      <c r="L326" s="60"/>
      <c r="M326" s="60"/>
      <c r="N326" s="60">
        <f t="shared" si="101"/>
        <v>0</v>
      </c>
      <c r="O326" s="60">
        <f t="shared" si="102"/>
        <v>0</v>
      </c>
    </row>
    <row r="327" spans="1:15" s="38" customFormat="1" ht="10.7" hidden="1" customHeight="1" outlineLevel="1" x14ac:dyDescent="0.25">
      <c r="A327" s="124"/>
      <c r="B327" s="142"/>
      <c r="C327" s="115"/>
      <c r="D327" s="115"/>
      <c r="E327" s="115"/>
      <c r="F327" s="115"/>
      <c r="G327" s="60" t="s">
        <v>130</v>
      </c>
      <c r="H327" s="124"/>
      <c r="I327" s="124"/>
      <c r="J327" s="60"/>
      <c r="K327" s="60"/>
      <c r="L327" s="60"/>
      <c r="M327" s="60"/>
      <c r="N327" s="60">
        <f t="shared" si="101"/>
        <v>0</v>
      </c>
      <c r="O327" s="60">
        <f t="shared" si="102"/>
        <v>0</v>
      </c>
    </row>
    <row r="328" spans="1:15" s="38" customFormat="1" ht="12" hidden="1" customHeight="1" outlineLevel="1" thickBot="1" x14ac:dyDescent="0.3">
      <c r="A328" s="125"/>
      <c r="B328" s="143"/>
      <c r="C328" s="131"/>
      <c r="D328" s="131"/>
      <c r="E328" s="131"/>
      <c r="F328" s="131"/>
      <c r="G328" s="60" t="s">
        <v>131</v>
      </c>
      <c r="H328" s="134"/>
      <c r="I328" s="134"/>
      <c r="J328" s="60"/>
      <c r="K328" s="60"/>
      <c r="L328" s="60"/>
      <c r="M328" s="60"/>
      <c r="N328" s="60">
        <f t="shared" si="101"/>
        <v>0</v>
      </c>
      <c r="O328" s="60">
        <f t="shared" si="102"/>
        <v>0</v>
      </c>
    </row>
    <row r="329" spans="1:15" s="38" customFormat="1" ht="14.45" hidden="1" customHeight="1" outlineLevel="1" x14ac:dyDescent="0.25">
      <c r="A329" s="140" t="s">
        <v>450</v>
      </c>
      <c r="B329" s="141" t="s">
        <v>451</v>
      </c>
      <c r="C329" s="130">
        <f>SUM(N329:N335)</f>
        <v>0</v>
      </c>
      <c r="D329" s="130">
        <f>SUM(O329:O335)</f>
        <v>0</v>
      </c>
      <c r="E329" s="130">
        <f t="shared" ref="E329:E385" si="103">D329/8</f>
        <v>0</v>
      </c>
      <c r="F329" s="130"/>
      <c r="G329" s="60" t="s">
        <v>125</v>
      </c>
      <c r="H329" s="123"/>
      <c r="I329" s="123"/>
      <c r="J329" s="60"/>
      <c r="K329" s="60"/>
      <c r="L329" s="60"/>
      <c r="M329" s="60"/>
      <c r="N329" s="60">
        <f>M329*J329*K329*L329</f>
        <v>0</v>
      </c>
      <c r="O329" s="60">
        <f>J329*K329*L329</f>
        <v>0</v>
      </c>
    </row>
    <row r="330" spans="1:15" s="38" customFormat="1" ht="11.45" hidden="1" customHeight="1" outlineLevel="1" x14ac:dyDescent="0.25">
      <c r="A330" s="124"/>
      <c r="B330" s="142"/>
      <c r="C330" s="115"/>
      <c r="D330" s="115"/>
      <c r="E330" s="115"/>
      <c r="F330" s="115"/>
      <c r="G330" s="60" t="s">
        <v>126</v>
      </c>
      <c r="H330" s="124"/>
      <c r="I330" s="124"/>
      <c r="J330" s="60"/>
      <c r="K330" s="60"/>
      <c r="L330" s="60"/>
      <c r="M330" s="60"/>
      <c r="N330" s="60">
        <f t="shared" ref="N330:N335" si="104">M330*J330*K330*L330</f>
        <v>0</v>
      </c>
      <c r="O330" s="60">
        <f t="shared" ref="O330:O335" si="105">J330*K330*L330</f>
        <v>0</v>
      </c>
    </row>
    <row r="331" spans="1:15" s="38" customFormat="1" ht="10.7" hidden="1" customHeight="1" outlineLevel="1" x14ac:dyDescent="0.25">
      <c r="A331" s="124"/>
      <c r="B331" s="142"/>
      <c r="C331" s="115"/>
      <c r="D331" s="115"/>
      <c r="E331" s="115"/>
      <c r="F331" s="115"/>
      <c r="G331" s="60" t="s">
        <v>127</v>
      </c>
      <c r="H331" s="124"/>
      <c r="I331" s="124"/>
      <c r="J331" s="60"/>
      <c r="K331" s="60"/>
      <c r="L331" s="60"/>
      <c r="M331" s="60"/>
      <c r="N331" s="60">
        <f t="shared" si="104"/>
        <v>0</v>
      </c>
      <c r="O331" s="60">
        <f t="shared" si="105"/>
        <v>0</v>
      </c>
    </row>
    <row r="332" spans="1:15" s="38" customFormat="1" ht="10.7" hidden="1" customHeight="1" outlineLevel="1" x14ac:dyDescent="0.25">
      <c r="A332" s="124"/>
      <c r="B332" s="142"/>
      <c r="C332" s="115"/>
      <c r="D332" s="115"/>
      <c r="E332" s="115"/>
      <c r="F332" s="115"/>
      <c r="G332" s="60" t="s">
        <v>128</v>
      </c>
      <c r="H332" s="124"/>
      <c r="I332" s="124"/>
      <c r="J332" s="60"/>
      <c r="K332" s="60"/>
      <c r="L332" s="60"/>
      <c r="M332" s="60"/>
      <c r="N332" s="60">
        <f t="shared" si="104"/>
        <v>0</v>
      </c>
      <c r="O332" s="60">
        <f t="shared" si="105"/>
        <v>0</v>
      </c>
    </row>
    <row r="333" spans="1:15" s="38" customFormat="1" ht="10.7" hidden="1" customHeight="1" outlineLevel="1" x14ac:dyDescent="0.25">
      <c r="A333" s="124"/>
      <c r="B333" s="142"/>
      <c r="C333" s="115"/>
      <c r="D333" s="115"/>
      <c r="E333" s="115"/>
      <c r="F333" s="115"/>
      <c r="G333" s="60" t="s">
        <v>129</v>
      </c>
      <c r="H333" s="124"/>
      <c r="I333" s="124"/>
      <c r="J333" s="60"/>
      <c r="K333" s="60"/>
      <c r="L333" s="60"/>
      <c r="M333" s="60"/>
      <c r="N333" s="60">
        <f t="shared" si="104"/>
        <v>0</v>
      </c>
      <c r="O333" s="60">
        <f t="shared" si="105"/>
        <v>0</v>
      </c>
    </row>
    <row r="334" spans="1:15" s="38" customFormat="1" ht="10.7" hidden="1" customHeight="1" outlineLevel="1" x14ac:dyDescent="0.25">
      <c r="A334" s="124"/>
      <c r="B334" s="142"/>
      <c r="C334" s="115"/>
      <c r="D334" s="115"/>
      <c r="E334" s="115"/>
      <c r="F334" s="115"/>
      <c r="G334" s="60" t="s">
        <v>130</v>
      </c>
      <c r="H334" s="124"/>
      <c r="I334" s="124"/>
      <c r="J334" s="60"/>
      <c r="K334" s="60"/>
      <c r="L334" s="60"/>
      <c r="M334" s="60"/>
      <c r="N334" s="60">
        <f t="shared" si="104"/>
        <v>0</v>
      </c>
      <c r="O334" s="60">
        <f t="shared" si="105"/>
        <v>0</v>
      </c>
    </row>
    <row r="335" spans="1:15" s="38" customFormat="1" ht="12" hidden="1" customHeight="1" outlineLevel="1" thickBot="1" x14ac:dyDescent="0.3">
      <c r="A335" s="125"/>
      <c r="B335" s="143"/>
      <c r="C335" s="131"/>
      <c r="D335" s="131"/>
      <c r="E335" s="131"/>
      <c r="F335" s="131"/>
      <c r="G335" s="60" t="s">
        <v>131</v>
      </c>
      <c r="H335" s="134"/>
      <c r="I335" s="134"/>
      <c r="J335" s="60"/>
      <c r="K335" s="60"/>
      <c r="L335" s="60"/>
      <c r="M335" s="60"/>
      <c r="N335" s="60">
        <f t="shared" si="104"/>
        <v>0</v>
      </c>
      <c r="O335" s="60">
        <f t="shared" si="105"/>
        <v>0</v>
      </c>
    </row>
    <row r="336" spans="1:15" s="38" customFormat="1" ht="14.45" hidden="1" customHeight="1" outlineLevel="1" x14ac:dyDescent="0.25">
      <c r="A336" s="140" t="s">
        <v>452</v>
      </c>
      <c r="B336" s="141" t="s">
        <v>453</v>
      </c>
      <c r="C336" s="130">
        <f>SUM(N336:N342)</f>
        <v>0</v>
      </c>
      <c r="D336" s="130">
        <f>SUM(O336:O342)</f>
        <v>0</v>
      </c>
      <c r="E336" s="130">
        <f t="shared" si="103"/>
        <v>0</v>
      </c>
      <c r="F336" s="130"/>
      <c r="G336" s="60" t="s">
        <v>125</v>
      </c>
      <c r="H336" s="123"/>
      <c r="I336" s="123"/>
      <c r="J336" s="60"/>
      <c r="K336" s="60"/>
      <c r="L336" s="60"/>
      <c r="M336" s="60"/>
      <c r="N336" s="60">
        <f>M336*J336*K336*L336</f>
        <v>0</v>
      </c>
      <c r="O336" s="60">
        <f>J336*K336*L336</f>
        <v>0</v>
      </c>
    </row>
    <row r="337" spans="1:15" s="38" customFormat="1" ht="11.45" hidden="1" customHeight="1" outlineLevel="1" x14ac:dyDescent="0.25">
      <c r="A337" s="124"/>
      <c r="B337" s="142"/>
      <c r="C337" s="115"/>
      <c r="D337" s="115"/>
      <c r="E337" s="115"/>
      <c r="F337" s="115"/>
      <c r="G337" s="60" t="s">
        <v>126</v>
      </c>
      <c r="H337" s="124"/>
      <c r="I337" s="124"/>
      <c r="J337" s="60"/>
      <c r="K337" s="60"/>
      <c r="L337" s="60"/>
      <c r="M337" s="60"/>
      <c r="N337" s="60">
        <f t="shared" ref="N337:N342" si="106">M337*J337*K337*L337</f>
        <v>0</v>
      </c>
      <c r="O337" s="60">
        <f t="shared" ref="O337:O342" si="107">J337*K337*L337</f>
        <v>0</v>
      </c>
    </row>
    <row r="338" spans="1:15" s="38" customFormat="1" ht="10.7" hidden="1" customHeight="1" outlineLevel="1" x14ac:dyDescent="0.25">
      <c r="A338" s="124"/>
      <c r="B338" s="142"/>
      <c r="C338" s="115"/>
      <c r="D338" s="115"/>
      <c r="E338" s="115"/>
      <c r="F338" s="115"/>
      <c r="G338" s="60" t="s">
        <v>127</v>
      </c>
      <c r="H338" s="124"/>
      <c r="I338" s="124"/>
      <c r="J338" s="60"/>
      <c r="K338" s="60"/>
      <c r="L338" s="60"/>
      <c r="M338" s="60"/>
      <c r="N338" s="60">
        <f t="shared" si="106"/>
        <v>0</v>
      </c>
      <c r="O338" s="60">
        <f t="shared" si="107"/>
        <v>0</v>
      </c>
    </row>
    <row r="339" spans="1:15" s="38" customFormat="1" ht="10.7" hidden="1" customHeight="1" outlineLevel="1" x14ac:dyDescent="0.25">
      <c r="A339" s="124"/>
      <c r="B339" s="142"/>
      <c r="C339" s="115"/>
      <c r="D339" s="115"/>
      <c r="E339" s="115"/>
      <c r="F339" s="115"/>
      <c r="G339" s="60" t="s">
        <v>128</v>
      </c>
      <c r="H339" s="124"/>
      <c r="I339" s="124"/>
      <c r="J339" s="60"/>
      <c r="K339" s="60"/>
      <c r="L339" s="60"/>
      <c r="M339" s="60"/>
      <c r="N339" s="60">
        <f t="shared" si="106"/>
        <v>0</v>
      </c>
      <c r="O339" s="60">
        <f t="shared" si="107"/>
        <v>0</v>
      </c>
    </row>
    <row r="340" spans="1:15" s="38" customFormat="1" ht="10.7" hidden="1" customHeight="1" outlineLevel="1" x14ac:dyDescent="0.25">
      <c r="A340" s="124"/>
      <c r="B340" s="142"/>
      <c r="C340" s="115"/>
      <c r="D340" s="115"/>
      <c r="E340" s="115"/>
      <c r="F340" s="115"/>
      <c r="G340" s="60" t="s">
        <v>129</v>
      </c>
      <c r="H340" s="124"/>
      <c r="I340" s="124"/>
      <c r="J340" s="60"/>
      <c r="K340" s="60"/>
      <c r="L340" s="60"/>
      <c r="M340" s="60"/>
      <c r="N340" s="60">
        <f t="shared" si="106"/>
        <v>0</v>
      </c>
      <c r="O340" s="60">
        <f t="shared" si="107"/>
        <v>0</v>
      </c>
    </row>
    <row r="341" spans="1:15" s="38" customFormat="1" ht="10.7" hidden="1" customHeight="1" outlineLevel="1" x14ac:dyDescent="0.25">
      <c r="A341" s="124"/>
      <c r="B341" s="142"/>
      <c r="C341" s="115"/>
      <c r="D341" s="115"/>
      <c r="E341" s="115"/>
      <c r="F341" s="115"/>
      <c r="G341" s="60" t="s">
        <v>130</v>
      </c>
      <c r="H341" s="124"/>
      <c r="I341" s="124"/>
      <c r="J341" s="60"/>
      <c r="K341" s="60"/>
      <c r="L341" s="60"/>
      <c r="M341" s="60"/>
      <c r="N341" s="60">
        <f t="shared" si="106"/>
        <v>0</v>
      </c>
      <c r="O341" s="60">
        <f t="shared" si="107"/>
        <v>0</v>
      </c>
    </row>
    <row r="342" spans="1:15" s="38" customFormat="1" ht="12" hidden="1" customHeight="1" outlineLevel="1" thickBot="1" x14ac:dyDescent="0.3">
      <c r="A342" s="125"/>
      <c r="B342" s="143"/>
      <c r="C342" s="131"/>
      <c r="D342" s="131"/>
      <c r="E342" s="131"/>
      <c r="F342" s="131"/>
      <c r="G342" s="60" t="s">
        <v>131</v>
      </c>
      <c r="H342" s="134"/>
      <c r="I342" s="134"/>
      <c r="J342" s="60"/>
      <c r="K342" s="60"/>
      <c r="L342" s="60"/>
      <c r="M342" s="60"/>
      <c r="N342" s="60">
        <f t="shared" si="106"/>
        <v>0</v>
      </c>
      <c r="O342" s="60">
        <f t="shared" si="107"/>
        <v>0</v>
      </c>
    </row>
    <row r="343" spans="1:15" s="38" customFormat="1" ht="14.45" hidden="1" customHeight="1" outlineLevel="1" x14ac:dyDescent="0.25">
      <c r="A343" s="140" t="s">
        <v>454</v>
      </c>
      <c r="B343" s="141" t="s">
        <v>455</v>
      </c>
      <c r="C343" s="130">
        <f>SUM(N343:N349)</f>
        <v>0</v>
      </c>
      <c r="D343" s="130">
        <f>SUM(O343:O349)</f>
        <v>0</v>
      </c>
      <c r="E343" s="130">
        <f t="shared" si="103"/>
        <v>0</v>
      </c>
      <c r="F343" s="130"/>
      <c r="G343" s="60" t="s">
        <v>125</v>
      </c>
      <c r="H343" s="123"/>
      <c r="I343" s="123"/>
      <c r="J343" s="60"/>
      <c r="K343" s="60"/>
      <c r="L343" s="60"/>
      <c r="M343" s="60"/>
      <c r="N343" s="60">
        <f>M343*J343*K343*L343</f>
        <v>0</v>
      </c>
      <c r="O343" s="60">
        <f>J343*K343*L343</f>
        <v>0</v>
      </c>
    </row>
    <row r="344" spans="1:15" s="38" customFormat="1" ht="11.45" hidden="1" customHeight="1" outlineLevel="1" x14ac:dyDescent="0.25">
      <c r="A344" s="124"/>
      <c r="B344" s="142"/>
      <c r="C344" s="115"/>
      <c r="D344" s="115"/>
      <c r="E344" s="115"/>
      <c r="F344" s="115"/>
      <c r="G344" s="60" t="s">
        <v>126</v>
      </c>
      <c r="H344" s="124"/>
      <c r="I344" s="124"/>
      <c r="J344" s="60"/>
      <c r="K344" s="60"/>
      <c r="L344" s="60"/>
      <c r="M344" s="60"/>
      <c r="N344" s="60">
        <f t="shared" ref="N344:N349" si="108">M344*J344*K344*L344</f>
        <v>0</v>
      </c>
      <c r="O344" s="60">
        <f t="shared" ref="O344:O349" si="109">J344*K344*L344</f>
        <v>0</v>
      </c>
    </row>
    <row r="345" spans="1:15" s="38" customFormat="1" ht="10.7" hidden="1" customHeight="1" outlineLevel="1" x14ac:dyDescent="0.25">
      <c r="A345" s="124"/>
      <c r="B345" s="142"/>
      <c r="C345" s="115"/>
      <c r="D345" s="115"/>
      <c r="E345" s="115"/>
      <c r="F345" s="115"/>
      <c r="G345" s="60" t="s">
        <v>127</v>
      </c>
      <c r="H345" s="124"/>
      <c r="I345" s="124"/>
      <c r="J345" s="60"/>
      <c r="K345" s="60"/>
      <c r="L345" s="60"/>
      <c r="M345" s="60"/>
      <c r="N345" s="60">
        <f t="shared" si="108"/>
        <v>0</v>
      </c>
      <c r="O345" s="60">
        <f t="shared" si="109"/>
        <v>0</v>
      </c>
    </row>
    <row r="346" spans="1:15" s="38" customFormat="1" ht="10.7" hidden="1" customHeight="1" outlineLevel="1" x14ac:dyDescent="0.25">
      <c r="A346" s="124"/>
      <c r="B346" s="142"/>
      <c r="C346" s="115"/>
      <c r="D346" s="115"/>
      <c r="E346" s="115"/>
      <c r="F346" s="115"/>
      <c r="G346" s="60" t="s">
        <v>128</v>
      </c>
      <c r="H346" s="124"/>
      <c r="I346" s="124"/>
      <c r="J346" s="60"/>
      <c r="K346" s="60"/>
      <c r="L346" s="60"/>
      <c r="M346" s="60"/>
      <c r="N346" s="60">
        <f t="shared" si="108"/>
        <v>0</v>
      </c>
      <c r="O346" s="60">
        <f t="shared" si="109"/>
        <v>0</v>
      </c>
    </row>
    <row r="347" spans="1:15" s="38" customFormat="1" ht="10.7" hidden="1" customHeight="1" outlineLevel="1" x14ac:dyDescent="0.25">
      <c r="A347" s="124"/>
      <c r="B347" s="142"/>
      <c r="C347" s="115"/>
      <c r="D347" s="115"/>
      <c r="E347" s="115"/>
      <c r="F347" s="115"/>
      <c r="G347" s="60" t="s">
        <v>129</v>
      </c>
      <c r="H347" s="124"/>
      <c r="I347" s="124"/>
      <c r="J347" s="60"/>
      <c r="K347" s="60"/>
      <c r="L347" s="60"/>
      <c r="M347" s="60"/>
      <c r="N347" s="60">
        <f t="shared" si="108"/>
        <v>0</v>
      </c>
      <c r="O347" s="60">
        <f t="shared" si="109"/>
        <v>0</v>
      </c>
    </row>
    <row r="348" spans="1:15" s="38" customFormat="1" ht="10.7" hidden="1" customHeight="1" outlineLevel="1" x14ac:dyDescent="0.25">
      <c r="A348" s="124"/>
      <c r="B348" s="142"/>
      <c r="C348" s="115"/>
      <c r="D348" s="115"/>
      <c r="E348" s="115"/>
      <c r="F348" s="115"/>
      <c r="G348" s="60" t="s">
        <v>130</v>
      </c>
      <c r="H348" s="124"/>
      <c r="I348" s="124"/>
      <c r="J348" s="60"/>
      <c r="K348" s="60"/>
      <c r="L348" s="60"/>
      <c r="M348" s="60"/>
      <c r="N348" s="60">
        <f t="shared" si="108"/>
        <v>0</v>
      </c>
      <c r="O348" s="60">
        <f t="shared" si="109"/>
        <v>0</v>
      </c>
    </row>
    <row r="349" spans="1:15" s="38" customFormat="1" ht="12" hidden="1" customHeight="1" outlineLevel="1" thickBot="1" x14ac:dyDescent="0.3">
      <c r="A349" s="125"/>
      <c r="B349" s="143"/>
      <c r="C349" s="131"/>
      <c r="D349" s="131"/>
      <c r="E349" s="131"/>
      <c r="F349" s="131"/>
      <c r="G349" s="60" t="s">
        <v>131</v>
      </c>
      <c r="H349" s="134"/>
      <c r="I349" s="134"/>
      <c r="J349" s="60"/>
      <c r="K349" s="60"/>
      <c r="L349" s="60"/>
      <c r="M349" s="60"/>
      <c r="N349" s="60">
        <f t="shared" si="108"/>
        <v>0</v>
      </c>
      <c r="O349" s="60">
        <f t="shared" si="109"/>
        <v>0</v>
      </c>
    </row>
    <row r="350" spans="1:15" s="38" customFormat="1" ht="14.45" hidden="1" customHeight="1" outlineLevel="1" x14ac:dyDescent="0.25">
      <c r="A350" s="140" t="s">
        <v>456</v>
      </c>
      <c r="B350" s="141" t="s">
        <v>457</v>
      </c>
      <c r="C350" s="130">
        <f>SUM(N350:N356)</f>
        <v>0</v>
      </c>
      <c r="D350" s="130">
        <f>SUM(O350:O356)</f>
        <v>0</v>
      </c>
      <c r="E350" s="130">
        <f t="shared" si="103"/>
        <v>0</v>
      </c>
      <c r="F350" s="130"/>
      <c r="G350" s="60" t="s">
        <v>125</v>
      </c>
      <c r="H350" s="123"/>
      <c r="I350" s="123"/>
      <c r="J350" s="60"/>
      <c r="K350" s="60"/>
      <c r="L350" s="60"/>
      <c r="M350" s="60"/>
      <c r="N350" s="60">
        <f>M350*J350*K350*L350</f>
        <v>0</v>
      </c>
      <c r="O350" s="60">
        <f>J350*K350*L350</f>
        <v>0</v>
      </c>
    </row>
    <row r="351" spans="1:15" s="38" customFormat="1" ht="11.45" hidden="1" customHeight="1" outlineLevel="1" x14ac:dyDescent="0.25">
      <c r="A351" s="124"/>
      <c r="B351" s="142"/>
      <c r="C351" s="115"/>
      <c r="D351" s="115"/>
      <c r="E351" s="115"/>
      <c r="F351" s="115"/>
      <c r="G351" s="60" t="s">
        <v>126</v>
      </c>
      <c r="H351" s="124"/>
      <c r="I351" s="124"/>
      <c r="J351" s="60"/>
      <c r="K351" s="60"/>
      <c r="L351" s="60"/>
      <c r="M351" s="60"/>
      <c r="N351" s="60">
        <f t="shared" ref="N351:N356" si="110">M351*J351*K351*L351</f>
        <v>0</v>
      </c>
      <c r="O351" s="60">
        <f t="shared" ref="O351:O356" si="111">J351*K351*L351</f>
        <v>0</v>
      </c>
    </row>
    <row r="352" spans="1:15" s="38" customFormat="1" ht="10.7" hidden="1" customHeight="1" outlineLevel="1" x14ac:dyDescent="0.25">
      <c r="A352" s="124"/>
      <c r="B352" s="142"/>
      <c r="C352" s="115"/>
      <c r="D352" s="115"/>
      <c r="E352" s="115"/>
      <c r="F352" s="115"/>
      <c r="G352" s="60" t="s">
        <v>127</v>
      </c>
      <c r="H352" s="124"/>
      <c r="I352" s="124"/>
      <c r="J352" s="60"/>
      <c r="K352" s="60"/>
      <c r="L352" s="60"/>
      <c r="M352" s="60"/>
      <c r="N352" s="60">
        <f t="shared" si="110"/>
        <v>0</v>
      </c>
      <c r="O352" s="60">
        <f t="shared" si="111"/>
        <v>0</v>
      </c>
    </row>
    <row r="353" spans="1:15" s="38" customFormat="1" ht="10.7" hidden="1" customHeight="1" outlineLevel="1" x14ac:dyDescent="0.25">
      <c r="A353" s="124"/>
      <c r="B353" s="142"/>
      <c r="C353" s="115"/>
      <c r="D353" s="115"/>
      <c r="E353" s="115"/>
      <c r="F353" s="115"/>
      <c r="G353" s="60" t="s">
        <v>128</v>
      </c>
      <c r="H353" s="124"/>
      <c r="I353" s="124"/>
      <c r="J353" s="60"/>
      <c r="K353" s="60"/>
      <c r="L353" s="60"/>
      <c r="M353" s="60"/>
      <c r="N353" s="60">
        <f t="shared" si="110"/>
        <v>0</v>
      </c>
      <c r="O353" s="60">
        <f t="shared" si="111"/>
        <v>0</v>
      </c>
    </row>
    <row r="354" spans="1:15" s="38" customFormat="1" ht="10.7" hidden="1" customHeight="1" outlineLevel="1" x14ac:dyDescent="0.25">
      <c r="A354" s="124"/>
      <c r="B354" s="142"/>
      <c r="C354" s="115"/>
      <c r="D354" s="115"/>
      <c r="E354" s="115"/>
      <c r="F354" s="115"/>
      <c r="G354" s="60" t="s">
        <v>129</v>
      </c>
      <c r="H354" s="124"/>
      <c r="I354" s="124"/>
      <c r="J354" s="60"/>
      <c r="K354" s="60"/>
      <c r="L354" s="60"/>
      <c r="M354" s="60"/>
      <c r="N354" s="60">
        <f t="shared" si="110"/>
        <v>0</v>
      </c>
      <c r="O354" s="60">
        <f t="shared" si="111"/>
        <v>0</v>
      </c>
    </row>
    <row r="355" spans="1:15" s="38" customFormat="1" ht="10.7" hidden="1" customHeight="1" outlineLevel="1" x14ac:dyDescent="0.25">
      <c r="A355" s="124"/>
      <c r="B355" s="142"/>
      <c r="C355" s="115"/>
      <c r="D355" s="115"/>
      <c r="E355" s="115"/>
      <c r="F355" s="115"/>
      <c r="G355" s="60" t="s">
        <v>130</v>
      </c>
      <c r="H355" s="124"/>
      <c r="I355" s="124"/>
      <c r="J355" s="60"/>
      <c r="K355" s="60"/>
      <c r="L355" s="60"/>
      <c r="M355" s="60"/>
      <c r="N355" s="60">
        <f t="shared" si="110"/>
        <v>0</v>
      </c>
      <c r="O355" s="60">
        <f t="shared" si="111"/>
        <v>0</v>
      </c>
    </row>
    <row r="356" spans="1:15" s="38" customFormat="1" ht="12" hidden="1" customHeight="1" outlineLevel="1" thickBot="1" x14ac:dyDescent="0.3">
      <c r="A356" s="125"/>
      <c r="B356" s="143"/>
      <c r="C356" s="131"/>
      <c r="D356" s="131"/>
      <c r="E356" s="131"/>
      <c r="F356" s="131"/>
      <c r="G356" s="60" t="s">
        <v>131</v>
      </c>
      <c r="H356" s="134"/>
      <c r="I356" s="134"/>
      <c r="J356" s="60"/>
      <c r="K356" s="60"/>
      <c r="L356" s="60"/>
      <c r="M356" s="60"/>
      <c r="N356" s="60">
        <f t="shared" si="110"/>
        <v>0</v>
      </c>
      <c r="O356" s="60">
        <f t="shared" si="111"/>
        <v>0</v>
      </c>
    </row>
    <row r="357" spans="1:15" s="38" customFormat="1" ht="14.45" hidden="1" customHeight="1" outlineLevel="1" x14ac:dyDescent="0.25">
      <c r="A357" s="140" t="s">
        <v>458</v>
      </c>
      <c r="B357" s="141" t="s">
        <v>459</v>
      </c>
      <c r="C357" s="130">
        <f>SUM(N357:N363)</f>
        <v>0</v>
      </c>
      <c r="D357" s="130">
        <f>SUM(O357:O363)</f>
        <v>0</v>
      </c>
      <c r="E357" s="130">
        <f t="shared" si="103"/>
        <v>0</v>
      </c>
      <c r="F357" s="130"/>
      <c r="G357" s="60" t="s">
        <v>125</v>
      </c>
      <c r="H357" s="123"/>
      <c r="I357" s="123"/>
      <c r="J357" s="60"/>
      <c r="K357" s="60"/>
      <c r="L357" s="60"/>
      <c r="M357" s="60"/>
      <c r="N357" s="60">
        <f>M357*J357*K357*L357</f>
        <v>0</v>
      </c>
      <c r="O357" s="60">
        <f>J357*K357*L357</f>
        <v>0</v>
      </c>
    </row>
    <row r="358" spans="1:15" s="38" customFormat="1" ht="11.45" hidden="1" customHeight="1" outlineLevel="1" x14ac:dyDescent="0.25">
      <c r="A358" s="124"/>
      <c r="B358" s="142"/>
      <c r="C358" s="115"/>
      <c r="D358" s="115"/>
      <c r="E358" s="115"/>
      <c r="F358" s="115"/>
      <c r="G358" s="60" t="s">
        <v>126</v>
      </c>
      <c r="H358" s="124"/>
      <c r="I358" s="124"/>
      <c r="J358" s="60"/>
      <c r="K358" s="60"/>
      <c r="L358" s="60"/>
      <c r="M358" s="60"/>
      <c r="N358" s="60">
        <f t="shared" ref="N358:N363" si="112">M358*J358*K358*L358</f>
        <v>0</v>
      </c>
      <c r="O358" s="60">
        <f t="shared" ref="O358:O363" si="113">J358*K358*L358</f>
        <v>0</v>
      </c>
    </row>
    <row r="359" spans="1:15" s="38" customFormat="1" ht="10.7" hidden="1" customHeight="1" outlineLevel="1" x14ac:dyDescent="0.25">
      <c r="A359" s="124"/>
      <c r="B359" s="142"/>
      <c r="C359" s="115"/>
      <c r="D359" s="115"/>
      <c r="E359" s="115"/>
      <c r="F359" s="115"/>
      <c r="G359" s="60" t="s">
        <v>127</v>
      </c>
      <c r="H359" s="124"/>
      <c r="I359" s="124"/>
      <c r="J359" s="60"/>
      <c r="K359" s="60"/>
      <c r="L359" s="60"/>
      <c r="M359" s="60"/>
      <c r="N359" s="60">
        <f t="shared" si="112"/>
        <v>0</v>
      </c>
      <c r="O359" s="60">
        <f t="shared" si="113"/>
        <v>0</v>
      </c>
    </row>
    <row r="360" spans="1:15" s="38" customFormat="1" ht="10.7" hidden="1" customHeight="1" outlineLevel="1" x14ac:dyDescent="0.25">
      <c r="A360" s="124"/>
      <c r="B360" s="142"/>
      <c r="C360" s="115"/>
      <c r="D360" s="115"/>
      <c r="E360" s="115"/>
      <c r="F360" s="115"/>
      <c r="G360" s="60" t="s">
        <v>128</v>
      </c>
      <c r="H360" s="124"/>
      <c r="I360" s="124"/>
      <c r="J360" s="60"/>
      <c r="K360" s="60"/>
      <c r="L360" s="60"/>
      <c r="M360" s="60"/>
      <c r="N360" s="60">
        <f t="shared" si="112"/>
        <v>0</v>
      </c>
      <c r="O360" s="60">
        <f t="shared" si="113"/>
        <v>0</v>
      </c>
    </row>
    <row r="361" spans="1:15" s="38" customFormat="1" ht="10.7" hidden="1" customHeight="1" outlineLevel="1" x14ac:dyDescent="0.25">
      <c r="A361" s="124"/>
      <c r="B361" s="142"/>
      <c r="C361" s="115"/>
      <c r="D361" s="115"/>
      <c r="E361" s="115"/>
      <c r="F361" s="115"/>
      <c r="G361" s="60" t="s">
        <v>129</v>
      </c>
      <c r="H361" s="124"/>
      <c r="I361" s="124"/>
      <c r="J361" s="60"/>
      <c r="K361" s="60"/>
      <c r="L361" s="60"/>
      <c r="M361" s="60"/>
      <c r="N361" s="60">
        <f t="shared" si="112"/>
        <v>0</v>
      </c>
      <c r="O361" s="60">
        <f t="shared" si="113"/>
        <v>0</v>
      </c>
    </row>
    <row r="362" spans="1:15" s="38" customFormat="1" ht="10.7" hidden="1" customHeight="1" outlineLevel="1" x14ac:dyDescent="0.25">
      <c r="A362" s="124"/>
      <c r="B362" s="142"/>
      <c r="C362" s="115"/>
      <c r="D362" s="115"/>
      <c r="E362" s="115"/>
      <c r="F362" s="115"/>
      <c r="G362" s="60" t="s">
        <v>130</v>
      </c>
      <c r="H362" s="124"/>
      <c r="I362" s="124"/>
      <c r="J362" s="60"/>
      <c r="K362" s="60"/>
      <c r="L362" s="60"/>
      <c r="M362" s="60"/>
      <c r="N362" s="60">
        <f t="shared" si="112"/>
        <v>0</v>
      </c>
      <c r="O362" s="60">
        <f t="shared" si="113"/>
        <v>0</v>
      </c>
    </row>
    <row r="363" spans="1:15" s="38" customFormat="1" ht="12" hidden="1" customHeight="1" outlineLevel="1" thickBot="1" x14ac:dyDescent="0.3">
      <c r="A363" s="125"/>
      <c r="B363" s="143"/>
      <c r="C363" s="131"/>
      <c r="D363" s="131"/>
      <c r="E363" s="131"/>
      <c r="F363" s="131"/>
      <c r="G363" s="60" t="s">
        <v>131</v>
      </c>
      <c r="H363" s="134"/>
      <c r="I363" s="134"/>
      <c r="J363" s="60"/>
      <c r="K363" s="60"/>
      <c r="L363" s="60"/>
      <c r="M363" s="60"/>
      <c r="N363" s="60">
        <f t="shared" si="112"/>
        <v>0</v>
      </c>
      <c r="O363" s="60">
        <f t="shared" si="113"/>
        <v>0</v>
      </c>
    </row>
    <row r="364" spans="1:15" s="38" customFormat="1" ht="14.45" hidden="1" customHeight="1" outlineLevel="1" x14ac:dyDescent="0.25">
      <c r="A364" s="140" t="s">
        <v>460</v>
      </c>
      <c r="B364" s="141" t="s">
        <v>286</v>
      </c>
      <c r="C364" s="130">
        <f>SUM(N364:N370)</f>
        <v>0</v>
      </c>
      <c r="D364" s="130">
        <f>SUM(O364:O370)</f>
        <v>0</v>
      </c>
      <c r="E364" s="130">
        <f t="shared" si="103"/>
        <v>0</v>
      </c>
      <c r="F364" s="130"/>
      <c r="G364" s="60" t="s">
        <v>125</v>
      </c>
      <c r="H364" s="123"/>
      <c r="I364" s="123"/>
      <c r="J364" s="60"/>
      <c r="K364" s="60"/>
      <c r="L364" s="60"/>
      <c r="M364" s="60"/>
      <c r="N364" s="60">
        <f>M364*J364*K364*L364</f>
        <v>0</v>
      </c>
      <c r="O364" s="60">
        <f>J364*K364*L364</f>
        <v>0</v>
      </c>
    </row>
    <row r="365" spans="1:15" s="38" customFormat="1" ht="11.45" hidden="1" customHeight="1" outlineLevel="1" x14ac:dyDescent="0.25">
      <c r="A365" s="124"/>
      <c r="B365" s="142"/>
      <c r="C365" s="115"/>
      <c r="D365" s="115"/>
      <c r="E365" s="115"/>
      <c r="F365" s="115"/>
      <c r="G365" s="60" t="s">
        <v>126</v>
      </c>
      <c r="H365" s="124"/>
      <c r="I365" s="124"/>
      <c r="J365" s="60"/>
      <c r="K365" s="60"/>
      <c r="L365" s="60"/>
      <c r="M365" s="60"/>
      <c r="N365" s="60">
        <f t="shared" ref="N365:N370" si="114">M365*J365*K365*L365</f>
        <v>0</v>
      </c>
      <c r="O365" s="60">
        <f t="shared" ref="O365:O370" si="115">J365*K365*L365</f>
        <v>0</v>
      </c>
    </row>
    <row r="366" spans="1:15" s="38" customFormat="1" ht="10.7" hidden="1" customHeight="1" outlineLevel="1" x14ac:dyDescent="0.25">
      <c r="A366" s="124"/>
      <c r="B366" s="142"/>
      <c r="C366" s="115"/>
      <c r="D366" s="115"/>
      <c r="E366" s="115"/>
      <c r="F366" s="115"/>
      <c r="G366" s="60" t="s">
        <v>127</v>
      </c>
      <c r="H366" s="124"/>
      <c r="I366" s="124"/>
      <c r="J366" s="60"/>
      <c r="K366" s="60"/>
      <c r="L366" s="60"/>
      <c r="M366" s="60"/>
      <c r="N366" s="60">
        <f t="shared" si="114"/>
        <v>0</v>
      </c>
      <c r="O366" s="60">
        <f t="shared" si="115"/>
        <v>0</v>
      </c>
    </row>
    <row r="367" spans="1:15" s="38" customFormat="1" ht="10.7" hidden="1" customHeight="1" outlineLevel="1" x14ac:dyDescent="0.25">
      <c r="A367" s="124"/>
      <c r="B367" s="142"/>
      <c r="C367" s="115"/>
      <c r="D367" s="115"/>
      <c r="E367" s="115"/>
      <c r="F367" s="115"/>
      <c r="G367" s="60" t="s">
        <v>128</v>
      </c>
      <c r="H367" s="124"/>
      <c r="I367" s="124"/>
      <c r="J367" s="60"/>
      <c r="K367" s="60"/>
      <c r="L367" s="60"/>
      <c r="M367" s="60"/>
      <c r="N367" s="60">
        <f t="shared" si="114"/>
        <v>0</v>
      </c>
      <c r="O367" s="60">
        <f t="shared" si="115"/>
        <v>0</v>
      </c>
    </row>
    <row r="368" spans="1:15" s="38" customFormat="1" ht="10.7" hidden="1" customHeight="1" outlineLevel="1" x14ac:dyDescent="0.25">
      <c r="A368" s="124"/>
      <c r="B368" s="142"/>
      <c r="C368" s="115"/>
      <c r="D368" s="115"/>
      <c r="E368" s="115"/>
      <c r="F368" s="115"/>
      <c r="G368" s="60" t="s">
        <v>129</v>
      </c>
      <c r="H368" s="124"/>
      <c r="I368" s="124"/>
      <c r="J368" s="60"/>
      <c r="K368" s="60"/>
      <c r="L368" s="60"/>
      <c r="M368" s="60"/>
      <c r="N368" s="60">
        <f t="shared" si="114"/>
        <v>0</v>
      </c>
      <c r="O368" s="60">
        <f t="shared" si="115"/>
        <v>0</v>
      </c>
    </row>
    <row r="369" spans="1:15" s="38" customFormat="1" ht="10.7" hidden="1" customHeight="1" outlineLevel="1" x14ac:dyDescent="0.25">
      <c r="A369" s="124"/>
      <c r="B369" s="142"/>
      <c r="C369" s="115"/>
      <c r="D369" s="115"/>
      <c r="E369" s="115"/>
      <c r="F369" s="115"/>
      <c r="G369" s="60" t="s">
        <v>130</v>
      </c>
      <c r="H369" s="124"/>
      <c r="I369" s="124"/>
      <c r="J369" s="60"/>
      <c r="K369" s="60"/>
      <c r="L369" s="60"/>
      <c r="M369" s="60"/>
      <c r="N369" s="60">
        <f t="shared" si="114"/>
        <v>0</v>
      </c>
      <c r="O369" s="60">
        <f t="shared" si="115"/>
        <v>0</v>
      </c>
    </row>
    <row r="370" spans="1:15" s="38" customFormat="1" ht="12" hidden="1" customHeight="1" outlineLevel="1" thickBot="1" x14ac:dyDescent="0.3">
      <c r="A370" s="125"/>
      <c r="B370" s="143"/>
      <c r="C370" s="131"/>
      <c r="D370" s="131"/>
      <c r="E370" s="131"/>
      <c r="F370" s="131"/>
      <c r="G370" s="60" t="s">
        <v>131</v>
      </c>
      <c r="H370" s="134"/>
      <c r="I370" s="134"/>
      <c r="J370" s="60"/>
      <c r="K370" s="60"/>
      <c r="L370" s="60"/>
      <c r="M370" s="60"/>
      <c r="N370" s="60">
        <f t="shared" si="114"/>
        <v>0</v>
      </c>
      <c r="O370" s="60">
        <f t="shared" si="115"/>
        <v>0</v>
      </c>
    </row>
    <row r="371" spans="1:15" s="38" customFormat="1" ht="14.45" hidden="1" customHeight="1" outlineLevel="1" x14ac:dyDescent="0.25">
      <c r="A371" s="140" t="s">
        <v>461</v>
      </c>
      <c r="B371" s="141" t="s">
        <v>462</v>
      </c>
      <c r="C371" s="130">
        <f>SUM(N371:N377)</f>
        <v>0</v>
      </c>
      <c r="D371" s="130">
        <f>SUM(O371:O377)</f>
        <v>0</v>
      </c>
      <c r="E371" s="130">
        <f t="shared" si="103"/>
        <v>0</v>
      </c>
      <c r="F371" s="130"/>
      <c r="G371" s="60" t="s">
        <v>125</v>
      </c>
      <c r="H371" s="123"/>
      <c r="I371" s="123"/>
      <c r="J371" s="60"/>
      <c r="K371" s="60"/>
      <c r="L371" s="60"/>
      <c r="M371" s="60"/>
      <c r="N371" s="60">
        <f>M371*J371*K371*L371</f>
        <v>0</v>
      </c>
      <c r="O371" s="60">
        <f>J371*K371*L371</f>
        <v>0</v>
      </c>
    </row>
    <row r="372" spans="1:15" s="38" customFormat="1" ht="11.45" hidden="1" customHeight="1" outlineLevel="1" x14ac:dyDescent="0.25">
      <c r="A372" s="124"/>
      <c r="B372" s="142"/>
      <c r="C372" s="115"/>
      <c r="D372" s="115"/>
      <c r="E372" s="115"/>
      <c r="F372" s="115"/>
      <c r="G372" s="60" t="s">
        <v>126</v>
      </c>
      <c r="H372" s="124"/>
      <c r="I372" s="124"/>
      <c r="J372" s="60"/>
      <c r="K372" s="60"/>
      <c r="L372" s="60"/>
      <c r="M372" s="60"/>
      <c r="N372" s="60">
        <f t="shared" ref="N372:N377" si="116">M372*J372*K372*L372</f>
        <v>0</v>
      </c>
      <c r="O372" s="60">
        <f t="shared" ref="O372:O377" si="117">J372*K372*L372</f>
        <v>0</v>
      </c>
    </row>
    <row r="373" spans="1:15" s="38" customFormat="1" ht="10.7" hidden="1" customHeight="1" outlineLevel="1" x14ac:dyDescent="0.25">
      <c r="A373" s="124"/>
      <c r="B373" s="142"/>
      <c r="C373" s="115"/>
      <c r="D373" s="115"/>
      <c r="E373" s="115"/>
      <c r="F373" s="115"/>
      <c r="G373" s="60" t="s">
        <v>127</v>
      </c>
      <c r="H373" s="124"/>
      <c r="I373" s="124"/>
      <c r="J373" s="60"/>
      <c r="K373" s="60"/>
      <c r="L373" s="60"/>
      <c r="M373" s="60"/>
      <c r="N373" s="60">
        <f t="shared" si="116"/>
        <v>0</v>
      </c>
      <c r="O373" s="60">
        <f t="shared" si="117"/>
        <v>0</v>
      </c>
    </row>
    <row r="374" spans="1:15" s="38" customFormat="1" ht="10.7" hidden="1" customHeight="1" outlineLevel="1" x14ac:dyDescent="0.25">
      <c r="A374" s="124"/>
      <c r="B374" s="142"/>
      <c r="C374" s="115"/>
      <c r="D374" s="115"/>
      <c r="E374" s="115"/>
      <c r="F374" s="115"/>
      <c r="G374" s="60" t="s">
        <v>128</v>
      </c>
      <c r="H374" s="124"/>
      <c r="I374" s="124"/>
      <c r="J374" s="60"/>
      <c r="K374" s="60"/>
      <c r="L374" s="60"/>
      <c r="M374" s="60"/>
      <c r="N374" s="60">
        <f t="shared" si="116"/>
        <v>0</v>
      </c>
      <c r="O374" s="60">
        <f t="shared" si="117"/>
        <v>0</v>
      </c>
    </row>
    <row r="375" spans="1:15" s="38" customFormat="1" ht="10.7" hidden="1" customHeight="1" outlineLevel="1" x14ac:dyDescent="0.25">
      <c r="A375" s="124"/>
      <c r="B375" s="142"/>
      <c r="C375" s="115"/>
      <c r="D375" s="115"/>
      <c r="E375" s="115"/>
      <c r="F375" s="115"/>
      <c r="G375" s="60" t="s">
        <v>129</v>
      </c>
      <c r="H375" s="124"/>
      <c r="I375" s="124"/>
      <c r="J375" s="60"/>
      <c r="K375" s="60"/>
      <c r="L375" s="60"/>
      <c r="M375" s="60"/>
      <c r="N375" s="60">
        <f t="shared" si="116"/>
        <v>0</v>
      </c>
      <c r="O375" s="60">
        <f t="shared" si="117"/>
        <v>0</v>
      </c>
    </row>
    <row r="376" spans="1:15" s="38" customFormat="1" ht="10.7" hidden="1" customHeight="1" outlineLevel="1" x14ac:dyDescent="0.25">
      <c r="A376" s="124"/>
      <c r="B376" s="142"/>
      <c r="C376" s="115"/>
      <c r="D376" s="115"/>
      <c r="E376" s="115"/>
      <c r="F376" s="115"/>
      <c r="G376" s="60" t="s">
        <v>130</v>
      </c>
      <c r="H376" s="124"/>
      <c r="I376" s="124"/>
      <c r="J376" s="60"/>
      <c r="K376" s="60"/>
      <c r="L376" s="60"/>
      <c r="M376" s="60"/>
      <c r="N376" s="60">
        <f t="shared" si="116"/>
        <v>0</v>
      </c>
      <c r="O376" s="60">
        <f t="shared" si="117"/>
        <v>0</v>
      </c>
    </row>
    <row r="377" spans="1:15" s="38" customFormat="1" ht="12" hidden="1" customHeight="1" outlineLevel="1" thickBot="1" x14ac:dyDescent="0.3">
      <c r="A377" s="125"/>
      <c r="B377" s="143"/>
      <c r="C377" s="131"/>
      <c r="D377" s="131"/>
      <c r="E377" s="131"/>
      <c r="F377" s="131"/>
      <c r="G377" s="60" t="s">
        <v>131</v>
      </c>
      <c r="H377" s="134"/>
      <c r="I377" s="134"/>
      <c r="J377" s="60"/>
      <c r="K377" s="60"/>
      <c r="L377" s="60"/>
      <c r="M377" s="60"/>
      <c r="N377" s="60">
        <f t="shared" si="116"/>
        <v>0</v>
      </c>
      <c r="O377" s="60">
        <f t="shared" si="117"/>
        <v>0</v>
      </c>
    </row>
    <row r="378" spans="1:15" s="38" customFormat="1" ht="14.45" hidden="1" customHeight="1" outlineLevel="1" x14ac:dyDescent="0.25">
      <c r="A378" s="140" t="s">
        <v>463</v>
      </c>
      <c r="B378" s="141" t="s">
        <v>464</v>
      </c>
      <c r="C378" s="130">
        <f>SUM(N378:N384)</f>
        <v>0</v>
      </c>
      <c r="D378" s="130">
        <f>SUM(O378:O384)</f>
        <v>0</v>
      </c>
      <c r="E378" s="130">
        <f t="shared" si="103"/>
        <v>0</v>
      </c>
      <c r="F378" s="130"/>
      <c r="G378" s="60" t="s">
        <v>125</v>
      </c>
      <c r="H378" s="123"/>
      <c r="I378" s="123"/>
      <c r="J378" s="60"/>
      <c r="K378" s="60"/>
      <c r="L378" s="60"/>
      <c r="M378" s="60"/>
      <c r="N378" s="60">
        <f>M378*J378*K378*L378</f>
        <v>0</v>
      </c>
      <c r="O378" s="60">
        <f>J378*K378*L378</f>
        <v>0</v>
      </c>
    </row>
    <row r="379" spans="1:15" s="38" customFormat="1" ht="11.45" hidden="1" customHeight="1" outlineLevel="1" x14ac:dyDescent="0.25">
      <c r="A379" s="124"/>
      <c r="B379" s="142"/>
      <c r="C379" s="115"/>
      <c r="D379" s="115"/>
      <c r="E379" s="115"/>
      <c r="F379" s="115"/>
      <c r="G379" s="60" t="s">
        <v>126</v>
      </c>
      <c r="H379" s="124"/>
      <c r="I379" s="124"/>
      <c r="J379" s="60"/>
      <c r="K379" s="60"/>
      <c r="L379" s="60"/>
      <c r="M379" s="60"/>
      <c r="N379" s="60">
        <f t="shared" ref="N379:N384" si="118">M379*J379*K379*L379</f>
        <v>0</v>
      </c>
      <c r="O379" s="60">
        <f t="shared" ref="O379:O384" si="119">J379*K379*L379</f>
        <v>0</v>
      </c>
    </row>
    <row r="380" spans="1:15" s="38" customFormat="1" ht="10.7" hidden="1" customHeight="1" outlineLevel="1" x14ac:dyDescent="0.25">
      <c r="A380" s="124"/>
      <c r="B380" s="142"/>
      <c r="C380" s="115"/>
      <c r="D380" s="115"/>
      <c r="E380" s="115"/>
      <c r="F380" s="115"/>
      <c r="G380" s="60" t="s">
        <v>127</v>
      </c>
      <c r="H380" s="124"/>
      <c r="I380" s="124"/>
      <c r="J380" s="60"/>
      <c r="K380" s="60"/>
      <c r="L380" s="60"/>
      <c r="M380" s="60"/>
      <c r="N380" s="60">
        <f t="shared" si="118"/>
        <v>0</v>
      </c>
      <c r="O380" s="60">
        <f t="shared" si="119"/>
        <v>0</v>
      </c>
    </row>
    <row r="381" spans="1:15" s="38" customFormat="1" ht="10.7" hidden="1" customHeight="1" outlineLevel="1" x14ac:dyDescent="0.25">
      <c r="A381" s="124"/>
      <c r="B381" s="142"/>
      <c r="C381" s="115"/>
      <c r="D381" s="115"/>
      <c r="E381" s="115"/>
      <c r="F381" s="115"/>
      <c r="G381" s="60" t="s">
        <v>128</v>
      </c>
      <c r="H381" s="124"/>
      <c r="I381" s="124"/>
      <c r="J381" s="60"/>
      <c r="K381" s="60"/>
      <c r="L381" s="60"/>
      <c r="M381" s="60"/>
      <c r="N381" s="60">
        <f t="shared" si="118"/>
        <v>0</v>
      </c>
      <c r="O381" s="60">
        <f t="shared" si="119"/>
        <v>0</v>
      </c>
    </row>
    <row r="382" spans="1:15" s="38" customFormat="1" ht="10.7" hidden="1" customHeight="1" outlineLevel="1" x14ac:dyDescent="0.25">
      <c r="A382" s="124"/>
      <c r="B382" s="142"/>
      <c r="C382" s="115"/>
      <c r="D382" s="115"/>
      <c r="E382" s="115"/>
      <c r="F382" s="115"/>
      <c r="G382" s="60" t="s">
        <v>129</v>
      </c>
      <c r="H382" s="124"/>
      <c r="I382" s="124"/>
      <c r="J382" s="60"/>
      <c r="K382" s="60"/>
      <c r="L382" s="60"/>
      <c r="M382" s="60"/>
      <c r="N382" s="60">
        <f t="shared" si="118"/>
        <v>0</v>
      </c>
      <c r="O382" s="60">
        <f t="shared" si="119"/>
        <v>0</v>
      </c>
    </row>
    <row r="383" spans="1:15" s="38" customFormat="1" ht="10.7" hidden="1" customHeight="1" outlineLevel="1" x14ac:dyDescent="0.25">
      <c r="A383" s="124"/>
      <c r="B383" s="142"/>
      <c r="C383" s="115"/>
      <c r="D383" s="115"/>
      <c r="E383" s="115"/>
      <c r="F383" s="115"/>
      <c r="G383" s="60" t="s">
        <v>130</v>
      </c>
      <c r="H383" s="124"/>
      <c r="I383" s="124"/>
      <c r="J383" s="60"/>
      <c r="K383" s="60"/>
      <c r="L383" s="60"/>
      <c r="M383" s="60"/>
      <c r="N383" s="60">
        <f t="shared" si="118"/>
        <v>0</v>
      </c>
      <c r="O383" s="60">
        <f t="shared" si="119"/>
        <v>0</v>
      </c>
    </row>
    <row r="384" spans="1:15" s="38" customFormat="1" ht="12" hidden="1" customHeight="1" outlineLevel="1" thickBot="1" x14ac:dyDescent="0.3">
      <c r="A384" s="125"/>
      <c r="B384" s="143"/>
      <c r="C384" s="131"/>
      <c r="D384" s="131"/>
      <c r="E384" s="131"/>
      <c r="F384" s="131"/>
      <c r="G384" s="60" t="s">
        <v>131</v>
      </c>
      <c r="H384" s="134"/>
      <c r="I384" s="134"/>
      <c r="J384" s="60"/>
      <c r="K384" s="60"/>
      <c r="L384" s="60"/>
      <c r="M384" s="60"/>
      <c r="N384" s="60">
        <f t="shared" si="118"/>
        <v>0</v>
      </c>
      <c r="O384" s="60">
        <f t="shared" si="119"/>
        <v>0</v>
      </c>
    </row>
    <row r="385" spans="1:15" s="38" customFormat="1" ht="14.45" hidden="1" customHeight="1" outlineLevel="1" x14ac:dyDescent="0.25">
      <c r="A385" s="140" t="s">
        <v>465</v>
      </c>
      <c r="B385" s="141" t="s">
        <v>466</v>
      </c>
      <c r="C385" s="130">
        <f>SUM(N385:N391)</f>
        <v>0</v>
      </c>
      <c r="D385" s="130">
        <f>SUM(O385:O391)</f>
        <v>0</v>
      </c>
      <c r="E385" s="130">
        <f t="shared" si="103"/>
        <v>0</v>
      </c>
      <c r="F385" s="130"/>
      <c r="G385" s="60" t="s">
        <v>125</v>
      </c>
      <c r="H385" s="123"/>
      <c r="I385" s="123"/>
      <c r="J385" s="60"/>
      <c r="K385" s="60"/>
      <c r="L385" s="60"/>
      <c r="M385" s="60"/>
      <c r="N385" s="60">
        <f>M385*J385*K385*L385</f>
        <v>0</v>
      </c>
      <c r="O385" s="60">
        <f>J385*K385*L385</f>
        <v>0</v>
      </c>
    </row>
    <row r="386" spans="1:15" s="38" customFormat="1" ht="11.45" hidden="1" customHeight="1" outlineLevel="1" x14ac:dyDescent="0.25">
      <c r="A386" s="124"/>
      <c r="B386" s="142"/>
      <c r="C386" s="115"/>
      <c r="D386" s="115"/>
      <c r="E386" s="115"/>
      <c r="F386" s="115"/>
      <c r="G386" s="60" t="s">
        <v>126</v>
      </c>
      <c r="H386" s="124"/>
      <c r="I386" s="124"/>
      <c r="J386" s="60"/>
      <c r="K386" s="60"/>
      <c r="L386" s="60"/>
      <c r="M386" s="60"/>
      <c r="N386" s="60">
        <f t="shared" ref="N386:N391" si="120">M386*J386*K386*L386</f>
        <v>0</v>
      </c>
      <c r="O386" s="60">
        <f t="shared" ref="O386:O391" si="121">J386*K386*L386</f>
        <v>0</v>
      </c>
    </row>
    <row r="387" spans="1:15" s="38" customFormat="1" ht="10.7" hidden="1" customHeight="1" outlineLevel="1" x14ac:dyDescent="0.25">
      <c r="A387" s="124"/>
      <c r="B387" s="142"/>
      <c r="C387" s="115"/>
      <c r="D387" s="115"/>
      <c r="E387" s="115"/>
      <c r="F387" s="115"/>
      <c r="G387" s="60" t="s">
        <v>127</v>
      </c>
      <c r="H387" s="124"/>
      <c r="I387" s="124"/>
      <c r="J387" s="60"/>
      <c r="K387" s="60"/>
      <c r="L387" s="60"/>
      <c r="M387" s="60"/>
      <c r="N387" s="60">
        <f t="shared" si="120"/>
        <v>0</v>
      </c>
      <c r="O387" s="60">
        <f t="shared" si="121"/>
        <v>0</v>
      </c>
    </row>
    <row r="388" spans="1:15" s="38" customFormat="1" ht="10.7" hidden="1" customHeight="1" outlineLevel="1" x14ac:dyDescent="0.25">
      <c r="A388" s="124"/>
      <c r="B388" s="142"/>
      <c r="C388" s="115"/>
      <c r="D388" s="115"/>
      <c r="E388" s="115"/>
      <c r="F388" s="115"/>
      <c r="G388" s="60" t="s">
        <v>128</v>
      </c>
      <c r="H388" s="124"/>
      <c r="I388" s="124"/>
      <c r="J388" s="60"/>
      <c r="K388" s="60"/>
      <c r="L388" s="60"/>
      <c r="M388" s="60"/>
      <c r="N388" s="60">
        <f t="shared" si="120"/>
        <v>0</v>
      </c>
      <c r="O388" s="60">
        <f t="shared" si="121"/>
        <v>0</v>
      </c>
    </row>
    <row r="389" spans="1:15" s="38" customFormat="1" ht="10.7" hidden="1" customHeight="1" outlineLevel="1" x14ac:dyDescent="0.25">
      <c r="A389" s="124"/>
      <c r="B389" s="142"/>
      <c r="C389" s="115"/>
      <c r="D389" s="115"/>
      <c r="E389" s="115"/>
      <c r="F389" s="115"/>
      <c r="G389" s="60" t="s">
        <v>129</v>
      </c>
      <c r="H389" s="124"/>
      <c r="I389" s="124"/>
      <c r="J389" s="60"/>
      <c r="K389" s="60"/>
      <c r="L389" s="60"/>
      <c r="M389" s="60"/>
      <c r="N389" s="60">
        <f t="shared" si="120"/>
        <v>0</v>
      </c>
      <c r="O389" s="60">
        <f t="shared" si="121"/>
        <v>0</v>
      </c>
    </row>
    <row r="390" spans="1:15" s="38" customFormat="1" ht="10.7" hidden="1" customHeight="1" outlineLevel="1" x14ac:dyDescent="0.25">
      <c r="A390" s="124"/>
      <c r="B390" s="142"/>
      <c r="C390" s="115"/>
      <c r="D390" s="115"/>
      <c r="E390" s="115"/>
      <c r="F390" s="115"/>
      <c r="G390" s="60" t="s">
        <v>130</v>
      </c>
      <c r="H390" s="124"/>
      <c r="I390" s="124"/>
      <c r="J390" s="60"/>
      <c r="K390" s="60"/>
      <c r="L390" s="60"/>
      <c r="M390" s="60"/>
      <c r="N390" s="60">
        <f t="shared" si="120"/>
        <v>0</v>
      </c>
      <c r="O390" s="60">
        <f t="shared" si="121"/>
        <v>0</v>
      </c>
    </row>
    <row r="391" spans="1:15" s="38" customFormat="1" ht="12" hidden="1" customHeight="1" outlineLevel="1" thickBot="1" x14ac:dyDescent="0.3">
      <c r="A391" s="125"/>
      <c r="B391" s="143"/>
      <c r="C391" s="131"/>
      <c r="D391" s="131"/>
      <c r="E391" s="131"/>
      <c r="F391" s="131"/>
      <c r="G391" s="60" t="s">
        <v>131</v>
      </c>
      <c r="H391" s="134"/>
      <c r="I391" s="134"/>
      <c r="J391" s="60"/>
      <c r="K391" s="60"/>
      <c r="L391" s="60"/>
      <c r="M391" s="60"/>
      <c r="N391" s="60">
        <f t="shared" si="120"/>
        <v>0</v>
      </c>
      <c r="O391" s="60">
        <f t="shared" si="121"/>
        <v>0</v>
      </c>
    </row>
    <row r="392" spans="1:15" s="38" customFormat="1" ht="14.45" hidden="1" customHeight="1" outlineLevel="1" x14ac:dyDescent="0.25">
      <c r="A392" s="140" t="s">
        <v>467</v>
      </c>
      <c r="B392" s="141" t="s">
        <v>468</v>
      </c>
      <c r="C392" s="130">
        <f>SUM(N392:N398)</f>
        <v>0</v>
      </c>
      <c r="D392" s="130">
        <f>SUM(O392:O398)</f>
        <v>0</v>
      </c>
      <c r="E392" s="130">
        <f t="shared" ref="E392:E441" si="122">D392/8</f>
        <v>0</v>
      </c>
      <c r="F392" s="130"/>
      <c r="G392" s="60" t="s">
        <v>125</v>
      </c>
      <c r="H392" s="123"/>
      <c r="I392" s="123"/>
      <c r="J392" s="60"/>
      <c r="K392" s="60"/>
      <c r="L392" s="60"/>
      <c r="M392" s="60"/>
      <c r="N392" s="60">
        <f>M392*J392*K392*L392</f>
        <v>0</v>
      </c>
      <c r="O392" s="60">
        <f>J392*K392*L392</f>
        <v>0</v>
      </c>
    </row>
    <row r="393" spans="1:15" s="38" customFormat="1" ht="11.45" hidden="1" customHeight="1" outlineLevel="1" x14ac:dyDescent="0.25">
      <c r="A393" s="124"/>
      <c r="B393" s="142"/>
      <c r="C393" s="115"/>
      <c r="D393" s="115"/>
      <c r="E393" s="115"/>
      <c r="F393" s="115"/>
      <c r="G393" s="60" t="s">
        <v>126</v>
      </c>
      <c r="H393" s="124"/>
      <c r="I393" s="124"/>
      <c r="J393" s="60"/>
      <c r="K393" s="60"/>
      <c r="L393" s="60"/>
      <c r="M393" s="60"/>
      <c r="N393" s="60">
        <f t="shared" ref="N393:N398" si="123">M393*J393*K393*L393</f>
        <v>0</v>
      </c>
      <c r="O393" s="60">
        <f t="shared" ref="O393:O398" si="124">J393*K393*L393</f>
        <v>0</v>
      </c>
    </row>
    <row r="394" spans="1:15" s="38" customFormat="1" ht="10.7" hidden="1" customHeight="1" outlineLevel="1" x14ac:dyDescent="0.25">
      <c r="A394" s="124"/>
      <c r="B394" s="142"/>
      <c r="C394" s="115"/>
      <c r="D394" s="115"/>
      <c r="E394" s="115"/>
      <c r="F394" s="115"/>
      <c r="G394" s="60" t="s">
        <v>127</v>
      </c>
      <c r="H394" s="124"/>
      <c r="I394" s="124"/>
      <c r="J394" s="60"/>
      <c r="K394" s="60"/>
      <c r="L394" s="60"/>
      <c r="M394" s="60"/>
      <c r="N394" s="60">
        <f t="shared" si="123"/>
        <v>0</v>
      </c>
      <c r="O394" s="60">
        <f t="shared" si="124"/>
        <v>0</v>
      </c>
    </row>
    <row r="395" spans="1:15" s="38" customFormat="1" ht="10.7" hidden="1" customHeight="1" outlineLevel="1" x14ac:dyDescent="0.25">
      <c r="A395" s="124"/>
      <c r="B395" s="142"/>
      <c r="C395" s="115"/>
      <c r="D395" s="115"/>
      <c r="E395" s="115"/>
      <c r="F395" s="115"/>
      <c r="G395" s="60" t="s">
        <v>128</v>
      </c>
      <c r="H395" s="124"/>
      <c r="I395" s="124"/>
      <c r="J395" s="60"/>
      <c r="K395" s="60"/>
      <c r="L395" s="60"/>
      <c r="M395" s="60"/>
      <c r="N395" s="60">
        <f t="shared" si="123"/>
        <v>0</v>
      </c>
      <c r="O395" s="60">
        <f t="shared" si="124"/>
        <v>0</v>
      </c>
    </row>
    <row r="396" spans="1:15" s="38" customFormat="1" ht="10.7" hidden="1" customHeight="1" outlineLevel="1" x14ac:dyDescent="0.25">
      <c r="A396" s="124"/>
      <c r="B396" s="142"/>
      <c r="C396" s="115"/>
      <c r="D396" s="115"/>
      <c r="E396" s="115"/>
      <c r="F396" s="115"/>
      <c r="G396" s="60" t="s">
        <v>129</v>
      </c>
      <c r="H396" s="124"/>
      <c r="I396" s="124"/>
      <c r="J396" s="60"/>
      <c r="K396" s="60"/>
      <c r="L396" s="60"/>
      <c r="M396" s="60"/>
      <c r="N396" s="60">
        <f t="shared" si="123"/>
        <v>0</v>
      </c>
      <c r="O396" s="60">
        <f t="shared" si="124"/>
        <v>0</v>
      </c>
    </row>
    <row r="397" spans="1:15" s="38" customFormat="1" ht="10.7" hidden="1" customHeight="1" outlineLevel="1" x14ac:dyDescent="0.25">
      <c r="A397" s="124"/>
      <c r="B397" s="142"/>
      <c r="C397" s="115"/>
      <c r="D397" s="115"/>
      <c r="E397" s="115"/>
      <c r="F397" s="115"/>
      <c r="G397" s="60" t="s">
        <v>130</v>
      </c>
      <c r="H397" s="124"/>
      <c r="I397" s="124"/>
      <c r="J397" s="60"/>
      <c r="K397" s="60"/>
      <c r="L397" s="60"/>
      <c r="M397" s="60"/>
      <c r="N397" s="60">
        <f t="shared" si="123"/>
        <v>0</v>
      </c>
      <c r="O397" s="60">
        <f t="shared" si="124"/>
        <v>0</v>
      </c>
    </row>
    <row r="398" spans="1:15" s="38" customFormat="1" ht="12" hidden="1" customHeight="1" outlineLevel="1" thickBot="1" x14ac:dyDescent="0.3">
      <c r="A398" s="125"/>
      <c r="B398" s="143"/>
      <c r="C398" s="131"/>
      <c r="D398" s="131"/>
      <c r="E398" s="131"/>
      <c r="F398" s="131"/>
      <c r="G398" s="60" t="s">
        <v>131</v>
      </c>
      <c r="H398" s="134"/>
      <c r="I398" s="134"/>
      <c r="J398" s="60"/>
      <c r="K398" s="60"/>
      <c r="L398" s="60"/>
      <c r="M398" s="60"/>
      <c r="N398" s="60">
        <f t="shared" si="123"/>
        <v>0</v>
      </c>
      <c r="O398" s="60">
        <f t="shared" si="124"/>
        <v>0</v>
      </c>
    </row>
    <row r="399" spans="1:15" s="38" customFormat="1" ht="14.45" hidden="1" customHeight="1" outlineLevel="1" x14ac:dyDescent="0.25">
      <c r="A399" s="140" t="s">
        <v>469</v>
      </c>
      <c r="B399" s="141" t="s">
        <v>470</v>
      </c>
      <c r="C399" s="130">
        <f>SUM(N399:N405)</f>
        <v>0</v>
      </c>
      <c r="D399" s="130">
        <f>SUM(O399:O405)</f>
        <v>0</v>
      </c>
      <c r="E399" s="130">
        <f t="shared" si="122"/>
        <v>0</v>
      </c>
      <c r="F399" s="130"/>
      <c r="G399" s="60" t="s">
        <v>125</v>
      </c>
      <c r="H399" s="123"/>
      <c r="I399" s="123"/>
      <c r="J399" s="60"/>
      <c r="K399" s="60"/>
      <c r="L399" s="60"/>
      <c r="M399" s="60"/>
      <c r="N399" s="60">
        <f>M399*J399*K399*L399</f>
        <v>0</v>
      </c>
      <c r="O399" s="60">
        <f>J399*K399*L399</f>
        <v>0</v>
      </c>
    </row>
    <row r="400" spans="1:15" s="38" customFormat="1" ht="11.45" hidden="1" customHeight="1" outlineLevel="1" x14ac:dyDescent="0.25">
      <c r="A400" s="124"/>
      <c r="B400" s="142"/>
      <c r="C400" s="115"/>
      <c r="D400" s="115"/>
      <c r="E400" s="115"/>
      <c r="F400" s="115"/>
      <c r="G400" s="60" t="s">
        <v>126</v>
      </c>
      <c r="H400" s="124"/>
      <c r="I400" s="124"/>
      <c r="J400" s="60"/>
      <c r="K400" s="60"/>
      <c r="L400" s="60"/>
      <c r="M400" s="60"/>
      <c r="N400" s="60">
        <f t="shared" ref="N400:N405" si="125">M400*J400*K400*L400</f>
        <v>0</v>
      </c>
      <c r="O400" s="60">
        <f t="shared" ref="O400:O405" si="126">J400*K400*L400</f>
        <v>0</v>
      </c>
    </row>
    <row r="401" spans="1:15" s="38" customFormat="1" ht="10.7" hidden="1" customHeight="1" outlineLevel="1" x14ac:dyDescent="0.25">
      <c r="A401" s="124"/>
      <c r="B401" s="142"/>
      <c r="C401" s="115"/>
      <c r="D401" s="115"/>
      <c r="E401" s="115"/>
      <c r="F401" s="115"/>
      <c r="G401" s="60" t="s">
        <v>127</v>
      </c>
      <c r="H401" s="124"/>
      <c r="I401" s="124"/>
      <c r="J401" s="60"/>
      <c r="K401" s="60"/>
      <c r="L401" s="60"/>
      <c r="M401" s="60"/>
      <c r="N401" s="60">
        <f t="shared" si="125"/>
        <v>0</v>
      </c>
      <c r="O401" s="60">
        <f t="shared" si="126"/>
        <v>0</v>
      </c>
    </row>
    <row r="402" spans="1:15" s="38" customFormat="1" ht="10.7" hidden="1" customHeight="1" outlineLevel="1" x14ac:dyDescent="0.25">
      <c r="A402" s="124"/>
      <c r="B402" s="142"/>
      <c r="C402" s="115"/>
      <c r="D402" s="115"/>
      <c r="E402" s="115"/>
      <c r="F402" s="115"/>
      <c r="G402" s="60" t="s">
        <v>128</v>
      </c>
      <c r="H402" s="124"/>
      <c r="I402" s="124"/>
      <c r="J402" s="60"/>
      <c r="K402" s="60"/>
      <c r="L402" s="60"/>
      <c r="M402" s="60"/>
      <c r="N402" s="60">
        <f t="shared" si="125"/>
        <v>0</v>
      </c>
      <c r="O402" s="60">
        <f t="shared" si="126"/>
        <v>0</v>
      </c>
    </row>
    <row r="403" spans="1:15" s="38" customFormat="1" ht="10.7" hidden="1" customHeight="1" outlineLevel="1" x14ac:dyDescent="0.25">
      <c r="A403" s="124"/>
      <c r="B403" s="142"/>
      <c r="C403" s="115"/>
      <c r="D403" s="115"/>
      <c r="E403" s="115"/>
      <c r="F403" s="115"/>
      <c r="G403" s="60" t="s">
        <v>129</v>
      </c>
      <c r="H403" s="124"/>
      <c r="I403" s="124"/>
      <c r="J403" s="60"/>
      <c r="K403" s="60"/>
      <c r="L403" s="60"/>
      <c r="M403" s="60"/>
      <c r="N403" s="60">
        <f t="shared" si="125"/>
        <v>0</v>
      </c>
      <c r="O403" s="60">
        <f t="shared" si="126"/>
        <v>0</v>
      </c>
    </row>
    <row r="404" spans="1:15" s="38" customFormat="1" ht="10.7" hidden="1" customHeight="1" outlineLevel="1" x14ac:dyDescent="0.25">
      <c r="A404" s="124"/>
      <c r="B404" s="142"/>
      <c r="C404" s="115"/>
      <c r="D404" s="115"/>
      <c r="E404" s="115"/>
      <c r="F404" s="115"/>
      <c r="G404" s="60" t="s">
        <v>130</v>
      </c>
      <c r="H404" s="124"/>
      <c r="I404" s="124"/>
      <c r="J404" s="60"/>
      <c r="K404" s="60"/>
      <c r="L404" s="60"/>
      <c r="M404" s="60"/>
      <c r="N404" s="60">
        <f t="shared" si="125"/>
        <v>0</v>
      </c>
      <c r="O404" s="60">
        <f t="shared" si="126"/>
        <v>0</v>
      </c>
    </row>
    <row r="405" spans="1:15" s="38" customFormat="1" ht="12" hidden="1" customHeight="1" outlineLevel="1" thickBot="1" x14ac:dyDescent="0.3">
      <c r="A405" s="125"/>
      <c r="B405" s="143"/>
      <c r="C405" s="131"/>
      <c r="D405" s="131"/>
      <c r="E405" s="131"/>
      <c r="F405" s="131"/>
      <c r="G405" s="60" t="s">
        <v>131</v>
      </c>
      <c r="H405" s="134"/>
      <c r="I405" s="134"/>
      <c r="J405" s="60"/>
      <c r="K405" s="60"/>
      <c r="L405" s="60"/>
      <c r="M405" s="60"/>
      <c r="N405" s="60">
        <f t="shared" si="125"/>
        <v>0</v>
      </c>
      <c r="O405" s="60">
        <f t="shared" si="126"/>
        <v>0</v>
      </c>
    </row>
    <row r="406" spans="1:15" s="38" customFormat="1" ht="14.45" hidden="1" customHeight="1" outlineLevel="1" x14ac:dyDescent="0.25">
      <c r="A406" s="140" t="s">
        <v>471</v>
      </c>
      <c r="B406" s="141" t="s">
        <v>472</v>
      </c>
      <c r="C406" s="130">
        <f>SUM(N406:N412)</f>
        <v>0</v>
      </c>
      <c r="D406" s="130">
        <f>SUM(O406:O412)</f>
        <v>0</v>
      </c>
      <c r="E406" s="130">
        <f t="shared" si="122"/>
        <v>0</v>
      </c>
      <c r="F406" s="130"/>
      <c r="G406" s="60" t="s">
        <v>125</v>
      </c>
      <c r="H406" s="123"/>
      <c r="I406" s="123"/>
      <c r="J406" s="60"/>
      <c r="K406" s="60"/>
      <c r="L406" s="60"/>
      <c r="M406" s="60"/>
      <c r="N406" s="60">
        <f>M406*J406*K406*L406</f>
        <v>0</v>
      </c>
      <c r="O406" s="60">
        <f>J406*K406*L406</f>
        <v>0</v>
      </c>
    </row>
    <row r="407" spans="1:15" s="38" customFormat="1" ht="11.45" hidden="1" customHeight="1" outlineLevel="1" x14ac:dyDescent="0.25">
      <c r="A407" s="124"/>
      <c r="B407" s="142"/>
      <c r="C407" s="115"/>
      <c r="D407" s="115"/>
      <c r="E407" s="115"/>
      <c r="F407" s="115"/>
      <c r="G407" s="60" t="s">
        <v>126</v>
      </c>
      <c r="H407" s="124"/>
      <c r="I407" s="124"/>
      <c r="J407" s="60"/>
      <c r="K407" s="60"/>
      <c r="L407" s="60"/>
      <c r="M407" s="60"/>
      <c r="N407" s="60">
        <f t="shared" ref="N407:N412" si="127">M407*J407*K407*L407</f>
        <v>0</v>
      </c>
      <c r="O407" s="60">
        <f t="shared" ref="O407:O412" si="128">J407*K407*L407</f>
        <v>0</v>
      </c>
    </row>
    <row r="408" spans="1:15" s="38" customFormat="1" ht="10.7" hidden="1" customHeight="1" outlineLevel="1" x14ac:dyDescent="0.25">
      <c r="A408" s="124"/>
      <c r="B408" s="142"/>
      <c r="C408" s="115"/>
      <c r="D408" s="115"/>
      <c r="E408" s="115"/>
      <c r="F408" s="115"/>
      <c r="G408" s="60" t="s">
        <v>127</v>
      </c>
      <c r="H408" s="124"/>
      <c r="I408" s="124"/>
      <c r="J408" s="60"/>
      <c r="K408" s="60"/>
      <c r="L408" s="60"/>
      <c r="M408" s="60"/>
      <c r="N408" s="60">
        <f t="shared" si="127"/>
        <v>0</v>
      </c>
      <c r="O408" s="60">
        <f t="shared" si="128"/>
        <v>0</v>
      </c>
    </row>
    <row r="409" spans="1:15" s="38" customFormat="1" ht="10.7" hidden="1" customHeight="1" outlineLevel="1" x14ac:dyDescent="0.25">
      <c r="A409" s="124"/>
      <c r="B409" s="142"/>
      <c r="C409" s="115"/>
      <c r="D409" s="115"/>
      <c r="E409" s="115"/>
      <c r="F409" s="115"/>
      <c r="G409" s="60" t="s">
        <v>128</v>
      </c>
      <c r="H409" s="124"/>
      <c r="I409" s="124"/>
      <c r="J409" s="60"/>
      <c r="K409" s="60"/>
      <c r="L409" s="60"/>
      <c r="M409" s="60"/>
      <c r="N409" s="60">
        <f t="shared" si="127"/>
        <v>0</v>
      </c>
      <c r="O409" s="60">
        <f t="shared" si="128"/>
        <v>0</v>
      </c>
    </row>
    <row r="410" spans="1:15" s="38" customFormat="1" ht="10.7" hidden="1" customHeight="1" outlineLevel="1" x14ac:dyDescent="0.25">
      <c r="A410" s="124"/>
      <c r="B410" s="142"/>
      <c r="C410" s="115"/>
      <c r="D410" s="115"/>
      <c r="E410" s="115"/>
      <c r="F410" s="115"/>
      <c r="G410" s="60" t="s">
        <v>129</v>
      </c>
      <c r="H410" s="124"/>
      <c r="I410" s="124"/>
      <c r="J410" s="60"/>
      <c r="K410" s="60"/>
      <c r="L410" s="60"/>
      <c r="M410" s="60"/>
      <c r="N410" s="60">
        <f t="shared" si="127"/>
        <v>0</v>
      </c>
      <c r="O410" s="60">
        <f t="shared" si="128"/>
        <v>0</v>
      </c>
    </row>
    <row r="411" spans="1:15" s="38" customFormat="1" ht="10.7" hidden="1" customHeight="1" outlineLevel="1" x14ac:dyDescent="0.25">
      <c r="A411" s="124"/>
      <c r="B411" s="142"/>
      <c r="C411" s="115"/>
      <c r="D411" s="115"/>
      <c r="E411" s="115"/>
      <c r="F411" s="115"/>
      <c r="G411" s="60" t="s">
        <v>130</v>
      </c>
      <c r="H411" s="124"/>
      <c r="I411" s="124"/>
      <c r="J411" s="60"/>
      <c r="K411" s="60"/>
      <c r="L411" s="60"/>
      <c r="M411" s="60"/>
      <c r="N411" s="60">
        <f t="shared" si="127"/>
        <v>0</v>
      </c>
      <c r="O411" s="60">
        <f t="shared" si="128"/>
        <v>0</v>
      </c>
    </row>
    <row r="412" spans="1:15" s="38" customFormat="1" ht="12" hidden="1" customHeight="1" outlineLevel="1" thickBot="1" x14ac:dyDescent="0.3">
      <c r="A412" s="125"/>
      <c r="B412" s="143"/>
      <c r="C412" s="131"/>
      <c r="D412" s="131"/>
      <c r="E412" s="131"/>
      <c r="F412" s="131"/>
      <c r="G412" s="60" t="s">
        <v>131</v>
      </c>
      <c r="H412" s="134"/>
      <c r="I412" s="134"/>
      <c r="J412" s="60"/>
      <c r="K412" s="60"/>
      <c r="L412" s="60"/>
      <c r="M412" s="60"/>
      <c r="N412" s="60">
        <f t="shared" si="127"/>
        <v>0</v>
      </c>
      <c r="O412" s="60">
        <f t="shared" si="128"/>
        <v>0</v>
      </c>
    </row>
    <row r="413" spans="1:15" s="38" customFormat="1" ht="14.45" hidden="1" customHeight="1" outlineLevel="1" x14ac:dyDescent="0.25">
      <c r="A413" s="140" t="s">
        <v>473</v>
      </c>
      <c r="B413" s="141" t="s">
        <v>326</v>
      </c>
      <c r="C413" s="130">
        <f>SUM(N413:N419)</f>
        <v>0</v>
      </c>
      <c r="D413" s="130">
        <f>SUM(O413:O419)</f>
        <v>0</v>
      </c>
      <c r="E413" s="130">
        <f t="shared" si="122"/>
        <v>0</v>
      </c>
      <c r="F413" s="130"/>
      <c r="G413" s="60" t="s">
        <v>125</v>
      </c>
      <c r="H413" s="123"/>
      <c r="I413" s="123"/>
      <c r="J413" s="60"/>
      <c r="K413" s="60"/>
      <c r="L413" s="60"/>
      <c r="M413" s="60"/>
      <c r="N413" s="60">
        <f>M413*J413*K413*L413</f>
        <v>0</v>
      </c>
      <c r="O413" s="60">
        <f>J413*K413*L413</f>
        <v>0</v>
      </c>
    </row>
    <row r="414" spans="1:15" s="38" customFormat="1" ht="11.45" hidden="1" customHeight="1" outlineLevel="1" x14ac:dyDescent="0.25">
      <c r="A414" s="124"/>
      <c r="B414" s="142"/>
      <c r="C414" s="115"/>
      <c r="D414" s="115"/>
      <c r="E414" s="115"/>
      <c r="F414" s="115"/>
      <c r="G414" s="60" t="s">
        <v>126</v>
      </c>
      <c r="H414" s="124"/>
      <c r="I414" s="124"/>
      <c r="J414" s="60"/>
      <c r="K414" s="60"/>
      <c r="L414" s="60"/>
      <c r="M414" s="60"/>
      <c r="N414" s="60">
        <f t="shared" ref="N414:N419" si="129">M414*J414*K414*L414</f>
        <v>0</v>
      </c>
      <c r="O414" s="60">
        <f t="shared" ref="O414:O419" si="130">J414*K414*L414</f>
        <v>0</v>
      </c>
    </row>
    <row r="415" spans="1:15" s="38" customFormat="1" ht="10.7" hidden="1" customHeight="1" outlineLevel="1" x14ac:dyDescent="0.25">
      <c r="A415" s="124"/>
      <c r="B415" s="142"/>
      <c r="C415" s="115"/>
      <c r="D415" s="115"/>
      <c r="E415" s="115"/>
      <c r="F415" s="115"/>
      <c r="G415" s="60" t="s">
        <v>127</v>
      </c>
      <c r="H415" s="124"/>
      <c r="I415" s="124"/>
      <c r="J415" s="60"/>
      <c r="K415" s="60"/>
      <c r="L415" s="60"/>
      <c r="M415" s="60"/>
      <c r="N415" s="60">
        <f t="shared" si="129"/>
        <v>0</v>
      </c>
      <c r="O415" s="60">
        <f t="shared" si="130"/>
        <v>0</v>
      </c>
    </row>
    <row r="416" spans="1:15" s="38" customFormat="1" ht="10.7" hidden="1" customHeight="1" outlineLevel="1" x14ac:dyDescent="0.25">
      <c r="A416" s="124"/>
      <c r="B416" s="142"/>
      <c r="C416" s="115"/>
      <c r="D416" s="115"/>
      <c r="E416" s="115"/>
      <c r="F416" s="115"/>
      <c r="G416" s="60" t="s">
        <v>128</v>
      </c>
      <c r="H416" s="124"/>
      <c r="I416" s="124"/>
      <c r="J416" s="60"/>
      <c r="K416" s="60"/>
      <c r="L416" s="60"/>
      <c r="M416" s="60"/>
      <c r="N416" s="60">
        <f t="shared" si="129"/>
        <v>0</v>
      </c>
      <c r="O416" s="60">
        <f t="shared" si="130"/>
        <v>0</v>
      </c>
    </row>
    <row r="417" spans="1:15" s="38" customFormat="1" ht="10.7" hidden="1" customHeight="1" outlineLevel="1" x14ac:dyDescent="0.25">
      <c r="A417" s="124"/>
      <c r="B417" s="142"/>
      <c r="C417" s="115"/>
      <c r="D417" s="115"/>
      <c r="E417" s="115"/>
      <c r="F417" s="115"/>
      <c r="G417" s="60" t="s">
        <v>129</v>
      </c>
      <c r="H417" s="124"/>
      <c r="I417" s="124"/>
      <c r="J417" s="60"/>
      <c r="K417" s="60"/>
      <c r="L417" s="60"/>
      <c r="M417" s="60"/>
      <c r="N417" s="60">
        <f t="shared" si="129"/>
        <v>0</v>
      </c>
      <c r="O417" s="60">
        <f t="shared" si="130"/>
        <v>0</v>
      </c>
    </row>
    <row r="418" spans="1:15" s="38" customFormat="1" ht="10.7" hidden="1" customHeight="1" outlineLevel="1" x14ac:dyDescent="0.25">
      <c r="A418" s="124"/>
      <c r="B418" s="142"/>
      <c r="C418" s="115"/>
      <c r="D418" s="115"/>
      <c r="E418" s="115"/>
      <c r="F418" s="115"/>
      <c r="G418" s="60" t="s">
        <v>130</v>
      </c>
      <c r="H418" s="124"/>
      <c r="I418" s="124"/>
      <c r="J418" s="60"/>
      <c r="K418" s="60"/>
      <c r="L418" s="60"/>
      <c r="M418" s="60"/>
      <c r="N418" s="60">
        <f t="shared" si="129"/>
        <v>0</v>
      </c>
      <c r="O418" s="60">
        <f t="shared" si="130"/>
        <v>0</v>
      </c>
    </row>
    <row r="419" spans="1:15" s="38" customFormat="1" ht="12" hidden="1" customHeight="1" outlineLevel="1" thickBot="1" x14ac:dyDescent="0.3">
      <c r="A419" s="125"/>
      <c r="B419" s="143"/>
      <c r="C419" s="131"/>
      <c r="D419" s="131"/>
      <c r="E419" s="131"/>
      <c r="F419" s="131"/>
      <c r="G419" s="60" t="s">
        <v>131</v>
      </c>
      <c r="H419" s="134"/>
      <c r="I419" s="134"/>
      <c r="J419" s="60"/>
      <c r="K419" s="60"/>
      <c r="L419" s="60"/>
      <c r="M419" s="60"/>
      <c r="N419" s="60">
        <f t="shared" si="129"/>
        <v>0</v>
      </c>
      <c r="O419" s="60">
        <f t="shared" si="130"/>
        <v>0</v>
      </c>
    </row>
    <row r="420" spans="1:15" s="38" customFormat="1" ht="14.45" hidden="1" customHeight="1" outlineLevel="1" x14ac:dyDescent="0.25">
      <c r="A420" s="140" t="s">
        <v>474</v>
      </c>
      <c r="B420" s="141" t="s">
        <v>475</v>
      </c>
      <c r="C420" s="130">
        <f>SUM(N420:N426)</f>
        <v>0</v>
      </c>
      <c r="D420" s="130">
        <f>SUM(O420:O426)</f>
        <v>0</v>
      </c>
      <c r="E420" s="130">
        <f t="shared" si="122"/>
        <v>0</v>
      </c>
      <c r="F420" s="130"/>
      <c r="G420" s="60" t="s">
        <v>125</v>
      </c>
      <c r="H420" s="123"/>
      <c r="I420" s="123"/>
      <c r="J420" s="60"/>
      <c r="K420" s="60"/>
      <c r="L420" s="60"/>
      <c r="M420" s="60"/>
      <c r="N420" s="60">
        <f>M420*J420*K420*L420</f>
        <v>0</v>
      </c>
      <c r="O420" s="60">
        <f>J420*K420*L420</f>
        <v>0</v>
      </c>
    </row>
    <row r="421" spans="1:15" s="38" customFormat="1" ht="11.45" hidden="1" customHeight="1" outlineLevel="1" x14ac:dyDescent="0.25">
      <c r="A421" s="124"/>
      <c r="B421" s="142"/>
      <c r="C421" s="115"/>
      <c r="D421" s="115"/>
      <c r="E421" s="115"/>
      <c r="F421" s="115"/>
      <c r="G421" s="60" t="s">
        <v>126</v>
      </c>
      <c r="H421" s="124"/>
      <c r="I421" s="124"/>
      <c r="J421" s="60"/>
      <c r="K421" s="60"/>
      <c r="L421" s="60"/>
      <c r="M421" s="60"/>
      <c r="N421" s="60">
        <f t="shared" ref="N421:N426" si="131">M421*J421*K421*L421</f>
        <v>0</v>
      </c>
      <c r="O421" s="60">
        <f t="shared" ref="O421:O426" si="132">J421*K421*L421</f>
        <v>0</v>
      </c>
    </row>
    <row r="422" spans="1:15" s="38" customFormat="1" ht="10.7" hidden="1" customHeight="1" outlineLevel="1" x14ac:dyDescent="0.25">
      <c r="A422" s="124"/>
      <c r="B422" s="142"/>
      <c r="C422" s="115"/>
      <c r="D422" s="115"/>
      <c r="E422" s="115"/>
      <c r="F422" s="115"/>
      <c r="G422" s="60" t="s">
        <v>127</v>
      </c>
      <c r="H422" s="124"/>
      <c r="I422" s="124"/>
      <c r="J422" s="60"/>
      <c r="K422" s="60"/>
      <c r="L422" s="60"/>
      <c r="M422" s="60"/>
      <c r="N422" s="60">
        <f t="shared" si="131"/>
        <v>0</v>
      </c>
      <c r="O422" s="60">
        <f t="shared" si="132"/>
        <v>0</v>
      </c>
    </row>
    <row r="423" spans="1:15" s="38" customFormat="1" ht="10.7" hidden="1" customHeight="1" outlineLevel="1" x14ac:dyDescent="0.25">
      <c r="A423" s="124"/>
      <c r="B423" s="142"/>
      <c r="C423" s="115"/>
      <c r="D423" s="115"/>
      <c r="E423" s="115"/>
      <c r="F423" s="115"/>
      <c r="G423" s="60" t="s">
        <v>128</v>
      </c>
      <c r="H423" s="124"/>
      <c r="I423" s="124"/>
      <c r="J423" s="60"/>
      <c r="K423" s="60"/>
      <c r="L423" s="60"/>
      <c r="M423" s="60"/>
      <c r="N423" s="60">
        <f t="shared" si="131"/>
        <v>0</v>
      </c>
      <c r="O423" s="60">
        <f t="shared" si="132"/>
        <v>0</v>
      </c>
    </row>
    <row r="424" spans="1:15" s="38" customFormat="1" ht="10.7" hidden="1" customHeight="1" outlineLevel="1" x14ac:dyDescent="0.25">
      <c r="A424" s="124"/>
      <c r="B424" s="142"/>
      <c r="C424" s="115"/>
      <c r="D424" s="115"/>
      <c r="E424" s="115"/>
      <c r="F424" s="115"/>
      <c r="G424" s="60" t="s">
        <v>129</v>
      </c>
      <c r="H424" s="124"/>
      <c r="I424" s="124"/>
      <c r="J424" s="60"/>
      <c r="K424" s="60"/>
      <c r="L424" s="60"/>
      <c r="M424" s="60"/>
      <c r="N424" s="60">
        <f t="shared" si="131"/>
        <v>0</v>
      </c>
      <c r="O424" s="60">
        <f t="shared" si="132"/>
        <v>0</v>
      </c>
    </row>
    <row r="425" spans="1:15" s="38" customFormat="1" ht="10.7" hidden="1" customHeight="1" outlineLevel="1" x14ac:dyDescent="0.25">
      <c r="A425" s="124"/>
      <c r="B425" s="142"/>
      <c r="C425" s="115"/>
      <c r="D425" s="115"/>
      <c r="E425" s="115"/>
      <c r="F425" s="115"/>
      <c r="G425" s="60" t="s">
        <v>130</v>
      </c>
      <c r="H425" s="124"/>
      <c r="I425" s="124"/>
      <c r="J425" s="60"/>
      <c r="K425" s="60"/>
      <c r="L425" s="60"/>
      <c r="M425" s="60"/>
      <c r="N425" s="60">
        <f t="shared" si="131"/>
        <v>0</v>
      </c>
      <c r="O425" s="60">
        <f t="shared" si="132"/>
        <v>0</v>
      </c>
    </row>
    <row r="426" spans="1:15" s="38" customFormat="1" ht="12" hidden="1" customHeight="1" outlineLevel="1" thickBot="1" x14ac:dyDescent="0.3">
      <c r="A426" s="125"/>
      <c r="B426" s="143"/>
      <c r="C426" s="131"/>
      <c r="D426" s="131"/>
      <c r="E426" s="131"/>
      <c r="F426" s="131"/>
      <c r="G426" s="60" t="s">
        <v>131</v>
      </c>
      <c r="H426" s="134"/>
      <c r="I426" s="134"/>
      <c r="J426" s="60"/>
      <c r="K426" s="60"/>
      <c r="L426" s="60"/>
      <c r="M426" s="60"/>
      <c r="N426" s="60">
        <f t="shared" si="131"/>
        <v>0</v>
      </c>
      <c r="O426" s="60">
        <f t="shared" si="132"/>
        <v>0</v>
      </c>
    </row>
    <row r="427" spans="1:15" s="38" customFormat="1" ht="14.45" hidden="1" customHeight="1" outlineLevel="1" x14ac:dyDescent="0.25">
      <c r="A427" s="140" t="s">
        <v>476</v>
      </c>
      <c r="B427" s="141" t="s">
        <v>477</v>
      </c>
      <c r="C427" s="130">
        <f>SUM(N427:N433)</f>
        <v>0</v>
      </c>
      <c r="D427" s="130">
        <f>SUM(O427:O433)</f>
        <v>0</v>
      </c>
      <c r="E427" s="130">
        <f t="shared" si="122"/>
        <v>0</v>
      </c>
      <c r="F427" s="130"/>
      <c r="G427" s="60" t="s">
        <v>125</v>
      </c>
      <c r="H427" s="123"/>
      <c r="I427" s="123"/>
      <c r="J427" s="60"/>
      <c r="K427" s="60"/>
      <c r="L427" s="60"/>
      <c r="M427" s="60"/>
      <c r="N427" s="60">
        <f>M427*J427*K427*L427</f>
        <v>0</v>
      </c>
      <c r="O427" s="60">
        <f>J427*K427*L427</f>
        <v>0</v>
      </c>
    </row>
    <row r="428" spans="1:15" s="38" customFormat="1" ht="11.45" hidden="1" customHeight="1" outlineLevel="1" x14ac:dyDescent="0.25">
      <c r="A428" s="124"/>
      <c r="B428" s="142"/>
      <c r="C428" s="115"/>
      <c r="D428" s="115"/>
      <c r="E428" s="115"/>
      <c r="F428" s="115"/>
      <c r="G428" s="60" t="s">
        <v>126</v>
      </c>
      <c r="H428" s="124"/>
      <c r="I428" s="124"/>
      <c r="J428" s="60"/>
      <c r="K428" s="60"/>
      <c r="L428" s="60"/>
      <c r="M428" s="60"/>
      <c r="N428" s="60">
        <f t="shared" ref="N428:N433" si="133">M428*J428*K428*L428</f>
        <v>0</v>
      </c>
      <c r="O428" s="60">
        <f t="shared" ref="O428:O433" si="134">J428*K428*L428</f>
        <v>0</v>
      </c>
    </row>
    <row r="429" spans="1:15" s="38" customFormat="1" ht="10.7" hidden="1" customHeight="1" outlineLevel="1" x14ac:dyDescent="0.25">
      <c r="A429" s="124"/>
      <c r="B429" s="142"/>
      <c r="C429" s="115"/>
      <c r="D429" s="115"/>
      <c r="E429" s="115"/>
      <c r="F429" s="115"/>
      <c r="G429" s="60" t="s">
        <v>127</v>
      </c>
      <c r="H429" s="124"/>
      <c r="I429" s="124"/>
      <c r="J429" s="60"/>
      <c r="K429" s="60"/>
      <c r="L429" s="60"/>
      <c r="M429" s="60"/>
      <c r="N429" s="60">
        <f t="shared" si="133"/>
        <v>0</v>
      </c>
      <c r="O429" s="60">
        <f t="shared" si="134"/>
        <v>0</v>
      </c>
    </row>
    <row r="430" spans="1:15" s="38" customFormat="1" ht="10.7" hidden="1" customHeight="1" outlineLevel="1" x14ac:dyDescent="0.25">
      <c r="A430" s="124"/>
      <c r="B430" s="142"/>
      <c r="C430" s="115"/>
      <c r="D430" s="115"/>
      <c r="E430" s="115"/>
      <c r="F430" s="115"/>
      <c r="G430" s="60" t="s">
        <v>128</v>
      </c>
      <c r="H430" s="124"/>
      <c r="I430" s="124"/>
      <c r="J430" s="60"/>
      <c r="K430" s="60"/>
      <c r="L430" s="60"/>
      <c r="M430" s="60"/>
      <c r="N430" s="60">
        <f t="shared" si="133"/>
        <v>0</v>
      </c>
      <c r="O430" s="60">
        <f t="shared" si="134"/>
        <v>0</v>
      </c>
    </row>
    <row r="431" spans="1:15" s="38" customFormat="1" ht="10.7" hidden="1" customHeight="1" outlineLevel="1" x14ac:dyDescent="0.25">
      <c r="A431" s="124"/>
      <c r="B431" s="142"/>
      <c r="C431" s="115"/>
      <c r="D431" s="115"/>
      <c r="E431" s="115"/>
      <c r="F431" s="115"/>
      <c r="G431" s="60" t="s">
        <v>129</v>
      </c>
      <c r="H431" s="124"/>
      <c r="I431" s="124"/>
      <c r="J431" s="60"/>
      <c r="K431" s="60"/>
      <c r="L431" s="60"/>
      <c r="M431" s="60"/>
      <c r="N431" s="60">
        <f t="shared" si="133"/>
        <v>0</v>
      </c>
      <c r="O431" s="60">
        <f t="shared" si="134"/>
        <v>0</v>
      </c>
    </row>
    <row r="432" spans="1:15" s="38" customFormat="1" ht="10.7" hidden="1" customHeight="1" outlineLevel="1" x14ac:dyDescent="0.25">
      <c r="A432" s="124"/>
      <c r="B432" s="142"/>
      <c r="C432" s="115"/>
      <c r="D432" s="115"/>
      <c r="E432" s="115"/>
      <c r="F432" s="115"/>
      <c r="G432" s="60" t="s">
        <v>130</v>
      </c>
      <c r="H432" s="124"/>
      <c r="I432" s="124"/>
      <c r="J432" s="60"/>
      <c r="K432" s="60"/>
      <c r="L432" s="60"/>
      <c r="M432" s="60"/>
      <c r="N432" s="60">
        <f t="shared" si="133"/>
        <v>0</v>
      </c>
      <c r="O432" s="60">
        <f t="shared" si="134"/>
        <v>0</v>
      </c>
    </row>
    <row r="433" spans="1:15" s="38" customFormat="1" ht="12" hidden="1" customHeight="1" outlineLevel="1" thickBot="1" x14ac:dyDescent="0.3">
      <c r="A433" s="125"/>
      <c r="B433" s="143"/>
      <c r="C433" s="131"/>
      <c r="D433" s="131"/>
      <c r="E433" s="131"/>
      <c r="F433" s="131"/>
      <c r="G433" s="60" t="s">
        <v>131</v>
      </c>
      <c r="H433" s="134"/>
      <c r="I433" s="134"/>
      <c r="J433" s="60"/>
      <c r="K433" s="60"/>
      <c r="L433" s="60"/>
      <c r="M433" s="60"/>
      <c r="N433" s="60">
        <f t="shared" si="133"/>
        <v>0</v>
      </c>
      <c r="O433" s="60">
        <f t="shared" si="134"/>
        <v>0</v>
      </c>
    </row>
    <row r="434" spans="1:15" s="38" customFormat="1" ht="14.45" hidden="1" customHeight="1" outlineLevel="1" x14ac:dyDescent="0.25">
      <c r="A434" s="140" t="s">
        <v>478</v>
      </c>
      <c r="B434" s="141" t="s">
        <v>479</v>
      </c>
      <c r="C434" s="130">
        <f>SUM(N434:N440)</f>
        <v>0</v>
      </c>
      <c r="D434" s="130">
        <f>SUM(O434:O440)</f>
        <v>0</v>
      </c>
      <c r="E434" s="130">
        <f t="shared" si="122"/>
        <v>0</v>
      </c>
      <c r="F434" s="130"/>
      <c r="G434" s="60" t="s">
        <v>125</v>
      </c>
      <c r="H434" s="123"/>
      <c r="I434" s="123"/>
      <c r="J434" s="60"/>
      <c r="K434" s="60"/>
      <c r="L434" s="60"/>
      <c r="M434" s="60"/>
      <c r="N434" s="60">
        <f>M434*J434*K434*L434</f>
        <v>0</v>
      </c>
      <c r="O434" s="60">
        <f>J434*K434*L434</f>
        <v>0</v>
      </c>
    </row>
    <row r="435" spans="1:15" s="38" customFormat="1" ht="11.45" hidden="1" customHeight="1" outlineLevel="1" x14ac:dyDescent="0.25">
      <c r="A435" s="124"/>
      <c r="B435" s="142"/>
      <c r="C435" s="115"/>
      <c r="D435" s="115"/>
      <c r="E435" s="115"/>
      <c r="F435" s="115"/>
      <c r="G435" s="60" t="s">
        <v>126</v>
      </c>
      <c r="H435" s="124"/>
      <c r="I435" s="124"/>
      <c r="J435" s="60"/>
      <c r="K435" s="60"/>
      <c r="L435" s="60"/>
      <c r="M435" s="60"/>
      <c r="N435" s="60">
        <f t="shared" ref="N435:N440" si="135">M435*J435*K435*L435</f>
        <v>0</v>
      </c>
      <c r="O435" s="60">
        <f t="shared" ref="O435:O440" si="136">J435*K435*L435</f>
        <v>0</v>
      </c>
    </row>
    <row r="436" spans="1:15" s="38" customFormat="1" ht="10.7" hidden="1" customHeight="1" outlineLevel="1" x14ac:dyDescent="0.25">
      <c r="A436" s="124"/>
      <c r="B436" s="142"/>
      <c r="C436" s="115"/>
      <c r="D436" s="115"/>
      <c r="E436" s="115"/>
      <c r="F436" s="115"/>
      <c r="G436" s="60" t="s">
        <v>127</v>
      </c>
      <c r="H436" s="124"/>
      <c r="I436" s="124"/>
      <c r="J436" s="60"/>
      <c r="K436" s="60"/>
      <c r="L436" s="60"/>
      <c r="M436" s="60"/>
      <c r="N436" s="60">
        <f t="shared" si="135"/>
        <v>0</v>
      </c>
      <c r="O436" s="60">
        <f t="shared" si="136"/>
        <v>0</v>
      </c>
    </row>
    <row r="437" spans="1:15" s="38" customFormat="1" ht="10.7" hidden="1" customHeight="1" outlineLevel="1" x14ac:dyDescent="0.25">
      <c r="A437" s="124"/>
      <c r="B437" s="142"/>
      <c r="C437" s="115"/>
      <c r="D437" s="115"/>
      <c r="E437" s="115"/>
      <c r="F437" s="115"/>
      <c r="G437" s="60" t="s">
        <v>128</v>
      </c>
      <c r="H437" s="124"/>
      <c r="I437" s="124"/>
      <c r="J437" s="60"/>
      <c r="K437" s="60"/>
      <c r="L437" s="60"/>
      <c r="M437" s="60"/>
      <c r="N437" s="60">
        <f t="shared" si="135"/>
        <v>0</v>
      </c>
      <c r="O437" s="60">
        <f t="shared" si="136"/>
        <v>0</v>
      </c>
    </row>
    <row r="438" spans="1:15" s="38" customFormat="1" ht="10.7" hidden="1" customHeight="1" outlineLevel="1" x14ac:dyDescent="0.25">
      <c r="A438" s="124"/>
      <c r="B438" s="142"/>
      <c r="C438" s="115"/>
      <c r="D438" s="115"/>
      <c r="E438" s="115"/>
      <c r="F438" s="115"/>
      <c r="G438" s="60" t="s">
        <v>129</v>
      </c>
      <c r="H438" s="124"/>
      <c r="I438" s="124"/>
      <c r="J438" s="60"/>
      <c r="K438" s="60"/>
      <c r="L438" s="60"/>
      <c r="M438" s="60"/>
      <c r="N438" s="60">
        <f t="shared" si="135"/>
        <v>0</v>
      </c>
      <c r="O438" s="60">
        <f t="shared" si="136"/>
        <v>0</v>
      </c>
    </row>
    <row r="439" spans="1:15" s="38" customFormat="1" ht="10.7" hidden="1" customHeight="1" outlineLevel="1" x14ac:dyDescent="0.25">
      <c r="A439" s="124"/>
      <c r="B439" s="142"/>
      <c r="C439" s="115"/>
      <c r="D439" s="115"/>
      <c r="E439" s="115"/>
      <c r="F439" s="115"/>
      <c r="G439" s="60" t="s">
        <v>130</v>
      </c>
      <c r="H439" s="124"/>
      <c r="I439" s="124"/>
      <c r="J439" s="60"/>
      <c r="K439" s="60"/>
      <c r="L439" s="60"/>
      <c r="M439" s="60"/>
      <c r="N439" s="60">
        <f t="shared" si="135"/>
        <v>0</v>
      </c>
      <c r="O439" s="60">
        <f t="shared" si="136"/>
        <v>0</v>
      </c>
    </row>
    <row r="440" spans="1:15" s="38" customFormat="1" ht="12" hidden="1" customHeight="1" outlineLevel="1" thickBot="1" x14ac:dyDescent="0.3">
      <c r="A440" s="125"/>
      <c r="B440" s="143"/>
      <c r="C440" s="131"/>
      <c r="D440" s="131"/>
      <c r="E440" s="131"/>
      <c r="F440" s="131"/>
      <c r="G440" s="60" t="s">
        <v>131</v>
      </c>
      <c r="H440" s="134"/>
      <c r="I440" s="134"/>
      <c r="J440" s="60"/>
      <c r="K440" s="60"/>
      <c r="L440" s="60"/>
      <c r="M440" s="60"/>
      <c r="N440" s="60">
        <f t="shared" si="135"/>
        <v>0</v>
      </c>
      <c r="O440" s="60">
        <f t="shared" si="136"/>
        <v>0</v>
      </c>
    </row>
    <row r="441" spans="1:15" s="38" customFormat="1" ht="14.45" hidden="1" customHeight="1" outlineLevel="1" x14ac:dyDescent="0.25">
      <c r="A441" s="140" t="s">
        <v>480</v>
      </c>
      <c r="B441" s="141" t="s">
        <v>481</v>
      </c>
      <c r="C441" s="130">
        <f>SUM(N441:N447)</f>
        <v>0</v>
      </c>
      <c r="D441" s="130">
        <f>SUM(O441:O447)</f>
        <v>0</v>
      </c>
      <c r="E441" s="130">
        <f t="shared" si="122"/>
        <v>0</v>
      </c>
      <c r="F441" s="130"/>
      <c r="G441" s="60" t="s">
        <v>125</v>
      </c>
      <c r="H441" s="123"/>
      <c r="I441" s="123"/>
      <c r="J441" s="60"/>
      <c r="K441" s="60"/>
      <c r="L441" s="60"/>
      <c r="M441" s="60"/>
      <c r="N441" s="60">
        <f>M441*J441*K441*L441</f>
        <v>0</v>
      </c>
      <c r="O441" s="60">
        <f>J441*K441*L441</f>
        <v>0</v>
      </c>
    </row>
    <row r="442" spans="1:15" s="38" customFormat="1" ht="11.45" hidden="1" customHeight="1" outlineLevel="1" x14ac:dyDescent="0.25">
      <c r="A442" s="124"/>
      <c r="B442" s="142"/>
      <c r="C442" s="115"/>
      <c r="D442" s="115"/>
      <c r="E442" s="115"/>
      <c r="F442" s="115"/>
      <c r="G442" s="60" t="s">
        <v>126</v>
      </c>
      <c r="H442" s="124"/>
      <c r="I442" s="124"/>
      <c r="J442" s="60"/>
      <c r="K442" s="60"/>
      <c r="L442" s="60"/>
      <c r="M442" s="60"/>
      <c r="N442" s="60">
        <f t="shared" ref="N442:N447" si="137">M442*J442*K442*L442</f>
        <v>0</v>
      </c>
      <c r="O442" s="60">
        <f t="shared" ref="O442:O447" si="138">J442*K442*L442</f>
        <v>0</v>
      </c>
    </row>
    <row r="443" spans="1:15" s="38" customFormat="1" ht="10.7" hidden="1" customHeight="1" outlineLevel="1" x14ac:dyDescent="0.25">
      <c r="A443" s="124"/>
      <c r="B443" s="142"/>
      <c r="C443" s="115"/>
      <c r="D443" s="115"/>
      <c r="E443" s="115"/>
      <c r="F443" s="115"/>
      <c r="G443" s="60" t="s">
        <v>127</v>
      </c>
      <c r="H443" s="124"/>
      <c r="I443" s="124"/>
      <c r="J443" s="60"/>
      <c r="K443" s="60"/>
      <c r="L443" s="60"/>
      <c r="M443" s="60"/>
      <c r="N443" s="60">
        <f t="shared" si="137"/>
        <v>0</v>
      </c>
      <c r="O443" s="60">
        <f t="shared" si="138"/>
        <v>0</v>
      </c>
    </row>
    <row r="444" spans="1:15" s="38" customFormat="1" ht="10.7" hidden="1" customHeight="1" outlineLevel="1" x14ac:dyDescent="0.25">
      <c r="A444" s="124"/>
      <c r="B444" s="142"/>
      <c r="C444" s="115"/>
      <c r="D444" s="115"/>
      <c r="E444" s="115"/>
      <c r="F444" s="115"/>
      <c r="G444" s="60" t="s">
        <v>128</v>
      </c>
      <c r="H444" s="124"/>
      <c r="I444" s="124"/>
      <c r="J444" s="60"/>
      <c r="K444" s="60"/>
      <c r="L444" s="60"/>
      <c r="M444" s="60"/>
      <c r="N444" s="60">
        <f t="shared" si="137"/>
        <v>0</v>
      </c>
      <c r="O444" s="60">
        <f t="shared" si="138"/>
        <v>0</v>
      </c>
    </row>
    <row r="445" spans="1:15" s="38" customFormat="1" ht="10.7" hidden="1" customHeight="1" outlineLevel="1" x14ac:dyDescent="0.25">
      <c r="A445" s="124"/>
      <c r="B445" s="142"/>
      <c r="C445" s="115"/>
      <c r="D445" s="115"/>
      <c r="E445" s="115"/>
      <c r="F445" s="115"/>
      <c r="G445" s="60" t="s">
        <v>129</v>
      </c>
      <c r="H445" s="124"/>
      <c r="I445" s="124"/>
      <c r="J445" s="60"/>
      <c r="K445" s="60"/>
      <c r="L445" s="60"/>
      <c r="M445" s="60"/>
      <c r="N445" s="60">
        <f t="shared" si="137"/>
        <v>0</v>
      </c>
      <c r="O445" s="60">
        <f t="shared" si="138"/>
        <v>0</v>
      </c>
    </row>
    <row r="446" spans="1:15" s="38" customFormat="1" ht="10.7" hidden="1" customHeight="1" outlineLevel="1" x14ac:dyDescent="0.25">
      <c r="A446" s="124"/>
      <c r="B446" s="142"/>
      <c r="C446" s="115"/>
      <c r="D446" s="115"/>
      <c r="E446" s="115"/>
      <c r="F446" s="115"/>
      <c r="G446" s="60" t="s">
        <v>130</v>
      </c>
      <c r="H446" s="124"/>
      <c r="I446" s="124"/>
      <c r="J446" s="60"/>
      <c r="K446" s="60"/>
      <c r="L446" s="60"/>
      <c r="M446" s="60"/>
      <c r="N446" s="60">
        <f t="shared" si="137"/>
        <v>0</v>
      </c>
      <c r="O446" s="60">
        <f t="shared" si="138"/>
        <v>0</v>
      </c>
    </row>
    <row r="447" spans="1:15" s="38" customFormat="1" ht="12" hidden="1" customHeight="1" outlineLevel="1" thickBot="1" x14ac:dyDescent="0.3">
      <c r="A447" s="125"/>
      <c r="B447" s="143"/>
      <c r="C447" s="131"/>
      <c r="D447" s="131"/>
      <c r="E447" s="131"/>
      <c r="F447" s="131"/>
      <c r="G447" s="60" t="s">
        <v>131</v>
      </c>
      <c r="H447" s="134"/>
      <c r="I447" s="134"/>
      <c r="J447" s="60"/>
      <c r="K447" s="60"/>
      <c r="L447" s="60"/>
      <c r="M447" s="60"/>
      <c r="N447" s="60">
        <f t="shared" si="137"/>
        <v>0</v>
      </c>
      <c r="O447" s="60">
        <f t="shared" si="138"/>
        <v>0</v>
      </c>
    </row>
    <row r="448" spans="1:15" s="38" customFormat="1" ht="14.45" hidden="1" customHeight="1" outlineLevel="1" x14ac:dyDescent="0.25">
      <c r="A448" s="140" t="s">
        <v>482</v>
      </c>
      <c r="B448" s="141" t="s">
        <v>483</v>
      </c>
      <c r="C448" s="130">
        <f>SUM(N448:N454)</f>
        <v>0</v>
      </c>
      <c r="D448" s="130">
        <f>SUM(O448:O454)</f>
        <v>0</v>
      </c>
      <c r="E448" s="130">
        <f t="shared" ref="E448:E455" si="139">D448/8</f>
        <v>0</v>
      </c>
      <c r="F448" s="130"/>
      <c r="G448" s="60" t="s">
        <v>125</v>
      </c>
      <c r="H448" s="123"/>
      <c r="I448" s="123"/>
      <c r="J448" s="60"/>
      <c r="K448" s="60"/>
      <c r="L448" s="60"/>
      <c r="M448" s="60"/>
      <c r="N448" s="60">
        <f>M448*J448*K448*L448</f>
        <v>0</v>
      </c>
      <c r="O448" s="60">
        <f>J448*K448*L448</f>
        <v>0</v>
      </c>
    </row>
    <row r="449" spans="1:15" s="38" customFormat="1" ht="11.45" hidden="1" customHeight="1" outlineLevel="1" x14ac:dyDescent="0.25">
      <c r="A449" s="124"/>
      <c r="B449" s="142"/>
      <c r="C449" s="115"/>
      <c r="D449" s="115"/>
      <c r="E449" s="115"/>
      <c r="F449" s="115"/>
      <c r="G449" s="60" t="s">
        <v>126</v>
      </c>
      <c r="H449" s="124"/>
      <c r="I449" s="124"/>
      <c r="J449" s="60"/>
      <c r="K449" s="60"/>
      <c r="L449" s="60"/>
      <c r="M449" s="60"/>
      <c r="N449" s="60">
        <f t="shared" ref="N449:N454" si="140">M449*J449*K449*L449</f>
        <v>0</v>
      </c>
      <c r="O449" s="60">
        <f t="shared" ref="O449:O454" si="141">J449*K449*L449</f>
        <v>0</v>
      </c>
    </row>
    <row r="450" spans="1:15" s="38" customFormat="1" ht="10.7" hidden="1" customHeight="1" outlineLevel="1" x14ac:dyDescent="0.25">
      <c r="A450" s="124"/>
      <c r="B450" s="142"/>
      <c r="C450" s="115"/>
      <c r="D450" s="115"/>
      <c r="E450" s="115"/>
      <c r="F450" s="115"/>
      <c r="G450" s="60" t="s">
        <v>127</v>
      </c>
      <c r="H450" s="124"/>
      <c r="I450" s="124"/>
      <c r="J450" s="60"/>
      <c r="K450" s="60"/>
      <c r="L450" s="60"/>
      <c r="M450" s="60"/>
      <c r="N450" s="60">
        <f t="shared" si="140"/>
        <v>0</v>
      </c>
      <c r="O450" s="60">
        <f t="shared" si="141"/>
        <v>0</v>
      </c>
    </row>
    <row r="451" spans="1:15" s="38" customFormat="1" ht="10.7" hidden="1" customHeight="1" outlineLevel="1" x14ac:dyDescent="0.25">
      <c r="A451" s="124"/>
      <c r="B451" s="142"/>
      <c r="C451" s="115"/>
      <c r="D451" s="115"/>
      <c r="E451" s="115"/>
      <c r="F451" s="115"/>
      <c r="G451" s="60" t="s">
        <v>128</v>
      </c>
      <c r="H451" s="124"/>
      <c r="I451" s="124"/>
      <c r="J451" s="60"/>
      <c r="K451" s="60"/>
      <c r="L451" s="60"/>
      <c r="M451" s="60"/>
      <c r="N451" s="60">
        <f t="shared" si="140"/>
        <v>0</v>
      </c>
      <c r="O451" s="60">
        <f t="shared" si="141"/>
        <v>0</v>
      </c>
    </row>
    <row r="452" spans="1:15" s="38" customFormat="1" ht="10.7" hidden="1" customHeight="1" outlineLevel="1" x14ac:dyDescent="0.25">
      <c r="A452" s="124"/>
      <c r="B452" s="142"/>
      <c r="C452" s="115"/>
      <c r="D452" s="115"/>
      <c r="E452" s="115"/>
      <c r="F452" s="115"/>
      <c r="G452" s="60" t="s">
        <v>129</v>
      </c>
      <c r="H452" s="124"/>
      <c r="I452" s="124"/>
      <c r="J452" s="60"/>
      <c r="K452" s="60"/>
      <c r="L452" s="60"/>
      <c r="M452" s="60"/>
      <c r="N452" s="60">
        <f t="shared" si="140"/>
        <v>0</v>
      </c>
      <c r="O452" s="60">
        <f t="shared" si="141"/>
        <v>0</v>
      </c>
    </row>
    <row r="453" spans="1:15" s="38" customFormat="1" ht="10.7" hidden="1" customHeight="1" outlineLevel="1" x14ac:dyDescent="0.25">
      <c r="A453" s="124"/>
      <c r="B453" s="142"/>
      <c r="C453" s="115"/>
      <c r="D453" s="115"/>
      <c r="E453" s="115"/>
      <c r="F453" s="115"/>
      <c r="G453" s="60" t="s">
        <v>130</v>
      </c>
      <c r="H453" s="124"/>
      <c r="I453" s="124"/>
      <c r="J453" s="60"/>
      <c r="K453" s="60"/>
      <c r="L453" s="60"/>
      <c r="M453" s="60"/>
      <c r="N453" s="60">
        <f t="shared" si="140"/>
        <v>0</v>
      </c>
      <c r="O453" s="60">
        <f t="shared" si="141"/>
        <v>0</v>
      </c>
    </row>
    <row r="454" spans="1:15" s="38" customFormat="1" ht="12" hidden="1" customHeight="1" outlineLevel="1" thickBot="1" x14ac:dyDescent="0.3">
      <c r="A454" s="125"/>
      <c r="B454" s="143"/>
      <c r="C454" s="131"/>
      <c r="D454" s="131"/>
      <c r="E454" s="131"/>
      <c r="F454" s="131"/>
      <c r="G454" s="60" t="s">
        <v>131</v>
      </c>
      <c r="H454" s="134"/>
      <c r="I454" s="134"/>
      <c r="J454" s="60"/>
      <c r="K454" s="60"/>
      <c r="L454" s="60"/>
      <c r="M454" s="60"/>
      <c r="N454" s="60">
        <f t="shared" si="140"/>
        <v>0</v>
      </c>
      <c r="O454" s="60">
        <f t="shared" si="141"/>
        <v>0</v>
      </c>
    </row>
    <row r="455" spans="1:15" s="38" customFormat="1" ht="14.45" hidden="1" customHeight="1" outlineLevel="1" x14ac:dyDescent="0.25">
      <c r="A455" s="140" t="s">
        <v>484</v>
      </c>
      <c r="B455" s="141" t="s">
        <v>485</v>
      </c>
      <c r="C455" s="130">
        <f>SUM(N455:N461)</f>
        <v>0</v>
      </c>
      <c r="D455" s="130">
        <f>SUM(O455:O461)</f>
        <v>0</v>
      </c>
      <c r="E455" s="130">
        <f t="shared" si="139"/>
        <v>0</v>
      </c>
      <c r="F455" s="130"/>
      <c r="G455" s="60" t="s">
        <v>125</v>
      </c>
      <c r="H455" s="123"/>
      <c r="I455" s="123"/>
      <c r="J455" s="60"/>
      <c r="K455" s="60"/>
      <c r="L455" s="60"/>
      <c r="M455" s="60"/>
      <c r="N455" s="60">
        <f>M455*J455*K455*L455</f>
        <v>0</v>
      </c>
      <c r="O455" s="60">
        <f>J455*K455*L455</f>
        <v>0</v>
      </c>
    </row>
    <row r="456" spans="1:15" s="38" customFormat="1" ht="11.45" hidden="1" customHeight="1" outlineLevel="1" x14ac:dyDescent="0.25">
      <c r="A456" s="124"/>
      <c r="B456" s="142"/>
      <c r="C456" s="115"/>
      <c r="D456" s="115"/>
      <c r="E456" s="115"/>
      <c r="F456" s="115"/>
      <c r="G456" s="60" t="s">
        <v>126</v>
      </c>
      <c r="H456" s="124"/>
      <c r="I456" s="124"/>
      <c r="J456" s="60"/>
      <c r="K456" s="60"/>
      <c r="L456" s="60"/>
      <c r="M456" s="60"/>
      <c r="N456" s="60">
        <f t="shared" ref="N456:N461" si="142">M456*J456*K456*L456</f>
        <v>0</v>
      </c>
      <c r="O456" s="60">
        <f t="shared" ref="O456:O461" si="143">J456*K456*L456</f>
        <v>0</v>
      </c>
    </row>
    <row r="457" spans="1:15" s="38" customFormat="1" ht="10.7" hidden="1" customHeight="1" outlineLevel="1" x14ac:dyDescent="0.25">
      <c r="A457" s="124"/>
      <c r="B457" s="142"/>
      <c r="C457" s="115"/>
      <c r="D457" s="115"/>
      <c r="E457" s="115"/>
      <c r="F457" s="115"/>
      <c r="G457" s="60" t="s">
        <v>127</v>
      </c>
      <c r="H457" s="124"/>
      <c r="I457" s="124"/>
      <c r="J457" s="60"/>
      <c r="K457" s="60"/>
      <c r="L457" s="60"/>
      <c r="M457" s="60"/>
      <c r="N457" s="60">
        <f t="shared" si="142"/>
        <v>0</v>
      </c>
      <c r="O457" s="60">
        <f t="shared" si="143"/>
        <v>0</v>
      </c>
    </row>
    <row r="458" spans="1:15" s="38" customFormat="1" ht="10.7" hidden="1" customHeight="1" outlineLevel="1" x14ac:dyDescent="0.25">
      <c r="A458" s="124"/>
      <c r="B458" s="142"/>
      <c r="C458" s="115"/>
      <c r="D458" s="115"/>
      <c r="E458" s="115"/>
      <c r="F458" s="115"/>
      <c r="G458" s="60" t="s">
        <v>128</v>
      </c>
      <c r="H458" s="124"/>
      <c r="I458" s="124"/>
      <c r="J458" s="60"/>
      <c r="K458" s="60"/>
      <c r="L458" s="60"/>
      <c r="M458" s="60"/>
      <c r="N458" s="60">
        <f t="shared" si="142"/>
        <v>0</v>
      </c>
      <c r="O458" s="60">
        <f t="shared" si="143"/>
        <v>0</v>
      </c>
    </row>
    <row r="459" spans="1:15" s="38" customFormat="1" ht="10.7" hidden="1" customHeight="1" outlineLevel="1" x14ac:dyDescent="0.25">
      <c r="A459" s="124"/>
      <c r="B459" s="142"/>
      <c r="C459" s="115"/>
      <c r="D459" s="115"/>
      <c r="E459" s="115"/>
      <c r="F459" s="115"/>
      <c r="G459" s="60" t="s">
        <v>129</v>
      </c>
      <c r="H459" s="124"/>
      <c r="I459" s="124"/>
      <c r="J459" s="60"/>
      <c r="K459" s="60"/>
      <c r="L459" s="60"/>
      <c r="M459" s="60"/>
      <c r="N459" s="60">
        <f t="shared" si="142"/>
        <v>0</v>
      </c>
      <c r="O459" s="60">
        <f t="shared" si="143"/>
        <v>0</v>
      </c>
    </row>
    <row r="460" spans="1:15" s="38" customFormat="1" ht="10.7" hidden="1" customHeight="1" outlineLevel="1" x14ac:dyDescent="0.25">
      <c r="A460" s="124"/>
      <c r="B460" s="142"/>
      <c r="C460" s="115"/>
      <c r="D460" s="115"/>
      <c r="E460" s="115"/>
      <c r="F460" s="115"/>
      <c r="G460" s="60" t="s">
        <v>130</v>
      </c>
      <c r="H460" s="124"/>
      <c r="I460" s="124"/>
      <c r="J460" s="60"/>
      <c r="K460" s="60"/>
      <c r="L460" s="60"/>
      <c r="M460" s="60"/>
      <c r="N460" s="60">
        <f t="shared" si="142"/>
        <v>0</v>
      </c>
      <c r="O460" s="60">
        <f t="shared" si="143"/>
        <v>0</v>
      </c>
    </row>
    <row r="461" spans="1:15" s="38" customFormat="1" ht="12" hidden="1" customHeight="1" outlineLevel="1" thickBot="1" x14ac:dyDescent="0.3">
      <c r="A461" s="125"/>
      <c r="B461" s="143"/>
      <c r="C461" s="131"/>
      <c r="D461" s="131"/>
      <c r="E461" s="131"/>
      <c r="F461" s="131"/>
      <c r="G461" s="60" t="s">
        <v>131</v>
      </c>
      <c r="H461" s="134"/>
      <c r="I461" s="134"/>
      <c r="J461" s="60"/>
      <c r="K461" s="60"/>
      <c r="L461" s="60"/>
      <c r="M461" s="60"/>
      <c r="N461" s="60">
        <f t="shared" si="142"/>
        <v>0</v>
      </c>
      <c r="O461" s="60">
        <f t="shared" si="143"/>
        <v>0</v>
      </c>
    </row>
    <row r="462" spans="1:15" s="38" customFormat="1" ht="14.45" hidden="1" customHeight="1" outlineLevel="1" x14ac:dyDescent="0.25">
      <c r="A462" s="140" t="s">
        <v>486</v>
      </c>
      <c r="B462" s="141" t="s">
        <v>294</v>
      </c>
      <c r="C462" s="130">
        <f>SUM(N462:N468)</f>
        <v>0</v>
      </c>
      <c r="D462" s="130">
        <f>SUM(O462:O468)</f>
        <v>0</v>
      </c>
      <c r="E462" s="130">
        <f t="shared" ref="E462:E511" si="144">D462/8</f>
        <v>0</v>
      </c>
      <c r="F462" s="130"/>
      <c r="G462" s="60" t="s">
        <v>125</v>
      </c>
      <c r="H462" s="123"/>
      <c r="I462" s="123"/>
      <c r="J462" s="60"/>
      <c r="K462" s="60"/>
      <c r="L462" s="60"/>
      <c r="M462" s="60"/>
      <c r="N462" s="60">
        <f>M462*J462*K462*L462</f>
        <v>0</v>
      </c>
      <c r="O462" s="60">
        <f>J462*K462*L462</f>
        <v>0</v>
      </c>
    </row>
    <row r="463" spans="1:15" s="38" customFormat="1" ht="11.45" hidden="1" customHeight="1" outlineLevel="1" x14ac:dyDescent="0.25">
      <c r="A463" s="124"/>
      <c r="B463" s="142"/>
      <c r="C463" s="115"/>
      <c r="D463" s="115"/>
      <c r="E463" s="115"/>
      <c r="F463" s="115"/>
      <c r="G463" s="60" t="s">
        <v>126</v>
      </c>
      <c r="H463" s="124"/>
      <c r="I463" s="124"/>
      <c r="J463" s="60"/>
      <c r="K463" s="60"/>
      <c r="L463" s="60"/>
      <c r="M463" s="60"/>
      <c r="N463" s="60">
        <f t="shared" ref="N463:N468" si="145">M463*J463*K463*L463</f>
        <v>0</v>
      </c>
      <c r="O463" s="60">
        <f t="shared" ref="O463:O468" si="146">J463*K463*L463</f>
        <v>0</v>
      </c>
    </row>
    <row r="464" spans="1:15" s="38" customFormat="1" ht="10.7" hidden="1" customHeight="1" outlineLevel="1" x14ac:dyDescent="0.25">
      <c r="A464" s="124"/>
      <c r="B464" s="142"/>
      <c r="C464" s="115"/>
      <c r="D464" s="115"/>
      <c r="E464" s="115"/>
      <c r="F464" s="115"/>
      <c r="G464" s="60" t="s">
        <v>127</v>
      </c>
      <c r="H464" s="124"/>
      <c r="I464" s="124"/>
      <c r="J464" s="60"/>
      <c r="K464" s="60"/>
      <c r="L464" s="60"/>
      <c r="M464" s="60"/>
      <c r="N464" s="60">
        <f t="shared" si="145"/>
        <v>0</v>
      </c>
      <c r="O464" s="60">
        <f t="shared" si="146"/>
        <v>0</v>
      </c>
    </row>
    <row r="465" spans="1:15" s="38" customFormat="1" ht="10.7" hidden="1" customHeight="1" outlineLevel="1" x14ac:dyDescent="0.25">
      <c r="A465" s="124"/>
      <c r="B465" s="142"/>
      <c r="C465" s="115"/>
      <c r="D465" s="115"/>
      <c r="E465" s="115"/>
      <c r="F465" s="115"/>
      <c r="G465" s="60" t="s">
        <v>128</v>
      </c>
      <c r="H465" s="124"/>
      <c r="I465" s="124"/>
      <c r="J465" s="60"/>
      <c r="K465" s="60"/>
      <c r="L465" s="60"/>
      <c r="M465" s="60"/>
      <c r="N465" s="60">
        <f t="shared" si="145"/>
        <v>0</v>
      </c>
      <c r="O465" s="60">
        <f t="shared" si="146"/>
        <v>0</v>
      </c>
    </row>
    <row r="466" spans="1:15" s="38" customFormat="1" ht="10.7" hidden="1" customHeight="1" outlineLevel="1" x14ac:dyDescent="0.25">
      <c r="A466" s="124"/>
      <c r="B466" s="142"/>
      <c r="C466" s="115"/>
      <c r="D466" s="115"/>
      <c r="E466" s="115"/>
      <c r="F466" s="115"/>
      <c r="G466" s="60" t="s">
        <v>129</v>
      </c>
      <c r="H466" s="124"/>
      <c r="I466" s="124"/>
      <c r="J466" s="60"/>
      <c r="K466" s="60"/>
      <c r="L466" s="60"/>
      <c r="M466" s="60"/>
      <c r="N466" s="60">
        <f t="shared" si="145"/>
        <v>0</v>
      </c>
      <c r="O466" s="60">
        <f t="shared" si="146"/>
        <v>0</v>
      </c>
    </row>
    <row r="467" spans="1:15" s="38" customFormat="1" ht="10.7" hidden="1" customHeight="1" outlineLevel="1" x14ac:dyDescent="0.25">
      <c r="A467" s="124"/>
      <c r="B467" s="142"/>
      <c r="C467" s="115"/>
      <c r="D467" s="115"/>
      <c r="E467" s="115"/>
      <c r="F467" s="115"/>
      <c r="G467" s="60" t="s">
        <v>130</v>
      </c>
      <c r="H467" s="124"/>
      <c r="I467" s="124"/>
      <c r="J467" s="60"/>
      <c r="K467" s="60"/>
      <c r="L467" s="60"/>
      <c r="M467" s="60"/>
      <c r="N467" s="60">
        <f t="shared" si="145"/>
        <v>0</v>
      </c>
      <c r="O467" s="60">
        <f t="shared" si="146"/>
        <v>0</v>
      </c>
    </row>
    <row r="468" spans="1:15" s="38" customFormat="1" ht="12" hidden="1" customHeight="1" outlineLevel="1" thickBot="1" x14ac:dyDescent="0.3">
      <c r="A468" s="125"/>
      <c r="B468" s="143"/>
      <c r="C468" s="131"/>
      <c r="D468" s="131"/>
      <c r="E468" s="131"/>
      <c r="F468" s="131"/>
      <c r="G468" s="60" t="s">
        <v>131</v>
      </c>
      <c r="H468" s="134"/>
      <c r="I468" s="134"/>
      <c r="J468" s="60"/>
      <c r="K468" s="60"/>
      <c r="L468" s="60"/>
      <c r="M468" s="60"/>
      <c r="N468" s="60">
        <f t="shared" si="145"/>
        <v>0</v>
      </c>
      <c r="O468" s="60">
        <f t="shared" si="146"/>
        <v>0</v>
      </c>
    </row>
    <row r="469" spans="1:15" s="38" customFormat="1" ht="14.45" hidden="1" customHeight="1" outlineLevel="1" x14ac:dyDescent="0.25">
      <c r="A469" s="140" t="s">
        <v>487</v>
      </c>
      <c r="B469" s="141" t="s">
        <v>488</v>
      </c>
      <c r="C469" s="130">
        <f>SUM(N469:N475)</f>
        <v>0</v>
      </c>
      <c r="D469" s="130">
        <f>SUM(O469:O475)</f>
        <v>0</v>
      </c>
      <c r="E469" s="130">
        <f t="shared" si="144"/>
        <v>0</v>
      </c>
      <c r="F469" s="130"/>
      <c r="G469" s="60" t="s">
        <v>125</v>
      </c>
      <c r="H469" s="123"/>
      <c r="I469" s="123"/>
      <c r="J469" s="60"/>
      <c r="K469" s="60"/>
      <c r="L469" s="60"/>
      <c r="M469" s="60"/>
      <c r="N469" s="60">
        <f>M469*J469*K469*L469</f>
        <v>0</v>
      </c>
      <c r="O469" s="60">
        <f>J469*K469*L469</f>
        <v>0</v>
      </c>
    </row>
    <row r="470" spans="1:15" s="38" customFormat="1" ht="11.45" hidden="1" customHeight="1" outlineLevel="1" x14ac:dyDescent="0.25">
      <c r="A470" s="124"/>
      <c r="B470" s="142"/>
      <c r="C470" s="115"/>
      <c r="D470" s="115"/>
      <c r="E470" s="115"/>
      <c r="F470" s="115"/>
      <c r="G470" s="60" t="s">
        <v>126</v>
      </c>
      <c r="H470" s="124"/>
      <c r="I470" s="124"/>
      <c r="J470" s="60"/>
      <c r="K470" s="60"/>
      <c r="L470" s="60"/>
      <c r="M470" s="60"/>
      <c r="N470" s="60">
        <f t="shared" ref="N470:N475" si="147">M470*J470*K470*L470</f>
        <v>0</v>
      </c>
      <c r="O470" s="60">
        <f t="shared" ref="O470:O475" si="148">J470*K470*L470</f>
        <v>0</v>
      </c>
    </row>
    <row r="471" spans="1:15" s="38" customFormat="1" ht="10.7" hidden="1" customHeight="1" outlineLevel="1" x14ac:dyDescent="0.25">
      <c r="A471" s="124"/>
      <c r="B471" s="142"/>
      <c r="C471" s="115"/>
      <c r="D471" s="115"/>
      <c r="E471" s="115"/>
      <c r="F471" s="115"/>
      <c r="G471" s="60" t="s">
        <v>127</v>
      </c>
      <c r="H471" s="124"/>
      <c r="I471" s="124"/>
      <c r="J471" s="60"/>
      <c r="K471" s="60"/>
      <c r="L471" s="60"/>
      <c r="M471" s="60"/>
      <c r="N471" s="60">
        <f t="shared" si="147"/>
        <v>0</v>
      </c>
      <c r="O471" s="60">
        <f t="shared" si="148"/>
        <v>0</v>
      </c>
    </row>
    <row r="472" spans="1:15" s="38" customFormat="1" ht="10.7" hidden="1" customHeight="1" outlineLevel="1" x14ac:dyDescent="0.25">
      <c r="A472" s="124"/>
      <c r="B472" s="142"/>
      <c r="C472" s="115"/>
      <c r="D472" s="115"/>
      <c r="E472" s="115"/>
      <c r="F472" s="115"/>
      <c r="G472" s="60" t="s">
        <v>128</v>
      </c>
      <c r="H472" s="124"/>
      <c r="I472" s="124"/>
      <c r="J472" s="60"/>
      <c r="K472" s="60"/>
      <c r="L472" s="60"/>
      <c r="M472" s="60"/>
      <c r="N472" s="60">
        <f t="shared" si="147"/>
        <v>0</v>
      </c>
      <c r="O472" s="60">
        <f t="shared" si="148"/>
        <v>0</v>
      </c>
    </row>
    <row r="473" spans="1:15" s="38" customFormat="1" ht="10.7" hidden="1" customHeight="1" outlineLevel="1" x14ac:dyDescent="0.25">
      <c r="A473" s="124"/>
      <c r="B473" s="142"/>
      <c r="C473" s="115"/>
      <c r="D473" s="115"/>
      <c r="E473" s="115"/>
      <c r="F473" s="115"/>
      <c r="G473" s="60" t="s">
        <v>129</v>
      </c>
      <c r="H473" s="124"/>
      <c r="I473" s="124"/>
      <c r="J473" s="60"/>
      <c r="K473" s="60"/>
      <c r="L473" s="60"/>
      <c r="M473" s="60"/>
      <c r="N473" s="60">
        <f t="shared" si="147"/>
        <v>0</v>
      </c>
      <c r="O473" s="60">
        <f t="shared" si="148"/>
        <v>0</v>
      </c>
    </row>
    <row r="474" spans="1:15" s="38" customFormat="1" ht="10.7" hidden="1" customHeight="1" outlineLevel="1" x14ac:dyDescent="0.25">
      <c r="A474" s="124"/>
      <c r="B474" s="142"/>
      <c r="C474" s="115"/>
      <c r="D474" s="115"/>
      <c r="E474" s="115"/>
      <c r="F474" s="115"/>
      <c r="G474" s="60" t="s">
        <v>130</v>
      </c>
      <c r="H474" s="124"/>
      <c r="I474" s="124"/>
      <c r="J474" s="60"/>
      <c r="K474" s="60"/>
      <c r="L474" s="60"/>
      <c r="M474" s="60"/>
      <c r="N474" s="60">
        <f t="shared" si="147"/>
        <v>0</v>
      </c>
      <c r="O474" s="60">
        <f t="shared" si="148"/>
        <v>0</v>
      </c>
    </row>
    <row r="475" spans="1:15" s="38" customFormat="1" ht="12" hidden="1" customHeight="1" outlineLevel="1" thickBot="1" x14ac:dyDescent="0.3">
      <c r="A475" s="125"/>
      <c r="B475" s="143"/>
      <c r="C475" s="131"/>
      <c r="D475" s="131"/>
      <c r="E475" s="131"/>
      <c r="F475" s="131"/>
      <c r="G475" s="60" t="s">
        <v>131</v>
      </c>
      <c r="H475" s="134"/>
      <c r="I475" s="134"/>
      <c r="J475" s="60"/>
      <c r="K475" s="60"/>
      <c r="L475" s="60"/>
      <c r="M475" s="60"/>
      <c r="N475" s="60">
        <f t="shared" si="147"/>
        <v>0</v>
      </c>
      <c r="O475" s="60">
        <f t="shared" si="148"/>
        <v>0</v>
      </c>
    </row>
    <row r="476" spans="1:15" s="38" customFormat="1" ht="14.45" hidden="1" customHeight="1" outlineLevel="1" x14ac:dyDescent="0.25">
      <c r="A476" s="140" t="s">
        <v>489</v>
      </c>
      <c r="B476" s="141" t="s">
        <v>490</v>
      </c>
      <c r="C476" s="130">
        <f>SUM(N476:N482)</f>
        <v>0</v>
      </c>
      <c r="D476" s="130">
        <f>SUM(O476:O482)</f>
        <v>0</v>
      </c>
      <c r="E476" s="130">
        <f t="shared" si="144"/>
        <v>0</v>
      </c>
      <c r="F476" s="130"/>
      <c r="G476" s="60" t="s">
        <v>125</v>
      </c>
      <c r="H476" s="123"/>
      <c r="I476" s="123"/>
      <c r="J476" s="60"/>
      <c r="K476" s="60"/>
      <c r="L476" s="60"/>
      <c r="M476" s="60"/>
      <c r="N476" s="60">
        <f>M476*J476*K476*L476</f>
        <v>0</v>
      </c>
      <c r="O476" s="60">
        <f>J476*K476*L476</f>
        <v>0</v>
      </c>
    </row>
    <row r="477" spans="1:15" s="38" customFormat="1" ht="11.45" hidden="1" customHeight="1" outlineLevel="1" x14ac:dyDescent="0.25">
      <c r="A477" s="124"/>
      <c r="B477" s="142"/>
      <c r="C477" s="115"/>
      <c r="D477" s="115"/>
      <c r="E477" s="115"/>
      <c r="F477" s="115"/>
      <c r="G477" s="60" t="s">
        <v>126</v>
      </c>
      <c r="H477" s="124"/>
      <c r="I477" s="124"/>
      <c r="J477" s="60"/>
      <c r="K477" s="60"/>
      <c r="L477" s="60"/>
      <c r="M477" s="60"/>
      <c r="N477" s="60">
        <f t="shared" ref="N477:N482" si="149">M477*J477*K477*L477</f>
        <v>0</v>
      </c>
      <c r="O477" s="60">
        <f t="shared" ref="O477:O482" si="150">J477*K477*L477</f>
        <v>0</v>
      </c>
    </row>
    <row r="478" spans="1:15" s="38" customFormat="1" ht="10.7" hidden="1" customHeight="1" outlineLevel="1" x14ac:dyDescent="0.25">
      <c r="A478" s="124"/>
      <c r="B478" s="142"/>
      <c r="C478" s="115"/>
      <c r="D478" s="115"/>
      <c r="E478" s="115"/>
      <c r="F478" s="115"/>
      <c r="G478" s="60" t="s">
        <v>127</v>
      </c>
      <c r="H478" s="124"/>
      <c r="I478" s="124"/>
      <c r="J478" s="60"/>
      <c r="K478" s="60"/>
      <c r="L478" s="60"/>
      <c r="M478" s="60"/>
      <c r="N478" s="60">
        <f t="shared" si="149"/>
        <v>0</v>
      </c>
      <c r="O478" s="60">
        <f t="shared" si="150"/>
        <v>0</v>
      </c>
    </row>
    <row r="479" spans="1:15" s="38" customFormat="1" ht="10.7" hidden="1" customHeight="1" outlineLevel="1" x14ac:dyDescent="0.25">
      <c r="A479" s="124"/>
      <c r="B479" s="142"/>
      <c r="C479" s="115"/>
      <c r="D479" s="115"/>
      <c r="E479" s="115"/>
      <c r="F479" s="115"/>
      <c r="G479" s="60" t="s">
        <v>128</v>
      </c>
      <c r="H479" s="124"/>
      <c r="I479" s="124"/>
      <c r="J479" s="60"/>
      <c r="K479" s="60"/>
      <c r="L479" s="60"/>
      <c r="M479" s="60"/>
      <c r="N479" s="60">
        <f t="shared" si="149"/>
        <v>0</v>
      </c>
      <c r="O479" s="60">
        <f t="shared" si="150"/>
        <v>0</v>
      </c>
    </row>
    <row r="480" spans="1:15" s="38" customFormat="1" ht="10.7" hidden="1" customHeight="1" outlineLevel="1" x14ac:dyDescent="0.25">
      <c r="A480" s="124"/>
      <c r="B480" s="142"/>
      <c r="C480" s="115"/>
      <c r="D480" s="115"/>
      <c r="E480" s="115"/>
      <c r="F480" s="115"/>
      <c r="G480" s="60" t="s">
        <v>129</v>
      </c>
      <c r="H480" s="124"/>
      <c r="I480" s="124"/>
      <c r="J480" s="60"/>
      <c r="K480" s="60"/>
      <c r="L480" s="60"/>
      <c r="M480" s="60"/>
      <c r="N480" s="60">
        <f t="shared" si="149"/>
        <v>0</v>
      </c>
      <c r="O480" s="60">
        <f t="shared" si="150"/>
        <v>0</v>
      </c>
    </row>
    <row r="481" spans="1:15" s="38" customFormat="1" ht="10.7" hidden="1" customHeight="1" outlineLevel="1" x14ac:dyDescent="0.25">
      <c r="A481" s="124"/>
      <c r="B481" s="142"/>
      <c r="C481" s="115"/>
      <c r="D481" s="115"/>
      <c r="E481" s="115"/>
      <c r="F481" s="115"/>
      <c r="G481" s="60" t="s">
        <v>130</v>
      </c>
      <c r="H481" s="124"/>
      <c r="I481" s="124"/>
      <c r="J481" s="60"/>
      <c r="K481" s="60"/>
      <c r="L481" s="60"/>
      <c r="M481" s="60"/>
      <c r="N481" s="60">
        <f t="shared" si="149"/>
        <v>0</v>
      </c>
      <c r="O481" s="60">
        <f t="shared" si="150"/>
        <v>0</v>
      </c>
    </row>
    <row r="482" spans="1:15" s="38" customFormat="1" ht="12" hidden="1" customHeight="1" outlineLevel="1" thickBot="1" x14ac:dyDescent="0.3">
      <c r="A482" s="125"/>
      <c r="B482" s="143"/>
      <c r="C482" s="131"/>
      <c r="D482" s="131"/>
      <c r="E482" s="131"/>
      <c r="F482" s="131"/>
      <c r="G482" s="60" t="s">
        <v>131</v>
      </c>
      <c r="H482" s="134"/>
      <c r="I482" s="134"/>
      <c r="J482" s="60"/>
      <c r="K482" s="60"/>
      <c r="L482" s="60"/>
      <c r="M482" s="60"/>
      <c r="N482" s="60">
        <f t="shared" si="149"/>
        <v>0</v>
      </c>
      <c r="O482" s="60">
        <f t="shared" si="150"/>
        <v>0</v>
      </c>
    </row>
    <row r="483" spans="1:15" s="38" customFormat="1" ht="14.45" hidden="1" customHeight="1" outlineLevel="1" x14ac:dyDescent="0.25">
      <c r="A483" s="140" t="s">
        <v>491</v>
      </c>
      <c r="B483" s="141" t="s">
        <v>492</v>
      </c>
      <c r="C483" s="130">
        <f>SUM(N483:N489)</f>
        <v>0</v>
      </c>
      <c r="D483" s="130">
        <f>SUM(O483:O489)</f>
        <v>0</v>
      </c>
      <c r="E483" s="130">
        <f t="shared" si="144"/>
        <v>0</v>
      </c>
      <c r="F483" s="130"/>
      <c r="G483" s="60" t="s">
        <v>125</v>
      </c>
      <c r="H483" s="123"/>
      <c r="I483" s="123"/>
      <c r="J483" s="60"/>
      <c r="K483" s="60"/>
      <c r="L483" s="60"/>
      <c r="M483" s="60"/>
      <c r="N483" s="60">
        <f>M483*J483*K483*L483</f>
        <v>0</v>
      </c>
      <c r="O483" s="60">
        <f>J483*K483*L483</f>
        <v>0</v>
      </c>
    </row>
    <row r="484" spans="1:15" s="38" customFormat="1" ht="11.45" hidden="1" customHeight="1" outlineLevel="1" x14ac:dyDescent="0.25">
      <c r="A484" s="124"/>
      <c r="B484" s="142"/>
      <c r="C484" s="115"/>
      <c r="D484" s="115"/>
      <c r="E484" s="115"/>
      <c r="F484" s="115"/>
      <c r="G484" s="60" t="s">
        <v>126</v>
      </c>
      <c r="H484" s="124"/>
      <c r="I484" s="124"/>
      <c r="J484" s="60"/>
      <c r="K484" s="60"/>
      <c r="L484" s="60"/>
      <c r="M484" s="60"/>
      <c r="N484" s="60">
        <f t="shared" ref="N484:N489" si="151">M484*J484*K484*L484</f>
        <v>0</v>
      </c>
      <c r="O484" s="60">
        <f t="shared" ref="O484:O489" si="152">J484*K484*L484</f>
        <v>0</v>
      </c>
    </row>
    <row r="485" spans="1:15" s="38" customFormat="1" ht="10.7" hidden="1" customHeight="1" outlineLevel="1" x14ac:dyDescent="0.25">
      <c r="A485" s="124"/>
      <c r="B485" s="142"/>
      <c r="C485" s="115"/>
      <c r="D485" s="115"/>
      <c r="E485" s="115"/>
      <c r="F485" s="115"/>
      <c r="G485" s="60" t="s">
        <v>127</v>
      </c>
      <c r="H485" s="124"/>
      <c r="I485" s="124"/>
      <c r="J485" s="60"/>
      <c r="K485" s="60"/>
      <c r="L485" s="60"/>
      <c r="M485" s="60"/>
      <c r="N485" s="60">
        <f t="shared" si="151"/>
        <v>0</v>
      </c>
      <c r="O485" s="60">
        <f t="shared" si="152"/>
        <v>0</v>
      </c>
    </row>
    <row r="486" spans="1:15" s="38" customFormat="1" ht="10.7" hidden="1" customHeight="1" outlineLevel="1" x14ac:dyDescent="0.25">
      <c r="A486" s="124"/>
      <c r="B486" s="142"/>
      <c r="C486" s="115"/>
      <c r="D486" s="115"/>
      <c r="E486" s="115"/>
      <c r="F486" s="115"/>
      <c r="G486" s="60" t="s">
        <v>128</v>
      </c>
      <c r="H486" s="124"/>
      <c r="I486" s="124"/>
      <c r="J486" s="60"/>
      <c r="K486" s="60"/>
      <c r="L486" s="60"/>
      <c r="M486" s="60"/>
      <c r="N486" s="60">
        <f t="shared" si="151"/>
        <v>0</v>
      </c>
      <c r="O486" s="60">
        <f t="shared" si="152"/>
        <v>0</v>
      </c>
    </row>
    <row r="487" spans="1:15" s="38" customFormat="1" ht="10.7" hidden="1" customHeight="1" outlineLevel="1" x14ac:dyDescent="0.25">
      <c r="A487" s="124"/>
      <c r="B487" s="142"/>
      <c r="C487" s="115"/>
      <c r="D487" s="115"/>
      <c r="E487" s="115"/>
      <c r="F487" s="115"/>
      <c r="G487" s="60" t="s">
        <v>129</v>
      </c>
      <c r="H487" s="124"/>
      <c r="I487" s="124"/>
      <c r="J487" s="60"/>
      <c r="K487" s="60"/>
      <c r="L487" s="60"/>
      <c r="M487" s="60"/>
      <c r="N487" s="60">
        <f t="shared" si="151"/>
        <v>0</v>
      </c>
      <c r="O487" s="60">
        <f t="shared" si="152"/>
        <v>0</v>
      </c>
    </row>
    <row r="488" spans="1:15" s="38" customFormat="1" ht="10.7" hidden="1" customHeight="1" outlineLevel="1" x14ac:dyDescent="0.25">
      <c r="A488" s="124"/>
      <c r="B488" s="142"/>
      <c r="C488" s="115"/>
      <c r="D488" s="115"/>
      <c r="E488" s="115"/>
      <c r="F488" s="115"/>
      <c r="G488" s="60" t="s">
        <v>130</v>
      </c>
      <c r="H488" s="124"/>
      <c r="I488" s="124"/>
      <c r="J488" s="60"/>
      <c r="K488" s="60"/>
      <c r="L488" s="60"/>
      <c r="M488" s="60"/>
      <c r="N488" s="60">
        <f t="shared" si="151"/>
        <v>0</v>
      </c>
      <c r="O488" s="60">
        <f t="shared" si="152"/>
        <v>0</v>
      </c>
    </row>
    <row r="489" spans="1:15" s="38" customFormat="1" ht="12" hidden="1" customHeight="1" outlineLevel="1" thickBot="1" x14ac:dyDescent="0.3">
      <c r="A489" s="125"/>
      <c r="B489" s="143"/>
      <c r="C489" s="131"/>
      <c r="D489" s="131"/>
      <c r="E489" s="131"/>
      <c r="F489" s="131"/>
      <c r="G489" s="60" t="s">
        <v>131</v>
      </c>
      <c r="H489" s="134"/>
      <c r="I489" s="134"/>
      <c r="J489" s="60"/>
      <c r="K489" s="60"/>
      <c r="L489" s="60"/>
      <c r="M489" s="60"/>
      <c r="N489" s="60">
        <f t="shared" si="151"/>
        <v>0</v>
      </c>
      <c r="O489" s="60">
        <f t="shared" si="152"/>
        <v>0</v>
      </c>
    </row>
    <row r="490" spans="1:15" s="38" customFormat="1" ht="14.45" hidden="1" customHeight="1" outlineLevel="1" x14ac:dyDescent="0.25">
      <c r="A490" s="140" t="s">
        <v>493</v>
      </c>
      <c r="B490" s="141" t="s">
        <v>494</v>
      </c>
      <c r="C490" s="130">
        <f>SUM(N490:N496)</f>
        <v>0</v>
      </c>
      <c r="D490" s="130">
        <f>SUM(O490:O496)</f>
        <v>0</v>
      </c>
      <c r="E490" s="130">
        <f t="shared" si="144"/>
        <v>0</v>
      </c>
      <c r="F490" s="130"/>
      <c r="G490" s="60" t="s">
        <v>125</v>
      </c>
      <c r="H490" s="123"/>
      <c r="I490" s="123"/>
      <c r="J490" s="60"/>
      <c r="K490" s="60"/>
      <c r="L490" s="60"/>
      <c r="M490" s="60"/>
      <c r="N490" s="60">
        <f>M490*J490*K490*L490</f>
        <v>0</v>
      </c>
      <c r="O490" s="60">
        <f>J490*K490*L490</f>
        <v>0</v>
      </c>
    </row>
    <row r="491" spans="1:15" s="38" customFormat="1" ht="11.45" hidden="1" customHeight="1" outlineLevel="1" x14ac:dyDescent="0.25">
      <c r="A491" s="124"/>
      <c r="B491" s="142"/>
      <c r="C491" s="115"/>
      <c r="D491" s="115"/>
      <c r="E491" s="115"/>
      <c r="F491" s="115"/>
      <c r="G491" s="60" t="s">
        <v>126</v>
      </c>
      <c r="H491" s="124"/>
      <c r="I491" s="124"/>
      <c r="J491" s="60"/>
      <c r="K491" s="60"/>
      <c r="L491" s="60"/>
      <c r="M491" s="60"/>
      <c r="N491" s="60">
        <f t="shared" ref="N491:N496" si="153">M491*J491*K491*L491</f>
        <v>0</v>
      </c>
      <c r="O491" s="60">
        <f t="shared" ref="O491:O496" si="154">J491*K491*L491</f>
        <v>0</v>
      </c>
    </row>
    <row r="492" spans="1:15" s="38" customFormat="1" ht="10.7" hidden="1" customHeight="1" outlineLevel="1" x14ac:dyDescent="0.25">
      <c r="A492" s="124"/>
      <c r="B492" s="142"/>
      <c r="C492" s="115"/>
      <c r="D492" s="115"/>
      <c r="E492" s="115"/>
      <c r="F492" s="115"/>
      <c r="G492" s="60" t="s">
        <v>127</v>
      </c>
      <c r="H492" s="124"/>
      <c r="I492" s="124"/>
      <c r="J492" s="60"/>
      <c r="K492" s="60"/>
      <c r="L492" s="60"/>
      <c r="M492" s="60"/>
      <c r="N492" s="60">
        <f t="shared" si="153"/>
        <v>0</v>
      </c>
      <c r="O492" s="60">
        <f t="shared" si="154"/>
        <v>0</v>
      </c>
    </row>
    <row r="493" spans="1:15" s="38" customFormat="1" ht="10.7" hidden="1" customHeight="1" outlineLevel="1" x14ac:dyDescent="0.25">
      <c r="A493" s="124"/>
      <c r="B493" s="142"/>
      <c r="C493" s="115"/>
      <c r="D493" s="115"/>
      <c r="E493" s="115"/>
      <c r="F493" s="115"/>
      <c r="G493" s="60" t="s">
        <v>128</v>
      </c>
      <c r="H493" s="124"/>
      <c r="I493" s="124"/>
      <c r="J493" s="60"/>
      <c r="K493" s="60"/>
      <c r="L493" s="60"/>
      <c r="M493" s="60"/>
      <c r="N493" s="60">
        <f t="shared" si="153"/>
        <v>0</v>
      </c>
      <c r="O493" s="60">
        <f t="shared" si="154"/>
        <v>0</v>
      </c>
    </row>
    <row r="494" spans="1:15" s="38" customFormat="1" ht="10.7" hidden="1" customHeight="1" outlineLevel="1" x14ac:dyDescent="0.25">
      <c r="A494" s="124"/>
      <c r="B494" s="142"/>
      <c r="C494" s="115"/>
      <c r="D494" s="115"/>
      <c r="E494" s="115"/>
      <c r="F494" s="115"/>
      <c r="G494" s="60" t="s">
        <v>129</v>
      </c>
      <c r="H494" s="124"/>
      <c r="I494" s="124"/>
      <c r="J494" s="60"/>
      <c r="K494" s="60"/>
      <c r="L494" s="60"/>
      <c r="M494" s="60"/>
      <c r="N494" s="60">
        <f t="shared" si="153"/>
        <v>0</v>
      </c>
      <c r="O494" s="60">
        <f t="shared" si="154"/>
        <v>0</v>
      </c>
    </row>
    <row r="495" spans="1:15" s="38" customFormat="1" ht="10.7" hidden="1" customHeight="1" outlineLevel="1" x14ac:dyDescent="0.25">
      <c r="A495" s="124"/>
      <c r="B495" s="142"/>
      <c r="C495" s="115"/>
      <c r="D495" s="115"/>
      <c r="E495" s="115"/>
      <c r="F495" s="115"/>
      <c r="G495" s="60" t="s">
        <v>130</v>
      </c>
      <c r="H495" s="124"/>
      <c r="I495" s="124"/>
      <c r="J495" s="60"/>
      <c r="K495" s="60"/>
      <c r="L495" s="60"/>
      <c r="M495" s="60"/>
      <c r="N495" s="60">
        <f t="shared" si="153"/>
        <v>0</v>
      </c>
      <c r="O495" s="60">
        <f t="shared" si="154"/>
        <v>0</v>
      </c>
    </row>
    <row r="496" spans="1:15" s="38" customFormat="1" ht="12" hidden="1" customHeight="1" outlineLevel="1" thickBot="1" x14ac:dyDescent="0.3">
      <c r="A496" s="125"/>
      <c r="B496" s="143"/>
      <c r="C496" s="131"/>
      <c r="D496" s="131"/>
      <c r="E496" s="131"/>
      <c r="F496" s="131"/>
      <c r="G496" s="60" t="s">
        <v>131</v>
      </c>
      <c r="H496" s="134"/>
      <c r="I496" s="134"/>
      <c r="J496" s="60"/>
      <c r="K496" s="60"/>
      <c r="L496" s="60"/>
      <c r="M496" s="60"/>
      <c r="N496" s="60">
        <f t="shared" si="153"/>
        <v>0</v>
      </c>
      <c r="O496" s="60">
        <f t="shared" si="154"/>
        <v>0</v>
      </c>
    </row>
    <row r="497" spans="1:15" s="38" customFormat="1" ht="14.45" hidden="1" customHeight="1" outlineLevel="1" x14ac:dyDescent="0.25">
      <c r="A497" s="140" t="s">
        <v>495</v>
      </c>
      <c r="B497" s="141" t="s">
        <v>496</v>
      </c>
      <c r="C497" s="130">
        <f>SUM(N497:N503)</f>
        <v>0</v>
      </c>
      <c r="D497" s="130">
        <f>SUM(O497:O503)</f>
        <v>0</v>
      </c>
      <c r="E497" s="130">
        <f t="shared" si="144"/>
        <v>0</v>
      </c>
      <c r="F497" s="130"/>
      <c r="G497" s="60" t="s">
        <v>125</v>
      </c>
      <c r="H497" s="123"/>
      <c r="I497" s="123"/>
      <c r="J497" s="60"/>
      <c r="K497" s="60"/>
      <c r="L497" s="60"/>
      <c r="M497" s="60"/>
      <c r="N497" s="60">
        <f>M497*J497*K497*L497</f>
        <v>0</v>
      </c>
      <c r="O497" s="60">
        <f>J497*K497*L497</f>
        <v>0</v>
      </c>
    </row>
    <row r="498" spans="1:15" s="38" customFormat="1" ht="11.45" hidden="1" customHeight="1" outlineLevel="1" x14ac:dyDescent="0.25">
      <c r="A498" s="124"/>
      <c r="B498" s="142"/>
      <c r="C498" s="115"/>
      <c r="D498" s="115"/>
      <c r="E498" s="115"/>
      <c r="F498" s="115"/>
      <c r="G498" s="60" t="s">
        <v>126</v>
      </c>
      <c r="H498" s="124"/>
      <c r="I498" s="124"/>
      <c r="J498" s="60"/>
      <c r="K498" s="60"/>
      <c r="L498" s="60"/>
      <c r="M498" s="60"/>
      <c r="N498" s="60">
        <f t="shared" ref="N498:N503" si="155">M498*J498*K498*L498</f>
        <v>0</v>
      </c>
      <c r="O498" s="60">
        <f t="shared" ref="O498:O503" si="156">J498*K498*L498</f>
        <v>0</v>
      </c>
    </row>
    <row r="499" spans="1:15" s="38" customFormat="1" ht="10.7" hidden="1" customHeight="1" outlineLevel="1" x14ac:dyDescent="0.25">
      <c r="A499" s="124"/>
      <c r="B499" s="142"/>
      <c r="C499" s="115"/>
      <c r="D499" s="115"/>
      <c r="E499" s="115"/>
      <c r="F499" s="115"/>
      <c r="G499" s="60" t="s">
        <v>127</v>
      </c>
      <c r="H499" s="124"/>
      <c r="I499" s="124"/>
      <c r="J499" s="60"/>
      <c r="K499" s="60"/>
      <c r="L499" s="60"/>
      <c r="M499" s="60"/>
      <c r="N499" s="60">
        <f t="shared" si="155"/>
        <v>0</v>
      </c>
      <c r="O499" s="60">
        <f t="shared" si="156"/>
        <v>0</v>
      </c>
    </row>
    <row r="500" spans="1:15" s="38" customFormat="1" ht="10.7" hidden="1" customHeight="1" outlineLevel="1" x14ac:dyDescent="0.25">
      <c r="A500" s="124"/>
      <c r="B500" s="142"/>
      <c r="C500" s="115"/>
      <c r="D500" s="115"/>
      <c r="E500" s="115"/>
      <c r="F500" s="115"/>
      <c r="G500" s="60" t="s">
        <v>128</v>
      </c>
      <c r="H500" s="124"/>
      <c r="I500" s="124"/>
      <c r="J500" s="60"/>
      <c r="K500" s="60"/>
      <c r="L500" s="60"/>
      <c r="M500" s="60"/>
      <c r="N500" s="60">
        <f t="shared" si="155"/>
        <v>0</v>
      </c>
      <c r="O500" s="60">
        <f t="shared" si="156"/>
        <v>0</v>
      </c>
    </row>
    <row r="501" spans="1:15" s="38" customFormat="1" ht="10.7" hidden="1" customHeight="1" outlineLevel="1" x14ac:dyDescent="0.25">
      <c r="A501" s="124"/>
      <c r="B501" s="142"/>
      <c r="C501" s="115"/>
      <c r="D501" s="115"/>
      <c r="E501" s="115"/>
      <c r="F501" s="115"/>
      <c r="G501" s="60" t="s">
        <v>129</v>
      </c>
      <c r="H501" s="124"/>
      <c r="I501" s="124"/>
      <c r="J501" s="60"/>
      <c r="K501" s="60"/>
      <c r="L501" s="60"/>
      <c r="M501" s="60"/>
      <c r="N501" s="60">
        <f t="shared" si="155"/>
        <v>0</v>
      </c>
      <c r="O501" s="60">
        <f t="shared" si="156"/>
        <v>0</v>
      </c>
    </row>
    <row r="502" spans="1:15" s="38" customFormat="1" ht="10.7" hidden="1" customHeight="1" outlineLevel="1" x14ac:dyDescent="0.25">
      <c r="A502" s="124"/>
      <c r="B502" s="142"/>
      <c r="C502" s="115"/>
      <c r="D502" s="115"/>
      <c r="E502" s="115"/>
      <c r="F502" s="115"/>
      <c r="G502" s="60" t="s">
        <v>130</v>
      </c>
      <c r="H502" s="124"/>
      <c r="I502" s="124"/>
      <c r="J502" s="60"/>
      <c r="K502" s="60"/>
      <c r="L502" s="60"/>
      <c r="M502" s="60"/>
      <c r="N502" s="60">
        <f t="shared" si="155"/>
        <v>0</v>
      </c>
      <c r="O502" s="60">
        <f t="shared" si="156"/>
        <v>0</v>
      </c>
    </row>
    <row r="503" spans="1:15" s="38" customFormat="1" ht="12" hidden="1" customHeight="1" outlineLevel="1" thickBot="1" x14ac:dyDescent="0.3">
      <c r="A503" s="125"/>
      <c r="B503" s="143"/>
      <c r="C503" s="131"/>
      <c r="D503" s="131"/>
      <c r="E503" s="131"/>
      <c r="F503" s="131"/>
      <c r="G503" s="60" t="s">
        <v>131</v>
      </c>
      <c r="H503" s="134"/>
      <c r="I503" s="134"/>
      <c r="J503" s="60"/>
      <c r="K503" s="60"/>
      <c r="L503" s="60"/>
      <c r="M503" s="60"/>
      <c r="N503" s="60">
        <f t="shared" si="155"/>
        <v>0</v>
      </c>
      <c r="O503" s="60">
        <f t="shared" si="156"/>
        <v>0</v>
      </c>
    </row>
    <row r="504" spans="1:15" s="38" customFormat="1" ht="14.45" hidden="1" customHeight="1" outlineLevel="1" x14ac:dyDescent="0.25">
      <c r="A504" s="140" t="s">
        <v>497</v>
      </c>
      <c r="B504" s="141" t="s">
        <v>498</v>
      </c>
      <c r="C504" s="130">
        <f>SUM(N504:N510)</f>
        <v>0</v>
      </c>
      <c r="D504" s="130">
        <f>SUM(O504:O510)</f>
        <v>0</v>
      </c>
      <c r="E504" s="130">
        <f t="shared" si="144"/>
        <v>0</v>
      </c>
      <c r="F504" s="130"/>
      <c r="G504" s="60" t="s">
        <v>125</v>
      </c>
      <c r="H504" s="123"/>
      <c r="I504" s="123"/>
      <c r="J504" s="60"/>
      <c r="K504" s="60"/>
      <c r="L504" s="60"/>
      <c r="M504" s="60"/>
      <c r="N504" s="60">
        <f>M504*J504*K504*L504</f>
        <v>0</v>
      </c>
      <c r="O504" s="60">
        <f>J504*K504*L504</f>
        <v>0</v>
      </c>
    </row>
    <row r="505" spans="1:15" s="38" customFormat="1" ht="11.45" hidden="1" customHeight="1" outlineLevel="1" x14ac:dyDescent="0.25">
      <c r="A505" s="124"/>
      <c r="B505" s="142"/>
      <c r="C505" s="115"/>
      <c r="D505" s="115"/>
      <c r="E505" s="115"/>
      <c r="F505" s="115"/>
      <c r="G505" s="60" t="s">
        <v>126</v>
      </c>
      <c r="H505" s="124"/>
      <c r="I505" s="124"/>
      <c r="J505" s="60"/>
      <c r="K505" s="60"/>
      <c r="L505" s="60"/>
      <c r="M505" s="60"/>
      <c r="N505" s="60">
        <f t="shared" ref="N505:N510" si="157">M505*J505*K505*L505</f>
        <v>0</v>
      </c>
      <c r="O505" s="60">
        <f t="shared" ref="O505:O510" si="158">J505*K505*L505</f>
        <v>0</v>
      </c>
    </row>
    <row r="506" spans="1:15" s="38" customFormat="1" ht="10.7" hidden="1" customHeight="1" outlineLevel="1" x14ac:dyDescent="0.25">
      <c r="A506" s="124"/>
      <c r="B506" s="142"/>
      <c r="C506" s="115"/>
      <c r="D506" s="115"/>
      <c r="E506" s="115"/>
      <c r="F506" s="115"/>
      <c r="G506" s="60" t="s">
        <v>127</v>
      </c>
      <c r="H506" s="124"/>
      <c r="I506" s="124"/>
      <c r="J506" s="60"/>
      <c r="K506" s="60"/>
      <c r="L506" s="60"/>
      <c r="M506" s="60"/>
      <c r="N506" s="60">
        <f t="shared" si="157"/>
        <v>0</v>
      </c>
      <c r="O506" s="60">
        <f t="shared" si="158"/>
        <v>0</v>
      </c>
    </row>
    <row r="507" spans="1:15" s="38" customFormat="1" ht="10.7" hidden="1" customHeight="1" outlineLevel="1" x14ac:dyDescent="0.25">
      <c r="A507" s="124"/>
      <c r="B507" s="142"/>
      <c r="C507" s="115"/>
      <c r="D507" s="115"/>
      <c r="E507" s="115"/>
      <c r="F507" s="115"/>
      <c r="G507" s="60" t="s">
        <v>128</v>
      </c>
      <c r="H507" s="124"/>
      <c r="I507" s="124"/>
      <c r="J507" s="60"/>
      <c r="K507" s="60"/>
      <c r="L507" s="60"/>
      <c r="M507" s="60"/>
      <c r="N507" s="60">
        <f t="shared" si="157"/>
        <v>0</v>
      </c>
      <c r="O507" s="60">
        <f t="shared" si="158"/>
        <v>0</v>
      </c>
    </row>
    <row r="508" spans="1:15" s="38" customFormat="1" ht="10.7" hidden="1" customHeight="1" outlineLevel="1" x14ac:dyDescent="0.25">
      <c r="A508" s="124"/>
      <c r="B508" s="142"/>
      <c r="C508" s="115"/>
      <c r="D508" s="115"/>
      <c r="E508" s="115"/>
      <c r="F508" s="115"/>
      <c r="G508" s="60" t="s">
        <v>129</v>
      </c>
      <c r="H508" s="124"/>
      <c r="I508" s="124"/>
      <c r="J508" s="60"/>
      <c r="K508" s="60"/>
      <c r="L508" s="60"/>
      <c r="M508" s="60"/>
      <c r="N508" s="60">
        <f t="shared" si="157"/>
        <v>0</v>
      </c>
      <c r="O508" s="60">
        <f t="shared" si="158"/>
        <v>0</v>
      </c>
    </row>
    <row r="509" spans="1:15" s="38" customFormat="1" ht="10.7" hidden="1" customHeight="1" outlineLevel="1" x14ac:dyDescent="0.25">
      <c r="A509" s="124"/>
      <c r="B509" s="142"/>
      <c r="C509" s="115"/>
      <c r="D509" s="115"/>
      <c r="E509" s="115"/>
      <c r="F509" s="115"/>
      <c r="G509" s="60" t="s">
        <v>130</v>
      </c>
      <c r="H509" s="124"/>
      <c r="I509" s="124"/>
      <c r="J509" s="60"/>
      <c r="K509" s="60"/>
      <c r="L509" s="60"/>
      <c r="M509" s="60"/>
      <c r="N509" s="60">
        <f t="shared" si="157"/>
        <v>0</v>
      </c>
      <c r="O509" s="60">
        <f t="shared" si="158"/>
        <v>0</v>
      </c>
    </row>
    <row r="510" spans="1:15" s="38" customFormat="1" ht="12" hidden="1" customHeight="1" outlineLevel="1" thickBot="1" x14ac:dyDescent="0.3">
      <c r="A510" s="125"/>
      <c r="B510" s="143"/>
      <c r="C510" s="131"/>
      <c r="D510" s="131"/>
      <c r="E510" s="131"/>
      <c r="F510" s="131"/>
      <c r="G510" s="60" t="s">
        <v>131</v>
      </c>
      <c r="H510" s="134"/>
      <c r="I510" s="134"/>
      <c r="J510" s="60"/>
      <c r="K510" s="60"/>
      <c r="L510" s="60"/>
      <c r="M510" s="60"/>
      <c r="N510" s="60">
        <f t="shared" si="157"/>
        <v>0</v>
      </c>
      <c r="O510" s="60">
        <f t="shared" si="158"/>
        <v>0</v>
      </c>
    </row>
    <row r="511" spans="1:15" s="38" customFormat="1" ht="14.45" hidden="1" customHeight="1" outlineLevel="1" x14ac:dyDescent="0.25">
      <c r="A511" s="140" t="s">
        <v>499</v>
      </c>
      <c r="B511" s="141" t="s">
        <v>500</v>
      </c>
      <c r="C511" s="130">
        <f>SUM(N511:N517)</f>
        <v>0</v>
      </c>
      <c r="D511" s="130">
        <f>SUM(O511:O517)</f>
        <v>0</v>
      </c>
      <c r="E511" s="130">
        <f t="shared" si="144"/>
        <v>0</v>
      </c>
      <c r="F511" s="130"/>
      <c r="G511" s="60" t="s">
        <v>125</v>
      </c>
      <c r="H511" s="123"/>
      <c r="I511" s="123"/>
      <c r="J511" s="60"/>
      <c r="K511" s="60"/>
      <c r="L511" s="60"/>
      <c r="M511" s="60"/>
      <c r="N511" s="60">
        <f>M511*J511*K511*L511</f>
        <v>0</v>
      </c>
      <c r="O511" s="60">
        <f>J511*K511*L511</f>
        <v>0</v>
      </c>
    </row>
    <row r="512" spans="1:15" s="38" customFormat="1" ht="11.45" hidden="1" customHeight="1" outlineLevel="1" x14ac:dyDescent="0.25">
      <c r="A512" s="124"/>
      <c r="B512" s="142"/>
      <c r="C512" s="115"/>
      <c r="D512" s="115"/>
      <c r="E512" s="115"/>
      <c r="F512" s="115"/>
      <c r="G512" s="60" t="s">
        <v>126</v>
      </c>
      <c r="H512" s="124"/>
      <c r="I512" s="124"/>
      <c r="J512" s="60"/>
      <c r="K512" s="60"/>
      <c r="L512" s="60"/>
      <c r="M512" s="60"/>
      <c r="N512" s="60">
        <f t="shared" ref="N512:N517" si="159">M512*J512*K512*L512</f>
        <v>0</v>
      </c>
      <c r="O512" s="60">
        <f t="shared" ref="O512:O517" si="160">J512*K512*L512</f>
        <v>0</v>
      </c>
    </row>
    <row r="513" spans="1:15" s="38" customFormat="1" ht="10.7" hidden="1" customHeight="1" outlineLevel="1" x14ac:dyDescent="0.25">
      <c r="A513" s="124"/>
      <c r="B513" s="142"/>
      <c r="C513" s="115"/>
      <c r="D513" s="115"/>
      <c r="E513" s="115"/>
      <c r="F513" s="115"/>
      <c r="G513" s="60" t="s">
        <v>127</v>
      </c>
      <c r="H513" s="124"/>
      <c r="I513" s="124"/>
      <c r="J513" s="60"/>
      <c r="K513" s="60"/>
      <c r="L513" s="60"/>
      <c r="M513" s="60"/>
      <c r="N513" s="60">
        <f t="shared" si="159"/>
        <v>0</v>
      </c>
      <c r="O513" s="60">
        <f t="shared" si="160"/>
        <v>0</v>
      </c>
    </row>
    <row r="514" spans="1:15" s="38" customFormat="1" ht="10.7" hidden="1" customHeight="1" outlineLevel="1" x14ac:dyDescent="0.25">
      <c r="A514" s="124"/>
      <c r="B514" s="142"/>
      <c r="C514" s="115"/>
      <c r="D514" s="115"/>
      <c r="E514" s="115"/>
      <c r="F514" s="115"/>
      <c r="G514" s="60" t="s">
        <v>128</v>
      </c>
      <c r="H514" s="124"/>
      <c r="I514" s="124"/>
      <c r="J514" s="60"/>
      <c r="K514" s="60"/>
      <c r="L514" s="60"/>
      <c r="M514" s="60"/>
      <c r="N514" s="60">
        <f t="shared" si="159"/>
        <v>0</v>
      </c>
      <c r="O514" s="60">
        <f t="shared" si="160"/>
        <v>0</v>
      </c>
    </row>
    <row r="515" spans="1:15" s="38" customFormat="1" ht="10.7" hidden="1" customHeight="1" outlineLevel="1" x14ac:dyDescent="0.25">
      <c r="A515" s="124"/>
      <c r="B515" s="142"/>
      <c r="C515" s="115"/>
      <c r="D515" s="115"/>
      <c r="E515" s="115"/>
      <c r="F515" s="115"/>
      <c r="G515" s="60" t="s">
        <v>129</v>
      </c>
      <c r="H515" s="124"/>
      <c r="I515" s="124"/>
      <c r="J515" s="60"/>
      <c r="K515" s="60"/>
      <c r="L515" s="60"/>
      <c r="M515" s="60"/>
      <c r="N515" s="60">
        <f t="shared" si="159"/>
        <v>0</v>
      </c>
      <c r="O515" s="60">
        <f t="shared" si="160"/>
        <v>0</v>
      </c>
    </row>
    <row r="516" spans="1:15" s="38" customFormat="1" ht="10.7" hidden="1" customHeight="1" outlineLevel="1" x14ac:dyDescent="0.25">
      <c r="A516" s="124"/>
      <c r="B516" s="142"/>
      <c r="C516" s="115"/>
      <c r="D516" s="115"/>
      <c r="E516" s="115"/>
      <c r="F516" s="115"/>
      <c r="G516" s="60" t="s">
        <v>130</v>
      </c>
      <c r="H516" s="124"/>
      <c r="I516" s="124"/>
      <c r="J516" s="60"/>
      <c r="K516" s="60"/>
      <c r="L516" s="60"/>
      <c r="M516" s="60"/>
      <c r="N516" s="60">
        <f t="shared" si="159"/>
        <v>0</v>
      </c>
      <c r="O516" s="60">
        <f t="shared" si="160"/>
        <v>0</v>
      </c>
    </row>
    <row r="517" spans="1:15" s="38" customFormat="1" ht="12" hidden="1" customHeight="1" outlineLevel="1" thickBot="1" x14ac:dyDescent="0.3">
      <c r="A517" s="125"/>
      <c r="B517" s="143"/>
      <c r="C517" s="131"/>
      <c r="D517" s="131"/>
      <c r="E517" s="131"/>
      <c r="F517" s="131"/>
      <c r="G517" s="60" t="s">
        <v>131</v>
      </c>
      <c r="H517" s="134"/>
      <c r="I517" s="134"/>
      <c r="J517" s="60"/>
      <c r="K517" s="60"/>
      <c r="L517" s="60"/>
      <c r="M517" s="60"/>
      <c r="N517" s="60">
        <f t="shared" si="159"/>
        <v>0</v>
      </c>
      <c r="O517" s="60">
        <f t="shared" si="160"/>
        <v>0</v>
      </c>
    </row>
    <row r="518" spans="1:15" s="38" customFormat="1" ht="14.45" hidden="1" customHeight="1" outlineLevel="1" x14ac:dyDescent="0.25">
      <c r="A518" s="140" t="s">
        <v>501</v>
      </c>
      <c r="B518" s="141" t="s">
        <v>502</v>
      </c>
      <c r="C518" s="130">
        <f>SUM(N518:N524)</f>
        <v>0</v>
      </c>
      <c r="D518" s="130">
        <f>SUM(O518:O524)</f>
        <v>0</v>
      </c>
      <c r="E518" s="130">
        <f t="shared" ref="E518:E539" si="161">D518/8</f>
        <v>0</v>
      </c>
      <c r="F518" s="130"/>
      <c r="G518" s="60" t="s">
        <v>125</v>
      </c>
      <c r="H518" s="123"/>
      <c r="I518" s="123"/>
      <c r="J518" s="60"/>
      <c r="K518" s="60"/>
      <c r="L518" s="60"/>
      <c r="M518" s="60"/>
      <c r="N518" s="60">
        <f>M518*J518*K518*L518</f>
        <v>0</v>
      </c>
      <c r="O518" s="60">
        <f>J518*K518*L518</f>
        <v>0</v>
      </c>
    </row>
    <row r="519" spans="1:15" s="38" customFormat="1" ht="11.45" hidden="1" customHeight="1" outlineLevel="1" x14ac:dyDescent="0.25">
      <c r="A519" s="124"/>
      <c r="B519" s="142"/>
      <c r="C519" s="115"/>
      <c r="D519" s="115"/>
      <c r="E519" s="115"/>
      <c r="F519" s="115"/>
      <c r="G519" s="60" t="s">
        <v>126</v>
      </c>
      <c r="H519" s="124"/>
      <c r="I519" s="124"/>
      <c r="J519" s="60"/>
      <c r="K519" s="60"/>
      <c r="L519" s="60"/>
      <c r="M519" s="60"/>
      <c r="N519" s="60">
        <f t="shared" ref="N519:N524" si="162">M519*J519*K519*L519</f>
        <v>0</v>
      </c>
      <c r="O519" s="60">
        <f t="shared" ref="O519:O524" si="163">J519*K519*L519</f>
        <v>0</v>
      </c>
    </row>
    <row r="520" spans="1:15" s="38" customFormat="1" ht="10.7" hidden="1" customHeight="1" outlineLevel="1" x14ac:dyDescent="0.25">
      <c r="A520" s="124"/>
      <c r="B520" s="142"/>
      <c r="C520" s="115"/>
      <c r="D520" s="115"/>
      <c r="E520" s="115"/>
      <c r="F520" s="115"/>
      <c r="G520" s="60" t="s">
        <v>127</v>
      </c>
      <c r="H520" s="124"/>
      <c r="I520" s="124"/>
      <c r="J520" s="60"/>
      <c r="K520" s="60"/>
      <c r="L520" s="60"/>
      <c r="M520" s="60"/>
      <c r="N520" s="60">
        <f t="shared" si="162"/>
        <v>0</v>
      </c>
      <c r="O520" s="60">
        <f t="shared" si="163"/>
        <v>0</v>
      </c>
    </row>
    <row r="521" spans="1:15" s="38" customFormat="1" ht="10.7" hidden="1" customHeight="1" outlineLevel="1" x14ac:dyDescent="0.25">
      <c r="A521" s="124"/>
      <c r="B521" s="142"/>
      <c r="C521" s="115"/>
      <c r="D521" s="115"/>
      <c r="E521" s="115"/>
      <c r="F521" s="115"/>
      <c r="G521" s="60" t="s">
        <v>128</v>
      </c>
      <c r="H521" s="124"/>
      <c r="I521" s="124"/>
      <c r="J521" s="60"/>
      <c r="K521" s="60"/>
      <c r="L521" s="60"/>
      <c r="M521" s="60"/>
      <c r="N521" s="60">
        <f t="shared" si="162"/>
        <v>0</v>
      </c>
      <c r="O521" s="60">
        <f t="shared" si="163"/>
        <v>0</v>
      </c>
    </row>
    <row r="522" spans="1:15" s="38" customFormat="1" ht="10.7" hidden="1" customHeight="1" outlineLevel="1" x14ac:dyDescent="0.25">
      <c r="A522" s="124"/>
      <c r="B522" s="142"/>
      <c r="C522" s="115"/>
      <c r="D522" s="115"/>
      <c r="E522" s="115"/>
      <c r="F522" s="115"/>
      <c r="G522" s="60" t="s">
        <v>129</v>
      </c>
      <c r="H522" s="124"/>
      <c r="I522" s="124"/>
      <c r="J522" s="60"/>
      <c r="K522" s="60"/>
      <c r="L522" s="60"/>
      <c r="M522" s="60"/>
      <c r="N522" s="60">
        <f t="shared" si="162"/>
        <v>0</v>
      </c>
      <c r="O522" s="60">
        <f t="shared" si="163"/>
        <v>0</v>
      </c>
    </row>
    <row r="523" spans="1:15" s="38" customFormat="1" ht="10.7" hidden="1" customHeight="1" outlineLevel="1" x14ac:dyDescent="0.25">
      <c r="A523" s="124"/>
      <c r="B523" s="142"/>
      <c r="C523" s="115"/>
      <c r="D523" s="115"/>
      <c r="E523" s="115"/>
      <c r="F523" s="115"/>
      <c r="G523" s="60" t="s">
        <v>130</v>
      </c>
      <c r="H523" s="124"/>
      <c r="I523" s="124"/>
      <c r="J523" s="60"/>
      <c r="K523" s="60"/>
      <c r="L523" s="60"/>
      <c r="M523" s="60"/>
      <c r="N523" s="60">
        <f t="shared" si="162"/>
        <v>0</v>
      </c>
      <c r="O523" s="60">
        <f t="shared" si="163"/>
        <v>0</v>
      </c>
    </row>
    <row r="524" spans="1:15" s="38" customFormat="1" ht="12" hidden="1" customHeight="1" outlineLevel="1" thickBot="1" x14ac:dyDescent="0.3">
      <c r="A524" s="125"/>
      <c r="B524" s="143"/>
      <c r="C524" s="131"/>
      <c r="D524" s="131"/>
      <c r="E524" s="131"/>
      <c r="F524" s="131"/>
      <c r="G524" s="60" t="s">
        <v>131</v>
      </c>
      <c r="H524" s="134"/>
      <c r="I524" s="134"/>
      <c r="J524" s="60"/>
      <c r="K524" s="60"/>
      <c r="L524" s="60"/>
      <c r="M524" s="60"/>
      <c r="N524" s="60">
        <f t="shared" si="162"/>
        <v>0</v>
      </c>
      <c r="O524" s="60">
        <f t="shared" si="163"/>
        <v>0</v>
      </c>
    </row>
    <row r="525" spans="1:15" s="38" customFormat="1" ht="14.45" hidden="1" customHeight="1" outlineLevel="1" x14ac:dyDescent="0.25">
      <c r="A525" s="140" t="s">
        <v>503</v>
      </c>
      <c r="B525" s="141" t="s">
        <v>504</v>
      </c>
      <c r="C525" s="130">
        <f>SUM(N525:N531)</f>
        <v>0</v>
      </c>
      <c r="D525" s="130">
        <f>SUM(O525:O531)</f>
        <v>0</v>
      </c>
      <c r="E525" s="130">
        <f t="shared" si="161"/>
        <v>0</v>
      </c>
      <c r="F525" s="130"/>
      <c r="G525" s="60" t="s">
        <v>125</v>
      </c>
      <c r="H525" s="123"/>
      <c r="I525" s="123"/>
      <c r="J525" s="60"/>
      <c r="K525" s="60"/>
      <c r="L525" s="60"/>
      <c r="M525" s="60"/>
      <c r="N525" s="60">
        <f>M525*J525*K525*L525</f>
        <v>0</v>
      </c>
      <c r="O525" s="60">
        <f>J525*K525*L525</f>
        <v>0</v>
      </c>
    </row>
    <row r="526" spans="1:15" s="38" customFormat="1" ht="11.45" hidden="1" customHeight="1" outlineLevel="1" x14ac:dyDescent="0.25">
      <c r="A526" s="124"/>
      <c r="B526" s="142"/>
      <c r="C526" s="115"/>
      <c r="D526" s="115"/>
      <c r="E526" s="115"/>
      <c r="F526" s="115"/>
      <c r="G526" s="60" t="s">
        <v>126</v>
      </c>
      <c r="H526" s="124"/>
      <c r="I526" s="124"/>
      <c r="J526" s="60"/>
      <c r="K526" s="60"/>
      <c r="L526" s="60"/>
      <c r="M526" s="60"/>
      <c r="N526" s="60">
        <f t="shared" ref="N526:N531" si="164">M526*J526*K526*L526</f>
        <v>0</v>
      </c>
      <c r="O526" s="60">
        <f t="shared" ref="O526:O531" si="165">J526*K526*L526</f>
        <v>0</v>
      </c>
    </row>
    <row r="527" spans="1:15" s="38" customFormat="1" ht="10.7" hidden="1" customHeight="1" outlineLevel="1" x14ac:dyDescent="0.25">
      <c r="A527" s="124"/>
      <c r="B527" s="142"/>
      <c r="C527" s="115"/>
      <c r="D527" s="115"/>
      <c r="E527" s="115"/>
      <c r="F527" s="115"/>
      <c r="G527" s="60" t="s">
        <v>127</v>
      </c>
      <c r="H527" s="124"/>
      <c r="I527" s="124"/>
      <c r="J527" s="60"/>
      <c r="K527" s="60"/>
      <c r="L527" s="60"/>
      <c r="M527" s="60"/>
      <c r="N527" s="60">
        <f t="shared" si="164"/>
        <v>0</v>
      </c>
      <c r="O527" s="60">
        <f t="shared" si="165"/>
        <v>0</v>
      </c>
    </row>
    <row r="528" spans="1:15" s="38" customFormat="1" ht="10.7" hidden="1" customHeight="1" outlineLevel="1" x14ac:dyDescent="0.25">
      <c r="A528" s="124"/>
      <c r="B528" s="142"/>
      <c r="C528" s="115"/>
      <c r="D528" s="115"/>
      <c r="E528" s="115"/>
      <c r="F528" s="115"/>
      <c r="G528" s="60" t="s">
        <v>128</v>
      </c>
      <c r="H528" s="124"/>
      <c r="I528" s="124"/>
      <c r="J528" s="60"/>
      <c r="K528" s="60"/>
      <c r="L528" s="60"/>
      <c r="M528" s="60"/>
      <c r="N528" s="60">
        <f t="shared" si="164"/>
        <v>0</v>
      </c>
      <c r="O528" s="60">
        <f t="shared" si="165"/>
        <v>0</v>
      </c>
    </row>
    <row r="529" spans="1:15" s="38" customFormat="1" ht="10.7" hidden="1" customHeight="1" outlineLevel="1" x14ac:dyDescent="0.25">
      <c r="A529" s="124"/>
      <c r="B529" s="142"/>
      <c r="C529" s="115"/>
      <c r="D529" s="115"/>
      <c r="E529" s="115"/>
      <c r="F529" s="115"/>
      <c r="G529" s="60" t="s">
        <v>129</v>
      </c>
      <c r="H529" s="124"/>
      <c r="I529" s="124"/>
      <c r="J529" s="60"/>
      <c r="K529" s="60"/>
      <c r="L529" s="60"/>
      <c r="M529" s="60"/>
      <c r="N529" s="60">
        <f t="shared" si="164"/>
        <v>0</v>
      </c>
      <c r="O529" s="60">
        <f t="shared" si="165"/>
        <v>0</v>
      </c>
    </row>
    <row r="530" spans="1:15" s="38" customFormat="1" ht="10.7" hidden="1" customHeight="1" outlineLevel="1" x14ac:dyDescent="0.25">
      <c r="A530" s="124"/>
      <c r="B530" s="142"/>
      <c r="C530" s="115"/>
      <c r="D530" s="115"/>
      <c r="E530" s="115"/>
      <c r="F530" s="115"/>
      <c r="G530" s="60" t="s">
        <v>130</v>
      </c>
      <c r="H530" s="124"/>
      <c r="I530" s="124"/>
      <c r="J530" s="60"/>
      <c r="K530" s="60"/>
      <c r="L530" s="60"/>
      <c r="M530" s="60"/>
      <c r="N530" s="60">
        <f t="shared" si="164"/>
        <v>0</v>
      </c>
      <c r="O530" s="60">
        <f t="shared" si="165"/>
        <v>0</v>
      </c>
    </row>
    <row r="531" spans="1:15" s="38" customFormat="1" ht="12" hidden="1" customHeight="1" outlineLevel="1" thickBot="1" x14ac:dyDescent="0.3">
      <c r="A531" s="125"/>
      <c r="B531" s="143"/>
      <c r="C531" s="131"/>
      <c r="D531" s="131"/>
      <c r="E531" s="131"/>
      <c r="F531" s="131"/>
      <c r="G531" s="60" t="s">
        <v>131</v>
      </c>
      <c r="H531" s="134"/>
      <c r="I531" s="134"/>
      <c r="J531" s="60"/>
      <c r="K531" s="60"/>
      <c r="L531" s="60"/>
      <c r="M531" s="60"/>
      <c r="N531" s="60">
        <f t="shared" si="164"/>
        <v>0</v>
      </c>
      <c r="O531" s="60">
        <f t="shared" si="165"/>
        <v>0</v>
      </c>
    </row>
    <row r="532" spans="1:15" s="38" customFormat="1" ht="14.45" hidden="1" customHeight="1" outlineLevel="1" x14ac:dyDescent="0.25">
      <c r="A532" s="140" t="s">
        <v>505</v>
      </c>
      <c r="B532" s="141" t="s">
        <v>506</v>
      </c>
      <c r="C532" s="130">
        <f>SUM(N532:N538)</f>
        <v>0</v>
      </c>
      <c r="D532" s="130">
        <f>SUM(O532:O538)</f>
        <v>0</v>
      </c>
      <c r="E532" s="130">
        <f t="shared" si="161"/>
        <v>0</v>
      </c>
      <c r="F532" s="130"/>
      <c r="G532" s="60" t="s">
        <v>125</v>
      </c>
      <c r="H532" s="123"/>
      <c r="I532" s="123"/>
      <c r="J532" s="60"/>
      <c r="K532" s="60"/>
      <c r="L532" s="60"/>
      <c r="M532" s="60"/>
      <c r="N532" s="60">
        <f>M532*J532*K532*L532</f>
        <v>0</v>
      </c>
      <c r="O532" s="60">
        <f>J532*K532*L532</f>
        <v>0</v>
      </c>
    </row>
    <row r="533" spans="1:15" s="38" customFormat="1" ht="11.45" hidden="1" customHeight="1" outlineLevel="1" x14ac:dyDescent="0.25">
      <c r="A533" s="124"/>
      <c r="B533" s="142"/>
      <c r="C533" s="115"/>
      <c r="D533" s="115"/>
      <c r="E533" s="115"/>
      <c r="F533" s="115"/>
      <c r="G533" s="60" t="s">
        <v>126</v>
      </c>
      <c r="H533" s="124"/>
      <c r="I533" s="124"/>
      <c r="J533" s="60"/>
      <c r="K533" s="60"/>
      <c r="L533" s="60"/>
      <c r="M533" s="60"/>
      <c r="N533" s="60">
        <f t="shared" ref="N533:N538" si="166">M533*J533*K533*L533</f>
        <v>0</v>
      </c>
      <c r="O533" s="60">
        <f t="shared" ref="O533:O538" si="167">J533*K533*L533</f>
        <v>0</v>
      </c>
    </row>
    <row r="534" spans="1:15" s="38" customFormat="1" ht="10.7" hidden="1" customHeight="1" outlineLevel="1" x14ac:dyDescent="0.25">
      <c r="A534" s="124"/>
      <c r="B534" s="142"/>
      <c r="C534" s="115"/>
      <c r="D534" s="115"/>
      <c r="E534" s="115"/>
      <c r="F534" s="115"/>
      <c r="G534" s="60" t="s">
        <v>127</v>
      </c>
      <c r="H534" s="124"/>
      <c r="I534" s="124"/>
      <c r="J534" s="60"/>
      <c r="K534" s="60"/>
      <c r="L534" s="60"/>
      <c r="M534" s="60"/>
      <c r="N534" s="60">
        <f t="shared" si="166"/>
        <v>0</v>
      </c>
      <c r="O534" s="60">
        <f t="shared" si="167"/>
        <v>0</v>
      </c>
    </row>
    <row r="535" spans="1:15" s="38" customFormat="1" ht="10.7" hidden="1" customHeight="1" outlineLevel="1" x14ac:dyDescent="0.25">
      <c r="A535" s="124"/>
      <c r="B535" s="142"/>
      <c r="C535" s="115"/>
      <c r="D535" s="115"/>
      <c r="E535" s="115"/>
      <c r="F535" s="115"/>
      <c r="G535" s="60" t="s">
        <v>128</v>
      </c>
      <c r="H535" s="124"/>
      <c r="I535" s="124"/>
      <c r="J535" s="60"/>
      <c r="K535" s="60"/>
      <c r="L535" s="60"/>
      <c r="M535" s="60"/>
      <c r="N535" s="60">
        <f t="shared" si="166"/>
        <v>0</v>
      </c>
      <c r="O535" s="60">
        <f t="shared" si="167"/>
        <v>0</v>
      </c>
    </row>
    <row r="536" spans="1:15" s="38" customFormat="1" ht="10.7" hidden="1" customHeight="1" outlineLevel="1" x14ac:dyDescent="0.25">
      <c r="A536" s="124"/>
      <c r="B536" s="142"/>
      <c r="C536" s="115"/>
      <c r="D536" s="115"/>
      <c r="E536" s="115"/>
      <c r="F536" s="115"/>
      <c r="G536" s="60" t="s">
        <v>129</v>
      </c>
      <c r="H536" s="124"/>
      <c r="I536" s="124"/>
      <c r="J536" s="60"/>
      <c r="K536" s="60"/>
      <c r="L536" s="60"/>
      <c r="M536" s="60"/>
      <c r="N536" s="60">
        <f t="shared" si="166"/>
        <v>0</v>
      </c>
      <c r="O536" s="60">
        <f t="shared" si="167"/>
        <v>0</v>
      </c>
    </row>
    <row r="537" spans="1:15" s="38" customFormat="1" ht="10.7" hidden="1" customHeight="1" outlineLevel="1" x14ac:dyDescent="0.25">
      <c r="A537" s="124"/>
      <c r="B537" s="142"/>
      <c r="C537" s="115"/>
      <c r="D537" s="115"/>
      <c r="E537" s="115"/>
      <c r="F537" s="115"/>
      <c r="G537" s="60" t="s">
        <v>130</v>
      </c>
      <c r="H537" s="124"/>
      <c r="I537" s="124"/>
      <c r="J537" s="60"/>
      <c r="K537" s="60"/>
      <c r="L537" s="60"/>
      <c r="M537" s="60"/>
      <c r="N537" s="60">
        <f t="shared" si="166"/>
        <v>0</v>
      </c>
      <c r="O537" s="60">
        <f t="shared" si="167"/>
        <v>0</v>
      </c>
    </row>
    <row r="538" spans="1:15" s="38" customFormat="1" ht="12" hidden="1" customHeight="1" outlineLevel="1" thickBot="1" x14ac:dyDescent="0.3">
      <c r="A538" s="125"/>
      <c r="B538" s="143"/>
      <c r="C538" s="131"/>
      <c r="D538" s="131"/>
      <c r="E538" s="131"/>
      <c r="F538" s="131"/>
      <c r="G538" s="60" t="s">
        <v>131</v>
      </c>
      <c r="H538" s="134"/>
      <c r="I538" s="134"/>
      <c r="J538" s="60"/>
      <c r="K538" s="60"/>
      <c r="L538" s="60"/>
      <c r="M538" s="60"/>
      <c r="N538" s="60">
        <f t="shared" si="166"/>
        <v>0</v>
      </c>
      <c r="O538" s="60">
        <f t="shared" si="167"/>
        <v>0</v>
      </c>
    </row>
    <row r="539" spans="1:15" s="38" customFormat="1" ht="14.45" hidden="1" customHeight="1" outlineLevel="1" x14ac:dyDescent="0.25">
      <c r="A539" s="140" t="s">
        <v>507</v>
      </c>
      <c r="B539" s="141" t="s">
        <v>508</v>
      </c>
      <c r="C539" s="130">
        <f>SUM(N539:N545)</f>
        <v>0</v>
      </c>
      <c r="D539" s="130">
        <f>SUM(O539:O545)</f>
        <v>0</v>
      </c>
      <c r="E539" s="130">
        <f t="shared" si="161"/>
        <v>0</v>
      </c>
      <c r="F539" s="130"/>
      <c r="G539" s="60" t="s">
        <v>125</v>
      </c>
      <c r="H539" s="123"/>
      <c r="I539" s="123"/>
      <c r="J539" s="60"/>
      <c r="K539" s="60"/>
      <c r="L539" s="60"/>
      <c r="M539" s="60"/>
      <c r="N539" s="60">
        <f>M539*J539*K539*L539</f>
        <v>0</v>
      </c>
      <c r="O539" s="60">
        <f>J539*K539*L539</f>
        <v>0</v>
      </c>
    </row>
    <row r="540" spans="1:15" s="38" customFormat="1" ht="11.45" hidden="1" customHeight="1" outlineLevel="1" x14ac:dyDescent="0.25">
      <c r="A540" s="124"/>
      <c r="B540" s="142"/>
      <c r="C540" s="115"/>
      <c r="D540" s="115"/>
      <c r="E540" s="115"/>
      <c r="F540" s="115"/>
      <c r="G540" s="60" t="s">
        <v>126</v>
      </c>
      <c r="H540" s="124"/>
      <c r="I540" s="124"/>
      <c r="J540" s="60"/>
      <c r="K540" s="60"/>
      <c r="L540" s="60"/>
      <c r="M540" s="60"/>
      <c r="N540" s="60">
        <f t="shared" ref="N540:N545" si="168">M540*J540*K540*L540</f>
        <v>0</v>
      </c>
      <c r="O540" s="60">
        <f t="shared" ref="O540:O545" si="169">J540*K540*L540</f>
        <v>0</v>
      </c>
    </row>
    <row r="541" spans="1:15" s="38" customFormat="1" ht="10.7" hidden="1" customHeight="1" outlineLevel="1" x14ac:dyDescent="0.25">
      <c r="A541" s="124"/>
      <c r="B541" s="142"/>
      <c r="C541" s="115"/>
      <c r="D541" s="115"/>
      <c r="E541" s="115"/>
      <c r="F541" s="115"/>
      <c r="G541" s="60" t="s">
        <v>127</v>
      </c>
      <c r="H541" s="124"/>
      <c r="I541" s="124"/>
      <c r="J541" s="60"/>
      <c r="K541" s="60"/>
      <c r="L541" s="60"/>
      <c r="M541" s="60"/>
      <c r="N541" s="60">
        <f t="shared" si="168"/>
        <v>0</v>
      </c>
      <c r="O541" s="60">
        <f t="shared" si="169"/>
        <v>0</v>
      </c>
    </row>
    <row r="542" spans="1:15" s="38" customFormat="1" ht="10.7" hidden="1" customHeight="1" outlineLevel="1" x14ac:dyDescent="0.25">
      <c r="A542" s="124"/>
      <c r="B542" s="142"/>
      <c r="C542" s="115"/>
      <c r="D542" s="115"/>
      <c r="E542" s="115"/>
      <c r="F542" s="115"/>
      <c r="G542" s="60" t="s">
        <v>128</v>
      </c>
      <c r="H542" s="124"/>
      <c r="I542" s="124"/>
      <c r="J542" s="60"/>
      <c r="K542" s="60"/>
      <c r="L542" s="60"/>
      <c r="M542" s="60"/>
      <c r="N542" s="60">
        <f t="shared" si="168"/>
        <v>0</v>
      </c>
      <c r="O542" s="60">
        <f t="shared" si="169"/>
        <v>0</v>
      </c>
    </row>
    <row r="543" spans="1:15" s="38" customFormat="1" ht="10.7" hidden="1" customHeight="1" outlineLevel="1" x14ac:dyDescent="0.25">
      <c r="A543" s="124"/>
      <c r="B543" s="142"/>
      <c r="C543" s="115"/>
      <c r="D543" s="115"/>
      <c r="E543" s="115"/>
      <c r="F543" s="115"/>
      <c r="G543" s="60" t="s">
        <v>129</v>
      </c>
      <c r="H543" s="124"/>
      <c r="I543" s="124"/>
      <c r="J543" s="60"/>
      <c r="K543" s="60"/>
      <c r="L543" s="60"/>
      <c r="M543" s="60"/>
      <c r="N543" s="60">
        <f t="shared" si="168"/>
        <v>0</v>
      </c>
      <c r="O543" s="60">
        <f t="shared" si="169"/>
        <v>0</v>
      </c>
    </row>
    <row r="544" spans="1:15" s="38" customFormat="1" ht="10.7" hidden="1" customHeight="1" outlineLevel="1" x14ac:dyDescent="0.25">
      <c r="A544" s="124"/>
      <c r="B544" s="142"/>
      <c r="C544" s="115"/>
      <c r="D544" s="115"/>
      <c r="E544" s="115"/>
      <c r="F544" s="115"/>
      <c r="G544" s="60" t="s">
        <v>130</v>
      </c>
      <c r="H544" s="124"/>
      <c r="I544" s="124"/>
      <c r="J544" s="60"/>
      <c r="K544" s="60"/>
      <c r="L544" s="60"/>
      <c r="M544" s="60"/>
      <c r="N544" s="60">
        <f t="shared" si="168"/>
        <v>0</v>
      </c>
      <c r="O544" s="60">
        <f t="shared" si="169"/>
        <v>0</v>
      </c>
    </row>
    <row r="545" spans="1:15" s="38" customFormat="1" ht="12" hidden="1" customHeight="1" outlineLevel="1" thickBot="1" x14ac:dyDescent="0.3">
      <c r="A545" s="125"/>
      <c r="B545" s="143"/>
      <c r="C545" s="131"/>
      <c r="D545" s="131"/>
      <c r="E545" s="131"/>
      <c r="F545" s="131"/>
      <c r="G545" s="60" t="s">
        <v>131</v>
      </c>
      <c r="H545" s="134"/>
      <c r="I545" s="134"/>
      <c r="J545" s="60"/>
      <c r="K545" s="60"/>
      <c r="L545" s="60"/>
      <c r="M545" s="60"/>
      <c r="N545" s="60">
        <f t="shared" si="168"/>
        <v>0</v>
      </c>
      <c r="O545" s="60">
        <f t="shared" si="169"/>
        <v>0</v>
      </c>
    </row>
    <row r="546" spans="1:15" s="38" customFormat="1" hidden="1" outlineLevel="1" x14ac:dyDescent="0.25">
      <c r="A546" s="48" t="s">
        <v>509</v>
      </c>
      <c r="B546" s="54" t="s">
        <v>510</v>
      </c>
      <c r="C546" s="46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60"/>
    </row>
    <row r="547" spans="1:15" s="38" customFormat="1" ht="30.75" hidden="1" customHeight="1" outlineLevel="1" x14ac:dyDescent="0.25">
      <c r="A547" s="48" t="s">
        <v>511</v>
      </c>
      <c r="B547" s="54" t="s">
        <v>512</v>
      </c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60"/>
    </row>
    <row r="548" spans="1:15" s="38" customFormat="1" ht="14.45" hidden="1" customHeight="1" outlineLevel="1" x14ac:dyDescent="0.25">
      <c r="A548" s="140" t="s">
        <v>513</v>
      </c>
      <c r="B548" s="141" t="s">
        <v>514</v>
      </c>
      <c r="C548" s="130">
        <f>SUM(N548:N554)</f>
        <v>0</v>
      </c>
      <c r="D548" s="130">
        <f>SUM(O548:O554)</f>
        <v>0</v>
      </c>
      <c r="E548" s="130">
        <f t="shared" ref="E548:E590" si="170">D548/8</f>
        <v>0</v>
      </c>
      <c r="F548" s="130"/>
      <c r="G548" s="60" t="s">
        <v>125</v>
      </c>
      <c r="H548" s="123"/>
      <c r="I548" s="123"/>
      <c r="J548" s="60"/>
      <c r="K548" s="60"/>
      <c r="L548" s="60"/>
      <c r="M548" s="60"/>
      <c r="N548" s="60">
        <f>M548*J548*K548*L548</f>
        <v>0</v>
      </c>
      <c r="O548" s="60">
        <f>J548*K548*L548</f>
        <v>0</v>
      </c>
    </row>
    <row r="549" spans="1:15" s="38" customFormat="1" ht="11.45" hidden="1" customHeight="1" outlineLevel="1" x14ac:dyDescent="0.25">
      <c r="A549" s="124"/>
      <c r="B549" s="142"/>
      <c r="C549" s="115"/>
      <c r="D549" s="115"/>
      <c r="E549" s="115"/>
      <c r="F549" s="115"/>
      <c r="G549" s="60" t="s">
        <v>126</v>
      </c>
      <c r="H549" s="124"/>
      <c r="I549" s="124"/>
      <c r="J549" s="60"/>
      <c r="K549" s="60"/>
      <c r="L549" s="60"/>
      <c r="M549" s="60"/>
      <c r="N549" s="60">
        <f t="shared" ref="N549:N554" si="171">M549*J549*K549*L549</f>
        <v>0</v>
      </c>
      <c r="O549" s="60">
        <f t="shared" ref="O549:O554" si="172">J549*K549*L549</f>
        <v>0</v>
      </c>
    </row>
    <row r="550" spans="1:15" s="38" customFormat="1" ht="10.7" hidden="1" customHeight="1" outlineLevel="1" x14ac:dyDescent="0.25">
      <c r="A550" s="124"/>
      <c r="B550" s="142"/>
      <c r="C550" s="115"/>
      <c r="D550" s="115"/>
      <c r="E550" s="115"/>
      <c r="F550" s="115"/>
      <c r="G550" s="60" t="s">
        <v>127</v>
      </c>
      <c r="H550" s="124"/>
      <c r="I550" s="124"/>
      <c r="J550" s="60"/>
      <c r="K550" s="60"/>
      <c r="L550" s="60"/>
      <c r="M550" s="60"/>
      <c r="N550" s="60">
        <f t="shared" si="171"/>
        <v>0</v>
      </c>
      <c r="O550" s="60">
        <f t="shared" si="172"/>
        <v>0</v>
      </c>
    </row>
    <row r="551" spans="1:15" s="38" customFormat="1" ht="10.7" hidden="1" customHeight="1" outlineLevel="1" x14ac:dyDescent="0.25">
      <c r="A551" s="124"/>
      <c r="B551" s="142"/>
      <c r="C551" s="115"/>
      <c r="D551" s="115"/>
      <c r="E551" s="115"/>
      <c r="F551" s="115"/>
      <c r="G551" s="60" t="s">
        <v>128</v>
      </c>
      <c r="H551" s="124"/>
      <c r="I551" s="124"/>
      <c r="J551" s="60"/>
      <c r="K551" s="60"/>
      <c r="L551" s="60"/>
      <c r="M551" s="60"/>
      <c r="N551" s="60">
        <f t="shared" si="171"/>
        <v>0</v>
      </c>
      <c r="O551" s="60">
        <f t="shared" si="172"/>
        <v>0</v>
      </c>
    </row>
    <row r="552" spans="1:15" s="38" customFormat="1" ht="10.7" hidden="1" customHeight="1" outlineLevel="1" x14ac:dyDescent="0.25">
      <c r="A552" s="124"/>
      <c r="B552" s="142"/>
      <c r="C552" s="115"/>
      <c r="D552" s="115"/>
      <c r="E552" s="115"/>
      <c r="F552" s="115"/>
      <c r="G552" s="60" t="s">
        <v>129</v>
      </c>
      <c r="H552" s="124"/>
      <c r="I552" s="124"/>
      <c r="J552" s="60"/>
      <c r="K552" s="60"/>
      <c r="L552" s="60"/>
      <c r="M552" s="60"/>
      <c r="N552" s="60">
        <f t="shared" si="171"/>
        <v>0</v>
      </c>
      <c r="O552" s="60">
        <f t="shared" si="172"/>
        <v>0</v>
      </c>
    </row>
    <row r="553" spans="1:15" s="38" customFormat="1" ht="10.7" hidden="1" customHeight="1" outlineLevel="1" x14ac:dyDescent="0.25">
      <c r="A553" s="124"/>
      <c r="B553" s="142"/>
      <c r="C553" s="115"/>
      <c r="D553" s="115"/>
      <c r="E553" s="115"/>
      <c r="F553" s="115"/>
      <c r="G553" s="60" t="s">
        <v>130</v>
      </c>
      <c r="H553" s="124"/>
      <c r="I553" s="124"/>
      <c r="J553" s="60"/>
      <c r="K553" s="60"/>
      <c r="L553" s="60"/>
      <c r="M553" s="60"/>
      <c r="N553" s="60">
        <f t="shared" si="171"/>
        <v>0</v>
      </c>
      <c r="O553" s="60">
        <f t="shared" si="172"/>
        <v>0</v>
      </c>
    </row>
    <row r="554" spans="1:15" s="38" customFormat="1" ht="12" hidden="1" customHeight="1" outlineLevel="1" thickBot="1" x14ac:dyDescent="0.3">
      <c r="A554" s="125"/>
      <c r="B554" s="143"/>
      <c r="C554" s="131"/>
      <c r="D554" s="131"/>
      <c r="E554" s="131"/>
      <c r="F554" s="131"/>
      <c r="G554" s="60" t="s">
        <v>131</v>
      </c>
      <c r="H554" s="134"/>
      <c r="I554" s="134"/>
      <c r="J554" s="60"/>
      <c r="K554" s="60"/>
      <c r="L554" s="60"/>
      <c r="M554" s="60"/>
      <c r="N554" s="60">
        <f t="shared" si="171"/>
        <v>0</v>
      </c>
      <c r="O554" s="60">
        <f t="shared" si="172"/>
        <v>0</v>
      </c>
    </row>
    <row r="555" spans="1:15" s="38" customFormat="1" ht="14.45" hidden="1" customHeight="1" outlineLevel="1" x14ac:dyDescent="0.25">
      <c r="A555" s="140" t="s">
        <v>515</v>
      </c>
      <c r="B555" s="141" t="s">
        <v>516</v>
      </c>
      <c r="C555" s="130">
        <f>SUM(N555:N561)</f>
        <v>0</v>
      </c>
      <c r="D555" s="130">
        <f>SUM(O555:O561)</f>
        <v>0</v>
      </c>
      <c r="E555" s="130">
        <f t="shared" si="170"/>
        <v>0</v>
      </c>
      <c r="F555" s="130"/>
      <c r="G555" s="60" t="s">
        <v>125</v>
      </c>
      <c r="H555" s="123"/>
      <c r="I555" s="123"/>
      <c r="J555" s="60"/>
      <c r="K555" s="60"/>
      <c r="L555" s="60"/>
      <c r="M555" s="60"/>
      <c r="N555" s="60">
        <f>M555*J555*K555*L555</f>
        <v>0</v>
      </c>
      <c r="O555" s="60">
        <f>J555*K555*L555</f>
        <v>0</v>
      </c>
    </row>
    <row r="556" spans="1:15" s="38" customFormat="1" ht="11.45" hidden="1" customHeight="1" outlineLevel="1" x14ac:dyDescent="0.25">
      <c r="A556" s="124"/>
      <c r="B556" s="142"/>
      <c r="C556" s="115"/>
      <c r="D556" s="115"/>
      <c r="E556" s="115"/>
      <c r="F556" s="115"/>
      <c r="G556" s="60" t="s">
        <v>126</v>
      </c>
      <c r="H556" s="124"/>
      <c r="I556" s="124"/>
      <c r="J556" s="60"/>
      <c r="K556" s="60"/>
      <c r="L556" s="60"/>
      <c r="M556" s="60"/>
      <c r="N556" s="60">
        <f t="shared" ref="N556:N561" si="173">M556*J556*K556*L556</f>
        <v>0</v>
      </c>
      <c r="O556" s="60">
        <f t="shared" ref="O556:O561" si="174">J556*K556*L556</f>
        <v>0</v>
      </c>
    </row>
    <row r="557" spans="1:15" s="38" customFormat="1" ht="10.7" hidden="1" customHeight="1" outlineLevel="1" x14ac:dyDescent="0.25">
      <c r="A557" s="124"/>
      <c r="B557" s="142"/>
      <c r="C557" s="115"/>
      <c r="D557" s="115"/>
      <c r="E557" s="115"/>
      <c r="F557" s="115"/>
      <c r="G557" s="60" t="s">
        <v>127</v>
      </c>
      <c r="H557" s="124"/>
      <c r="I557" s="124"/>
      <c r="J557" s="60"/>
      <c r="K557" s="60"/>
      <c r="L557" s="60"/>
      <c r="M557" s="60"/>
      <c r="N557" s="60">
        <f t="shared" si="173"/>
        <v>0</v>
      </c>
      <c r="O557" s="60">
        <f t="shared" si="174"/>
        <v>0</v>
      </c>
    </row>
    <row r="558" spans="1:15" s="38" customFormat="1" ht="10.7" hidden="1" customHeight="1" outlineLevel="1" x14ac:dyDescent="0.25">
      <c r="A558" s="124"/>
      <c r="B558" s="142"/>
      <c r="C558" s="115"/>
      <c r="D558" s="115"/>
      <c r="E558" s="115"/>
      <c r="F558" s="115"/>
      <c r="G558" s="60" t="s">
        <v>128</v>
      </c>
      <c r="H558" s="124"/>
      <c r="I558" s="124"/>
      <c r="J558" s="60"/>
      <c r="K558" s="60"/>
      <c r="L558" s="60"/>
      <c r="M558" s="60"/>
      <c r="N558" s="60">
        <f t="shared" si="173"/>
        <v>0</v>
      </c>
      <c r="O558" s="60">
        <f t="shared" si="174"/>
        <v>0</v>
      </c>
    </row>
    <row r="559" spans="1:15" s="38" customFormat="1" ht="10.7" hidden="1" customHeight="1" outlineLevel="1" x14ac:dyDescent="0.25">
      <c r="A559" s="124"/>
      <c r="B559" s="142"/>
      <c r="C559" s="115"/>
      <c r="D559" s="115"/>
      <c r="E559" s="115"/>
      <c r="F559" s="115"/>
      <c r="G559" s="60" t="s">
        <v>129</v>
      </c>
      <c r="H559" s="124"/>
      <c r="I559" s="124"/>
      <c r="J559" s="60"/>
      <c r="K559" s="60"/>
      <c r="L559" s="60"/>
      <c r="M559" s="60"/>
      <c r="N559" s="60">
        <f t="shared" si="173"/>
        <v>0</v>
      </c>
      <c r="O559" s="60">
        <f t="shared" si="174"/>
        <v>0</v>
      </c>
    </row>
    <row r="560" spans="1:15" s="38" customFormat="1" ht="10.7" hidden="1" customHeight="1" outlineLevel="1" x14ac:dyDescent="0.25">
      <c r="A560" s="124"/>
      <c r="B560" s="142"/>
      <c r="C560" s="115"/>
      <c r="D560" s="115"/>
      <c r="E560" s="115"/>
      <c r="F560" s="115"/>
      <c r="G560" s="60" t="s">
        <v>130</v>
      </c>
      <c r="H560" s="124"/>
      <c r="I560" s="124"/>
      <c r="J560" s="60"/>
      <c r="K560" s="60"/>
      <c r="L560" s="60"/>
      <c r="M560" s="60"/>
      <c r="N560" s="60">
        <f t="shared" si="173"/>
        <v>0</v>
      </c>
      <c r="O560" s="60">
        <f t="shared" si="174"/>
        <v>0</v>
      </c>
    </row>
    <row r="561" spans="1:15" s="38" customFormat="1" ht="12" hidden="1" customHeight="1" outlineLevel="1" thickBot="1" x14ac:dyDescent="0.3">
      <c r="A561" s="125"/>
      <c r="B561" s="143"/>
      <c r="C561" s="131"/>
      <c r="D561" s="131"/>
      <c r="E561" s="131"/>
      <c r="F561" s="131"/>
      <c r="G561" s="60" t="s">
        <v>131</v>
      </c>
      <c r="H561" s="134"/>
      <c r="I561" s="134"/>
      <c r="J561" s="60"/>
      <c r="K561" s="60"/>
      <c r="L561" s="60"/>
      <c r="M561" s="60"/>
      <c r="N561" s="60">
        <f t="shared" si="173"/>
        <v>0</v>
      </c>
      <c r="O561" s="60">
        <f t="shared" si="174"/>
        <v>0</v>
      </c>
    </row>
    <row r="562" spans="1:15" s="38" customFormat="1" ht="14.45" hidden="1" customHeight="1" outlineLevel="1" x14ac:dyDescent="0.25">
      <c r="A562" s="140" t="s">
        <v>517</v>
      </c>
      <c r="B562" s="141" t="s">
        <v>518</v>
      </c>
      <c r="C562" s="130">
        <f>SUM(N562:N568)</f>
        <v>0</v>
      </c>
      <c r="D562" s="130">
        <f>SUM(O562:O568)</f>
        <v>0</v>
      </c>
      <c r="E562" s="130">
        <f t="shared" si="170"/>
        <v>0</v>
      </c>
      <c r="F562" s="130"/>
      <c r="G562" s="60" t="s">
        <v>125</v>
      </c>
      <c r="H562" s="123"/>
      <c r="I562" s="123"/>
      <c r="J562" s="60"/>
      <c r="K562" s="60"/>
      <c r="L562" s="60"/>
      <c r="M562" s="60"/>
      <c r="N562" s="60">
        <f>M562*J562*K562*L562</f>
        <v>0</v>
      </c>
      <c r="O562" s="60">
        <f>J562*K562*L562</f>
        <v>0</v>
      </c>
    </row>
    <row r="563" spans="1:15" s="38" customFormat="1" ht="11.45" hidden="1" customHeight="1" outlineLevel="1" x14ac:dyDescent="0.25">
      <c r="A563" s="124"/>
      <c r="B563" s="142"/>
      <c r="C563" s="115"/>
      <c r="D563" s="115"/>
      <c r="E563" s="115"/>
      <c r="F563" s="115"/>
      <c r="G563" s="60" t="s">
        <v>126</v>
      </c>
      <c r="H563" s="124"/>
      <c r="I563" s="124"/>
      <c r="J563" s="60"/>
      <c r="K563" s="60"/>
      <c r="L563" s="60"/>
      <c r="M563" s="60"/>
      <c r="N563" s="60">
        <f t="shared" ref="N563:N568" si="175">M563*J563*K563*L563</f>
        <v>0</v>
      </c>
      <c r="O563" s="60">
        <f t="shared" ref="O563:O568" si="176">J563*K563*L563</f>
        <v>0</v>
      </c>
    </row>
    <row r="564" spans="1:15" s="38" customFormat="1" ht="10.7" hidden="1" customHeight="1" outlineLevel="1" x14ac:dyDescent="0.25">
      <c r="A564" s="124"/>
      <c r="B564" s="142"/>
      <c r="C564" s="115"/>
      <c r="D564" s="115"/>
      <c r="E564" s="115"/>
      <c r="F564" s="115"/>
      <c r="G564" s="60" t="s">
        <v>127</v>
      </c>
      <c r="H564" s="124"/>
      <c r="I564" s="124"/>
      <c r="J564" s="60"/>
      <c r="K564" s="60"/>
      <c r="L564" s="60"/>
      <c r="M564" s="60"/>
      <c r="N564" s="60">
        <f t="shared" si="175"/>
        <v>0</v>
      </c>
      <c r="O564" s="60">
        <f t="shared" si="176"/>
        <v>0</v>
      </c>
    </row>
    <row r="565" spans="1:15" s="38" customFormat="1" ht="10.7" hidden="1" customHeight="1" outlineLevel="1" x14ac:dyDescent="0.25">
      <c r="A565" s="124"/>
      <c r="B565" s="142"/>
      <c r="C565" s="115"/>
      <c r="D565" s="115"/>
      <c r="E565" s="115"/>
      <c r="F565" s="115"/>
      <c r="G565" s="60" t="s">
        <v>128</v>
      </c>
      <c r="H565" s="124"/>
      <c r="I565" s="124"/>
      <c r="J565" s="60"/>
      <c r="K565" s="60"/>
      <c r="L565" s="60"/>
      <c r="M565" s="60"/>
      <c r="N565" s="60">
        <f t="shared" si="175"/>
        <v>0</v>
      </c>
      <c r="O565" s="60">
        <f t="shared" si="176"/>
        <v>0</v>
      </c>
    </row>
    <row r="566" spans="1:15" s="38" customFormat="1" ht="10.7" hidden="1" customHeight="1" outlineLevel="1" x14ac:dyDescent="0.25">
      <c r="A566" s="124"/>
      <c r="B566" s="142"/>
      <c r="C566" s="115"/>
      <c r="D566" s="115"/>
      <c r="E566" s="115"/>
      <c r="F566" s="115"/>
      <c r="G566" s="60" t="s">
        <v>129</v>
      </c>
      <c r="H566" s="124"/>
      <c r="I566" s="124"/>
      <c r="J566" s="60"/>
      <c r="K566" s="60"/>
      <c r="L566" s="60"/>
      <c r="M566" s="60"/>
      <c r="N566" s="60">
        <f t="shared" si="175"/>
        <v>0</v>
      </c>
      <c r="O566" s="60">
        <f t="shared" si="176"/>
        <v>0</v>
      </c>
    </row>
    <row r="567" spans="1:15" s="38" customFormat="1" ht="10.7" hidden="1" customHeight="1" outlineLevel="1" x14ac:dyDescent="0.25">
      <c r="A567" s="124"/>
      <c r="B567" s="142"/>
      <c r="C567" s="115"/>
      <c r="D567" s="115"/>
      <c r="E567" s="115"/>
      <c r="F567" s="115"/>
      <c r="G567" s="60" t="s">
        <v>130</v>
      </c>
      <c r="H567" s="124"/>
      <c r="I567" s="124"/>
      <c r="J567" s="60"/>
      <c r="K567" s="60"/>
      <c r="L567" s="60"/>
      <c r="M567" s="60"/>
      <c r="N567" s="60">
        <f t="shared" si="175"/>
        <v>0</v>
      </c>
      <c r="O567" s="60">
        <f t="shared" si="176"/>
        <v>0</v>
      </c>
    </row>
    <row r="568" spans="1:15" s="38" customFormat="1" ht="12" hidden="1" customHeight="1" outlineLevel="1" thickBot="1" x14ac:dyDescent="0.3">
      <c r="A568" s="125"/>
      <c r="B568" s="143"/>
      <c r="C568" s="131"/>
      <c r="D568" s="131"/>
      <c r="E568" s="131"/>
      <c r="F568" s="131"/>
      <c r="G568" s="60" t="s">
        <v>131</v>
      </c>
      <c r="H568" s="134"/>
      <c r="I568" s="134"/>
      <c r="J568" s="60"/>
      <c r="K568" s="60"/>
      <c r="L568" s="60"/>
      <c r="M568" s="60"/>
      <c r="N568" s="60">
        <f t="shared" si="175"/>
        <v>0</v>
      </c>
      <c r="O568" s="60">
        <f t="shared" si="176"/>
        <v>0</v>
      </c>
    </row>
    <row r="569" spans="1:15" s="38" customFormat="1" ht="14.45" hidden="1" customHeight="1" outlineLevel="1" x14ac:dyDescent="0.25">
      <c r="A569" s="140" t="s">
        <v>519</v>
      </c>
      <c r="B569" s="141" t="s">
        <v>520</v>
      </c>
      <c r="C569" s="130">
        <f>SUM(N569:N575)</f>
        <v>0</v>
      </c>
      <c r="D569" s="130">
        <f>SUM(O569:O575)</f>
        <v>0</v>
      </c>
      <c r="E569" s="130">
        <f t="shared" si="170"/>
        <v>0</v>
      </c>
      <c r="F569" s="130"/>
      <c r="G569" s="60" t="s">
        <v>125</v>
      </c>
      <c r="H569" s="123"/>
      <c r="I569" s="123"/>
      <c r="J569" s="60"/>
      <c r="K569" s="60"/>
      <c r="L569" s="60"/>
      <c r="M569" s="60"/>
      <c r="N569" s="60">
        <f>M569*J569*K569*L569</f>
        <v>0</v>
      </c>
      <c r="O569" s="60">
        <f>J569*K569*L569</f>
        <v>0</v>
      </c>
    </row>
    <row r="570" spans="1:15" s="38" customFormat="1" ht="11.45" hidden="1" customHeight="1" outlineLevel="1" x14ac:dyDescent="0.25">
      <c r="A570" s="124"/>
      <c r="B570" s="142"/>
      <c r="C570" s="115"/>
      <c r="D570" s="115"/>
      <c r="E570" s="115"/>
      <c r="F570" s="115"/>
      <c r="G570" s="60" t="s">
        <v>126</v>
      </c>
      <c r="H570" s="124"/>
      <c r="I570" s="124"/>
      <c r="J570" s="60"/>
      <c r="K570" s="60"/>
      <c r="L570" s="60"/>
      <c r="M570" s="60"/>
      <c r="N570" s="60">
        <f t="shared" ref="N570:N575" si="177">M570*J570*K570*L570</f>
        <v>0</v>
      </c>
      <c r="O570" s="60">
        <f t="shared" ref="O570:O575" si="178">J570*K570*L570</f>
        <v>0</v>
      </c>
    </row>
    <row r="571" spans="1:15" s="38" customFormat="1" ht="10.7" hidden="1" customHeight="1" outlineLevel="1" x14ac:dyDescent="0.25">
      <c r="A571" s="124"/>
      <c r="B571" s="142"/>
      <c r="C571" s="115"/>
      <c r="D571" s="115"/>
      <c r="E571" s="115"/>
      <c r="F571" s="115"/>
      <c r="G571" s="60" t="s">
        <v>127</v>
      </c>
      <c r="H571" s="124"/>
      <c r="I571" s="124"/>
      <c r="J571" s="60"/>
      <c r="K571" s="60"/>
      <c r="L571" s="60"/>
      <c r="M571" s="60"/>
      <c r="N571" s="60">
        <f t="shared" si="177"/>
        <v>0</v>
      </c>
      <c r="O571" s="60">
        <f t="shared" si="178"/>
        <v>0</v>
      </c>
    </row>
    <row r="572" spans="1:15" s="38" customFormat="1" ht="10.7" hidden="1" customHeight="1" outlineLevel="1" x14ac:dyDescent="0.25">
      <c r="A572" s="124"/>
      <c r="B572" s="142"/>
      <c r="C572" s="115"/>
      <c r="D572" s="115"/>
      <c r="E572" s="115"/>
      <c r="F572" s="115"/>
      <c r="G572" s="60" t="s">
        <v>128</v>
      </c>
      <c r="H572" s="124"/>
      <c r="I572" s="124"/>
      <c r="J572" s="60"/>
      <c r="K572" s="60"/>
      <c r="L572" s="60"/>
      <c r="M572" s="60"/>
      <c r="N572" s="60">
        <f t="shared" si="177"/>
        <v>0</v>
      </c>
      <c r="O572" s="60">
        <f t="shared" si="178"/>
        <v>0</v>
      </c>
    </row>
    <row r="573" spans="1:15" s="38" customFormat="1" ht="10.7" hidden="1" customHeight="1" outlineLevel="1" x14ac:dyDescent="0.25">
      <c r="A573" s="124"/>
      <c r="B573" s="142"/>
      <c r="C573" s="115"/>
      <c r="D573" s="115"/>
      <c r="E573" s="115"/>
      <c r="F573" s="115"/>
      <c r="G573" s="60" t="s">
        <v>129</v>
      </c>
      <c r="H573" s="124"/>
      <c r="I573" s="124"/>
      <c r="J573" s="60"/>
      <c r="K573" s="60"/>
      <c r="L573" s="60"/>
      <c r="M573" s="60"/>
      <c r="N573" s="60">
        <f t="shared" si="177"/>
        <v>0</v>
      </c>
      <c r="O573" s="60">
        <f t="shared" si="178"/>
        <v>0</v>
      </c>
    </row>
    <row r="574" spans="1:15" s="38" customFormat="1" ht="10.7" hidden="1" customHeight="1" outlineLevel="1" x14ac:dyDescent="0.25">
      <c r="A574" s="124"/>
      <c r="B574" s="142"/>
      <c r="C574" s="115"/>
      <c r="D574" s="115"/>
      <c r="E574" s="115"/>
      <c r="F574" s="115"/>
      <c r="G574" s="60" t="s">
        <v>130</v>
      </c>
      <c r="H574" s="124"/>
      <c r="I574" s="124"/>
      <c r="J574" s="60"/>
      <c r="K574" s="60"/>
      <c r="L574" s="60"/>
      <c r="M574" s="60"/>
      <c r="N574" s="60">
        <f t="shared" si="177"/>
        <v>0</v>
      </c>
      <c r="O574" s="60">
        <f t="shared" si="178"/>
        <v>0</v>
      </c>
    </row>
    <row r="575" spans="1:15" s="38" customFormat="1" ht="12" hidden="1" customHeight="1" outlineLevel="1" thickBot="1" x14ac:dyDescent="0.3">
      <c r="A575" s="125"/>
      <c r="B575" s="143"/>
      <c r="C575" s="131"/>
      <c r="D575" s="131"/>
      <c r="E575" s="131"/>
      <c r="F575" s="131"/>
      <c r="G575" s="60" t="s">
        <v>131</v>
      </c>
      <c r="H575" s="134"/>
      <c r="I575" s="134"/>
      <c r="J575" s="60"/>
      <c r="K575" s="60"/>
      <c r="L575" s="60"/>
      <c r="M575" s="60"/>
      <c r="N575" s="60">
        <f t="shared" si="177"/>
        <v>0</v>
      </c>
      <c r="O575" s="60">
        <f t="shared" si="178"/>
        <v>0</v>
      </c>
    </row>
    <row r="576" spans="1:15" s="38" customFormat="1" ht="14.45" hidden="1" customHeight="1" outlineLevel="1" x14ac:dyDescent="0.25">
      <c r="A576" s="140" t="s">
        <v>521</v>
      </c>
      <c r="B576" s="141" t="s">
        <v>522</v>
      </c>
      <c r="C576" s="130">
        <f>SUM(N576:N582)</f>
        <v>0</v>
      </c>
      <c r="D576" s="130">
        <f>SUM(O576:O582)</f>
        <v>0</v>
      </c>
      <c r="E576" s="130">
        <f t="shared" si="170"/>
        <v>0</v>
      </c>
      <c r="F576" s="130"/>
      <c r="G576" s="60" t="s">
        <v>125</v>
      </c>
      <c r="H576" s="123"/>
      <c r="I576" s="123"/>
      <c r="J576" s="60"/>
      <c r="K576" s="60"/>
      <c r="L576" s="60"/>
      <c r="M576" s="60"/>
      <c r="N576" s="60">
        <f>M576*J576*K576*L576</f>
        <v>0</v>
      </c>
      <c r="O576" s="60">
        <f>J576*K576*L576</f>
        <v>0</v>
      </c>
    </row>
    <row r="577" spans="1:15" s="38" customFormat="1" ht="11.45" hidden="1" customHeight="1" outlineLevel="1" x14ac:dyDescent="0.25">
      <c r="A577" s="124"/>
      <c r="B577" s="142"/>
      <c r="C577" s="115"/>
      <c r="D577" s="115"/>
      <c r="E577" s="115"/>
      <c r="F577" s="115"/>
      <c r="G577" s="60" t="s">
        <v>126</v>
      </c>
      <c r="H577" s="124"/>
      <c r="I577" s="124"/>
      <c r="J577" s="60"/>
      <c r="K577" s="60"/>
      <c r="L577" s="60"/>
      <c r="M577" s="60"/>
      <c r="N577" s="60">
        <f t="shared" ref="N577:N582" si="179">M577*J577*K577*L577</f>
        <v>0</v>
      </c>
      <c r="O577" s="60">
        <f t="shared" ref="O577:O582" si="180">J577*K577*L577</f>
        <v>0</v>
      </c>
    </row>
    <row r="578" spans="1:15" s="38" customFormat="1" ht="10.7" hidden="1" customHeight="1" outlineLevel="1" x14ac:dyDescent="0.25">
      <c r="A578" s="124"/>
      <c r="B578" s="142"/>
      <c r="C578" s="115"/>
      <c r="D578" s="115"/>
      <c r="E578" s="115"/>
      <c r="F578" s="115"/>
      <c r="G578" s="60" t="s">
        <v>127</v>
      </c>
      <c r="H578" s="124"/>
      <c r="I578" s="124"/>
      <c r="J578" s="60"/>
      <c r="K578" s="60"/>
      <c r="L578" s="60"/>
      <c r="M578" s="60"/>
      <c r="N578" s="60">
        <f t="shared" si="179"/>
        <v>0</v>
      </c>
      <c r="O578" s="60">
        <f t="shared" si="180"/>
        <v>0</v>
      </c>
    </row>
    <row r="579" spans="1:15" s="38" customFormat="1" ht="10.7" hidden="1" customHeight="1" outlineLevel="1" x14ac:dyDescent="0.25">
      <c r="A579" s="124"/>
      <c r="B579" s="142"/>
      <c r="C579" s="115"/>
      <c r="D579" s="115"/>
      <c r="E579" s="115"/>
      <c r="F579" s="115"/>
      <c r="G579" s="60" t="s">
        <v>128</v>
      </c>
      <c r="H579" s="124"/>
      <c r="I579" s="124"/>
      <c r="J579" s="60"/>
      <c r="K579" s="60"/>
      <c r="L579" s="60"/>
      <c r="M579" s="60"/>
      <c r="N579" s="60">
        <f t="shared" si="179"/>
        <v>0</v>
      </c>
      <c r="O579" s="60">
        <f t="shared" si="180"/>
        <v>0</v>
      </c>
    </row>
    <row r="580" spans="1:15" s="38" customFormat="1" ht="10.7" hidden="1" customHeight="1" outlineLevel="1" x14ac:dyDescent="0.25">
      <c r="A580" s="124"/>
      <c r="B580" s="142"/>
      <c r="C580" s="115"/>
      <c r="D580" s="115"/>
      <c r="E580" s="115"/>
      <c r="F580" s="115"/>
      <c r="G580" s="60" t="s">
        <v>129</v>
      </c>
      <c r="H580" s="124"/>
      <c r="I580" s="124"/>
      <c r="J580" s="60"/>
      <c r="K580" s="60"/>
      <c r="L580" s="60"/>
      <c r="M580" s="60"/>
      <c r="N580" s="60">
        <f t="shared" si="179"/>
        <v>0</v>
      </c>
      <c r="O580" s="60">
        <f t="shared" si="180"/>
        <v>0</v>
      </c>
    </row>
    <row r="581" spans="1:15" s="38" customFormat="1" ht="10.7" hidden="1" customHeight="1" outlineLevel="1" x14ac:dyDescent="0.25">
      <c r="A581" s="124"/>
      <c r="B581" s="142"/>
      <c r="C581" s="115"/>
      <c r="D581" s="115"/>
      <c r="E581" s="115"/>
      <c r="F581" s="115"/>
      <c r="G581" s="60" t="s">
        <v>130</v>
      </c>
      <c r="H581" s="124"/>
      <c r="I581" s="124"/>
      <c r="J581" s="60"/>
      <c r="K581" s="60"/>
      <c r="L581" s="60"/>
      <c r="M581" s="60"/>
      <c r="N581" s="60">
        <f t="shared" si="179"/>
        <v>0</v>
      </c>
      <c r="O581" s="60">
        <f t="shared" si="180"/>
        <v>0</v>
      </c>
    </row>
    <row r="582" spans="1:15" s="38" customFormat="1" ht="12" hidden="1" customHeight="1" outlineLevel="1" thickBot="1" x14ac:dyDescent="0.3">
      <c r="A582" s="125"/>
      <c r="B582" s="143"/>
      <c r="C582" s="131"/>
      <c r="D582" s="131"/>
      <c r="E582" s="131"/>
      <c r="F582" s="131"/>
      <c r="G582" s="60" t="s">
        <v>131</v>
      </c>
      <c r="H582" s="134"/>
      <c r="I582" s="134"/>
      <c r="J582" s="60"/>
      <c r="K582" s="60"/>
      <c r="L582" s="60"/>
      <c r="M582" s="60"/>
      <c r="N582" s="60">
        <f t="shared" si="179"/>
        <v>0</v>
      </c>
      <c r="O582" s="60">
        <f t="shared" si="180"/>
        <v>0</v>
      </c>
    </row>
    <row r="583" spans="1:15" s="38" customFormat="1" ht="14.45" hidden="1" customHeight="1" outlineLevel="1" x14ac:dyDescent="0.25">
      <c r="A583" s="140" t="s">
        <v>523</v>
      </c>
      <c r="B583" s="141" t="s">
        <v>524</v>
      </c>
      <c r="C583" s="130">
        <f>SUM(N583:N589)</f>
        <v>0</v>
      </c>
      <c r="D583" s="130">
        <f>SUM(O583:O589)</f>
        <v>0</v>
      </c>
      <c r="E583" s="130">
        <f t="shared" si="170"/>
        <v>0</v>
      </c>
      <c r="F583" s="130"/>
      <c r="G583" s="60" t="s">
        <v>125</v>
      </c>
      <c r="H583" s="123"/>
      <c r="I583" s="123"/>
      <c r="J583" s="60"/>
      <c r="K583" s="60"/>
      <c r="L583" s="60"/>
      <c r="M583" s="60"/>
      <c r="N583" s="60">
        <f>M583*J583*K583*L583</f>
        <v>0</v>
      </c>
      <c r="O583" s="60">
        <f>J583*K583*L583</f>
        <v>0</v>
      </c>
    </row>
    <row r="584" spans="1:15" s="38" customFormat="1" ht="11.45" hidden="1" customHeight="1" outlineLevel="1" x14ac:dyDescent="0.25">
      <c r="A584" s="124"/>
      <c r="B584" s="142"/>
      <c r="C584" s="115"/>
      <c r="D584" s="115"/>
      <c r="E584" s="115"/>
      <c r="F584" s="115"/>
      <c r="G584" s="60" t="s">
        <v>126</v>
      </c>
      <c r="H584" s="124"/>
      <c r="I584" s="124"/>
      <c r="J584" s="60"/>
      <c r="K584" s="60"/>
      <c r="L584" s="60"/>
      <c r="M584" s="60"/>
      <c r="N584" s="60">
        <f t="shared" ref="N584:N589" si="181">M584*J584*K584*L584</f>
        <v>0</v>
      </c>
      <c r="O584" s="60">
        <f t="shared" ref="O584:O589" si="182">J584*K584*L584</f>
        <v>0</v>
      </c>
    </row>
    <row r="585" spans="1:15" s="38" customFormat="1" ht="10.7" hidden="1" customHeight="1" outlineLevel="1" x14ac:dyDescent="0.25">
      <c r="A585" s="124"/>
      <c r="B585" s="142"/>
      <c r="C585" s="115"/>
      <c r="D585" s="115"/>
      <c r="E585" s="115"/>
      <c r="F585" s="115"/>
      <c r="G585" s="60" t="s">
        <v>127</v>
      </c>
      <c r="H585" s="124"/>
      <c r="I585" s="124"/>
      <c r="J585" s="60"/>
      <c r="K585" s="60"/>
      <c r="L585" s="60"/>
      <c r="M585" s="60"/>
      <c r="N585" s="60">
        <f t="shared" si="181"/>
        <v>0</v>
      </c>
      <c r="O585" s="60">
        <f t="shared" si="182"/>
        <v>0</v>
      </c>
    </row>
    <row r="586" spans="1:15" s="38" customFormat="1" ht="10.7" hidden="1" customHeight="1" outlineLevel="1" x14ac:dyDescent="0.25">
      <c r="A586" s="124"/>
      <c r="B586" s="142"/>
      <c r="C586" s="115"/>
      <c r="D586" s="115"/>
      <c r="E586" s="115"/>
      <c r="F586" s="115"/>
      <c r="G586" s="60" t="s">
        <v>128</v>
      </c>
      <c r="H586" s="124"/>
      <c r="I586" s="124"/>
      <c r="J586" s="60"/>
      <c r="K586" s="60"/>
      <c r="L586" s="60"/>
      <c r="M586" s="60"/>
      <c r="N586" s="60">
        <f t="shared" si="181"/>
        <v>0</v>
      </c>
      <c r="O586" s="60">
        <f t="shared" si="182"/>
        <v>0</v>
      </c>
    </row>
    <row r="587" spans="1:15" s="38" customFormat="1" ht="10.7" hidden="1" customHeight="1" outlineLevel="1" x14ac:dyDescent="0.25">
      <c r="A587" s="124"/>
      <c r="B587" s="142"/>
      <c r="C587" s="115"/>
      <c r="D587" s="115"/>
      <c r="E587" s="115"/>
      <c r="F587" s="115"/>
      <c r="G587" s="60" t="s">
        <v>129</v>
      </c>
      <c r="H587" s="124"/>
      <c r="I587" s="124"/>
      <c r="J587" s="60"/>
      <c r="K587" s="60"/>
      <c r="L587" s="60"/>
      <c r="M587" s="60"/>
      <c r="N587" s="60">
        <f t="shared" si="181"/>
        <v>0</v>
      </c>
      <c r="O587" s="60">
        <f t="shared" si="182"/>
        <v>0</v>
      </c>
    </row>
    <row r="588" spans="1:15" s="38" customFormat="1" ht="10.7" hidden="1" customHeight="1" outlineLevel="1" x14ac:dyDescent="0.25">
      <c r="A588" s="124"/>
      <c r="B588" s="142"/>
      <c r="C588" s="115"/>
      <c r="D588" s="115"/>
      <c r="E588" s="115"/>
      <c r="F588" s="115"/>
      <c r="G588" s="60" t="s">
        <v>130</v>
      </c>
      <c r="H588" s="124"/>
      <c r="I588" s="124"/>
      <c r="J588" s="60"/>
      <c r="K588" s="60"/>
      <c r="L588" s="60"/>
      <c r="M588" s="60"/>
      <c r="N588" s="60">
        <f t="shared" si="181"/>
        <v>0</v>
      </c>
      <c r="O588" s="60">
        <f t="shared" si="182"/>
        <v>0</v>
      </c>
    </row>
    <row r="589" spans="1:15" s="38" customFormat="1" ht="12" hidden="1" customHeight="1" outlineLevel="1" thickBot="1" x14ac:dyDescent="0.3">
      <c r="A589" s="125"/>
      <c r="B589" s="143"/>
      <c r="C589" s="131"/>
      <c r="D589" s="131"/>
      <c r="E589" s="131"/>
      <c r="F589" s="131"/>
      <c r="G589" s="60" t="s">
        <v>131</v>
      </c>
      <c r="H589" s="134"/>
      <c r="I589" s="134"/>
      <c r="J589" s="60"/>
      <c r="K589" s="60"/>
      <c r="L589" s="60"/>
      <c r="M589" s="60"/>
      <c r="N589" s="60">
        <f t="shared" si="181"/>
        <v>0</v>
      </c>
      <c r="O589" s="60">
        <f t="shared" si="182"/>
        <v>0</v>
      </c>
    </row>
    <row r="590" spans="1:15" s="38" customFormat="1" ht="14.45" hidden="1" customHeight="1" outlineLevel="1" x14ac:dyDescent="0.25">
      <c r="A590" s="154" t="s">
        <v>525</v>
      </c>
      <c r="B590" s="141" t="s">
        <v>526</v>
      </c>
      <c r="C590" s="130">
        <f>SUM(N590:N596)</f>
        <v>0</v>
      </c>
      <c r="D590" s="130">
        <f>SUM(O590:O596)</f>
        <v>0</v>
      </c>
      <c r="E590" s="130">
        <f t="shared" si="170"/>
        <v>0</v>
      </c>
      <c r="F590" s="130"/>
      <c r="G590" s="60" t="s">
        <v>125</v>
      </c>
      <c r="H590" s="123"/>
      <c r="I590" s="123"/>
      <c r="J590" s="60"/>
      <c r="K590" s="60"/>
      <c r="L590" s="60"/>
      <c r="M590" s="60"/>
      <c r="N590" s="60">
        <f>M590*J590*K590*L590</f>
        <v>0</v>
      </c>
      <c r="O590" s="60">
        <f>J590*K590*L590</f>
        <v>0</v>
      </c>
    </row>
    <row r="591" spans="1:15" s="38" customFormat="1" ht="11.45" hidden="1" customHeight="1" outlineLevel="1" x14ac:dyDescent="0.25">
      <c r="A591" s="154"/>
      <c r="B591" s="142"/>
      <c r="C591" s="115"/>
      <c r="D591" s="115"/>
      <c r="E591" s="115"/>
      <c r="F591" s="115"/>
      <c r="G591" s="60" t="s">
        <v>126</v>
      </c>
      <c r="H591" s="124"/>
      <c r="I591" s="124"/>
      <c r="J591" s="60"/>
      <c r="K591" s="60"/>
      <c r="L591" s="60"/>
      <c r="M591" s="60"/>
      <c r="N591" s="60">
        <f t="shared" ref="N591:N596" si="183">M591*J591*K591*L591</f>
        <v>0</v>
      </c>
      <c r="O591" s="60">
        <f t="shared" ref="O591:O596" si="184">J591*K591*L591</f>
        <v>0</v>
      </c>
    </row>
    <row r="592" spans="1:15" s="38" customFormat="1" ht="10.7" hidden="1" customHeight="1" outlineLevel="1" x14ac:dyDescent="0.25">
      <c r="A592" s="154"/>
      <c r="B592" s="142"/>
      <c r="C592" s="115"/>
      <c r="D592" s="115"/>
      <c r="E592" s="115"/>
      <c r="F592" s="115"/>
      <c r="G592" s="60" t="s">
        <v>127</v>
      </c>
      <c r="H592" s="124"/>
      <c r="I592" s="124"/>
      <c r="J592" s="60"/>
      <c r="K592" s="60"/>
      <c r="L592" s="60"/>
      <c r="M592" s="60"/>
      <c r="N592" s="60">
        <f t="shared" si="183"/>
        <v>0</v>
      </c>
      <c r="O592" s="60">
        <f t="shared" si="184"/>
        <v>0</v>
      </c>
    </row>
    <row r="593" spans="1:15" s="38" customFormat="1" ht="10.7" hidden="1" customHeight="1" outlineLevel="1" x14ac:dyDescent="0.25">
      <c r="A593" s="154"/>
      <c r="B593" s="142"/>
      <c r="C593" s="115"/>
      <c r="D593" s="115"/>
      <c r="E593" s="115"/>
      <c r="F593" s="115"/>
      <c r="G593" s="60" t="s">
        <v>128</v>
      </c>
      <c r="H593" s="124"/>
      <c r="I593" s="124"/>
      <c r="J593" s="60"/>
      <c r="K593" s="60"/>
      <c r="L593" s="60"/>
      <c r="M593" s="60"/>
      <c r="N593" s="60">
        <f t="shared" si="183"/>
        <v>0</v>
      </c>
      <c r="O593" s="60">
        <f t="shared" si="184"/>
        <v>0</v>
      </c>
    </row>
    <row r="594" spans="1:15" s="38" customFormat="1" ht="10.7" hidden="1" customHeight="1" outlineLevel="1" x14ac:dyDescent="0.25">
      <c r="A594" s="154"/>
      <c r="B594" s="142"/>
      <c r="C594" s="115"/>
      <c r="D594" s="115"/>
      <c r="E594" s="115"/>
      <c r="F594" s="115"/>
      <c r="G594" s="60" t="s">
        <v>129</v>
      </c>
      <c r="H594" s="124"/>
      <c r="I594" s="124"/>
      <c r="J594" s="60"/>
      <c r="K594" s="60"/>
      <c r="L594" s="60"/>
      <c r="M594" s="60"/>
      <c r="N594" s="60">
        <f t="shared" si="183"/>
        <v>0</v>
      </c>
      <c r="O594" s="60">
        <f t="shared" si="184"/>
        <v>0</v>
      </c>
    </row>
    <row r="595" spans="1:15" s="38" customFormat="1" ht="10.7" hidden="1" customHeight="1" outlineLevel="1" x14ac:dyDescent="0.25">
      <c r="A595" s="154"/>
      <c r="B595" s="142"/>
      <c r="C595" s="115"/>
      <c r="D595" s="115"/>
      <c r="E595" s="115"/>
      <c r="F595" s="115"/>
      <c r="G595" s="60" t="s">
        <v>130</v>
      </c>
      <c r="H595" s="124"/>
      <c r="I595" s="124"/>
      <c r="J595" s="60"/>
      <c r="K595" s="60"/>
      <c r="L595" s="60"/>
      <c r="M595" s="60"/>
      <c r="N595" s="60">
        <f t="shared" si="183"/>
        <v>0</v>
      </c>
      <c r="O595" s="60">
        <f t="shared" si="184"/>
        <v>0</v>
      </c>
    </row>
    <row r="596" spans="1:15" s="38" customFormat="1" ht="12" hidden="1" customHeight="1" outlineLevel="1" thickBot="1" x14ac:dyDescent="0.3">
      <c r="A596" s="154"/>
      <c r="B596" s="143"/>
      <c r="C596" s="131"/>
      <c r="D596" s="131"/>
      <c r="E596" s="131"/>
      <c r="F596" s="131"/>
      <c r="G596" s="60" t="s">
        <v>131</v>
      </c>
      <c r="H596" s="134"/>
      <c r="I596" s="134"/>
      <c r="J596" s="60"/>
      <c r="K596" s="60"/>
      <c r="L596" s="60"/>
      <c r="M596" s="60"/>
      <c r="N596" s="60">
        <f t="shared" si="183"/>
        <v>0</v>
      </c>
      <c r="O596" s="60">
        <f t="shared" si="184"/>
        <v>0</v>
      </c>
    </row>
    <row r="597" spans="1:15" s="38" customFormat="1" ht="14.45" hidden="1" customHeight="1" outlineLevel="1" x14ac:dyDescent="0.25">
      <c r="A597" s="154"/>
      <c r="B597" s="141" t="s">
        <v>527</v>
      </c>
      <c r="C597" s="130">
        <f>SUM(N597:N603)</f>
        <v>0</v>
      </c>
      <c r="D597" s="130">
        <f>SUM(O597:O603)</f>
        <v>0</v>
      </c>
      <c r="E597" s="130">
        <f t="shared" ref="E597:E611" si="185">D597/8</f>
        <v>0</v>
      </c>
      <c r="F597" s="130"/>
      <c r="G597" s="60" t="s">
        <v>125</v>
      </c>
      <c r="H597" s="123"/>
      <c r="I597" s="123"/>
      <c r="J597" s="60"/>
      <c r="K597" s="60"/>
      <c r="L597" s="60"/>
      <c r="M597" s="60"/>
      <c r="N597" s="60">
        <f>M597*J597*K597*L597</f>
        <v>0</v>
      </c>
      <c r="O597" s="60">
        <f>J597*K597*L597</f>
        <v>0</v>
      </c>
    </row>
    <row r="598" spans="1:15" s="38" customFormat="1" ht="11.45" hidden="1" customHeight="1" outlineLevel="1" x14ac:dyDescent="0.25">
      <c r="A598" s="154"/>
      <c r="B598" s="142"/>
      <c r="C598" s="115"/>
      <c r="D598" s="115"/>
      <c r="E598" s="115"/>
      <c r="F598" s="115"/>
      <c r="G598" s="60" t="s">
        <v>126</v>
      </c>
      <c r="H598" s="124"/>
      <c r="I598" s="124"/>
      <c r="J598" s="60"/>
      <c r="K598" s="60"/>
      <c r="L598" s="60"/>
      <c r="M598" s="60"/>
      <c r="N598" s="60">
        <f t="shared" ref="N598:N603" si="186">M598*J598*K598*L598</f>
        <v>0</v>
      </c>
      <c r="O598" s="60">
        <f t="shared" ref="O598:O603" si="187">J598*K598*L598</f>
        <v>0</v>
      </c>
    </row>
    <row r="599" spans="1:15" s="38" customFormat="1" ht="10.7" hidden="1" customHeight="1" outlineLevel="1" x14ac:dyDescent="0.25">
      <c r="A599" s="154"/>
      <c r="B599" s="142"/>
      <c r="C599" s="115"/>
      <c r="D599" s="115"/>
      <c r="E599" s="115"/>
      <c r="F599" s="115"/>
      <c r="G599" s="60" t="s">
        <v>127</v>
      </c>
      <c r="H599" s="124"/>
      <c r="I599" s="124"/>
      <c r="J599" s="60"/>
      <c r="K599" s="60"/>
      <c r="L599" s="60"/>
      <c r="M599" s="60"/>
      <c r="N599" s="60">
        <f t="shared" si="186"/>
        <v>0</v>
      </c>
      <c r="O599" s="60">
        <f t="shared" si="187"/>
        <v>0</v>
      </c>
    </row>
    <row r="600" spans="1:15" s="38" customFormat="1" ht="10.7" hidden="1" customHeight="1" outlineLevel="1" x14ac:dyDescent="0.25">
      <c r="A600" s="154"/>
      <c r="B600" s="142"/>
      <c r="C600" s="115"/>
      <c r="D600" s="115"/>
      <c r="E600" s="115"/>
      <c r="F600" s="115"/>
      <c r="G600" s="60" t="s">
        <v>128</v>
      </c>
      <c r="H600" s="124"/>
      <c r="I600" s="124"/>
      <c r="J600" s="60"/>
      <c r="K600" s="60"/>
      <c r="L600" s="60"/>
      <c r="M600" s="60"/>
      <c r="N600" s="60">
        <f t="shared" si="186"/>
        <v>0</v>
      </c>
      <c r="O600" s="60">
        <f t="shared" si="187"/>
        <v>0</v>
      </c>
    </row>
    <row r="601" spans="1:15" s="38" customFormat="1" ht="10.7" hidden="1" customHeight="1" outlineLevel="1" x14ac:dyDescent="0.25">
      <c r="A601" s="154"/>
      <c r="B601" s="142"/>
      <c r="C601" s="115"/>
      <c r="D601" s="115"/>
      <c r="E601" s="115"/>
      <c r="F601" s="115"/>
      <c r="G601" s="60" t="s">
        <v>129</v>
      </c>
      <c r="H601" s="124"/>
      <c r="I601" s="124"/>
      <c r="J601" s="60"/>
      <c r="K601" s="60"/>
      <c r="L601" s="60"/>
      <c r="M601" s="60"/>
      <c r="N601" s="60">
        <f t="shared" si="186"/>
        <v>0</v>
      </c>
      <c r="O601" s="60">
        <f t="shared" si="187"/>
        <v>0</v>
      </c>
    </row>
    <row r="602" spans="1:15" s="38" customFormat="1" ht="10.7" hidden="1" customHeight="1" outlineLevel="1" x14ac:dyDescent="0.25">
      <c r="A602" s="154"/>
      <c r="B602" s="142"/>
      <c r="C602" s="115"/>
      <c r="D602" s="115"/>
      <c r="E602" s="115"/>
      <c r="F602" s="115"/>
      <c r="G602" s="60" t="s">
        <v>130</v>
      </c>
      <c r="H602" s="124"/>
      <c r="I602" s="124"/>
      <c r="J602" s="60"/>
      <c r="K602" s="60"/>
      <c r="L602" s="60"/>
      <c r="M602" s="60"/>
      <c r="N602" s="60">
        <f t="shared" si="186"/>
        <v>0</v>
      </c>
      <c r="O602" s="60">
        <f t="shared" si="187"/>
        <v>0</v>
      </c>
    </row>
    <row r="603" spans="1:15" s="38" customFormat="1" ht="12" hidden="1" customHeight="1" outlineLevel="1" thickBot="1" x14ac:dyDescent="0.3">
      <c r="A603" s="154"/>
      <c r="B603" s="143"/>
      <c r="C603" s="131"/>
      <c r="D603" s="131"/>
      <c r="E603" s="131"/>
      <c r="F603" s="131"/>
      <c r="G603" s="60" t="s">
        <v>131</v>
      </c>
      <c r="H603" s="134"/>
      <c r="I603" s="134"/>
      <c r="J603" s="60"/>
      <c r="K603" s="60"/>
      <c r="L603" s="60"/>
      <c r="M603" s="60"/>
      <c r="N603" s="60">
        <f t="shared" si="186"/>
        <v>0</v>
      </c>
      <c r="O603" s="60">
        <f t="shared" si="187"/>
        <v>0</v>
      </c>
    </row>
    <row r="604" spans="1:15" s="38" customFormat="1" ht="14.45" hidden="1" customHeight="1" outlineLevel="1" x14ac:dyDescent="0.25">
      <c r="A604" s="154"/>
      <c r="B604" s="141" t="s">
        <v>528</v>
      </c>
      <c r="C604" s="130">
        <f>SUM(N604:N610)</f>
        <v>0</v>
      </c>
      <c r="D604" s="130">
        <f>SUM(O604:O610)</f>
        <v>0</v>
      </c>
      <c r="E604" s="130">
        <f t="shared" si="185"/>
        <v>0</v>
      </c>
      <c r="F604" s="130"/>
      <c r="G604" s="60" t="s">
        <v>125</v>
      </c>
      <c r="H604" s="123"/>
      <c r="I604" s="123"/>
      <c r="J604" s="60"/>
      <c r="K604" s="60"/>
      <c r="L604" s="60"/>
      <c r="M604" s="60"/>
      <c r="N604" s="60">
        <f>M604*J604*K604*L604</f>
        <v>0</v>
      </c>
      <c r="O604" s="60">
        <f>J604*K604*L604</f>
        <v>0</v>
      </c>
    </row>
    <row r="605" spans="1:15" s="38" customFormat="1" ht="11.45" hidden="1" customHeight="1" outlineLevel="1" x14ac:dyDescent="0.25">
      <c r="A605" s="154"/>
      <c r="B605" s="142"/>
      <c r="C605" s="115"/>
      <c r="D605" s="115"/>
      <c r="E605" s="115"/>
      <c r="F605" s="115"/>
      <c r="G605" s="60" t="s">
        <v>126</v>
      </c>
      <c r="H605" s="124"/>
      <c r="I605" s="124"/>
      <c r="J605" s="60"/>
      <c r="K605" s="60"/>
      <c r="L605" s="60"/>
      <c r="M605" s="60"/>
      <c r="N605" s="60">
        <f t="shared" ref="N605:N610" si="188">M605*J605*K605*L605</f>
        <v>0</v>
      </c>
      <c r="O605" s="60">
        <f t="shared" ref="O605:O610" si="189">J605*K605*L605</f>
        <v>0</v>
      </c>
    </row>
    <row r="606" spans="1:15" s="38" customFormat="1" ht="10.7" hidden="1" customHeight="1" outlineLevel="1" x14ac:dyDescent="0.25">
      <c r="A606" s="154"/>
      <c r="B606" s="142"/>
      <c r="C606" s="115"/>
      <c r="D606" s="115"/>
      <c r="E606" s="115"/>
      <c r="F606" s="115"/>
      <c r="G606" s="60" t="s">
        <v>127</v>
      </c>
      <c r="H606" s="124"/>
      <c r="I606" s="124"/>
      <c r="J606" s="60"/>
      <c r="K606" s="60"/>
      <c r="L606" s="60"/>
      <c r="M606" s="60"/>
      <c r="N606" s="60">
        <f t="shared" si="188"/>
        <v>0</v>
      </c>
      <c r="O606" s="60">
        <f t="shared" si="189"/>
        <v>0</v>
      </c>
    </row>
    <row r="607" spans="1:15" s="38" customFormat="1" ht="10.7" hidden="1" customHeight="1" outlineLevel="1" x14ac:dyDescent="0.25">
      <c r="A607" s="154"/>
      <c r="B607" s="142"/>
      <c r="C607" s="115"/>
      <c r="D607" s="115"/>
      <c r="E607" s="115"/>
      <c r="F607" s="115"/>
      <c r="G607" s="60" t="s">
        <v>128</v>
      </c>
      <c r="H607" s="124"/>
      <c r="I607" s="124"/>
      <c r="J607" s="60"/>
      <c r="K607" s="60"/>
      <c r="L607" s="60"/>
      <c r="M607" s="60"/>
      <c r="N607" s="60">
        <f t="shared" si="188"/>
        <v>0</v>
      </c>
      <c r="O607" s="60">
        <f t="shared" si="189"/>
        <v>0</v>
      </c>
    </row>
    <row r="608" spans="1:15" s="38" customFormat="1" ht="10.7" hidden="1" customHeight="1" outlineLevel="1" x14ac:dyDescent="0.25">
      <c r="A608" s="154"/>
      <c r="B608" s="142"/>
      <c r="C608" s="115"/>
      <c r="D608" s="115"/>
      <c r="E608" s="115"/>
      <c r="F608" s="115"/>
      <c r="G608" s="60" t="s">
        <v>129</v>
      </c>
      <c r="H608" s="124"/>
      <c r="I608" s="124"/>
      <c r="J608" s="60"/>
      <c r="K608" s="60"/>
      <c r="L608" s="60"/>
      <c r="M608" s="60"/>
      <c r="N608" s="60">
        <f t="shared" si="188"/>
        <v>0</v>
      </c>
      <c r="O608" s="60">
        <f t="shared" si="189"/>
        <v>0</v>
      </c>
    </row>
    <row r="609" spans="1:15" s="38" customFormat="1" ht="10.7" hidden="1" customHeight="1" outlineLevel="1" x14ac:dyDescent="0.25">
      <c r="A609" s="154"/>
      <c r="B609" s="142"/>
      <c r="C609" s="115"/>
      <c r="D609" s="115"/>
      <c r="E609" s="115"/>
      <c r="F609" s="115"/>
      <c r="G609" s="60" t="s">
        <v>130</v>
      </c>
      <c r="H609" s="124"/>
      <c r="I609" s="124"/>
      <c r="J609" s="60"/>
      <c r="K609" s="60"/>
      <c r="L609" s="60"/>
      <c r="M609" s="60"/>
      <c r="N609" s="60">
        <f t="shared" si="188"/>
        <v>0</v>
      </c>
      <c r="O609" s="60">
        <f t="shared" si="189"/>
        <v>0</v>
      </c>
    </row>
    <row r="610" spans="1:15" s="38" customFormat="1" ht="12" hidden="1" customHeight="1" outlineLevel="1" thickBot="1" x14ac:dyDescent="0.3">
      <c r="A610" s="154"/>
      <c r="B610" s="143"/>
      <c r="C610" s="131"/>
      <c r="D610" s="131"/>
      <c r="E610" s="131"/>
      <c r="F610" s="131"/>
      <c r="G610" s="60" t="s">
        <v>131</v>
      </c>
      <c r="H610" s="134"/>
      <c r="I610" s="134"/>
      <c r="J610" s="60"/>
      <c r="K610" s="60"/>
      <c r="L610" s="60"/>
      <c r="M610" s="60"/>
      <c r="N610" s="60">
        <f t="shared" si="188"/>
        <v>0</v>
      </c>
      <c r="O610" s="60">
        <f t="shared" si="189"/>
        <v>0</v>
      </c>
    </row>
    <row r="611" spans="1:15" s="38" customFormat="1" ht="14.45" hidden="1" customHeight="1" outlineLevel="1" x14ac:dyDescent="0.25">
      <c r="A611" s="154"/>
      <c r="B611" s="141" t="s">
        <v>529</v>
      </c>
      <c r="C611" s="130">
        <f>SUM(N611:N617)</f>
        <v>0</v>
      </c>
      <c r="D611" s="130">
        <f>SUM(O611:O617)</f>
        <v>0</v>
      </c>
      <c r="E611" s="130">
        <f t="shared" si="185"/>
        <v>0</v>
      </c>
      <c r="F611" s="130"/>
      <c r="G611" s="60" t="s">
        <v>125</v>
      </c>
      <c r="H611" s="123"/>
      <c r="I611" s="123"/>
      <c r="J611" s="60"/>
      <c r="K611" s="60"/>
      <c r="L611" s="60"/>
      <c r="M611" s="60"/>
      <c r="N611" s="60">
        <f>M611*J611*K611*L611</f>
        <v>0</v>
      </c>
      <c r="O611" s="60">
        <f>J611*K611*L611</f>
        <v>0</v>
      </c>
    </row>
    <row r="612" spans="1:15" s="38" customFormat="1" ht="11.45" hidden="1" customHeight="1" outlineLevel="1" x14ac:dyDescent="0.25">
      <c r="A612" s="154"/>
      <c r="B612" s="142"/>
      <c r="C612" s="115"/>
      <c r="D612" s="115"/>
      <c r="E612" s="115"/>
      <c r="F612" s="115"/>
      <c r="G612" s="60" t="s">
        <v>126</v>
      </c>
      <c r="H612" s="124"/>
      <c r="I612" s="124"/>
      <c r="J612" s="60"/>
      <c r="K612" s="60"/>
      <c r="L612" s="60"/>
      <c r="M612" s="60"/>
      <c r="N612" s="60">
        <f t="shared" ref="N612:N617" si="190">M612*J612*K612*L612</f>
        <v>0</v>
      </c>
      <c r="O612" s="60">
        <f t="shared" ref="O612:O617" si="191">J612*K612*L612</f>
        <v>0</v>
      </c>
    </row>
    <row r="613" spans="1:15" s="38" customFormat="1" ht="10.7" hidden="1" customHeight="1" outlineLevel="1" x14ac:dyDescent="0.25">
      <c r="A613" s="154"/>
      <c r="B613" s="142"/>
      <c r="C613" s="115"/>
      <c r="D613" s="115"/>
      <c r="E613" s="115"/>
      <c r="F613" s="115"/>
      <c r="G613" s="60" t="s">
        <v>127</v>
      </c>
      <c r="H613" s="124"/>
      <c r="I613" s="124"/>
      <c r="J613" s="60"/>
      <c r="K613" s="60"/>
      <c r="L613" s="60"/>
      <c r="M613" s="60"/>
      <c r="N613" s="60">
        <f t="shared" si="190"/>
        <v>0</v>
      </c>
      <c r="O613" s="60">
        <f t="shared" si="191"/>
        <v>0</v>
      </c>
    </row>
    <row r="614" spans="1:15" s="38" customFormat="1" ht="10.7" hidden="1" customHeight="1" outlineLevel="1" x14ac:dyDescent="0.25">
      <c r="A614" s="154"/>
      <c r="B614" s="142"/>
      <c r="C614" s="115"/>
      <c r="D614" s="115"/>
      <c r="E614" s="115"/>
      <c r="F614" s="115"/>
      <c r="G614" s="60" t="s">
        <v>128</v>
      </c>
      <c r="H614" s="124"/>
      <c r="I614" s="124"/>
      <c r="J614" s="60"/>
      <c r="K614" s="60"/>
      <c r="L614" s="60"/>
      <c r="M614" s="60"/>
      <c r="N614" s="60">
        <f t="shared" si="190"/>
        <v>0</v>
      </c>
      <c r="O614" s="60">
        <f t="shared" si="191"/>
        <v>0</v>
      </c>
    </row>
    <row r="615" spans="1:15" s="38" customFormat="1" ht="10.7" hidden="1" customHeight="1" outlineLevel="1" x14ac:dyDescent="0.25">
      <c r="A615" s="154"/>
      <c r="B615" s="142"/>
      <c r="C615" s="115"/>
      <c r="D615" s="115"/>
      <c r="E615" s="115"/>
      <c r="F615" s="115"/>
      <c r="G615" s="60" t="s">
        <v>129</v>
      </c>
      <c r="H615" s="124"/>
      <c r="I615" s="124"/>
      <c r="J615" s="60"/>
      <c r="K615" s="60"/>
      <c r="L615" s="60"/>
      <c r="M615" s="60"/>
      <c r="N615" s="60">
        <f t="shared" si="190"/>
        <v>0</v>
      </c>
      <c r="O615" s="60">
        <f t="shared" si="191"/>
        <v>0</v>
      </c>
    </row>
    <row r="616" spans="1:15" s="38" customFormat="1" ht="10.7" hidden="1" customHeight="1" outlineLevel="1" x14ac:dyDescent="0.25">
      <c r="A616" s="154"/>
      <c r="B616" s="142"/>
      <c r="C616" s="115"/>
      <c r="D616" s="115"/>
      <c r="E616" s="115"/>
      <c r="F616" s="115"/>
      <c r="G616" s="60" t="s">
        <v>130</v>
      </c>
      <c r="H616" s="124"/>
      <c r="I616" s="124"/>
      <c r="J616" s="60"/>
      <c r="K616" s="60"/>
      <c r="L616" s="60"/>
      <c r="M616" s="60"/>
      <c r="N616" s="60">
        <f t="shared" si="190"/>
        <v>0</v>
      </c>
      <c r="O616" s="60">
        <f t="shared" si="191"/>
        <v>0</v>
      </c>
    </row>
    <row r="617" spans="1:15" s="38" customFormat="1" ht="12" hidden="1" customHeight="1" outlineLevel="1" thickBot="1" x14ac:dyDescent="0.3">
      <c r="A617" s="154"/>
      <c r="B617" s="143"/>
      <c r="C617" s="131"/>
      <c r="D617" s="131"/>
      <c r="E617" s="131"/>
      <c r="F617" s="131"/>
      <c r="G617" s="60" t="s">
        <v>131</v>
      </c>
      <c r="H617" s="134"/>
      <c r="I617" s="134"/>
      <c r="J617" s="60"/>
      <c r="K617" s="60"/>
      <c r="L617" s="60"/>
      <c r="M617" s="60"/>
      <c r="N617" s="60">
        <f t="shared" si="190"/>
        <v>0</v>
      </c>
      <c r="O617" s="60">
        <f t="shared" si="191"/>
        <v>0</v>
      </c>
    </row>
    <row r="618" spans="1:15" ht="19.5" collapsed="1" thickBot="1" x14ac:dyDescent="0.35">
      <c r="A618" s="144" t="s">
        <v>530</v>
      </c>
      <c r="B618" s="145"/>
      <c r="C618" s="49">
        <f>C258+C60+C10</f>
        <v>0</v>
      </c>
      <c r="D618" s="64">
        <f>D10+D60+D258</f>
        <v>0</v>
      </c>
      <c r="E618" s="64">
        <f>E10+E60+E258</f>
        <v>0</v>
      </c>
      <c r="F618" s="59"/>
      <c r="G618" s="59"/>
      <c r="H618" s="59"/>
      <c r="I618" s="59"/>
      <c r="J618" s="59"/>
      <c r="K618" s="59"/>
      <c r="L618" s="59"/>
      <c r="M618" s="59"/>
      <c r="N618" s="59"/>
      <c r="O618" s="60"/>
    </row>
  </sheetData>
  <mergeCells count="704">
    <mergeCell ref="A618:B618"/>
    <mergeCell ref="I611:I617"/>
    <mergeCell ref="B611:B617"/>
    <mergeCell ref="C611:C617"/>
    <mergeCell ref="D611:D617"/>
    <mergeCell ref="E611:E617"/>
    <mergeCell ref="F611:F617"/>
    <mergeCell ref="H611:H617"/>
    <mergeCell ref="I597:I603"/>
    <mergeCell ref="B604:B610"/>
    <mergeCell ref="C604:C610"/>
    <mergeCell ref="D604:D610"/>
    <mergeCell ref="E604:E610"/>
    <mergeCell ref="F604:F610"/>
    <mergeCell ref="H604:H610"/>
    <mergeCell ref="I604:I610"/>
    <mergeCell ref="B597:B603"/>
    <mergeCell ref="C597:C603"/>
    <mergeCell ref="D597:D603"/>
    <mergeCell ref="E597:E603"/>
    <mergeCell ref="F597:F603"/>
    <mergeCell ref="H597:H603"/>
    <mergeCell ref="H583:H589"/>
    <mergeCell ref="I583:I589"/>
    <mergeCell ref="A590:A617"/>
    <mergeCell ref="B590:B596"/>
    <mergeCell ref="C590:C596"/>
    <mergeCell ref="D590:D596"/>
    <mergeCell ref="E590:E596"/>
    <mergeCell ref="F590:F596"/>
    <mergeCell ref="H590:H596"/>
    <mergeCell ref="I590:I596"/>
    <mergeCell ref="A583:A589"/>
    <mergeCell ref="B583:B589"/>
    <mergeCell ref="C583:C589"/>
    <mergeCell ref="D583:D589"/>
    <mergeCell ref="E583:E589"/>
    <mergeCell ref="F583:F589"/>
    <mergeCell ref="A576:A582"/>
    <mergeCell ref="B576:B582"/>
    <mergeCell ref="C576:C582"/>
    <mergeCell ref="D576:D582"/>
    <mergeCell ref="E576:E582"/>
    <mergeCell ref="F576:F582"/>
    <mergeCell ref="H576:H582"/>
    <mergeCell ref="I576:I582"/>
    <mergeCell ref="A569:A575"/>
    <mergeCell ref="B569:B575"/>
    <mergeCell ref="C569:C575"/>
    <mergeCell ref="D569:D575"/>
    <mergeCell ref="E569:E575"/>
    <mergeCell ref="F569:F575"/>
    <mergeCell ref="H569:H575"/>
    <mergeCell ref="I569:I575"/>
    <mergeCell ref="H555:H561"/>
    <mergeCell ref="I555:I561"/>
    <mergeCell ref="A562:A568"/>
    <mergeCell ref="B562:B568"/>
    <mergeCell ref="C562:C568"/>
    <mergeCell ref="D562:D568"/>
    <mergeCell ref="E562:E568"/>
    <mergeCell ref="F562:F568"/>
    <mergeCell ref="H562:H568"/>
    <mergeCell ref="I562:I568"/>
    <mergeCell ref="A555:A561"/>
    <mergeCell ref="B555:B561"/>
    <mergeCell ref="C555:C561"/>
    <mergeCell ref="D555:D561"/>
    <mergeCell ref="E555:E561"/>
    <mergeCell ref="F555:F561"/>
    <mergeCell ref="H539:H545"/>
    <mergeCell ref="I539:I545"/>
    <mergeCell ref="A548:A554"/>
    <mergeCell ref="B548:B554"/>
    <mergeCell ref="C548:C554"/>
    <mergeCell ref="D548:D554"/>
    <mergeCell ref="E548:E554"/>
    <mergeCell ref="F548:F554"/>
    <mergeCell ref="H548:H554"/>
    <mergeCell ref="I548:I554"/>
    <mergeCell ref="A539:A545"/>
    <mergeCell ref="B539:B545"/>
    <mergeCell ref="C539:C545"/>
    <mergeCell ref="D539:D545"/>
    <mergeCell ref="E539:E545"/>
    <mergeCell ref="F539:F545"/>
    <mergeCell ref="H525:H531"/>
    <mergeCell ref="I525:I531"/>
    <mergeCell ref="A532:A538"/>
    <mergeCell ref="B532:B538"/>
    <mergeCell ref="C532:C538"/>
    <mergeCell ref="D532:D538"/>
    <mergeCell ref="E532:E538"/>
    <mergeCell ref="F532:F538"/>
    <mergeCell ref="H532:H538"/>
    <mergeCell ref="I532:I538"/>
    <mergeCell ref="A525:A531"/>
    <mergeCell ref="B525:B531"/>
    <mergeCell ref="C525:C531"/>
    <mergeCell ref="D525:D531"/>
    <mergeCell ref="E525:E531"/>
    <mergeCell ref="F525:F531"/>
    <mergeCell ref="H511:H517"/>
    <mergeCell ref="I511:I517"/>
    <mergeCell ref="A518:A524"/>
    <mergeCell ref="B518:B524"/>
    <mergeCell ref="C518:C524"/>
    <mergeCell ref="D518:D524"/>
    <mergeCell ref="E518:E524"/>
    <mergeCell ref="F518:F524"/>
    <mergeCell ref="H518:H524"/>
    <mergeCell ref="I518:I524"/>
    <mergeCell ref="A511:A517"/>
    <mergeCell ref="B511:B517"/>
    <mergeCell ref="C511:C517"/>
    <mergeCell ref="D511:D517"/>
    <mergeCell ref="E511:E517"/>
    <mergeCell ref="F511:F517"/>
    <mergeCell ref="H497:H503"/>
    <mergeCell ref="I497:I503"/>
    <mergeCell ref="A504:A510"/>
    <mergeCell ref="B504:B510"/>
    <mergeCell ref="C504:C510"/>
    <mergeCell ref="D504:D510"/>
    <mergeCell ref="E504:E510"/>
    <mergeCell ref="F504:F510"/>
    <mergeCell ref="H504:H510"/>
    <mergeCell ref="I504:I510"/>
    <mergeCell ref="A497:A503"/>
    <mergeCell ref="B497:B503"/>
    <mergeCell ref="C497:C503"/>
    <mergeCell ref="D497:D503"/>
    <mergeCell ref="E497:E503"/>
    <mergeCell ref="F497:F503"/>
    <mergeCell ref="H483:H489"/>
    <mergeCell ref="I483:I489"/>
    <mergeCell ref="A490:A496"/>
    <mergeCell ref="B490:B496"/>
    <mergeCell ref="C490:C496"/>
    <mergeCell ref="D490:D496"/>
    <mergeCell ref="E490:E496"/>
    <mergeCell ref="F490:F496"/>
    <mergeCell ref="H490:H496"/>
    <mergeCell ref="I490:I496"/>
    <mergeCell ref="A483:A489"/>
    <mergeCell ref="B483:B489"/>
    <mergeCell ref="C483:C489"/>
    <mergeCell ref="D483:D489"/>
    <mergeCell ref="E483:E489"/>
    <mergeCell ref="F483:F489"/>
    <mergeCell ref="H476:H482"/>
    <mergeCell ref="I476:I482"/>
    <mergeCell ref="A476:A482"/>
    <mergeCell ref="B476:B482"/>
    <mergeCell ref="C476:C482"/>
    <mergeCell ref="D476:D482"/>
    <mergeCell ref="E476:E482"/>
    <mergeCell ref="F476:F482"/>
    <mergeCell ref="H462:H468"/>
    <mergeCell ref="I462:I468"/>
    <mergeCell ref="A469:A475"/>
    <mergeCell ref="B469:B475"/>
    <mergeCell ref="C469:C475"/>
    <mergeCell ref="D469:D475"/>
    <mergeCell ref="E469:E475"/>
    <mergeCell ref="F469:F475"/>
    <mergeCell ref="H469:H475"/>
    <mergeCell ref="I469:I475"/>
    <mergeCell ref="A462:A468"/>
    <mergeCell ref="B462:B468"/>
    <mergeCell ref="C462:C468"/>
    <mergeCell ref="D462:D468"/>
    <mergeCell ref="E462:E468"/>
    <mergeCell ref="F462:F468"/>
    <mergeCell ref="H448:H454"/>
    <mergeCell ref="I448:I454"/>
    <mergeCell ref="A455:A461"/>
    <mergeCell ref="B455:B461"/>
    <mergeCell ref="C455:C461"/>
    <mergeCell ref="D455:D461"/>
    <mergeCell ref="E455:E461"/>
    <mergeCell ref="F455:F461"/>
    <mergeCell ref="H455:H461"/>
    <mergeCell ref="I455:I461"/>
    <mergeCell ref="A448:A454"/>
    <mergeCell ref="B448:B454"/>
    <mergeCell ref="C448:C454"/>
    <mergeCell ref="D448:D454"/>
    <mergeCell ref="E448:E454"/>
    <mergeCell ref="F448:F454"/>
    <mergeCell ref="H434:H440"/>
    <mergeCell ref="I434:I440"/>
    <mergeCell ref="A441:A447"/>
    <mergeCell ref="B441:B447"/>
    <mergeCell ref="C441:C447"/>
    <mergeCell ref="D441:D447"/>
    <mergeCell ref="E441:E447"/>
    <mergeCell ref="F441:F447"/>
    <mergeCell ref="H441:H447"/>
    <mergeCell ref="I441:I447"/>
    <mergeCell ref="A434:A440"/>
    <mergeCell ref="B434:B440"/>
    <mergeCell ref="C434:C440"/>
    <mergeCell ref="D434:D440"/>
    <mergeCell ref="E434:E440"/>
    <mergeCell ref="F434:F440"/>
    <mergeCell ref="H420:H426"/>
    <mergeCell ref="I420:I426"/>
    <mergeCell ref="A427:A433"/>
    <mergeCell ref="B427:B433"/>
    <mergeCell ref="C427:C433"/>
    <mergeCell ref="D427:D433"/>
    <mergeCell ref="E427:E433"/>
    <mergeCell ref="F427:F433"/>
    <mergeCell ref="H427:H433"/>
    <mergeCell ref="I427:I433"/>
    <mergeCell ref="A420:A426"/>
    <mergeCell ref="B420:B426"/>
    <mergeCell ref="C420:C426"/>
    <mergeCell ref="D420:D426"/>
    <mergeCell ref="E420:E426"/>
    <mergeCell ref="F420:F426"/>
    <mergeCell ref="A413:A419"/>
    <mergeCell ref="B413:B419"/>
    <mergeCell ref="C413:C419"/>
    <mergeCell ref="D413:D419"/>
    <mergeCell ref="E413:E419"/>
    <mergeCell ref="F413:F419"/>
    <mergeCell ref="H413:H419"/>
    <mergeCell ref="I413:I419"/>
    <mergeCell ref="H406:H412"/>
    <mergeCell ref="I406:I412"/>
    <mergeCell ref="A406:A412"/>
    <mergeCell ref="B406:B412"/>
    <mergeCell ref="C406:C412"/>
    <mergeCell ref="D406:D412"/>
    <mergeCell ref="E406:E412"/>
    <mergeCell ref="F406:F412"/>
    <mergeCell ref="H392:H398"/>
    <mergeCell ref="I392:I398"/>
    <mergeCell ref="A399:A405"/>
    <mergeCell ref="B399:B405"/>
    <mergeCell ref="C399:C405"/>
    <mergeCell ref="D399:D405"/>
    <mergeCell ref="E399:E405"/>
    <mergeCell ref="F399:F405"/>
    <mergeCell ref="H399:H405"/>
    <mergeCell ref="I399:I405"/>
    <mergeCell ref="A392:A398"/>
    <mergeCell ref="B392:B398"/>
    <mergeCell ref="C392:C398"/>
    <mergeCell ref="D392:D398"/>
    <mergeCell ref="E392:E398"/>
    <mergeCell ref="F392:F398"/>
    <mergeCell ref="H385:H391"/>
    <mergeCell ref="I385:I391"/>
    <mergeCell ref="A385:A391"/>
    <mergeCell ref="B385:B391"/>
    <mergeCell ref="C385:C391"/>
    <mergeCell ref="D385:D391"/>
    <mergeCell ref="E385:E391"/>
    <mergeCell ref="F385:F391"/>
    <mergeCell ref="H371:H377"/>
    <mergeCell ref="I371:I377"/>
    <mergeCell ref="A378:A384"/>
    <mergeCell ref="B378:B384"/>
    <mergeCell ref="C378:C384"/>
    <mergeCell ref="D378:D384"/>
    <mergeCell ref="E378:E384"/>
    <mergeCell ref="F378:F384"/>
    <mergeCell ref="H378:H384"/>
    <mergeCell ref="I378:I384"/>
    <mergeCell ref="A371:A377"/>
    <mergeCell ref="B371:B377"/>
    <mergeCell ref="C371:C377"/>
    <mergeCell ref="D371:D377"/>
    <mergeCell ref="E371:E377"/>
    <mergeCell ref="F371:F377"/>
    <mergeCell ref="H357:H363"/>
    <mergeCell ref="I357:I363"/>
    <mergeCell ref="A364:A370"/>
    <mergeCell ref="B364:B370"/>
    <mergeCell ref="C364:C370"/>
    <mergeCell ref="D364:D370"/>
    <mergeCell ref="E364:E370"/>
    <mergeCell ref="F364:F370"/>
    <mergeCell ref="H364:H370"/>
    <mergeCell ref="I364:I370"/>
    <mergeCell ref="A357:A363"/>
    <mergeCell ref="B357:B363"/>
    <mergeCell ref="C357:C363"/>
    <mergeCell ref="D357:D363"/>
    <mergeCell ref="E357:E363"/>
    <mergeCell ref="F357:F363"/>
    <mergeCell ref="H343:H349"/>
    <mergeCell ref="I343:I349"/>
    <mergeCell ref="A350:A356"/>
    <mergeCell ref="B350:B356"/>
    <mergeCell ref="C350:C356"/>
    <mergeCell ref="D350:D356"/>
    <mergeCell ref="E350:E356"/>
    <mergeCell ref="F350:F356"/>
    <mergeCell ref="H350:H356"/>
    <mergeCell ref="I350:I356"/>
    <mergeCell ref="A343:A349"/>
    <mergeCell ref="B343:B349"/>
    <mergeCell ref="C343:C349"/>
    <mergeCell ref="D343:D349"/>
    <mergeCell ref="E343:E349"/>
    <mergeCell ref="F343:F349"/>
    <mergeCell ref="H329:H335"/>
    <mergeCell ref="I329:I335"/>
    <mergeCell ref="A336:A342"/>
    <mergeCell ref="B336:B342"/>
    <mergeCell ref="C336:C342"/>
    <mergeCell ref="D336:D342"/>
    <mergeCell ref="E336:E342"/>
    <mergeCell ref="F336:F342"/>
    <mergeCell ref="H336:H342"/>
    <mergeCell ref="I336:I342"/>
    <mergeCell ref="A329:A335"/>
    <mergeCell ref="B329:B335"/>
    <mergeCell ref="C329:C335"/>
    <mergeCell ref="D329:D335"/>
    <mergeCell ref="E329:E335"/>
    <mergeCell ref="F329:F335"/>
    <mergeCell ref="H315:H321"/>
    <mergeCell ref="I315:I321"/>
    <mergeCell ref="A322:A328"/>
    <mergeCell ref="B322:B328"/>
    <mergeCell ref="C322:C328"/>
    <mergeCell ref="D322:D328"/>
    <mergeCell ref="E322:E328"/>
    <mergeCell ref="F322:F328"/>
    <mergeCell ref="H322:H328"/>
    <mergeCell ref="I322:I328"/>
    <mergeCell ref="A315:A321"/>
    <mergeCell ref="B315:B321"/>
    <mergeCell ref="C315:C321"/>
    <mergeCell ref="D315:D321"/>
    <mergeCell ref="E315:E321"/>
    <mergeCell ref="F315:F321"/>
    <mergeCell ref="H301:H307"/>
    <mergeCell ref="I301:I307"/>
    <mergeCell ref="A308:A314"/>
    <mergeCell ref="B308:B314"/>
    <mergeCell ref="C308:C314"/>
    <mergeCell ref="D308:D314"/>
    <mergeCell ref="E308:E314"/>
    <mergeCell ref="F308:F314"/>
    <mergeCell ref="H308:H314"/>
    <mergeCell ref="I308:I314"/>
    <mergeCell ref="A301:A307"/>
    <mergeCell ref="B301:B307"/>
    <mergeCell ref="C301:C307"/>
    <mergeCell ref="D301:D307"/>
    <mergeCell ref="E301:E307"/>
    <mergeCell ref="F301:F307"/>
    <mergeCell ref="H287:H293"/>
    <mergeCell ref="I287:I293"/>
    <mergeCell ref="A294:A300"/>
    <mergeCell ref="B294:B300"/>
    <mergeCell ref="C294:C300"/>
    <mergeCell ref="D294:D300"/>
    <mergeCell ref="E294:E300"/>
    <mergeCell ref="F294:F300"/>
    <mergeCell ref="H294:H300"/>
    <mergeCell ref="I294:I300"/>
    <mergeCell ref="A287:A293"/>
    <mergeCell ref="B287:B293"/>
    <mergeCell ref="C287:C293"/>
    <mergeCell ref="D287:D293"/>
    <mergeCell ref="E287:E293"/>
    <mergeCell ref="F287:F293"/>
    <mergeCell ref="H273:H279"/>
    <mergeCell ref="I273:I279"/>
    <mergeCell ref="A280:A286"/>
    <mergeCell ref="B280:B286"/>
    <mergeCell ref="C280:C286"/>
    <mergeCell ref="D280:D286"/>
    <mergeCell ref="E280:E286"/>
    <mergeCell ref="F280:F286"/>
    <mergeCell ref="H280:H286"/>
    <mergeCell ref="I280:I286"/>
    <mergeCell ref="A273:A279"/>
    <mergeCell ref="B273:B279"/>
    <mergeCell ref="C273:C279"/>
    <mergeCell ref="D273:D279"/>
    <mergeCell ref="E273:E279"/>
    <mergeCell ref="F273:F279"/>
    <mergeCell ref="H259:H265"/>
    <mergeCell ref="I259:I265"/>
    <mergeCell ref="A266:A272"/>
    <mergeCell ref="B266:B272"/>
    <mergeCell ref="C266:C272"/>
    <mergeCell ref="D266:D272"/>
    <mergeCell ref="E266:E272"/>
    <mergeCell ref="F266:F272"/>
    <mergeCell ref="H266:H272"/>
    <mergeCell ref="I266:I272"/>
    <mergeCell ref="A259:A265"/>
    <mergeCell ref="B259:B265"/>
    <mergeCell ref="C259:C265"/>
    <mergeCell ref="D259:D265"/>
    <mergeCell ref="E259:E265"/>
    <mergeCell ref="F259:F265"/>
    <mergeCell ref="H251:H257"/>
    <mergeCell ref="I251:I257"/>
    <mergeCell ref="A251:A257"/>
    <mergeCell ref="B251:B257"/>
    <mergeCell ref="C251:C257"/>
    <mergeCell ref="D251:D257"/>
    <mergeCell ref="E251:E257"/>
    <mergeCell ref="F251:F257"/>
    <mergeCell ref="H237:H243"/>
    <mergeCell ref="I237:I243"/>
    <mergeCell ref="A244:A250"/>
    <mergeCell ref="B244:B250"/>
    <mergeCell ref="C244:C250"/>
    <mergeCell ref="D244:D250"/>
    <mergeCell ref="E244:E250"/>
    <mergeCell ref="F244:F250"/>
    <mergeCell ref="H244:H250"/>
    <mergeCell ref="I244:I250"/>
    <mergeCell ref="A237:A243"/>
    <mergeCell ref="B237:B243"/>
    <mergeCell ref="C237:C243"/>
    <mergeCell ref="D237:D243"/>
    <mergeCell ref="E237:E243"/>
    <mergeCell ref="F237:F243"/>
    <mergeCell ref="H223:H229"/>
    <mergeCell ref="I223:I229"/>
    <mergeCell ref="A230:A236"/>
    <mergeCell ref="B230:B236"/>
    <mergeCell ref="C230:C236"/>
    <mergeCell ref="D230:D236"/>
    <mergeCell ref="E230:E236"/>
    <mergeCell ref="F230:F236"/>
    <mergeCell ref="H230:H236"/>
    <mergeCell ref="I230:I236"/>
    <mergeCell ref="A223:A229"/>
    <mergeCell ref="B223:B229"/>
    <mergeCell ref="C223:C229"/>
    <mergeCell ref="D223:D229"/>
    <mergeCell ref="E223:E229"/>
    <mergeCell ref="F223:F229"/>
    <mergeCell ref="H209:H215"/>
    <mergeCell ref="I209:I215"/>
    <mergeCell ref="A216:A222"/>
    <mergeCell ref="B216:B222"/>
    <mergeCell ref="C216:C222"/>
    <mergeCell ref="D216:D222"/>
    <mergeCell ref="E216:E222"/>
    <mergeCell ref="F216:F222"/>
    <mergeCell ref="H216:H222"/>
    <mergeCell ref="I216:I222"/>
    <mergeCell ref="A209:A215"/>
    <mergeCell ref="B209:B215"/>
    <mergeCell ref="C209:C215"/>
    <mergeCell ref="D209:D215"/>
    <mergeCell ref="E209:E215"/>
    <mergeCell ref="F209:F215"/>
    <mergeCell ref="H195:H201"/>
    <mergeCell ref="I195:I201"/>
    <mergeCell ref="A202:A208"/>
    <mergeCell ref="B202:B208"/>
    <mergeCell ref="C202:C208"/>
    <mergeCell ref="D202:D208"/>
    <mergeCell ref="E202:E208"/>
    <mergeCell ref="F202:F208"/>
    <mergeCell ref="H202:H208"/>
    <mergeCell ref="I202:I208"/>
    <mergeCell ref="A195:A201"/>
    <mergeCell ref="B195:B201"/>
    <mergeCell ref="C195:C201"/>
    <mergeCell ref="D195:D201"/>
    <mergeCell ref="E195:E201"/>
    <mergeCell ref="F195:F201"/>
    <mergeCell ref="H181:H187"/>
    <mergeCell ref="I181:I187"/>
    <mergeCell ref="A188:A194"/>
    <mergeCell ref="B188:B194"/>
    <mergeCell ref="C188:C194"/>
    <mergeCell ref="D188:D194"/>
    <mergeCell ref="E188:E194"/>
    <mergeCell ref="F188:F194"/>
    <mergeCell ref="H188:H194"/>
    <mergeCell ref="I188:I194"/>
    <mergeCell ref="A181:A187"/>
    <mergeCell ref="B181:B187"/>
    <mergeCell ref="C181:C187"/>
    <mergeCell ref="D181:D187"/>
    <mergeCell ref="E181:E187"/>
    <mergeCell ref="F181:F187"/>
    <mergeCell ref="A174:A180"/>
    <mergeCell ref="B174:B180"/>
    <mergeCell ref="C174:C180"/>
    <mergeCell ref="D174:D180"/>
    <mergeCell ref="E174:E180"/>
    <mergeCell ref="F174:F180"/>
    <mergeCell ref="H174:H180"/>
    <mergeCell ref="I174:I180"/>
    <mergeCell ref="H160:H166"/>
    <mergeCell ref="I160:I166"/>
    <mergeCell ref="A167:A173"/>
    <mergeCell ref="B167:B173"/>
    <mergeCell ref="C167:C173"/>
    <mergeCell ref="D167:D173"/>
    <mergeCell ref="E167:E173"/>
    <mergeCell ref="F167:F173"/>
    <mergeCell ref="H167:H173"/>
    <mergeCell ref="I167:I173"/>
    <mergeCell ref="A160:A166"/>
    <mergeCell ref="B160:B166"/>
    <mergeCell ref="C160:C166"/>
    <mergeCell ref="D160:D166"/>
    <mergeCell ref="E160:E166"/>
    <mergeCell ref="F160:F166"/>
    <mergeCell ref="H146:H152"/>
    <mergeCell ref="I146:I152"/>
    <mergeCell ref="A153:A159"/>
    <mergeCell ref="B153:B159"/>
    <mergeCell ref="C153:C159"/>
    <mergeCell ref="D153:D159"/>
    <mergeCell ref="E153:E159"/>
    <mergeCell ref="F153:F159"/>
    <mergeCell ref="H153:H159"/>
    <mergeCell ref="I153:I159"/>
    <mergeCell ref="A146:A152"/>
    <mergeCell ref="B146:B152"/>
    <mergeCell ref="C146:C152"/>
    <mergeCell ref="D146:D152"/>
    <mergeCell ref="E146:E152"/>
    <mergeCell ref="F146:F152"/>
    <mergeCell ref="H132:H138"/>
    <mergeCell ref="I132:I138"/>
    <mergeCell ref="A139:A145"/>
    <mergeCell ref="B139:B145"/>
    <mergeCell ref="C139:C145"/>
    <mergeCell ref="D139:D145"/>
    <mergeCell ref="E139:E145"/>
    <mergeCell ref="F139:F145"/>
    <mergeCell ref="H139:H145"/>
    <mergeCell ref="I139:I145"/>
    <mergeCell ref="A132:A138"/>
    <mergeCell ref="B132:B138"/>
    <mergeCell ref="C132:C138"/>
    <mergeCell ref="D132:D138"/>
    <mergeCell ref="E132:E138"/>
    <mergeCell ref="F132:F138"/>
    <mergeCell ref="H118:H124"/>
    <mergeCell ref="I118:I124"/>
    <mergeCell ref="A125:A131"/>
    <mergeCell ref="B125:B131"/>
    <mergeCell ref="C125:C131"/>
    <mergeCell ref="D125:D131"/>
    <mergeCell ref="E125:E131"/>
    <mergeCell ref="F125:F131"/>
    <mergeCell ref="H125:H131"/>
    <mergeCell ref="I125:I131"/>
    <mergeCell ref="A118:A124"/>
    <mergeCell ref="B118:B124"/>
    <mergeCell ref="C118:C124"/>
    <mergeCell ref="D118:D124"/>
    <mergeCell ref="E118:E124"/>
    <mergeCell ref="F118:F124"/>
    <mergeCell ref="H104:H110"/>
    <mergeCell ref="I104:I110"/>
    <mergeCell ref="A111:A117"/>
    <mergeCell ref="B111:B117"/>
    <mergeCell ref="C111:C117"/>
    <mergeCell ref="D111:D117"/>
    <mergeCell ref="E111:E117"/>
    <mergeCell ref="F111:F117"/>
    <mergeCell ref="H111:H117"/>
    <mergeCell ref="I111:I117"/>
    <mergeCell ref="A104:A110"/>
    <mergeCell ref="B104:B110"/>
    <mergeCell ref="C104:C110"/>
    <mergeCell ref="D104:D110"/>
    <mergeCell ref="E104:E110"/>
    <mergeCell ref="F104:F110"/>
    <mergeCell ref="H90:H96"/>
    <mergeCell ref="I90:I96"/>
    <mergeCell ref="A97:A103"/>
    <mergeCell ref="B97:B103"/>
    <mergeCell ref="C97:C103"/>
    <mergeCell ref="D97:D103"/>
    <mergeCell ref="E97:E103"/>
    <mergeCell ref="F97:F103"/>
    <mergeCell ref="H97:H103"/>
    <mergeCell ref="I97:I103"/>
    <mergeCell ref="A90:A96"/>
    <mergeCell ref="B90:B96"/>
    <mergeCell ref="C90:C96"/>
    <mergeCell ref="D90:D96"/>
    <mergeCell ref="E90:E96"/>
    <mergeCell ref="F90:F96"/>
    <mergeCell ref="H75:H81"/>
    <mergeCell ref="I75:I81"/>
    <mergeCell ref="A82:A88"/>
    <mergeCell ref="B82:B88"/>
    <mergeCell ref="C82:C88"/>
    <mergeCell ref="D82:D88"/>
    <mergeCell ref="E82:E88"/>
    <mergeCell ref="F82:F88"/>
    <mergeCell ref="H82:H88"/>
    <mergeCell ref="I82:I88"/>
    <mergeCell ref="A75:A81"/>
    <mergeCell ref="B75:B81"/>
    <mergeCell ref="C75:C81"/>
    <mergeCell ref="D75:D81"/>
    <mergeCell ref="E75:E81"/>
    <mergeCell ref="F75:F81"/>
    <mergeCell ref="H61:H67"/>
    <mergeCell ref="I61:I67"/>
    <mergeCell ref="A68:A74"/>
    <mergeCell ref="B68:B74"/>
    <mergeCell ref="C68:C74"/>
    <mergeCell ref="D68:D74"/>
    <mergeCell ref="E68:E74"/>
    <mergeCell ref="F68:F74"/>
    <mergeCell ref="H68:H74"/>
    <mergeCell ref="I68:I74"/>
    <mergeCell ref="A61:A67"/>
    <mergeCell ref="B61:B67"/>
    <mergeCell ref="C61:C67"/>
    <mergeCell ref="D61:D67"/>
    <mergeCell ref="E61:E67"/>
    <mergeCell ref="F61:F67"/>
    <mergeCell ref="H46:H52"/>
    <mergeCell ref="I46:I52"/>
    <mergeCell ref="A53:A59"/>
    <mergeCell ref="B53:B59"/>
    <mergeCell ref="C53:C59"/>
    <mergeCell ref="D53:D59"/>
    <mergeCell ref="E53:E59"/>
    <mergeCell ref="F53:F59"/>
    <mergeCell ref="H53:H59"/>
    <mergeCell ref="I53:I59"/>
    <mergeCell ref="A46:A52"/>
    <mergeCell ref="B46:B52"/>
    <mergeCell ref="C46:C52"/>
    <mergeCell ref="D46:D52"/>
    <mergeCell ref="E46:E52"/>
    <mergeCell ref="F46:F52"/>
    <mergeCell ref="H32:H38"/>
    <mergeCell ref="I32:I38"/>
    <mergeCell ref="A39:A45"/>
    <mergeCell ref="B39:B45"/>
    <mergeCell ref="C39:C45"/>
    <mergeCell ref="D39:D45"/>
    <mergeCell ref="E39:E45"/>
    <mergeCell ref="F39:F45"/>
    <mergeCell ref="H39:H45"/>
    <mergeCell ref="I39:I45"/>
    <mergeCell ref="A32:A38"/>
    <mergeCell ref="B32:B38"/>
    <mergeCell ref="C32:C38"/>
    <mergeCell ref="D32:D38"/>
    <mergeCell ref="E32:E38"/>
    <mergeCell ref="F32:F38"/>
    <mergeCell ref="H18:H24"/>
    <mergeCell ref="I18:I24"/>
    <mergeCell ref="A25:A31"/>
    <mergeCell ref="B25:B31"/>
    <mergeCell ref="C25:C31"/>
    <mergeCell ref="D25:D31"/>
    <mergeCell ref="E25:E31"/>
    <mergeCell ref="F25:F31"/>
    <mergeCell ref="H25:H31"/>
    <mergeCell ref="I25:I31"/>
    <mergeCell ref="A18:A24"/>
    <mergeCell ref="B18:B24"/>
    <mergeCell ref="C18:C24"/>
    <mergeCell ref="D18:D24"/>
    <mergeCell ref="E18:E24"/>
    <mergeCell ref="F18:F24"/>
    <mergeCell ref="A9:O9"/>
    <mergeCell ref="A11:A17"/>
    <mergeCell ref="B11:B17"/>
    <mergeCell ref="C11:C17"/>
    <mergeCell ref="D11:D17"/>
    <mergeCell ref="E11:E17"/>
    <mergeCell ref="F11:F17"/>
    <mergeCell ref="H11:H17"/>
    <mergeCell ref="I11:I17"/>
    <mergeCell ref="A2:O3"/>
    <mergeCell ref="C4:O4"/>
    <mergeCell ref="A5:A8"/>
    <mergeCell ref="B5:B8"/>
    <mergeCell ref="C5:C8"/>
    <mergeCell ref="D5:D8"/>
    <mergeCell ref="E5:E8"/>
    <mergeCell ref="F5:F8"/>
    <mergeCell ref="G5:O6"/>
    <mergeCell ref="G7:G8"/>
    <mergeCell ref="O7:O8"/>
    <mergeCell ref="H7:I7"/>
    <mergeCell ref="J7:J8"/>
    <mergeCell ref="K7:K8"/>
    <mergeCell ref="L7:L8"/>
    <mergeCell ref="M7:M8"/>
    <mergeCell ref="N7:N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8"/>
  <sheetViews>
    <sheetView topLeftCell="A16" zoomScale="145" zoomScaleNormal="145" workbookViewId="0">
      <selection activeCell="A2" sqref="A2:O3"/>
    </sheetView>
  </sheetViews>
  <sheetFormatPr defaultColWidth="9.140625" defaultRowHeight="15" outlineLevelRow="1" x14ac:dyDescent="0.25"/>
  <cols>
    <col min="1" max="1" width="8.42578125" style="22" customWidth="1"/>
    <col min="2" max="2" width="100.5703125" style="21" customWidth="1"/>
    <col min="3" max="3" width="14.85546875" style="21" customWidth="1"/>
    <col min="4" max="5" width="12.42578125" style="21" customWidth="1"/>
    <col min="6" max="6" width="14.42578125" style="21" customWidth="1"/>
    <col min="7" max="7" width="13.140625" style="21" customWidth="1"/>
    <col min="8" max="8" width="10.85546875" style="21" customWidth="1"/>
    <col min="9" max="9" width="9.85546875" style="21" customWidth="1"/>
    <col min="10" max="10" width="7" style="21" customWidth="1"/>
    <col min="11" max="11" width="8" style="21" customWidth="1"/>
    <col min="12" max="12" width="9.140625" style="21" customWidth="1"/>
    <col min="13" max="13" width="14.5703125" style="21" customWidth="1"/>
    <col min="14" max="14" width="17.85546875" style="21" customWidth="1"/>
    <col min="15" max="15" width="18.85546875" style="21" customWidth="1"/>
    <col min="16" max="16" width="17.42578125" style="21" customWidth="1"/>
    <col min="17" max="16384" width="9.140625" style="21"/>
  </cols>
  <sheetData>
    <row r="1" spans="1:15" ht="55.35" customHeight="1" x14ac:dyDescent="0.25">
      <c r="A1" s="23" t="s">
        <v>0</v>
      </c>
      <c r="B1" s="19"/>
      <c r="C1" s="20" t="s">
        <v>1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5" ht="15" customHeight="1" x14ac:dyDescent="0.25">
      <c r="A2" s="107" t="s">
        <v>976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</row>
    <row r="3" spans="1:15" ht="36" customHeight="1" thickBot="1" x14ac:dyDescent="0.3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</row>
    <row r="4" spans="1:15" ht="13.7" customHeight="1" thickBot="1" x14ac:dyDescent="0.3">
      <c r="A4" s="55"/>
      <c r="B4" s="55"/>
      <c r="C4" s="109" t="s">
        <v>106</v>
      </c>
      <c r="D4" s="110"/>
      <c r="E4" s="110"/>
      <c r="F4" s="111"/>
      <c r="G4" s="111"/>
      <c r="H4" s="111"/>
      <c r="I4" s="111"/>
      <c r="J4" s="111"/>
      <c r="K4" s="111"/>
      <c r="L4" s="111"/>
      <c r="M4" s="111"/>
      <c r="N4" s="111"/>
      <c r="O4" s="112"/>
    </row>
    <row r="5" spans="1:15" s="38" customFormat="1" ht="19.5" customHeight="1" x14ac:dyDescent="0.25">
      <c r="A5" s="113" t="s">
        <v>3</v>
      </c>
      <c r="B5" s="113" t="s">
        <v>4</v>
      </c>
      <c r="C5" s="113" t="s">
        <v>53</v>
      </c>
      <c r="D5" s="113" t="s">
        <v>107</v>
      </c>
      <c r="E5" s="113" t="s">
        <v>385</v>
      </c>
      <c r="F5" s="113" t="s">
        <v>109</v>
      </c>
      <c r="G5" s="117" t="s">
        <v>110</v>
      </c>
      <c r="H5" s="118"/>
      <c r="I5" s="118"/>
      <c r="J5" s="118"/>
      <c r="K5" s="118"/>
      <c r="L5" s="118"/>
      <c r="M5" s="118"/>
      <c r="N5" s="118"/>
      <c r="O5" s="119"/>
    </row>
    <row r="6" spans="1:15" s="38" customFormat="1" ht="19.5" customHeight="1" thickBot="1" x14ac:dyDescent="0.3">
      <c r="A6" s="114"/>
      <c r="B6" s="114"/>
      <c r="C6" s="114"/>
      <c r="D6" s="115"/>
      <c r="E6" s="115"/>
      <c r="F6" s="116"/>
      <c r="G6" s="120"/>
      <c r="H6" s="121"/>
      <c r="I6" s="121"/>
      <c r="J6" s="121"/>
      <c r="K6" s="121"/>
      <c r="L6" s="121"/>
      <c r="M6" s="121"/>
      <c r="N6" s="121"/>
      <c r="O6" s="122"/>
    </row>
    <row r="7" spans="1:15" s="38" customFormat="1" ht="25.35" customHeight="1" thickBot="1" x14ac:dyDescent="0.3">
      <c r="A7" s="115"/>
      <c r="B7" s="115"/>
      <c r="C7" s="115"/>
      <c r="D7" s="115"/>
      <c r="E7" s="115"/>
      <c r="F7" s="115"/>
      <c r="G7" s="100" t="s">
        <v>111</v>
      </c>
      <c r="H7" s="105" t="s">
        <v>112</v>
      </c>
      <c r="I7" s="106"/>
      <c r="J7" s="100" t="s">
        <v>113</v>
      </c>
      <c r="K7" s="100" t="s">
        <v>114</v>
      </c>
      <c r="L7" s="100" t="s">
        <v>115</v>
      </c>
      <c r="M7" s="100" t="s">
        <v>116</v>
      </c>
      <c r="N7" s="100" t="s">
        <v>117</v>
      </c>
      <c r="O7" s="100" t="s">
        <v>386</v>
      </c>
    </row>
    <row r="8" spans="1:15" s="38" customFormat="1" ht="19.5" customHeight="1" thickBot="1" x14ac:dyDescent="0.3">
      <c r="A8" s="101"/>
      <c r="B8" s="101"/>
      <c r="C8" s="101"/>
      <c r="D8" s="101"/>
      <c r="E8" s="101"/>
      <c r="F8" s="101"/>
      <c r="G8" s="101"/>
      <c r="H8" s="61" t="s">
        <v>119</v>
      </c>
      <c r="I8" s="61" t="s">
        <v>120</v>
      </c>
      <c r="J8" s="101"/>
      <c r="K8" s="101"/>
      <c r="L8" s="101"/>
      <c r="M8" s="101"/>
      <c r="N8" s="101"/>
      <c r="O8" s="101"/>
    </row>
    <row r="9" spans="1:15" s="38" customFormat="1" ht="19.5" customHeight="1" thickBot="1" x14ac:dyDescent="0.3">
      <c r="A9" s="102" t="s">
        <v>341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4"/>
    </row>
    <row r="10" spans="1:15" s="39" customFormat="1" ht="15.75" x14ac:dyDescent="0.25">
      <c r="A10" s="37" t="s">
        <v>8</v>
      </c>
      <c r="B10" s="34" t="s">
        <v>122</v>
      </c>
      <c r="C10" s="35">
        <f>SUM(C11:C59)</f>
        <v>0</v>
      </c>
      <c r="D10" s="35">
        <f>SUM(D11:D59)</f>
        <v>0</v>
      </c>
      <c r="E10" s="35">
        <f>SUM(E11:E59)</f>
        <v>0</v>
      </c>
      <c r="F10" s="56"/>
      <c r="G10" s="56"/>
      <c r="H10" s="56"/>
      <c r="I10" s="56"/>
      <c r="J10" s="56"/>
      <c r="K10" s="56"/>
      <c r="L10" s="56"/>
      <c r="M10" s="56"/>
      <c r="N10" s="56"/>
      <c r="O10" s="35">
        <f>SUM(O11:O59)</f>
        <v>0</v>
      </c>
    </row>
    <row r="11" spans="1:15" s="38" customFormat="1" ht="14.45" customHeight="1" outlineLevel="1" x14ac:dyDescent="0.25">
      <c r="A11" s="140" t="s">
        <v>123</v>
      </c>
      <c r="B11" s="141" t="s">
        <v>342</v>
      </c>
      <c r="C11" s="130">
        <f>SUM(N11:N17)</f>
        <v>0</v>
      </c>
      <c r="D11" s="130">
        <f>SUM(O11:O17)</f>
        <v>0</v>
      </c>
      <c r="E11" s="130">
        <f>D11/8</f>
        <v>0</v>
      </c>
      <c r="F11" s="130"/>
      <c r="G11" s="60" t="s">
        <v>125</v>
      </c>
      <c r="H11" s="123"/>
      <c r="I11" s="123"/>
      <c r="J11" s="60"/>
      <c r="K11" s="60"/>
      <c r="L11" s="60"/>
      <c r="M11" s="60"/>
      <c r="N11" s="60">
        <f>M11*J11*K11*L11</f>
        <v>0</v>
      </c>
      <c r="O11" s="60">
        <f>J11*K11*L11</f>
        <v>0</v>
      </c>
    </row>
    <row r="12" spans="1:15" s="38" customFormat="1" ht="11.45" customHeight="1" outlineLevel="1" x14ac:dyDescent="0.25">
      <c r="A12" s="124"/>
      <c r="B12" s="128"/>
      <c r="C12" s="115"/>
      <c r="D12" s="115"/>
      <c r="E12" s="148"/>
      <c r="F12" s="115"/>
      <c r="G12" s="60" t="s">
        <v>126</v>
      </c>
      <c r="H12" s="124"/>
      <c r="I12" s="124"/>
      <c r="J12" s="60"/>
      <c r="K12" s="60"/>
      <c r="L12" s="60"/>
      <c r="M12" s="60"/>
      <c r="N12" s="60">
        <f t="shared" ref="N12:N17" si="0">M12*J12*K12*L12</f>
        <v>0</v>
      </c>
      <c r="O12" s="60">
        <f t="shared" ref="O12:O17" si="1">J12*K12*L12</f>
        <v>0</v>
      </c>
    </row>
    <row r="13" spans="1:15" s="38" customFormat="1" ht="10.7" customHeight="1" outlineLevel="1" x14ac:dyDescent="0.25">
      <c r="A13" s="124"/>
      <c r="B13" s="128"/>
      <c r="C13" s="115"/>
      <c r="D13" s="115"/>
      <c r="E13" s="148"/>
      <c r="F13" s="115"/>
      <c r="G13" s="60" t="s">
        <v>127</v>
      </c>
      <c r="H13" s="124"/>
      <c r="I13" s="124"/>
      <c r="J13" s="60"/>
      <c r="K13" s="60"/>
      <c r="L13" s="60"/>
      <c r="M13" s="60"/>
      <c r="N13" s="60">
        <f t="shared" si="0"/>
        <v>0</v>
      </c>
      <c r="O13" s="60">
        <f t="shared" si="1"/>
        <v>0</v>
      </c>
    </row>
    <row r="14" spans="1:15" s="38" customFormat="1" ht="10.7" customHeight="1" outlineLevel="1" x14ac:dyDescent="0.25">
      <c r="A14" s="124"/>
      <c r="B14" s="128"/>
      <c r="C14" s="115"/>
      <c r="D14" s="115"/>
      <c r="E14" s="148"/>
      <c r="F14" s="115"/>
      <c r="G14" s="60" t="s">
        <v>128</v>
      </c>
      <c r="H14" s="124"/>
      <c r="I14" s="124"/>
      <c r="J14" s="60"/>
      <c r="K14" s="60"/>
      <c r="L14" s="60"/>
      <c r="M14" s="60"/>
      <c r="N14" s="60">
        <f t="shared" si="0"/>
        <v>0</v>
      </c>
      <c r="O14" s="60">
        <f t="shared" si="1"/>
        <v>0</v>
      </c>
    </row>
    <row r="15" spans="1:15" s="38" customFormat="1" ht="10.7" customHeight="1" outlineLevel="1" x14ac:dyDescent="0.25">
      <c r="A15" s="124"/>
      <c r="B15" s="128"/>
      <c r="C15" s="115"/>
      <c r="D15" s="115"/>
      <c r="E15" s="148"/>
      <c r="F15" s="115"/>
      <c r="G15" s="60" t="s">
        <v>129</v>
      </c>
      <c r="H15" s="124"/>
      <c r="I15" s="124"/>
      <c r="J15" s="60"/>
      <c r="K15" s="60"/>
      <c r="L15" s="60"/>
      <c r="M15" s="60"/>
      <c r="N15" s="60">
        <f t="shared" si="0"/>
        <v>0</v>
      </c>
      <c r="O15" s="60">
        <f t="shared" si="1"/>
        <v>0</v>
      </c>
    </row>
    <row r="16" spans="1:15" s="38" customFormat="1" ht="10.7" customHeight="1" outlineLevel="1" x14ac:dyDescent="0.25">
      <c r="A16" s="124"/>
      <c r="B16" s="128"/>
      <c r="C16" s="115"/>
      <c r="D16" s="115"/>
      <c r="E16" s="148"/>
      <c r="F16" s="115"/>
      <c r="G16" s="60" t="s">
        <v>130</v>
      </c>
      <c r="H16" s="124"/>
      <c r="I16" s="124"/>
      <c r="J16" s="60"/>
      <c r="K16" s="60"/>
      <c r="L16" s="60"/>
      <c r="M16" s="60"/>
      <c r="N16" s="60">
        <f t="shared" si="0"/>
        <v>0</v>
      </c>
      <c r="O16" s="60">
        <f t="shared" si="1"/>
        <v>0</v>
      </c>
    </row>
    <row r="17" spans="1:15" s="38" customFormat="1" ht="12" customHeight="1" outlineLevel="1" x14ac:dyDescent="0.25">
      <c r="A17" s="125"/>
      <c r="B17" s="129"/>
      <c r="C17" s="131"/>
      <c r="D17" s="131"/>
      <c r="E17" s="149"/>
      <c r="F17" s="131"/>
      <c r="G17" s="60" t="s">
        <v>131</v>
      </c>
      <c r="H17" s="125"/>
      <c r="I17" s="125"/>
      <c r="J17" s="60"/>
      <c r="K17" s="60"/>
      <c r="L17" s="60"/>
      <c r="M17" s="60"/>
      <c r="N17" s="60">
        <f t="shared" si="0"/>
        <v>0</v>
      </c>
      <c r="O17" s="60">
        <f t="shared" si="1"/>
        <v>0</v>
      </c>
    </row>
    <row r="18" spans="1:15" s="38" customFormat="1" ht="14.45" customHeight="1" outlineLevel="1" x14ac:dyDescent="0.25">
      <c r="A18" s="140" t="s">
        <v>132</v>
      </c>
      <c r="B18" s="141" t="s">
        <v>387</v>
      </c>
      <c r="C18" s="130">
        <f>SUM(N18:N24)</f>
        <v>0</v>
      </c>
      <c r="D18" s="130">
        <f>SUM(O18:O24)</f>
        <v>0</v>
      </c>
      <c r="E18" s="130">
        <f t="shared" ref="E18" si="2">D18/8</f>
        <v>0</v>
      </c>
      <c r="F18" s="130"/>
      <c r="G18" s="60" t="s">
        <v>125</v>
      </c>
      <c r="H18" s="123"/>
      <c r="I18" s="123"/>
      <c r="J18" s="60"/>
      <c r="K18" s="60"/>
      <c r="L18" s="60"/>
      <c r="M18" s="60"/>
      <c r="N18" s="60">
        <f>M18*J18*K18*L18</f>
        <v>0</v>
      </c>
      <c r="O18" s="60">
        <f>J18*K18*L18</f>
        <v>0</v>
      </c>
    </row>
    <row r="19" spans="1:15" s="38" customFormat="1" ht="11.45" customHeight="1" outlineLevel="1" x14ac:dyDescent="0.25">
      <c r="A19" s="124"/>
      <c r="B19" s="128"/>
      <c r="C19" s="115"/>
      <c r="D19" s="115"/>
      <c r="E19" s="148"/>
      <c r="F19" s="115"/>
      <c r="G19" s="60" t="s">
        <v>126</v>
      </c>
      <c r="H19" s="124"/>
      <c r="I19" s="124"/>
      <c r="J19" s="60"/>
      <c r="K19" s="60"/>
      <c r="L19" s="60"/>
      <c r="M19" s="60"/>
      <c r="N19" s="60">
        <f t="shared" ref="N19:N24" si="3">M19*J19*K19*L19</f>
        <v>0</v>
      </c>
      <c r="O19" s="60">
        <f t="shared" ref="O19:O24" si="4">J19*K19*L19</f>
        <v>0</v>
      </c>
    </row>
    <row r="20" spans="1:15" s="38" customFormat="1" ht="10.7" customHeight="1" outlineLevel="1" x14ac:dyDescent="0.25">
      <c r="A20" s="124"/>
      <c r="B20" s="128"/>
      <c r="C20" s="115"/>
      <c r="D20" s="115"/>
      <c r="E20" s="148"/>
      <c r="F20" s="115"/>
      <c r="G20" s="60" t="s">
        <v>127</v>
      </c>
      <c r="H20" s="124"/>
      <c r="I20" s="124"/>
      <c r="J20" s="60"/>
      <c r="K20" s="60"/>
      <c r="L20" s="60"/>
      <c r="M20" s="60"/>
      <c r="N20" s="60">
        <f t="shared" si="3"/>
        <v>0</v>
      </c>
      <c r="O20" s="60">
        <f t="shared" si="4"/>
        <v>0</v>
      </c>
    </row>
    <row r="21" spans="1:15" s="38" customFormat="1" ht="10.7" customHeight="1" outlineLevel="1" x14ac:dyDescent="0.25">
      <c r="A21" s="124"/>
      <c r="B21" s="128"/>
      <c r="C21" s="115"/>
      <c r="D21" s="115"/>
      <c r="E21" s="148"/>
      <c r="F21" s="115"/>
      <c r="G21" s="60" t="s">
        <v>128</v>
      </c>
      <c r="H21" s="124"/>
      <c r="I21" s="124"/>
      <c r="J21" s="60"/>
      <c r="K21" s="60"/>
      <c r="L21" s="60"/>
      <c r="M21" s="60"/>
      <c r="N21" s="60">
        <f t="shared" si="3"/>
        <v>0</v>
      </c>
      <c r="O21" s="60">
        <f t="shared" si="4"/>
        <v>0</v>
      </c>
    </row>
    <row r="22" spans="1:15" s="38" customFormat="1" ht="10.7" customHeight="1" outlineLevel="1" x14ac:dyDescent="0.25">
      <c r="A22" s="124"/>
      <c r="B22" s="128"/>
      <c r="C22" s="115"/>
      <c r="D22" s="115"/>
      <c r="E22" s="148"/>
      <c r="F22" s="115"/>
      <c r="G22" s="60" t="s">
        <v>129</v>
      </c>
      <c r="H22" s="124"/>
      <c r="I22" s="124"/>
      <c r="J22" s="60"/>
      <c r="K22" s="60"/>
      <c r="L22" s="60"/>
      <c r="M22" s="60"/>
      <c r="N22" s="60">
        <f t="shared" si="3"/>
        <v>0</v>
      </c>
      <c r="O22" s="60">
        <f t="shared" si="4"/>
        <v>0</v>
      </c>
    </row>
    <row r="23" spans="1:15" s="38" customFormat="1" ht="10.7" customHeight="1" outlineLevel="1" x14ac:dyDescent="0.25">
      <c r="A23" s="124"/>
      <c r="B23" s="128"/>
      <c r="C23" s="115"/>
      <c r="D23" s="115"/>
      <c r="E23" s="148"/>
      <c r="F23" s="115"/>
      <c r="G23" s="60" t="s">
        <v>130</v>
      </c>
      <c r="H23" s="124"/>
      <c r="I23" s="124"/>
      <c r="J23" s="60"/>
      <c r="K23" s="60"/>
      <c r="L23" s="60"/>
      <c r="M23" s="60"/>
      <c r="N23" s="60">
        <f t="shared" si="3"/>
        <v>0</v>
      </c>
      <c r="O23" s="60">
        <f t="shared" si="4"/>
        <v>0</v>
      </c>
    </row>
    <row r="24" spans="1:15" s="38" customFormat="1" ht="12" customHeight="1" outlineLevel="1" x14ac:dyDescent="0.25">
      <c r="A24" s="125"/>
      <c r="B24" s="129"/>
      <c r="C24" s="131"/>
      <c r="D24" s="131"/>
      <c r="E24" s="149"/>
      <c r="F24" s="131"/>
      <c r="G24" s="60" t="s">
        <v>131</v>
      </c>
      <c r="H24" s="125"/>
      <c r="I24" s="125"/>
      <c r="J24" s="60"/>
      <c r="K24" s="60"/>
      <c r="L24" s="60"/>
      <c r="M24" s="60"/>
      <c r="N24" s="60">
        <f t="shared" si="3"/>
        <v>0</v>
      </c>
      <c r="O24" s="60">
        <f t="shared" si="4"/>
        <v>0</v>
      </c>
    </row>
    <row r="25" spans="1:15" s="38" customFormat="1" ht="14.45" customHeight="1" outlineLevel="1" x14ac:dyDescent="0.25">
      <c r="A25" s="140" t="s">
        <v>134</v>
      </c>
      <c r="B25" s="141" t="s">
        <v>388</v>
      </c>
      <c r="C25" s="130">
        <f>SUM(N25:N31)</f>
        <v>0</v>
      </c>
      <c r="D25" s="130">
        <f>SUM(O25:O31)</f>
        <v>0</v>
      </c>
      <c r="E25" s="130">
        <f t="shared" ref="E25" si="5">D25/8</f>
        <v>0</v>
      </c>
      <c r="F25" s="130"/>
      <c r="G25" s="60" t="s">
        <v>125</v>
      </c>
      <c r="H25" s="123"/>
      <c r="I25" s="123"/>
      <c r="J25" s="60"/>
      <c r="K25" s="60"/>
      <c r="L25" s="60"/>
      <c r="M25" s="60"/>
      <c r="N25" s="60">
        <f>M25*J25*K25*L25</f>
        <v>0</v>
      </c>
      <c r="O25" s="60">
        <f>J25*K25*L25</f>
        <v>0</v>
      </c>
    </row>
    <row r="26" spans="1:15" s="38" customFormat="1" ht="11.45" customHeight="1" outlineLevel="1" x14ac:dyDescent="0.25">
      <c r="A26" s="124"/>
      <c r="B26" s="128"/>
      <c r="C26" s="115"/>
      <c r="D26" s="115"/>
      <c r="E26" s="148"/>
      <c r="F26" s="115"/>
      <c r="G26" s="60" t="s">
        <v>126</v>
      </c>
      <c r="H26" s="124"/>
      <c r="I26" s="124"/>
      <c r="J26" s="60"/>
      <c r="K26" s="60"/>
      <c r="L26" s="60"/>
      <c r="M26" s="60"/>
      <c r="N26" s="60">
        <f t="shared" ref="N26:N31" si="6">M26*J26*K26*L26</f>
        <v>0</v>
      </c>
      <c r="O26" s="60">
        <f t="shared" ref="O26:O31" si="7">J26*K26*L26</f>
        <v>0</v>
      </c>
    </row>
    <row r="27" spans="1:15" s="38" customFormat="1" ht="10.7" customHeight="1" outlineLevel="1" x14ac:dyDescent="0.25">
      <c r="A27" s="124"/>
      <c r="B27" s="128"/>
      <c r="C27" s="115"/>
      <c r="D27" s="115"/>
      <c r="E27" s="148"/>
      <c r="F27" s="115"/>
      <c r="G27" s="60" t="s">
        <v>127</v>
      </c>
      <c r="H27" s="124"/>
      <c r="I27" s="124"/>
      <c r="J27" s="60"/>
      <c r="K27" s="60"/>
      <c r="L27" s="60"/>
      <c r="M27" s="60"/>
      <c r="N27" s="60">
        <f t="shared" si="6"/>
        <v>0</v>
      </c>
      <c r="O27" s="60">
        <f t="shared" si="7"/>
        <v>0</v>
      </c>
    </row>
    <row r="28" spans="1:15" s="38" customFormat="1" ht="10.7" customHeight="1" outlineLevel="1" x14ac:dyDescent="0.25">
      <c r="A28" s="124"/>
      <c r="B28" s="128"/>
      <c r="C28" s="115"/>
      <c r="D28" s="115"/>
      <c r="E28" s="148"/>
      <c r="F28" s="115"/>
      <c r="G28" s="60" t="s">
        <v>128</v>
      </c>
      <c r="H28" s="124"/>
      <c r="I28" s="124"/>
      <c r="J28" s="60"/>
      <c r="K28" s="60"/>
      <c r="L28" s="60"/>
      <c r="M28" s="60"/>
      <c r="N28" s="60">
        <f t="shared" si="6"/>
        <v>0</v>
      </c>
      <c r="O28" s="60">
        <f t="shared" si="7"/>
        <v>0</v>
      </c>
    </row>
    <row r="29" spans="1:15" s="38" customFormat="1" ht="10.7" customHeight="1" outlineLevel="1" x14ac:dyDescent="0.25">
      <c r="A29" s="124"/>
      <c r="B29" s="128"/>
      <c r="C29" s="115"/>
      <c r="D29" s="115"/>
      <c r="E29" s="148"/>
      <c r="F29" s="115"/>
      <c r="G29" s="60" t="s">
        <v>129</v>
      </c>
      <c r="H29" s="124"/>
      <c r="I29" s="124"/>
      <c r="J29" s="60"/>
      <c r="K29" s="60"/>
      <c r="L29" s="60"/>
      <c r="M29" s="60"/>
      <c r="N29" s="60">
        <f t="shared" si="6"/>
        <v>0</v>
      </c>
      <c r="O29" s="60">
        <f t="shared" si="7"/>
        <v>0</v>
      </c>
    </row>
    <row r="30" spans="1:15" s="38" customFormat="1" ht="10.7" customHeight="1" outlineLevel="1" x14ac:dyDescent="0.25">
      <c r="A30" s="124"/>
      <c r="B30" s="128"/>
      <c r="C30" s="115"/>
      <c r="D30" s="115"/>
      <c r="E30" s="148"/>
      <c r="F30" s="115"/>
      <c r="G30" s="60" t="s">
        <v>130</v>
      </c>
      <c r="H30" s="124"/>
      <c r="I30" s="124"/>
      <c r="J30" s="60"/>
      <c r="K30" s="60"/>
      <c r="L30" s="60"/>
      <c r="M30" s="60"/>
      <c r="N30" s="60">
        <f t="shared" si="6"/>
        <v>0</v>
      </c>
      <c r="O30" s="60">
        <f t="shared" si="7"/>
        <v>0</v>
      </c>
    </row>
    <row r="31" spans="1:15" s="38" customFormat="1" ht="12" customHeight="1" outlineLevel="1" x14ac:dyDescent="0.25">
      <c r="A31" s="125"/>
      <c r="B31" s="129"/>
      <c r="C31" s="131"/>
      <c r="D31" s="131"/>
      <c r="E31" s="149"/>
      <c r="F31" s="131"/>
      <c r="G31" s="60" t="s">
        <v>131</v>
      </c>
      <c r="H31" s="125"/>
      <c r="I31" s="125"/>
      <c r="J31" s="60"/>
      <c r="K31" s="60"/>
      <c r="L31" s="60"/>
      <c r="M31" s="60"/>
      <c r="N31" s="60">
        <f t="shared" si="6"/>
        <v>0</v>
      </c>
      <c r="O31" s="60">
        <f t="shared" si="7"/>
        <v>0</v>
      </c>
    </row>
    <row r="32" spans="1:15" s="38" customFormat="1" ht="14.45" customHeight="1" outlineLevel="1" x14ac:dyDescent="0.25">
      <c r="A32" s="140" t="s">
        <v>136</v>
      </c>
      <c r="B32" s="141" t="s">
        <v>389</v>
      </c>
      <c r="C32" s="130">
        <f>SUM(N32:N38)</f>
        <v>0</v>
      </c>
      <c r="D32" s="130">
        <f>SUM(O32:O38)</f>
        <v>0</v>
      </c>
      <c r="E32" s="130">
        <f t="shared" ref="E32" si="8">D32/8</f>
        <v>0</v>
      </c>
      <c r="F32" s="130"/>
      <c r="G32" s="60" t="s">
        <v>125</v>
      </c>
      <c r="H32" s="123"/>
      <c r="I32" s="123"/>
      <c r="J32" s="60"/>
      <c r="K32" s="60"/>
      <c r="L32" s="60"/>
      <c r="M32" s="60"/>
      <c r="N32" s="60">
        <f>M32*J32*K32*L32</f>
        <v>0</v>
      </c>
      <c r="O32" s="60">
        <f>J32*K32*L32</f>
        <v>0</v>
      </c>
    </row>
    <row r="33" spans="1:15" s="38" customFormat="1" ht="11.45" customHeight="1" outlineLevel="1" x14ac:dyDescent="0.25">
      <c r="A33" s="124"/>
      <c r="B33" s="128"/>
      <c r="C33" s="115"/>
      <c r="D33" s="115"/>
      <c r="E33" s="148"/>
      <c r="F33" s="115"/>
      <c r="G33" s="60" t="s">
        <v>126</v>
      </c>
      <c r="H33" s="124"/>
      <c r="I33" s="124"/>
      <c r="J33" s="60"/>
      <c r="K33" s="60"/>
      <c r="L33" s="60"/>
      <c r="M33" s="60"/>
      <c r="N33" s="60">
        <f t="shared" ref="N33:N38" si="9">M33*J33*K33*L33</f>
        <v>0</v>
      </c>
      <c r="O33" s="60">
        <f t="shared" ref="O33:O38" si="10">J33*K33*L33</f>
        <v>0</v>
      </c>
    </row>
    <row r="34" spans="1:15" s="38" customFormat="1" ht="10.7" customHeight="1" outlineLevel="1" x14ac:dyDescent="0.25">
      <c r="A34" s="124"/>
      <c r="B34" s="128"/>
      <c r="C34" s="115"/>
      <c r="D34" s="115"/>
      <c r="E34" s="148"/>
      <c r="F34" s="115"/>
      <c r="G34" s="60" t="s">
        <v>127</v>
      </c>
      <c r="H34" s="124"/>
      <c r="I34" s="124"/>
      <c r="J34" s="60"/>
      <c r="K34" s="60"/>
      <c r="L34" s="60"/>
      <c r="M34" s="60"/>
      <c r="N34" s="60">
        <f t="shared" si="9"/>
        <v>0</v>
      </c>
      <c r="O34" s="60">
        <f t="shared" si="10"/>
        <v>0</v>
      </c>
    </row>
    <row r="35" spans="1:15" s="38" customFormat="1" ht="10.7" customHeight="1" outlineLevel="1" x14ac:dyDescent="0.25">
      <c r="A35" s="124"/>
      <c r="B35" s="128"/>
      <c r="C35" s="115"/>
      <c r="D35" s="115"/>
      <c r="E35" s="148"/>
      <c r="F35" s="115"/>
      <c r="G35" s="60" t="s">
        <v>128</v>
      </c>
      <c r="H35" s="124"/>
      <c r="I35" s="124"/>
      <c r="J35" s="60"/>
      <c r="K35" s="60"/>
      <c r="L35" s="60"/>
      <c r="M35" s="60"/>
      <c r="N35" s="60">
        <f t="shared" si="9"/>
        <v>0</v>
      </c>
      <c r="O35" s="60">
        <f t="shared" si="10"/>
        <v>0</v>
      </c>
    </row>
    <row r="36" spans="1:15" s="38" customFormat="1" ht="10.7" customHeight="1" outlineLevel="1" x14ac:dyDescent="0.25">
      <c r="A36" s="124"/>
      <c r="B36" s="128"/>
      <c r="C36" s="115"/>
      <c r="D36" s="115"/>
      <c r="E36" s="148"/>
      <c r="F36" s="115"/>
      <c r="G36" s="60" t="s">
        <v>129</v>
      </c>
      <c r="H36" s="124"/>
      <c r="I36" s="124"/>
      <c r="J36" s="60"/>
      <c r="K36" s="60"/>
      <c r="L36" s="60"/>
      <c r="M36" s="60"/>
      <c r="N36" s="60">
        <f t="shared" si="9"/>
        <v>0</v>
      </c>
      <c r="O36" s="60">
        <f t="shared" si="10"/>
        <v>0</v>
      </c>
    </row>
    <row r="37" spans="1:15" s="38" customFormat="1" ht="10.7" customHeight="1" outlineLevel="1" x14ac:dyDescent="0.25">
      <c r="A37" s="124"/>
      <c r="B37" s="128"/>
      <c r="C37" s="115"/>
      <c r="D37" s="115"/>
      <c r="E37" s="148"/>
      <c r="F37" s="115"/>
      <c r="G37" s="60" t="s">
        <v>130</v>
      </c>
      <c r="H37" s="124"/>
      <c r="I37" s="124"/>
      <c r="J37" s="60"/>
      <c r="K37" s="60"/>
      <c r="L37" s="60"/>
      <c r="M37" s="60"/>
      <c r="N37" s="60">
        <f t="shared" si="9"/>
        <v>0</v>
      </c>
      <c r="O37" s="60">
        <f t="shared" si="10"/>
        <v>0</v>
      </c>
    </row>
    <row r="38" spans="1:15" s="38" customFormat="1" ht="12" customHeight="1" outlineLevel="1" x14ac:dyDescent="0.25">
      <c r="A38" s="125"/>
      <c r="B38" s="129"/>
      <c r="C38" s="131"/>
      <c r="D38" s="131"/>
      <c r="E38" s="149"/>
      <c r="F38" s="131"/>
      <c r="G38" s="60" t="s">
        <v>131</v>
      </c>
      <c r="H38" s="125"/>
      <c r="I38" s="125"/>
      <c r="J38" s="60"/>
      <c r="K38" s="60"/>
      <c r="L38" s="60"/>
      <c r="M38" s="60"/>
      <c r="N38" s="60">
        <f t="shared" si="9"/>
        <v>0</v>
      </c>
      <c r="O38" s="60">
        <f t="shared" si="10"/>
        <v>0</v>
      </c>
    </row>
    <row r="39" spans="1:15" s="38" customFormat="1" ht="14.45" customHeight="1" outlineLevel="1" x14ac:dyDescent="0.25">
      <c r="A39" s="140" t="s">
        <v>138</v>
      </c>
      <c r="B39" s="141" t="s">
        <v>390</v>
      </c>
      <c r="C39" s="130">
        <f>SUM(N39:N45)</f>
        <v>0</v>
      </c>
      <c r="D39" s="130">
        <f>SUM(O39:O45)</f>
        <v>0</v>
      </c>
      <c r="E39" s="130">
        <f t="shared" ref="E39" si="11">D39/8</f>
        <v>0</v>
      </c>
      <c r="F39" s="130"/>
      <c r="G39" s="60" t="s">
        <v>125</v>
      </c>
      <c r="H39" s="123"/>
      <c r="I39" s="123"/>
      <c r="J39" s="60"/>
      <c r="K39" s="60"/>
      <c r="L39" s="60"/>
      <c r="M39" s="60"/>
      <c r="N39" s="60">
        <f>M39*J39*K39*L39</f>
        <v>0</v>
      </c>
      <c r="O39" s="60">
        <f>J39*K39*L39</f>
        <v>0</v>
      </c>
    </row>
    <row r="40" spans="1:15" s="38" customFormat="1" ht="11.45" customHeight="1" outlineLevel="1" x14ac:dyDescent="0.25">
      <c r="A40" s="124"/>
      <c r="B40" s="128"/>
      <c r="C40" s="115"/>
      <c r="D40" s="115"/>
      <c r="E40" s="148"/>
      <c r="F40" s="115"/>
      <c r="G40" s="60" t="s">
        <v>126</v>
      </c>
      <c r="H40" s="124"/>
      <c r="I40" s="124"/>
      <c r="J40" s="60"/>
      <c r="K40" s="60"/>
      <c r="L40" s="60"/>
      <c r="M40" s="60"/>
      <c r="N40" s="60">
        <f t="shared" ref="N40:N45" si="12">M40*J40*K40*L40</f>
        <v>0</v>
      </c>
      <c r="O40" s="60">
        <f t="shared" ref="O40:O45" si="13">J40*K40*L40</f>
        <v>0</v>
      </c>
    </row>
    <row r="41" spans="1:15" s="38" customFormat="1" ht="10.7" customHeight="1" outlineLevel="1" x14ac:dyDescent="0.25">
      <c r="A41" s="124"/>
      <c r="B41" s="128"/>
      <c r="C41" s="115"/>
      <c r="D41" s="115"/>
      <c r="E41" s="148"/>
      <c r="F41" s="115"/>
      <c r="G41" s="60" t="s">
        <v>127</v>
      </c>
      <c r="H41" s="124"/>
      <c r="I41" s="124"/>
      <c r="J41" s="60"/>
      <c r="K41" s="60"/>
      <c r="L41" s="60"/>
      <c r="M41" s="60"/>
      <c r="N41" s="60">
        <f t="shared" si="12"/>
        <v>0</v>
      </c>
      <c r="O41" s="60">
        <f t="shared" si="13"/>
        <v>0</v>
      </c>
    </row>
    <row r="42" spans="1:15" s="38" customFormat="1" ht="10.7" customHeight="1" outlineLevel="1" x14ac:dyDescent="0.25">
      <c r="A42" s="124"/>
      <c r="B42" s="128"/>
      <c r="C42" s="115"/>
      <c r="D42" s="115"/>
      <c r="E42" s="148"/>
      <c r="F42" s="115"/>
      <c r="G42" s="60" t="s">
        <v>128</v>
      </c>
      <c r="H42" s="124"/>
      <c r="I42" s="124"/>
      <c r="J42" s="60"/>
      <c r="K42" s="60"/>
      <c r="L42" s="60"/>
      <c r="M42" s="60"/>
      <c r="N42" s="60">
        <f t="shared" si="12"/>
        <v>0</v>
      </c>
      <c r="O42" s="60">
        <f t="shared" si="13"/>
        <v>0</v>
      </c>
    </row>
    <row r="43" spans="1:15" s="38" customFormat="1" ht="10.7" customHeight="1" outlineLevel="1" x14ac:dyDescent="0.25">
      <c r="A43" s="124"/>
      <c r="B43" s="128"/>
      <c r="C43" s="115"/>
      <c r="D43" s="115"/>
      <c r="E43" s="148"/>
      <c r="F43" s="115"/>
      <c r="G43" s="60" t="s">
        <v>129</v>
      </c>
      <c r="H43" s="124"/>
      <c r="I43" s="124"/>
      <c r="J43" s="60"/>
      <c r="K43" s="60"/>
      <c r="L43" s="60"/>
      <c r="M43" s="60"/>
      <c r="N43" s="60">
        <f t="shared" si="12"/>
        <v>0</v>
      </c>
      <c r="O43" s="60">
        <f t="shared" si="13"/>
        <v>0</v>
      </c>
    </row>
    <row r="44" spans="1:15" s="38" customFormat="1" ht="10.7" customHeight="1" outlineLevel="1" x14ac:dyDescent="0.25">
      <c r="A44" s="124"/>
      <c r="B44" s="128"/>
      <c r="C44" s="115"/>
      <c r="D44" s="115"/>
      <c r="E44" s="148"/>
      <c r="F44" s="115"/>
      <c r="G44" s="60" t="s">
        <v>130</v>
      </c>
      <c r="H44" s="124"/>
      <c r="I44" s="124"/>
      <c r="J44" s="60"/>
      <c r="K44" s="60"/>
      <c r="L44" s="60"/>
      <c r="M44" s="60"/>
      <c r="N44" s="60">
        <f t="shared" si="12"/>
        <v>0</v>
      </c>
      <c r="O44" s="60">
        <f t="shared" si="13"/>
        <v>0</v>
      </c>
    </row>
    <row r="45" spans="1:15" s="38" customFormat="1" ht="12" customHeight="1" outlineLevel="1" x14ac:dyDescent="0.25">
      <c r="A45" s="125"/>
      <c r="B45" s="129"/>
      <c r="C45" s="131"/>
      <c r="D45" s="131"/>
      <c r="E45" s="149"/>
      <c r="F45" s="131"/>
      <c r="G45" s="60" t="s">
        <v>131</v>
      </c>
      <c r="H45" s="125"/>
      <c r="I45" s="125"/>
      <c r="J45" s="60"/>
      <c r="K45" s="60"/>
      <c r="L45" s="60"/>
      <c r="M45" s="60"/>
      <c r="N45" s="60">
        <f t="shared" si="12"/>
        <v>0</v>
      </c>
      <c r="O45" s="60">
        <f t="shared" si="13"/>
        <v>0</v>
      </c>
    </row>
    <row r="46" spans="1:15" s="38" customFormat="1" ht="14.45" customHeight="1" outlineLevel="1" x14ac:dyDescent="0.25">
      <c r="A46" s="140" t="s">
        <v>140</v>
      </c>
      <c r="B46" s="141" t="s">
        <v>391</v>
      </c>
      <c r="C46" s="130">
        <f>SUM(N46:N52)</f>
        <v>0</v>
      </c>
      <c r="D46" s="130">
        <f>SUM(O46:O52)</f>
        <v>0</v>
      </c>
      <c r="E46" s="130">
        <f t="shared" ref="E46" si="14">D46/8</f>
        <v>0</v>
      </c>
      <c r="F46" s="130"/>
      <c r="G46" s="60" t="s">
        <v>125</v>
      </c>
      <c r="H46" s="123"/>
      <c r="I46" s="123"/>
      <c r="J46" s="60"/>
      <c r="K46" s="60"/>
      <c r="L46" s="60"/>
      <c r="M46" s="60"/>
      <c r="N46" s="60">
        <f>M46*J46*K46*L46</f>
        <v>0</v>
      </c>
      <c r="O46" s="60">
        <f>J46*K46*L46</f>
        <v>0</v>
      </c>
    </row>
    <row r="47" spans="1:15" s="38" customFormat="1" ht="11.45" customHeight="1" outlineLevel="1" x14ac:dyDescent="0.25">
      <c r="A47" s="124"/>
      <c r="B47" s="128"/>
      <c r="C47" s="115"/>
      <c r="D47" s="115"/>
      <c r="E47" s="148"/>
      <c r="F47" s="115"/>
      <c r="G47" s="60" t="s">
        <v>126</v>
      </c>
      <c r="H47" s="124"/>
      <c r="I47" s="124"/>
      <c r="J47" s="60"/>
      <c r="K47" s="60"/>
      <c r="L47" s="60"/>
      <c r="M47" s="60"/>
      <c r="N47" s="60">
        <f t="shared" ref="N47:N52" si="15">M47*J47*K47*L47</f>
        <v>0</v>
      </c>
      <c r="O47" s="60">
        <f t="shared" ref="O47:O52" si="16">J47*K47*L47</f>
        <v>0</v>
      </c>
    </row>
    <row r="48" spans="1:15" s="38" customFormat="1" ht="10.7" customHeight="1" outlineLevel="1" x14ac:dyDescent="0.25">
      <c r="A48" s="124"/>
      <c r="B48" s="128"/>
      <c r="C48" s="115"/>
      <c r="D48" s="115"/>
      <c r="E48" s="148"/>
      <c r="F48" s="115"/>
      <c r="G48" s="60" t="s">
        <v>127</v>
      </c>
      <c r="H48" s="124"/>
      <c r="I48" s="124"/>
      <c r="J48" s="60"/>
      <c r="K48" s="60"/>
      <c r="L48" s="60"/>
      <c r="M48" s="60"/>
      <c r="N48" s="60">
        <f t="shared" si="15"/>
        <v>0</v>
      </c>
      <c r="O48" s="60">
        <f t="shared" si="16"/>
        <v>0</v>
      </c>
    </row>
    <row r="49" spans="1:15" s="38" customFormat="1" ht="10.7" customHeight="1" outlineLevel="1" x14ac:dyDescent="0.25">
      <c r="A49" s="124"/>
      <c r="B49" s="128"/>
      <c r="C49" s="115"/>
      <c r="D49" s="115"/>
      <c r="E49" s="148"/>
      <c r="F49" s="115"/>
      <c r="G49" s="60" t="s">
        <v>128</v>
      </c>
      <c r="H49" s="124"/>
      <c r="I49" s="124"/>
      <c r="J49" s="60"/>
      <c r="K49" s="60"/>
      <c r="L49" s="60"/>
      <c r="M49" s="60"/>
      <c r="N49" s="60">
        <f t="shared" si="15"/>
        <v>0</v>
      </c>
      <c r="O49" s="60">
        <f t="shared" si="16"/>
        <v>0</v>
      </c>
    </row>
    <row r="50" spans="1:15" s="38" customFormat="1" ht="10.7" customHeight="1" outlineLevel="1" x14ac:dyDescent="0.25">
      <c r="A50" s="124"/>
      <c r="B50" s="128"/>
      <c r="C50" s="115"/>
      <c r="D50" s="115"/>
      <c r="E50" s="148"/>
      <c r="F50" s="115"/>
      <c r="G50" s="60" t="s">
        <v>129</v>
      </c>
      <c r="H50" s="124"/>
      <c r="I50" s="124"/>
      <c r="J50" s="60"/>
      <c r="K50" s="60"/>
      <c r="L50" s="60"/>
      <c r="M50" s="60"/>
      <c r="N50" s="60">
        <f t="shared" si="15"/>
        <v>0</v>
      </c>
      <c r="O50" s="60">
        <f t="shared" si="16"/>
        <v>0</v>
      </c>
    </row>
    <row r="51" spans="1:15" s="38" customFormat="1" ht="10.7" customHeight="1" outlineLevel="1" x14ac:dyDescent="0.25">
      <c r="A51" s="124"/>
      <c r="B51" s="128"/>
      <c r="C51" s="115"/>
      <c r="D51" s="115"/>
      <c r="E51" s="148"/>
      <c r="F51" s="115"/>
      <c r="G51" s="60" t="s">
        <v>130</v>
      </c>
      <c r="H51" s="124"/>
      <c r="I51" s="124"/>
      <c r="J51" s="60"/>
      <c r="K51" s="60"/>
      <c r="L51" s="60"/>
      <c r="M51" s="60"/>
      <c r="N51" s="60">
        <f t="shared" si="15"/>
        <v>0</v>
      </c>
      <c r="O51" s="60">
        <f t="shared" si="16"/>
        <v>0</v>
      </c>
    </row>
    <row r="52" spans="1:15" s="38" customFormat="1" ht="12" customHeight="1" outlineLevel="1" x14ac:dyDescent="0.25">
      <c r="A52" s="125"/>
      <c r="B52" s="129"/>
      <c r="C52" s="131"/>
      <c r="D52" s="131"/>
      <c r="E52" s="149"/>
      <c r="F52" s="131"/>
      <c r="G52" s="60" t="s">
        <v>131</v>
      </c>
      <c r="H52" s="125"/>
      <c r="I52" s="125"/>
      <c r="J52" s="60"/>
      <c r="K52" s="60"/>
      <c r="L52" s="60"/>
      <c r="M52" s="60"/>
      <c r="N52" s="60">
        <f t="shared" si="15"/>
        <v>0</v>
      </c>
      <c r="O52" s="60">
        <f t="shared" si="16"/>
        <v>0</v>
      </c>
    </row>
    <row r="53" spans="1:15" s="38" customFormat="1" ht="14.45" customHeight="1" outlineLevel="1" x14ac:dyDescent="0.25">
      <c r="A53" s="140" t="s">
        <v>348</v>
      </c>
      <c r="B53" s="141" t="s">
        <v>144</v>
      </c>
      <c r="C53" s="130">
        <f>SUM(N53:N59)</f>
        <v>0</v>
      </c>
      <c r="D53" s="130">
        <f>SUM(O53:O59)</f>
        <v>0</v>
      </c>
      <c r="E53" s="130">
        <f t="shared" ref="E53" si="17">D53/8</f>
        <v>0</v>
      </c>
      <c r="F53" s="130"/>
      <c r="G53" s="60" t="s">
        <v>125</v>
      </c>
      <c r="H53" s="123"/>
      <c r="I53" s="123"/>
      <c r="J53" s="60"/>
      <c r="K53" s="60"/>
      <c r="L53" s="60"/>
      <c r="M53" s="60"/>
      <c r="N53" s="60">
        <f>M53*J53*K53*L53</f>
        <v>0</v>
      </c>
      <c r="O53" s="60">
        <f>J53*K53*L53</f>
        <v>0</v>
      </c>
    </row>
    <row r="54" spans="1:15" s="38" customFormat="1" ht="11.45" customHeight="1" outlineLevel="1" x14ac:dyDescent="0.25">
      <c r="A54" s="124"/>
      <c r="B54" s="128"/>
      <c r="C54" s="115"/>
      <c r="D54" s="115"/>
      <c r="E54" s="148"/>
      <c r="F54" s="115"/>
      <c r="G54" s="60" t="s">
        <v>126</v>
      </c>
      <c r="H54" s="124"/>
      <c r="I54" s="124"/>
      <c r="J54" s="60"/>
      <c r="K54" s="60"/>
      <c r="L54" s="60"/>
      <c r="M54" s="60"/>
      <c r="N54" s="60">
        <f t="shared" ref="N54:N59" si="18">M54*J54*K54*L54</f>
        <v>0</v>
      </c>
      <c r="O54" s="60">
        <f t="shared" ref="O54:O59" si="19">J54*K54*L54</f>
        <v>0</v>
      </c>
    </row>
    <row r="55" spans="1:15" s="38" customFormat="1" ht="10.7" customHeight="1" outlineLevel="1" x14ac:dyDescent="0.25">
      <c r="A55" s="124"/>
      <c r="B55" s="128"/>
      <c r="C55" s="115"/>
      <c r="D55" s="115"/>
      <c r="E55" s="148"/>
      <c r="F55" s="115"/>
      <c r="G55" s="60" t="s">
        <v>127</v>
      </c>
      <c r="H55" s="124"/>
      <c r="I55" s="124"/>
      <c r="J55" s="60"/>
      <c r="K55" s="60"/>
      <c r="L55" s="60"/>
      <c r="M55" s="60"/>
      <c r="N55" s="60">
        <f t="shared" si="18"/>
        <v>0</v>
      </c>
      <c r="O55" s="60">
        <f t="shared" si="19"/>
        <v>0</v>
      </c>
    </row>
    <row r="56" spans="1:15" s="38" customFormat="1" ht="10.7" customHeight="1" outlineLevel="1" x14ac:dyDescent="0.25">
      <c r="A56" s="124"/>
      <c r="B56" s="128"/>
      <c r="C56" s="115"/>
      <c r="D56" s="115"/>
      <c r="E56" s="148"/>
      <c r="F56" s="115"/>
      <c r="G56" s="60" t="s">
        <v>128</v>
      </c>
      <c r="H56" s="124"/>
      <c r="I56" s="124"/>
      <c r="J56" s="60"/>
      <c r="K56" s="60"/>
      <c r="L56" s="60"/>
      <c r="M56" s="60"/>
      <c r="N56" s="60">
        <f t="shared" si="18"/>
        <v>0</v>
      </c>
      <c r="O56" s="60">
        <f t="shared" si="19"/>
        <v>0</v>
      </c>
    </row>
    <row r="57" spans="1:15" s="38" customFormat="1" ht="10.7" customHeight="1" outlineLevel="1" x14ac:dyDescent="0.25">
      <c r="A57" s="124"/>
      <c r="B57" s="128"/>
      <c r="C57" s="115"/>
      <c r="D57" s="115"/>
      <c r="E57" s="148"/>
      <c r="F57" s="115"/>
      <c r="G57" s="60" t="s">
        <v>129</v>
      </c>
      <c r="H57" s="124"/>
      <c r="I57" s="124"/>
      <c r="J57" s="60"/>
      <c r="K57" s="60"/>
      <c r="L57" s="60"/>
      <c r="M57" s="60"/>
      <c r="N57" s="60">
        <f t="shared" si="18"/>
        <v>0</v>
      </c>
      <c r="O57" s="60">
        <f t="shared" si="19"/>
        <v>0</v>
      </c>
    </row>
    <row r="58" spans="1:15" s="38" customFormat="1" ht="10.7" customHeight="1" outlineLevel="1" x14ac:dyDescent="0.25">
      <c r="A58" s="124"/>
      <c r="B58" s="128"/>
      <c r="C58" s="115"/>
      <c r="D58" s="115"/>
      <c r="E58" s="148"/>
      <c r="F58" s="115"/>
      <c r="G58" s="60" t="s">
        <v>130</v>
      </c>
      <c r="H58" s="124"/>
      <c r="I58" s="124"/>
      <c r="J58" s="60"/>
      <c r="K58" s="60"/>
      <c r="L58" s="60"/>
      <c r="M58" s="60"/>
      <c r="N58" s="60">
        <f t="shared" si="18"/>
        <v>0</v>
      </c>
      <c r="O58" s="60">
        <f t="shared" si="19"/>
        <v>0</v>
      </c>
    </row>
    <row r="59" spans="1:15" s="38" customFormat="1" ht="12" customHeight="1" outlineLevel="1" thickBot="1" x14ac:dyDescent="0.3">
      <c r="A59" s="125"/>
      <c r="B59" s="129"/>
      <c r="C59" s="131"/>
      <c r="D59" s="131"/>
      <c r="E59" s="153"/>
      <c r="F59" s="131"/>
      <c r="G59" s="60" t="s">
        <v>131</v>
      </c>
      <c r="H59" s="134"/>
      <c r="I59" s="134"/>
      <c r="J59" s="60"/>
      <c r="K59" s="60"/>
      <c r="L59" s="60"/>
      <c r="M59" s="60"/>
      <c r="N59" s="60">
        <f t="shared" si="18"/>
        <v>0</v>
      </c>
      <c r="O59" s="60">
        <f t="shared" si="19"/>
        <v>0</v>
      </c>
    </row>
    <row r="60" spans="1:15" s="39" customFormat="1" ht="15.75" x14ac:dyDescent="0.25">
      <c r="A60" s="40" t="s">
        <v>10</v>
      </c>
      <c r="B60" s="41" t="s">
        <v>392</v>
      </c>
      <c r="C60" s="42">
        <f>C61+C68+C75+C82+C89+C146+C153+C160+C167+C174+C181+C188+C195+C202+C209+C216+C223+C230+C237+C244+C251</f>
        <v>0</v>
      </c>
      <c r="D60" s="42">
        <f t="shared" ref="D60:E60" si="20">D61+D68+D75+D82+D89+D146+D153+D160+D167+D174+D181+D188+D195+D202+D209+D216+D223+D230+D237+D244+D251</f>
        <v>0</v>
      </c>
      <c r="E60" s="42">
        <f t="shared" si="20"/>
        <v>0</v>
      </c>
      <c r="F60" s="57"/>
      <c r="G60" s="57"/>
      <c r="H60" s="57"/>
      <c r="I60" s="57"/>
      <c r="J60" s="57"/>
      <c r="K60" s="57"/>
      <c r="L60" s="57"/>
      <c r="M60" s="57"/>
      <c r="N60" s="57"/>
      <c r="O60" s="42">
        <f>SUM(O61:O257)</f>
        <v>0</v>
      </c>
    </row>
    <row r="61" spans="1:15" s="38" customFormat="1" ht="14.45" customHeight="1" outlineLevel="1" x14ac:dyDescent="0.25">
      <c r="A61" s="140" t="s">
        <v>146</v>
      </c>
      <c r="B61" s="141" t="s">
        <v>393</v>
      </c>
      <c r="C61" s="130">
        <f>SUM(N61:N67)</f>
        <v>0</v>
      </c>
      <c r="D61" s="130">
        <f>SUM(O61:O67)</f>
        <v>0</v>
      </c>
      <c r="E61" s="130">
        <v>0</v>
      </c>
      <c r="F61" s="130"/>
      <c r="G61" s="60" t="s">
        <v>125</v>
      </c>
      <c r="H61" s="123"/>
      <c r="I61" s="123"/>
      <c r="J61" s="60"/>
      <c r="K61" s="60"/>
      <c r="L61" s="60"/>
      <c r="M61" s="60"/>
      <c r="N61" s="60">
        <f>M61*J61*K61*L61</f>
        <v>0</v>
      </c>
      <c r="O61" s="60">
        <f>J61*K61*L61</f>
        <v>0</v>
      </c>
    </row>
    <row r="62" spans="1:15" s="38" customFormat="1" ht="11.45" customHeight="1" outlineLevel="1" x14ac:dyDescent="0.25">
      <c r="A62" s="124"/>
      <c r="B62" s="128"/>
      <c r="C62" s="115"/>
      <c r="D62" s="115"/>
      <c r="E62" s="148"/>
      <c r="F62" s="115"/>
      <c r="G62" s="60" t="s">
        <v>126</v>
      </c>
      <c r="H62" s="124"/>
      <c r="I62" s="124"/>
      <c r="J62" s="60"/>
      <c r="K62" s="60"/>
      <c r="L62" s="60"/>
      <c r="M62" s="60"/>
      <c r="N62" s="60">
        <f t="shared" ref="N62:N67" si="21">M62*J62*K62*L62</f>
        <v>0</v>
      </c>
      <c r="O62" s="60">
        <f t="shared" ref="O62:O67" si="22">J62*K62*L62</f>
        <v>0</v>
      </c>
    </row>
    <row r="63" spans="1:15" s="38" customFormat="1" ht="10.7" customHeight="1" outlineLevel="1" x14ac:dyDescent="0.25">
      <c r="A63" s="124"/>
      <c r="B63" s="128"/>
      <c r="C63" s="115"/>
      <c r="D63" s="115"/>
      <c r="E63" s="148"/>
      <c r="F63" s="115"/>
      <c r="G63" s="60" t="s">
        <v>127</v>
      </c>
      <c r="H63" s="124"/>
      <c r="I63" s="124"/>
      <c r="J63" s="60"/>
      <c r="K63" s="60"/>
      <c r="L63" s="60"/>
      <c r="M63" s="60"/>
      <c r="N63" s="60">
        <f t="shared" si="21"/>
        <v>0</v>
      </c>
      <c r="O63" s="60">
        <f t="shared" si="22"/>
        <v>0</v>
      </c>
    </row>
    <row r="64" spans="1:15" s="38" customFormat="1" ht="10.7" customHeight="1" outlineLevel="1" x14ac:dyDescent="0.25">
      <c r="A64" s="124"/>
      <c r="B64" s="128"/>
      <c r="C64" s="115"/>
      <c r="D64" s="115"/>
      <c r="E64" s="148"/>
      <c r="F64" s="115"/>
      <c r="G64" s="60" t="s">
        <v>128</v>
      </c>
      <c r="H64" s="124"/>
      <c r="I64" s="124"/>
      <c r="J64" s="60"/>
      <c r="K64" s="60"/>
      <c r="L64" s="60"/>
      <c r="M64" s="60"/>
      <c r="N64" s="60">
        <f t="shared" si="21"/>
        <v>0</v>
      </c>
      <c r="O64" s="60">
        <f t="shared" si="22"/>
        <v>0</v>
      </c>
    </row>
    <row r="65" spans="1:15" s="38" customFormat="1" ht="10.7" customHeight="1" outlineLevel="1" x14ac:dyDescent="0.25">
      <c r="A65" s="124"/>
      <c r="B65" s="128"/>
      <c r="C65" s="115"/>
      <c r="D65" s="115"/>
      <c r="E65" s="148"/>
      <c r="F65" s="115"/>
      <c r="G65" s="60" t="s">
        <v>129</v>
      </c>
      <c r="H65" s="124"/>
      <c r="I65" s="124"/>
      <c r="J65" s="60"/>
      <c r="K65" s="60"/>
      <c r="L65" s="60"/>
      <c r="M65" s="60"/>
      <c r="N65" s="60">
        <f t="shared" si="21"/>
        <v>0</v>
      </c>
      <c r="O65" s="60">
        <f t="shared" si="22"/>
        <v>0</v>
      </c>
    </row>
    <row r="66" spans="1:15" s="38" customFormat="1" ht="10.7" customHeight="1" outlineLevel="1" x14ac:dyDescent="0.25">
      <c r="A66" s="124"/>
      <c r="B66" s="128"/>
      <c r="C66" s="115"/>
      <c r="D66" s="115"/>
      <c r="E66" s="148"/>
      <c r="F66" s="115"/>
      <c r="G66" s="60" t="s">
        <v>130</v>
      </c>
      <c r="H66" s="124"/>
      <c r="I66" s="124"/>
      <c r="J66" s="60"/>
      <c r="K66" s="60"/>
      <c r="L66" s="60"/>
      <c r="M66" s="60"/>
      <c r="N66" s="60">
        <f t="shared" si="21"/>
        <v>0</v>
      </c>
      <c r="O66" s="60">
        <f t="shared" si="22"/>
        <v>0</v>
      </c>
    </row>
    <row r="67" spans="1:15" s="38" customFormat="1" ht="12" customHeight="1" outlineLevel="1" thickBot="1" x14ac:dyDescent="0.3">
      <c r="A67" s="125"/>
      <c r="B67" s="129"/>
      <c r="C67" s="131"/>
      <c r="D67" s="131"/>
      <c r="E67" s="149"/>
      <c r="F67" s="131"/>
      <c r="G67" s="60" t="s">
        <v>131</v>
      </c>
      <c r="H67" s="134"/>
      <c r="I67" s="134"/>
      <c r="J67" s="60"/>
      <c r="K67" s="60"/>
      <c r="L67" s="60"/>
      <c r="M67" s="60"/>
      <c r="N67" s="60">
        <f t="shared" si="21"/>
        <v>0</v>
      </c>
      <c r="O67" s="60">
        <f t="shared" si="22"/>
        <v>0</v>
      </c>
    </row>
    <row r="68" spans="1:15" s="38" customFormat="1" ht="14.45" customHeight="1" outlineLevel="1" x14ac:dyDescent="0.25">
      <c r="A68" s="140" t="s">
        <v>148</v>
      </c>
      <c r="B68" s="141" t="s">
        <v>394</v>
      </c>
      <c r="C68" s="130">
        <f>SUM(N68:N74)</f>
        <v>0</v>
      </c>
      <c r="D68" s="130">
        <f>SUM(O68:O74)</f>
        <v>0</v>
      </c>
      <c r="E68" s="130">
        <f t="shared" ref="E68:E82" si="23">D68/8</f>
        <v>0</v>
      </c>
      <c r="F68" s="130"/>
      <c r="G68" s="60" t="s">
        <v>125</v>
      </c>
      <c r="H68" s="123"/>
      <c r="I68" s="123"/>
      <c r="J68" s="60"/>
      <c r="K68" s="60"/>
      <c r="L68" s="60"/>
      <c r="M68" s="60"/>
      <c r="N68" s="60">
        <f>M68*J68*K68*L68</f>
        <v>0</v>
      </c>
      <c r="O68" s="60">
        <f>J68*K68*L68</f>
        <v>0</v>
      </c>
    </row>
    <row r="69" spans="1:15" s="38" customFormat="1" ht="11.45" customHeight="1" outlineLevel="1" x14ac:dyDescent="0.25">
      <c r="A69" s="124"/>
      <c r="B69" s="128"/>
      <c r="C69" s="115"/>
      <c r="D69" s="115"/>
      <c r="E69" s="148"/>
      <c r="F69" s="115"/>
      <c r="G69" s="60" t="s">
        <v>126</v>
      </c>
      <c r="H69" s="124"/>
      <c r="I69" s="124"/>
      <c r="J69" s="60"/>
      <c r="K69" s="60"/>
      <c r="L69" s="60"/>
      <c r="M69" s="60"/>
      <c r="N69" s="60">
        <f t="shared" ref="N69:N74" si="24">M69*J69*K69*L69</f>
        <v>0</v>
      </c>
      <c r="O69" s="60">
        <f t="shared" ref="O69:O74" si="25">J69*K69*L69</f>
        <v>0</v>
      </c>
    </row>
    <row r="70" spans="1:15" s="38" customFormat="1" ht="10.7" customHeight="1" outlineLevel="1" x14ac:dyDescent="0.25">
      <c r="A70" s="124"/>
      <c r="B70" s="128"/>
      <c r="C70" s="115"/>
      <c r="D70" s="115"/>
      <c r="E70" s="148"/>
      <c r="F70" s="115"/>
      <c r="G70" s="60" t="s">
        <v>127</v>
      </c>
      <c r="H70" s="124"/>
      <c r="I70" s="124"/>
      <c r="J70" s="60"/>
      <c r="K70" s="60"/>
      <c r="L70" s="60"/>
      <c r="M70" s="60"/>
      <c r="N70" s="60">
        <f t="shared" si="24"/>
        <v>0</v>
      </c>
      <c r="O70" s="60">
        <f t="shared" si="25"/>
        <v>0</v>
      </c>
    </row>
    <row r="71" spans="1:15" s="38" customFormat="1" ht="10.7" customHeight="1" outlineLevel="1" x14ac:dyDescent="0.25">
      <c r="A71" s="124"/>
      <c r="B71" s="128"/>
      <c r="C71" s="115"/>
      <c r="D71" s="115"/>
      <c r="E71" s="148"/>
      <c r="F71" s="115"/>
      <c r="G71" s="60" t="s">
        <v>128</v>
      </c>
      <c r="H71" s="124"/>
      <c r="I71" s="124"/>
      <c r="J71" s="60"/>
      <c r="K71" s="60"/>
      <c r="L71" s="60"/>
      <c r="M71" s="60"/>
      <c r="N71" s="60">
        <f t="shared" si="24"/>
        <v>0</v>
      </c>
      <c r="O71" s="60">
        <f t="shared" si="25"/>
        <v>0</v>
      </c>
    </row>
    <row r="72" spans="1:15" s="38" customFormat="1" ht="10.7" customHeight="1" outlineLevel="1" x14ac:dyDescent="0.25">
      <c r="A72" s="124"/>
      <c r="B72" s="128"/>
      <c r="C72" s="115"/>
      <c r="D72" s="115"/>
      <c r="E72" s="148"/>
      <c r="F72" s="115"/>
      <c r="G72" s="60" t="s">
        <v>129</v>
      </c>
      <c r="H72" s="124"/>
      <c r="I72" s="124"/>
      <c r="J72" s="60"/>
      <c r="K72" s="60"/>
      <c r="L72" s="60"/>
      <c r="M72" s="60"/>
      <c r="N72" s="60">
        <f t="shared" si="24"/>
        <v>0</v>
      </c>
      <c r="O72" s="60">
        <f t="shared" si="25"/>
        <v>0</v>
      </c>
    </row>
    <row r="73" spans="1:15" s="38" customFormat="1" ht="10.7" customHeight="1" outlineLevel="1" x14ac:dyDescent="0.25">
      <c r="A73" s="124"/>
      <c r="B73" s="128"/>
      <c r="C73" s="115"/>
      <c r="D73" s="115"/>
      <c r="E73" s="148"/>
      <c r="F73" s="115"/>
      <c r="G73" s="60" t="s">
        <v>130</v>
      </c>
      <c r="H73" s="124"/>
      <c r="I73" s="124"/>
      <c r="J73" s="60"/>
      <c r="K73" s="60"/>
      <c r="L73" s="60"/>
      <c r="M73" s="60"/>
      <c r="N73" s="60">
        <f t="shared" si="24"/>
        <v>0</v>
      </c>
      <c r="O73" s="60">
        <f t="shared" si="25"/>
        <v>0</v>
      </c>
    </row>
    <row r="74" spans="1:15" s="38" customFormat="1" ht="12" customHeight="1" outlineLevel="1" thickBot="1" x14ac:dyDescent="0.3">
      <c r="A74" s="125"/>
      <c r="B74" s="129"/>
      <c r="C74" s="131"/>
      <c r="D74" s="131"/>
      <c r="E74" s="149"/>
      <c r="F74" s="131"/>
      <c r="G74" s="60" t="s">
        <v>131</v>
      </c>
      <c r="H74" s="134"/>
      <c r="I74" s="134"/>
      <c r="J74" s="60"/>
      <c r="K74" s="60"/>
      <c r="L74" s="60"/>
      <c r="M74" s="60"/>
      <c r="N74" s="60">
        <f t="shared" si="24"/>
        <v>0</v>
      </c>
      <c r="O74" s="60">
        <f t="shared" si="25"/>
        <v>0</v>
      </c>
    </row>
    <row r="75" spans="1:15" s="38" customFormat="1" ht="14.45" customHeight="1" outlineLevel="1" x14ac:dyDescent="0.25">
      <c r="A75" s="140" t="s">
        <v>150</v>
      </c>
      <c r="B75" s="141" t="s">
        <v>395</v>
      </c>
      <c r="C75" s="130">
        <f>SUM(N75:N81)</f>
        <v>0</v>
      </c>
      <c r="D75" s="130">
        <f>SUM(O75:O81)</f>
        <v>0</v>
      </c>
      <c r="E75" s="130">
        <f t="shared" si="23"/>
        <v>0</v>
      </c>
      <c r="F75" s="130"/>
      <c r="G75" s="60" t="s">
        <v>125</v>
      </c>
      <c r="H75" s="123"/>
      <c r="I75" s="123"/>
      <c r="J75" s="60"/>
      <c r="K75" s="60"/>
      <c r="L75" s="60"/>
      <c r="M75" s="60"/>
      <c r="N75" s="60">
        <f>M75*J75*K75*L75</f>
        <v>0</v>
      </c>
      <c r="O75" s="60">
        <f>J75*K75*L75</f>
        <v>0</v>
      </c>
    </row>
    <row r="76" spans="1:15" s="38" customFormat="1" ht="11.45" customHeight="1" outlineLevel="1" x14ac:dyDescent="0.25">
      <c r="A76" s="124"/>
      <c r="B76" s="128"/>
      <c r="C76" s="115"/>
      <c r="D76" s="115"/>
      <c r="E76" s="148"/>
      <c r="F76" s="115"/>
      <c r="G76" s="60" t="s">
        <v>126</v>
      </c>
      <c r="H76" s="124"/>
      <c r="I76" s="124"/>
      <c r="J76" s="60"/>
      <c r="K76" s="60"/>
      <c r="L76" s="60"/>
      <c r="M76" s="60"/>
      <c r="N76" s="60">
        <f t="shared" ref="N76:N81" si="26">M76*J76*K76*L76</f>
        <v>0</v>
      </c>
      <c r="O76" s="60">
        <f t="shared" ref="O76:O81" si="27">J76*K76*L76</f>
        <v>0</v>
      </c>
    </row>
    <row r="77" spans="1:15" s="38" customFormat="1" ht="10.7" customHeight="1" outlineLevel="1" x14ac:dyDescent="0.25">
      <c r="A77" s="124"/>
      <c r="B77" s="128"/>
      <c r="C77" s="115"/>
      <c r="D77" s="115"/>
      <c r="E77" s="148"/>
      <c r="F77" s="115"/>
      <c r="G77" s="60" t="s">
        <v>127</v>
      </c>
      <c r="H77" s="124"/>
      <c r="I77" s="124"/>
      <c r="J77" s="60"/>
      <c r="K77" s="60"/>
      <c r="L77" s="60"/>
      <c r="M77" s="60"/>
      <c r="N77" s="60">
        <f t="shared" si="26"/>
        <v>0</v>
      </c>
      <c r="O77" s="60">
        <f t="shared" si="27"/>
        <v>0</v>
      </c>
    </row>
    <row r="78" spans="1:15" s="38" customFormat="1" ht="10.7" customHeight="1" outlineLevel="1" x14ac:dyDescent="0.25">
      <c r="A78" s="124"/>
      <c r="B78" s="128"/>
      <c r="C78" s="115"/>
      <c r="D78" s="115"/>
      <c r="E78" s="148"/>
      <c r="F78" s="115"/>
      <c r="G78" s="60" t="s">
        <v>128</v>
      </c>
      <c r="H78" s="124"/>
      <c r="I78" s="124"/>
      <c r="J78" s="60"/>
      <c r="K78" s="60"/>
      <c r="L78" s="60"/>
      <c r="M78" s="60"/>
      <c r="N78" s="60">
        <f t="shared" si="26"/>
        <v>0</v>
      </c>
      <c r="O78" s="60">
        <f t="shared" si="27"/>
        <v>0</v>
      </c>
    </row>
    <row r="79" spans="1:15" s="38" customFormat="1" ht="10.7" customHeight="1" outlineLevel="1" x14ac:dyDescent="0.25">
      <c r="A79" s="124"/>
      <c r="B79" s="128"/>
      <c r="C79" s="115"/>
      <c r="D79" s="115"/>
      <c r="E79" s="148"/>
      <c r="F79" s="115"/>
      <c r="G79" s="60" t="s">
        <v>129</v>
      </c>
      <c r="H79" s="124"/>
      <c r="I79" s="124"/>
      <c r="J79" s="60"/>
      <c r="K79" s="60"/>
      <c r="L79" s="60"/>
      <c r="M79" s="60"/>
      <c r="N79" s="60">
        <f t="shared" si="26"/>
        <v>0</v>
      </c>
      <c r="O79" s="60">
        <f t="shared" si="27"/>
        <v>0</v>
      </c>
    </row>
    <row r="80" spans="1:15" s="38" customFormat="1" ht="10.7" customHeight="1" outlineLevel="1" x14ac:dyDescent="0.25">
      <c r="A80" s="124"/>
      <c r="B80" s="128"/>
      <c r="C80" s="115"/>
      <c r="D80" s="115"/>
      <c r="E80" s="148"/>
      <c r="F80" s="115"/>
      <c r="G80" s="60" t="s">
        <v>130</v>
      </c>
      <c r="H80" s="124"/>
      <c r="I80" s="124"/>
      <c r="J80" s="60"/>
      <c r="K80" s="60"/>
      <c r="L80" s="60"/>
      <c r="M80" s="60"/>
      <c r="N80" s="60">
        <f t="shared" si="26"/>
        <v>0</v>
      </c>
      <c r="O80" s="60">
        <f t="shared" si="27"/>
        <v>0</v>
      </c>
    </row>
    <row r="81" spans="1:15" s="38" customFormat="1" ht="12" customHeight="1" outlineLevel="1" thickBot="1" x14ac:dyDescent="0.3">
      <c r="A81" s="125"/>
      <c r="B81" s="129"/>
      <c r="C81" s="131"/>
      <c r="D81" s="131"/>
      <c r="E81" s="149"/>
      <c r="F81" s="131"/>
      <c r="G81" s="60" t="s">
        <v>131</v>
      </c>
      <c r="H81" s="134"/>
      <c r="I81" s="134"/>
      <c r="J81" s="60"/>
      <c r="K81" s="60"/>
      <c r="L81" s="60"/>
      <c r="M81" s="60"/>
      <c r="N81" s="60">
        <f t="shared" si="26"/>
        <v>0</v>
      </c>
      <c r="O81" s="60">
        <f t="shared" si="27"/>
        <v>0</v>
      </c>
    </row>
    <row r="82" spans="1:15" s="38" customFormat="1" ht="14.45" customHeight="1" outlineLevel="1" x14ac:dyDescent="0.25">
      <c r="A82" s="140" t="s">
        <v>152</v>
      </c>
      <c r="B82" s="141" t="s">
        <v>396</v>
      </c>
      <c r="C82" s="130">
        <f>SUM(N82:N88)</f>
        <v>0</v>
      </c>
      <c r="D82" s="130">
        <f>SUM(O82:O88)</f>
        <v>0</v>
      </c>
      <c r="E82" s="130">
        <f t="shared" si="23"/>
        <v>0</v>
      </c>
      <c r="F82" s="130"/>
      <c r="G82" s="60" t="s">
        <v>125</v>
      </c>
      <c r="H82" s="123"/>
      <c r="I82" s="123"/>
      <c r="J82" s="60"/>
      <c r="K82" s="60"/>
      <c r="L82" s="60"/>
      <c r="M82" s="60"/>
      <c r="N82" s="60">
        <f>M82*J82*K82*L82</f>
        <v>0</v>
      </c>
      <c r="O82" s="60">
        <f>J82*K82*L82</f>
        <v>0</v>
      </c>
    </row>
    <row r="83" spans="1:15" s="38" customFormat="1" ht="11.45" customHeight="1" outlineLevel="1" x14ac:dyDescent="0.25">
      <c r="A83" s="124"/>
      <c r="B83" s="128"/>
      <c r="C83" s="115"/>
      <c r="D83" s="115"/>
      <c r="E83" s="148"/>
      <c r="F83" s="115"/>
      <c r="G83" s="60" t="s">
        <v>126</v>
      </c>
      <c r="H83" s="124"/>
      <c r="I83" s="124"/>
      <c r="J83" s="60"/>
      <c r="K83" s="60"/>
      <c r="L83" s="60"/>
      <c r="M83" s="60"/>
      <c r="N83" s="60">
        <f t="shared" ref="N83:N88" si="28">M83*J83*K83*L83</f>
        <v>0</v>
      </c>
      <c r="O83" s="60">
        <f t="shared" ref="O83:O88" si="29">J83*K83*L83</f>
        <v>0</v>
      </c>
    </row>
    <row r="84" spans="1:15" s="38" customFormat="1" ht="10.7" customHeight="1" outlineLevel="1" x14ac:dyDescent="0.25">
      <c r="A84" s="124"/>
      <c r="B84" s="128"/>
      <c r="C84" s="115"/>
      <c r="D84" s="115"/>
      <c r="E84" s="148"/>
      <c r="F84" s="115"/>
      <c r="G84" s="60" t="s">
        <v>127</v>
      </c>
      <c r="H84" s="124"/>
      <c r="I84" s="124"/>
      <c r="J84" s="60"/>
      <c r="K84" s="60"/>
      <c r="L84" s="60"/>
      <c r="M84" s="60"/>
      <c r="N84" s="60">
        <f t="shared" si="28"/>
        <v>0</v>
      </c>
      <c r="O84" s="60">
        <f t="shared" si="29"/>
        <v>0</v>
      </c>
    </row>
    <row r="85" spans="1:15" s="38" customFormat="1" ht="10.7" customHeight="1" outlineLevel="1" x14ac:dyDescent="0.25">
      <c r="A85" s="124"/>
      <c r="B85" s="128"/>
      <c r="C85" s="115"/>
      <c r="D85" s="115"/>
      <c r="E85" s="148"/>
      <c r="F85" s="115"/>
      <c r="G85" s="60" t="s">
        <v>128</v>
      </c>
      <c r="H85" s="124"/>
      <c r="I85" s="124"/>
      <c r="J85" s="60"/>
      <c r="K85" s="60"/>
      <c r="L85" s="60"/>
      <c r="M85" s="60"/>
      <c r="N85" s="60">
        <f t="shared" si="28"/>
        <v>0</v>
      </c>
      <c r="O85" s="60">
        <f t="shared" si="29"/>
        <v>0</v>
      </c>
    </row>
    <row r="86" spans="1:15" s="38" customFormat="1" ht="10.7" customHeight="1" outlineLevel="1" x14ac:dyDescent="0.25">
      <c r="A86" s="124"/>
      <c r="B86" s="128"/>
      <c r="C86" s="115"/>
      <c r="D86" s="115"/>
      <c r="E86" s="148"/>
      <c r="F86" s="115"/>
      <c r="G86" s="60" t="s">
        <v>129</v>
      </c>
      <c r="H86" s="124"/>
      <c r="I86" s="124"/>
      <c r="J86" s="60"/>
      <c r="K86" s="60"/>
      <c r="L86" s="60"/>
      <c r="M86" s="60"/>
      <c r="N86" s="60">
        <f t="shared" si="28"/>
        <v>0</v>
      </c>
      <c r="O86" s="60">
        <f t="shared" si="29"/>
        <v>0</v>
      </c>
    </row>
    <row r="87" spans="1:15" s="38" customFormat="1" ht="10.7" customHeight="1" outlineLevel="1" x14ac:dyDescent="0.25">
      <c r="A87" s="124"/>
      <c r="B87" s="128"/>
      <c r="C87" s="115"/>
      <c r="D87" s="115"/>
      <c r="E87" s="148"/>
      <c r="F87" s="115"/>
      <c r="G87" s="60" t="s">
        <v>130</v>
      </c>
      <c r="H87" s="124"/>
      <c r="I87" s="124"/>
      <c r="J87" s="60"/>
      <c r="K87" s="60"/>
      <c r="L87" s="60"/>
      <c r="M87" s="60"/>
      <c r="N87" s="60">
        <f t="shared" si="28"/>
        <v>0</v>
      </c>
      <c r="O87" s="60">
        <f t="shared" si="29"/>
        <v>0</v>
      </c>
    </row>
    <row r="88" spans="1:15" s="38" customFormat="1" ht="12" customHeight="1" outlineLevel="1" thickBot="1" x14ac:dyDescent="0.3">
      <c r="A88" s="125"/>
      <c r="B88" s="129"/>
      <c r="C88" s="131"/>
      <c r="D88" s="131"/>
      <c r="E88" s="149"/>
      <c r="F88" s="131"/>
      <c r="G88" s="60" t="s">
        <v>131</v>
      </c>
      <c r="H88" s="134"/>
      <c r="I88" s="134"/>
      <c r="J88" s="60"/>
      <c r="K88" s="60"/>
      <c r="L88" s="60"/>
      <c r="M88" s="60"/>
      <c r="N88" s="60">
        <f t="shared" si="28"/>
        <v>0</v>
      </c>
      <c r="O88" s="60">
        <f t="shared" si="29"/>
        <v>0</v>
      </c>
    </row>
    <row r="89" spans="1:15" s="38" customFormat="1" ht="30" outlineLevel="1" x14ac:dyDescent="0.25">
      <c r="A89" s="44" t="s">
        <v>355</v>
      </c>
      <c r="B89" s="52" t="s">
        <v>397</v>
      </c>
      <c r="C89" s="45">
        <f>SUM(C90:C145)</f>
        <v>0</v>
      </c>
      <c r="D89" s="45">
        <f t="shared" ref="D89:E89" si="30">SUM(D90:D145)</f>
        <v>0</v>
      </c>
      <c r="E89" s="45">
        <f t="shared" si="30"/>
        <v>0</v>
      </c>
      <c r="F89" s="58"/>
      <c r="G89" s="58"/>
      <c r="H89" s="58"/>
      <c r="I89" s="58"/>
      <c r="J89" s="58"/>
      <c r="K89" s="58"/>
      <c r="L89" s="58"/>
      <c r="M89" s="58"/>
      <c r="N89" s="58"/>
      <c r="O89" s="60"/>
    </row>
    <row r="90" spans="1:15" s="38" customFormat="1" ht="14.45" customHeight="1" outlineLevel="1" x14ac:dyDescent="0.25">
      <c r="A90" s="140" t="s">
        <v>398</v>
      </c>
      <c r="B90" s="141" t="s">
        <v>399</v>
      </c>
      <c r="C90" s="130">
        <f>SUM(N90:N96)</f>
        <v>0</v>
      </c>
      <c r="D90" s="130">
        <f>SUM(O90:O96)</f>
        <v>0</v>
      </c>
      <c r="E90" s="130">
        <f t="shared" ref="E90:E153" si="31">D90/8</f>
        <v>0</v>
      </c>
      <c r="F90" s="130"/>
      <c r="G90" s="60" t="s">
        <v>125</v>
      </c>
      <c r="H90" s="123"/>
      <c r="I90" s="123"/>
      <c r="J90" s="60"/>
      <c r="K90" s="60"/>
      <c r="L90" s="60"/>
      <c r="M90" s="60"/>
      <c r="N90" s="60">
        <f>M90*J90*K90*L90</f>
        <v>0</v>
      </c>
      <c r="O90" s="60">
        <f>J90*K90*L90</f>
        <v>0</v>
      </c>
    </row>
    <row r="91" spans="1:15" s="38" customFormat="1" ht="11.45" customHeight="1" outlineLevel="1" x14ac:dyDescent="0.25">
      <c r="A91" s="124"/>
      <c r="B91" s="142"/>
      <c r="C91" s="115"/>
      <c r="D91" s="115"/>
      <c r="E91" s="115"/>
      <c r="F91" s="115"/>
      <c r="G91" s="60" t="s">
        <v>126</v>
      </c>
      <c r="H91" s="124"/>
      <c r="I91" s="124"/>
      <c r="J91" s="60"/>
      <c r="K91" s="60"/>
      <c r="L91" s="60"/>
      <c r="M91" s="60"/>
      <c r="N91" s="60">
        <f t="shared" ref="N91:N96" si="32">M91*J91*K91*L91</f>
        <v>0</v>
      </c>
      <c r="O91" s="60">
        <f t="shared" ref="O91:O96" si="33">J91*K91*L91</f>
        <v>0</v>
      </c>
    </row>
    <row r="92" spans="1:15" s="38" customFormat="1" ht="10.7" customHeight="1" outlineLevel="1" x14ac:dyDescent="0.25">
      <c r="A92" s="124"/>
      <c r="B92" s="142"/>
      <c r="C92" s="115"/>
      <c r="D92" s="115"/>
      <c r="E92" s="115"/>
      <c r="F92" s="115"/>
      <c r="G92" s="60" t="s">
        <v>127</v>
      </c>
      <c r="H92" s="124"/>
      <c r="I92" s="124"/>
      <c r="J92" s="60"/>
      <c r="K92" s="60"/>
      <c r="L92" s="60"/>
      <c r="M92" s="60"/>
      <c r="N92" s="60">
        <f t="shared" si="32"/>
        <v>0</v>
      </c>
      <c r="O92" s="60">
        <f t="shared" si="33"/>
        <v>0</v>
      </c>
    </row>
    <row r="93" spans="1:15" s="38" customFormat="1" ht="10.7" customHeight="1" outlineLevel="1" x14ac:dyDescent="0.25">
      <c r="A93" s="124"/>
      <c r="B93" s="142"/>
      <c r="C93" s="115"/>
      <c r="D93" s="115"/>
      <c r="E93" s="115"/>
      <c r="F93" s="115"/>
      <c r="G93" s="60" t="s">
        <v>128</v>
      </c>
      <c r="H93" s="124"/>
      <c r="I93" s="124"/>
      <c r="J93" s="60"/>
      <c r="K93" s="60"/>
      <c r="L93" s="60"/>
      <c r="M93" s="60"/>
      <c r="N93" s="60">
        <f t="shared" si="32"/>
        <v>0</v>
      </c>
      <c r="O93" s="60">
        <f t="shared" si="33"/>
        <v>0</v>
      </c>
    </row>
    <row r="94" spans="1:15" s="38" customFormat="1" ht="10.7" customHeight="1" outlineLevel="1" x14ac:dyDescent="0.25">
      <c r="A94" s="124"/>
      <c r="B94" s="142"/>
      <c r="C94" s="115"/>
      <c r="D94" s="115"/>
      <c r="E94" s="115"/>
      <c r="F94" s="115"/>
      <c r="G94" s="60" t="s">
        <v>129</v>
      </c>
      <c r="H94" s="124"/>
      <c r="I94" s="124"/>
      <c r="J94" s="60"/>
      <c r="K94" s="60"/>
      <c r="L94" s="60"/>
      <c r="M94" s="60"/>
      <c r="N94" s="60">
        <f t="shared" si="32"/>
        <v>0</v>
      </c>
      <c r="O94" s="60">
        <f t="shared" si="33"/>
        <v>0</v>
      </c>
    </row>
    <row r="95" spans="1:15" s="38" customFormat="1" ht="10.7" customHeight="1" outlineLevel="1" x14ac:dyDescent="0.25">
      <c r="A95" s="124"/>
      <c r="B95" s="142"/>
      <c r="C95" s="115"/>
      <c r="D95" s="115"/>
      <c r="E95" s="115"/>
      <c r="F95" s="115"/>
      <c r="G95" s="60" t="s">
        <v>130</v>
      </c>
      <c r="H95" s="124"/>
      <c r="I95" s="124"/>
      <c r="J95" s="60"/>
      <c r="K95" s="60"/>
      <c r="L95" s="60"/>
      <c r="M95" s="60"/>
      <c r="N95" s="60">
        <f t="shared" si="32"/>
        <v>0</v>
      </c>
      <c r="O95" s="60">
        <f t="shared" si="33"/>
        <v>0</v>
      </c>
    </row>
    <row r="96" spans="1:15" s="38" customFormat="1" ht="12" customHeight="1" outlineLevel="1" thickBot="1" x14ac:dyDescent="0.3">
      <c r="A96" s="125"/>
      <c r="B96" s="143"/>
      <c r="C96" s="131"/>
      <c r="D96" s="131"/>
      <c r="E96" s="131"/>
      <c r="F96" s="131"/>
      <c r="G96" s="60" t="s">
        <v>131</v>
      </c>
      <c r="H96" s="134"/>
      <c r="I96" s="134"/>
      <c r="J96" s="60"/>
      <c r="K96" s="60"/>
      <c r="L96" s="60"/>
      <c r="M96" s="60"/>
      <c r="N96" s="60">
        <f t="shared" si="32"/>
        <v>0</v>
      </c>
      <c r="O96" s="60">
        <f t="shared" si="33"/>
        <v>0</v>
      </c>
    </row>
    <row r="97" spans="1:15" s="38" customFormat="1" ht="14.45" customHeight="1" outlineLevel="1" x14ac:dyDescent="0.25">
      <c r="A97" s="140" t="s">
        <v>400</v>
      </c>
      <c r="B97" s="141" t="s">
        <v>401</v>
      </c>
      <c r="C97" s="130">
        <f>SUM(N97:N103)</f>
        <v>0</v>
      </c>
      <c r="D97" s="130">
        <f>SUM(O97:O103)</f>
        <v>0</v>
      </c>
      <c r="E97" s="130">
        <f t="shared" si="31"/>
        <v>0</v>
      </c>
      <c r="F97" s="130"/>
      <c r="G97" s="60" t="s">
        <v>125</v>
      </c>
      <c r="H97" s="123"/>
      <c r="I97" s="123"/>
      <c r="J97" s="60"/>
      <c r="K97" s="60"/>
      <c r="L97" s="60"/>
      <c r="M97" s="60"/>
      <c r="N97" s="60">
        <f>M97*J97*K97*L97</f>
        <v>0</v>
      </c>
      <c r="O97" s="60">
        <f>J97*K97*L97</f>
        <v>0</v>
      </c>
    </row>
    <row r="98" spans="1:15" s="38" customFormat="1" ht="11.45" customHeight="1" outlineLevel="1" x14ac:dyDescent="0.25">
      <c r="A98" s="124"/>
      <c r="B98" s="142"/>
      <c r="C98" s="115"/>
      <c r="D98" s="115"/>
      <c r="E98" s="115"/>
      <c r="F98" s="115"/>
      <c r="G98" s="60" t="s">
        <v>126</v>
      </c>
      <c r="H98" s="124"/>
      <c r="I98" s="124"/>
      <c r="J98" s="60"/>
      <c r="K98" s="60"/>
      <c r="L98" s="60"/>
      <c r="M98" s="60"/>
      <c r="N98" s="60">
        <f t="shared" ref="N98:N103" si="34">M98*J98*K98*L98</f>
        <v>0</v>
      </c>
      <c r="O98" s="60">
        <f t="shared" ref="O98:O103" si="35">J98*K98*L98</f>
        <v>0</v>
      </c>
    </row>
    <row r="99" spans="1:15" s="38" customFormat="1" ht="10.7" customHeight="1" outlineLevel="1" x14ac:dyDescent="0.25">
      <c r="A99" s="124"/>
      <c r="B99" s="142"/>
      <c r="C99" s="115"/>
      <c r="D99" s="115"/>
      <c r="E99" s="115"/>
      <c r="F99" s="115"/>
      <c r="G99" s="60" t="s">
        <v>127</v>
      </c>
      <c r="H99" s="124"/>
      <c r="I99" s="124"/>
      <c r="J99" s="60"/>
      <c r="K99" s="60"/>
      <c r="L99" s="60"/>
      <c r="M99" s="60"/>
      <c r="N99" s="60">
        <f t="shared" si="34"/>
        <v>0</v>
      </c>
      <c r="O99" s="60">
        <f t="shared" si="35"/>
        <v>0</v>
      </c>
    </row>
    <row r="100" spans="1:15" s="38" customFormat="1" ht="10.7" customHeight="1" outlineLevel="1" x14ac:dyDescent="0.25">
      <c r="A100" s="124"/>
      <c r="B100" s="142"/>
      <c r="C100" s="115"/>
      <c r="D100" s="115"/>
      <c r="E100" s="115"/>
      <c r="F100" s="115"/>
      <c r="G100" s="60" t="s">
        <v>128</v>
      </c>
      <c r="H100" s="124"/>
      <c r="I100" s="124"/>
      <c r="J100" s="60"/>
      <c r="K100" s="60"/>
      <c r="L100" s="60"/>
      <c r="M100" s="60"/>
      <c r="N100" s="60">
        <f t="shared" si="34"/>
        <v>0</v>
      </c>
      <c r="O100" s="60">
        <f t="shared" si="35"/>
        <v>0</v>
      </c>
    </row>
    <row r="101" spans="1:15" s="38" customFormat="1" ht="10.7" customHeight="1" outlineLevel="1" x14ac:dyDescent="0.25">
      <c r="A101" s="124"/>
      <c r="B101" s="142"/>
      <c r="C101" s="115"/>
      <c r="D101" s="115"/>
      <c r="E101" s="115"/>
      <c r="F101" s="115"/>
      <c r="G101" s="60" t="s">
        <v>129</v>
      </c>
      <c r="H101" s="124"/>
      <c r="I101" s="124"/>
      <c r="J101" s="60"/>
      <c r="K101" s="60"/>
      <c r="L101" s="60"/>
      <c r="M101" s="60"/>
      <c r="N101" s="60">
        <f t="shared" si="34"/>
        <v>0</v>
      </c>
      <c r="O101" s="60">
        <f t="shared" si="35"/>
        <v>0</v>
      </c>
    </row>
    <row r="102" spans="1:15" s="38" customFormat="1" ht="10.7" customHeight="1" outlineLevel="1" x14ac:dyDescent="0.25">
      <c r="A102" s="124"/>
      <c r="B102" s="142"/>
      <c r="C102" s="115"/>
      <c r="D102" s="115"/>
      <c r="E102" s="115"/>
      <c r="F102" s="115"/>
      <c r="G102" s="60" t="s">
        <v>130</v>
      </c>
      <c r="H102" s="124"/>
      <c r="I102" s="124"/>
      <c r="J102" s="60"/>
      <c r="K102" s="60"/>
      <c r="L102" s="60"/>
      <c r="M102" s="60"/>
      <c r="N102" s="60">
        <f t="shared" si="34"/>
        <v>0</v>
      </c>
      <c r="O102" s="60">
        <f t="shared" si="35"/>
        <v>0</v>
      </c>
    </row>
    <row r="103" spans="1:15" s="38" customFormat="1" ht="12" customHeight="1" outlineLevel="1" thickBot="1" x14ac:dyDescent="0.3">
      <c r="A103" s="125"/>
      <c r="B103" s="143"/>
      <c r="C103" s="131"/>
      <c r="D103" s="131"/>
      <c r="E103" s="131"/>
      <c r="F103" s="131"/>
      <c r="G103" s="60" t="s">
        <v>131</v>
      </c>
      <c r="H103" s="134"/>
      <c r="I103" s="134"/>
      <c r="J103" s="60"/>
      <c r="K103" s="60"/>
      <c r="L103" s="60"/>
      <c r="M103" s="60"/>
      <c r="N103" s="60">
        <f t="shared" si="34"/>
        <v>0</v>
      </c>
      <c r="O103" s="60">
        <f t="shared" si="35"/>
        <v>0</v>
      </c>
    </row>
    <row r="104" spans="1:15" s="38" customFormat="1" ht="14.45" customHeight="1" outlineLevel="1" x14ac:dyDescent="0.25">
      <c r="A104" s="140" t="s">
        <v>402</v>
      </c>
      <c r="B104" s="141" t="s">
        <v>403</v>
      </c>
      <c r="C104" s="130">
        <f>SUM(N104:N110)</f>
        <v>0</v>
      </c>
      <c r="D104" s="130">
        <f>SUM(O104:O110)</f>
        <v>0</v>
      </c>
      <c r="E104" s="130">
        <f t="shared" si="31"/>
        <v>0</v>
      </c>
      <c r="F104" s="130"/>
      <c r="G104" s="60" t="s">
        <v>125</v>
      </c>
      <c r="H104" s="123"/>
      <c r="I104" s="123"/>
      <c r="J104" s="60"/>
      <c r="K104" s="60"/>
      <c r="L104" s="60"/>
      <c r="M104" s="60"/>
      <c r="N104" s="60">
        <f>M104*J104*K104*L104</f>
        <v>0</v>
      </c>
      <c r="O104" s="60">
        <f>J104*K104*L104</f>
        <v>0</v>
      </c>
    </row>
    <row r="105" spans="1:15" s="38" customFormat="1" ht="11.45" customHeight="1" outlineLevel="1" x14ac:dyDescent="0.25">
      <c r="A105" s="124"/>
      <c r="B105" s="142"/>
      <c r="C105" s="115"/>
      <c r="D105" s="115"/>
      <c r="E105" s="115"/>
      <c r="F105" s="115"/>
      <c r="G105" s="60" t="s">
        <v>126</v>
      </c>
      <c r="H105" s="124"/>
      <c r="I105" s="124"/>
      <c r="J105" s="60"/>
      <c r="K105" s="60"/>
      <c r="L105" s="60"/>
      <c r="M105" s="60"/>
      <c r="N105" s="60">
        <f t="shared" ref="N105:N110" si="36">M105*J105*K105*L105</f>
        <v>0</v>
      </c>
      <c r="O105" s="60">
        <f t="shared" ref="O105:O110" si="37">J105*K105*L105</f>
        <v>0</v>
      </c>
    </row>
    <row r="106" spans="1:15" s="38" customFormat="1" ht="10.7" customHeight="1" outlineLevel="1" x14ac:dyDescent="0.25">
      <c r="A106" s="124"/>
      <c r="B106" s="142"/>
      <c r="C106" s="115"/>
      <c r="D106" s="115"/>
      <c r="E106" s="115"/>
      <c r="F106" s="115"/>
      <c r="G106" s="60" t="s">
        <v>127</v>
      </c>
      <c r="H106" s="124"/>
      <c r="I106" s="124"/>
      <c r="J106" s="60"/>
      <c r="K106" s="60"/>
      <c r="L106" s="60"/>
      <c r="M106" s="60"/>
      <c r="N106" s="60">
        <f t="shared" si="36"/>
        <v>0</v>
      </c>
      <c r="O106" s="60">
        <f t="shared" si="37"/>
        <v>0</v>
      </c>
    </row>
    <row r="107" spans="1:15" s="38" customFormat="1" ht="10.7" customHeight="1" outlineLevel="1" x14ac:dyDescent="0.25">
      <c r="A107" s="124"/>
      <c r="B107" s="142"/>
      <c r="C107" s="115"/>
      <c r="D107" s="115"/>
      <c r="E107" s="115"/>
      <c r="F107" s="115"/>
      <c r="G107" s="60" t="s">
        <v>128</v>
      </c>
      <c r="H107" s="124"/>
      <c r="I107" s="124"/>
      <c r="J107" s="60"/>
      <c r="K107" s="60"/>
      <c r="L107" s="60"/>
      <c r="M107" s="60"/>
      <c r="N107" s="60">
        <f t="shared" si="36"/>
        <v>0</v>
      </c>
      <c r="O107" s="60">
        <f t="shared" si="37"/>
        <v>0</v>
      </c>
    </row>
    <row r="108" spans="1:15" s="38" customFormat="1" ht="10.7" customHeight="1" outlineLevel="1" x14ac:dyDescent="0.25">
      <c r="A108" s="124"/>
      <c r="B108" s="142"/>
      <c r="C108" s="115"/>
      <c r="D108" s="115"/>
      <c r="E108" s="115"/>
      <c r="F108" s="115"/>
      <c r="G108" s="60" t="s">
        <v>129</v>
      </c>
      <c r="H108" s="124"/>
      <c r="I108" s="124"/>
      <c r="J108" s="60"/>
      <c r="K108" s="60"/>
      <c r="L108" s="60"/>
      <c r="M108" s="60"/>
      <c r="N108" s="60">
        <f t="shared" si="36"/>
        <v>0</v>
      </c>
      <c r="O108" s="60">
        <f t="shared" si="37"/>
        <v>0</v>
      </c>
    </row>
    <row r="109" spans="1:15" s="38" customFormat="1" ht="10.7" customHeight="1" outlineLevel="1" x14ac:dyDescent="0.25">
      <c r="A109" s="124"/>
      <c r="B109" s="142"/>
      <c r="C109" s="115"/>
      <c r="D109" s="115"/>
      <c r="E109" s="115"/>
      <c r="F109" s="115"/>
      <c r="G109" s="60" t="s">
        <v>130</v>
      </c>
      <c r="H109" s="124"/>
      <c r="I109" s="124"/>
      <c r="J109" s="60"/>
      <c r="K109" s="60"/>
      <c r="L109" s="60"/>
      <c r="M109" s="60"/>
      <c r="N109" s="60">
        <f t="shared" si="36"/>
        <v>0</v>
      </c>
      <c r="O109" s="60">
        <f t="shared" si="37"/>
        <v>0</v>
      </c>
    </row>
    <row r="110" spans="1:15" s="38" customFormat="1" ht="12" customHeight="1" outlineLevel="1" thickBot="1" x14ac:dyDescent="0.3">
      <c r="A110" s="125"/>
      <c r="B110" s="143"/>
      <c r="C110" s="131"/>
      <c r="D110" s="131"/>
      <c r="E110" s="131"/>
      <c r="F110" s="131"/>
      <c r="G110" s="60" t="s">
        <v>131</v>
      </c>
      <c r="H110" s="134"/>
      <c r="I110" s="134"/>
      <c r="J110" s="60"/>
      <c r="K110" s="60"/>
      <c r="L110" s="60"/>
      <c r="M110" s="60"/>
      <c r="N110" s="60">
        <f t="shared" si="36"/>
        <v>0</v>
      </c>
      <c r="O110" s="60">
        <f t="shared" si="37"/>
        <v>0</v>
      </c>
    </row>
    <row r="111" spans="1:15" s="38" customFormat="1" ht="14.45" customHeight="1" outlineLevel="1" x14ac:dyDescent="0.25">
      <c r="A111" s="140" t="s">
        <v>404</v>
      </c>
      <c r="B111" s="141" t="s">
        <v>405</v>
      </c>
      <c r="C111" s="130">
        <f>SUM(N111:N117)</f>
        <v>0</v>
      </c>
      <c r="D111" s="130">
        <f>SUM(O111:O117)</f>
        <v>0</v>
      </c>
      <c r="E111" s="130">
        <f t="shared" si="31"/>
        <v>0</v>
      </c>
      <c r="F111" s="130"/>
      <c r="G111" s="60" t="s">
        <v>125</v>
      </c>
      <c r="H111" s="123"/>
      <c r="I111" s="123"/>
      <c r="J111" s="60"/>
      <c r="K111" s="60"/>
      <c r="L111" s="60"/>
      <c r="M111" s="60"/>
      <c r="N111" s="60">
        <f>M111*J111*K111*L111</f>
        <v>0</v>
      </c>
      <c r="O111" s="60">
        <f>J111*K111*L111</f>
        <v>0</v>
      </c>
    </row>
    <row r="112" spans="1:15" s="38" customFormat="1" ht="11.45" customHeight="1" outlineLevel="1" x14ac:dyDescent="0.25">
      <c r="A112" s="124"/>
      <c r="B112" s="142"/>
      <c r="C112" s="115"/>
      <c r="D112" s="115"/>
      <c r="E112" s="115"/>
      <c r="F112" s="115"/>
      <c r="G112" s="60" t="s">
        <v>126</v>
      </c>
      <c r="H112" s="124"/>
      <c r="I112" s="124"/>
      <c r="J112" s="60"/>
      <c r="K112" s="60"/>
      <c r="L112" s="60"/>
      <c r="M112" s="60"/>
      <c r="N112" s="60">
        <f t="shared" ref="N112:N117" si="38">M112*J112*K112*L112</f>
        <v>0</v>
      </c>
      <c r="O112" s="60">
        <f t="shared" ref="O112:O117" si="39">J112*K112*L112</f>
        <v>0</v>
      </c>
    </row>
    <row r="113" spans="1:15" s="38" customFormat="1" ht="10.7" customHeight="1" outlineLevel="1" x14ac:dyDescent="0.25">
      <c r="A113" s="124"/>
      <c r="B113" s="142"/>
      <c r="C113" s="115"/>
      <c r="D113" s="115"/>
      <c r="E113" s="115"/>
      <c r="F113" s="115"/>
      <c r="G113" s="60" t="s">
        <v>127</v>
      </c>
      <c r="H113" s="124"/>
      <c r="I113" s="124"/>
      <c r="J113" s="60"/>
      <c r="K113" s="60"/>
      <c r="L113" s="60"/>
      <c r="M113" s="60"/>
      <c r="N113" s="60">
        <f t="shared" si="38"/>
        <v>0</v>
      </c>
      <c r="O113" s="60">
        <f t="shared" si="39"/>
        <v>0</v>
      </c>
    </row>
    <row r="114" spans="1:15" s="38" customFormat="1" ht="10.7" customHeight="1" outlineLevel="1" x14ac:dyDescent="0.25">
      <c r="A114" s="124"/>
      <c r="B114" s="142"/>
      <c r="C114" s="115"/>
      <c r="D114" s="115"/>
      <c r="E114" s="115"/>
      <c r="F114" s="115"/>
      <c r="G114" s="60" t="s">
        <v>128</v>
      </c>
      <c r="H114" s="124"/>
      <c r="I114" s="124"/>
      <c r="J114" s="60"/>
      <c r="K114" s="60"/>
      <c r="L114" s="60"/>
      <c r="M114" s="60"/>
      <c r="N114" s="60">
        <f t="shared" si="38"/>
        <v>0</v>
      </c>
      <c r="O114" s="60">
        <f t="shared" si="39"/>
        <v>0</v>
      </c>
    </row>
    <row r="115" spans="1:15" s="38" customFormat="1" ht="10.7" customHeight="1" outlineLevel="1" x14ac:dyDescent="0.25">
      <c r="A115" s="124"/>
      <c r="B115" s="142"/>
      <c r="C115" s="115"/>
      <c r="D115" s="115"/>
      <c r="E115" s="115"/>
      <c r="F115" s="115"/>
      <c r="G115" s="60" t="s">
        <v>129</v>
      </c>
      <c r="H115" s="124"/>
      <c r="I115" s="124"/>
      <c r="J115" s="60"/>
      <c r="K115" s="60"/>
      <c r="L115" s="60"/>
      <c r="M115" s="60"/>
      <c r="N115" s="60">
        <f t="shared" si="38"/>
        <v>0</v>
      </c>
      <c r="O115" s="60">
        <f t="shared" si="39"/>
        <v>0</v>
      </c>
    </row>
    <row r="116" spans="1:15" s="38" customFormat="1" ht="10.7" customHeight="1" outlineLevel="1" x14ac:dyDescent="0.25">
      <c r="A116" s="124"/>
      <c r="B116" s="142"/>
      <c r="C116" s="115"/>
      <c r="D116" s="115"/>
      <c r="E116" s="115"/>
      <c r="F116" s="115"/>
      <c r="G116" s="60" t="s">
        <v>130</v>
      </c>
      <c r="H116" s="124"/>
      <c r="I116" s="124"/>
      <c r="J116" s="60"/>
      <c r="K116" s="60"/>
      <c r="L116" s="60"/>
      <c r="M116" s="60"/>
      <c r="N116" s="60">
        <f t="shared" si="38"/>
        <v>0</v>
      </c>
      <c r="O116" s="60">
        <f t="shared" si="39"/>
        <v>0</v>
      </c>
    </row>
    <row r="117" spans="1:15" s="38" customFormat="1" ht="12" customHeight="1" outlineLevel="1" thickBot="1" x14ac:dyDescent="0.3">
      <c r="A117" s="125"/>
      <c r="B117" s="143"/>
      <c r="C117" s="131"/>
      <c r="D117" s="131"/>
      <c r="E117" s="131"/>
      <c r="F117" s="131"/>
      <c r="G117" s="60" t="s">
        <v>131</v>
      </c>
      <c r="H117" s="134"/>
      <c r="I117" s="134"/>
      <c r="J117" s="60"/>
      <c r="K117" s="60"/>
      <c r="L117" s="60"/>
      <c r="M117" s="60"/>
      <c r="N117" s="60">
        <f t="shared" si="38"/>
        <v>0</v>
      </c>
      <c r="O117" s="60">
        <f t="shared" si="39"/>
        <v>0</v>
      </c>
    </row>
    <row r="118" spans="1:15" s="38" customFormat="1" ht="14.45" customHeight="1" outlineLevel="1" x14ac:dyDescent="0.25">
      <c r="A118" s="140" t="s">
        <v>406</v>
      </c>
      <c r="B118" s="141" t="s">
        <v>407</v>
      </c>
      <c r="C118" s="130">
        <f>SUM(N118:N124)</f>
        <v>0</v>
      </c>
      <c r="D118" s="130">
        <f>SUM(O118:O124)</f>
        <v>0</v>
      </c>
      <c r="E118" s="130">
        <f t="shared" si="31"/>
        <v>0</v>
      </c>
      <c r="F118" s="130"/>
      <c r="G118" s="60" t="s">
        <v>125</v>
      </c>
      <c r="H118" s="123"/>
      <c r="I118" s="123"/>
      <c r="J118" s="60"/>
      <c r="K118" s="60"/>
      <c r="L118" s="60"/>
      <c r="M118" s="60"/>
      <c r="N118" s="60">
        <f>M118*J118*K118*L118</f>
        <v>0</v>
      </c>
      <c r="O118" s="60">
        <f>J118*K118*L118</f>
        <v>0</v>
      </c>
    </row>
    <row r="119" spans="1:15" s="38" customFormat="1" ht="11.45" customHeight="1" outlineLevel="1" x14ac:dyDescent="0.25">
      <c r="A119" s="124"/>
      <c r="B119" s="142"/>
      <c r="C119" s="115"/>
      <c r="D119" s="115"/>
      <c r="E119" s="115"/>
      <c r="F119" s="115"/>
      <c r="G119" s="60" t="s">
        <v>126</v>
      </c>
      <c r="H119" s="124"/>
      <c r="I119" s="124"/>
      <c r="J119" s="60"/>
      <c r="K119" s="60"/>
      <c r="L119" s="60"/>
      <c r="M119" s="60"/>
      <c r="N119" s="60">
        <f t="shared" ref="N119:N124" si="40">M119*J119*K119*L119</f>
        <v>0</v>
      </c>
      <c r="O119" s="60">
        <f t="shared" ref="O119:O124" si="41">J119*K119*L119</f>
        <v>0</v>
      </c>
    </row>
    <row r="120" spans="1:15" s="38" customFormat="1" ht="10.7" customHeight="1" outlineLevel="1" x14ac:dyDescent="0.25">
      <c r="A120" s="124"/>
      <c r="B120" s="142"/>
      <c r="C120" s="115"/>
      <c r="D120" s="115"/>
      <c r="E120" s="115"/>
      <c r="F120" s="115"/>
      <c r="G120" s="60" t="s">
        <v>127</v>
      </c>
      <c r="H120" s="124"/>
      <c r="I120" s="124"/>
      <c r="J120" s="60"/>
      <c r="K120" s="60"/>
      <c r="L120" s="60"/>
      <c r="M120" s="60"/>
      <c r="N120" s="60">
        <f t="shared" si="40"/>
        <v>0</v>
      </c>
      <c r="O120" s="60">
        <f t="shared" si="41"/>
        <v>0</v>
      </c>
    </row>
    <row r="121" spans="1:15" s="38" customFormat="1" ht="10.7" customHeight="1" outlineLevel="1" x14ac:dyDescent="0.25">
      <c r="A121" s="124"/>
      <c r="B121" s="142"/>
      <c r="C121" s="115"/>
      <c r="D121" s="115"/>
      <c r="E121" s="115"/>
      <c r="F121" s="115"/>
      <c r="G121" s="60" t="s">
        <v>128</v>
      </c>
      <c r="H121" s="124"/>
      <c r="I121" s="124"/>
      <c r="J121" s="60"/>
      <c r="K121" s="60"/>
      <c r="L121" s="60"/>
      <c r="M121" s="60"/>
      <c r="N121" s="60">
        <f t="shared" si="40"/>
        <v>0</v>
      </c>
      <c r="O121" s="60">
        <f t="shared" si="41"/>
        <v>0</v>
      </c>
    </row>
    <row r="122" spans="1:15" s="38" customFormat="1" ht="10.7" customHeight="1" outlineLevel="1" x14ac:dyDescent="0.25">
      <c r="A122" s="124"/>
      <c r="B122" s="142"/>
      <c r="C122" s="115"/>
      <c r="D122" s="115"/>
      <c r="E122" s="115"/>
      <c r="F122" s="115"/>
      <c r="G122" s="60" t="s">
        <v>129</v>
      </c>
      <c r="H122" s="124"/>
      <c r="I122" s="124"/>
      <c r="J122" s="60"/>
      <c r="K122" s="60"/>
      <c r="L122" s="60"/>
      <c r="M122" s="60"/>
      <c r="N122" s="60">
        <f t="shared" si="40"/>
        <v>0</v>
      </c>
      <c r="O122" s="60">
        <f t="shared" si="41"/>
        <v>0</v>
      </c>
    </row>
    <row r="123" spans="1:15" s="38" customFormat="1" ht="10.7" customHeight="1" outlineLevel="1" x14ac:dyDescent="0.25">
      <c r="A123" s="124"/>
      <c r="B123" s="142"/>
      <c r="C123" s="115"/>
      <c r="D123" s="115"/>
      <c r="E123" s="115"/>
      <c r="F123" s="115"/>
      <c r="G123" s="60" t="s">
        <v>130</v>
      </c>
      <c r="H123" s="124"/>
      <c r="I123" s="124"/>
      <c r="J123" s="60"/>
      <c r="K123" s="60"/>
      <c r="L123" s="60"/>
      <c r="M123" s="60"/>
      <c r="N123" s="60">
        <f t="shared" si="40"/>
        <v>0</v>
      </c>
      <c r="O123" s="60">
        <f t="shared" si="41"/>
        <v>0</v>
      </c>
    </row>
    <row r="124" spans="1:15" s="38" customFormat="1" ht="12" customHeight="1" outlineLevel="1" thickBot="1" x14ac:dyDescent="0.3">
      <c r="A124" s="125"/>
      <c r="B124" s="143"/>
      <c r="C124" s="131"/>
      <c r="D124" s="131"/>
      <c r="E124" s="131"/>
      <c r="F124" s="131"/>
      <c r="G124" s="60" t="s">
        <v>131</v>
      </c>
      <c r="H124" s="134"/>
      <c r="I124" s="134"/>
      <c r="J124" s="60"/>
      <c r="K124" s="60"/>
      <c r="L124" s="60"/>
      <c r="M124" s="60"/>
      <c r="N124" s="60">
        <f t="shared" si="40"/>
        <v>0</v>
      </c>
      <c r="O124" s="60">
        <f t="shared" si="41"/>
        <v>0</v>
      </c>
    </row>
    <row r="125" spans="1:15" s="38" customFormat="1" ht="14.45" customHeight="1" outlineLevel="1" x14ac:dyDescent="0.25">
      <c r="A125" s="140" t="s">
        <v>408</v>
      </c>
      <c r="B125" s="141" t="s">
        <v>409</v>
      </c>
      <c r="C125" s="130">
        <f>SUM(N125:N131)</f>
        <v>0</v>
      </c>
      <c r="D125" s="130">
        <f>SUM(O125:O131)</f>
        <v>0</v>
      </c>
      <c r="E125" s="130">
        <f t="shared" si="31"/>
        <v>0</v>
      </c>
      <c r="F125" s="130"/>
      <c r="G125" s="60" t="s">
        <v>125</v>
      </c>
      <c r="H125" s="123"/>
      <c r="I125" s="123"/>
      <c r="J125" s="60"/>
      <c r="K125" s="60"/>
      <c r="L125" s="60"/>
      <c r="M125" s="60"/>
      <c r="N125" s="60">
        <f>M125*J125*K125*L125</f>
        <v>0</v>
      </c>
      <c r="O125" s="60">
        <f>J125*K125*L125</f>
        <v>0</v>
      </c>
    </row>
    <row r="126" spans="1:15" s="38" customFormat="1" ht="11.45" customHeight="1" outlineLevel="1" x14ac:dyDescent="0.25">
      <c r="A126" s="124"/>
      <c r="B126" s="142"/>
      <c r="C126" s="115"/>
      <c r="D126" s="115"/>
      <c r="E126" s="115"/>
      <c r="F126" s="115"/>
      <c r="G126" s="60" t="s">
        <v>126</v>
      </c>
      <c r="H126" s="124"/>
      <c r="I126" s="124"/>
      <c r="J126" s="60"/>
      <c r="K126" s="60"/>
      <c r="L126" s="60"/>
      <c r="M126" s="60"/>
      <c r="N126" s="60">
        <f t="shared" ref="N126:N131" si="42">M126*J126*K126*L126</f>
        <v>0</v>
      </c>
      <c r="O126" s="60">
        <f t="shared" ref="O126:O131" si="43">J126*K126*L126</f>
        <v>0</v>
      </c>
    </row>
    <row r="127" spans="1:15" s="38" customFormat="1" ht="10.7" customHeight="1" outlineLevel="1" x14ac:dyDescent="0.25">
      <c r="A127" s="124"/>
      <c r="B127" s="142"/>
      <c r="C127" s="115"/>
      <c r="D127" s="115"/>
      <c r="E127" s="115"/>
      <c r="F127" s="115"/>
      <c r="G127" s="60" t="s">
        <v>127</v>
      </c>
      <c r="H127" s="124"/>
      <c r="I127" s="124"/>
      <c r="J127" s="60"/>
      <c r="K127" s="60"/>
      <c r="L127" s="60"/>
      <c r="M127" s="60"/>
      <c r="N127" s="60">
        <f t="shared" si="42"/>
        <v>0</v>
      </c>
      <c r="O127" s="60">
        <f t="shared" si="43"/>
        <v>0</v>
      </c>
    </row>
    <row r="128" spans="1:15" s="38" customFormat="1" ht="10.7" customHeight="1" outlineLevel="1" x14ac:dyDescent="0.25">
      <c r="A128" s="124"/>
      <c r="B128" s="142"/>
      <c r="C128" s="115"/>
      <c r="D128" s="115"/>
      <c r="E128" s="115"/>
      <c r="F128" s="115"/>
      <c r="G128" s="60" t="s">
        <v>128</v>
      </c>
      <c r="H128" s="124"/>
      <c r="I128" s="124"/>
      <c r="J128" s="60"/>
      <c r="K128" s="60"/>
      <c r="L128" s="60"/>
      <c r="M128" s="60"/>
      <c r="N128" s="60">
        <f t="shared" si="42"/>
        <v>0</v>
      </c>
      <c r="O128" s="60">
        <f t="shared" si="43"/>
        <v>0</v>
      </c>
    </row>
    <row r="129" spans="1:15" s="38" customFormat="1" ht="10.7" customHeight="1" outlineLevel="1" x14ac:dyDescent="0.25">
      <c r="A129" s="124"/>
      <c r="B129" s="142"/>
      <c r="C129" s="115"/>
      <c r="D129" s="115"/>
      <c r="E129" s="115"/>
      <c r="F129" s="115"/>
      <c r="G129" s="60" t="s">
        <v>129</v>
      </c>
      <c r="H129" s="124"/>
      <c r="I129" s="124"/>
      <c r="J129" s="60"/>
      <c r="K129" s="60"/>
      <c r="L129" s="60"/>
      <c r="M129" s="60"/>
      <c r="N129" s="60">
        <f t="shared" si="42"/>
        <v>0</v>
      </c>
      <c r="O129" s="60">
        <f t="shared" si="43"/>
        <v>0</v>
      </c>
    </row>
    <row r="130" spans="1:15" s="38" customFormat="1" ht="10.7" customHeight="1" outlineLevel="1" x14ac:dyDescent="0.25">
      <c r="A130" s="124"/>
      <c r="B130" s="142"/>
      <c r="C130" s="115"/>
      <c r="D130" s="115"/>
      <c r="E130" s="115"/>
      <c r="F130" s="115"/>
      <c r="G130" s="60" t="s">
        <v>130</v>
      </c>
      <c r="H130" s="124"/>
      <c r="I130" s="124"/>
      <c r="J130" s="60"/>
      <c r="K130" s="60"/>
      <c r="L130" s="60"/>
      <c r="M130" s="60"/>
      <c r="N130" s="60">
        <f t="shared" si="42"/>
        <v>0</v>
      </c>
      <c r="O130" s="60">
        <f t="shared" si="43"/>
        <v>0</v>
      </c>
    </row>
    <row r="131" spans="1:15" s="38" customFormat="1" ht="12" customHeight="1" outlineLevel="1" thickBot="1" x14ac:dyDescent="0.3">
      <c r="A131" s="125"/>
      <c r="B131" s="143"/>
      <c r="C131" s="131"/>
      <c r="D131" s="131"/>
      <c r="E131" s="131"/>
      <c r="F131" s="131"/>
      <c r="G131" s="60" t="s">
        <v>131</v>
      </c>
      <c r="H131" s="134"/>
      <c r="I131" s="134"/>
      <c r="J131" s="60"/>
      <c r="K131" s="60"/>
      <c r="L131" s="60"/>
      <c r="M131" s="60"/>
      <c r="N131" s="60">
        <f t="shared" si="42"/>
        <v>0</v>
      </c>
      <c r="O131" s="60">
        <f t="shared" si="43"/>
        <v>0</v>
      </c>
    </row>
    <row r="132" spans="1:15" s="38" customFormat="1" ht="14.45" customHeight="1" outlineLevel="1" x14ac:dyDescent="0.25">
      <c r="A132" s="140" t="s">
        <v>410</v>
      </c>
      <c r="B132" s="141" t="s">
        <v>411</v>
      </c>
      <c r="C132" s="130">
        <f>SUM(N132:N138)</f>
        <v>0</v>
      </c>
      <c r="D132" s="130">
        <f>SUM(O132:O138)</f>
        <v>0</v>
      </c>
      <c r="E132" s="130">
        <f t="shared" si="31"/>
        <v>0</v>
      </c>
      <c r="F132" s="130"/>
      <c r="G132" s="60" t="s">
        <v>125</v>
      </c>
      <c r="H132" s="123"/>
      <c r="I132" s="123"/>
      <c r="J132" s="60"/>
      <c r="K132" s="60"/>
      <c r="L132" s="60"/>
      <c r="M132" s="60"/>
      <c r="N132" s="60">
        <f>M132*J132*K132*L132</f>
        <v>0</v>
      </c>
      <c r="O132" s="60">
        <f>J132*K132*L132</f>
        <v>0</v>
      </c>
    </row>
    <row r="133" spans="1:15" s="38" customFormat="1" ht="11.45" customHeight="1" outlineLevel="1" x14ac:dyDescent="0.25">
      <c r="A133" s="124"/>
      <c r="B133" s="142"/>
      <c r="C133" s="115"/>
      <c r="D133" s="115"/>
      <c r="E133" s="115"/>
      <c r="F133" s="115"/>
      <c r="G133" s="60" t="s">
        <v>126</v>
      </c>
      <c r="H133" s="124"/>
      <c r="I133" s="124"/>
      <c r="J133" s="60"/>
      <c r="K133" s="60"/>
      <c r="L133" s="60"/>
      <c r="M133" s="60"/>
      <c r="N133" s="60">
        <f t="shared" ref="N133:N138" si="44">M133*J133*K133*L133</f>
        <v>0</v>
      </c>
      <c r="O133" s="60">
        <f t="shared" ref="O133:O138" si="45">J133*K133*L133</f>
        <v>0</v>
      </c>
    </row>
    <row r="134" spans="1:15" s="38" customFormat="1" ht="10.7" customHeight="1" outlineLevel="1" x14ac:dyDescent="0.25">
      <c r="A134" s="124"/>
      <c r="B134" s="142"/>
      <c r="C134" s="115"/>
      <c r="D134" s="115"/>
      <c r="E134" s="115"/>
      <c r="F134" s="115"/>
      <c r="G134" s="60" t="s">
        <v>127</v>
      </c>
      <c r="H134" s="124"/>
      <c r="I134" s="124"/>
      <c r="J134" s="60"/>
      <c r="K134" s="60"/>
      <c r="L134" s="60"/>
      <c r="M134" s="60"/>
      <c r="N134" s="60">
        <f t="shared" si="44"/>
        <v>0</v>
      </c>
      <c r="O134" s="60">
        <f t="shared" si="45"/>
        <v>0</v>
      </c>
    </row>
    <row r="135" spans="1:15" s="38" customFormat="1" ht="10.7" customHeight="1" outlineLevel="1" x14ac:dyDescent="0.25">
      <c r="A135" s="124"/>
      <c r="B135" s="142"/>
      <c r="C135" s="115"/>
      <c r="D135" s="115"/>
      <c r="E135" s="115"/>
      <c r="F135" s="115"/>
      <c r="G135" s="60" t="s">
        <v>128</v>
      </c>
      <c r="H135" s="124"/>
      <c r="I135" s="124"/>
      <c r="J135" s="60"/>
      <c r="K135" s="60"/>
      <c r="L135" s="60"/>
      <c r="M135" s="60"/>
      <c r="N135" s="60">
        <f t="shared" si="44"/>
        <v>0</v>
      </c>
      <c r="O135" s="60">
        <f t="shared" si="45"/>
        <v>0</v>
      </c>
    </row>
    <row r="136" spans="1:15" s="38" customFormat="1" ht="10.7" customHeight="1" outlineLevel="1" x14ac:dyDescent="0.25">
      <c r="A136" s="124"/>
      <c r="B136" s="142"/>
      <c r="C136" s="115"/>
      <c r="D136" s="115"/>
      <c r="E136" s="115"/>
      <c r="F136" s="115"/>
      <c r="G136" s="60" t="s">
        <v>129</v>
      </c>
      <c r="H136" s="124"/>
      <c r="I136" s="124"/>
      <c r="J136" s="60"/>
      <c r="K136" s="60"/>
      <c r="L136" s="60"/>
      <c r="M136" s="60"/>
      <c r="N136" s="60">
        <f t="shared" si="44"/>
        <v>0</v>
      </c>
      <c r="O136" s="60">
        <f t="shared" si="45"/>
        <v>0</v>
      </c>
    </row>
    <row r="137" spans="1:15" s="38" customFormat="1" ht="10.7" customHeight="1" outlineLevel="1" x14ac:dyDescent="0.25">
      <c r="A137" s="124"/>
      <c r="B137" s="142"/>
      <c r="C137" s="115"/>
      <c r="D137" s="115"/>
      <c r="E137" s="115"/>
      <c r="F137" s="115"/>
      <c r="G137" s="60" t="s">
        <v>130</v>
      </c>
      <c r="H137" s="124"/>
      <c r="I137" s="124"/>
      <c r="J137" s="60"/>
      <c r="K137" s="60"/>
      <c r="L137" s="60"/>
      <c r="M137" s="60"/>
      <c r="N137" s="60">
        <f t="shared" si="44"/>
        <v>0</v>
      </c>
      <c r="O137" s="60">
        <f t="shared" si="45"/>
        <v>0</v>
      </c>
    </row>
    <row r="138" spans="1:15" s="38" customFormat="1" ht="12" customHeight="1" outlineLevel="1" thickBot="1" x14ac:dyDescent="0.3">
      <c r="A138" s="125"/>
      <c r="B138" s="143"/>
      <c r="C138" s="131"/>
      <c r="D138" s="131"/>
      <c r="E138" s="131"/>
      <c r="F138" s="131"/>
      <c r="G138" s="60" t="s">
        <v>131</v>
      </c>
      <c r="H138" s="134"/>
      <c r="I138" s="134"/>
      <c r="J138" s="60"/>
      <c r="K138" s="60"/>
      <c r="L138" s="60"/>
      <c r="M138" s="60"/>
      <c r="N138" s="60">
        <f t="shared" si="44"/>
        <v>0</v>
      </c>
      <c r="O138" s="60">
        <f t="shared" si="45"/>
        <v>0</v>
      </c>
    </row>
    <row r="139" spans="1:15" s="38" customFormat="1" ht="14.45" customHeight="1" outlineLevel="1" x14ac:dyDescent="0.25">
      <c r="A139" s="140" t="s">
        <v>412</v>
      </c>
      <c r="B139" s="141" t="s">
        <v>413</v>
      </c>
      <c r="C139" s="130">
        <f>SUM(N139:N145)</f>
        <v>0</v>
      </c>
      <c r="D139" s="130">
        <f>SUM(O139:O145)</f>
        <v>0</v>
      </c>
      <c r="E139" s="130">
        <f t="shared" si="31"/>
        <v>0</v>
      </c>
      <c r="F139" s="130"/>
      <c r="G139" s="60" t="s">
        <v>125</v>
      </c>
      <c r="H139" s="123"/>
      <c r="I139" s="123"/>
      <c r="J139" s="60"/>
      <c r="K139" s="60"/>
      <c r="L139" s="60"/>
      <c r="M139" s="60"/>
      <c r="N139" s="60">
        <f>M139*J139*K139*L139</f>
        <v>0</v>
      </c>
      <c r="O139" s="60">
        <f>J139*K139*L139</f>
        <v>0</v>
      </c>
    </row>
    <row r="140" spans="1:15" s="38" customFormat="1" ht="11.45" customHeight="1" outlineLevel="1" x14ac:dyDescent="0.25">
      <c r="A140" s="124"/>
      <c r="B140" s="142"/>
      <c r="C140" s="115"/>
      <c r="D140" s="115"/>
      <c r="E140" s="115"/>
      <c r="F140" s="115"/>
      <c r="G140" s="60" t="s">
        <v>126</v>
      </c>
      <c r="H140" s="124"/>
      <c r="I140" s="124"/>
      <c r="J140" s="60"/>
      <c r="K140" s="60"/>
      <c r="L140" s="60"/>
      <c r="M140" s="60"/>
      <c r="N140" s="60">
        <f t="shared" ref="N140:N145" si="46">M140*J140*K140*L140</f>
        <v>0</v>
      </c>
      <c r="O140" s="60">
        <f t="shared" ref="O140:O145" si="47">J140*K140*L140</f>
        <v>0</v>
      </c>
    </row>
    <row r="141" spans="1:15" s="38" customFormat="1" ht="10.7" customHeight="1" outlineLevel="1" x14ac:dyDescent="0.25">
      <c r="A141" s="124"/>
      <c r="B141" s="142"/>
      <c r="C141" s="115"/>
      <c r="D141" s="115"/>
      <c r="E141" s="115"/>
      <c r="F141" s="115"/>
      <c r="G141" s="60" t="s">
        <v>127</v>
      </c>
      <c r="H141" s="124"/>
      <c r="I141" s="124"/>
      <c r="J141" s="60"/>
      <c r="K141" s="60"/>
      <c r="L141" s="60"/>
      <c r="M141" s="60"/>
      <c r="N141" s="60">
        <f t="shared" si="46"/>
        <v>0</v>
      </c>
      <c r="O141" s="60">
        <f t="shared" si="47"/>
        <v>0</v>
      </c>
    </row>
    <row r="142" spans="1:15" s="38" customFormat="1" ht="10.7" customHeight="1" outlineLevel="1" x14ac:dyDescent="0.25">
      <c r="A142" s="124"/>
      <c r="B142" s="142"/>
      <c r="C142" s="115"/>
      <c r="D142" s="115"/>
      <c r="E142" s="115"/>
      <c r="F142" s="115"/>
      <c r="G142" s="60" t="s">
        <v>128</v>
      </c>
      <c r="H142" s="124"/>
      <c r="I142" s="124"/>
      <c r="J142" s="60"/>
      <c r="K142" s="60"/>
      <c r="L142" s="60"/>
      <c r="M142" s="60"/>
      <c r="N142" s="60">
        <f t="shared" si="46"/>
        <v>0</v>
      </c>
      <c r="O142" s="60">
        <f t="shared" si="47"/>
        <v>0</v>
      </c>
    </row>
    <row r="143" spans="1:15" s="38" customFormat="1" ht="10.7" customHeight="1" outlineLevel="1" x14ac:dyDescent="0.25">
      <c r="A143" s="124"/>
      <c r="B143" s="142"/>
      <c r="C143" s="115"/>
      <c r="D143" s="115"/>
      <c r="E143" s="115"/>
      <c r="F143" s="115"/>
      <c r="G143" s="60" t="s">
        <v>129</v>
      </c>
      <c r="H143" s="124"/>
      <c r="I143" s="124"/>
      <c r="J143" s="60"/>
      <c r="K143" s="60"/>
      <c r="L143" s="60"/>
      <c r="M143" s="60"/>
      <c r="N143" s="60">
        <f t="shared" si="46"/>
        <v>0</v>
      </c>
      <c r="O143" s="60">
        <f t="shared" si="47"/>
        <v>0</v>
      </c>
    </row>
    <row r="144" spans="1:15" s="38" customFormat="1" ht="10.7" customHeight="1" outlineLevel="1" x14ac:dyDescent="0.25">
      <c r="A144" s="124"/>
      <c r="B144" s="142"/>
      <c r="C144" s="115"/>
      <c r="D144" s="115"/>
      <c r="E144" s="115"/>
      <c r="F144" s="115"/>
      <c r="G144" s="60" t="s">
        <v>130</v>
      </c>
      <c r="H144" s="124"/>
      <c r="I144" s="124"/>
      <c r="J144" s="60"/>
      <c r="K144" s="60"/>
      <c r="L144" s="60"/>
      <c r="M144" s="60"/>
      <c r="N144" s="60">
        <f t="shared" si="46"/>
        <v>0</v>
      </c>
      <c r="O144" s="60">
        <f t="shared" si="47"/>
        <v>0</v>
      </c>
    </row>
    <row r="145" spans="1:15" s="38" customFormat="1" ht="12" customHeight="1" outlineLevel="1" thickBot="1" x14ac:dyDescent="0.3">
      <c r="A145" s="125"/>
      <c r="B145" s="143"/>
      <c r="C145" s="131"/>
      <c r="D145" s="131"/>
      <c r="E145" s="131"/>
      <c r="F145" s="131"/>
      <c r="G145" s="60" t="s">
        <v>131</v>
      </c>
      <c r="H145" s="134"/>
      <c r="I145" s="134"/>
      <c r="J145" s="60"/>
      <c r="K145" s="60"/>
      <c r="L145" s="60"/>
      <c r="M145" s="60"/>
      <c r="N145" s="60">
        <f t="shared" si="46"/>
        <v>0</v>
      </c>
      <c r="O145" s="60">
        <f t="shared" si="47"/>
        <v>0</v>
      </c>
    </row>
    <row r="146" spans="1:15" s="38" customFormat="1" ht="14.45" customHeight="1" outlineLevel="1" x14ac:dyDescent="0.25">
      <c r="A146" s="140" t="s">
        <v>156</v>
      </c>
      <c r="B146" s="141" t="s">
        <v>414</v>
      </c>
      <c r="C146" s="130">
        <f>SUM(N146:N152)</f>
        <v>0</v>
      </c>
      <c r="D146" s="130">
        <f>SUM(O146:O152)</f>
        <v>0</v>
      </c>
      <c r="E146" s="130">
        <f t="shared" si="31"/>
        <v>0</v>
      </c>
      <c r="F146" s="130"/>
      <c r="G146" s="60" t="s">
        <v>125</v>
      </c>
      <c r="H146" s="123"/>
      <c r="I146" s="123"/>
      <c r="J146" s="60"/>
      <c r="K146" s="60"/>
      <c r="L146" s="60"/>
      <c r="M146" s="60"/>
      <c r="N146" s="60">
        <f>M146*J146*K146*L146</f>
        <v>0</v>
      </c>
      <c r="O146" s="60">
        <f>J146*K146*L146</f>
        <v>0</v>
      </c>
    </row>
    <row r="147" spans="1:15" s="38" customFormat="1" ht="11.45" customHeight="1" outlineLevel="1" x14ac:dyDescent="0.25">
      <c r="A147" s="124"/>
      <c r="B147" s="142"/>
      <c r="C147" s="115"/>
      <c r="D147" s="115"/>
      <c r="E147" s="115"/>
      <c r="F147" s="115"/>
      <c r="G147" s="60" t="s">
        <v>126</v>
      </c>
      <c r="H147" s="124"/>
      <c r="I147" s="124"/>
      <c r="J147" s="60"/>
      <c r="K147" s="60"/>
      <c r="L147" s="60"/>
      <c r="M147" s="60"/>
      <c r="N147" s="60">
        <f t="shared" ref="N147:N152" si="48">M147*J147*K147*L147</f>
        <v>0</v>
      </c>
      <c r="O147" s="60">
        <f t="shared" ref="O147:O152" si="49">J147*K147*L147</f>
        <v>0</v>
      </c>
    </row>
    <row r="148" spans="1:15" s="38" customFormat="1" ht="10.7" customHeight="1" outlineLevel="1" x14ac:dyDescent="0.25">
      <c r="A148" s="124"/>
      <c r="B148" s="142"/>
      <c r="C148" s="115"/>
      <c r="D148" s="115"/>
      <c r="E148" s="115"/>
      <c r="F148" s="115"/>
      <c r="G148" s="60" t="s">
        <v>127</v>
      </c>
      <c r="H148" s="124"/>
      <c r="I148" s="124"/>
      <c r="J148" s="60"/>
      <c r="K148" s="60"/>
      <c r="L148" s="60"/>
      <c r="M148" s="60"/>
      <c r="N148" s="60">
        <f t="shared" si="48"/>
        <v>0</v>
      </c>
      <c r="O148" s="60">
        <f t="shared" si="49"/>
        <v>0</v>
      </c>
    </row>
    <row r="149" spans="1:15" s="38" customFormat="1" ht="10.7" customHeight="1" outlineLevel="1" x14ac:dyDescent="0.25">
      <c r="A149" s="124"/>
      <c r="B149" s="142"/>
      <c r="C149" s="115"/>
      <c r="D149" s="115"/>
      <c r="E149" s="115"/>
      <c r="F149" s="115"/>
      <c r="G149" s="60" t="s">
        <v>128</v>
      </c>
      <c r="H149" s="124"/>
      <c r="I149" s="124"/>
      <c r="J149" s="60"/>
      <c r="K149" s="60"/>
      <c r="L149" s="60"/>
      <c r="M149" s="60"/>
      <c r="N149" s="60">
        <f t="shared" si="48"/>
        <v>0</v>
      </c>
      <c r="O149" s="60">
        <f t="shared" si="49"/>
        <v>0</v>
      </c>
    </row>
    <row r="150" spans="1:15" s="38" customFormat="1" ht="10.7" customHeight="1" outlineLevel="1" x14ac:dyDescent="0.25">
      <c r="A150" s="124"/>
      <c r="B150" s="142"/>
      <c r="C150" s="115"/>
      <c r="D150" s="115"/>
      <c r="E150" s="115"/>
      <c r="F150" s="115"/>
      <c r="G150" s="60" t="s">
        <v>129</v>
      </c>
      <c r="H150" s="124"/>
      <c r="I150" s="124"/>
      <c r="J150" s="60"/>
      <c r="K150" s="60"/>
      <c r="L150" s="60"/>
      <c r="M150" s="60"/>
      <c r="N150" s="60">
        <f t="shared" si="48"/>
        <v>0</v>
      </c>
      <c r="O150" s="60">
        <f t="shared" si="49"/>
        <v>0</v>
      </c>
    </row>
    <row r="151" spans="1:15" s="38" customFormat="1" ht="10.7" customHeight="1" outlineLevel="1" x14ac:dyDescent="0.25">
      <c r="A151" s="124"/>
      <c r="B151" s="142"/>
      <c r="C151" s="115"/>
      <c r="D151" s="115"/>
      <c r="E151" s="115"/>
      <c r="F151" s="115"/>
      <c r="G151" s="60" t="s">
        <v>130</v>
      </c>
      <c r="H151" s="124"/>
      <c r="I151" s="124"/>
      <c r="J151" s="60"/>
      <c r="K151" s="60"/>
      <c r="L151" s="60"/>
      <c r="M151" s="60"/>
      <c r="N151" s="60">
        <f t="shared" si="48"/>
        <v>0</v>
      </c>
      <c r="O151" s="60">
        <f t="shared" si="49"/>
        <v>0</v>
      </c>
    </row>
    <row r="152" spans="1:15" s="38" customFormat="1" ht="12" customHeight="1" outlineLevel="1" thickBot="1" x14ac:dyDescent="0.3">
      <c r="A152" s="125"/>
      <c r="B152" s="143"/>
      <c r="C152" s="131"/>
      <c r="D152" s="131"/>
      <c r="E152" s="131"/>
      <c r="F152" s="131"/>
      <c r="G152" s="60" t="s">
        <v>131</v>
      </c>
      <c r="H152" s="134"/>
      <c r="I152" s="134"/>
      <c r="J152" s="60"/>
      <c r="K152" s="60"/>
      <c r="L152" s="60"/>
      <c r="M152" s="60"/>
      <c r="N152" s="60">
        <f t="shared" si="48"/>
        <v>0</v>
      </c>
      <c r="O152" s="60">
        <f t="shared" si="49"/>
        <v>0</v>
      </c>
    </row>
    <row r="153" spans="1:15" s="38" customFormat="1" ht="14.45" customHeight="1" outlineLevel="1" x14ac:dyDescent="0.25">
      <c r="A153" s="140" t="s">
        <v>158</v>
      </c>
      <c r="B153" s="141" t="s">
        <v>415</v>
      </c>
      <c r="C153" s="130">
        <f>SUM(N153:N159)</f>
        <v>0</v>
      </c>
      <c r="D153" s="130">
        <f>SUM(O153:O159)</f>
        <v>0</v>
      </c>
      <c r="E153" s="130">
        <f t="shared" si="31"/>
        <v>0</v>
      </c>
      <c r="F153" s="130"/>
      <c r="G153" s="60" t="s">
        <v>125</v>
      </c>
      <c r="H153" s="123"/>
      <c r="I153" s="123"/>
      <c r="J153" s="60"/>
      <c r="K153" s="60"/>
      <c r="L153" s="60"/>
      <c r="M153" s="60"/>
      <c r="N153" s="60">
        <f>M153*J153*K153*L153</f>
        <v>0</v>
      </c>
      <c r="O153" s="60">
        <f>J153*K153*L153</f>
        <v>0</v>
      </c>
    </row>
    <row r="154" spans="1:15" s="38" customFormat="1" ht="11.45" customHeight="1" outlineLevel="1" x14ac:dyDescent="0.25">
      <c r="A154" s="124"/>
      <c r="B154" s="142"/>
      <c r="C154" s="115"/>
      <c r="D154" s="115"/>
      <c r="E154" s="115"/>
      <c r="F154" s="115"/>
      <c r="G154" s="60" t="s">
        <v>126</v>
      </c>
      <c r="H154" s="124"/>
      <c r="I154" s="124"/>
      <c r="J154" s="60"/>
      <c r="K154" s="60"/>
      <c r="L154" s="60"/>
      <c r="M154" s="60"/>
      <c r="N154" s="60">
        <f t="shared" ref="N154:N159" si="50">M154*J154*K154*L154</f>
        <v>0</v>
      </c>
      <c r="O154" s="60">
        <f t="shared" ref="O154:O159" si="51">J154*K154*L154</f>
        <v>0</v>
      </c>
    </row>
    <row r="155" spans="1:15" s="38" customFormat="1" ht="10.7" customHeight="1" outlineLevel="1" x14ac:dyDescent="0.25">
      <c r="A155" s="124"/>
      <c r="B155" s="142"/>
      <c r="C155" s="115"/>
      <c r="D155" s="115"/>
      <c r="E155" s="115"/>
      <c r="F155" s="115"/>
      <c r="G155" s="60" t="s">
        <v>127</v>
      </c>
      <c r="H155" s="124"/>
      <c r="I155" s="124"/>
      <c r="J155" s="60"/>
      <c r="K155" s="60"/>
      <c r="L155" s="60"/>
      <c r="M155" s="60"/>
      <c r="N155" s="60">
        <f t="shared" si="50"/>
        <v>0</v>
      </c>
      <c r="O155" s="60">
        <f t="shared" si="51"/>
        <v>0</v>
      </c>
    </row>
    <row r="156" spans="1:15" s="38" customFormat="1" ht="10.7" customHeight="1" outlineLevel="1" x14ac:dyDescent="0.25">
      <c r="A156" s="124"/>
      <c r="B156" s="142"/>
      <c r="C156" s="115"/>
      <c r="D156" s="115"/>
      <c r="E156" s="115"/>
      <c r="F156" s="115"/>
      <c r="G156" s="60" t="s">
        <v>128</v>
      </c>
      <c r="H156" s="124"/>
      <c r="I156" s="124"/>
      <c r="J156" s="60"/>
      <c r="K156" s="60"/>
      <c r="L156" s="60"/>
      <c r="M156" s="60"/>
      <c r="N156" s="60">
        <f t="shared" si="50"/>
        <v>0</v>
      </c>
      <c r="O156" s="60">
        <f t="shared" si="51"/>
        <v>0</v>
      </c>
    </row>
    <row r="157" spans="1:15" s="38" customFormat="1" ht="10.7" customHeight="1" outlineLevel="1" x14ac:dyDescent="0.25">
      <c r="A157" s="124"/>
      <c r="B157" s="142"/>
      <c r="C157" s="115"/>
      <c r="D157" s="115"/>
      <c r="E157" s="115"/>
      <c r="F157" s="115"/>
      <c r="G157" s="60" t="s">
        <v>129</v>
      </c>
      <c r="H157" s="124"/>
      <c r="I157" s="124"/>
      <c r="J157" s="60"/>
      <c r="K157" s="60"/>
      <c r="L157" s="60"/>
      <c r="M157" s="60"/>
      <c r="N157" s="60">
        <f t="shared" si="50"/>
        <v>0</v>
      </c>
      <c r="O157" s="60">
        <f t="shared" si="51"/>
        <v>0</v>
      </c>
    </row>
    <row r="158" spans="1:15" s="38" customFormat="1" ht="10.7" customHeight="1" outlineLevel="1" x14ac:dyDescent="0.25">
      <c r="A158" s="124"/>
      <c r="B158" s="142"/>
      <c r="C158" s="115"/>
      <c r="D158" s="115"/>
      <c r="E158" s="115"/>
      <c r="F158" s="115"/>
      <c r="G158" s="60" t="s">
        <v>130</v>
      </c>
      <c r="H158" s="124"/>
      <c r="I158" s="124"/>
      <c r="J158" s="60"/>
      <c r="K158" s="60"/>
      <c r="L158" s="60"/>
      <c r="M158" s="60"/>
      <c r="N158" s="60">
        <f t="shared" si="50"/>
        <v>0</v>
      </c>
      <c r="O158" s="60">
        <f t="shared" si="51"/>
        <v>0</v>
      </c>
    </row>
    <row r="159" spans="1:15" s="38" customFormat="1" ht="12" customHeight="1" outlineLevel="1" thickBot="1" x14ac:dyDescent="0.3">
      <c r="A159" s="125"/>
      <c r="B159" s="143"/>
      <c r="C159" s="131"/>
      <c r="D159" s="131"/>
      <c r="E159" s="131"/>
      <c r="F159" s="131"/>
      <c r="G159" s="60" t="s">
        <v>131</v>
      </c>
      <c r="H159" s="134"/>
      <c r="I159" s="134"/>
      <c r="J159" s="60"/>
      <c r="K159" s="60"/>
      <c r="L159" s="60"/>
      <c r="M159" s="60"/>
      <c r="N159" s="60">
        <f t="shared" si="50"/>
        <v>0</v>
      </c>
      <c r="O159" s="60">
        <f t="shared" si="51"/>
        <v>0</v>
      </c>
    </row>
    <row r="160" spans="1:15" s="38" customFormat="1" ht="14.45" customHeight="1" outlineLevel="1" x14ac:dyDescent="0.25">
      <c r="A160" s="140" t="s">
        <v>160</v>
      </c>
      <c r="B160" s="141" t="s">
        <v>416</v>
      </c>
      <c r="C160" s="130">
        <f>SUM(N160:N166)</f>
        <v>0</v>
      </c>
      <c r="D160" s="130">
        <f>SUM(O160:O166)</f>
        <v>0</v>
      </c>
      <c r="E160" s="130">
        <f t="shared" ref="E160:E216" si="52">D160/8</f>
        <v>0</v>
      </c>
      <c r="F160" s="130"/>
      <c r="G160" s="60" t="s">
        <v>125</v>
      </c>
      <c r="H160" s="123"/>
      <c r="I160" s="123"/>
      <c r="J160" s="60"/>
      <c r="K160" s="60"/>
      <c r="L160" s="60"/>
      <c r="M160" s="60"/>
      <c r="N160" s="60">
        <f>M160*J160*K160*L160</f>
        <v>0</v>
      </c>
      <c r="O160" s="60">
        <f>J160*K160*L160</f>
        <v>0</v>
      </c>
    </row>
    <row r="161" spans="1:15" s="38" customFormat="1" ht="11.45" customHeight="1" outlineLevel="1" x14ac:dyDescent="0.25">
      <c r="A161" s="124"/>
      <c r="B161" s="142"/>
      <c r="C161" s="115"/>
      <c r="D161" s="115"/>
      <c r="E161" s="115"/>
      <c r="F161" s="115"/>
      <c r="G161" s="60" t="s">
        <v>126</v>
      </c>
      <c r="H161" s="124"/>
      <c r="I161" s="124"/>
      <c r="J161" s="60"/>
      <c r="K161" s="60"/>
      <c r="L161" s="60"/>
      <c r="M161" s="60"/>
      <c r="N161" s="60">
        <f t="shared" ref="N161:N166" si="53">M161*J161*K161*L161</f>
        <v>0</v>
      </c>
      <c r="O161" s="60">
        <f t="shared" ref="O161:O166" si="54">J161*K161*L161</f>
        <v>0</v>
      </c>
    </row>
    <row r="162" spans="1:15" s="38" customFormat="1" ht="10.7" customHeight="1" outlineLevel="1" x14ac:dyDescent="0.25">
      <c r="A162" s="124"/>
      <c r="B162" s="142"/>
      <c r="C162" s="115"/>
      <c r="D162" s="115"/>
      <c r="E162" s="115"/>
      <c r="F162" s="115"/>
      <c r="G162" s="60" t="s">
        <v>127</v>
      </c>
      <c r="H162" s="124"/>
      <c r="I162" s="124"/>
      <c r="J162" s="60"/>
      <c r="K162" s="60"/>
      <c r="L162" s="60"/>
      <c r="M162" s="60"/>
      <c r="N162" s="60">
        <f t="shared" si="53"/>
        <v>0</v>
      </c>
      <c r="O162" s="60">
        <f t="shared" si="54"/>
        <v>0</v>
      </c>
    </row>
    <row r="163" spans="1:15" s="38" customFormat="1" ht="10.7" customHeight="1" outlineLevel="1" x14ac:dyDescent="0.25">
      <c r="A163" s="124"/>
      <c r="B163" s="142"/>
      <c r="C163" s="115"/>
      <c r="D163" s="115"/>
      <c r="E163" s="115"/>
      <c r="F163" s="115"/>
      <c r="G163" s="60" t="s">
        <v>128</v>
      </c>
      <c r="H163" s="124"/>
      <c r="I163" s="124"/>
      <c r="J163" s="60"/>
      <c r="K163" s="60"/>
      <c r="L163" s="60"/>
      <c r="M163" s="60"/>
      <c r="N163" s="60">
        <f t="shared" si="53"/>
        <v>0</v>
      </c>
      <c r="O163" s="60">
        <f t="shared" si="54"/>
        <v>0</v>
      </c>
    </row>
    <row r="164" spans="1:15" s="38" customFormat="1" ht="10.7" customHeight="1" outlineLevel="1" x14ac:dyDescent="0.25">
      <c r="A164" s="124"/>
      <c r="B164" s="142"/>
      <c r="C164" s="115"/>
      <c r="D164" s="115"/>
      <c r="E164" s="115"/>
      <c r="F164" s="115"/>
      <c r="G164" s="60" t="s">
        <v>129</v>
      </c>
      <c r="H164" s="124"/>
      <c r="I164" s="124"/>
      <c r="J164" s="60"/>
      <c r="K164" s="60"/>
      <c r="L164" s="60"/>
      <c r="M164" s="60"/>
      <c r="N164" s="60">
        <f t="shared" si="53"/>
        <v>0</v>
      </c>
      <c r="O164" s="60">
        <f t="shared" si="54"/>
        <v>0</v>
      </c>
    </row>
    <row r="165" spans="1:15" s="38" customFormat="1" ht="10.7" customHeight="1" outlineLevel="1" x14ac:dyDescent="0.25">
      <c r="A165" s="124"/>
      <c r="B165" s="142"/>
      <c r="C165" s="115"/>
      <c r="D165" s="115"/>
      <c r="E165" s="115"/>
      <c r="F165" s="115"/>
      <c r="G165" s="60" t="s">
        <v>130</v>
      </c>
      <c r="H165" s="124"/>
      <c r="I165" s="124"/>
      <c r="J165" s="60"/>
      <c r="K165" s="60"/>
      <c r="L165" s="60"/>
      <c r="M165" s="60"/>
      <c r="N165" s="60">
        <f t="shared" si="53"/>
        <v>0</v>
      </c>
      <c r="O165" s="60">
        <f t="shared" si="54"/>
        <v>0</v>
      </c>
    </row>
    <row r="166" spans="1:15" s="38" customFormat="1" ht="12" customHeight="1" outlineLevel="1" thickBot="1" x14ac:dyDescent="0.3">
      <c r="A166" s="125"/>
      <c r="B166" s="143"/>
      <c r="C166" s="131"/>
      <c r="D166" s="131"/>
      <c r="E166" s="131"/>
      <c r="F166" s="131"/>
      <c r="G166" s="60" t="s">
        <v>131</v>
      </c>
      <c r="H166" s="134"/>
      <c r="I166" s="134"/>
      <c r="J166" s="60"/>
      <c r="K166" s="60"/>
      <c r="L166" s="60"/>
      <c r="M166" s="60"/>
      <c r="N166" s="60">
        <f t="shared" si="53"/>
        <v>0</v>
      </c>
      <c r="O166" s="60">
        <f t="shared" si="54"/>
        <v>0</v>
      </c>
    </row>
    <row r="167" spans="1:15" s="38" customFormat="1" ht="14.45" customHeight="1" outlineLevel="1" x14ac:dyDescent="0.25">
      <c r="A167" s="140" t="s">
        <v>162</v>
      </c>
      <c r="B167" s="141" t="s">
        <v>417</v>
      </c>
      <c r="C167" s="130">
        <f>SUM(N167:N173)</f>
        <v>0</v>
      </c>
      <c r="D167" s="130">
        <f>SUM(O167:O173)</f>
        <v>0</v>
      </c>
      <c r="E167" s="130">
        <f t="shared" si="52"/>
        <v>0</v>
      </c>
      <c r="F167" s="130"/>
      <c r="G167" s="60" t="s">
        <v>125</v>
      </c>
      <c r="H167" s="123"/>
      <c r="I167" s="123"/>
      <c r="J167" s="60"/>
      <c r="K167" s="60"/>
      <c r="L167" s="60"/>
      <c r="M167" s="60"/>
      <c r="N167" s="60">
        <f>M167*J167*K167*L167</f>
        <v>0</v>
      </c>
      <c r="O167" s="60">
        <f>J167*K167*L167</f>
        <v>0</v>
      </c>
    </row>
    <row r="168" spans="1:15" s="38" customFormat="1" ht="11.45" customHeight="1" outlineLevel="1" x14ac:dyDescent="0.25">
      <c r="A168" s="124"/>
      <c r="B168" s="142"/>
      <c r="C168" s="115"/>
      <c r="D168" s="115"/>
      <c r="E168" s="115"/>
      <c r="F168" s="115"/>
      <c r="G168" s="60" t="s">
        <v>126</v>
      </c>
      <c r="H168" s="124"/>
      <c r="I168" s="124"/>
      <c r="J168" s="60"/>
      <c r="K168" s="60"/>
      <c r="L168" s="60"/>
      <c r="M168" s="60"/>
      <c r="N168" s="60">
        <f t="shared" ref="N168:N173" si="55">M168*J168*K168*L168</f>
        <v>0</v>
      </c>
      <c r="O168" s="60">
        <f t="shared" ref="O168:O173" si="56">J168*K168*L168</f>
        <v>0</v>
      </c>
    </row>
    <row r="169" spans="1:15" s="38" customFormat="1" ht="10.7" customHeight="1" outlineLevel="1" x14ac:dyDescent="0.25">
      <c r="A169" s="124"/>
      <c r="B169" s="142"/>
      <c r="C169" s="115"/>
      <c r="D169" s="115"/>
      <c r="E169" s="115"/>
      <c r="F169" s="115"/>
      <c r="G169" s="60" t="s">
        <v>127</v>
      </c>
      <c r="H169" s="124"/>
      <c r="I169" s="124"/>
      <c r="J169" s="60"/>
      <c r="K169" s="60"/>
      <c r="L169" s="60"/>
      <c r="M169" s="60"/>
      <c r="N169" s="60">
        <f t="shared" si="55"/>
        <v>0</v>
      </c>
      <c r="O169" s="60">
        <f t="shared" si="56"/>
        <v>0</v>
      </c>
    </row>
    <row r="170" spans="1:15" s="38" customFormat="1" ht="10.7" customHeight="1" outlineLevel="1" x14ac:dyDescent="0.25">
      <c r="A170" s="124"/>
      <c r="B170" s="142"/>
      <c r="C170" s="115"/>
      <c r="D170" s="115"/>
      <c r="E170" s="115"/>
      <c r="F170" s="115"/>
      <c r="G170" s="60" t="s">
        <v>128</v>
      </c>
      <c r="H170" s="124"/>
      <c r="I170" s="124"/>
      <c r="J170" s="60"/>
      <c r="K170" s="60"/>
      <c r="L170" s="60"/>
      <c r="M170" s="60"/>
      <c r="N170" s="60">
        <f t="shared" si="55"/>
        <v>0</v>
      </c>
      <c r="O170" s="60">
        <f t="shared" si="56"/>
        <v>0</v>
      </c>
    </row>
    <row r="171" spans="1:15" s="38" customFormat="1" ht="10.7" customHeight="1" outlineLevel="1" x14ac:dyDescent="0.25">
      <c r="A171" s="124"/>
      <c r="B171" s="142"/>
      <c r="C171" s="115"/>
      <c r="D171" s="115"/>
      <c r="E171" s="115"/>
      <c r="F171" s="115"/>
      <c r="G171" s="60" t="s">
        <v>129</v>
      </c>
      <c r="H171" s="124"/>
      <c r="I171" s="124"/>
      <c r="J171" s="60"/>
      <c r="K171" s="60"/>
      <c r="L171" s="60"/>
      <c r="M171" s="60"/>
      <c r="N171" s="60">
        <f t="shared" si="55"/>
        <v>0</v>
      </c>
      <c r="O171" s="60">
        <f t="shared" si="56"/>
        <v>0</v>
      </c>
    </row>
    <row r="172" spans="1:15" s="38" customFormat="1" ht="10.7" customHeight="1" outlineLevel="1" x14ac:dyDescent="0.25">
      <c r="A172" s="124"/>
      <c r="B172" s="142"/>
      <c r="C172" s="115"/>
      <c r="D172" s="115"/>
      <c r="E172" s="115"/>
      <c r="F172" s="115"/>
      <c r="G172" s="60" t="s">
        <v>130</v>
      </c>
      <c r="H172" s="124"/>
      <c r="I172" s="124"/>
      <c r="J172" s="60"/>
      <c r="K172" s="60"/>
      <c r="L172" s="60"/>
      <c r="M172" s="60"/>
      <c r="N172" s="60">
        <f t="shared" si="55"/>
        <v>0</v>
      </c>
      <c r="O172" s="60">
        <f t="shared" si="56"/>
        <v>0</v>
      </c>
    </row>
    <row r="173" spans="1:15" s="38" customFormat="1" ht="12" customHeight="1" outlineLevel="1" thickBot="1" x14ac:dyDescent="0.3">
      <c r="A173" s="125"/>
      <c r="B173" s="143"/>
      <c r="C173" s="131"/>
      <c r="D173" s="131"/>
      <c r="E173" s="131"/>
      <c r="F173" s="131"/>
      <c r="G173" s="60" t="s">
        <v>131</v>
      </c>
      <c r="H173" s="134"/>
      <c r="I173" s="134"/>
      <c r="J173" s="60"/>
      <c r="K173" s="60"/>
      <c r="L173" s="60"/>
      <c r="M173" s="60"/>
      <c r="N173" s="60">
        <f t="shared" si="55"/>
        <v>0</v>
      </c>
      <c r="O173" s="60">
        <f t="shared" si="56"/>
        <v>0</v>
      </c>
    </row>
    <row r="174" spans="1:15" s="38" customFormat="1" ht="14.45" customHeight="1" outlineLevel="1" x14ac:dyDescent="0.25">
      <c r="A174" s="140" t="s">
        <v>363</v>
      </c>
      <c r="B174" s="141" t="s">
        <v>166</v>
      </c>
      <c r="C174" s="130">
        <f>SUM(N174:N180)</f>
        <v>0</v>
      </c>
      <c r="D174" s="130">
        <f>SUM(O174:O180)</f>
        <v>0</v>
      </c>
      <c r="E174" s="130">
        <f t="shared" si="52"/>
        <v>0</v>
      </c>
      <c r="F174" s="130"/>
      <c r="G174" s="60" t="s">
        <v>125</v>
      </c>
      <c r="H174" s="123"/>
      <c r="I174" s="123"/>
      <c r="J174" s="60"/>
      <c r="K174" s="60"/>
      <c r="L174" s="60"/>
      <c r="M174" s="60"/>
      <c r="N174" s="60">
        <f>M174*J174*K174*L174</f>
        <v>0</v>
      </c>
      <c r="O174" s="60">
        <f>J174*K174*L174</f>
        <v>0</v>
      </c>
    </row>
    <row r="175" spans="1:15" s="38" customFormat="1" ht="11.45" customHeight="1" outlineLevel="1" x14ac:dyDescent="0.25">
      <c r="A175" s="124"/>
      <c r="B175" s="142"/>
      <c r="C175" s="115"/>
      <c r="D175" s="115"/>
      <c r="E175" s="115"/>
      <c r="F175" s="115"/>
      <c r="G175" s="60" t="s">
        <v>126</v>
      </c>
      <c r="H175" s="124"/>
      <c r="I175" s="124"/>
      <c r="J175" s="60"/>
      <c r="K175" s="60"/>
      <c r="L175" s="60"/>
      <c r="M175" s="60"/>
      <c r="N175" s="60">
        <f t="shared" ref="N175:N180" si="57">M175*J175*K175*L175</f>
        <v>0</v>
      </c>
      <c r="O175" s="60">
        <f t="shared" ref="O175:O180" si="58">J175*K175*L175</f>
        <v>0</v>
      </c>
    </row>
    <row r="176" spans="1:15" s="38" customFormat="1" ht="10.7" customHeight="1" outlineLevel="1" x14ac:dyDescent="0.25">
      <c r="A176" s="124"/>
      <c r="B176" s="142"/>
      <c r="C176" s="115"/>
      <c r="D176" s="115"/>
      <c r="E176" s="115"/>
      <c r="F176" s="115"/>
      <c r="G176" s="60" t="s">
        <v>127</v>
      </c>
      <c r="H176" s="124"/>
      <c r="I176" s="124"/>
      <c r="J176" s="60"/>
      <c r="K176" s="60"/>
      <c r="L176" s="60"/>
      <c r="M176" s="60"/>
      <c r="N176" s="60">
        <f t="shared" si="57"/>
        <v>0</v>
      </c>
      <c r="O176" s="60">
        <f t="shared" si="58"/>
        <v>0</v>
      </c>
    </row>
    <row r="177" spans="1:15" s="38" customFormat="1" ht="10.7" customHeight="1" outlineLevel="1" x14ac:dyDescent="0.25">
      <c r="A177" s="124"/>
      <c r="B177" s="142"/>
      <c r="C177" s="115"/>
      <c r="D177" s="115"/>
      <c r="E177" s="115"/>
      <c r="F177" s="115"/>
      <c r="G177" s="60" t="s">
        <v>128</v>
      </c>
      <c r="H177" s="124"/>
      <c r="I177" s="124"/>
      <c r="J177" s="60"/>
      <c r="K177" s="60"/>
      <c r="L177" s="60"/>
      <c r="M177" s="60"/>
      <c r="N177" s="60">
        <f t="shared" si="57"/>
        <v>0</v>
      </c>
      <c r="O177" s="60">
        <f t="shared" si="58"/>
        <v>0</v>
      </c>
    </row>
    <row r="178" spans="1:15" s="38" customFormat="1" ht="10.7" customHeight="1" outlineLevel="1" x14ac:dyDescent="0.25">
      <c r="A178" s="124"/>
      <c r="B178" s="142"/>
      <c r="C178" s="115"/>
      <c r="D178" s="115"/>
      <c r="E178" s="115"/>
      <c r="F178" s="115"/>
      <c r="G178" s="60" t="s">
        <v>129</v>
      </c>
      <c r="H178" s="124"/>
      <c r="I178" s="124"/>
      <c r="J178" s="60"/>
      <c r="K178" s="60"/>
      <c r="L178" s="60"/>
      <c r="M178" s="60"/>
      <c r="N178" s="60">
        <f t="shared" si="57"/>
        <v>0</v>
      </c>
      <c r="O178" s="60">
        <f t="shared" si="58"/>
        <v>0</v>
      </c>
    </row>
    <row r="179" spans="1:15" s="38" customFormat="1" ht="10.7" customHeight="1" outlineLevel="1" x14ac:dyDescent="0.25">
      <c r="A179" s="124"/>
      <c r="B179" s="142"/>
      <c r="C179" s="115"/>
      <c r="D179" s="115"/>
      <c r="E179" s="115"/>
      <c r="F179" s="115"/>
      <c r="G179" s="60" t="s">
        <v>130</v>
      </c>
      <c r="H179" s="124"/>
      <c r="I179" s="124"/>
      <c r="J179" s="60"/>
      <c r="K179" s="60"/>
      <c r="L179" s="60"/>
      <c r="M179" s="60"/>
      <c r="N179" s="60">
        <f t="shared" si="57"/>
        <v>0</v>
      </c>
      <c r="O179" s="60">
        <f t="shared" si="58"/>
        <v>0</v>
      </c>
    </row>
    <row r="180" spans="1:15" s="38" customFormat="1" ht="12" customHeight="1" outlineLevel="1" thickBot="1" x14ac:dyDescent="0.3">
      <c r="A180" s="125"/>
      <c r="B180" s="143"/>
      <c r="C180" s="131"/>
      <c r="D180" s="131"/>
      <c r="E180" s="131"/>
      <c r="F180" s="131"/>
      <c r="G180" s="60" t="s">
        <v>131</v>
      </c>
      <c r="H180" s="134"/>
      <c r="I180" s="134"/>
      <c r="J180" s="60"/>
      <c r="K180" s="60"/>
      <c r="L180" s="60"/>
      <c r="M180" s="60"/>
      <c r="N180" s="60">
        <f t="shared" si="57"/>
        <v>0</v>
      </c>
      <c r="O180" s="60">
        <f t="shared" si="58"/>
        <v>0</v>
      </c>
    </row>
    <row r="181" spans="1:15" s="38" customFormat="1" ht="14.45" customHeight="1" outlineLevel="1" x14ac:dyDescent="0.25">
      <c r="A181" s="140" t="s">
        <v>365</v>
      </c>
      <c r="B181" s="141" t="s">
        <v>418</v>
      </c>
      <c r="C181" s="130">
        <f>SUM(N181:N187)</f>
        <v>0</v>
      </c>
      <c r="D181" s="130">
        <f>SUM(O181:O187)</f>
        <v>0</v>
      </c>
      <c r="E181" s="130">
        <f t="shared" si="52"/>
        <v>0</v>
      </c>
      <c r="F181" s="130"/>
      <c r="G181" s="60" t="s">
        <v>125</v>
      </c>
      <c r="H181" s="123"/>
      <c r="I181" s="123"/>
      <c r="J181" s="60"/>
      <c r="K181" s="60"/>
      <c r="L181" s="60"/>
      <c r="M181" s="60"/>
      <c r="N181" s="60">
        <f>M181*J181*K181*L181</f>
        <v>0</v>
      </c>
      <c r="O181" s="60">
        <f>J181*K181*L181</f>
        <v>0</v>
      </c>
    </row>
    <row r="182" spans="1:15" s="38" customFormat="1" ht="11.45" customHeight="1" outlineLevel="1" x14ac:dyDescent="0.25">
      <c r="A182" s="124"/>
      <c r="B182" s="142"/>
      <c r="C182" s="115"/>
      <c r="D182" s="115"/>
      <c r="E182" s="115"/>
      <c r="F182" s="115"/>
      <c r="G182" s="60" t="s">
        <v>126</v>
      </c>
      <c r="H182" s="124"/>
      <c r="I182" s="124"/>
      <c r="J182" s="60"/>
      <c r="K182" s="60"/>
      <c r="L182" s="60"/>
      <c r="M182" s="60"/>
      <c r="N182" s="60">
        <f t="shared" ref="N182:N187" si="59">M182*J182*K182*L182</f>
        <v>0</v>
      </c>
      <c r="O182" s="60">
        <f t="shared" ref="O182:O187" si="60">J182*K182*L182</f>
        <v>0</v>
      </c>
    </row>
    <row r="183" spans="1:15" s="38" customFormat="1" ht="10.7" customHeight="1" outlineLevel="1" x14ac:dyDescent="0.25">
      <c r="A183" s="124"/>
      <c r="B183" s="142"/>
      <c r="C183" s="115"/>
      <c r="D183" s="115"/>
      <c r="E183" s="115"/>
      <c r="F183" s="115"/>
      <c r="G183" s="60" t="s">
        <v>127</v>
      </c>
      <c r="H183" s="124"/>
      <c r="I183" s="124"/>
      <c r="J183" s="60"/>
      <c r="K183" s="60"/>
      <c r="L183" s="60"/>
      <c r="M183" s="60"/>
      <c r="N183" s="60">
        <f t="shared" si="59"/>
        <v>0</v>
      </c>
      <c r="O183" s="60">
        <f t="shared" si="60"/>
        <v>0</v>
      </c>
    </row>
    <row r="184" spans="1:15" s="38" customFormat="1" ht="10.7" customHeight="1" outlineLevel="1" x14ac:dyDescent="0.25">
      <c r="A184" s="124"/>
      <c r="B184" s="142"/>
      <c r="C184" s="115"/>
      <c r="D184" s="115"/>
      <c r="E184" s="115"/>
      <c r="F184" s="115"/>
      <c r="G184" s="60" t="s">
        <v>128</v>
      </c>
      <c r="H184" s="124"/>
      <c r="I184" s="124"/>
      <c r="J184" s="60"/>
      <c r="K184" s="60"/>
      <c r="L184" s="60"/>
      <c r="M184" s="60"/>
      <c r="N184" s="60">
        <f t="shared" si="59"/>
        <v>0</v>
      </c>
      <c r="O184" s="60">
        <f t="shared" si="60"/>
        <v>0</v>
      </c>
    </row>
    <row r="185" spans="1:15" s="38" customFormat="1" ht="10.7" customHeight="1" outlineLevel="1" x14ac:dyDescent="0.25">
      <c r="A185" s="124"/>
      <c r="B185" s="142"/>
      <c r="C185" s="115"/>
      <c r="D185" s="115"/>
      <c r="E185" s="115"/>
      <c r="F185" s="115"/>
      <c r="G185" s="60" t="s">
        <v>129</v>
      </c>
      <c r="H185" s="124"/>
      <c r="I185" s="124"/>
      <c r="J185" s="60"/>
      <c r="K185" s="60"/>
      <c r="L185" s="60"/>
      <c r="M185" s="60"/>
      <c r="N185" s="60">
        <f t="shared" si="59"/>
        <v>0</v>
      </c>
      <c r="O185" s="60">
        <f t="shared" si="60"/>
        <v>0</v>
      </c>
    </row>
    <row r="186" spans="1:15" s="38" customFormat="1" ht="10.7" customHeight="1" outlineLevel="1" x14ac:dyDescent="0.25">
      <c r="A186" s="124"/>
      <c r="B186" s="142"/>
      <c r="C186" s="115"/>
      <c r="D186" s="115"/>
      <c r="E186" s="115"/>
      <c r="F186" s="115"/>
      <c r="G186" s="60" t="s">
        <v>130</v>
      </c>
      <c r="H186" s="124"/>
      <c r="I186" s="124"/>
      <c r="J186" s="60"/>
      <c r="K186" s="60"/>
      <c r="L186" s="60"/>
      <c r="M186" s="60"/>
      <c r="N186" s="60">
        <f t="shared" si="59"/>
        <v>0</v>
      </c>
      <c r="O186" s="60">
        <f t="shared" si="60"/>
        <v>0</v>
      </c>
    </row>
    <row r="187" spans="1:15" s="38" customFormat="1" ht="12" customHeight="1" outlineLevel="1" thickBot="1" x14ac:dyDescent="0.3">
      <c r="A187" s="125"/>
      <c r="B187" s="143"/>
      <c r="C187" s="131"/>
      <c r="D187" s="131"/>
      <c r="E187" s="131"/>
      <c r="F187" s="131"/>
      <c r="G187" s="60" t="s">
        <v>131</v>
      </c>
      <c r="H187" s="134"/>
      <c r="I187" s="134"/>
      <c r="J187" s="60"/>
      <c r="K187" s="60"/>
      <c r="L187" s="60"/>
      <c r="M187" s="60"/>
      <c r="N187" s="60">
        <f t="shared" si="59"/>
        <v>0</v>
      </c>
      <c r="O187" s="60">
        <f t="shared" si="60"/>
        <v>0</v>
      </c>
    </row>
    <row r="188" spans="1:15" s="38" customFormat="1" ht="14.45" customHeight="1" outlineLevel="1" x14ac:dyDescent="0.25">
      <c r="A188" s="140" t="s">
        <v>367</v>
      </c>
      <c r="B188" s="141" t="s">
        <v>419</v>
      </c>
      <c r="C188" s="130">
        <f>SUM(N188:N194)</f>
        <v>0</v>
      </c>
      <c r="D188" s="130">
        <f>SUM(O188:O194)</f>
        <v>0</v>
      </c>
      <c r="E188" s="130">
        <f t="shared" si="52"/>
        <v>0</v>
      </c>
      <c r="F188" s="130"/>
      <c r="G188" s="60" t="s">
        <v>125</v>
      </c>
      <c r="H188" s="123"/>
      <c r="I188" s="123"/>
      <c r="J188" s="60"/>
      <c r="K188" s="60"/>
      <c r="L188" s="60"/>
      <c r="M188" s="60"/>
      <c r="N188" s="60">
        <f>M188*J188*K188*L188</f>
        <v>0</v>
      </c>
      <c r="O188" s="60">
        <f>J188*K188*L188</f>
        <v>0</v>
      </c>
    </row>
    <row r="189" spans="1:15" s="38" customFormat="1" ht="11.45" customHeight="1" outlineLevel="1" x14ac:dyDescent="0.25">
      <c r="A189" s="124"/>
      <c r="B189" s="142"/>
      <c r="C189" s="115"/>
      <c r="D189" s="115"/>
      <c r="E189" s="115"/>
      <c r="F189" s="115"/>
      <c r="G189" s="60" t="s">
        <v>126</v>
      </c>
      <c r="H189" s="124"/>
      <c r="I189" s="124"/>
      <c r="J189" s="60"/>
      <c r="K189" s="60"/>
      <c r="L189" s="60"/>
      <c r="M189" s="60"/>
      <c r="N189" s="60">
        <f t="shared" ref="N189:N194" si="61">M189*J189*K189*L189</f>
        <v>0</v>
      </c>
      <c r="O189" s="60">
        <f t="shared" ref="O189:O194" si="62">J189*K189*L189</f>
        <v>0</v>
      </c>
    </row>
    <row r="190" spans="1:15" s="38" customFormat="1" ht="10.7" customHeight="1" outlineLevel="1" x14ac:dyDescent="0.25">
      <c r="A190" s="124"/>
      <c r="B190" s="142"/>
      <c r="C190" s="115"/>
      <c r="D190" s="115"/>
      <c r="E190" s="115"/>
      <c r="F190" s="115"/>
      <c r="G190" s="60" t="s">
        <v>127</v>
      </c>
      <c r="H190" s="124"/>
      <c r="I190" s="124"/>
      <c r="J190" s="60"/>
      <c r="K190" s="60"/>
      <c r="L190" s="60"/>
      <c r="M190" s="60"/>
      <c r="N190" s="60">
        <f t="shared" si="61"/>
        <v>0</v>
      </c>
      <c r="O190" s="60">
        <f t="shared" si="62"/>
        <v>0</v>
      </c>
    </row>
    <row r="191" spans="1:15" s="38" customFormat="1" ht="10.7" customHeight="1" outlineLevel="1" x14ac:dyDescent="0.25">
      <c r="A191" s="124"/>
      <c r="B191" s="142"/>
      <c r="C191" s="115"/>
      <c r="D191" s="115"/>
      <c r="E191" s="115"/>
      <c r="F191" s="115"/>
      <c r="G191" s="60" t="s">
        <v>128</v>
      </c>
      <c r="H191" s="124"/>
      <c r="I191" s="124"/>
      <c r="J191" s="60"/>
      <c r="K191" s="60"/>
      <c r="L191" s="60"/>
      <c r="M191" s="60"/>
      <c r="N191" s="60">
        <f t="shared" si="61"/>
        <v>0</v>
      </c>
      <c r="O191" s="60">
        <f t="shared" si="62"/>
        <v>0</v>
      </c>
    </row>
    <row r="192" spans="1:15" s="38" customFormat="1" ht="10.7" customHeight="1" outlineLevel="1" x14ac:dyDescent="0.25">
      <c r="A192" s="124"/>
      <c r="B192" s="142"/>
      <c r="C192" s="115"/>
      <c r="D192" s="115"/>
      <c r="E192" s="115"/>
      <c r="F192" s="115"/>
      <c r="G192" s="60" t="s">
        <v>129</v>
      </c>
      <c r="H192" s="124"/>
      <c r="I192" s="124"/>
      <c r="J192" s="60"/>
      <c r="K192" s="60"/>
      <c r="L192" s="60"/>
      <c r="M192" s="60"/>
      <c r="N192" s="60">
        <f t="shared" si="61"/>
        <v>0</v>
      </c>
      <c r="O192" s="60">
        <f t="shared" si="62"/>
        <v>0</v>
      </c>
    </row>
    <row r="193" spans="1:15" s="38" customFormat="1" ht="10.7" customHeight="1" outlineLevel="1" x14ac:dyDescent="0.25">
      <c r="A193" s="124"/>
      <c r="B193" s="142"/>
      <c r="C193" s="115"/>
      <c r="D193" s="115"/>
      <c r="E193" s="115"/>
      <c r="F193" s="115"/>
      <c r="G193" s="60" t="s">
        <v>130</v>
      </c>
      <c r="H193" s="124"/>
      <c r="I193" s="124"/>
      <c r="J193" s="60"/>
      <c r="K193" s="60"/>
      <c r="L193" s="60"/>
      <c r="M193" s="60"/>
      <c r="N193" s="60">
        <f t="shared" si="61"/>
        <v>0</v>
      </c>
      <c r="O193" s="60">
        <f t="shared" si="62"/>
        <v>0</v>
      </c>
    </row>
    <row r="194" spans="1:15" s="38" customFormat="1" ht="12" customHeight="1" outlineLevel="1" thickBot="1" x14ac:dyDescent="0.3">
      <c r="A194" s="125"/>
      <c r="B194" s="143"/>
      <c r="C194" s="131"/>
      <c r="D194" s="131"/>
      <c r="E194" s="131"/>
      <c r="F194" s="131"/>
      <c r="G194" s="60" t="s">
        <v>131</v>
      </c>
      <c r="H194" s="134"/>
      <c r="I194" s="134"/>
      <c r="J194" s="60"/>
      <c r="K194" s="60"/>
      <c r="L194" s="60"/>
      <c r="M194" s="60"/>
      <c r="N194" s="60">
        <f t="shared" si="61"/>
        <v>0</v>
      </c>
      <c r="O194" s="60">
        <f t="shared" si="62"/>
        <v>0</v>
      </c>
    </row>
    <row r="195" spans="1:15" s="38" customFormat="1" ht="14.45" customHeight="1" outlineLevel="1" x14ac:dyDescent="0.25">
      <c r="A195" s="140" t="s">
        <v>369</v>
      </c>
      <c r="B195" s="141" t="s">
        <v>420</v>
      </c>
      <c r="C195" s="130">
        <f>SUM(N195:N201)</f>
        <v>0</v>
      </c>
      <c r="D195" s="130">
        <f>SUM(O195:O201)</f>
        <v>0</v>
      </c>
      <c r="E195" s="130">
        <f t="shared" si="52"/>
        <v>0</v>
      </c>
      <c r="F195" s="130"/>
      <c r="G195" s="60" t="s">
        <v>125</v>
      </c>
      <c r="H195" s="123"/>
      <c r="I195" s="123"/>
      <c r="J195" s="60"/>
      <c r="K195" s="60"/>
      <c r="L195" s="60"/>
      <c r="M195" s="60"/>
      <c r="N195" s="60">
        <f>M195*J195*K195*L195</f>
        <v>0</v>
      </c>
      <c r="O195" s="60">
        <f>J195*K195*L195</f>
        <v>0</v>
      </c>
    </row>
    <row r="196" spans="1:15" s="38" customFormat="1" ht="11.45" customHeight="1" outlineLevel="1" x14ac:dyDescent="0.25">
      <c r="A196" s="124"/>
      <c r="B196" s="142"/>
      <c r="C196" s="115"/>
      <c r="D196" s="115"/>
      <c r="E196" s="115"/>
      <c r="F196" s="115"/>
      <c r="G196" s="60" t="s">
        <v>126</v>
      </c>
      <c r="H196" s="124"/>
      <c r="I196" s="124"/>
      <c r="J196" s="60"/>
      <c r="K196" s="60"/>
      <c r="L196" s="60"/>
      <c r="M196" s="60"/>
      <c r="N196" s="60">
        <f t="shared" ref="N196:N201" si="63">M196*J196*K196*L196</f>
        <v>0</v>
      </c>
      <c r="O196" s="60">
        <f t="shared" ref="O196:O201" si="64">J196*K196*L196</f>
        <v>0</v>
      </c>
    </row>
    <row r="197" spans="1:15" s="38" customFormat="1" ht="10.7" customHeight="1" outlineLevel="1" x14ac:dyDescent="0.25">
      <c r="A197" s="124"/>
      <c r="B197" s="142"/>
      <c r="C197" s="115"/>
      <c r="D197" s="115"/>
      <c r="E197" s="115"/>
      <c r="F197" s="115"/>
      <c r="G197" s="60" t="s">
        <v>127</v>
      </c>
      <c r="H197" s="124"/>
      <c r="I197" s="124"/>
      <c r="J197" s="60"/>
      <c r="K197" s="60"/>
      <c r="L197" s="60"/>
      <c r="M197" s="60"/>
      <c r="N197" s="60">
        <f t="shared" si="63"/>
        <v>0</v>
      </c>
      <c r="O197" s="60">
        <f t="shared" si="64"/>
        <v>0</v>
      </c>
    </row>
    <row r="198" spans="1:15" s="38" customFormat="1" ht="10.7" customHeight="1" outlineLevel="1" x14ac:dyDescent="0.25">
      <c r="A198" s="124"/>
      <c r="B198" s="142"/>
      <c r="C198" s="115"/>
      <c r="D198" s="115"/>
      <c r="E198" s="115"/>
      <c r="F198" s="115"/>
      <c r="G198" s="60" t="s">
        <v>128</v>
      </c>
      <c r="H198" s="124"/>
      <c r="I198" s="124"/>
      <c r="J198" s="60"/>
      <c r="K198" s="60"/>
      <c r="L198" s="60"/>
      <c r="M198" s="60"/>
      <c r="N198" s="60">
        <f t="shared" si="63"/>
        <v>0</v>
      </c>
      <c r="O198" s="60">
        <f t="shared" si="64"/>
        <v>0</v>
      </c>
    </row>
    <row r="199" spans="1:15" s="38" customFormat="1" ht="10.7" customHeight="1" outlineLevel="1" x14ac:dyDescent="0.25">
      <c r="A199" s="124"/>
      <c r="B199" s="142"/>
      <c r="C199" s="115"/>
      <c r="D199" s="115"/>
      <c r="E199" s="115"/>
      <c r="F199" s="115"/>
      <c r="G199" s="60" t="s">
        <v>129</v>
      </c>
      <c r="H199" s="124"/>
      <c r="I199" s="124"/>
      <c r="J199" s="60"/>
      <c r="K199" s="60"/>
      <c r="L199" s="60"/>
      <c r="M199" s="60"/>
      <c r="N199" s="60">
        <f t="shared" si="63"/>
        <v>0</v>
      </c>
      <c r="O199" s="60">
        <f t="shared" si="64"/>
        <v>0</v>
      </c>
    </row>
    <row r="200" spans="1:15" s="38" customFormat="1" ht="10.7" customHeight="1" outlineLevel="1" x14ac:dyDescent="0.25">
      <c r="A200" s="124"/>
      <c r="B200" s="142"/>
      <c r="C200" s="115"/>
      <c r="D200" s="115"/>
      <c r="E200" s="115"/>
      <c r="F200" s="115"/>
      <c r="G200" s="60" t="s">
        <v>130</v>
      </c>
      <c r="H200" s="124"/>
      <c r="I200" s="124"/>
      <c r="J200" s="60"/>
      <c r="K200" s="60"/>
      <c r="L200" s="60"/>
      <c r="M200" s="60"/>
      <c r="N200" s="60">
        <f t="shared" si="63"/>
        <v>0</v>
      </c>
      <c r="O200" s="60">
        <f t="shared" si="64"/>
        <v>0</v>
      </c>
    </row>
    <row r="201" spans="1:15" s="38" customFormat="1" ht="12" customHeight="1" outlineLevel="1" thickBot="1" x14ac:dyDescent="0.3">
      <c r="A201" s="125"/>
      <c r="B201" s="143"/>
      <c r="C201" s="131"/>
      <c r="D201" s="131"/>
      <c r="E201" s="131"/>
      <c r="F201" s="131"/>
      <c r="G201" s="60" t="s">
        <v>131</v>
      </c>
      <c r="H201" s="134"/>
      <c r="I201" s="134"/>
      <c r="J201" s="60"/>
      <c r="K201" s="60"/>
      <c r="L201" s="60"/>
      <c r="M201" s="60"/>
      <c r="N201" s="60">
        <f t="shared" si="63"/>
        <v>0</v>
      </c>
      <c r="O201" s="60">
        <f t="shared" si="64"/>
        <v>0</v>
      </c>
    </row>
    <row r="202" spans="1:15" s="38" customFormat="1" ht="14.45" customHeight="1" outlineLevel="1" x14ac:dyDescent="0.25">
      <c r="A202" s="140" t="s">
        <v>371</v>
      </c>
      <c r="B202" s="141" t="s">
        <v>421</v>
      </c>
      <c r="C202" s="130">
        <f>SUM(N202:N208)</f>
        <v>0</v>
      </c>
      <c r="D202" s="130">
        <f>SUM(O202:O208)</f>
        <v>0</v>
      </c>
      <c r="E202" s="130">
        <f t="shared" si="52"/>
        <v>0</v>
      </c>
      <c r="F202" s="130"/>
      <c r="G202" s="60" t="s">
        <v>125</v>
      </c>
      <c r="H202" s="123"/>
      <c r="I202" s="123"/>
      <c r="J202" s="60"/>
      <c r="K202" s="60"/>
      <c r="L202" s="60"/>
      <c r="M202" s="60"/>
      <c r="N202" s="60">
        <f>M202*J202*K202*L202</f>
        <v>0</v>
      </c>
      <c r="O202" s="60">
        <f>J202*K202*L202</f>
        <v>0</v>
      </c>
    </row>
    <row r="203" spans="1:15" s="38" customFormat="1" ht="11.45" customHeight="1" outlineLevel="1" x14ac:dyDescent="0.25">
      <c r="A203" s="124"/>
      <c r="B203" s="142"/>
      <c r="C203" s="115"/>
      <c r="D203" s="115"/>
      <c r="E203" s="115"/>
      <c r="F203" s="115"/>
      <c r="G203" s="60" t="s">
        <v>126</v>
      </c>
      <c r="H203" s="124"/>
      <c r="I203" s="124"/>
      <c r="J203" s="60"/>
      <c r="K203" s="60"/>
      <c r="L203" s="60"/>
      <c r="M203" s="60"/>
      <c r="N203" s="60">
        <f t="shared" ref="N203:N208" si="65">M203*J203*K203*L203</f>
        <v>0</v>
      </c>
      <c r="O203" s="60">
        <f t="shared" ref="O203:O208" si="66">J203*K203*L203</f>
        <v>0</v>
      </c>
    </row>
    <row r="204" spans="1:15" s="38" customFormat="1" ht="10.7" customHeight="1" outlineLevel="1" x14ac:dyDescent="0.25">
      <c r="A204" s="124"/>
      <c r="B204" s="142"/>
      <c r="C204" s="115"/>
      <c r="D204" s="115"/>
      <c r="E204" s="115"/>
      <c r="F204" s="115"/>
      <c r="G204" s="60" t="s">
        <v>127</v>
      </c>
      <c r="H204" s="124"/>
      <c r="I204" s="124"/>
      <c r="J204" s="60"/>
      <c r="K204" s="60"/>
      <c r="L204" s="60"/>
      <c r="M204" s="60"/>
      <c r="N204" s="60">
        <f t="shared" si="65"/>
        <v>0</v>
      </c>
      <c r="O204" s="60">
        <f t="shared" si="66"/>
        <v>0</v>
      </c>
    </row>
    <row r="205" spans="1:15" s="38" customFormat="1" ht="10.7" customHeight="1" outlineLevel="1" x14ac:dyDescent="0.25">
      <c r="A205" s="124"/>
      <c r="B205" s="142"/>
      <c r="C205" s="115"/>
      <c r="D205" s="115"/>
      <c r="E205" s="115"/>
      <c r="F205" s="115"/>
      <c r="G205" s="60" t="s">
        <v>128</v>
      </c>
      <c r="H205" s="124"/>
      <c r="I205" s="124"/>
      <c r="J205" s="60"/>
      <c r="K205" s="60"/>
      <c r="L205" s="60"/>
      <c r="M205" s="60"/>
      <c r="N205" s="60">
        <f t="shared" si="65"/>
        <v>0</v>
      </c>
      <c r="O205" s="60">
        <f t="shared" si="66"/>
        <v>0</v>
      </c>
    </row>
    <row r="206" spans="1:15" s="38" customFormat="1" ht="10.7" customHeight="1" outlineLevel="1" x14ac:dyDescent="0.25">
      <c r="A206" s="124"/>
      <c r="B206" s="142"/>
      <c r="C206" s="115"/>
      <c r="D206" s="115"/>
      <c r="E206" s="115"/>
      <c r="F206" s="115"/>
      <c r="G206" s="60" t="s">
        <v>129</v>
      </c>
      <c r="H206" s="124"/>
      <c r="I206" s="124"/>
      <c r="J206" s="60"/>
      <c r="K206" s="60"/>
      <c r="L206" s="60"/>
      <c r="M206" s="60"/>
      <c r="N206" s="60">
        <f t="shared" si="65"/>
        <v>0</v>
      </c>
      <c r="O206" s="60">
        <f t="shared" si="66"/>
        <v>0</v>
      </c>
    </row>
    <row r="207" spans="1:15" s="38" customFormat="1" ht="10.7" customHeight="1" outlineLevel="1" x14ac:dyDescent="0.25">
      <c r="A207" s="124"/>
      <c r="B207" s="142"/>
      <c r="C207" s="115"/>
      <c r="D207" s="115"/>
      <c r="E207" s="115"/>
      <c r="F207" s="115"/>
      <c r="G207" s="60" t="s">
        <v>130</v>
      </c>
      <c r="H207" s="124"/>
      <c r="I207" s="124"/>
      <c r="J207" s="60"/>
      <c r="K207" s="60"/>
      <c r="L207" s="60"/>
      <c r="M207" s="60"/>
      <c r="N207" s="60">
        <f t="shared" si="65"/>
        <v>0</v>
      </c>
      <c r="O207" s="60">
        <f t="shared" si="66"/>
        <v>0</v>
      </c>
    </row>
    <row r="208" spans="1:15" s="38" customFormat="1" ht="12" customHeight="1" outlineLevel="1" thickBot="1" x14ac:dyDescent="0.3">
      <c r="A208" s="125"/>
      <c r="B208" s="143"/>
      <c r="C208" s="131"/>
      <c r="D208" s="131"/>
      <c r="E208" s="131"/>
      <c r="F208" s="131"/>
      <c r="G208" s="60" t="s">
        <v>131</v>
      </c>
      <c r="H208" s="134"/>
      <c r="I208" s="134"/>
      <c r="J208" s="60"/>
      <c r="K208" s="60"/>
      <c r="L208" s="60"/>
      <c r="M208" s="60"/>
      <c r="N208" s="60">
        <f t="shared" si="65"/>
        <v>0</v>
      </c>
      <c r="O208" s="60">
        <f t="shared" si="66"/>
        <v>0</v>
      </c>
    </row>
    <row r="209" spans="1:15" s="38" customFormat="1" ht="14.45" customHeight="1" outlineLevel="1" x14ac:dyDescent="0.25">
      <c r="A209" s="140" t="s">
        <v>373</v>
      </c>
      <c r="B209" s="141" t="s">
        <v>422</v>
      </c>
      <c r="C209" s="130">
        <f>SUM(N209:N215)</f>
        <v>0</v>
      </c>
      <c r="D209" s="130">
        <f>SUM(O209:O215)</f>
        <v>0</v>
      </c>
      <c r="E209" s="130">
        <f t="shared" si="52"/>
        <v>0</v>
      </c>
      <c r="F209" s="130"/>
      <c r="G209" s="60" t="s">
        <v>125</v>
      </c>
      <c r="H209" s="123"/>
      <c r="I209" s="123"/>
      <c r="J209" s="60"/>
      <c r="K209" s="60"/>
      <c r="L209" s="60"/>
      <c r="M209" s="60"/>
      <c r="N209" s="60">
        <f>M209*J209*K209*L209</f>
        <v>0</v>
      </c>
      <c r="O209" s="60">
        <f>J209*K209*L209</f>
        <v>0</v>
      </c>
    </row>
    <row r="210" spans="1:15" s="38" customFormat="1" ht="11.45" customHeight="1" outlineLevel="1" x14ac:dyDescent="0.25">
      <c r="A210" s="124"/>
      <c r="B210" s="142"/>
      <c r="C210" s="115"/>
      <c r="D210" s="115"/>
      <c r="E210" s="115"/>
      <c r="F210" s="115"/>
      <c r="G210" s="60" t="s">
        <v>126</v>
      </c>
      <c r="H210" s="124"/>
      <c r="I210" s="124"/>
      <c r="J210" s="60"/>
      <c r="K210" s="60"/>
      <c r="L210" s="60"/>
      <c r="M210" s="60"/>
      <c r="N210" s="60">
        <f t="shared" ref="N210:N215" si="67">M210*J210*K210*L210</f>
        <v>0</v>
      </c>
      <c r="O210" s="60">
        <f t="shared" ref="O210:O215" si="68">J210*K210*L210</f>
        <v>0</v>
      </c>
    </row>
    <row r="211" spans="1:15" s="38" customFormat="1" ht="10.7" customHeight="1" outlineLevel="1" x14ac:dyDescent="0.25">
      <c r="A211" s="124"/>
      <c r="B211" s="142"/>
      <c r="C211" s="115"/>
      <c r="D211" s="115"/>
      <c r="E211" s="115"/>
      <c r="F211" s="115"/>
      <c r="G211" s="60" t="s">
        <v>127</v>
      </c>
      <c r="H211" s="124"/>
      <c r="I211" s="124"/>
      <c r="J211" s="60"/>
      <c r="K211" s="60"/>
      <c r="L211" s="60"/>
      <c r="M211" s="60"/>
      <c r="N211" s="60">
        <f t="shared" si="67"/>
        <v>0</v>
      </c>
      <c r="O211" s="60">
        <f t="shared" si="68"/>
        <v>0</v>
      </c>
    </row>
    <row r="212" spans="1:15" s="38" customFormat="1" ht="10.7" customHeight="1" outlineLevel="1" x14ac:dyDescent="0.25">
      <c r="A212" s="124"/>
      <c r="B212" s="142"/>
      <c r="C212" s="115"/>
      <c r="D212" s="115"/>
      <c r="E212" s="115"/>
      <c r="F212" s="115"/>
      <c r="G212" s="60" t="s">
        <v>128</v>
      </c>
      <c r="H212" s="124"/>
      <c r="I212" s="124"/>
      <c r="J212" s="60"/>
      <c r="K212" s="60"/>
      <c r="L212" s="60"/>
      <c r="M212" s="60"/>
      <c r="N212" s="60">
        <f t="shared" si="67"/>
        <v>0</v>
      </c>
      <c r="O212" s="60">
        <f t="shared" si="68"/>
        <v>0</v>
      </c>
    </row>
    <row r="213" spans="1:15" s="38" customFormat="1" ht="10.7" customHeight="1" outlineLevel="1" x14ac:dyDescent="0.25">
      <c r="A213" s="124"/>
      <c r="B213" s="142"/>
      <c r="C213" s="115"/>
      <c r="D213" s="115"/>
      <c r="E213" s="115"/>
      <c r="F213" s="115"/>
      <c r="G213" s="60" t="s">
        <v>129</v>
      </c>
      <c r="H213" s="124"/>
      <c r="I213" s="124"/>
      <c r="J213" s="60"/>
      <c r="K213" s="60"/>
      <c r="L213" s="60"/>
      <c r="M213" s="60"/>
      <c r="N213" s="60">
        <f t="shared" si="67"/>
        <v>0</v>
      </c>
      <c r="O213" s="60">
        <f t="shared" si="68"/>
        <v>0</v>
      </c>
    </row>
    <row r="214" spans="1:15" s="38" customFormat="1" ht="10.7" customHeight="1" outlineLevel="1" x14ac:dyDescent="0.25">
      <c r="A214" s="124"/>
      <c r="B214" s="142"/>
      <c r="C214" s="115"/>
      <c r="D214" s="115"/>
      <c r="E214" s="115"/>
      <c r="F214" s="115"/>
      <c r="G214" s="60" t="s">
        <v>130</v>
      </c>
      <c r="H214" s="124"/>
      <c r="I214" s="124"/>
      <c r="J214" s="60"/>
      <c r="K214" s="60"/>
      <c r="L214" s="60"/>
      <c r="M214" s="60"/>
      <c r="N214" s="60">
        <f t="shared" si="67"/>
        <v>0</v>
      </c>
      <c r="O214" s="60">
        <f t="shared" si="68"/>
        <v>0</v>
      </c>
    </row>
    <row r="215" spans="1:15" s="38" customFormat="1" ht="12" customHeight="1" outlineLevel="1" thickBot="1" x14ac:dyDescent="0.3">
      <c r="A215" s="125"/>
      <c r="B215" s="143"/>
      <c r="C215" s="131"/>
      <c r="D215" s="131"/>
      <c r="E215" s="131"/>
      <c r="F215" s="131"/>
      <c r="G215" s="60" t="s">
        <v>131</v>
      </c>
      <c r="H215" s="134"/>
      <c r="I215" s="134"/>
      <c r="J215" s="60"/>
      <c r="K215" s="60"/>
      <c r="L215" s="60"/>
      <c r="M215" s="60"/>
      <c r="N215" s="60">
        <f t="shared" si="67"/>
        <v>0</v>
      </c>
      <c r="O215" s="60">
        <f t="shared" si="68"/>
        <v>0</v>
      </c>
    </row>
    <row r="216" spans="1:15" s="38" customFormat="1" ht="14.45" customHeight="1" outlineLevel="1" x14ac:dyDescent="0.25">
      <c r="A216" s="140" t="s">
        <v>375</v>
      </c>
      <c r="B216" s="141" t="s">
        <v>423</v>
      </c>
      <c r="C216" s="130">
        <f>SUM(N216:N222)</f>
        <v>0</v>
      </c>
      <c r="D216" s="130">
        <f>SUM(O216:O222)</f>
        <v>0</v>
      </c>
      <c r="E216" s="130">
        <f t="shared" si="52"/>
        <v>0</v>
      </c>
      <c r="F216" s="130"/>
      <c r="G216" s="60" t="s">
        <v>125</v>
      </c>
      <c r="H216" s="123"/>
      <c r="I216" s="123"/>
      <c r="J216" s="60"/>
      <c r="K216" s="60"/>
      <c r="L216" s="60"/>
      <c r="M216" s="60"/>
      <c r="N216" s="60">
        <f>M216*J216*K216*L216</f>
        <v>0</v>
      </c>
      <c r="O216" s="60">
        <f>J216*K216*L216</f>
        <v>0</v>
      </c>
    </row>
    <row r="217" spans="1:15" s="38" customFormat="1" ht="11.45" customHeight="1" outlineLevel="1" x14ac:dyDescent="0.25">
      <c r="A217" s="124"/>
      <c r="B217" s="142"/>
      <c r="C217" s="115"/>
      <c r="D217" s="115"/>
      <c r="E217" s="115"/>
      <c r="F217" s="115"/>
      <c r="G217" s="60" t="s">
        <v>126</v>
      </c>
      <c r="H217" s="124"/>
      <c r="I217" s="124"/>
      <c r="J217" s="60"/>
      <c r="K217" s="60"/>
      <c r="L217" s="60"/>
      <c r="M217" s="60"/>
      <c r="N217" s="60">
        <f t="shared" ref="N217:N222" si="69">M217*J217*K217*L217</f>
        <v>0</v>
      </c>
      <c r="O217" s="60">
        <f t="shared" ref="O217:O222" si="70">J217*K217*L217</f>
        <v>0</v>
      </c>
    </row>
    <row r="218" spans="1:15" s="38" customFormat="1" ht="10.7" customHeight="1" outlineLevel="1" x14ac:dyDescent="0.25">
      <c r="A218" s="124"/>
      <c r="B218" s="142"/>
      <c r="C218" s="115"/>
      <c r="D218" s="115"/>
      <c r="E218" s="115"/>
      <c r="F218" s="115"/>
      <c r="G218" s="60" t="s">
        <v>127</v>
      </c>
      <c r="H218" s="124"/>
      <c r="I218" s="124"/>
      <c r="J218" s="60"/>
      <c r="K218" s="60"/>
      <c r="L218" s="60"/>
      <c r="M218" s="60"/>
      <c r="N218" s="60">
        <f t="shared" si="69"/>
        <v>0</v>
      </c>
      <c r="O218" s="60">
        <f t="shared" si="70"/>
        <v>0</v>
      </c>
    </row>
    <row r="219" spans="1:15" s="38" customFormat="1" ht="10.7" customHeight="1" outlineLevel="1" x14ac:dyDescent="0.25">
      <c r="A219" s="124"/>
      <c r="B219" s="142"/>
      <c r="C219" s="115"/>
      <c r="D219" s="115"/>
      <c r="E219" s="115"/>
      <c r="F219" s="115"/>
      <c r="G219" s="60" t="s">
        <v>128</v>
      </c>
      <c r="H219" s="124"/>
      <c r="I219" s="124"/>
      <c r="J219" s="60"/>
      <c r="K219" s="60"/>
      <c r="L219" s="60"/>
      <c r="M219" s="60"/>
      <c r="N219" s="60">
        <f t="shared" si="69"/>
        <v>0</v>
      </c>
      <c r="O219" s="60">
        <f t="shared" si="70"/>
        <v>0</v>
      </c>
    </row>
    <row r="220" spans="1:15" s="38" customFormat="1" ht="10.7" customHeight="1" outlineLevel="1" x14ac:dyDescent="0.25">
      <c r="A220" s="124"/>
      <c r="B220" s="142"/>
      <c r="C220" s="115"/>
      <c r="D220" s="115"/>
      <c r="E220" s="115"/>
      <c r="F220" s="115"/>
      <c r="G220" s="60" t="s">
        <v>129</v>
      </c>
      <c r="H220" s="124"/>
      <c r="I220" s="124"/>
      <c r="J220" s="60"/>
      <c r="K220" s="60"/>
      <c r="L220" s="60"/>
      <c r="M220" s="60"/>
      <c r="N220" s="60">
        <f t="shared" si="69"/>
        <v>0</v>
      </c>
      <c r="O220" s="60">
        <f t="shared" si="70"/>
        <v>0</v>
      </c>
    </row>
    <row r="221" spans="1:15" s="38" customFormat="1" ht="10.7" customHeight="1" outlineLevel="1" x14ac:dyDescent="0.25">
      <c r="A221" s="124"/>
      <c r="B221" s="142"/>
      <c r="C221" s="115"/>
      <c r="D221" s="115"/>
      <c r="E221" s="115"/>
      <c r="F221" s="115"/>
      <c r="G221" s="60" t="s">
        <v>130</v>
      </c>
      <c r="H221" s="124"/>
      <c r="I221" s="124"/>
      <c r="J221" s="60"/>
      <c r="K221" s="60"/>
      <c r="L221" s="60"/>
      <c r="M221" s="60"/>
      <c r="N221" s="60">
        <f t="shared" si="69"/>
        <v>0</v>
      </c>
      <c r="O221" s="60">
        <f t="shared" si="70"/>
        <v>0</v>
      </c>
    </row>
    <row r="222" spans="1:15" s="38" customFormat="1" ht="12" customHeight="1" outlineLevel="1" thickBot="1" x14ac:dyDescent="0.3">
      <c r="A222" s="125"/>
      <c r="B222" s="143"/>
      <c r="C222" s="131"/>
      <c r="D222" s="131"/>
      <c r="E222" s="131"/>
      <c r="F222" s="131"/>
      <c r="G222" s="60" t="s">
        <v>131</v>
      </c>
      <c r="H222" s="134"/>
      <c r="I222" s="134"/>
      <c r="J222" s="60"/>
      <c r="K222" s="60"/>
      <c r="L222" s="60"/>
      <c r="M222" s="60"/>
      <c r="N222" s="60">
        <f t="shared" si="69"/>
        <v>0</v>
      </c>
      <c r="O222" s="60">
        <f t="shared" si="70"/>
        <v>0</v>
      </c>
    </row>
    <row r="223" spans="1:15" s="38" customFormat="1" ht="14.45" customHeight="1" outlineLevel="1" x14ac:dyDescent="0.25">
      <c r="A223" s="140" t="s">
        <v>424</v>
      </c>
      <c r="B223" s="141" t="s">
        <v>425</v>
      </c>
      <c r="C223" s="130">
        <f>SUM(N223:N229)</f>
        <v>0</v>
      </c>
      <c r="D223" s="130">
        <f>SUM(O223:O229)</f>
        <v>0</v>
      </c>
      <c r="E223" s="130">
        <f t="shared" ref="E223:E251" si="71">D223/8</f>
        <v>0</v>
      </c>
      <c r="F223" s="130"/>
      <c r="G223" s="60" t="s">
        <v>125</v>
      </c>
      <c r="H223" s="123"/>
      <c r="I223" s="123"/>
      <c r="J223" s="60"/>
      <c r="K223" s="60"/>
      <c r="L223" s="60"/>
      <c r="M223" s="60"/>
      <c r="N223" s="60">
        <f>M223*J223*K223*L223</f>
        <v>0</v>
      </c>
      <c r="O223" s="60">
        <f>J223*K223*L223</f>
        <v>0</v>
      </c>
    </row>
    <row r="224" spans="1:15" s="38" customFormat="1" ht="11.45" customHeight="1" outlineLevel="1" x14ac:dyDescent="0.25">
      <c r="A224" s="124"/>
      <c r="B224" s="142"/>
      <c r="C224" s="115"/>
      <c r="D224" s="115"/>
      <c r="E224" s="115"/>
      <c r="F224" s="115"/>
      <c r="G224" s="60" t="s">
        <v>126</v>
      </c>
      <c r="H224" s="124"/>
      <c r="I224" s="124"/>
      <c r="J224" s="60"/>
      <c r="K224" s="60"/>
      <c r="L224" s="60"/>
      <c r="M224" s="60"/>
      <c r="N224" s="60">
        <f t="shared" ref="N224:N229" si="72">M224*J224*K224*L224</f>
        <v>0</v>
      </c>
      <c r="O224" s="60">
        <f t="shared" ref="O224:O229" si="73">J224*K224*L224</f>
        <v>0</v>
      </c>
    </row>
    <row r="225" spans="1:15" s="38" customFormat="1" ht="10.7" customHeight="1" outlineLevel="1" x14ac:dyDescent="0.25">
      <c r="A225" s="124"/>
      <c r="B225" s="142"/>
      <c r="C225" s="115"/>
      <c r="D225" s="115"/>
      <c r="E225" s="115"/>
      <c r="F225" s="115"/>
      <c r="G225" s="60" t="s">
        <v>127</v>
      </c>
      <c r="H225" s="124"/>
      <c r="I225" s="124"/>
      <c r="J225" s="60"/>
      <c r="K225" s="60"/>
      <c r="L225" s="60"/>
      <c r="M225" s="60"/>
      <c r="N225" s="60">
        <f t="shared" si="72"/>
        <v>0</v>
      </c>
      <c r="O225" s="60">
        <f t="shared" si="73"/>
        <v>0</v>
      </c>
    </row>
    <row r="226" spans="1:15" s="38" customFormat="1" ht="10.7" customHeight="1" outlineLevel="1" x14ac:dyDescent="0.25">
      <c r="A226" s="124"/>
      <c r="B226" s="142"/>
      <c r="C226" s="115"/>
      <c r="D226" s="115"/>
      <c r="E226" s="115"/>
      <c r="F226" s="115"/>
      <c r="G226" s="60" t="s">
        <v>128</v>
      </c>
      <c r="H226" s="124"/>
      <c r="I226" s="124"/>
      <c r="J226" s="60"/>
      <c r="K226" s="60"/>
      <c r="L226" s="60"/>
      <c r="M226" s="60"/>
      <c r="N226" s="60">
        <f t="shared" si="72"/>
        <v>0</v>
      </c>
      <c r="O226" s="60">
        <f t="shared" si="73"/>
        <v>0</v>
      </c>
    </row>
    <row r="227" spans="1:15" s="38" customFormat="1" ht="10.7" customHeight="1" outlineLevel="1" x14ac:dyDescent="0.25">
      <c r="A227" s="124"/>
      <c r="B227" s="142"/>
      <c r="C227" s="115"/>
      <c r="D227" s="115"/>
      <c r="E227" s="115"/>
      <c r="F227" s="115"/>
      <c r="G227" s="60" t="s">
        <v>129</v>
      </c>
      <c r="H227" s="124"/>
      <c r="I227" s="124"/>
      <c r="J227" s="60"/>
      <c r="K227" s="60"/>
      <c r="L227" s="60"/>
      <c r="M227" s="60"/>
      <c r="N227" s="60">
        <f t="shared" si="72"/>
        <v>0</v>
      </c>
      <c r="O227" s="60">
        <f t="shared" si="73"/>
        <v>0</v>
      </c>
    </row>
    <row r="228" spans="1:15" s="38" customFormat="1" ht="10.7" customHeight="1" outlineLevel="1" x14ac:dyDescent="0.25">
      <c r="A228" s="124"/>
      <c r="B228" s="142"/>
      <c r="C228" s="115"/>
      <c r="D228" s="115"/>
      <c r="E228" s="115"/>
      <c r="F228" s="115"/>
      <c r="G228" s="60" t="s">
        <v>130</v>
      </c>
      <c r="H228" s="124"/>
      <c r="I228" s="124"/>
      <c r="J228" s="60"/>
      <c r="K228" s="60"/>
      <c r="L228" s="60"/>
      <c r="M228" s="60"/>
      <c r="N228" s="60">
        <f t="shared" si="72"/>
        <v>0</v>
      </c>
      <c r="O228" s="60">
        <f t="shared" si="73"/>
        <v>0</v>
      </c>
    </row>
    <row r="229" spans="1:15" s="38" customFormat="1" ht="12" customHeight="1" outlineLevel="1" thickBot="1" x14ac:dyDescent="0.3">
      <c r="A229" s="125"/>
      <c r="B229" s="143"/>
      <c r="C229" s="131"/>
      <c r="D229" s="131"/>
      <c r="E229" s="131"/>
      <c r="F229" s="131"/>
      <c r="G229" s="60" t="s">
        <v>131</v>
      </c>
      <c r="H229" s="134"/>
      <c r="I229" s="134"/>
      <c r="J229" s="60"/>
      <c r="K229" s="60"/>
      <c r="L229" s="60"/>
      <c r="M229" s="60"/>
      <c r="N229" s="60">
        <f t="shared" si="72"/>
        <v>0</v>
      </c>
      <c r="O229" s="60">
        <f t="shared" si="73"/>
        <v>0</v>
      </c>
    </row>
    <row r="230" spans="1:15" s="38" customFormat="1" ht="14.45" customHeight="1" outlineLevel="1" x14ac:dyDescent="0.25">
      <c r="A230" s="140" t="s">
        <v>426</v>
      </c>
      <c r="B230" s="141" t="s">
        <v>427</v>
      </c>
      <c r="C230" s="130">
        <f>SUM(N230:N236)</f>
        <v>0</v>
      </c>
      <c r="D230" s="130">
        <f>SUM(O230:O236)</f>
        <v>0</v>
      </c>
      <c r="E230" s="130">
        <f t="shared" si="71"/>
        <v>0</v>
      </c>
      <c r="F230" s="130"/>
      <c r="G230" s="60" t="s">
        <v>125</v>
      </c>
      <c r="H230" s="123"/>
      <c r="I230" s="123"/>
      <c r="J230" s="60"/>
      <c r="K230" s="60"/>
      <c r="L230" s="60"/>
      <c r="M230" s="60"/>
      <c r="N230" s="60">
        <f>M230*J230*K230*L230</f>
        <v>0</v>
      </c>
      <c r="O230" s="60">
        <f>J230*K230*L230</f>
        <v>0</v>
      </c>
    </row>
    <row r="231" spans="1:15" s="38" customFormat="1" ht="11.45" customHeight="1" outlineLevel="1" x14ac:dyDescent="0.25">
      <c r="A231" s="124"/>
      <c r="B231" s="142"/>
      <c r="C231" s="115"/>
      <c r="D231" s="115"/>
      <c r="E231" s="115"/>
      <c r="F231" s="115"/>
      <c r="G231" s="60" t="s">
        <v>126</v>
      </c>
      <c r="H231" s="124"/>
      <c r="I231" s="124"/>
      <c r="J231" s="60"/>
      <c r="K231" s="60"/>
      <c r="L231" s="60"/>
      <c r="M231" s="60"/>
      <c r="N231" s="60">
        <f t="shared" ref="N231:N236" si="74">M231*J231*K231*L231</f>
        <v>0</v>
      </c>
      <c r="O231" s="60">
        <f t="shared" ref="O231:O236" si="75">J231*K231*L231</f>
        <v>0</v>
      </c>
    </row>
    <row r="232" spans="1:15" s="38" customFormat="1" ht="10.7" customHeight="1" outlineLevel="1" x14ac:dyDescent="0.25">
      <c r="A232" s="124"/>
      <c r="B232" s="142"/>
      <c r="C232" s="115"/>
      <c r="D232" s="115"/>
      <c r="E232" s="115"/>
      <c r="F232" s="115"/>
      <c r="G232" s="60" t="s">
        <v>127</v>
      </c>
      <c r="H232" s="124"/>
      <c r="I232" s="124"/>
      <c r="J232" s="60"/>
      <c r="K232" s="60"/>
      <c r="L232" s="60"/>
      <c r="M232" s="60"/>
      <c r="N232" s="60">
        <f t="shared" si="74"/>
        <v>0</v>
      </c>
      <c r="O232" s="60">
        <f t="shared" si="75"/>
        <v>0</v>
      </c>
    </row>
    <row r="233" spans="1:15" s="38" customFormat="1" ht="10.7" customHeight="1" outlineLevel="1" x14ac:dyDescent="0.25">
      <c r="A233" s="124"/>
      <c r="B233" s="142"/>
      <c r="C233" s="115"/>
      <c r="D233" s="115"/>
      <c r="E233" s="115"/>
      <c r="F233" s="115"/>
      <c r="G233" s="60" t="s">
        <v>128</v>
      </c>
      <c r="H233" s="124"/>
      <c r="I233" s="124"/>
      <c r="J233" s="60"/>
      <c r="K233" s="60"/>
      <c r="L233" s="60"/>
      <c r="M233" s="60"/>
      <c r="N233" s="60">
        <f t="shared" si="74"/>
        <v>0</v>
      </c>
      <c r="O233" s="60">
        <f t="shared" si="75"/>
        <v>0</v>
      </c>
    </row>
    <row r="234" spans="1:15" s="38" customFormat="1" ht="10.7" customHeight="1" outlineLevel="1" x14ac:dyDescent="0.25">
      <c r="A234" s="124"/>
      <c r="B234" s="142"/>
      <c r="C234" s="115"/>
      <c r="D234" s="115"/>
      <c r="E234" s="115"/>
      <c r="F234" s="115"/>
      <c r="G234" s="60" t="s">
        <v>129</v>
      </c>
      <c r="H234" s="124"/>
      <c r="I234" s="124"/>
      <c r="J234" s="60"/>
      <c r="K234" s="60"/>
      <c r="L234" s="60"/>
      <c r="M234" s="60"/>
      <c r="N234" s="60">
        <f t="shared" si="74"/>
        <v>0</v>
      </c>
      <c r="O234" s="60">
        <f t="shared" si="75"/>
        <v>0</v>
      </c>
    </row>
    <row r="235" spans="1:15" s="38" customFormat="1" ht="10.7" customHeight="1" outlineLevel="1" x14ac:dyDescent="0.25">
      <c r="A235" s="124"/>
      <c r="B235" s="142"/>
      <c r="C235" s="115"/>
      <c r="D235" s="115"/>
      <c r="E235" s="115"/>
      <c r="F235" s="115"/>
      <c r="G235" s="60" t="s">
        <v>130</v>
      </c>
      <c r="H235" s="124"/>
      <c r="I235" s="124"/>
      <c r="J235" s="60"/>
      <c r="K235" s="60"/>
      <c r="L235" s="60"/>
      <c r="M235" s="60"/>
      <c r="N235" s="60">
        <f t="shared" si="74"/>
        <v>0</v>
      </c>
      <c r="O235" s="60">
        <f t="shared" si="75"/>
        <v>0</v>
      </c>
    </row>
    <row r="236" spans="1:15" s="38" customFormat="1" ht="12" customHeight="1" outlineLevel="1" thickBot="1" x14ac:dyDescent="0.3">
      <c r="A236" s="125"/>
      <c r="B236" s="143"/>
      <c r="C236" s="131"/>
      <c r="D236" s="131"/>
      <c r="E236" s="131"/>
      <c r="F236" s="131"/>
      <c r="G236" s="60" t="s">
        <v>131</v>
      </c>
      <c r="H236" s="134"/>
      <c r="I236" s="134"/>
      <c r="J236" s="60"/>
      <c r="K236" s="60"/>
      <c r="L236" s="60"/>
      <c r="M236" s="60"/>
      <c r="N236" s="60">
        <f t="shared" si="74"/>
        <v>0</v>
      </c>
      <c r="O236" s="60">
        <f t="shared" si="75"/>
        <v>0</v>
      </c>
    </row>
    <row r="237" spans="1:15" s="38" customFormat="1" ht="14.45" customHeight="1" outlineLevel="1" x14ac:dyDescent="0.25">
      <c r="A237" s="140" t="s">
        <v>428</v>
      </c>
      <c r="B237" s="141" t="s">
        <v>429</v>
      </c>
      <c r="C237" s="130">
        <f>SUM(N237:N243)</f>
        <v>0</v>
      </c>
      <c r="D237" s="130">
        <f>SUM(O237:O243)</f>
        <v>0</v>
      </c>
      <c r="E237" s="130">
        <f t="shared" si="71"/>
        <v>0</v>
      </c>
      <c r="F237" s="130"/>
      <c r="G237" s="60" t="s">
        <v>125</v>
      </c>
      <c r="H237" s="123"/>
      <c r="I237" s="123"/>
      <c r="J237" s="60"/>
      <c r="K237" s="60"/>
      <c r="L237" s="60"/>
      <c r="M237" s="60"/>
      <c r="N237" s="60">
        <f>M237*J237*K237*L237</f>
        <v>0</v>
      </c>
      <c r="O237" s="60">
        <f>J237*K237*L237</f>
        <v>0</v>
      </c>
    </row>
    <row r="238" spans="1:15" s="38" customFormat="1" ht="11.45" customHeight="1" outlineLevel="1" x14ac:dyDescent="0.25">
      <c r="A238" s="124"/>
      <c r="B238" s="142"/>
      <c r="C238" s="115"/>
      <c r="D238" s="115"/>
      <c r="E238" s="115"/>
      <c r="F238" s="115"/>
      <c r="G238" s="60" t="s">
        <v>126</v>
      </c>
      <c r="H238" s="124"/>
      <c r="I238" s="124"/>
      <c r="J238" s="60"/>
      <c r="K238" s="60"/>
      <c r="L238" s="60"/>
      <c r="M238" s="60"/>
      <c r="N238" s="60">
        <f t="shared" ref="N238:N243" si="76">M238*J238*K238*L238</f>
        <v>0</v>
      </c>
      <c r="O238" s="60">
        <f t="shared" ref="O238:O243" si="77">J238*K238*L238</f>
        <v>0</v>
      </c>
    </row>
    <row r="239" spans="1:15" s="38" customFormat="1" ht="10.7" customHeight="1" outlineLevel="1" x14ac:dyDescent="0.25">
      <c r="A239" s="124"/>
      <c r="B239" s="142"/>
      <c r="C239" s="115"/>
      <c r="D239" s="115"/>
      <c r="E239" s="115"/>
      <c r="F239" s="115"/>
      <c r="G239" s="60" t="s">
        <v>127</v>
      </c>
      <c r="H239" s="124"/>
      <c r="I239" s="124"/>
      <c r="J239" s="60"/>
      <c r="K239" s="60"/>
      <c r="L239" s="60"/>
      <c r="M239" s="60"/>
      <c r="N239" s="60">
        <f t="shared" si="76"/>
        <v>0</v>
      </c>
      <c r="O239" s="60">
        <f t="shared" si="77"/>
        <v>0</v>
      </c>
    </row>
    <row r="240" spans="1:15" s="38" customFormat="1" ht="10.7" customHeight="1" outlineLevel="1" x14ac:dyDescent="0.25">
      <c r="A240" s="124"/>
      <c r="B240" s="142"/>
      <c r="C240" s="115"/>
      <c r="D240" s="115"/>
      <c r="E240" s="115"/>
      <c r="F240" s="115"/>
      <c r="G240" s="60" t="s">
        <v>128</v>
      </c>
      <c r="H240" s="124"/>
      <c r="I240" s="124"/>
      <c r="J240" s="60"/>
      <c r="K240" s="60"/>
      <c r="L240" s="60"/>
      <c r="M240" s="60"/>
      <c r="N240" s="60">
        <f t="shared" si="76"/>
        <v>0</v>
      </c>
      <c r="O240" s="60">
        <f t="shared" si="77"/>
        <v>0</v>
      </c>
    </row>
    <row r="241" spans="1:15" s="38" customFormat="1" ht="10.7" customHeight="1" outlineLevel="1" x14ac:dyDescent="0.25">
      <c r="A241" s="124"/>
      <c r="B241" s="142"/>
      <c r="C241" s="115"/>
      <c r="D241" s="115"/>
      <c r="E241" s="115"/>
      <c r="F241" s="115"/>
      <c r="G241" s="60" t="s">
        <v>129</v>
      </c>
      <c r="H241" s="124"/>
      <c r="I241" s="124"/>
      <c r="J241" s="60"/>
      <c r="K241" s="60"/>
      <c r="L241" s="60"/>
      <c r="M241" s="60"/>
      <c r="N241" s="60">
        <f t="shared" si="76"/>
        <v>0</v>
      </c>
      <c r="O241" s="60">
        <f t="shared" si="77"/>
        <v>0</v>
      </c>
    </row>
    <row r="242" spans="1:15" s="38" customFormat="1" ht="10.7" customHeight="1" outlineLevel="1" x14ac:dyDescent="0.25">
      <c r="A242" s="124"/>
      <c r="B242" s="142"/>
      <c r="C242" s="115"/>
      <c r="D242" s="115"/>
      <c r="E242" s="115"/>
      <c r="F242" s="115"/>
      <c r="G242" s="60" t="s">
        <v>130</v>
      </c>
      <c r="H242" s="124"/>
      <c r="I242" s="124"/>
      <c r="J242" s="60"/>
      <c r="K242" s="60"/>
      <c r="L242" s="60"/>
      <c r="M242" s="60"/>
      <c r="N242" s="60">
        <f t="shared" si="76"/>
        <v>0</v>
      </c>
      <c r="O242" s="60">
        <f t="shared" si="77"/>
        <v>0</v>
      </c>
    </row>
    <row r="243" spans="1:15" s="38" customFormat="1" ht="12" customHeight="1" outlineLevel="1" thickBot="1" x14ac:dyDescent="0.3">
      <c r="A243" s="125"/>
      <c r="B243" s="143"/>
      <c r="C243" s="131"/>
      <c r="D243" s="131"/>
      <c r="E243" s="131"/>
      <c r="F243" s="131"/>
      <c r="G243" s="60" t="s">
        <v>131</v>
      </c>
      <c r="H243" s="134"/>
      <c r="I243" s="134"/>
      <c r="J243" s="60"/>
      <c r="K243" s="60"/>
      <c r="L243" s="60"/>
      <c r="M243" s="60"/>
      <c r="N243" s="60">
        <f t="shared" si="76"/>
        <v>0</v>
      </c>
      <c r="O243" s="60">
        <f t="shared" si="77"/>
        <v>0</v>
      </c>
    </row>
    <row r="244" spans="1:15" s="38" customFormat="1" ht="14.45" customHeight="1" outlineLevel="1" x14ac:dyDescent="0.25">
      <c r="A244" s="140" t="s">
        <v>430</v>
      </c>
      <c r="B244" s="141" t="s">
        <v>431</v>
      </c>
      <c r="C244" s="130">
        <f>SUM(N244:N250)</f>
        <v>0</v>
      </c>
      <c r="D244" s="130">
        <f>SUM(O244:O250)</f>
        <v>0</v>
      </c>
      <c r="E244" s="130">
        <f t="shared" si="71"/>
        <v>0</v>
      </c>
      <c r="F244" s="130"/>
      <c r="G244" s="60" t="s">
        <v>125</v>
      </c>
      <c r="H244" s="123"/>
      <c r="I244" s="123"/>
      <c r="J244" s="60"/>
      <c r="K244" s="60"/>
      <c r="L244" s="60"/>
      <c r="M244" s="60"/>
      <c r="N244" s="60">
        <f>M244*J244*K244*L244</f>
        <v>0</v>
      </c>
      <c r="O244" s="60">
        <f>J244*K244*L244</f>
        <v>0</v>
      </c>
    </row>
    <row r="245" spans="1:15" s="38" customFormat="1" ht="11.45" customHeight="1" outlineLevel="1" x14ac:dyDescent="0.25">
      <c r="A245" s="124"/>
      <c r="B245" s="142"/>
      <c r="C245" s="115"/>
      <c r="D245" s="115"/>
      <c r="E245" s="115"/>
      <c r="F245" s="115"/>
      <c r="G245" s="60" t="s">
        <v>126</v>
      </c>
      <c r="H245" s="124"/>
      <c r="I245" s="124"/>
      <c r="J245" s="60"/>
      <c r="K245" s="60"/>
      <c r="L245" s="60"/>
      <c r="M245" s="60"/>
      <c r="N245" s="60">
        <f t="shared" ref="N245:N250" si="78">M245*J245*K245*L245</f>
        <v>0</v>
      </c>
      <c r="O245" s="60">
        <f t="shared" ref="O245:O250" si="79">J245*K245*L245</f>
        <v>0</v>
      </c>
    </row>
    <row r="246" spans="1:15" s="38" customFormat="1" ht="10.7" customHeight="1" outlineLevel="1" x14ac:dyDescent="0.25">
      <c r="A246" s="124"/>
      <c r="B246" s="142"/>
      <c r="C246" s="115"/>
      <c r="D246" s="115"/>
      <c r="E246" s="115"/>
      <c r="F246" s="115"/>
      <c r="G246" s="60" t="s">
        <v>127</v>
      </c>
      <c r="H246" s="124"/>
      <c r="I246" s="124"/>
      <c r="J246" s="60"/>
      <c r="K246" s="60"/>
      <c r="L246" s="60"/>
      <c r="M246" s="60"/>
      <c r="N246" s="60">
        <f t="shared" si="78"/>
        <v>0</v>
      </c>
      <c r="O246" s="60">
        <f t="shared" si="79"/>
        <v>0</v>
      </c>
    </row>
    <row r="247" spans="1:15" s="38" customFormat="1" ht="10.7" customHeight="1" outlineLevel="1" x14ac:dyDescent="0.25">
      <c r="A247" s="124"/>
      <c r="B247" s="142"/>
      <c r="C247" s="115"/>
      <c r="D247" s="115"/>
      <c r="E247" s="115"/>
      <c r="F247" s="115"/>
      <c r="G247" s="60" t="s">
        <v>128</v>
      </c>
      <c r="H247" s="124"/>
      <c r="I247" s="124"/>
      <c r="J247" s="60"/>
      <c r="K247" s="60"/>
      <c r="L247" s="60"/>
      <c r="M247" s="60"/>
      <c r="N247" s="60">
        <f t="shared" si="78"/>
        <v>0</v>
      </c>
      <c r="O247" s="60">
        <f t="shared" si="79"/>
        <v>0</v>
      </c>
    </row>
    <row r="248" spans="1:15" s="38" customFormat="1" ht="10.7" customHeight="1" outlineLevel="1" x14ac:dyDescent="0.25">
      <c r="A248" s="124"/>
      <c r="B248" s="142"/>
      <c r="C248" s="115"/>
      <c r="D248" s="115"/>
      <c r="E248" s="115"/>
      <c r="F248" s="115"/>
      <c r="G248" s="60" t="s">
        <v>129</v>
      </c>
      <c r="H248" s="124"/>
      <c r="I248" s="124"/>
      <c r="J248" s="60"/>
      <c r="K248" s="60"/>
      <c r="L248" s="60"/>
      <c r="M248" s="60"/>
      <c r="N248" s="60">
        <f t="shared" si="78"/>
        <v>0</v>
      </c>
      <c r="O248" s="60">
        <f t="shared" si="79"/>
        <v>0</v>
      </c>
    </row>
    <row r="249" spans="1:15" s="38" customFormat="1" ht="10.7" customHeight="1" outlineLevel="1" x14ac:dyDescent="0.25">
      <c r="A249" s="124"/>
      <c r="B249" s="142"/>
      <c r="C249" s="115"/>
      <c r="D249" s="115"/>
      <c r="E249" s="115"/>
      <c r="F249" s="115"/>
      <c r="G249" s="60" t="s">
        <v>130</v>
      </c>
      <c r="H249" s="124"/>
      <c r="I249" s="124"/>
      <c r="J249" s="60"/>
      <c r="K249" s="60"/>
      <c r="L249" s="60"/>
      <c r="M249" s="60"/>
      <c r="N249" s="60">
        <f t="shared" si="78"/>
        <v>0</v>
      </c>
      <c r="O249" s="60">
        <f t="shared" si="79"/>
        <v>0</v>
      </c>
    </row>
    <row r="250" spans="1:15" s="38" customFormat="1" ht="12" customHeight="1" outlineLevel="1" thickBot="1" x14ac:dyDescent="0.3">
      <c r="A250" s="125"/>
      <c r="B250" s="143"/>
      <c r="C250" s="131"/>
      <c r="D250" s="131"/>
      <c r="E250" s="131"/>
      <c r="F250" s="131"/>
      <c r="G250" s="60" t="s">
        <v>131</v>
      </c>
      <c r="H250" s="134"/>
      <c r="I250" s="134"/>
      <c r="J250" s="60"/>
      <c r="K250" s="60"/>
      <c r="L250" s="60"/>
      <c r="M250" s="60"/>
      <c r="N250" s="60">
        <f t="shared" si="78"/>
        <v>0</v>
      </c>
      <c r="O250" s="60">
        <f t="shared" si="79"/>
        <v>0</v>
      </c>
    </row>
    <row r="251" spans="1:15" s="38" customFormat="1" ht="14.45" customHeight="1" outlineLevel="1" x14ac:dyDescent="0.25">
      <c r="A251" s="140" t="s">
        <v>432</v>
      </c>
      <c r="B251" s="141" t="s">
        <v>433</v>
      </c>
      <c r="C251" s="130">
        <f>SUM(N251:N257)</f>
        <v>0</v>
      </c>
      <c r="D251" s="130">
        <f>SUM(O251:O257)</f>
        <v>0</v>
      </c>
      <c r="E251" s="130">
        <f t="shared" si="71"/>
        <v>0</v>
      </c>
      <c r="F251" s="130"/>
      <c r="G251" s="60" t="s">
        <v>125</v>
      </c>
      <c r="H251" s="123"/>
      <c r="I251" s="123"/>
      <c r="J251" s="60"/>
      <c r="K251" s="60"/>
      <c r="L251" s="60"/>
      <c r="M251" s="60"/>
      <c r="N251" s="60">
        <f>M251*J251*K251*L251</f>
        <v>0</v>
      </c>
      <c r="O251" s="60">
        <f>J251*K251*L251</f>
        <v>0</v>
      </c>
    </row>
    <row r="252" spans="1:15" s="38" customFormat="1" ht="11.45" customHeight="1" outlineLevel="1" x14ac:dyDescent="0.25">
      <c r="A252" s="124"/>
      <c r="B252" s="142"/>
      <c r="C252" s="115"/>
      <c r="D252" s="115"/>
      <c r="E252" s="115"/>
      <c r="F252" s="115"/>
      <c r="G252" s="60" t="s">
        <v>126</v>
      </c>
      <c r="H252" s="124"/>
      <c r="I252" s="124"/>
      <c r="J252" s="60"/>
      <c r="K252" s="60"/>
      <c r="L252" s="60"/>
      <c r="M252" s="60"/>
      <c r="N252" s="60">
        <f t="shared" ref="N252:N257" si="80">M252*J252*K252*L252</f>
        <v>0</v>
      </c>
      <c r="O252" s="60">
        <f t="shared" ref="O252:O257" si="81">J252*K252*L252</f>
        <v>0</v>
      </c>
    </row>
    <row r="253" spans="1:15" s="38" customFormat="1" ht="10.7" customHeight="1" outlineLevel="1" x14ac:dyDescent="0.25">
      <c r="A253" s="124"/>
      <c r="B253" s="142"/>
      <c r="C253" s="115"/>
      <c r="D253" s="115"/>
      <c r="E253" s="115"/>
      <c r="F253" s="115"/>
      <c r="G253" s="60" t="s">
        <v>127</v>
      </c>
      <c r="H253" s="124"/>
      <c r="I253" s="124"/>
      <c r="J253" s="60"/>
      <c r="K253" s="60"/>
      <c r="L253" s="60"/>
      <c r="M253" s="60"/>
      <c r="N253" s="60">
        <f t="shared" si="80"/>
        <v>0</v>
      </c>
      <c r="O253" s="60">
        <f t="shared" si="81"/>
        <v>0</v>
      </c>
    </row>
    <row r="254" spans="1:15" s="38" customFormat="1" ht="10.7" customHeight="1" outlineLevel="1" x14ac:dyDescent="0.25">
      <c r="A254" s="124"/>
      <c r="B254" s="142"/>
      <c r="C254" s="115"/>
      <c r="D254" s="115"/>
      <c r="E254" s="115"/>
      <c r="F254" s="115"/>
      <c r="G254" s="60" t="s">
        <v>128</v>
      </c>
      <c r="H254" s="124"/>
      <c r="I254" s="124"/>
      <c r="J254" s="60"/>
      <c r="K254" s="60"/>
      <c r="L254" s="60"/>
      <c r="M254" s="60"/>
      <c r="N254" s="60">
        <f t="shared" si="80"/>
        <v>0</v>
      </c>
      <c r="O254" s="60">
        <f t="shared" si="81"/>
        <v>0</v>
      </c>
    </row>
    <row r="255" spans="1:15" s="38" customFormat="1" ht="10.7" customHeight="1" outlineLevel="1" x14ac:dyDescent="0.25">
      <c r="A255" s="124"/>
      <c r="B255" s="142"/>
      <c r="C255" s="115"/>
      <c r="D255" s="115"/>
      <c r="E255" s="115"/>
      <c r="F255" s="115"/>
      <c r="G255" s="60" t="s">
        <v>129</v>
      </c>
      <c r="H255" s="124"/>
      <c r="I255" s="124"/>
      <c r="J255" s="60"/>
      <c r="K255" s="60"/>
      <c r="L255" s="60"/>
      <c r="M255" s="60"/>
      <c r="N255" s="60">
        <f t="shared" si="80"/>
        <v>0</v>
      </c>
      <c r="O255" s="60">
        <f t="shared" si="81"/>
        <v>0</v>
      </c>
    </row>
    <row r="256" spans="1:15" s="38" customFormat="1" ht="10.7" customHeight="1" outlineLevel="1" x14ac:dyDescent="0.25">
      <c r="A256" s="124"/>
      <c r="B256" s="142"/>
      <c r="C256" s="115"/>
      <c r="D256" s="115"/>
      <c r="E256" s="115"/>
      <c r="F256" s="115"/>
      <c r="G256" s="60" t="s">
        <v>130</v>
      </c>
      <c r="H256" s="124"/>
      <c r="I256" s="124"/>
      <c r="J256" s="60"/>
      <c r="K256" s="60"/>
      <c r="L256" s="60"/>
      <c r="M256" s="60"/>
      <c r="N256" s="60">
        <f t="shared" si="80"/>
        <v>0</v>
      </c>
      <c r="O256" s="60">
        <f t="shared" si="81"/>
        <v>0</v>
      </c>
    </row>
    <row r="257" spans="1:15" s="38" customFormat="1" ht="12" customHeight="1" outlineLevel="1" thickBot="1" x14ac:dyDescent="0.3">
      <c r="A257" s="125"/>
      <c r="B257" s="143"/>
      <c r="C257" s="131"/>
      <c r="D257" s="131"/>
      <c r="E257" s="131"/>
      <c r="F257" s="131"/>
      <c r="G257" s="60" t="s">
        <v>131</v>
      </c>
      <c r="H257" s="134"/>
      <c r="I257" s="134"/>
      <c r="J257" s="60"/>
      <c r="K257" s="60"/>
      <c r="L257" s="60"/>
      <c r="M257" s="60"/>
      <c r="N257" s="60">
        <f t="shared" si="80"/>
        <v>0</v>
      </c>
      <c r="O257" s="60">
        <f t="shared" si="81"/>
        <v>0</v>
      </c>
    </row>
    <row r="258" spans="1:15" s="39" customFormat="1" ht="15.75" x14ac:dyDescent="0.25">
      <c r="A258" s="40" t="s">
        <v>26</v>
      </c>
      <c r="B258" s="41" t="s">
        <v>262</v>
      </c>
      <c r="C258" s="42">
        <f>SUM(C259:C617)</f>
        <v>0</v>
      </c>
      <c r="D258" s="42">
        <f>SUM(D259:D617)</f>
        <v>0</v>
      </c>
      <c r="E258" s="42">
        <f>SUM(E259:E617)</f>
        <v>0</v>
      </c>
      <c r="F258" s="42"/>
      <c r="G258" s="42"/>
      <c r="H258" s="42"/>
      <c r="I258" s="42"/>
      <c r="J258" s="42"/>
      <c r="K258" s="42"/>
      <c r="L258" s="42"/>
      <c r="M258" s="42"/>
      <c r="N258" s="42"/>
      <c r="O258" s="42">
        <f>SUM(O259:O617)</f>
        <v>0</v>
      </c>
    </row>
    <row r="259" spans="1:15" s="38" customFormat="1" ht="14.45" customHeight="1" outlineLevel="1" x14ac:dyDescent="0.25">
      <c r="A259" s="140" t="s">
        <v>165</v>
      </c>
      <c r="B259" s="141" t="s">
        <v>382</v>
      </c>
      <c r="C259" s="130">
        <f>SUM(N259:N265)</f>
        <v>0</v>
      </c>
      <c r="D259" s="130">
        <f>SUM(O259:O265)</f>
        <v>0</v>
      </c>
      <c r="E259" s="130">
        <f t="shared" ref="E259:E322" si="82">D259/8</f>
        <v>0</v>
      </c>
      <c r="F259" s="130"/>
      <c r="G259" s="60" t="s">
        <v>125</v>
      </c>
      <c r="H259" s="123"/>
      <c r="I259" s="123"/>
      <c r="J259" s="60"/>
      <c r="K259" s="60"/>
      <c r="L259" s="60"/>
      <c r="M259" s="60"/>
      <c r="N259" s="60">
        <f>M259*J259*K259*L259</f>
        <v>0</v>
      </c>
      <c r="O259" s="60">
        <f>J259*K259*L259</f>
        <v>0</v>
      </c>
    </row>
    <row r="260" spans="1:15" s="38" customFormat="1" ht="11.45" customHeight="1" outlineLevel="1" x14ac:dyDescent="0.25">
      <c r="A260" s="124"/>
      <c r="B260" s="142"/>
      <c r="C260" s="115"/>
      <c r="D260" s="115"/>
      <c r="E260" s="115"/>
      <c r="F260" s="115"/>
      <c r="G260" s="60" t="s">
        <v>126</v>
      </c>
      <c r="H260" s="124"/>
      <c r="I260" s="124"/>
      <c r="J260" s="60"/>
      <c r="K260" s="60"/>
      <c r="L260" s="60"/>
      <c r="M260" s="60"/>
      <c r="N260" s="60">
        <f t="shared" ref="N260:N265" si="83">M260*J260*K260*L260</f>
        <v>0</v>
      </c>
      <c r="O260" s="60">
        <f t="shared" ref="O260:O265" si="84">J260*K260*L260</f>
        <v>0</v>
      </c>
    </row>
    <row r="261" spans="1:15" s="38" customFormat="1" ht="10.7" customHeight="1" outlineLevel="1" x14ac:dyDescent="0.25">
      <c r="A261" s="124"/>
      <c r="B261" s="142"/>
      <c r="C261" s="115"/>
      <c r="D261" s="115"/>
      <c r="E261" s="115"/>
      <c r="F261" s="115"/>
      <c r="G261" s="60" t="s">
        <v>127</v>
      </c>
      <c r="H261" s="124"/>
      <c r="I261" s="124"/>
      <c r="J261" s="60"/>
      <c r="K261" s="60"/>
      <c r="L261" s="60"/>
      <c r="M261" s="60"/>
      <c r="N261" s="60">
        <f t="shared" si="83"/>
        <v>0</v>
      </c>
      <c r="O261" s="60">
        <f t="shared" si="84"/>
        <v>0</v>
      </c>
    </row>
    <row r="262" spans="1:15" s="38" customFormat="1" ht="10.7" customHeight="1" outlineLevel="1" x14ac:dyDescent="0.25">
      <c r="A262" s="124"/>
      <c r="B262" s="142"/>
      <c r="C262" s="115"/>
      <c r="D262" s="115"/>
      <c r="E262" s="115"/>
      <c r="F262" s="115"/>
      <c r="G262" s="60" t="s">
        <v>128</v>
      </c>
      <c r="H262" s="124"/>
      <c r="I262" s="124"/>
      <c r="J262" s="60"/>
      <c r="K262" s="60"/>
      <c r="L262" s="60"/>
      <c r="M262" s="60"/>
      <c r="N262" s="60">
        <f t="shared" si="83"/>
        <v>0</v>
      </c>
      <c r="O262" s="60">
        <f t="shared" si="84"/>
        <v>0</v>
      </c>
    </row>
    <row r="263" spans="1:15" s="38" customFormat="1" ht="10.7" customHeight="1" outlineLevel="1" x14ac:dyDescent="0.25">
      <c r="A263" s="124"/>
      <c r="B263" s="142"/>
      <c r="C263" s="115"/>
      <c r="D263" s="115"/>
      <c r="E263" s="115"/>
      <c r="F263" s="115"/>
      <c r="G263" s="60" t="s">
        <v>129</v>
      </c>
      <c r="H263" s="124"/>
      <c r="I263" s="124"/>
      <c r="J263" s="60"/>
      <c r="K263" s="60"/>
      <c r="L263" s="60"/>
      <c r="M263" s="60"/>
      <c r="N263" s="60">
        <f t="shared" si="83"/>
        <v>0</v>
      </c>
      <c r="O263" s="60">
        <f t="shared" si="84"/>
        <v>0</v>
      </c>
    </row>
    <row r="264" spans="1:15" s="38" customFormat="1" ht="10.7" customHeight="1" outlineLevel="1" x14ac:dyDescent="0.25">
      <c r="A264" s="124"/>
      <c r="B264" s="142"/>
      <c r="C264" s="115"/>
      <c r="D264" s="115"/>
      <c r="E264" s="115"/>
      <c r="F264" s="115"/>
      <c r="G264" s="60" t="s">
        <v>130</v>
      </c>
      <c r="H264" s="124"/>
      <c r="I264" s="124"/>
      <c r="J264" s="60"/>
      <c r="K264" s="60"/>
      <c r="L264" s="60"/>
      <c r="M264" s="60"/>
      <c r="N264" s="60">
        <f t="shared" si="83"/>
        <v>0</v>
      </c>
      <c r="O264" s="60">
        <f t="shared" si="84"/>
        <v>0</v>
      </c>
    </row>
    <row r="265" spans="1:15" s="38" customFormat="1" ht="12" customHeight="1" outlineLevel="1" thickBot="1" x14ac:dyDescent="0.3">
      <c r="A265" s="125"/>
      <c r="B265" s="143"/>
      <c r="C265" s="131"/>
      <c r="D265" s="131"/>
      <c r="E265" s="131"/>
      <c r="F265" s="131"/>
      <c r="G265" s="60" t="s">
        <v>131</v>
      </c>
      <c r="H265" s="134"/>
      <c r="I265" s="134"/>
      <c r="J265" s="60"/>
      <c r="K265" s="60"/>
      <c r="L265" s="60"/>
      <c r="M265" s="60"/>
      <c r="N265" s="60">
        <f t="shared" si="83"/>
        <v>0</v>
      </c>
      <c r="O265" s="60">
        <f t="shared" si="84"/>
        <v>0</v>
      </c>
    </row>
    <row r="266" spans="1:15" s="38" customFormat="1" ht="14.45" customHeight="1" outlineLevel="1" x14ac:dyDescent="0.25">
      <c r="A266" s="140" t="s">
        <v>167</v>
      </c>
      <c r="B266" s="141" t="s">
        <v>434</v>
      </c>
      <c r="C266" s="130">
        <f>SUM(N266:N272)</f>
        <v>0</v>
      </c>
      <c r="D266" s="130">
        <f>SUM(O266:O272)</f>
        <v>0</v>
      </c>
      <c r="E266" s="130">
        <f t="shared" si="82"/>
        <v>0</v>
      </c>
      <c r="F266" s="130"/>
      <c r="G266" s="60" t="s">
        <v>125</v>
      </c>
      <c r="H266" s="123"/>
      <c r="I266" s="123"/>
      <c r="J266" s="60"/>
      <c r="K266" s="60"/>
      <c r="L266" s="60"/>
      <c r="M266" s="60"/>
      <c r="N266" s="60">
        <f>M266*J266*K266*L266</f>
        <v>0</v>
      </c>
      <c r="O266" s="60">
        <f>J266*K266*L266</f>
        <v>0</v>
      </c>
    </row>
    <row r="267" spans="1:15" s="38" customFormat="1" ht="11.45" customHeight="1" outlineLevel="1" x14ac:dyDescent="0.25">
      <c r="A267" s="124"/>
      <c r="B267" s="142"/>
      <c r="C267" s="115"/>
      <c r="D267" s="115"/>
      <c r="E267" s="115"/>
      <c r="F267" s="115"/>
      <c r="G267" s="60" t="s">
        <v>126</v>
      </c>
      <c r="H267" s="124"/>
      <c r="I267" s="124"/>
      <c r="J267" s="60"/>
      <c r="K267" s="60"/>
      <c r="L267" s="60"/>
      <c r="M267" s="60"/>
      <c r="N267" s="60">
        <f t="shared" ref="N267:N272" si="85">M267*J267*K267*L267</f>
        <v>0</v>
      </c>
      <c r="O267" s="60">
        <f t="shared" ref="O267:O272" si="86">J267*K267*L267</f>
        <v>0</v>
      </c>
    </row>
    <row r="268" spans="1:15" s="38" customFormat="1" ht="10.7" customHeight="1" outlineLevel="1" x14ac:dyDescent="0.25">
      <c r="A268" s="124"/>
      <c r="B268" s="142"/>
      <c r="C268" s="115"/>
      <c r="D268" s="115"/>
      <c r="E268" s="115"/>
      <c r="F268" s="115"/>
      <c r="G268" s="60" t="s">
        <v>127</v>
      </c>
      <c r="H268" s="124"/>
      <c r="I268" s="124"/>
      <c r="J268" s="60"/>
      <c r="K268" s="60"/>
      <c r="L268" s="60"/>
      <c r="M268" s="60"/>
      <c r="N268" s="60">
        <f t="shared" si="85"/>
        <v>0</v>
      </c>
      <c r="O268" s="60">
        <f t="shared" si="86"/>
        <v>0</v>
      </c>
    </row>
    <row r="269" spans="1:15" s="38" customFormat="1" ht="10.7" customHeight="1" outlineLevel="1" x14ac:dyDescent="0.25">
      <c r="A269" s="124"/>
      <c r="B269" s="142"/>
      <c r="C269" s="115"/>
      <c r="D269" s="115"/>
      <c r="E269" s="115"/>
      <c r="F269" s="115"/>
      <c r="G269" s="60" t="s">
        <v>128</v>
      </c>
      <c r="H269" s="124"/>
      <c r="I269" s="124"/>
      <c r="J269" s="60"/>
      <c r="K269" s="60"/>
      <c r="L269" s="60"/>
      <c r="M269" s="60"/>
      <c r="N269" s="60">
        <f t="shared" si="85"/>
        <v>0</v>
      </c>
      <c r="O269" s="60">
        <f t="shared" si="86"/>
        <v>0</v>
      </c>
    </row>
    <row r="270" spans="1:15" s="38" customFormat="1" ht="10.7" customHeight="1" outlineLevel="1" x14ac:dyDescent="0.25">
      <c r="A270" s="124"/>
      <c r="B270" s="142"/>
      <c r="C270" s="115"/>
      <c r="D270" s="115"/>
      <c r="E270" s="115"/>
      <c r="F270" s="115"/>
      <c r="G270" s="60" t="s">
        <v>129</v>
      </c>
      <c r="H270" s="124"/>
      <c r="I270" s="124"/>
      <c r="J270" s="60"/>
      <c r="K270" s="60"/>
      <c r="L270" s="60"/>
      <c r="M270" s="60"/>
      <c r="N270" s="60">
        <f t="shared" si="85"/>
        <v>0</v>
      </c>
      <c r="O270" s="60">
        <f t="shared" si="86"/>
        <v>0</v>
      </c>
    </row>
    <row r="271" spans="1:15" s="38" customFormat="1" ht="10.7" customHeight="1" outlineLevel="1" x14ac:dyDescent="0.25">
      <c r="A271" s="124"/>
      <c r="B271" s="142"/>
      <c r="C271" s="115"/>
      <c r="D271" s="115"/>
      <c r="E271" s="115"/>
      <c r="F271" s="115"/>
      <c r="G271" s="60" t="s">
        <v>130</v>
      </c>
      <c r="H271" s="124"/>
      <c r="I271" s="124"/>
      <c r="J271" s="60"/>
      <c r="K271" s="60"/>
      <c r="L271" s="60"/>
      <c r="M271" s="60"/>
      <c r="N271" s="60">
        <f t="shared" si="85"/>
        <v>0</v>
      </c>
      <c r="O271" s="60">
        <f t="shared" si="86"/>
        <v>0</v>
      </c>
    </row>
    <row r="272" spans="1:15" s="38" customFormat="1" ht="12" customHeight="1" outlineLevel="1" thickBot="1" x14ac:dyDescent="0.3">
      <c r="A272" s="125"/>
      <c r="B272" s="143"/>
      <c r="C272" s="131"/>
      <c r="D272" s="131"/>
      <c r="E272" s="131"/>
      <c r="F272" s="131"/>
      <c r="G272" s="60" t="s">
        <v>131</v>
      </c>
      <c r="H272" s="134"/>
      <c r="I272" s="134"/>
      <c r="J272" s="60"/>
      <c r="K272" s="60"/>
      <c r="L272" s="60"/>
      <c r="M272" s="60"/>
      <c r="N272" s="60">
        <f t="shared" si="85"/>
        <v>0</v>
      </c>
      <c r="O272" s="60">
        <f t="shared" si="86"/>
        <v>0</v>
      </c>
    </row>
    <row r="273" spans="1:15" s="38" customFormat="1" ht="14.45" customHeight="1" outlineLevel="1" x14ac:dyDescent="0.25">
      <c r="A273" s="140" t="s">
        <v>169</v>
      </c>
      <c r="B273" s="141" t="s">
        <v>435</v>
      </c>
      <c r="C273" s="130">
        <f>SUM(N273:N279)</f>
        <v>0</v>
      </c>
      <c r="D273" s="130">
        <f>SUM(O273:O279)</f>
        <v>0</v>
      </c>
      <c r="E273" s="130">
        <f t="shared" si="82"/>
        <v>0</v>
      </c>
      <c r="F273" s="130"/>
      <c r="G273" s="60" t="s">
        <v>125</v>
      </c>
      <c r="H273" s="123"/>
      <c r="I273" s="123"/>
      <c r="J273" s="60"/>
      <c r="K273" s="60"/>
      <c r="L273" s="60"/>
      <c r="M273" s="60"/>
      <c r="N273" s="60">
        <f>M273*J273*K273*L273</f>
        <v>0</v>
      </c>
      <c r="O273" s="60">
        <f>J273*K273*L273</f>
        <v>0</v>
      </c>
    </row>
    <row r="274" spans="1:15" s="38" customFormat="1" ht="11.45" customHeight="1" outlineLevel="1" x14ac:dyDescent="0.25">
      <c r="A274" s="124"/>
      <c r="B274" s="142"/>
      <c r="C274" s="115"/>
      <c r="D274" s="115"/>
      <c r="E274" s="115"/>
      <c r="F274" s="115"/>
      <c r="G274" s="60" t="s">
        <v>126</v>
      </c>
      <c r="H274" s="124"/>
      <c r="I274" s="124"/>
      <c r="J274" s="60"/>
      <c r="K274" s="60"/>
      <c r="L274" s="60"/>
      <c r="M274" s="60"/>
      <c r="N274" s="60">
        <f t="shared" ref="N274:N279" si="87">M274*J274*K274*L274</f>
        <v>0</v>
      </c>
      <c r="O274" s="60">
        <f t="shared" ref="O274:O279" si="88">J274*K274*L274</f>
        <v>0</v>
      </c>
    </row>
    <row r="275" spans="1:15" s="38" customFormat="1" ht="10.7" customHeight="1" outlineLevel="1" x14ac:dyDescent="0.25">
      <c r="A275" s="124"/>
      <c r="B275" s="142"/>
      <c r="C275" s="115"/>
      <c r="D275" s="115"/>
      <c r="E275" s="115"/>
      <c r="F275" s="115"/>
      <c r="G275" s="60" t="s">
        <v>127</v>
      </c>
      <c r="H275" s="124"/>
      <c r="I275" s="124"/>
      <c r="J275" s="60"/>
      <c r="K275" s="60"/>
      <c r="L275" s="60"/>
      <c r="M275" s="60"/>
      <c r="N275" s="60">
        <f t="shared" si="87"/>
        <v>0</v>
      </c>
      <c r="O275" s="60">
        <f t="shared" si="88"/>
        <v>0</v>
      </c>
    </row>
    <row r="276" spans="1:15" s="38" customFormat="1" ht="10.7" customHeight="1" outlineLevel="1" x14ac:dyDescent="0.25">
      <c r="A276" s="124"/>
      <c r="B276" s="142"/>
      <c r="C276" s="115"/>
      <c r="D276" s="115"/>
      <c r="E276" s="115"/>
      <c r="F276" s="115"/>
      <c r="G276" s="60" t="s">
        <v>128</v>
      </c>
      <c r="H276" s="124"/>
      <c r="I276" s="124"/>
      <c r="J276" s="60"/>
      <c r="K276" s="60"/>
      <c r="L276" s="60"/>
      <c r="M276" s="60"/>
      <c r="N276" s="60">
        <f t="shared" si="87"/>
        <v>0</v>
      </c>
      <c r="O276" s="60">
        <f t="shared" si="88"/>
        <v>0</v>
      </c>
    </row>
    <row r="277" spans="1:15" s="38" customFormat="1" ht="10.7" customHeight="1" outlineLevel="1" x14ac:dyDescent="0.25">
      <c r="A277" s="124"/>
      <c r="B277" s="142"/>
      <c r="C277" s="115"/>
      <c r="D277" s="115"/>
      <c r="E277" s="115"/>
      <c r="F277" s="115"/>
      <c r="G277" s="60" t="s">
        <v>129</v>
      </c>
      <c r="H277" s="124"/>
      <c r="I277" s="124"/>
      <c r="J277" s="60"/>
      <c r="K277" s="60"/>
      <c r="L277" s="60"/>
      <c r="M277" s="60"/>
      <c r="N277" s="60">
        <f t="shared" si="87"/>
        <v>0</v>
      </c>
      <c r="O277" s="60">
        <f t="shared" si="88"/>
        <v>0</v>
      </c>
    </row>
    <row r="278" spans="1:15" s="38" customFormat="1" ht="10.7" customHeight="1" outlineLevel="1" x14ac:dyDescent="0.25">
      <c r="A278" s="124"/>
      <c r="B278" s="142"/>
      <c r="C278" s="115"/>
      <c r="D278" s="115"/>
      <c r="E278" s="115"/>
      <c r="F278" s="115"/>
      <c r="G278" s="60" t="s">
        <v>130</v>
      </c>
      <c r="H278" s="124"/>
      <c r="I278" s="124"/>
      <c r="J278" s="60"/>
      <c r="K278" s="60"/>
      <c r="L278" s="60"/>
      <c r="M278" s="60"/>
      <c r="N278" s="60">
        <f t="shared" si="87"/>
        <v>0</v>
      </c>
      <c r="O278" s="60">
        <f t="shared" si="88"/>
        <v>0</v>
      </c>
    </row>
    <row r="279" spans="1:15" s="38" customFormat="1" ht="12" customHeight="1" outlineLevel="1" thickBot="1" x14ac:dyDescent="0.3">
      <c r="A279" s="125"/>
      <c r="B279" s="143"/>
      <c r="C279" s="131"/>
      <c r="D279" s="131"/>
      <c r="E279" s="131"/>
      <c r="F279" s="131"/>
      <c r="G279" s="60" t="s">
        <v>131</v>
      </c>
      <c r="H279" s="134"/>
      <c r="I279" s="134"/>
      <c r="J279" s="60"/>
      <c r="K279" s="60"/>
      <c r="L279" s="60"/>
      <c r="M279" s="60"/>
      <c r="N279" s="60">
        <f t="shared" si="87"/>
        <v>0</v>
      </c>
      <c r="O279" s="60">
        <f t="shared" si="88"/>
        <v>0</v>
      </c>
    </row>
    <row r="280" spans="1:15" s="38" customFormat="1" ht="14.45" customHeight="1" outlineLevel="1" x14ac:dyDescent="0.25">
      <c r="A280" s="140" t="s">
        <v>436</v>
      </c>
      <c r="B280" s="141" t="s">
        <v>437</v>
      </c>
      <c r="C280" s="130">
        <f>SUM(N280:N286)</f>
        <v>0</v>
      </c>
      <c r="D280" s="130">
        <f>SUM(O280:O286)</f>
        <v>0</v>
      </c>
      <c r="E280" s="130">
        <f t="shared" si="82"/>
        <v>0</v>
      </c>
      <c r="F280" s="130"/>
      <c r="G280" s="60" t="s">
        <v>125</v>
      </c>
      <c r="H280" s="123"/>
      <c r="I280" s="123"/>
      <c r="J280" s="60"/>
      <c r="K280" s="60"/>
      <c r="L280" s="60"/>
      <c r="M280" s="60"/>
      <c r="N280" s="60">
        <f>M280*J280*K280*L280</f>
        <v>0</v>
      </c>
      <c r="O280" s="60">
        <f>J280*K280*L280</f>
        <v>0</v>
      </c>
    </row>
    <row r="281" spans="1:15" s="38" customFormat="1" ht="11.45" customHeight="1" outlineLevel="1" x14ac:dyDescent="0.25">
      <c r="A281" s="124"/>
      <c r="B281" s="142"/>
      <c r="C281" s="115"/>
      <c r="D281" s="115"/>
      <c r="E281" s="115"/>
      <c r="F281" s="115"/>
      <c r="G281" s="60" t="s">
        <v>126</v>
      </c>
      <c r="H281" s="124"/>
      <c r="I281" s="124"/>
      <c r="J281" s="60"/>
      <c r="K281" s="60"/>
      <c r="L281" s="60"/>
      <c r="M281" s="60"/>
      <c r="N281" s="60">
        <f t="shared" ref="N281:N286" si="89">M281*J281*K281*L281</f>
        <v>0</v>
      </c>
      <c r="O281" s="60">
        <f t="shared" ref="O281:O286" si="90">J281*K281*L281</f>
        <v>0</v>
      </c>
    </row>
    <row r="282" spans="1:15" s="38" customFormat="1" ht="10.7" customHeight="1" outlineLevel="1" x14ac:dyDescent="0.25">
      <c r="A282" s="124"/>
      <c r="B282" s="142"/>
      <c r="C282" s="115"/>
      <c r="D282" s="115"/>
      <c r="E282" s="115"/>
      <c r="F282" s="115"/>
      <c r="G282" s="60" t="s">
        <v>127</v>
      </c>
      <c r="H282" s="124"/>
      <c r="I282" s="124"/>
      <c r="J282" s="60"/>
      <c r="K282" s="60"/>
      <c r="L282" s="60"/>
      <c r="M282" s="60"/>
      <c r="N282" s="60">
        <f t="shared" si="89"/>
        <v>0</v>
      </c>
      <c r="O282" s="60">
        <f t="shared" si="90"/>
        <v>0</v>
      </c>
    </row>
    <row r="283" spans="1:15" s="38" customFormat="1" ht="10.7" customHeight="1" outlineLevel="1" x14ac:dyDescent="0.25">
      <c r="A283" s="124"/>
      <c r="B283" s="142"/>
      <c r="C283" s="115"/>
      <c r="D283" s="115"/>
      <c r="E283" s="115"/>
      <c r="F283" s="115"/>
      <c r="G283" s="60" t="s">
        <v>128</v>
      </c>
      <c r="H283" s="124"/>
      <c r="I283" s="124"/>
      <c r="J283" s="60"/>
      <c r="K283" s="60"/>
      <c r="L283" s="60"/>
      <c r="M283" s="60"/>
      <c r="N283" s="60">
        <f t="shared" si="89"/>
        <v>0</v>
      </c>
      <c r="O283" s="60">
        <f t="shared" si="90"/>
        <v>0</v>
      </c>
    </row>
    <row r="284" spans="1:15" s="38" customFormat="1" ht="10.7" customHeight="1" outlineLevel="1" x14ac:dyDescent="0.25">
      <c r="A284" s="124"/>
      <c r="B284" s="142"/>
      <c r="C284" s="115"/>
      <c r="D284" s="115"/>
      <c r="E284" s="115"/>
      <c r="F284" s="115"/>
      <c r="G284" s="60" t="s">
        <v>129</v>
      </c>
      <c r="H284" s="124"/>
      <c r="I284" s="124"/>
      <c r="J284" s="60"/>
      <c r="K284" s="60"/>
      <c r="L284" s="60"/>
      <c r="M284" s="60"/>
      <c r="N284" s="60">
        <f t="shared" si="89"/>
        <v>0</v>
      </c>
      <c r="O284" s="60">
        <f t="shared" si="90"/>
        <v>0</v>
      </c>
    </row>
    <row r="285" spans="1:15" s="38" customFormat="1" ht="10.7" customHeight="1" outlineLevel="1" x14ac:dyDescent="0.25">
      <c r="A285" s="124"/>
      <c r="B285" s="142"/>
      <c r="C285" s="115"/>
      <c r="D285" s="115"/>
      <c r="E285" s="115"/>
      <c r="F285" s="115"/>
      <c r="G285" s="60" t="s">
        <v>130</v>
      </c>
      <c r="H285" s="124"/>
      <c r="I285" s="124"/>
      <c r="J285" s="60"/>
      <c r="K285" s="60"/>
      <c r="L285" s="60"/>
      <c r="M285" s="60"/>
      <c r="N285" s="60">
        <f t="shared" si="89"/>
        <v>0</v>
      </c>
      <c r="O285" s="60">
        <f t="shared" si="90"/>
        <v>0</v>
      </c>
    </row>
    <row r="286" spans="1:15" s="38" customFormat="1" ht="12" customHeight="1" outlineLevel="1" thickBot="1" x14ac:dyDescent="0.3">
      <c r="A286" s="125"/>
      <c r="B286" s="143"/>
      <c r="C286" s="131"/>
      <c r="D286" s="131"/>
      <c r="E286" s="131"/>
      <c r="F286" s="131"/>
      <c r="G286" s="60" t="s">
        <v>131</v>
      </c>
      <c r="H286" s="134"/>
      <c r="I286" s="134"/>
      <c r="J286" s="60"/>
      <c r="K286" s="60"/>
      <c r="L286" s="60"/>
      <c r="M286" s="60"/>
      <c r="N286" s="60">
        <f t="shared" si="89"/>
        <v>0</v>
      </c>
      <c r="O286" s="60">
        <f t="shared" si="90"/>
        <v>0</v>
      </c>
    </row>
    <row r="287" spans="1:15" s="38" customFormat="1" ht="14.45" customHeight="1" outlineLevel="1" x14ac:dyDescent="0.25">
      <c r="A287" s="140" t="s">
        <v>438</v>
      </c>
      <c r="B287" s="141" t="s">
        <v>439</v>
      </c>
      <c r="C287" s="130">
        <f>SUM(N287:N293)</f>
        <v>0</v>
      </c>
      <c r="D287" s="130">
        <f>SUM(O287:O293)</f>
        <v>0</v>
      </c>
      <c r="E287" s="130">
        <f t="shared" si="82"/>
        <v>0</v>
      </c>
      <c r="F287" s="130"/>
      <c r="G287" s="60" t="s">
        <v>125</v>
      </c>
      <c r="H287" s="123"/>
      <c r="I287" s="123"/>
      <c r="J287" s="60"/>
      <c r="K287" s="60"/>
      <c r="L287" s="60"/>
      <c r="M287" s="60"/>
      <c r="N287" s="60">
        <f>M287*J287*K287*L287</f>
        <v>0</v>
      </c>
      <c r="O287" s="60">
        <f>J287*K287*L287</f>
        <v>0</v>
      </c>
    </row>
    <row r="288" spans="1:15" s="38" customFormat="1" ht="11.45" customHeight="1" outlineLevel="1" x14ac:dyDescent="0.25">
      <c r="A288" s="124"/>
      <c r="B288" s="142"/>
      <c r="C288" s="115"/>
      <c r="D288" s="115"/>
      <c r="E288" s="115"/>
      <c r="F288" s="115"/>
      <c r="G288" s="60" t="s">
        <v>126</v>
      </c>
      <c r="H288" s="124"/>
      <c r="I288" s="124"/>
      <c r="J288" s="60"/>
      <c r="K288" s="60"/>
      <c r="L288" s="60"/>
      <c r="M288" s="60"/>
      <c r="N288" s="60">
        <f t="shared" ref="N288:N293" si="91">M288*J288*K288*L288</f>
        <v>0</v>
      </c>
      <c r="O288" s="60">
        <f t="shared" ref="O288:O293" si="92">J288*K288*L288</f>
        <v>0</v>
      </c>
    </row>
    <row r="289" spans="1:15" s="38" customFormat="1" ht="10.7" customHeight="1" outlineLevel="1" x14ac:dyDescent="0.25">
      <c r="A289" s="124"/>
      <c r="B289" s="142"/>
      <c r="C289" s="115"/>
      <c r="D289" s="115"/>
      <c r="E289" s="115"/>
      <c r="F289" s="115"/>
      <c r="G289" s="60" t="s">
        <v>127</v>
      </c>
      <c r="H289" s="124"/>
      <c r="I289" s="124"/>
      <c r="J289" s="60"/>
      <c r="K289" s="60"/>
      <c r="L289" s="60"/>
      <c r="M289" s="60"/>
      <c r="N289" s="60">
        <f t="shared" si="91"/>
        <v>0</v>
      </c>
      <c r="O289" s="60">
        <f t="shared" si="92"/>
        <v>0</v>
      </c>
    </row>
    <row r="290" spans="1:15" s="38" customFormat="1" ht="10.7" customHeight="1" outlineLevel="1" x14ac:dyDescent="0.25">
      <c r="A290" s="124"/>
      <c r="B290" s="142"/>
      <c r="C290" s="115"/>
      <c r="D290" s="115"/>
      <c r="E290" s="115"/>
      <c r="F290" s="115"/>
      <c r="G290" s="60" t="s">
        <v>128</v>
      </c>
      <c r="H290" s="124"/>
      <c r="I290" s="124"/>
      <c r="J290" s="60"/>
      <c r="K290" s="60"/>
      <c r="L290" s="60"/>
      <c r="M290" s="60"/>
      <c r="N290" s="60">
        <f t="shared" si="91"/>
        <v>0</v>
      </c>
      <c r="O290" s="60">
        <f t="shared" si="92"/>
        <v>0</v>
      </c>
    </row>
    <row r="291" spans="1:15" s="38" customFormat="1" ht="10.7" customHeight="1" outlineLevel="1" x14ac:dyDescent="0.25">
      <c r="A291" s="124"/>
      <c r="B291" s="142"/>
      <c r="C291" s="115"/>
      <c r="D291" s="115"/>
      <c r="E291" s="115"/>
      <c r="F291" s="115"/>
      <c r="G291" s="60" t="s">
        <v>129</v>
      </c>
      <c r="H291" s="124"/>
      <c r="I291" s="124"/>
      <c r="J291" s="60"/>
      <c r="K291" s="60"/>
      <c r="L291" s="60"/>
      <c r="M291" s="60"/>
      <c r="N291" s="60">
        <f t="shared" si="91"/>
        <v>0</v>
      </c>
      <c r="O291" s="60">
        <f t="shared" si="92"/>
        <v>0</v>
      </c>
    </row>
    <row r="292" spans="1:15" s="38" customFormat="1" ht="10.7" customHeight="1" outlineLevel="1" x14ac:dyDescent="0.25">
      <c r="A292" s="124"/>
      <c r="B292" s="142"/>
      <c r="C292" s="115"/>
      <c r="D292" s="115"/>
      <c r="E292" s="115"/>
      <c r="F292" s="115"/>
      <c r="G292" s="60" t="s">
        <v>130</v>
      </c>
      <c r="H292" s="124"/>
      <c r="I292" s="124"/>
      <c r="J292" s="60"/>
      <c r="K292" s="60"/>
      <c r="L292" s="60"/>
      <c r="M292" s="60"/>
      <c r="N292" s="60">
        <f t="shared" si="91"/>
        <v>0</v>
      </c>
      <c r="O292" s="60">
        <f t="shared" si="92"/>
        <v>0</v>
      </c>
    </row>
    <row r="293" spans="1:15" s="38" customFormat="1" ht="12" customHeight="1" outlineLevel="1" thickBot="1" x14ac:dyDescent="0.3">
      <c r="A293" s="125"/>
      <c r="B293" s="143"/>
      <c r="C293" s="131"/>
      <c r="D293" s="131"/>
      <c r="E293" s="131"/>
      <c r="F293" s="131"/>
      <c r="G293" s="60" t="s">
        <v>131</v>
      </c>
      <c r="H293" s="134"/>
      <c r="I293" s="134"/>
      <c r="J293" s="60"/>
      <c r="K293" s="60"/>
      <c r="L293" s="60"/>
      <c r="M293" s="60"/>
      <c r="N293" s="60">
        <f t="shared" si="91"/>
        <v>0</v>
      </c>
      <c r="O293" s="60">
        <f t="shared" si="92"/>
        <v>0</v>
      </c>
    </row>
    <row r="294" spans="1:15" s="38" customFormat="1" ht="14.45" customHeight="1" outlineLevel="1" x14ac:dyDescent="0.25">
      <c r="A294" s="140" t="s">
        <v>440</v>
      </c>
      <c r="B294" s="141" t="s">
        <v>441</v>
      </c>
      <c r="C294" s="130">
        <f>SUM(N294:N300)</f>
        <v>0</v>
      </c>
      <c r="D294" s="130">
        <f>SUM(O294:O300)</f>
        <v>0</v>
      </c>
      <c r="E294" s="130">
        <f t="shared" si="82"/>
        <v>0</v>
      </c>
      <c r="F294" s="130"/>
      <c r="G294" s="60" t="s">
        <v>125</v>
      </c>
      <c r="H294" s="123"/>
      <c r="I294" s="123"/>
      <c r="J294" s="60"/>
      <c r="K294" s="60"/>
      <c r="L294" s="60"/>
      <c r="M294" s="60"/>
      <c r="N294" s="60">
        <f>M294*J294*K294*L294</f>
        <v>0</v>
      </c>
      <c r="O294" s="60">
        <f>J294*K294*L294</f>
        <v>0</v>
      </c>
    </row>
    <row r="295" spans="1:15" s="38" customFormat="1" ht="11.45" customHeight="1" outlineLevel="1" x14ac:dyDescent="0.25">
      <c r="A295" s="124"/>
      <c r="B295" s="142"/>
      <c r="C295" s="115"/>
      <c r="D295" s="115"/>
      <c r="E295" s="115"/>
      <c r="F295" s="115"/>
      <c r="G295" s="60" t="s">
        <v>126</v>
      </c>
      <c r="H295" s="124"/>
      <c r="I295" s="124"/>
      <c r="J295" s="60"/>
      <c r="K295" s="60"/>
      <c r="L295" s="60"/>
      <c r="M295" s="60"/>
      <c r="N295" s="60">
        <f t="shared" ref="N295:N300" si="93">M295*J295*K295*L295</f>
        <v>0</v>
      </c>
      <c r="O295" s="60">
        <f t="shared" ref="O295:O300" si="94">J295*K295*L295</f>
        <v>0</v>
      </c>
    </row>
    <row r="296" spans="1:15" s="38" customFormat="1" ht="10.7" customHeight="1" outlineLevel="1" x14ac:dyDescent="0.25">
      <c r="A296" s="124"/>
      <c r="B296" s="142"/>
      <c r="C296" s="115"/>
      <c r="D296" s="115"/>
      <c r="E296" s="115"/>
      <c r="F296" s="115"/>
      <c r="G296" s="60" t="s">
        <v>127</v>
      </c>
      <c r="H296" s="124"/>
      <c r="I296" s="124"/>
      <c r="J296" s="60"/>
      <c r="K296" s="60"/>
      <c r="L296" s="60"/>
      <c r="M296" s="60"/>
      <c r="N296" s="60">
        <f t="shared" si="93"/>
        <v>0</v>
      </c>
      <c r="O296" s="60">
        <f t="shared" si="94"/>
        <v>0</v>
      </c>
    </row>
    <row r="297" spans="1:15" s="38" customFormat="1" ht="10.7" customHeight="1" outlineLevel="1" x14ac:dyDescent="0.25">
      <c r="A297" s="124"/>
      <c r="B297" s="142"/>
      <c r="C297" s="115"/>
      <c r="D297" s="115"/>
      <c r="E297" s="115"/>
      <c r="F297" s="115"/>
      <c r="G297" s="60" t="s">
        <v>128</v>
      </c>
      <c r="H297" s="124"/>
      <c r="I297" s="124"/>
      <c r="J297" s="60"/>
      <c r="K297" s="60"/>
      <c r="L297" s="60"/>
      <c r="M297" s="60"/>
      <c r="N297" s="60">
        <f t="shared" si="93"/>
        <v>0</v>
      </c>
      <c r="O297" s="60">
        <f t="shared" si="94"/>
        <v>0</v>
      </c>
    </row>
    <row r="298" spans="1:15" s="38" customFormat="1" ht="10.7" customHeight="1" outlineLevel="1" x14ac:dyDescent="0.25">
      <c r="A298" s="124"/>
      <c r="B298" s="142"/>
      <c r="C298" s="115"/>
      <c r="D298" s="115"/>
      <c r="E298" s="115"/>
      <c r="F298" s="115"/>
      <c r="G298" s="60" t="s">
        <v>129</v>
      </c>
      <c r="H298" s="124"/>
      <c r="I298" s="124"/>
      <c r="J298" s="60"/>
      <c r="K298" s="60"/>
      <c r="L298" s="60"/>
      <c r="M298" s="60"/>
      <c r="N298" s="60">
        <f t="shared" si="93"/>
        <v>0</v>
      </c>
      <c r="O298" s="60">
        <f t="shared" si="94"/>
        <v>0</v>
      </c>
    </row>
    <row r="299" spans="1:15" s="38" customFormat="1" ht="10.7" customHeight="1" outlineLevel="1" x14ac:dyDescent="0.25">
      <c r="A299" s="124"/>
      <c r="B299" s="142"/>
      <c r="C299" s="115"/>
      <c r="D299" s="115"/>
      <c r="E299" s="115"/>
      <c r="F299" s="115"/>
      <c r="G299" s="60" t="s">
        <v>130</v>
      </c>
      <c r="H299" s="124"/>
      <c r="I299" s="124"/>
      <c r="J299" s="60"/>
      <c r="K299" s="60"/>
      <c r="L299" s="60"/>
      <c r="M299" s="60"/>
      <c r="N299" s="60">
        <f t="shared" si="93"/>
        <v>0</v>
      </c>
      <c r="O299" s="60">
        <f t="shared" si="94"/>
        <v>0</v>
      </c>
    </row>
    <row r="300" spans="1:15" s="38" customFormat="1" ht="12" customHeight="1" outlineLevel="1" thickBot="1" x14ac:dyDescent="0.3">
      <c r="A300" s="125"/>
      <c r="B300" s="143"/>
      <c r="C300" s="131"/>
      <c r="D300" s="131"/>
      <c r="E300" s="131"/>
      <c r="F300" s="131"/>
      <c r="G300" s="60" t="s">
        <v>131</v>
      </c>
      <c r="H300" s="134"/>
      <c r="I300" s="134"/>
      <c r="J300" s="60"/>
      <c r="K300" s="60"/>
      <c r="L300" s="60"/>
      <c r="M300" s="60"/>
      <c r="N300" s="60">
        <f t="shared" si="93"/>
        <v>0</v>
      </c>
      <c r="O300" s="60">
        <f t="shared" si="94"/>
        <v>0</v>
      </c>
    </row>
    <row r="301" spans="1:15" s="38" customFormat="1" ht="14.45" customHeight="1" outlineLevel="1" x14ac:dyDescent="0.25">
      <c r="A301" s="140" t="s">
        <v>442</v>
      </c>
      <c r="B301" s="141" t="s">
        <v>443</v>
      </c>
      <c r="C301" s="130">
        <f>SUM(N301:N307)</f>
        <v>0</v>
      </c>
      <c r="D301" s="130">
        <f>SUM(O301:O307)</f>
        <v>0</v>
      </c>
      <c r="E301" s="130">
        <f t="shared" si="82"/>
        <v>0</v>
      </c>
      <c r="F301" s="130"/>
      <c r="G301" s="60" t="s">
        <v>125</v>
      </c>
      <c r="H301" s="123"/>
      <c r="I301" s="123"/>
      <c r="J301" s="60"/>
      <c r="K301" s="60"/>
      <c r="L301" s="60"/>
      <c r="M301" s="60"/>
      <c r="N301" s="60">
        <f>M301*J301*K301*L301</f>
        <v>0</v>
      </c>
      <c r="O301" s="60">
        <f>J301*K301*L301</f>
        <v>0</v>
      </c>
    </row>
    <row r="302" spans="1:15" s="38" customFormat="1" ht="11.45" customHeight="1" outlineLevel="1" x14ac:dyDescent="0.25">
      <c r="A302" s="124"/>
      <c r="B302" s="142"/>
      <c r="C302" s="115"/>
      <c r="D302" s="115"/>
      <c r="E302" s="115"/>
      <c r="F302" s="115"/>
      <c r="G302" s="60" t="s">
        <v>126</v>
      </c>
      <c r="H302" s="124"/>
      <c r="I302" s="124"/>
      <c r="J302" s="60"/>
      <c r="K302" s="60"/>
      <c r="L302" s="60"/>
      <c r="M302" s="60"/>
      <c r="N302" s="60">
        <f t="shared" ref="N302:N307" si="95">M302*J302*K302*L302</f>
        <v>0</v>
      </c>
      <c r="O302" s="60">
        <f t="shared" ref="O302:O307" si="96">J302*K302*L302</f>
        <v>0</v>
      </c>
    </row>
    <row r="303" spans="1:15" s="38" customFormat="1" ht="10.7" customHeight="1" outlineLevel="1" x14ac:dyDescent="0.25">
      <c r="A303" s="124"/>
      <c r="B303" s="142"/>
      <c r="C303" s="115"/>
      <c r="D303" s="115"/>
      <c r="E303" s="115"/>
      <c r="F303" s="115"/>
      <c r="G303" s="60" t="s">
        <v>127</v>
      </c>
      <c r="H303" s="124"/>
      <c r="I303" s="124"/>
      <c r="J303" s="60"/>
      <c r="K303" s="60"/>
      <c r="L303" s="60"/>
      <c r="M303" s="60"/>
      <c r="N303" s="60">
        <f t="shared" si="95"/>
        <v>0</v>
      </c>
      <c r="O303" s="60">
        <f t="shared" si="96"/>
        <v>0</v>
      </c>
    </row>
    <row r="304" spans="1:15" s="38" customFormat="1" ht="10.7" customHeight="1" outlineLevel="1" x14ac:dyDescent="0.25">
      <c r="A304" s="124"/>
      <c r="B304" s="142"/>
      <c r="C304" s="115"/>
      <c r="D304" s="115"/>
      <c r="E304" s="115"/>
      <c r="F304" s="115"/>
      <c r="G304" s="60" t="s">
        <v>128</v>
      </c>
      <c r="H304" s="124"/>
      <c r="I304" s="124"/>
      <c r="J304" s="60"/>
      <c r="K304" s="60"/>
      <c r="L304" s="60"/>
      <c r="M304" s="60"/>
      <c r="N304" s="60">
        <f t="shared" si="95"/>
        <v>0</v>
      </c>
      <c r="O304" s="60">
        <f t="shared" si="96"/>
        <v>0</v>
      </c>
    </row>
    <row r="305" spans="1:15" s="38" customFormat="1" ht="10.7" customHeight="1" outlineLevel="1" x14ac:dyDescent="0.25">
      <c r="A305" s="124"/>
      <c r="B305" s="142"/>
      <c r="C305" s="115"/>
      <c r="D305" s="115"/>
      <c r="E305" s="115"/>
      <c r="F305" s="115"/>
      <c r="G305" s="60" t="s">
        <v>129</v>
      </c>
      <c r="H305" s="124"/>
      <c r="I305" s="124"/>
      <c r="J305" s="60"/>
      <c r="K305" s="60"/>
      <c r="L305" s="60"/>
      <c r="M305" s="60"/>
      <c r="N305" s="60">
        <f t="shared" si="95"/>
        <v>0</v>
      </c>
      <c r="O305" s="60">
        <f t="shared" si="96"/>
        <v>0</v>
      </c>
    </row>
    <row r="306" spans="1:15" s="38" customFormat="1" ht="10.7" customHeight="1" outlineLevel="1" x14ac:dyDescent="0.25">
      <c r="A306" s="124"/>
      <c r="B306" s="142"/>
      <c r="C306" s="115"/>
      <c r="D306" s="115"/>
      <c r="E306" s="115"/>
      <c r="F306" s="115"/>
      <c r="G306" s="60" t="s">
        <v>130</v>
      </c>
      <c r="H306" s="124"/>
      <c r="I306" s="124"/>
      <c r="J306" s="60"/>
      <c r="K306" s="60"/>
      <c r="L306" s="60"/>
      <c r="M306" s="60"/>
      <c r="N306" s="60">
        <f t="shared" si="95"/>
        <v>0</v>
      </c>
      <c r="O306" s="60">
        <f t="shared" si="96"/>
        <v>0</v>
      </c>
    </row>
    <row r="307" spans="1:15" s="38" customFormat="1" ht="12" customHeight="1" outlineLevel="1" thickBot="1" x14ac:dyDescent="0.3">
      <c r="A307" s="125"/>
      <c r="B307" s="143"/>
      <c r="C307" s="131"/>
      <c r="D307" s="131"/>
      <c r="E307" s="131"/>
      <c r="F307" s="131"/>
      <c r="G307" s="60" t="s">
        <v>131</v>
      </c>
      <c r="H307" s="134"/>
      <c r="I307" s="134"/>
      <c r="J307" s="60"/>
      <c r="K307" s="60"/>
      <c r="L307" s="60"/>
      <c r="M307" s="60"/>
      <c r="N307" s="60">
        <f t="shared" si="95"/>
        <v>0</v>
      </c>
      <c r="O307" s="60">
        <f t="shared" si="96"/>
        <v>0</v>
      </c>
    </row>
    <row r="308" spans="1:15" s="38" customFormat="1" ht="14.45" customHeight="1" outlineLevel="1" x14ac:dyDescent="0.25">
      <c r="A308" s="140" t="s">
        <v>444</v>
      </c>
      <c r="B308" s="141" t="s">
        <v>445</v>
      </c>
      <c r="C308" s="130">
        <f>SUM(N308:N314)</f>
        <v>0</v>
      </c>
      <c r="D308" s="130">
        <f>SUM(O308:O314)</f>
        <v>0</v>
      </c>
      <c r="E308" s="130">
        <f t="shared" si="82"/>
        <v>0</v>
      </c>
      <c r="F308" s="130"/>
      <c r="G308" s="60" t="s">
        <v>125</v>
      </c>
      <c r="H308" s="123"/>
      <c r="I308" s="123"/>
      <c r="J308" s="60"/>
      <c r="K308" s="60"/>
      <c r="L308" s="60"/>
      <c r="M308" s="60"/>
      <c r="N308" s="60">
        <f>M308*J308*K308*L308</f>
        <v>0</v>
      </c>
      <c r="O308" s="60">
        <f>J308*K308*L308</f>
        <v>0</v>
      </c>
    </row>
    <row r="309" spans="1:15" s="38" customFormat="1" ht="11.45" customHeight="1" outlineLevel="1" x14ac:dyDescent="0.25">
      <c r="A309" s="124"/>
      <c r="B309" s="142"/>
      <c r="C309" s="115"/>
      <c r="D309" s="115"/>
      <c r="E309" s="115"/>
      <c r="F309" s="115"/>
      <c r="G309" s="60" t="s">
        <v>126</v>
      </c>
      <c r="H309" s="124"/>
      <c r="I309" s="124"/>
      <c r="J309" s="60"/>
      <c r="K309" s="60"/>
      <c r="L309" s="60"/>
      <c r="M309" s="60"/>
      <c r="N309" s="60">
        <f t="shared" ref="N309:N314" si="97">M309*J309*K309*L309</f>
        <v>0</v>
      </c>
      <c r="O309" s="60">
        <f t="shared" ref="O309:O314" si="98">J309*K309*L309</f>
        <v>0</v>
      </c>
    </row>
    <row r="310" spans="1:15" s="38" customFormat="1" ht="10.7" customHeight="1" outlineLevel="1" x14ac:dyDescent="0.25">
      <c r="A310" s="124"/>
      <c r="B310" s="142"/>
      <c r="C310" s="115"/>
      <c r="D310" s="115"/>
      <c r="E310" s="115"/>
      <c r="F310" s="115"/>
      <c r="G310" s="60" t="s">
        <v>127</v>
      </c>
      <c r="H310" s="124"/>
      <c r="I310" s="124"/>
      <c r="J310" s="60"/>
      <c r="K310" s="60"/>
      <c r="L310" s="60"/>
      <c r="M310" s="60"/>
      <c r="N310" s="60">
        <f t="shared" si="97"/>
        <v>0</v>
      </c>
      <c r="O310" s="60">
        <f t="shared" si="98"/>
        <v>0</v>
      </c>
    </row>
    <row r="311" spans="1:15" s="38" customFormat="1" ht="10.7" customHeight="1" outlineLevel="1" x14ac:dyDescent="0.25">
      <c r="A311" s="124"/>
      <c r="B311" s="142"/>
      <c r="C311" s="115"/>
      <c r="D311" s="115"/>
      <c r="E311" s="115"/>
      <c r="F311" s="115"/>
      <c r="G311" s="60" t="s">
        <v>128</v>
      </c>
      <c r="H311" s="124"/>
      <c r="I311" s="124"/>
      <c r="J311" s="60"/>
      <c r="K311" s="60"/>
      <c r="L311" s="60"/>
      <c r="M311" s="60"/>
      <c r="N311" s="60">
        <f t="shared" si="97"/>
        <v>0</v>
      </c>
      <c r="O311" s="60">
        <f t="shared" si="98"/>
        <v>0</v>
      </c>
    </row>
    <row r="312" spans="1:15" s="38" customFormat="1" ht="10.7" customHeight="1" outlineLevel="1" x14ac:dyDescent="0.25">
      <c r="A312" s="124"/>
      <c r="B312" s="142"/>
      <c r="C312" s="115"/>
      <c r="D312" s="115"/>
      <c r="E312" s="115"/>
      <c r="F312" s="115"/>
      <c r="G312" s="60" t="s">
        <v>129</v>
      </c>
      <c r="H312" s="124"/>
      <c r="I312" s="124"/>
      <c r="J312" s="60"/>
      <c r="K312" s="60"/>
      <c r="L312" s="60"/>
      <c r="M312" s="60"/>
      <c r="N312" s="60">
        <f t="shared" si="97"/>
        <v>0</v>
      </c>
      <c r="O312" s="60">
        <f t="shared" si="98"/>
        <v>0</v>
      </c>
    </row>
    <row r="313" spans="1:15" s="38" customFormat="1" ht="10.7" customHeight="1" outlineLevel="1" x14ac:dyDescent="0.25">
      <c r="A313" s="124"/>
      <c r="B313" s="142"/>
      <c r="C313" s="115"/>
      <c r="D313" s="115"/>
      <c r="E313" s="115"/>
      <c r="F313" s="115"/>
      <c r="G313" s="60" t="s">
        <v>130</v>
      </c>
      <c r="H313" s="124"/>
      <c r="I313" s="124"/>
      <c r="J313" s="60"/>
      <c r="K313" s="60"/>
      <c r="L313" s="60"/>
      <c r="M313" s="60"/>
      <c r="N313" s="60">
        <f t="shared" si="97"/>
        <v>0</v>
      </c>
      <c r="O313" s="60">
        <f t="shared" si="98"/>
        <v>0</v>
      </c>
    </row>
    <row r="314" spans="1:15" s="38" customFormat="1" ht="12" customHeight="1" outlineLevel="1" thickBot="1" x14ac:dyDescent="0.3">
      <c r="A314" s="125"/>
      <c r="B314" s="143"/>
      <c r="C314" s="131"/>
      <c r="D314" s="131"/>
      <c r="E314" s="131"/>
      <c r="F314" s="131"/>
      <c r="G314" s="60" t="s">
        <v>131</v>
      </c>
      <c r="H314" s="134"/>
      <c r="I314" s="134"/>
      <c r="J314" s="60"/>
      <c r="K314" s="60"/>
      <c r="L314" s="60"/>
      <c r="M314" s="60"/>
      <c r="N314" s="60">
        <f t="shared" si="97"/>
        <v>0</v>
      </c>
      <c r="O314" s="60">
        <f t="shared" si="98"/>
        <v>0</v>
      </c>
    </row>
    <row r="315" spans="1:15" s="38" customFormat="1" ht="14.45" customHeight="1" outlineLevel="1" x14ac:dyDescent="0.25">
      <c r="A315" s="140" t="s">
        <v>446</v>
      </c>
      <c r="B315" s="141" t="s">
        <v>447</v>
      </c>
      <c r="C315" s="130">
        <f>SUM(N315:N321)</f>
        <v>0</v>
      </c>
      <c r="D315" s="130">
        <f>SUM(O315:O321)</f>
        <v>0</v>
      </c>
      <c r="E315" s="130">
        <f t="shared" si="82"/>
        <v>0</v>
      </c>
      <c r="F315" s="130"/>
      <c r="G315" s="60" t="s">
        <v>125</v>
      </c>
      <c r="H315" s="123"/>
      <c r="I315" s="123"/>
      <c r="J315" s="60"/>
      <c r="K315" s="60"/>
      <c r="L315" s="60"/>
      <c r="M315" s="60"/>
      <c r="N315" s="60">
        <f>M315*J315*K315*L315</f>
        <v>0</v>
      </c>
      <c r="O315" s="60">
        <f>J315*K315*L315</f>
        <v>0</v>
      </c>
    </row>
    <row r="316" spans="1:15" s="38" customFormat="1" ht="11.45" customHeight="1" outlineLevel="1" x14ac:dyDescent="0.25">
      <c r="A316" s="124"/>
      <c r="B316" s="142"/>
      <c r="C316" s="115"/>
      <c r="D316" s="115"/>
      <c r="E316" s="115"/>
      <c r="F316" s="115"/>
      <c r="G316" s="60" t="s">
        <v>126</v>
      </c>
      <c r="H316" s="124"/>
      <c r="I316" s="124"/>
      <c r="J316" s="60"/>
      <c r="K316" s="60"/>
      <c r="L316" s="60"/>
      <c r="M316" s="60"/>
      <c r="N316" s="60">
        <f t="shared" ref="N316:N321" si="99">M316*J316*K316*L316</f>
        <v>0</v>
      </c>
      <c r="O316" s="60">
        <f t="shared" ref="O316:O321" si="100">J316*K316*L316</f>
        <v>0</v>
      </c>
    </row>
    <row r="317" spans="1:15" s="38" customFormat="1" ht="10.7" customHeight="1" outlineLevel="1" x14ac:dyDescent="0.25">
      <c r="A317" s="124"/>
      <c r="B317" s="142"/>
      <c r="C317" s="115"/>
      <c r="D317" s="115"/>
      <c r="E317" s="115"/>
      <c r="F317" s="115"/>
      <c r="G317" s="60" t="s">
        <v>127</v>
      </c>
      <c r="H317" s="124"/>
      <c r="I317" s="124"/>
      <c r="J317" s="60"/>
      <c r="K317" s="60"/>
      <c r="L317" s="60"/>
      <c r="M317" s="60"/>
      <c r="N317" s="60">
        <f t="shared" si="99"/>
        <v>0</v>
      </c>
      <c r="O317" s="60">
        <f t="shared" si="100"/>
        <v>0</v>
      </c>
    </row>
    <row r="318" spans="1:15" s="38" customFormat="1" ht="10.7" customHeight="1" outlineLevel="1" x14ac:dyDescent="0.25">
      <c r="A318" s="124"/>
      <c r="B318" s="142"/>
      <c r="C318" s="115"/>
      <c r="D318" s="115"/>
      <c r="E318" s="115"/>
      <c r="F318" s="115"/>
      <c r="G318" s="60" t="s">
        <v>128</v>
      </c>
      <c r="H318" s="124"/>
      <c r="I318" s="124"/>
      <c r="J318" s="60"/>
      <c r="K318" s="60"/>
      <c r="L318" s="60"/>
      <c r="M318" s="60"/>
      <c r="N318" s="60">
        <f t="shared" si="99"/>
        <v>0</v>
      </c>
      <c r="O318" s="60">
        <f t="shared" si="100"/>
        <v>0</v>
      </c>
    </row>
    <row r="319" spans="1:15" s="38" customFormat="1" ht="10.7" customHeight="1" outlineLevel="1" x14ac:dyDescent="0.25">
      <c r="A319" s="124"/>
      <c r="B319" s="142"/>
      <c r="C319" s="115"/>
      <c r="D319" s="115"/>
      <c r="E319" s="115"/>
      <c r="F319" s="115"/>
      <c r="G319" s="60" t="s">
        <v>129</v>
      </c>
      <c r="H319" s="124"/>
      <c r="I319" s="124"/>
      <c r="J319" s="60"/>
      <c r="K319" s="60"/>
      <c r="L319" s="60"/>
      <c r="M319" s="60"/>
      <c r="N319" s="60">
        <f t="shared" si="99"/>
        <v>0</v>
      </c>
      <c r="O319" s="60">
        <f t="shared" si="100"/>
        <v>0</v>
      </c>
    </row>
    <row r="320" spans="1:15" s="38" customFormat="1" ht="10.7" customHeight="1" outlineLevel="1" x14ac:dyDescent="0.25">
      <c r="A320" s="124"/>
      <c r="B320" s="142"/>
      <c r="C320" s="115"/>
      <c r="D320" s="115"/>
      <c r="E320" s="115"/>
      <c r="F320" s="115"/>
      <c r="G320" s="60" t="s">
        <v>130</v>
      </c>
      <c r="H320" s="124"/>
      <c r="I320" s="124"/>
      <c r="J320" s="60"/>
      <c r="K320" s="60"/>
      <c r="L320" s="60"/>
      <c r="M320" s="60"/>
      <c r="N320" s="60">
        <f t="shared" si="99"/>
        <v>0</v>
      </c>
      <c r="O320" s="60">
        <f t="shared" si="100"/>
        <v>0</v>
      </c>
    </row>
    <row r="321" spans="1:15" s="38" customFormat="1" ht="12" customHeight="1" outlineLevel="1" thickBot="1" x14ac:dyDescent="0.3">
      <c r="A321" s="125"/>
      <c r="B321" s="143"/>
      <c r="C321" s="131"/>
      <c r="D321" s="131"/>
      <c r="E321" s="131"/>
      <c r="F321" s="131"/>
      <c r="G321" s="60" t="s">
        <v>131</v>
      </c>
      <c r="H321" s="134"/>
      <c r="I321" s="134"/>
      <c r="J321" s="60"/>
      <c r="K321" s="60"/>
      <c r="L321" s="60"/>
      <c r="M321" s="60"/>
      <c r="N321" s="60">
        <f t="shared" si="99"/>
        <v>0</v>
      </c>
      <c r="O321" s="60">
        <f t="shared" si="100"/>
        <v>0</v>
      </c>
    </row>
    <row r="322" spans="1:15" s="38" customFormat="1" ht="14.45" customHeight="1" outlineLevel="1" x14ac:dyDescent="0.25">
      <c r="A322" s="140" t="s">
        <v>448</v>
      </c>
      <c r="B322" s="141" t="s">
        <v>449</v>
      </c>
      <c r="C322" s="130">
        <f>SUM(N322:N328)</f>
        <v>0</v>
      </c>
      <c r="D322" s="130">
        <f>SUM(O322:O328)</f>
        <v>0</v>
      </c>
      <c r="E322" s="130">
        <f t="shared" si="82"/>
        <v>0</v>
      </c>
      <c r="F322" s="130"/>
      <c r="G322" s="60" t="s">
        <v>125</v>
      </c>
      <c r="H322" s="123"/>
      <c r="I322" s="123"/>
      <c r="J322" s="60"/>
      <c r="K322" s="60"/>
      <c r="L322" s="60"/>
      <c r="M322" s="60"/>
      <c r="N322" s="60">
        <f>M322*J322*K322*L322</f>
        <v>0</v>
      </c>
      <c r="O322" s="60">
        <f>J322*K322*L322</f>
        <v>0</v>
      </c>
    </row>
    <row r="323" spans="1:15" s="38" customFormat="1" ht="11.45" customHeight="1" outlineLevel="1" x14ac:dyDescent="0.25">
      <c r="A323" s="124"/>
      <c r="B323" s="142"/>
      <c r="C323" s="115"/>
      <c r="D323" s="115"/>
      <c r="E323" s="115"/>
      <c r="F323" s="115"/>
      <c r="G323" s="60" t="s">
        <v>126</v>
      </c>
      <c r="H323" s="124"/>
      <c r="I323" s="124"/>
      <c r="J323" s="60"/>
      <c r="K323" s="60"/>
      <c r="L323" s="60"/>
      <c r="M323" s="60"/>
      <c r="N323" s="60">
        <f t="shared" ref="N323:N328" si="101">M323*J323*K323*L323</f>
        <v>0</v>
      </c>
      <c r="O323" s="60">
        <f t="shared" ref="O323:O328" si="102">J323*K323*L323</f>
        <v>0</v>
      </c>
    </row>
    <row r="324" spans="1:15" s="38" customFormat="1" ht="10.7" customHeight="1" outlineLevel="1" x14ac:dyDescent="0.25">
      <c r="A324" s="124"/>
      <c r="B324" s="142"/>
      <c r="C324" s="115"/>
      <c r="D324" s="115"/>
      <c r="E324" s="115"/>
      <c r="F324" s="115"/>
      <c r="G324" s="60" t="s">
        <v>127</v>
      </c>
      <c r="H324" s="124"/>
      <c r="I324" s="124"/>
      <c r="J324" s="60"/>
      <c r="K324" s="60"/>
      <c r="L324" s="60"/>
      <c r="M324" s="60"/>
      <c r="N324" s="60">
        <f t="shared" si="101"/>
        <v>0</v>
      </c>
      <c r="O324" s="60">
        <f t="shared" si="102"/>
        <v>0</v>
      </c>
    </row>
    <row r="325" spans="1:15" s="38" customFormat="1" ht="10.7" customHeight="1" outlineLevel="1" x14ac:dyDescent="0.25">
      <c r="A325" s="124"/>
      <c r="B325" s="142"/>
      <c r="C325" s="115"/>
      <c r="D325" s="115"/>
      <c r="E325" s="115"/>
      <c r="F325" s="115"/>
      <c r="G325" s="60" t="s">
        <v>128</v>
      </c>
      <c r="H325" s="124"/>
      <c r="I325" s="124"/>
      <c r="J325" s="60"/>
      <c r="K325" s="60"/>
      <c r="L325" s="60"/>
      <c r="M325" s="60"/>
      <c r="N325" s="60">
        <f t="shared" si="101"/>
        <v>0</v>
      </c>
      <c r="O325" s="60">
        <f t="shared" si="102"/>
        <v>0</v>
      </c>
    </row>
    <row r="326" spans="1:15" s="38" customFormat="1" ht="10.7" customHeight="1" outlineLevel="1" x14ac:dyDescent="0.25">
      <c r="A326" s="124"/>
      <c r="B326" s="142"/>
      <c r="C326" s="115"/>
      <c r="D326" s="115"/>
      <c r="E326" s="115"/>
      <c r="F326" s="115"/>
      <c r="G326" s="60" t="s">
        <v>129</v>
      </c>
      <c r="H326" s="124"/>
      <c r="I326" s="124"/>
      <c r="J326" s="60"/>
      <c r="K326" s="60"/>
      <c r="L326" s="60"/>
      <c r="M326" s="60"/>
      <c r="N326" s="60">
        <f t="shared" si="101"/>
        <v>0</v>
      </c>
      <c r="O326" s="60">
        <f t="shared" si="102"/>
        <v>0</v>
      </c>
    </row>
    <row r="327" spans="1:15" s="38" customFormat="1" ht="10.7" customHeight="1" outlineLevel="1" x14ac:dyDescent="0.25">
      <c r="A327" s="124"/>
      <c r="B327" s="142"/>
      <c r="C327" s="115"/>
      <c r="D327" s="115"/>
      <c r="E327" s="115"/>
      <c r="F327" s="115"/>
      <c r="G327" s="60" t="s">
        <v>130</v>
      </c>
      <c r="H327" s="124"/>
      <c r="I327" s="124"/>
      <c r="J327" s="60"/>
      <c r="K327" s="60"/>
      <c r="L327" s="60"/>
      <c r="M327" s="60"/>
      <c r="N327" s="60">
        <f t="shared" si="101"/>
        <v>0</v>
      </c>
      <c r="O327" s="60">
        <f t="shared" si="102"/>
        <v>0</v>
      </c>
    </row>
    <row r="328" spans="1:15" s="38" customFormat="1" ht="12" customHeight="1" outlineLevel="1" thickBot="1" x14ac:dyDescent="0.3">
      <c r="A328" s="125"/>
      <c r="B328" s="143"/>
      <c r="C328" s="131"/>
      <c r="D328" s="131"/>
      <c r="E328" s="131"/>
      <c r="F328" s="131"/>
      <c r="G328" s="60" t="s">
        <v>131</v>
      </c>
      <c r="H328" s="134"/>
      <c r="I328" s="134"/>
      <c r="J328" s="60"/>
      <c r="K328" s="60"/>
      <c r="L328" s="60"/>
      <c r="M328" s="60"/>
      <c r="N328" s="60">
        <f t="shared" si="101"/>
        <v>0</v>
      </c>
      <c r="O328" s="60">
        <f t="shared" si="102"/>
        <v>0</v>
      </c>
    </row>
    <row r="329" spans="1:15" s="38" customFormat="1" ht="14.45" customHeight="1" outlineLevel="1" x14ac:dyDescent="0.25">
      <c r="A329" s="140" t="s">
        <v>450</v>
      </c>
      <c r="B329" s="141" t="s">
        <v>451</v>
      </c>
      <c r="C329" s="130">
        <f>SUM(N329:N335)</f>
        <v>0</v>
      </c>
      <c r="D329" s="130">
        <f>SUM(O329:O335)</f>
        <v>0</v>
      </c>
      <c r="E329" s="130">
        <f t="shared" ref="E329:E385" si="103">D329/8</f>
        <v>0</v>
      </c>
      <c r="F329" s="130"/>
      <c r="G329" s="60" t="s">
        <v>125</v>
      </c>
      <c r="H329" s="123"/>
      <c r="I329" s="123"/>
      <c r="J329" s="60"/>
      <c r="K329" s="60"/>
      <c r="L329" s="60"/>
      <c r="M329" s="60"/>
      <c r="N329" s="60">
        <f>M329*J329*K329*L329</f>
        <v>0</v>
      </c>
      <c r="O329" s="60">
        <f>J329*K329*L329</f>
        <v>0</v>
      </c>
    </row>
    <row r="330" spans="1:15" s="38" customFormat="1" ht="11.45" customHeight="1" outlineLevel="1" x14ac:dyDescent="0.25">
      <c r="A330" s="124"/>
      <c r="B330" s="142"/>
      <c r="C330" s="115"/>
      <c r="D330" s="115"/>
      <c r="E330" s="115"/>
      <c r="F330" s="115"/>
      <c r="G330" s="60" t="s">
        <v>126</v>
      </c>
      <c r="H330" s="124"/>
      <c r="I330" s="124"/>
      <c r="J330" s="60"/>
      <c r="K330" s="60"/>
      <c r="L330" s="60"/>
      <c r="M330" s="60"/>
      <c r="N330" s="60">
        <f t="shared" ref="N330:N335" si="104">M330*J330*K330*L330</f>
        <v>0</v>
      </c>
      <c r="O330" s="60">
        <f t="shared" ref="O330:O335" si="105">J330*K330*L330</f>
        <v>0</v>
      </c>
    </row>
    <row r="331" spans="1:15" s="38" customFormat="1" ht="10.7" customHeight="1" outlineLevel="1" x14ac:dyDescent="0.25">
      <c r="A331" s="124"/>
      <c r="B331" s="142"/>
      <c r="C331" s="115"/>
      <c r="D331" s="115"/>
      <c r="E331" s="115"/>
      <c r="F331" s="115"/>
      <c r="G331" s="60" t="s">
        <v>127</v>
      </c>
      <c r="H331" s="124"/>
      <c r="I331" s="124"/>
      <c r="J331" s="60"/>
      <c r="K331" s="60"/>
      <c r="L331" s="60"/>
      <c r="M331" s="60"/>
      <c r="N331" s="60">
        <f t="shared" si="104"/>
        <v>0</v>
      </c>
      <c r="O331" s="60">
        <f t="shared" si="105"/>
        <v>0</v>
      </c>
    </row>
    <row r="332" spans="1:15" s="38" customFormat="1" ht="10.7" customHeight="1" outlineLevel="1" x14ac:dyDescent="0.25">
      <c r="A332" s="124"/>
      <c r="B332" s="142"/>
      <c r="C332" s="115"/>
      <c r="D332" s="115"/>
      <c r="E332" s="115"/>
      <c r="F332" s="115"/>
      <c r="G332" s="60" t="s">
        <v>128</v>
      </c>
      <c r="H332" s="124"/>
      <c r="I332" s="124"/>
      <c r="J332" s="60"/>
      <c r="K332" s="60"/>
      <c r="L332" s="60"/>
      <c r="M332" s="60"/>
      <c r="N332" s="60">
        <f t="shared" si="104"/>
        <v>0</v>
      </c>
      <c r="O332" s="60">
        <f t="shared" si="105"/>
        <v>0</v>
      </c>
    </row>
    <row r="333" spans="1:15" s="38" customFormat="1" ht="10.7" customHeight="1" outlineLevel="1" x14ac:dyDescent="0.25">
      <c r="A333" s="124"/>
      <c r="B333" s="142"/>
      <c r="C333" s="115"/>
      <c r="D333" s="115"/>
      <c r="E333" s="115"/>
      <c r="F333" s="115"/>
      <c r="G333" s="60" t="s">
        <v>129</v>
      </c>
      <c r="H333" s="124"/>
      <c r="I333" s="124"/>
      <c r="J333" s="60"/>
      <c r="K333" s="60"/>
      <c r="L333" s="60"/>
      <c r="M333" s="60"/>
      <c r="N333" s="60">
        <f t="shared" si="104"/>
        <v>0</v>
      </c>
      <c r="O333" s="60">
        <f t="shared" si="105"/>
        <v>0</v>
      </c>
    </row>
    <row r="334" spans="1:15" s="38" customFormat="1" ht="10.7" customHeight="1" outlineLevel="1" x14ac:dyDescent="0.25">
      <c r="A334" s="124"/>
      <c r="B334" s="142"/>
      <c r="C334" s="115"/>
      <c r="D334" s="115"/>
      <c r="E334" s="115"/>
      <c r="F334" s="115"/>
      <c r="G334" s="60" t="s">
        <v>130</v>
      </c>
      <c r="H334" s="124"/>
      <c r="I334" s="124"/>
      <c r="J334" s="60"/>
      <c r="K334" s="60"/>
      <c r="L334" s="60"/>
      <c r="M334" s="60"/>
      <c r="N334" s="60">
        <f t="shared" si="104"/>
        <v>0</v>
      </c>
      <c r="O334" s="60">
        <f t="shared" si="105"/>
        <v>0</v>
      </c>
    </row>
    <row r="335" spans="1:15" s="38" customFormat="1" ht="12" customHeight="1" outlineLevel="1" thickBot="1" x14ac:dyDescent="0.3">
      <c r="A335" s="125"/>
      <c r="B335" s="143"/>
      <c r="C335" s="131"/>
      <c r="D335" s="131"/>
      <c r="E335" s="131"/>
      <c r="F335" s="131"/>
      <c r="G335" s="60" t="s">
        <v>131</v>
      </c>
      <c r="H335" s="134"/>
      <c r="I335" s="134"/>
      <c r="J335" s="60"/>
      <c r="K335" s="60"/>
      <c r="L335" s="60"/>
      <c r="M335" s="60"/>
      <c r="N335" s="60">
        <f t="shared" si="104"/>
        <v>0</v>
      </c>
      <c r="O335" s="60">
        <f t="shared" si="105"/>
        <v>0</v>
      </c>
    </row>
    <row r="336" spans="1:15" s="38" customFormat="1" ht="14.45" customHeight="1" outlineLevel="1" x14ac:dyDescent="0.25">
      <c r="A336" s="140" t="s">
        <v>452</v>
      </c>
      <c r="B336" s="141" t="s">
        <v>453</v>
      </c>
      <c r="C336" s="130">
        <f>SUM(N336:N342)</f>
        <v>0</v>
      </c>
      <c r="D336" s="130">
        <f>SUM(O336:O342)</f>
        <v>0</v>
      </c>
      <c r="E336" s="130">
        <f t="shared" si="103"/>
        <v>0</v>
      </c>
      <c r="F336" s="130"/>
      <c r="G336" s="60" t="s">
        <v>125</v>
      </c>
      <c r="H336" s="123"/>
      <c r="I336" s="123"/>
      <c r="J336" s="60"/>
      <c r="K336" s="60"/>
      <c r="L336" s="60"/>
      <c r="M336" s="60"/>
      <c r="N336" s="60">
        <f>M336*J336*K336*L336</f>
        <v>0</v>
      </c>
      <c r="O336" s="60">
        <f>J336*K336*L336</f>
        <v>0</v>
      </c>
    </row>
    <row r="337" spans="1:15" s="38" customFormat="1" ht="11.45" customHeight="1" outlineLevel="1" x14ac:dyDescent="0.25">
      <c r="A337" s="124"/>
      <c r="B337" s="142"/>
      <c r="C337" s="115"/>
      <c r="D337" s="115"/>
      <c r="E337" s="115"/>
      <c r="F337" s="115"/>
      <c r="G337" s="60" t="s">
        <v>126</v>
      </c>
      <c r="H337" s="124"/>
      <c r="I337" s="124"/>
      <c r="J337" s="60"/>
      <c r="K337" s="60"/>
      <c r="L337" s="60"/>
      <c r="M337" s="60"/>
      <c r="N337" s="60">
        <f t="shared" ref="N337:N342" si="106">M337*J337*K337*L337</f>
        <v>0</v>
      </c>
      <c r="O337" s="60">
        <f t="shared" ref="O337:O342" si="107">J337*K337*L337</f>
        <v>0</v>
      </c>
    </row>
    <row r="338" spans="1:15" s="38" customFormat="1" ht="10.7" customHeight="1" outlineLevel="1" x14ac:dyDescent="0.25">
      <c r="A338" s="124"/>
      <c r="B338" s="142"/>
      <c r="C338" s="115"/>
      <c r="D338" s="115"/>
      <c r="E338" s="115"/>
      <c r="F338" s="115"/>
      <c r="G338" s="60" t="s">
        <v>127</v>
      </c>
      <c r="H338" s="124"/>
      <c r="I338" s="124"/>
      <c r="J338" s="60"/>
      <c r="K338" s="60"/>
      <c r="L338" s="60"/>
      <c r="M338" s="60"/>
      <c r="N338" s="60">
        <f t="shared" si="106"/>
        <v>0</v>
      </c>
      <c r="O338" s="60">
        <f t="shared" si="107"/>
        <v>0</v>
      </c>
    </row>
    <row r="339" spans="1:15" s="38" customFormat="1" ht="10.7" customHeight="1" outlineLevel="1" x14ac:dyDescent="0.25">
      <c r="A339" s="124"/>
      <c r="B339" s="142"/>
      <c r="C339" s="115"/>
      <c r="D339" s="115"/>
      <c r="E339" s="115"/>
      <c r="F339" s="115"/>
      <c r="G339" s="60" t="s">
        <v>128</v>
      </c>
      <c r="H339" s="124"/>
      <c r="I339" s="124"/>
      <c r="J339" s="60"/>
      <c r="K339" s="60"/>
      <c r="L339" s="60"/>
      <c r="M339" s="60"/>
      <c r="N339" s="60">
        <f t="shared" si="106"/>
        <v>0</v>
      </c>
      <c r="O339" s="60">
        <f t="shared" si="107"/>
        <v>0</v>
      </c>
    </row>
    <row r="340" spans="1:15" s="38" customFormat="1" ht="10.7" customHeight="1" outlineLevel="1" x14ac:dyDescent="0.25">
      <c r="A340" s="124"/>
      <c r="B340" s="142"/>
      <c r="C340" s="115"/>
      <c r="D340" s="115"/>
      <c r="E340" s="115"/>
      <c r="F340" s="115"/>
      <c r="G340" s="60" t="s">
        <v>129</v>
      </c>
      <c r="H340" s="124"/>
      <c r="I340" s="124"/>
      <c r="J340" s="60"/>
      <c r="K340" s="60"/>
      <c r="L340" s="60"/>
      <c r="M340" s="60"/>
      <c r="N340" s="60">
        <f t="shared" si="106"/>
        <v>0</v>
      </c>
      <c r="O340" s="60">
        <f t="shared" si="107"/>
        <v>0</v>
      </c>
    </row>
    <row r="341" spans="1:15" s="38" customFormat="1" ht="10.7" customHeight="1" outlineLevel="1" x14ac:dyDescent="0.25">
      <c r="A341" s="124"/>
      <c r="B341" s="142"/>
      <c r="C341" s="115"/>
      <c r="D341" s="115"/>
      <c r="E341" s="115"/>
      <c r="F341" s="115"/>
      <c r="G341" s="60" t="s">
        <v>130</v>
      </c>
      <c r="H341" s="124"/>
      <c r="I341" s="124"/>
      <c r="J341" s="60"/>
      <c r="K341" s="60"/>
      <c r="L341" s="60"/>
      <c r="M341" s="60"/>
      <c r="N341" s="60">
        <f t="shared" si="106"/>
        <v>0</v>
      </c>
      <c r="O341" s="60">
        <f t="shared" si="107"/>
        <v>0</v>
      </c>
    </row>
    <row r="342" spans="1:15" s="38" customFormat="1" ht="12" customHeight="1" outlineLevel="1" thickBot="1" x14ac:dyDescent="0.3">
      <c r="A342" s="125"/>
      <c r="B342" s="143"/>
      <c r="C342" s="131"/>
      <c r="D342" s="131"/>
      <c r="E342" s="131"/>
      <c r="F342" s="131"/>
      <c r="G342" s="60" t="s">
        <v>131</v>
      </c>
      <c r="H342" s="134"/>
      <c r="I342" s="134"/>
      <c r="J342" s="60"/>
      <c r="K342" s="60"/>
      <c r="L342" s="60"/>
      <c r="M342" s="60"/>
      <c r="N342" s="60">
        <f t="shared" si="106"/>
        <v>0</v>
      </c>
      <c r="O342" s="60">
        <f t="shared" si="107"/>
        <v>0</v>
      </c>
    </row>
    <row r="343" spans="1:15" s="38" customFormat="1" ht="14.45" customHeight="1" outlineLevel="1" x14ac:dyDescent="0.25">
      <c r="A343" s="140" t="s">
        <v>454</v>
      </c>
      <c r="B343" s="141" t="s">
        <v>455</v>
      </c>
      <c r="C343" s="130">
        <f>SUM(N343:N349)</f>
        <v>0</v>
      </c>
      <c r="D343" s="130">
        <f>SUM(O343:O349)</f>
        <v>0</v>
      </c>
      <c r="E343" s="130">
        <f t="shared" si="103"/>
        <v>0</v>
      </c>
      <c r="F343" s="130"/>
      <c r="G343" s="60" t="s">
        <v>125</v>
      </c>
      <c r="H343" s="123"/>
      <c r="I343" s="123"/>
      <c r="J343" s="60"/>
      <c r="K343" s="60"/>
      <c r="L343" s="60"/>
      <c r="M343" s="60"/>
      <c r="N343" s="60">
        <f>M343*J343*K343*L343</f>
        <v>0</v>
      </c>
      <c r="O343" s="60">
        <f>J343*K343*L343</f>
        <v>0</v>
      </c>
    </row>
    <row r="344" spans="1:15" s="38" customFormat="1" ht="11.45" customHeight="1" outlineLevel="1" x14ac:dyDescent="0.25">
      <c r="A344" s="124"/>
      <c r="B344" s="142"/>
      <c r="C344" s="115"/>
      <c r="D344" s="115"/>
      <c r="E344" s="115"/>
      <c r="F344" s="115"/>
      <c r="G344" s="60" t="s">
        <v>126</v>
      </c>
      <c r="H344" s="124"/>
      <c r="I344" s="124"/>
      <c r="J344" s="60"/>
      <c r="K344" s="60"/>
      <c r="L344" s="60"/>
      <c r="M344" s="60"/>
      <c r="N344" s="60">
        <f t="shared" ref="N344:N349" si="108">M344*J344*K344*L344</f>
        <v>0</v>
      </c>
      <c r="O344" s="60">
        <f t="shared" ref="O344:O349" si="109">J344*K344*L344</f>
        <v>0</v>
      </c>
    </row>
    <row r="345" spans="1:15" s="38" customFormat="1" ht="10.7" customHeight="1" outlineLevel="1" x14ac:dyDescent="0.25">
      <c r="A345" s="124"/>
      <c r="B345" s="142"/>
      <c r="C345" s="115"/>
      <c r="D345" s="115"/>
      <c r="E345" s="115"/>
      <c r="F345" s="115"/>
      <c r="G345" s="60" t="s">
        <v>127</v>
      </c>
      <c r="H345" s="124"/>
      <c r="I345" s="124"/>
      <c r="J345" s="60"/>
      <c r="K345" s="60"/>
      <c r="L345" s="60"/>
      <c r="M345" s="60"/>
      <c r="N345" s="60">
        <f t="shared" si="108"/>
        <v>0</v>
      </c>
      <c r="O345" s="60">
        <f t="shared" si="109"/>
        <v>0</v>
      </c>
    </row>
    <row r="346" spans="1:15" s="38" customFormat="1" ht="10.7" customHeight="1" outlineLevel="1" x14ac:dyDescent="0.25">
      <c r="A346" s="124"/>
      <c r="B346" s="142"/>
      <c r="C346" s="115"/>
      <c r="D346" s="115"/>
      <c r="E346" s="115"/>
      <c r="F346" s="115"/>
      <c r="G346" s="60" t="s">
        <v>128</v>
      </c>
      <c r="H346" s="124"/>
      <c r="I346" s="124"/>
      <c r="J346" s="60"/>
      <c r="K346" s="60"/>
      <c r="L346" s="60"/>
      <c r="M346" s="60"/>
      <c r="N346" s="60">
        <f t="shared" si="108"/>
        <v>0</v>
      </c>
      <c r="O346" s="60">
        <f t="shared" si="109"/>
        <v>0</v>
      </c>
    </row>
    <row r="347" spans="1:15" s="38" customFormat="1" ht="10.7" customHeight="1" outlineLevel="1" x14ac:dyDescent="0.25">
      <c r="A347" s="124"/>
      <c r="B347" s="142"/>
      <c r="C347" s="115"/>
      <c r="D347" s="115"/>
      <c r="E347" s="115"/>
      <c r="F347" s="115"/>
      <c r="G347" s="60" t="s">
        <v>129</v>
      </c>
      <c r="H347" s="124"/>
      <c r="I347" s="124"/>
      <c r="J347" s="60"/>
      <c r="K347" s="60"/>
      <c r="L347" s="60"/>
      <c r="M347" s="60"/>
      <c r="N347" s="60">
        <f t="shared" si="108"/>
        <v>0</v>
      </c>
      <c r="O347" s="60">
        <f t="shared" si="109"/>
        <v>0</v>
      </c>
    </row>
    <row r="348" spans="1:15" s="38" customFormat="1" ht="10.7" customHeight="1" outlineLevel="1" x14ac:dyDescent="0.25">
      <c r="A348" s="124"/>
      <c r="B348" s="142"/>
      <c r="C348" s="115"/>
      <c r="D348" s="115"/>
      <c r="E348" s="115"/>
      <c r="F348" s="115"/>
      <c r="G348" s="60" t="s">
        <v>130</v>
      </c>
      <c r="H348" s="124"/>
      <c r="I348" s="124"/>
      <c r="J348" s="60"/>
      <c r="K348" s="60"/>
      <c r="L348" s="60"/>
      <c r="M348" s="60"/>
      <c r="N348" s="60">
        <f t="shared" si="108"/>
        <v>0</v>
      </c>
      <c r="O348" s="60">
        <f t="shared" si="109"/>
        <v>0</v>
      </c>
    </row>
    <row r="349" spans="1:15" s="38" customFormat="1" ht="12" customHeight="1" outlineLevel="1" thickBot="1" x14ac:dyDescent="0.3">
      <c r="A349" s="125"/>
      <c r="B349" s="143"/>
      <c r="C349" s="131"/>
      <c r="D349" s="131"/>
      <c r="E349" s="131"/>
      <c r="F349" s="131"/>
      <c r="G349" s="60" t="s">
        <v>131</v>
      </c>
      <c r="H349" s="134"/>
      <c r="I349" s="134"/>
      <c r="J349" s="60"/>
      <c r="K349" s="60"/>
      <c r="L349" s="60"/>
      <c r="M349" s="60"/>
      <c r="N349" s="60">
        <f t="shared" si="108"/>
        <v>0</v>
      </c>
      <c r="O349" s="60">
        <f t="shared" si="109"/>
        <v>0</v>
      </c>
    </row>
    <row r="350" spans="1:15" s="38" customFormat="1" ht="14.45" customHeight="1" outlineLevel="1" x14ac:dyDescent="0.25">
      <c r="A350" s="140" t="s">
        <v>456</v>
      </c>
      <c r="B350" s="141" t="s">
        <v>457</v>
      </c>
      <c r="C350" s="130">
        <f>SUM(N350:N356)</f>
        <v>0</v>
      </c>
      <c r="D350" s="130">
        <f>SUM(O350:O356)</f>
        <v>0</v>
      </c>
      <c r="E350" s="130">
        <f t="shared" si="103"/>
        <v>0</v>
      </c>
      <c r="F350" s="130"/>
      <c r="G350" s="60" t="s">
        <v>125</v>
      </c>
      <c r="H350" s="123"/>
      <c r="I350" s="123"/>
      <c r="J350" s="60"/>
      <c r="K350" s="60"/>
      <c r="L350" s="60"/>
      <c r="M350" s="60"/>
      <c r="N350" s="60">
        <f>M350*J350*K350*L350</f>
        <v>0</v>
      </c>
      <c r="O350" s="60">
        <f>J350*K350*L350</f>
        <v>0</v>
      </c>
    </row>
    <row r="351" spans="1:15" s="38" customFormat="1" ht="11.45" customHeight="1" outlineLevel="1" x14ac:dyDescent="0.25">
      <c r="A351" s="124"/>
      <c r="B351" s="142"/>
      <c r="C351" s="115"/>
      <c r="D351" s="115"/>
      <c r="E351" s="115"/>
      <c r="F351" s="115"/>
      <c r="G351" s="60" t="s">
        <v>126</v>
      </c>
      <c r="H351" s="124"/>
      <c r="I351" s="124"/>
      <c r="J351" s="60"/>
      <c r="K351" s="60"/>
      <c r="L351" s="60"/>
      <c r="M351" s="60"/>
      <c r="N351" s="60">
        <f t="shared" ref="N351:N356" si="110">M351*J351*K351*L351</f>
        <v>0</v>
      </c>
      <c r="O351" s="60">
        <f t="shared" ref="O351:O356" si="111">J351*K351*L351</f>
        <v>0</v>
      </c>
    </row>
    <row r="352" spans="1:15" s="38" customFormat="1" ht="10.7" customHeight="1" outlineLevel="1" x14ac:dyDescent="0.25">
      <c r="A352" s="124"/>
      <c r="B352" s="142"/>
      <c r="C352" s="115"/>
      <c r="D352" s="115"/>
      <c r="E352" s="115"/>
      <c r="F352" s="115"/>
      <c r="G352" s="60" t="s">
        <v>127</v>
      </c>
      <c r="H352" s="124"/>
      <c r="I352" s="124"/>
      <c r="J352" s="60"/>
      <c r="K352" s="60"/>
      <c r="L352" s="60"/>
      <c r="M352" s="60"/>
      <c r="N352" s="60">
        <f t="shared" si="110"/>
        <v>0</v>
      </c>
      <c r="O352" s="60">
        <f t="shared" si="111"/>
        <v>0</v>
      </c>
    </row>
    <row r="353" spans="1:15" s="38" customFormat="1" ht="10.7" customHeight="1" outlineLevel="1" x14ac:dyDescent="0.25">
      <c r="A353" s="124"/>
      <c r="B353" s="142"/>
      <c r="C353" s="115"/>
      <c r="D353" s="115"/>
      <c r="E353" s="115"/>
      <c r="F353" s="115"/>
      <c r="G353" s="60" t="s">
        <v>128</v>
      </c>
      <c r="H353" s="124"/>
      <c r="I353" s="124"/>
      <c r="J353" s="60"/>
      <c r="K353" s="60"/>
      <c r="L353" s="60"/>
      <c r="M353" s="60"/>
      <c r="N353" s="60">
        <f t="shared" si="110"/>
        <v>0</v>
      </c>
      <c r="O353" s="60">
        <f t="shared" si="111"/>
        <v>0</v>
      </c>
    </row>
    <row r="354" spans="1:15" s="38" customFormat="1" ht="10.7" customHeight="1" outlineLevel="1" x14ac:dyDescent="0.25">
      <c r="A354" s="124"/>
      <c r="B354" s="142"/>
      <c r="C354" s="115"/>
      <c r="D354" s="115"/>
      <c r="E354" s="115"/>
      <c r="F354" s="115"/>
      <c r="G354" s="60" t="s">
        <v>129</v>
      </c>
      <c r="H354" s="124"/>
      <c r="I354" s="124"/>
      <c r="J354" s="60"/>
      <c r="K354" s="60"/>
      <c r="L354" s="60"/>
      <c r="M354" s="60"/>
      <c r="N354" s="60">
        <f t="shared" si="110"/>
        <v>0</v>
      </c>
      <c r="O354" s="60">
        <f t="shared" si="111"/>
        <v>0</v>
      </c>
    </row>
    <row r="355" spans="1:15" s="38" customFormat="1" ht="10.7" customHeight="1" outlineLevel="1" x14ac:dyDescent="0.25">
      <c r="A355" s="124"/>
      <c r="B355" s="142"/>
      <c r="C355" s="115"/>
      <c r="D355" s="115"/>
      <c r="E355" s="115"/>
      <c r="F355" s="115"/>
      <c r="G355" s="60" t="s">
        <v>130</v>
      </c>
      <c r="H355" s="124"/>
      <c r="I355" s="124"/>
      <c r="J355" s="60"/>
      <c r="K355" s="60"/>
      <c r="L355" s="60"/>
      <c r="M355" s="60"/>
      <c r="N355" s="60">
        <f t="shared" si="110"/>
        <v>0</v>
      </c>
      <c r="O355" s="60">
        <f t="shared" si="111"/>
        <v>0</v>
      </c>
    </row>
    <row r="356" spans="1:15" s="38" customFormat="1" ht="12" customHeight="1" outlineLevel="1" thickBot="1" x14ac:dyDescent="0.3">
      <c r="A356" s="125"/>
      <c r="B356" s="143"/>
      <c r="C356" s="131"/>
      <c r="D356" s="131"/>
      <c r="E356" s="131"/>
      <c r="F356" s="131"/>
      <c r="G356" s="60" t="s">
        <v>131</v>
      </c>
      <c r="H356" s="134"/>
      <c r="I356" s="134"/>
      <c r="J356" s="60"/>
      <c r="K356" s="60"/>
      <c r="L356" s="60"/>
      <c r="M356" s="60"/>
      <c r="N356" s="60">
        <f t="shared" si="110"/>
        <v>0</v>
      </c>
      <c r="O356" s="60">
        <f t="shared" si="111"/>
        <v>0</v>
      </c>
    </row>
    <row r="357" spans="1:15" s="38" customFormat="1" ht="14.45" customHeight="1" outlineLevel="1" x14ac:dyDescent="0.25">
      <c r="A357" s="140" t="s">
        <v>458</v>
      </c>
      <c r="B357" s="141" t="s">
        <v>459</v>
      </c>
      <c r="C357" s="130">
        <f>SUM(N357:N363)</f>
        <v>0</v>
      </c>
      <c r="D357" s="130">
        <f>SUM(O357:O363)</f>
        <v>0</v>
      </c>
      <c r="E357" s="130">
        <f t="shared" si="103"/>
        <v>0</v>
      </c>
      <c r="F357" s="130"/>
      <c r="G357" s="60" t="s">
        <v>125</v>
      </c>
      <c r="H357" s="123"/>
      <c r="I357" s="123"/>
      <c r="J357" s="60"/>
      <c r="K357" s="60"/>
      <c r="L357" s="60"/>
      <c r="M357" s="60"/>
      <c r="N357" s="60">
        <f>M357*J357*K357*L357</f>
        <v>0</v>
      </c>
      <c r="O357" s="60">
        <f>J357*K357*L357</f>
        <v>0</v>
      </c>
    </row>
    <row r="358" spans="1:15" s="38" customFormat="1" ht="11.45" customHeight="1" outlineLevel="1" x14ac:dyDescent="0.25">
      <c r="A358" s="124"/>
      <c r="B358" s="142"/>
      <c r="C358" s="115"/>
      <c r="D358" s="115"/>
      <c r="E358" s="115"/>
      <c r="F358" s="115"/>
      <c r="G358" s="60" t="s">
        <v>126</v>
      </c>
      <c r="H358" s="124"/>
      <c r="I358" s="124"/>
      <c r="J358" s="60"/>
      <c r="K358" s="60"/>
      <c r="L358" s="60"/>
      <c r="M358" s="60"/>
      <c r="N358" s="60">
        <f t="shared" ref="N358:N363" si="112">M358*J358*K358*L358</f>
        <v>0</v>
      </c>
      <c r="O358" s="60">
        <f t="shared" ref="O358:O363" si="113">J358*K358*L358</f>
        <v>0</v>
      </c>
    </row>
    <row r="359" spans="1:15" s="38" customFormat="1" ht="10.7" customHeight="1" outlineLevel="1" x14ac:dyDescent="0.25">
      <c r="A359" s="124"/>
      <c r="B359" s="142"/>
      <c r="C359" s="115"/>
      <c r="D359" s="115"/>
      <c r="E359" s="115"/>
      <c r="F359" s="115"/>
      <c r="G359" s="60" t="s">
        <v>127</v>
      </c>
      <c r="H359" s="124"/>
      <c r="I359" s="124"/>
      <c r="J359" s="60"/>
      <c r="K359" s="60"/>
      <c r="L359" s="60"/>
      <c r="M359" s="60"/>
      <c r="N359" s="60">
        <f t="shared" si="112"/>
        <v>0</v>
      </c>
      <c r="O359" s="60">
        <f t="shared" si="113"/>
        <v>0</v>
      </c>
    </row>
    <row r="360" spans="1:15" s="38" customFormat="1" ht="10.7" customHeight="1" outlineLevel="1" x14ac:dyDescent="0.25">
      <c r="A360" s="124"/>
      <c r="B360" s="142"/>
      <c r="C360" s="115"/>
      <c r="D360" s="115"/>
      <c r="E360" s="115"/>
      <c r="F360" s="115"/>
      <c r="G360" s="60" t="s">
        <v>128</v>
      </c>
      <c r="H360" s="124"/>
      <c r="I360" s="124"/>
      <c r="J360" s="60"/>
      <c r="K360" s="60"/>
      <c r="L360" s="60"/>
      <c r="M360" s="60"/>
      <c r="N360" s="60">
        <f t="shared" si="112"/>
        <v>0</v>
      </c>
      <c r="O360" s="60">
        <f t="shared" si="113"/>
        <v>0</v>
      </c>
    </row>
    <row r="361" spans="1:15" s="38" customFormat="1" ht="10.7" customHeight="1" outlineLevel="1" x14ac:dyDescent="0.25">
      <c r="A361" s="124"/>
      <c r="B361" s="142"/>
      <c r="C361" s="115"/>
      <c r="D361" s="115"/>
      <c r="E361" s="115"/>
      <c r="F361" s="115"/>
      <c r="G361" s="60" t="s">
        <v>129</v>
      </c>
      <c r="H361" s="124"/>
      <c r="I361" s="124"/>
      <c r="J361" s="60"/>
      <c r="K361" s="60"/>
      <c r="L361" s="60"/>
      <c r="M361" s="60"/>
      <c r="N361" s="60">
        <f t="shared" si="112"/>
        <v>0</v>
      </c>
      <c r="O361" s="60">
        <f t="shared" si="113"/>
        <v>0</v>
      </c>
    </row>
    <row r="362" spans="1:15" s="38" customFormat="1" ht="10.7" customHeight="1" outlineLevel="1" x14ac:dyDescent="0.25">
      <c r="A362" s="124"/>
      <c r="B362" s="142"/>
      <c r="C362" s="115"/>
      <c r="D362" s="115"/>
      <c r="E362" s="115"/>
      <c r="F362" s="115"/>
      <c r="G362" s="60" t="s">
        <v>130</v>
      </c>
      <c r="H362" s="124"/>
      <c r="I362" s="124"/>
      <c r="J362" s="60"/>
      <c r="K362" s="60"/>
      <c r="L362" s="60"/>
      <c r="M362" s="60"/>
      <c r="N362" s="60">
        <f t="shared" si="112"/>
        <v>0</v>
      </c>
      <c r="O362" s="60">
        <f t="shared" si="113"/>
        <v>0</v>
      </c>
    </row>
    <row r="363" spans="1:15" s="38" customFormat="1" ht="12" customHeight="1" outlineLevel="1" thickBot="1" x14ac:dyDescent="0.3">
      <c r="A363" s="125"/>
      <c r="B363" s="143"/>
      <c r="C363" s="131"/>
      <c r="D363" s="131"/>
      <c r="E363" s="131"/>
      <c r="F363" s="131"/>
      <c r="G363" s="60" t="s">
        <v>131</v>
      </c>
      <c r="H363" s="134"/>
      <c r="I363" s="134"/>
      <c r="J363" s="60"/>
      <c r="K363" s="60"/>
      <c r="L363" s="60"/>
      <c r="M363" s="60"/>
      <c r="N363" s="60">
        <f t="shared" si="112"/>
        <v>0</v>
      </c>
      <c r="O363" s="60">
        <f t="shared" si="113"/>
        <v>0</v>
      </c>
    </row>
    <row r="364" spans="1:15" s="38" customFormat="1" ht="14.45" customHeight="1" outlineLevel="1" x14ac:dyDescent="0.25">
      <c r="A364" s="140" t="s">
        <v>460</v>
      </c>
      <c r="B364" s="141" t="s">
        <v>286</v>
      </c>
      <c r="C364" s="130">
        <f>SUM(N364:N370)</f>
        <v>0</v>
      </c>
      <c r="D364" s="130">
        <f>SUM(O364:O370)</f>
        <v>0</v>
      </c>
      <c r="E364" s="130">
        <f t="shared" si="103"/>
        <v>0</v>
      </c>
      <c r="F364" s="130"/>
      <c r="G364" s="60" t="s">
        <v>125</v>
      </c>
      <c r="H364" s="123"/>
      <c r="I364" s="123"/>
      <c r="J364" s="60"/>
      <c r="K364" s="60"/>
      <c r="L364" s="60"/>
      <c r="M364" s="60"/>
      <c r="N364" s="60">
        <f>M364*J364*K364*L364</f>
        <v>0</v>
      </c>
      <c r="O364" s="60">
        <f>J364*K364*L364</f>
        <v>0</v>
      </c>
    </row>
    <row r="365" spans="1:15" s="38" customFormat="1" ht="11.45" customHeight="1" outlineLevel="1" x14ac:dyDescent="0.25">
      <c r="A365" s="124"/>
      <c r="B365" s="142"/>
      <c r="C365" s="115"/>
      <c r="D365" s="115"/>
      <c r="E365" s="115"/>
      <c r="F365" s="115"/>
      <c r="G365" s="60" t="s">
        <v>126</v>
      </c>
      <c r="H365" s="124"/>
      <c r="I365" s="124"/>
      <c r="J365" s="60"/>
      <c r="K365" s="60"/>
      <c r="L365" s="60"/>
      <c r="M365" s="60"/>
      <c r="N365" s="60">
        <f t="shared" ref="N365:N370" si="114">M365*J365*K365*L365</f>
        <v>0</v>
      </c>
      <c r="O365" s="60">
        <f t="shared" ref="O365:O370" si="115">J365*K365*L365</f>
        <v>0</v>
      </c>
    </row>
    <row r="366" spans="1:15" s="38" customFormat="1" ht="10.7" customHeight="1" outlineLevel="1" x14ac:dyDescent="0.25">
      <c r="A366" s="124"/>
      <c r="B366" s="142"/>
      <c r="C366" s="115"/>
      <c r="D366" s="115"/>
      <c r="E366" s="115"/>
      <c r="F366" s="115"/>
      <c r="G366" s="60" t="s">
        <v>127</v>
      </c>
      <c r="H366" s="124"/>
      <c r="I366" s="124"/>
      <c r="J366" s="60"/>
      <c r="K366" s="60"/>
      <c r="L366" s="60"/>
      <c r="M366" s="60"/>
      <c r="N366" s="60">
        <f t="shared" si="114"/>
        <v>0</v>
      </c>
      <c r="O366" s="60">
        <f t="shared" si="115"/>
        <v>0</v>
      </c>
    </row>
    <row r="367" spans="1:15" s="38" customFormat="1" ht="10.7" customHeight="1" outlineLevel="1" x14ac:dyDescent="0.25">
      <c r="A367" s="124"/>
      <c r="B367" s="142"/>
      <c r="C367" s="115"/>
      <c r="D367" s="115"/>
      <c r="E367" s="115"/>
      <c r="F367" s="115"/>
      <c r="G367" s="60" t="s">
        <v>128</v>
      </c>
      <c r="H367" s="124"/>
      <c r="I367" s="124"/>
      <c r="J367" s="60"/>
      <c r="K367" s="60"/>
      <c r="L367" s="60"/>
      <c r="M367" s="60"/>
      <c r="N367" s="60">
        <f t="shared" si="114"/>
        <v>0</v>
      </c>
      <c r="O367" s="60">
        <f t="shared" si="115"/>
        <v>0</v>
      </c>
    </row>
    <row r="368" spans="1:15" s="38" customFormat="1" ht="10.7" customHeight="1" outlineLevel="1" x14ac:dyDescent="0.25">
      <c r="A368" s="124"/>
      <c r="B368" s="142"/>
      <c r="C368" s="115"/>
      <c r="D368" s="115"/>
      <c r="E368" s="115"/>
      <c r="F368" s="115"/>
      <c r="G368" s="60" t="s">
        <v>129</v>
      </c>
      <c r="H368" s="124"/>
      <c r="I368" s="124"/>
      <c r="J368" s="60"/>
      <c r="K368" s="60"/>
      <c r="L368" s="60"/>
      <c r="M368" s="60"/>
      <c r="N368" s="60">
        <f t="shared" si="114"/>
        <v>0</v>
      </c>
      <c r="O368" s="60">
        <f t="shared" si="115"/>
        <v>0</v>
      </c>
    </row>
    <row r="369" spans="1:15" s="38" customFormat="1" ht="10.7" customHeight="1" outlineLevel="1" x14ac:dyDescent="0.25">
      <c r="A369" s="124"/>
      <c r="B369" s="142"/>
      <c r="C369" s="115"/>
      <c r="D369" s="115"/>
      <c r="E369" s="115"/>
      <c r="F369" s="115"/>
      <c r="G369" s="60" t="s">
        <v>130</v>
      </c>
      <c r="H369" s="124"/>
      <c r="I369" s="124"/>
      <c r="J369" s="60"/>
      <c r="K369" s="60"/>
      <c r="L369" s="60"/>
      <c r="M369" s="60"/>
      <c r="N369" s="60">
        <f t="shared" si="114"/>
        <v>0</v>
      </c>
      <c r="O369" s="60">
        <f t="shared" si="115"/>
        <v>0</v>
      </c>
    </row>
    <row r="370" spans="1:15" s="38" customFormat="1" ht="12" customHeight="1" outlineLevel="1" thickBot="1" x14ac:dyDescent="0.3">
      <c r="A370" s="125"/>
      <c r="B370" s="143"/>
      <c r="C370" s="131"/>
      <c r="D370" s="131"/>
      <c r="E370" s="131"/>
      <c r="F370" s="131"/>
      <c r="G370" s="60" t="s">
        <v>131</v>
      </c>
      <c r="H370" s="134"/>
      <c r="I370" s="134"/>
      <c r="J370" s="60"/>
      <c r="K370" s="60"/>
      <c r="L370" s="60"/>
      <c r="M370" s="60"/>
      <c r="N370" s="60">
        <f t="shared" si="114"/>
        <v>0</v>
      </c>
      <c r="O370" s="60">
        <f t="shared" si="115"/>
        <v>0</v>
      </c>
    </row>
    <row r="371" spans="1:15" s="38" customFormat="1" ht="14.45" customHeight="1" outlineLevel="1" x14ac:dyDescent="0.25">
      <c r="A371" s="140" t="s">
        <v>461</v>
      </c>
      <c r="B371" s="141" t="s">
        <v>462</v>
      </c>
      <c r="C371" s="130">
        <f>SUM(N371:N377)</f>
        <v>0</v>
      </c>
      <c r="D371" s="130">
        <f>SUM(O371:O377)</f>
        <v>0</v>
      </c>
      <c r="E371" s="130">
        <f t="shared" si="103"/>
        <v>0</v>
      </c>
      <c r="F371" s="130"/>
      <c r="G371" s="60" t="s">
        <v>125</v>
      </c>
      <c r="H371" s="123"/>
      <c r="I371" s="123"/>
      <c r="J371" s="60"/>
      <c r="K371" s="60"/>
      <c r="L371" s="60"/>
      <c r="M371" s="60"/>
      <c r="N371" s="60">
        <f>M371*J371*K371*L371</f>
        <v>0</v>
      </c>
      <c r="O371" s="60">
        <f>J371*K371*L371</f>
        <v>0</v>
      </c>
    </row>
    <row r="372" spans="1:15" s="38" customFormat="1" ht="11.45" customHeight="1" outlineLevel="1" x14ac:dyDescent="0.25">
      <c r="A372" s="124"/>
      <c r="B372" s="142"/>
      <c r="C372" s="115"/>
      <c r="D372" s="115"/>
      <c r="E372" s="115"/>
      <c r="F372" s="115"/>
      <c r="G372" s="60" t="s">
        <v>126</v>
      </c>
      <c r="H372" s="124"/>
      <c r="I372" s="124"/>
      <c r="J372" s="60"/>
      <c r="K372" s="60"/>
      <c r="L372" s="60"/>
      <c r="M372" s="60"/>
      <c r="N372" s="60">
        <f t="shared" ref="N372:N377" si="116">M372*J372*K372*L372</f>
        <v>0</v>
      </c>
      <c r="O372" s="60">
        <f t="shared" ref="O372:O377" si="117">J372*K372*L372</f>
        <v>0</v>
      </c>
    </row>
    <row r="373" spans="1:15" s="38" customFormat="1" ht="10.7" customHeight="1" outlineLevel="1" x14ac:dyDescent="0.25">
      <c r="A373" s="124"/>
      <c r="B373" s="142"/>
      <c r="C373" s="115"/>
      <c r="D373" s="115"/>
      <c r="E373" s="115"/>
      <c r="F373" s="115"/>
      <c r="G373" s="60" t="s">
        <v>127</v>
      </c>
      <c r="H373" s="124"/>
      <c r="I373" s="124"/>
      <c r="J373" s="60"/>
      <c r="K373" s="60"/>
      <c r="L373" s="60"/>
      <c r="M373" s="60"/>
      <c r="N373" s="60">
        <f t="shared" si="116"/>
        <v>0</v>
      </c>
      <c r="O373" s="60">
        <f t="shared" si="117"/>
        <v>0</v>
      </c>
    </row>
    <row r="374" spans="1:15" s="38" customFormat="1" ht="10.7" customHeight="1" outlineLevel="1" x14ac:dyDescent="0.25">
      <c r="A374" s="124"/>
      <c r="B374" s="142"/>
      <c r="C374" s="115"/>
      <c r="D374" s="115"/>
      <c r="E374" s="115"/>
      <c r="F374" s="115"/>
      <c r="G374" s="60" t="s">
        <v>128</v>
      </c>
      <c r="H374" s="124"/>
      <c r="I374" s="124"/>
      <c r="J374" s="60"/>
      <c r="K374" s="60"/>
      <c r="L374" s="60"/>
      <c r="M374" s="60"/>
      <c r="N374" s="60">
        <f t="shared" si="116"/>
        <v>0</v>
      </c>
      <c r="O374" s="60">
        <f t="shared" si="117"/>
        <v>0</v>
      </c>
    </row>
    <row r="375" spans="1:15" s="38" customFormat="1" ht="10.7" customHeight="1" outlineLevel="1" x14ac:dyDescent="0.25">
      <c r="A375" s="124"/>
      <c r="B375" s="142"/>
      <c r="C375" s="115"/>
      <c r="D375" s="115"/>
      <c r="E375" s="115"/>
      <c r="F375" s="115"/>
      <c r="G375" s="60" t="s">
        <v>129</v>
      </c>
      <c r="H375" s="124"/>
      <c r="I375" s="124"/>
      <c r="J375" s="60"/>
      <c r="K375" s="60"/>
      <c r="L375" s="60"/>
      <c r="M375" s="60"/>
      <c r="N375" s="60">
        <f t="shared" si="116"/>
        <v>0</v>
      </c>
      <c r="O375" s="60">
        <f t="shared" si="117"/>
        <v>0</v>
      </c>
    </row>
    <row r="376" spans="1:15" s="38" customFormat="1" ht="10.7" customHeight="1" outlineLevel="1" x14ac:dyDescent="0.25">
      <c r="A376" s="124"/>
      <c r="B376" s="142"/>
      <c r="C376" s="115"/>
      <c r="D376" s="115"/>
      <c r="E376" s="115"/>
      <c r="F376" s="115"/>
      <c r="G376" s="60" t="s">
        <v>130</v>
      </c>
      <c r="H376" s="124"/>
      <c r="I376" s="124"/>
      <c r="J376" s="60"/>
      <c r="K376" s="60"/>
      <c r="L376" s="60"/>
      <c r="M376" s="60"/>
      <c r="N376" s="60">
        <f t="shared" si="116"/>
        <v>0</v>
      </c>
      <c r="O376" s="60">
        <f t="shared" si="117"/>
        <v>0</v>
      </c>
    </row>
    <row r="377" spans="1:15" s="38" customFormat="1" ht="12" customHeight="1" outlineLevel="1" thickBot="1" x14ac:dyDescent="0.3">
      <c r="A377" s="125"/>
      <c r="B377" s="143"/>
      <c r="C377" s="131"/>
      <c r="D377" s="131"/>
      <c r="E377" s="131"/>
      <c r="F377" s="131"/>
      <c r="G377" s="60" t="s">
        <v>131</v>
      </c>
      <c r="H377" s="134"/>
      <c r="I377" s="134"/>
      <c r="J377" s="60"/>
      <c r="K377" s="60"/>
      <c r="L377" s="60"/>
      <c r="M377" s="60"/>
      <c r="N377" s="60">
        <f t="shared" si="116"/>
        <v>0</v>
      </c>
      <c r="O377" s="60">
        <f t="shared" si="117"/>
        <v>0</v>
      </c>
    </row>
    <row r="378" spans="1:15" s="38" customFormat="1" ht="14.45" customHeight="1" outlineLevel="1" x14ac:dyDescent="0.25">
      <c r="A378" s="140" t="s">
        <v>463</v>
      </c>
      <c r="B378" s="141" t="s">
        <v>464</v>
      </c>
      <c r="C378" s="130">
        <f>SUM(N378:N384)</f>
        <v>0</v>
      </c>
      <c r="D378" s="130">
        <f>SUM(O378:O384)</f>
        <v>0</v>
      </c>
      <c r="E378" s="130">
        <f t="shared" si="103"/>
        <v>0</v>
      </c>
      <c r="F378" s="130"/>
      <c r="G378" s="60" t="s">
        <v>125</v>
      </c>
      <c r="H378" s="123"/>
      <c r="I378" s="123"/>
      <c r="J378" s="60"/>
      <c r="K378" s="60"/>
      <c r="L378" s="60"/>
      <c r="M378" s="60"/>
      <c r="N378" s="60">
        <f>M378*J378*K378*L378</f>
        <v>0</v>
      </c>
      <c r="O378" s="60">
        <f>J378*K378*L378</f>
        <v>0</v>
      </c>
    </row>
    <row r="379" spans="1:15" s="38" customFormat="1" ht="11.45" customHeight="1" outlineLevel="1" x14ac:dyDescent="0.25">
      <c r="A379" s="124"/>
      <c r="B379" s="142"/>
      <c r="C379" s="115"/>
      <c r="D379" s="115"/>
      <c r="E379" s="115"/>
      <c r="F379" s="115"/>
      <c r="G379" s="60" t="s">
        <v>126</v>
      </c>
      <c r="H379" s="124"/>
      <c r="I379" s="124"/>
      <c r="J379" s="60"/>
      <c r="K379" s="60"/>
      <c r="L379" s="60"/>
      <c r="M379" s="60"/>
      <c r="N379" s="60">
        <f t="shared" ref="N379:N384" si="118">M379*J379*K379*L379</f>
        <v>0</v>
      </c>
      <c r="O379" s="60">
        <f t="shared" ref="O379:O384" si="119">J379*K379*L379</f>
        <v>0</v>
      </c>
    </row>
    <row r="380" spans="1:15" s="38" customFormat="1" ht="10.7" customHeight="1" outlineLevel="1" x14ac:dyDescent="0.25">
      <c r="A380" s="124"/>
      <c r="B380" s="142"/>
      <c r="C380" s="115"/>
      <c r="D380" s="115"/>
      <c r="E380" s="115"/>
      <c r="F380" s="115"/>
      <c r="G380" s="60" t="s">
        <v>127</v>
      </c>
      <c r="H380" s="124"/>
      <c r="I380" s="124"/>
      <c r="J380" s="60"/>
      <c r="K380" s="60"/>
      <c r="L380" s="60"/>
      <c r="M380" s="60"/>
      <c r="N380" s="60">
        <f t="shared" si="118"/>
        <v>0</v>
      </c>
      <c r="O380" s="60">
        <f t="shared" si="119"/>
        <v>0</v>
      </c>
    </row>
    <row r="381" spans="1:15" s="38" customFormat="1" ht="10.7" customHeight="1" outlineLevel="1" x14ac:dyDescent="0.25">
      <c r="A381" s="124"/>
      <c r="B381" s="142"/>
      <c r="C381" s="115"/>
      <c r="D381" s="115"/>
      <c r="E381" s="115"/>
      <c r="F381" s="115"/>
      <c r="G381" s="60" t="s">
        <v>128</v>
      </c>
      <c r="H381" s="124"/>
      <c r="I381" s="124"/>
      <c r="J381" s="60"/>
      <c r="K381" s="60"/>
      <c r="L381" s="60"/>
      <c r="M381" s="60"/>
      <c r="N381" s="60">
        <f t="shared" si="118"/>
        <v>0</v>
      </c>
      <c r="O381" s="60">
        <f t="shared" si="119"/>
        <v>0</v>
      </c>
    </row>
    <row r="382" spans="1:15" s="38" customFormat="1" ht="10.7" customHeight="1" outlineLevel="1" x14ac:dyDescent="0.25">
      <c r="A382" s="124"/>
      <c r="B382" s="142"/>
      <c r="C382" s="115"/>
      <c r="D382" s="115"/>
      <c r="E382" s="115"/>
      <c r="F382" s="115"/>
      <c r="G382" s="60" t="s">
        <v>129</v>
      </c>
      <c r="H382" s="124"/>
      <c r="I382" s="124"/>
      <c r="J382" s="60"/>
      <c r="K382" s="60"/>
      <c r="L382" s="60"/>
      <c r="M382" s="60"/>
      <c r="N382" s="60">
        <f t="shared" si="118"/>
        <v>0</v>
      </c>
      <c r="O382" s="60">
        <f t="shared" si="119"/>
        <v>0</v>
      </c>
    </row>
    <row r="383" spans="1:15" s="38" customFormat="1" ht="10.7" customHeight="1" outlineLevel="1" x14ac:dyDescent="0.25">
      <c r="A383" s="124"/>
      <c r="B383" s="142"/>
      <c r="C383" s="115"/>
      <c r="D383" s="115"/>
      <c r="E383" s="115"/>
      <c r="F383" s="115"/>
      <c r="G383" s="60" t="s">
        <v>130</v>
      </c>
      <c r="H383" s="124"/>
      <c r="I383" s="124"/>
      <c r="J383" s="60"/>
      <c r="K383" s="60"/>
      <c r="L383" s="60"/>
      <c r="M383" s="60"/>
      <c r="N383" s="60">
        <f t="shared" si="118"/>
        <v>0</v>
      </c>
      <c r="O383" s="60">
        <f t="shared" si="119"/>
        <v>0</v>
      </c>
    </row>
    <row r="384" spans="1:15" s="38" customFormat="1" ht="12" customHeight="1" outlineLevel="1" thickBot="1" x14ac:dyDescent="0.3">
      <c r="A384" s="125"/>
      <c r="B384" s="143"/>
      <c r="C384" s="131"/>
      <c r="D384" s="131"/>
      <c r="E384" s="131"/>
      <c r="F384" s="131"/>
      <c r="G384" s="60" t="s">
        <v>131</v>
      </c>
      <c r="H384" s="134"/>
      <c r="I384" s="134"/>
      <c r="J384" s="60"/>
      <c r="K384" s="60"/>
      <c r="L384" s="60"/>
      <c r="M384" s="60"/>
      <c r="N384" s="60">
        <f t="shared" si="118"/>
        <v>0</v>
      </c>
      <c r="O384" s="60">
        <f t="shared" si="119"/>
        <v>0</v>
      </c>
    </row>
    <row r="385" spans="1:15" s="38" customFormat="1" ht="14.45" customHeight="1" outlineLevel="1" x14ac:dyDescent="0.25">
      <c r="A385" s="140" t="s">
        <v>465</v>
      </c>
      <c r="B385" s="141" t="s">
        <v>466</v>
      </c>
      <c r="C385" s="130">
        <f>SUM(N385:N391)</f>
        <v>0</v>
      </c>
      <c r="D385" s="130">
        <f>SUM(O385:O391)</f>
        <v>0</v>
      </c>
      <c r="E385" s="130">
        <f t="shared" si="103"/>
        <v>0</v>
      </c>
      <c r="F385" s="130"/>
      <c r="G385" s="60" t="s">
        <v>125</v>
      </c>
      <c r="H385" s="123"/>
      <c r="I385" s="123"/>
      <c r="J385" s="60"/>
      <c r="K385" s="60"/>
      <c r="L385" s="60"/>
      <c r="M385" s="60"/>
      <c r="N385" s="60">
        <f>M385*J385*K385*L385</f>
        <v>0</v>
      </c>
      <c r="O385" s="60">
        <f>J385*K385*L385</f>
        <v>0</v>
      </c>
    </row>
    <row r="386" spans="1:15" s="38" customFormat="1" ht="11.45" customHeight="1" outlineLevel="1" x14ac:dyDescent="0.25">
      <c r="A386" s="124"/>
      <c r="B386" s="142"/>
      <c r="C386" s="115"/>
      <c r="D386" s="115"/>
      <c r="E386" s="115"/>
      <c r="F386" s="115"/>
      <c r="G386" s="60" t="s">
        <v>126</v>
      </c>
      <c r="H386" s="124"/>
      <c r="I386" s="124"/>
      <c r="J386" s="60"/>
      <c r="K386" s="60"/>
      <c r="L386" s="60"/>
      <c r="M386" s="60"/>
      <c r="N386" s="60">
        <f t="shared" ref="N386:N391" si="120">M386*J386*K386*L386</f>
        <v>0</v>
      </c>
      <c r="O386" s="60">
        <f t="shared" ref="O386:O391" si="121">J386*K386*L386</f>
        <v>0</v>
      </c>
    </row>
    <row r="387" spans="1:15" s="38" customFormat="1" ht="10.7" customHeight="1" outlineLevel="1" x14ac:dyDescent="0.25">
      <c r="A387" s="124"/>
      <c r="B387" s="142"/>
      <c r="C387" s="115"/>
      <c r="D387" s="115"/>
      <c r="E387" s="115"/>
      <c r="F387" s="115"/>
      <c r="G387" s="60" t="s">
        <v>127</v>
      </c>
      <c r="H387" s="124"/>
      <c r="I387" s="124"/>
      <c r="J387" s="60"/>
      <c r="K387" s="60"/>
      <c r="L387" s="60"/>
      <c r="M387" s="60"/>
      <c r="N387" s="60">
        <f t="shared" si="120"/>
        <v>0</v>
      </c>
      <c r="O387" s="60">
        <f t="shared" si="121"/>
        <v>0</v>
      </c>
    </row>
    <row r="388" spans="1:15" s="38" customFormat="1" ht="10.7" customHeight="1" outlineLevel="1" x14ac:dyDescent="0.25">
      <c r="A388" s="124"/>
      <c r="B388" s="142"/>
      <c r="C388" s="115"/>
      <c r="D388" s="115"/>
      <c r="E388" s="115"/>
      <c r="F388" s="115"/>
      <c r="G388" s="60" t="s">
        <v>128</v>
      </c>
      <c r="H388" s="124"/>
      <c r="I388" s="124"/>
      <c r="J388" s="60"/>
      <c r="K388" s="60"/>
      <c r="L388" s="60"/>
      <c r="M388" s="60"/>
      <c r="N388" s="60">
        <f t="shared" si="120"/>
        <v>0</v>
      </c>
      <c r="O388" s="60">
        <f t="shared" si="121"/>
        <v>0</v>
      </c>
    </row>
    <row r="389" spans="1:15" s="38" customFormat="1" ht="10.7" customHeight="1" outlineLevel="1" x14ac:dyDescent="0.25">
      <c r="A389" s="124"/>
      <c r="B389" s="142"/>
      <c r="C389" s="115"/>
      <c r="D389" s="115"/>
      <c r="E389" s="115"/>
      <c r="F389" s="115"/>
      <c r="G389" s="60" t="s">
        <v>129</v>
      </c>
      <c r="H389" s="124"/>
      <c r="I389" s="124"/>
      <c r="J389" s="60"/>
      <c r="K389" s="60"/>
      <c r="L389" s="60"/>
      <c r="M389" s="60"/>
      <c r="N389" s="60">
        <f t="shared" si="120"/>
        <v>0</v>
      </c>
      <c r="O389" s="60">
        <f t="shared" si="121"/>
        <v>0</v>
      </c>
    </row>
    <row r="390" spans="1:15" s="38" customFormat="1" ht="10.7" customHeight="1" outlineLevel="1" x14ac:dyDescent="0.25">
      <c r="A390" s="124"/>
      <c r="B390" s="142"/>
      <c r="C390" s="115"/>
      <c r="D390" s="115"/>
      <c r="E390" s="115"/>
      <c r="F390" s="115"/>
      <c r="G390" s="60" t="s">
        <v>130</v>
      </c>
      <c r="H390" s="124"/>
      <c r="I390" s="124"/>
      <c r="J390" s="60"/>
      <c r="K390" s="60"/>
      <c r="L390" s="60"/>
      <c r="M390" s="60"/>
      <c r="N390" s="60">
        <f t="shared" si="120"/>
        <v>0</v>
      </c>
      <c r="O390" s="60">
        <f t="shared" si="121"/>
        <v>0</v>
      </c>
    </row>
    <row r="391" spans="1:15" s="38" customFormat="1" ht="12" customHeight="1" outlineLevel="1" thickBot="1" x14ac:dyDescent="0.3">
      <c r="A391" s="125"/>
      <c r="B391" s="143"/>
      <c r="C391" s="131"/>
      <c r="D391" s="131"/>
      <c r="E391" s="131"/>
      <c r="F391" s="131"/>
      <c r="G391" s="60" t="s">
        <v>131</v>
      </c>
      <c r="H391" s="134"/>
      <c r="I391" s="134"/>
      <c r="J391" s="60"/>
      <c r="K391" s="60"/>
      <c r="L391" s="60"/>
      <c r="M391" s="60"/>
      <c r="N391" s="60">
        <f t="shared" si="120"/>
        <v>0</v>
      </c>
      <c r="O391" s="60">
        <f t="shared" si="121"/>
        <v>0</v>
      </c>
    </row>
    <row r="392" spans="1:15" s="38" customFormat="1" ht="14.45" customHeight="1" outlineLevel="1" x14ac:dyDescent="0.25">
      <c r="A392" s="140" t="s">
        <v>467</v>
      </c>
      <c r="B392" s="141" t="s">
        <v>468</v>
      </c>
      <c r="C392" s="130">
        <f>SUM(N392:N398)</f>
        <v>0</v>
      </c>
      <c r="D392" s="130">
        <f>SUM(O392:O398)</f>
        <v>0</v>
      </c>
      <c r="E392" s="130">
        <f t="shared" ref="E392:E441" si="122">D392/8</f>
        <v>0</v>
      </c>
      <c r="F392" s="130"/>
      <c r="G392" s="60" t="s">
        <v>125</v>
      </c>
      <c r="H392" s="123"/>
      <c r="I392" s="123"/>
      <c r="J392" s="60"/>
      <c r="K392" s="60"/>
      <c r="L392" s="60"/>
      <c r="M392" s="60"/>
      <c r="N392" s="60">
        <f>M392*J392*K392*L392</f>
        <v>0</v>
      </c>
      <c r="O392" s="60">
        <f>J392*K392*L392</f>
        <v>0</v>
      </c>
    </row>
    <row r="393" spans="1:15" s="38" customFormat="1" ht="11.45" customHeight="1" outlineLevel="1" x14ac:dyDescent="0.25">
      <c r="A393" s="124"/>
      <c r="B393" s="142"/>
      <c r="C393" s="115"/>
      <c r="D393" s="115"/>
      <c r="E393" s="115"/>
      <c r="F393" s="115"/>
      <c r="G393" s="60" t="s">
        <v>126</v>
      </c>
      <c r="H393" s="124"/>
      <c r="I393" s="124"/>
      <c r="J393" s="60"/>
      <c r="K393" s="60"/>
      <c r="L393" s="60"/>
      <c r="M393" s="60"/>
      <c r="N393" s="60">
        <f t="shared" ref="N393:N398" si="123">M393*J393*K393*L393</f>
        <v>0</v>
      </c>
      <c r="O393" s="60">
        <f t="shared" ref="O393:O398" si="124">J393*K393*L393</f>
        <v>0</v>
      </c>
    </row>
    <row r="394" spans="1:15" s="38" customFormat="1" ht="10.7" customHeight="1" outlineLevel="1" x14ac:dyDescent="0.25">
      <c r="A394" s="124"/>
      <c r="B394" s="142"/>
      <c r="C394" s="115"/>
      <c r="D394" s="115"/>
      <c r="E394" s="115"/>
      <c r="F394" s="115"/>
      <c r="G394" s="60" t="s">
        <v>127</v>
      </c>
      <c r="H394" s="124"/>
      <c r="I394" s="124"/>
      <c r="J394" s="60"/>
      <c r="K394" s="60"/>
      <c r="L394" s="60"/>
      <c r="M394" s="60"/>
      <c r="N394" s="60">
        <f t="shared" si="123"/>
        <v>0</v>
      </c>
      <c r="O394" s="60">
        <f t="shared" si="124"/>
        <v>0</v>
      </c>
    </row>
    <row r="395" spans="1:15" s="38" customFormat="1" ht="10.7" customHeight="1" outlineLevel="1" x14ac:dyDescent="0.25">
      <c r="A395" s="124"/>
      <c r="B395" s="142"/>
      <c r="C395" s="115"/>
      <c r="D395" s="115"/>
      <c r="E395" s="115"/>
      <c r="F395" s="115"/>
      <c r="G395" s="60" t="s">
        <v>128</v>
      </c>
      <c r="H395" s="124"/>
      <c r="I395" s="124"/>
      <c r="J395" s="60"/>
      <c r="K395" s="60"/>
      <c r="L395" s="60"/>
      <c r="M395" s="60"/>
      <c r="N395" s="60">
        <f t="shared" si="123"/>
        <v>0</v>
      </c>
      <c r="O395" s="60">
        <f t="shared" si="124"/>
        <v>0</v>
      </c>
    </row>
    <row r="396" spans="1:15" s="38" customFormat="1" ht="10.7" customHeight="1" outlineLevel="1" x14ac:dyDescent="0.25">
      <c r="A396" s="124"/>
      <c r="B396" s="142"/>
      <c r="C396" s="115"/>
      <c r="D396" s="115"/>
      <c r="E396" s="115"/>
      <c r="F396" s="115"/>
      <c r="G396" s="60" t="s">
        <v>129</v>
      </c>
      <c r="H396" s="124"/>
      <c r="I396" s="124"/>
      <c r="J396" s="60"/>
      <c r="K396" s="60"/>
      <c r="L396" s="60"/>
      <c r="M396" s="60"/>
      <c r="N396" s="60">
        <f t="shared" si="123"/>
        <v>0</v>
      </c>
      <c r="O396" s="60">
        <f t="shared" si="124"/>
        <v>0</v>
      </c>
    </row>
    <row r="397" spans="1:15" s="38" customFormat="1" ht="10.7" customHeight="1" outlineLevel="1" x14ac:dyDescent="0.25">
      <c r="A397" s="124"/>
      <c r="B397" s="142"/>
      <c r="C397" s="115"/>
      <c r="D397" s="115"/>
      <c r="E397" s="115"/>
      <c r="F397" s="115"/>
      <c r="G397" s="60" t="s">
        <v>130</v>
      </c>
      <c r="H397" s="124"/>
      <c r="I397" s="124"/>
      <c r="J397" s="60"/>
      <c r="K397" s="60"/>
      <c r="L397" s="60"/>
      <c r="M397" s="60"/>
      <c r="N397" s="60">
        <f t="shared" si="123"/>
        <v>0</v>
      </c>
      <c r="O397" s="60">
        <f t="shared" si="124"/>
        <v>0</v>
      </c>
    </row>
    <row r="398" spans="1:15" s="38" customFormat="1" ht="12" customHeight="1" outlineLevel="1" thickBot="1" x14ac:dyDescent="0.3">
      <c r="A398" s="125"/>
      <c r="B398" s="143"/>
      <c r="C398" s="131"/>
      <c r="D398" s="131"/>
      <c r="E398" s="131"/>
      <c r="F398" s="131"/>
      <c r="G398" s="60" t="s">
        <v>131</v>
      </c>
      <c r="H398" s="134"/>
      <c r="I398" s="134"/>
      <c r="J398" s="60"/>
      <c r="K398" s="60"/>
      <c r="L398" s="60"/>
      <c r="M398" s="60"/>
      <c r="N398" s="60">
        <f t="shared" si="123"/>
        <v>0</v>
      </c>
      <c r="O398" s="60">
        <f t="shared" si="124"/>
        <v>0</v>
      </c>
    </row>
    <row r="399" spans="1:15" s="38" customFormat="1" ht="14.45" customHeight="1" outlineLevel="1" x14ac:dyDescent="0.25">
      <c r="A399" s="140" t="s">
        <v>469</v>
      </c>
      <c r="B399" s="141" t="s">
        <v>470</v>
      </c>
      <c r="C399" s="130">
        <f>SUM(N399:N405)</f>
        <v>0</v>
      </c>
      <c r="D399" s="130">
        <f>SUM(O399:O405)</f>
        <v>0</v>
      </c>
      <c r="E399" s="130">
        <f t="shared" si="122"/>
        <v>0</v>
      </c>
      <c r="F399" s="130"/>
      <c r="G399" s="60" t="s">
        <v>125</v>
      </c>
      <c r="H399" s="123"/>
      <c r="I399" s="123"/>
      <c r="J399" s="60"/>
      <c r="K399" s="60"/>
      <c r="L399" s="60"/>
      <c r="M399" s="60"/>
      <c r="N399" s="60">
        <f>M399*J399*K399*L399</f>
        <v>0</v>
      </c>
      <c r="O399" s="60">
        <f>J399*K399*L399</f>
        <v>0</v>
      </c>
    </row>
    <row r="400" spans="1:15" s="38" customFormat="1" ht="11.45" customHeight="1" outlineLevel="1" x14ac:dyDescent="0.25">
      <c r="A400" s="124"/>
      <c r="B400" s="142"/>
      <c r="C400" s="115"/>
      <c r="D400" s="115"/>
      <c r="E400" s="115"/>
      <c r="F400" s="115"/>
      <c r="G400" s="60" t="s">
        <v>126</v>
      </c>
      <c r="H400" s="124"/>
      <c r="I400" s="124"/>
      <c r="J400" s="60"/>
      <c r="K400" s="60"/>
      <c r="L400" s="60"/>
      <c r="M400" s="60"/>
      <c r="N400" s="60">
        <f t="shared" ref="N400:N405" si="125">M400*J400*K400*L400</f>
        <v>0</v>
      </c>
      <c r="O400" s="60">
        <f t="shared" ref="O400:O405" si="126">J400*K400*L400</f>
        <v>0</v>
      </c>
    </row>
    <row r="401" spans="1:15" s="38" customFormat="1" ht="10.7" customHeight="1" outlineLevel="1" x14ac:dyDescent="0.25">
      <c r="A401" s="124"/>
      <c r="B401" s="142"/>
      <c r="C401" s="115"/>
      <c r="D401" s="115"/>
      <c r="E401" s="115"/>
      <c r="F401" s="115"/>
      <c r="G401" s="60" t="s">
        <v>127</v>
      </c>
      <c r="H401" s="124"/>
      <c r="I401" s="124"/>
      <c r="J401" s="60"/>
      <c r="K401" s="60"/>
      <c r="L401" s="60"/>
      <c r="M401" s="60"/>
      <c r="N401" s="60">
        <f t="shared" si="125"/>
        <v>0</v>
      </c>
      <c r="O401" s="60">
        <f t="shared" si="126"/>
        <v>0</v>
      </c>
    </row>
    <row r="402" spans="1:15" s="38" customFormat="1" ht="10.7" customHeight="1" outlineLevel="1" x14ac:dyDescent="0.25">
      <c r="A402" s="124"/>
      <c r="B402" s="142"/>
      <c r="C402" s="115"/>
      <c r="D402" s="115"/>
      <c r="E402" s="115"/>
      <c r="F402" s="115"/>
      <c r="G402" s="60" t="s">
        <v>128</v>
      </c>
      <c r="H402" s="124"/>
      <c r="I402" s="124"/>
      <c r="J402" s="60"/>
      <c r="K402" s="60"/>
      <c r="L402" s="60"/>
      <c r="M402" s="60"/>
      <c r="N402" s="60">
        <f t="shared" si="125"/>
        <v>0</v>
      </c>
      <c r="O402" s="60">
        <f t="shared" si="126"/>
        <v>0</v>
      </c>
    </row>
    <row r="403" spans="1:15" s="38" customFormat="1" ht="10.7" customHeight="1" outlineLevel="1" x14ac:dyDescent="0.25">
      <c r="A403" s="124"/>
      <c r="B403" s="142"/>
      <c r="C403" s="115"/>
      <c r="D403" s="115"/>
      <c r="E403" s="115"/>
      <c r="F403" s="115"/>
      <c r="G403" s="60" t="s">
        <v>129</v>
      </c>
      <c r="H403" s="124"/>
      <c r="I403" s="124"/>
      <c r="J403" s="60"/>
      <c r="K403" s="60"/>
      <c r="L403" s="60"/>
      <c r="M403" s="60"/>
      <c r="N403" s="60">
        <f t="shared" si="125"/>
        <v>0</v>
      </c>
      <c r="O403" s="60">
        <f t="shared" si="126"/>
        <v>0</v>
      </c>
    </row>
    <row r="404" spans="1:15" s="38" customFormat="1" ht="10.7" customHeight="1" outlineLevel="1" x14ac:dyDescent="0.25">
      <c r="A404" s="124"/>
      <c r="B404" s="142"/>
      <c r="C404" s="115"/>
      <c r="D404" s="115"/>
      <c r="E404" s="115"/>
      <c r="F404" s="115"/>
      <c r="G404" s="60" t="s">
        <v>130</v>
      </c>
      <c r="H404" s="124"/>
      <c r="I404" s="124"/>
      <c r="J404" s="60"/>
      <c r="K404" s="60"/>
      <c r="L404" s="60"/>
      <c r="M404" s="60"/>
      <c r="N404" s="60">
        <f t="shared" si="125"/>
        <v>0</v>
      </c>
      <c r="O404" s="60">
        <f t="shared" si="126"/>
        <v>0</v>
      </c>
    </row>
    <row r="405" spans="1:15" s="38" customFormat="1" ht="12" customHeight="1" outlineLevel="1" thickBot="1" x14ac:dyDescent="0.3">
      <c r="A405" s="125"/>
      <c r="B405" s="143"/>
      <c r="C405" s="131"/>
      <c r="D405" s="131"/>
      <c r="E405" s="131"/>
      <c r="F405" s="131"/>
      <c r="G405" s="60" t="s">
        <v>131</v>
      </c>
      <c r="H405" s="134"/>
      <c r="I405" s="134"/>
      <c r="J405" s="60"/>
      <c r="K405" s="60"/>
      <c r="L405" s="60"/>
      <c r="M405" s="60"/>
      <c r="N405" s="60">
        <f t="shared" si="125"/>
        <v>0</v>
      </c>
      <c r="O405" s="60">
        <f t="shared" si="126"/>
        <v>0</v>
      </c>
    </row>
    <row r="406" spans="1:15" s="38" customFormat="1" ht="14.45" customHeight="1" outlineLevel="1" x14ac:dyDescent="0.25">
      <c r="A406" s="140" t="s">
        <v>471</v>
      </c>
      <c r="B406" s="141" t="s">
        <v>472</v>
      </c>
      <c r="C406" s="130">
        <f>SUM(N406:N412)</f>
        <v>0</v>
      </c>
      <c r="D406" s="130">
        <f>SUM(O406:O412)</f>
        <v>0</v>
      </c>
      <c r="E406" s="130">
        <f t="shared" si="122"/>
        <v>0</v>
      </c>
      <c r="F406" s="130"/>
      <c r="G406" s="60" t="s">
        <v>125</v>
      </c>
      <c r="H406" s="123"/>
      <c r="I406" s="123"/>
      <c r="J406" s="60"/>
      <c r="K406" s="60"/>
      <c r="L406" s="60"/>
      <c r="M406" s="60"/>
      <c r="N406" s="60">
        <f>M406*J406*K406*L406</f>
        <v>0</v>
      </c>
      <c r="O406" s="60">
        <f>J406*K406*L406</f>
        <v>0</v>
      </c>
    </row>
    <row r="407" spans="1:15" s="38" customFormat="1" ht="11.45" customHeight="1" outlineLevel="1" x14ac:dyDescent="0.25">
      <c r="A407" s="124"/>
      <c r="B407" s="142"/>
      <c r="C407" s="115"/>
      <c r="D407" s="115"/>
      <c r="E407" s="115"/>
      <c r="F407" s="115"/>
      <c r="G407" s="60" t="s">
        <v>126</v>
      </c>
      <c r="H407" s="124"/>
      <c r="I407" s="124"/>
      <c r="J407" s="60"/>
      <c r="K407" s="60"/>
      <c r="L407" s="60"/>
      <c r="M407" s="60"/>
      <c r="N407" s="60">
        <f t="shared" ref="N407:N412" si="127">M407*J407*K407*L407</f>
        <v>0</v>
      </c>
      <c r="O407" s="60">
        <f t="shared" ref="O407:O412" si="128">J407*K407*L407</f>
        <v>0</v>
      </c>
    </row>
    <row r="408" spans="1:15" s="38" customFormat="1" ht="10.7" customHeight="1" outlineLevel="1" x14ac:dyDescent="0.25">
      <c r="A408" s="124"/>
      <c r="B408" s="142"/>
      <c r="C408" s="115"/>
      <c r="D408" s="115"/>
      <c r="E408" s="115"/>
      <c r="F408" s="115"/>
      <c r="G408" s="60" t="s">
        <v>127</v>
      </c>
      <c r="H408" s="124"/>
      <c r="I408" s="124"/>
      <c r="J408" s="60"/>
      <c r="K408" s="60"/>
      <c r="L408" s="60"/>
      <c r="M408" s="60"/>
      <c r="N408" s="60">
        <f t="shared" si="127"/>
        <v>0</v>
      </c>
      <c r="O408" s="60">
        <f t="shared" si="128"/>
        <v>0</v>
      </c>
    </row>
    <row r="409" spans="1:15" s="38" customFormat="1" ht="10.7" customHeight="1" outlineLevel="1" x14ac:dyDescent="0.25">
      <c r="A409" s="124"/>
      <c r="B409" s="142"/>
      <c r="C409" s="115"/>
      <c r="D409" s="115"/>
      <c r="E409" s="115"/>
      <c r="F409" s="115"/>
      <c r="G409" s="60" t="s">
        <v>128</v>
      </c>
      <c r="H409" s="124"/>
      <c r="I409" s="124"/>
      <c r="J409" s="60"/>
      <c r="K409" s="60"/>
      <c r="L409" s="60"/>
      <c r="M409" s="60"/>
      <c r="N409" s="60">
        <f t="shared" si="127"/>
        <v>0</v>
      </c>
      <c r="O409" s="60">
        <f t="shared" si="128"/>
        <v>0</v>
      </c>
    </row>
    <row r="410" spans="1:15" s="38" customFormat="1" ht="10.7" customHeight="1" outlineLevel="1" x14ac:dyDescent="0.25">
      <c r="A410" s="124"/>
      <c r="B410" s="142"/>
      <c r="C410" s="115"/>
      <c r="D410" s="115"/>
      <c r="E410" s="115"/>
      <c r="F410" s="115"/>
      <c r="G410" s="60" t="s">
        <v>129</v>
      </c>
      <c r="H410" s="124"/>
      <c r="I410" s="124"/>
      <c r="J410" s="60"/>
      <c r="K410" s="60"/>
      <c r="L410" s="60"/>
      <c r="M410" s="60"/>
      <c r="N410" s="60">
        <f t="shared" si="127"/>
        <v>0</v>
      </c>
      <c r="O410" s="60">
        <f t="shared" si="128"/>
        <v>0</v>
      </c>
    </row>
    <row r="411" spans="1:15" s="38" customFormat="1" ht="10.7" customHeight="1" outlineLevel="1" x14ac:dyDescent="0.25">
      <c r="A411" s="124"/>
      <c r="B411" s="142"/>
      <c r="C411" s="115"/>
      <c r="D411" s="115"/>
      <c r="E411" s="115"/>
      <c r="F411" s="115"/>
      <c r="G411" s="60" t="s">
        <v>130</v>
      </c>
      <c r="H411" s="124"/>
      <c r="I411" s="124"/>
      <c r="J411" s="60"/>
      <c r="K411" s="60"/>
      <c r="L411" s="60"/>
      <c r="M411" s="60"/>
      <c r="N411" s="60">
        <f t="shared" si="127"/>
        <v>0</v>
      </c>
      <c r="O411" s="60">
        <f t="shared" si="128"/>
        <v>0</v>
      </c>
    </row>
    <row r="412" spans="1:15" s="38" customFormat="1" ht="12" customHeight="1" outlineLevel="1" thickBot="1" x14ac:dyDescent="0.3">
      <c r="A412" s="125"/>
      <c r="B412" s="143"/>
      <c r="C412" s="131"/>
      <c r="D412" s="131"/>
      <c r="E412" s="131"/>
      <c r="F412" s="131"/>
      <c r="G412" s="60" t="s">
        <v>131</v>
      </c>
      <c r="H412" s="134"/>
      <c r="I412" s="134"/>
      <c r="J412" s="60"/>
      <c r="K412" s="60"/>
      <c r="L412" s="60"/>
      <c r="M412" s="60"/>
      <c r="N412" s="60">
        <f t="shared" si="127"/>
        <v>0</v>
      </c>
      <c r="O412" s="60">
        <f t="shared" si="128"/>
        <v>0</v>
      </c>
    </row>
    <row r="413" spans="1:15" s="38" customFormat="1" ht="14.45" customHeight="1" outlineLevel="1" x14ac:dyDescent="0.25">
      <c r="A413" s="140" t="s">
        <v>473</v>
      </c>
      <c r="B413" s="141" t="s">
        <v>326</v>
      </c>
      <c r="C413" s="130">
        <f>SUM(N413:N419)</f>
        <v>0</v>
      </c>
      <c r="D413" s="130">
        <f>SUM(O413:O419)</f>
        <v>0</v>
      </c>
      <c r="E413" s="130">
        <f t="shared" si="122"/>
        <v>0</v>
      </c>
      <c r="F413" s="130"/>
      <c r="G413" s="60" t="s">
        <v>125</v>
      </c>
      <c r="H413" s="123"/>
      <c r="I413" s="123"/>
      <c r="J413" s="60"/>
      <c r="K413" s="60"/>
      <c r="L413" s="60"/>
      <c r="M413" s="60"/>
      <c r="N413" s="60">
        <f>M413*J413*K413*L413</f>
        <v>0</v>
      </c>
      <c r="O413" s="60">
        <f>J413*K413*L413</f>
        <v>0</v>
      </c>
    </row>
    <row r="414" spans="1:15" s="38" customFormat="1" ht="11.45" customHeight="1" outlineLevel="1" x14ac:dyDescent="0.25">
      <c r="A414" s="124"/>
      <c r="B414" s="142"/>
      <c r="C414" s="115"/>
      <c r="D414" s="115"/>
      <c r="E414" s="115"/>
      <c r="F414" s="115"/>
      <c r="G414" s="60" t="s">
        <v>126</v>
      </c>
      <c r="H414" s="124"/>
      <c r="I414" s="124"/>
      <c r="J414" s="60"/>
      <c r="K414" s="60"/>
      <c r="L414" s="60"/>
      <c r="M414" s="60"/>
      <c r="N414" s="60">
        <f t="shared" ref="N414:N419" si="129">M414*J414*K414*L414</f>
        <v>0</v>
      </c>
      <c r="O414" s="60">
        <f t="shared" ref="O414:O419" si="130">J414*K414*L414</f>
        <v>0</v>
      </c>
    </row>
    <row r="415" spans="1:15" s="38" customFormat="1" ht="10.7" customHeight="1" outlineLevel="1" x14ac:dyDescent="0.25">
      <c r="A415" s="124"/>
      <c r="B415" s="142"/>
      <c r="C415" s="115"/>
      <c r="D415" s="115"/>
      <c r="E415" s="115"/>
      <c r="F415" s="115"/>
      <c r="G415" s="60" t="s">
        <v>127</v>
      </c>
      <c r="H415" s="124"/>
      <c r="I415" s="124"/>
      <c r="J415" s="60"/>
      <c r="K415" s="60"/>
      <c r="L415" s="60"/>
      <c r="M415" s="60"/>
      <c r="N415" s="60">
        <f t="shared" si="129"/>
        <v>0</v>
      </c>
      <c r="O415" s="60">
        <f t="shared" si="130"/>
        <v>0</v>
      </c>
    </row>
    <row r="416" spans="1:15" s="38" customFormat="1" ht="10.7" customHeight="1" outlineLevel="1" x14ac:dyDescent="0.25">
      <c r="A416" s="124"/>
      <c r="B416" s="142"/>
      <c r="C416" s="115"/>
      <c r="D416" s="115"/>
      <c r="E416" s="115"/>
      <c r="F416" s="115"/>
      <c r="G416" s="60" t="s">
        <v>128</v>
      </c>
      <c r="H416" s="124"/>
      <c r="I416" s="124"/>
      <c r="J416" s="60"/>
      <c r="K416" s="60"/>
      <c r="L416" s="60"/>
      <c r="M416" s="60"/>
      <c r="N416" s="60">
        <f t="shared" si="129"/>
        <v>0</v>
      </c>
      <c r="O416" s="60">
        <f t="shared" si="130"/>
        <v>0</v>
      </c>
    </row>
    <row r="417" spans="1:15" s="38" customFormat="1" ht="10.7" customHeight="1" outlineLevel="1" x14ac:dyDescent="0.25">
      <c r="A417" s="124"/>
      <c r="B417" s="142"/>
      <c r="C417" s="115"/>
      <c r="D417" s="115"/>
      <c r="E417" s="115"/>
      <c r="F417" s="115"/>
      <c r="G417" s="60" t="s">
        <v>129</v>
      </c>
      <c r="H417" s="124"/>
      <c r="I417" s="124"/>
      <c r="J417" s="60"/>
      <c r="K417" s="60"/>
      <c r="L417" s="60"/>
      <c r="M417" s="60"/>
      <c r="N417" s="60">
        <f t="shared" si="129"/>
        <v>0</v>
      </c>
      <c r="O417" s="60">
        <f t="shared" si="130"/>
        <v>0</v>
      </c>
    </row>
    <row r="418" spans="1:15" s="38" customFormat="1" ht="10.7" customHeight="1" outlineLevel="1" x14ac:dyDescent="0.25">
      <c r="A418" s="124"/>
      <c r="B418" s="142"/>
      <c r="C418" s="115"/>
      <c r="D418" s="115"/>
      <c r="E418" s="115"/>
      <c r="F418" s="115"/>
      <c r="G418" s="60" t="s">
        <v>130</v>
      </c>
      <c r="H418" s="124"/>
      <c r="I418" s="124"/>
      <c r="J418" s="60"/>
      <c r="K418" s="60"/>
      <c r="L418" s="60"/>
      <c r="M418" s="60"/>
      <c r="N418" s="60">
        <f t="shared" si="129"/>
        <v>0</v>
      </c>
      <c r="O418" s="60">
        <f t="shared" si="130"/>
        <v>0</v>
      </c>
    </row>
    <row r="419" spans="1:15" s="38" customFormat="1" ht="12" customHeight="1" outlineLevel="1" thickBot="1" x14ac:dyDescent="0.3">
      <c r="A419" s="125"/>
      <c r="B419" s="143"/>
      <c r="C419" s="131"/>
      <c r="D419" s="131"/>
      <c r="E419" s="131"/>
      <c r="F419" s="131"/>
      <c r="G419" s="60" t="s">
        <v>131</v>
      </c>
      <c r="H419" s="134"/>
      <c r="I419" s="134"/>
      <c r="J419" s="60"/>
      <c r="K419" s="60"/>
      <c r="L419" s="60"/>
      <c r="M419" s="60"/>
      <c r="N419" s="60">
        <f t="shared" si="129"/>
        <v>0</v>
      </c>
      <c r="O419" s="60">
        <f t="shared" si="130"/>
        <v>0</v>
      </c>
    </row>
    <row r="420" spans="1:15" s="38" customFormat="1" ht="14.45" customHeight="1" outlineLevel="1" x14ac:dyDescent="0.25">
      <c r="A420" s="140" t="s">
        <v>474</v>
      </c>
      <c r="B420" s="141" t="s">
        <v>475</v>
      </c>
      <c r="C420" s="130">
        <f>SUM(N420:N426)</f>
        <v>0</v>
      </c>
      <c r="D420" s="130">
        <f>SUM(O420:O426)</f>
        <v>0</v>
      </c>
      <c r="E420" s="130">
        <f t="shared" si="122"/>
        <v>0</v>
      </c>
      <c r="F420" s="130"/>
      <c r="G420" s="60" t="s">
        <v>125</v>
      </c>
      <c r="H420" s="123"/>
      <c r="I420" s="123"/>
      <c r="J420" s="60"/>
      <c r="K420" s="60"/>
      <c r="L420" s="60"/>
      <c r="M420" s="60"/>
      <c r="N420" s="60">
        <f>M420*J420*K420*L420</f>
        <v>0</v>
      </c>
      <c r="O420" s="60">
        <f>J420*K420*L420</f>
        <v>0</v>
      </c>
    </row>
    <row r="421" spans="1:15" s="38" customFormat="1" ht="11.45" customHeight="1" outlineLevel="1" x14ac:dyDescent="0.25">
      <c r="A421" s="124"/>
      <c r="B421" s="142"/>
      <c r="C421" s="115"/>
      <c r="D421" s="115"/>
      <c r="E421" s="115"/>
      <c r="F421" s="115"/>
      <c r="G421" s="60" t="s">
        <v>126</v>
      </c>
      <c r="H421" s="124"/>
      <c r="I421" s="124"/>
      <c r="J421" s="60"/>
      <c r="K421" s="60"/>
      <c r="L421" s="60"/>
      <c r="M421" s="60"/>
      <c r="N421" s="60">
        <f t="shared" ref="N421:N426" si="131">M421*J421*K421*L421</f>
        <v>0</v>
      </c>
      <c r="O421" s="60">
        <f t="shared" ref="O421:O426" si="132">J421*K421*L421</f>
        <v>0</v>
      </c>
    </row>
    <row r="422" spans="1:15" s="38" customFormat="1" ht="10.7" customHeight="1" outlineLevel="1" x14ac:dyDescent="0.25">
      <c r="A422" s="124"/>
      <c r="B422" s="142"/>
      <c r="C422" s="115"/>
      <c r="D422" s="115"/>
      <c r="E422" s="115"/>
      <c r="F422" s="115"/>
      <c r="G422" s="60" t="s">
        <v>127</v>
      </c>
      <c r="H422" s="124"/>
      <c r="I422" s="124"/>
      <c r="J422" s="60"/>
      <c r="K422" s="60"/>
      <c r="L422" s="60"/>
      <c r="M422" s="60"/>
      <c r="N422" s="60">
        <f t="shared" si="131"/>
        <v>0</v>
      </c>
      <c r="O422" s="60">
        <f t="shared" si="132"/>
        <v>0</v>
      </c>
    </row>
    <row r="423" spans="1:15" s="38" customFormat="1" ht="10.7" customHeight="1" outlineLevel="1" x14ac:dyDescent="0.25">
      <c r="A423" s="124"/>
      <c r="B423" s="142"/>
      <c r="C423" s="115"/>
      <c r="D423" s="115"/>
      <c r="E423" s="115"/>
      <c r="F423" s="115"/>
      <c r="G423" s="60" t="s">
        <v>128</v>
      </c>
      <c r="H423" s="124"/>
      <c r="I423" s="124"/>
      <c r="J423" s="60"/>
      <c r="K423" s="60"/>
      <c r="L423" s="60"/>
      <c r="M423" s="60"/>
      <c r="N423" s="60">
        <f t="shared" si="131"/>
        <v>0</v>
      </c>
      <c r="O423" s="60">
        <f t="shared" si="132"/>
        <v>0</v>
      </c>
    </row>
    <row r="424" spans="1:15" s="38" customFormat="1" ht="10.7" customHeight="1" outlineLevel="1" x14ac:dyDescent="0.25">
      <c r="A424" s="124"/>
      <c r="B424" s="142"/>
      <c r="C424" s="115"/>
      <c r="D424" s="115"/>
      <c r="E424" s="115"/>
      <c r="F424" s="115"/>
      <c r="G424" s="60" t="s">
        <v>129</v>
      </c>
      <c r="H424" s="124"/>
      <c r="I424" s="124"/>
      <c r="J424" s="60"/>
      <c r="K424" s="60"/>
      <c r="L424" s="60"/>
      <c r="M424" s="60"/>
      <c r="N424" s="60">
        <f t="shared" si="131"/>
        <v>0</v>
      </c>
      <c r="O424" s="60">
        <f t="shared" si="132"/>
        <v>0</v>
      </c>
    </row>
    <row r="425" spans="1:15" s="38" customFormat="1" ht="10.7" customHeight="1" outlineLevel="1" x14ac:dyDescent="0.25">
      <c r="A425" s="124"/>
      <c r="B425" s="142"/>
      <c r="C425" s="115"/>
      <c r="D425" s="115"/>
      <c r="E425" s="115"/>
      <c r="F425" s="115"/>
      <c r="G425" s="60" t="s">
        <v>130</v>
      </c>
      <c r="H425" s="124"/>
      <c r="I425" s="124"/>
      <c r="J425" s="60"/>
      <c r="K425" s="60"/>
      <c r="L425" s="60"/>
      <c r="M425" s="60"/>
      <c r="N425" s="60">
        <f t="shared" si="131"/>
        <v>0</v>
      </c>
      <c r="O425" s="60">
        <f t="shared" si="132"/>
        <v>0</v>
      </c>
    </row>
    <row r="426" spans="1:15" s="38" customFormat="1" ht="12" customHeight="1" outlineLevel="1" thickBot="1" x14ac:dyDescent="0.3">
      <c r="A426" s="125"/>
      <c r="B426" s="143"/>
      <c r="C426" s="131"/>
      <c r="D426" s="131"/>
      <c r="E426" s="131"/>
      <c r="F426" s="131"/>
      <c r="G426" s="60" t="s">
        <v>131</v>
      </c>
      <c r="H426" s="134"/>
      <c r="I426" s="134"/>
      <c r="J426" s="60"/>
      <c r="K426" s="60"/>
      <c r="L426" s="60"/>
      <c r="M426" s="60"/>
      <c r="N426" s="60">
        <f t="shared" si="131"/>
        <v>0</v>
      </c>
      <c r="O426" s="60">
        <f t="shared" si="132"/>
        <v>0</v>
      </c>
    </row>
    <row r="427" spans="1:15" s="38" customFormat="1" ht="14.45" customHeight="1" outlineLevel="1" x14ac:dyDescent="0.25">
      <c r="A427" s="140" t="s">
        <v>476</v>
      </c>
      <c r="B427" s="141" t="s">
        <v>477</v>
      </c>
      <c r="C427" s="130">
        <f>SUM(N427:N433)</f>
        <v>0</v>
      </c>
      <c r="D427" s="130">
        <f>SUM(O427:O433)</f>
        <v>0</v>
      </c>
      <c r="E427" s="130">
        <f t="shared" si="122"/>
        <v>0</v>
      </c>
      <c r="F427" s="130"/>
      <c r="G427" s="60" t="s">
        <v>125</v>
      </c>
      <c r="H427" s="123"/>
      <c r="I427" s="123"/>
      <c r="J427" s="60"/>
      <c r="K427" s="60"/>
      <c r="L427" s="60"/>
      <c r="M427" s="60"/>
      <c r="N427" s="60">
        <f>M427*J427*K427*L427</f>
        <v>0</v>
      </c>
      <c r="O427" s="60">
        <f>J427*K427*L427</f>
        <v>0</v>
      </c>
    </row>
    <row r="428" spans="1:15" s="38" customFormat="1" ht="11.45" customHeight="1" outlineLevel="1" x14ac:dyDescent="0.25">
      <c r="A428" s="124"/>
      <c r="B428" s="142"/>
      <c r="C428" s="115"/>
      <c r="D428" s="115"/>
      <c r="E428" s="115"/>
      <c r="F428" s="115"/>
      <c r="G428" s="60" t="s">
        <v>126</v>
      </c>
      <c r="H428" s="124"/>
      <c r="I428" s="124"/>
      <c r="J428" s="60"/>
      <c r="K428" s="60"/>
      <c r="L428" s="60"/>
      <c r="M428" s="60"/>
      <c r="N428" s="60">
        <f t="shared" ref="N428:N433" si="133">M428*J428*K428*L428</f>
        <v>0</v>
      </c>
      <c r="O428" s="60">
        <f t="shared" ref="O428:O433" si="134">J428*K428*L428</f>
        <v>0</v>
      </c>
    </row>
    <row r="429" spans="1:15" s="38" customFormat="1" ht="10.7" customHeight="1" outlineLevel="1" x14ac:dyDescent="0.25">
      <c r="A429" s="124"/>
      <c r="B429" s="142"/>
      <c r="C429" s="115"/>
      <c r="D429" s="115"/>
      <c r="E429" s="115"/>
      <c r="F429" s="115"/>
      <c r="G429" s="60" t="s">
        <v>127</v>
      </c>
      <c r="H429" s="124"/>
      <c r="I429" s="124"/>
      <c r="J429" s="60"/>
      <c r="K429" s="60"/>
      <c r="L429" s="60"/>
      <c r="M429" s="60"/>
      <c r="N429" s="60">
        <f t="shared" si="133"/>
        <v>0</v>
      </c>
      <c r="O429" s="60">
        <f t="shared" si="134"/>
        <v>0</v>
      </c>
    </row>
    <row r="430" spans="1:15" s="38" customFormat="1" ht="10.7" customHeight="1" outlineLevel="1" x14ac:dyDescent="0.25">
      <c r="A430" s="124"/>
      <c r="B430" s="142"/>
      <c r="C430" s="115"/>
      <c r="D430" s="115"/>
      <c r="E430" s="115"/>
      <c r="F430" s="115"/>
      <c r="G430" s="60" t="s">
        <v>128</v>
      </c>
      <c r="H430" s="124"/>
      <c r="I430" s="124"/>
      <c r="J430" s="60"/>
      <c r="K430" s="60"/>
      <c r="L430" s="60"/>
      <c r="M430" s="60"/>
      <c r="N430" s="60">
        <f t="shared" si="133"/>
        <v>0</v>
      </c>
      <c r="O430" s="60">
        <f t="shared" si="134"/>
        <v>0</v>
      </c>
    </row>
    <row r="431" spans="1:15" s="38" customFormat="1" ht="10.7" customHeight="1" outlineLevel="1" x14ac:dyDescent="0.25">
      <c r="A431" s="124"/>
      <c r="B431" s="142"/>
      <c r="C431" s="115"/>
      <c r="D431" s="115"/>
      <c r="E431" s="115"/>
      <c r="F431" s="115"/>
      <c r="G431" s="60" t="s">
        <v>129</v>
      </c>
      <c r="H431" s="124"/>
      <c r="I431" s="124"/>
      <c r="J431" s="60"/>
      <c r="K431" s="60"/>
      <c r="L431" s="60"/>
      <c r="M431" s="60"/>
      <c r="N431" s="60">
        <f t="shared" si="133"/>
        <v>0</v>
      </c>
      <c r="O431" s="60">
        <f t="shared" si="134"/>
        <v>0</v>
      </c>
    </row>
    <row r="432" spans="1:15" s="38" customFormat="1" ht="10.7" customHeight="1" outlineLevel="1" x14ac:dyDescent="0.25">
      <c r="A432" s="124"/>
      <c r="B432" s="142"/>
      <c r="C432" s="115"/>
      <c r="D432" s="115"/>
      <c r="E432" s="115"/>
      <c r="F432" s="115"/>
      <c r="G432" s="60" t="s">
        <v>130</v>
      </c>
      <c r="H432" s="124"/>
      <c r="I432" s="124"/>
      <c r="J432" s="60"/>
      <c r="K432" s="60"/>
      <c r="L432" s="60"/>
      <c r="M432" s="60"/>
      <c r="N432" s="60">
        <f t="shared" si="133"/>
        <v>0</v>
      </c>
      <c r="O432" s="60">
        <f t="shared" si="134"/>
        <v>0</v>
      </c>
    </row>
    <row r="433" spans="1:15" s="38" customFormat="1" ht="12" customHeight="1" outlineLevel="1" thickBot="1" x14ac:dyDescent="0.3">
      <c r="A433" s="125"/>
      <c r="B433" s="143"/>
      <c r="C433" s="131"/>
      <c r="D433" s="131"/>
      <c r="E433" s="131"/>
      <c r="F433" s="131"/>
      <c r="G433" s="60" t="s">
        <v>131</v>
      </c>
      <c r="H433" s="134"/>
      <c r="I433" s="134"/>
      <c r="J433" s="60"/>
      <c r="K433" s="60"/>
      <c r="L433" s="60"/>
      <c r="M433" s="60"/>
      <c r="N433" s="60">
        <f t="shared" si="133"/>
        <v>0</v>
      </c>
      <c r="O433" s="60">
        <f t="shared" si="134"/>
        <v>0</v>
      </c>
    </row>
    <row r="434" spans="1:15" s="38" customFormat="1" ht="14.45" customHeight="1" outlineLevel="1" x14ac:dyDescent="0.25">
      <c r="A434" s="140" t="s">
        <v>478</v>
      </c>
      <c r="B434" s="141" t="s">
        <v>479</v>
      </c>
      <c r="C434" s="130">
        <f>SUM(N434:N440)</f>
        <v>0</v>
      </c>
      <c r="D434" s="130">
        <f>SUM(O434:O440)</f>
        <v>0</v>
      </c>
      <c r="E434" s="130">
        <f t="shared" si="122"/>
        <v>0</v>
      </c>
      <c r="F434" s="130"/>
      <c r="G434" s="60" t="s">
        <v>125</v>
      </c>
      <c r="H434" s="123"/>
      <c r="I434" s="123"/>
      <c r="J434" s="60"/>
      <c r="K434" s="60"/>
      <c r="L434" s="60"/>
      <c r="M434" s="60"/>
      <c r="N434" s="60">
        <f>M434*J434*K434*L434</f>
        <v>0</v>
      </c>
      <c r="O434" s="60">
        <f>J434*K434*L434</f>
        <v>0</v>
      </c>
    </row>
    <row r="435" spans="1:15" s="38" customFormat="1" ht="11.45" customHeight="1" outlineLevel="1" x14ac:dyDescent="0.25">
      <c r="A435" s="124"/>
      <c r="B435" s="142"/>
      <c r="C435" s="115"/>
      <c r="D435" s="115"/>
      <c r="E435" s="115"/>
      <c r="F435" s="115"/>
      <c r="G435" s="60" t="s">
        <v>126</v>
      </c>
      <c r="H435" s="124"/>
      <c r="I435" s="124"/>
      <c r="J435" s="60"/>
      <c r="K435" s="60"/>
      <c r="L435" s="60"/>
      <c r="M435" s="60"/>
      <c r="N435" s="60">
        <f t="shared" ref="N435:N440" si="135">M435*J435*K435*L435</f>
        <v>0</v>
      </c>
      <c r="O435" s="60">
        <f t="shared" ref="O435:O440" si="136">J435*K435*L435</f>
        <v>0</v>
      </c>
    </row>
    <row r="436" spans="1:15" s="38" customFormat="1" ht="10.7" customHeight="1" outlineLevel="1" x14ac:dyDescent="0.25">
      <c r="A436" s="124"/>
      <c r="B436" s="142"/>
      <c r="C436" s="115"/>
      <c r="D436" s="115"/>
      <c r="E436" s="115"/>
      <c r="F436" s="115"/>
      <c r="G436" s="60" t="s">
        <v>127</v>
      </c>
      <c r="H436" s="124"/>
      <c r="I436" s="124"/>
      <c r="J436" s="60"/>
      <c r="K436" s="60"/>
      <c r="L436" s="60"/>
      <c r="M436" s="60"/>
      <c r="N436" s="60">
        <f t="shared" si="135"/>
        <v>0</v>
      </c>
      <c r="O436" s="60">
        <f t="shared" si="136"/>
        <v>0</v>
      </c>
    </row>
    <row r="437" spans="1:15" s="38" customFormat="1" ht="10.7" customHeight="1" outlineLevel="1" x14ac:dyDescent="0.25">
      <c r="A437" s="124"/>
      <c r="B437" s="142"/>
      <c r="C437" s="115"/>
      <c r="D437" s="115"/>
      <c r="E437" s="115"/>
      <c r="F437" s="115"/>
      <c r="G437" s="60" t="s">
        <v>128</v>
      </c>
      <c r="H437" s="124"/>
      <c r="I437" s="124"/>
      <c r="J437" s="60"/>
      <c r="K437" s="60"/>
      <c r="L437" s="60"/>
      <c r="M437" s="60"/>
      <c r="N437" s="60">
        <f t="shared" si="135"/>
        <v>0</v>
      </c>
      <c r="O437" s="60">
        <f t="shared" si="136"/>
        <v>0</v>
      </c>
    </row>
    <row r="438" spans="1:15" s="38" customFormat="1" ht="10.7" customHeight="1" outlineLevel="1" x14ac:dyDescent="0.25">
      <c r="A438" s="124"/>
      <c r="B438" s="142"/>
      <c r="C438" s="115"/>
      <c r="D438" s="115"/>
      <c r="E438" s="115"/>
      <c r="F438" s="115"/>
      <c r="G438" s="60" t="s">
        <v>129</v>
      </c>
      <c r="H438" s="124"/>
      <c r="I438" s="124"/>
      <c r="J438" s="60"/>
      <c r="K438" s="60"/>
      <c r="L438" s="60"/>
      <c r="M438" s="60"/>
      <c r="N438" s="60">
        <f t="shared" si="135"/>
        <v>0</v>
      </c>
      <c r="O438" s="60">
        <f t="shared" si="136"/>
        <v>0</v>
      </c>
    </row>
    <row r="439" spans="1:15" s="38" customFormat="1" ht="10.7" customHeight="1" outlineLevel="1" x14ac:dyDescent="0.25">
      <c r="A439" s="124"/>
      <c r="B439" s="142"/>
      <c r="C439" s="115"/>
      <c r="D439" s="115"/>
      <c r="E439" s="115"/>
      <c r="F439" s="115"/>
      <c r="G439" s="60" t="s">
        <v>130</v>
      </c>
      <c r="H439" s="124"/>
      <c r="I439" s="124"/>
      <c r="J439" s="60"/>
      <c r="K439" s="60"/>
      <c r="L439" s="60"/>
      <c r="M439" s="60"/>
      <c r="N439" s="60">
        <f t="shared" si="135"/>
        <v>0</v>
      </c>
      <c r="O439" s="60">
        <f t="shared" si="136"/>
        <v>0</v>
      </c>
    </row>
    <row r="440" spans="1:15" s="38" customFormat="1" ht="12" customHeight="1" outlineLevel="1" thickBot="1" x14ac:dyDescent="0.3">
      <c r="A440" s="125"/>
      <c r="B440" s="143"/>
      <c r="C440" s="131"/>
      <c r="D440" s="131"/>
      <c r="E440" s="131"/>
      <c r="F440" s="131"/>
      <c r="G440" s="60" t="s">
        <v>131</v>
      </c>
      <c r="H440" s="134"/>
      <c r="I440" s="134"/>
      <c r="J440" s="60"/>
      <c r="K440" s="60"/>
      <c r="L440" s="60"/>
      <c r="M440" s="60"/>
      <c r="N440" s="60">
        <f t="shared" si="135"/>
        <v>0</v>
      </c>
      <c r="O440" s="60">
        <f t="shared" si="136"/>
        <v>0</v>
      </c>
    </row>
    <row r="441" spans="1:15" s="38" customFormat="1" ht="14.45" customHeight="1" outlineLevel="1" x14ac:dyDescent="0.25">
      <c r="A441" s="140" t="s">
        <v>480</v>
      </c>
      <c r="B441" s="141" t="s">
        <v>481</v>
      </c>
      <c r="C441" s="130">
        <f>SUM(N441:N447)</f>
        <v>0</v>
      </c>
      <c r="D441" s="130">
        <f>SUM(O441:O447)</f>
        <v>0</v>
      </c>
      <c r="E441" s="130">
        <f t="shared" si="122"/>
        <v>0</v>
      </c>
      <c r="F441" s="130"/>
      <c r="G441" s="60" t="s">
        <v>125</v>
      </c>
      <c r="H441" s="123"/>
      <c r="I441" s="123"/>
      <c r="J441" s="60"/>
      <c r="K441" s="60"/>
      <c r="L441" s="60"/>
      <c r="M441" s="60"/>
      <c r="N441" s="60">
        <f>M441*J441*K441*L441</f>
        <v>0</v>
      </c>
      <c r="O441" s="60">
        <f>J441*K441*L441</f>
        <v>0</v>
      </c>
    </row>
    <row r="442" spans="1:15" s="38" customFormat="1" ht="11.45" customHeight="1" outlineLevel="1" x14ac:dyDescent="0.25">
      <c r="A442" s="124"/>
      <c r="B442" s="142"/>
      <c r="C442" s="115"/>
      <c r="D442" s="115"/>
      <c r="E442" s="115"/>
      <c r="F442" s="115"/>
      <c r="G442" s="60" t="s">
        <v>126</v>
      </c>
      <c r="H442" s="124"/>
      <c r="I442" s="124"/>
      <c r="J442" s="60"/>
      <c r="K442" s="60"/>
      <c r="L442" s="60"/>
      <c r="M442" s="60"/>
      <c r="N442" s="60">
        <f t="shared" ref="N442:N447" si="137">M442*J442*K442*L442</f>
        <v>0</v>
      </c>
      <c r="O442" s="60">
        <f t="shared" ref="O442:O447" si="138">J442*K442*L442</f>
        <v>0</v>
      </c>
    </row>
    <row r="443" spans="1:15" s="38" customFormat="1" ht="10.7" customHeight="1" outlineLevel="1" x14ac:dyDescent="0.25">
      <c r="A443" s="124"/>
      <c r="B443" s="142"/>
      <c r="C443" s="115"/>
      <c r="D443" s="115"/>
      <c r="E443" s="115"/>
      <c r="F443" s="115"/>
      <c r="G443" s="60" t="s">
        <v>127</v>
      </c>
      <c r="H443" s="124"/>
      <c r="I443" s="124"/>
      <c r="J443" s="60"/>
      <c r="K443" s="60"/>
      <c r="L443" s="60"/>
      <c r="M443" s="60"/>
      <c r="N443" s="60">
        <f t="shared" si="137"/>
        <v>0</v>
      </c>
      <c r="O443" s="60">
        <f t="shared" si="138"/>
        <v>0</v>
      </c>
    </row>
    <row r="444" spans="1:15" s="38" customFormat="1" ht="10.7" customHeight="1" outlineLevel="1" x14ac:dyDescent="0.25">
      <c r="A444" s="124"/>
      <c r="B444" s="142"/>
      <c r="C444" s="115"/>
      <c r="D444" s="115"/>
      <c r="E444" s="115"/>
      <c r="F444" s="115"/>
      <c r="G444" s="60" t="s">
        <v>128</v>
      </c>
      <c r="H444" s="124"/>
      <c r="I444" s="124"/>
      <c r="J444" s="60"/>
      <c r="K444" s="60"/>
      <c r="L444" s="60"/>
      <c r="M444" s="60"/>
      <c r="N444" s="60">
        <f t="shared" si="137"/>
        <v>0</v>
      </c>
      <c r="O444" s="60">
        <f t="shared" si="138"/>
        <v>0</v>
      </c>
    </row>
    <row r="445" spans="1:15" s="38" customFormat="1" ht="10.7" customHeight="1" outlineLevel="1" x14ac:dyDescent="0.25">
      <c r="A445" s="124"/>
      <c r="B445" s="142"/>
      <c r="C445" s="115"/>
      <c r="D445" s="115"/>
      <c r="E445" s="115"/>
      <c r="F445" s="115"/>
      <c r="G445" s="60" t="s">
        <v>129</v>
      </c>
      <c r="H445" s="124"/>
      <c r="I445" s="124"/>
      <c r="J445" s="60"/>
      <c r="K445" s="60"/>
      <c r="L445" s="60"/>
      <c r="M445" s="60"/>
      <c r="N445" s="60">
        <f t="shared" si="137"/>
        <v>0</v>
      </c>
      <c r="O445" s="60">
        <f t="shared" si="138"/>
        <v>0</v>
      </c>
    </row>
    <row r="446" spans="1:15" s="38" customFormat="1" ht="10.7" customHeight="1" outlineLevel="1" x14ac:dyDescent="0.25">
      <c r="A446" s="124"/>
      <c r="B446" s="142"/>
      <c r="C446" s="115"/>
      <c r="D446" s="115"/>
      <c r="E446" s="115"/>
      <c r="F446" s="115"/>
      <c r="G446" s="60" t="s">
        <v>130</v>
      </c>
      <c r="H446" s="124"/>
      <c r="I446" s="124"/>
      <c r="J446" s="60"/>
      <c r="K446" s="60"/>
      <c r="L446" s="60"/>
      <c r="M446" s="60"/>
      <c r="N446" s="60">
        <f t="shared" si="137"/>
        <v>0</v>
      </c>
      <c r="O446" s="60">
        <f t="shared" si="138"/>
        <v>0</v>
      </c>
    </row>
    <row r="447" spans="1:15" s="38" customFormat="1" ht="12" customHeight="1" outlineLevel="1" thickBot="1" x14ac:dyDescent="0.3">
      <c r="A447" s="125"/>
      <c r="B447" s="143"/>
      <c r="C447" s="131"/>
      <c r="D447" s="131"/>
      <c r="E447" s="131"/>
      <c r="F447" s="131"/>
      <c r="G447" s="60" t="s">
        <v>131</v>
      </c>
      <c r="H447" s="134"/>
      <c r="I447" s="134"/>
      <c r="J447" s="60"/>
      <c r="K447" s="60"/>
      <c r="L447" s="60"/>
      <c r="M447" s="60"/>
      <c r="N447" s="60">
        <f t="shared" si="137"/>
        <v>0</v>
      </c>
      <c r="O447" s="60">
        <f t="shared" si="138"/>
        <v>0</v>
      </c>
    </row>
    <row r="448" spans="1:15" s="38" customFormat="1" ht="14.45" customHeight="1" outlineLevel="1" x14ac:dyDescent="0.25">
      <c r="A448" s="140" t="s">
        <v>482</v>
      </c>
      <c r="B448" s="141" t="s">
        <v>483</v>
      </c>
      <c r="C448" s="130">
        <f>SUM(N448:N454)</f>
        <v>0</v>
      </c>
      <c r="D448" s="130">
        <f>SUM(O448:O454)</f>
        <v>0</v>
      </c>
      <c r="E448" s="130">
        <f t="shared" ref="E448:E455" si="139">D448/8</f>
        <v>0</v>
      </c>
      <c r="F448" s="130"/>
      <c r="G448" s="60" t="s">
        <v>125</v>
      </c>
      <c r="H448" s="123"/>
      <c r="I448" s="123"/>
      <c r="J448" s="60"/>
      <c r="K448" s="60"/>
      <c r="L448" s="60"/>
      <c r="M448" s="60"/>
      <c r="N448" s="60">
        <f>M448*J448*K448*L448</f>
        <v>0</v>
      </c>
      <c r="O448" s="60">
        <f>J448*K448*L448</f>
        <v>0</v>
      </c>
    </row>
    <row r="449" spans="1:15" s="38" customFormat="1" ht="11.45" customHeight="1" outlineLevel="1" x14ac:dyDescent="0.25">
      <c r="A449" s="124"/>
      <c r="B449" s="142"/>
      <c r="C449" s="115"/>
      <c r="D449" s="115"/>
      <c r="E449" s="115"/>
      <c r="F449" s="115"/>
      <c r="G449" s="60" t="s">
        <v>126</v>
      </c>
      <c r="H449" s="124"/>
      <c r="I449" s="124"/>
      <c r="J449" s="60"/>
      <c r="K449" s="60"/>
      <c r="L449" s="60"/>
      <c r="M449" s="60"/>
      <c r="N449" s="60">
        <f t="shared" ref="N449:N454" si="140">M449*J449*K449*L449</f>
        <v>0</v>
      </c>
      <c r="O449" s="60">
        <f t="shared" ref="O449:O454" si="141">J449*K449*L449</f>
        <v>0</v>
      </c>
    </row>
    <row r="450" spans="1:15" s="38" customFormat="1" ht="10.7" customHeight="1" outlineLevel="1" x14ac:dyDescent="0.25">
      <c r="A450" s="124"/>
      <c r="B450" s="142"/>
      <c r="C450" s="115"/>
      <c r="D450" s="115"/>
      <c r="E450" s="115"/>
      <c r="F450" s="115"/>
      <c r="G450" s="60" t="s">
        <v>127</v>
      </c>
      <c r="H450" s="124"/>
      <c r="I450" s="124"/>
      <c r="J450" s="60"/>
      <c r="K450" s="60"/>
      <c r="L450" s="60"/>
      <c r="M450" s="60"/>
      <c r="N450" s="60">
        <f t="shared" si="140"/>
        <v>0</v>
      </c>
      <c r="O450" s="60">
        <f t="shared" si="141"/>
        <v>0</v>
      </c>
    </row>
    <row r="451" spans="1:15" s="38" customFormat="1" ht="10.7" customHeight="1" outlineLevel="1" x14ac:dyDescent="0.25">
      <c r="A451" s="124"/>
      <c r="B451" s="142"/>
      <c r="C451" s="115"/>
      <c r="D451" s="115"/>
      <c r="E451" s="115"/>
      <c r="F451" s="115"/>
      <c r="G451" s="60" t="s">
        <v>128</v>
      </c>
      <c r="H451" s="124"/>
      <c r="I451" s="124"/>
      <c r="J451" s="60"/>
      <c r="K451" s="60"/>
      <c r="L451" s="60"/>
      <c r="M451" s="60"/>
      <c r="N451" s="60">
        <f t="shared" si="140"/>
        <v>0</v>
      </c>
      <c r="O451" s="60">
        <f t="shared" si="141"/>
        <v>0</v>
      </c>
    </row>
    <row r="452" spans="1:15" s="38" customFormat="1" ht="10.7" customHeight="1" outlineLevel="1" x14ac:dyDescent="0.25">
      <c r="A452" s="124"/>
      <c r="B452" s="142"/>
      <c r="C452" s="115"/>
      <c r="D452" s="115"/>
      <c r="E452" s="115"/>
      <c r="F452" s="115"/>
      <c r="G452" s="60" t="s">
        <v>129</v>
      </c>
      <c r="H452" s="124"/>
      <c r="I452" s="124"/>
      <c r="J452" s="60"/>
      <c r="K452" s="60"/>
      <c r="L452" s="60"/>
      <c r="M452" s="60"/>
      <c r="N452" s="60">
        <f t="shared" si="140"/>
        <v>0</v>
      </c>
      <c r="O452" s="60">
        <f t="shared" si="141"/>
        <v>0</v>
      </c>
    </row>
    <row r="453" spans="1:15" s="38" customFormat="1" ht="10.7" customHeight="1" outlineLevel="1" x14ac:dyDescent="0.25">
      <c r="A453" s="124"/>
      <c r="B453" s="142"/>
      <c r="C453" s="115"/>
      <c r="D453" s="115"/>
      <c r="E453" s="115"/>
      <c r="F453" s="115"/>
      <c r="G453" s="60" t="s">
        <v>130</v>
      </c>
      <c r="H453" s="124"/>
      <c r="I453" s="124"/>
      <c r="J453" s="60"/>
      <c r="K453" s="60"/>
      <c r="L453" s="60"/>
      <c r="M453" s="60"/>
      <c r="N453" s="60">
        <f t="shared" si="140"/>
        <v>0</v>
      </c>
      <c r="O453" s="60">
        <f t="shared" si="141"/>
        <v>0</v>
      </c>
    </row>
    <row r="454" spans="1:15" s="38" customFormat="1" ht="12" customHeight="1" outlineLevel="1" thickBot="1" x14ac:dyDescent="0.3">
      <c r="A454" s="125"/>
      <c r="B454" s="143"/>
      <c r="C454" s="131"/>
      <c r="D454" s="131"/>
      <c r="E454" s="131"/>
      <c r="F454" s="131"/>
      <c r="G454" s="60" t="s">
        <v>131</v>
      </c>
      <c r="H454" s="134"/>
      <c r="I454" s="134"/>
      <c r="J454" s="60"/>
      <c r="K454" s="60"/>
      <c r="L454" s="60"/>
      <c r="M454" s="60"/>
      <c r="N454" s="60">
        <f t="shared" si="140"/>
        <v>0</v>
      </c>
      <c r="O454" s="60">
        <f t="shared" si="141"/>
        <v>0</v>
      </c>
    </row>
    <row r="455" spans="1:15" s="38" customFormat="1" ht="14.45" customHeight="1" outlineLevel="1" x14ac:dyDescent="0.25">
      <c r="A455" s="140" t="s">
        <v>484</v>
      </c>
      <c r="B455" s="141" t="s">
        <v>485</v>
      </c>
      <c r="C455" s="130">
        <f>SUM(N455:N461)</f>
        <v>0</v>
      </c>
      <c r="D455" s="130">
        <f>SUM(O455:O461)</f>
        <v>0</v>
      </c>
      <c r="E455" s="130">
        <f t="shared" si="139"/>
        <v>0</v>
      </c>
      <c r="F455" s="130"/>
      <c r="G455" s="60" t="s">
        <v>125</v>
      </c>
      <c r="H455" s="123"/>
      <c r="I455" s="123"/>
      <c r="J455" s="60"/>
      <c r="K455" s="60"/>
      <c r="L455" s="60"/>
      <c r="M455" s="60"/>
      <c r="N455" s="60">
        <f>M455*J455*K455*L455</f>
        <v>0</v>
      </c>
      <c r="O455" s="60">
        <f>J455*K455*L455</f>
        <v>0</v>
      </c>
    </row>
    <row r="456" spans="1:15" s="38" customFormat="1" ht="11.45" customHeight="1" outlineLevel="1" x14ac:dyDescent="0.25">
      <c r="A456" s="124"/>
      <c r="B456" s="142"/>
      <c r="C456" s="115"/>
      <c r="D456" s="115"/>
      <c r="E456" s="115"/>
      <c r="F456" s="115"/>
      <c r="G456" s="60" t="s">
        <v>126</v>
      </c>
      <c r="H456" s="124"/>
      <c r="I456" s="124"/>
      <c r="J456" s="60"/>
      <c r="K456" s="60"/>
      <c r="L456" s="60"/>
      <c r="M456" s="60"/>
      <c r="N456" s="60">
        <f t="shared" ref="N456:N461" si="142">M456*J456*K456*L456</f>
        <v>0</v>
      </c>
      <c r="O456" s="60">
        <f t="shared" ref="O456:O461" si="143">J456*K456*L456</f>
        <v>0</v>
      </c>
    </row>
    <row r="457" spans="1:15" s="38" customFormat="1" ht="10.7" customHeight="1" outlineLevel="1" x14ac:dyDescent="0.25">
      <c r="A457" s="124"/>
      <c r="B457" s="142"/>
      <c r="C457" s="115"/>
      <c r="D457" s="115"/>
      <c r="E457" s="115"/>
      <c r="F457" s="115"/>
      <c r="G457" s="60" t="s">
        <v>127</v>
      </c>
      <c r="H457" s="124"/>
      <c r="I457" s="124"/>
      <c r="J457" s="60"/>
      <c r="K457" s="60"/>
      <c r="L457" s="60"/>
      <c r="M457" s="60"/>
      <c r="N457" s="60">
        <f t="shared" si="142"/>
        <v>0</v>
      </c>
      <c r="O457" s="60">
        <f t="shared" si="143"/>
        <v>0</v>
      </c>
    </row>
    <row r="458" spans="1:15" s="38" customFormat="1" ht="10.7" customHeight="1" outlineLevel="1" x14ac:dyDescent="0.25">
      <c r="A458" s="124"/>
      <c r="B458" s="142"/>
      <c r="C458" s="115"/>
      <c r="D458" s="115"/>
      <c r="E458" s="115"/>
      <c r="F458" s="115"/>
      <c r="G458" s="60" t="s">
        <v>128</v>
      </c>
      <c r="H458" s="124"/>
      <c r="I458" s="124"/>
      <c r="J458" s="60"/>
      <c r="K458" s="60"/>
      <c r="L458" s="60"/>
      <c r="M458" s="60"/>
      <c r="N458" s="60">
        <f t="shared" si="142"/>
        <v>0</v>
      </c>
      <c r="O458" s="60">
        <f t="shared" si="143"/>
        <v>0</v>
      </c>
    </row>
    <row r="459" spans="1:15" s="38" customFormat="1" ht="10.7" customHeight="1" outlineLevel="1" x14ac:dyDescent="0.25">
      <c r="A459" s="124"/>
      <c r="B459" s="142"/>
      <c r="C459" s="115"/>
      <c r="D459" s="115"/>
      <c r="E459" s="115"/>
      <c r="F459" s="115"/>
      <c r="G459" s="60" t="s">
        <v>129</v>
      </c>
      <c r="H459" s="124"/>
      <c r="I459" s="124"/>
      <c r="J459" s="60"/>
      <c r="K459" s="60"/>
      <c r="L459" s="60"/>
      <c r="M459" s="60"/>
      <c r="N459" s="60">
        <f t="shared" si="142"/>
        <v>0</v>
      </c>
      <c r="O459" s="60">
        <f t="shared" si="143"/>
        <v>0</v>
      </c>
    </row>
    <row r="460" spans="1:15" s="38" customFormat="1" ht="10.7" customHeight="1" outlineLevel="1" x14ac:dyDescent="0.25">
      <c r="A460" s="124"/>
      <c r="B460" s="142"/>
      <c r="C460" s="115"/>
      <c r="D460" s="115"/>
      <c r="E460" s="115"/>
      <c r="F460" s="115"/>
      <c r="G460" s="60" t="s">
        <v>130</v>
      </c>
      <c r="H460" s="124"/>
      <c r="I460" s="124"/>
      <c r="J460" s="60"/>
      <c r="K460" s="60"/>
      <c r="L460" s="60"/>
      <c r="M460" s="60"/>
      <c r="N460" s="60">
        <f t="shared" si="142"/>
        <v>0</v>
      </c>
      <c r="O460" s="60">
        <f t="shared" si="143"/>
        <v>0</v>
      </c>
    </row>
    <row r="461" spans="1:15" s="38" customFormat="1" ht="12" customHeight="1" outlineLevel="1" thickBot="1" x14ac:dyDescent="0.3">
      <c r="A461" s="125"/>
      <c r="B461" s="143"/>
      <c r="C461" s="131"/>
      <c r="D461" s="131"/>
      <c r="E461" s="131"/>
      <c r="F461" s="131"/>
      <c r="G461" s="60" t="s">
        <v>131</v>
      </c>
      <c r="H461" s="134"/>
      <c r="I461" s="134"/>
      <c r="J461" s="60"/>
      <c r="K461" s="60"/>
      <c r="L461" s="60"/>
      <c r="M461" s="60"/>
      <c r="N461" s="60">
        <f t="shared" si="142"/>
        <v>0</v>
      </c>
      <c r="O461" s="60">
        <f t="shared" si="143"/>
        <v>0</v>
      </c>
    </row>
    <row r="462" spans="1:15" s="38" customFormat="1" ht="14.45" customHeight="1" outlineLevel="1" x14ac:dyDescent="0.25">
      <c r="A462" s="140" t="s">
        <v>486</v>
      </c>
      <c r="B462" s="141" t="s">
        <v>294</v>
      </c>
      <c r="C462" s="130">
        <f>SUM(N462:N468)</f>
        <v>0</v>
      </c>
      <c r="D462" s="130">
        <f>SUM(O462:O468)</f>
        <v>0</v>
      </c>
      <c r="E462" s="130">
        <f t="shared" ref="E462:E511" si="144">D462/8</f>
        <v>0</v>
      </c>
      <c r="F462" s="130"/>
      <c r="G462" s="60" t="s">
        <v>125</v>
      </c>
      <c r="H462" s="123"/>
      <c r="I462" s="123"/>
      <c r="J462" s="60"/>
      <c r="K462" s="60"/>
      <c r="L462" s="60"/>
      <c r="M462" s="60"/>
      <c r="N462" s="60">
        <f>M462*J462*K462*L462</f>
        <v>0</v>
      </c>
      <c r="O462" s="60">
        <f>J462*K462*L462</f>
        <v>0</v>
      </c>
    </row>
    <row r="463" spans="1:15" s="38" customFormat="1" ht="11.45" customHeight="1" outlineLevel="1" x14ac:dyDescent="0.25">
      <c r="A463" s="124"/>
      <c r="B463" s="142"/>
      <c r="C463" s="115"/>
      <c r="D463" s="115"/>
      <c r="E463" s="115"/>
      <c r="F463" s="115"/>
      <c r="G463" s="60" t="s">
        <v>126</v>
      </c>
      <c r="H463" s="124"/>
      <c r="I463" s="124"/>
      <c r="J463" s="60"/>
      <c r="K463" s="60"/>
      <c r="L463" s="60"/>
      <c r="M463" s="60"/>
      <c r="N463" s="60">
        <f t="shared" ref="N463:N468" si="145">M463*J463*K463*L463</f>
        <v>0</v>
      </c>
      <c r="O463" s="60">
        <f t="shared" ref="O463:O468" si="146">J463*K463*L463</f>
        <v>0</v>
      </c>
    </row>
    <row r="464" spans="1:15" s="38" customFormat="1" ht="10.7" customHeight="1" outlineLevel="1" x14ac:dyDescent="0.25">
      <c r="A464" s="124"/>
      <c r="B464" s="142"/>
      <c r="C464" s="115"/>
      <c r="D464" s="115"/>
      <c r="E464" s="115"/>
      <c r="F464" s="115"/>
      <c r="G464" s="60" t="s">
        <v>127</v>
      </c>
      <c r="H464" s="124"/>
      <c r="I464" s="124"/>
      <c r="J464" s="60"/>
      <c r="K464" s="60"/>
      <c r="L464" s="60"/>
      <c r="M464" s="60"/>
      <c r="N464" s="60">
        <f t="shared" si="145"/>
        <v>0</v>
      </c>
      <c r="O464" s="60">
        <f t="shared" si="146"/>
        <v>0</v>
      </c>
    </row>
    <row r="465" spans="1:15" s="38" customFormat="1" ht="10.7" customHeight="1" outlineLevel="1" x14ac:dyDescent="0.25">
      <c r="A465" s="124"/>
      <c r="B465" s="142"/>
      <c r="C465" s="115"/>
      <c r="D465" s="115"/>
      <c r="E465" s="115"/>
      <c r="F465" s="115"/>
      <c r="G465" s="60" t="s">
        <v>128</v>
      </c>
      <c r="H465" s="124"/>
      <c r="I465" s="124"/>
      <c r="J465" s="60"/>
      <c r="K465" s="60"/>
      <c r="L465" s="60"/>
      <c r="M465" s="60"/>
      <c r="N465" s="60">
        <f t="shared" si="145"/>
        <v>0</v>
      </c>
      <c r="O465" s="60">
        <f t="shared" si="146"/>
        <v>0</v>
      </c>
    </row>
    <row r="466" spans="1:15" s="38" customFormat="1" ht="10.7" customHeight="1" outlineLevel="1" x14ac:dyDescent="0.25">
      <c r="A466" s="124"/>
      <c r="B466" s="142"/>
      <c r="C466" s="115"/>
      <c r="D466" s="115"/>
      <c r="E466" s="115"/>
      <c r="F466" s="115"/>
      <c r="G466" s="60" t="s">
        <v>129</v>
      </c>
      <c r="H466" s="124"/>
      <c r="I466" s="124"/>
      <c r="J466" s="60"/>
      <c r="K466" s="60"/>
      <c r="L466" s="60"/>
      <c r="M466" s="60"/>
      <c r="N466" s="60">
        <f t="shared" si="145"/>
        <v>0</v>
      </c>
      <c r="O466" s="60">
        <f t="shared" si="146"/>
        <v>0</v>
      </c>
    </row>
    <row r="467" spans="1:15" s="38" customFormat="1" ht="10.7" customHeight="1" outlineLevel="1" x14ac:dyDescent="0.25">
      <c r="A467" s="124"/>
      <c r="B467" s="142"/>
      <c r="C467" s="115"/>
      <c r="D467" s="115"/>
      <c r="E467" s="115"/>
      <c r="F467" s="115"/>
      <c r="G467" s="60" t="s">
        <v>130</v>
      </c>
      <c r="H467" s="124"/>
      <c r="I467" s="124"/>
      <c r="J467" s="60"/>
      <c r="K467" s="60"/>
      <c r="L467" s="60"/>
      <c r="M467" s="60"/>
      <c r="N467" s="60">
        <f t="shared" si="145"/>
        <v>0</v>
      </c>
      <c r="O467" s="60">
        <f t="shared" si="146"/>
        <v>0</v>
      </c>
    </row>
    <row r="468" spans="1:15" s="38" customFormat="1" ht="12" customHeight="1" outlineLevel="1" thickBot="1" x14ac:dyDescent="0.3">
      <c r="A468" s="125"/>
      <c r="B468" s="143"/>
      <c r="C468" s="131"/>
      <c r="D468" s="131"/>
      <c r="E468" s="131"/>
      <c r="F468" s="131"/>
      <c r="G468" s="60" t="s">
        <v>131</v>
      </c>
      <c r="H468" s="134"/>
      <c r="I468" s="134"/>
      <c r="J468" s="60"/>
      <c r="K468" s="60"/>
      <c r="L468" s="60"/>
      <c r="M468" s="60"/>
      <c r="N468" s="60">
        <f t="shared" si="145"/>
        <v>0</v>
      </c>
      <c r="O468" s="60">
        <f t="shared" si="146"/>
        <v>0</v>
      </c>
    </row>
    <row r="469" spans="1:15" s="38" customFormat="1" ht="14.45" customHeight="1" outlineLevel="1" x14ac:dyDescent="0.25">
      <c r="A469" s="140" t="s">
        <v>487</v>
      </c>
      <c r="B469" s="141" t="s">
        <v>488</v>
      </c>
      <c r="C469" s="130">
        <f>SUM(N469:N475)</f>
        <v>0</v>
      </c>
      <c r="D469" s="130">
        <f>SUM(O469:O475)</f>
        <v>0</v>
      </c>
      <c r="E469" s="130">
        <f t="shared" si="144"/>
        <v>0</v>
      </c>
      <c r="F469" s="130"/>
      <c r="G469" s="60" t="s">
        <v>125</v>
      </c>
      <c r="H469" s="123"/>
      <c r="I469" s="123"/>
      <c r="J469" s="60"/>
      <c r="K469" s="60"/>
      <c r="L469" s="60"/>
      <c r="M469" s="60"/>
      <c r="N469" s="60">
        <f>M469*J469*K469*L469</f>
        <v>0</v>
      </c>
      <c r="O469" s="60">
        <f>J469*K469*L469</f>
        <v>0</v>
      </c>
    </row>
    <row r="470" spans="1:15" s="38" customFormat="1" ht="11.45" customHeight="1" outlineLevel="1" x14ac:dyDescent="0.25">
      <c r="A470" s="124"/>
      <c r="B470" s="142"/>
      <c r="C470" s="115"/>
      <c r="D470" s="115"/>
      <c r="E470" s="115"/>
      <c r="F470" s="115"/>
      <c r="G470" s="60" t="s">
        <v>126</v>
      </c>
      <c r="H470" s="124"/>
      <c r="I470" s="124"/>
      <c r="J470" s="60"/>
      <c r="K470" s="60"/>
      <c r="L470" s="60"/>
      <c r="M470" s="60"/>
      <c r="N470" s="60">
        <f t="shared" ref="N470:N475" si="147">M470*J470*K470*L470</f>
        <v>0</v>
      </c>
      <c r="O470" s="60">
        <f t="shared" ref="O470:O475" si="148">J470*K470*L470</f>
        <v>0</v>
      </c>
    </row>
    <row r="471" spans="1:15" s="38" customFormat="1" ht="10.7" customHeight="1" outlineLevel="1" x14ac:dyDescent="0.25">
      <c r="A471" s="124"/>
      <c r="B471" s="142"/>
      <c r="C471" s="115"/>
      <c r="D471" s="115"/>
      <c r="E471" s="115"/>
      <c r="F471" s="115"/>
      <c r="G471" s="60" t="s">
        <v>127</v>
      </c>
      <c r="H471" s="124"/>
      <c r="I471" s="124"/>
      <c r="J471" s="60"/>
      <c r="K471" s="60"/>
      <c r="L471" s="60"/>
      <c r="M471" s="60"/>
      <c r="N471" s="60">
        <f t="shared" si="147"/>
        <v>0</v>
      </c>
      <c r="O471" s="60">
        <f t="shared" si="148"/>
        <v>0</v>
      </c>
    </row>
    <row r="472" spans="1:15" s="38" customFormat="1" ht="10.7" customHeight="1" outlineLevel="1" x14ac:dyDescent="0.25">
      <c r="A472" s="124"/>
      <c r="B472" s="142"/>
      <c r="C472" s="115"/>
      <c r="D472" s="115"/>
      <c r="E472" s="115"/>
      <c r="F472" s="115"/>
      <c r="G472" s="60" t="s">
        <v>128</v>
      </c>
      <c r="H472" s="124"/>
      <c r="I472" s="124"/>
      <c r="J472" s="60"/>
      <c r="K472" s="60"/>
      <c r="L472" s="60"/>
      <c r="M472" s="60"/>
      <c r="N472" s="60">
        <f t="shared" si="147"/>
        <v>0</v>
      </c>
      <c r="O472" s="60">
        <f t="shared" si="148"/>
        <v>0</v>
      </c>
    </row>
    <row r="473" spans="1:15" s="38" customFormat="1" ht="10.7" customHeight="1" outlineLevel="1" x14ac:dyDescent="0.25">
      <c r="A473" s="124"/>
      <c r="B473" s="142"/>
      <c r="C473" s="115"/>
      <c r="D473" s="115"/>
      <c r="E473" s="115"/>
      <c r="F473" s="115"/>
      <c r="G473" s="60" t="s">
        <v>129</v>
      </c>
      <c r="H473" s="124"/>
      <c r="I473" s="124"/>
      <c r="J473" s="60"/>
      <c r="K473" s="60"/>
      <c r="L473" s="60"/>
      <c r="M473" s="60"/>
      <c r="N473" s="60">
        <f t="shared" si="147"/>
        <v>0</v>
      </c>
      <c r="O473" s="60">
        <f t="shared" si="148"/>
        <v>0</v>
      </c>
    </row>
    <row r="474" spans="1:15" s="38" customFormat="1" ht="10.7" customHeight="1" outlineLevel="1" x14ac:dyDescent="0.25">
      <c r="A474" s="124"/>
      <c r="B474" s="142"/>
      <c r="C474" s="115"/>
      <c r="D474" s="115"/>
      <c r="E474" s="115"/>
      <c r="F474" s="115"/>
      <c r="G474" s="60" t="s">
        <v>130</v>
      </c>
      <c r="H474" s="124"/>
      <c r="I474" s="124"/>
      <c r="J474" s="60"/>
      <c r="K474" s="60"/>
      <c r="L474" s="60"/>
      <c r="M474" s="60"/>
      <c r="N474" s="60">
        <f t="shared" si="147"/>
        <v>0</v>
      </c>
      <c r="O474" s="60">
        <f t="shared" si="148"/>
        <v>0</v>
      </c>
    </row>
    <row r="475" spans="1:15" s="38" customFormat="1" ht="12" customHeight="1" outlineLevel="1" thickBot="1" x14ac:dyDescent="0.3">
      <c r="A475" s="125"/>
      <c r="B475" s="143"/>
      <c r="C475" s="131"/>
      <c r="D475" s="131"/>
      <c r="E475" s="131"/>
      <c r="F475" s="131"/>
      <c r="G475" s="60" t="s">
        <v>131</v>
      </c>
      <c r="H475" s="134"/>
      <c r="I475" s="134"/>
      <c r="J475" s="60"/>
      <c r="K475" s="60"/>
      <c r="L475" s="60"/>
      <c r="M475" s="60"/>
      <c r="N475" s="60">
        <f t="shared" si="147"/>
        <v>0</v>
      </c>
      <c r="O475" s="60">
        <f t="shared" si="148"/>
        <v>0</v>
      </c>
    </row>
    <row r="476" spans="1:15" s="38" customFormat="1" ht="14.45" customHeight="1" outlineLevel="1" x14ac:dyDescent="0.25">
      <c r="A476" s="140" t="s">
        <v>489</v>
      </c>
      <c r="B476" s="141" t="s">
        <v>490</v>
      </c>
      <c r="C476" s="130">
        <f>SUM(N476:N482)</f>
        <v>0</v>
      </c>
      <c r="D476" s="130">
        <f>SUM(O476:O482)</f>
        <v>0</v>
      </c>
      <c r="E476" s="130">
        <f t="shared" si="144"/>
        <v>0</v>
      </c>
      <c r="F476" s="130"/>
      <c r="G476" s="60" t="s">
        <v>125</v>
      </c>
      <c r="H476" s="123"/>
      <c r="I476" s="123"/>
      <c r="J476" s="60"/>
      <c r="K476" s="60"/>
      <c r="L476" s="60"/>
      <c r="M476" s="60"/>
      <c r="N476" s="60">
        <f>M476*J476*K476*L476</f>
        <v>0</v>
      </c>
      <c r="O476" s="60">
        <f>J476*K476*L476</f>
        <v>0</v>
      </c>
    </row>
    <row r="477" spans="1:15" s="38" customFormat="1" ht="11.45" customHeight="1" outlineLevel="1" x14ac:dyDescent="0.25">
      <c r="A477" s="124"/>
      <c r="B477" s="142"/>
      <c r="C477" s="115"/>
      <c r="D477" s="115"/>
      <c r="E477" s="115"/>
      <c r="F477" s="115"/>
      <c r="G477" s="60" t="s">
        <v>126</v>
      </c>
      <c r="H477" s="124"/>
      <c r="I477" s="124"/>
      <c r="J477" s="60"/>
      <c r="K477" s="60"/>
      <c r="L477" s="60"/>
      <c r="M477" s="60"/>
      <c r="N477" s="60">
        <f t="shared" ref="N477:N482" si="149">M477*J477*K477*L477</f>
        <v>0</v>
      </c>
      <c r="O477" s="60">
        <f t="shared" ref="O477:O482" si="150">J477*K477*L477</f>
        <v>0</v>
      </c>
    </row>
    <row r="478" spans="1:15" s="38" customFormat="1" ht="10.7" customHeight="1" outlineLevel="1" x14ac:dyDescent="0.25">
      <c r="A478" s="124"/>
      <c r="B478" s="142"/>
      <c r="C478" s="115"/>
      <c r="D478" s="115"/>
      <c r="E478" s="115"/>
      <c r="F478" s="115"/>
      <c r="G478" s="60" t="s">
        <v>127</v>
      </c>
      <c r="H478" s="124"/>
      <c r="I478" s="124"/>
      <c r="J478" s="60"/>
      <c r="K478" s="60"/>
      <c r="L478" s="60"/>
      <c r="M478" s="60"/>
      <c r="N478" s="60">
        <f t="shared" si="149"/>
        <v>0</v>
      </c>
      <c r="O478" s="60">
        <f t="shared" si="150"/>
        <v>0</v>
      </c>
    </row>
    <row r="479" spans="1:15" s="38" customFormat="1" ht="10.7" customHeight="1" outlineLevel="1" x14ac:dyDescent="0.25">
      <c r="A479" s="124"/>
      <c r="B479" s="142"/>
      <c r="C479" s="115"/>
      <c r="D479" s="115"/>
      <c r="E479" s="115"/>
      <c r="F479" s="115"/>
      <c r="G479" s="60" t="s">
        <v>128</v>
      </c>
      <c r="H479" s="124"/>
      <c r="I479" s="124"/>
      <c r="J479" s="60"/>
      <c r="K479" s="60"/>
      <c r="L479" s="60"/>
      <c r="M479" s="60"/>
      <c r="N479" s="60">
        <f t="shared" si="149"/>
        <v>0</v>
      </c>
      <c r="O479" s="60">
        <f t="shared" si="150"/>
        <v>0</v>
      </c>
    </row>
    <row r="480" spans="1:15" s="38" customFormat="1" ht="10.7" customHeight="1" outlineLevel="1" x14ac:dyDescent="0.25">
      <c r="A480" s="124"/>
      <c r="B480" s="142"/>
      <c r="C480" s="115"/>
      <c r="D480" s="115"/>
      <c r="E480" s="115"/>
      <c r="F480" s="115"/>
      <c r="G480" s="60" t="s">
        <v>129</v>
      </c>
      <c r="H480" s="124"/>
      <c r="I480" s="124"/>
      <c r="J480" s="60"/>
      <c r="K480" s="60"/>
      <c r="L480" s="60"/>
      <c r="M480" s="60"/>
      <c r="N480" s="60">
        <f t="shared" si="149"/>
        <v>0</v>
      </c>
      <c r="O480" s="60">
        <f t="shared" si="150"/>
        <v>0</v>
      </c>
    </row>
    <row r="481" spans="1:15" s="38" customFormat="1" ht="10.7" customHeight="1" outlineLevel="1" x14ac:dyDescent="0.25">
      <c r="A481" s="124"/>
      <c r="B481" s="142"/>
      <c r="C481" s="115"/>
      <c r="D481" s="115"/>
      <c r="E481" s="115"/>
      <c r="F481" s="115"/>
      <c r="G481" s="60" t="s">
        <v>130</v>
      </c>
      <c r="H481" s="124"/>
      <c r="I481" s="124"/>
      <c r="J481" s="60"/>
      <c r="K481" s="60"/>
      <c r="L481" s="60"/>
      <c r="M481" s="60"/>
      <c r="N481" s="60">
        <f t="shared" si="149"/>
        <v>0</v>
      </c>
      <c r="O481" s="60">
        <f t="shared" si="150"/>
        <v>0</v>
      </c>
    </row>
    <row r="482" spans="1:15" s="38" customFormat="1" ht="12" customHeight="1" outlineLevel="1" thickBot="1" x14ac:dyDescent="0.3">
      <c r="A482" s="125"/>
      <c r="B482" s="143"/>
      <c r="C482" s="131"/>
      <c r="D482" s="131"/>
      <c r="E482" s="131"/>
      <c r="F482" s="131"/>
      <c r="G482" s="60" t="s">
        <v>131</v>
      </c>
      <c r="H482" s="134"/>
      <c r="I482" s="134"/>
      <c r="J482" s="60"/>
      <c r="K482" s="60"/>
      <c r="L482" s="60"/>
      <c r="M482" s="60"/>
      <c r="N482" s="60">
        <f t="shared" si="149"/>
        <v>0</v>
      </c>
      <c r="O482" s="60">
        <f t="shared" si="150"/>
        <v>0</v>
      </c>
    </row>
    <row r="483" spans="1:15" s="38" customFormat="1" ht="14.45" customHeight="1" outlineLevel="1" x14ac:dyDescent="0.25">
      <c r="A483" s="140" t="s">
        <v>491</v>
      </c>
      <c r="B483" s="141" t="s">
        <v>492</v>
      </c>
      <c r="C483" s="130">
        <f>SUM(N483:N489)</f>
        <v>0</v>
      </c>
      <c r="D483" s="130">
        <f>SUM(O483:O489)</f>
        <v>0</v>
      </c>
      <c r="E483" s="130">
        <f t="shared" si="144"/>
        <v>0</v>
      </c>
      <c r="F483" s="130"/>
      <c r="G483" s="60" t="s">
        <v>125</v>
      </c>
      <c r="H483" s="123"/>
      <c r="I483" s="123"/>
      <c r="J483" s="60"/>
      <c r="K483" s="60"/>
      <c r="L483" s="60"/>
      <c r="M483" s="60"/>
      <c r="N483" s="60">
        <f>M483*J483*K483*L483</f>
        <v>0</v>
      </c>
      <c r="O483" s="60">
        <f>J483*K483*L483</f>
        <v>0</v>
      </c>
    </row>
    <row r="484" spans="1:15" s="38" customFormat="1" ht="11.45" customHeight="1" outlineLevel="1" x14ac:dyDescent="0.25">
      <c r="A484" s="124"/>
      <c r="B484" s="142"/>
      <c r="C484" s="115"/>
      <c r="D484" s="115"/>
      <c r="E484" s="115"/>
      <c r="F484" s="115"/>
      <c r="G484" s="60" t="s">
        <v>126</v>
      </c>
      <c r="H484" s="124"/>
      <c r="I484" s="124"/>
      <c r="J484" s="60"/>
      <c r="K484" s="60"/>
      <c r="L484" s="60"/>
      <c r="M484" s="60"/>
      <c r="N484" s="60">
        <f t="shared" ref="N484:N489" si="151">M484*J484*K484*L484</f>
        <v>0</v>
      </c>
      <c r="O484" s="60">
        <f t="shared" ref="O484:O489" si="152">J484*K484*L484</f>
        <v>0</v>
      </c>
    </row>
    <row r="485" spans="1:15" s="38" customFormat="1" ht="10.7" customHeight="1" outlineLevel="1" x14ac:dyDescent="0.25">
      <c r="A485" s="124"/>
      <c r="B485" s="142"/>
      <c r="C485" s="115"/>
      <c r="D485" s="115"/>
      <c r="E485" s="115"/>
      <c r="F485" s="115"/>
      <c r="G485" s="60" t="s">
        <v>127</v>
      </c>
      <c r="H485" s="124"/>
      <c r="I485" s="124"/>
      <c r="J485" s="60"/>
      <c r="K485" s="60"/>
      <c r="L485" s="60"/>
      <c r="M485" s="60"/>
      <c r="N485" s="60">
        <f t="shared" si="151"/>
        <v>0</v>
      </c>
      <c r="O485" s="60">
        <f t="shared" si="152"/>
        <v>0</v>
      </c>
    </row>
    <row r="486" spans="1:15" s="38" customFormat="1" ht="10.7" customHeight="1" outlineLevel="1" x14ac:dyDescent="0.25">
      <c r="A486" s="124"/>
      <c r="B486" s="142"/>
      <c r="C486" s="115"/>
      <c r="D486" s="115"/>
      <c r="E486" s="115"/>
      <c r="F486" s="115"/>
      <c r="G486" s="60" t="s">
        <v>128</v>
      </c>
      <c r="H486" s="124"/>
      <c r="I486" s="124"/>
      <c r="J486" s="60"/>
      <c r="K486" s="60"/>
      <c r="L486" s="60"/>
      <c r="M486" s="60"/>
      <c r="N486" s="60">
        <f t="shared" si="151"/>
        <v>0</v>
      </c>
      <c r="O486" s="60">
        <f t="shared" si="152"/>
        <v>0</v>
      </c>
    </row>
    <row r="487" spans="1:15" s="38" customFormat="1" ht="10.7" customHeight="1" outlineLevel="1" x14ac:dyDescent="0.25">
      <c r="A487" s="124"/>
      <c r="B487" s="142"/>
      <c r="C487" s="115"/>
      <c r="D487" s="115"/>
      <c r="E487" s="115"/>
      <c r="F487" s="115"/>
      <c r="G487" s="60" t="s">
        <v>129</v>
      </c>
      <c r="H487" s="124"/>
      <c r="I487" s="124"/>
      <c r="J487" s="60"/>
      <c r="K487" s="60"/>
      <c r="L487" s="60"/>
      <c r="M487" s="60"/>
      <c r="N487" s="60">
        <f t="shared" si="151"/>
        <v>0</v>
      </c>
      <c r="O487" s="60">
        <f t="shared" si="152"/>
        <v>0</v>
      </c>
    </row>
    <row r="488" spans="1:15" s="38" customFormat="1" ht="10.7" customHeight="1" outlineLevel="1" x14ac:dyDescent="0.25">
      <c r="A488" s="124"/>
      <c r="B488" s="142"/>
      <c r="C488" s="115"/>
      <c r="D488" s="115"/>
      <c r="E488" s="115"/>
      <c r="F488" s="115"/>
      <c r="G488" s="60" t="s">
        <v>130</v>
      </c>
      <c r="H488" s="124"/>
      <c r="I488" s="124"/>
      <c r="J488" s="60"/>
      <c r="K488" s="60"/>
      <c r="L488" s="60"/>
      <c r="M488" s="60"/>
      <c r="N488" s="60">
        <f t="shared" si="151"/>
        <v>0</v>
      </c>
      <c r="O488" s="60">
        <f t="shared" si="152"/>
        <v>0</v>
      </c>
    </row>
    <row r="489" spans="1:15" s="38" customFormat="1" ht="12" customHeight="1" outlineLevel="1" thickBot="1" x14ac:dyDescent="0.3">
      <c r="A489" s="125"/>
      <c r="B489" s="143"/>
      <c r="C489" s="131"/>
      <c r="D489" s="131"/>
      <c r="E489" s="131"/>
      <c r="F489" s="131"/>
      <c r="G489" s="60" t="s">
        <v>131</v>
      </c>
      <c r="H489" s="134"/>
      <c r="I489" s="134"/>
      <c r="J489" s="60"/>
      <c r="K489" s="60"/>
      <c r="L489" s="60"/>
      <c r="M489" s="60"/>
      <c r="N489" s="60">
        <f t="shared" si="151"/>
        <v>0</v>
      </c>
      <c r="O489" s="60">
        <f t="shared" si="152"/>
        <v>0</v>
      </c>
    </row>
    <row r="490" spans="1:15" s="38" customFormat="1" ht="14.45" customHeight="1" outlineLevel="1" x14ac:dyDescent="0.25">
      <c r="A490" s="140" t="s">
        <v>493</v>
      </c>
      <c r="B490" s="141" t="s">
        <v>494</v>
      </c>
      <c r="C490" s="130">
        <f>SUM(N490:N496)</f>
        <v>0</v>
      </c>
      <c r="D490" s="130">
        <f>SUM(O490:O496)</f>
        <v>0</v>
      </c>
      <c r="E490" s="130">
        <f t="shared" si="144"/>
        <v>0</v>
      </c>
      <c r="F490" s="130"/>
      <c r="G490" s="60" t="s">
        <v>125</v>
      </c>
      <c r="H490" s="123"/>
      <c r="I490" s="123"/>
      <c r="J490" s="60"/>
      <c r="K490" s="60"/>
      <c r="L490" s="60"/>
      <c r="M490" s="60"/>
      <c r="N490" s="60">
        <f>M490*J490*K490*L490</f>
        <v>0</v>
      </c>
      <c r="O490" s="60">
        <f>J490*K490*L490</f>
        <v>0</v>
      </c>
    </row>
    <row r="491" spans="1:15" s="38" customFormat="1" ht="11.45" customHeight="1" outlineLevel="1" x14ac:dyDescent="0.25">
      <c r="A491" s="124"/>
      <c r="B491" s="142"/>
      <c r="C491" s="115"/>
      <c r="D491" s="115"/>
      <c r="E491" s="115"/>
      <c r="F491" s="115"/>
      <c r="G491" s="60" t="s">
        <v>126</v>
      </c>
      <c r="H491" s="124"/>
      <c r="I491" s="124"/>
      <c r="J491" s="60"/>
      <c r="K491" s="60"/>
      <c r="L491" s="60"/>
      <c r="M491" s="60"/>
      <c r="N491" s="60">
        <f t="shared" ref="N491:N496" si="153">M491*J491*K491*L491</f>
        <v>0</v>
      </c>
      <c r="O491" s="60">
        <f t="shared" ref="O491:O496" si="154">J491*K491*L491</f>
        <v>0</v>
      </c>
    </row>
    <row r="492" spans="1:15" s="38" customFormat="1" ht="10.7" customHeight="1" outlineLevel="1" x14ac:dyDescent="0.25">
      <c r="A492" s="124"/>
      <c r="B492" s="142"/>
      <c r="C492" s="115"/>
      <c r="D492" s="115"/>
      <c r="E492" s="115"/>
      <c r="F492" s="115"/>
      <c r="G492" s="60" t="s">
        <v>127</v>
      </c>
      <c r="H492" s="124"/>
      <c r="I492" s="124"/>
      <c r="J492" s="60"/>
      <c r="K492" s="60"/>
      <c r="L492" s="60"/>
      <c r="M492" s="60"/>
      <c r="N492" s="60">
        <f t="shared" si="153"/>
        <v>0</v>
      </c>
      <c r="O492" s="60">
        <f t="shared" si="154"/>
        <v>0</v>
      </c>
    </row>
    <row r="493" spans="1:15" s="38" customFormat="1" ht="10.7" customHeight="1" outlineLevel="1" x14ac:dyDescent="0.25">
      <c r="A493" s="124"/>
      <c r="B493" s="142"/>
      <c r="C493" s="115"/>
      <c r="D493" s="115"/>
      <c r="E493" s="115"/>
      <c r="F493" s="115"/>
      <c r="G493" s="60" t="s">
        <v>128</v>
      </c>
      <c r="H493" s="124"/>
      <c r="I493" s="124"/>
      <c r="J493" s="60"/>
      <c r="K493" s="60"/>
      <c r="L493" s="60"/>
      <c r="M493" s="60"/>
      <c r="N493" s="60">
        <f t="shared" si="153"/>
        <v>0</v>
      </c>
      <c r="O493" s="60">
        <f t="shared" si="154"/>
        <v>0</v>
      </c>
    </row>
    <row r="494" spans="1:15" s="38" customFormat="1" ht="10.7" customHeight="1" outlineLevel="1" x14ac:dyDescent="0.25">
      <c r="A494" s="124"/>
      <c r="B494" s="142"/>
      <c r="C494" s="115"/>
      <c r="D494" s="115"/>
      <c r="E494" s="115"/>
      <c r="F494" s="115"/>
      <c r="G494" s="60" t="s">
        <v>129</v>
      </c>
      <c r="H494" s="124"/>
      <c r="I494" s="124"/>
      <c r="J494" s="60"/>
      <c r="K494" s="60"/>
      <c r="L494" s="60"/>
      <c r="M494" s="60"/>
      <c r="N494" s="60">
        <f t="shared" si="153"/>
        <v>0</v>
      </c>
      <c r="O494" s="60">
        <f t="shared" si="154"/>
        <v>0</v>
      </c>
    </row>
    <row r="495" spans="1:15" s="38" customFormat="1" ht="10.7" customHeight="1" outlineLevel="1" x14ac:dyDescent="0.25">
      <c r="A495" s="124"/>
      <c r="B495" s="142"/>
      <c r="C495" s="115"/>
      <c r="D495" s="115"/>
      <c r="E495" s="115"/>
      <c r="F495" s="115"/>
      <c r="G495" s="60" t="s">
        <v>130</v>
      </c>
      <c r="H495" s="124"/>
      <c r="I495" s="124"/>
      <c r="J495" s="60"/>
      <c r="K495" s="60"/>
      <c r="L495" s="60"/>
      <c r="M495" s="60"/>
      <c r="N495" s="60">
        <f t="shared" si="153"/>
        <v>0</v>
      </c>
      <c r="O495" s="60">
        <f t="shared" si="154"/>
        <v>0</v>
      </c>
    </row>
    <row r="496" spans="1:15" s="38" customFormat="1" ht="12" customHeight="1" outlineLevel="1" thickBot="1" x14ac:dyDescent="0.3">
      <c r="A496" s="125"/>
      <c r="B496" s="143"/>
      <c r="C496" s="131"/>
      <c r="D496" s="131"/>
      <c r="E496" s="131"/>
      <c r="F496" s="131"/>
      <c r="G496" s="60" t="s">
        <v>131</v>
      </c>
      <c r="H496" s="134"/>
      <c r="I496" s="134"/>
      <c r="J496" s="60"/>
      <c r="K496" s="60"/>
      <c r="L496" s="60"/>
      <c r="M496" s="60"/>
      <c r="N496" s="60">
        <f t="shared" si="153"/>
        <v>0</v>
      </c>
      <c r="O496" s="60">
        <f t="shared" si="154"/>
        <v>0</v>
      </c>
    </row>
    <row r="497" spans="1:15" s="38" customFormat="1" ht="14.45" customHeight="1" outlineLevel="1" x14ac:dyDescent="0.25">
      <c r="A497" s="140" t="s">
        <v>495</v>
      </c>
      <c r="B497" s="141" t="s">
        <v>496</v>
      </c>
      <c r="C497" s="130">
        <f>SUM(N497:N503)</f>
        <v>0</v>
      </c>
      <c r="D497" s="130">
        <f>SUM(O497:O503)</f>
        <v>0</v>
      </c>
      <c r="E497" s="130">
        <f t="shared" si="144"/>
        <v>0</v>
      </c>
      <c r="F497" s="130"/>
      <c r="G497" s="60" t="s">
        <v>125</v>
      </c>
      <c r="H497" s="123"/>
      <c r="I497" s="123"/>
      <c r="J497" s="60"/>
      <c r="K497" s="60"/>
      <c r="L497" s="60"/>
      <c r="M497" s="60"/>
      <c r="N497" s="60">
        <f>M497*J497*K497*L497</f>
        <v>0</v>
      </c>
      <c r="O497" s="60">
        <f>J497*K497*L497</f>
        <v>0</v>
      </c>
    </row>
    <row r="498" spans="1:15" s="38" customFormat="1" ht="11.45" customHeight="1" outlineLevel="1" x14ac:dyDescent="0.25">
      <c r="A498" s="124"/>
      <c r="B498" s="142"/>
      <c r="C498" s="115"/>
      <c r="D498" s="115"/>
      <c r="E498" s="115"/>
      <c r="F498" s="115"/>
      <c r="G498" s="60" t="s">
        <v>126</v>
      </c>
      <c r="H498" s="124"/>
      <c r="I498" s="124"/>
      <c r="J498" s="60"/>
      <c r="K498" s="60"/>
      <c r="L498" s="60"/>
      <c r="M498" s="60"/>
      <c r="N498" s="60">
        <f t="shared" ref="N498:N503" si="155">M498*J498*K498*L498</f>
        <v>0</v>
      </c>
      <c r="O498" s="60">
        <f t="shared" ref="O498:O503" si="156">J498*K498*L498</f>
        <v>0</v>
      </c>
    </row>
    <row r="499" spans="1:15" s="38" customFormat="1" ht="10.7" customHeight="1" outlineLevel="1" x14ac:dyDescent="0.25">
      <c r="A499" s="124"/>
      <c r="B499" s="142"/>
      <c r="C499" s="115"/>
      <c r="D499" s="115"/>
      <c r="E499" s="115"/>
      <c r="F499" s="115"/>
      <c r="G499" s="60" t="s">
        <v>127</v>
      </c>
      <c r="H499" s="124"/>
      <c r="I499" s="124"/>
      <c r="J499" s="60"/>
      <c r="K499" s="60"/>
      <c r="L499" s="60"/>
      <c r="M499" s="60"/>
      <c r="N499" s="60">
        <f t="shared" si="155"/>
        <v>0</v>
      </c>
      <c r="O499" s="60">
        <f t="shared" si="156"/>
        <v>0</v>
      </c>
    </row>
    <row r="500" spans="1:15" s="38" customFormat="1" ht="10.7" customHeight="1" outlineLevel="1" x14ac:dyDescent="0.25">
      <c r="A500" s="124"/>
      <c r="B500" s="142"/>
      <c r="C500" s="115"/>
      <c r="D500" s="115"/>
      <c r="E500" s="115"/>
      <c r="F500" s="115"/>
      <c r="G500" s="60" t="s">
        <v>128</v>
      </c>
      <c r="H500" s="124"/>
      <c r="I500" s="124"/>
      <c r="J500" s="60"/>
      <c r="K500" s="60"/>
      <c r="L500" s="60"/>
      <c r="M500" s="60"/>
      <c r="N500" s="60">
        <f t="shared" si="155"/>
        <v>0</v>
      </c>
      <c r="O500" s="60">
        <f t="shared" si="156"/>
        <v>0</v>
      </c>
    </row>
    <row r="501" spans="1:15" s="38" customFormat="1" ht="10.7" customHeight="1" outlineLevel="1" x14ac:dyDescent="0.25">
      <c r="A501" s="124"/>
      <c r="B501" s="142"/>
      <c r="C501" s="115"/>
      <c r="D501" s="115"/>
      <c r="E501" s="115"/>
      <c r="F501" s="115"/>
      <c r="G501" s="60" t="s">
        <v>129</v>
      </c>
      <c r="H501" s="124"/>
      <c r="I501" s="124"/>
      <c r="J501" s="60"/>
      <c r="K501" s="60"/>
      <c r="L501" s="60"/>
      <c r="M501" s="60"/>
      <c r="N501" s="60">
        <f t="shared" si="155"/>
        <v>0</v>
      </c>
      <c r="O501" s="60">
        <f t="shared" si="156"/>
        <v>0</v>
      </c>
    </row>
    <row r="502" spans="1:15" s="38" customFormat="1" ht="10.7" customHeight="1" outlineLevel="1" x14ac:dyDescent="0.25">
      <c r="A502" s="124"/>
      <c r="B502" s="142"/>
      <c r="C502" s="115"/>
      <c r="D502" s="115"/>
      <c r="E502" s="115"/>
      <c r="F502" s="115"/>
      <c r="G502" s="60" t="s">
        <v>130</v>
      </c>
      <c r="H502" s="124"/>
      <c r="I502" s="124"/>
      <c r="J502" s="60"/>
      <c r="K502" s="60"/>
      <c r="L502" s="60"/>
      <c r="M502" s="60"/>
      <c r="N502" s="60">
        <f t="shared" si="155"/>
        <v>0</v>
      </c>
      <c r="O502" s="60">
        <f t="shared" si="156"/>
        <v>0</v>
      </c>
    </row>
    <row r="503" spans="1:15" s="38" customFormat="1" ht="12" customHeight="1" outlineLevel="1" thickBot="1" x14ac:dyDescent="0.3">
      <c r="A503" s="125"/>
      <c r="B503" s="143"/>
      <c r="C503" s="131"/>
      <c r="D503" s="131"/>
      <c r="E503" s="131"/>
      <c r="F503" s="131"/>
      <c r="G503" s="60" t="s">
        <v>131</v>
      </c>
      <c r="H503" s="134"/>
      <c r="I503" s="134"/>
      <c r="J503" s="60"/>
      <c r="K503" s="60"/>
      <c r="L503" s="60"/>
      <c r="M503" s="60"/>
      <c r="N503" s="60">
        <f t="shared" si="155"/>
        <v>0</v>
      </c>
      <c r="O503" s="60">
        <f t="shared" si="156"/>
        <v>0</v>
      </c>
    </row>
    <row r="504" spans="1:15" s="38" customFormat="1" ht="14.45" customHeight="1" outlineLevel="1" x14ac:dyDescent="0.25">
      <c r="A504" s="140" t="s">
        <v>497</v>
      </c>
      <c r="B504" s="141" t="s">
        <v>498</v>
      </c>
      <c r="C504" s="130">
        <f>SUM(N504:N510)</f>
        <v>0</v>
      </c>
      <c r="D504" s="130">
        <f>SUM(O504:O510)</f>
        <v>0</v>
      </c>
      <c r="E504" s="130">
        <f t="shared" si="144"/>
        <v>0</v>
      </c>
      <c r="F504" s="130"/>
      <c r="G504" s="60" t="s">
        <v>125</v>
      </c>
      <c r="H504" s="123"/>
      <c r="I504" s="123"/>
      <c r="J504" s="60"/>
      <c r="K504" s="60"/>
      <c r="L504" s="60"/>
      <c r="M504" s="60"/>
      <c r="N504" s="60">
        <f>M504*J504*K504*L504</f>
        <v>0</v>
      </c>
      <c r="O504" s="60">
        <f>J504*K504*L504</f>
        <v>0</v>
      </c>
    </row>
    <row r="505" spans="1:15" s="38" customFormat="1" ht="11.45" customHeight="1" outlineLevel="1" x14ac:dyDescent="0.25">
      <c r="A505" s="124"/>
      <c r="B505" s="142"/>
      <c r="C505" s="115"/>
      <c r="D505" s="115"/>
      <c r="E505" s="115"/>
      <c r="F505" s="115"/>
      <c r="G505" s="60" t="s">
        <v>126</v>
      </c>
      <c r="H505" s="124"/>
      <c r="I505" s="124"/>
      <c r="J505" s="60"/>
      <c r="K505" s="60"/>
      <c r="L505" s="60"/>
      <c r="M505" s="60"/>
      <c r="N505" s="60">
        <f t="shared" ref="N505:N510" si="157">M505*J505*K505*L505</f>
        <v>0</v>
      </c>
      <c r="O505" s="60">
        <f t="shared" ref="O505:O510" si="158">J505*K505*L505</f>
        <v>0</v>
      </c>
    </row>
    <row r="506" spans="1:15" s="38" customFormat="1" ht="10.7" customHeight="1" outlineLevel="1" x14ac:dyDescent="0.25">
      <c r="A506" s="124"/>
      <c r="B506" s="142"/>
      <c r="C506" s="115"/>
      <c r="D506" s="115"/>
      <c r="E506" s="115"/>
      <c r="F506" s="115"/>
      <c r="G506" s="60" t="s">
        <v>127</v>
      </c>
      <c r="H506" s="124"/>
      <c r="I506" s="124"/>
      <c r="J506" s="60"/>
      <c r="K506" s="60"/>
      <c r="L506" s="60"/>
      <c r="M506" s="60"/>
      <c r="N506" s="60">
        <f t="shared" si="157"/>
        <v>0</v>
      </c>
      <c r="O506" s="60">
        <f t="shared" si="158"/>
        <v>0</v>
      </c>
    </row>
    <row r="507" spans="1:15" s="38" customFormat="1" ht="10.7" customHeight="1" outlineLevel="1" x14ac:dyDescent="0.25">
      <c r="A507" s="124"/>
      <c r="B507" s="142"/>
      <c r="C507" s="115"/>
      <c r="D507" s="115"/>
      <c r="E507" s="115"/>
      <c r="F507" s="115"/>
      <c r="G507" s="60" t="s">
        <v>128</v>
      </c>
      <c r="H507" s="124"/>
      <c r="I507" s="124"/>
      <c r="J507" s="60"/>
      <c r="K507" s="60"/>
      <c r="L507" s="60"/>
      <c r="M507" s="60"/>
      <c r="N507" s="60">
        <f t="shared" si="157"/>
        <v>0</v>
      </c>
      <c r="O507" s="60">
        <f t="shared" si="158"/>
        <v>0</v>
      </c>
    </row>
    <row r="508" spans="1:15" s="38" customFormat="1" ht="10.7" customHeight="1" outlineLevel="1" x14ac:dyDescent="0.25">
      <c r="A508" s="124"/>
      <c r="B508" s="142"/>
      <c r="C508" s="115"/>
      <c r="D508" s="115"/>
      <c r="E508" s="115"/>
      <c r="F508" s="115"/>
      <c r="G508" s="60" t="s">
        <v>129</v>
      </c>
      <c r="H508" s="124"/>
      <c r="I508" s="124"/>
      <c r="J508" s="60"/>
      <c r="K508" s="60"/>
      <c r="L508" s="60"/>
      <c r="M508" s="60"/>
      <c r="N508" s="60">
        <f t="shared" si="157"/>
        <v>0</v>
      </c>
      <c r="O508" s="60">
        <f t="shared" si="158"/>
        <v>0</v>
      </c>
    </row>
    <row r="509" spans="1:15" s="38" customFormat="1" ht="10.7" customHeight="1" outlineLevel="1" x14ac:dyDescent="0.25">
      <c r="A509" s="124"/>
      <c r="B509" s="142"/>
      <c r="C509" s="115"/>
      <c r="D509" s="115"/>
      <c r="E509" s="115"/>
      <c r="F509" s="115"/>
      <c r="G509" s="60" t="s">
        <v>130</v>
      </c>
      <c r="H509" s="124"/>
      <c r="I509" s="124"/>
      <c r="J509" s="60"/>
      <c r="K509" s="60"/>
      <c r="L509" s="60"/>
      <c r="M509" s="60"/>
      <c r="N509" s="60">
        <f t="shared" si="157"/>
        <v>0</v>
      </c>
      <c r="O509" s="60">
        <f t="shared" si="158"/>
        <v>0</v>
      </c>
    </row>
    <row r="510" spans="1:15" s="38" customFormat="1" ht="12" customHeight="1" outlineLevel="1" thickBot="1" x14ac:dyDescent="0.3">
      <c r="A510" s="125"/>
      <c r="B510" s="143"/>
      <c r="C510" s="131"/>
      <c r="D510" s="131"/>
      <c r="E510" s="131"/>
      <c r="F510" s="131"/>
      <c r="G510" s="60" t="s">
        <v>131</v>
      </c>
      <c r="H510" s="134"/>
      <c r="I510" s="134"/>
      <c r="J510" s="60"/>
      <c r="K510" s="60"/>
      <c r="L510" s="60"/>
      <c r="M510" s="60"/>
      <c r="N510" s="60">
        <f t="shared" si="157"/>
        <v>0</v>
      </c>
      <c r="O510" s="60">
        <f t="shared" si="158"/>
        <v>0</v>
      </c>
    </row>
    <row r="511" spans="1:15" s="38" customFormat="1" ht="14.45" customHeight="1" outlineLevel="1" x14ac:dyDescent="0.25">
      <c r="A511" s="140" t="s">
        <v>499</v>
      </c>
      <c r="B511" s="141" t="s">
        <v>500</v>
      </c>
      <c r="C511" s="130">
        <f>SUM(N511:N517)</f>
        <v>0</v>
      </c>
      <c r="D511" s="130">
        <f>SUM(O511:O517)</f>
        <v>0</v>
      </c>
      <c r="E511" s="130">
        <f t="shared" si="144"/>
        <v>0</v>
      </c>
      <c r="F511" s="130"/>
      <c r="G511" s="60" t="s">
        <v>125</v>
      </c>
      <c r="H511" s="123"/>
      <c r="I511" s="123"/>
      <c r="J511" s="60"/>
      <c r="K511" s="60"/>
      <c r="L511" s="60"/>
      <c r="M511" s="60"/>
      <c r="N511" s="60">
        <f>M511*J511*K511*L511</f>
        <v>0</v>
      </c>
      <c r="O511" s="60">
        <f>J511*K511*L511</f>
        <v>0</v>
      </c>
    </row>
    <row r="512" spans="1:15" s="38" customFormat="1" ht="11.45" customHeight="1" outlineLevel="1" x14ac:dyDescent="0.25">
      <c r="A512" s="124"/>
      <c r="B512" s="142"/>
      <c r="C512" s="115"/>
      <c r="D512" s="115"/>
      <c r="E512" s="115"/>
      <c r="F512" s="115"/>
      <c r="G512" s="60" t="s">
        <v>126</v>
      </c>
      <c r="H512" s="124"/>
      <c r="I512" s="124"/>
      <c r="J512" s="60"/>
      <c r="K512" s="60"/>
      <c r="L512" s="60"/>
      <c r="M512" s="60"/>
      <c r="N512" s="60">
        <f t="shared" ref="N512:N517" si="159">M512*J512*K512*L512</f>
        <v>0</v>
      </c>
      <c r="O512" s="60">
        <f t="shared" ref="O512:O517" si="160">J512*K512*L512</f>
        <v>0</v>
      </c>
    </row>
    <row r="513" spans="1:15" s="38" customFormat="1" ht="10.7" customHeight="1" outlineLevel="1" x14ac:dyDescent="0.25">
      <c r="A513" s="124"/>
      <c r="B513" s="142"/>
      <c r="C513" s="115"/>
      <c r="D513" s="115"/>
      <c r="E513" s="115"/>
      <c r="F513" s="115"/>
      <c r="G513" s="60" t="s">
        <v>127</v>
      </c>
      <c r="H513" s="124"/>
      <c r="I513" s="124"/>
      <c r="J513" s="60"/>
      <c r="K513" s="60"/>
      <c r="L513" s="60"/>
      <c r="M513" s="60"/>
      <c r="N513" s="60">
        <f t="shared" si="159"/>
        <v>0</v>
      </c>
      <c r="O513" s="60">
        <f t="shared" si="160"/>
        <v>0</v>
      </c>
    </row>
    <row r="514" spans="1:15" s="38" customFormat="1" ht="10.7" customHeight="1" outlineLevel="1" x14ac:dyDescent="0.25">
      <c r="A514" s="124"/>
      <c r="B514" s="142"/>
      <c r="C514" s="115"/>
      <c r="D514" s="115"/>
      <c r="E514" s="115"/>
      <c r="F514" s="115"/>
      <c r="G514" s="60" t="s">
        <v>128</v>
      </c>
      <c r="H514" s="124"/>
      <c r="I514" s="124"/>
      <c r="J514" s="60"/>
      <c r="K514" s="60"/>
      <c r="L514" s="60"/>
      <c r="M514" s="60"/>
      <c r="N514" s="60">
        <f t="shared" si="159"/>
        <v>0</v>
      </c>
      <c r="O514" s="60">
        <f t="shared" si="160"/>
        <v>0</v>
      </c>
    </row>
    <row r="515" spans="1:15" s="38" customFormat="1" ht="10.7" customHeight="1" outlineLevel="1" x14ac:dyDescent="0.25">
      <c r="A515" s="124"/>
      <c r="B515" s="142"/>
      <c r="C515" s="115"/>
      <c r="D515" s="115"/>
      <c r="E515" s="115"/>
      <c r="F515" s="115"/>
      <c r="G515" s="60" t="s">
        <v>129</v>
      </c>
      <c r="H515" s="124"/>
      <c r="I515" s="124"/>
      <c r="J515" s="60"/>
      <c r="K515" s="60"/>
      <c r="L515" s="60"/>
      <c r="M515" s="60"/>
      <c r="N515" s="60">
        <f t="shared" si="159"/>
        <v>0</v>
      </c>
      <c r="O515" s="60">
        <f t="shared" si="160"/>
        <v>0</v>
      </c>
    </row>
    <row r="516" spans="1:15" s="38" customFormat="1" ht="10.7" customHeight="1" outlineLevel="1" x14ac:dyDescent="0.25">
      <c r="A516" s="124"/>
      <c r="B516" s="142"/>
      <c r="C516" s="115"/>
      <c r="D516" s="115"/>
      <c r="E516" s="115"/>
      <c r="F516" s="115"/>
      <c r="G516" s="60" t="s">
        <v>130</v>
      </c>
      <c r="H516" s="124"/>
      <c r="I516" s="124"/>
      <c r="J516" s="60"/>
      <c r="K516" s="60"/>
      <c r="L516" s="60"/>
      <c r="M516" s="60"/>
      <c r="N516" s="60">
        <f t="shared" si="159"/>
        <v>0</v>
      </c>
      <c r="O516" s="60">
        <f t="shared" si="160"/>
        <v>0</v>
      </c>
    </row>
    <row r="517" spans="1:15" s="38" customFormat="1" ht="12" customHeight="1" outlineLevel="1" thickBot="1" x14ac:dyDescent="0.3">
      <c r="A517" s="125"/>
      <c r="B517" s="143"/>
      <c r="C517" s="131"/>
      <c r="D517" s="131"/>
      <c r="E517" s="131"/>
      <c r="F517" s="131"/>
      <c r="G517" s="60" t="s">
        <v>131</v>
      </c>
      <c r="H517" s="134"/>
      <c r="I517" s="134"/>
      <c r="J517" s="60"/>
      <c r="K517" s="60"/>
      <c r="L517" s="60"/>
      <c r="M517" s="60"/>
      <c r="N517" s="60">
        <f t="shared" si="159"/>
        <v>0</v>
      </c>
      <c r="O517" s="60">
        <f t="shared" si="160"/>
        <v>0</v>
      </c>
    </row>
    <row r="518" spans="1:15" s="38" customFormat="1" ht="14.45" customHeight="1" outlineLevel="1" x14ac:dyDescent="0.25">
      <c r="A518" s="140" t="s">
        <v>501</v>
      </c>
      <c r="B518" s="141" t="s">
        <v>502</v>
      </c>
      <c r="C518" s="130">
        <f>SUM(N518:N524)</f>
        <v>0</v>
      </c>
      <c r="D518" s="130">
        <f>SUM(O518:O524)</f>
        <v>0</v>
      </c>
      <c r="E518" s="130">
        <f t="shared" ref="E518:E539" si="161">D518/8</f>
        <v>0</v>
      </c>
      <c r="F518" s="130"/>
      <c r="G518" s="60" t="s">
        <v>125</v>
      </c>
      <c r="H518" s="123"/>
      <c r="I518" s="123"/>
      <c r="J518" s="60"/>
      <c r="K518" s="60"/>
      <c r="L518" s="60"/>
      <c r="M518" s="60"/>
      <c r="N518" s="60">
        <f>M518*J518*K518*L518</f>
        <v>0</v>
      </c>
      <c r="O518" s="60">
        <f>J518*K518*L518</f>
        <v>0</v>
      </c>
    </row>
    <row r="519" spans="1:15" s="38" customFormat="1" ht="11.45" customHeight="1" outlineLevel="1" x14ac:dyDescent="0.25">
      <c r="A519" s="124"/>
      <c r="B519" s="142"/>
      <c r="C519" s="115"/>
      <c r="D519" s="115"/>
      <c r="E519" s="115"/>
      <c r="F519" s="115"/>
      <c r="G519" s="60" t="s">
        <v>126</v>
      </c>
      <c r="H519" s="124"/>
      <c r="I519" s="124"/>
      <c r="J519" s="60"/>
      <c r="K519" s="60"/>
      <c r="L519" s="60"/>
      <c r="M519" s="60"/>
      <c r="N519" s="60">
        <f t="shared" ref="N519:N524" si="162">M519*J519*K519*L519</f>
        <v>0</v>
      </c>
      <c r="O519" s="60">
        <f t="shared" ref="O519:O524" si="163">J519*K519*L519</f>
        <v>0</v>
      </c>
    </row>
    <row r="520" spans="1:15" s="38" customFormat="1" ht="10.7" customHeight="1" outlineLevel="1" x14ac:dyDescent="0.25">
      <c r="A520" s="124"/>
      <c r="B520" s="142"/>
      <c r="C520" s="115"/>
      <c r="D520" s="115"/>
      <c r="E520" s="115"/>
      <c r="F520" s="115"/>
      <c r="G520" s="60" t="s">
        <v>127</v>
      </c>
      <c r="H520" s="124"/>
      <c r="I520" s="124"/>
      <c r="J520" s="60"/>
      <c r="K520" s="60"/>
      <c r="L520" s="60"/>
      <c r="M520" s="60"/>
      <c r="N520" s="60">
        <f t="shared" si="162"/>
        <v>0</v>
      </c>
      <c r="O520" s="60">
        <f t="shared" si="163"/>
        <v>0</v>
      </c>
    </row>
    <row r="521" spans="1:15" s="38" customFormat="1" ht="10.7" customHeight="1" outlineLevel="1" x14ac:dyDescent="0.25">
      <c r="A521" s="124"/>
      <c r="B521" s="142"/>
      <c r="C521" s="115"/>
      <c r="D521" s="115"/>
      <c r="E521" s="115"/>
      <c r="F521" s="115"/>
      <c r="G521" s="60" t="s">
        <v>128</v>
      </c>
      <c r="H521" s="124"/>
      <c r="I521" s="124"/>
      <c r="J521" s="60"/>
      <c r="K521" s="60"/>
      <c r="L521" s="60"/>
      <c r="M521" s="60"/>
      <c r="N521" s="60">
        <f t="shared" si="162"/>
        <v>0</v>
      </c>
      <c r="O521" s="60">
        <f t="shared" si="163"/>
        <v>0</v>
      </c>
    </row>
    <row r="522" spans="1:15" s="38" customFormat="1" ht="10.7" customHeight="1" outlineLevel="1" x14ac:dyDescent="0.25">
      <c r="A522" s="124"/>
      <c r="B522" s="142"/>
      <c r="C522" s="115"/>
      <c r="D522" s="115"/>
      <c r="E522" s="115"/>
      <c r="F522" s="115"/>
      <c r="G522" s="60" t="s">
        <v>129</v>
      </c>
      <c r="H522" s="124"/>
      <c r="I522" s="124"/>
      <c r="J522" s="60"/>
      <c r="K522" s="60"/>
      <c r="L522" s="60"/>
      <c r="M522" s="60"/>
      <c r="N522" s="60">
        <f t="shared" si="162"/>
        <v>0</v>
      </c>
      <c r="O522" s="60">
        <f t="shared" si="163"/>
        <v>0</v>
      </c>
    </row>
    <row r="523" spans="1:15" s="38" customFormat="1" ht="10.7" customHeight="1" outlineLevel="1" x14ac:dyDescent="0.25">
      <c r="A523" s="124"/>
      <c r="B523" s="142"/>
      <c r="C523" s="115"/>
      <c r="D523" s="115"/>
      <c r="E523" s="115"/>
      <c r="F523" s="115"/>
      <c r="G523" s="60" t="s">
        <v>130</v>
      </c>
      <c r="H523" s="124"/>
      <c r="I523" s="124"/>
      <c r="J523" s="60"/>
      <c r="K523" s="60"/>
      <c r="L523" s="60"/>
      <c r="M523" s="60"/>
      <c r="N523" s="60">
        <f t="shared" si="162"/>
        <v>0</v>
      </c>
      <c r="O523" s="60">
        <f t="shared" si="163"/>
        <v>0</v>
      </c>
    </row>
    <row r="524" spans="1:15" s="38" customFormat="1" ht="12" customHeight="1" outlineLevel="1" thickBot="1" x14ac:dyDescent="0.3">
      <c r="A524" s="125"/>
      <c r="B524" s="143"/>
      <c r="C524" s="131"/>
      <c r="D524" s="131"/>
      <c r="E524" s="131"/>
      <c r="F524" s="131"/>
      <c r="G524" s="60" t="s">
        <v>131</v>
      </c>
      <c r="H524" s="134"/>
      <c r="I524" s="134"/>
      <c r="J524" s="60"/>
      <c r="K524" s="60"/>
      <c r="L524" s="60"/>
      <c r="M524" s="60"/>
      <c r="N524" s="60">
        <f t="shared" si="162"/>
        <v>0</v>
      </c>
      <c r="O524" s="60">
        <f t="shared" si="163"/>
        <v>0</v>
      </c>
    </row>
    <row r="525" spans="1:15" s="38" customFormat="1" ht="14.45" customHeight="1" outlineLevel="1" x14ac:dyDescent="0.25">
      <c r="A525" s="140" t="s">
        <v>503</v>
      </c>
      <c r="B525" s="141" t="s">
        <v>504</v>
      </c>
      <c r="C525" s="130">
        <f>SUM(N525:N531)</f>
        <v>0</v>
      </c>
      <c r="D525" s="130">
        <f>SUM(O525:O531)</f>
        <v>0</v>
      </c>
      <c r="E525" s="130">
        <f t="shared" si="161"/>
        <v>0</v>
      </c>
      <c r="F525" s="130"/>
      <c r="G525" s="60" t="s">
        <v>125</v>
      </c>
      <c r="H525" s="123"/>
      <c r="I525" s="123"/>
      <c r="J525" s="60"/>
      <c r="K525" s="60"/>
      <c r="L525" s="60"/>
      <c r="M525" s="60"/>
      <c r="N525" s="60">
        <f>M525*J525*K525*L525</f>
        <v>0</v>
      </c>
      <c r="O525" s="60">
        <f>J525*K525*L525</f>
        <v>0</v>
      </c>
    </row>
    <row r="526" spans="1:15" s="38" customFormat="1" ht="11.45" customHeight="1" outlineLevel="1" x14ac:dyDescent="0.25">
      <c r="A526" s="124"/>
      <c r="B526" s="142"/>
      <c r="C526" s="115"/>
      <c r="D526" s="115"/>
      <c r="E526" s="115"/>
      <c r="F526" s="115"/>
      <c r="G526" s="60" t="s">
        <v>126</v>
      </c>
      <c r="H526" s="124"/>
      <c r="I526" s="124"/>
      <c r="J526" s="60"/>
      <c r="K526" s="60"/>
      <c r="L526" s="60"/>
      <c r="M526" s="60"/>
      <c r="N526" s="60">
        <f t="shared" ref="N526:N531" si="164">M526*J526*K526*L526</f>
        <v>0</v>
      </c>
      <c r="O526" s="60">
        <f t="shared" ref="O526:O531" si="165">J526*K526*L526</f>
        <v>0</v>
      </c>
    </row>
    <row r="527" spans="1:15" s="38" customFormat="1" ht="10.7" customHeight="1" outlineLevel="1" x14ac:dyDescent="0.25">
      <c r="A527" s="124"/>
      <c r="B527" s="142"/>
      <c r="C527" s="115"/>
      <c r="D527" s="115"/>
      <c r="E527" s="115"/>
      <c r="F527" s="115"/>
      <c r="G527" s="60" t="s">
        <v>127</v>
      </c>
      <c r="H527" s="124"/>
      <c r="I527" s="124"/>
      <c r="J527" s="60"/>
      <c r="K527" s="60"/>
      <c r="L527" s="60"/>
      <c r="M527" s="60"/>
      <c r="N527" s="60">
        <f t="shared" si="164"/>
        <v>0</v>
      </c>
      <c r="O527" s="60">
        <f t="shared" si="165"/>
        <v>0</v>
      </c>
    </row>
    <row r="528" spans="1:15" s="38" customFormat="1" ht="10.7" customHeight="1" outlineLevel="1" x14ac:dyDescent="0.25">
      <c r="A528" s="124"/>
      <c r="B528" s="142"/>
      <c r="C528" s="115"/>
      <c r="D528" s="115"/>
      <c r="E528" s="115"/>
      <c r="F528" s="115"/>
      <c r="G528" s="60" t="s">
        <v>128</v>
      </c>
      <c r="H528" s="124"/>
      <c r="I528" s="124"/>
      <c r="J528" s="60"/>
      <c r="K528" s="60"/>
      <c r="L528" s="60"/>
      <c r="M528" s="60"/>
      <c r="N528" s="60">
        <f t="shared" si="164"/>
        <v>0</v>
      </c>
      <c r="O528" s="60">
        <f t="shared" si="165"/>
        <v>0</v>
      </c>
    </row>
    <row r="529" spans="1:15" s="38" customFormat="1" ht="10.7" customHeight="1" outlineLevel="1" x14ac:dyDescent="0.25">
      <c r="A529" s="124"/>
      <c r="B529" s="142"/>
      <c r="C529" s="115"/>
      <c r="D529" s="115"/>
      <c r="E529" s="115"/>
      <c r="F529" s="115"/>
      <c r="G529" s="60" t="s">
        <v>129</v>
      </c>
      <c r="H529" s="124"/>
      <c r="I529" s="124"/>
      <c r="J529" s="60"/>
      <c r="K529" s="60"/>
      <c r="L529" s="60"/>
      <c r="M529" s="60"/>
      <c r="N529" s="60">
        <f t="shared" si="164"/>
        <v>0</v>
      </c>
      <c r="O529" s="60">
        <f t="shared" si="165"/>
        <v>0</v>
      </c>
    </row>
    <row r="530" spans="1:15" s="38" customFormat="1" ht="10.7" customHeight="1" outlineLevel="1" x14ac:dyDescent="0.25">
      <c r="A530" s="124"/>
      <c r="B530" s="142"/>
      <c r="C530" s="115"/>
      <c r="D530" s="115"/>
      <c r="E530" s="115"/>
      <c r="F530" s="115"/>
      <c r="G530" s="60" t="s">
        <v>130</v>
      </c>
      <c r="H530" s="124"/>
      <c r="I530" s="124"/>
      <c r="J530" s="60"/>
      <c r="K530" s="60"/>
      <c r="L530" s="60"/>
      <c r="M530" s="60"/>
      <c r="N530" s="60">
        <f t="shared" si="164"/>
        <v>0</v>
      </c>
      <c r="O530" s="60">
        <f t="shared" si="165"/>
        <v>0</v>
      </c>
    </row>
    <row r="531" spans="1:15" s="38" customFormat="1" ht="12" customHeight="1" outlineLevel="1" thickBot="1" x14ac:dyDescent="0.3">
      <c r="A531" s="125"/>
      <c r="B531" s="143"/>
      <c r="C531" s="131"/>
      <c r="D531" s="131"/>
      <c r="E531" s="131"/>
      <c r="F531" s="131"/>
      <c r="G531" s="60" t="s">
        <v>131</v>
      </c>
      <c r="H531" s="134"/>
      <c r="I531" s="134"/>
      <c r="J531" s="60"/>
      <c r="K531" s="60"/>
      <c r="L531" s="60"/>
      <c r="M531" s="60"/>
      <c r="N531" s="60">
        <f t="shared" si="164"/>
        <v>0</v>
      </c>
      <c r="O531" s="60">
        <f t="shared" si="165"/>
        <v>0</v>
      </c>
    </row>
    <row r="532" spans="1:15" s="38" customFormat="1" ht="14.45" customHeight="1" outlineLevel="1" x14ac:dyDescent="0.25">
      <c r="A532" s="140" t="s">
        <v>505</v>
      </c>
      <c r="B532" s="141" t="s">
        <v>506</v>
      </c>
      <c r="C532" s="130">
        <f>SUM(N532:N538)</f>
        <v>0</v>
      </c>
      <c r="D532" s="130">
        <f>SUM(O532:O538)</f>
        <v>0</v>
      </c>
      <c r="E532" s="130">
        <f t="shared" si="161"/>
        <v>0</v>
      </c>
      <c r="F532" s="130"/>
      <c r="G532" s="60" t="s">
        <v>125</v>
      </c>
      <c r="H532" s="123"/>
      <c r="I532" s="123"/>
      <c r="J532" s="60"/>
      <c r="K532" s="60"/>
      <c r="L532" s="60"/>
      <c r="M532" s="60"/>
      <c r="N532" s="60">
        <f>M532*J532*K532*L532</f>
        <v>0</v>
      </c>
      <c r="O532" s="60">
        <f>J532*K532*L532</f>
        <v>0</v>
      </c>
    </row>
    <row r="533" spans="1:15" s="38" customFormat="1" ht="11.45" customHeight="1" outlineLevel="1" x14ac:dyDescent="0.25">
      <c r="A533" s="124"/>
      <c r="B533" s="142"/>
      <c r="C533" s="115"/>
      <c r="D533" s="115"/>
      <c r="E533" s="115"/>
      <c r="F533" s="115"/>
      <c r="G533" s="60" t="s">
        <v>126</v>
      </c>
      <c r="H533" s="124"/>
      <c r="I533" s="124"/>
      <c r="J533" s="60"/>
      <c r="K533" s="60"/>
      <c r="L533" s="60"/>
      <c r="M533" s="60"/>
      <c r="N533" s="60">
        <f t="shared" ref="N533:N538" si="166">M533*J533*K533*L533</f>
        <v>0</v>
      </c>
      <c r="O533" s="60">
        <f t="shared" ref="O533:O538" si="167">J533*K533*L533</f>
        <v>0</v>
      </c>
    </row>
    <row r="534" spans="1:15" s="38" customFormat="1" ht="10.7" customHeight="1" outlineLevel="1" x14ac:dyDescent="0.25">
      <c r="A534" s="124"/>
      <c r="B534" s="142"/>
      <c r="C534" s="115"/>
      <c r="D534" s="115"/>
      <c r="E534" s="115"/>
      <c r="F534" s="115"/>
      <c r="G534" s="60" t="s">
        <v>127</v>
      </c>
      <c r="H534" s="124"/>
      <c r="I534" s="124"/>
      <c r="J534" s="60"/>
      <c r="K534" s="60"/>
      <c r="L534" s="60"/>
      <c r="M534" s="60"/>
      <c r="N534" s="60">
        <f t="shared" si="166"/>
        <v>0</v>
      </c>
      <c r="O534" s="60">
        <f t="shared" si="167"/>
        <v>0</v>
      </c>
    </row>
    <row r="535" spans="1:15" s="38" customFormat="1" ht="10.7" customHeight="1" outlineLevel="1" x14ac:dyDescent="0.25">
      <c r="A535" s="124"/>
      <c r="B535" s="142"/>
      <c r="C535" s="115"/>
      <c r="D535" s="115"/>
      <c r="E535" s="115"/>
      <c r="F535" s="115"/>
      <c r="G535" s="60" t="s">
        <v>128</v>
      </c>
      <c r="H535" s="124"/>
      <c r="I535" s="124"/>
      <c r="J535" s="60"/>
      <c r="K535" s="60"/>
      <c r="L535" s="60"/>
      <c r="M535" s="60"/>
      <c r="N535" s="60">
        <f t="shared" si="166"/>
        <v>0</v>
      </c>
      <c r="O535" s="60">
        <f t="shared" si="167"/>
        <v>0</v>
      </c>
    </row>
    <row r="536" spans="1:15" s="38" customFormat="1" ht="10.7" customHeight="1" outlineLevel="1" x14ac:dyDescent="0.25">
      <c r="A536" s="124"/>
      <c r="B536" s="142"/>
      <c r="C536" s="115"/>
      <c r="D536" s="115"/>
      <c r="E536" s="115"/>
      <c r="F536" s="115"/>
      <c r="G536" s="60" t="s">
        <v>129</v>
      </c>
      <c r="H536" s="124"/>
      <c r="I536" s="124"/>
      <c r="J536" s="60"/>
      <c r="K536" s="60"/>
      <c r="L536" s="60"/>
      <c r="M536" s="60"/>
      <c r="N536" s="60">
        <f t="shared" si="166"/>
        <v>0</v>
      </c>
      <c r="O536" s="60">
        <f t="shared" si="167"/>
        <v>0</v>
      </c>
    </row>
    <row r="537" spans="1:15" s="38" customFormat="1" ht="10.7" customHeight="1" outlineLevel="1" x14ac:dyDescent="0.25">
      <c r="A537" s="124"/>
      <c r="B537" s="142"/>
      <c r="C537" s="115"/>
      <c r="D537" s="115"/>
      <c r="E537" s="115"/>
      <c r="F537" s="115"/>
      <c r="G537" s="60" t="s">
        <v>130</v>
      </c>
      <c r="H537" s="124"/>
      <c r="I537" s="124"/>
      <c r="J537" s="60"/>
      <c r="K537" s="60"/>
      <c r="L537" s="60"/>
      <c r="M537" s="60"/>
      <c r="N537" s="60">
        <f t="shared" si="166"/>
        <v>0</v>
      </c>
      <c r="O537" s="60">
        <f t="shared" si="167"/>
        <v>0</v>
      </c>
    </row>
    <row r="538" spans="1:15" s="38" customFormat="1" ht="12" customHeight="1" outlineLevel="1" thickBot="1" x14ac:dyDescent="0.3">
      <c r="A538" s="125"/>
      <c r="B538" s="143"/>
      <c r="C538" s="131"/>
      <c r="D538" s="131"/>
      <c r="E538" s="131"/>
      <c r="F538" s="131"/>
      <c r="G538" s="60" t="s">
        <v>131</v>
      </c>
      <c r="H538" s="134"/>
      <c r="I538" s="134"/>
      <c r="J538" s="60"/>
      <c r="K538" s="60"/>
      <c r="L538" s="60"/>
      <c r="M538" s="60"/>
      <c r="N538" s="60">
        <f t="shared" si="166"/>
        <v>0</v>
      </c>
      <c r="O538" s="60">
        <f t="shared" si="167"/>
        <v>0</v>
      </c>
    </row>
    <row r="539" spans="1:15" s="38" customFormat="1" ht="14.45" customHeight="1" outlineLevel="1" x14ac:dyDescent="0.25">
      <c r="A539" s="140" t="s">
        <v>507</v>
      </c>
      <c r="B539" s="141" t="s">
        <v>508</v>
      </c>
      <c r="C539" s="130">
        <f>SUM(N539:N545)</f>
        <v>0</v>
      </c>
      <c r="D539" s="130">
        <f>SUM(O539:O545)</f>
        <v>0</v>
      </c>
      <c r="E539" s="130">
        <f t="shared" si="161"/>
        <v>0</v>
      </c>
      <c r="F539" s="130"/>
      <c r="G539" s="60" t="s">
        <v>125</v>
      </c>
      <c r="H539" s="123"/>
      <c r="I539" s="123"/>
      <c r="J539" s="60"/>
      <c r="K539" s="60"/>
      <c r="L539" s="60"/>
      <c r="M539" s="60"/>
      <c r="N539" s="60">
        <f>M539*J539*K539*L539</f>
        <v>0</v>
      </c>
      <c r="O539" s="60">
        <f>J539*K539*L539</f>
        <v>0</v>
      </c>
    </row>
    <row r="540" spans="1:15" s="38" customFormat="1" ht="11.45" customHeight="1" outlineLevel="1" x14ac:dyDescent="0.25">
      <c r="A540" s="124"/>
      <c r="B540" s="142"/>
      <c r="C540" s="115"/>
      <c r="D540" s="115"/>
      <c r="E540" s="115"/>
      <c r="F540" s="115"/>
      <c r="G540" s="60" t="s">
        <v>126</v>
      </c>
      <c r="H540" s="124"/>
      <c r="I540" s="124"/>
      <c r="J540" s="60"/>
      <c r="K540" s="60"/>
      <c r="L540" s="60"/>
      <c r="M540" s="60"/>
      <c r="N540" s="60">
        <f t="shared" ref="N540:N545" si="168">M540*J540*K540*L540</f>
        <v>0</v>
      </c>
      <c r="O540" s="60">
        <f t="shared" ref="O540:O545" si="169">J540*K540*L540</f>
        <v>0</v>
      </c>
    </row>
    <row r="541" spans="1:15" s="38" customFormat="1" ht="10.7" customHeight="1" outlineLevel="1" x14ac:dyDescent="0.25">
      <c r="A541" s="124"/>
      <c r="B541" s="142"/>
      <c r="C541" s="115"/>
      <c r="D541" s="115"/>
      <c r="E541" s="115"/>
      <c r="F541" s="115"/>
      <c r="G541" s="60" t="s">
        <v>127</v>
      </c>
      <c r="H541" s="124"/>
      <c r="I541" s="124"/>
      <c r="J541" s="60"/>
      <c r="K541" s="60"/>
      <c r="L541" s="60"/>
      <c r="M541" s="60"/>
      <c r="N541" s="60">
        <f t="shared" si="168"/>
        <v>0</v>
      </c>
      <c r="O541" s="60">
        <f t="shared" si="169"/>
        <v>0</v>
      </c>
    </row>
    <row r="542" spans="1:15" s="38" customFormat="1" ht="10.7" customHeight="1" outlineLevel="1" x14ac:dyDescent="0.25">
      <c r="A542" s="124"/>
      <c r="B542" s="142"/>
      <c r="C542" s="115"/>
      <c r="D542" s="115"/>
      <c r="E542" s="115"/>
      <c r="F542" s="115"/>
      <c r="G542" s="60" t="s">
        <v>128</v>
      </c>
      <c r="H542" s="124"/>
      <c r="I542" s="124"/>
      <c r="J542" s="60"/>
      <c r="K542" s="60"/>
      <c r="L542" s="60"/>
      <c r="M542" s="60"/>
      <c r="N542" s="60">
        <f t="shared" si="168"/>
        <v>0</v>
      </c>
      <c r="O542" s="60">
        <f t="shared" si="169"/>
        <v>0</v>
      </c>
    </row>
    <row r="543" spans="1:15" s="38" customFormat="1" ht="10.7" customHeight="1" outlineLevel="1" x14ac:dyDescent="0.25">
      <c r="A543" s="124"/>
      <c r="B543" s="142"/>
      <c r="C543" s="115"/>
      <c r="D543" s="115"/>
      <c r="E543" s="115"/>
      <c r="F543" s="115"/>
      <c r="G543" s="60" t="s">
        <v>129</v>
      </c>
      <c r="H543" s="124"/>
      <c r="I543" s="124"/>
      <c r="J543" s="60"/>
      <c r="K543" s="60"/>
      <c r="L543" s="60"/>
      <c r="M543" s="60"/>
      <c r="N543" s="60">
        <f t="shared" si="168"/>
        <v>0</v>
      </c>
      <c r="O543" s="60">
        <f t="shared" si="169"/>
        <v>0</v>
      </c>
    </row>
    <row r="544" spans="1:15" s="38" customFormat="1" ht="10.7" customHeight="1" outlineLevel="1" x14ac:dyDescent="0.25">
      <c r="A544" s="124"/>
      <c r="B544" s="142"/>
      <c r="C544" s="115"/>
      <c r="D544" s="115"/>
      <c r="E544" s="115"/>
      <c r="F544" s="115"/>
      <c r="G544" s="60" t="s">
        <v>130</v>
      </c>
      <c r="H544" s="124"/>
      <c r="I544" s="124"/>
      <c r="J544" s="60"/>
      <c r="K544" s="60"/>
      <c r="L544" s="60"/>
      <c r="M544" s="60"/>
      <c r="N544" s="60">
        <f t="shared" si="168"/>
        <v>0</v>
      </c>
      <c r="O544" s="60">
        <f t="shared" si="169"/>
        <v>0</v>
      </c>
    </row>
    <row r="545" spans="1:15" s="38" customFormat="1" ht="12" customHeight="1" outlineLevel="1" thickBot="1" x14ac:dyDescent="0.3">
      <c r="A545" s="125"/>
      <c r="B545" s="143"/>
      <c r="C545" s="131"/>
      <c r="D545" s="131"/>
      <c r="E545" s="131"/>
      <c r="F545" s="131"/>
      <c r="G545" s="60" t="s">
        <v>131</v>
      </c>
      <c r="H545" s="134"/>
      <c r="I545" s="134"/>
      <c r="J545" s="60"/>
      <c r="K545" s="60"/>
      <c r="L545" s="60"/>
      <c r="M545" s="60"/>
      <c r="N545" s="60">
        <f t="shared" si="168"/>
        <v>0</v>
      </c>
      <c r="O545" s="60">
        <f t="shared" si="169"/>
        <v>0</v>
      </c>
    </row>
    <row r="546" spans="1:15" s="38" customFormat="1" outlineLevel="1" x14ac:dyDescent="0.25">
      <c r="A546" s="48" t="s">
        <v>509</v>
      </c>
      <c r="B546" s="54" t="s">
        <v>510</v>
      </c>
      <c r="C546" s="46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60"/>
    </row>
    <row r="547" spans="1:15" s="38" customFormat="1" ht="30.75" customHeight="1" outlineLevel="1" x14ac:dyDescent="0.25">
      <c r="A547" s="48" t="s">
        <v>511</v>
      </c>
      <c r="B547" s="54" t="s">
        <v>512</v>
      </c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60"/>
    </row>
    <row r="548" spans="1:15" s="38" customFormat="1" ht="14.45" customHeight="1" outlineLevel="1" x14ac:dyDescent="0.25">
      <c r="A548" s="140" t="s">
        <v>513</v>
      </c>
      <c r="B548" s="141" t="s">
        <v>514</v>
      </c>
      <c r="C548" s="130">
        <f>SUM(N548:N554)</f>
        <v>0</v>
      </c>
      <c r="D548" s="130">
        <f>SUM(O548:O554)</f>
        <v>0</v>
      </c>
      <c r="E548" s="130">
        <f t="shared" ref="E548:E590" si="170">D548/8</f>
        <v>0</v>
      </c>
      <c r="F548" s="130"/>
      <c r="G548" s="60" t="s">
        <v>125</v>
      </c>
      <c r="H548" s="123"/>
      <c r="I548" s="123"/>
      <c r="J548" s="60"/>
      <c r="K548" s="60"/>
      <c r="L548" s="60"/>
      <c r="M548" s="60"/>
      <c r="N548" s="60">
        <f>M548*J548*K548*L548</f>
        <v>0</v>
      </c>
      <c r="O548" s="60">
        <f>J548*K548*L548</f>
        <v>0</v>
      </c>
    </row>
    <row r="549" spans="1:15" s="38" customFormat="1" ht="11.45" customHeight="1" outlineLevel="1" x14ac:dyDescent="0.25">
      <c r="A549" s="124"/>
      <c r="B549" s="142"/>
      <c r="C549" s="115"/>
      <c r="D549" s="115"/>
      <c r="E549" s="115"/>
      <c r="F549" s="115"/>
      <c r="G549" s="60" t="s">
        <v>126</v>
      </c>
      <c r="H549" s="124"/>
      <c r="I549" s="124"/>
      <c r="J549" s="60"/>
      <c r="K549" s="60"/>
      <c r="L549" s="60"/>
      <c r="M549" s="60"/>
      <c r="N549" s="60">
        <f t="shared" ref="N549:N554" si="171">M549*J549*K549*L549</f>
        <v>0</v>
      </c>
      <c r="O549" s="60">
        <f t="shared" ref="O549:O554" si="172">J549*K549*L549</f>
        <v>0</v>
      </c>
    </row>
    <row r="550" spans="1:15" s="38" customFormat="1" ht="10.7" customHeight="1" outlineLevel="1" x14ac:dyDescent="0.25">
      <c r="A550" s="124"/>
      <c r="B550" s="142"/>
      <c r="C550" s="115"/>
      <c r="D550" s="115"/>
      <c r="E550" s="115"/>
      <c r="F550" s="115"/>
      <c r="G550" s="60" t="s">
        <v>127</v>
      </c>
      <c r="H550" s="124"/>
      <c r="I550" s="124"/>
      <c r="J550" s="60"/>
      <c r="K550" s="60"/>
      <c r="L550" s="60"/>
      <c r="M550" s="60"/>
      <c r="N550" s="60">
        <f t="shared" si="171"/>
        <v>0</v>
      </c>
      <c r="O550" s="60">
        <f t="shared" si="172"/>
        <v>0</v>
      </c>
    </row>
    <row r="551" spans="1:15" s="38" customFormat="1" ht="10.7" customHeight="1" outlineLevel="1" x14ac:dyDescent="0.25">
      <c r="A551" s="124"/>
      <c r="B551" s="142"/>
      <c r="C551" s="115"/>
      <c r="D551" s="115"/>
      <c r="E551" s="115"/>
      <c r="F551" s="115"/>
      <c r="G551" s="60" t="s">
        <v>128</v>
      </c>
      <c r="H551" s="124"/>
      <c r="I551" s="124"/>
      <c r="J551" s="60"/>
      <c r="K551" s="60"/>
      <c r="L551" s="60"/>
      <c r="M551" s="60"/>
      <c r="N551" s="60">
        <f t="shared" si="171"/>
        <v>0</v>
      </c>
      <c r="O551" s="60">
        <f t="shared" si="172"/>
        <v>0</v>
      </c>
    </row>
    <row r="552" spans="1:15" s="38" customFormat="1" ht="10.7" customHeight="1" outlineLevel="1" x14ac:dyDescent="0.25">
      <c r="A552" s="124"/>
      <c r="B552" s="142"/>
      <c r="C552" s="115"/>
      <c r="D552" s="115"/>
      <c r="E552" s="115"/>
      <c r="F552" s="115"/>
      <c r="G552" s="60" t="s">
        <v>129</v>
      </c>
      <c r="H552" s="124"/>
      <c r="I552" s="124"/>
      <c r="J552" s="60"/>
      <c r="K552" s="60"/>
      <c r="L552" s="60"/>
      <c r="M552" s="60"/>
      <c r="N552" s="60">
        <f t="shared" si="171"/>
        <v>0</v>
      </c>
      <c r="O552" s="60">
        <f t="shared" si="172"/>
        <v>0</v>
      </c>
    </row>
    <row r="553" spans="1:15" s="38" customFormat="1" ht="10.7" customHeight="1" outlineLevel="1" x14ac:dyDescent="0.25">
      <c r="A553" s="124"/>
      <c r="B553" s="142"/>
      <c r="C553" s="115"/>
      <c r="D553" s="115"/>
      <c r="E553" s="115"/>
      <c r="F553" s="115"/>
      <c r="G553" s="60" t="s">
        <v>130</v>
      </c>
      <c r="H553" s="124"/>
      <c r="I553" s="124"/>
      <c r="J553" s="60"/>
      <c r="K553" s="60"/>
      <c r="L553" s="60"/>
      <c r="M553" s="60"/>
      <c r="N553" s="60">
        <f t="shared" si="171"/>
        <v>0</v>
      </c>
      <c r="O553" s="60">
        <f t="shared" si="172"/>
        <v>0</v>
      </c>
    </row>
    <row r="554" spans="1:15" s="38" customFormat="1" ht="12" customHeight="1" outlineLevel="1" thickBot="1" x14ac:dyDescent="0.3">
      <c r="A554" s="125"/>
      <c r="B554" s="143"/>
      <c r="C554" s="131"/>
      <c r="D554" s="131"/>
      <c r="E554" s="131"/>
      <c r="F554" s="131"/>
      <c r="G554" s="60" t="s">
        <v>131</v>
      </c>
      <c r="H554" s="134"/>
      <c r="I554" s="134"/>
      <c r="J554" s="60"/>
      <c r="K554" s="60"/>
      <c r="L554" s="60"/>
      <c r="M554" s="60"/>
      <c r="N554" s="60">
        <f t="shared" si="171"/>
        <v>0</v>
      </c>
      <c r="O554" s="60">
        <f t="shared" si="172"/>
        <v>0</v>
      </c>
    </row>
    <row r="555" spans="1:15" s="38" customFormat="1" ht="14.45" customHeight="1" outlineLevel="1" x14ac:dyDescent="0.25">
      <c r="A555" s="140" t="s">
        <v>515</v>
      </c>
      <c r="B555" s="141" t="s">
        <v>516</v>
      </c>
      <c r="C555" s="130">
        <f>SUM(N555:N561)</f>
        <v>0</v>
      </c>
      <c r="D555" s="130">
        <f>SUM(O555:O561)</f>
        <v>0</v>
      </c>
      <c r="E555" s="130">
        <f t="shared" si="170"/>
        <v>0</v>
      </c>
      <c r="F555" s="130"/>
      <c r="G555" s="60" t="s">
        <v>125</v>
      </c>
      <c r="H555" s="123"/>
      <c r="I555" s="123"/>
      <c r="J555" s="60"/>
      <c r="K555" s="60"/>
      <c r="L555" s="60"/>
      <c r="M555" s="60"/>
      <c r="N555" s="60">
        <f>M555*J555*K555*L555</f>
        <v>0</v>
      </c>
      <c r="O555" s="60">
        <f>J555*K555*L555</f>
        <v>0</v>
      </c>
    </row>
    <row r="556" spans="1:15" s="38" customFormat="1" ht="11.45" customHeight="1" outlineLevel="1" x14ac:dyDescent="0.25">
      <c r="A556" s="124"/>
      <c r="B556" s="142"/>
      <c r="C556" s="115"/>
      <c r="D556" s="115"/>
      <c r="E556" s="115"/>
      <c r="F556" s="115"/>
      <c r="G556" s="60" t="s">
        <v>126</v>
      </c>
      <c r="H556" s="124"/>
      <c r="I556" s="124"/>
      <c r="J556" s="60"/>
      <c r="K556" s="60"/>
      <c r="L556" s="60"/>
      <c r="M556" s="60"/>
      <c r="N556" s="60">
        <f t="shared" ref="N556:N561" si="173">M556*J556*K556*L556</f>
        <v>0</v>
      </c>
      <c r="O556" s="60">
        <f t="shared" ref="O556:O561" si="174">J556*K556*L556</f>
        <v>0</v>
      </c>
    </row>
    <row r="557" spans="1:15" s="38" customFormat="1" ht="10.7" customHeight="1" outlineLevel="1" x14ac:dyDescent="0.25">
      <c r="A557" s="124"/>
      <c r="B557" s="142"/>
      <c r="C557" s="115"/>
      <c r="D557" s="115"/>
      <c r="E557" s="115"/>
      <c r="F557" s="115"/>
      <c r="G557" s="60" t="s">
        <v>127</v>
      </c>
      <c r="H557" s="124"/>
      <c r="I557" s="124"/>
      <c r="J557" s="60"/>
      <c r="K557" s="60"/>
      <c r="L557" s="60"/>
      <c r="M557" s="60"/>
      <c r="N557" s="60">
        <f t="shared" si="173"/>
        <v>0</v>
      </c>
      <c r="O557" s="60">
        <f t="shared" si="174"/>
        <v>0</v>
      </c>
    </row>
    <row r="558" spans="1:15" s="38" customFormat="1" ht="10.7" customHeight="1" outlineLevel="1" x14ac:dyDescent="0.25">
      <c r="A558" s="124"/>
      <c r="B558" s="142"/>
      <c r="C558" s="115"/>
      <c r="D558" s="115"/>
      <c r="E558" s="115"/>
      <c r="F558" s="115"/>
      <c r="G558" s="60" t="s">
        <v>128</v>
      </c>
      <c r="H558" s="124"/>
      <c r="I558" s="124"/>
      <c r="J558" s="60"/>
      <c r="K558" s="60"/>
      <c r="L558" s="60"/>
      <c r="M558" s="60"/>
      <c r="N558" s="60">
        <f t="shared" si="173"/>
        <v>0</v>
      </c>
      <c r="O558" s="60">
        <f t="shared" si="174"/>
        <v>0</v>
      </c>
    </row>
    <row r="559" spans="1:15" s="38" customFormat="1" ht="10.7" customHeight="1" outlineLevel="1" x14ac:dyDescent="0.25">
      <c r="A559" s="124"/>
      <c r="B559" s="142"/>
      <c r="C559" s="115"/>
      <c r="D559" s="115"/>
      <c r="E559" s="115"/>
      <c r="F559" s="115"/>
      <c r="G559" s="60" t="s">
        <v>129</v>
      </c>
      <c r="H559" s="124"/>
      <c r="I559" s="124"/>
      <c r="J559" s="60"/>
      <c r="K559" s="60"/>
      <c r="L559" s="60"/>
      <c r="M559" s="60"/>
      <c r="N559" s="60">
        <f t="shared" si="173"/>
        <v>0</v>
      </c>
      <c r="O559" s="60">
        <f t="shared" si="174"/>
        <v>0</v>
      </c>
    </row>
    <row r="560" spans="1:15" s="38" customFormat="1" ht="10.7" customHeight="1" outlineLevel="1" x14ac:dyDescent="0.25">
      <c r="A560" s="124"/>
      <c r="B560" s="142"/>
      <c r="C560" s="115"/>
      <c r="D560" s="115"/>
      <c r="E560" s="115"/>
      <c r="F560" s="115"/>
      <c r="G560" s="60" t="s">
        <v>130</v>
      </c>
      <c r="H560" s="124"/>
      <c r="I560" s="124"/>
      <c r="J560" s="60"/>
      <c r="K560" s="60"/>
      <c r="L560" s="60"/>
      <c r="M560" s="60"/>
      <c r="N560" s="60">
        <f t="shared" si="173"/>
        <v>0</v>
      </c>
      <c r="O560" s="60">
        <f t="shared" si="174"/>
        <v>0</v>
      </c>
    </row>
    <row r="561" spans="1:15" s="38" customFormat="1" ht="12" customHeight="1" outlineLevel="1" thickBot="1" x14ac:dyDescent="0.3">
      <c r="A561" s="125"/>
      <c r="B561" s="143"/>
      <c r="C561" s="131"/>
      <c r="D561" s="131"/>
      <c r="E561" s="131"/>
      <c r="F561" s="131"/>
      <c r="G561" s="60" t="s">
        <v>131</v>
      </c>
      <c r="H561" s="134"/>
      <c r="I561" s="134"/>
      <c r="J561" s="60"/>
      <c r="K561" s="60"/>
      <c r="L561" s="60"/>
      <c r="M561" s="60"/>
      <c r="N561" s="60">
        <f t="shared" si="173"/>
        <v>0</v>
      </c>
      <c r="O561" s="60">
        <f t="shared" si="174"/>
        <v>0</v>
      </c>
    </row>
    <row r="562" spans="1:15" s="38" customFormat="1" ht="14.45" customHeight="1" outlineLevel="1" x14ac:dyDescent="0.25">
      <c r="A562" s="140" t="s">
        <v>517</v>
      </c>
      <c r="B562" s="141" t="s">
        <v>518</v>
      </c>
      <c r="C562" s="130">
        <f>SUM(N562:N568)</f>
        <v>0</v>
      </c>
      <c r="D562" s="130">
        <f>SUM(O562:O568)</f>
        <v>0</v>
      </c>
      <c r="E562" s="130">
        <f t="shared" si="170"/>
        <v>0</v>
      </c>
      <c r="F562" s="130"/>
      <c r="G562" s="60" t="s">
        <v>125</v>
      </c>
      <c r="H562" s="123"/>
      <c r="I562" s="123"/>
      <c r="J562" s="60"/>
      <c r="K562" s="60"/>
      <c r="L562" s="60"/>
      <c r="M562" s="60"/>
      <c r="N562" s="60">
        <f>M562*J562*K562*L562</f>
        <v>0</v>
      </c>
      <c r="O562" s="60">
        <f>J562*K562*L562</f>
        <v>0</v>
      </c>
    </row>
    <row r="563" spans="1:15" s="38" customFormat="1" ht="11.45" customHeight="1" outlineLevel="1" x14ac:dyDescent="0.25">
      <c r="A563" s="124"/>
      <c r="B563" s="142"/>
      <c r="C563" s="115"/>
      <c r="D563" s="115"/>
      <c r="E563" s="115"/>
      <c r="F563" s="115"/>
      <c r="G563" s="60" t="s">
        <v>126</v>
      </c>
      <c r="H563" s="124"/>
      <c r="I563" s="124"/>
      <c r="J563" s="60"/>
      <c r="K563" s="60"/>
      <c r="L563" s="60"/>
      <c r="M563" s="60"/>
      <c r="N563" s="60">
        <f t="shared" ref="N563:N568" si="175">M563*J563*K563*L563</f>
        <v>0</v>
      </c>
      <c r="O563" s="60">
        <f t="shared" ref="O563:O568" si="176">J563*K563*L563</f>
        <v>0</v>
      </c>
    </row>
    <row r="564" spans="1:15" s="38" customFormat="1" ht="10.7" customHeight="1" outlineLevel="1" x14ac:dyDescent="0.25">
      <c r="A564" s="124"/>
      <c r="B564" s="142"/>
      <c r="C564" s="115"/>
      <c r="D564" s="115"/>
      <c r="E564" s="115"/>
      <c r="F564" s="115"/>
      <c r="G564" s="60" t="s">
        <v>127</v>
      </c>
      <c r="H564" s="124"/>
      <c r="I564" s="124"/>
      <c r="J564" s="60"/>
      <c r="K564" s="60"/>
      <c r="L564" s="60"/>
      <c r="M564" s="60"/>
      <c r="N564" s="60">
        <f t="shared" si="175"/>
        <v>0</v>
      </c>
      <c r="O564" s="60">
        <f t="shared" si="176"/>
        <v>0</v>
      </c>
    </row>
    <row r="565" spans="1:15" s="38" customFormat="1" ht="10.7" customHeight="1" outlineLevel="1" x14ac:dyDescent="0.25">
      <c r="A565" s="124"/>
      <c r="B565" s="142"/>
      <c r="C565" s="115"/>
      <c r="D565" s="115"/>
      <c r="E565" s="115"/>
      <c r="F565" s="115"/>
      <c r="G565" s="60" t="s">
        <v>128</v>
      </c>
      <c r="H565" s="124"/>
      <c r="I565" s="124"/>
      <c r="J565" s="60"/>
      <c r="K565" s="60"/>
      <c r="L565" s="60"/>
      <c r="M565" s="60"/>
      <c r="N565" s="60">
        <f t="shared" si="175"/>
        <v>0</v>
      </c>
      <c r="O565" s="60">
        <f t="shared" si="176"/>
        <v>0</v>
      </c>
    </row>
    <row r="566" spans="1:15" s="38" customFormat="1" ht="10.7" customHeight="1" outlineLevel="1" x14ac:dyDescent="0.25">
      <c r="A566" s="124"/>
      <c r="B566" s="142"/>
      <c r="C566" s="115"/>
      <c r="D566" s="115"/>
      <c r="E566" s="115"/>
      <c r="F566" s="115"/>
      <c r="G566" s="60" t="s">
        <v>129</v>
      </c>
      <c r="H566" s="124"/>
      <c r="I566" s="124"/>
      <c r="J566" s="60"/>
      <c r="K566" s="60"/>
      <c r="L566" s="60"/>
      <c r="M566" s="60"/>
      <c r="N566" s="60">
        <f t="shared" si="175"/>
        <v>0</v>
      </c>
      <c r="O566" s="60">
        <f t="shared" si="176"/>
        <v>0</v>
      </c>
    </row>
    <row r="567" spans="1:15" s="38" customFormat="1" ht="10.7" customHeight="1" outlineLevel="1" x14ac:dyDescent="0.25">
      <c r="A567" s="124"/>
      <c r="B567" s="142"/>
      <c r="C567" s="115"/>
      <c r="D567" s="115"/>
      <c r="E567" s="115"/>
      <c r="F567" s="115"/>
      <c r="G567" s="60" t="s">
        <v>130</v>
      </c>
      <c r="H567" s="124"/>
      <c r="I567" s="124"/>
      <c r="J567" s="60"/>
      <c r="K567" s="60"/>
      <c r="L567" s="60"/>
      <c r="M567" s="60"/>
      <c r="N567" s="60">
        <f t="shared" si="175"/>
        <v>0</v>
      </c>
      <c r="O567" s="60">
        <f t="shared" si="176"/>
        <v>0</v>
      </c>
    </row>
    <row r="568" spans="1:15" s="38" customFormat="1" ht="12" customHeight="1" outlineLevel="1" thickBot="1" x14ac:dyDescent="0.3">
      <c r="A568" s="125"/>
      <c r="B568" s="143"/>
      <c r="C568" s="131"/>
      <c r="D568" s="131"/>
      <c r="E568" s="131"/>
      <c r="F568" s="131"/>
      <c r="G568" s="60" t="s">
        <v>131</v>
      </c>
      <c r="H568" s="134"/>
      <c r="I568" s="134"/>
      <c r="J568" s="60"/>
      <c r="K568" s="60"/>
      <c r="L568" s="60"/>
      <c r="M568" s="60"/>
      <c r="N568" s="60">
        <f t="shared" si="175"/>
        <v>0</v>
      </c>
      <c r="O568" s="60">
        <f t="shared" si="176"/>
        <v>0</v>
      </c>
    </row>
    <row r="569" spans="1:15" s="38" customFormat="1" ht="14.45" customHeight="1" outlineLevel="1" x14ac:dyDescent="0.25">
      <c r="A569" s="140" t="s">
        <v>519</v>
      </c>
      <c r="B569" s="141" t="s">
        <v>520</v>
      </c>
      <c r="C569" s="130">
        <f>SUM(N569:N575)</f>
        <v>0</v>
      </c>
      <c r="D569" s="130">
        <f>SUM(O569:O575)</f>
        <v>0</v>
      </c>
      <c r="E569" s="130">
        <f t="shared" si="170"/>
        <v>0</v>
      </c>
      <c r="F569" s="130"/>
      <c r="G569" s="60" t="s">
        <v>125</v>
      </c>
      <c r="H569" s="123"/>
      <c r="I569" s="123"/>
      <c r="J569" s="60"/>
      <c r="K569" s="60"/>
      <c r="L569" s="60"/>
      <c r="M569" s="60"/>
      <c r="N569" s="60">
        <f>M569*J569*K569*L569</f>
        <v>0</v>
      </c>
      <c r="O569" s="60">
        <f>J569*K569*L569</f>
        <v>0</v>
      </c>
    </row>
    <row r="570" spans="1:15" s="38" customFormat="1" ht="11.45" customHeight="1" outlineLevel="1" x14ac:dyDescent="0.25">
      <c r="A570" s="124"/>
      <c r="B570" s="142"/>
      <c r="C570" s="115"/>
      <c r="D570" s="115"/>
      <c r="E570" s="115"/>
      <c r="F570" s="115"/>
      <c r="G570" s="60" t="s">
        <v>126</v>
      </c>
      <c r="H570" s="124"/>
      <c r="I570" s="124"/>
      <c r="J570" s="60"/>
      <c r="K570" s="60"/>
      <c r="L570" s="60"/>
      <c r="M570" s="60"/>
      <c r="N570" s="60">
        <f t="shared" ref="N570:N575" si="177">M570*J570*K570*L570</f>
        <v>0</v>
      </c>
      <c r="O570" s="60">
        <f t="shared" ref="O570:O575" si="178">J570*K570*L570</f>
        <v>0</v>
      </c>
    </row>
    <row r="571" spans="1:15" s="38" customFormat="1" ht="10.7" customHeight="1" outlineLevel="1" x14ac:dyDescent="0.25">
      <c r="A571" s="124"/>
      <c r="B571" s="142"/>
      <c r="C571" s="115"/>
      <c r="D571" s="115"/>
      <c r="E571" s="115"/>
      <c r="F571" s="115"/>
      <c r="G571" s="60" t="s">
        <v>127</v>
      </c>
      <c r="H571" s="124"/>
      <c r="I571" s="124"/>
      <c r="J571" s="60"/>
      <c r="K571" s="60"/>
      <c r="L571" s="60"/>
      <c r="M571" s="60"/>
      <c r="N571" s="60">
        <f t="shared" si="177"/>
        <v>0</v>
      </c>
      <c r="O571" s="60">
        <f t="shared" si="178"/>
        <v>0</v>
      </c>
    </row>
    <row r="572" spans="1:15" s="38" customFormat="1" ht="10.7" customHeight="1" outlineLevel="1" x14ac:dyDescent="0.25">
      <c r="A572" s="124"/>
      <c r="B572" s="142"/>
      <c r="C572" s="115"/>
      <c r="D572" s="115"/>
      <c r="E572" s="115"/>
      <c r="F572" s="115"/>
      <c r="G572" s="60" t="s">
        <v>128</v>
      </c>
      <c r="H572" s="124"/>
      <c r="I572" s="124"/>
      <c r="J572" s="60"/>
      <c r="K572" s="60"/>
      <c r="L572" s="60"/>
      <c r="M572" s="60"/>
      <c r="N572" s="60">
        <f t="shared" si="177"/>
        <v>0</v>
      </c>
      <c r="O572" s="60">
        <f t="shared" si="178"/>
        <v>0</v>
      </c>
    </row>
    <row r="573" spans="1:15" s="38" customFormat="1" ht="10.7" customHeight="1" outlineLevel="1" x14ac:dyDescent="0.25">
      <c r="A573" s="124"/>
      <c r="B573" s="142"/>
      <c r="C573" s="115"/>
      <c r="D573" s="115"/>
      <c r="E573" s="115"/>
      <c r="F573" s="115"/>
      <c r="G573" s="60" t="s">
        <v>129</v>
      </c>
      <c r="H573" s="124"/>
      <c r="I573" s="124"/>
      <c r="J573" s="60"/>
      <c r="K573" s="60"/>
      <c r="L573" s="60"/>
      <c r="M573" s="60"/>
      <c r="N573" s="60">
        <f t="shared" si="177"/>
        <v>0</v>
      </c>
      <c r="O573" s="60">
        <f t="shared" si="178"/>
        <v>0</v>
      </c>
    </row>
    <row r="574" spans="1:15" s="38" customFormat="1" ht="10.7" customHeight="1" outlineLevel="1" x14ac:dyDescent="0.25">
      <c r="A574" s="124"/>
      <c r="B574" s="142"/>
      <c r="C574" s="115"/>
      <c r="D574" s="115"/>
      <c r="E574" s="115"/>
      <c r="F574" s="115"/>
      <c r="G574" s="60" t="s">
        <v>130</v>
      </c>
      <c r="H574" s="124"/>
      <c r="I574" s="124"/>
      <c r="J574" s="60"/>
      <c r="K574" s="60"/>
      <c r="L574" s="60"/>
      <c r="M574" s="60"/>
      <c r="N574" s="60">
        <f t="shared" si="177"/>
        <v>0</v>
      </c>
      <c r="O574" s="60">
        <f t="shared" si="178"/>
        <v>0</v>
      </c>
    </row>
    <row r="575" spans="1:15" s="38" customFormat="1" ht="12" customHeight="1" outlineLevel="1" thickBot="1" x14ac:dyDescent="0.3">
      <c r="A575" s="125"/>
      <c r="B575" s="143"/>
      <c r="C575" s="131"/>
      <c r="D575" s="131"/>
      <c r="E575" s="131"/>
      <c r="F575" s="131"/>
      <c r="G575" s="60" t="s">
        <v>131</v>
      </c>
      <c r="H575" s="134"/>
      <c r="I575" s="134"/>
      <c r="J575" s="60"/>
      <c r="K575" s="60"/>
      <c r="L575" s="60"/>
      <c r="M575" s="60"/>
      <c r="N575" s="60">
        <f t="shared" si="177"/>
        <v>0</v>
      </c>
      <c r="O575" s="60">
        <f t="shared" si="178"/>
        <v>0</v>
      </c>
    </row>
    <row r="576" spans="1:15" s="38" customFormat="1" ht="14.45" customHeight="1" outlineLevel="1" x14ac:dyDescent="0.25">
      <c r="A576" s="140" t="s">
        <v>521</v>
      </c>
      <c r="B576" s="141" t="s">
        <v>522</v>
      </c>
      <c r="C576" s="130">
        <f>SUM(N576:N582)</f>
        <v>0</v>
      </c>
      <c r="D576" s="130">
        <f>SUM(O576:O582)</f>
        <v>0</v>
      </c>
      <c r="E576" s="130">
        <f t="shared" si="170"/>
        <v>0</v>
      </c>
      <c r="F576" s="130"/>
      <c r="G576" s="60" t="s">
        <v>125</v>
      </c>
      <c r="H576" s="123"/>
      <c r="I576" s="123"/>
      <c r="J576" s="60"/>
      <c r="K576" s="60"/>
      <c r="L576" s="60"/>
      <c r="M576" s="60"/>
      <c r="N576" s="60">
        <f>M576*J576*K576*L576</f>
        <v>0</v>
      </c>
      <c r="O576" s="60">
        <f>J576*K576*L576</f>
        <v>0</v>
      </c>
    </row>
    <row r="577" spans="1:15" s="38" customFormat="1" ht="11.45" customHeight="1" outlineLevel="1" x14ac:dyDescent="0.25">
      <c r="A577" s="124"/>
      <c r="B577" s="142"/>
      <c r="C577" s="115"/>
      <c r="D577" s="115"/>
      <c r="E577" s="115"/>
      <c r="F577" s="115"/>
      <c r="G577" s="60" t="s">
        <v>126</v>
      </c>
      <c r="H577" s="124"/>
      <c r="I577" s="124"/>
      <c r="J577" s="60"/>
      <c r="K577" s="60"/>
      <c r="L577" s="60"/>
      <c r="M577" s="60"/>
      <c r="N577" s="60">
        <f t="shared" ref="N577:N582" si="179">M577*J577*K577*L577</f>
        <v>0</v>
      </c>
      <c r="O577" s="60">
        <f t="shared" ref="O577:O582" si="180">J577*K577*L577</f>
        <v>0</v>
      </c>
    </row>
    <row r="578" spans="1:15" s="38" customFormat="1" ht="10.7" customHeight="1" outlineLevel="1" x14ac:dyDescent="0.25">
      <c r="A578" s="124"/>
      <c r="B578" s="142"/>
      <c r="C578" s="115"/>
      <c r="D578" s="115"/>
      <c r="E578" s="115"/>
      <c r="F578" s="115"/>
      <c r="G578" s="60" t="s">
        <v>127</v>
      </c>
      <c r="H578" s="124"/>
      <c r="I578" s="124"/>
      <c r="J578" s="60"/>
      <c r="K578" s="60"/>
      <c r="L578" s="60"/>
      <c r="M578" s="60"/>
      <c r="N578" s="60">
        <f t="shared" si="179"/>
        <v>0</v>
      </c>
      <c r="O578" s="60">
        <f t="shared" si="180"/>
        <v>0</v>
      </c>
    </row>
    <row r="579" spans="1:15" s="38" customFormat="1" ht="10.7" customHeight="1" outlineLevel="1" x14ac:dyDescent="0.25">
      <c r="A579" s="124"/>
      <c r="B579" s="142"/>
      <c r="C579" s="115"/>
      <c r="D579" s="115"/>
      <c r="E579" s="115"/>
      <c r="F579" s="115"/>
      <c r="G579" s="60" t="s">
        <v>128</v>
      </c>
      <c r="H579" s="124"/>
      <c r="I579" s="124"/>
      <c r="J579" s="60"/>
      <c r="K579" s="60"/>
      <c r="L579" s="60"/>
      <c r="M579" s="60"/>
      <c r="N579" s="60">
        <f t="shared" si="179"/>
        <v>0</v>
      </c>
      <c r="O579" s="60">
        <f t="shared" si="180"/>
        <v>0</v>
      </c>
    </row>
    <row r="580" spans="1:15" s="38" customFormat="1" ht="10.7" customHeight="1" outlineLevel="1" x14ac:dyDescent="0.25">
      <c r="A580" s="124"/>
      <c r="B580" s="142"/>
      <c r="C580" s="115"/>
      <c r="D580" s="115"/>
      <c r="E580" s="115"/>
      <c r="F580" s="115"/>
      <c r="G580" s="60" t="s">
        <v>129</v>
      </c>
      <c r="H580" s="124"/>
      <c r="I580" s="124"/>
      <c r="J580" s="60"/>
      <c r="K580" s="60"/>
      <c r="L580" s="60"/>
      <c r="M580" s="60"/>
      <c r="N580" s="60">
        <f t="shared" si="179"/>
        <v>0</v>
      </c>
      <c r="O580" s="60">
        <f t="shared" si="180"/>
        <v>0</v>
      </c>
    </row>
    <row r="581" spans="1:15" s="38" customFormat="1" ht="10.7" customHeight="1" outlineLevel="1" x14ac:dyDescent="0.25">
      <c r="A581" s="124"/>
      <c r="B581" s="142"/>
      <c r="C581" s="115"/>
      <c r="D581" s="115"/>
      <c r="E581" s="115"/>
      <c r="F581" s="115"/>
      <c r="G581" s="60" t="s">
        <v>130</v>
      </c>
      <c r="H581" s="124"/>
      <c r="I581" s="124"/>
      <c r="J581" s="60"/>
      <c r="K581" s="60"/>
      <c r="L581" s="60"/>
      <c r="M581" s="60"/>
      <c r="N581" s="60">
        <f t="shared" si="179"/>
        <v>0</v>
      </c>
      <c r="O581" s="60">
        <f t="shared" si="180"/>
        <v>0</v>
      </c>
    </row>
    <row r="582" spans="1:15" s="38" customFormat="1" ht="12" customHeight="1" outlineLevel="1" thickBot="1" x14ac:dyDescent="0.3">
      <c r="A582" s="125"/>
      <c r="B582" s="143"/>
      <c r="C582" s="131"/>
      <c r="D582" s="131"/>
      <c r="E582" s="131"/>
      <c r="F582" s="131"/>
      <c r="G582" s="60" t="s">
        <v>131</v>
      </c>
      <c r="H582" s="134"/>
      <c r="I582" s="134"/>
      <c r="J582" s="60"/>
      <c r="K582" s="60"/>
      <c r="L582" s="60"/>
      <c r="M582" s="60"/>
      <c r="N582" s="60">
        <f t="shared" si="179"/>
        <v>0</v>
      </c>
      <c r="O582" s="60">
        <f t="shared" si="180"/>
        <v>0</v>
      </c>
    </row>
    <row r="583" spans="1:15" s="38" customFormat="1" ht="14.45" customHeight="1" outlineLevel="1" x14ac:dyDescent="0.25">
      <c r="A583" s="140" t="s">
        <v>523</v>
      </c>
      <c r="B583" s="141" t="s">
        <v>524</v>
      </c>
      <c r="C583" s="130">
        <f>SUM(N583:N589)</f>
        <v>0</v>
      </c>
      <c r="D583" s="130">
        <f>SUM(O583:O589)</f>
        <v>0</v>
      </c>
      <c r="E583" s="130">
        <f t="shared" si="170"/>
        <v>0</v>
      </c>
      <c r="F583" s="130"/>
      <c r="G583" s="60" t="s">
        <v>125</v>
      </c>
      <c r="H583" s="123"/>
      <c r="I583" s="123"/>
      <c r="J583" s="60"/>
      <c r="K583" s="60"/>
      <c r="L583" s="60"/>
      <c r="M583" s="60"/>
      <c r="N583" s="60">
        <f>M583*J583*K583*L583</f>
        <v>0</v>
      </c>
      <c r="O583" s="60">
        <f>J583*K583*L583</f>
        <v>0</v>
      </c>
    </row>
    <row r="584" spans="1:15" s="38" customFormat="1" ht="11.45" customHeight="1" outlineLevel="1" x14ac:dyDescent="0.25">
      <c r="A584" s="124"/>
      <c r="B584" s="142"/>
      <c r="C584" s="115"/>
      <c r="D584" s="115"/>
      <c r="E584" s="115"/>
      <c r="F584" s="115"/>
      <c r="G584" s="60" t="s">
        <v>126</v>
      </c>
      <c r="H584" s="124"/>
      <c r="I584" s="124"/>
      <c r="J584" s="60"/>
      <c r="K584" s="60"/>
      <c r="L584" s="60"/>
      <c r="M584" s="60"/>
      <c r="N584" s="60">
        <f t="shared" ref="N584:N589" si="181">M584*J584*K584*L584</f>
        <v>0</v>
      </c>
      <c r="O584" s="60">
        <f t="shared" ref="O584:O589" si="182">J584*K584*L584</f>
        <v>0</v>
      </c>
    </row>
    <row r="585" spans="1:15" s="38" customFormat="1" ht="10.7" customHeight="1" outlineLevel="1" x14ac:dyDescent="0.25">
      <c r="A585" s="124"/>
      <c r="B585" s="142"/>
      <c r="C585" s="115"/>
      <c r="D585" s="115"/>
      <c r="E585" s="115"/>
      <c r="F585" s="115"/>
      <c r="G585" s="60" t="s">
        <v>127</v>
      </c>
      <c r="H585" s="124"/>
      <c r="I585" s="124"/>
      <c r="J585" s="60"/>
      <c r="K585" s="60"/>
      <c r="L585" s="60"/>
      <c r="M585" s="60"/>
      <c r="N585" s="60">
        <f t="shared" si="181"/>
        <v>0</v>
      </c>
      <c r="O585" s="60">
        <f t="shared" si="182"/>
        <v>0</v>
      </c>
    </row>
    <row r="586" spans="1:15" s="38" customFormat="1" ht="10.7" customHeight="1" outlineLevel="1" x14ac:dyDescent="0.25">
      <c r="A586" s="124"/>
      <c r="B586" s="142"/>
      <c r="C586" s="115"/>
      <c r="D586" s="115"/>
      <c r="E586" s="115"/>
      <c r="F586" s="115"/>
      <c r="G586" s="60" t="s">
        <v>128</v>
      </c>
      <c r="H586" s="124"/>
      <c r="I586" s="124"/>
      <c r="J586" s="60"/>
      <c r="K586" s="60"/>
      <c r="L586" s="60"/>
      <c r="M586" s="60"/>
      <c r="N586" s="60">
        <f t="shared" si="181"/>
        <v>0</v>
      </c>
      <c r="O586" s="60">
        <f t="shared" si="182"/>
        <v>0</v>
      </c>
    </row>
    <row r="587" spans="1:15" s="38" customFormat="1" ht="10.7" customHeight="1" outlineLevel="1" x14ac:dyDescent="0.25">
      <c r="A587" s="124"/>
      <c r="B587" s="142"/>
      <c r="C587" s="115"/>
      <c r="D587" s="115"/>
      <c r="E587" s="115"/>
      <c r="F587" s="115"/>
      <c r="G587" s="60" t="s">
        <v>129</v>
      </c>
      <c r="H587" s="124"/>
      <c r="I587" s="124"/>
      <c r="J587" s="60"/>
      <c r="K587" s="60"/>
      <c r="L587" s="60"/>
      <c r="M587" s="60"/>
      <c r="N587" s="60">
        <f t="shared" si="181"/>
        <v>0</v>
      </c>
      <c r="O587" s="60">
        <f t="shared" si="182"/>
        <v>0</v>
      </c>
    </row>
    <row r="588" spans="1:15" s="38" customFormat="1" ht="10.7" customHeight="1" outlineLevel="1" x14ac:dyDescent="0.25">
      <c r="A588" s="124"/>
      <c r="B588" s="142"/>
      <c r="C588" s="115"/>
      <c r="D588" s="115"/>
      <c r="E588" s="115"/>
      <c r="F588" s="115"/>
      <c r="G588" s="60" t="s">
        <v>130</v>
      </c>
      <c r="H588" s="124"/>
      <c r="I588" s="124"/>
      <c r="J588" s="60"/>
      <c r="K588" s="60"/>
      <c r="L588" s="60"/>
      <c r="M588" s="60"/>
      <c r="N588" s="60">
        <f t="shared" si="181"/>
        <v>0</v>
      </c>
      <c r="O588" s="60">
        <f t="shared" si="182"/>
        <v>0</v>
      </c>
    </row>
    <row r="589" spans="1:15" s="38" customFormat="1" ht="12" customHeight="1" outlineLevel="1" thickBot="1" x14ac:dyDescent="0.3">
      <c r="A589" s="125"/>
      <c r="B589" s="143"/>
      <c r="C589" s="131"/>
      <c r="D589" s="131"/>
      <c r="E589" s="131"/>
      <c r="F589" s="131"/>
      <c r="G589" s="60" t="s">
        <v>131</v>
      </c>
      <c r="H589" s="134"/>
      <c r="I589" s="134"/>
      <c r="J589" s="60"/>
      <c r="K589" s="60"/>
      <c r="L589" s="60"/>
      <c r="M589" s="60"/>
      <c r="N589" s="60">
        <f t="shared" si="181"/>
        <v>0</v>
      </c>
      <c r="O589" s="60">
        <f t="shared" si="182"/>
        <v>0</v>
      </c>
    </row>
    <row r="590" spans="1:15" s="38" customFormat="1" ht="14.45" customHeight="1" outlineLevel="1" x14ac:dyDescent="0.25">
      <c r="A590" s="154" t="s">
        <v>525</v>
      </c>
      <c r="B590" s="141" t="s">
        <v>526</v>
      </c>
      <c r="C590" s="130">
        <f>SUM(N590:N596)</f>
        <v>0</v>
      </c>
      <c r="D590" s="130">
        <f>SUM(O590:O596)</f>
        <v>0</v>
      </c>
      <c r="E590" s="130">
        <f t="shared" si="170"/>
        <v>0</v>
      </c>
      <c r="F590" s="130"/>
      <c r="G590" s="60" t="s">
        <v>125</v>
      </c>
      <c r="H590" s="123"/>
      <c r="I590" s="123"/>
      <c r="J590" s="60"/>
      <c r="K590" s="60"/>
      <c r="L590" s="60"/>
      <c r="M590" s="60"/>
      <c r="N590" s="60">
        <f>M590*J590*K590*L590</f>
        <v>0</v>
      </c>
      <c r="O590" s="60">
        <f>J590*K590*L590</f>
        <v>0</v>
      </c>
    </row>
    <row r="591" spans="1:15" s="38" customFormat="1" ht="11.45" customHeight="1" outlineLevel="1" x14ac:dyDescent="0.25">
      <c r="A591" s="154"/>
      <c r="B591" s="142"/>
      <c r="C591" s="115"/>
      <c r="D591" s="115"/>
      <c r="E591" s="115"/>
      <c r="F591" s="115"/>
      <c r="G591" s="60" t="s">
        <v>126</v>
      </c>
      <c r="H591" s="124"/>
      <c r="I591" s="124"/>
      <c r="J591" s="60"/>
      <c r="K591" s="60"/>
      <c r="L591" s="60"/>
      <c r="M591" s="60"/>
      <c r="N591" s="60">
        <f t="shared" ref="N591:N596" si="183">M591*J591*K591*L591</f>
        <v>0</v>
      </c>
      <c r="O591" s="60">
        <f t="shared" ref="O591:O596" si="184">J591*K591*L591</f>
        <v>0</v>
      </c>
    </row>
    <row r="592" spans="1:15" s="38" customFormat="1" ht="10.7" customHeight="1" outlineLevel="1" x14ac:dyDescent="0.25">
      <c r="A592" s="154"/>
      <c r="B592" s="142"/>
      <c r="C592" s="115"/>
      <c r="D592" s="115"/>
      <c r="E592" s="115"/>
      <c r="F592" s="115"/>
      <c r="G592" s="60" t="s">
        <v>127</v>
      </c>
      <c r="H592" s="124"/>
      <c r="I592" s="124"/>
      <c r="J592" s="60"/>
      <c r="K592" s="60"/>
      <c r="L592" s="60"/>
      <c r="M592" s="60"/>
      <c r="N592" s="60">
        <f t="shared" si="183"/>
        <v>0</v>
      </c>
      <c r="O592" s="60">
        <f t="shared" si="184"/>
        <v>0</v>
      </c>
    </row>
    <row r="593" spans="1:15" s="38" customFormat="1" ht="10.7" customHeight="1" outlineLevel="1" x14ac:dyDescent="0.25">
      <c r="A593" s="154"/>
      <c r="B593" s="142"/>
      <c r="C593" s="115"/>
      <c r="D593" s="115"/>
      <c r="E593" s="115"/>
      <c r="F593" s="115"/>
      <c r="G593" s="60" t="s">
        <v>128</v>
      </c>
      <c r="H593" s="124"/>
      <c r="I593" s="124"/>
      <c r="J593" s="60"/>
      <c r="K593" s="60"/>
      <c r="L593" s="60"/>
      <c r="M593" s="60"/>
      <c r="N593" s="60">
        <f t="shared" si="183"/>
        <v>0</v>
      </c>
      <c r="O593" s="60">
        <f t="shared" si="184"/>
        <v>0</v>
      </c>
    </row>
    <row r="594" spans="1:15" s="38" customFormat="1" ht="10.7" customHeight="1" outlineLevel="1" x14ac:dyDescent="0.25">
      <c r="A594" s="154"/>
      <c r="B594" s="142"/>
      <c r="C594" s="115"/>
      <c r="D594" s="115"/>
      <c r="E594" s="115"/>
      <c r="F594" s="115"/>
      <c r="G594" s="60" t="s">
        <v>129</v>
      </c>
      <c r="H594" s="124"/>
      <c r="I594" s="124"/>
      <c r="J594" s="60"/>
      <c r="K594" s="60"/>
      <c r="L594" s="60"/>
      <c r="M594" s="60"/>
      <c r="N594" s="60">
        <f t="shared" si="183"/>
        <v>0</v>
      </c>
      <c r="O594" s="60">
        <f t="shared" si="184"/>
        <v>0</v>
      </c>
    </row>
    <row r="595" spans="1:15" s="38" customFormat="1" ht="10.7" customHeight="1" outlineLevel="1" x14ac:dyDescent="0.25">
      <c r="A595" s="154"/>
      <c r="B595" s="142"/>
      <c r="C595" s="115"/>
      <c r="D595" s="115"/>
      <c r="E595" s="115"/>
      <c r="F595" s="115"/>
      <c r="G595" s="60" t="s">
        <v>130</v>
      </c>
      <c r="H595" s="124"/>
      <c r="I595" s="124"/>
      <c r="J595" s="60"/>
      <c r="K595" s="60"/>
      <c r="L595" s="60"/>
      <c r="M595" s="60"/>
      <c r="N595" s="60">
        <f t="shared" si="183"/>
        <v>0</v>
      </c>
      <c r="O595" s="60">
        <f t="shared" si="184"/>
        <v>0</v>
      </c>
    </row>
    <row r="596" spans="1:15" s="38" customFormat="1" ht="12" customHeight="1" outlineLevel="1" thickBot="1" x14ac:dyDescent="0.3">
      <c r="A596" s="154"/>
      <c r="B596" s="143"/>
      <c r="C596" s="131"/>
      <c r="D596" s="131"/>
      <c r="E596" s="131"/>
      <c r="F596" s="131"/>
      <c r="G596" s="60" t="s">
        <v>131</v>
      </c>
      <c r="H596" s="134"/>
      <c r="I596" s="134"/>
      <c r="J596" s="60"/>
      <c r="K596" s="60"/>
      <c r="L596" s="60"/>
      <c r="M596" s="60"/>
      <c r="N596" s="60">
        <f t="shared" si="183"/>
        <v>0</v>
      </c>
      <c r="O596" s="60">
        <f t="shared" si="184"/>
        <v>0</v>
      </c>
    </row>
    <row r="597" spans="1:15" s="38" customFormat="1" ht="14.45" customHeight="1" outlineLevel="1" x14ac:dyDescent="0.25">
      <c r="A597" s="154"/>
      <c r="B597" s="141" t="s">
        <v>527</v>
      </c>
      <c r="C597" s="130">
        <f>SUM(N597:N603)</f>
        <v>0</v>
      </c>
      <c r="D597" s="130">
        <f>SUM(O597:O603)</f>
        <v>0</v>
      </c>
      <c r="E597" s="130">
        <f t="shared" ref="E597:E611" si="185">D597/8</f>
        <v>0</v>
      </c>
      <c r="F597" s="130"/>
      <c r="G597" s="60" t="s">
        <v>125</v>
      </c>
      <c r="H597" s="123"/>
      <c r="I597" s="123"/>
      <c r="J597" s="60"/>
      <c r="K597" s="60"/>
      <c r="L597" s="60"/>
      <c r="M597" s="60"/>
      <c r="N597" s="60">
        <f>M597*J597*K597*L597</f>
        <v>0</v>
      </c>
      <c r="O597" s="60">
        <f>J597*K597*L597</f>
        <v>0</v>
      </c>
    </row>
    <row r="598" spans="1:15" s="38" customFormat="1" ht="11.45" customHeight="1" outlineLevel="1" x14ac:dyDescent="0.25">
      <c r="A598" s="154"/>
      <c r="B598" s="142"/>
      <c r="C598" s="115"/>
      <c r="D598" s="115"/>
      <c r="E598" s="115"/>
      <c r="F598" s="115"/>
      <c r="G598" s="60" t="s">
        <v>126</v>
      </c>
      <c r="H598" s="124"/>
      <c r="I598" s="124"/>
      <c r="J598" s="60"/>
      <c r="K598" s="60"/>
      <c r="L598" s="60"/>
      <c r="M598" s="60"/>
      <c r="N598" s="60">
        <f t="shared" ref="N598:N603" si="186">M598*J598*K598*L598</f>
        <v>0</v>
      </c>
      <c r="O598" s="60">
        <f t="shared" ref="O598:O603" si="187">J598*K598*L598</f>
        <v>0</v>
      </c>
    </row>
    <row r="599" spans="1:15" s="38" customFormat="1" ht="10.7" customHeight="1" outlineLevel="1" x14ac:dyDescent="0.25">
      <c r="A599" s="154"/>
      <c r="B599" s="142"/>
      <c r="C599" s="115"/>
      <c r="D599" s="115"/>
      <c r="E599" s="115"/>
      <c r="F599" s="115"/>
      <c r="G599" s="60" t="s">
        <v>127</v>
      </c>
      <c r="H599" s="124"/>
      <c r="I599" s="124"/>
      <c r="J599" s="60"/>
      <c r="K599" s="60"/>
      <c r="L599" s="60"/>
      <c r="M599" s="60"/>
      <c r="N599" s="60">
        <f t="shared" si="186"/>
        <v>0</v>
      </c>
      <c r="O599" s="60">
        <f t="shared" si="187"/>
        <v>0</v>
      </c>
    </row>
    <row r="600" spans="1:15" s="38" customFormat="1" ht="10.7" customHeight="1" outlineLevel="1" x14ac:dyDescent="0.25">
      <c r="A600" s="154"/>
      <c r="B600" s="142"/>
      <c r="C600" s="115"/>
      <c r="D600" s="115"/>
      <c r="E600" s="115"/>
      <c r="F600" s="115"/>
      <c r="G600" s="60" t="s">
        <v>128</v>
      </c>
      <c r="H600" s="124"/>
      <c r="I600" s="124"/>
      <c r="J600" s="60"/>
      <c r="K600" s="60"/>
      <c r="L600" s="60"/>
      <c r="M600" s="60"/>
      <c r="N600" s="60">
        <f t="shared" si="186"/>
        <v>0</v>
      </c>
      <c r="O600" s="60">
        <f t="shared" si="187"/>
        <v>0</v>
      </c>
    </row>
    <row r="601" spans="1:15" s="38" customFormat="1" ht="10.7" customHeight="1" outlineLevel="1" x14ac:dyDescent="0.25">
      <c r="A601" s="154"/>
      <c r="B601" s="142"/>
      <c r="C601" s="115"/>
      <c r="D601" s="115"/>
      <c r="E601" s="115"/>
      <c r="F601" s="115"/>
      <c r="G601" s="60" t="s">
        <v>129</v>
      </c>
      <c r="H601" s="124"/>
      <c r="I601" s="124"/>
      <c r="J601" s="60"/>
      <c r="K601" s="60"/>
      <c r="L601" s="60"/>
      <c r="M601" s="60"/>
      <c r="N601" s="60">
        <f t="shared" si="186"/>
        <v>0</v>
      </c>
      <c r="O601" s="60">
        <f t="shared" si="187"/>
        <v>0</v>
      </c>
    </row>
    <row r="602" spans="1:15" s="38" customFormat="1" ht="10.7" customHeight="1" outlineLevel="1" x14ac:dyDescent="0.25">
      <c r="A602" s="154"/>
      <c r="B602" s="142"/>
      <c r="C602" s="115"/>
      <c r="D602" s="115"/>
      <c r="E602" s="115"/>
      <c r="F602" s="115"/>
      <c r="G602" s="60" t="s">
        <v>130</v>
      </c>
      <c r="H602" s="124"/>
      <c r="I602" s="124"/>
      <c r="J602" s="60"/>
      <c r="K602" s="60"/>
      <c r="L602" s="60"/>
      <c r="M602" s="60"/>
      <c r="N602" s="60">
        <f t="shared" si="186"/>
        <v>0</v>
      </c>
      <c r="O602" s="60">
        <f t="shared" si="187"/>
        <v>0</v>
      </c>
    </row>
    <row r="603" spans="1:15" s="38" customFormat="1" ht="12" customHeight="1" outlineLevel="1" thickBot="1" x14ac:dyDescent="0.3">
      <c r="A603" s="154"/>
      <c r="B603" s="143"/>
      <c r="C603" s="131"/>
      <c r="D603" s="131"/>
      <c r="E603" s="131"/>
      <c r="F603" s="131"/>
      <c r="G603" s="60" t="s">
        <v>131</v>
      </c>
      <c r="H603" s="134"/>
      <c r="I603" s="134"/>
      <c r="J603" s="60"/>
      <c r="K603" s="60"/>
      <c r="L603" s="60"/>
      <c r="M603" s="60"/>
      <c r="N603" s="60">
        <f t="shared" si="186"/>
        <v>0</v>
      </c>
      <c r="O603" s="60">
        <f t="shared" si="187"/>
        <v>0</v>
      </c>
    </row>
    <row r="604" spans="1:15" s="38" customFormat="1" ht="14.45" customHeight="1" outlineLevel="1" x14ac:dyDescent="0.25">
      <c r="A604" s="154"/>
      <c r="B604" s="141" t="s">
        <v>528</v>
      </c>
      <c r="C604" s="130">
        <f>SUM(N604:N610)</f>
        <v>0</v>
      </c>
      <c r="D604" s="130">
        <f>SUM(O604:O610)</f>
        <v>0</v>
      </c>
      <c r="E604" s="130">
        <f t="shared" si="185"/>
        <v>0</v>
      </c>
      <c r="F604" s="130"/>
      <c r="G604" s="60" t="s">
        <v>125</v>
      </c>
      <c r="H604" s="123"/>
      <c r="I604" s="123"/>
      <c r="J604" s="60"/>
      <c r="K604" s="60"/>
      <c r="L604" s="60"/>
      <c r="M604" s="60"/>
      <c r="N604" s="60">
        <f>M604*J604*K604*L604</f>
        <v>0</v>
      </c>
      <c r="O604" s="60">
        <f>J604*K604*L604</f>
        <v>0</v>
      </c>
    </row>
    <row r="605" spans="1:15" s="38" customFormat="1" ht="11.45" customHeight="1" outlineLevel="1" x14ac:dyDescent="0.25">
      <c r="A605" s="154"/>
      <c r="B605" s="142"/>
      <c r="C605" s="115"/>
      <c r="D605" s="115"/>
      <c r="E605" s="115"/>
      <c r="F605" s="115"/>
      <c r="G605" s="60" t="s">
        <v>126</v>
      </c>
      <c r="H605" s="124"/>
      <c r="I605" s="124"/>
      <c r="J605" s="60"/>
      <c r="K605" s="60"/>
      <c r="L605" s="60"/>
      <c r="M605" s="60"/>
      <c r="N605" s="60">
        <f t="shared" ref="N605:N610" si="188">M605*J605*K605*L605</f>
        <v>0</v>
      </c>
      <c r="O605" s="60">
        <f t="shared" ref="O605:O610" si="189">J605*K605*L605</f>
        <v>0</v>
      </c>
    </row>
    <row r="606" spans="1:15" s="38" customFormat="1" ht="10.7" customHeight="1" outlineLevel="1" x14ac:dyDescent="0.25">
      <c r="A606" s="154"/>
      <c r="B606" s="142"/>
      <c r="C606" s="115"/>
      <c r="D606" s="115"/>
      <c r="E606" s="115"/>
      <c r="F606" s="115"/>
      <c r="G606" s="60" t="s">
        <v>127</v>
      </c>
      <c r="H606" s="124"/>
      <c r="I606" s="124"/>
      <c r="J606" s="60"/>
      <c r="K606" s="60"/>
      <c r="L606" s="60"/>
      <c r="M606" s="60"/>
      <c r="N606" s="60">
        <f t="shared" si="188"/>
        <v>0</v>
      </c>
      <c r="O606" s="60">
        <f t="shared" si="189"/>
        <v>0</v>
      </c>
    </row>
    <row r="607" spans="1:15" s="38" customFormat="1" ht="10.7" customHeight="1" outlineLevel="1" x14ac:dyDescent="0.25">
      <c r="A607" s="154"/>
      <c r="B607" s="142"/>
      <c r="C607" s="115"/>
      <c r="D607" s="115"/>
      <c r="E607" s="115"/>
      <c r="F607" s="115"/>
      <c r="G607" s="60" t="s">
        <v>128</v>
      </c>
      <c r="H607" s="124"/>
      <c r="I607" s="124"/>
      <c r="J607" s="60"/>
      <c r="K607" s="60"/>
      <c r="L607" s="60"/>
      <c r="M607" s="60"/>
      <c r="N607" s="60">
        <f t="shared" si="188"/>
        <v>0</v>
      </c>
      <c r="O607" s="60">
        <f t="shared" si="189"/>
        <v>0</v>
      </c>
    </row>
    <row r="608" spans="1:15" s="38" customFormat="1" ht="10.7" customHeight="1" outlineLevel="1" x14ac:dyDescent="0.25">
      <c r="A608" s="154"/>
      <c r="B608" s="142"/>
      <c r="C608" s="115"/>
      <c r="D608" s="115"/>
      <c r="E608" s="115"/>
      <c r="F608" s="115"/>
      <c r="G608" s="60" t="s">
        <v>129</v>
      </c>
      <c r="H608" s="124"/>
      <c r="I608" s="124"/>
      <c r="J608" s="60"/>
      <c r="K608" s="60"/>
      <c r="L608" s="60"/>
      <c r="M608" s="60"/>
      <c r="N608" s="60">
        <f t="shared" si="188"/>
        <v>0</v>
      </c>
      <c r="O608" s="60">
        <f t="shared" si="189"/>
        <v>0</v>
      </c>
    </row>
    <row r="609" spans="1:15" s="38" customFormat="1" ht="10.7" customHeight="1" outlineLevel="1" x14ac:dyDescent="0.25">
      <c r="A609" s="154"/>
      <c r="B609" s="142"/>
      <c r="C609" s="115"/>
      <c r="D609" s="115"/>
      <c r="E609" s="115"/>
      <c r="F609" s="115"/>
      <c r="G609" s="60" t="s">
        <v>130</v>
      </c>
      <c r="H609" s="124"/>
      <c r="I609" s="124"/>
      <c r="J609" s="60"/>
      <c r="K609" s="60"/>
      <c r="L609" s="60"/>
      <c r="M609" s="60"/>
      <c r="N609" s="60">
        <f t="shared" si="188"/>
        <v>0</v>
      </c>
      <c r="O609" s="60">
        <f t="shared" si="189"/>
        <v>0</v>
      </c>
    </row>
    <row r="610" spans="1:15" s="38" customFormat="1" ht="12" customHeight="1" outlineLevel="1" thickBot="1" x14ac:dyDescent="0.3">
      <c r="A610" s="154"/>
      <c r="B610" s="143"/>
      <c r="C610" s="131"/>
      <c r="D610" s="131"/>
      <c r="E610" s="131"/>
      <c r="F610" s="131"/>
      <c r="G610" s="60" t="s">
        <v>131</v>
      </c>
      <c r="H610" s="134"/>
      <c r="I610" s="134"/>
      <c r="J610" s="60"/>
      <c r="K610" s="60"/>
      <c r="L610" s="60"/>
      <c r="M610" s="60"/>
      <c r="N610" s="60">
        <f t="shared" si="188"/>
        <v>0</v>
      </c>
      <c r="O610" s="60">
        <f t="shared" si="189"/>
        <v>0</v>
      </c>
    </row>
    <row r="611" spans="1:15" s="38" customFormat="1" ht="14.45" customHeight="1" outlineLevel="1" x14ac:dyDescent="0.25">
      <c r="A611" s="154"/>
      <c r="B611" s="141" t="s">
        <v>529</v>
      </c>
      <c r="C611" s="130">
        <f>SUM(N611:N617)</f>
        <v>0</v>
      </c>
      <c r="D611" s="130">
        <f>SUM(O611:O617)</f>
        <v>0</v>
      </c>
      <c r="E611" s="130">
        <f t="shared" si="185"/>
        <v>0</v>
      </c>
      <c r="F611" s="130"/>
      <c r="G611" s="60" t="s">
        <v>125</v>
      </c>
      <c r="H611" s="123"/>
      <c r="I611" s="123"/>
      <c r="J611" s="60"/>
      <c r="K611" s="60"/>
      <c r="L611" s="60"/>
      <c r="M611" s="60"/>
      <c r="N611" s="60">
        <f>M611*J611*K611*L611</f>
        <v>0</v>
      </c>
      <c r="O611" s="60">
        <f>J611*K611*L611</f>
        <v>0</v>
      </c>
    </row>
    <row r="612" spans="1:15" s="38" customFormat="1" ht="11.45" customHeight="1" outlineLevel="1" x14ac:dyDescent="0.25">
      <c r="A612" s="154"/>
      <c r="B612" s="142"/>
      <c r="C612" s="115"/>
      <c r="D612" s="115"/>
      <c r="E612" s="115"/>
      <c r="F612" s="115"/>
      <c r="G612" s="60" t="s">
        <v>126</v>
      </c>
      <c r="H612" s="124"/>
      <c r="I612" s="124"/>
      <c r="J612" s="60"/>
      <c r="K612" s="60"/>
      <c r="L612" s="60"/>
      <c r="M612" s="60"/>
      <c r="N612" s="60">
        <f t="shared" ref="N612:N617" si="190">M612*J612*K612*L612</f>
        <v>0</v>
      </c>
      <c r="O612" s="60">
        <f t="shared" ref="O612:O617" si="191">J612*K612*L612</f>
        <v>0</v>
      </c>
    </row>
    <row r="613" spans="1:15" s="38" customFormat="1" ht="10.7" customHeight="1" outlineLevel="1" x14ac:dyDescent="0.25">
      <c r="A613" s="154"/>
      <c r="B613" s="142"/>
      <c r="C613" s="115"/>
      <c r="D613" s="115"/>
      <c r="E613" s="115"/>
      <c r="F613" s="115"/>
      <c r="G613" s="60" t="s">
        <v>127</v>
      </c>
      <c r="H613" s="124"/>
      <c r="I613" s="124"/>
      <c r="J613" s="60"/>
      <c r="K613" s="60"/>
      <c r="L613" s="60"/>
      <c r="M613" s="60"/>
      <c r="N613" s="60">
        <f t="shared" si="190"/>
        <v>0</v>
      </c>
      <c r="O613" s="60">
        <f t="shared" si="191"/>
        <v>0</v>
      </c>
    </row>
    <row r="614" spans="1:15" s="38" customFormat="1" ht="10.7" customHeight="1" outlineLevel="1" x14ac:dyDescent="0.25">
      <c r="A614" s="154"/>
      <c r="B614" s="142"/>
      <c r="C614" s="115"/>
      <c r="D614" s="115"/>
      <c r="E614" s="115"/>
      <c r="F614" s="115"/>
      <c r="G614" s="60" t="s">
        <v>128</v>
      </c>
      <c r="H614" s="124"/>
      <c r="I614" s="124"/>
      <c r="J614" s="60"/>
      <c r="K614" s="60"/>
      <c r="L614" s="60"/>
      <c r="M614" s="60"/>
      <c r="N614" s="60">
        <f t="shared" si="190"/>
        <v>0</v>
      </c>
      <c r="O614" s="60">
        <f t="shared" si="191"/>
        <v>0</v>
      </c>
    </row>
    <row r="615" spans="1:15" s="38" customFormat="1" ht="10.7" customHeight="1" outlineLevel="1" x14ac:dyDescent="0.25">
      <c r="A615" s="154"/>
      <c r="B615" s="142"/>
      <c r="C615" s="115"/>
      <c r="D615" s="115"/>
      <c r="E615" s="115"/>
      <c r="F615" s="115"/>
      <c r="G615" s="60" t="s">
        <v>129</v>
      </c>
      <c r="H615" s="124"/>
      <c r="I615" s="124"/>
      <c r="J615" s="60"/>
      <c r="K615" s="60"/>
      <c r="L615" s="60"/>
      <c r="M615" s="60"/>
      <c r="N615" s="60">
        <f t="shared" si="190"/>
        <v>0</v>
      </c>
      <c r="O615" s="60">
        <f t="shared" si="191"/>
        <v>0</v>
      </c>
    </row>
    <row r="616" spans="1:15" s="38" customFormat="1" ht="10.7" customHeight="1" outlineLevel="1" x14ac:dyDescent="0.25">
      <c r="A616" s="154"/>
      <c r="B616" s="142"/>
      <c r="C616" s="115"/>
      <c r="D616" s="115"/>
      <c r="E616" s="115"/>
      <c r="F616" s="115"/>
      <c r="G616" s="60" t="s">
        <v>130</v>
      </c>
      <c r="H616" s="124"/>
      <c r="I616" s="124"/>
      <c r="J616" s="60"/>
      <c r="K616" s="60"/>
      <c r="L616" s="60"/>
      <c r="M616" s="60"/>
      <c r="N616" s="60">
        <f t="shared" si="190"/>
        <v>0</v>
      </c>
      <c r="O616" s="60">
        <f t="shared" si="191"/>
        <v>0</v>
      </c>
    </row>
    <row r="617" spans="1:15" s="38" customFormat="1" ht="12" customHeight="1" outlineLevel="1" thickBot="1" x14ac:dyDescent="0.3">
      <c r="A617" s="154"/>
      <c r="B617" s="143"/>
      <c r="C617" s="131"/>
      <c r="D617" s="131"/>
      <c r="E617" s="131"/>
      <c r="F617" s="131"/>
      <c r="G617" s="60" t="s">
        <v>131</v>
      </c>
      <c r="H617" s="134"/>
      <c r="I617" s="134"/>
      <c r="J617" s="60"/>
      <c r="K617" s="60"/>
      <c r="L617" s="60"/>
      <c r="M617" s="60"/>
      <c r="N617" s="60">
        <f t="shared" si="190"/>
        <v>0</v>
      </c>
      <c r="O617" s="60">
        <f t="shared" si="191"/>
        <v>0</v>
      </c>
    </row>
    <row r="618" spans="1:15" ht="19.5" thickBot="1" x14ac:dyDescent="0.35">
      <c r="A618" s="144" t="s">
        <v>530</v>
      </c>
      <c r="B618" s="145"/>
      <c r="C618" s="49">
        <f>C258+C60+C10</f>
        <v>0</v>
      </c>
      <c r="D618" s="64">
        <f>D10+D60+D258</f>
        <v>0</v>
      </c>
      <c r="E618" s="64">
        <f>E10+E60+E258</f>
        <v>0</v>
      </c>
      <c r="F618" s="59"/>
      <c r="G618" s="59"/>
      <c r="H618" s="59"/>
      <c r="I618" s="59"/>
      <c r="J618" s="59"/>
      <c r="K618" s="59"/>
      <c r="L618" s="59"/>
      <c r="M618" s="59"/>
      <c r="N618" s="59"/>
      <c r="O618" s="60"/>
    </row>
  </sheetData>
  <mergeCells count="704">
    <mergeCell ref="A618:B618"/>
    <mergeCell ref="B611:B617"/>
    <mergeCell ref="C611:C617"/>
    <mergeCell ref="D611:D617"/>
    <mergeCell ref="E611:E617"/>
    <mergeCell ref="F611:F617"/>
    <mergeCell ref="H611:H617"/>
    <mergeCell ref="I597:I603"/>
    <mergeCell ref="B604:B610"/>
    <mergeCell ref="C604:C610"/>
    <mergeCell ref="D604:D610"/>
    <mergeCell ref="E604:E610"/>
    <mergeCell ref="F604:F610"/>
    <mergeCell ref="H604:H610"/>
    <mergeCell ref="I604:I610"/>
    <mergeCell ref="B597:B603"/>
    <mergeCell ref="C597:C603"/>
    <mergeCell ref="D597:D603"/>
    <mergeCell ref="E597:E603"/>
    <mergeCell ref="F597:F603"/>
    <mergeCell ref="H597:H603"/>
    <mergeCell ref="H583:H589"/>
    <mergeCell ref="I583:I589"/>
    <mergeCell ref="A590:A617"/>
    <mergeCell ref="B590:B596"/>
    <mergeCell ref="C590:C596"/>
    <mergeCell ref="D590:D596"/>
    <mergeCell ref="E590:E596"/>
    <mergeCell ref="F590:F596"/>
    <mergeCell ref="H590:H596"/>
    <mergeCell ref="I590:I596"/>
    <mergeCell ref="A583:A589"/>
    <mergeCell ref="B583:B589"/>
    <mergeCell ref="C583:C589"/>
    <mergeCell ref="D583:D589"/>
    <mergeCell ref="E583:E589"/>
    <mergeCell ref="F583:F589"/>
    <mergeCell ref="I611:I617"/>
    <mergeCell ref="H569:H575"/>
    <mergeCell ref="I569:I575"/>
    <mergeCell ref="A576:A582"/>
    <mergeCell ref="B576:B582"/>
    <mergeCell ref="C576:C582"/>
    <mergeCell ref="D576:D582"/>
    <mergeCell ref="E576:E582"/>
    <mergeCell ref="F576:F582"/>
    <mergeCell ref="H576:H582"/>
    <mergeCell ref="I576:I582"/>
    <mergeCell ref="A569:A575"/>
    <mergeCell ref="B569:B575"/>
    <mergeCell ref="C569:C575"/>
    <mergeCell ref="D569:D575"/>
    <mergeCell ref="E569:E575"/>
    <mergeCell ref="F569:F575"/>
    <mergeCell ref="H555:H561"/>
    <mergeCell ref="I555:I561"/>
    <mergeCell ref="A562:A568"/>
    <mergeCell ref="B562:B568"/>
    <mergeCell ref="C562:C568"/>
    <mergeCell ref="D562:D568"/>
    <mergeCell ref="E562:E568"/>
    <mergeCell ref="F562:F568"/>
    <mergeCell ref="H562:H568"/>
    <mergeCell ref="I562:I568"/>
    <mergeCell ref="A555:A561"/>
    <mergeCell ref="B555:B561"/>
    <mergeCell ref="C555:C561"/>
    <mergeCell ref="D555:D561"/>
    <mergeCell ref="E555:E561"/>
    <mergeCell ref="F555:F561"/>
    <mergeCell ref="H539:H545"/>
    <mergeCell ref="I539:I545"/>
    <mergeCell ref="A548:A554"/>
    <mergeCell ref="B548:B554"/>
    <mergeCell ref="C548:C554"/>
    <mergeCell ref="D548:D554"/>
    <mergeCell ref="E548:E554"/>
    <mergeCell ref="F548:F554"/>
    <mergeCell ref="H548:H554"/>
    <mergeCell ref="I548:I554"/>
    <mergeCell ref="A539:A545"/>
    <mergeCell ref="B539:B545"/>
    <mergeCell ref="C539:C545"/>
    <mergeCell ref="D539:D545"/>
    <mergeCell ref="E539:E545"/>
    <mergeCell ref="F539:F545"/>
    <mergeCell ref="H525:H531"/>
    <mergeCell ref="I525:I531"/>
    <mergeCell ref="A532:A538"/>
    <mergeCell ref="B532:B538"/>
    <mergeCell ref="C532:C538"/>
    <mergeCell ref="D532:D538"/>
    <mergeCell ref="E532:E538"/>
    <mergeCell ref="F532:F538"/>
    <mergeCell ref="H532:H538"/>
    <mergeCell ref="I532:I538"/>
    <mergeCell ref="A525:A531"/>
    <mergeCell ref="B525:B531"/>
    <mergeCell ref="C525:C531"/>
    <mergeCell ref="D525:D531"/>
    <mergeCell ref="E525:E531"/>
    <mergeCell ref="F525:F531"/>
    <mergeCell ref="H511:H517"/>
    <mergeCell ref="I511:I517"/>
    <mergeCell ref="A518:A524"/>
    <mergeCell ref="B518:B524"/>
    <mergeCell ref="C518:C524"/>
    <mergeCell ref="D518:D524"/>
    <mergeCell ref="E518:E524"/>
    <mergeCell ref="F518:F524"/>
    <mergeCell ref="H518:H524"/>
    <mergeCell ref="I518:I524"/>
    <mergeCell ref="A511:A517"/>
    <mergeCell ref="B511:B517"/>
    <mergeCell ref="C511:C517"/>
    <mergeCell ref="D511:D517"/>
    <mergeCell ref="E511:E517"/>
    <mergeCell ref="F511:F517"/>
    <mergeCell ref="H497:H503"/>
    <mergeCell ref="I497:I503"/>
    <mergeCell ref="A504:A510"/>
    <mergeCell ref="B504:B510"/>
    <mergeCell ref="C504:C510"/>
    <mergeCell ref="D504:D510"/>
    <mergeCell ref="E504:E510"/>
    <mergeCell ref="F504:F510"/>
    <mergeCell ref="H504:H510"/>
    <mergeCell ref="I504:I510"/>
    <mergeCell ref="A497:A503"/>
    <mergeCell ref="B497:B503"/>
    <mergeCell ref="C497:C503"/>
    <mergeCell ref="D497:D503"/>
    <mergeCell ref="E497:E503"/>
    <mergeCell ref="F497:F503"/>
    <mergeCell ref="H483:H489"/>
    <mergeCell ref="I483:I489"/>
    <mergeCell ref="A490:A496"/>
    <mergeCell ref="B490:B496"/>
    <mergeCell ref="C490:C496"/>
    <mergeCell ref="D490:D496"/>
    <mergeCell ref="E490:E496"/>
    <mergeCell ref="F490:F496"/>
    <mergeCell ref="H490:H496"/>
    <mergeCell ref="I490:I496"/>
    <mergeCell ref="A483:A489"/>
    <mergeCell ref="B483:B489"/>
    <mergeCell ref="C483:C489"/>
    <mergeCell ref="D483:D489"/>
    <mergeCell ref="E483:E489"/>
    <mergeCell ref="F483:F489"/>
    <mergeCell ref="H469:H475"/>
    <mergeCell ref="I469:I475"/>
    <mergeCell ref="A476:A482"/>
    <mergeCell ref="B476:B482"/>
    <mergeCell ref="C476:C482"/>
    <mergeCell ref="D476:D482"/>
    <mergeCell ref="E476:E482"/>
    <mergeCell ref="F476:F482"/>
    <mergeCell ref="H476:H482"/>
    <mergeCell ref="I476:I482"/>
    <mergeCell ref="A469:A475"/>
    <mergeCell ref="B469:B475"/>
    <mergeCell ref="C469:C475"/>
    <mergeCell ref="D469:D475"/>
    <mergeCell ref="E469:E475"/>
    <mergeCell ref="F469:F475"/>
    <mergeCell ref="H455:H461"/>
    <mergeCell ref="I455:I461"/>
    <mergeCell ref="A462:A468"/>
    <mergeCell ref="B462:B468"/>
    <mergeCell ref="C462:C468"/>
    <mergeCell ref="D462:D468"/>
    <mergeCell ref="E462:E468"/>
    <mergeCell ref="F462:F468"/>
    <mergeCell ref="H462:H468"/>
    <mergeCell ref="I462:I468"/>
    <mergeCell ref="A455:A461"/>
    <mergeCell ref="B455:B461"/>
    <mergeCell ref="C455:C461"/>
    <mergeCell ref="D455:D461"/>
    <mergeCell ref="E455:E461"/>
    <mergeCell ref="F455:F461"/>
    <mergeCell ref="H441:H447"/>
    <mergeCell ref="I441:I447"/>
    <mergeCell ref="A448:A454"/>
    <mergeCell ref="B448:B454"/>
    <mergeCell ref="C448:C454"/>
    <mergeCell ref="D448:D454"/>
    <mergeCell ref="E448:E454"/>
    <mergeCell ref="F448:F454"/>
    <mergeCell ref="H448:H454"/>
    <mergeCell ref="I448:I454"/>
    <mergeCell ref="A441:A447"/>
    <mergeCell ref="B441:B447"/>
    <mergeCell ref="C441:C447"/>
    <mergeCell ref="D441:D447"/>
    <mergeCell ref="E441:E447"/>
    <mergeCell ref="F441:F447"/>
    <mergeCell ref="H427:H433"/>
    <mergeCell ref="I427:I433"/>
    <mergeCell ref="A434:A440"/>
    <mergeCell ref="B434:B440"/>
    <mergeCell ref="C434:C440"/>
    <mergeCell ref="D434:D440"/>
    <mergeCell ref="E434:E440"/>
    <mergeCell ref="F434:F440"/>
    <mergeCell ref="H434:H440"/>
    <mergeCell ref="I434:I440"/>
    <mergeCell ref="A427:A433"/>
    <mergeCell ref="B427:B433"/>
    <mergeCell ref="C427:C433"/>
    <mergeCell ref="D427:D433"/>
    <mergeCell ref="E427:E433"/>
    <mergeCell ref="F427:F433"/>
    <mergeCell ref="H413:H419"/>
    <mergeCell ref="I413:I419"/>
    <mergeCell ref="A420:A426"/>
    <mergeCell ref="B420:B426"/>
    <mergeCell ref="C420:C426"/>
    <mergeCell ref="D420:D426"/>
    <mergeCell ref="E420:E426"/>
    <mergeCell ref="F420:F426"/>
    <mergeCell ref="H420:H426"/>
    <mergeCell ref="I420:I426"/>
    <mergeCell ref="A413:A419"/>
    <mergeCell ref="B413:B419"/>
    <mergeCell ref="C413:C419"/>
    <mergeCell ref="D413:D419"/>
    <mergeCell ref="E413:E419"/>
    <mergeCell ref="F413:F419"/>
    <mergeCell ref="H399:H405"/>
    <mergeCell ref="I399:I405"/>
    <mergeCell ref="A406:A412"/>
    <mergeCell ref="B406:B412"/>
    <mergeCell ref="C406:C412"/>
    <mergeCell ref="D406:D412"/>
    <mergeCell ref="E406:E412"/>
    <mergeCell ref="F406:F412"/>
    <mergeCell ref="H406:H412"/>
    <mergeCell ref="I406:I412"/>
    <mergeCell ref="A399:A405"/>
    <mergeCell ref="B399:B405"/>
    <mergeCell ref="C399:C405"/>
    <mergeCell ref="D399:D405"/>
    <mergeCell ref="E399:E405"/>
    <mergeCell ref="F399:F405"/>
    <mergeCell ref="H385:H391"/>
    <mergeCell ref="I385:I391"/>
    <mergeCell ref="A392:A398"/>
    <mergeCell ref="B392:B398"/>
    <mergeCell ref="C392:C398"/>
    <mergeCell ref="D392:D398"/>
    <mergeCell ref="E392:E398"/>
    <mergeCell ref="F392:F398"/>
    <mergeCell ref="H392:H398"/>
    <mergeCell ref="I392:I398"/>
    <mergeCell ref="A385:A391"/>
    <mergeCell ref="B385:B391"/>
    <mergeCell ref="C385:C391"/>
    <mergeCell ref="D385:D391"/>
    <mergeCell ref="E385:E391"/>
    <mergeCell ref="F385:F391"/>
    <mergeCell ref="H371:H377"/>
    <mergeCell ref="I371:I377"/>
    <mergeCell ref="A378:A384"/>
    <mergeCell ref="B378:B384"/>
    <mergeCell ref="C378:C384"/>
    <mergeCell ref="D378:D384"/>
    <mergeCell ref="E378:E384"/>
    <mergeCell ref="F378:F384"/>
    <mergeCell ref="H378:H384"/>
    <mergeCell ref="I378:I384"/>
    <mergeCell ref="A371:A377"/>
    <mergeCell ref="B371:B377"/>
    <mergeCell ref="C371:C377"/>
    <mergeCell ref="D371:D377"/>
    <mergeCell ref="E371:E377"/>
    <mergeCell ref="F371:F377"/>
    <mergeCell ref="H357:H363"/>
    <mergeCell ref="I357:I363"/>
    <mergeCell ref="A364:A370"/>
    <mergeCell ref="B364:B370"/>
    <mergeCell ref="C364:C370"/>
    <mergeCell ref="D364:D370"/>
    <mergeCell ref="E364:E370"/>
    <mergeCell ref="F364:F370"/>
    <mergeCell ref="H364:H370"/>
    <mergeCell ref="I364:I370"/>
    <mergeCell ref="A357:A363"/>
    <mergeCell ref="B357:B363"/>
    <mergeCell ref="C357:C363"/>
    <mergeCell ref="D357:D363"/>
    <mergeCell ref="E357:E363"/>
    <mergeCell ref="F357:F363"/>
    <mergeCell ref="H343:H349"/>
    <mergeCell ref="I343:I349"/>
    <mergeCell ref="A350:A356"/>
    <mergeCell ref="B350:B356"/>
    <mergeCell ref="C350:C356"/>
    <mergeCell ref="D350:D356"/>
    <mergeCell ref="E350:E356"/>
    <mergeCell ref="F350:F356"/>
    <mergeCell ref="H350:H356"/>
    <mergeCell ref="I350:I356"/>
    <mergeCell ref="A343:A349"/>
    <mergeCell ref="B343:B349"/>
    <mergeCell ref="C343:C349"/>
    <mergeCell ref="D343:D349"/>
    <mergeCell ref="E343:E349"/>
    <mergeCell ref="F343:F349"/>
    <mergeCell ref="H329:H335"/>
    <mergeCell ref="I329:I335"/>
    <mergeCell ref="A336:A342"/>
    <mergeCell ref="B336:B342"/>
    <mergeCell ref="C336:C342"/>
    <mergeCell ref="D336:D342"/>
    <mergeCell ref="E336:E342"/>
    <mergeCell ref="F336:F342"/>
    <mergeCell ref="H336:H342"/>
    <mergeCell ref="I336:I342"/>
    <mergeCell ref="A329:A335"/>
    <mergeCell ref="B329:B335"/>
    <mergeCell ref="C329:C335"/>
    <mergeCell ref="D329:D335"/>
    <mergeCell ref="E329:E335"/>
    <mergeCell ref="F329:F335"/>
    <mergeCell ref="H315:H321"/>
    <mergeCell ref="I315:I321"/>
    <mergeCell ref="A322:A328"/>
    <mergeCell ref="B322:B328"/>
    <mergeCell ref="C322:C328"/>
    <mergeCell ref="D322:D328"/>
    <mergeCell ref="E322:E328"/>
    <mergeCell ref="F322:F328"/>
    <mergeCell ref="H322:H328"/>
    <mergeCell ref="I322:I328"/>
    <mergeCell ref="A315:A321"/>
    <mergeCell ref="B315:B321"/>
    <mergeCell ref="C315:C321"/>
    <mergeCell ref="D315:D321"/>
    <mergeCell ref="E315:E321"/>
    <mergeCell ref="F315:F321"/>
    <mergeCell ref="H301:H307"/>
    <mergeCell ref="I301:I307"/>
    <mergeCell ref="A308:A314"/>
    <mergeCell ref="B308:B314"/>
    <mergeCell ref="C308:C314"/>
    <mergeCell ref="D308:D314"/>
    <mergeCell ref="E308:E314"/>
    <mergeCell ref="F308:F314"/>
    <mergeCell ref="H308:H314"/>
    <mergeCell ref="I308:I314"/>
    <mergeCell ref="A301:A307"/>
    <mergeCell ref="B301:B307"/>
    <mergeCell ref="C301:C307"/>
    <mergeCell ref="D301:D307"/>
    <mergeCell ref="E301:E307"/>
    <mergeCell ref="F301:F307"/>
    <mergeCell ref="H287:H293"/>
    <mergeCell ref="I287:I293"/>
    <mergeCell ref="A294:A300"/>
    <mergeCell ref="B294:B300"/>
    <mergeCell ref="C294:C300"/>
    <mergeCell ref="D294:D300"/>
    <mergeCell ref="E294:E300"/>
    <mergeCell ref="F294:F300"/>
    <mergeCell ref="H294:H300"/>
    <mergeCell ref="I294:I300"/>
    <mergeCell ref="A287:A293"/>
    <mergeCell ref="B287:B293"/>
    <mergeCell ref="C287:C293"/>
    <mergeCell ref="D287:D293"/>
    <mergeCell ref="E287:E293"/>
    <mergeCell ref="F287:F293"/>
    <mergeCell ref="H273:H279"/>
    <mergeCell ref="I273:I279"/>
    <mergeCell ref="A280:A286"/>
    <mergeCell ref="B280:B286"/>
    <mergeCell ref="C280:C286"/>
    <mergeCell ref="D280:D286"/>
    <mergeCell ref="E280:E286"/>
    <mergeCell ref="F280:F286"/>
    <mergeCell ref="H280:H286"/>
    <mergeCell ref="I280:I286"/>
    <mergeCell ref="A273:A279"/>
    <mergeCell ref="B273:B279"/>
    <mergeCell ref="C273:C279"/>
    <mergeCell ref="D273:D279"/>
    <mergeCell ref="E273:E279"/>
    <mergeCell ref="F273:F279"/>
    <mergeCell ref="H259:H265"/>
    <mergeCell ref="I259:I265"/>
    <mergeCell ref="A266:A272"/>
    <mergeCell ref="B266:B272"/>
    <mergeCell ref="C266:C272"/>
    <mergeCell ref="D266:D272"/>
    <mergeCell ref="E266:E272"/>
    <mergeCell ref="F266:F272"/>
    <mergeCell ref="H266:H272"/>
    <mergeCell ref="I266:I272"/>
    <mergeCell ref="A259:A265"/>
    <mergeCell ref="B259:B265"/>
    <mergeCell ref="C259:C265"/>
    <mergeCell ref="D259:D265"/>
    <mergeCell ref="E259:E265"/>
    <mergeCell ref="F259:F265"/>
    <mergeCell ref="H244:H250"/>
    <mergeCell ref="I244:I250"/>
    <mergeCell ref="A251:A257"/>
    <mergeCell ref="B251:B257"/>
    <mergeCell ref="C251:C257"/>
    <mergeCell ref="D251:D257"/>
    <mergeCell ref="E251:E257"/>
    <mergeCell ref="F251:F257"/>
    <mergeCell ref="H251:H257"/>
    <mergeCell ref="I251:I257"/>
    <mergeCell ref="A244:A250"/>
    <mergeCell ref="B244:B250"/>
    <mergeCell ref="C244:C250"/>
    <mergeCell ref="D244:D250"/>
    <mergeCell ref="E244:E250"/>
    <mergeCell ref="F244:F250"/>
    <mergeCell ref="H230:H236"/>
    <mergeCell ref="I230:I236"/>
    <mergeCell ref="A237:A243"/>
    <mergeCell ref="B237:B243"/>
    <mergeCell ref="C237:C243"/>
    <mergeCell ref="D237:D243"/>
    <mergeCell ref="E237:E243"/>
    <mergeCell ref="F237:F243"/>
    <mergeCell ref="H237:H243"/>
    <mergeCell ref="I237:I243"/>
    <mergeCell ref="A230:A236"/>
    <mergeCell ref="B230:B236"/>
    <mergeCell ref="C230:C236"/>
    <mergeCell ref="D230:D236"/>
    <mergeCell ref="E230:E236"/>
    <mergeCell ref="F230:F236"/>
    <mergeCell ref="H216:H222"/>
    <mergeCell ref="I216:I222"/>
    <mergeCell ref="A223:A229"/>
    <mergeCell ref="B223:B229"/>
    <mergeCell ref="C223:C229"/>
    <mergeCell ref="D223:D229"/>
    <mergeCell ref="E223:E229"/>
    <mergeCell ref="F223:F229"/>
    <mergeCell ref="H223:H229"/>
    <mergeCell ref="I223:I229"/>
    <mergeCell ref="A216:A222"/>
    <mergeCell ref="B216:B222"/>
    <mergeCell ref="C216:C222"/>
    <mergeCell ref="D216:D222"/>
    <mergeCell ref="E216:E222"/>
    <mergeCell ref="F216:F222"/>
    <mergeCell ref="H202:H208"/>
    <mergeCell ref="I202:I208"/>
    <mergeCell ref="A209:A215"/>
    <mergeCell ref="B209:B215"/>
    <mergeCell ref="C209:C215"/>
    <mergeCell ref="D209:D215"/>
    <mergeCell ref="E209:E215"/>
    <mergeCell ref="F209:F215"/>
    <mergeCell ref="H209:H215"/>
    <mergeCell ref="I209:I215"/>
    <mergeCell ref="A202:A208"/>
    <mergeCell ref="B202:B208"/>
    <mergeCell ref="C202:C208"/>
    <mergeCell ref="D202:D208"/>
    <mergeCell ref="E202:E208"/>
    <mergeCell ref="F202:F208"/>
    <mergeCell ref="H188:H194"/>
    <mergeCell ref="I188:I194"/>
    <mergeCell ref="A195:A201"/>
    <mergeCell ref="B195:B201"/>
    <mergeCell ref="C195:C201"/>
    <mergeCell ref="D195:D201"/>
    <mergeCell ref="E195:E201"/>
    <mergeCell ref="F195:F201"/>
    <mergeCell ref="H195:H201"/>
    <mergeCell ref="I195:I201"/>
    <mergeCell ref="A188:A194"/>
    <mergeCell ref="B188:B194"/>
    <mergeCell ref="C188:C194"/>
    <mergeCell ref="D188:D194"/>
    <mergeCell ref="E188:E194"/>
    <mergeCell ref="F188:F194"/>
    <mergeCell ref="H174:H180"/>
    <mergeCell ref="I174:I180"/>
    <mergeCell ref="A181:A187"/>
    <mergeCell ref="B181:B187"/>
    <mergeCell ref="C181:C187"/>
    <mergeCell ref="D181:D187"/>
    <mergeCell ref="E181:E187"/>
    <mergeCell ref="F181:F187"/>
    <mergeCell ref="H181:H187"/>
    <mergeCell ref="I181:I187"/>
    <mergeCell ref="A174:A180"/>
    <mergeCell ref="B174:B180"/>
    <mergeCell ref="C174:C180"/>
    <mergeCell ref="D174:D180"/>
    <mergeCell ref="E174:E180"/>
    <mergeCell ref="F174:F180"/>
    <mergeCell ref="H160:H166"/>
    <mergeCell ref="I160:I166"/>
    <mergeCell ref="A167:A173"/>
    <mergeCell ref="B167:B173"/>
    <mergeCell ref="C167:C173"/>
    <mergeCell ref="D167:D173"/>
    <mergeCell ref="E167:E173"/>
    <mergeCell ref="F167:F173"/>
    <mergeCell ref="H167:H173"/>
    <mergeCell ref="I167:I173"/>
    <mergeCell ref="A160:A166"/>
    <mergeCell ref="B160:B166"/>
    <mergeCell ref="C160:C166"/>
    <mergeCell ref="D160:D166"/>
    <mergeCell ref="E160:E166"/>
    <mergeCell ref="F160:F166"/>
    <mergeCell ref="H146:H152"/>
    <mergeCell ref="I146:I152"/>
    <mergeCell ref="A153:A159"/>
    <mergeCell ref="B153:B159"/>
    <mergeCell ref="C153:C159"/>
    <mergeCell ref="D153:D159"/>
    <mergeCell ref="E153:E159"/>
    <mergeCell ref="F153:F159"/>
    <mergeCell ref="H153:H159"/>
    <mergeCell ref="I153:I159"/>
    <mergeCell ref="A146:A152"/>
    <mergeCell ref="B146:B152"/>
    <mergeCell ref="C146:C152"/>
    <mergeCell ref="D146:D152"/>
    <mergeCell ref="E146:E152"/>
    <mergeCell ref="F146:F152"/>
    <mergeCell ref="H132:H138"/>
    <mergeCell ref="I132:I138"/>
    <mergeCell ref="A139:A145"/>
    <mergeCell ref="B139:B145"/>
    <mergeCell ref="C139:C145"/>
    <mergeCell ref="D139:D145"/>
    <mergeCell ref="E139:E145"/>
    <mergeCell ref="F139:F145"/>
    <mergeCell ref="H139:H145"/>
    <mergeCell ref="I139:I145"/>
    <mergeCell ref="A132:A138"/>
    <mergeCell ref="B132:B138"/>
    <mergeCell ref="C132:C138"/>
    <mergeCell ref="D132:D138"/>
    <mergeCell ref="E132:E138"/>
    <mergeCell ref="F132:F138"/>
    <mergeCell ref="H118:H124"/>
    <mergeCell ref="I118:I124"/>
    <mergeCell ref="A125:A131"/>
    <mergeCell ref="B125:B131"/>
    <mergeCell ref="C125:C131"/>
    <mergeCell ref="D125:D131"/>
    <mergeCell ref="E125:E131"/>
    <mergeCell ref="F125:F131"/>
    <mergeCell ref="H125:H131"/>
    <mergeCell ref="I125:I131"/>
    <mergeCell ref="A118:A124"/>
    <mergeCell ref="B118:B124"/>
    <mergeCell ref="C118:C124"/>
    <mergeCell ref="D118:D124"/>
    <mergeCell ref="E118:E124"/>
    <mergeCell ref="F118:F124"/>
    <mergeCell ref="H104:H110"/>
    <mergeCell ref="I104:I110"/>
    <mergeCell ref="A111:A117"/>
    <mergeCell ref="B111:B117"/>
    <mergeCell ref="C111:C117"/>
    <mergeCell ref="D111:D117"/>
    <mergeCell ref="E111:E117"/>
    <mergeCell ref="F111:F117"/>
    <mergeCell ref="H111:H117"/>
    <mergeCell ref="I111:I117"/>
    <mergeCell ref="A104:A110"/>
    <mergeCell ref="B104:B110"/>
    <mergeCell ref="C104:C110"/>
    <mergeCell ref="D104:D110"/>
    <mergeCell ref="E104:E110"/>
    <mergeCell ref="F104:F110"/>
    <mergeCell ref="H90:H96"/>
    <mergeCell ref="I90:I96"/>
    <mergeCell ref="A97:A103"/>
    <mergeCell ref="B97:B103"/>
    <mergeCell ref="C97:C103"/>
    <mergeCell ref="D97:D103"/>
    <mergeCell ref="E97:E103"/>
    <mergeCell ref="F97:F103"/>
    <mergeCell ref="H97:H103"/>
    <mergeCell ref="I97:I103"/>
    <mergeCell ref="A90:A96"/>
    <mergeCell ref="B90:B96"/>
    <mergeCell ref="C90:C96"/>
    <mergeCell ref="D90:D96"/>
    <mergeCell ref="E90:E96"/>
    <mergeCell ref="F90:F96"/>
    <mergeCell ref="H75:H81"/>
    <mergeCell ref="I75:I81"/>
    <mergeCell ref="A82:A88"/>
    <mergeCell ref="B82:B88"/>
    <mergeCell ref="C82:C88"/>
    <mergeCell ref="D82:D88"/>
    <mergeCell ref="E82:E88"/>
    <mergeCell ref="F82:F88"/>
    <mergeCell ref="H82:H88"/>
    <mergeCell ref="I82:I88"/>
    <mergeCell ref="A75:A81"/>
    <mergeCell ref="B75:B81"/>
    <mergeCell ref="C75:C81"/>
    <mergeCell ref="D75:D81"/>
    <mergeCell ref="E75:E81"/>
    <mergeCell ref="F75:F81"/>
    <mergeCell ref="H61:H67"/>
    <mergeCell ref="I61:I67"/>
    <mergeCell ref="A68:A74"/>
    <mergeCell ref="B68:B74"/>
    <mergeCell ref="C68:C74"/>
    <mergeCell ref="D68:D74"/>
    <mergeCell ref="E68:E74"/>
    <mergeCell ref="F68:F74"/>
    <mergeCell ref="H68:H74"/>
    <mergeCell ref="I68:I74"/>
    <mergeCell ref="A61:A67"/>
    <mergeCell ref="B61:B67"/>
    <mergeCell ref="C61:C67"/>
    <mergeCell ref="D61:D67"/>
    <mergeCell ref="E61:E67"/>
    <mergeCell ref="F61:F67"/>
    <mergeCell ref="H46:H52"/>
    <mergeCell ref="I46:I52"/>
    <mergeCell ref="A53:A59"/>
    <mergeCell ref="B53:B59"/>
    <mergeCell ref="C53:C59"/>
    <mergeCell ref="D53:D59"/>
    <mergeCell ref="E53:E59"/>
    <mergeCell ref="F53:F59"/>
    <mergeCell ref="H53:H59"/>
    <mergeCell ref="I53:I59"/>
    <mergeCell ref="A46:A52"/>
    <mergeCell ref="B46:B52"/>
    <mergeCell ref="C46:C52"/>
    <mergeCell ref="D46:D52"/>
    <mergeCell ref="E46:E52"/>
    <mergeCell ref="F46:F52"/>
    <mergeCell ref="H32:H38"/>
    <mergeCell ref="I32:I38"/>
    <mergeCell ref="A39:A45"/>
    <mergeCell ref="B39:B45"/>
    <mergeCell ref="C39:C45"/>
    <mergeCell ref="D39:D45"/>
    <mergeCell ref="E39:E45"/>
    <mergeCell ref="F39:F45"/>
    <mergeCell ref="H39:H45"/>
    <mergeCell ref="I39:I45"/>
    <mergeCell ref="A32:A38"/>
    <mergeCell ref="B32:B38"/>
    <mergeCell ref="C32:C38"/>
    <mergeCell ref="D32:D38"/>
    <mergeCell ref="E32:E38"/>
    <mergeCell ref="F32:F38"/>
    <mergeCell ref="H18:H24"/>
    <mergeCell ref="I18:I24"/>
    <mergeCell ref="A25:A31"/>
    <mergeCell ref="B25:B31"/>
    <mergeCell ref="C25:C31"/>
    <mergeCell ref="D25:D31"/>
    <mergeCell ref="E25:E31"/>
    <mergeCell ref="F25:F31"/>
    <mergeCell ref="H25:H31"/>
    <mergeCell ref="I25:I31"/>
    <mergeCell ref="A18:A24"/>
    <mergeCell ref="B18:B24"/>
    <mergeCell ref="C18:C24"/>
    <mergeCell ref="D18:D24"/>
    <mergeCell ref="E18:E24"/>
    <mergeCell ref="F18:F24"/>
    <mergeCell ref="A9:O9"/>
    <mergeCell ref="A11:A17"/>
    <mergeCell ref="B11:B17"/>
    <mergeCell ref="C11:C17"/>
    <mergeCell ref="D11:D17"/>
    <mergeCell ref="E11:E17"/>
    <mergeCell ref="F11:F17"/>
    <mergeCell ref="H11:H17"/>
    <mergeCell ref="I11:I17"/>
    <mergeCell ref="A2:O3"/>
    <mergeCell ref="C4:O4"/>
    <mergeCell ref="A5:A8"/>
    <mergeCell ref="B5:B8"/>
    <mergeCell ref="C5:C8"/>
    <mergeCell ref="D5:D8"/>
    <mergeCell ref="E5:E8"/>
    <mergeCell ref="F5:F8"/>
    <mergeCell ref="G5:O6"/>
    <mergeCell ref="G7:G8"/>
    <mergeCell ref="O7:O8"/>
    <mergeCell ref="H7:I7"/>
    <mergeCell ref="J7:J8"/>
    <mergeCell ref="K7:K8"/>
    <mergeCell ref="L7:L8"/>
    <mergeCell ref="M7:M8"/>
    <mergeCell ref="N7:N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6"/>
  <sheetViews>
    <sheetView zoomScale="60" zoomScaleNormal="60" workbookViewId="0">
      <selection activeCell="A2" sqref="A2:O3"/>
    </sheetView>
  </sheetViews>
  <sheetFormatPr defaultColWidth="9.140625" defaultRowHeight="15" outlineLevelRow="1" x14ac:dyDescent="0.25"/>
  <cols>
    <col min="1" max="1" width="8.42578125" style="22" customWidth="1"/>
    <col min="2" max="2" width="100.5703125" style="21" customWidth="1"/>
    <col min="3" max="3" width="14.85546875" style="21" customWidth="1"/>
    <col min="4" max="5" width="12.42578125" style="21" customWidth="1"/>
    <col min="6" max="6" width="14.42578125" style="21" customWidth="1"/>
    <col min="7" max="7" width="13.140625" style="21" customWidth="1"/>
    <col min="8" max="8" width="10.85546875" style="21" customWidth="1"/>
    <col min="9" max="9" width="9.85546875" style="21" customWidth="1"/>
    <col min="10" max="10" width="7" style="21" customWidth="1"/>
    <col min="11" max="11" width="8" style="21" customWidth="1"/>
    <col min="12" max="12" width="9.140625" style="21" customWidth="1"/>
    <col min="13" max="13" width="14.5703125" style="21" customWidth="1"/>
    <col min="14" max="14" width="17.85546875" style="21" customWidth="1"/>
    <col min="15" max="15" width="18.85546875" style="21" customWidth="1"/>
    <col min="16" max="16" width="17.42578125" style="21" customWidth="1"/>
    <col min="17" max="16384" width="9.140625" style="21"/>
  </cols>
  <sheetData>
    <row r="1" spans="1:15" ht="55.35" customHeight="1" x14ac:dyDescent="0.25">
      <c r="A1" s="23" t="s">
        <v>0</v>
      </c>
      <c r="B1" s="19"/>
      <c r="C1" s="20" t="s">
        <v>1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5" ht="15" customHeight="1" x14ac:dyDescent="0.25">
      <c r="A2" s="107" t="s">
        <v>977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</row>
    <row r="3" spans="1:15" ht="36" customHeight="1" thickBot="1" x14ac:dyDescent="0.3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</row>
    <row r="4" spans="1:15" ht="13.7" customHeight="1" thickBot="1" x14ac:dyDescent="0.3">
      <c r="A4" s="55"/>
      <c r="B4" s="55"/>
      <c r="C4" s="109" t="s">
        <v>106</v>
      </c>
      <c r="D4" s="110"/>
      <c r="E4" s="110"/>
      <c r="F4" s="111"/>
      <c r="G4" s="111"/>
      <c r="H4" s="111"/>
      <c r="I4" s="111"/>
      <c r="J4" s="111"/>
      <c r="K4" s="111"/>
      <c r="L4" s="111"/>
      <c r="M4" s="111"/>
      <c r="N4" s="111"/>
      <c r="O4" s="112"/>
    </row>
    <row r="5" spans="1:15" s="38" customFormat="1" ht="19.5" customHeight="1" x14ac:dyDescent="0.25">
      <c r="A5" s="113" t="s">
        <v>3</v>
      </c>
      <c r="B5" s="113" t="s">
        <v>4</v>
      </c>
      <c r="C5" s="113" t="s">
        <v>53</v>
      </c>
      <c r="D5" s="113" t="s">
        <v>107</v>
      </c>
      <c r="E5" s="113" t="s">
        <v>385</v>
      </c>
      <c r="F5" s="113" t="s">
        <v>109</v>
      </c>
      <c r="G5" s="117" t="s">
        <v>110</v>
      </c>
      <c r="H5" s="118"/>
      <c r="I5" s="118"/>
      <c r="J5" s="118"/>
      <c r="K5" s="118"/>
      <c r="L5" s="118"/>
      <c r="M5" s="118"/>
      <c r="N5" s="118"/>
      <c r="O5" s="119"/>
    </row>
    <row r="6" spans="1:15" s="38" customFormat="1" ht="19.5" customHeight="1" thickBot="1" x14ac:dyDescent="0.3">
      <c r="A6" s="114"/>
      <c r="B6" s="114"/>
      <c r="C6" s="114"/>
      <c r="D6" s="115"/>
      <c r="E6" s="115"/>
      <c r="F6" s="116"/>
      <c r="G6" s="120"/>
      <c r="H6" s="121"/>
      <c r="I6" s="121"/>
      <c r="J6" s="121"/>
      <c r="K6" s="121"/>
      <c r="L6" s="121"/>
      <c r="M6" s="121"/>
      <c r="N6" s="121"/>
      <c r="O6" s="122"/>
    </row>
    <row r="7" spans="1:15" s="38" customFormat="1" ht="25.35" customHeight="1" thickBot="1" x14ac:dyDescent="0.3">
      <c r="A7" s="115"/>
      <c r="B7" s="115"/>
      <c r="C7" s="115"/>
      <c r="D7" s="115"/>
      <c r="E7" s="115"/>
      <c r="F7" s="115"/>
      <c r="G7" s="100" t="s">
        <v>111</v>
      </c>
      <c r="H7" s="105" t="s">
        <v>112</v>
      </c>
      <c r="I7" s="106"/>
      <c r="J7" s="100" t="s">
        <v>113</v>
      </c>
      <c r="K7" s="100" t="s">
        <v>114</v>
      </c>
      <c r="L7" s="100" t="s">
        <v>115</v>
      </c>
      <c r="M7" s="100" t="s">
        <v>116</v>
      </c>
      <c r="N7" s="100" t="s">
        <v>117</v>
      </c>
      <c r="O7" s="100" t="s">
        <v>386</v>
      </c>
    </row>
    <row r="8" spans="1:15" s="38" customFormat="1" ht="19.5" customHeight="1" thickBot="1" x14ac:dyDescent="0.3">
      <c r="A8" s="101"/>
      <c r="B8" s="101"/>
      <c r="C8" s="101"/>
      <c r="D8" s="101"/>
      <c r="E8" s="101"/>
      <c r="F8" s="101"/>
      <c r="G8" s="101"/>
      <c r="H8" s="61" t="s">
        <v>119</v>
      </c>
      <c r="I8" s="61" t="s">
        <v>120</v>
      </c>
      <c r="J8" s="101"/>
      <c r="K8" s="101"/>
      <c r="L8" s="101"/>
      <c r="M8" s="101"/>
      <c r="N8" s="101"/>
      <c r="O8" s="101"/>
    </row>
    <row r="9" spans="1:15" s="38" customFormat="1" ht="19.5" customHeight="1" thickBot="1" x14ac:dyDescent="0.3">
      <c r="A9" s="102" t="s">
        <v>341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4"/>
    </row>
    <row r="10" spans="1:15" s="39" customFormat="1" ht="16.5" thickBot="1" x14ac:dyDescent="0.3">
      <c r="A10" s="37" t="s">
        <v>8</v>
      </c>
      <c r="B10" s="34" t="s">
        <v>122</v>
      </c>
      <c r="C10" s="35">
        <f>SUM(C11:C59)</f>
        <v>0</v>
      </c>
      <c r="D10" s="35">
        <f>SUM(D11:D59)</f>
        <v>0</v>
      </c>
      <c r="E10" s="35">
        <f>SUM(E11:E59)</f>
        <v>0</v>
      </c>
      <c r="F10" s="56"/>
      <c r="G10" s="56"/>
      <c r="H10" s="56"/>
      <c r="I10" s="56"/>
      <c r="J10" s="56"/>
      <c r="K10" s="56"/>
      <c r="L10" s="56"/>
      <c r="M10" s="56"/>
      <c r="N10" s="56"/>
      <c r="O10" s="35">
        <f>SUM(O11:O59)</f>
        <v>0</v>
      </c>
    </row>
    <row r="11" spans="1:15" s="38" customFormat="1" ht="14.45" hidden="1" customHeight="1" outlineLevel="1" x14ac:dyDescent="0.25">
      <c r="A11" s="140" t="s">
        <v>123</v>
      </c>
      <c r="B11" s="141" t="s">
        <v>342</v>
      </c>
      <c r="C11" s="130">
        <f>SUM(N11:N17)</f>
        <v>0</v>
      </c>
      <c r="D11" s="130">
        <f>SUM(O11:O17)</f>
        <v>0</v>
      </c>
      <c r="E11" s="130">
        <f>D11/8</f>
        <v>0</v>
      </c>
      <c r="F11" s="130"/>
      <c r="G11" s="60" t="s">
        <v>125</v>
      </c>
      <c r="H11" s="123"/>
      <c r="I11" s="123"/>
      <c r="J11" s="60"/>
      <c r="K11" s="60"/>
      <c r="L11" s="60"/>
      <c r="M11" s="60"/>
      <c r="N11" s="60">
        <f>M11*J11*K11*L11</f>
        <v>0</v>
      </c>
      <c r="O11" s="60">
        <f>J11*K11*L11</f>
        <v>0</v>
      </c>
    </row>
    <row r="12" spans="1:15" s="38" customFormat="1" ht="11.45" hidden="1" customHeight="1" outlineLevel="1" x14ac:dyDescent="0.25">
      <c r="A12" s="124"/>
      <c r="B12" s="128"/>
      <c r="C12" s="115"/>
      <c r="D12" s="115"/>
      <c r="E12" s="148"/>
      <c r="F12" s="115"/>
      <c r="G12" s="60" t="s">
        <v>126</v>
      </c>
      <c r="H12" s="124"/>
      <c r="I12" s="124"/>
      <c r="J12" s="60"/>
      <c r="K12" s="60"/>
      <c r="L12" s="60"/>
      <c r="M12" s="60"/>
      <c r="N12" s="60">
        <f t="shared" ref="N12:N17" si="0">M12*J12*K12*L12</f>
        <v>0</v>
      </c>
      <c r="O12" s="60">
        <f t="shared" ref="O12:O17" si="1">J12*K12*L12</f>
        <v>0</v>
      </c>
    </row>
    <row r="13" spans="1:15" s="38" customFormat="1" ht="10.7" hidden="1" customHeight="1" outlineLevel="1" x14ac:dyDescent="0.25">
      <c r="A13" s="124"/>
      <c r="B13" s="128"/>
      <c r="C13" s="115"/>
      <c r="D13" s="115"/>
      <c r="E13" s="148"/>
      <c r="F13" s="115"/>
      <c r="G13" s="60" t="s">
        <v>127</v>
      </c>
      <c r="H13" s="124"/>
      <c r="I13" s="124"/>
      <c r="J13" s="60"/>
      <c r="K13" s="60"/>
      <c r="L13" s="60"/>
      <c r="M13" s="60"/>
      <c r="N13" s="60">
        <f t="shared" si="0"/>
        <v>0</v>
      </c>
      <c r="O13" s="60">
        <f t="shared" si="1"/>
        <v>0</v>
      </c>
    </row>
    <row r="14" spans="1:15" s="38" customFormat="1" ht="10.7" hidden="1" customHeight="1" outlineLevel="1" x14ac:dyDescent="0.25">
      <c r="A14" s="124"/>
      <c r="B14" s="128"/>
      <c r="C14" s="115"/>
      <c r="D14" s="115"/>
      <c r="E14" s="148"/>
      <c r="F14" s="115"/>
      <c r="G14" s="60" t="s">
        <v>128</v>
      </c>
      <c r="H14" s="124"/>
      <c r="I14" s="124"/>
      <c r="J14" s="60"/>
      <c r="K14" s="60"/>
      <c r="L14" s="60"/>
      <c r="M14" s="60"/>
      <c r="N14" s="60">
        <f t="shared" si="0"/>
        <v>0</v>
      </c>
      <c r="O14" s="60">
        <f t="shared" si="1"/>
        <v>0</v>
      </c>
    </row>
    <row r="15" spans="1:15" s="38" customFormat="1" ht="10.7" hidden="1" customHeight="1" outlineLevel="1" x14ac:dyDescent="0.25">
      <c r="A15" s="124"/>
      <c r="B15" s="128"/>
      <c r="C15" s="115"/>
      <c r="D15" s="115"/>
      <c r="E15" s="148"/>
      <c r="F15" s="115"/>
      <c r="G15" s="60" t="s">
        <v>129</v>
      </c>
      <c r="H15" s="124"/>
      <c r="I15" s="124"/>
      <c r="J15" s="60"/>
      <c r="K15" s="60"/>
      <c r="L15" s="60"/>
      <c r="M15" s="60"/>
      <c r="N15" s="60">
        <f t="shared" si="0"/>
        <v>0</v>
      </c>
      <c r="O15" s="60">
        <f t="shared" si="1"/>
        <v>0</v>
      </c>
    </row>
    <row r="16" spans="1:15" s="38" customFormat="1" ht="10.7" hidden="1" customHeight="1" outlineLevel="1" x14ac:dyDescent="0.25">
      <c r="A16" s="124"/>
      <c r="B16" s="128"/>
      <c r="C16" s="115"/>
      <c r="D16" s="115"/>
      <c r="E16" s="148"/>
      <c r="F16" s="115"/>
      <c r="G16" s="60" t="s">
        <v>130</v>
      </c>
      <c r="H16" s="124"/>
      <c r="I16" s="124"/>
      <c r="J16" s="60"/>
      <c r="K16" s="60"/>
      <c r="L16" s="60"/>
      <c r="M16" s="60"/>
      <c r="N16" s="60">
        <f t="shared" si="0"/>
        <v>0</v>
      </c>
      <c r="O16" s="60">
        <f t="shared" si="1"/>
        <v>0</v>
      </c>
    </row>
    <row r="17" spans="1:15" s="38" customFormat="1" ht="12" hidden="1" customHeight="1" outlineLevel="1" x14ac:dyDescent="0.25">
      <c r="A17" s="125"/>
      <c r="B17" s="129"/>
      <c r="C17" s="131"/>
      <c r="D17" s="131"/>
      <c r="E17" s="149"/>
      <c r="F17" s="131"/>
      <c r="G17" s="60" t="s">
        <v>131</v>
      </c>
      <c r="H17" s="125"/>
      <c r="I17" s="125"/>
      <c r="J17" s="60"/>
      <c r="K17" s="60"/>
      <c r="L17" s="60"/>
      <c r="M17" s="60"/>
      <c r="N17" s="60">
        <f t="shared" si="0"/>
        <v>0</v>
      </c>
      <c r="O17" s="60">
        <f t="shared" si="1"/>
        <v>0</v>
      </c>
    </row>
    <row r="18" spans="1:15" s="38" customFormat="1" ht="14.45" hidden="1" customHeight="1" outlineLevel="1" x14ac:dyDescent="0.25">
      <c r="A18" s="140" t="s">
        <v>132</v>
      </c>
      <c r="B18" s="141" t="s">
        <v>387</v>
      </c>
      <c r="C18" s="130">
        <f>SUM(N18:N24)</f>
        <v>0</v>
      </c>
      <c r="D18" s="130">
        <f>SUM(O18:O24)</f>
        <v>0</v>
      </c>
      <c r="E18" s="130">
        <f t="shared" ref="E18" si="2">D18/8</f>
        <v>0</v>
      </c>
      <c r="F18" s="130"/>
      <c r="G18" s="60" t="s">
        <v>125</v>
      </c>
      <c r="H18" s="123"/>
      <c r="I18" s="123"/>
      <c r="J18" s="60"/>
      <c r="K18" s="60"/>
      <c r="L18" s="60"/>
      <c r="M18" s="60"/>
      <c r="N18" s="60">
        <f>M18*J18*K18*L18</f>
        <v>0</v>
      </c>
      <c r="O18" s="60">
        <f>J18*K18*L18</f>
        <v>0</v>
      </c>
    </row>
    <row r="19" spans="1:15" s="38" customFormat="1" ht="11.45" hidden="1" customHeight="1" outlineLevel="1" x14ac:dyDescent="0.25">
      <c r="A19" s="124"/>
      <c r="B19" s="128"/>
      <c r="C19" s="115"/>
      <c r="D19" s="115"/>
      <c r="E19" s="148"/>
      <c r="F19" s="115"/>
      <c r="G19" s="60" t="s">
        <v>126</v>
      </c>
      <c r="H19" s="124"/>
      <c r="I19" s="124"/>
      <c r="J19" s="60"/>
      <c r="K19" s="60"/>
      <c r="L19" s="60"/>
      <c r="M19" s="60"/>
      <c r="N19" s="60">
        <f t="shared" ref="N19:N24" si="3">M19*J19*K19*L19</f>
        <v>0</v>
      </c>
      <c r="O19" s="60">
        <f t="shared" ref="O19:O24" si="4">J19*K19*L19</f>
        <v>0</v>
      </c>
    </row>
    <row r="20" spans="1:15" s="38" customFormat="1" ht="10.7" hidden="1" customHeight="1" outlineLevel="1" x14ac:dyDescent="0.25">
      <c r="A20" s="124"/>
      <c r="B20" s="128"/>
      <c r="C20" s="115"/>
      <c r="D20" s="115"/>
      <c r="E20" s="148"/>
      <c r="F20" s="115"/>
      <c r="G20" s="60" t="s">
        <v>127</v>
      </c>
      <c r="H20" s="124"/>
      <c r="I20" s="124"/>
      <c r="J20" s="60"/>
      <c r="K20" s="60"/>
      <c r="L20" s="60"/>
      <c r="M20" s="60"/>
      <c r="N20" s="60">
        <f t="shared" si="3"/>
        <v>0</v>
      </c>
      <c r="O20" s="60">
        <f t="shared" si="4"/>
        <v>0</v>
      </c>
    </row>
    <row r="21" spans="1:15" s="38" customFormat="1" ht="10.7" hidden="1" customHeight="1" outlineLevel="1" x14ac:dyDescent="0.25">
      <c r="A21" s="124"/>
      <c r="B21" s="128"/>
      <c r="C21" s="115"/>
      <c r="D21" s="115"/>
      <c r="E21" s="148"/>
      <c r="F21" s="115"/>
      <c r="G21" s="60" t="s">
        <v>128</v>
      </c>
      <c r="H21" s="124"/>
      <c r="I21" s="124"/>
      <c r="J21" s="60"/>
      <c r="K21" s="60"/>
      <c r="L21" s="60"/>
      <c r="M21" s="60"/>
      <c r="N21" s="60">
        <f t="shared" si="3"/>
        <v>0</v>
      </c>
      <c r="O21" s="60">
        <f t="shared" si="4"/>
        <v>0</v>
      </c>
    </row>
    <row r="22" spans="1:15" s="38" customFormat="1" ht="10.7" hidden="1" customHeight="1" outlineLevel="1" x14ac:dyDescent="0.25">
      <c r="A22" s="124"/>
      <c r="B22" s="128"/>
      <c r="C22" s="115"/>
      <c r="D22" s="115"/>
      <c r="E22" s="148"/>
      <c r="F22" s="115"/>
      <c r="G22" s="60" t="s">
        <v>129</v>
      </c>
      <c r="H22" s="124"/>
      <c r="I22" s="124"/>
      <c r="J22" s="60"/>
      <c r="K22" s="60"/>
      <c r="L22" s="60"/>
      <c r="M22" s="60"/>
      <c r="N22" s="60">
        <f t="shared" si="3"/>
        <v>0</v>
      </c>
      <c r="O22" s="60">
        <f t="shared" si="4"/>
        <v>0</v>
      </c>
    </row>
    <row r="23" spans="1:15" s="38" customFormat="1" ht="10.7" hidden="1" customHeight="1" outlineLevel="1" x14ac:dyDescent="0.25">
      <c r="A23" s="124"/>
      <c r="B23" s="128"/>
      <c r="C23" s="115"/>
      <c r="D23" s="115"/>
      <c r="E23" s="148"/>
      <c r="F23" s="115"/>
      <c r="G23" s="60" t="s">
        <v>130</v>
      </c>
      <c r="H23" s="124"/>
      <c r="I23" s="124"/>
      <c r="J23" s="60"/>
      <c r="K23" s="60"/>
      <c r="L23" s="60"/>
      <c r="M23" s="60"/>
      <c r="N23" s="60">
        <f t="shared" si="3"/>
        <v>0</v>
      </c>
      <c r="O23" s="60">
        <f t="shared" si="4"/>
        <v>0</v>
      </c>
    </row>
    <row r="24" spans="1:15" s="38" customFormat="1" ht="12" hidden="1" customHeight="1" outlineLevel="1" x14ac:dyDescent="0.25">
      <c r="A24" s="125"/>
      <c r="B24" s="129"/>
      <c r="C24" s="131"/>
      <c r="D24" s="131"/>
      <c r="E24" s="149"/>
      <c r="F24" s="131"/>
      <c r="G24" s="60" t="s">
        <v>131</v>
      </c>
      <c r="H24" s="125"/>
      <c r="I24" s="125"/>
      <c r="J24" s="60"/>
      <c r="K24" s="60"/>
      <c r="L24" s="60"/>
      <c r="M24" s="60"/>
      <c r="N24" s="60">
        <f t="shared" si="3"/>
        <v>0</v>
      </c>
      <c r="O24" s="60">
        <f t="shared" si="4"/>
        <v>0</v>
      </c>
    </row>
    <row r="25" spans="1:15" s="38" customFormat="1" ht="14.45" hidden="1" customHeight="1" outlineLevel="1" x14ac:dyDescent="0.25">
      <c r="A25" s="140" t="s">
        <v>134</v>
      </c>
      <c r="B25" s="141" t="s">
        <v>388</v>
      </c>
      <c r="C25" s="130">
        <f>SUM(N25:N31)</f>
        <v>0</v>
      </c>
      <c r="D25" s="130">
        <f>SUM(O25:O31)</f>
        <v>0</v>
      </c>
      <c r="E25" s="130">
        <f t="shared" ref="E25" si="5">D25/8</f>
        <v>0</v>
      </c>
      <c r="F25" s="130"/>
      <c r="G25" s="60" t="s">
        <v>125</v>
      </c>
      <c r="H25" s="123"/>
      <c r="I25" s="123"/>
      <c r="J25" s="60"/>
      <c r="K25" s="60"/>
      <c r="L25" s="60"/>
      <c r="M25" s="60"/>
      <c r="N25" s="60">
        <f>M25*J25*K25*L25</f>
        <v>0</v>
      </c>
      <c r="O25" s="60">
        <f>J25*K25*L25</f>
        <v>0</v>
      </c>
    </row>
    <row r="26" spans="1:15" s="38" customFormat="1" ht="11.45" hidden="1" customHeight="1" outlineLevel="1" x14ac:dyDescent="0.25">
      <c r="A26" s="124"/>
      <c r="B26" s="128"/>
      <c r="C26" s="115"/>
      <c r="D26" s="115"/>
      <c r="E26" s="148"/>
      <c r="F26" s="115"/>
      <c r="G26" s="60" t="s">
        <v>126</v>
      </c>
      <c r="H26" s="124"/>
      <c r="I26" s="124"/>
      <c r="J26" s="60"/>
      <c r="K26" s="60"/>
      <c r="L26" s="60"/>
      <c r="M26" s="60"/>
      <c r="N26" s="60">
        <f t="shared" ref="N26:N31" si="6">M26*J26*K26*L26</f>
        <v>0</v>
      </c>
      <c r="O26" s="60">
        <f t="shared" ref="O26:O31" si="7">J26*K26*L26</f>
        <v>0</v>
      </c>
    </row>
    <row r="27" spans="1:15" s="38" customFormat="1" ht="10.7" hidden="1" customHeight="1" outlineLevel="1" x14ac:dyDescent="0.25">
      <c r="A27" s="124"/>
      <c r="B27" s="128"/>
      <c r="C27" s="115"/>
      <c r="D27" s="115"/>
      <c r="E27" s="148"/>
      <c r="F27" s="115"/>
      <c r="G27" s="60" t="s">
        <v>127</v>
      </c>
      <c r="H27" s="124"/>
      <c r="I27" s="124"/>
      <c r="J27" s="60"/>
      <c r="K27" s="60"/>
      <c r="L27" s="60"/>
      <c r="M27" s="60"/>
      <c r="N27" s="60">
        <f t="shared" si="6"/>
        <v>0</v>
      </c>
      <c r="O27" s="60">
        <f t="shared" si="7"/>
        <v>0</v>
      </c>
    </row>
    <row r="28" spans="1:15" s="38" customFormat="1" ht="10.7" hidden="1" customHeight="1" outlineLevel="1" x14ac:dyDescent="0.25">
      <c r="A28" s="124"/>
      <c r="B28" s="128"/>
      <c r="C28" s="115"/>
      <c r="D28" s="115"/>
      <c r="E28" s="148"/>
      <c r="F28" s="115"/>
      <c r="G28" s="60" t="s">
        <v>128</v>
      </c>
      <c r="H28" s="124"/>
      <c r="I28" s="124"/>
      <c r="J28" s="60"/>
      <c r="K28" s="60"/>
      <c r="L28" s="60"/>
      <c r="M28" s="60"/>
      <c r="N28" s="60">
        <f t="shared" si="6"/>
        <v>0</v>
      </c>
      <c r="O28" s="60">
        <f t="shared" si="7"/>
        <v>0</v>
      </c>
    </row>
    <row r="29" spans="1:15" s="38" customFormat="1" ht="10.7" hidden="1" customHeight="1" outlineLevel="1" x14ac:dyDescent="0.25">
      <c r="A29" s="124"/>
      <c r="B29" s="128"/>
      <c r="C29" s="115"/>
      <c r="D29" s="115"/>
      <c r="E29" s="148"/>
      <c r="F29" s="115"/>
      <c r="G29" s="60" t="s">
        <v>129</v>
      </c>
      <c r="H29" s="124"/>
      <c r="I29" s="124"/>
      <c r="J29" s="60"/>
      <c r="K29" s="60"/>
      <c r="L29" s="60"/>
      <c r="M29" s="60"/>
      <c r="N29" s="60">
        <f t="shared" si="6"/>
        <v>0</v>
      </c>
      <c r="O29" s="60">
        <f t="shared" si="7"/>
        <v>0</v>
      </c>
    </row>
    <row r="30" spans="1:15" s="38" customFormat="1" ht="10.7" hidden="1" customHeight="1" outlineLevel="1" x14ac:dyDescent="0.25">
      <c r="A30" s="124"/>
      <c r="B30" s="128"/>
      <c r="C30" s="115"/>
      <c r="D30" s="115"/>
      <c r="E30" s="148"/>
      <c r="F30" s="115"/>
      <c r="G30" s="60" t="s">
        <v>130</v>
      </c>
      <c r="H30" s="124"/>
      <c r="I30" s="124"/>
      <c r="J30" s="60"/>
      <c r="K30" s="60"/>
      <c r="L30" s="60"/>
      <c r="M30" s="60"/>
      <c r="N30" s="60">
        <f t="shared" si="6"/>
        <v>0</v>
      </c>
      <c r="O30" s="60">
        <f t="shared" si="7"/>
        <v>0</v>
      </c>
    </row>
    <row r="31" spans="1:15" s="38" customFormat="1" ht="12" hidden="1" customHeight="1" outlineLevel="1" x14ac:dyDescent="0.25">
      <c r="A31" s="125"/>
      <c r="B31" s="129"/>
      <c r="C31" s="131"/>
      <c r="D31" s="131"/>
      <c r="E31" s="149"/>
      <c r="F31" s="131"/>
      <c r="G31" s="60" t="s">
        <v>131</v>
      </c>
      <c r="H31" s="125"/>
      <c r="I31" s="125"/>
      <c r="J31" s="60"/>
      <c r="K31" s="60"/>
      <c r="L31" s="60"/>
      <c r="M31" s="60"/>
      <c r="N31" s="60">
        <f t="shared" si="6"/>
        <v>0</v>
      </c>
      <c r="O31" s="60">
        <f t="shared" si="7"/>
        <v>0</v>
      </c>
    </row>
    <row r="32" spans="1:15" s="38" customFormat="1" ht="14.45" hidden="1" customHeight="1" outlineLevel="1" x14ac:dyDescent="0.25">
      <c r="A32" s="140" t="s">
        <v>136</v>
      </c>
      <c r="B32" s="141" t="s">
        <v>389</v>
      </c>
      <c r="C32" s="130">
        <f>SUM(N32:N38)</f>
        <v>0</v>
      </c>
      <c r="D32" s="130">
        <f>SUM(O32:O38)</f>
        <v>0</v>
      </c>
      <c r="E32" s="130">
        <f t="shared" ref="E32" si="8">D32/8</f>
        <v>0</v>
      </c>
      <c r="F32" s="130"/>
      <c r="G32" s="60" t="s">
        <v>125</v>
      </c>
      <c r="H32" s="123"/>
      <c r="I32" s="123"/>
      <c r="J32" s="60"/>
      <c r="K32" s="60"/>
      <c r="L32" s="60"/>
      <c r="M32" s="60"/>
      <c r="N32" s="60">
        <f>M32*J32*K32*L32</f>
        <v>0</v>
      </c>
      <c r="O32" s="60">
        <f>J32*K32*L32</f>
        <v>0</v>
      </c>
    </row>
    <row r="33" spans="1:15" s="38" customFormat="1" ht="11.45" hidden="1" customHeight="1" outlineLevel="1" x14ac:dyDescent="0.25">
      <c r="A33" s="124"/>
      <c r="B33" s="128"/>
      <c r="C33" s="115"/>
      <c r="D33" s="115"/>
      <c r="E33" s="148"/>
      <c r="F33" s="115"/>
      <c r="G33" s="60" t="s">
        <v>126</v>
      </c>
      <c r="H33" s="124"/>
      <c r="I33" s="124"/>
      <c r="J33" s="60"/>
      <c r="K33" s="60"/>
      <c r="L33" s="60"/>
      <c r="M33" s="60"/>
      <c r="N33" s="60">
        <f t="shared" ref="N33:N38" si="9">M33*J33*K33*L33</f>
        <v>0</v>
      </c>
      <c r="O33" s="60">
        <f t="shared" ref="O33:O38" si="10">J33*K33*L33</f>
        <v>0</v>
      </c>
    </row>
    <row r="34" spans="1:15" s="38" customFormat="1" ht="10.7" hidden="1" customHeight="1" outlineLevel="1" x14ac:dyDescent="0.25">
      <c r="A34" s="124"/>
      <c r="B34" s="128"/>
      <c r="C34" s="115"/>
      <c r="D34" s="115"/>
      <c r="E34" s="148"/>
      <c r="F34" s="115"/>
      <c r="G34" s="60" t="s">
        <v>127</v>
      </c>
      <c r="H34" s="124"/>
      <c r="I34" s="124"/>
      <c r="J34" s="60"/>
      <c r="K34" s="60"/>
      <c r="L34" s="60"/>
      <c r="M34" s="60"/>
      <c r="N34" s="60">
        <f t="shared" si="9"/>
        <v>0</v>
      </c>
      <c r="O34" s="60">
        <f t="shared" si="10"/>
        <v>0</v>
      </c>
    </row>
    <row r="35" spans="1:15" s="38" customFormat="1" ht="10.7" hidden="1" customHeight="1" outlineLevel="1" x14ac:dyDescent="0.25">
      <c r="A35" s="124"/>
      <c r="B35" s="128"/>
      <c r="C35" s="115"/>
      <c r="D35" s="115"/>
      <c r="E35" s="148"/>
      <c r="F35" s="115"/>
      <c r="G35" s="60" t="s">
        <v>128</v>
      </c>
      <c r="H35" s="124"/>
      <c r="I35" s="124"/>
      <c r="J35" s="60"/>
      <c r="K35" s="60"/>
      <c r="L35" s="60"/>
      <c r="M35" s="60"/>
      <c r="N35" s="60">
        <f t="shared" si="9"/>
        <v>0</v>
      </c>
      <c r="O35" s="60">
        <f t="shared" si="10"/>
        <v>0</v>
      </c>
    </row>
    <row r="36" spans="1:15" s="38" customFormat="1" ht="10.7" hidden="1" customHeight="1" outlineLevel="1" x14ac:dyDescent="0.25">
      <c r="A36" s="124"/>
      <c r="B36" s="128"/>
      <c r="C36" s="115"/>
      <c r="D36" s="115"/>
      <c r="E36" s="148"/>
      <c r="F36" s="115"/>
      <c r="G36" s="60" t="s">
        <v>129</v>
      </c>
      <c r="H36" s="124"/>
      <c r="I36" s="124"/>
      <c r="J36" s="60"/>
      <c r="K36" s="60"/>
      <c r="L36" s="60"/>
      <c r="M36" s="60"/>
      <c r="N36" s="60">
        <f t="shared" si="9"/>
        <v>0</v>
      </c>
      <c r="O36" s="60">
        <f t="shared" si="10"/>
        <v>0</v>
      </c>
    </row>
    <row r="37" spans="1:15" s="38" customFormat="1" ht="10.7" hidden="1" customHeight="1" outlineLevel="1" x14ac:dyDescent="0.25">
      <c r="A37" s="124"/>
      <c r="B37" s="128"/>
      <c r="C37" s="115"/>
      <c r="D37" s="115"/>
      <c r="E37" s="148"/>
      <c r="F37" s="115"/>
      <c r="G37" s="60" t="s">
        <v>130</v>
      </c>
      <c r="H37" s="124"/>
      <c r="I37" s="124"/>
      <c r="J37" s="60"/>
      <c r="K37" s="60"/>
      <c r="L37" s="60"/>
      <c r="M37" s="60"/>
      <c r="N37" s="60">
        <f t="shared" si="9"/>
        <v>0</v>
      </c>
      <c r="O37" s="60">
        <f t="shared" si="10"/>
        <v>0</v>
      </c>
    </row>
    <row r="38" spans="1:15" s="38" customFormat="1" ht="12" hidden="1" customHeight="1" outlineLevel="1" x14ac:dyDescent="0.25">
      <c r="A38" s="125"/>
      <c r="B38" s="129"/>
      <c r="C38" s="131"/>
      <c r="D38" s="131"/>
      <c r="E38" s="149"/>
      <c r="F38" s="131"/>
      <c r="G38" s="60" t="s">
        <v>131</v>
      </c>
      <c r="H38" s="125"/>
      <c r="I38" s="125"/>
      <c r="J38" s="60"/>
      <c r="K38" s="60"/>
      <c r="L38" s="60"/>
      <c r="M38" s="60"/>
      <c r="N38" s="60">
        <f t="shared" si="9"/>
        <v>0</v>
      </c>
      <c r="O38" s="60">
        <f t="shared" si="10"/>
        <v>0</v>
      </c>
    </row>
    <row r="39" spans="1:15" s="38" customFormat="1" ht="14.45" hidden="1" customHeight="1" outlineLevel="1" x14ac:dyDescent="0.25">
      <c r="A39" s="140" t="s">
        <v>138</v>
      </c>
      <c r="B39" s="141" t="s">
        <v>390</v>
      </c>
      <c r="C39" s="130">
        <f>SUM(N39:N45)</f>
        <v>0</v>
      </c>
      <c r="D39" s="130">
        <f>SUM(O39:O45)</f>
        <v>0</v>
      </c>
      <c r="E39" s="130">
        <f t="shared" ref="E39" si="11">D39/8</f>
        <v>0</v>
      </c>
      <c r="F39" s="130"/>
      <c r="G39" s="60" t="s">
        <v>125</v>
      </c>
      <c r="H39" s="123"/>
      <c r="I39" s="123"/>
      <c r="J39" s="60"/>
      <c r="K39" s="60"/>
      <c r="L39" s="60"/>
      <c r="M39" s="60"/>
      <c r="N39" s="60">
        <f>M39*J39*K39*L39</f>
        <v>0</v>
      </c>
      <c r="O39" s="60">
        <f>J39*K39*L39</f>
        <v>0</v>
      </c>
    </row>
    <row r="40" spans="1:15" s="38" customFormat="1" ht="11.45" hidden="1" customHeight="1" outlineLevel="1" x14ac:dyDescent="0.25">
      <c r="A40" s="124"/>
      <c r="B40" s="128"/>
      <c r="C40" s="115"/>
      <c r="D40" s="115"/>
      <c r="E40" s="148"/>
      <c r="F40" s="115"/>
      <c r="G40" s="60" t="s">
        <v>126</v>
      </c>
      <c r="H40" s="124"/>
      <c r="I40" s="124"/>
      <c r="J40" s="60"/>
      <c r="K40" s="60"/>
      <c r="L40" s="60"/>
      <c r="M40" s="60"/>
      <c r="N40" s="60">
        <f t="shared" ref="N40:N45" si="12">M40*J40*K40*L40</f>
        <v>0</v>
      </c>
      <c r="O40" s="60">
        <f t="shared" ref="O40:O45" si="13">J40*K40*L40</f>
        <v>0</v>
      </c>
    </row>
    <row r="41" spans="1:15" s="38" customFormat="1" ht="10.7" hidden="1" customHeight="1" outlineLevel="1" x14ac:dyDescent="0.25">
      <c r="A41" s="124"/>
      <c r="B41" s="128"/>
      <c r="C41" s="115"/>
      <c r="D41" s="115"/>
      <c r="E41" s="148"/>
      <c r="F41" s="115"/>
      <c r="G41" s="60" t="s">
        <v>127</v>
      </c>
      <c r="H41" s="124"/>
      <c r="I41" s="124"/>
      <c r="J41" s="60"/>
      <c r="K41" s="60"/>
      <c r="L41" s="60"/>
      <c r="M41" s="60"/>
      <c r="N41" s="60">
        <f t="shared" si="12"/>
        <v>0</v>
      </c>
      <c r="O41" s="60">
        <f t="shared" si="13"/>
        <v>0</v>
      </c>
    </row>
    <row r="42" spans="1:15" s="38" customFormat="1" ht="10.7" hidden="1" customHeight="1" outlineLevel="1" x14ac:dyDescent="0.25">
      <c r="A42" s="124"/>
      <c r="B42" s="128"/>
      <c r="C42" s="115"/>
      <c r="D42" s="115"/>
      <c r="E42" s="148"/>
      <c r="F42" s="115"/>
      <c r="G42" s="60" t="s">
        <v>128</v>
      </c>
      <c r="H42" s="124"/>
      <c r="I42" s="124"/>
      <c r="J42" s="60"/>
      <c r="K42" s="60"/>
      <c r="L42" s="60"/>
      <c r="M42" s="60"/>
      <c r="N42" s="60">
        <f t="shared" si="12"/>
        <v>0</v>
      </c>
      <c r="O42" s="60">
        <f t="shared" si="13"/>
        <v>0</v>
      </c>
    </row>
    <row r="43" spans="1:15" s="38" customFormat="1" ht="10.7" hidden="1" customHeight="1" outlineLevel="1" x14ac:dyDescent="0.25">
      <c r="A43" s="124"/>
      <c r="B43" s="128"/>
      <c r="C43" s="115"/>
      <c r="D43" s="115"/>
      <c r="E43" s="148"/>
      <c r="F43" s="115"/>
      <c r="G43" s="60" t="s">
        <v>129</v>
      </c>
      <c r="H43" s="124"/>
      <c r="I43" s="124"/>
      <c r="J43" s="60"/>
      <c r="K43" s="60"/>
      <c r="L43" s="60"/>
      <c r="M43" s="60"/>
      <c r="N43" s="60">
        <f t="shared" si="12"/>
        <v>0</v>
      </c>
      <c r="O43" s="60">
        <f t="shared" si="13"/>
        <v>0</v>
      </c>
    </row>
    <row r="44" spans="1:15" s="38" customFormat="1" ht="10.7" hidden="1" customHeight="1" outlineLevel="1" x14ac:dyDescent="0.25">
      <c r="A44" s="124"/>
      <c r="B44" s="128"/>
      <c r="C44" s="115"/>
      <c r="D44" s="115"/>
      <c r="E44" s="148"/>
      <c r="F44" s="115"/>
      <c r="G44" s="60" t="s">
        <v>130</v>
      </c>
      <c r="H44" s="124"/>
      <c r="I44" s="124"/>
      <c r="J44" s="60"/>
      <c r="K44" s="60"/>
      <c r="L44" s="60"/>
      <c r="M44" s="60"/>
      <c r="N44" s="60">
        <f t="shared" si="12"/>
        <v>0</v>
      </c>
      <c r="O44" s="60">
        <f t="shared" si="13"/>
        <v>0</v>
      </c>
    </row>
    <row r="45" spans="1:15" s="38" customFormat="1" ht="12" hidden="1" customHeight="1" outlineLevel="1" x14ac:dyDescent="0.25">
      <c r="A45" s="125"/>
      <c r="B45" s="129"/>
      <c r="C45" s="131"/>
      <c r="D45" s="131"/>
      <c r="E45" s="149"/>
      <c r="F45" s="131"/>
      <c r="G45" s="60" t="s">
        <v>131</v>
      </c>
      <c r="H45" s="125"/>
      <c r="I45" s="125"/>
      <c r="J45" s="60"/>
      <c r="K45" s="60"/>
      <c r="L45" s="60"/>
      <c r="M45" s="60"/>
      <c r="N45" s="60">
        <f t="shared" si="12"/>
        <v>0</v>
      </c>
      <c r="O45" s="60">
        <f t="shared" si="13"/>
        <v>0</v>
      </c>
    </row>
    <row r="46" spans="1:15" s="38" customFormat="1" ht="14.45" hidden="1" customHeight="1" outlineLevel="1" x14ac:dyDescent="0.25">
      <c r="A46" s="140" t="s">
        <v>140</v>
      </c>
      <c r="B46" s="141" t="s">
        <v>391</v>
      </c>
      <c r="C46" s="130">
        <f>SUM(N46:N52)</f>
        <v>0</v>
      </c>
      <c r="D46" s="130">
        <f>SUM(O46:O52)</f>
        <v>0</v>
      </c>
      <c r="E46" s="130">
        <f t="shared" ref="E46" si="14">D46/8</f>
        <v>0</v>
      </c>
      <c r="F46" s="130"/>
      <c r="G46" s="60" t="s">
        <v>125</v>
      </c>
      <c r="H46" s="123"/>
      <c r="I46" s="123"/>
      <c r="J46" s="60"/>
      <c r="K46" s="60"/>
      <c r="L46" s="60"/>
      <c r="M46" s="60"/>
      <c r="N46" s="60">
        <f>M46*J46*K46*L46</f>
        <v>0</v>
      </c>
      <c r="O46" s="60">
        <f>J46*K46*L46</f>
        <v>0</v>
      </c>
    </row>
    <row r="47" spans="1:15" s="38" customFormat="1" ht="11.45" hidden="1" customHeight="1" outlineLevel="1" x14ac:dyDescent="0.25">
      <c r="A47" s="124"/>
      <c r="B47" s="128"/>
      <c r="C47" s="115"/>
      <c r="D47" s="115"/>
      <c r="E47" s="148"/>
      <c r="F47" s="115"/>
      <c r="G47" s="60" t="s">
        <v>126</v>
      </c>
      <c r="H47" s="124"/>
      <c r="I47" s="124"/>
      <c r="J47" s="60"/>
      <c r="K47" s="60"/>
      <c r="L47" s="60"/>
      <c r="M47" s="60"/>
      <c r="N47" s="60">
        <f t="shared" ref="N47:N52" si="15">M47*J47*K47*L47</f>
        <v>0</v>
      </c>
      <c r="O47" s="60">
        <f t="shared" ref="O47:O52" si="16">J47*K47*L47</f>
        <v>0</v>
      </c>
    </row>
    <row r="48" spans="1:15" s="38" customFormat="1" ht="10.7" hidden="1" customHeight="1" outlineLevel="1" x14ac:dyDescent="0.25">
      <c r="A48" s="124"/>
      <c r="B48" s="128"/>
      <c r="C48" s="115"/>
      <c r="D48" s="115"/>
      <c r="E48" s="148"/>
      <c r="F48" s="115"/>
      <c r="G48" s="60" t="s">
        <v>127</v>
      </c>
      <c r="H48" s="124"/>
      <c r="I48" s="124"/>
      <c r="J48" s="60"/>
      <c r="K48" s="60"/>
      <c r="L48" s="60"/>
      <c r="M48" s="60"/>
      <c r="N48" s="60">
        <f t="shared" si="15"/>
        <v>0</v>
      </c>
      <c r="O48" s="60">
        <f t="shared" si="16"/>
        <v>0</v>
      </c>
    </row>
    <row r="49" spans="1:15" s="38" customFormat="1" ht="10.7" hidden="1" customHeight="1" outlineLevel="1" x14ac:dyDescent="0.25">
      <c r="A49" s="124"/>
      <c r="B49" s="128"/>
      <c r="C49" s="115"/>
      <c r="D49" s="115"/>
      <c r="E49" s="148"/>
      <c r="F49" s="115"/>
      <c r="G49" s="60" t="s">
        <v>128</v>
      </c>
      <c r="H49" s="124"/>
      <c r="I49" s="124"/>
      <c r="J49" s="60"/>
      <c r="K49" s="60"/>
      <c r="L49" s="60"/>
      <c r="M49" s="60"/>
      <c r="N49" s="60">
        <f t="shared" si="15"/>
        <v>0</v>
      </c>
      <c r="O49" s="60">
        <f t="shared" si="16"/>
        <v>0</v>
      </c>
    </row>
    <row r="50" spans="1:15" s="38" customFormat="1" ht="10.7" hidden="1" customHeight="1" outlineLevel="1" x14ac:dyDescent="0.25">
      <c r="A50" s="124"/>
      <c r="B50" s="128"/>
      <c r="C50" s="115"/>
      <c r="D50" s="115"/>
      <c r="E50" s="148"/>
      <c r="F50" s="115"/>
      <c r="G50" s="60" t="s">
        <v>129</v>
      </c>
      <c r="H50" s="124"/>
      <c r="I50" s="124"/>
      <c r="J50" s="60"/>
      <c r="K50" s="60"/>
      <c r="L50" s="60"/>
      <c r="M50" s="60"/>
      <c r="N50" s="60">
        <f t="shared" si="15"/>
        <v>0</v>
      </c>
      <c r="O50" s="60">
        <f t="shared" si="16"/>
        <v>0</v>
      </c>
    </row>
    <row r="51" spans="1:15" s="38" customFormat="1" ht="10.7" hidden="1" customHeight="1" outlineLevel="1" x14ac:dyDescent="0.25">
      <c r="A51" s="124"/>
      <c r="B51" s="128"/>
      <c r="C51" s="115"/>
      <c r="D51" s="115"/>
      <c r="E51" s="148"/>
      <c r="F51" s="115"/>
      <c r="G51" s="60" t="s">
        <v>130</v>
      </c>
      <c r="H51" s="124"/>
      <c r="I51" s="124"/>
      <c r="J51" s="60"/>
      <c r="K51" s="60"/>
      <c r="L51" s="60"/>
      <c r="M51" s="60"/>
      <c r="N51" s="60">
        <f t="shared" si="15"/>
        <v>0</v>
      </c>
      <c r="O51" s="60">
        <f t="shared" si="16"/>
        <v>0</v>
      </c>
    </row>
    <row r="52" spans="1:15" s="38" customFormat="1" ht="12" hidden="1" customHeight="1" outlineLevel="1" x14ac:dyDescent="0.25">
      <c r="A52" s="125"/>
      <c r="B52" s="129"/>
      <c r="C52" s="131"/>
      <c r="D52" s="131"/>
      <c r="E52" s="149"/>
      <c r="F52" s="131"/>
      <c r="G52" s="60" t="s">
        <v>131</v>
      </c>
      <c r="H52" s="125"/>
      <c r="I52" s="125"/>
      <c r="J52" s="60"/>
      <c r="K52" s="60"/>
      <c r="L52" s="60"/>
      <c r="M52" s="60"/>
      <c r="N52" s="60">
        <f t="shared" si="15"/>
        <v>0</v>
      </c>
      <c r="O52" s="60">
        <f t="shared" si="16"/>
        <v>0</v>
      </c>
    </row>
    <row r="53" spans="1:15" s="38" customFormat="1" ht="14.45" hidden="1" customHeight="1" outlineLevel="1" x14ac:dyDescent="0.25">
      <c r="A53" s="140" t="s">
        <v>348</v>
      </c>
      <c r="B53" s="141" t="s">
        <v>144</v>
      </c>
      <c r="C53" s="130">
        <f>SUM(N53:N59)</f>
        <v>0</v>
      </c>
      <c r="D53" s="130">
        <f>SUM(O53:O59)</f>
        <v>0</v>
      </c>
      <c r="E53" s="130">
        <f t="shared" ref="E53" si="17">D53/8</f>
        <v>0</v>
      </c>
      <c r="F53" s="130"/>
      <c r="G53" s="60" t="s">
        <v>125</v>
      </c>
      <c r="H53" s="123"/>
      <c r="I53" s="123"/>
      <c r="J53" s="60"/>
      <c r="K53" s="60"/>
      <c r="L53" s="60"/>
      <c r="M53" s="60"/>
      <c r="N53" s="60">
        <f>M53*J53*K53*L53</f>
        <v>0</v>
      </c>
      <c r="O53" s="60">
        <f>J53*K53*L53</f>
        <v>0</v>
      </c>
    </row>
    <row r="54" spans="1:15" s="38" customFormat="1" ht="11.45" hidden="1" customHeight="1" outlineLevel="1" x14ac:dyDescent="0.25">
      <c r="A54" s="124"/>
      <c r="B54" s="128"/>
      <c r="C54" s="115"/>
      <c r="D54" s="115"/>
      <c r="E54" s="148"/>
      <c r="F54" s="115"/>
      <c r="G54" s="60" t="s">
        <v>126</v>
      </c>
      <c r="H54" s="124"/>
      <c r="I54" s="124"/>
      <c r="J54" s="60"/>
      <c r="K54" s="60"/>
      <c r="L54" s="60"/>
      <c r="M54" s="60"/>
      <c r="N54" s="60">
        <f t="shared" ref="N54:N59" si="18">M54*J54*K54*L54</f>
        <v>0</v>
      </c>
      <c r="O54" s="60">
        <f t="shared" ref="O54:O59" si="19">J54*K54*L54</f>
        <v>0</v>
      </c>
    </row>
    <row r="55" spans="1:15" s="38" customFormat="1" ht="10.7" hidden="1" customHeight="1" outlineLevel="1" x14ac:dyDescent="0.25">
      <c r="A55" s="124"/>
      <c r="B55" s="128"/>
      <c r="C55" s="115"/>
      <c r="D55" s="115"/>
      <c r="E55" s="148"/>
      <c r="F55" s="115"/>
      <c r="G55" s="60" t="s">
        <v>127</v>
      </c>
      <c r="H55" s="124"/>
      <c r="I55" s="124"/>
      <c r="J55" s="60"/>
      <c r="K55" s="60"/>
      <c r="L55" s="60"/>
      <c r="M55" s="60"/>
      <c r="N55" s="60">
        <f t="shared" si="18"/>
        <v>0</v>
      </c>
      <c r="O55" s="60">
        <f t="shared" si="19"/>
        <v>0</v>
      </c>
    </row>
    <row r="56" spans="1:15" s="38" customFormat="1" ht="10.7" hidden="1" customHeight="1" outlineLevel="1" x14ac:dyDescent="0.25">
      <c r="A56" s="124"/>
      <c r="B56" s="128"/>
      <c r="C56" s="115"/>
      <c r="D56" s="115"/>
      <c r="E56" s="148"/>
      <c r="F56" s="115"/>
      <c r="G56" s="60" t="s">
        <v>128</v>
      </c>
      <c r="H56" s="124"/>
      <c r="I56" s="124"/>
      <c r="J56" s="60"/>
      <c r="K56" s="60"/>
      <c r="L56" s="60"/>
      <c r="M56" s="60"/>
      <c r="N56" s="60">
        <f t="shared" si="18"/>
        <v>0</v>
      </c>
      <c r="O56" s="60">
        <f t="shared" si="19"/>
        <v>0</v>
      </c>
    </row>
    <row r="57" spans="1:15" s="38" customFormat="1" ht="10.7" hidden="1" customHeight="1" outlineLevel="1" x14ac:dyDescent="0.25">
      <c r="A57" s="124"/>
      <c r="B57" s="128"/>
      <c r="C57" s="115"/>
      <c r="D57" s="115"/>
      <c r="E57" s="148"/>
      <c r="F57" s="115"/>
      <c r="G57" s="60" t="s">
        <v>129</v>
      </c>
      <c r="H57" s="124"/>
      <c r="I57" s="124"/>
      <c r="J57" s="60"/>
      <c r="K57" s="60"/>
      <c r="L57" s="60"/>
      <c r="M57" s="60"/>
      <c r="N57" s="60">
        <f t="shared" si="18"/>
        <v>0</v>
      </c>
      <c r="O57" s="60">
        <f t="shared" si="19"/>
        <v>0</v>
      </c>
    </row>
    <row r="58" spans="1:15" s="38" customFormat="1" ht="10.7" hidden="1" customHeight="1" outlineLevel="1" x14ac:dyDescent="0.25">
      <c r="A58" s="124"/>
      <c r="B58" s="128"/>
      <c r="C58" s="115"/>
      <c r="D58" s="115"/>
      <c r="E58" s="148"/>
      <c r="F58" s="115"/>
      <c r="G58" s="60" t="s">
        <v>130</v>
      </c>
      <c r="H58" s="124"/>
      <c r="I58" s="124"/>
      <c r="J58" s="60"/>
      <c r="K58" s="60"/>
      <c r="L58" s="60"/>
      <c r="M58" s="60"/>
      <c r="N58" s="60">
        <f t="shared" si="18"/>
        <v>0</v>
      </c>
      <c r="O58" s="60">
        <f t="shared" si="19"/>
        <v>0</v>
      </c>
    </row>
    <row r="59" spans="1:15" s="38" customFormat="1" ht="12" hidden="1" customHeight="1" outlineLevel="1" thickBot="1" x14ac:dyDescent="0.3">
      <c r="A59" s="125"/>
      <c r="B59" s="129"/>
      <c r="C59" s="131"/>
      <c r="D59" s="131"/>
      <c r="E59" s="153"/>
      <c r="F59" s="131"/>
      <c r="G59" s="60" t="s">
        <v>131</v>
      </c>
      <c r="H59" s="134"/>
      <c r="I59" s="134"/>
      <c r="J59" s="60"/>
      <c r="K59" s="60"/>
      <c r="L59" s="60"/>
      <c r="M59" s="60"/>
      <c r="N59" s="60">
        <f t="shared" si="18"/>
        <v>0</v>
      </c>
      <c r="O59" s="60">
        <f t="shared" si="19"/>
        <v>0</v>
      </c>
    </row>
    <row r="60" spans="1:15" s="39" customFormat="1" ht="16.5" collapsed="1" thickBot="1" x14ac:dyDescent="0.3">
      <c r="A60" s="40" t="s">
        <v>10</v>
      </c>
      <c r="B60" s="41" t="s">
        <v>531</v>
      </c>
      <c r="C60" s="42">
        <f>C61+C68+C75+C82+C89+C146+C153+C160+C167+C174+C181+C188+C195+C202+C209+C216+C223+C237+C244+C251+C265</f>
        <v>0</v>
      </c>
      <c r="D60" s="42">
        <f>D61+D68+D75+D82+D89+D146+D153+D160+D167+D174+D181+D188+D195+D202+D209+D216+D223+D237+D244+D251+D265</f>
        <v>0</v>
      </c>
      <c r="E60" s="42">
        <f>E61+E68+E75+E82+E89+E146+E153+E160+E167+E174+E181+E188+E195+E202+E209+E216+E223+E237+E244+E251+E265</f>
        <v>0</v>
      </c>
      <c r="F60" s="57"/>
      <c r="G60" s="57"/>
      <c r="H60" s="57"/>
      <c r="I60" s="57"/>
      <c r="J60" s="57"/>
      <c r="K60" s="57"/>
      <c r="L60" s="57"/>
      <c r="M60" s="57"/>
      <c r="N60" s="57"/>
      <c r="O60" s="42">
        <f>SUM(O61:O271)</f>
        <v>0</v>
      </c>
    </row>
    <row r="61" spans="1:15" s="38" customFormat="1" ht="14.45" hidden="1" customHeight="1" outlineLevel="1" x14ac:dyDescent="0.25">
      <c r="A61" s="140" t="s">
        <v>146</v>
      </c>
      <c r="B61" s="141" t="s">
        <v>393</v>
      </c>
      <c r="C61" s="130">
        <f>SUM(N61:N67)</f>
        <v>0</v>
      </c>
      <c r="D61" s="130">
        <f>SUM(O61:O67)</f>
        <v>0</v>
      </c>
      <c r="E61" s="130">
        <v>0</v>
      </c>
      <c r="F61" s="130"/>
      <c r="G61" s="60" t="s">
        <v>125</v>
      </c>
      <c r="H61" s="123"/>
      <c r="I61" s="123"/>
      <c r="J61" s="60"/>
      <c r="K61" s="60"/>
      <c r="L61" s="60"/>
      <c r="M61" s="60"/>
      <c r="N61" s="60">
        <f>M61*J61*K61*L61</f>
        <v>0</v>
      </c>
      <c r="O61" s="60">
        <f>J61*K61*L61</f>
        <v>0</v>
      </c>
    </row>
    <row r="62" spans="1:15" s="38" customFormat="1" ht="11.45" hidden="1" customHeight="1" outlineLevel="1" x14ac:dyDescent="0.25">
      <c r="A62" s="124"/>
      <c r="B62" s="128"/>
      <c r="C62" s="115"/>
      <c r="D62" s="115"/>
      <c r="E62" s="148"/>
      <c r="F62" s="115"/>
      <c r="G62" s="60" t="s">
        <v>126</v>
      </c>
      <c r="H62" s="124"/>
      <c r="I62" s="124"/>
      <c r="J62" s="60"/>
      <c r="K62" s="60"/>
      <c r="L62" s="60"/>
      <c r="M62" s="60"/>
      <c r="N62" s="60">
        <f t="shared" ref="N62:N67" si="20">M62*J62*K62*L62</f>
        <v>0</v>
      </c>
      <c r="O62" s="60">
        <f t="shared" ref="O62:O67" si="21">J62*K62*L62</f>
        <v>0</v>
      </c>
    </row>
    <row r="63" spans="1:15" s="38" customFormat="1" ht="10.7" hidden="1" customHeight="1" outlineLevel="1" x14ac:dyDescent="0.25">
      <c r="A63" s="124"/>
      <c r="B63" s="128"/>
      <c r="C63" s="115"/>
      <c r="D63" s="115"/>
      <c r="E63" s="148"/>
      <c r="F63" s="115"/>
      <c r="G63" s="60" t="s">
        <v>127</v>
      </c>
      <c r="H63" s="124"/>
      <c r="I63" s="124"/>
      <c r="J63" s="60"/>
      <c r="K63" s="60"/>
      <c r="L63" s="60"/>
      <c r="M63" s="60"/>
      <c r="N63" s="60">
        <f t="shared" si="20"/>
        <v>0</v>
      </c>
      <c r="O63" s="60">
        <f t="shared" si="21"/>
        <v>0</v>
      </c>
    </row>
    <row r="64" spans="1:15" s="38" customFormat="1" ht="10.7" hidden="1" customHeight="1" outlineLevel="1" x14ac:dyDescent="0.25">
      <c r="A64" s="124"/>
      <c r="B64" s="128"/>
      <c r="C64" s="115"/>
      <c r="D64" s="115"/>
      <c r="E64" s="148"/>
      <c r="F64" s="115"/>
      <c r="G64" s="60" t="s">
        <v>128</v>
      </c>
      <c r="H64" s="124"/>
      <c r="I64" s="124"/>
      <c r="J64" s="60"/>
      <c r="K64" s="60"/>
      <c r="L64" s="60"/>
      <c r="M64" s="60"/>
      <c r="N64" s="60">
        <f t="shared" si="20"/>
        <v>0</v>
      </c>
      <c r="O64" s="60">
        <f t="shared" si="21"/>
        <v>0</v>
      </c>
    </row>
    <row r="65" spans="1:15" s="38" customFormat="1" ht="10.7" hidden="1" customHeight="1" outlineLevel="1" x14ac:dyDescent="0.25">
      <c r="A65" s="124"/>
      <c r="B65" s="128"/>
      <c r="C65" s="115"/>
      <c r="D65" s="115"/>
      <c r="E65" s="148"/>
      <c r="F65" s="115"/>
      <c r="G65" s="60" t="s">
        <v>129</v>
      </c>
      <c r="H65" s="124"/>
      <c r="I65" s="124"/>
      <c r="J65" s="60"/>
      <c r="K65" s="60"/>
      <c r="L65" s="60"/>
      <c r="M65" s="60"/>
      <c r="N65" s="60">
        <f t="shared" si="20"/>
        <v>0</v>
      </c>
      <c r="O65" s="60">
        <f t="shared" si="21"/>
        <v>0</v>
      </c>
    </row>
    <row r="66" spans="1:15" s="38" customFormat="1" ht="10.7" hidden="1" customHeight="1" outlineLevel="1" x14ac:dyDescent="0.25">
      <c r="A66" s="124"/>
      <c r="B66" s="128"/>
      <c r="C66" s="115"/>
      <c r="D66" s="115"/>
      <c r="E66" s="148"/>
      <c r="F66" s="115"/>
      <c r="G66" s="60" t="s">
        <v>130</v>
      </c>
      <c r="H66" s="124"/>
      <c r="I66" s="124"/>
      <c r="J66" s="60"/>
      <c r="K66" s="60"/>
      <c r="L66" s="60"/>
      <c r="M66" s="60"/>
      <c r="N66" s="60">
        <f t="shared" si="20"/>
        <v>0</v>
      </c>
      <c r="O66" s="60">
        <f t="shared" si="21"/>
        <v>0</v>
      </c>
    </row>
    <row r="67" spans="1:15" s="38" customFormat="1" ht="12" hidden="1" customHeight="1" outlineLevel="1" thickBot="1" x14ac:dyDescent="0.3">
      <c r="A67" s="125"/>
      <c r="B67" s="129"/>
      <c r="C67" s="131"/>
      <c r="D67" s="131"/>
      <c r="E67" s="149"/>
      <c r="F67" s="131"/>
      <c r="G67" s="60" t="s">
        <v>131</v>
      </c>
      <c r="H67" s="134"/>
      <c r="I67" s="134"/>
      <c r="J67" s="60"/>
      <c r="K67" s="60"/>
      <c r="L67" s="60"/>
      <c r="M67" s="60"/>
      <c r="N67" s="60">
        <f t="shared" si="20"/>
        <v>0</v>
      </c>
      <c r="O67" s="60">
        <f t="shared" si="21"/>
        <v>0</v>
      </c>
    </row>
    <row r="68" spans="1:15" s="38" customFormat="1" ht="14.45" hidden="1" customHeight="1" outlineLevel="1" x14ac:dyDescent="0.25">
      <c r="A68" s="140" t="s">
        <v>148</v>
      </c>
      <c r="B68" s="141" t="s">
        <v>394</v>
      </c>
      <c r="C68" s="130">
        <f>SUM(N68:N74)</f>
        <v>0</v>
      </c>
      <c r="D68" s="130">
        <f>SUM(O68:O74)</f>
        <v>0</v>
      </c>
      <c r="E68" s="130">
        <f t="shared" ref="E68:E82" si="22">D68/8</f>
        <v>0</v>
      </c>
      <c r="F68" s="130"/>
      <c r="G68" s="60" t="s">
        <v>125</v>
      </c>
      <c r="H68" s="123"/>
      <c r="I68" s="123"/>
      <c r="J68" s="60"/>
      <c r="K68" s="60"/>
      <c r="L68" s="60"/>
      <c r="M68" s="60"/>
      <c r="N68" s="60">
        <f>M68*J68*K68*L68</f>
        <v>0</v>
      </c>
      <c r="O68" s="60">
        <f>J68*K68*L68</f>
        <v>0</v>
      </c>
    </row>
    <row r="69" spans="1:15" s="38" customFormat="1" ht="11.45" hidden="1" customHeight="1" outlineLevel="1" x14ac:dyDescent="0.25">
      <c r="A69" s="124"/>
      <c r="B69" s="128"/>
      <c r="C69" s="115"/>
      <c r="D69" s="115"/>
      <c r="E69" s="148"/>
      <c r="F69" s="115"/>
      <c r="G69" s="60" t="s">
        <v>126</v>
      </c>
      <c r="H69" s="124"/>
      <c r="I69" s="124"/>
      <c r="J69" s="60"/>
      <c r="K69" s="60"/>
      <c r="L69" s="60"/>
      <c r="M69" s="60"/>
      <c r="N69" s="60">
        <f t="shared" ref="N69:N74" si="23">M69*J69*K69*L69</f>
        <v>0</v>
      </c>
      <c r="O69" s="60">
        <f t="shared" ref="O69:O74" si="24">J69*K69*L69</f>
        <v>0</v>
      </c>
    </row>
    <row r="70" spans="1:15" s="38" customFormat="1" ht="10.7" hidden="1" customHeight="1" outlineLevel="1" x14ac:dyDescent="0.25">
      <c r="A70" s="124"/>
      <c r="B70" s="128"/>
      <c r="C70" s="115"/>
      <c r="D70" s="115"/>
      <c r="E70" s="148"/>
      <c r="F70" s="115"/>
      <c r="G70" s="60" t="s">
        <v>127</v>
      </c>
      <c r="H70" s="124"/>
      <c r="I70" s="124"/>
      <c r="J70" s="60"/>
      <c r="K70" s="60"/>
      <c r="L70" s="60"/>
      <c r="M70" s="60"/>
      <c r="N70" s="60">
        <f t="shared" si="23"/>
        <v>0</v>
      </c>
      <c r="O70" s="60">
        <f t="shared" si="24"/>
        <v>0</v>
      </c>
    </row>
    <row r="71" spans="1:15" s="38" customFormat="1" ht="10.7" hidden="1" customHeight="1" outlineLevel="1" x14ac:dyDescent="0.25">
      <c r="A71" s="124"/>
      <c r="B71" s="128"/>
      <c r="C71" s="115"/>
      <c r="D71" s="115"/>
      <c r="E71" s="148"/>
      <c r="F71" s="115"/>
      <c r="G71" s="60" t="s">
        <v>128</v>
      </c>
      <c r="H71" s="124"/>
      <c r="I71" s="124"/>
      <c r="J71" s="60"/>
      <c r="K71" s="60"/>
      <c r="L71" s="60"/>
      <c r="M71" s="60"/>
      <c r="N71" s="60">
        <f t="shared" si="23"/>
        <v>0</v>
      </c>
      <c r="O71" s="60">
        <f t="shared" si="24"/>
        <v>0</v>
      </c>
    </row>
    <row r="72" spans="1:15" s="38" customFormat="1" ht="10.7" hidden="1" customHeight="1" outlineLevel="1" x14ac:dyDescent="0.25">
      <c r="A72" s="124"/>
      <c r="B72" s="128"/>
      <c r="C72" s="115"/>
      <c r="D72" s="115"/>
      <c r="E72" s="148"/>
      <c r="F72" s="115"/>
      <c r="G72" s="60" t="s">
        <v>129</v>
      </c>
      <c r="H72" s="124"/>
      <c r="I72" s="124"/>
      <c r="J72" s="60"/>
      <c r="K72" s="60"/>
      <c r="L72" s="60"/>
      <c r="M72" s="60"/>
      <c r="N72" s="60">
        <f t="shared" si="23"/>
        <v>0</v>
      </c>
      <c r="O72" s="60">
        <f t="shared" si="24"/>
        <v>0</v>
      </c>
    </row>
    <row r="73" spans="1:15" s="38" customFormat="1" ht="10.7" hidden="1" customHeight="1" outlineLevel="1" x14ac:dyDescent="0.25">
      <c r="A73" s="124"/>
      <c r="B73" s="128"/>
      <c r="C73" s="115"/>
      <c r="D73" s="115"/>
      <c r="E73" s="148"/>
      <c r="F73" s="115"/>
      <c r="G73" s="60" t="s">
        <v>130</v>
      </c>
      <c r="H73" s="124"/>
      <c r="I73" s="124"/>
      <c r="J73" s="60"/>
      <c r="K73" s="60"/>
      <c r="L73" s="60"/>
      <c r="M73" s="60"/>
      <c r="N73" s="60">
        <f t="shared" si="23"/>
        <v>0</v>
      </c>
      <c r="O73" s="60">
        <f t="shared" si="24"/>
        <v>0</v>
      </c>
    </row>
    <row r="74" spans="1:15" s="38" customFormat="1" ht="12" hidden="1" customHeight="1" outlineLevel="1" thickBot="1" x14ac:dyDescent="0.3">
      <c r="A74" s="125"/>
      <c r="B74" s="129"/>
      <c r="C74" s="131"/>
      <c r="D74" s="131"/>
      <c r="E74" s="149"/>
      <c r="F74" s="131"/>
      <c r="G74" s="60" t="s">
        <v>131</v>
      </c>
      <c r="H74" s="134"/>
      <c r="I74" s="134"/>
      <c r="J74" s="60"/>
      <c r="K74" s="60"/>
      <c r="L74" s="60"/>
      <c r="M74" s="60"/>
      <c r="N74" s="60">
        <f t="shared" si="23"/>
        <v>0</v>
      </c>
      <c r="O74" s="60">
        <f t="shared" si="24"/>
        <v>0</v>
      </c>
    </row>
    <row r="75" spans="1:15" s="38" customFormat="1" ht="14.45" hidden="1" customHeight="1" outlineLevel="1" x14ac:dyDescent="0.25">
      <c r="A75" s="140" t="s">
        <v>150</v>
      </c>
      <c r="B75" s="141" t="s">
        <v>395</v>
      </c>
      <c r="C75" s="130">
        <f>SUM(N75:N81)</f>
        <v>0</v>
      </c>
      <c r="D75" s="130">
        <f>SUM(O75:O81)</f>
        <v>0</v>
      </c>
      <c r="E75" s="130">
        <f t="shared" si="22"/>
        <v>0</v>
      </c>
      <c r="F75" s="130"/>
      <c r="G75" s="60" t="s">
        <v>125</v>
      </c>
      <c r="H75" s="123"/>
      <c r="I75" s="123"/>
      <c r="J75" s="60"/>
      <c r="K75" s="60"/>
      <c r="L75" s="60"/>
      <c r="M75" s="60"/>
      <c r="N75" s="60">
        <f>M75*J75*K75*L75</f>
        <v>0</v>
      </c>
      <c r="O75" s="60">
        <f>J75*K75*L75</f>
        <v>0</v>
      </c>
    </row>
    <row r="76" spans="1:15" s="38" customFormat="1" ht="11.45" hidden="1" customHeight="1" outlineLevel="1" x14ac:dyDescent="0.25">
      <c r="A76" s="124"/>
      <c r="B76" s="128"/>
      <c r="C76" s="115"/>
      <c r="D76" s="115"/>
      <c r="E76" s="148"/>
      <c r="F76" s="115"/>
      <c r="G76" s="60" t="s">
        <v>126</v>
      </c>
      <c r="H76" s="124"/>
      <c r="I76" s="124"/>
      <c r="J76" s="60"/>
      <c r="K76" s="60"/>
      <c r="L76" s="60"/>
      <c r="M76" s="60"/>
      <c r="N76" s="60">
        <f t="shared" ref="N76:N81" si="25">M76*J76*K76*L76</f>
        <v>0</v>
      </c>
      <c r="O76" s="60">
        <f t="shared" ref="O76:O81" si="26">J76*K76*L76</f>
        <v>0</v>
      </c>
    </row>
    <row r="77" spans="1:15" s="38" customFormat="1" ht="10.7" hidden="1" customHeight="1" outlineLevel="1" x14ac:dyDescent="0.25">
      <c r="A77" s="124"/>
      <c r="B77" s="128"/>
      <c r="C77" s="115"/>
      <c r="D77" s="115"/>
      <c r="E77" s="148"/>
      <c r="F77" s="115"/>
      <c r="G77" s="60" t="s">
        <v>127</v>
      </c>
      <c r="H77" s="124"/>
      <c r="I77" s="124"/>
      <c r="J77" s="60"/>
      <c r="K77" s="60"/>
      <c r="L77" s="60"/>
      <c r="M77" s="60"/>
      <c r="N77" s="60">
        <f t="shared" si="25"/>
        <v>0</v>
      </c>
      <c r="O77" s="60">
        <f t="shared" si="26"/>
        <v>0</v>
      </c>
    </row>
    <row r="78" spans="1:15" s="38" customFormat="1" ht="10.7" hidden="1" customHeight="1" outlineLevel="1" x14ac:dyDescent="0.25">
      <c r="A78" s="124"/>
      <c r="B78" s="128"/>
      <c r="C78" s="115"/>
      <c r="D78" s="115"/>
      <c r="E78" s="148"/>
      <c r="F78" s="115"/>
      <c r="G78" s="60" t="s">
        <v>128</v>
      </c>
      <c r="H78" s="124"/>
      <c r="I78" s="124"/>
      <c r="J78" s="60"/>
      <c r="K78" s="60"/>
      <c r="L78" s="60"/>
      <c r="M78" s="60"/>
      <c r="N78" s="60">
        <f t="shared" si="25"/>
        <v>0</v>
      </c>
      <c r="O78" s="60">
        <f t="shared" si="26"/>
        <v>0</v>
      </c>
    </row>
    <row r="79" spans="1:15" s="38" customFormat="1" ht="10.7" hidden="1" customHeight="1" outlineLevel="1" x14ac:dyDescent="0.25">
      <c r="A79" s="124"/>
      <c r="B79" s="128"/>
      <c r="C79" s="115"/>
      <c r="D79" s="115"/>
      <c r="E79" s="148"/>
      <c r="F79" s="115"/>
      <c r="G79" s="60" t="s">
        <v>129</v>
      </c>
      <c r="H79" s="124"/>
      <c r="I79" s="124"/>
      <c r="J79" s="60"/>
      <c r="K79" s="60"/>
      <c r="L79" s="60"/>
      <c r="M79" s="60"/>
      <c r="N79" s="60">
        <f t="shared" si="25"/>
        <v>0</v>
      </c>
      <c r="O79" s="60">
        <f t="shared" si="26"/>
        <v>0</v>
      </c>
    </row>
    <row r="80" spans="1:15" s="38" customFormat="1" ht="10.7" hidden="1" customHeight="1" outlineLevel="1" x14ac:dyDescent="0.25">
      <c r="A80" s="124"/>
      <c r="B80" s="128"/>
      <c r="C80" s="115"/>
      <c r="D80" s="115"/>
      <c r="E80" s="148"/>
      <c r="F80" s="115"/>
      <c r="G80" s="60" t="s">
        <v>130</v>
      </c>
      <c r="H80" s="124"/>
      <c r="I80" s="124"/>
      <c r="J80" s="60"/>
      <c r="K80" s="60"/>
      <c r="L80" s="60"/>
      <c r="M80" s="60"/>
      <c r="N80" s="60">
        <f t="shared" si="25"/>
        <v>0</v>
      </c>
      <c r="O80" s="60">
        <f t="shared" si="26"/>
        <v>0</v>
      </c>
    </row>
    <row r="81" spans="1:15" s="38" customFormat="1" ht="12" hidden="1" customHeight="1" outlineLevel="1" thickBot="1" x14ac:dyDescent="0.3">
      <c r="A81" s="125"/>
      <c r="B81" s="129"/>
      <c r="C81" s="131"/>
      <c r="D81" s="131"/>
      <c r="E81" s="149"/>
      <c r="F81" s="131"/>
      <c r="G81" s="60" t="s">
        <v>131</v>
      </c>
      <c r="H81" s="134"/>
      <c r="I81" s="134"/>
      <c r="J81" s="60"/>
      <c r="K81" s="60"/>
      <c r="L81" s="60"/>
      <c r="M81" s="60"/>
      <c r="N81" s="60">
        <f t="shared" si="25"/>
        <v>0</v>
      </c>
      <c r="O81" s="60">
        <f t="shared" si="26"/>
        <v>0</v>
      </c>
    </row>
    <row r="82" spans="1:15" s="38" customFormat="1" ht="14.45" hidden="1" customHeight="1" outlineLevel="1" x14ac:dyDescent="0.25">
      <c r="A82" s="140" t="s">
        <v>152</v>
      </c>
      <c r="B82" s="141" t="s">
        <v>396</v>
      </c>
      <c r="C82" s="130">
        <f>SUM(N82:N88)</f>
        <v>0</v>
      </c>
      <c r="D82" s="130">
        <f>SUM(O82:O88)</f>
        <v>0</v>
      </c>
      <c r="E82" s="130">
        <f t="shared" si="22"/>
        <v>0</v>
      </c>
      <c r="F82" s="130"/>
      <c r="G82" s="60" t="s">
        <v>125</v>
      </c>
      <c r="H82" s="123"/>
      <c r="I82" s="123"/>
      <c r="J82" s="60"/>
      <c r="K82" s="60"/>
      <c r="L82" s="60"/>
      <c r="M82" s="60"/>
      <c r="N82" s="60">
        <f>M82*J82*K82*L82</f>
        <v>0</v>
      </c>
      <c r="O82" s="60">
        <f>J82*K82*L82</f>
        <v>0</v>
      </c>
    </row>
    <row r="83" spans="1:15" s="38" customFormat="1" ht="11.45" hidden="1" customHeight="1" outlineLevel="1" x14ac:dyDescent="0.25">
      <c r="A83" s="124"/>
      <c r="B83" s="128"/>
      <c r="C83" s="115"/>
      <c r="D83" s="115"/>
      <c r="E83" s="148"/>
      <c r="F83" s="115"/>
      <c r="G83" s="60" t="s">
        <v>126</v>
      </c>
      <c r="H83" s="124"/>
      <c r="I83" s="124"/>
      <c r="J83" s="60"/>
      <c r="K83" s="60"/>
      <c r="L83" s="60"/>
      <c r="M83" s="60"/>
      <c r="N83" s="60">
        <f t="shared" ref="N83:N88" si="27">M83*J83*K83*L83</f>
        <v>0</v>
      </c>
      <c r="O83" s="60">
        <f t="shared" ref="O83:O88" si="28">J83*K83*L83</f>
        <v>0</v>
      </c>
    </row>
    <row r="84" spans="1:15" s="38" customFormat="1" ht="10.7" hidden="1" customHeight="1" outlineLevel="1" x14ac:dyDescent="0.25">
      <c r="A84" s="124"/>
      <c r="B84" s="128"/>
      <c r="C84" s="115"/>
      <c r="D84" s="115"/>
      <c r="E84" s="148"/>
      <c r="F84" s="115"/>
      <c r="G84" s="60" t="s">
        <v>127</v>
      </c>
      <c r="H84" s="124"/>
      <c r="I84" s="124"/>
      <c r="J84" s="60"/>
      <c r="K84" s="60"/>
      <c r="L84" s="60"/>
      <c r="M84" s="60"/>
      <c r="N84" s="60">
        <f t="shared" si="27"/>
        <v>0</v>
      </c>
      <c r="O84" s="60">
        <f t="shared" si="28"/>
        <v>0</v>
      </c>
    </row>
    <row r="85" spans="1:15" s="38" customFormat="1" ht="10.7" hidden="1" customHeight="1" outlineLevel="1" x14ac:dyDescent="0.25">
      <c r="A85" s="124"/>
      <c r="B85" s="128"/>
      <c r="C85" s="115"/>
      <c r="D85" s="115"/>
      <c r="E85" s="148"/>
      <c r="F85" s="115"/>
      <c r="G85" s="60" t="s">
        <v>128</v>
      </c>
      <c r="H85" s="124"/>
      <c r="I85" s="124"/>
      <c r="J85" s="60"/>
      <c r="K85" s="60"/>
      <c r="L85" s="60"/>
      <c r="M85" s="60"/>
      <c r="N85" s="60">
        <f t="shared" si="27"/>
        <v>0</v>
      </c>
      <c r="O85" s="60">
        <f t="shared" si="28"/>
        <v>0</v>
      </c>
    </row>
    <row r="86" spans="1:15" s="38" customFormat="1" ht="10.7" hidden="1" customHeight="1" outlineLevel="1" x14ac:dyDescent="0.25">
      <c r="A86" s="124"/>
      <c r="B86" s="128"/>
      <c r="C86" s="115"/>
      <c r="D86" s="115"/>
      <c r="E86" s="148"/>
      <c r="F86" s="115"/>
      <c r="G86" s="60" t="s">
        <v>129</v>
      </c>
      <c r="H86" s="124"/>
      <c r="I86" s="124"/>
      <c r="J86" s="60"/>
      <c r="K86" s="60"/>
      <c r="L86" s="60"/>
      <c r="M86" s="60"/>
      <c r="N86" s="60">
        <f t="shared" si="27"/>
        <v>0</v>
      </c>
      <c r="O86" s="60">
        <f t="shared" si="28"/>
        <v>0</v>
      </c>
    </row>
    <row r="87" spans="1:15" s="38" customFormat="1" ht="10.7" hidden="1" customHeight="1" outlineLevel="1" x14ac:dyDescent="0.25">
      <c r="A87" s="124"/>
      <c r="B87" s="128"/>
      <c r="C87" s="115"/>
      <c r="D87" s="115"/>
      <c r="E87" s="148"/>
      <c r="F87" s="115"/>
      <c r="G87" s="60" t="s">
        <v>130</v>
      </c>
      <c r="H87" s="124"/>
      <c r="I87" s="124"/>
      <c r="J87" s="60"/>
      <c r="K87" s="60"/>
      <c r="L87" s="60"/>
      <c r="M87" s="60"/>
      <c r="N87" s="60">
        <f t="shared" si="27"/>
        <v>0</v>
      </c>
      <c r="O87" s="60">
        <f t="shared" si="28"/>
        <v>0</v>
      </c>
    </row>
    <row r="88" spans="1:15" s="38" customFormat="1" ht="12" hidden="1" customHeight="1" outlineLevel="1" thickBot="1" x14ac:dyDescent="0.3">
      <c r="A88" s="125"/>
      <c r="B88" s="129"/>
      <c r="C88" s="131"/>
      <c r="D88" s="131"/>
      <c r="E88" s="149"/>
      <c r="F88" s="131"/>
      <c r="G88" s="60" t="s">
        <v>131</v>
      </c>
      <c r="H88" s="134"/>
      <c r="I88" s="134"/>
      <c r="J88" s="60"/>
      <c r="K88" s="60"/>
      <c r="L88" s="60"/>
      <c r="M88" s="60"/>
      <c r="N88" s="60">
        <f t="shared" si="27"/>
        <v>0</v>
      </c>
      <c r="O88" s="60">
        <f t="shared" si="28"/>
        <v>0</v>
      </c>
    </row>
    <row r="89" spans="1:15" s="38" customFormat="1" ht="30" hidden="1" outlineLevel="1" x14ac:dyDescent="0.25">
      <c r="A89" s="44" t="s">
        <v>355</v>
      </c>
      <c r="B89" s="52" t="s">
        <v>397</v>
      </c>
      <c r="C89" s="45">
        <f>SUM(C90:C145)</f>
        <v>0</v>
      </c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60"/>
    </row>
    <row r="90" spans="1:15" s="38" customFormat="1" ht="14.45" hidden="1" customHeight="1" outlineLevel="1" x14ac:dyDescent="0.25">
      <c r="A90" s="140" t="s">
        <v>398</v>
      </c>
      <c r="B90" s="141" t="s">
        <v>399</v>
      </c>
      <c r="C90" s="130">
        <f>SUM(N90:N96)</f>
        <v>0</v>
      </c>
      <c r="D90" s="130">
        <f>SUM(O90:O96)</f>
        <v>0</v>
      </c>
      <c r="E90" s="130">
        <f t="shared" ref="E90:E153" si="29">D90/8</f>
        <v>0</v>
      </c>
      <c r="F90" s="130"/>
      <c r="G90" s="60" t="s">
        <v>125</v>
      </c>
      <c r="H90" s="123"/>
      <c r="I90" s="123"/>
      <c r="J90" s="60"/>
      <c r="K90" s="60"/>
      <c r="L90" s="60"/>
      <c r="M90" s="60"/>
      <c r="N90" s="60">
        <f>M90*J90*K90*L90</f>
        <v>0</v>
      </c>
      <c r="O90" s="60">
        <f>J90*K90*L90</f>
        <v>0</v>
      </c>
    </row>
    <row r="91" spans="1:15" s="38" customFormat="1" ht="11.45" hidden="1" customHeight="1" outlineLevel="1" x14ac:dyDescent="0.25">
      <c r="A91" s="124"/>
      <c r="B91" s="142"/>
      <c r="C91" s="115"/>
      <c r="D91" s="115"/>
      <c r="E91" s="115"/>
      <c r="F91" s="115"/>
      <c r="G91" s="60" t="s">
        <v>126</v>
      </c>
      <c r="H91" s="124"/>
      <c r="I91" s="124"/>
      <c r="J91" s="60"/>
      <c r="K91" s="60"/>
      <c r="L91" s="60"/>
      <c r="M91" s="60"/>
      <c r="N91" s="60">
        <f t="shared" ref="N91:N96" si="30">M91*J91*K91*L91</f>
        <v>0</v>
      </c>
      <c r="O91" s="60">
        <f t="shared" ref="O91:O96" si="31">J91*K91*L91</f>
        <v>0</v>
      </c>
    </row>
    <row r="92" spans="1:15" s="38" customFormat="1" ht="10.7" hidden="1" customHeight="1" outlineLevel="1" x14ac:dyDescent="0.25">
      <c r="A92" s="124"/>
      <c r="B92" s="142"/>
      <c r="C92" s="115"/>
      <c r="D92" s="115"/>
      <c r="E92" s="115"/>
      <c r="F92" s="115"/>
      <c r="G92" s="60" t="s">
        <v>127</v>
      </c>
      <c r="H92" s="124"/>
      <c r="I92" s="124"/>
      <c r="J92" s="60"/>
      <c r="K92" s="60"/>
      <c r="L92" s="60"/>
      <c r="M92" s="60"/>
      <c r="N92" s="60">
        <f t="shared" si="30"/>
        <v>0</v>
      </c>
      <c r="O92" s="60">
        <f t="shared" si="31"/>
        <v>0</v>
      </c>
    </row>
    <row r="93" spans="1:15" s="38" customFormat="1" ht="10.7" hidden="1" customHeight="1" outlineLevel="1" x14ac:dyDescent="0.25">
      <c r="A93" s="124"/>
      <c r="B93" s="142"/>
      <c r="C93" s="115"/>
      <c r="D93" s="115"/>
      <c r="E93" s="115"/>
      <c r="F93" s="115"/>
      <c r="G93" s="60" t="s">
        <v>128</v>
      </c>
      <c r="H93" s="124"/>
      <c r="I93" s="124"/>
      <c r="J93" s="60"/>
      <c r="K93" s="60"/>
      <c r="L93" s="60"/>
      <c r="M93" s="60"/>
      <c r="N93" s="60">
        <f t="shared" si="30"/>
        <v>0</v>
      </c>
      <c r="O93" s="60">
        <f t="shared" si="31"/>
        <v>0</v>
      </c>
    </row>
    <row r="94" spans="1:15" s="38" customFormat="1" ht="10.7" hidden="1" customHeight="1" outlineLevel="1" x14ac:dyDescent="0.25">
      <c r="A94" s="124"/>
      <c r="B94" s="142"/>
      <c r="C94" s="115"/>
      <c r="D94" s="115"/>
      <c r="E94" s="115"/>
      <c r="F94" s="115"/>
      <c r="G94" s="60" t="s">
        <v>129</v>
      </c>
      <c r="H94" s="124"/>
      <c r="I94" s="124"/>
      <c r="J94" s="60"/>
      <c r="K94" s="60"/>
      <c r="L94" s="60"/>
      <c r="M94" s="60"/>
      <c r="N94" s="60">
        <f t="shared" si="30"/>
        <v>0</v>
      </c>
      <c r="O94" s="60">
        <f t="shared" si="31"/>
        <v>0</v>
      </c>
    </row>
    <row r="95" spans="1:15" s="38" customFormat="1" ht="10.7" hidden="1" customHeight="1" outlineLevel="1" x14ac:dyDescent="0.25">
      <c r="A95" s="124"/>
      <c r="B95" s="142"/>
      <c r="C95" s="115"/>
      <c r="D95" s="115"/>
      <c r="E95" s="115"/>
      <c r="F95" s="115"/>
      <c r="G95" s="60" t="s">
        <v>130</v>
      </c>
      <c r="H95" s="124"/>
      <c r="I95" s="124"/>
      <c r="J95" s="60"/>
      <c r="K95" s="60"/>
      <c r="L95" s="60"/>
      <c r="M95" s="60"/>
      <c r="N95" s="60">
        <f t="shared" si="30"/>
        <v>0</v>
      </c>
      <c r="O95" s="60">
        <f t="shared" si="31"/>
        <v>0</v>
      </c>
    </row>
    <row r="96" spans="1:15" s="38" customFormat="1" ht="12" hidden="1" customHeight="1" outlineLevel="1" thickBot="1" x14ac:dyDescent="0.3">
      <c r="A96" s="125"/>
      <c r="B96" s="143"/>
      <c r="C96" s="131"/>
      <c r="D96" s="131"/>
      <c r="E96" s="131"/>
      <c r="F96" s="131"/>
      <c r="G96" s="60" t="s">
        <v>131</v>
      </c>
      <c r="H96" s="134"/>
      <c r="I96" s="134"/>
      <c r="J96" s="60"/>
      <c r="K96" s="60"/>
      <c r="L96" s="60"/>
      <c r="M96" s="60"/>
      <c r="N96" s="60">
        <f t="shared" si="30"/>
        <v>0</v>
      </c>
      <c r="O96" s="60">
        <f t="shared" si="31"/>
        <v>0</v>
      </c>
    </row>
    <row r="97" spans="1:15" s="38" customFormat="1" ht="14.45" hidden="1" customHeight="1" outlineLevel="1" x14ac:dyDescent="0.25">
      <c r="A97" s="140" t="s">
        <v>400</v>
      </c>
      <c r="B97" s="141" t="s">
        <v>401</v>
      </c>
      <c r="C97" s="130">
        <f>SUM(N97:N103)</f>
        <v>0</v>
      </c>
      <c r="D97" s="130">
        <f>SUM(O97:O103)</f>
        <v>0</v>
      </c>
      <c r="E97" s="130">
        <f t="shared" si="29"/>
        <v>0</v>
      </c>
      <c r="F97" s="130"/>
      <c r="G97" s="60" t="s">
        <v>125</v>
      </c>
      <c r="H97" s="123"/>
      <c r="I97" s="123"/>
      <c r="J97" s="60"/>
      <c r="K97" s="60"/>
      <c r="L97" s="60"/>
      <c r="M97" s="60"/>
      <c r="N97" s="60">
        <f>M97*J97*K97*L97</f>
        <v>0</v>
      </c>
      <c r="O97" s="60">
        <f>J97*K97*L97</f>
        <v>0</v>
      </c>
    </row>
    <row r="98" spans="1:15" s="38" customFormat="1" ht="11.45" hidden="1" customHeight="1" outlineLevel="1" x14ac:dyDescent="0.25">
      <c r="A98" s="124"/>
      <c r="B98" s="142"/>
      <c r="C98" s="115"/>
      <c r="D98" s="115"/>
      <c r="E98" s="115"/>
      <c r="F98" s="115"/>
      <c r="G98" s="60" t="s">
        <v>126</v>
      </c>
      <c r="H98" s="124"/>
      <c r="I98" s="124"/>
      <c r="J98" s="60"/>
      <c r="K98" s="60"/>
      <c r="L98" s="60"/>
      <c r="M98" s="60"/>
      <c r="N98" s="60">
        <f t="shared" ref="N98:N103" si="32">M98*J98*K98*L98</f>
        <v>0</v>
      </c>
      <c r="O98" s="60">
        <f t="shared" ref="O98:O103" si="33">J98*K98*L98</f>
        <v>0</v>
      </c>
    </row>
    <row r="99" spans="1:15" s="38" customFormat="1" ht="10.7" hidden="1" customHeight="1" outlineLevel="1" x14ac:dyDescent="0.25">
      <c r="A99" s="124"/>
      <c r="B99" s="142"/>
      <c r="C99" s="115"/>
      <c r="D99" s="115"/>
      <c r="E99" s="115"/>
      <c r="F99" s="115"/>
      <c r="G99" s="60" t="s">
        <v>127</v>
      </c>
      <c r="H99" s="124"/>
      <c r="I99" s="124"/>
      <c r="J99" s="60"/>
      <c r="K99" s="60"/>
      <c r="L99" s="60"/>
      <c r="M99" s="60"/>
      <c r="N99" s="60">
        <f t="shared" si="32"/>
        <v>0</v>
      </c>
      <c r="O99" s="60">
        <f t="shared" si="33"/>
        <v>0</v>
      </c>
    </row>
    <row r="100" spans="1:15" s="38" customFormat="1" ht="10.7" hidden="1" customHeight="1" outlineLevel="1" x14ac:dyDescent="0.25">
      <c r="A100" s="124"/>
      <c r="B100" s="142"/>
      <c r="C100" s="115"/>
      <c r="D100" s="115"/>
      <c r="E100" s="115"/>
      <c r="F100" s="115"/>
      <c r="G100" s="60" t="s">
        <v>128</v>
      </c>
      <c r="H100" s="124"/>
      <c r="I100" s="124"/>
      <c r="J100" s="60"/>
      <c r="K100" s="60"/>
      <c r="L100" s="60"/>
      <c r="M100" s="60"/>
      <c r="N100" s="60">
        <f t="shared" si="32"/>
        <v>0</v>
      </c>
      <c r="O100" s="60">
        <f t="shared" si="33"/>
        <v>0</v>
      </c>
    </row>
    <row r="101" spans="1:15" s="38" customFormat="1" ht="10.7" hidden="1" customHeight="1" outlineLevel="1" x14ac:dyDescent="0.25">
      <c r="A101" s="124"/>
      <c r="B101" s="142"/>
      <c r="C101" s="115"/>
      <c r="D101" s="115"/>
      <c r="E101" s="115"/>
      <c r="F101" s="115"/>
      <c r="G101" s="60" t="s">
        <v>129</v>
      </c>
      <c r="H101" s="124"/>
      <c r="I101" s="124"/>
      <c r="J101" s="60"/>
      <c r="K101" s="60"/>
      <c r="L101" s="60"/>
      <c r="M101" s="60"/>
      <c r="N101" s="60">
        <f t="shared" si="32"/>
        <v>0</v>
      </c>
      <c r="O101" s="60">
        <f t="shared" si="33"/>
        <v>0</v>
      </c>
    </row>
    <row r="102" spans="1:15" s="38" customFormat="1" ht="10.7" hidden="1" customHeight="1" outlineLevel="1" x14ac:dyDescent="0.25">
      <c r="A102" s="124"/>
      <c r="B102" s="142"/>
      <c r="C102" s="115"/>
      <c r="D102" s="115"/>
      <c r="E102" s="115"/>
      <c r="F102" s="115"/>
      <c r="G102" s="60" t="s">
        <v>130</v>
      </c>
      <c r="H102" s="124"/>
      <c r="I102" s="124"/>
      <c r="J102" s="60"/>
      <c r="K102" s="60"/>
      <c r="L102" s="60"/>
      <c r="M102" s="60"/>
      <c r="N102" s="60">
        <f t="shared" si="32"/>
        <v>0</v>
      </c>
      <c r="O102" s="60">
        <f t="shared" si="33"/>
        <v>0</v>
      </c>
    </row>
    <row r="103" spans="1:15" s="38" customFormat="1" ht="12" hidden="1" customHeight="1" outlineLevel="1" thickBot="1" x14ac:dyDescent="0.3">
      <c r="A103" s="125"/>
      <c r="B103" s="143"/>
      <c r="C103" s="131"/>
      <c r="D103" s="131"/>
      <c r="E103" s="131"/>
      <c r="F103" s="131"/>
      <c r="G103" s="60" t="s">
        <v>131</v>
      </c>
      <c r="H103" s="134"/>
      <c r="I103" s="134"/>
      <c r="J103" s="60"/>
      <c r="K103" s="60"/>
      <c r="L103" s="60"/>
      <c r="M103" s="60"/>
      <c r="N103" s="60">
        <f t="shared" si="32"/>
        <v>0</v>
      </c>
      <c r="O103" s="60">
        <f t="shared" si="33"/>
        <v>0</v>
      </c>
    </row>
    <row r="104" spans="1:15" s="38" customFormat="1" ht="14.45" hidden="1" customHeight="1" outlineLevel="1" x14ac:dyDescent="0.25">
      <c r="A104" s="140" t="s">
        <v>402</v>
      </c>
      <c r="B104" s="141" t="s">
        <v>403</v>
      </c>
      <c r="C104" s="130">
        <f>SUM(N104:N110)</f>
        <v>0</v>
      </c>
      <c r="D104" s="130">
        <f>SUM(O104:O110)</f>
        <v>0</v>
      </c>
      <c r="E104" s="130">
        <f t="shared" si="29"/>
        <v>0</v>
      </c>
      <c r="F104" s="130"/>
      <c r="G104" s="60" t="s">
        <v>125</v>
      </c>
      <c r="H104" s="123"/>
      <c r="I104" s="123"/>
      <c r="J104" s="60"/>
      <c r="K104" s="60"/>
      <c r="L104" s="60"/>
      <c r="M104" s="60"/>
      <c r="N104" s="60">
        <f>M104*J104*K104*L104</f>
        <v>0</v>
      </c>
      <c r="O104" s="60">
        <f>J104*K104*L104</f>
        <v>0</v>
      </c>
    </row>
    <row r="105" spans="1:15" s="38" customFormat="1" ht="11.45" hidden="1" customHeight="1" outlineLevel="1" x14ac:dyDescent="0.25">
      <c r="A105" s="124"/>
      <c r="B105" s="142"/>
      <c r="C105" s="115"/>
      <c r="D105" s="115"/>
      <c r="E105" s="115"/>
      <c r="F105" s="115"/>
      <c r="G105" s="60" t="s">
        <v>126</v>
      </c>
      <c r="H105" s="124"/>
      <c r="I105" s="124"/>
      <c r="J105" s="60"/>
      <c r="K105" s="60"/>
      <c r="L105" s="60"/>
      <c r="M105" s="60"/>
      <c r="N105" s="60">
        <f t="shared" ref="N105:N110" si="34">M105*J105*K105*L105</f>
        <v>0</v>
      </c>
      <c r="O105" s="60">
        <f t="shared" ref="O105:O110" si="35">J105*K105*L105</f>
        <v>0</v>
      </c>
    </row>
    <row r="106" spans="1:15" s="38" customFormat="1" ht="10.7" hidden="1" customHeight="1" outlineLevel="1" x14ac:dyDescent="0.25">
      <c r="A106" s="124"/>
      <c r="B106" s="142"/>
      <c r="C106" s="115"/>
      <c r="D106" s="115"/>
      <c r="E106" s="115"/>
      <c r="F106" s="115"/>
      <c r="G106" s="60" t="s">
        <v>127</v>
      </c>
      <c r="H106" s="124"/>
      <c r="I106" s="124"/>
      <c r="J106" s="60"/>
      <c r="K106" s="60"/>
      <c r="L106" s="60"/>
      <c r="M106" s="60"/>
      <c r="N106" s="60">
        <f t="shared" si="34"/>
        <v>0</v>
      </c>
      <c r="O106" s="60">
        <f t="shared" si="35"/>
        <v>0</v>
      </c>
    </row>
    <row r="107" spans="1:15" s="38" customFormat="1" ht="10.7" hidden="1" customHeight="1" outlineLevel="1" x14ac:dyDescent="0.25">
      <c r="A107" s="124"/>
      <c r="B107" s="142"/>
      <c r="C107" s="115"/>
      <c r="D107" s="115"/>
      <c r="E107" s="115"/>
      <c r="F107" s="115"/>
      <c r="G107" s="60" t="s">
        <v>128</v>
      </c>
      <c r="H107" s="124"/>
      <c r="I107" s="124"/>
      <c r="J107" s="60"/>
      <c r="K107" s="60"/>
      <c r="L107" s="60"/>
      <c r="M107" s="60"/>
      <c r="N107" s="60">
        <f t="shared" si="34"/>
        <v>0</v>
      </c>
      <c r="O107" s="60">
        <f t="shared" si="35"/>
        <v>0</v>
      </c>
    </row>
    <row r="108" spans="1:15" s="38" customFormat="1" ht="10.7" hidden="1" customHeight="1" outlineLevel="1" x14ac:dyDescent="0.25">
      <c r="A108" s="124"/>
      <c r="B108" s="142"/>
      <c r="C108" s="115"/>
      <c r="D108" s="115"/>
      <c r="E108" s="115"/>
      <c r="F108" s="115"/>
      <c r="G108" s="60" t="s">
        <v>129</v>
      </c>
      <c r="H108" s="124"/>
      <c r="I108" s="124"/>
      <c r="J108" s="60"/>
      <c r="K108" s="60"/>
      <c r="L108" s="60"/>
      <c r="M108" s="60"/>
      <c r="N108" s="60">
        <f t="shared" si="34"/>
        <v>0</v>
      </c>
      <c r="O108" s="60">
        <f t="shared" si="35"/>
        <v>0</v>
      </c>
    </row>
    <row r="109" spans="1:15" s="38" customFormat="1" ht="10.7" hidden="1" customHeight="1" outlineLevel="1" x14ac:dyDescent="0.25">
      <c r="A109" s="124"/>
      <c r="B109" s="142"/>
      <c r="C109" s="115"/>
      <c r="D109" s="115"/>
      <c r="E109" s="115"/>
      <c r="F109" s="115"/>
      <c r="G109" s="60" t="s">
        <v>130</v>
      </c>
      <c r="H109" s="124"/>
      <c r="I109" s="124"/>
      <c r="J109" s="60"/>
      <c r="K109" s="60"/>
      <c r="L109" s="60"/>
      <c r="M109" s="60"/>
      <c r="N109" s="60">
        <f t="shared" si="34"/>
        <v>0</v>
      </c>
      <c r="O109" s="60">
        <f t="shared" si="35"/>
        <v>0</v>
      </c>
    </row>
    <row r="110" spans="1:15" s="38" customFormat="1" ht="12" hidden="1" customHeight="1" outlineLevel="1" thickBot="1" x14ac:dyDescent="0.3">
      <c r="A110" s="125"/>
      <c r="B110" s="143"/>
      <c r="C110" s="131"/>
      <c r="D110" s="131"/>
      <c r="E110" s="131"/>
      <c r="F110" s="131"/>
      <c r="G110" s="60" t="s">
        <v>131</v>
      </c>
      <c r="H110" s="134"/>
      <c r="I110" s="134"/>
      <c r="J110" s="60"/>
      <c r="K110" s="60"/>
      <c r="L110" s="60"/>
      <c r="M110" s="60"/>
      <c r="N110" s="60">
        <f t="shared" si="34"/>
        <v>0</v>
      </c>
      <c r="O110" s="60">
        <f t="shared" si="35"/>
        <v>0</v>
      </c>
    </row>
    <row r="111" spans="1:15" s="38" customFormat="1" ht="14.45" hidden="1" customHeight="1" outlineLevel="1" x14ac:dyDescent="0.25">
      <c r="A111" s="140" t="s">
        <v>404</v>
      </c>
      <c r="B111" s="141" t="s">
        <v>405</v>
      </c>
      <c r="C111" s="130">
        <f>SUM(N111:N117)</f>
        <v>0</v>
      </c>
      <c r="D111" s="130">
        <f>SUM(O111:O117)</f>
        <v>0</v>
      </c>
      <c r="E111" s="130">
        <f t="shared" si="29"/>
        <v>0</v>
      </c>
      <c r="F111" s="130"/>
      <c r="G111" s="60" t="s">
        <v>125</v>
      </c>
      <c r="H111" s="123"/>
      <c r="I111" s="123"/>
      <c r="J111" s="60"/>
      <c r="K111" s="60"/>
      <c r="L111" s="60"/>
      <c r="M111" s="60"/>
      <c r="N111" s="60">
        <f>M111*J111*K111*L111</f>
        <v>0</v>
      </c>
      <c r="O111" s="60">
        <f>J111*K111*L111</f>
        <v>0</v>
      </c>
    </row>
    <row r="112" spans="1:15" s="38" customFormat="1" ht="11.45" hidden="1" customHeight="1" outlineLevel="1" x14ac:dyDescent="0.25">
      <c r="A112" s="124"/>
      <c r="B112" s="142"/>
      <c r="C112" s="115"/>
      <c r="D112" s="115"/>
      <c r="E112" s="115"/>
      <c r="F112" s="115"/>
      <c r="G112" s="60" t="s">
        <v>126</v>
      </c>
      <c r="H112" s="124"/>
      <c r="I112" s="124"/>
      <c r="J112" s="60"/>
      <c r="K112" s="60"/>
      <c r="L112" s="60"/>
      <c r="M112" s="60"/>
      <c r="N112" s="60">
        <f t="shared" ref="N112:N117" si="36">M112*J112*K112*L112</f>
        <v>0</v>
      </c>
      <c r="O112" s="60">
        <f t="shared" ref="O112:O117" si="37">J112*K112*L112</f>
        <v>0</v>
      </c>
    </row>
    <row r="113" spans="1:15" s="38" customFormat="1" ht="10.7" hidden="1" customHeight="1" outlineLevel="1" x14ac:dyDescent="0.25">
      <c r="A113" s="124"/>
      <c r="B113" s="142"/>
      <c r="C113" s="115"/>
      <c r="D113" s="115"/>
      <c r="E113" s="115"/>
      <c r="F113" s="115"/>
      <c r="G113" s="60" t="s">
        <v>127</v>
      </c>
      <c r="H113" s="124"/>
      <c r="I113" s="124"/>
      <c r="J113" s="60"/>
      <c r="K113" s="60"/>
      <c r="L113" s="60"/>
      <c r="M113" s="60"/>
      <c r="N113" s="60">
        <f t="shared" si="36"/>
        <v>0</v>
      </c>
      <c r="O113" s="60">
        <f t="shared" si="37"/>
        <v>0</v>
      </c>
    </row>
    <row r="114" spans="1:15" s="38" customFormat="1" ht="10.7" hidden="1" customHeight="1" outlineLevel="1" x14ac:dyDescent="0.25">
      <c r="A114" s="124"/>
      <c r="B114" s="142"/>
      <c r="C114" s="115"/>
      <c r="D114" s="115"/>
      <c r="E114" s="115"/>
      <c r="F114" s="115"/>
      <c r="G114" s="60" t="s">
        <v>128</v>
      </c>
      <c r="H114" s="124"/>
      <c r="I114" s="124"/>
      <c r="J114" s="60"/>
      <c r="K114" s="60"/>
      <c r="L114" s="60"/>
      <c r="M114" s="60"/>
      <c r="N114" s="60">
        <f t="shared" si="36"/>
        <v>0</v>
      </c>
      <c r="O114" s="60">
        <f t="shared" si="37"/>
        <v>0</v>
      </c>
    </row>
    <row r="115" spans="1:15" s="38" customFormat="1" ht="10.7" hidden="1" customHeight="1" outlineLevel="1" x14ac:dyDescent="0.25">
      <c r="A115" s="124"/>
      <c r="B115" s="142"/>
      <c r="C115" s="115"/>
      <c r="D115" s="115"/>
      <c r="E115" s="115"/>
      <c r="F115" s="115"/>
      <c r="G115" s="60" t="s">
        <v>129</v>
      </c>
      <c r="H115" s="124"/>
      <c r="I115" s="124"/>
      <c r="J115" s="60"/>
      <c r="K115" s="60"/>
      <c r="L115" s="60"/>
      <c r="M115" s="60"/>
      <c r="N115" s="60">
        <f t="shared" si="36"/>
        <v>0</v>
      </c>
      <c r="O115" s="60">
        <f t="shared" si="37"/>
        <v>0</v>
      </c>
    </row>
    <row r="116" spans="1:15" s="38" customFormat="1" ht="10.7" hidden="1" customHeight="1" outlineLevel="1" x14ac:dyDescent="0.25">
      <c r="A116" s="124"/>
      <c r="B116" s="142"/>
      <c r="C116" s="115"/>
      <c r="D116" s="115"/>
      <c r="E116" s="115"/>
      <c r="F116" s="115"/>
      <c r="G116" s="60" t="s">
        <v>130</v>
      </c>
      <c r="H116" s="124"/>
      <c r="I116" s="124"/>
      <c r="J116" s="60"/>
      <c r="K116" s="60"/>
      <c r="L116" s="60"/>
      <c r="M116" s="60"/>
      <c r="N116" s="60">
        <f t="shared" si="36"/>
        <v>0</v>
      </c>
      <c r="O116" s="60">
        <f t="shared" si="37"/>
        <v>0</v>
      </c>
    </row>
    <row r="117" spans="1:15" s="38" customFormat="1" ht="12" hidden="1" customHeight="1" outlineLevel="1" thickBot="1" x14ac:dyDescent="0.3">
      <c r="A117" s="125"/>
      <c r="B117" s="143"/>
      <c r="C117" s="131"/>
      <c r="D117" s="131"/>
      <c r="E117" s="131"/>
      <c r="F117" s="131"/>
      <c r="G117" s="60" t="s">
        <v>131</v>
      </c>
      <c r="H117" s="134"/>
      <c r="I117" s="134"/>
      <c r="J117" s="60"/>
      <c r="K117" s="60"/>
      <c r="L117" s="60"/>
      <c r="M117" s="60"/>
      <c r="N117" s="60">
        <f t="shared" si="36"/>
        <v>0</v>
      </c>
      <c r="O117" s="60">
        <f t="shared" si="37"/>
        <v>0</v>
      </c>
    </row>
    <row r="118" spans="1:15" s="38" customFormat="1" ht="14.45" hidden="1" customHeight="1" outlineLevel="1" x14ac:dyDescent="0.25">
      <c r="A118" s="140" t="s">
        <v>406</v>
      </c>
      <c r="B118" s="141" t="s">
        <v>407</v>
      </c>
      <c r="C118" s="130">
        <f>SUM(N118:N124)</f>
        <v>0</v>
      </c>
      <c r="D118" s="130">
        <f>SUM(O118:O124)</f>
        <v>0</v>
      </c>
      <c r="E118" s="130">
        <f t="shared" si="29"/>
        <v>0</v>
      </c>
      <c r="F118" s="130"/>
      <c r="G118" s="60" t="s">
        <v>125</v>
      </c>
      <c r="H118" s="123"/>
      <c r="I118" s="123"/>
      <c r="J118" s="60"/>
      <c r="K118" s="60"/>
      <c r="L118" s="60"/>
      <c r="M118" s="60"/>
      <c r="N118" s="60">
        <f>M118*J118*K118*L118</f>
        <v>0</v>
      </c>
      <c r="O118" s="60">
        <f>J118*K118*L118</f>
        <v>0</v>
      </c>
    </row>
    <row r="119" spans="1:15" s="38" customFormat="1" ht="11.45" hidden="1" customHeight="1" outlineLevel="1" x14ac:dyDescent="0.25">
      <c r="A119" s="124"/>
      <c r="B119" s="142"/>
      <c r="C119" s="115"/>
      <c r="D119" s="115"/>
      <c r="E119" s="115"/>
      <c r="F119" s="115"/>
      <c r="G119" s="60" t="s">
        <v>126</v>
      </c>
      <c r="H119" s="124"/>
      <c r="I119" s="124"/>
      <c r="J119" s="60"/>
      <c r="K119" s="60"/>
      <c r="L119" s="60"/>
      <c r="M119" s="60"/>
      <c r="N119" s="60">
        <f t="shared" ref="N119:N124" si="38">M119*J119*K119*L119</f>
        <v>0</v>
      </c>
      <c r="O119" s="60">
        <f t="shared" ref="O119:O124" si="39">J119*K119*L119</f>
        <v>0</v>
      </c>
    </row>
    <row r="120" spans="1:15" s="38" customFormat="1" ht="10.7" hidden="1" customHeight="1" outlineLevel="1" x14ac:dyDescent="0.25">
      <c r="A120" s="124"/>
      <c r="B120" s="142"/>
      <c r="C120" s="115"/>
      <c r="D120" s="115"/>
      <c r="E120" s="115"/>
      <c r="F120" s="115"/>
      <c r="G120" s="60" t="s">
        <v>127</v>
      </c>
      <c r="H120" s="124"/>
      <c r="I120" s="124"/>
      <c r="J120" s="60"/>
      <c r="K120" s="60"/>
      <c r="L120" s="60"/>
      <c r="M120" s="60"/>
      <c r="N120" s="60">
        <f t="shared" si="38"/>
        <v>0</v>
      </c>
      <c r="O120" s="60">
        <f t="shared" si="39"/>
        <v>0</v>
      </c>
    </row>
    <row r="121" spans="1:15" s="38" customFormat="1" ht="10.7" hidden="1" customHeight="1" outlineLevel="1" x14ac:dyDescent="0.25">
      <c r="A121" s="124"/>
      <c r="B121" s="142"/>
      <c r="C121" s="115"/>
      <c r="D121" s="115"/>
      <c r="E121" s="115"/>
      <c r="F121" s="115"/>
      <c r="G121" s="60" t="s">
        <v>128</v>
      </c>
      <c r="H121" s="124"/>
      <c r="I121" s="124"/>
      <c r="J121" s="60"/>
      <c r="K121" s="60"/>
      <c r="L121" s="60"/>
      <c r="M121" s="60"/>
      <c r="N121" s="60">
        <f t="shared" si="38"/>
        <v>0</v>
      </c>
      <c r="O121" s="60">
        <f t="shared" si="39"/>
        <v>0</v>
      </c>
    </row>
    <row r="122" spans="1:15" s="38" customFormat="1" ht="10.7" hidden="1" customHeight="1" outlineLevel="1" x14ac:dyDescent="0.25">
      <c r="A122" s="124"/>
      <c r="B122" s="142"/>
      <c r="C122" s="115"/>
      <c r="D122" s="115"/>
      <c r="E122" s="115"/>
      <c r="F122" s="115"/>
      <c r="G122" s="60" t="s">
        <v>129</v>
      </c>
      <c r="H122" s="124"/>
      <c r="I122" s="124"/>
      <c r="J122" s="60"/>
      <c r="K122" s="60"/>
      <c r="L122" s="60"/>
      <c r="M122" s="60"/>
      <c r="N122" s="60">
        <f t="shared" si="38"/>
        <v>0</v>
      </c>
      <c r="O122" s="60">
        <f t="shared" si="39"/>
        <v>0</v>
      </c>
    </row>
    <row r="123" spans="1:15" s="38" customFormat="1" ht="10.7" hidden="1" customHeight="1" outlineLevel="1" x14ac:dyDescent="0.25">
      <c r="A123" s="124"/>
      <c r="B123" s="142"/>
      <c r="C123" s="115"/>
      <c r="D123" s="115"/>
      <c r="E123" s="115"/>
      <c r="F123" s="115"/>
      <c r="G123" s="60" t="s">
        <v>130</v>
      </c>
      <c r="H123" s="124"/>
      <c r="I123" s="124"/>
      <c r="J123" s="60"/>
      <c r="K123" s="60"/>
      <c r="L123" s="60"/>
      <c r="M123" s="60"/>
      <c r="N123" s="60">
        <f t="shared" si="38"/>
        <v>0</v>
      </c>
      <c r="O123" s="60">
        <f t="shared" si="39"/>
        <v>0</v>
      </c>
    </row>
    <row r="124" spans="1:15" s="38" customFormat="1" ht="12" hidden="1" customHeight="1" outlineLevel="1" thickBot="1" x14ac:dyDescent="0.3">
      <c r="A124" s="125"/>
      <c r="B124" s="143"/>
      <c r="C124" s="131"/>
      <c r="D124" s="131"/>
      <c r="E124" s="131"/>
      <c r="F124" s="131"/>
      <c r="G124" s="60" t="s">
        <v>131</v>
      </c>
      <c r="H124" s="134"/>
      <c r="I124" s="134"/>
      <c r="J124" s="60"/>
      <c r="K124" s="60"/>
      <c r="L124" s="60"/>
      <c r="M124" s="60"/>
      <c r="N124" s="60">
        <f t="shared" si="38"/>
        <v>0</v>
      </c>
      <c r="O124" s="60">
        <f t="shared" si="39"/>
        <v>0</v>
      </c>
    </row>
    <row r="125" spans="1:15" s="38" customFormat="1" ht="14.45" hidden="1" customHeight="1" outlineLevel="1" x14ac:dyDescent="0.25">
      <c r="A125" s="140" t="s">
        <v>408</v>
      </c>
      <c r="B125" s="141" t="s">
        <v>409</v>
      </c>
      <c r="C125" s="130">
        <f>SUM(N125:N131)</f>
        <v>0</v>
      </c>
      <c r="D125" s="130">
        <f>SUM(O125:O131)</f>
        <v>0</v>
      </c>
      <c r="E125" s="130">
        <f t="shared" si="29"/>
        <v>0</v>
      </c>
      <c r="F125" s="130"/>
      <c r="G125" s="60" t="s">
        <v>125</v>
      </c>
      <c r="H125" s="123"/>
      <c r="I125" s="123"/>
      <c r="J125" s="60"/>
      <c r="K125" s="60"/>
      <c r="L125" s="60"/>
      <c r="M125" s="60"/>
      <c r="N125" s="60">
        <f>M125*J125*K125*L125</f>
        <v>0</v>
      </c>
      <c r="O125" s="60">
        <f>J125*K125*L125</f>
        <v>0</v>
      </c>
    </row>
    <row r="126" spans="1:15" s="38" customFormat="1" ht="11.45" hidden="1" customHeight="1" outlineLevel="1" x14ac:dyDescent="0.25">
      <c r="A126" s="124"/>
      <c r="B126" s="142"/>
      <c r="C126" s="115"/>
      <c r="D126" s="115"/>
      <c r="E126" s="115"/>
      <c r="F126" s="115"/>
      <c r="G126" s="60" t="s">
        <v>126</v>
      </c>
      <c r="H126" s="124"/>
      <c r="I126" s="124"/>
      <c r="J126" s="60"/>
      <c r="K126" s="60"/>
      <c r="L126" s="60"/>
      <c r="M126" s="60"/>
      <c r="N126" s="60">
        <f t="shared" ref="N126:N131" si="40">M126*J126*K126*L126</f>
        <v>0</v>
      </c>
      <c r="O126" s="60">
        <f t="shared" ref="O126:O131" si="41">J126*K126*L126</f>
        <v>0</v>
      </c>
    </row>
    <row r="127" spans="1:15" s="38" customFormat="1" ht="10.7" hidden="1" customHeight="1" outlineLevel="1" x14ac:dyDescent="0.25">
      <c r="A127" s="124"/>
      <c r="B127" s="142"/>
      <c r="C127" s="115"/>
      <c r="D127" s="115"/>
      <c r="E127" s="115"/>
      <c r="F127" s="115"/>
      <c r="G127" s="60" t="s">
        <v>127</v>
      </c>
      <c r="H127" s="124"/>
      <c r="I127" s="124"/>
      <c r="J127" s="60"/>
      <c r="K127" s="60"/>
      <c r="L127" s="60"/>
      <c r="M127" s="60"/>
      <c r="N127" s="60">
        <f t="shared" si="40"/>
        <v>0</v>
      </c>
      <c r="O127" s="60">
        <f t="shared" si="41"/>
        <v>0</v>
      </c>
    </row>
    <row r="128" spans="1:15" s="38" customFormat="1" ht="10.7" hidden="1" customHeight="1" outlineLevel="1" x14ac:dyDescent="0.25">
      <c r="A128" s="124"/>
      <c r="B128" s="142"/>
      <c r="C128" s="115"/>
      <c r="D128" s="115"/>
      <c r="E128" s="115"/>
      <c r="F128" s="115"/>
      <c r="G128" s="60" t="s">
        <v>128</v>
      </c>
      <c r="H128" s="124"/>
      <c r="I128" s="124"/>
      <c r="J128" s="60"/>
      <c r="K128" s="60"/>
      <c r="L128" s="60"/>
      <c r="M128" s="60"/>
      <c r="N128" s="60">
        <f t="shared" si="40"/>
        <v>0</v>
      </c>
      <c r="O128" s="60">
        <f t="shared" si="41"/>
        <v>0</v>
      </c>
    </row>
    <row r="129" spans="1:15" s="38" customFormat="1" ht="10.7" hidden="1" customHeight="1" outlineLevel="1" x14ac:dyDescent="0.25">
      <c r="A129" s="124"/>
      <c r="B129" s="142"/>
      <c r="C129" s="115"/>
      <c r="D129" s="115"/>
      <c r="E129" s="115"/>
      <c r="F129" s="115"/>
      <c r="G129" s="60" t="s">
        <v>129</v>
      </c>
      <c r="H129" s="124"/>
      <c r="I129" s="124"/>
      <c r="J129" s="60"/>
      <c r="K129" s="60"/>
      <c r="L129" s="60"/>
      <c r="M129" s="60"/>
      <c r="N129" s="60">
        <f t="shared" si="40"/>
        <v>0</v>
      </c>
      <c r="O129" s="60">
        <f t="shared" si="41"/>
        <v>0</v>
      </c>
    </row>
    <row r="130" spans="1:15" s="38" customFormat="1" ht="10.7" hidden="1" customHeight="1" outlineLevel="1" x14ac:dyDescent="0.25">
      <c r="A130" s="124"/>
      <c r="B130" s="142"/>
      <c r="C130" s="115"/>
      <c r="D130" s="115"/>
      <c r="E130" s="115"/>
      <c r="F130" s="115"/>
      <c r="G130" s="60" t="s">
        <v>130</v>
      </c>
      <c r="H130" s="124"/>
      <c r="I130" s="124"/>
      <c r="J130" s="60"/>
      <c r="K130" s="60"/>
      <c r="L130" s="60"/>
      <c r="M130" s="60"/>
      <c r="N130" s="60">
        <f t="shared" si="40"/>
        <v>0</v>
      </c>
      <c r="O130" s="60">
        <f t="shared" si="41"/>
        <v>0</v>
      </c>
    </row>
    <row r="131" spans="1:15" s="38" customFormat="1" ht="12" hidden="1" customHeight="1" outlineLevel="1" thickBot="1" x14ac:dyDescent="0.3">
      <c r="A131" s="125"/>
      <c r="B131" s="143"/>
      <c r="C131" s="131"/>
      <c r="D131" s="131"/>
      <c r="E131" s="131"/>
      <c r="F131" s="131"/>
      <c r="G131" s="60" t="s">
        <v>131</v>
      </c>
      <c r="H131" s="134"/>
      <c r="I131" s="134"/>
      <c r="J131" s="60"/>
      <c r="K131" s="60"/>
      <c r="L131" s="60"/>
      <c r="M131" s="60"/>
      <c r="N131" s="60">
        <f t="shared" si="40"/>
        <v>0</v>
      </c>
      <c r="O131" s="60">
        <f t="shared" si="41"/>
        <v>0</v>
      </c>
    </row>
    <row r="132" spans="1:15" s="38" customFormat="1" ht="14.45" hidden="1" customHeight="1" outlineLevel="1" x14ac:dyDescent="0.25">
      <c r="A132" s="140" t="s">
        <v>410</v>
      </c>
      <c r="B132" s="141" t="s">
        <v>411</v>
      </c>
      <c r="C132" s="130">
        <f>SUM(N132:N138)</f>
        <v>0</v>
      </c>
      <c r="D132" s="130">
        <f>SUM(O132:O138)</f>
        <v>0</v>
      </c>
      <c r="E132" s="130">
        <f t="shared" si="29"/>
        <v>0</v>
      </c>
      <c r="F132" s="130"/>
      <c r="G132" s="60" t="s">
        <v>125</v>
      </c>
      <c r="H132" s="123"/>
      <c r="I132" s="123"/>
      <c r="J132" s="60"/>
      <c r="K132" s="60"/>
      <c r="L132" s="60"/>
      <c r="M132" s="60"/>
      <c r="N132" s="60">
        <f>M132*J132*K132*L132</f>
        <v>0</v>
      </c>
      <c r="O132" s="60">
        <f>J132*K132*L132</f>
        <v>0</v>
      </c>
    </row>
    <row r="133" spans="1:15" s="38" customFormat="1" ht="11.45" hidden="1" customHeight="1" outlineLevel="1" x14ac:dyDescent="0.25">
      <c r="A133" s="124"/>
      <c r="B133" s="142"/>
      <c r="C133" s="115"/>
      <c r="D133" s="115"/>
      <c r="E133" s="115"/>
      <c r="F133" s="115"/>
      <c r="G133" s="60" t="s">
        <v>126</v>
      </c>
      <c r="H133" s="124"/>
      <c r="I133" s="124"/>
      <c r="J133" s="60"/>
      <c r="K133" s="60"/>
      <c r="L133" s="60"/>
      <c r="M133" s="60"/>
      <c r="N133" s="60">
        <f t="shared" ref="N133:N138" si="42">M133*J133*K133*L133</f>
        <v>0</v>
      </c>
      <c r="O133" s="60">
        <f t="shared" ref="O133:O138" si="43">J133*K133*L133</f>
        <v>0</v>
      </c>
    </row>
    <row r="134" spans="1:15" s="38" customFormat="1" ht="10.7" hidden="1" customHeight="1" outlineLevel="1" x14ac:dyDescent="0.25">
      <c r="A134" s="124"/>
      <c r="B134" s="142"/>
      <c r="C134" s="115"/>
      <c r="D134" s="115"/>
      <c r="E134" s="115"/>
      <c r="F134" s="115"/>
      <c r="G134" s="60" t="s">
        <v>127</v>
      </c>
      <c r="H134" s="124"/>
      <c r="I134" s="124"/>
      <c r="J134" s="60"/>
      <c r="K134" s="60"/>
      <c r="L134" s="60"/>
      <c r="M134" s="60"/>
      <c r="N134" s="60">
        <f t="shared" si="42"/>
        <v>0</v>
      </c>
      <c r="O134" s="60">
        <f t="shared" si="43"/>
        <v>0</v>
      </c>
    </row>
    <row r="135" spans="1:15" s="38" customFormat="1" ht="10.7" hidden="1" customHeight="1" outlineLevel="1" x14ac:dyDescent="0.25">
      <c r="A135" s="124"/>
      <c r="B135" s="142"/>
      <c r="C135" s="115"/>
      <c r="D135" s="115"/>
      <c r="E135" s="115"/>
      <c r="F135" s="115"/>
      <c r="G135" s="60" t="s">
        <v>128</v>
      </c>
      <c r="H135" s="124"/>
      <c r="I135" s="124"/>
      <c r="J135" s="60"/>
      <c r="K135" s="60"/>
      <c r="L135" s="60"/>
      <c r="M135" s="60"/>
      <c r="N135" s="60">
        <f t="shared" si="42"/>
        <v>0</v>
      </c>
      <c r="O135" s="60">
        <f t="shared" si="43"/>
        <v>0</v>
      </c>
    </row>
    <row r="136" spans="1:15" s="38" customFormat="1" ht="10.7" hidden="1" customHeight="1" outlineLevel="1" x14ac:dyDescent="0.25">
      <c r="A136" s="124"/>
      <c r="B136" s="142"/>
      <c r="C136" s="115"/>
      <c r="D136" s="115"/>
      <c r="E136" s="115"/>
      <c r="F136" s="115"/>
      <c r="G136" s="60" t="s">
        <v>129</v>
      </c>
      <c r="H136" s="124"/>
      <c r="I136" s="124"/>
      <c r="J136" s="60"/>
      <c r="K136" s="60"/>
      <c r="L136" s="60"/>
      <c r="M136" s="60"/>
      <c r="N136" s="60">
        <f t="shared" si="42"/>
        <v>0</v>
      </c>
      <c r="O136" s="60">
        <f t="shared" si="43"/>
        <v>0</v>
      </c>
    </row>
    <row r="137" spans="1:15" s="38" customFormat="1" ht="10.7" hidden="1" customHeight="1" outlineLevel="1" x14ac:dyDescent="0.25">
      <c r="A137" s="124"/>
      <c r="B137" s="142"/>
      <c r="C137" s="115"/>
      <c r="D137" s="115"/>
      <c r="E137" s="115"/>
      <c r="F137" s="115"/>
      <c r="G137" s="60" t="s">
        <v>130</v>
      </c>
      <c r="H137" s="124"/>
      <c r="I137" s="124"/>
      <c r="J137" s="60"/>
      <c r="K137" s="60"/>
      <c r="L137" s="60"/>
      <c r="M137" s="60"/>
      <c r="N137" s="60">
        <f t="shared" si="42"/>
        <v>0</v>
      </c>
      <c r="O137" s="60">
        <f t="shared" si="43"/>
        <v>0</v>
      </c>
    </row>
    <row r="138" spans="1:15" s="38" customFormat="1" ht="12" hidden="1" customHeight="1" outlineLevel="1" thickBot="1" x14ac:dyDescent="0.3">
      <c r="A138" s="125"/>
      <c r="B138" s="143"/>
      <c r="C138" s="131"/>
      <c r="D138" s="131"/>
      <c r="E138" s="131"/>
      <c r="F138" s="131"/>
      <c r="G138" s="60" t="s">
        <v>131</v>
      </c>
      <c r="H138" s="134"/>
      <c r="I138" s="134"/>
      <c r="J138" s="60"/>
      <c r="K138" s="60"/>
      <c r="L138" s="60"/>
      <c r="M138" s="60"/>
      <c r="N138" s="60">
        <f t="shared" si="42"/>
        <v>0</v>
      </c>
      <c r="O138" s="60">
        <f t="shared" si="43"/>
        <v>0</v>
      </c>
    </row>
    <row r="139" spans="1:15" s="38" customFormat="1" ht="14.45" hidden="1" customHeight="1" outlineLevel="1" x14ac:dyDescent="0.25">
      <c r="A139" s="140" t="s">
        <v>412</v>
      </c>
      <c r="B139" s="141" t="s">
        <v>532</v>
      </c>
      <c r="C139" s="130">
        <f>SUM(N139:N145)</f>
        <v>0</v>
      </c>
      <c r="D139" s="130">
        <f>SUM(O139:O145)</f>
        <v>0</v>
      </c>
      <c r="E139" s="130">
        <f t="shared" si="29"/>
        <v>0</v>
      </c>
      <c r="F139" s="130"/>
      <c r="G139" s="60" t="s">
        <v>125</v>
      </c>
      <c r="H139" s="123"/>
      <c r="I139" s="123"/>
      <c r="J139" s="60"/>
      <c r="K139" s="60"/>
      <c r="L139" s="60"/>
      <c r="M139" s="60"/>
      <c r="N139" s="60">
        <f>M139*J139*K139*L139</f>
        <v>0</v>
      </c>
      <c r="O139" s="60">
        <f>J139*K139*L139</f>
        <v>0</v>
      </c>
    </row>
    <row r="140" spans="1:15" s="38" customFormat="1" ht="11.45" hidden="1" customHeight="1" outlineLevel="1" x14ac:dyDescent="0.25">
      <c r="A140" s="124"/>
      <c r="B140" s="142"/>
      <c r="C140" s="115"/>
      <c r="D140" s="115"/>
      <c r="E140" s="115"/>
      <c r="F140" s="115"/>
      <c r="G140" s="60" t="s">
        <v>126</v>
      </c>
      <c r="H140" s="124"/>
      <c r="I140" s="124"/>
      <c r="J140" s="60"/>
      <c r="K140" s="60"/>
      <c r="L140" s="60"/>
      <c r="M140" s="60"/>
      <c r="N140" s="60">
        <f t="shared" ref="N140:N145" si="44">M140*J140*K140*L140</f>
        <v>0</v>
      </c>
      <c r="O140" s="60">
        <f t="shared" ref="O140:O145" si="45">J140*K140*L140</f>
        <v>0</v>
      </c>
    </row>
    <row r="141" spans="1:15" s="38" customFormat="1" ht="10.7" hidden="1" customHeight="1" outlineLevel="1" x14ac:dyDescent="0.25">
      <c r="A141" s="124"/>
      <c r="B141" s="142"/>
      <c r="C141" s="115"/>
      <c r="D141" s="115"/>
      <c r="E141" s="115"/>
      <c r="F141" s="115"/>
      <c r="G141" s="60" t="s">
        <v>127</v>
      </c>
      <c r="H141" s="124"/>
      <c r="I141" s="124"/>
      <c r="J141" s="60"/>
      <c r="K141" s="60"/>
      <c r="L141" s="60"/>
      <c r="M141" s="60"/>
      <c r="N141" s="60">
        <f t="shared" si="44"/>
        <v>0</v>
      </c>
      <c r="O141" s="60">
        <f t="shared" si="45"/>
        <v>0</v>
      </c>
    </row>
    <row r="142" spans="1:15" s="38" customFormat="1" ht="10.7" hidden="1" customHeight="1" outlineLevel="1" x14ac:dyDescent="0.25">
      <c r="A142" s="124"/>
      <c r="B142" s="142"/>
      <c r="C142" s="115"/>
      <c r="D142" s="115"/>
      <c r="E142" s="115"/>
      <c r="F142" s="115"/>
      <c r="G142" s="60" t="s">
        <v>128</v>
      </c>
      <c r="H142" s="124"/>
      <c r="I142" s="124"/>
      <c r="J142" s="60"/>
      <c r="K142" s="60"/>
      <c r="L142" s="60"/>
      <c r="M142" s="60"/>
      <c r="N142" s="60">
        <f t="shared" si="44"/>
        <v>0</v>
      </c>
      <c r="O142" s="60">
        <f t="shared" si="45"/>
        <v>0</v>
      </c>
    </row>
    <row r="143" spans="1:15" s="38" customFormat="1" ht="10.7" hidden="1" customHeight="1" outlineLevel="1" x14ac:dyDescent="0.25">
      <c r="A143" s="124"/>
      <c r="B143" s="142"/>
      <c r="C143" s="115"/>
      <c r="D143" s="115"/>
      <c r="E143" s="115"/>
      <c r="F143" s="115"/>
      <c r="G143" s="60" t="s">
        <v>129</v>
      </c>
      <c r="H143" s="124"/>
      <c r="I143" s="124"/>
      <c r="J143" s="60"/>
      <c r="K143" s="60"/>
      <c r="L143" s="60"/>
      <c r="M143" s="60"/>
      <c r="N143" s="60">
        <f t="shared" si="44"/>
        <v>0</v>
      </c>
      <c r="O143" s="60">
        <f t="shared" si="45"/>
        <v>0</v>
      </c>
    </row>
    <row r="144" spans="1:15" s="38" customFormat="1" ht="10.7" hidden="1" customHeight="1" outlineLevel="1" x14ac:dyDescent="0.25">
      <c r="A144" s="124"/>
      <c r="B144" s="142"/>
      <c r="C144" s="115"/>
      <c r="D144" s="115"/>
      <c r="E144" s="115"/>
      <c r="F144" s="115"/>
      <c r="G144" s="60" t="s">
        <v>130</v>
      </c>
      <c r="H144" s="124"/>
      <c r="I144" s="124"/>
      <c r="J144" s="60"/>
      <c r="K144" s="60"/>
      <c r="L144" s="60"/>
      <c r="M144" s="60"/>
      <c r="N144" s="60">
        <f t="shared" si="44"/>
        <v>0</v>
      </c>
      <c r="O144" s="60">
        <f t="shared" si="45"/>
        <v>0</v>
      </c>
    </row>
    <row r="145" spans="1:15" s="38" customFormat="1" ht="12" hidden="1" customHeight="1" outlineLevel="1" thickBot="1" x14ac:dyDescent="0.3">
      <c r="A145" s="125"/>
      <c r="B145" s="143"/>
      <c r="C145" s="131"/>
      <c r="D145" s="131"/>
      <c r="E145" s="131"/>
      <c r="F145" s="131"/>
      <c r="G145" s="60" t="s">
        <v>131</v>
      </c>
      <c r="H145" s="134"/>
      <c r="I145" s="134"/>
      <c r="J145" s="60"/>
      <c r="K145" s="60"/>
      <c r="L145" s="60"/>
      <c r="M145" s="60"/>
      <c r="N145" s="60">
        <f t="shared" si="44"/>
        <v>0</v>
      </c>
      <c r="O145" s="60">
        <f t="shared" si="45"/>
        <v>0</v>
      </c>
    </row>
    <row r="146" spans="1:15" s="38" customFormat="1" ht="14.45" hidden="1" customHeight="1" outlineLevel="1" x14ac:dyDescent="0.25">
      <c r="A146" s="140" t="s">
        <v>156</v>
      </c>
      <c r="B146" s="141" t="s">
        <v>533</v>
      </c>
      <c r="C146" s="130">
        <f>SUM(N146:N152)</f>
        <v>0</v>
      </c>
      <c r="D146" s="130">
        <f>SUM(O146:O152)</f>
        <v>0</v>
      </c>
      <c r="E146" s="130">
        <f t="shared" si="29"/>
        <v>0</v>
      </c>
      <c r="F146" s="130"/>
      <c r="G146" s="60" t="s">
        <v>125</v>
      </c>
      <c r="H146" s="123"/>
      <c r="I146" s="123"/>
      <c r="J146" s="60"/>
      <c r="K146" s="60"/>
      <c r="L146" s="60"/>
      <c r="M146" s="60"/>
      <c r="N146" s="60">
        <f>M146*J146*K146*L146</f>
        <v>0</v>
      </c>
      <c r="O146" s="60">
        <f>J146*K146*L146</f>
        <v>0</v>
      </c>
    </row>
    <row r="147" spans="1:15" s="38" customFormat="1" ht="11.45" hidden="1" customHeight="1" outlineLevel="1" x14ac:dyDescent="0.25">
      <c r="A147" s="124"/>
      <c r="B147" s="142"/>
      <c r="C147" s="115"/>
      <c r="D147" s="115"/>
      <c r="E147" s="115"/>
      <c r="F147" s="115"/>
      <c r="G147" s="60" t="s">
        <v>126</v>
      </c>
      <c r="H147" s="124"/>
      <c r="I147" s="124"/>
      <c r="J147" s="60"/>
      <c r="K147" s="60"/>
      <c r="L147" s="60"/>
      <c r="M147" s="60"/>
      <c r="N147" s="60">
        <f t="shared" ref="N147:N152" si="46">M147*J147*K147*L147</f>
        <v>0</v>
      </c>
      <c r="O147" s="60">
        <f t="shared" ref="O147:O152" si="47">J147*K147*L147</f>
        <v>0</v>
      </c>
    </row>
    <row r="148" spans="1:15" s="38" customFormat="1" ht="10.7" hidden="1" customHeight="1" outlineLevel="1" x14ac:dyDescent="0.25">
      <c r="A148" s="124"/>
      <c r="B148" s="142"/>
      <c r="C148" s="115"/>
      <c r="D148" s="115"/>
      <c r="E148" s="115"/>
      <c r="F148" s="115"/>
      <c r="G148" s="60" t="s">
        <v>127</v>
      </c>
      <c r="H148" s="124"/>
      <c r="I148" s="124"/>
      <c r="J148" s="60"/>
      <c r="K148" s="60"/>
      <c r="L148" s="60"/>
      <c r="M148" s="60"/>
      <c r="N148" s="60">
        <f t="shared" si="46"/>
        <v>0</v>
      </c>
      <c r="O148" s="60">
        <f t="shared" si="47"/>
        <v>0</v>
      </c>
    </row>
    <row r="149" spans="1:15" s="38" customFormat="1" ht="10.7" hidden="1" customHeight="1" outlineLevel="1" x14ac:dyDescent="0.25">
      <c r="A149" s="124"/>
      <c r="B149" s="142"/>
      <c r="C149" s="115"/>
      <c r="D149" s="115"/>
      <c r="E149" s="115"/>
      <c r="F149" s="115"/>
      <c r="G149" s="60" t="s">
        <v>128</v>
      </c>
      <c r="H149" s="124"/>
      <c r="I149" s="124"/>
      <c r="J149" s="60"/>
      <c r="K149" s="60"/>
      <c r="L149" s="60"/>
      <c r="M149" s="60"/>
      <c r="N149" s="60">
        <f t="shared" si="46"/>
        <v>0</v>
      </c>
      <c r="O149" s="60">
        <f t="shared" si="47"/>
        <v>0</v>
      </c>
    </row>
    <row r="150" spans="1:15" s="38" customFormat="1" ht="10.7" hidden="1" customHeight="1" outlineLevel="1" x14ac:dyDescent="0.25">
      <c r="A150" s="124"/>
      <c r="B150" s="142"/>
      <c r="C150" s="115"/>
      <c r="D150" s="115"/>
      <c r="E150" s="115"/>
      <c r="F150" s="115"/>
      <c r="G150" s="60" t="s">
        <v>129</v>
      </c>
      <c r="H150" s="124"/>
      <c r="I150" s="124"/>
      <c r="J150" s="60"/>
      <c r="K150" s="60"/>
      <c r="L150" s="60"/>
      <c r="M150" s="60"/>
      <c r="N150" s="60">
        <f t="shared" si="46"/>
        <v>0</v>
      </c>
      <c r="O150" s="60">
        <f t="shared" si="47"/>
        <v>0</v>
      </c>
    </row>
    <row r="151" spans="1:15" s="38" customFormat="1" ht="10.7" hidden="1" customHeight="1" outlineLevel="1" x14ac:dyDescent="0.25">
      <c r="A151" s="124"/>
      <c r="B151" s="142"/>
      <c r="C151" s="115"/>
      <c r="D151" s="115"/>
      <c r="E151" s="115"/>
      <c r="F151" s="115"/>
      <c r="G151" s="60" t="s">
        <v>130</v>
      </c>
      <c r="H151" s="124"/>
      <c r="I151" s="124"/>
      <c r="J151" s="60"/>
      <c r="K151" s="60"/>
      <c r="L151" s="60"/>
      <c r="M151" s="60"/>
      <c r="N151" s="60">
        <f t="shared" si="46"/>
        <v>0</v>
      </c>
      <c r="O151" s="60">
        <f t="shared" si="47"/>
        <v>0</v>
      </c>
    </row>
    <row r="152" spans="1:15" s="38" customFormat="1" ht="12" hidden="1" customHeight="1" outlineLevel="1" thickBot="1" x14ac:dyDescent="0.3">
      <c r="A152" s="125"/>
      <c r="B152" s="143"/>
      <c r="C152" s="131"/>
      <c r="D152" s="131"/>
      <c r="E152" s="131"/>
      <c r="F152" s="131"/>
      <c r="G152" s="60" t="s">
        <v>131</v>
      </c>
      <c r="H152" s="134"/>
      <c r="I152" s="134"/>
      <c r="J152" s="60"/>
      <c r="K152" s="60"/>
      <c r="L152" s="60"/>
      <c r="M152" s="60"/>
      <c r="N152" s="60">
        <f t="shared" si="46"/>
        <v>0</v>
      </c>
      <c r="O152" s="60">
        <f t="shared" si="47"/>
        <v>0</v>
      </c>
    </row>
    <row r="153" spans="1:15" s="38" customFormat="1" ht="14.45" hidden="1" customHeight="1" outlineLevel="1" x14ac:dyDescent="0.25">
      <c r="A153" s="140" t="s">
        <v>158</v>
      </c>
      <c r="B153" s="141" t="s">
        <v>534</v>
      </c>
      <c r="C153" s="130">
        <f>SUM(N153:N159)</f>
        <v>0</v>
      </c>
      <c r="D153" s="130">
        <f>SUM(O153:O159)</f>
        <v>0</v>
      </c>
      <c r="E153" s="130">
        <f t="shared" si="29"/>
        <v>0</v>
      </c>
      <c r="F153" s="130"/>
      <c r="G153" s="60" t="s">
        <v>125</v>
      </c>
      <c r="H153" s="123"/>
      <c r="I153" s="123"/>
      <c r="J153" s="60"/>
      <c r="K153" s="60"/>
      <c r="L153" s="60"/>
      <c r="M153" s="60"/>
      <c r="N153" s="60">
        <f>M153*J153*K153*L153</f>
        <v>0</v>
      </c>
      <c r="O153" s="60">
        <f>J153*K153*L153</f>
        <v>0</v>
      </c>
    </row>
    <row r="154" spans="1:15" s="38" customFormat="1" ht="11.45" hidden="1" customHeight="1" outlineLevel="1" x14ac:dyDescent="0.25">
      <c r="A154" s="124"/>
      <c r="B154" s="142"/>
      <c r="C154" s="115"/>
      <c r="D154" s="115"/>
      <c r="E154" s="115"/>
      <c r="F154" s="115"/>
      <c r="G154" s="60" t="s">
        <v>126</v>
      </c>
      <c r="H154" s="124"/>
      <c r="I154" s="124"/>
      <c r="J154" s="60"/>
      <c r="K154" s="60"/>
      <c r="L154" s="60"/>
      <c r="M154" s="60"/>
      <c r="N154" s="60">
        <f t="shared" ref="N154:N159" si="48">M154*J154*K154*L154</f>
        <v>0</v>
      </c>
      <c r="O154" s="60">
        <f t="shared" ref="O154:O159" si="49">J154*K154*L154</f>
        <v>0</v>
      </c>
    </row>
    <row r="155" spans="1:15" s="38" customFormat="1" ht="10.7" hidden="1" customHeight="1" outlineLevel="1" x14ac:dyDescent="0.25">
      <c r="A155" s="124"/>
      <c r="B155" s="142"/>
      <c r="C155" s="115"/>
      <c r="D155" s="115"/>
      <c r="E155" s="115"/>
      <c r="F155" s="115"/>
      <c r="G155" s="60" t="s">
        <v>127</v>
      </c>
      <c r="H155" s="124"/>
      <c r="I155" s="124"/>
      <c r="J155" s="60"/>
      <c r="K155" s="60"/>
      <c r="L155" s="60"/>
      <c r="M155" s="60"/>
      <c r="N155" s="60">
        <f t="shared" si="48"/>
        <v>0</v>
      </c>
      <c r="O155" s="60">
        <f t="shared" si="49"/>
        <v>0</v>
      </c>
    </row>
    <row r="156" spans="1:15" s="38" customFormat="1" ht="10.7" hidden="1" customHeight="1" outlineLevel="1" x14ac:dyDescent="0.25">
      <c r="A156" s="124"/>
      <c r="B156" s="142"/>
      <c r="C156" s="115"/>
      <c r="D156" s="115"/>
      <c r="E156" s="115"/>
      <c r="F156" s="115"/>
      <c r="G156" s="60" t="s">
        <v>128</v>
      </c>
      <c r="H156" s="124"/>
      <c r="I156" s="124"/>
      <c r="J156" s="60"/>
      <c r="K156" s="60"/>
      <c r="L156" s="60"/>
      <c r="M156" s="60"/>
      <c r="N156" s="60">
        <f t="shared" si="48"/>
        <v>0</v>
      </c>
      <c r="O156" s="60">
        <f t="shared" si="49"/>
        <v>0</v>
      </c>
    </row>
    <row r="157" spans="1:15" s="38" customFormat="1" ht="10.7" hidden="1" customHeight="1" outlineLevel="1" x14ac:dyDescent="0.25">
      <c r="A157" s="124"/>
      <c r="B157" s="142"/>
      <c r="C157" s="115"/>
      <c r="D157" s="115"/>
      <c r="E157" s="115"/>
      <c r="F157" s="115"/>
      <c r="G157" s="60" t="s">
        <v>129</v>
      </c>
      <c r="H157" s="124"/>
      <c r="I157" s="124"/>
      <c r="J157" s="60"/>
      <c r="K157" s="60"/>
      <c r="L157" s="60"/>
      <c r="M157" s="60"/>
      <c r="N157" s="60">
        <f t="shared" si="48"/>
        <v>0</v>
      </c>
      <c r="O157" s="60">
        <f t="shared" si="49"/>
        <v>0</v>
      </c>
    </row>
    <row r="158" spans="1:15" s="38" customFormat="1" ht="10.7" hidden="1" customHeight="1" outlineLevel="1" x14ac:dyDescent="0.25">
      <c r="A158" s="124"/>
      <c r="B158" s="142"/>
      <c r="C158" s="115"/>
      <c r="D158" s="115"/>
      <c r="E158" s="115"/>
      <c r="F158" s="115"/>
      <c r="G158" s="60" t="s">
        <v>130</v>
      </c>
      <c r="H158" s="124"/>
      <c r="I158" s="124"/>
      <c r="J158" s="60"/>
      <c r="K158" s="60"/>
      <c r="L158" s="60"/>
      <c r="M158" s="60"/>
      <c r="N158" s="60">
        <f t="shared" si="48"/>
        <v>0</v>
      </c>
      <c r="O158" s="60">
        <f t="shared" si="49"/>
        <v>0</v>
      </c>
    </row>
    <row r="159" spans="1:15" s="38" customFormat="1" ht="12" hidden="1" customHeight="1" outlineLevel="1" thickBot="1" x14ac:dyDescent="0.3">
      <c r="A159" s="125"/>
      <c r="B159" s="143"/>
      <c r="C159" s="131"/>
      <c r="D159" s="131"/>
      <c r="E159" s="131"/>
      <c r="F159" s="131"/>
      <c r="G159" s="60" t="s">
        <v>131</v>
      </c>
      <c r="H159" s="134"/>
      <c r="I159" s="134"/>
      <c r="J159" s="60"/>
      <c r="K159" s="60"/>
      <c r="L159" s="60"/>
      <c r="M159" s="60"/>
      <c r="N159" s="60">
        <f t="shared" si="48"/>
        <v>0</v>
      </c>
      <c r="O159" s="60">
        <f t="shared" si="49"/>
        <v>0</v>
      </c>
    </row>
    <row r="160" spans="1:15" s="38" customFormat="1" ht="14.45" hidden="1" customHeight="1" outlineLevel="1" x14ac:dyDescent="0.25">
      <c r="A160" s="140" t="s">
        <v>160</v>
      </c>
      <c r="B160" s="141" t="s">
        <v>535</v>
      </c>
      <c r="C160" s="130">
        <f>SUM(N160:N166)</f>
        <v>0</v>
      </c>
      <c r="D160" s="130">
        <f>SUM(O160:O166)</f>
        <v>0</v>
      </c>
      <c r="E160" s="130">
        <f t="shared" ref="E160:E223" si="50">D160/8</f>
        <v>0</v>
      </c>
      <c r="F160" s="130"/>
      <c r="G160" s="60" t="s">
        <v>125</v>
      </c>
      <c r="H160" s="123"/>
      <c r="I160" s="123"/>
      <c r="J160" s="60"/>
      <c r="K160" s="60"/>
      <c r="L160" s="60"/>
      <c r="M160" s="60"/>
      <c r="N160" s="60">
        <f>M160*J160*K160*L160</f>
        <v>0</v>
      </c>
      <c r="O160" s="60">
        <f>J160*K160*L160</f>
        <v>0</v>
      </c>
    </row>
    <row r="161" spans="1:15" s="38" customFormat="1" ht="11.45" hidden="1" customHeight="1" outlineLevel="1" x14ac:dyDescent="0.25">
      <c r="A161" s="124"/>
      <c r="B161" s="142"/>
      <c r="C161" s="115"/>
      <c r="D161" s="115"/>
      <c r="E161" s="115"/>
      <c r="F161" s="115"/>
      <c r="G161" s="60" t="s">
        <v>126</v>
      </c>
      <c r="H161" s="124"/>
      <c r="I161" s="124"/>
      <c r="J161" s="60"/>
      <c r="K161" s="60"/>
      <c r="L161" s="60"/>
      <c r="M161" s="60"/>
      <c r="N161" s="60">
        <f t="shared" ref="N161:N166" si="51">M161*J161*K161*L161</f>
        <v>0</v>
      </c>
      <c r="O161" s="60">
        <f t="shared" ref="O161:O166" si="52">J161*K161*L161</f>
        <v>0</v>
      </c>
    </row>
    <row r="162" spans="1:15" s="38" customFormat="1" ht="10.7" hidden="1" customHeight="1" outlineLevel="1" x14ac:dyDescent="0.25">
      <c r="A162" s="124"/>
      <c r="B162" s="142"/>
      <c r="C162" s="115"/>
      <c r="D162" s="115"/>
      <c r="E162" s="115"/>
      <c r="F162" s="115"/>
      <c r="G162" s="60" t="s">
        <v>127</v>
      </c>
      <c r="H162" s="124"/>
      <c r="I162" s="124"/>
      <c r="J162" s="60"/>
      <c r="K162" s="60"/>
      <c r="L162" s="60"/>
      <c r="M162" s="60"/>
      <c r="N162" s="60">
        <f t="shared" si="51"/>
        <v>0</v>
      </c>
      <c r="O162" s="60">
        <f t="shared" si="52"/>
        <v>0</v>
      </c>
    </row>
    <row r="163" spans="1:15" s="38" customFormat="1" ht="10.7" hidden="1" customHeight="1" outlineLevel="1" x14ac:dyDescent="0.25">
      <c r="A163" s="124"/>
      <c r="B163" s="142"/>
      <c r="C163" s="115"/>
      <c r="D163" s="115"/>
      <c r="E163" s="115"/>
      <c r="F163" s="115"/>
      <c r="G163" s="60" t="s">
        <v>128</v>
      </c>
      <c r="H163" s="124"/>
      <c r="I163" s="124"/>
      <c r="J163" s="60"/>
      <c r="K163" s="60"/>
      <c r="L163" s="60"/>
      <c r="M163" s="60"/>
      <c r="N163" s="60">
        <f t="shared" si="51"/>
        <v>0</v>
      </c>
      <c r="O163" s="60">
        <f t="shared" si="52"/>
        <v>0</v>
      </c>
    </row>
    <row r="164" spans="1:15" s="38" customFormat="1" ht="10.7" hidden="1" customHeight="1" outlineLevel="1" x14ac:dyDescent="0.25">
      <c r="A164" s="124"/>
      <c r="B164" s="142"/>
      <c r="C164" s="115"/>
      <c r="D164" s="115"/>
      <c r="E164" s="115"/>
      <c r="F164" s="115"/>
      <c r="G164" s="60" t="s">
        <v>129</v>
      </c>
      <c r="H164" s="124"/>
      <c r="I164" s="124"/>
      <c r="J164" s="60"/>
      <c r="K164" s="60"/>
      <c r="L164" s="60"/>
      <c r="M164" s="60"/>
      <c r="N164" s="60">
        <f t="shared" si="51"/>
        <v>0</v>
      </c>
      <c r="O164" s="60">
        <f t="shared" si="52"/>
        <v>0</v>
      </c>
    </row>
    <row r="165" spans="1:15" s="38" customFormat="1" ht="10.7" hidden="1" customHeight="1" outlineLevel="1" x14ac:dyDescent="0.25">
      <c r="A165" s="124"/>
      <c r="B165" s="142"/>
      <c r="C165" s="115"/>
      <c r="D165" s="115"/>
      <c r="E165" s="115"/>
      <c r="F165" s="115"/>
      <c r="G165" s="60" t="s">
        <v>130</v>
      </c>
      <c r="H165" s="124"/>
      <c r="I165" s="124"/>
      <c r="J165" s="60"/>
      <c r="K165" s="60"/>
      <c r="L165" s="60"/>
      <c r="M165" s="60"/>
      <c r="N165" s="60">
        <f t="shared" si="51"/>
        <v>0</v>
      </c>
      <c r="O165" s="60">
        <f t="shared" si="52"/>
        <v>0</v>
      </c>
    </row>
    <row r="166" spans="1:15" s="38" customFormat="1" ht="12" hidden="1" customHeight="1" outlineLevel="1" thickBot="1" x14ac:dyDescent="0.3">
      <c r="A166" s="125"/>
      <c r="B166" s="143"/>
      <c r="C166" s="131"/>
      <c r="D166" s="131"/>
      <c r="E166" s="131"/>
      <c r="F166" s="131"/>
      <c r="G166" s="60" t="s">
        <v>131</v>
      </c>
      <c r="H166" s="134"/>
      <c r="I166" s="134"/>
      <c r="J166" s="60"/>
      <c r="K166" s="60"/>
      <c r="L166" s="60"/>
      <c r="M166" s="60"/>
      <c r="N166" s="60">
        <f t="shared" si="51"/>
        <v>0</v>
      </c>
      <c r="O166" s="60">
        <f t="shared" si="52"/>
        <v>0</v>
      </c>
    </row>
    <row r="167" spans="1:15" s="38" customFormat="1" ht="14.45" hidden="1" customHeight="1" outlineLevel="1" x14ac:dyDescent="0.25">
      <c r="A167" s="140" t="s">
        <v>162</v>
      </c>
      <c r="B167" s="141" t="s">
        <v>536</v>
      </c>
      <c r="C167" s="130">
        <f>SUM(N167:N173)</f>
        <v>0</v>
      </c>
      <c r="D167" s="130">
        <f>SUM(O167:O173)</f>
        <v>0</v>
      </c>
      <c r="E167" s="130">
        <f t="shared" si="50"/>
        <v>0</v>
      </c>
      <c r="F167" s="130"/>
      <c r="G167" s="60" t="s">
        <v>125</v>
      </c>
      <c r="H167" s="123"/>
      <c r="I167" s="123"/>
      <c r="J167" s="60"/>
      <c r="K167" s="60"/>
      <c r="L167" s="60"/>
      <c r="M167" s="60"/>
      <c r="N167" s="60">
        <f>M167*J167*K167*L167</f>
        <v>0</v>
      </c>
      <c r="O167" s="60">
        <f>J167*K167*L167</f>
        <v>0</v>
      </c>
    </row>
    <row r="168" spans="1:15" s="38" customFormat="1" ht="11.45" hidden="1" customHeight="1" outlineLevel="1" x14ac:dyDescent="0.25">
      <c r="A168" s="124"/>
      <c r="B168" s="142"/>
      <c r="C168" s="115"/>
      <c r="D168" s="115"/>
      <c r="E168" s="115"/>
      <c r="F168" s="115"/>
      <c r="G168" s="60" t="s">
        <v>126</v>
      </c>
      <c r="H168" s="124"/>
      <c r="I168" s="124"/>
      <c r="J168" s="60"/>
      <c r="K168" s="60"/>
      <c r="L168" s="60"/>
      <c r="M168" s="60"/>
      <c r="N168" s="60">
        <f t="shared" ref="N168:N173" si="53">M168*J168*K168*L168</f>
        <v>0</v>
      </c>
      <c r="O168" s="60">
        <f t="shared" ref="O168:O173" si="54">J168*K168*L168</f>
        <v>0</v>
      </c>
    </row>
    <row r="169" spans="1:15" s="38" customFormat="1" ht="10.7" hidden="1" customHeight="1" outlineLevel="1" x14ac:dyDescent="0.25">
      <c r="A169" s="124"/>
      <c r="B169" s="142"/>
      <c r="C169" s="115"/>
      <c r="D169" s="115"/>
      <c r="E169" s="115"/>
      <c r="F169" s="115"/>
      <c r="G169" s="60" t="s">
        <v>127</v>
      </c>
      <c r="H169" s="124"/>
      <c r="I169" s="124"/>
      <c r="J169" s="60"/>
      <c r="K169" s="60"/>
      <c r="L169" s="60"/>
      <c r="M169" s="60"/>
      <c r="N169" s="60">
        <f t="shared" si="53"/>
        <v>0</v>
      </c>
      <c r="O169" s="60">
        <f t="shared" si="54"/>
        <v>0</v>
      </c>
    </row>
    <row r="170" spans="1:15" s="38" customFormat="1" ht="10.7" hidden="1" customHeight="1" outlineLevel="1" x14ac:dyDescent="0.25">
      <c r="A170" s="124"/>
      <c r="B170" s="142"/>
      <c r="C170" s="115"/>
      <c r="D170" s="115"/>
      <c r="E170" s="115"/>
      <c r="F170" s="115"/>
      <c r="G170" s="60" t="s">
        <v>128</v>
      </c>
      <c r="H170" s="124"/>
      <c r="I170" s="124"/>
      <c r="J170" s="60"/>
      <c r="K170" s="60"/>
      <c r="L170" s="60"/>
      <c r="M170" s="60"/>
      <c r="N170" s="60">
        <f t="shared" si="53"/>
        <v>0</v>
      </c>
      <c r="O170" s="60">
        <f t="shared" si="54"/>
        <v>0</v>
      </c>
    </row>
    <row r="171" spans="1:15" s="38" customFormat="1" ht="10.7" hidden="1" customHeight="1" outlineLevel="1" x14ac:dyDescent="0.25">
      <c r="A171" s="124"/>
      <c r="B171" s="142"/>
      <c r="C171" s="115"/>
      <c r="D171" s="115"/>
      <c r="E171" s="115"/>
      <c r="F171" s="115"/>
      <c r="G171" s="60" t="s">
        <v>129</v>
      </c>
      <c r="H171" s="124"/>
      <c r="I171" s="124"/>
      <c r="J171" s="60"/>
      <c r="K171" s="60"/>
      <c r="L171" s="60"/>
      <c r="M171" s="60"/>
      <c r="N171" s="60">
        <f t="shared" si="53"/>
        <v>0</v>
      </c>
      <c r="O171" s="60">
        <f t="shared" si="54"/>
        <v>0</v>
      </c>
    </row>
    <row r="172" spans="1:15" s="38" customFormat="1" ht="10.7" hidden="1" customHeight="1" outlineLevel="1" x14ac:dyDescent="0.25">
      <c r="A172" s="124"/>
      <c r="B172" s="142"/>
      <c r="C172" s="115"/>
      <c r="D172" s="115"/>
      <c r="E172" s="115"/>
      <c r="F172" s="115"/>
      <c r="G172" s="60" t="s">
        <v>130</v>
      </c>
      <c r="H172" s="124"/>
      <c r="I172" s="124"/>
      <c r="J172" s="60"/>
      <c r="K172" s="60"/>
      <c r="L172" s="60"/>
      <c r="M172" s="60"/>
      <c r="N172" s="60">
        <f t="shared" si="53"/>
        <v>0</v>
      </c>
      <c r="O172" s="60">
        <f t="shared" si="54"/>
        <v>0</v>
      </c>
    </row>
    <row r="173" spans="1:15" s="38" customFormat="1" ht="12" hidden="1" customHeight="1" outlineLevel="1" thickBot="1" x14ac:dyDescent="0.3">
      <c r="A173" s="125"/>
      <c r="B173" s="143"/>
      <c r="C173" s="131"/>
      <c r="D173" s="131"/>
      <c r="E173" s="131"/>
      <c r="F173" s="131"/>
      <c r="G173" s="60" t="s">
        <v>131</v>
      </c>
      <c r="H173" s="134"/>
      <c r="I173" s="134"/>
      <c r="J173" s="60"/>
      <c r="K173" s="60"/>
      <c r="L173" s="60"/>
      <c r="M173" s="60"/>
      <c r="N173" s="60">
        <f t="shared" si="53"/>
        <v>0</v>
      </c>
      <c r="O173" s="60">
        <f t="shared" si="54"/>
        <v>0</v>
      </c>
    </row>
    <row r="174" spans="1:15" s="38" customFormat="1" ht="14.45" hidden="1" customHeight="1" outlineLevel="1" x14ac:dyDescent="0.25">
      <c r="A174" s="140" t="s">
        <v>361</v>
      </c>
      <c r="B174" s="141" t="s">
        <v>537</v>
      </c>
      <c r="C174" s="130">
        <f>SUM(N174:N180)</f>
        <v>0</v>
      </c>
      <c r="D174" s="130">
        <f>SUM(O174:O180)</f>
        <v>0</v>
      </c>
      <c r="E174" s="130">
        <f t="shared" si="50"/>
        <v>0</v>
      </c>
      <c r="F174" s="130"/>
      <c r="G174" s="60" t="s">
        <v>125</v>
      </c>
      <c r="H174" s="123"/>
      <c r="I174" s="123"/>
      <c r="J174" s="60"/>
      <c r="K174" s="60"/>
      <c r="L174" s="60"/>
      <c r="M174" s="60"/>
      <c r="N174" s="60">
        <f>M174*J174*K174*L174</f>
        <v>0</v>
      </c>
      <c r="O174" s="60">
        <f>J174*K174*L174</f>
        <v>0</v>
      </c>
    </row>
    <row r="175" spans="1:15" s="38" customFormat="1" ht="11.45" hidden="1" customHeight="1" outlineLevel="1" x14ac:dyDescent="0.25">
      <c r="A175" s="124"/>
      <c r="B175" s="142"/>
      <c r="C175" s="115"/>
      <c r="D175" s="115"/>
      <c r="E175" s="115"/>
      <c r="F175" s="115"/>
      <c r="G175" s="60" t="s">
        <v>126</v>
      </c>
      <c r="H175" s="124"/>
      <c r="I175" s="124"/>
      <c r="J175" s="60"/>
      <c r="K175" s="60"/>
      <c r="L175" s="60"/>
      <c r="M175" s="60"/>
      <c r="N175" s="60">
        <f t="shared" ref="N175:N180" si="55">M175*J175*K175*L175</f>
        <v>0</v>
      </c>
      <c r="O175" s="60">
        <f t="shared" ref="O175:O180" si="56">J175*K175*L175</f>
        <v>0</v>
      </c>
    </row>
    <row r="176" spans="1:15" s="38" customFormat="1" ht="10.7" hidden="1" customHeight="1" outlineLevel="1" x14ac:dyDescent="0.25">
      <c r="A176" s="124"/>
      <c r="B176" s="142"/>
      <c r="C176" s="115"/>
      <c r="D176" s="115"/>
      <c r="E176" s="115"/>
      <c r="F176" s="115"/>
      <c r="G176" s="60" t="s">
        <v>127</v>
      </c>
      <c r="H176" s="124"/>
      <c r="I176" s="124"/>
      <c r="J176" s="60"/>
      <c r="K176" s="60"/>
      <c r="L176" s="60"/>
      <c r="M176" s="60"/>
      <c r="N176" s="60">
        <f t="shared" si="55"/>
        <v>0</v>
      </c>
      <c r="O176" s="60">
        <f t="shared" si="56"/>
        <v>0</v>
      </c>
    </row>
    <row r="177" spans="1:15" s="38" customFormat="1" ht="10.7" hidden="1" customHeight="1" outlineLevel="1" x14ac:dyDescent="0.25">
      <c r="A177" s="124"/>
      <c r="B177" s="142"/>
      <c r="C177" s="115"/>
      <c r="D177" s="115"/>
      <c r="E177" s="115"/>
      <c r="F177" s="115"/>
      <c r="G177" s="60" t="s">
        <v>128</v>
      </c>
      <c r="H177" s="124"/>
      <c r="I177" s="124"/>
      <c r="J177" s="60"/>
      <c r="K177" s="60"/>
      <c r="L177" s="60"/>
      <c r="M177" s="60"/>
      <c r="N177" s="60">
        <f t="shared" si="55"/>
        <v>0</v>
      </c>
      <c r="O177" s="60">
        <f t="shared" si="56"/>
        <v>0</v>
      </c>
    </row>
    <row r="178" spans="1:15" s="38" customFormat="1" ht="10.7" hidden="1" customHeight="1" outlineLevel="1" x14ac:dyDescent="0.25">
      <c r="A178" s="124"/>
      <c r="B178" s="142"/>
      <c r="C178" s="115"/>
      <c r="D178" s="115"/>
      <c r="E178" s="115"/>
      <c r="F178" s="115"/>
      <c r="G178" s="60" t="s">
        <v>129</v>
      </c>
      <c r="H178" s="124"/>
      <c r="I178" s="124"/>
      <c r="J178" s="60"/>
      <c r="K178" s="60"/>
      <c r="L178" s="60"/>
      <c r="M178" s="60"/>
      <c r="N178" s="60">
        <f t="shared" si="55"/>
        <v>0</v>
      </c>
      <c r="O178" s="60">
        <f t="shared" si="56"/>
        <v>0</v>
      </c>
    </row>
    <row r="179" spans="1:15" s="38" customFormat="1" ht="10.7" hidden="1" customHeight="1" outlineLevel="1" x14ac:dyDescent="0.25">
      <c r="A179" s="124"/>
      <c r="B179" s="142"/>
      <c r="C179" s="115"/>
      <c r="D179" s="115"/>
      <c r="E179" s="115"/>
      <c r="F179" s="115"/>
      <c r="G179" s="60" t="s">
        <v>130</v>
      </c>
      <c r="H179" s="124"/>
      <c r="I179" s="124"/>
      <c r="J179" s="60"/>
      <c r="K179" s="60"/>
      <c r="L179" s="60"/>
      <c r="M179" s="60"/>
      <c r="N179" s="60">
        <f t="shared" si="55"/>
        <v>0</v>
      </c>
      <c r="O179" s="60">
        <f t="shared" si="56"/>
        <v>0</v>
      </c>
    </row>
    <row r="180" spans="1:15" s="38" customFormat="1" ht="12" hidden="1" customHeight="1" outlineLevel="1" thickBot="1" x14ac:dyDescent="0.3">
      <c r="A180" s="125"/>
      <c r="B180" s="143"/>
      <c r="C180" s="131"/>
      <c r="D180" s="131"/>
      <c r="E180" s="131"/>
      <c r="F180" s="131"/>
      <c r="G180" s="60" t="s">
        <v>131</v>
      </c>
      <c r="H180" s="134"/>
      <c r="I180" s="134"/>
      <c r="J180" s="60"/>
      <c r="K180" s="60"/>
      <c r="L180" s="60"/>
      <c r="M180" s="60"/>
      <c r="N180" s="60">
        <f t="shared" si="55"/>
        <v>0</v>
      </c>
      <c r="O180" s="60">
        <f t="shared" si="56"/>
        <v>0</v>
      </c>
    </row>
    <row r="181" spans="1:15" s="38" customFormat="1" ht="14.45" hidden="1" customHeight="1" outlineLevel="1" x14ac:dyDescent="0.25">
      <c r="A181" s="140" t="s">
        <v>363</v>
      </c>
      <c r="B181" s="141" t="s">
        <v>166</v>
      </c>
      <c r="C181" s="130">
        <f>SUM(N181:N187)</f>
        <v>0</v>
      </c>
      <c r="D181" s="130">
        <f>SUM(O181:O187)</f>
        <v>0</v>
      </c>
      <c r="E181" s="130">
        <f t="shared" si="50"/>
        <v>0</v>
      </c>
      <c r="F181" s="130"/>
      <c r="G181" s="60" t="s">
        <v>125</v>
      </c>
      <c r="H181" s="123"/>
      <c r="I181" s="123"/>
      <c r="J181" s="60"/>
      <c r="K181" s="60"/>
      <c r="L181" s="60"/>
      <c r="M181" s="60"/>
      <c r="N181" s="60">
        <f>M181*J181*K181*L181</f>
        <v>0</v>
      </c>
      <c r="O181" s="60">
        <f>J181*K181*L181</f>
        <v>0</v>
      </c>
    </row>
    <row r="182" spans="1:15" s="38" customFormat="1" ht="11.45" hidden="1" customHeight="1" outlineLevel="1" x14ac:dyDescent="0.25">
      <c r="A182" s="124"/>
      <c r="B182" s="142"/>
      <c r="C182" s="115"/>
      <c r="D182" s="115"/>
      <c r="E182" s="115"/>
      <c r="F182" s="115"/>
      <c r="G182" s="60" t="s">
        <v>126</v>
      </c>
      <c r="H182" s="124"/>
      <c r="I182" s="124"/>
      <c r="J182" s="60"/>
      <c r="K182" s="60"/>
      <c r="L182" s="60"/>
      <c r="M182" s="60"/>
      <c r="N182" s="60">
        <f t="shared" ref="N182:N187" si="57">M182*J182*K182*L182</f>
        <v>0</v>
      </c>
      <c r="O182" s="60">
        <f t="shared" ref="O182:O187" si="58">J182*K182*L182</f>
        <v>0</v>
      </c>
    </row>
    <row r="183" spans="1:15" s="38" customFormat="1" ht="10.7" hidden="1" customHeight="1" outlineLevel="1" x14ac:dyDescent="0.25">
      <c r="A183" s="124"/>
      <c r="B183" s="142"/>
      <c r="C183" s="115"/>
      <c r="D183" s="115"/>
      <c r="E183" s="115"/>
      <c r="F183" s="115"/>
      <c r="G183" s="60" t="s">
        <v>127</v>
      </c>
      <c r="H183" s="124"/>
      <c r="I183" s="124"/>
      <c r="J183" s="60"/>
      <c r="K183" s="60"/>
      <c r="L183" s="60"/>
      <c r="M183" s="60"/>
      <c r="N183" s="60">
        <f t="shared" si="57"/>
        <v>0</v>
      </c>
      <c r="O183" s="60">
        <f t="shared" si="58"/>
        <v>0</v>
      </c>
    </row>
    <row r="184" spans="1:15" s="38" customFormat="1" ht="10.7" hidden="1" customHeight="1" outlineLevel="1" x14ac:dyDescent="0.25">
      <c r="A184" s="124"/>
      <c r="B184" s="142"/>
      <c r="C184" s="115"/>
      <c r="D184" s="115"/>
      <c r="E184" s="115"/>
      <c r="F184" s="115"/>
      <c r="G184" s="60" t="s">
        <v>128</v>
      </c>
      <c r="H184" s="124"/>
      <c r="I184" s="124"/>
      <c r="J184" s="60"/>
      <c r="K184" s="60"/>
      <c r="L184" s="60"/>
      <c r="M184" s="60"/>
      <c r="N184" s="60">
        <f t="shared" si="57"/>
        <v>0</v>
      </c>
      <c r="O184" s="60">
        <f t="shared" si="58"/>
        <v>0</v>
      </c>
    </row>
    <row r="185" spans="1:15" s="38" customFormat="1" ht="10.7" hidden="1" customHeight="1" outlineLevel="1" x14ac:dyDescent="0.25">
      <c r="A185" s="124"/>
      <c r="B185" s="142"/>
      <c r="C185" s="115"/>
      <c r="D185" s="115"/>
      <c r="E185" s="115"/>
      <c r="F185" s="115"/>
      <c r="G185" s="60" t="s">
        <v>129</v>
      </c>
      <c r="H185" s="124"/>
      <c r="I185" s="124"/>
      <c r="J185" s="60"/>
      <c r="K185" s="60"/>
      <c r="L185" s="60"/>
      <c r="M185" s="60"/>
      <c r="N185" s="60">
        <f t="shared" si="57"/>
        <v>0</v>
      </c>
      <c r="O185" s="60">
        <f t="shared" si="58"/>
        <v>0</v>
      </c>
    </row>
    <row r="186" spans="1:15" s="38" customFormat="1" ht="10.7" hidden="1" customHeight="1" outlineLevel="1" x14ac:dyDescent="0.25">
      <c r="A186" s="124"/>
      <c r="B186" s="142"/>
      <c r="C186" s="115"/>
      <c r="D186" s="115"/>
      <c r="E186" s="115"/>
      <c r="F186" s="115"/>
      <c r="G186" s="60" t="s">
        <v>130</v>
      </c>
      <c r="H186" s="124"/>
      <c r="I186" s="124"/>
      <c r="J186" s="60"/>
      <c r="K186" s="60"/>
      <c r="L186" s="60"/>
      <c r="M186" s="60"/>
      <c r="N186" s="60">
        <f t="shared" si="57"/>
        <v>0</v>
      </c>
      <c r="O186" s="60">
        <f t="shared" si="58"/>
        <v>0</v>
      </c>
    </row>
    <row r="187" spans="1:15" s="38" customFormat="1" ht="12" hidden="1" customHeight="1" outlineLevel="1" thickBot="1" x14ac:dyDescent="0.3">
      <c r="A187" s="125"/>
      <c r="B187" s="143"/>
      <c r="C187" s="131"/>
      <c r="D187" s="131"/>
      <c r="E187" s="131"/>
      <c r="F187" s="131"/>
      <c r="G187" s="60" t="s">
        <v>131</v>
      </c>
      <c r="H187" s="134"/>
      <c r="I187" s="134"/>
      <c r="J187" s="60"/>
      <c r="K187" s="60"/>
      <c r="L187" s="60"/>
      <c r="M187" s="60"/>
      <c r="N187" s="60">
        <f t="shared" si="57"/>
        <v>0</v>
      </c>
      <c r="O187" s="60">
        <f t="shared" si="58"/>
        <v>0</v>
      </c>
    </row>
    <row r="188" spans="1:15" s="38" customFormat="1" ht="14.45" hidden="1" customHeight="1" outlineLevel="1" x14ac:dyDescent="0.25">
      <c r="A188" s="140" t="s">
        <v>365</v>
      </c>
      <c r="B188" s="141" t="s">
        <v>538</v>
      </c>
      <c r="C188" s="130">
        <f>SUM(N188:N194)</f>
        <v>0</v>
      </c>
      <c r="D188" s="130">
        <f>SUM(O188:O194)</f>
        <v>0</v>
      </c>
      <c r="E188" s="130">
        <f t="shared" si="50"/>
        <v>0</v>
      </c>
      <c r="F188" s="130"/>
      <c r="G188" s="60" t="s">
        <v>125</v>
      </c>
      <c r="H188" s="123"/>
      <c r="I188" s="123"/>
      <c r="J188" s="60"/>
      <c r="K188" s="60"/>
      <c r="L188" s="60"/>
      <c r="M188" s="60"/>
      <c r="N188" s="60">
        <f>M188*J188*K188*L188</f>
        <v>0</v>
      </c>
      <c r="O188" s="60">
        <f>J188*K188*L188</f>
        <v>0</v>
      </c>
    </row>
    <row r="189" spans="1:15" s="38" customFormat="1" ht="11.45" hidden="1" customHeight="1" outlineLevel="1" x14ac:dyDescent="0.25">
      <c r="A189" s="124"/>
      <c r="B189" s="142"/>
      <c r="C189" s="115"/>
      <c r="D189" s="115"/>
      <c r="E189" s="115"/>
      <c r="F189" s="115"/>
      <c r="G189" s="60" t="s">
        <v>126</v>
      </c>
      <c r="H189" s="124"/>
      <c r="I189" s="124"/>
      <c r="J189" s="60"/>
      <c r="K189" s="60"/>
      <c r="L189" s="60"/>
      <c r="M189" s="60"/>
      <c r="N189" s="60">
        <f t="shared" ref="N189:N194" si="59">M189*J189*K189*L189</f>
        <v>0</v>
      </c>
      <c r="O189" s="60">
        <f t="shared" ref="O189:O194" si="60">J189*K189*L189</f>
        <v>0</v>
      </c>
    </row>
    <row r="190" spans="1:15" s="38" customFormat="1" ht="10.7" hidden="1" customHeight="1" outlineLevel="1" x14ac:dyDescent="0.25">
      <c r="A190" s="124"/>
      <c r="B190" s="142"/>
      <c r="C190" s="115"/>
      <c r="D190" s="115"/>
      <c r="E190" s="115"/>
      <c r="F190" s="115"/>
      <c r="G190" s="60" t="s">
        <v>127</v>
      </c>
      <c r="H190" s="124"/>
      <c r="I190" s="124"/>
      <c r="J190" s="60"/>
      <c r="K190" s="60"/>
      <c r="L190" s="60"/>
      <c r="M190" s="60"/>
      <c r="N190" s="60">
        <f t="shared" si="59"/>
        <v>0</v>
      </c>
      <c r="O190" s="60">
        <f t="shared" si="60"/>
        <v>0</v>
      </c>
    </row>
    <row r="191" spans="1:15" s="38" customFormat="1" ht="10.7" hidden="1" customHeight="1" outlineLevel="1" x14ac:dyDescent="0.25">
      <c r="A191" s="124"/>
      <c r="B191" s="142"/>
      <c r="C191" s="115"/>
      <c r="D191" s="115"/>
      <c r="E191" s="115"/>
      <c r="F191" s="115"/>
      <c r="G191" s="60" t="s">
        <v>128</v>
      </c>
      <c r="H191" s="124"/>
      <c r="I191" s="124"/>
      <c r="J191" s="60"/>
      <c r="K191" s="60"/>
      <c r="L191" s="60"/>
      <c r="M191" s="60"/>
      <c r="N191" s="60">
        <f t="shared" si="59"/>
        <v>0</v>
      </c>
      <c r="O191" s="60">
        <f t="shared" si="60"/>
        <v>0</v>
      </c>
    </row>
    <row r="192" spans="1:15" s="38" customFormat="1" ht="10.7" hidden="1" customHeight="1" outlineLevel="1" x14ac:dyDescent="0.25">
      <c r="A192" s="124"/>
      <c r="B192" s="142"/>
      <c r="C192" s="115"/>
      <c r="D192" s="115"/>
      <c r="E192" s="115"/>
      <c r="F192" s="115"/>
      <c r="G192" s="60" t="s">
        <v>129</v>
      </c>
      <c r="H192" s="124"/>
      <c r="I192" s="124"/>
      <c r="J192" s="60"/>
      <c r="K192" s="60"/>
      <c r="L192" s="60"/>
      <c r="M192" s="60"/>
      <c r="N192" s="60">
        <f t="shared" si="59"/>
        <v>0</v>
      </c>
      <c r="O192" s="60">
        <f t="shared" si="60"/>
        <v>0</v>
      </c>
    </row>
    <row r="193" spans="1:15" s="38" customFormat="1" ht="10.7" hidden="1" customHeight="1" outlineLevel="1" x14ac:dyDescent="0.25">
      <c r="A193" s="124"/>
      <c r="B193" s="142"/>
      <c r="C193" s="115"/>
      <c r="D193" s="115"/>
      <c r="E193" s="115"/>
      <c r="F193" s="115"/>
      <c r="G193" s="60" t="s">
        <v>130</v>
      </c>
      <c r="H193" s="124"/>
      <c r="I193" s="124"/>
      <c r="J193" s="60"/>
      <c r="K193" s="60"/>
      <c r="L193" s="60"/>
      <c r="M193" s="60"/>
      <c r="N193" s="60">
        <f t="shared" si="59"/>
        <v>0</v>
      </c>
      <c r="O193" s="60">
        <f t="shared" si="60"/>
        <v>0</v>
      </c>
    </row>
    <row r="194" spans="1:15" s="38" customFormat="1" ht="12" hidden="1" customHeight="1" outlineLevel="1" thickBot="1" x14ac:dyDescent="0.3">
      <c r="A194" s="125"/>
      <c r="B194" s="143"/>
      <c r="C194" s="131"/>
      <c r="D194" s="131"/>
      <c r="E194" s="131"/>
      <c r="F194" s="131"/>
      <c r="G194" s="60" t="s">
        <v>131</v>
      </c>
      <c r="H194" s="134"/>
      <c r="I194" s="134"/>
      <c r="J194" s="60"/>
      <c r="K194" s="60"/>
      <c r="L194" s="60"/>
      <c r="M194" s="60"/>
      <c r="N194" s="60">
        <f t="shared" si="59"/>
        <v>0</v>
      </c>
      <c r="O194" s="60">
        <f t="shared" si="60"/>
        <v>0</v>
      </c>
    </row>
    <row r="195" spans="1:15" s="38" customFormat="1" ht="14.45" hidden="1" customHeight="1" outlineLevel="1" x14ac:dyDescent="0.25">
      <c r="A195" s="140" t="s">
        <v>367</v>
      </c>
      <c r="B195" s="141" t="s">
        <v>419</v>
      </c>
      <c r="C195" s="130">
        <f>SUM(N195:N201)</f>
        <v>0</v>
      </c>
      <c r="D195" s="130">
        <f>SUM(O195:O201)</f>
        <v>0</v>
      </c>
      <c r="E195" s="130">
        <f t="shared" si="50"/>
        <v>0</v>
      </c>
      <c r="F195" s="130"/>
      <c r="G195" s="60" t="s">
        <v>125</v>
      </c>
      <c r="H195" s="123"/>
      <c r="I195" s="123"/>
      <c r="J195" s="60"/>
      <c r="K195" s="60"/>
      <c r="L195" s="60"/>
      <c r="M195" s="60"/>
      <c r="N195" s="60">
        <f>M195*J195*K195*L195</f>
        <v>0</v>
      </c>
      <c r="O195" s="60">
        <f>J195*K195*L195</f>
        <v>0</v>
      </c>
    </row>
    <row r="196" spans="1:15" s="38" customFormat="1" ht="11.45" hidden="1" customHeight="1" outlineLevel="1" x14ac:dyDescent="0.25">
      <c r="A196" s="124"/>
      <c r="B196" s="142"/>
      <c r="C196" s="115"/>
      <c r="D196" s="115"/>
      <c r="E196" s="115"/>
      <c r="F196" s="115"/>
      <c r="G196" s="60" t="s">
        <v>126</v>
      </c>
      <c r="H196" s="124"/>
      <c r="I196" s="124"/>
      <c r="J196" s="60"/>
      <c r="K196" s="60"/>
      <c r="L196" s="60"/>
      <c r="M196" s="60"/>
      <c r="N196" s="60">
        <f t="shared" ref="N196:N201" si="61">M196*J196*K196*L196</f>
        <v>0</v>
      </c>
      <c r="O196" s="60">
        <f t="shared" ref="O196:O201" si="62">J196*K196*L196</f>
        <v>0</v>
      </c>
    </row>
    <row r="197" spans="1:15" s="38" customFormat="1" ht="10.7" hidden="1" customHeight="1" outlineLevel="1" x14ac:dyDescent="0.25">
      <c r="A197" s="124"/>
      <c r="B197" s="142"/>
      <c r="C197" s="115"/>
      <c r="D197" s="115"/>
      <c r="E197" s="115"/>
      <c r="F197" s="115"/>
      <c r="G197" s="60" t="s">
        <v>127</v>
      </c>
      <c r="H197" s="124"/>
      <c r="I197" s="124"/>
      <c r="J197" s="60"/>
      <c r="K197" s="60"/>
      <c r="L197" s="60"/>
      <c r="M197" s="60"/>
      <c r="N197" s="60">
        <f t="shared" si="61"/>
        <v>0</v>
      </c>
      <c r="O197" s="60">
        <f t="shared" si="62"/>
        <v>0</v>
      </c>
    </row>
    <row r="198" spans="1:15" s="38" customFormat="1" ht="10.7" hidden="1" customHeight="1" outlineLevel="1" x14ac:dyDescent="0.25">
      <c r="A198" s="124"/>
      <c r="B198" s="142"/>
      <c r="C198" s="115"/>
      <c r="D198" s="115"/>
      <c r="E198" s="115"/>
      <c r="F198" s="115"/>
      <c r="G198" s="60" t="s">
        <v>128</v>
      </c>
      <c r="H198" s="124"/>
      <c r="I198" s="124"/>
      <c r="J198" s="60"/>
      <c r="K198" s="60"/>
      <c r="L198" s="60"/>
      <c r="M198" s="60"/>
      <c r="N198" s="60">
        <f t="shared" si="61"/>
        <v>0</v>
      </c>
      <c r="O198" s="60">
        <f t="shared" si="62"/>
        <v>0</v>
      </c>
    </row>
    <row r="199" spans="1:15" s="38" customFormat="1" ht="10.7" hidden="1" customHeight="1" outlineLevel="1" x14ac:dyDescent="0.25">
      <c r="A199" s="124"/>
      <c r="B199" s="142"/>
      <c r="C199" s="115"/>
      <c r="D199" s="115"/>
      <c r="E199" s="115"/>
      <c r="F199" s="115"/>
      <c r="G199" s="60" t="s">
        <v>129</v>
      </c>
      <c r="H199" s="124"/>
      <c r="I199" s="124"/>
      <c r="J199" s="60"/>
      <c r="K199" s="60"/>
      <c r="L199" s="60"/>
      <c r="M199" s="60"/>
      <c r="N199" s="60">
        <f t="shared" si="61"/>
        <v>0</v>
      </c>
      <c r="O199" s="60">
        <f t="shared" si="62"/>
        <v>0</v>
      </c>
    </row>
    <row r="200" spans="1:15" s="38" customFormat="1" ht="10.7" hidden="1" customHeight="1" outlineLevel="1" x14ac:dyDescent="0.25">
      <c r="A200" s="124"/>
      <c r="B200" s="142"/>
      <c r="C200" s="115"/>
      <c r="D200" s="115"/>
      <c r="E200" s="115"/>
      <c r="F200" s="115"/>
      <c r="G200" s="60" t="s">
        <v>130</v>
      </c>
      <c r="H200" s="124"/>
      <c r="I200" s="124"/>
      <c r="J200" s="60"/>
      <c r="K200" s="60"/>
      <c r="L200" s="60"/>
      <c r="M200" s="60"/>
      <c r="N200" s="60">
        <f t="shared" si="61"/>
        <v>0</v>
      </c>
      <c r="O200" s="60">
        <f t="shared" si="62"/>
        <v>0</v>
      </c>
    </row>
    <row r="201" spans="1:15" s="38" customFormat="1" ht="12" hidden="1" customHeight="1" outlineLevel="1" thickBot="1" x14ac:dyDescent="0.3">
      <c r="A201" s="125"/>
      <c r="B201" s="143"/>
      <c r="C201" s="131"/>
      <c r="D201" s="131"/>
      <c r="E201" s="131"/>
      <c r="F201" s="131"/>
      <c r="G201" s="60" t="s">
        <v>131</v>
      </c>
      <c r="H201" s="134"/>
      <c r="I201" s="134"/>
      <c r="J201" s="60"/>
      <c r="K201" s="60"/>
      <c r="L201" s="60"/>
      <c r="M201" s="60"/>
      <c r="N201" s="60">
        <f t="shared" si="61"/>
        <v>0</v>
      </c>
      <c r="O201" s="60">
        <f t="shared" si="62"/>
        <v>0</v>
      </c>
    </row>
    <row r="202" spans="1:15" s="38" customFormat="1" ht="14.45" hidden="1" customHeight="1" outlineLevel="1" x14ac:dyDescent="0.25">
      <c r="A202" s="140" t="s">
        <v>369</v>
      </c>
      <c r="B202" s="141" t="s">
        <v>539</v>
      </c>
      <c r="C202" s="130">
        <f>SUM(N202:N208)</f>
        <v>0</v>
      </c>
      <c r="D202" s="130">
        <f>SUM(O202:O208)</f>
        <v>0</v>
      </c>
      <c r="E202" s="130">
        <f t="shared" si="50"/>
        <v>0</v>
      </c>
      <c r="F202" s="130"/>
      <c r="G202" s="60" t="s">
        <v>125</v>
      </c>
      <c r="H202" s="123"/>
      <c r="I202" s="123"/>
      <c r="J202" s="60"/>
      <c r="K202" s="60"/>
      <c r="L202" s="60"/>
      <c r="M202" s="60"/>
      <c r="N202" s="60">
        <f>M202*J202*K202*L202</f>
        <v>0</v>
      </c>
      <c r="O202" s="60">
        <f>J202*K202*L202</f>
        <v>0</v>
      </c>
    </row>
    <row r="203" spans="1:15" s="38" customFormat="1" ht="11.45" hidden="1" customHeight="1" outlineLevel="1" x14ac:dyDescent="0.25">
      <c r="A203" s="124"/>
      <c r="B203" s="142"/>
      <c r="C203" s="115"/>
      <c r="D203" s="115"/>
      <c r="E203" s="115"/>
      <c r="F203" s="115"/>
      <c r="G203" s="60" t="s">
        <v>126</v>
      </c>
      <c r="H203" s="124"/>
      <c r="I203" s="124"/>
      <c r="J203" s="60"/>
      <c r="K203" s="60"/>
      <c r="L203" s="60"/>
      <c r="M203" s="60"/>
      <c r="N203" s="60">
        <f t="shared" ref="N203:N208" si="63">M203*J203*K203*L203</f>
        <v>0</v>
      </c>
      <c r="O203" s="60">
        <f t="shared" ref="O203:O208" si="64">J203*K203*L203</f>
        <v>0</v>
      </c>
    </row>
    <row r="204" spans="1:15" s="38" customFormat="1" ht="10.7" hidden="1" customHeight="1" outlineLevel="1" x14ac:dyDescent="0.25">
      <c r="A204" s="124"/>
      <c r="B204" s="142"/>
      <c r="C204" s="115"/>
      <c r="D204" s="115"/>
      <c r="E204" s="115"/>
      <c r="F204" s="115"/>
      <c r="G204" s="60" t="s">
        <v>127</v>
      </c>
      <c r="H204" s="124"/>
      <c r="I204" s="124"/>
      <c r="J204" s="60"/>
      <c r="K204" s="60"/>
      <c r="L204" s="60"/>
      <c r="M204" s="60"/>
      <c r="N204" s="60">
        <f t="shared" si="63"/>
        <v>0</v>
      </c>
      <c r="O204" s="60">
        <f t="shared" si="64"/>
        <v>0</v>
      </c>
    </row>
    <row r="205" spans="1:15" s="38" customFormat="1" ht="10.7" hidden="1" customHeight="1" outlineLevel="1" x14ac:dyDescent="0.25">
      <c r="A205" s="124"/>
      <c r="B205" s="142"/>
      <c r="C205" s="115"/>
      <c r="D205" s="115"/>
      <c r="E205" s="115"/>
      <c r="F205" s="115"/>
      <c r="G205" s="60" t="s">
        <v>128</v>
      </c>
      <c r="H205" s="124"/>
      <c r="I205" s="124"/>
      <c r="J205" s="60"/>
      <c r="K205" s="60"/>
      <c r="L205" s="60"/>
      <c r="M205" s="60"/>
      <c r="N205" s="60">
        <f t="shared" si="63"/>
        <v>0</v>
      </c>
      <c r="O205" s="60">
        <f t="shared" si="64"/>
        <v>0</v>
      </c>
    </row>
    <row r="206" spans="1:15" s="38" customFormat="1" ht="10.7" hidden="1" customHeight="1" outlineLevel="1" x14ac:dyDescent="0.25">
      <c r="A206" s="124"/>
      <c r="B206" s="142"/>
      <c r="C206" s="115"/>
      <c r="D206" s="115"/>
      <c r="E206" s="115"/>
      <c r="F206" s="115"/>
      <c r="G206" s="60" t="s">
        <v>129</v>
      </c>
      <c r="H206" s="124"/>
      <c r="I206" s="124"/>
      <c r="J206" s="60"/>
      <c r="K206" s="60"/>
      <c r="L206" s="60"/>
      <c r="M206" s="60"/>
      <c r="N206" s="60">
        <f t="shared" si="63"/>
        <v>0</v>
      </c>
      <c r="O206" s="60">
        <f t="shared" si="64"/>
        <v>0</v>
      </c>
    </row>
    <row r="207" spans="1:15" s="38" customFormat="1" ht="10.7" hidden="1" customHeight="1" outlineLevel="1" x14ac:dyDescent="0.25">
      <c r="A207" s="124"/>
      <c r="B207" s="142"/>
      <c r="C207" s="115"/>
      <c r="D207" s="115"/>
      <c r="E207" s="115"/>
      <c r="F207" s="115"/>
      <c r="G207" s="60" t="s">
        <v>130</v>
      </c>
      <c r="H207" s="124"/>
      <c r="I207" s="124"/>
      <c r="J207" s="60"/>
      <c r="K207" s="60"/>
      <c r="L207" s="60"/>
      <c r="M207" s="60"/>
      <c r="N207" s="60">
        <f t="shared" si="63"/>
        <v>0</v>
      </c>
      <c r="O207" s="60">
        <f t="shared" si="64"/>
        <v>0</v>
      </c>
    </row>
    <row r="208" spans="1:15" s="38" customFormat="1" ht="12" hidden="1" customHeight="1" outlineLevel="1" thickBot="1" x14ac:dyDescent="0.3">
      <c r="A208" s="125"/>
      <c r="B208" s="143"/>
      <c r="C208" s="131"/>
      <c r="D208" s="131"/>
      <c r="E208" s="131"/>
      <c r="F208" s="131"/>
      <c r="G208" s="60" t="s">
        <v>131</v>
      </c>
      <c r="H208" s="134"/>
      <c r="I208" s="134"/>
      <c r="J208" s="60"/>
      <c r="K208" s="60"/>
      <c r="L208" s="60"/>
      <c r="M208" s="60"/>
      <c r="N208" s="60">
        <f t="shared" si="63"/>
        <v>0</v>
      </c>
      <c r="O208" s="60">
        <f t="shared" si="64"/>
        <v>0</v>
      </c>
    </row>
    <row r="209" spans="1:15" s="38" customFormat="1" ht="14.45" hidden="1" customHeight="1" outlineLevel="1" x14ac:dyDescent="0.25">
      <c r="A209" s="140" t="s">
        <v>371</v>
      </c>
      <c r="B209" s="141" t="s">
        <v>540</v>
      </c>
      <c r="C209" s="130">
        <f>SUM(N209:N215)</f>
        <v>0</v>
      </c>
      <c r="D209" s="130">
        <f>SUM(O209:O215)</f>
        <v>0</v>
      </c>
      <c r="E209" s="130">
        <f t="shared" si="50"/>
        <v>0</v>
      </c>
      <c r="F209" s="130"/>
      <c r="G209" s="60" t="s">
        <v>125</v>
      </c>
      <c r="H209" s="123"/>
      <c r="I209" s="123"/>
      <c r="J209" s="60"/>
      <c r="K209" s="60"/>
      <c r="L209" s="60"/>
      <c r="M209" s="60"/>
      <c r="N209" s="60">
        <f>M209*J209*K209*L209</f>
        <v>0</v>
      </c>
      <c r="O209" s="60">
        <f>J209*K209*L209</f>
        <v>0</v>
      </c>
    </row>
    <row r="210" spans="1:15" s="38" customFormat="1" ht="11.45" hidden="1" customHeight="1" outlineLevel="1" x14ac:dyDescent="0.25">
      <c r="A210" s="124"/>
      <c r="B210" s="142"/>
      <c r="C210" s="115"/>
      <c r="D210" s="115"/>
      <c r="E210" s="115"/>
      <c r="F210" s="115"/>
      <c r="G210" s="60" t="s">
        <v>126</v>
      </c>
      <c r="H210" s="124"/>
      <c r="I210" s="124"/>
      <c r="J210" s="60"/>
      <c r="K210" s="60"/>
      <c r="L210" s="60"/>
      <c r="M210" s="60"/>
      <c r="N210" s="60">
        <f t="shared" ref="N210:N215" si="65">M210*J210*K210*L210</f>
        <v>0</v>
      </c>
      <c r="O210" s="60">
        <f t="shared" ref="O210:O215" si="66">J210*K210*L210</f>
        <v>0</v>
      </c>
    </row>
    <row r="211" spans="1:15" s="38" customFormat="1" ht="10.7" hidden="1" customHeight="1" outlineLevel="1" x14ac:dyDescent="0.25">
      <c r="A211" s="124"/>
      <c r="B211" s="142"/>
      <c r="C211" s="115"/>
      <c r="D211" s="115"/>
      <c r="E211" s="115"/>
      <c r="F211" s="115"/>
      <c r="G211" s="60" t="s">
        <v>127</v>
      </c>
      <c r="H211" s="124"/>
      <c r="I211" s="124"/>
      <c r="J211" s="60"/>
      <c r="K211" s="60"/>
      <c r="L211" s="60"/>
      <c r="M211" s="60"/>
      <c r="N211" s="60">
        <f t="shared" si="65"/>
        <v>0</v>
      </c>
      <c r="O211" s="60">
        <f t="shared" si="66"/>
        <v>0</v>
      </c>
    </row>
    <row r="212" spans="1:15" s="38" customFormat="1" ht="10.7" hidden="1" customHeight="1" outlineLevel="1" x14ac:dyDescent="0.25">
      <c r="A212" s="124"/>
      <c r="B212" s="142"/>
      <c r="C212" s="115"/>
      <c r="D212" s="115"/>
      <c r="E212" s="115"/>
      <c r="F212" s="115"/>
      <c r="G212" s="60" t="s">
        <v>128</v>
      </c>
      <c r="H212" s="124"/>
      <c r="I212" s="124"/>
      <c r="J212" s="60"/>
      <c r="K212" s="60"/>
      <c r="L212" s="60"/>
      <c r="M212" s="60"/>
      <c r="N212" s="60">
        <f t="shared" si="65"/>
        <v>0</v>
      </c>
      <c r="O212" s="60">
        <f t="shared" si="66"/>
        <v>0</v>
      </c>
    </row>
    <row r="213" spans="1:15" s="38" customFormat="1" ht="10.7" hidden="1" customHeight="1" outlineLevel="1" x14ac:dyDescent="0.25">
      <c r="A213" s="124"/>
      <c r="B213" s="142"/>
      <c r="C213" s="115"/>
      <c r="D213" s="115"/>
      <c r="E213" s="115"/>
      <c r="F213" s="115"/>
      <c r="G213" s="60" t="s">
        <v>129</v>
      </c>
      <c r="H213" s="124"/>
      <c r="I213" s="124"/>
      <c r="J213" s="60"/>
      <c r="K213" s="60"/>
      <c r="L213" s="60"/>
      <c r="M213" s="60"/>
      <c r="N213" s="60">
        <f t="shared" si="65"/>
        <v>0</v>
      </c>
      <c r="O213" s="60">
        <f t="shared" si="66"/>
        <v>0</v>
      </c>
    </row>
    <row r="214" spans="1:15" s="38" customFormat="1" ht="10.7" hidden="1" customHeight="1" outlineLevel="1" x14ac:dyDescent="0.25">
      <c r="A214" s="124"/>
      <c r="B214" s="142"/>
      <c r="C214" s="115"/>
      <c r="D214" s="115"/>
      <c r="E214" s="115"/>
      <c r="F214" s="115"/>
      <c r="G214" s="60" t="s">
        <v>130</v>
      </c>
      <c r="H214" s="124"/>
      <c r="I214" s="124"/>
      <c r="J214" s="60"/>
      <c r="K214" s="60"/>
      <c r="L214" s="60"/>
      <c r="M214" s="60"/>
      <c r="N214" s="60">
        <f t="shared" si="65"/>
        <v>0</v>
      </c>
      <c r="O214" s="60">
        <f t="shared" si="66"/>
        <v>0</v>
      </c>
    </row>
    <row r="215" spans="1:15" s="38" customFormat="1" ht="12" hidden="1" customHeight="1" outlineLevel="1" thickBot="1" x14ac:dyDescent="0.3">
      <c r="A215" s="125"/>
      <c r="B215" s="143"/>
      <c r="C215" s="131"/>
      <c r="D215" s="131"/>
      <c r="E215" s="131"/>
      <c r="F215" s="131"/>
      <c r="G215" s="60" t="s">
        <v>131</v>
      </c>
      <c r="H215" s="134"/>
      <c r="I215" s="134"/>
      <c r="J215" s="60"/>
      <c r="K215" s="60"/>
      <c r="L215" s="60"/>
      <c r="M215" s="60"/>
      <c r="N215" s="60">
        <f t="shared" si="65"/>
        <v>0</v>
      </c>
      <c r="O215" s="60">
        <f t="shared" si="66"/>
        <v>0</v>
      </c>
    </row>
    <row r="216" spans="1:15" s="38" customFormat="1" ht="14.45" hidden="1" customHeight="1" outlineLevel="1" x14ac:dyDescent="0.25">
      <c r="A216" s="140" t="s">
        <v>373</v>
      </c>
      <c r="B216" s="141" t="s">
        <v>541</v>
      </c>
      <c r="C216" s="130">
        <f>SUM(N216:N222)</f>
        <v>0</v>
      </c>
      <c r="D216" s="130">
        <f>SUM(O216:O222)</f>
        <v>0</v>
      </c>
      <c r="E216" s="130">
        <f t="shared" si="50"/>
        <v>0</v>
      </c>
      <c r="F216" s="130"/>
      <c r="G216" s="60" t="s">
        <v>125</v>
      </c>
      <c r="H216" s="123"/>
      <c r="I216" s="123"/>
      <c r="J216" s="60"/>
      <c r="K216" s="60"/>
      <c r="L216" s="60"/>
      <c r="M216" s="60"/>
      <c r="N216" s="60">
        <f>M216*J216*K216*L216</f>
        <v>0</v>
      </c>
      <c r="O216" s="60">
        <f>J216*K216*L216</f>
        <v>0</v>
      </c>
    </row>
    <row r="217" spans="1:15" s="38" customFormat="1" ht="11.45" hidden="1" customHeight="1" outlineLevel="1" x14ac:dyDescent="0.25">
      <c r="A217" s="124"/>
      <c r="B217" s="142"/>
      <c r="C217" s="115"/>
      <c r="D217" s="115"/>
      <c r="E217" s="115"/>
      <c r="F217" s="115"/>
      <c r="G217" s="60" t="s">
        <v>126</v>
      </c>
      <c r="H217" s="124"/>
      <c r="I217" s="124"/>
      <c r="J217" s="60"/>
      <c r="K217" s="60"/>
      <c r="L217" s="60"/>
      <c r="M217" s="60"/>
      <c r="N217" s="60">
        <f t="shared" ref="N217:N222" si="67">M217*J217*K217*L217</f>
        <v>0</v>
      </c>
      <c r="O217" s="60">
        <f t="shared" ref="O217:O222" si="68">J217*K217*L217</f>
        <v>0</v>
      </c>
    </row>
    <row r="218" spans="1:15" s="38" customFormat="1" ht="10.7" hidden="1" customHeight="1" outlineLevel="1" x14ac:dyDescent="0.25">
      <c r="A218" s="124"/>
      <c r="B218" s="142"/>
      <c r="C218" s="115"/>
      <c r="D218" s="115"/>
      <c r="E218" s="115"/>
      <c r="F218" s="115"/>
      <c r="G218" s="60" t="s">
        <v>127</v>
      </c>
      <c r="H218" s="124"/>
      <c r="I218" s="124"/>
      <c r="J218" s="60"/>
      <c r="K218" s="60"/>
      <c r="L218" s="60"/>
      <c r="M218" s="60"/>
      <c r="N218" s="60">
        <f t="shared" si="67"/>
        <v>0</v>
      </c>
      <c r="O218" s="60">
        <f t="shared" si="68"/>
        <v>0</v>
      </c>
    </row>
    <row r="219" spans="1:15" s="38" customFormat="1" ht="10.7" hidden="1" customHeight="1" outlineLevel="1" x14ac:dyDescent="0.25">
      <c r="A219" s="124"/>
      <c r="B219" s="142"/>
      <c r="C219" s="115"/>
      <c r="D219" s="115"/>
      <c r="E219" s="115"/>
      <c r="F219" s="115"/>
      <c r="G219" s="60" t="s">
        <v>128</v>
      </c>
      <c r="H219" s="124"/>
      <c r="I219" s="124"/>
      <c r="J219" s="60"/>
      <c r="K219" s="60"/>
      <c r="L219" s="60"/>
      <c r="M219" s="60"/>
      <c r="N219" s="60">
        <f t="shared" si="67"/>
        <v>0</v>
      </c>
      <c r="O219" s="60">
        <f t="shared" si="68"/>
        <v>0</v>
      </c>
    </row>
    <row r="220" spans="1:15" s="38" customFormat="1" ht="10.7" hidden="1" customHeight="1" outlineLevel="1" x14ac:dyDescent="0.25">
      <c r="A220" s="124"/>
      <c r="B220" s="142"/>
      <c r="C220" s="115"/>
      <c r="D220" s="115"/>
      <c r="E220" s="115"/>
      <c r="F220" s="115"/>
      <c r="G220" s="60" t="s">
        <v>129</v>
      </c>
      <c r="H220" s="124"/>
      <c r="I220" s="124"/>
      <c r="J220" s="60"/>
      <c r="K220" s="60"/>
      <c r="L220" s="60"/>
      <c r="M220" s="60"/>
      <c r="N220" s="60">
        <f t="shared" si="67"/>
        <v>0</v>
      </c>
      <c r="O220" s="60">
        <f t="shared" si="68"/>
        <v>0</v>
      </c>
    </row>
    <row r="221" spans="1:15" s="38" customFormat="1" ht="10.7" hidden="1" customHeight="1" outlineLevel="1" x14ac:dyDescent="0.25">
      <c r="A221" s="124"/>
      <c r="B221" s="142"/>
      <c r="C221" s="115"/>
      <c r="D221" s="115"/>
      <c r="E221" s="115"/>
      <c r="F221" s="115"/>
      <c r="G221" s="60" t="s">
        <v>130</v>
      </c>
      <c r="H221" s="124"/>
      <c r="I221" s="124"/>
      <c r="J221" s="60"/>
      <c r="K221" s="60"/>
      <c r="L221" s="60"/>
      <c r="M221" s="60"/>
      <c r="N221" s="60">
        <f t="shared" si="67"/>
        <v>0</v>
      </c>
      <c r="O221" s="60">
        <f t="shared" si="68"/>
        <v>0</v>
      </c>
    </row>
    <row r="222" spans="1:15" s="38" customFormat="1" ht="12" hidden="1" customHeight="1" outlineLevel="1" thickBot="1" x14ac:dyDescent="0.3">
      <c r="A222" s="125"/>
      <c r="B222" s="143"/>
      <c r="C222" s="131"/>
      <c r="D222" s="131"/>
      <c r="E222" s="131"/>
      <c r="F222" s="131"/>
      <c r="G222" s="60" t="s">
        <v>131</v>
      </c>
      <c r="H222" s="134"/>
      <c r="I222" s="134"/>
      <c r="J222" s="60"/>
      <c r="K222" s="60"/>
      <c r="L222" s="60"/>
      <c r="M222" s="60"/>
      <c r="N222" s="60">
        <f t="shared" si="67"/>
        <v>0</v>
      </c>
      <c r="O222" s="60">
        <f t="shared" si="68"/>
        <v>0</v>
      </c>
    </row>
    <row r="223" spans="1:15" s="38" customFormat="1" ht="14.45" hidden="1" customHeight="1" outlineLevel="1" x14ac:dyDescent="0.25">
      <c r="A223" s="140" t="s">
        <v>375</v>
      </c>
      <c r="B223" s="141" t="s">
        <v>542</v>
      </c>
      <c r="C223" s="130">
        <f>SUM(N223:N229)</f>
        <v>0</v>
      </c>
      <c r="D223" s="130">
        <f>SUM(O223:O229)</f>
        <v>0</v>
      </c>
      <c r="E223" s="130">
        <f t="shared" si="50"/>
        <v>0</v>
      </c>
      <c r="F223" s="130"/>
      <c r="G223" s="60" t="s">
        <v>125</v>
      </c>
      <c r="H223" s="123"/>
      <c r="I223" s="123"/>
      <c r="J223" s="60"/>
      <c r="K223" s="60"/>
      <c r="L223" s="60"/>
      <c r="M223" s="60"/>
      <c r="N223" s="60">
        <f>M223*J223*K223*L223</f>
        <v>0</v>
      </c>
      <c r="O223" s="60">
        <f>J223*K223*L223</f>
        <v>0</v>
      </c>
    </row>
    <row r="224" spans="1:15" s="38" customFormat="1" ht="11.45" hidden="1" customHeight="1" outlineLevel="1" x14ac:dyDescent="0.25">
      <c r="A224" s="124"/>
      <c r="B224" s="142"/>
      <c r="C224" s="115"/>
      <c r="D224" s="115"/>
      <c r="E224" s="115"/>
      <c r="F224" s="115"/>
      <c r="G224" s="60" t="s">
        <v>126</v>
      </c>
      <c r="H224" s="124"/>
      <c r="I224" s="124"/>
      <c r="J224" s="60"/>
      <c r="K224" s="60"/>
      <c r="L224" s="60"/>
      <c r="M224" s="60"/>
      <c r="N224" s="60">
        <f t="shared" ref="N224:N229" si="69">M224*J224*K224*L224</f>
        <v>0</v>
      </c>
      <c r="O224" s="60">
        <f t="shared" ref="O224:O229" si="70">J224*K224*L224</f>
        <v>0</v>
      </c>
    </row>
    <row r="225" spans="1:15" s="38" customFormat="1" ht="10.7" hidden="1" customHeight="1" outlineLevel="1" x14ac:dyDescent="0.25">
      <c r="A225" s="124"/>
      <c r="B225" s="142"/>
      <c r="C225" s="115"/>
      <c r="D225" s="115"/>
      <c r="E225" s="115"/>
      <c r="F225" s="115"/>
      <c r="G225" s="60" t="s">
        <v>127</v>
      </c>
      <c r="H225" s="124"/>
      <c r="I225" s="124"/>
      <c r="J225" s="60"/>
      <c r="K225" s="60"/>
      <c r="L225" s="60"/>
      <c r="M225" s="60"/>
      <c r="N225" s="60">
        <f t="shared" si="69"/>
        <v>0</v>
      </c>
      <c r="O225" s="60">
        <f t="shared" si="70"/>
        <v>0</v>
      </c>
    </row>
    <row r="226" spans="1:15" s="38" customFormat="1" ht="10.7" hidden="1" customHeight="1" outlineLevel="1" x14ac:dyDescent="0.25">
      <c r="A226" s="124"/>
      <c r="B226" s="142"/>
      <c r="C226" s="115"/>
      <c r="D226" s="115"/>
      <c r="E226" s="115"/>
      <c r="F226" s="115"/>
      <c r="G226" s="60" t="s">
        <v>128</v>
      </c>
      <c r="H226" s="124"/>
      <c r="I226" s="124"/>
      <c r="J226" s="60"/>
      <c r="K226" s="60"/>
      <c r="L226" s="60"/>
      <c r="M226" s="60"/>
      <c r="N226" s="60">
        <f t="shared" si="69"/>
        <v>0</v>
      </c>
      <c r="O226" s="60">
        <f t="shared" si="70"/>
        <v>0</v>
      </c>
    </row>
    <row r="227" spans="1:15" s="38" customFormat="1" ht="10.7" hidden="1" customHeight="1" outlineLevel="1" x14ac:dyDescent="0.25">
      <c r="A227" s="124"/>
      <c r="B227" s="142"/>
      <c r="C227" s="115"/>
      <c r="D227" s="115"/>
      <c r="E227" s="115"/>
      <c r="F227" s="115"/>
      <c r="G227" s="60" t="s">
        <v>129</v>
      </c>
      <c r="H227" s="124"/>
      <c r="I227" s="124"/>
      <c r="J227" s="60"/>
      <c r="K227" s="60"/>
      <c r="L227" s="60"/>
      <c r="M227" s="60"/>
      <c r="N227" s="60">
        <f t="shared" si="69"/>
        <v>0</v>
      </c>
      <c r="O227" s="60">
        <f t="shared" si="70"/>
        <v>0</v>
      </c>
    </row>
    <row r="228" spans="1:15" s="38" customFormat="1" ht="10.7" hidden="1" customHeight="1" outlineLevel="1" x14ac:dyDescent="0.25">
      <c r="A228" s="124"/>
      <c r="B228" s="142"/>
      <c r="C228" s="115"/>
      <c r="D228" s="115"/>
      <c r="E228" s="115"/>
      <c r="F228" s="115"/>
      <c r="G228" s="60" t="s">
        <v>130</v>
      </c>
      <c r="H228" s="124"/>
      <c r="I228" s="124"/>
      <c r="J228" s="60"/>
      <c r="K228" s="60"/>
      <c r="L228" s="60"/>
      <c r="M228" s="60"/>
      <c r="N228" s="60">
        <f t="shared" si="69"/>
        <v>0</v>
      </c>
      <c r="O228" s="60">
        <f t="shared" si="70"/>
        <v>0</v>
      </c>
    </row>
    <row r="229" spans="1:15" s="38" customFormat="1" ht="12" hidden="1" customHeight="1" outlineLevel="1" thickBot="1" x14ac:dyDescent="0.3">
      <c r="A229" s="125"/>
      <c r="B229" s="143"/>
      <c r="C229" s="131"/>
      <c r="D229" s="131"/>
      <c r="E229" s="131"/>
      <c r="F229" s="131"/>
      <c r="G229" s="60" t="s">
        <v>131</v>
      </c>
      <c r="H229" s="134"/>
      <c r="I229" s="134"/>
      <c r="J229" s="60"/>
      <c r="K229" s="60"/>
      <c r="L229" s="60"/>
      <c r="M229" s="60"/>
      <c r="N229" s="60">
        <f t="shared" si="69"/>
        <v>0</v>
      </c>
      <c r="O229" s="60">
        <f t="shared" si="70"/>
        <v>0</v>
      </c>
    </row>
    <row r="230" spans="1:15" s="38" customFormat="1" ht="14.45" hidden="1" customHeight="1" outlineLevel="1" x14ac:dyDescent="0.25">
      <c r="A230" s="140" t="s">
        <v>424</v>
      </c>
      <c r="B230" s="141" t="s">
        <v>543</v>
      </c>
      <c r="C230" s="130">
        <f>SUM(N230:N236)</f>
        <v>0</v>
      </c>
      <c r="D230" s="130">
        <f>SUM(O230:O236)</f>
        <v>0</v>
      </c>
      <c r="E230" s="130">
        <f t="shared" ref="E230:E265" si="71">D230/8</f>
        <v>0</v>
      </c>
      <c r="F230" s="130"/>
      <c r="G230" s="60" t="s">
        <v>125</v>
      </c>
      <c r="H230" s="123"/>
      <c r="I230" s="123"/>
      <c r="J230" s="60"/>
      <c r="K230" s="60"/>
      <c r="L230" s="60"/>
      <c r="M230" s="60"/>
      <c r="N230" s="60">
        <f>M230*J230*K230*L230</f>
        <v>0</v>
      </c>
      <c r="O230" s="60">
        <f>J230*K230*L230</f>
        <v>0</v>
      </c>
    </row>
    <row r="231" spans="1:15" s="38" customFormat="1" ht="11.45" hidden="1" customHeight="1" outlineLevel="1" x14ac:dyDescent="0.25">
      <c r="A231" s="124"/>
      <c r="B231" s="142"/>
      <c r="C231" s="115"/>
      <c r="D231" s="115"/>
      <c r="E231" s="115"/>
      <c r="F231" s="115"/>
      <c r="G231" s="60" t="s">
        <v>126</v>
      </c>
      <c r="H231" s="124"/>
      <c r="I231" s="124"/>
      <c r="J231" s="60"/>
      <c r="K231" s="60"/>
      <c r="L231" s="60"/>
      <c r="M231" s="60"/>
      <c r="N231" s="60">
        <f t="shared" ref="N231:N236" si="72">M231*J231*K231*L231</f>
        <v>0</v>
      </c>
      <c r="O231" s="60">
        <f t="shared" ref="O231:O236" si="73">J231*K231*L231</f>
        <v>0</v>
      </c>
    </row>
    <row r="232" spans="1:15" s="38" customFormat="1" ht="10.7" hidden="1" customHeight="1" outlineLevel="1" x14ac:dyDescent="0.25">
      <c r="A232" s="124"/>
      <c r="B232" s="142"/>
      <c r="C232" s="115"/>
      <c r="D232" s="115"/>
      <c r="E232" s="115"/>
      <c r="F232" s="115"/>
      <c r="G232" s="60" t="s">
        <v>127</v>
      </c>
      <c r="H232" s="124"/>
      <c r="I232" s="124"/>
      <c r="J232" s="60"/>
      <c r="K232" s="60"/>
      <c r="L232" s="60"/>
      <c r="M232" s="60"/>
      <c r="N232" s="60">
        <f t="shared" si="72"/>
        <v>0</v>
      </c>
      <c r="O232" s="60">
        <f t="shared" si="73"/>
        <v>0</v>
      </c>
    </row>
    <row r="233" spans="1:15" s="38" customFormat="1" ht="10.7" hidden="1" customHeight="1" outlineLevel="1" x14ac:dyDescent="0.25">
      <c r="A233" s="124"/>
      <c r="B233" s="142"/>
      <c r="C233" s="115"/>
      <c r="D233" s="115"/>
      <c r="E233" s="115"/>
      <c r="F233" s="115"/>
      <c r="G233" s="60" t="s">
        <v>128</v>
      </c>
      <c r="H233" s="124"/>
      <c r="I233" s="124"/>
      <c r="J233" s="60"/>
      <c r="K233" s="60"/>
      <c r="L233" s="60"/>
      <c r="M233" s="60"/>
      <c r="N233" s="60">
        <f t="shared" si="72"/>
        <v>0</v>
      </c>
      <c r="O233" s="60">
        <f t="shared" si="73"/>
        <v>0</v>
      </c>
    </row>
    <row r="234" spans="1:15" s="38" customFormat="1" ht="10.7" hidden="1" customHeight="1" outlineLevel="1" x14ac:dyDescent="0.25">
      <c r="A234" s="124"/>
      <c r="B234" s="142"/>
      <c r="C234" s="115"/>
      <c r="D234" s="115"/>
      <c r="E234" s="115"/>
      <c r="F234" s="115"/>
      <c r="G234" s="60" t="s">
        <v>129</v>
      </c>
      <c r="H234" s="124"/>
      <c r="I234" s="124"/>
      <c r="J234" s="60"/>
      <c r="K234" s="60"/>
      <c r="L234" s="60"/>
      <c r="M234" s="60"/>
      <c r="N234" s="60">
        <f t="shared" si="72"/>
        <v>0</v>
      </c>
      <c r="O234" s="60">
        <f t="shared" si="73"/>
        <v>0</v>
      </c>
    </row>
    <row r="235" spans="1:15" s="38" customFormat="1" ht="10.7" hidden="1" customHeight="1" outlineLevel="1" x14ac:dyDescent="0.25">
      <c r="A235" s="124"/>
      <c r="B235" s="142"/>
      <c r="C235" s="115"/>
      <c r="D235" s="115"/>
      <c r="E235" s="115"/>
      <c r="F235" s="115"/>
      <c r="G235" s="60" t="s">
        <v>130</v>
      </c>
      <c r="H235" s="124"/>
      <c r="I235" s="124"/>
      <c r="J235" s="60"/>
      <c r="K235" s="60"/>
      <c r="L235" s="60"/>
      <c r="M235" s="60"/>
      <c r="N235" s="60">
        <f t="shared" si="72"/>
        <v>0</v>
      </c>
      <c r="O235" s="60">
        <f t="shared" si="73"/>
        <v>0</v>
      </c>
    </row>
    <row r="236" spans="1:15" s="38" customFormat="1" ht="12" hidden="1" customHeight="1" outlineLevel="1" thickBot="1" x14ac:dyDescent="0.3">
      <c r="A236" s="125"/>
      <c r="B236" s="143"/>
      <c r="C236" s="131"/>
      <c r="D236" s="131"/>
      <c r="E236" s="131"/>
      <c r="F236" s="131"/>
      <c r="G236" s="60" t="s">
        <v>131</v>
      </c>
      <c r="H236" s="134"/>
      <c r="I236" s="134"/>
      <c r="J236" s="60"/>
      <c r="K236" s="60"/>
      <c r="L236" s="60"/>
      <c r="M236" s="60"/>
      <c r="N236" s="60">
        <f t="shared" si="72"/>
        <v>0</v>
      </c>
      <c r="O236" s="60">
        <f t="shared" si="73"/>
        <v>0</v>
      </c>
    </row>
    <row r="237" spans="1:15" s="38" customFormat="1" ht="14.45" hidden="1" customHeight="1" outlineLevel="1" x14ac:dyDescent="0.25">
      <c r="A237" s="140" t="s">
        <v>426</v>
      </c>
      <c r="B237" s="141" t="s">
        <v>544</v>
      </c>
      <c r="C237" s="130">
        <f>SUM(N237:N243)</f>
        <v>0</v>
      </c>
      <c r="D237" s="130">
        <f>SUM(O237:O243)</f>
        <v>0</v>
      </c>
      <c r="E237" s="130">
        <f t="shared" si="71"/>
        <v>0</v>
      </c>
      <c r="F237" s="130"/>
      <c r="G237" s="60" t="s">
        <v>125</v>
      </c>
      <c r="H237" s="123"/>
      <c r="I237" s="123"/>
      <c r="J237" s="60"/>
      <c r="K237" s="60"/>
      <c r="L237" s="60"/>
      <c r="M237" s="60"/>
      <c r="N237" s="60">
        <f>M237*J237*K237*L237</f>
        <v>0</v>
      </c>
      <c r="O237" s="60">
        <f>J237*K237*L237</f>
        <v>0</v>
      </c>
    </row>
    <row r="238" spans="1:15" s="38" customFormat="1" ht="11.45" hidden="1" customHeight="1" outlineLevel="1" x14ac:dyDescent="0.25">
      <c r="A238" s="124"/>
      <c r="B238" s="142"/>
      <c r="C238" s="115"/>
      <c r="D238" s="115"/>
      <c r="E238" s="115"/>
      <c r="F238" s="115"/>
      <c r="G238" s="60" t="s">
        <v>126</v>
      </c>
      <c r="H238" s="124"/>
      <c r="I238" s="124"/>
      <c r="J238" s="60"/>
      <c r="K238" s="60"/>
      <c r="L238" s="60"/>
      <c r="M238" s="60"/>
      <c r="N238" s="60">
        <f t="shared" ref="N238:N243" si="74">M238*J238*K238*L238</f>
        <v>0</v>
      </c>
      <c r="O238" s="60">
        <f t="shared" ref="O238:O243" si="75">J238*K238*L238</f>
        <v>0</v>
      </c>
    </row>
    <row r="239" spans="1:15" s="38" customFormat="1" ht="10.7" hidden="1" customHeight="1" outlineLevel="1" x14ac:dyDescent="0.25">
      <c r="A239" s="124"/>
      <c r="B239" s="142"/>
      <c r="C239" s="115"/>
      <c r="D239" s="115"/>
      <c r="E239" s="115"/>
      <c r="F239" s="115"/>
      <c r="G239" s="60" t="s">
        <v>127</v>
      </c>
      <c r="H239" s="124"/>
      <c r="I239" s="124"/>
      <c r="J239" s="60"/>
      <c r="K239" s="60"/>
      <c r="L239" s="60"/>
      <c r="M239" s="60"/>
      <c r="N239" s="60">
        <f t="shared" si="74"/>
        <v>0</v>
      </c>
      <c r="O239" s="60">
        <f t="shared" si="75"/>
        <v>0</v>
      </c>
    </row>
    <row r="240" spans="1:15" s="38" customFormat="1" ht="10.7" hidden="1" customHeight="1" outlineLevel="1" x14ac:dyDescent="0.25">
      <c r="A240" s="124"/>
      <c r="B240" s="142"/>
      <c r="C240" s="115"/>
      <c r="D240" s="115"/>
      <c r="E240" s="115"/>
      <c r="F240" s="115"/>
      <c r="G240" s="60" t="s">
        <v>128</v>
      </c>
      <c r="H240" s="124"/>
      <c r="I240" s="124"/>
      <c r="J240" s="60"/>
      <c r="K240" s="60"/>
      <c r="L240" s="60"/>
      <c r="M240" s="60"/>
      <c r="N240" s="60">
        <f t="shared" si="74"/>
        <v>0</v>
      </c>
      <c r="O240" s="60">
        <f t="shared" si="75"/>
        <v>0</v>
      </c>
    </row>
    <row r="241" spans="1:15" s="38" customFormat="1" ht="10.7" hidden="1" customHeight="1" outlineLevel="1" x14ac:dyDescent="0.25">
      <c r="A241" s="124"/>
      <c r="B241" s="142"/>
      <c r="C241" s="115"/>
      <c r="D241" s="115"/>
      <c r="E241" s="115"/>
      <c r="F241" s="115"/>
      <c r="G241" s="60" t="s">
        <v>129</v>
      </c>
      <c r="H241" s="124"/>
      <c r="I241" s="124"/>
      <c r="J241" s="60"/>
      <c r="K241" s="60"/>
      <c r="L241" s="60"/>
      <c r="M241" s="60"/>
      <c r="N241" s="60">
        <f t="shared" si="74"/>
        <v>0</v>
      </c>
      <c r="O241" s="60">
        <f t="shared" si="75"/>
        <v>0</v>
      </c>
    </row>
    <row r="242" spans="1:15" s="38" customFormat="1" ht="10.7" hidden="1" customHeight="1" outlineLevel="1" x14ac:dyDescent="0.25">
      <c r="A242" s="124"/>
      <c r="B242" s="142"/>
      <c r="C242" s="115"/>
      <c r="D242" s="115"/>
      <c r="E242" s="115"/>
      <c r="F242" s="115"/>
      <c r="G242" s="60" t="s">
        <v>130</v>
      </c>
      <c r="H242" s="124"/>
      <c r="I242" s="124"/>
      <c r="J242" s="60"/>
      <c r="K242" s="60"/>
      <c r="L242" s="60"/>
      <c r="M242" s="60"/>
      <c r="N242" s="60">
        <f t="shared" si="74"/>
        <v>0</v>
      </c>
      <c r="O242" s="60">
        <f t="shared" si="75"/>
        <v>0</v>
      </c>
    </row>
    <row r="243" spans="1:15" s="38" customFormat="1" ht="12" hidden="1" customHeight="1" outlineLevel="1" thickBot="1" x14ac:dyDescent="0.3">
      <c r="A243" s="125"/>
      <c r="B243" s="143"/>
      <c r="C243" s="131"/>
      <c r="D243" s="131"/>
      <c r="E243" s="131"/>
      <c r="F243" s="131"/>
      <c r="G243" s="60" t="s">
        <v>131</v>
      </c>
      <c r="H243" s="134"/>
      <c r="I243" s="134"/>
      <c r="J243" s="60"/>
      <c r="K243" s="60"/>
      <c r="L243" s="60"/>
      <c r="M243" s="60"/>
      <c r="N243" s="60">
        <f t="shared" si="74"/>
        <v>0</v>
      </c>
      <c r="O243" s="60">
        <f t="shared" si="75"/>
        <v>0</v>
      </c>
    </row>
    <row r="244" spans="1:15" s="38" customFormat="1" ht="14.45" hidden="1" customHeight="1" outlineLevel="1" x14ac:dyDescent="0.25">
      <c r="A244" s="140" t="s">
        <v>428</v>
      </c>
      <c r="B244" s="141" t="s">
        <v>545</v>
      </c>
      <c r="C244" s="130">
        <f>SUM(N244:N250)</f>
        <v>0</v>
      </c>
      <c r="D244" s="130">
        <f>SUM(O244:O250)</f>
        <v>0</v>
      </c>
      <c r="E244" s="130">
        <f t="shared" si="71"/>
        <v>0</v>
      </c>
      <c r="F244" s="130"/>
      <c r="G244" s="60" t="s">
        <v>125</v>
      </c>
      <c r="H244" s="123"/>
      <c r="I244" s="123"/>
      <c r="J244" s="60"/>
      <c r="K244" s="60"/>
      <c r="L244" s="60"/>
      <c r="M244" s="60"/>
      <c r="N244" s="60">
        <f>M244*J244*K244*L244</f>
        <v>0</v>
      </c>
      <c r="O244" s="60">
        <f>J244*K244*L244</f>
        <v>0</v>
      </c>
    </row>
    <row r="245" spans="1:15" s="38" customFormat="1" ht="11.45" hidden="1" customHeight="1" outlineLevel="1" x14ac:dyDescent="0.25">
      <c r="A245" s="124"/>
      <c r="B245" s="142"/>
      <c r="C245" s="115"/>
      <c r="D245" s="115"/>
      <c r="E245" s="115"/>
      <c r="F245" s="115"/>
      <c r="G245" s="60" t="s">
        <v>126</v>
      </c>
      <c r="H245" s="124"/>
      <c r="I245" s="124"/>
      <c r="J245" s="60"/>
      <c r="K245" s="60"/>
      <c r="L245" s="60"/>
      <c r="M245" s="60"/>
      <c r="N245" s="60">
        <f t="shared" ref="N245:N250" si="76">M245*J245*K245*L245</f>
        <v>0</v>
      </c>
      <c r="O245" s="60">
        <f t="shared" ref="O245:O250" si="77">J245*K245*L245</f>
        <v>0</v>
      </c>
    </row>
    <row r="246" spans="1:15" s="38" customFormat="1" ht="10.7" hidden="1" customHeight="1" outlineLevel="1" x14ac:dyDescent="0.25">
      <c r="A246" s="124"/>
      <c r="B246" s="142"/>
      <c r="C246" s="115"/>
      <c r="D246" s="115"/>
      <c r="E246" s="115"/>
      <c r="F246" s="115"/>
      <c r="G246" s="60" t="s">
        <v>127</v>
      </c>
      <c r="H246" s="124"/>
      <c r="I246" s="124"/>
      <c r="J246" s="60"/>
      <c r="K246" s="60"/>
      <c r="L246" s="60"/>
      <c r="M246" s="60"/>
      <c r="N246" s="60">
        <f t="shared" si="76"/>
        <v>0</v>
      </c>
      <c r="O246" s="60">
        <f t="shared" si="77"/>
        <v>0</v>
      </c>
    </row>
    <row r="247" spans="1:15" s="38" customFormat="1" ht="10.7" hidden="1" customHeight="1" outlineLevel="1" x14ac:dyDescent="0.25">
      <c r="A247" s="124"/>
      <c r="B247" s="142"/>
      <c r="C247" s="115"/>
      <c r="D247" s="115"/>
      <c r="E247" s="115"/>
      <c r="F247" s="115"/>
      <c r="G247" s="60" t="s">
        <v>128</v>
      </c>
      <c r="H247" s="124"/>
      <c r="I247" s="124"/>
      <c r="J247" s="60"/>
      <c r="K247" s="60"/>
      <c r="L247" s="60"/>
      <c r="M247" s="60"/>
      <c r="N247" s="60">
        <f t="shared" si="76"/>
        <v>0</v>
      </c>
      <c r="O247" s="60">
        <f t="shared" si="77"/>
        <v>0</v>
      </c>
    </row>
    <row r="248" spans="1:15" s="38" customFormat="1" ht="10.7" hidden="1" customHeight="1" outlineLevel="1" x14ac:dyDescent="0.25">
      <c r="A248" s="124"/>
      <c r="B248" s="142"/>
      <c r="C248" s="115"/>
      <c r="D248" s="115"/>
      <c r="E248" s="115"/>
      <c r="F248" s="115"/>
      <c r="G248" s="60" t="s">
        <v>129</v>
      </c>
      <c r="H248" s="124"/>
      <c r="I248" s="124"/>
      <c r="J248" s="60"/>
      <c r="K248" s="60"/>
      <c r="L248" s="60"/>
      <c r="M248" s="60"/>
      <c r="N248" s="60">
        <f t="shared" si="76"/>
        <v>0</v>
      </c>
      <c r="O248" s="60">
        <f t="shared" si="77"/>
        <v>0</v>
      </c>
    </row>
    <row r="249" spans="1:15" s="38" customFormat="1" ht="10.7" hidden="1" customHeight="1" outlineLevel="1" x14ac:dyDescent="0.25">
      <c r="A249" s="124"/>
      <c r="B249" s="142"/>
      <c r="C249" s="115"/>
      <c r="D249" s="115"/>
      <c r="E249" s="115"/>
      <c r="F249" s="115"/>
      <c r="G249" s="60" t="s">
        <v>130</v>
      </c>
      <c r="H249" s="124"/>
      <c r="I249" s="124"/>
      <c r="J249" s="60"/>
      <c r="K249" s="60"/>
      <c r="L249" s="60"/>
      <c r="M249" s="60"/>
      <c r="N249" s="60">
        <f t="shared" si="76"/>
        <v>0</v>
      </c>
      <c r="O249" s="60">
        <f t="shared" si="77"/>
        <v>0</v>
      </c>
    </row>
    <row r="250" spans="1:15" s="38" customFormat="1" ht="12" hidden="1" customHeight="1" outlineLevel="1" thickBot="1" x14ac:dyDescent="0.3">
      <c r="A250" s="125"/>
      <c r="B250" s="143"/>
      <c r="C250" s="131"/>
      <c r="D250" s="131"/>
      <c r="E250" s="131"/>
      <c r="F250" s="131"/>
      <c r="G250" s="60" t="s">
        <v>131</v>
      </c>
      <c r="H250" s="134"/>
      <c r="I250" s="134"/>
      <c r="J250" s="60"/>
      <c r="K250" s="60"/>
      <c r="L250" s="60"/>
      <c r="M250" s="60"/>
      <c r="N250" s="60">
        <f t="shared" si="76"/>
        <v>0</v>
      </c>
      <c r="O250" s="60">
        <f t="shared" si="77"/>
        <v>0</v>
      </c>
    </row>
    <row r="251" spans="1:15" s="38" customFormat="1" ht="14.45" hidden="1" customHeight="1" outlineLevel="1" x14ac:dyDescent="0.25">
      <c r="A251" s="140" t="s">
        <v>430</v>
      </c>
      <c r="B251" s="141" t="s">
        <v>546</v>
      </c>
      <c r="C251" s="130">
        <f>SUM(N251:N257)</f>
        <v>0</v>
      </c>
      <c r="D251" s="130">
        <f>SUM(O251:O257)</f>
        <v>0</v>
      </c>
      <c r="E251" s="130">
        <f t="shared" si="71"/>
        <v>0</v>
      </c>
      <c r="F251" s="130"/>
      <c r="G251" s="60" t="s">
        <v>125</v>
      </c>
      <c r="H251" s="123"/>
      <c r="I251" s="123"/>
      <c r="J251" s="60"/>
      <c r="K251" s="60"/>
      <c r="L251" s="60"/>
      <c r="M251" s="60"/>
      <c r="N251" s="60">
        <f>M251*J251*K251*L251</f>
        <v>0</v>
      </c>
      <c r="O251" s="60">
        <f>J251*K251*L251</f>
        <v>0</v>
      </c>
    </row>
    <row r="252" spans="1:15" s="38" customFormat="1" ht="11.45" hidden="1" customHeight="1" outlineLevel="1" x14ac:dyDescent="0.25">
      <c r="A252" s="124"/>
      <c r="B252" s="142"/>
      <c r="C252" s="115"/>
      <c r="D252" s="115"/>
      <c r="E252" s="115"/>
      <c r="F252" s="115"/>
      <c r="G252" s="60" t="s">
        <v>126</v>
      </c>
      <c r="H252" s="124"/>
      <c r="I252" s="124"/>
      <c r="J252" s="60"/>
      <c r="K252" s="60"/>
      <c r="L252" s="60"/>
      <c r="M252" s="60"/>
      <c r="N252" s="60">
        <f t="shared" ref="N252:N257" si="78">M252*J252*K252*L252</f>
        <v>0</v>
      </c>
      <c r="O252" s="60">
        <f t="shared" ref="O252:O257" si="79">J252*K252*L252</f>
        <v>0</v>
      </c>
    </row>
    <row r="253" spans="1:15" s="38" customFormat="1" ht="10.7" hidden="1" customHeight="1" outlineLevel="1" x14ac:dyDescent="0.25">
      <c r="A253" s="124"/>
      <c r="B253" s="142"/>
      <c r="C253" s="115"/>
      <c r="D253" s="115"/>
      <c r="E253" s="115"/>
      <c r="F253" s="115"/>
      <c r="G253" s="60" t="s">
        <v>127</v>
      </c>
      <c r="H253" s="124"/>
      <c r="I253" s="124"/>
      <c r="J253" s="60"/>
      <c r="K253" s="60"/>
      <c r="L253" s="60"/>
      <c r="M253" s="60"/>
      <c r="N253" s="60">
        <f t="shared" si="78"/>
        <v>0</v>
      </c>
      <c r="O253" s="60">
        <f t="shared" si="79"/>
        <v>0</v>
      </c>
    </row>
    <row r="254" spans="1:15" s="38" customFormat="1" ht="10.7" hidden="1" customHeight="1" outlineLevel="1" x14ac:dyDescent="0.25">
      <c r="A254" s="124"/>
      <c r="B254" s="142"/>
      <c r="C254" s="115"/>
      <c r="D254" s="115"/>
      <c r="E254" s="115"/>
      <c r="F254" s="115"/>
      <c r="G254" s="60" t="s">
        <v>128</v>
      </c>
      <c r="H254" s="124"/>
      <c r="I254" s="124"/>
      <c r="J254" s="60"/>
      <c r="K254" s="60"/>
      <c r="L254" s="60"/>
      <c r="M254" s="60"/>
      <c r="N254" s="60">
        <f t="shared" si="78"/>
        <v>0</v>
      </c>
      <c r="O254" s="60">
        <f t="shared" si="79"/>
        <v>0</v>
      </c>
    </row>
    <row r="255" spans="1:15" s="38" customFormat="1" ht="10.7" hidden="1" customHeight="1" outlineLevel="1" x14ac:dyDescent="0.25">
      <c r="A255" s="124"/>
      <c r="B255" s="142"/>
      <c r="C255" s="115"/>
      <c r="D255" s="115"/>
      <c r="E255" s="115"/>
      <c r="F255" s="115"/>
      <c r="G255" s="60" t="s">
        <v>129</v>
      </c>
      <c r="H255" s="124"/>
      <c r="I255" s="124"/>
      <c r="J255" s="60"/>
      <c r="K255" s="60"/>
      <c r="L255" s="60"/>
      <c r="M255" s="60"/>
      <c r="N255" s="60">
        <f t="shared" si="78"/>
        <v>0</v>
      </c>
      <c r="O255" s="60">
        <f t="shared" si="79"/>
        <v>0</v>
      </c>
    </row>
    <row r="256" spans="1:15" s="38" customFormat="1" ht="10.7" hidden="1" customHeight="1" outlineLevel="1" x14ac:dyDescent="0.25">
      <c r="A256" s="124"/>
      <c r="B256" s="142"/>
      <c r="C256" s="115"/>
      <c r="D256" s="115"/>
      <c r="E256" s="115"/>
      <c r="F256" s="115"/>
      <c r="G256" s="60" t="s">
        <v>130</v>
      </c>
      <c r="H256" s="124"/>
      <c r="I256" s="124"/>
      <c r="J256" s="60"/>
      <c r="K256" s="60"/>
      <c r="L256" s="60"/>
      <c r="M256" s="60"/>
      <c r="N256" s="60">
        <f t="shared" si="78"/>
        <v>0</v>
      </c>
      <c r="O256" s="60">
        <f t="shared" si="79"/>
        <v>0</v>
      </c>
    </row>
    <row r="257" spans="1:15" s="38" customFormat="1" ht="12" hidden="1" customHeight="1" outlineLevel="1" thickBot="1" x14ac:dyDescent="0.3">
      <c r="A257" s="125"/>
      <c r="B257" s="143"/>
      <c r="C257" s="131"/>
      <c r="D257" s="131"/>
      <c r="E257" s="131"/>
      <c r="F257" s="131"/>
      <c r="G257" s="60" t="s">
        <v>131</v>
      </c>
      <c r="H257" s="134"/>
      <c r="I257" s="134"/>
      <c r="J257" s="60"/>
      <c r="K257" s="60"/>
      <c r="L257" s="60"/>
      <c r="M257" s="60"/>
      <c r="N257" s="60">
        <f t="shared" si="78"/>
        <v>0</v>
      </c>
      <c r="O257" s="60">
        <f t="shared" si="79"/>
        <v>0</v>
      </c>
    </row>
    <row r="258" spans="1:15" s="38" customFormat="1" ht="14.45" hidden="1" customHeight="1" outlineLevel="1" x14ac:dyDescent="0.25">
      <c r="A258" s="140" t="s">
        <v>432</v>
      </c>
      <c r="B258" s="141" t="s">
        <v>547</v>
      </c>
      <c r="C258" s="130">
        <f>SUM(N258:N264)</f>
        <v>0</v>
      </c>
      <c r="D258" s="130">
        <f>SUM(O258:O264)</f>
        <v>0</v>
      </c>
      <c r="E258" s="130">
        <f t="shared" si="71"/>
        <v>0</v>
      </c>
      <c r="F258" s="130"/>
      <c r="G258" s="60" t="s">
        <v>125</v>
      </c>
      <c r="H258" s="123"/>
      <c r="I258" s="123"/>
      <c r="J258" s="60"/>
      <c r="K258" s="60"/>
      <c r="L258" s="60"/>
      <c r="M258" s="60"/>
      <c r="N258" s="60">
        <f>M258*J258*K258*L258</f>
        <v>0</v>
      </c>
      <c r="O258" s="60">
        <f>J258*K258*L258</f>
        <v>0</v>
      </c>
    </row>
    <row r="259" spans="1:15" s="38" customFormat="1" ht="11.45" hidden="1" customHeight="1" outlineLevel="1" x14ac:dyDescent="0.25">
      <c r="A259" s="124"/>
      <c r="B259" s="142"/>
      <c r="C259" s="115"/>
      <c r="D259" s="115"/>
      <c r="E259" s="115"/>
      <c r="F259" s="115"/>
      <c r="G259" s="60" t="s">
        <v>126</v>
      </c>
      <c r="H259" s="124"/>
      <c r="I259" s="124"/>
      <c r="J259" s="60"/>
      <c r="K259" s="60"/>
      <c r="L259" s="60"/>
      <c r="M259" s="60"/>
      <c r="N259" s="60">
        <f t="shared" ref="N259:N264" si="80">M259*J259*K259*L259</f>
        <v>0</v>
      </c>
      <c r="O259" s="60">
        <f t="shared" ref="O259:O264" si="81">J259*K259*L259</f>
        <v>0</v>
      </c>
    </row>
    <row r="260" spans="1:15" s="38" customFormat="1" ht="10.7" hidden="1" customHeight="1" outlineLevel="1" x14ac:dyDescent="0.25">
      <c r="A260" s="124"/>
      <c r="B260" s="142"/>
      <c r="C260" s="115"/>
      <c r="D260" s="115"/>
      <c r="E260" s="115"/>
      <c r="F260" s="115"/>
      <c r="G260" s="60" t="s">
        <v>127</v>
      </c>
      <c r="H260" s="124"/>
      <c r="I260" s="124"/>
      <c r="J260" s="60"/>
      <c r="K260" s="60"/>
      <c r="L260" s="60"/>
      <c r="M260" s="60"/>
      <c r="N260" s="60">
        <f t="shared" si="80"/>
        <v>0</v>
      </c>
      <c r="O260" s="60">
        <f t="shared" si="81"/>
        <v>0</v>
      </c>
    </row>
    <row r="261" spans="1:15" s="38" customFormat="1" ht="10.7" hidden="1" customHeight="1" outlineLevel="1" x14ac:dyDescent="0.25">
      <c r="A261" s="124"/>
      <c r="B261" s="142"/>
      <c r="C261" s="115"/>
      <c r="D261" s="115"/>
      <c r="E261" s="115"/>
      <c r="F261" s="115"/>
      <c r="G261" s="60" t="s">
        <v>128</v>
      </c>
      <c r="H261" s="124"/>
      <c r="I261" s="124"/>
      <c r="J261" s="60"/>
      <c r="K261" s="60"/>
      <c r="L261" s="60"/>
      <c r="M261" s="60"/>
      <c r="N261" s="60">
        <f t="shared" si="80"/>
        <v>0</v>
      </c>
      <c r="O261" s="60">
        <f t="shared" si="81"/>
        <v>0</v>
      </c>
    </row>
    <row r="262" spans="1:15" s="38" customFormat="1" ht="10.7" hidden="1" customHeight="1" outlineLevel="1" x14ac:dyDescent="0.25">
      <c r="A262" s="124"/>
      <c r="B262" s="142"/>
      <c r="C262" s="115"/>
      <c r="D262" s="115"/>
      <c r="E262" s="115"/>
      <c r="F262" s="115"/>
      <c r="G262" s="60" t="s">
        <v>129</v>
      </c>
      <c r="H262" s="124"/>
      <c r="I262" s="124"/>
      <c r="J262" s="60"/>
      <c r="K262" s="60"/>
      <c r="L262" s="60"/>
      <c r="M262" s="60"/>
      <c r="N262" s="60">
        <f t="shared" si="80"/>
        <v>0</v>
      </c>
      <c r="O262" s="60">
        <f t="shared" si="81"/>
        <v>0</v>
      </c>
    </row>
    <row r="263" spans="1:15" s="38" customFormat="1" ht="10.7" hidden="1" customHeight="1" outlineLevel="1" x14ac:dyDescent="0.25">
      <c r="A263" s="124"/>
      <c r="B263" s="142"/>
      <c r="C263" s="115"/>
      <c r="D263" s="115"/>
      <c r="E263" s="115"/>
      <c r="F263" s="115"/>
      <c r="G263" s="60" t="s">
        <v>130</v>
      </c>
      <c r="H263" s="124"/>
      <c r="I263" s="124"/>
      <c r="J263" s="60"/>
      <c r="K263" s="60"/>
      <c r="L263" s="60"/>
      <c r="M263" s="60"/>
      <c r="N263" s="60">
        <f t="shared" si="80"/>
        <v>0</v>
      </c>
      <c r="O263" s="60">
        <f t="shared" si="81"/>
        <v>0</v>
      </c>
    </row>
    <row r="264" spans="1:15" s="38" customFormat="1" ht="12" hidden="1" customHeight="1" outlineLevel="1" thickBot="1" x14ac:dyDescent="0.3">
      <c r="A264" s="125"/>
      <c r="B264" s="143"/>
      <c r="C264" s="131"/>
      <c r="D264" s="131"/>
      <c r="E264" s="131"/>
      <c r="F264" s="131"/>
      <c r="G264" s="60" t="s">
        <v>131</v>
      </c>
      <c r="H264" s="134"/>
      <c r="I264" s="134"/>
      <c r="J264" s="60"/>
      <c r="K264" s="60"/>
      <c r="L264" s="60"/>
      <c r="M264" s="60"/>
      <c r="N264" s="60">
        <f t="shared" si="80"/>
        <v>0</v>
      </c>
      <c r="O264" s="60">
        <f t="shared" si="81"/>
        <v>0</v>
      </c>
    </row>
    <row r="265" spans="1:15" s="38" customFormat="1" ht="14.45" hidden="1" customHeight="1" outlineLevel="1" x14ac:dyDescent="0.25">
      <c r="A265" s="140" t="s">
        <v>548</v>
      </c>
      <c r="B265" s="141" t="s">
        <v>549</v>
      </c>
      <c r="C265" s="130">
        <f>SUM(N265:N271)</f>
        <v>0</v>
      </c>
      <c r="D265" s="130">
        <f>SUM(O265:O271)</f>
        <v>0</v>
      </c>
      <c r="E265" s="130">
        <f t="shared" si="71"/>
        <v>0</v>
      </c>
      <c r="F265" s="130"/>
      <c r="G265" s="60" t="s">
        <v>125</v>
      </c>
      <c r="H265" s="123"/>
      <c r="I265" s="123"/>
      <c r="J265" s="60"/>
      <c r="K265" s="60"/>
      <c r="L265" s="60"/>
      <c r="M265" s="60"/>
      <c r="N265" s="60">
        <f>M265*J265*K265*L265</f>
        <v>0</v>
      </c>
      <c r="O265" s="60">
        <f>J265*K265*L265</f>
        <v>0</v>
      </c>
    </row>
    <row r="266" spans="1:15" s="38" customFormat="1" ht="11.45" hidden="1" customHeight="1" outlineLevel="1" x14ac:dyDescent="0.25">
      <c r="A266" s="124"/>
      <c r="B266" s="142"/>
      <c r="C266" s="115"/>
      <c r="D266" s="115"/>
      <c r="E266" s="115"/>
      <c r="F266" s="115"/>
      <c r="G266" s="60" t="s">
        <v>126</v>
      </c>
      <c r="H266" s="124"/>
      <c r="I266" s="124"/>
      <c r="J266" s="60"/>
      <c r="K266" s="60"/>
      <c r="L266" s="60"/>
      <c r="M266" s="60"/>
      <c r="N266" s="60">
        <f t="shared" ref="N266:N271" si="82">M266*J266*K266*L266</f>
        <v>0</v>
      </c>
      <c r="O266" s="60">
        <f t="shared" ref="O266:O271" si="83">J266*K266*L266</f>
        <v>0</v>
      </c>
    </row>
    <row r="267" spans="1:15" s="38" customFormat="1" ht="10.7" hidden="1" customHeight="1" outlineLevel="1" x14ac:dyDescent="0.25">
      <c r="A267" s="124"/>
      <c r="B267" s="142"/>
      <c r="C267" s="115"/>
      <c r="D267" s="115"/>
      <c r="E267" s="115"/>
      <c r="F267" s="115"/>
      <c r="G267" s="60" t="s">
        <v>127</v>
      </c>
      <c r="H267" s="124"/>
      <c r="I267" s="124"/>
      <c r="J267" s="60"/>
      <c r="K267" s="60"/>
      <c r="L267" s="60"/>
      <c r="M267" s="60"/>
      <c r="N267" s="60">
        <f t="shared" si="82"/>
        <v>0</v>
      </c>
      <c r="O267" s="60">
        <f t="shared" si="83"/>
        <v>0</v>
      </c>
    </row>
    <row r="268" spans="1:15" s="38" customFormat="1" ht="10.7" hidden="1" customHeight="1" outlineLevel="1" x14ac:dyDescent="0.25">
      <c r="A268" s="124"/>
      <c r="B268" s="142"/>
      <c r="C268" s="115"/>
      <c r="D268" s="115"/>
      <c r="E268" s="115"/>
      <c r="F268" s="115"/>
      <c r="G268" s="60" t="s">
        <v>128</v>
      </c>
      <c r="H268" s="124"/>
      <c r="I268" s="124"/>
      <c r="J268" s="60"/>
      <c r="K268" s="60"/>
      <c r="L268" s="60"/>
      <c r="M268" s="60"/>
      <c r="N268" s="60">
        <f t="shared" si="82"/>
        <v>0</v>
      </c>
      <c r="O268" s="60">
        <f t="shared" si="83"/>
        <v>0</v>
      </c>
    </row>
    <row r="269" spans="1:15" s="38" customFormat="1" ht="10.7" hidden="1" customHeight="1" outlineLevel="1" x14ac:dyDescent="0.25">
      <c r="A269" s="124"/>
      <c r="B269" s="142"/>
      <c r="C269" s="115"/>
      <c r="D269" s="115"/>
      <c r="E269" s="115"/>
      <c r="F269" s="115"/>
      <c r="G269" s="60" t="s">
        <v>129</v>
      </c>
      <c r="H269" s="124"/>
      <c r="I269" s="124"/>
      <c r="J269" s="60"/>
      <c r="K269" s="60"/>
      <c r="L269" s="60"/>
      <c r="M269" s="60"/>
      <c r="N269" s="60">
        <f t="shared" si="82"/>
        <v>0</v>
      </c>
      <c r="O269" s="60">
        <f t="shared" si="83"/>
        <v>0</v>
      </c>
    </row>
    <row r="270" spans="1:15" s="38" customFormat="1" ht="10.7" hidden="1" customHeight="1" outlineLevel="1" x14ac:dyDescent="0.25">
      <c r="A270" s="124"/>
      <c r="B270" s="142"/>
      <c r="C270" s="115"/>
      <c r="D270" s="115"/>
      <c r="E270" s="115"/>
      <c r="F270" s="115"/>
      <c r="G270" s="60" t="s">
        <v>130</v>
      </c>
      <c r="H270" s="124"/>
      <c r="I270" s="124"/>
      <c r="J270" s="60"/>
      <c r="K270" s="60"/>
      <c r="L270" s="60"/>
      <c r="M270" s="60"/>
      <c r="N270" s="60">
        <f t="shared" si="82"/>
        <v>0</v>
      </c>
      <c r="O270" s="60">
        <f t="shared" si="83"/>
        <v>0</v>
      </c>
    </row>
    <row r="271" spans="1:15" s="38" customFormat="1" ht="12" hidden="1" customHeight="1" outlineLevel="1" thickBot="1" x14ac:dyDescent="0.3">
      <c r="A271" s="125"/>
      <c r="B271" s="143"/>
      <c r="C271" s="131"/>
      <c r="D271" s="131"/>
      <c r="E271" s="131"/>
      <c r="F271" s="131"/>
      <c r="G271" s="60" t="s">
        <v>131</v>
      </c>
      <c r="H271" s="134"/>
      <c r="I271" s="134"/>
      <c r="J271" s="60"/>
      <c r="K271" s="60"/>
      <c r="L271" s="60"/>
      <c r="M271" s="60"/>
      <c r="N271" s="60">
        <f t="shared" si="82"/>
        <v>0</v>
      </c>
      <c r="O271" s="60">
        <f t="shared" si="83"/>
        <v>0</v>
      </c>
    </row>
    <row r="272" spans="1:15" s="39" customFormat="1" ht="16.5" collapsed="1" thickBot="1" x14ac:dyDescent="0.3">
      <c r="A272" s="40" t="s">
        <v>26</v>
      </c>
      <c r="B272" s="41" t="s">
        <v>262</v>
      </c>
      <c r="C272" s="42">
        <f>SUM(C273:C745)</f>
        <v>0</v>
      </c>
      <c r="D272" s="42">
        <f>SUM(D273:D745)</f>
        <v>0</v>
      </c>
      <c r="E272" s="42">
        <f>SUM(E273:E745)</f>
        <v>0</v>
      </c>
      <c r="F272" s="42"/>
      <c r="G272" s="42"/>
      <c r="H272" s="42"/>
      <c r="I272" s="42"/>
      <c r="J272" s="42"/>
      <c r="K272" s="42"/>
      <c r="L272" s="42"/>
      <c r="M272" s="42"/>
      <c r="N272" s="42"/>
      <c r="O272" s="42">
        <f>SUM(O273:O745)</f>
        <v>0</v>
      </c>
    </row>
    <row r="273" spans="1:15" s="38" customFormat="1" ht="14.45" hidden="1" customHeight="1" outlineLevel="1" x14ac:dyDescent="0.25">
      <c r="A273" s="140" t="s">
        <v>165</v>
      </c>
      <c r="B273" s="141" t="s">
        <v>382</v>
      </c>
      <c r="C273" s="130">
        <f>SUM(N273:N279)</f>
        <v>0</v>
      </c>
      <c r="D273" s="130">
        <f>SUM(O273:O279)</f>
        <v>0</v>
      </c>
      <c r="E273" s="130">
        <f t="shared" ref="E273:E336" si="84">D273/8</f>
        <v>0</v>
      </c>
      <c r="F273" s="130"/>
      <c r="G273" s="60" t="s">
        <v>125</v>
      </c>
      <c r="H273" s="123"/>
      <c r="I273" s="123"/>
      <c r="J273" s="60"/>
      <c r="K273" s="60"/>
      <c r="L273" s="60"/>
      <c r="M273" s="60"/>
      <c r="N273" s="60">
        <f>M273*J273*K273*L273</f>
        <v>0</v>
      </c>
      <c r="O273" s="60">
        <f>J273*K273*L273</f>
        <v>0</v>
      </c>
    </row>
    <row r="274" spans="1:15" s="38" customFormat="1" ht="11.45" hidden="1" customHeight="1" outlineLevel="1" x14ac:dyDescent="0.25">
      <c r="A274" s="124"/>
      <c r="B274" s="142"/>
      <c r="C274" s="115"/>
      <c r="D274" s="115"/>
      <c r="E274" s="115"/>
      <c r="F274" s="115"/>
      <c r="G274" s="60" t="s">
        <v>126</v>
      </c>
      <c r="H274" s="124"/>
      <c r="I274" s="124"/>
      <c r="J274" s="60"/>
      <c r="K274" s="60"/>
      <c r="L274" s="60"/>
      <c r="M274" s="60"/>
      <c r="N274" s="60">
        <f t="shared" ref="N274:N279" si="85">M274*J274*K274*L274</f>
        <v>0</v>
      </c>
      <c r="O274" s="60">
        <f t="shared" ref="O274:O279" si="86">J274*K274*L274</f>
        <v>0</v>
      </c>
    </row>
    <row r="275" spans="1:15" s="38" customFormat="1" ht="10.7" hidden="1" customHeight="1" outlineLevel="1" x14ac:dyDescent="0.25">
      <c r="A275" s="124"/>
      <c r="B275" s="142"/>
      <c r="C275" s="115"/>
      <c r="D275" s="115"/>
      <c r="E275" s="115"/>
      <c r="F275" s="115"/>
      <c r="G275" s="60" t="s">
        <v>127</v>
      </c>
      <c r="H275" s="124"/>
      <c r="I275" s="124"/>
      <c r="J275" s="60"/>
      <c r="K275" s="60"/>
      <c r="L275" s="60"/>
      <c r="M275" s="60"/>
      <c r="N275" s="60">
        <f t="shared" si="85"/>
        <v>0</v>
      </c>
      <c r="O275" s="60">
        <f t="shared" si="86"/>
        <v>0</v>
      </c>
    </row>
    <row r="276" spans="1:15" s="38" customFormat="1" ht="10.7" hidden="1" customHeight="1" outlineLevel="1" x14ac:dyDescent="0.25">
      <c r="A276" s="124"/>
      <c r="B276" s="142"/>
      <c r="C276" s="115"/>
      <c r="D276" s="115"/>
      <c r="E276" s="115"/>
      <c r="F276" s="115"/>
      <c r="G276" s="60" t="s">
        <v>128</v>
      </c>
      <c r="H276" s="124"/>
      <c r="I276" s="124"/>
      <c r="J276" s="60"/>
      <c r="K276" s="60"/>
      <c r="L276" s="60"/>
      <c r="M276" s="60"/>
      <c r="N276" s="60">
        <f t="shared" si="85"/>
        <v>0</v>
      </c>
      <c r="O276" s="60">
        <f t="shared" si="86"/>
        <v>0</v>
      </c>
    </row>
    <row r="277" spans="1:15" s="38" customFormat="1" ht="10.7" hidden="1" customHeight="1" outlineLevel="1" x14ac:dyDescent="0.25">
      <c r="A277" s="124"/>
      <c r="B277" s="142"/>
      <c r="C277" s="115"/>
      <c r="D277" s="115"/>
      <c r="E277" s="115"/>
      <c r="F277" s="115"/>
      <c r="G277" s="60" t="s">
        <v>129</v>
      </c>
      <c r="H277" s="124"/>
      <c r="I277" s="124"/>
      <c r="J277" s="60"/>
      <c r="K277" s="60"/>
      <c r="L277" s="60"/>
      <c r="M277" s="60"/>
      <c r="N277" s="60">
        <f t="shared" si="85"/>
        <v>0</v>
      </c>
      <c r="O277" s="60">
        <f t="shared" si="86"/>
        <v>0</v>
      </c>
    </row>
    <row r="278" spans="1:15" s="38" customFormat="1" ht="10.7" hidden="1" customHeight="1" outlineLevel="1" x14ac:dyDescent="0.25">
      <c r="A278" s="124"/>
      <c r="B278" s="142"/>
      <c r="C278" s="115"/>
      <c r="D278" s="115"/>
      <c r="E278" s="115"/>
      <c r="F278" s="115"/>
      <c r="G278" s="60" t="s">
        <v>130</v>
      </c>
      <c r="H278" s="124"/>
      <c r="I278" s="124"/>
      <c r="J278" s="60"/>
      <c r="K278" s="60"/>
      <c r="L278" s="60"/>
      <c r="M278" s="60"/>
      <c r="N278" s="60">
        <f t="shared" si="85"/>
        <v>0</v>
      </c>
      <c r="O278" s="60">
        <f t="shared" si="86"/>
        <v>0</v>
      </c>
    </row>
    <row r="279" spans="1:15" s="38" customFormat="1" ht="12" hidden="1" customHeight="1" outlineLevel="1" thickBot="1" x14ac:dyDescent="0.3">
      <c r="A279" s="125"/>
      <c r="B279" s="143"/>
      <c r="C279" s="131"/>
      <c r="D279" s="131"/>
      <c r="E279" s="131"/>
      <c r="F279" s="131"/>
      <c r="G279" s="60" t="s">
        <v>131</v>
      </c>
      <c r="H279" s="134"/>
      <c r="I279" s="134"/>
      <c r="J279" s="60"/>
      <c r="K279" s="60"/>
      <c r="L279" s="60"/>
      <c r="M279" s="60"/>
      <c r="N279" s="60">
        <f t="shared" si="85"/>
        <v>0</v>
      </c>
      <c r="O279" s="60">
        <f t="shared" si="86"/>
        <v>0</v>
      </c>
    </row>
    <row r="280" spans="1:15" s="38" customFormat="1" ht="14.45" hidden="1" customHeight="1" outlineLevel="1" x14ac:dyDescent="0.25">
      <c r="A280" s="140" t="s">
        <v>167</v>
      </c>
      <c r="B280" s="141" t="s">
        <v>434</v>
      </c>
      <c r="C280" s="130">
        <f>SUM(N280:N286)</f>
        <v>0</v>
      </c>
      <c r="D280" s="130">
        <f>SUM(O280:O286)</f>
        <v>0</v>
      </c>
      <c r="E280" s="130">
        <f t="shared" si="84"/>
        <v>0</v>
      </c>
      <c r="F280" s="130"/>
      <c r="G280" s="60" t="s">
        <v>125</v>
      </c>
      <c r="H280" s="123"/>
      <c r="I280" s="123"/>
      <c r="J280" s="60"/>
      <c r="K280" s="60"/>
      <c r="L280" s="60"/>
      <c r="M280" s="60"/>
      <c r="N280" s="60">
        <f>M280*J280*K280*L280</f>
        <v>0</v>
      </c>
      <c r="O280" s="60">
        <f>J280*K280*L280</f>
        <v>0</v>
      </c>
    </row>
    <row r="281" spans="1:15" s="38" customFormat="1" ht="11.45" hidden="1" customHeight="1" outlineLevel="1" x14ac:dyDescent="0.25">
      <c r="A281" s="124"/>
      <c r="B281" s="142"/>
      <c r="C281" s="115"/>
      <c r="D281" s="115"/>
      <c r="E281" s="115"/>
      <c r="F281" s="115"/>
      <c r="G281" s="60" t="s">
        <v>126</v>
      </c>
      <c r="H281" s="124"/>
      <c r="I281" s="124"/>
      <c r="J281" s="60"/>
      <c r="K281" s="60"/>
      <c r="L281" s="60"/>
      <c r="M281" s="60"/>
      <c r="N281" s="60">
        <f t="shared" ref="N281:N286" si="87">M281*J281*K281*L281</f>
        <v>0</v>
      </c>
      <c r="O281" s="60">
        <f t="shared" ref="O281:O286" si="88">J281*K281*L281</f>
        <v>0</v>
      </c>
    </row>
    <row r="282" spans="1:15" s="38" customFormat="1" ht="10.7" hidden="1" customHeight="1" outlineLevel="1" x14ac:dyDescent="0.25">
      <c r="A282" s="124"/>
      <c r="B282" s="142"/>
      <c r="C282" s="115"/>
      <c r="D282" s="115"/>
      <c r="E282" s="115"/>
      <c r="F282" s="115"/>
      <c r="G282" s="60" t="s">
        <v>127</v>
      </c>
      <c r="H282" s="124"/>
      <c r="I282" s="124"/>
      <c r="J282" s="60"/>
      <c r="K282" s="60"/>
      <c r="L282" s="60"/>
      <c r="M282" s="60"/>
      <c r="N282" s="60">
        <f t="shared" si="87"/>
        <v>0</v>
      </c>
      <c r="O282" s="60">
        <f t="shared" si="88"/>
        <v>0</v>
      </c>
    </row>
    <row r="283" spans="1:15" s="38" customFormat="1" ht="10.7" hidden="1" customHeight="1" outlineLevel="1" x14ac:dyDescent="0.25">
      <c r="A283" s="124"/>
      <c r="B283" s="142"/>
      <c r="C283" s="115"/>
      <c r="D283" s="115"/>
      <c r="E283" s="115"/>
      <c r="F283" s="115"/>
      <c r="G283" s="60" t="s">
        <v>128</v>
      </c>
      <c r="H283" s="124"/>
      <c r="I283" s="124"/>
      <c r="J283" s="60"/>
      <c r="K283" s="60"/>
      <c r="L283" s="60"/>
      <c r="M283" s="60"/>
      <c r="N283" s="60">
        <f t="shared" si="87"/>
        <v>0</v>
      </c>
      <c r="O283" s="60">
        <f t="shared" si="88"/>
        <v>0</v>
      </c>
    </row>
    <row r="284" spans="1:15" s="38" customFormat="1" ht="10.7" hidden="1" customHeight="1" outlineLevel="1" x14ac:dyDescent="0.25">
      <c r="A284" s="124"/>
      <c r="B284" s="142"/>
      <c r="C284" s="115"/>
      <c r="D284" s="115"/>
      <c r="E284" s="115"/>
      <c r="F284" s="115"/>
      <c r="G284" s="60" t="s">
        <v>129</v>
      </c>
      <c r="H284" s="124"/>
      <c r="I284" s="124"/>
      <c r="J284" s="60"/>
      <c r="K284" s="60"/>
      <c r="L284" s="60"/>
      <c r="M284" s="60"/>
      <c r="N284" s="60">
        <f t="shared" si="87"/>
        <v>0</v>
      </c>
      <c r="O284" s="60">
        <f t="shared" si="88"/>
        <v>0</v>
      </c>
    </row>
    <row r="285" spans="1:15" s="38" customFormat="1" ht="10.7" hidden="1" customHeight="1" outlineLevel="1" x14ac:dyDescent="0.25">
      <c r="A285" s="124"/>
      <c r="B285" s="142"/>
      <c r="C285" s="115"/>
      <c r="D285" s="115"/>
      <c r="E285" s="115"/>
      <c r="F285" s="115"/>
      <c r="G285" s="60" t="s">
        <v>130</v>
      </c>
      <c r="H285" s="124"/>
      <c r="I285" s="124"/>
      <c r="J285" s="60"/>
      <c r="K285" s="60"/>
      <c r="L285" s="60"/>
      <c r="M285" s="60"/>
      <c r="N285" s="60">
        <f t="shared" si="87"/>
        <v>0</v>
      </c>
      <c r="O285" s="60">
        <f t="shared" si="88"/>
        <v>0</v>
      </c>
    </row>
    <row r="286" spans="1:15" s="38" customFormat="1" ht="12" hidden="1" customHeight="1" outlineLevel="1" thickBot="1" x14ac:dyDescent="0.3">
      <c r="A286" s="125"/>
      <c r="B286" s="143"/>
      <c r="C286" s="131"/>
      <c r="D286" s="131"/>
      <c r="E286" s="131"/>
      <c r="F286" s="131"/>
      <c r="G286" s="60" t="s">
        <v>131</v>
      </c>
      <c r="H286" s="134"/>
      <c r="I286" s="134"/>
      <c r="J286" s="60"/>
      <c r="K286" s="60"/>
      <c r="L286" s="60"/>
      <c r="M286" s="60"/>
      <c r="N286" s="60">
        <f t="shared" si="87"/>
        <v>0</v>
      </c>
      <c r="O286" s="60">
        <f t="shared" si="88"/>
        <v>0</v>
      </c>
    </row>
    <row r="287" spans="1:15" s="38" customFormat="1" ht="14.45" hidden="1" customHeight="1" outlineLevel="1" x14ac:dyDescent="0.25">
      <c r="A287" s="140" t="s">
        <v>169</v>
      </c>
      <c r="B287" s="141" t="s">
        <v>435</v>
      </c>
      <c r="C287" s="130">
        <f>SUM(N287:N293)</f>
        <v>0</v>
      </c>
      <c r="D287" s="130">
        <f>SUM(O287:O293)</f>
        <v>0</v>
      </c>
      <c r="E287" s="130">
        <f t="shared" si="84"/>
        <v>0</v>
      </c>
      <c r="F287" s="130"/>
      <c r="G287" s="60" t="s">
        <v>125</v>
      </c>
      <c r="H287" s="123"/>
      <c r="I287" s="123"/>
      <c r="J287" s="60"/>
      <c r="K287" s="60"/>
      <c r="L287" s="60"/>
      <c r="M287" s="60"/>
      <c r="N287" s="60">
        <f>M287*J287*K287*L287</f>
        <v>0</v>
      </c>
      <c r="O287" s="60">
        <f>J287*K287*L287</f>
        <v>0</v>
      </c>
    </row>
    <row r="288" spans="1:15" s="38" customFormat="1" ht="11.45" hidden="1" customHeight="1" outlineLevel="1" x14ac:dyDescent="0.25">
      <c r="A288" s="124"/>
      <c r="B288" s="142"/>
      <c r="C288" s="115"/>
      <c r="D288" s="115"/>
      <c r="E288" s="115"/>
      <c r="F288" s="115"/>
      <c r="G288" s="60" t="s">
        <v>126</v>
      </c>
      <c r="H288" s="124"/>
      <c r="I288" s="124"/>
      <c r="J288" s="60"/>
      <c r="K288" s="60"/>
      <c r="L288" s="60"/>
      <c r="M288" s="60"/>
      <c r="N288" s="60">
        <f t="shared" ref="N288:N293" si="89">M288*J288*K288*L288</f>
        <v>0</v>
      </c>
      <c r="O288" s="60">
        <f t="shared" ref="O288:O293" si="90">J288*K288*L288</f>
        <v>0</v>
      </c>
    </row>
    <row r="289" spans="1:15" s="38" customFormat="1" ht="10.7" hidden="1" customHeight="1" outlineLevel="1" x14ac:dyDescent="0.25">
      <c r="A289" s="124"/>
      <c r="B289" s="142"/>
      <c r="C289" s="115"/>
      <c r="D289" s="115"/>
      <c r="E289" s="115"/>
      <c r="F289" s="115"/>
      <c r="G289" s="60" t="s">
        <v>127</v>
      </c>
      <c r="H289" s="124"/>
      <c r="I289" s="124"/>
      <c r="J289" s="60"/>
      <c r="K289" s="60"/>
      <c r="L289" s="60"/>
      <c r="M289" s="60"/>
      <c r="N289" s="60">
        <f t="shared" si="89"/>
        <v>0</v>
      </c>
      <c r="O289" s="60">
        <f t="shared" si="90"/>
        <v>0</v>
      </c>
    </row>
    <row r="290" spans="1:15" s="38" customFormat="1" ht="10.7" hidden="1" customHeight="1" outlineLevel="1" x14ac:dyDescent="0.25">
      <c r="A290" s="124"/>
      <c r="B290" s="142"/>
      <c r="C290" s="115"/>
      <c r="D290" s="115"/>
      <c r="E290" s="115"/>
      <c r="F290" s="115"/>
      <c r="G290" s="60" t="s">
        <v>128</v>
      </c>
      <c r="H290" s="124"/>
      <c r="I290" s="124"/>
      <c r="J290" s="60"/>
      <c r="K290" s="60"/>
      <c r="L290" s="60"/>
      <c r="M290" s="60"/>
      <c r="N290" s="60">
        <f t="shared" si="89"/>
        <v>0</v>
      </c>
      <c r="O290" s="60">
        <f t="shared" si="90"/>
        <v>0</v>
      </c>
    </row>
    <row r="291" spans="1:15" s="38" customFormat="1" ht="10.7" hidden="1" customHeight="1" outlineLevel="1" x14ac:dyDescent="0.25">
      <c r="A291" s="124"/>
      <c r="B291" s="142"/>
      <c r="C291" s="115"/>
      <c r="D291" s="115"/>
      <c r="E291" s="115"/>
      <c r="F291" s="115"/>
      <c r="G291" s="60" t="s">
        <v>129</v>
      </c>
      <c r="H291" s="124"/>
      <c r="I291" s="124"/>
      <c r="J291" s="60"/>
      <c r="K291" s="60"/>
      <c r="L291" s="60"/>
      <c r="M291" s="60"/>
      <c r="N291" s="60">
        <f t="shared" si="89"/>
        <v>0</v>
      </c>
      <c r="O291" s="60">
        <f t="shared" si="90"/>
        <v>0</v>
      </c>
    </row>
    <row r="292" spans="1:15" s="38" customFormat="1" ht="10.7" hidden="1" customHeight="1" outlineLevel="1" x14ac:dyDescent="0.25">
      <c r="A292" s="124"/>
      <c r="B292" s="142"/>
      <c r="C292" s="115"/>
      <c r="D292" s="115"/>
      <c r="E292" s="115"/>
      <c r="F292" s="115"/>
      <c r="G292" s="60" t="s">
        <v>130</v>
      </c>
      <c r="H292" s="124"/>
      <c r="I292" s="124"/>
      <c r="J292" s="60"/>
      <c r="K292" s="60"/>
      <c r="L292" s="60"/>
      <c r="M292" s="60"/>
      <c r="N292" s="60">
        <f t="shared" si="89"/>
        <v>0</v>
      </c>
      <c r="O292" s="60">
        <f t="shared" si="90"/>
        <v>0</v>
      </c>
    </row>
    <row r="293" spans="1:15" s="38" customFormat="1" ht="12" hidden="1" customHeight="1" outlineLevel="1" thickBot="1" x14ac:dyDescent="0.3">
      <c r="A293" s="125"/>
      <c r="B293" s="143"/>
      <c r="C293" s="131"/>
      <c r="D293" s="131"/>
      <c r="E293" s="131"/>
      <c r="F293" s="131"/>
      <c r="G293" s="60" t="s">
        <v>131</v>
      </c>
      <c r="H293" s="134"/>
      <c r="I293" s="134"/>
      <c r="J293" s="60"/>
      <c r="K293" s="60"/>
      <c r="L293" s="60"/>
      <c r="M293" s="60"/>
      <c r="N293" s="60">
        <f t="shared" si="89"/>
        <v>0</v>
      </c>
      <c r="O293" s="60">
        <f t="shared" si="90"/>
        <v>0</v>
      </c>
    </row>
    <row r="294" spans="1:15" s="38" customFormat="1" ht="14.45" hidden="1" customHeight="1" outlineLevel="1" x14ac:dyDescent="0.25">
      <c r="A294" s="140" t="s">
        <v>436</v>
      </c>
      <c r="B294" s="141" t="s">
        <v>437</v>
      </c>
      <c r="C294" s="130">
        <f>SUM(N294:N300)</f>
        <v>0</v>
      </c>
      <c r="D294" s="130">
        <f>SUM(O294:O300)</f>
        <v>0</v>
      </c>
      <c r="E294" s="130">
        <f t="shared" si="84"/>
        <v>0</v>
      </c>
      <c r="F294" s="130"/>
      <c r="G294" s="60" t="s">
        <v>125</v>
      </c>
      <c r="H294" s="123"/>
      <c r="I294" s="123"/>
      <c r="J294" s="60"/>
      <c r="K294" s="60"/>
      <c r="L294" s="60"/>
      <c r="M294" s="60"/>
      <c r="N294" s="60">
        <f>M294*J294*K294*L294</f>
        <v>0</v>
      </c>
      <c r="O294" s="60">
        <f>J294*K294*L294</f>
        <v>0</v>
      </c>
    </row>
    <row r="295" spans="1:15" s="38" customFormat="1" ht="11.45" hidden="1" customHeight="1" outlineLevel="1" x14ac:dyDescent="0.25">
      <c r="A295" s="124"/>
      <c r="B295" s="142"/>
      <c r="C295" s="115"/>
      <c r="D295" s="115"/>
      <c r="E295" s="115"/>
      <c r="F295" s="115"/>
      <c r="G295" s="60" t="s">
        <v>126</v>
      </c>
      <c r="H295" s="124"/>
      <c r="I295" s="124"/>
      <c r="J295" s="60"/>
      <c r="K295" s="60"/>
      <c r="L295" s="60"/>
      <c r="M295" s="60"/>
      <c r="N295" s="60">
        <f t="shared" ref="N295:N300" si="91">M295*J295*K295*L295</f>
        <v>0</v>
      </c>
      <c r="O295" s="60">
        <f t="shared" ref="O295:O300" si="92">J295*K295*L295</f>
        <v>0</v>
      </c>
    </row>
    <row r="296" spans="1:15" s="38" customFormat="1" ht="10.7" hidden="1" customHeight="1" outlineLevel="1" x14ac:dyDescent="0.25">
      <c r="A296" s="124"/>
      <c r="B296" s="142"/>
      <c r="C296" s="115"/>
      <c r="D296" s="115"/>
      <c r="E296" s="115"/>
      <c r="F296" s="115"/>
      <c r="G296" s="60" t="s">
        <v>127</v>
      </c>
      <c r="H296" s="124"/>
      <c r="I296" s="124"/>
      <c r="J296" s="60"/>
      <c r="K296" s="60"/>
      <c r="L296" s="60"/>
      <c r="M296" s="60"/>
      <c r="N296" s="60">
        <f t="shared" si="91"/>
        <v>0</v>
      </c>
      <c r="O296" s="60">
        <f t="shared" si="92"/>
        <v>0</v>
      </c>
    </row>
    <row r="297" spans="1:15" s="38" customFormat="1" ht="10.7" hidden="1" customHeight="1" outlineLevel="1" x14ac:dyDescent="0.25">
      <c r="A297" s="124"/>
      <c r="B297" s="142"/>
      <c r="C297" s="115"/>
      <c r="D297" s="115"/>
      <c r="E297" s="115"/>
      <c r="F297" s="115"/>
      <c r="G297" s="60" t="s">
        <v>128</v>
      </c>
      <c r="H297" s="124"/>
      <c r="I297" s="124"/>
      <c r="J297" s="60"/>
      <c r="K297" s="60"/>
      <c r="L297" s="60"/>
      <c r="M297" s="60"/>
      <c r="N297" s="60">
        <f t="shared" si="91"/>
        <v>0</v>
      </c>
      <c r="O297" s="60">
        <f t="shared" si="92"/>
        <v>0</v>
      </c>
    </row>
    <row r="298" spans="1:15" s="38" customFormat="1" ht="10.7" hidden="1" customHeight="1" outlineLevel="1" x14ac:dyDescent="0.25">
      <c r="A298" s="124"/>
      <c r="B298" s="142"/>
      <c r="C298" s="115"/>
      <c r="D298" s="115"/>
      <c r="E298" s="115"/>
      <c r="F298" s="115"/>
      <c r="G298" s="60" t="s">
        <v>129</v>
      </c>
      <c r="H298" s="124"/>
      <c r="I298" s="124"/>
      <c r="J298" s="60"/>
      <c r="K298" s="60"/>
      <c r="L298" s="60"/>
      <c r="M298" s="60"/>
      <c r="N298" s="60">
        <f t="shared" si="91"/>
        <v>0</v>
      </c>
      <c r="O298" s="60">
        <f t="shared" si="92"/>
        <v>0</v>
      </c>
    </row>
    <row r="299" spans="1:15" s="38" customFormat="1" ht="10.7" hidden="1" customHeight="1" outlineLevel="1" x14ac:dyDescent="0.25">
      <c r="A299" s="124"/>
      <c r="B299" s="142"/>
      <c r="C299" s="115"/>
      <c r="D299" s="115"/>
      <c r="E299" s="115"/>
      <c r="F299" s="115"/>
      <c r="G299" s="60" t="s">
        <v>130</v>
      </c>
      <c r="H299" s="124"/>
      <c r="I299" s="124"/>
      <c r="J299" s="60"/>
      <c r="K299" s="60"/>
      <c r="L299" s="60"/>
      <c r="M299" s="60"/>
      <c r="N299" s="60">
        <f t="shared" si="91"/>
        <v>0</v>
      </c>
      <c r="O299" s="60">
        <f t="shared" si="92"/>
        <v>0</v>
      </c>
    </row>
    <row r="300" spans="1:15" s="38" customFormat="1" ht="12" hidden="1" customHeight="1" outlineLevel="1" thickBot="1" x14ac:dyDescent="0.3">
      <c r="A300" s="125"/>
      <c r="B300" s="143"/>
      <c r="C300" s="131"/>
      <c r="D300" s="131"/>
      <c r="E300" s="131"/>
      <c r="F300" s="131"/>
      <c r="G300" s="60" t="s">
        <v>131</v>
      </c>
      <c r="H300" s="134"/>
      <c r="I300" s="134"/>
      <c r="J300" s="60"/>
      <c r="K300" s="60"/>
      <c r="L300" s="60"/>
      <c r="M300" s="60"/>
      <c r="N300" s="60">
        <f t="shared" si="91"/>
        <v>0</v>
      </c>
      <c r="O300" s="60">
        <f t="shared" si="92"/>
        <v>0</v>
      </c>
    </row>
    <row r="301" spans="1:15" s="38" customFormat="1" ht="14.45" hidden="1" customHeight="1" outlineLevel="1" x14ac:dyDescent="0.25">
      <c r="A301" s="140" t="s">
        <v>438</v>
      </c>
      <c r="B301" s="141" t="s">
        <v>439</v>
      </c>
      <c r="C301" s="130">
        <f>SUM(N301:N307)</f>
        <v>0</v>
      </c>
      <c r="D301" s="130">
        <f>SUM(O301:O307)</f>
        <v>0</v>
      </c>
      <c r="E301" s="130">
        <f t="shared" si="84"/>
        <v>0</v>
      </c>
      <c r="F301" s="130"/>
      <c r="G301" s="60" t="s">
        <v>125</v>
      </c>
      <c r="H301" s="123"/>
      <c r="I301" s="123"/>
      <c r="J301" s="60"/>
      <c r="K301" s="60"/>
      <c r="L301" s="60"/>
      <c r="M301" s="60"/>
      <c r="N301" s="60">
        <f>M301*J301*K301*L301</f>
        <v>0</v>
      </c>
      <c r="O301" s="60">
        <f>J301*K301*L301</f>
        <v>0</v>
      </c>
    </row>
    <row r="302" spans="1:15" s="38" customFormat="1" ht="11.45" hidden="1" customHeight="1" outlineLevel="1" x14ac:dyDescent="0.25">
      <c r="A302" s="124"/>
      <c r="B302" s="142"/>
      <c r="C302" s="115"/>
      <c r="D302" s="115"/>
      <c r="E302" s="115"/>
      <c r="F302" s="115"/>
      <c r="G302" s="60" t="s">
        <v>126</v>
      </c>
      <c r="H302" s="124"/>
      <c r="I302" s="124"/>
      <c r="J302" s="60"/>
      <c r="K302" s="60"/>
      <c r="L302" s="60"/>
      <c r="M302" s="60"/>
      <c r="N302" s="60">
        <f t="shared" ref="N302:N307" si="93">M302*J302*K302*L302</f>
        <v>0</v>
      </c>
      <c r="O302" s="60">
        <f t="shared" ref="O302:O307" si="94">J302*K302*L302</f>
        <v>0</v>
      </c>
    </row>
    <row r="303" spans="1:15" s="38" customFormat="1" ht="10.7" hidden="1" customHeight="1" outlineLevel="1" x14ac:dyDescent="0.25">
      <c r="A303" s="124"/>
      <c r="B303" s="142"/>
      <c r="C303" s="115"/>
      <c r="D303" s="115"/>
      <c r="E303" s="115"/>
      <c r="F303" s="115"/>
      <c r="G303" s="60" t="s">
        <v>127</v>
      </c>
      <c r="H303" s="124"/>
      <c r="I303" s="124"/>
      <c r="J303" s="60"/>
      <c r="K303" s="60"/>
      <c r="L303" s="60"/>
      <c r="M303" s="60"/>
      <c r="N303" s="60">
        <f t="shared" si="93"/>
        <v>0</v>
      </c>
      <c r="O303" s="60">
        <f t="shared" si="94"/>
        <v>0</v>
      </c>
    </row>
    <row r="304" spans="1:15" s="38" customFormat="1" ht="10.7" hidden="1" customHeight="1" outlineLevel="1" x14ac:dyDescent="0.25">
      <c r="A304" s="124"/>
      <c r="B304" s="142"/>
      <c r="C304" s="115"/>
      <c r="D304" s="115"/>
      <c r="E304" s="115"/>
      <c r="F304" s="115"/>
      <c r="G304" s="60" t="s">
        <v>128</v>
      </c>
      <c r="H304" s="124"/>
      <c r="I304" s="124"/>
      <c r="J304" s="60"/>
      <c r="K304" s="60"/>
      <c r="L304" s="60"/>
      <c r="M304" s="60"/>
      <c r="N304" s="60">
        <f t="shared" si="93"/>
        <v>0</v>
      </c>
      <c r="O304" s="60">
        <f t="shared" si="94"/>
        <v>0</v>
      </c>
    </row>
    <row r="305" spans="1:15" s="38" customFormat="1" ht="10.7" hidden="1" customHeight="1" outlineLevel="1" x14ac:dyDescent="0.25">
      <c r="A305" s="124"/>
      <c r="B305" s="142"/>
      <c r="C305" s="115"/>
      <c r="D305" s="115"/>
      <c r="E305" s="115"/>
      <c r="F305" s="115"/>
      <c r="G305" s="60" t="s">
        <v>129</v>
      </c>
      <c r="H305" s="124"/>
      <c r="I305" s="124"/>
      <c r="J305" s="60"/>
      <c r="K305" s="60"/>
      <c r="L305" s="60"/>
      <c r="M305" s="60"/>
      <c r="N305" s="60">
        <f t="shared" si="93"/>
        <v>0</v>
      </c>
      <c r="O305" s="60">
        <f t="shared" si="94"/>
        <v>0</v>
      </c>
    </row>
    <row r="306" spans="1:15" s="38" customFormat="1" ht="10.7" hidden="1" customHeight="1" outlineLevel="1" x14ac:dyDescent="0.25">
      <c r="A306" s="124"/>
      <c r="B306" s="142"/>
      <c r="C306" s="115"/>
      <c r="D306" s="115"/>
      <c r="E306" s="115"/>
      <c r="F306" s="115"/>
      <c r="G306" s="60" t="s">
        <v>130</v>
      </c>
      <c r="H306" s="124"/>
      <c r="I306" s="124"/>
      <c r="J306" s="60"/>
      <c r="K306" s="60"/>
      <c r="L306" s="60"/>
      <c r="M306" s="60"/>
      <c r="N306" s="60">
        <f t="shared" si="93"/>
        <v>0</v>
      </c>
      <c r="O306" s="60">
        <f t="shared" si="94"/>
        <v>0</v>
      </c>
    </row>
    <row r="307" spans="1:15" s="38" customFormat="1" ht="12" hidden="1" customHeight="1" outlineLevel="1" thickBot="1" x14ac:dyDescent="0.3">
      <c r="A307" s="125"/>
      <c r="B307" s="143"/>
      <c r="C307" s="131"/>
      <c r="D307" s="131"/>
      <c r="E307" s="131"/>
      <c r="F307" s="131"/>
      <c r="G307" s="60" t="s">
        <v>131</v>
      </c>
      <c r="H307" s="134"/>
      <c r="I307" s="134"/>
      <c r="J307" s="60"/>
      <c r="K307" s="60"/>
      <c r="L307" s="60"/>
      <c r="M307" s="60"/>
      <c r="N307" s="60">
        <f t="shared" si="93"/>
        <v>0</v>
      </c>
      <c r="O307" s="60">
        <f t="shared" si="94"/>
        <v>0</v>
      </c>
    </row>
    <row r="308" spans="1:15" s="38" customFormat="1" ht="14.45" hidden="1" customHeight="1" outlineLevel="1" x14ac:dyDescent="0.25">
      <c r="A308" s="140" t="s">
        <v>440</v>
      </c>
      <c r="B308" s="141" t="s">
        <v>441</v>
      </c>
      <c r="C308" s="130">
        <f>SUM(N308:N314)</f>
        <v>0</v>
      </c>
      <c r="D308" s="130">
        <f>SUM(O308:O314)</f>
        <v>0</v>
      </c>
      <c r="E308" s="130">
        <f t="shared" si="84"/>
        <v>0</v>
      </c>
      <c r="F308" s="130"/>
      <c r="G308" s="60" t="s">
        <v>125</v>
      </c>
      <c r="H308" s="123"/>
      <c r="I308" s="123"/>
      <c r="J308" s="60"/>
      <c r="K308" s="60"/>
      <c r="L308" s="60"/>
      <c r="M308" s="60"/>
      <c r="N308" s="60">
        <f>M308*J308*K308*L308</f>
        <v>0</v>
      </c>
      <c r="O308" s="60">
        <f>J308*K308*L308</f>
        <v>0</v>
      </c>
    </row>
    <row r="309" spans="1:15" s="38" customFormat="1" ht="11.45" hidden="1" customHeight="1" outlineLevel="1" x14ac:dyDescent="0.25">
      <c r="A309" s="124"/>
      <c r="B309" s="142"/>
      <c r="C309" s="115"/>
      <c r="D309" s="115"/>
      <c r="E309" s="115"/>
      <c r="F309" s="115"/>
      <c r="G309" s="60" t="s">
        <v>126</v>
      </c>
      <c r="H309" s="124"/>
      <c r="I309" s="124"/>
      <c r="J309" s="60"/>
      <c r="K309" s="60"/>
      <c r="L309" s="60"/>
      <c r="M309" s="60"/>
      <c r="N309" s="60">
        <f t="shared" ref="N309:N314" si="95">M309*J309*K309*L309</f>
        <v>0</v>
      </c>
      <c r="O309" s="60">
        <f t="shared" ref="O309:O314" si="96">J309*K309*L309</f>
        <v>0</v>
      </c>
    </row>
    <row r="310" spans="1:15" s="38" customFormat="1" ht="10.7" hidden="1" customHeight="1" outlineLevel="1" x14ac:dyDescent="0.25">
      <c r="A310" s="124"/>
      <c r="B310" s="142"/>
      <c r="C310" s="115"/>
      <c r="D310" s="115"/>
      <c r="E310" s="115"/>
      <c r="F310" s="115"/>
      <c r="G310" s="60" t="s">
        <v>127</v>
      </c>
      <c r="H310" s="124"/>
      <c r="I310" s="124"/>
      <c r="J310" s="60"/>
      <c r="K310" s="60"/>
      <c r="L310" s="60"/>
      <c r="M310" s="60"/>
      <c r="N310" s="60">
        <f t="shared" si="95"/>
        <v>0</v>
      </c>
      <c r="O310" s="60">
        <f t="shared" si="96"/>
        <v>0</v>
      </c>
    </row>
    <row r="311" spans="1:15" s="38" customFormat="1" ht="10.7" hidden="1" customHeight="1" outlineLevel="1" x14ac:dyDescent="0.25">
      <c r="A311" s="124"/>
      <c r="B311" s="142"/>
      <c r="C311" s="115"/>
      <c r="D311" s="115"/>
      <c r="E311" s="115"/>
      <c r="F311" s="115"/>
      <c r="G311" s="60" t="s">
        <v>128</v>
      </c>
      <c r="H311" s="124"/>
      <c r="I311" s="124"/>
      <c r="J311" s="60"/>
      <c r="K311" s="60"/>
      <c r="L311" s="60"/>
      <c r="M311" s="60"/>
      <c r="N311" s="60">
        <f t="shared" si="95"/>
        <v>0</v>
      </c>
      <c r="O311" s="60">
        <f t="shared" si="96"/>
        <v>0</v>
      </c>
    </row>
    <row r="312" spans="1:15" s="38" customFormat="1" ht="10.7" hidden="1" customHeight="1" outlineLevel="1" x14ac:dyDescent="0.25">
      <c r="A312" s="124"/>
      <c r="B312" s="142"/>
      <c r="C312" s="115"/>
      <c r="D312" s="115"/>
      <c r="E312" s="115"/>
      <c r="F312" s="115"/>
      <c r="G312" s="60" t="s">
        <v>129</v>
      </c>
      <c r="H312" s="124"/>
      <c r="I312" s="124"/>
      <c r="J312" s="60"/>
      <c r="K312" s="60"/>
      <c r="L312" s="60"/>
      <c r="M312" s="60"/>
      <c r="N312" s="60">
        <f t="shared" si="95"/>
        <v>0</v>
      </c>
      <c r="O312" s="60">
        <f t="shared" si="96"/>
        <v>0</v>
      </c>
    </row>
    <row r="313" spans="1:15" s="38" customFormat="1" ht="10.7" hidden="1" customHeight="1" outlineLevel="1" x14ac:dyDescent="0.25">
      <c r="A313" s="124"/>
      <c r="B313" s="142"/>
      <c r="C313" s="115"/>
      <c r="D313" s="115"/>
      <c r="E313" s="115"/>
      <c r="F313" s="115"/>
      <c r="G313" s="60" t="s">
        <v>130</v>
      </c>
      <c r="H313" s="124"/>
      <c r="I313" s="124"/>
      <c r="J313" s="60"/>
      <c r="K313" s="60"/>
      <c r="L313" s="60"/>
      <c r="M313" s="60"/>
      <c r="N313" s="60">
        <f t="shared" si="95"/>
        <v>0</v>
      </c>
      <c r="O313" s="60">
        <f t="shared" si="96"/>
        <v>0</v>
      </c>
    </row>
    <row r="314" spans="1:15" s="38" customFormat="1" ht="12" hidden="1" customHeight="1" outlineLevel="1" thickBot="1" x14ac:dyDescent="0.3">
      <c r="A314" s="125"/>
      <c r="B314" s="143"/>
      <c r="C314" s="131"/>
      <c r="D314" s="131"/>
      <c r="E314" s="131"/>
      <c r="F314" s="131"/>
      <c r="G314" s="60" t="s">
        <v>131</v>
      </c>
      <c r="H314" s="134"/>
      <c r="I314" s="134"/>
      <c r="J314" s="60"/>
      <c r="K314" s="60"/>
      <c r="L314" s="60"/>
      <c r="M314" s="60"/>
      <c r="N314" s="60">
        <f t="shared" si="95"/>
        <v>0</v>
      </c>
      <c r="O314" s="60">
        <f t="shared" si="96"/>
        <v>0</v>
      </c>
    </row>
    <row r="315" spans="1:15" s="38" customFormat="1" ht="14.45" hidden="1" customHeight="1" outlineLevel="1" x14ac:dyDescent="0.25">
      <c r="A315" s="140" t="s">
        <v>442</v>
      </c>
      <c r="B315" s="141" t="s">
        <v>443</v>
      </c>
      <c r="C315" s="130">
        <f>SUM(N315:N321)</f>
        <v>0</v>
      </c>
      <c r="D315" s="130">
        <f>SUM(O315:O321)</f>
        <v>0</v>
      </c>
      <c r="E315" s="130">
        <f t="shared" si="84"/>
        <v>0</v>
      </c>
      <c r="F315" s="130"/>
      <c r="G315" s="60" t="s">
        <v>125</v>
      </c>
      <c r="H315" s="123"/>
      <c r="I315" s="123"/>
      <c r="J315" s="60"/>
      <c r="K315" s="60"/>
      <c r="L315" s="60"/>
      <c r="M315" s="60"/>
      <c r="N315" s="60">
        <f>M315*J315*K315*L315</f>
        <v>0</v>
      </c>
      <c r="O315" s="60">
        <f>J315*K315*L315</f>
        <v>0</v>
      </c>
    </row>
    <row r="316" spans="1:15" s="38" customFormat="1" ht="11.45" hidden="1" customHeight="1" outlineLevel="1" x14ac:dyDescent="0.25">
      <c r="A316" s="124"/>
      <c r="B316" s="142"/>
      <c r="C316" s="115"/>
      <c r="D316" s="115"/>
      <c r="E316" s="115"/>
      <c r="F316" s="115"/>
      <c r="G316" s="60" t="s">
        <v>126</v>
      </c>
      <c r="H316" s="124"/>
      <c r="I316" s="124"/>
      <c r="J316" s="60"/>
      <c r="K316" s="60"/>
      <c r="L316" s="60"/>
      <c r="M316" s="60"/>
      <c r="N316" s="60">
        <f t="shared" ref="N316:N321" si="97">M316*J316*K316*L316</f>
        <v>0</v>
      </c>
      <c r="O316" s="60">
        <f t="shared" ref="O316:O321" si="98">J316*K316*L316</f>
        <v>0</v>
      </c>
    </row>
    <row r="317" spans="1:15" s="38" customFormat="1" ht="10.7" hidden="1" customHeight="1" outlineLevel="1" x14ac:dyDescent="0.25">
      <c r="A317" s="124"/>
      <c r="B317" s="142"/>
      <c r="C317" s="115"/>
      <c r="D317" s="115"/>
      <c r="E317" s="115"/>
      <c r="F317" s="115"/>
      <c r="G317" s="60" t="s">
        <v>127</v>
      </c>
      <c r="H317" s="124"/>
      <c r="I317" s="124"/>
      <c r="J317" s="60"/>
      <c r="K317" s="60"/>
      <c r="L317" s="60"/>
      <c r="M317" s="60"/>
      <c r="N317" s="60">
        <f t="shared" si="97"/>
        <v>0</v>
      </c>
      <c r="O317" s="60">
        <f t="shared" si="98"/>
        <v>0</v>
      </c>
    </row>
    <row r="318" spans="1:15" s="38" customFormat="1" ht="10.7" hidden="1" customHeight="1" outlineLevel="1" x14ac:dyDescent="0.25">
      <c r="A318" s="124"/>
      <c r="B318" s="142"/>
      <c r="C318" s="115"/>
      <c r="D318" s="115"/>
      <c r="E318" s="115"/>
      <c r="F318" s="115"/>
      <c r="G318" s="60" t="s">
        <v>128</v>
      </c>
      <c r="H318" s="124"/>
      <c r="I318" s="124"/>
      <c r="J318" s="60"/>
      <c r="K318" s="60"/>
      <c r="L318" s="60"/>
      <c r="M318" s="60"/>
      <c r="N318" s="60">
        <f t="shared" si="97"/>
        <v>0</v>
      </c>
      <c r="O318" s="60">
        <f t="shared" si="98"/>
        <v>0</v>
      </c>
    </row>
    <row r="319" spans="1:15" s="38" customFormat="1" ht="10.7" hidden="1" customHeight="1" outlineLevel="1" x14ac:dyDescent="0.25">
      <c r="A319" s="124"/>
      <c r="B319" s="142"/>
      <c r="C319" s="115"/>
      <c r="D319" s="115"/>
      <c r="E319" s="115"/>
      <c r="F319" s="115"/>
      <c r="G319" s="60" t="s">
        <v>129</v>
      </c>
      <c r="H319" s="124"/>
      <c r="I319" s="124"/>
      <c r="J319" s="60"/>
      <c r="K319" s="60"/>
      <c r="L319" s="60"/>
      <c r="M319" s="60"/>
      <c r="N319" s="60">
        <f t="shared" si="97"/>
        <v>0</v>
      </c>
      <c r="O319" s="60">
        <f t="shared" si="98"/>
        <v>0</v>
      </c>
    </row>
    <row r="320" spans="1:15" s="38" customFormat="1" ht="10.7" hidden="1" customHeight="1" outlineLevel="1" x14ac:dyDescent="0.25">
      <c r="A320" s="124"/>
      <c r="B320" s="142"/>
      <c r="C320" s="115"/>
      <c r="D320" s="115"/>
      <c r="E320" s="115"/>
      <c r="F320" s="115"/>
      <c r="G320" s="60" t="s">
        <v>130</v>
      </c>
      <c r="H320" s="124"/>
      <c r="I320" s="124"/>
      <c r="J320" s="60"/>
      <c r="K320" s="60"/>
      <c r="L320" s="60"/>
      <c r="M320" s="60"/>
      <c r="N320" s="60">
        <f t="shared" si="97"/>
        <v>0</v>
      </c>
      <c r="O320" s="60">
        <f t="shared" si="98"/>
        <v>0</v>
      </c>
    </row>
    <row r="321" spans="1:15" s="38" customFormat="1" ht="12" hidden="1" customHeight="1" outlineLevel="1" thickBot="1" x14ac:dyDescent="0.3">
      <c r="A321" s="125"/>
      <c r="B321" s="143"/>
      <c r="C321" s="131"/>
      <c r="D321" s="131"/>
      <c r="E321" s="131"/>
      <c r="F321" s="131"/>
      <c r="G321" s="60" t="s">
        <v>131</v>
      </c>
      <c r="H321" s="134"/>
      <c r="I321" s="134"/>
      <c r="J321" s="60"/>
      <c r="K321" s="60"/>
      <c r="L321" s="60"/>
      <c r="M321" s="60"/>
      <c r="N321" s="60">
        <f t="shared" si="97"/>
        <v>0</v>
      </c>
      <c r="O321" s="60">
        <f t="shared" si="98"/>
        <v>0</v>
      </c>
    </row>
    <row r="322" spans="1:15" s="38" customFormat="1" ht="14.45" hidden="1" customHeight="1" outlineLevel="1" x14ac:dyDescent="0.25">
      <c r="A322" s="140" t="s">
        <v>444</v>
      </c>
      <c r="B322" s="141" t="s">
        <v>445</v>
      </c>
      <c r="C322" s="130">
        <f>SUM(N322:N328)</f>
        <v>0</v>
      </c>
      <c r="D322" s="130">
        <f>SUM(O322:O328)</f>
        <v>0</v>
      </c>
      <c r="E322" s="130">
        <f t="shared" si="84"/>
        <v>0</v>
      </c>
      <c r="F322" s="130"/>
      <c r="G322" s="60" t="s">
        <v>125</v>
      </c>
      <c r="H322" s="123"/>
      <c r="I322" s="123"/>
      <c r="J322" s="60"/>
      <c r="K322" s="60"/>
      <c r="L322" s="60"/>
      <c r="M322" s="60"/>
      <c r="N322" s="60">
        <f>M322*J322*K322*L322</f>
        <v>0</v>
      </c>
      <c r="O322" s="60">
        <f>J322*K322*L322</f>
        <v>0</v>
      </c>
    </row>
    <row r="323" spans="1:15" s="38" customFormat="1" ht="11.45" hidden="1" customHeight="1" outlineLevel="1" x14ac:dyDescent="0.25">
      <c r="A323" s="124"/>
      <c r="B323" s="142"/>
      <c r="C323" s="115"/>
      <c r="D323" s="115"/>
      <c r="E323" s="115"/>
      <c r="F323" s="115"/>
      <c r="G323" s="60" t="s">
        <v>126</v>
      </c>
      <c r="H323" s="124"/>
      <c r="I323" s="124"/>
      <c r="J323" s="60"/>
      <c r="K323" s="60"/>
      <c r="L323" s="60"/>
      <c r="M323" s="60"/>
      <c r="N323" s="60">
        <f t="shared" ref="N323:N328" si="99">M323*J323*K323*L323</f>
        <v>0</v>
      </c>
      <c r="O323" s="60">
        <f t="shared" ref="O323:O328" si="100">J323*K323*L323</f>
        <v>0</v>
      </c>
    </row>
    <row r="324" spans="1:15" s="38" customFormat="1" ht="10.7" hidden="1" customHeight="1" outlineLevel="1" x14ac:dyDescent="0.25">
      <c r="A324" s="124"/>
      <c r="B324" s="142"/>
      <c r="C324" s="115"/>
      <c r="D324" s="115"/>
      <c r="E324" s="115"/>
      <c r="F324" s="115"/>
      <c r="G324" s="60" t="s">
        <v>127</v>
      </c>
      <c r="H324" s="124"/>
      <c r="I324" s="124"/>
      <c r="J324" s="60"/>
      <c r="K324" s="60"/>
      <c r="L324" s="60"/>
      <c r="M324" s="60"/>
      <c r="N324" s="60">
        <f t="shared" si="99"/>
        <v>0</v>
      </c>
      <c r="O324" s="60">
        <f t="shared" si="100"/>
        <v>0</v>
      </c>
    </row>
    <row r="325" spans="1:15" s="38" customFormat="1" ht="10.7" hidden="1" customHeight="1" outlineLevel="1" x14ac:dyDescent="0.25">
      <c r="A325" s="124"/>
      <c r="B325" s="142"/>
      <c r="C325" s="115"/>
      <c r="D325" s="115"/>
      <c r="E325" s="115"/>
      <c r="F325" s="115"/>
      <c r="G325" s="60" t="s">
        <v>128</v>
      </c>
      <c r="H325" s="124"/>
      <c r="I325" s="124"/>
      <c r="J325" s="60"/>
      <c r="K325" s="60"/>
      <c r="L325" s="60"/>
      <c r="M325" s="60"/>
      <c r="N325" s="60">
        <f t="shared" si="99"/>
        <v>0</v>
      </c>
      <c r="O325" s="60">
        <f t="shared" si="100"/>
        <v>0</v>
      </c>
    </row>
    <row r="326" spans="1:15" s="38" customFormat="1" ht="10.7" hidden="1" customHeight="1" outlineLevel="1" x14ac:dyDescent="0.25">
      <c r="A326" s="124"/>
      <c r="B326" s="142"/>
      <c r="C326" s="115"/>
      <c r="D326" s="115"/>
      <c r="E326" s="115"/>
      <c r="F326" s="115"/>
      <c r="G326" s="60" t="s">
        <v>129</v>
      </c>
      <c r="H326" s="124"/>
      <c r="I326" s="124"/>
      <c r="J326" s="60"/>
      <c r="K326" s="60"/>
      <c r="L326" s="60"/>
      <c r="M326" s="60"/>
      <c r="N326" s="60">
        <f t="shared" si="99"/>
        <v>0</v>
      </c>
      <c r="O326" s="60">
        <f t="shared" si="100"/>
        <v>0</v>
      </c>
    </row>
    <row r="327" spans="1:15" s="38" customFormat="1" ht="10.7" hidden="1" customHeight="1" outlineLevel="1" x14ac:dyDescent="0.25">
      <c r="A327" s="124"/>
      <c r="B327" s="142"/>
      <c r="C327" s="115"/>
      <c r="D327" s="115"/>
      <c r="E327" s="115"/>
      <c r="F327" s="115"/>
      <c r="G327" s="60" t="s">
        <v>130</v>
      </c>
      <c r="H327" s="124"/>
      <c r="I327" s="124"/>
      <c r="J327" s="60"/>
      <c r="K327" s="60"/>
      <c r="L327" s="60"/>
      <c r="M327" s="60"/>
      <c r="N327" s="60">
        <f t="shared" si="99"/>
        <v>0</v>
      </c>
      <c r="O327" s="60">
        <f t="shared" si="100"/>
        <v>0</v>
      </c>
    </row>
    <row r="328" spans="1:15" s="38" customFormat="1" ht="12" hidden="1" customHeight="1" outlineLevel="1" thickBot="1" x14ac:dyDescent="0.3">
      <c r="A328" s="125"/>
      <c r="B328" s="143"/>
      <c r="C328" s="131"/>
      <c r="D328" s="131"/>
      <c r="E328" s="131"/>
      <c r="F328" s="131"/>
      <c r="G328" s="60" t="s">
        <v>131</v>
      </c>
      <c r="H328" s="134"/>
      <c r="I328" s="134"/>
      <c r="J328" s="60"/>
      <c r="K328" s="60"/>
      <c r="L328" s="60"/>
      <c r="M328" s="60"/>
      <c r="N328" s="60">
        <f t="shared" si="99"/>
        <v>0</v>
      </c>
      <c r="O328" s="60">
        <f t="shared" si="100"/>
        <v>0</v>
      </c>
    </row>
    <row r="329" spans="1:15" s="38" customFormat="1" ht="14.45" hidden="1" customHeight="1" outlineLevel="1" x14ac:dyDescent="0.25">
      <c r="A329" s="140" t="s">
        <v>446</v>
      </c>
      <c r="B329" s="141" t="s">
        <v>550</v>
      </c>
      <c r="C329" s="130">
        <f>SUM(N329:N335)</f>
        <v>0</v>
      </c>
      <c r="D329" s="130">
        <f>SUM(O329:O335)</f>
        <v>0</v>
      </c>
      <c r="E329" s="130">
        <f t="shared" si="84"/>
        <v>0</v>
      </c>
      <c r="F329" s="130"/>
      <c r="G329" s="60" t="s">
        <v>125</v>
      </c>
      <c r="H329" s="123"/>
      <c r="I329" s="123"/>
      <c r="J329" s="60"/>
      <c r="K329" s="60"/>
      <c r="L329" s="60"/>
      <c r="M329" s="60"/>
      <c r="N329" s="60">
        <f>M329*J329*K329*L329</f>
        <v>0</v>
      </c>
      <c r="O329" s="60">
        <f>J329*K329*L329</f>
        <v>0</v>
      </c>
    </row>
    <row r="330" spans="1:15" s="38" customFormat="1" ht="11.45" hidden="1" customHeight="1" outlineLevel="1" x14ac:dyDescent="0.25">
      <c r="A330" s="124"/>
      <c r="B330" s="142"/>
      <c r="C330" s="115"/>
      <c r="D330" s="115"/>
      <c r="E330" s="115"/>
      <c r="F330" s="115"/>
      <c r="G330" s="60" t="s">
        <v>126</v>
      </c>
      <c r="H330" s="124"/>
      <c r="I330" s="124"/>
      <c r="J330" s="60"/>
      <c r="K330" s="60"/>
      <c r="L330" s="60"/>
      <c r="M330" s="60"/>
      <c r="N330" s="60">
        <f t="shared" ref="N330:N335" si="101">M330*J330*K330*L330</f>
        <v>0</v>
      </c>
      <c r="O330" s="60">
        <f t="shared" ref="O330:O335" si="102">J330*K330*L330</f>
        <v>0</v>
      </c>
    </row>
    <row r="331" spans="1:15" s="38" customFormat="1" ht="10.7" hidden="1" customHeight="1" outlineLevel="1" x14ac:dyDescent="0.25">
      <c r="A331" s="124"/>
      <c r="B331" s="142"/>
      <c r="C331" s="115"/>
      <c r="D331" s="115"/>
      <c r="E331" s="115"/>
      <c r="F331" s="115"/>
      <c r="G331" s="60" t="s">
        <v>127</v>
      </c>
      <c r="H331" s="124"/>
      <c r="I331" s="124"/>
      <c r="J331" s="60"/>
      <c r="K331" s="60"/>
      <c r="L331" s="60"/>
      <c r="M331" s="60"/>
      <c r="N331" s="60">
        <f t="shared" si="101"/>
        <v>0</v>
      </c>
      <c r="O331" s="60">
        <f t="shared" si="102"/>
        <v>0</v>
      </c>
    </row>
    <row r="332" spans="1:15" s="38" customFormat="1" ht="10.7" hidden="1" customHeight="1" outlineLevel="1" x14ac:dyDescent="0.25">
      <c r="A332" s="124"/>
      <c r="B332" s="142"/>
      <c r="C332" s="115"/>
      <c r="D332" s="115"/>
      <c r="E332" s="115"/>
      <c r="F332" s="115"/>
      <c r="G332" s="60" t="s">
        <v>128</v>
      </c>
      <c r="H332" s="124"/>
      <c r="I332" s="124"/>
      <c r="J332" s="60"/>
      <c r="K332" s="60"/>
      <c r="L332" s="60"/>
      <c r="M332" s="60"/>
      <c r="N332" s="60">
        <f t="shared" si="101"/>
        <v>0</v>
      </c>
      <c r="O332" s="60">
        <f t="shared" si="102"/>
        <v>0</v>
      </c>
    </row>
    <row r="333" spans="1:15" s="38" customFormat="1" ht="10.7" hidden="1" customHeight="1" outlineLevel="1" x14ac:dyDescent="0.25">
      <c r="A333" s="124"/>
      <c r="B333" s="142"/>
      <c r="C333" s="115"/>
      <c r="D333" s="115"/>
      <c r="E333" s="115"/>
      <c r="F333" s="115"/>
      <c r="G333" s="60" t="s">
        <v>129</v>
      </c>
      <c r="H333" s="124"/>
      <c r="I333" s="124"/>
      <c r="J333" s="60"/>
      <c r="K333" s="60"/>
      <c r="L333" s="60"/>
      <c r="M333" s="60"/>
      <c r="N333" s="60">
        <f t="shared" si="101"/>
        <v>0</v>
      </c>
      <c r="O333" s="60">
        <f t="shared" si="102"/>
        <v>0</v>
      </c>
    </row>
    <row r="334" spans="1:15" s="38" customFormat="1" ht="10.7" hidden="1" customHeight="1" outlineLevel="1" x14ac:dyDescent="0.25">
      <c r="A334" s="124"/>
      <c r="B334" s="142"/>
      <c r="C334" s="115"/>
      <c r="D334" s="115"/>
      <c r="E334" s="115"/>
      <c r="F334" s="115"/>
      <c r="G334" s="60" t="s">
        <v>130</v>
      </c>
      <c r="H334" s="124"/>
      <c r="I334" s="124"/>
      <c r="J334" s="60"/>
      <c r="K334" s="60"/>
      <c r="L334" s="60"/>
      <c r="M334" s="60"/>
      <c r="N334" s="60">
        <f t="shared" si="101"/>
        <v>0</v>
      </c>
      <c r="O334" s="60">
        <f t="shared" si="102"/>
        <v>0</v>
      </c>
    </row>
    <row r="335" spans="1:15" s="38" customFormat="1" ht="12" hidden="1" customHeight="1" outlineLevel="1" thickBot="1" x14ac:dyDescent="0.3">
      <c r="A335" s="125"/>
      <c r="B335" s="143"/>
      <c r="C335" s="131"/>
      <c r="D335" s="131"/>
      <c r="E335" s="131"/>
      <c r="F335" s="131"/>
      <c r="G335" s="60" t="s">
        <v>131</v>
      </c>
      <c r="H335" s="134"/>
      <c r="I335" s="134"/>
      <c r="J335" s="60"/>
      <c r="K335" s="60"/>
      <c r="L335" s="60"/>
      <c r="M335" s="60"/>
      <c r="N335" s="60">
        <f t="shared" si="101"/>
        <v>0</v>
      </c>
      <c r="O335" s="60">
        <f t="shared" si="102"/>
        <v>0</v>
      </c>
    </row>
    <row r="336" spans="1:15" s="38" customFormat="1" ht="14.45" hidden="1" customHeight="1" outlineLevel="1" x14ac:dyDescent="0.25">
      <c r="A336" s="140" t="s">
        <v>448</v>
      </c>
      <c r="B336" s="141" t="s">
        <v>551</v>
      </c>
      <c r="C336" s="130">
        <f>SUM(N336:N342)</f>
        <v>0</v>
      </c>
      <c r="D336" s="130">
        <f>SUM(O336:O342)</f>
        <v>0</v>
      </c>
      <c r="E336" s="130">
        <f t="shared" si="84"/>
        <v>0</v>
      </c>
      <c r="F336" s="130"/>
      <c r="G336" s="60" t="s">
        <v>125</v>
      </c>
      <c r="H336" s="123"/>
      <c r="I336" s="123"/>
      <c r="J336" s="60"/>
      <c r="K336" s="60"/>
      <c r="L336" s="60"/>
      <c r="M336" s="60"/>
      <c r="N336" s="60">
        <f>M336*J336*K336*L336</f>
        <v>0</v>
      </c>
      <c r="O336" s="60">
        <f>J336*K336*L336</f>
        <v>0</v>
      </c>
    </row>
    <row r="337" spans="1:15" s="38" customFormat="1" ht="11.45" hidden="1" customHeight="1" outlineLevel="1" x14ac:dyDescent="0.25">
      <c r="A337" s="124"/>
      <c r="B337" s="142"/>
      <c r="C337" s="115"/>
      <c r="D337" s="115"/>
      <c r="E337" s="115"/>
      <c r="F337" s="115"/>
      <c r="G337" s="60" t="s">
        <v>126</v>
      </c>
      <c r="H337" s="124"/>
      <c r="I337" s="124"/>
      <c r="J337" s="60"/>
      <c r="K337" s="60"/>
      <c r="L337" s="60"/>
      <c r="M337" s="60"/>
      <c r="N337" s="60">
        <f t="shared" ref="N337:N342" si="103">M337*J337*K337*L337</f>
        <v>0</v>
      </c>
      <c r="O337" s="60">
        <f t="shared" ref="O337:O342" si="104">J337*K337*L337</f>
        <v>0</v>
      </c>
    </row>
    <row r="338" spans="1:15" s="38" customFormat="1" ht="10.7" hidden="1" customHeight="1" outlineLevel="1" x14ac:dyDescent="0.25">
      <c r="A338" s="124"/>
      <c r="B338" s="142"/>
      <c r="C338" s="115"/>
      <c r="D338" s="115"/>
      <c r="E338" s="115"/>
      <c r="F338" s="115"/>
      <c r="G338" s="60" t="s">
        <v>127</v>
      </c>
      <c r="H338" s="124"/>
      <c r="I338" s="124"/>
      <c r="J338" s="60"/>
      <c r="K338" s="60"/>
      <c r="L338" s="60"/>
      <c r="M338" s="60"/>
      <c r="N338" s="60">
        <f t="shared" si="103"/>
        <v>0</v>
      </c>
      <c r="O338" s="60">
        <f t="shared" si="104"/>
        <v>0</v>
      </c>
    </row>
    <row r="339" spans="1:15" s="38" customFormat="1" ht="10.7" hidden="1" customHeight="1" outlineLevel="1" x14ac:dyDescent="0.25">
      <c r="A339" s="124"/>
      <c r="B339" s="142"/>
      <c r="C339" s="115"/>
      <c r="D339" s="115"/>
      <c r="E339" s="115"/>
      <c r="F339" s="115"/>
      <c r="G339" s="60" t="s">
        <v>128</v>
      </c>
      <c r="H339" s="124"/>
      <c r="I339" s="124"/>
      <c r="J339" s="60"/>
      <c r="K339" s="60"/>
      <c r="L339" s="60"/>
      <c r="M339" s="60"/>
      <c r="N339" s="60">
        <f t="shared" si="103"/>
        <v>0</v>
      </c>
      <c r="O339" s="60">
        <f t="shared" si="104"/>
        <v>0</v>
      </c>
    </row>
    <row r="340" spans="1:15" s="38" customFormat="1" ht="10.7" hidden="1" customHeight="1" outlineLevel="1" x14ac:dyDescent="0.25">
      <c r="A340" s="124"/>
      <c r="B340" s="142"/>
      <c r="C340" s="115"/>
      <c r="D340" s="115"/>
      <c r="E340" s="115"/>
      <c r="F340" s="115"/>
      <c r="G340" s="60" t="s">
        <v>129</v>
      </c>
      <c r="H340" s="124"/>
      <c r="I340" s="124"/>
      <c r="J340" s="60"/>
      <c r="K340" s="60"/>
      <c r="L340" s="60"/>
      <c r="M340" s="60"/>
      <c r="N340" s="60">
        <f t="shared" si="103"/>
        <v>0</v>
      </c>
      <c r="O340" s="60">
        <f t="shared" si="104"/>
        <v>0</v>
      </c>
    </row>
    <row r="341" spans="1:15" s="38" customFormat="1" ht="10.7" hidden="1" customHeight="1" outlineLevel="1" x14ac:dyDescent="0.25">
      <c r="A341" s="124"/>
      <c r="B341" s="142"/>
      <c r="C341" s="115"/>
      <c r="D341" s="115"/>
      <c r="E341" s="115"/>
      <c r="F341" s="115"/>
      <c r="G341" s="60" t="s">
        <v>130</v>
      </c>
      <c r="H341" s="124"/>
      <c r="I341" s="124"/>
      <c r="J341" s="60"/>
      <c r="K341" s="60"/>
      <c r="L341" s="60"/>
      <c r="M341" s="60"/>
      <c r="N341" s="60">
        <f t="shared" si="103"/>
        <v>0</v>
      </c>
      <c r="O341" s="60">
        <f t="shared" si="104"/>
        <v>0</v>
      </c>
    </row>
    <row r="342" spans="1:15" s="38" customFormat="1" ht="12" hidden="1" customHeight="1" outlineLevel="1" thickBot="1" x14ac:dyDescent="0.3">
      <c r="A342" s="125"/>
      <c r="B342" s="143"/>
      <c r="C342" s="131"/>
      <c r="D342" s="131"/>
      <c r="E342" s="131"/>
      <c r="F342" s="131"/>
      <c r="G342" s="60" t="s">
        <v>131</v>
      </c>
      <c r="H342" s="134"/>
      <c r="I342" s="134"/>
      <c r="J342" s="60"/>
      <c r="K342" s="60"/>
      <c r="L342" s="60"/>
      <c r="M342" s="60"/>
      <c r="N342" s="60">
        <f t="shared" si="103"/>
        <v>0</v>
      </c>
      <c r="O342" s="60">
        <f t="shared" si="104"/>
        <v>0</v>
      </c>
    </row>
    <row r="343" spans="1:15" s="38" customFormat="1" ht="14.45" hidden="1" customHeight="1" outlineLevel="1" x14ac:dyDescent="0.25">
      <c r="A343" s="140" t="s">
        <v>450</v>
      </c>
      <c r="B343" s="141" t="s">
        <v>451</v>
      </c>
      <c r="C343" s="130">
        <f>SUM(N343:N349)</f>
        <v>0</v>
      </c>
      <c r="D343" s="130">
        <f>SUM(O343:O349)</f>
        <v>0</v>
      </c>
      <c r="E343" s="130">
        <f t="shared" ref="E343:E406" si="105">D343/8</f>
        <v>0</v>
      </c>
      <c r="F343" s="130"/>
      <c r="G343" s="60" t="s">
        <v>125</v>
      </c>
      <c r="H343" s="123"/>
      <c r="I343" s="123"/>
      <c r="J343" s="60"/>
      <c r="K343" s="60"/>
      <c r="L343" s="60"/>
      <c r="M343" s="60"/>
      <c r="N343" s="60">
        <f>M343*J343*K343*L343</f>
        <v>0</v>
      </c>
      <c r="O343" s="60">
        <f>J343*K343*L343</f>
        <v>0</v>
      </c>
    </row>
    <row r="344" spans="1:15" s="38" customFormat="1" ht="11.45" hidden="1" customHeight="1" outlineLevel="1" x14ac:dyDescent="0.25">
      <c r="A344" s="124"/>
      <c r="B344" s="142"/>
      <c r="C344" s="115"/>
      <c r="D344" s="115"/>
      <c r="E344" s="115"/>
      <c r="F344" s="115"/>
      <c r="G344" s="60" t="s">
        <v>126</v>
      </c>
      <c r="H344" s="124"/>
      <c r="I344" s="124"/>
      <c r="J344" s="60"/>
      <c r="K344" s="60"/>
      <c r="L344" s="60"/>
      <c r="M344" s="60"/>
      <c r="N344" s="60">
        <f t="shared" ref="N344:N349" si="106">M344*J344*K344*L344</f>
        <v>0</v>
      </c>
      <c r="O344" s="60">
        <f t="shared" ref="O344:O349" si="107">J344*K344*L344</f>
        <v>0</v>
      </c>
    </row>
    <row r="345" spans="1:15" s="38" customFormat="1" ht="10.7" hidden="1" customHeight="1" outlineLevel="1" x14ac:dyDescent="0.25">
      <c r="A345" s="124"/>
      <c r="B345" s="142"/>
      <c r="C345" s="115"/>
      <c r="D345" s="115"/>
      <c r="E345" s="115"/>
      <c r="F345" s="115"/>
      <c r="G345" s="60" t="s">
        <v>127</v>
      </c>
      <c r="H345" s="124"/>
      <c r="I345" s="124"/>
      <c r="J345" s="60"/>
      <c r="K345" s="60"/>
      <c r="L345" s="60"/>
      <c r="M345" s="60"/>
      <c r="N345" s="60">
        <f t="shared" si="106"/>
        <v>0</v>
      </c>
      <c r="O345" s="60">
        <f t="shared" si="107"/>
        <v>0</v>
      </c>
    </row>
    <row r="346" spans="1:15" s="38" customFormat="1" ht="10.7" hidden="1" customHeight="1" outlineLevel="1" x14ac:dyDescent="0.25">
      <c r="A346" s="124"/>
      <c r="B346" s="142"/>
      <c r="C346" s="115"/>
      <c r="D346" s="115"/>
      <c r="E346" s="115"/>
      <c r="F346" s="115"/>
      <c r="G346" s="60" t="s">
        <v>128</v>
      </c>
      <c r="H346" s="124"/>
      <c r="I346" s="124"/>
      <c r="J346" s="60"/>
      <c r="K346" s="60"/>
      <c r="L346" s="60"/>
      <c r="M346" s="60"/>
      <c r="N346" s="60">
        <f t="shared" si="106"/>
        <v>0</v>
      </c>
      <c r="O346" s="60">
        <f t="shared" si="107"/>
        <v>0</v>
      </c>
    </row>
    <row r="347" spans="1:15" s="38" customFormat="1" ht="10.7" hidden="1" customHeight="1" outlineLevel="1" x14ac:dyDescent="0.25">
      <c r="A347" s="124"/>
      <c r="B347" s="142"/>
      <c r="C347" s="115"/>
      <c r="D347" s="115"/>
      <c r="E347" s="115"/>
      <c r="F347" s="115"/>
      <c r="G347" s="60" t="s">
        <v>129</v>
      </c>
      <c r="H347" s="124"/>
      <c r="I347" s="124"/>
      <c r="J347" s="60"/>
      <c r="K347" s="60"/>
      <c r="L347" s="60"/>
      <c r="M347" s="60"/>
      <c r="N347" s="60">
        <f t="shared" si="106"/>
        <v>0</v>
      </c>
      <c r="O347" s="60">
        <f t="shared" si="107"/>
        <v>0</v>
      </c>
    </row>
    <row r="348" spans="1:15" s="38" customFormat="1" ht="10.7" hidden="1" customHeight="1" outlineLevel="1" x14ac:dyDescent="0.25">
      <c r="A348" s="124"/>
      <c r="B348" s="142"/>
      <c r="C348" s="115"/>
      <c r="D348" s="115"/>
      <c r="E348" s="115"/>
      <c r="F348" s="115"/>
      <c r="G348" s="60" t="s">
        <v>130</v>
      </c>
      <c r="H348" s="124"/>
      <c r="I348" s="124"/>
      <c r="J348" s="60"/>
      <c r="K348" s="60"/>
      <c r="L348" s="60"/>
      <c r="M348" s="60"/>
      <c r="N348" s="60">
        <f t="shared" si="106"/>
        <v>0</v>
      </c>
      <c r="O348" s="60">
        <f t="shared" si="107"/>
        <v>0</v>
      </c>
    </row>
    <row r="349" spans="1:15" s="38" customFormat="1" ht="12" hidden="1" customHeight="1" outlineLevel="1" thickBot="1" x14ac:dyDescent="0.3">
      <c r="A349" s="125"/>
      <c r="B349" s="143"/>
      <c r="C349" s="131"/>
      <c r="D349" s="131"/>
      <c r="E349" s="131"/>
      <c r="F349" s="131"/>
      <c r="G349" s="60" t="s">
        <v>131</v>
      </c>
      <c r="H349" s="134"/>
      <c r="I349" s="134"/>
      <c r="J349" s="60"/>
      <c r="K349" s="60"/>
      <c r="L349" s="60"/>
      <c r="M349" s="60"/>
      <c r="N349" s="60">
        <f t="shared" si="106"/>
        <v>0</v>
      </c>
      <c r="O349" s="60">
        <f t="shared" si="107"/>
        <v>0</v>
      </c>
    </row>
    <row r="350" spans="1:15" s="38" customFormat="1" ht="14.45" hidden="1" customHeight="1" outlineLevel="1" x14ac:dyDescent="0.25">
      <c r="A350" s="140" t="s">
        <v>452</v>
      </c>
      <c r="B350" s="141" t="s">
        <v>552</v>
      </c>
      <c r="C350" s="130">
        <f>SUM(N350:N356)</f>
        <v>0</v>
      </c>
      <c r="D350" s="130">
        <f>SUM(O350:O356)</f>
        <v>0</v>
      </c>
      <c r="E350" s="130">
        <f t="shared" si="105"/>
        <v>0</v>
      </c>
      <c r="F350" s="130"/>
      <c r="G350" s="60" t="s">
        <v>125</v>
      </c>
      <c r="H350" s="123"/>
      <c r="I350" s="123"/>
      <c r="J350" s="60"/>
      <c r="K350" s="60"/>
      <c r="L350" s="60"/>
      <c r="M350" s="60"/>
      <c r="N350" s="60">
        <f>M350*J350*K350*L350</f>
        <v>0</v>
      </c>
      <c r="O350" s="60">
        <f>J350*K350*L350</f>
        <v>0</v>
      </c>
    </row>
    <row r="351" spans="1:15" s="38" customFormat="1" ht="11.45" hidden="1" customHeight="1" outlineLevel="1" x14ac:dyDescent="0.25">
      <c r="A351" s="124"/>
      <c r="B351" s="142"/>
      <c r="C351" s="115"/>
      <c r="D351" s="115"/>
      <c r="E351" s="115"/>
      <c r="F351" s="115"/>
      <c r="G351" s="60" t="s">
        <v>126</v>
      </c>
      <c r="H351" s="124"/>
      <c r="I351" s="124"/>
      <c r="J351" s="60"/>
      <c r="K351" s="60"/>
      <c r="L351" s="60"/>
      <c r="M351" s="60"/>
      <c r="N351" s="60">
        <f t="shared" ref="N351:N356" si="108">M351*J351*K351*L351</f>
        <v>0</v>
      </c>
      <c r="O351" s="60">
        <f t="shared" ref="O351:O356" si="109">J351*K351*L351</f>
        <v>0</v>
      </c>
    </row>
    <row r="352" spans="1:15" s="38" customFormat="1" ht="10.7" hidden="1" customHeight="1" outlineLevel="1" x14ac:dyDescent="0.25">
      <c r="A352" s="124"/>
      <c r="B352" s="142"/>
      <c r="C352" s="115"/>
      <c r="D352" s="115"/>
      <c r="E352" s="115"/>
      <c r="F352" s="115"/>
      <c r="G352" s="60" t="s">
        <v>127</v>
      </c>
      <c r="H352" s="124"/>
      <c r="I352" s="124"/>
      <c r="J352" s="60"/>
      <c r="K352" s="60"/>
      <c r="L352" s="60"/>
      <c r="M352" s="60"/>
      <c r="N352" s="60">
        <f t="shared" si="108"/>
        <v>0</v>
      </c>
      <c r="O352" s="60">
        <f t="shared" si="109"/>
        <v>0</v>
      </c>
    </row>
    <row r="353" spans="1:15" s="38" customFormat="1" ht="10.7" hidden="1" customHeight="1" outlineLevel="1" x14ac:dyDescent="0.25">
      <c r="A353" s="124"/>
      <c r="B353" s="142"/>
      <c r="C353" s="115"/>
      <c r="D353" s="115"/>
      <c r="E353" s="115"/>
      <c r="F353" s="115"/>
      <c r="G353" s="60" t="s">
        <v>128</v>
      </c>
      <c r="H353" s="124"/>
      <c r="I353" s="124"/>
      <c r="J353" s="60"/>
      <c r="K353" s="60"/>
      <c r="L353" s="60"/>
      <c r="M353" s="60"/>
      <c r="N353" s="60">
        <f t="shared" si="108"/>
        <v>0</v>
      </c>
      <c r="O353" s="60">
        <f t="shared" si="109"/>
        <v>0</v>
      </c>
    </row>
    <row r="354" spans="1:15" s="38" customFormat="1" ht="10.7" hidden="1" customHeight="1" outlineLevel="1" x14ac:dyDescent="0.25">
      <c r="A354" s="124"/>
      <c r="B354" s="142"/>
      <c r="C354" s="115"/>
      <c r="D354" s="115"/>
      <c r="E354" s="115"/>
      <c r="F354" s="115"/>
      <c r="G354" s="60" t="s">
        <v>129</v>
      </c>
      <c r="H354" s="124"/>
      <c r="I354" s="124"/>
      <c r="J354" s="60"/>
      <c r="K354" s="60"/>
      <c r="L354" s="60"/>
      <c r="M354" s="60"/>
      <c r="N354" s="60">
        <f t="shared" si="108"/>
        <v>0</v>
      </c>
      <c r="O354" s="60">
        <f t="shared" si="109"/>
        <v>0</v>
      </c>
    </row>
    <row r="355" spans="1:15" s="38" customFormat="1" ht="10.7" hidden="1" customHeight="1" outlineLevel="1" x14ac:dyDescent="0.25">
      <c r="A355" s="124"/>
      <c r="B355" s="142"/>
      <c r="C355" s="115"/>
      <c r="D355" s="115"/>
      <c r="E355" s="115"/>
      <c r="F355" s="115"/>
      <c r="G355" s="60" t="s">
        <v>130</v>
      </c>
      <c r="H355" s="124"/>
      <c r="I355" s="124"/>
      <c r="J355" s="60"/>
      <c r="K355" s="60"/>
      <c r="L355" s="60"/>
      <c r="M355" s="60"/>
      <c r="N355" s="60">
        <f t="shared" si="108"/>
        <v>0</v>
      </c>
      <c r="O355" s="60">
        <f t="shared" si="109"/>
        <v>0</v>
      </c>
    </row>
    <row r="356" spans="1:15" s="38" customFormat="1" ht="12" hidden="1" customHeight="1" outlineLevel="1" thickBot="1" x14ac:dyDescent="0.3">
      <c r="A356" s="125"/>
      <c r="B356" s="143"/>
      <c r="C356" s="131"/>
      <c r="D356" s="131"/>
      <c r="E356" s="131"/>
      <c r="F356" s="131"/>
      <c r="G356" s="60" t="s">
        <v>131</v>
      </c>
      <c r="H356" s="134"/>
      <c r="I356" s="134"/>
      <c r="J356" s="60"/>
      <c r="K356" s="60"/>
      <c r="L356" s="60"/>
      <c r="M356" s="60"/>
      <c r="N356" s="60">
        <f t="shared" si="108"/>
        <v>0</v>
      </c>
      <c r="O356" s="60">
        <f t="shared" si="109"/>
        <v>0</v>
      </c>
    </row>
    <row r="357" spans="1:15" s="38" customFormat="1" ht="14.45" hidden="1" customHeight="1" outlineLevel="1" x14ac:dyDescent="0.25">
      <c r="A357" s="140" t="s">
        <v>454</v>
      </c>
      <c r="B357" s="141" t="s">
        <v>553</v>
      </c>
      <c r="C357" s="130">
        <f>SUM(N357:N363)</f>
        <v>0</v>
      </c>
      <c r="D357" s="130">
        <f>SUM(O357:O363)</f>
        <v>0</v>
      </c>
      <c r="E357" s="130">
        <f t="shared" si="105"/>
        <v>0</v>
      </c>
      <c r="F357" s="130"/>
      <c r="G357" s="60" t="s">
        <v>125</v>
      </c>
      <c r="H357" s="123"/>
      <c r="I357" s="123"/>
      <c r="J357" s="60"/>
      <c r="K357" s="60"/>
      <c r="L357" s="60"/>
      <c r="M357" s="60"/>
      <c r="N357" s="60">
        <f>M357*J357*K357*L357</f>
        <v>0</v>
      </c>
      <c r="O357" s="60">
        <f>J357*K357*L357</f>
        <v>0</v>
      </c>
    </row>
    <row r="358" spans="1:15" s="38" customFormat="1" ht="11.45" hidden="1" customHeight="1" outlineLevel="1" x14ac:dyDescent="0.25">
      <c r="A358" s="124"/>
      <c r="B358" s="142"/>
      <c r="C358" s="115"/>
      <c r="D358" s="115"/>
      <c r="E358" s="115"/>
      <c r="F358" s="115"/>
      <c r="G358" s="60" t="s">
        <v>126</v>
      </c>
      <c r="H358" s="124"/>
      <c r="I358" s="124"/>
      <c r="J358" s="60"/>
      <c r="K358" s="60"/>
      <c r="L358" s="60"/>
      <c r="M358" s="60"/>
      <c r="N358" s="60">
        <f t="shared" ref="N358:N363" si="110">M358*J358*K358*L358</f>
        <v>0</v>
      </c>
      <c r="O358" s="60">
        <f t="shared" ref="O358:O363" si="111">J358*K358*L358</f>
        <v>0</v>
      </c>
    </row>
    <row r="359" spans="1:15" s="38" customFormat="1" ht="10.7" hidden="1" customHeight="1" outlineLevel="1" x14ac:dyDescent="0.25">
      <c r="A359" s="124"/>
      <c r="B359" s="142"/>
      <c r="C359" s="115"/>
      <c r="D359" s="115"/>
      <c r="E359" s="115"/>
      <c r="F359" s="115"/>
      <c r="G359" s="60" t="s">
        <v>127</v>
      </c>
      <c r="H359" s="124"/>
      <c r="I359" s="124"/>
      <c r="J359" s="60"/>
      <c r="K359" s="60"/>
      <c r="L359" s="60"/>
      <c r="M359" s="60"/>
      <c r="N359" s="60">
        <f t="shared" si="110"/>
        <v>0</v>
      </c>
      <c r="O359" s="60">
        <f t="shared" si="111"/>
        <v>0</v>
      </c>
    </row>
    <row r="360" spans="1:15" s="38" customFormat="1" ht="10.7" hidden="1" customHeight="1" outlineLevel="1" x14ac:dyDescent="0.25">
      <c r="A360" s="124"/>
      <c r="B360" s="142"/>
      <c r="C360" s="115"/>
      <c r="D360" s="115"/>
      <c r="E360" s="115"/>
      <c r="F360" s="115"/>
      <c r="G360" s="60" t="s">
        <v>128</v>
      </c>
      <c r="H360" s="124"/>
      <c r="I360" s="124"/>
      <c r="J360" s="60"/>
      <c r="K360" s="60"/>
      <c r="L360" s="60"/>
      <c r="M360" s="60"/>
      <c r="N360" s="60">
        <f t="shared" si="110"/>
        <v>0</v>
      </c>
      <c r="O360" s="60">
        <f t="shared" si="111"/>
        <v>0</v>
      </c>
    </row>
    <row r="361" spans="1:15" s="38" customFormat="1" ht="10.7" hidden="1" customHeight="1" outlineLevel="1" x14ac:dyDescent="0.25">
      <c r="A361" s="124"/>
      <c r="B361" s="142"/>
      <c r="C361" s="115"/>
      <c r="D361" s="115"/>
      <c r="E361" s="115"/>
      <c r="F361" s="115"/>
      <c r="G361" s="60" t="s">
        <v>129</v>
      </c>
      <c r="H361" s="124"/>
      <c r="I361" s="124"/>
      <c r="J361" s="60"/>
      <c r="K361" s="60"/>
      <c r="L361" s="60"/>
      <c r="M361" s="60"/>
      <c r="N361" s="60">
        <f t="shared" si="110"/>
        <v>0</v>
      </c>
      <c r="O361" s="60">
        <f t="shared" si="111"/>
        <v>0</v>
      </c>
    </row>
    <row r="362" spans="1:15" s="38" customFormat="1" ht="10.7" hidden="1" customHeight="1" outlineLevel="1" x14ac:dyDescent="0.25">
      <c r="A362" s="124"/>
      <c r="B362" s="142"/>
      <c r="C362" s="115"/>
      <c r="D362" s="115"/>
      <c r="E362" s="115"/>
      <c r="F362" s="115"/>
      <c r="G362" s="60" t="s">
        <v>130</v>
      </c>
      <c r="H362" s="124"/>
      <c r="I362" s="124"/>
      <c r="J362" s="60"/>
      <c r="K362" s="60"/>
      <c r="L362" s="60"/>
      <c r="M362" s="60"/>
      <c r="N362" s="60">
        <f t="shared" si="110"/>
        <v>0</v>
      </c>
      <c r="O362" s="60">
        <f t="shared" si="111"/>
        <v>0</v>
      </c>
    </row>
    <row r="363" spans="1:15" s="38" customFormat="1" ht="12" hidden="1" customHeight="1" outlineLevel="1" thickBot="1" x14ac:dyDescent="0.3">
      <c r="A363" s="125"/>
      <c r="B363" s="143"/>
      <c r="C363" s="131"/>
      <c r="D363" s="131"/>
      <c r="E363" s="131"/>
      <c r="F363" s="131"/>
      <c r="G363" s="60" t="s">
        <v>131</v>
      </c>
      <c r="H363" s="134"/>
      <c r="I363" s="134"/>
      <c r="J363" s="60"/>
      <c r="K363" s="60"/>
      <c r="L363" s="60"/>
      <c r="M363" s="60"/>
      <c r="N363" s="60">
        <f t="shared" si="110"/>
        <v>0</v>
      </c>
      <c r="O363" s="60">
        <f t="shared" si="111"/>
        <v>0</v>
      </c>
    </row>
    <row r="364" spans="1:15" s="38" customFormat="1" ht="14.45" hidden="1" customHeight="1" outlineLevel="1" x14ac:dyDescent="0.25">
      <c r="A364" s="140" t="s">
        <v>456</v>
      </c>
      <c r="B364" s="141" t="s">
        <v>457</v>
      </c>
      <c r="C364" s="130">
        <f>SUM(N364:N370)</f>
        <v>0</v>
      </c>
      <c r="D364" s="130">
        <f>SUM(O364:O370)</f>
        <v>0</v>
      </c>
      <c r="E364" s="130">
        <f t="shared" si="105"/>
        <v>0</v>
      </c>
      <c r="F364" s="130"/>
      <c r="G364" s="60" t="s">
        <v>125</v>
      </c>
      <c r="H364" s="123"/>
      <c r="I364" s="123"/>
      <c r="J364" s="60"/>
      <c r="K364" s="60"/>
      <c r="L364" s="60"/>
      <c r="M364" s="60"/>
      <c r="N364" s="60">
        <f>M364*J364*K364*L364</f>
        <v>0</v>
      </c>
      <c r="O364" s="60">
        <f>J364*K364*L364</f>
        <v>0</v>
      </c>
    </row>
    <row r="365" spans="1:15" s="38" customFormat="1" ht="11.45" hidden="1" customHeight="1" outlineLevel="1" x14ac:dyDescent="0.25">
      <c r="A365" s="124"/>
      <c r="B365" s="142"/>
      <c r="C365" s="115"/>
      <c r="D365" s="115"/>
      <c r="E365" s="115"/>
      <c r="F365" s="115"/>
      <c r="G365" s="60" t="s">
        <v>126</v>
      </c>
      <c r="H365" s="124"/>
      <c r="I365" s="124"/>
      <c r="J365" s="60"/>
      <c r="K365" s="60"/>
      <c r="L365" s="60"/>
      <c r="M365" s="60"/>
      <c r="N365" s="60">
        <f t="shared" ref="N365:N370" si="112">M365*J365*K365*L365</f>
        <v>0</v>
      </c>
      <c r="O365" s="60">
        <f t="shared" ref="O365:O370" si="113">J365*K365*L365</f>
        <v>0</v>
      </c>
    </row>
    <row r="366" spans="1:15" s="38" customFormat="1" ht="10.7" hidden="1" customHeight="1" outlineLevel="1" x14ac:dyDescent="0.25">
      <c r="A366" s="124"/>
      <c r="B366" s="142"/>
      <c r="C366" s="115"/>
      <c r="D366" s="115"/>
      <c r="E366" s="115"/>
      <c r="F366" s="115"/>
      <c r="G366" s="60" t="s">
        <v>127</v>
      </c>
      <c r="H366" s="124"/>
      <c r="I366" s="124"/>
      <c r="J366" s="60"/>
      <c r="K366" s="60"/>
      <c r="L366" s="60"/>
      <c r="M366" s="60"/>
      <c r="N366" s="60">
        <f t="shared" si="112"/>
        <v>0</v>
      </c>
      <c r="O366" s="60">
        <f t="shared" si="113"/>
        <v>0</v>
      </c>
    </row>
    <row r="367" spans="1:15" s="38" customFormat="1" ht="10.7" hidden="1" customHeight="1" outlineLevel="1" x14ac:dyDescent="0.25">
      <c r="A367" s="124"/>
      <c r="B367" s="142"/>
      <c r="C367" s="115"/>
      <c r="D367" s="115"/>
      <c r="E367" s="115"/>
      <c r="F367" s="115"/>
      <c r="G367" s="60" t="s">
        <v>128</v>
      </c>
      <c r="H367" s="124"/>
      <c r="I367" s="124"/>
      <c r="J367" s="60"/>
      <c r="K367" s="60"/>
      <c r="L367" s="60"/>
      <c r="M367" s="60"/>
      <c r="N367" s="60">
        <f t="shared" si="112"/>
        <v>0</v>
      </c>
      <c r="O367" s="60">
        <f t="shared" si="113"/>
        <v>0</v>
      </c>
    </row>
    <row r="368" spans="1:15" s="38" customFormat="1" ht="10.7" hidden="1" customHeight="1" outlineLevel="1" x14ac:dyDescent="0.25">
      <c r="A368" s="124"/>
      <c r="B368" s="142"/>
      <c r="C368" s="115"/>
      <c r="D368" s="115"/>
      <c r="E368" s="115"/>
      <c r="F368" s="115"/>
      <c r="G368" s="60" t="s">
        <v>129</v>
      </c>
      <c r="H368" s="124"/>
      <c r="I368" s="124"/>
      <c r="J368" s="60"/>
      <c r="K368" s="60"/>
      <c r="L368" s="60"/>
      <c r="M368" s="60"/>
      <c r="N368" s="60">
        <f t="shared" si="112"/>
        <v>0</v>
      </c>
      <c r="O368" s="60">
        <f t="shared" si="113"/>
        <v>0</v>
      </c>
    </row>
    <row r="369" spans="1:15" s="38" customFormat="1" ht="10.7" hidden="1" customHeight="1" outlineLevel="1" x14ac:dyDescent="0.25">
      <c r="A369" s="124"/>
      <c r="B369" s="142"/>
      <c r="C369" s="115"/>
      <c r="D369" s="115"/>
      <c r="E369" s="115"/>
      <c r="F369" s="115"/>
      <c r="G369" s="60" t="s">
        <v>130</v>
      </c>
      <c r="H369" s="124"/>
      <c r="I369" s="124"/>
      <c r="J369" s="60"/>
      <c r="K369" s="60"/>
      <c r="L369" s="60"/>
      <c r="M369" s="60"/>
      <c r="N369" s="60">
        <f t="shared" si="112"/>
        <v>0</v>
      </c>
      <c r="O369" s="60">
        <f t="shared" si="113"/>
        <v>0</v>
      </c>
    </row>
    <row r="370" spans="1:15" s="38" customFormat="1" ht="12" hidden="1" customHeight="1" outlineLevel="1" thickBot="1" x14ac:dyDescent="0.3">
      <c r="A370" s="125"/>
      <c r="B370" s="143"/>
      <c r="C370" s="131"/>
      <c r="D370" s="131"/>
      <c r="E370" s="131"/>
      <c r="F370" s="131"/>
      <c r="G370" s="60" t="s">
        <v>131</v>
      </c>
      <c r="H370" s="134"/>
      <c r="I370" s="134"/>
      <c r="J370" s="60"/>
      <c r="K370" s="60"/>
      <c r="L370" s="60"/>
      <c r="M370" s="60"/>
      <c r="N370" s="60">
        <f t="shared" si="112"/>
        <v>0</v>
      </c>
      <c r="O370" s="60">
        <f t="shared" si="113"/>
        <v>0</v>
      </c>
    </row>
    <row r="371" spans="1:15" s="38" customFormat="1" ht="14.45" hidden="1" customHeight="1" outlineLevel="1" x14ac:dyDescent="0.25">
      <c r="A371" s="140" t="s">
        <v>458</v>
      </c>
      <c r="B371" s="141" t="s">
        <v>459</v>
      </c>
      <c r="C371" s="130">
        <f>SUM(N371:N377)</f>
        <v>0</v>
      </c>
      <c r="D371" s="130">
        <f>SUM(O371:O377)</f>
        <v>0</v>
      </c>
      <c r="E371" s="130">
        <f t="shared" si="105"/>
        <v>0</v>
      </c>
      <c r="F371" s="130"/>
      <c r="G371" s="60" t="s">
        <v>125</v>
      </c>
      <c r="H371" s="123"/>
      <c r="I371" s="123"/>
      <c r="J371" s="60"/>
      <c r="K371" s="60"/>
      <c r="L371" s="60"/>
      <c r="M371" s="60"/>
      <c r="N371" s="60">
        <f>M371*J371*K371*L371</f>
        <v>0</v>
      </c>
      <c r="O371" s="60">
        <f>J371*K371*L371</f>
        <v>0</v>
      </c>
    </row>
    <row r="372" spans="1:15" s="38" customFormat="1" ht="11.45" hidden="1" customHeight="1" outlineLevel="1" x14ac:dyDescent="0.25">
      <c r="A372" s="124"/>
      <c r="B372" s="142"/>
      <c r="C372" s="115"/>
      <c r="D372" s="115"/>
      <c r="E372" s="115"/>
      <c r="F372" s="115"/>
      <c r="G372" s="60" t="s">
        <v>126</v>
      </c>
      <c r="H372" s="124"/>
      <c r="I372" s="124"/>
      <c r="J372" s="60"/>
      <c r="K372" s="60"/>
      <c r="L372" s="60"/>
      <c r="M372" s="60"/>
      <c r="N372" s="60">
        <f t="shared" ref="N372:N377" si="114">M372*J372*K372*L372</f>
        <v>0</v>
      </c>
      <c r="O372" s="60">
        <f t="shared" ref="O372:O377" si="115">J372*K372*L372</f>
        <v>0</v>
      </c>
    </row>
    <row r="373" spans="1:15" s="38" customFormat="1" ht="10.7" hidden="1" customHeight="1" outlineLevel="1" x14ac:dyDescent="0.25">
      <c r="A373" s="124"/>
      <c r="B373" s="142"/>
      <c r="C373" s="115"/>
      <c r="D373" s="115"/>
      <c r="E373" s="115"/>
      <c r="F373" s="115"/>
      <c r="G373" s="60" t="s">
        <v>127</v>
      </c>
      <c r="H373" s="124"/>
      <c r="I373" s="124"/>
      <c r="J373" s="60"/>
      <c r="K373" s="60"/>
      <c r="L373" s="60"/>
      <c r="M373" s="60"/>
      <c r="N373" s="60">
        <f t="shared" si="114"/>
        <v>0</v>
      </c>
      <c r="O373" s="60">
        <f t="shared" si="115"/>
        <v>0</v>
      </c>
    </row>
    <row r="374" spans="1:15" s="38" customFormat="1" ht="10.7" hidden="1" customHeight="1" outlineLevel="1" x14ac:dyDescent="0.25">
      <c r="A374" s="124"/>
      <c r="B374" s="142"/>
      <c r="C374" s="115"/>
      <c r="D374" s="115"/>
      <c r="E374" s="115"/>
      <c r="F374" s="115"/>
      <c r="G374" s="60" t="s">
        <v>128</v>
      </c>
      <c r="H374" s="124"/>
      <c r="I374" s="124"/>
      <c r="J374" s="60"/>
      <c r="K374" s="60"/>
      <c r="L374" s="60"/>
      <c r="M374" s="60"/>
      <c r="N374" s="60">
        <f t="shared" si="114"/>
        <v>0</v>
      </c>
      <c r="O374" s="60">
        <f t="shared" si="115"/>
        <v>0</v>
      </c>
    </row>
    <row r="375" spans="1:15" s="38" customFormat="1" ht="10.7" hidden="1" customHeight="1" outlineLevel="1" x14ac:dyDescent="0.25">
      <c r="A375" s="124"/>
      <c r="B375" s="142"/>
      <c r="C375" s="115"/>
      <c r="D375" s="115"/>
      <c r="E375" s="115"/>
      <c r="F375" s="115"/>
      <c r="G375" s="60" t="s">
        <v>129</v>
      </c>
      <c r="H375" s="124"/>
      <c r="I375" s="124"/>
      <c r="J375" s="60"/>
      <c r="K375" s="60"/>
      <c r="L375" s="60"/>
      <c r="M375" s="60"/>
      <c r="N375" s="60">
        <f t="shared" si="114"/>
        <v>0</v>
      </c>
      <c r="O375" s="60">
        <f t="shared" si="115"/>
        <v>0</v>
      </c>
    </row>
    <row r="376" spans="1:15" s="38" customFormat="1" ht="10.7" hidden="1" customHeight="1" outlineLevel="1" x14ac:dyDescent="0.25">
      <c r="A376" s="124"/>
      <c r="B376" s="142"/>
      <c r="C376" s="115"/>
      <c r="D376" s="115"/>
      <c r="E376" s="115"/>
      <c r="F376" s="115"/>
      <c r="G376" s="60" t="s">
        <v>130</v>
      </c>
      <c r="H376" s="124"/>
      <c r="I376" s="124"/>
      <c r="J376" s="60"/>
      <c r="K376" s="60"/>
      <c r="L376" s="60"/>
      <c r="M376" s="60"/>
      <c r="N376" s="60">
        <f t="shared" si="114"/>
        <v>0</v>
      </c>
      <c r="O376" s="60">
        <f t="shared" si="115"/>
        <v>0</v>
      </c>
    </row>
    <row r="377" spans="1:15" s="38" customFormat="1" ht="12" hidden="1" customHeight="1" outlineLevel="1" thickBot="1" x14ac:dyDescent="0.3">
      <c r="A377" s="125"/>
      <c r="B377" s="143"/>
      <c r="C377" s="131"/>
      <c r="D377" s="131"/>
      <c r="E377" s="131"/>
      <c r="F377" s="131"/>
      <c r="G377" s="60" t="s">
        <v>131</v>
      </c>
      <c r="H377" s="134"/>
      <c r="I377" s="134"/>
      <c r="J377" s="60"/>
      <c r="K377" s="60"/>
      <c r="L377" s="60"/>
      <c r="M377" s="60"/>
      <c r="N377" s="60">
        <f t="shared" si="114"/>
        <v>0</v>
      </c>
      <c r="O377" s="60">
        <f t="shared" si="115"/>
        <v>0</v>
      </c>
    </row>
    <row r="378" spans="1:15" s="38" customFormat="1" ht="14.45" hidden="1" customHeight="1" outlineLevel="1" x14ac:dyDescent="0.25">
      <c r="A378" s="140" t="s">
        <v>460</v>
      </c>
      <c r="B378" s="141" t="s">
        <v>286</v>
      </c>
      <c r="C378" s="130">
        <f>SUM(N378:N384)</f>
        <v>0</v>
      </c>
      <c r="D378" s="130">
        <f>SUM(O378:O384)</f>
        <v>0</v>
      </c>
      <c r="E378" s="130">
        <f t="shared" si="105"/>
        <v>0</v>
      </c>
      <c r="F378" s="130"/>
      <c r="G378" s="60" t="s">
        <v>125</v>
      </c>
      <c r="H378" s="123"/>
      <c r="I378" s="123"/>
      <c r="J378" s="60"/>
      <c r="K378" s="60"/>
      <c r="L378" s="60"/>
      <c r="M378" s="60"/>
      <c r="N378" s="60">
        <f>M378*J378*K378*L378</f>
        <v>0</v>
      </c>
      <c r="O378" s="60">
        <f>J378*K378*L378</f>
        <v>0</v>
      </c>
    </row>
    <row r="379" spans="1:15" s="38" customFormat="1" ht="11.45" hidden="1" customHeight="1" outlineLevel="1" x14ac:dyDescent="0.25">
      <c r="A379" s="124"/>
      <c r="B379" s="142"/>
      <c r="C379" s="115"/>
      <c r="D379" s="115"/>
      <c r="E379" s="115"/>
      <c r="F379" s="115"/>
      <c r="G379" s="60" t="s">
        <v>126</v>
      </c>
      <c r="H379" s="124"/>
      <c r="I379" s="124"/>
      <c r="J379" s="60"/>
      <c r="K379" s="60"/>
      <c r="L379" s="60"/>
      <c r="M379" s="60"/>
      <c r="N379" s="60">
        <f t="shared" ref="N379:N384" si="116">M379*J379*K379*L379</f>
        <v>0</v>
      </c>
      <c r="O379" s="60">
        <f t="shared" ref="O379:O384" si="117">J379*K379*L379</f>
        <v>0</v>
      </c>
    </row>
    <row r="380" spans="1:15" s="38" customFormat="1" ht="10.7" hidden="1" customHeight="1" outlineLevel="1" x14ac:dyDescent="0.25">
      <c r="A380" s="124"/>
      <c r="B380" s="142"/>
      <c r="C380" s="115"/>
      <c r="D380" s="115"/>
      <c r="E380" s="115"/>
      <c r="F380" s="115"/>
      <c r="G380" s="60" t="s">
        <v>127</v>
      </c>
      <c r="H380" s="124"/>
      <c r="I380" s="124"/>
      <c r="J380" s="60"/>
      <c r="K380" s="60"/>
      <c r="L380" s="60"/>
      <c r="M380" s="60"/>
      <c r="N380" s="60">
        <f t="shared" si="116"/>
        <v>0</v>
      </c>
      <c r="O380" s="60">
        <f t="shared" si="117"/>
        <v>0</v>
      </c>
    </row>
    <row r="381" spans="1:15" s="38" customFormat="1" ht="10.7" hidden="1" customHeight="1" outlineLevel="1" x14ac:dyDescent="0.25">
      <c r="A381" s="124"/>
      <c r="B381" s="142"/>
      <c r="C381" s="115"/>
      <c r="D381" s="115"/>
      <c r="E381" s="115"/>
      <c r="F381" s="115"/>
      <c r="G381" s="60" t="s">
        <v>128</v>
      </c>
      <c r="H381" s="124"/>
      <c r="I381" s="124"/>
      <c r="J381" s="60"/>
      <c r="K381" s="60"/>
      <c r="L381" s="60"/>
      <c r="M381" s="60"/>
      <c r="N381" s="60">
        <f t="shared" si="116"/>
        <v>0</v>
      </c>
      <c r="O381" s="60">
        <f t="shared" si="117"/>
        <v>0</v>
      </c>
    </row>
    <row r="382" spans="1:15" s="38" customFormat="1" ht="10.7" hidden="1" customHeight="1" outlineLevel="1" x14ac:dyDescent="0.25">
      <c r="A382" s="124"/>
      <c r="B382" s="142"/>
      <c r="C382" s="115"/>
      <c r="D382" s="115"/>
      <c r="E382" s="115"/>
      <c r="F382" s="115"/>
      <c r="G382" s="60" t="s">
        <v>129</v>
      </c>
      <c r="H382" s="124"/>
      <c r="I382" s="124"/>
      <c r="J382" s="60"/>
      <c r="K382" s="60"/>
      <c r="L382" s="60"/>
      <c r="M382" s="60"/>
      <c r="N382" s="60">
        <f t="shared" si="116"/>
        <v>0</v>
      </c>
      <c r="O382" s="60">
        <f t="shared" si="117"/>
        <v>0</v>
      </c>
    </row>
    <row r="383" spans="1:15" s="38" customFormat="1" ht="10.7" hidden="1" customHeight="1" outlineLevel="1" x14ac:dyDescent="0.25">
      <c r="A383" s="124"/>
      <c r="B383" s="142"/>
      <c r="C383" s="115"/>
      <c r="D383" s="115"/>
      <c r="E383" s="115"/>
      <c r="F383" s="115"/>
      <c r="G383" s="60" t="s">
        <v>130</v>
      </c>
      <c r="H383" s="124"/>
      <c r="I383" s="124"/>
      <c r="J383" s="60"/>
      <c r="K383" s="60"/>
      <c r="L383" s="60"/>
      <c r="M383" s="60"/>
      <c r="N383" s="60">
        <f t="shared" si="116"/>
        <v>0</v>
      </c>
      <c r="O383" s="60">
        <f t="shared" si="117"/>
        <v>0</v>
      </c>
    </row>
    <row r="384" spans="1:15" s="38" customFormat="1" ht="12" hidden="1" customHeight="1" outlineLevel="1" thickBot="1" x14ac:dyDescent="0.3">
      <c r="A384" s="125"/>
      <c r="B384" s="143"/>
      <c r="C384" s="131"/>
      <c r="D384" s="131"/>
      <c r="E384" s="131"/>
      <c r="F384" s="131"/>
      <c r="G384" s="60" t="s">
        <v>131</v>
      </c>
      <c r="H384" s="134"/>
      <c r="I384" s="134"/>
      <c r="J384" s="60"/>
      <c r="K384" s="60"/>
      <c r="L384" s="60"/>
      <c r="M384" s="60"/>
      <c r="N384" s="60">
        <f t="shared" si="116"/>
        <v>0</v>
      </c>
      <c r="O384" s="60">
        <f t="shared" si="117"/>
        <v>0</v>
      </c>
    </row>
    <row r="385" spans="1:15" s="38" customFormat="1" ht="14.45" hidden="1" customHeight="1" outlineLevel="1" x14ac:dyDescent="0.25">
      <c r="A385" s="140" t="s">
        <v>461</v>
      </c>
      <c r="B385" s="141" t="s">
        <v>462</v>
      </c>
      <c r="C385" s="130">
        <f>SUM(N385:N391)</f>
        <v>0</v>
      </c>
      <c r="D385" s="130">
        <f>SUM(O385:O391)</f>
        <v>0</v>
      </c>
      <c r="E385" s="130">
        <f t="shared" si="105"/>
        <v>0</v>
      </c>
      <c r="F385" s="130"/>
      <c r="G385" s="60" t="s">
        <v>125</v>
      </c>
      <c r="H385" s="123"/>
      <c r="I385" s="123"/>
      <c r="J385" s="60"/>
      <c r="K385" s="60"/>
      <c r="L385" s="60"/>
      <c r="M385" s="60"/>
      <c r="N385" s="60">
        <f>M385*J385*K385*L385</f>
        <v>0</v>
      </c>
      <c r="O385" s="60">
        <f>J385*K385*L385</f>
        <v>0</v>
      </c>
    </row>
    <row r="386" spans="1:15" s="38" customFormat="1" ht="11.45" hidden="1" customHeight="1" outlineLevel="1" x14ac:dyDescent="0.25">
      <c r="A386" s="124"/>
      <c r="B386" s="142"/>
      <c r="C386" s="115"/>
      <c r="D386" s="115"/>
      <c r="E386" s="115"/>
      <c r="F386" s="115"/>
      <c r="G386" s="60" t="s">
        <v>126</v>
      </c>
      <c r="H386" s="124"/>
      <c r="I386" s="124"/>
      <c r="J386" s="60"/>
      <c r="K386" s="60"/>
      <c r="L386" s="60"/>
      <c r="M386" s="60"/>
      <c r="N386" s="60">
        <f t="shared" ref="N386:N391" si="118">M386*J386*K386*L386</f>
        <v>0</v>
      </c>
      <c r="O386" s="60">
        <f t="shared" ref="O386:O391" si="119">J386*K386*L386</f>
        <v>0</v>
      </c>
    </row>
    <row r="387" spans="1:15" s="38" customFormat="1" ht="10.7" hidden="1" customHeight="1" outlineLevel="1" x14ac:dyDescent="0.25">
      <c r="A387" s="124"/>
      <c r="B387" s="142"/>
      <c r="C387" s="115"/>
      <c r="D387" s="115"/>
      <c r="E387" s="115"/>
      <c r="F387" s="115"/>
      <c r="G387" s="60" t="s">
        <v>127</v>
      </c>
      <c r="H387" s="124"/>
      <c r="I387" s="124"/>
      <c r="J387" s="60"/>
      <c r="K387" s="60"/>
      <c r="L387" s="60"/>
      <c r="M387" s="60"/>
      <c r="N387" s="60">
        <f t="shared" si="118"/>
        <v>0</v>
      </c>
      <c r="O387" s="60">
        <f t="shared" si="119"/>
        <v>0</v>
      </c>
    </row>
    <row r="388" spans="1:15" s="38" customFormat="1" ht="10.7" hidden="1" customHeight="1" outlineLevel="1" x14ac:dyDescent="0.25">
      <c r="A388" s="124"/>
      <c r="B388" s="142"/>
      <c r="C388" s="115"/>
      <c r="D388" s="115"/>
      <c r="E388" s="115"/>
      <c r="F388" s="115"/>
      <c r="G388" s="60" t="s">
        <v>128</v>
      </c>
      <c r="H388" s="124"/>
      <c r="I388" s="124"/>
      <c r="J388" s="60"/>
      <c r="K388" s="60"/>
      <c r="L388" s="60"/>
      <c r="M388" s="60"/>
      <c r="N388" s="60">
        <f t="shared" si="118"/>
        <v>0</v>
      </c>
      <c r="O388" s="60">
        <f t="shared" si="119"/>
        <v>0</v>
      </c>
    </row>
    <row r="389" spans="1:15" s="38" customFormat="1" ht="10.7" hidden="1" customHeight="1" outlineLevel="1" x14ac:dyDescent="0.25">
      <c r="A389" s="124"/>
      <c r="B389" s="142"/>
      <c r="C389" s="115"/>
      <c r="D389" s="115"/>
      <c r="E389" s="115"/>
      <c r="F389" s="115"/>
      <c r="G389" s="60" t="s">
        <v>129</v>
      </c>
      <c r="H389" s="124"/>
      <c r="I389" s="124"/>
      <c r="J389" s="60"/>
      <c r="K389" s="60"/>
      <c r="L389" s="60"/>
      <c r="M389" s="60"/>
      <c r="N389" s="60">
        <f t="shared" si="118"/>
        <v>0</v>
      </c>
      <c r="O389" s="60">
        <f t="shared" si="119"/>
        <v>0</v>
      </c>
    </row>
    <row r="390" spans="1:15" s="38" customFormat="1" ht="10.7" hidden="1" customHeight="1" outlineLevel="1" x14ac:dyDescent="0.25">
      <c r="A390" s="124"/>
      <c r="B390" s="142"/>
      <c r="C390" s="115"/>
      <c r="D390" s="115"/>
      <c r="E390" s="115"/>
      <c r="F390" s="115"/>
      <c r="G390" s="60" t="s">
        <v>130</v>
      </c>
      <c r="H390" s="124"/>
      <c r="I390" s="124"/>
      <c r="J390" s="60"/>
      <c r="K390" s="60"/>
      <c r="L390" s="60"/>
      <c r="M390" s="60"/>
      <c r="N390" s="60">
        <f t="shared" si="118"/>
        <v>0</v>
      </c>
      <c r="O390" s="60">
        <f t="shared" si="119"/>
        <v>0</v>
      </c>
    </row>
    <row r="391" spans="1:15" s="38" customFormat="1" ht="12" hidden="1" customHeight="1" outlineLevel="1" thickBot="1" x14ac:dyDescent="0.3">
      <c r="A391" s="125"/>
      <c r="B391" s="143"/>
      <c r="C391" s="131"/>
      <c r="D391" s="131"/>
      <c r="E391" s="131"/>
      <c r="F391" s="131"/>
      <c r="G391" s="60" t="s">
        <v>131</v>
      </c>
      <c r="H391" s="134"/>
      <c r="I391" s="134"/>
      <c r="J391" s="60"/>
      <c r="K391" s="60"/>
      <c r="L391" s="60"/>
      <c r="M391" s="60"/>
      <c r="N391" s="60">
        <f t="shared" si="118"/>
        <v>0</v>
      </c>
      <c r="O391" s="60">
        <f t="shared" si="119"/>
        <v>0</v>
      </c>
    </row>
    <row r="392" spans="1:15" s="38" customFormat="1" ht="14.45" hidden="1" customHeight="1" outlineLevel="1" x14ac:dyDescent="0.25">
      <c r="A392" s="140" t="s">
        <v>463</v>
      </c>
      <c r="B392" s="141" t="s">
        <v>464</v>
      </c>
      <c r="C392" s="130">
        <f>SUM(N392:N398)</f>
        <v>0</v>
      </c>
      <c r="D392" s="130">
        <f>SUM(O392:O398)</f>
        <v>0</v>
      </c>
      <c r="E392" s="130">
        <f t="shared" si="105"/>
        <v>0</v>
      </c>
      <c r="F392" s="130"/>
      <c r="G392" s="60" t="s">
        <v>125</v>
      </c>
      <c r="H392" s="123"/>
      <c r="I392" s="123"/>
      <c r="J392" s="60"/>
      <c r="K392" s="60"/>
      <c r="L392" s="60"/>
      <c r="M392" s="60"/>
      <c r="N392" s="60">
        <f>M392*J392*K392*L392</f>
        <v>0</v>
      </c>
      <c r="O392" s="60">
        <f>J392*K392*L392</f>
        <v>0</v>
      </c>
    </row>
    <row r="393" spans="1:15" s="38" customFormat="1" ht="11.45" hidden="1" customHeight="1" outlineLevel="1" x14ac:dyDescent="0.25">
      <c r="A393" s="124"/>
      <c r="B393" s="142"/>
      <c r="C393" s="115"/>
      <c r="D393" s="115"/>
      <c r="E393" s="115"/>
      <c r="F393" s="115"/>
      <c r="G393" s="60" t="s">
        <v>126</v>
      </c>
      <c r="H393" s="124"/>
      <c r="I393" s="124"/>
      <c r="J393" s="60"/>
      <c r="K393" s="60"/>
      <c r="L393" s="60"/>
      <c r="M393" s="60"/>
      <c r="N393" s="60">
        <f t="shared" ref="N393:N398" si="120">M393*J393*K393*L393</f>
        <v>0</v>
      </c>
      <c r="O393" s="60">
        <f t="shared" ref="O393:O398" si="121">J393*K393*L393</f>
        <v>0</v>
      </c>
    </row>
    <row r="394" spans="1:15" s="38" customFormat="1" ht="10.7" hidden="1" customHeight="1" outlineLevel="1" x14ac:dyDescent="0.25">
      <c r="A394" s="124"/>
      <c r="B394" s="142"/>
      <c r="C394" s="115"/>
      <c r="D394" s="115"/>
      <c r="E394" s="115"/>
      <c r="F394" s="115"/>
      <c r="G394" s="60" t="s">
        <v>127</v>
      </c>
      <c r="H394" s="124"/>
      <c r="I394" s="124"/>
      <c r="J394" s="60"/>
      <c r="K394" s="60"/>
      <c r="L394" s="60"/>
      <c r="M394" s="60"/>
      <c r="N394" s="60">
        <f t="shared" si="120"/>
        <v>0</v>
      </c>
      <c r="O394" s="60">
        <f t="shared" si="121"/>
        <v>0</v>
      </c>
    </row>
    <row r="395" spans="1:15" s="38" customFormat="1" ht="10.7" hidden="1" customHeight="1" outlineLevel="1" x14ac:dyDescent="0.25">
      <c r="A395" s="124"/>
      <c r="B395" s="142"/>
      <c r="C395" s="115"/>
      <c r="D395" s="115"/>
      <c r="E395" s="115"/>
      <c r="F395" s="115"/>
      <c r="G395" s="60" t="s">
        <v>128</v>
      </c>
      <c r="H395" s="124"/>
      <c r="I395" s="124"/>
      <c r="J395" s="60"/>
      <c r="K395" s="60"/>
      <c r="L395" s="60"/>
      <c r="M395" s="60"/>
      <c r="N395" s="60">
        <f t="shared" si="120"/>
        <v>0</v>
      </c>
      <c r="O395" s="60">
        <f t="shared" si="121"/>
        <v>0</v>
      </c>
    </row>
    <row r="396" spans="1:15" s="38" customFormat="1" ht="10.7" hidden="1" customHeight="1" outlineLevel="1" x14ac:dyDescent="0.25">
      <c r="A396" s="124"/>
      <c r="B396" s="142"/>
      <c r="C396" s="115"/>
      <c r="D396" s="115"/>
      <c r="E396" s="115"/>
      <c r="F396" s="115"/>
      <c r="G396" s="60" t="s">
        <v>129</v>
      </c>
      <c r="H396" s="124"/>
      <c r="I396" s="124"/>
      <c r="J396" s="60"/>
      <c r="K396" s="60"/>
      <c r="L396" s="60"/>
      <c r="M396" s="60"/>
      <c r="N396" s="60">
        <f t="shared" si="120"/>
        <v>0</v>
      </c>
      <c r="O396" s="60">
        <f t="shared" si="121"/>
        <v>0</v>
      </c>
    </row>
    <row r="397" spans="1:15" s="38" customFormat="1" ht="10.7" hidden="1" customHeight="1" outlineLevel="1" x14ac:dyDescent="0.25">
      <c r="A397" s="124"/>
      <c r="B397" s="142"/>
      <c r="C397" s="115"/>
      <c r="D397" s="115"/>
      <c r="E397" s="115"/>
      <c r="F397" s="115"/>
      <c r="G397" s="60" t="s">
        <v>130</v>
      </c>
      <c r="H397" s="124"/>
      <c r="I397" s="124"/>
      <c r="J397" s="60"/>
      <c r="K397" s="60"/>
      <c r="L397" s="60"/>
      <c r="M397" s="60"/>
      <c r="N397" s="60">
        <f t="shared" si="120"/>
        <v>0</v>
      </c>
      <c r="O397" s="60">
        <f t="shared" si="121"/>
        <v>0</v>
      </c>
    </row>
    <row r="398" spans="1:15" s="38" customFormat="1" ht="12" hidden="1" customHeight="1" outlineLevel="1" thickBot="1" x14ac:dyDescent="0.3">
      <c r="A398" s="125"/>
      <c r="B398" s="143"/>
      <c r="C398" s="131"/>
      <c r="D398" s="131"/>
      <c r="E398" s="131"/>
      <c r="F398" s="131"/>
      <c r="G398" s="60" t="s">
        <v>131</v>
      </c>
      <c r="H398" s="134"/>
      <c r="I398" s="134"/>
      <c r="J398" s="60"/>
      <c r="K398" s="60"/>
      <c r="L398" s="60"/>
      <c r="M398" s="60"/>
      <c r="N398" s="60">
        <f t="shared" si="120"/>
        <v>0</v>
      </c>
      <c r="O398" s="60">
        <f t="shared" si="121"/>
        <v>0</v>
      </c>
    </row>
    <row r="399" spans="1:15" s="38" customFormat="1" ht="14.45" hidden="1" customHeight="1" outlineLevel="1" x14ac:dyDescent="0.25">
      <c r="A399" s="140" t="s">
        <v>465</v>
      </c>
      <c r="B399" s="141" t="s">
        <v>466</v>
      </c>
      <c r="C399" s="130">
        <f>SUM(N399:N405)</f>
        <v>0</v>
      </c>
      <c r="D399" s="130">
        <f>SUM(O399:O405)</f>
        <v>0</v>
      </c>
      <c r="E399" s="130">
        <f t="shared" si="105"/>
        <v>0</v>
      </c>
      <c r="F399" s="130"/>
      <c r="G399" s="60" t="s">
        <v>125</v>
      </c>
      <c r="H399" s="123"/>
      <c r="I399" s="123"/>
      <c r="J399" s="60"/>
      <c r="K399" s="60"/>
      <c r="L399" s="60"/>
      <c r="M399" s="60"/>
      <c r="N399" s="60">
        <f>M399*J399*K399*L399</f>
        <v>0</v>
      </c>
      <c r="O399" s="60">
        <f>J399*K399*L399</f>
        <v>0</v>
      </c>
    </row>
    <row r="400" spans="1:15" s="38" customFormat="1" ht="11.45" hidden="1" customHeight="1" outlineLevel="1" x14ac:dyDescent="0.25">
      <c r="A400" s="124"/>
      <c r="B400" s="142"/>
      <c r="C400" s="115"/>
      <c r="D400" s="115"/>
      <c r="E400" s="115"/>
      <c r="F400" s="115"/>
      <c r="G400" s="60" t="s">
        <v>126</v>
      </c>
      <c r="H400" s="124"/>
      <c r="I400" s="124"/>
      <c r="J400" s="60"/>
      <c r="K400" s="60"/>
      <c r="L400" s="60"/>
      <c r="M400" s="60"/>
      <c r="N400" s="60">
        <f t="shared" ref="N400:N405" si="122">M400*J400*K400*L400</f>
        <v>0</v>
      </c>
      <c r="O400" s="60">
        <f t="shared" ref="O400:O405" si="123">J400*K400*L400</f>
        <v>0</v>
      </c>
    </row>
    <row r="401" spans="1:15" s="38" customFormat="1" ht="10.7" hidden="1" customHeight="1" outlineLevel="1" x14ac:dyDescent="0.25">
      <c r="A401" s="124"/>
      <c r="B401" s="142"/>
      <c r="C401" s="115"/>
      <c r="D401" s="115"/>
      <c r="E401" s="115"/>
      <c r="F401" s="115"/>
      <c r="G401" s="60" t="s">
        <v>127</v>
      </c>
      <c r="H401" s="124"/>
      <c r="I401" s="124"/>
      <c r="J401" s="60"/>
      <c r="K401" s="60"/>
      <c r="L401" s="60"/>
      <c r="M401" s="60"/>
      <c r="N401" s="60">
        <f t="shared" si="122"/>
        <v>0</v>
      </c>
      <c r="O401" s="60">
        <f t="shared" si="123"/>
        <v>0</v>
      </c>
    </row>
    <row r="402" spans="1:15" s="38" customFormat="1" ht="10.7" hidden="1" customHeight="1" outlineLevel="1" x14ac:dyDescent="0.25">
      <c r="A402" s="124"/>
      <c r="B402" s="142"/>
      <c r="C402" s="115"/>
      <c r="D402" s="115"/>
      <c r="E402" s="115"/>
      <c r="F402" s="115"/>
      <c r="G402" s="60" t="s">
        <v>128</v>
      </c>
      <c r="H402" s="124"/>
      <c r="I402" s="124"/>
      <c r="J402" s="60"/>
      <c r="K402" s="60"/>
      <c r="L402" s="60"/>
      <c r="M402" s="60"/>
      <c r="N402" s="60">
        <f t="shared" si="122"/>
        <v>0</v>
      </c>
      <c r="O402" s="60">
        <f t="shared" si="123"/>
        <v>0</v>
      </c>
    </row>
    <row r="403" spans="1:15" s="38" customFormat="1" ht="10.7" hidden="1" customHeight="1" outlineLevel="1" x14ac:dyDescent="0.25">
      <c r="A403" s="124"/>
      <c r="B403" s="142"/>
      <c r="C403" s="115"/>
      <c r="D403" s="115"/>
      <c r="E403" s="115"/>
      <c r="F403" s="115"/>
      <c r="G403" s="60" t="s">
        <v>129</v>
      </c>
      <c r="H403" s="124"/>
      <c r="I403" s="124"/>
      <c r="J403" s="60"/>
      <c r="K403" s="60"/>
      <c r="L403" s="60"/>
      <c r="M403" s="60"/>
      <c r="N403" s="60">
        <f t="shared" si="122"/>
        <v>0</v>
      </c>
      <c r="O403" s="60">
        <f t="shared" si="123"/>
        <v>0</v>
      </c>
    </row>
    <row r="404" spans="1:15" s="38" customFormat="1" ht="10.7" hidden="1" customHeight="1" outlineLevel="1" x14ac:dyDescent="0.25">
      <c r="A404" s="124"/>
      <c r="B404" s="142"/>
      <c r="C404" s="115"/>
      <c r="D404" s="115"/>
      <c r="E404" s="115"/>
      <c r="F404" s="115"/>
      <c r="G404" s="60" t="s">
        <v>130</v>
      </c>
      <c r="H404" s="124"/>
      <c r="I404" s="124"/>
      <c r="J404" s="60"/>
      <c r="K404" s="60"/>
      <c r="L404" s="60"/>
      <c r="M404" s="60"/>
      <c r="N404" s="60">
        <f t="shared" si="122"/>
        <v>0</v>
      </c>
      <c r="O404" s="60">
        <f t="shared" si="123"/>
        <v>0</v>
      </c>
    </row>
    <row r="405" spans="1:15" s="38" customFormat="1" ht="12" hidden="1" customHeight="1" outlineLevel="1" thickBot="1" x14ac:dyDescent="0.3">
      <c r="A405" s="125"/>
      <c r="B405" s="143"/>
      <c r="C405" s="131"/>
      <c r="D405" s="131"/>
      <c r="E405" s="131"/>
      <c r="F405" s="131"/>
      <c r="G405" s="60" t="s">
        <v>131</v>
      </c>
      <c r="H405" s="134"/>
      <c r="I405" s="134"/>
      <c r="J405" s="60"/>
      <c r="K405" s="60"/>
      <c r="L405" s="60"/>
      <c r="M405" s="60"/>
      <c r="N405" s="60">
        <f t="shared" si="122"/>
        <v>0</v>
      </c>
      <c r="O405" s="60">
        <f t="shared" si="123"/>
        <v>0</v>
      </c>
    </row>
    <row r="406" spans="1:15" s="38" customFormat="1" ht="14.45" hidden="1" customHeight="1" outlineLevel="1" x14ac:dyDescent="0.25">
      <c r="A406" s="140" t="s">
        <v>467</v>
      </c>
      <c r="B406" s="141" t="s">
        <v>554</v>
      </c>
      <c r="C406" s="130">
        <f>SUM(N406:N412)</f>
        <v>0</v>
      </c>
      <c r="D406" s="130">
        <f>SUM(O406:O412)</f>
        <v>0</v>
      </c>
      <c r="E406" s="130">
        <f t="shared" si="105"/>
        <v>0</v>
      </c>
      <c r="F406" s="130"/>
      <c r="G406" s="60" t="s">
        <v>125</v>
      </c>
      <c r="H406" s="123"/>
      <c r="I406" s="123"/>
      <c r="J406" s="60"/>
      <c r="K406" s="60"/>
      <c r="L406" s="60"/>
      <c r="M406" s="60"/>
      <c r="N406" s="60">
        <f>M406*J406*K406*L406</f>
        <v>0</v>
      </c>
      <c r="O406" s="60">
        <f>J406*K406*L406</f>
        <v>0</v>
      </c>
    </row>
    <row r="407" spans="1:15" s="38" customFormat="1" ht="11.45" hidden="1" customHeight="1" outlineLevel="1" x14ac:dyDescent="0.25">
      <c r="A407" s="124"/>
      <c r="B407" s="142"/>
      <c r="C407" s="115"/>
      <c r="D407" s="115"/>
      <c r="E407" s="115"/>
      <c r="F407" s="115"/>
      <c r="G407" s="60" t="s">
        <v>126</v>
      </c>
      <c r="H407" s="124"/>
      <c r="I407" s="124"/>
      <c r="J407" s="60"/>
      <c r="K407" s="60"/>
      <c r="L407" s="60"/>
      <c r="M407" s="60"/>
      <c r="N407" s="60">
        <f t="shared" ref="N407:N412" si="124">M407*J407*K407*L407</f>
        <v>0</v>
      </c>
      <c r="O407" s="60">
        <f t="shared" ref="O407:O412" si="125">J407*K407*L407</f>
        <v>0</v>
      </c>
    </row>
    <row r="408" spans="1:15" s="38" customFormat="1" ht="10.7" hidden="1" customHeight="1" outlineLevel="1" x14ac:dyDescent="0.25">
      <c r="A408" s="124"/>
      <c r="B408" s="142"/>
      <c r="C408" s="115"/>
      <c r="D408" s="115"/>
      <c r="E408" s="115"/>
      <c r="F408" s="115"/>
      <c r="G408" s="60" t="s">
        <v>127</v>
      </c>
      <c r="H408" s="124"/>
      <c r="I408" s="124"/>
      <c r="J408" s="60"/>
      <c r="K408" s="60"/>
      <c r="L408" s="60"/>
      <c r="M408" s="60"/>
      <c r="N408" s="60">
        <f t="shared" si="124"/>
        <v>0</v>
      </c>
      <c r="O408" s="60">
        <f t="shared" si="125"/>
        <v>0</v>
      </c>
    </row>
    <row r="409" spans="1:15" s="38" customFormat="1" ht="10.7" hidden="1" customHeight="1" outlineLevel="1" x14ac:dyDescent="0.25">
      <c r="A409" s="124"/>
      <c r="B409" s="142"/>
      <c r="C409" s="115"/>
      <c r="D409" s="115"/>
      <c r="E409" s="115"/>
      <c r="F409" s="115"/>
      <c r="G409" s="60" t="s">
        <v>128</v>
      </c>
      <c r="H409" s="124"/>
      <c r="I409" s="124"/>
      <c r="J409" s="60"/>
      <c r="K409" s="60"/>
      <c r="L409" s="60"/>
      <c r="M409" s="60"/>
      <c r="N409" s="60">
        <f t="shared" si="124"/>
        <v>0</v>
      </c>
      <c r="O409" s="60">
        <f t="shared" si="125"/>
        <v>0</v>
      </c>
    </row>
    <row r="410" spans="1:15" s="38" customFormat="1" ht="10.7" hidden="1" customHeight="1" outlineLevel="1" x14ac:dyDescent="0.25">
      <c r="A410" s="124"/>
      <c r="B410" s="142"/>
      <c r="C410" s="115"/>
      <c r="D410" s="115"/>
      <c r="E410" s="115"/>
      <c r="F410" s="115"/>
      <c r="G410" s="60" t="s">
        <v>129</v>
      </c>
      <c r="H410" s="124"/>
      <c r="I410" s="124"/>
      <c r="J410" s="60"/>
      <c r="K410" s="60"/>
      <c r="L410" s="60"/>
      <c r="M410" s="60"/>
      <c r="N410" s="60">
        <f t="shared" si="124"/>
        <v>0</v>
      </c>
      <c r="O410" s="60">
        <f t="shared" si="125"/>
        <v>0</v>
      </c>
    </row>
    <row r="411" spans="1:15" s="38" customFormat="1" ht="10.7" hidden="1" customHeight="1" outlineLevel="1" x14ac:dyDescent="0.25">
      <c r="A411" s="124"/>
      <c r="B411" s="142"/>
      <c r="C411" s="115"/>
      <c r="D411" s="115"/>
      <c r="E411" s="115"/>
      <c r="F411" s="115"/>
      <c r="G411" s="60" t="s">
        <v>130</v>
      </c>
      <c r="H411" s="124"/>
      <c r="I411" s="124"/>
      <c r="J411" s="60"/>
      <c r="K411" s="60"/>
      <c r="L411" s="60"/>
      <c r="M411" s="60"/>
      <c r="N411" s="60">
        <f t="shared" si="124"/>
        <v>0</v>
      </c>
      <c r="O411" s="60">
        <f t="shared" si="125"/>
        <v>0</v>
      </c>
    </row>
    <row r="412" spans="1:15" s="38" customFormat="1" ht="12" hidden="1" customHeight="1" outlineLevel="1" thickBot="1" x14ac:dyDescent="0.3">
      <c r="A412" s="125"/>
      <c r="B412" s="143"/>
      <c r="C412" s="131"/>
      <c r="D412" s="131"/>
      <c r="E412" s="131"/>
      <c r="F412" s="131"/>
      <c r="G412" s="60" t="s">
        <v>131</v>
      </c>
      <c r="H412" s="134"/>
      <c r="I412" s="134"/>
      <c r="J412" s="60"/>
      <c r="K412" s="60"/>
      <c r="L412" s="60"/>
      <c r="M412" s="60"/>
      <c r="N412" s="60">
        <f t="shared" si="124"/>
        <v>0</v>
      </c>
      <c r="O412" s="60">
        <f t="shared" si="125"/>
        <v>0</v>
      </c>
    </row>
    <row r="413" spans="1:15" s="38" customFormat="1" ht="14.45" hidden="1" customHeight="1" outlineLevel="1" x14ac:dyDescent="0.25">
      <c r="A413" s="140" t="s">
        <v>469</v>
      </c>
      <c r="B413" s="141" t="s">
        <v>555</v>
      </c>
      <c r="C413" s="130">
        <f>SUM(N413:N419)</f>
        <v>0</v>
      </c>
      <c r="D413" s="130">
        <f>SUM(O413:O419)</f>
        <v>0</v>
      </c>
      <c r="E413" s="130">
        <f t="shared" ref="E413:E476" si="126">D413/8</f>
        <v>0</v>
      </c>
      <c r="F413" s="130"/>
      <c r="G413" s="60" t="s">
        <v>125</v>
      </c>
      <c r="H413" s="123"/>
      <c r="I413" s="123"/>
      <c r="J413" s="60"/>
      <c r="K413" s="60"/>
      <c r="L413" s="60"/>
      <c r="M413" s="60"/>
      <c r="N413" s="60">
        <f>M413*J413*K413*L413</f>
        <v>0</v>
      </c>
      <c r="O413" s="60">
        <f>J413*K413*L413</f>
        <v>0</v>
      </c>
    </row>
    <row r="414" spans="1:15" s="38" customFormat="1" ht="11.45" hidden="1" customHeight="1" outlineLevel="1" x14ac:dyDescent="0.25">
      <c r="A414" s="124"/>
      <c r="B414" s="142"/>
      <c r="C414" s="115"/>
      <c r="D414" s="115"/>
      <c r="E414" s="115"/>
      <c r="F414" s="115"/>
      <c r="G414" s="60" t="s">
        <v>126</v>
      </c>
      <c r="H414" s="124"/>
      <c r="I414" s="124"/>
      <c r="J414" s="60"/>
      <c r="K414" s="60"/>
      <c r="L414" s="60"/>
      <c r="M414" s="60"/>
      <c r="N414" s="60">
        <f t="shared" ref="N414:N419" si="127">M414*J414*K414*L414</f>
        <v>0</v>
      </c>
      <c r="O414" s="60">
        <f t="shared" ref="O414:O419" si="128">J414*K414*L414</f>
        <v>0</v>
      </c>
    </row>
    <row r="415" spans="1:15" s="38" customFormat="1" ht="10.7" hidden="1" customHeight="1" outlineLevel="1" x14ac:dyDescent="0.25">
      <c r="A415" s="124"/>
      <c r="B415" s="142"/>
      <c r="C415" s="115"/>
      <c r="D415" s="115"/>
      <c r="E415" s="115"/>
      <c r="F415" s="115"/>
      <c r="G415" s="60" t="s">
        <v>127</v>
      </c>
      <c r="H415" s="124"/>
      <c r="I415" s="124"/>
      <c r="J415" s="60"/>
      <c r="K415" s="60"/>
      <c r="L415" s="60"/>
      <c r="M415" s="60"/>
      <c r="N415" s="60">
        <f t="shared" si="127"/>
        <v>0</v>
      </c>
      <c r="O415" s="60">
        <f t="shared" si="128"/>
        <v>0</v>
      </c>
    </row>
    <row r="416" spans="1:15" s="38" customFormat="1" ht="10.7" hidden="1" customHeight="1" outlineLevel="1" x14ac:dyDescent="0.25">
      <c r="A416" s="124"/>
      <c r="B416" s="142"/>
      <c r="C416" s="115"/>
      <c r="D416" s="115"/>
      <c r="E416" s="115"/>
      <c r="F416" s="115"/>
      <c r="G416" s="60" t="s">
        <v>128</v>
      </c>
      <c r="H416" s="124"/>
      <c r="I416" s="124"/>
      <c r="J416" s="60"/>
      <c r="K416" s="60"/>
      <c r="L416" s="60"/>
      <c r="M416" s="60"/>
      <c r="N416" s="60">
        <f t="shared" si="127"/>
        <v>0</v>
      </c>
      <c r="O416" s="60">
        <f t="shared" si="128"/>
        <v>0</v>
      </c>
    </row>
    <row r="417" spans="1:15" s="38" customFormat="1" ht="10.7" hidden="1" customHeight="1" outlineLevel="1" x14ac:dyDescent="0.25">
      <c r="A417" s="124"/>
      <c r="B417" s="142"/>
      <c r="C417" s="115"/>
      <c r="D417" s="115"/>
      <c r="E417" s="115"/>
      <c r="F417" s="115"/>
      <c r="G417" s="60" t="s">
        <v>129</v>
      </c>
      <c r="H417" s="124"/>
      <c r="I417" s="124"/>
      <c r="J417" s="60"/>
      <c r="K417" s="60"/>
      <c r="L417" s="60"/>
      <c r="M417" s="60"/>
      <c r="N417" s="60">
        <f t="shared" si="127"/>
        <v>0</v>
      </c>
      <c r="O417" s="60">
        <f t="shared" si="128"/>
        <v>0</v>
      </c>
    </row>
    <row r="418" spans="1:15" s="38" customFormat="1" ht="10.7" hidden="1" customHeight="1" outlineLevel="1" x14ac:dyDescent="0.25">
      <c r="A418" s="124"/>
      <c r="B418" s="142"/>
      <c r="C418" s="115"/>
      <c r="D418" s="115"/>
      <c r="E418" s="115"/>
      <c r="F418" s="115"/>
      <c r="G418" s="60" t="s">
        <v>130</v>
      </c>
      <c r="H418" s="124"/>
      <c r="I418" s="124"/>
      <c r="J418" s="60"/>
      <c r="K418" s="60"/>
      <c r="L418" s="60"/>
      <c r="M418" s="60"/>
      <c r="N418" s="60">
        <f t="shared" si="127"/>
        <v>0</v>
      </c>
      <c r="O418" s="60">
        <f t="shared" si="128"/>
        <v>0</v>
      </c>
    </row>
    <row r="419" spans="1:15" s="38" customFormat="1" ht="12" hidden="1" customHeight="1" outlineLevel="1" thickBot="1" x14ac:dyDescent="0.3">
      <c r="A419" s="125"/>
      <c r="B419" s="143"/>
      <c r="C419" s="131"/>
      <c r="D419" s="131"/>
      <c r="E419" s="131"/>
      <c r="F419" s="131"/>
      <c r="G419" s="60" t="s">
        <v>131</v>
      </c>
      <c r="H419" s="134"/>
      <c r="I419" s="134"/>
      <c r="J419" s="60"/>
      <c r="K419" s="60"/>
      <c r="L419" s="60"/>
      <c r="M419" s="60"/>
      <c r="N419" s="60">
        <f t="shared" si="127"/>
        <v>0</v>
      </c>
      <c r="O419" s="60">
        <f t="shared" si="128"/>
        <v>0</v>
      </c>
    </row>
    <row r="420" spans="1:15" s="38" customFormat="1" ht="14.45" hidden="1" customHeight="1" outlineLevel="1" x14ac:dyDescent="0.25">
      <c r="A420" s="140" t="s">
        <v>471</v>
      </c>
      <c r="B420" s="141" t="s">
        <v>470</v>
      </c>
      <c r="C420" s="130">
        <f>SUM(N420:N426)</f>
        <v>0</v>
      </c>
      <c r="D420" s="130">
        <f>SUM(O420:O426)</f>
        <v>0</v>
      </c>
      <c r="E420" s="130">
        <f t="shared" si="126"/>
        <v>0</v>
      </c>
      <c r="F420" s="130"/>
      <c r="G420" s="60" t="s">
        <v>125</v>
      </c>
      <c r="H420" s="123"/>
      <c r="I420" s="123"/>
      <c r="J420" s="60"/>
      <c r="K420" s="60"/>
      <c r="L420" s="60"/>
      <c r="M420" s="60"/>
      <c r="N420" s="60">
        <f>M420*J420*K420*L420</f>
        <v>0</v>
      </c>
      <c r="O420" s="60">
        <f>J420*K420*L420</f>
        <v>0</v>
      </c>
    </row>
    <row r="421" spans="1:15" s="38" customFormat="1" ht="11.45" hidden="1" customHeight="1" outlineLevel="1" x14ac:dyDescent="0.25">
      <c r="A421" s="124"/>
      <c r="B421" s="142"/>
      <c r="C421" s="115"/>
      <c r="D421" s="115"/>
      <c r="E421" s="115"/>
      <c r="F421" s="115"/>
      <c r="G421" s="60" t="s">
        <v>126</v>
      </c>
      <c r="H421" s="124"/>
      <c r="I421" s="124"/>
      <c r="J421" s="60"/>
      <c r="K421" s="60"/>
      <c r="L421" s="60"/>
      <c r="M421" s="60"/>
      <c r="N421" s="60">
        <f t="shared" ref="N421:N426" si="129">M421*J421*K421*L421</f>
        <v>0</v>
      </c>
      <c r="O421" s="60">
        <f t="shared" ref="O421:O426" si="130">J421*K421*L421</f>
        <v>0</v>
      </c>
    </row>
    <row r="422" spans="1:15" s="38" customFormat="1" ht="10.7" hidden="1" customHeight="1" outlineLevel="1" x14ac:dyDescent="0.25">
      <c r="A422" s="124"/>
      <c r="B422" s="142"/>
      <c r="C422" s="115"/>
      <c r="D422" s="115"/>
      <c r="E422" s="115"/>
      <c r="F422" s="115"/>
      <c r="G422" s="60" t="s">
        <v>127</v>
      </c>
      <c r="H422" s="124"/>
      <c r="I422" s="124"/>
      <c r="J422" s="60"/>
      <c r="K422" s="60"/>
      <c r="L422" s="60"/>
      <c r="M422" s="60"/>
      <c r="N422" s="60">
        <f t="shared" si="129"/>
        <v>0</v>
      </c>
      <c r="O422" s="60">
        <f t="shared" si="130"/>
        <v>0</v>
      </c>
    </row>
    <row r="423" spans="1:15" s="38" customFormat="1" ht="10.7" hidden="1" customHeight="1" outlineLevel="1" x14ac:dyDescent="0.25">
      <c r="A423" s="124"/>
      <c r="B423" s="142"/>
      <c r="C423" s="115"/>
      <c r="D423" s="115"/>
      <c r="E423" s="115"/>
      <c r="F423" s="115"/>
      <c r="G423" s="60" t="s">
        <v>128</v>
      </c>
      <c r="H423" s="124"/>
      <c r="I423" s="124"/>
      <c r="J423" s="60"/>
      <c r="K423" s="60"/>
      <c r="L423" s="60"/>
      <c r="M423" s="60"/>
      <c r="N423" s="60">
        <f t="shared" si="129"/>
        <v>0</v>
      </c>
      <c r="O423" s="60">
        <f t="shared" si="130"/>
        <v>0</v>
      </c>
    </row>
    <row r="424" spans="1:15" s="38" customFormat="1" ht="10.7" hidden="1" customHeight="1" outlineLevel="1" x14ac:dyDescent="0.25">
      <c r="A424" s="124"/>
      <c r="B424" s="142"/>
      <c r="C424" s="115"/>
      <c r="D424" s="115"/>
      <c r="E424" s="115"/>
      <c r="F424" s="115"/>
      <c r="G424" s="60" t="s">
        <v>129</v>
      </c>
      <c r="H424" s="124"/>
      <c r="I424" s="124"/>
      <c r="J424" s="60"/>
      <c r="K424" s="60"/>
      <c r="L424" s="60"/>
      <c r="M424" s="60"/>
      <c r="N424" s="60">
        <f t="shared" si="129"/>
        <v>0</v>
      </c>
      <c r="O424" s="60">
        <f t="shared" si="130"/>
        <v>0</v>
      </c>
    </row>
    <row r="425" spans="1:15" s="38" customFormat="1" ht="10.7" hidden="1" customHeight="1" outlineLevel="1" x14ac:dyDescent="0.25">
      <c r="A425" s="124"/>
      <c r="B425" s="142"/>
      <c r="C425" s="115"/>
      <c r="D425" s="115"/>
      <c r="E425" s="115"/>
      <c r="F425" s="115"/>
      <c r="G425" s="60" t="s">
        <v>130</v>
      </c>
      <c r="H425" s="124"/>
      <c r="I425" s="124"/>
      <c r="J425" s="60"/>
      <c r="K425" s="60"/>
      <c r="L425" s="60"/>
      <c r="M425" s="60"/>
      <c r="N425" s="60">
        <f t="shared" si="129"/>
        <v>0</v>
      </c>
      <c r="O425" s="60">
        <f t="shared" si="130"/>
        <v>0</v>
      </c>
    </row>
    <row r="426" spans="1:15" s="38" customFormat="1" ht="12" hidden="1" customHeight="1" outlineLevel="1" thickBot="1" x14ac:dyDescent="0.3">
      <c r="A426" s="125"/>
      <c r="B426" s="143"/>
      <c r="C426" s="131"/>
      <c r="D426" s="131"/>
      <c r="E426" s="131"/>
      <c r="F426" s="131"/>
      <c r="G426" s="60" t="s">
        <v>131</v>
      </c>
      <c r="H426" s="134"/>
      <c r="I426" s="134"/>
      <c r="J426" s="60"/>
      <c r="K426" s="60"/>
      <c r="L426" s="60"/>
      <c r="M426" s="60"/>
      <c r="N426" s="60">
        <f t="shared" si="129"/>
        <v>0</v>
      </c>
      <c r="O426" s="60">
        <f t="shared" si="130"/>
        <v>0</v>
      </c>
    </row>
    <row r="427" spans="1:15" s="38" customFormat="1" ht="14.45" hidden="1" customHeight="1" outlineLevel="1" x14ac:dyDescent="0.25">
      <c r="A427" s="140" t="s">
        <v>473</v>
      </c>
      <c r="B427" s="141" t="s">
        <v>472</v>
      </c>
      <c r="C427" s="130">
        <f>SUM(N427:N433)</f>
        <v>0</v>
      </c>
      <c r="D427" s="130">
        <f>SUM(O427:O433)</f>
        <v>0</v>
      </c>
      <c r="E427" s="130">
        <f t="shared" si="126"/>
        <v>0</v>
      </c>
      <c r="F427" s="130"/>
      <c r="G427" s="60" t="s">
        <v>125</v>
      </c>
      <c r="H427" s="123"/>
      <c r="I427" s="123"/>
      <c r="J427" s="60"/>
      <c r="K427" s="60"/>
      <c r="L427" s="60"/>
      <c r="M427" s="60"/>
      <c r="N427" s="60">
        <f>M427*J427*K427*L427</f>
        <v>0</v>
      </c>
      <c r="O427" s="60">
        <f>J427*K427*L427</f>
        <v>0</v>
      </c>
    </row>
    <row r="428" spans="1:15" s="38" customFormat="1" ht="11.45" hidden="1" customHeight="1" outlineLevel="1" x14ac:dyDescent="0.25">
      <c r="A428" s="124"/>
      <c r="B428" s="142"/>
      <c r="C428" s="115"/>
      <c r="D428" s="115"/>
      <c r="E428" s="115"/>
      <c r="F428" s="115"/>
      <c r="G428" s="60" t="s">
        <v>126</v>
      </c>
      <c r="H428" s="124"/>
      <c r="I428" s="124"/>
      <c r="J428" s="60"/>
      <c r="K428" s="60"/>
      <c r="L428" s="60"/>
      <c r="M428" s="60"/>
      <c r="N428" s="60">
        <f t="shared" ref="N428:N433" si="131">M428*J428*K428*L428</f>
        <v>0</v>
      </c>
      <c r="O428" s="60">
        <f t="shared" ref="O428:O433" si="132">J428*K428*L428</f>
        <v>0</v>
      </c>
    </row>
    <row r="429" spans="1:15" s="38" customFormat="1" ht="10.7" hidden="1" customHeight="1" outlineLevel="1" x14ac:dyDescent="0.25">
      <c r="A429" s="124"/>
      <c r="B429" s="142"/>
      <c r="C429" s="115"/>
      <c r="D429" s="115"/>
      <c r="E429" s="115"/>
      <c r="F429" s="115"/>
      <c r="G429" s="60" t="s">
        <v>127</v>
      </c>
      <c r="H429" s="124"/>
      <c r="I429" s="124"/>
      <c r="J429" s="60"/>
      <c r="K429" s="60"/>
      <c r="L429" s="60"/>
      <c r="M429" s="60"/>
      <c r="N429" s="60">
        <f t="shared" si="131"/>
        <v>0</v>
      </c>
      <c r="O429" s="60">
        <f t="shared" si="132"/>
        <v>0</v>
      </c>
    </row>
    <row r="430" spans="1:15" s="38" customFormat="1" ht="10.7" hidden="1" customHeight="1" outlineLevel="1" x14ac:dyDescent="0.25">
      <c r="A430" s="124"/>
      <c r="B430" s="142"/>
      <c r="C430" s="115"/>
      <c r="D430" s="115"/>
      <c r="E430" s="115"/>
      <c r="F430" s="115"/>
      <c r="G430" s="60" t="s">
        <v>128</v>
      </c>
      <c r="H430" s="124"/>
      <c r="I430" s="124"/>
      <c r="J430" s="60"/>
      <c r="K430" s="60"/>
      <c r="L430" s="60"/>
      <c r="M430" s="60"/>
      <c r="N430" s="60">
        <f t="shared" si="131"/>
        <v>0</v>
      </c>
      <c r="O430" s="60">
        <f t="shared" si="132"/>
        <v>0</v>
      </c>
    </row>
    <row r="431" spans="1:15" s="38" customFormat="1" ht="10.7" hidden="1" customHeight="1" outlineLevel="1" x14ac:dyDescent="0.25">
      <c r="A431" s="124"/>
      <c r="B431" s="142"/>
      <c r="C431" s="115"/>
      <c r="D431" s="115"/>
      <c r="E431" s="115"/>
      <c r="F431" s="115"/>
      <c r="G431" s="60" t="s">
        <v>129</v>
      </c>
      <c r="H431" s="124"/>
      <c r="I431" s="124"/>
      <c r="J431" s="60"/>
      <c r="K431" s="60"/>
      <c r="L431" s="60"/>
      <c r="M431" s="60"/>
      <c r="N431" s="60">
        <f t="shared" si="131"/>
        <v>0</v>
      </c>
      <c r="O431" s="60">
        <f t="shared" si="132"/>
        <v>0</v>
      </c>
    </row>
    <row r="432" spans="1:15" s="38" customFormat="1" ht="10.7" hidden="1" customHeight="1" outlineLevel="1" x14ac:dyDescent="0.25">
      <c r="A432" s="124"/>
      <c r="B432" s="142"/>
      <c r="C432" s="115"/>
      <c r="D432" s="115"/>
      <c r="E432" s="115"/>
      <c r="F432" s="115"/>
      <c r="G432" s="60" t="s">
        <v>130</v>
      </c>
      <c r="H432" s="124"/>
      <c r="I432" s="124"/>
      <c r="J432" s="60"/>
      <c r="K432" s="60"/>
      <c r="L432" s="60"/>
      <c r="M432" s="60"/>
      <c r="N432" s="60">
        <f t="shared" si="131"/>
        <v>0</v>
      </c>
      <c r="O432" s="60">
        <f t="shared" si="132"/>
        <v>0</v>
      </c>
    </row>
    <row r="433" spans="1:15" s="38" customFormat="1" ht="12" hidden="1" customHeight="1" outlineLevel="1" thickBot="1" x14ac:dyDescent="0.3">
      <c r="A433" s="125"/>
      <c r="B433" s="143"/>
      <c r="C433" s="131"/>
      <c r="D433" s="131"/>
      <c r="E433" s="131"/>
      <c r="F433" s="131"/>
      <c r="G433" s="60" t="s">
        <v>131</v>
      </c>
      <c r="H433" s="134"/>
      <c r="I433" s="134"/>
      <c r="J433" s="60"/>
      <c r="K433" s="60"/>
      <c r="L433" s="60"/>
      <c r="M433" s="60"/>
      <c r="N433" s="60">
        <f t="shared" si="131"/>
        <v>0</v>
      </c>
      <c r="O433" s="60">
        <f t="shared" si="132"/>
        <v>0</v>
      </c>
    </row>
    <row r="434" spans="1:15" s="38" customFormat="1" ht="14.45" hidden="1" customHeight="1" outlineLevel="1" x14ac:dyDescent="0.25">
      <c r="A434" s="140" t="s">
        <v>474</v>
      </c>
      <c r="B434" s="141" t="s">
        <v>556</v>
      </c>
      <c r="C434" s="130">
        <f>SUM(N434:N440)</f>
        <v>0</v>
      </c>
      <c r="D434" s="130">
        <f>SUM(O434:O440)</f>
        <v>0</v>
      </c>
      <c r="E434" s="130">
        <f t="shared" si="126"/>
        <v>0</v>
      </c>
      <c r="F434" s="130"/>
      <c r="G434" s="60" t="s">
        <v>125</v>
      </c>
      <c r="H434" s="123"/>
      <c r="I434" s="123"/>
      <c r="J434" s="60"/>
      <c r="K434" s="60"/>
      <c r="L434" s="60"/>
      <c r="M434" s="60"/>
      <c r="N434" s="60">
        <f>M434*J434*K434*L434</f>
        <v>0</v>
      </c>
      <c r="O434" s="60">
        <f>J434*K434*L434</f>
        <v>0</v>
      </c>
    </row>
    <row r="435" spans="1:15" s="38" customFormat="1" ht="11.45" hidden="1" customHeight="1" outlineLevel="1" x14ac:dyDescent="0.25">
      <c r="A435" s="124"/>
      <c r="B435" s="142"/>
      <c r="C435" s="115"/>
      <c r="D435" s="115"/>
      <c r="E435" s="115"/>
      <c r="F435" s="115"/>
      <c r="G435" s="60" t="s">
        <v>126</v>
      </c>
      <c r="H435" s="124"/>
      <c r="I435" s="124"/>
      <c r="J435" s="60"/>
      <c r="K435" s="60"/>
      <c r="L435" s="60"/>
      <c r="M435" s="60"/>
      <c r="N435" s="60">
        <f t="shared" ref="N435:N440" si="133">M435*J435*K435*L435</f>
        <v>0</v>
      </c>
      <c r="O435" s="60">
        <f t="shared" ref="O435:O440" si="134">J435*K435*L435</f>
        <v>0</v>
      </c>
    </row>
    <row r="436" spans="1:15" s="38" customFormat="1" ht="10.7" hidden="1" customHeight="1" outlineLevel="1" x14ac:dyDescent="0.25">
      <c r="A436" s="124"/>
      <c r="B436" s="142"/>
      <c r="C436" s="115"/>
      <c r="D436" s="115"/>
      <c r="E436" s="115"/>
      <c r="F436" s="115"/>
      <c r="G436" s="60" t="s">
        <v>127</v>
      </c>
      <c r="H436" s="124"/>
      <c r="I436" s="124"/>
      <c r="J436" s="60"/>
      <c r="K436" s="60"/>
      <c r="L436" s="60"/>
      <c r="M436" s="60"/>
      <c r="N436" s="60">
        <f t="shared" si="133"/>
        <v>0</v>
      </c>
      <c r="O436" s="60">
        <f t="shared" si="134"/>
        <v>0</v>
      </c>
    </row>
    <row r="437" spans="1:15" s="38" customFormat="1" ht="10.7" hidden="1" customHeight="1" outlineLevel="1" x14ac:dyDescent="0.25">
      <c r="A437" s="124"/>
      <c r="B437" s="142"/>
      <c r="C437" s="115"/>
      <c r="D437" s="115"/>
      <c r="E437" s="115"/>
      <c r="F437" s="115"/>
      <c r="G437" s="60" t="s">
        <v>128</v>
      </c>
      <c r="H437" s="124"/>
      <c r="I437" s="124"/>
      <c r="J437" s="60"/>
      <c r="K437" s="60"/>
      <c r="L437" s="60"/>
      <c r="M437" s="60"/>
      <c r="N437" s="60">
        <f t="shared" si="133"/>
        <v>0</v>
      </c>
      <c r="O437" s="60">
        <f t="shared" si="134"/>
        <v>0</v>
      </c>
    </row>
    <row r="438" spans="1:15" s="38" customFormat="1" ht="10.7" hidden="1" customHeight="1" outlineLevel="1" x14ac:dyDescent="0.25">
      <c r="A438" s="124"/>
      <c r="B438" s="142"/>
      <c r="C438" s="115"/>
      <c r="D438" s="115"/>
      <c r="E438" s="115"/>
      <c r="F438" s="115"/>
      <c r="G438" s="60" t="s">
        <v>129</v>
      </c>
      <c r="H438" s="124"/>
      <c r="I438" s="124"/>
      <c r="J438" s="60"/>
      <c r="K438" s="60"/>
      <c r="L438" s="60"/>
      <c r="M438" s="60"/>
      <c r="N438" s="60">
        <f t="shared" si="133"/>
        <v>0</v>
      </c>
      <c r="O438" s="60">
        <f t="shared" si="134"/>
        <v>0</v>
      </c>
    </row>
    <row r="439" spans="1:15" s="38" customFormat="1" ht="10.7" hidden="1" customHeight="1" outlineLevel="1" x14ac:dyDescent="0.25">
      <c r="A439" s="124"/>
      <c r="B439" s="142"/>
      <c r="C439" s="115"/>
      <c r="D439" s="115"/>
      <c r="E439" s="115"/>
      <c r="F439" s="115"/>
      <c r="G439" s="60" t="s">
        <v>130</v>
      </c>
      <c r="H439" s="124"/>
      <c r="I439" s="124"/>
      <c r="J439" s="60"/>
      <c r="K439" s="60"/>
      <c r="L439" s="60"/>
      <c r="M439" s="60"/>
      <c r="N439" s="60">
        <f t="shared" si="133"/>
        <v>0</v>
      </c>
      <c r="O439" s="60">
        <f t="shared" si="134"/>
        <v>0</v>
      </c>
    </row>
    <row r="440" spans="1:15" s="38" customFormat="1" ht="12" hidden="1" customHeight="1" outlineLevel="1" thickBot="1" x14ac:dyDescent="0.3">
      <c r="A440" s="125"/>
      <c r="B440" s="143"/>
      <c r="C440" s="131"/>
      <c r="D440" s="131"/>
      <c r="E440" s="131"/>
      <c r="F440" s="131"/>
      <c r="G440" s="60" t="s">
        <v>131</v>
      </c>
      <c r="H440" s="134"/>
      <c r="I440" s="134"/>
      <c r="J440" s="60"/>
      <c r="K440" s="60"/>
      <c r="L440" s="60"/>
      <c r="M440" s="60"/>
      <c r="N440" s="60">
        <f t="shared" si="133"/>
        <v>0</v>
      </c>
      <c r="O440" s="60">
        <f t="shared" si="134"/>
        <v>0</v>
      </c>
    </row>
    <row r="441" spans="1:15" s="38" customFormat="1" ht="14.45" hidden="1" customHeight="1" outlineLevel="1" x14ac:dyDescent="0.25">
      <c r="A441" s="140" t="s">
        <v>476</v>
      </c>
      <c r="B441" s="141" t="s">
        <v>557</v>
      </c>
      <c r="C441" s="130">
        <f>SUM(N441:N447)</f>
        <v>0</v>
      </c>
      <c r="D441" s="130">
        <f>SUM(O441:O447)</f>
        <v>0</v>
      </c>
      <c r="E441" s="130">
        <f t="shared" si="126"/>
        <v>0</v>
      </c>
      <c r="F441" s="130"/>
      <c r="G441" s="60" t="s">
        <v>125</v>
      </c>
      <c r="H441" s="123"/>
      <c r="I441" s="123"/>
      <c r="J441" s="60"/>
      <c r="K441" s="60"/>
      <c r="L441" s="60"/>
      <c r="M441" s="60"/>
      <c r="N441" s="60">
        <f>M441*J441*K441*L441</f>
        <v>0</v>
      </c>
      <c r="O441" s="60">
        <f>J441*K441*L441</f>
        <v>0</v>
      </c>
    </row>
    <row r="442" spans="1:15" s="38" customFormat="1" ht="11.45" hidden="1" customHeight="1" outlineLevel="1" x14ac:dyDescent="0.25">
      <c r="A442" s="124"/>
      <c r="B442" s="142"/>
      <c r="C442" s="115"/>
      <c r="D442" s="115"/>
      <c r="E442" s="115"/>
      <c r="F442" s="115"/>
      <c r="G442" s="60" t="s">
        <v>126</v>
      </c>
      <c r="H442" s="124"/>
      <c r="I442" s="124"/>
      <c r="J442" s="60"/>
      <c r="K442" s="60"/>
      <c r="L442" s="60"/>
      <c r="M442" s="60"/>
      <c r="N442" s="60">
        <f t="shared" ref="N442:N447" si="135">M442*J442*K442*L442</f>
        <v>0</v>
      </c>
      <c r="O442" s="60">
        <f t="shared" ref="O442:O447" si="136">J442*K442*L442</f>
        <v>0</v>
      </c>
    </row>
    <row r="443" spans="1:15" s="38" customFormat="1" ht="10.7" hidden="1" customHeight="1" outlineLevel="1" x14ac:dyDescent="0.25">
      <c r="A443" s="124"/>
      <c r="B443" s="142"/>
      <c r="C443" s="115"/>
      <c r="D443" s="115"/>
      <c r="E443" s="115"/>
      <c r="F443" s="115"/>
      <c r="G443" s="60" t="s">
        <v>127</v>
      </c>
      <c r="H443" s="124"/>
      <c r="I443" s="124"/>
      <c r="J443" s="60"/>
      <c r="K443" s="60"/>
      <c r="L443" s="60"/>
      <c r="M443" s="60"/>
      <c r="N443" s="60">
        <f t="shared" si="135"/>
        <v>0</v>
      </c>
      <c r="O443" s="60">
        <f t="shared" si="136"/>
        <v>0</v>
      </c>
    </row>
    <row r="444" spans="1:15" s="38" customFormat="1" ht="10.7" hidden="1" customHeight="1" outlineLevel="1" x14ac:dyDescent="0.25">
      <c r="A444" s="124"/>
      <c r="B444" s="142"/>
      <c r="C444" s="115"/>
      <c r="D444" s="115"/>
      <c r="E444" s="115"/>
      <c r="F444" s="115"/>
      <c r="G444" s="60" t="s">
        <v>128</v>
      </c>
      <c r="H444" s="124"/>
      <c r="I444" s="124"/>
      <c r="J444" s="60"/>
      <c r="K444" s="60"/>
      <c r="L444" s="60"/>
      <c r="M444" s="60"/>
      <c r="N444" s="60">
        <f t="shared" si="135"/>
        <v>0</v>
      </c>
      <c r="O444" s="60">
        <f t="shared" si="136"/>
        <v>0</v>
      </c>
    </row>
    <row r="445" spans="1:15" s="38" customFormat="1" ht="10.7" hidden="1" customHeight="1" outlineLevel="1" x14ac:dyDescent="0.25">
      <c r="A445" s="124"/>
      <c r="B445" s="142"/>
      <c r="C445" s="115"/>
      <c r="D445" s="115"/>
      <c r="E445" s="115"/>
      <c r="F445" s="115"/>
      <c r="G445" s="60" t="s">
        <v>129</v>
      </c>
      <c r="H445" s="124"/>
      <c r="I445" s="124"/>
      <c r="J445" s="60"/>
      <c r="K445" s="60"/>
      <c r="L445" s="60"/>
      <c r="M445" s="60"/>
      <c r="N445" s="60">
        <f t="shared" si="135"/>
        <v>0</v>
      </c>
      <c r="O445" s="60">
        <f t="shared" si="136"/>
        <v>0</v>
      </c>
    </row>
    <row r="446" spans="1:15" s="38" customFormat="1" ht="10.7" hidden="1" customHeight="1" outlineLevel="1" x14ac:dyDescent="0.25">
      <c r="A446" s="124"/>
      <c r="B446" s="142"/>
      <c r="C446" s="115"/>
      <c r="D446" s="115"/>
      <c r="E446" s="115"/>
      <c r="F446" s="115"/>
      <c r="G446" s="60" t="s">
        <v>130</v>
      </c>
      <c r="H446" s="124"/>
      <c r="I446" s="124"/>
      <c r="J446" s="60"/>
      <c r="K446" s="60"/>
      <c r="L446" s="60"/>
      <c r="M446" s="60"/>
      <c r="N446" s="60">
        <f t="shared" si="135"/>
        <v>0</v>
      </c>
      <c r="O446" s="60">
        <f t="shared" si="136"/>
        <v>0</v>
      </c>
    </row>
    <row r="447" spans="1:15" s="38" customFormat="1" ht="12" hidden="1" customHeight="1" outlineLevel="1" thickBot="1" x14ac:dyDescent="0.3">
      <c r="A447" s="125"/>
      <c r="B447" s="143"/>
      <c r="C447" s="131"/>
      <c r="D447" s="131"/>
      <c r="E447" s="131"/>
      <c r="F447" s="131"/>
      <c r="G447" s="60" t="s">
        <v>131</v>
      </c>
      <c r="H447" s="134"/>
      <c r="I447" s="134"/>
      <c r="J447" s="60"/>
      <c r="K447" s="60"/>
      <c r="L447" s="60"/>
      <c r="M447" s="60"/>
      <c r="N447" s="60">
        <f t="shared" si="135"/>
        <v>0</v>
      </c>
      <c r="O447" s="60">
        <f t="shared" si="136"/>
        <v>0</v>
      </c>
    </row>
    <row r="448" spans="1:15" s="38" customFormat="1" ht="14.45" hidden="1" customHeight="1" outlineLevel="1" x14ac:dyDescent="0.25">
      <c r="A448" s="140" t="s">
        <v>478</v>
      </c>
      <c r="B448" s="141" t="s">
        <v>326</v>
      </c>
      <c r="C448" s="130">
        <f>SUM(N448:N454)</f>
        <v>0</v>
      </c>
      <c r="D448" s="130">
        <f>SUM(O448:O454)</f>
        <v>0</v>
      </c>
      <c r="E448" s="130">
        <f t="shared" si="126"/>
        <v>0</v>
      </c>
      <c r="F448" s="130"/>
      <c r="G448" s="60" t="s">
        <v>125</v>
      </c>
      <c r="H448" s="123"/>
      <c r="I448" s="123"/>
      <c r="J448" s="60"/>
      <c r="K448" s="60"/>
      <c r="L448" s="60"/>
      <c r="M448" s="60"/>
      <c r="N448" s="60">
        <f>M448*J448*K448*L448</f>
        <v>0</v>
      </c>
      <c r="O448" s="60">
        <f>J448*K448*L448</f>
        <v>0</v>
      </c>
    </row>
    <row r="449" spans="1:15" s="38" customFormat="1" ht="11.45" hidden="1" customHeight="1" outlineLevel="1" x14ac:dyDescent="0.25">
      <c r="A449" s="124"/>
      <c r="B449" s="142"/>
      <c r="C449" s="115"/>
      <c r="D449" s="115"/>
      <c r="E449" s="115"/>
      <c r="F449" s="115"/>
      <c r="G449" s="60" t="s">
        <v>126</v>
      </c>
      <c r="H449" s="124"/>
      <c r="I449" s="124"/>
      <c r="J449" s="60"/>
      <c r="K449" s="60"/>
      <c r="L449" s="60"/>
      <c r="M449" s="60"/>
      <c r="N449" s="60">
        <f t="shared" ref="N449:N454" si="137">M449*J449*K449*L449</f>
        <v>0</v>
      </c>
      <c r="O449" s="60">
        <f t="shared" ref="O449:O454" si="138">J449*K449*L449</f>
        <v>0</v>
      </c>
    </row>
    <row r="450" spans="1:15" s="38" customFormat="1" ht="10.7" hidden="1" customHeight="1" outlineLevel="1" x14ac:dyDescent="0.25">
      <c r="A450" s="124"/>
      <c r="B450" s="142"/>
      <c r="C450" s="115"/>
      <c r="D450" s="115"/>
      <c r="E450" s="115"/>
      <c r="F450" s="115"/>
      <c r="G450" s="60" t="s">
        <v>127</v>
      </c>
      <c r="H450" s="124"/>
      <c r="I450" s="124"/>
      <c r="J450" s="60"/>
      <c r="K450" s="60"/>
      <c r="L450" s="60"/>
      <c r="M450" s="60"/>
      <c r="N450" s="60">
        <f t="shared" si="137"/>
        <v>0</v>
      </c>
      <c r="O450" s="60">
        <f t="shared" si="138"/>
        <v>0</v>
      </c>
    </row>
    <row r="451" spans="1:15" s="38" customFormat="1" ht="10.7" hidden="1" customHeight="1" outlineLevel="1" x14ac:dyDescent="0.25">
      <c r="A451" s="124"/>
      <c r="B451" s="142"/>
      <c r="C451" s="115"/>
      <c r="D451" s="115"/>
      <c r="E451" s="115"/>
      <c r="F451" s="115"/>
      <c r="G451" s="60" t="s">
        <v>128</v>
      </c>
      <c r="H451" s="124"/>
      <c r="I451" s="124"/>
      <c r="J451" s="60"/>
      <c r="K451" s="60"/>
      <c r="L451" s="60"/>
      <c r="M451" s="60"/>
      <c r="N451" s="60">
        <f t="shared" si="137"/>
        <v>0</v>
      </c>
      <c r="O451" s="60">
        <f t="shared" si="138"/>
        <v>0</v>
      </c>
    </row>
    <row r="452" spans="1:15" s="38" customFormat="1" ht="10.7" hidden="1" customHeight="1" outlineLevel="1" x14ac:dyDescent="0.25">
      <c r="A452" s="124"/>
      <c r="B452" s="142"/>
      <c r="C452" s="115"/>
      <c r="D452" s="115"/>
      <c r="E452" s="115"/>
      <c r="F452" s="115"/>
      <c r="G452" s="60" t="s">
        <v>129</v>
      </c>
      <c r="H452" s="124"/>
      <c r="I452" s="124"/>
      <c r="J452" s="60"/>
      <c r="K452" s="60"/>
      <c r="L452" s="60"/>
      <c r="M452" s="60"/>
      <c r="N452" s="60">
        <f t="shared" si="137"/>
        <v>0</v>
      </c>
      <c r="O452" s="60">
        <f t="shared" si="138"/>
        <v>0</v>
      </c>
    </row>
    <row r="453" spans="1:15" s="38" customFormat="1" ht="10.7" hidden="1" customHeight="1" outlineLevel="1" x14ac:dyDescent="0.25">
      <c r="A453" s="124"/>
      <c r="B453" s="142"/>
      <c r="C453" s="115"/>
      <c r="D453" s="115"/>
      <c r="E453" s="115"/>
      <c r="F453" s="115"/>
      <c r="G453" s="60" t="s">
        <v>130</v>
      </c>
      <c r="H453" s="124"/>
      <c r="I453" s="124"/>
      <c r="J453" s="60"/>
      <c r="K453" s="60"/>
      <c r="L453" s="60"/>
      <c r="M453" s="60"/>
      <c r="N453" s="60">
        <f t="shared" si="137"/>
        <v>0</v>
      </c>
      <c r="O453" s="60">
        <f t="shared" si="138"/>
        <v>0</v>
      </c>
    </row>
    <row r="454" spans="1:15" s="38" customFormat="1" ht="12" hidden="1" customHeight="1" outlineLevel="1" thickBot="1" x14ac:dyDescent="0.3">
      <c r="A454" s="125"/>
      <c r="B454" s="143"/>
      <c r="C454" s="131"/>
      <c r="D454" s="131"/>
      <c r="E454" s="131"/>
      <c r="F454" s="131"/>
      <c r="G454" s="60" t="s">
        <v>131</v>
      </c>
      <c r="H454" s="134"/>
      <c r="I454" s="134"/>
      <c r="J454" s="60"/>
      <c r="K454" s="60"/>
      <c r="L454" s="60"/>
      <c r="M454" s="60"/>
      <c r="N454" s="60">
        <f t="shared" si="137"/>
        <v>0</v>
      </c>
      <c r="O454" s="60">
        <f t="shared" si="138"/>
        <v>0</v>
      </c>
    </row>
    <row r="455" spans="1:15" s="38" customFormat="1" ht="14.45" hidden="1" customHeight="1" outlineLevel="1" x14ac:dyDescent="0.25">
      <c r="A455" s="140" t="s">
        <v>480</v>
      </c>
      <c r="B455" s="141" t="s">
        <v>475</v>
      </c>
      <c r="C455" s="130">
        <f>SUM(N455:N461)</f>
        <v>0</v>
      </c>
      <c r="D455" s="130">
        <f>SUM(O455:O461)</f>
        <v>0</v>
      </c>
      <c r="E455" s="130">
        <f t="shared" si="126"/>
        <v>0</v>
      </c>
      <c r="F455" s="130"/>
      <c r="G455" s="60" t="s">
        <v>125</v>
      </c>
      <c r="H455" s="123"/>
      <c r="I455" s="123"/>
      <c r="J455" s="60"/>
      <c r="K455" s="60"/>
      <c r="L455" s="60"/>
      <c r="M455" s="60"/>
      <c r="N455" s="60">
        <f>M455*J455*K455*L455</f>
        <v>0</v>
      </c>
      <c r="O455" s="60">
        <f>J455*K455*L455</f>
        <v>0</v>
      </c>
    </row>
    <row r="456" spans="1:15" s="38" customFormat="1" ht="11.45" hidden="1" customHeight="1" outlineLevel="1" x14ac:dyDescent="0.25">
      <c r="A456" s="124"/>
      <c r="B456" s="142"/>
      <c r="C456" s="115"/>
      <c r="D456" s="115"/>
      <c r="E456" s="115"/>
      <c r="F456" s="115"/>
      <c r="G456" s="60" t="s">
        <v>126</v>
      </c>
      <c r="H456" s="124"/>
      <c r="I456" s="124"/>
      <c r="J456" s="60"/>
      <c r="K456" s="60"/>
      <c r="L456" s="60"/>
      <c r="M456" s="60"/>
      <c r="N456" s="60">
        <f t="shared" ref="N456:N461" si="139">M456*J456*K456*L456</f>
        <v>0</v>
      </c>
      <c r="O456" s="60">
        <f t="shared" ref="O456:O461" si="140">J456*K456*L456</f>
        <v>0</v>
      </c>
    </row>
    <row r="457" spans="1:15" s="38" customFormat="1" ht="10.7" hidden="1" customHeight="1" outlineLevel="1" x14ac:dyDescent="0.25">
      <c r="A457" s="124"/>
      <c r="B457" s="142"/>
      <c r="C457" s="115"/>
      <c r="D457" s="115"/>
      <c r="E457" s="115"/>
      <c r="F457" s="115"/>
      <c r="G457" s="60" t="s">
        <v>127</v>
      </c>
      <c r="H457" s="124"/>
      <c r="I457" s="124"/>
      <c r="J457" s="60"/>
      <c r="K457" s="60"/>
      <c r="L457" s="60"/>
      <c r="M457" s="60"/>
      <c r="N457" s="60">
        <f t="shared" si="139"/>
        <v>0</v>
      </c>
      <c r="O457" s="60">
        <f t="shared" si="140"/>
        <v>0</v>
      </c>
    </row>
    <row r="458" spans="1:15" s="38" customFormat="1" ht="10.7" hidden="1" customHeight="1" outlineLevel="1" x14ac:dyDescent="0.25">
      <c r="A458" s="124"/>
      <c r="B458" s="142"/>
      <c r="C458" s="115"/>
      <c r="D458" s="115"/>
      <c r="E458" s="115"/>
      <c r="F458" s="115"/>
      <c r="G458" s="60" t="s">
        <v>128</v>
      </c>
      <c r="H458" s="124"/>
      <c r="I458" s="124"/>
      <c r="J458" s="60"/>
      <c r="K458" s="60"/>
      <c r="L458" s="60"/>
      <c r="M458" s="60"/>
      <c r="N458" s="60">
        <f t="shared" si="139"/>
        <v>0</v>
      </c>
      <c r="O458" s="60">
        <f t="shared" si="140"/>
        <v>0</v>
      </c>
    </row>
    <row r="459" spans="1:15" s="38" customFormat="1" ht="10.7" hidden="1" customHeight="1" outlineLevel="1" x14ac:dyDescent="0.25">
      <c r="A459" s="124"/>
      <c r="B459" s="142"/>
      <c r="C459" s="115"/>
      <c r="D459" s="115"/>
      <c r="E459" s="115"/>
      <c r="F459" s="115"/>
      <c r="G459" s="60" t="s">
        <v>129</v>
      </c>
      <c r="H459" s="124"/>
      <c r="I459" s="124"/>
      <c r="J459" s="60"/>
      <c r="K459" s="60"/>
      <c r="L459" s="60"/>
      <c r="M459" s="60"/>
      <c r="N459" s="60">
        <f t="shared" si="139"/>
        <v>0</v>
      </c>
      <c r="O459" s="60">
        <f t="shared" si="140"/>
        <v>0</v>
      </c>
    </row>
    <row r="460" spans="1:15" s="38" customFormat="1" ht="10.7" hidden="1" customHeight="1" outlineLevel="1" x14ac:dyDescent="0.25">
      <c r="A460" s="124"/>
      <c r="B460" s="142"/>
      <c r="C460" s="115"/>
      <c r="D460" s="115"/>
      <c r="E460" s="115"/>
      <c r="F460" s="115"/>
      <c r="G460" s="60" t="s">
        <v>130</v>
      </c>
      <c r="H460" s="124"/>
      <c r="I460" s="124"/>
      <c r="J460" s="60"/>
      <c r="K460" s="60"/>
      <c r="L460" s="60"/>
      <c r="M460" s="60"/>
      <c r="N460" s="60">
        <f t="shared" si="139"/>
        <v>0</v>
      </c>
      <c r="O460" s="60">
        <f t="shared" si="140"/>
        <v>0</v>
      </c>
    </row>
    <row r="461" spans="1:15" s="38" customFormat="1" ht="12" hidden="1" customHeight="1" outlineLevel="1" thickBot="1" x14ac:dyDescent="0.3">
      <c r="A461" s="125"/>
      <c r="B461" s="143"/>
      <c r="C461" s="131"/>
      <c r="D461" s="131"/>
      <c r="E461" s="131"/>
      <c r="F461" s="131"/>
      <c r="G461" s="60" t="s">
        <v>131</v>
      </c>
      <c r="H461" s="134"/>
      <c r="I461" s="134"/>
      <c r="J461" s="60"/>
      <c r="K461" s="60"/>
      <c r="L461" s="60"/>
      <c r="M461" s="60"/>
      <c r="N461" s="60">
        <f t="shared" si="139"/>
        <v>0</v>
      </c>
      <c r="O461" s="60">
        <f t="shared" si="140"/>
        <v>0</v>
      </c>
    </row>
    <row r="462" spans="1:15" s="38" customFormat="1" ht="14.45" hidden="1" customHeight="1" outlineLevel="1" x14ac:dyDescent="0.25">
      <c r="A462" s="140" t="s">
        <v>482</v>
      </c>
      <c r="B462" s="141" t="s">
        <v>477</v>
      </c>
      <c r="C462" s="130">
        <f>SUM(N462:N468)</f>
        <v>0</v>
      </c>
      <c r="D462" s="130">
        <f>SUM(O462:O468)</f>
        <v>0</v>
      </c>
      <c r="E462" s="130">
        <f t="shared" si="126"/>
        <v>0</v>
      </c>
      <c r="F462" s="130"/>
      <c r="G462" s="60" t="s">
        <v>125</v>
      </c>
      <c r="H462" s="123"/>
      <c r="I462" s="123"/>
      <c r="J462" s="60"/>
      <c r="K462" s="60"/>
      <c r="L462" s="60"/>
      <c r="M462" s="60"/>
      <c r="N462" s="60">
        <f>M462*J462*K462*L462</f>
        <v>0</v>
      </c>
      <c r="O462" s="60">
        <f>J462*K462*L462</f>
        <v>0</v>
      </c>
    </row>
    <row r="463" spans="1:15" s="38" customFormat="1" ht="11.45" hidden="1" customHeight="1" outlineLevel="1" x14ac:dyDescent="0.25">
      <c r="A463" s="124"/>
      <c r="B463" s="142"/>
      <c r="C463" s="115"/>
      <c r="D463" s="115"/>
      <c r="E463" s="115"/>
      <c r="F463" s="115"/>
      <c r="G463" s="60" t="s">
        <v>126</v>
      </c>
      <c r="H463" s="124"/>
      <c r="I463" s="124"/>
      <c r="J463" s="60"/>
      <c r="K463" s="60"/>
      <c r="L463" s="60"/>
      <c r="M463" s="60"/>
      <c r="N463" s="60">
        <f t="shared" ref="N463:N468" si="141">M463*J463*K463*L463</f>
        <v>0</v>
      </c>
      <c r="O463" s="60">
        <f t="shared" ref="O463:O468" si="142">J463*K463*L463</f>
        <v>0</v>
      </c>
    </row>
    <row r="464" spans="1:15" s="38" customFormat="1" ht="10.7" hidden="1" customHeight="1" outlineLevel="1" x14ac:dyDescent="0.25">
      <c r="A464" s="124"/>
      <c r="B464" s="142"/>
      <c r="C464" s="115"/>
      <c r="D464" s="115"/>
      <c r="E464" s="115"/>
      <c r="F464" s="115"/>
      <c r="G464" s="60" t="s">
        <v>127</v>
      </c>
      <c r="H464" s="124"/>
      <c r="I464" s="124"/>
      <c r="J464" s="60"/>
      <c r="K464" s="60"/>
      <c r="L464" s="60"/>
      <c r="M464" s="60"/>
      <c r="N464" s="60">
        <f t="shared" si="141"/>
        <v>0</v>
      </c>
      <c r="O464" s="60">
        <f t="shared" si="142"/>
        <v>0</v>
      </c>
    </row>
    <row r="465" spans="1:15" s="38" customFormat="1" ht="10.7" hidden="1" customHeight="1" outlineLevel="1" x14ac:dyDescent="0.25">
      <c r="A465" s="124"/>
      <c r="B465" s="142"/>
      <c r="C465" s="115"/>
      <c r="D465" s="115"/>
      <c r="E465" s="115"/>
      <c r="F465" s="115"/>
      <c r="G465" s="60" t="s">
        <v>128</v>
      </c>
      <c r="H465" s="124"/>
      <c r="I465" s="124"/>
      <c r="J465" s="60"/>
      <c r="K465" s="60"/>
      <c r="L465" s="60"/>
      <c r="M465" s="60"/>
      <c r="N465" s="60">
        <f t="shared" si="141"/>
        <v>0</v>
      </c>
      <c r="O465" s="60">
        <f t="shared" si="142"/>
        <v>0</v>
      </c>
    </row>
    <row r="466" spans="1:15" s="38" customFormat="1" ht="10.7" hidden="1" customHeight="1" outlineLevel="1" x14ac:dyDescent="0.25">
      <c r="A466" s="124"/>
      <c r="B466" s="142"/>
      <c r="C466" s="115"/>
      <c r="D466" s="115"/>
      <c r="E466" s="115"/>
      <c r="F466" s="115"/>
      <c r="G466" s="60" t="s">
        <v>129</v>
      </c>
      <c r="H466" s="124"/>
      <c r="I466" s="124"/>
      <c r="J466" s="60"/>
      <c r="K466" s="60"/>
      <c r="L466" s="60"/>
      <c r="M466" s="60"/>
      <c r="N466" s="60">
        <f t="shared" si="141"/>
        <v>0</v>
      </c>
      <c r="O466" s="60">
        <f t="shared" si="142"/>
        <v>0</v>
      </c>
    </row>
    <row r="467" spans="1:15" s="38" customFormat="1" ht="10.7" hidden="1" customHeight="1" outlineLevel="1" x14ac:dyDescent="0.25">
      <c r="A467" s="124"/>
      <c r="B467" s="142"/>
      <c r="C467" s="115"/>
      <c r="D467" s="115"/>
      <c r="E467" s="115"/>
      <c r="F467" s="115"/>
      <c r="G467" s="60" t="s">
        <v>130</v>
      </c>
      <c r="H467" s="124"/>
      <c r="I467" s="124"/>
      <c r="J467" s="60"/>
      <c r="K467" s="60"/>
      <c r="L467" s="60"/>
      <c r="M467" s="60"/>
      <c r="N467" s="60">
        <f t="shared" si="141"/>
        <v>0</v>
      </c>
      <c r="O467" s="60">
        <f t="shared" si="142"/>
        <v>0</v>
      </c>
    </row>
    <row r="468" spans="1:15" s="38" customFormat="1" ht="12" hidden="1" customHeight="1" outlineLevel="1" thickBot="1" x14ac:dyDescent="0.3">
      <c r="A468" s="125"/>
      <c r="B468" s="143"/>
      <c r="C468" s="131"/>
      <c r="D468" s="131"/>
      <c r="E468" s="131"/>
      <c r="F468" s="131"/>
      <c r="G468" s="60" t="s">
        <v>131</v>
      </c>
      <c r="H468" s="134"/>
      <c r="I468" s="134"/>
      <c r="J468" s="60"/>
      <c r="K468" s="60"/>
      <c r="L468" s="60"/>
      <c r="M468" s="60"/>
      <c r="N468" s="60">
        <f t="shared" si="141"/>
        <v>0</v>
      </c>
      <c r="O468" s="60">
        <f t="shared" si="142"/>
        <v>0</v>
      </c>
    </row>
    <row r="469" spans="1:15" s="38" customFormat="1" ht="14.45" hidden="1" customHeight="1" outlineLevel="1" x14ac:dyDescent="0.25">
      <c r="A469" s="140" t="s">
        <v>484</v>
      </c>
      <c r="B469" s="141" t="s">
        <v>479</v>
      </c>
      <c r="C469" s="130">
        <f>SUM(N469:N475)</f>
        <v>0</v>
      </c>
      <c r="D469" s="130">
        <f>SUM(O469:O475)</f>
        <v>0</v>
      </c>
      <c r="E469" s="130">
        <f t="shared" si="126"/>
        <v>0</v>
      </c>
      <c r="F469" s="130"/>
      <c r="G469" s="60" t="s">
        <v>125</v>
      </c>
      <c r="H469" s="123"/>
      <c r="I469" s="123"/>
      <c r="J469" s="60"/>
      <c r="K469" s="60"/>
      <c r="L469" s="60"/>
      <c r="M469" s="60"/>
      <c r="N469" s="60">
        <f>M469*J469*K469*L469</f>
        <v>0</v>
      </c>
      <c r="O469" s="60">
        <f>J469*K469*L469</f>
        <v>0</v>
      </c>
    </row>
    <row r="470" spans="1:15" s="38" customFormat="1" ht="11.45" hidden="1" customHeight="1" outlineLevel="1" x14ac:dyDescent="0.25">
      <c r="A470" s="124"/>
      <c r="B470" s="142"/>
      <c r="C470" s="115"/>
      <c r="D470" s="115"/>
      <c r="E470" s="115"/>
      <c r="F470" s="115"/>
      <c r="G470" s="60" t="s">
        <v>126</v>
      </c>
      <c r="H470" s="124"/>
      <c r="I470" s="124"/>
      <c r="J470" s="60"/>
      <c r="K470" s="60"/>
      <c r="L470" s="60"/>
      <c r="M470" s="60"/>
      <c r="N470" s="60">
        <f t="shared" ref="N470:N475" si="143">M470*J470*K470*L470</f>
        <v>0</v>
      </c>
      <c r="O470" s="60">
        <f t="shared" ref="O470:O475" si="144">J470*K470*L470</f>
        <v>0</v>
      </c>
    </row>
    <row r="471" spans="1:15" s="38" customFormat="1" ht="10.7" hidden="1" customHeight="1" outlineLevel="1" x14ac:dyDescent="0.25">
      <c r="A471" s="124"/>
      <c r="B471" s="142"/>
      <c r="C471" s="115"/>
      <c r="D471" s="115"/>
      <c r="E471" s="115"/>
      <c r="F471" s="115"/>
      <c r="G471" s="60" t="s">
        <v>127</v>
      </c>
      <c r="H471" s="124"/>
      <c r="I471" s="124"/>
      <c r="J471" s="60"/>
      <c r="K471" s="60"/>
      <c r="L471" s="60"/>
      <c r="M471" s="60"/>
      <c r="N471" s="60">
        <f t="shared" si="143"/>
        <v>0</v>
      </c>
      <c r="O471" s="60">
        <f t="shared" si="144"/>
        <v>0</v>
      </c>
    </row>
    <row r="472" spans="1:15" s="38" customFormat="1" ht="10.7" hidden="1" customHeight="1" outlineLevel="1" x14ac:dyDescent="0.25">
      <c r="A472" s="124"/>
      <c r="B472" s="142"/>
      <c r="C472" s="115"/>
      <c r="D472" s="115"/>
      <c r="E472" s="115"/>
      <c r="F472" s="115"/>
      <c r="G472" s="60" t="s">
        <v>128</v>
      </c>
      <c r="H472" s="124"/>
      <c r="I472" s="124"/>
      <c r="J472" s="60"/>
      <c r="K472" s="60"/>
      <c r="L472" s="60"/>
      <c r="M472" s="60"/>
      <c r="N472" s="60">
        <f t="shared" si="143"/>
        <v>0</v>
      </c>
      <c r="O472" s="60">
        <f t="shared" si="144"/>
        <v>0</v>
      </c>
    </row>
    <row r="473" spans="1:15" s="38" customFormat="1" ht="10.7" hidden="1" customHeight="1" outlineLevel="1" x14ac:dyDescent="0.25">
      <c r="A473" s="124"/>
      <c r="B473" s="142"/>
      <c r="C473" s="115"/>
      <c r="D473" s="115"/>
      <c r="E473" s="115"/>
      <c r="F473" s="115"/>
      <c r="G473" s="60" t="s">
        <v>129</v>
      </c>
      <c r="H473" s="124"/>
      <c r="I473" s="124"/>
      <c r="J473" s="60"/>
      <c r="K473" s="60"/>
      <c r="L473" s="60"/>
      <c r="M473" s="60"/>
      <c r="N473" s="60">
        <f t="shared" si="143"/>
        <v>0</v>
      </c>
      <c r="O473" s="60">
        <f t="shared" si="144"/>
        <v>0</v>
      </c>
    </row>
    <row r="474" spans="1:15" s="38" customFormat="1" ht="10.7" hidden="1" customHeight="1" outlineLevel="1" x14ac:dyDescent="0.25">
      <c r="A474" s="124"/>
      <c r="B474" s="142"/>
      <c r="C474" s="115"/>
      <c r="D474" s="115"/>
      <c r="E474" s="115"/>
      <c r="F474" s="115"/>
      <c r="G474" s="60" t="s">
        <v>130</v>
      </c>
      <c r="H474" s="124"/>
      <c r="I474" s="124"/>
      <c r="J474" s="60"/>
      <c r="K474" s="60"/>
      <c r="L474" s="60"/>
      <c r="M474" s="60"/>
      <c r="N474" s="60">
        <f t="shared" si="143"/>
        <v>0</v>
      </c>
      <c r="O474" s="60">
        <f t="shared" si="144"/>
        <v>0</v>
      </c>
    </row>
    <row r="475" spans="1:15" s="38" customFormat="1" ht="12" hidden="1" customHeight="1" outlineLevel="1" thickBot="1" x14ac:dyDescent="0.3">
      <c r="A475" s="125"/>
      <c r="B475" s="143"/>
      <c r="C475" s="131"/>
      <c r="D475" s="131"/>
      <c r="E475" s="131"/>
      <c r="F475" s="131"/>
      <c r="G475" s="60" t="s">
        <v>131</v>
      </c>
      <c r="H475" s="134"/>
      <c r="I475" s="134"/>
      <c r="J475" s="60"/>
      <c r="K475" s="60"/>
      <c r="L475" s="60"/>
      <c r="M475" s="60"/>
      <c r="N475" s="60">
        <f t="shared" si="143"/>
        <v>0</v>
      </c>
      <c r="O475" s="60">
        <f t="shared" si="144"/>
        <v>0</v>
      </c>
    </row>
    <row r="476" spans="1:15" s="38" customFormat="1" ht="14.45" hidden="1" customHeight="1" outlineLevel="1" x14ac:dyDescent="0.25">
      <c r="A476" s="140" t="s">
        <v>486</v>
      </c>
      <c r="B476" s="141" t="s">
        <v>481</v>
      </c>
      <c r="C476" s="130">
        <f>SUM(N476:N482)</f>
        <v>0</v>
      </c>
      <c r="D476" s="130">
        <f>SUM(O476:O482)</f>
        <v>0</v>
      </c>
      <c r="E476" s="130">
        <f t="shared" si="126"/>
        <v>0</v>
      </c>
      <c r="F476" s="130"/>
      <c r="G476" s="60" t="s">
        <v>125</v>
      </c>
      <c r="H476" s="123"/>
      <c r="I476" s="123"/>
      <c r="J476" s="60"/>
      <c r="K476" s="60"/>
      <c r="L476" s="60"/>
      <c r="M476" s="60"/>
      <c r="N476" s="60">
        <f>M476*J476*K476*L476</f>
        <v>0</v>
      </c>
      <c r="O476" s="60">
        <f>J476*K476*L476</f>
        <v>0</v>
      </c>
    </row>
    <row r="477" spans="1:15" s="38" customFormat="1" ht="11.45" hidden="1" customHeight="1" outlineLevel="1" x14ac:dyDescent="0.25">
      <c r="A477" s="124"/>
      <c r="B477" s="142"/>
      <c r="C477" s="115"/>
      <c r="D477" s="115"/>
      <c r="E477" s="115"/>
      <c r="F477" s="115"/>
      <c r="G477" s="60" t="s">
        <v>126</v>
      </c>
      <c r="H477" s="124"/>
      <c r="I477" s="124"/>
      <c r="J477" s="60"/>
      <c r="K477" s="60"/>
      <c r="L477" s="60"/>
      <c r="M477" s="60"/>
      <c r="N477" s="60">
        <f t="shared" ref="N477:N482" si="145">M477*J477*K477*L477</f>
        <v>0</v>
      </c>
      <c r="O477" s="60">
        <f t="shared" ref="O477:O482" si="146">J477*K477*L477</f>
        <v>0</v>
      </c>
    </row>
    <row r="478" spans="1:15" s="38" customFormat="1" ht="10.7" hidden="1" customHeight="1" outlineLevel="1" x14ac:dyDescent="0.25">
      <c r="A478" s="124"/>
      <c r="B478" s="142"/>
      <c r="C478" s="115"/>
      <c r="D478" s="115"/>
      <c r="E478" s="115"/>
      <c r="F478" s="115"/>
      <c r="G478" s="60" t="s">
        <v>127</v>
      </c>
      <c r="H478" s="124"/>
      <c r="I478" s="124"/>
      <c r="J478" s="60"/>
      <c r="K478" s="60"/>
      <c r="L478" s="60"/>
      <c r="M478" s="60"/>
      <c r="N478" s="60">
        <f t="shared" si="145"/>
        <v>0</v>
      </c>
      <c r="O478" s="60">
        <f t="shared" si="146"/>
        <v>0</v>
      </c>
    </row>
    <row r="479" spans="1:15" s="38" customFormat="1" ht="10.7" hidden="1" customHeight="1" outlineLevel="1" x14ac:dyDescent="0.25">
      <c r="A479" s="124"/>
      <c r="B479" s="142"/>
      <c r="C479" s="115"/>
      <c r="D479" s="115"/>
      <c r="E479" s="115"/>
      <c r="F479" s="115"/>
      <c r="G479" s="60" t="s">
        <v>128</v>
      </c>
      <c r="H479" s="124"/>
      <c r="I479" s="124"/>
      <c r="J479" s="60"/>
      <c r="K479" s="60"/>
      <c r="L479" s="60"/>
      <c r="M479" s="60"/>
      <c r="N479" s="60">
        <f t="shared" si="145"/>
        <v>0</v>
      </c>
      <c r="O479" s="60">
        <f t="shared" si="146"/>
        <v>0</v>
      </c>
    </row>
    <row r="480" spans="1:15" s="38" customFormat="1" ht="10.7" hidden="1" customHeight="1" outlineLevel="1" x14ac:dyDescent="0.25">
      <c r="A480" s="124"/>
      <c r="B480" s="142"/>
      <c r="C480" s="115"/>
      <c r="D480" s="115"/>
      <c r="E480" s="115"/>
      <c r="F480" s="115"/>
      <c r="G480" s="60" t="s">
        <v>129</v>
      </c>
      <c r="H480" s="124"/>
      <c r="I480" s="124"/>
      <c r="J480" s="60"/>
      <c r="K480" s="60"/>
      <c r="L480" s="60"/>
      <c r="M480" s="60"/>
      <c r="N480" s="60">
        <f t="shared" si="145"/>
        <v>0</v>
      </c>
      <c r="O480" s="60">
        <f t="shared" si="146"/>
        <v>0</v>
      </c>
    </row>
    <row r="481" spans="1:15" s="38" customFormat="1" ht="10.7" hidden="1" customHeight="1" outlineLevel="1" x14ac:dyDescent="0.25">
      <c r="A481" s="124"/>
      <c r="B481" s="142"/>
      <c r="C481" s="115"/>
      <c r="D481" s="115"/>
      <c r="E481" s="115"/>
      <c r="F481" s="115"/>
      <c r="G481" s="60" t="s">
        <v>130</v>
      </c>
      <c r="H481" s="124"/>
      <c r="I481" s="124"/>
      <c r="J481" s="60"/>
      <c r="K481" s="60"/>
      <c r="L481" s="60"/>
      <c r="M481" s="60"/>
      <c r="N481" s="60">
        <f t="shared" si="145"/>
        <v>0</v>
      </c>
      <c r="O481" s="60">
        <f t="shared" si="146"/>
        <v>0</v>
      </c>
    </row>
    <row r="482" spans="1:15" s="38" customFormat="1" ht="12" hidden="1" customHeight="1" outlineLevel="1" thickBot="1" x14ac:dyDescent="0.3">
      <c r="A482" s="125"/>
      <c r="B482" s="143"/>
      <c r="C482" s="131"/>
      <c r="D482" s="131"/>
      <c r="E482" s="131"/>
      <c r="F482" s="131"/>
      <c r="G482" s="60" t="s">
        <v>131</v>
      </c>
      <c r="H482" s="134"/>
      <c r="I482" s="134"/>
      <c r="J482" s="60"/>
      <c r="K482" s="60"/>
      <c r="L482" s="60"/>
      <c r="M482" s="60"/>
      <c r="N482" s="60">
        <f t="shared" si="145"/>
        <v>0</v>
      </c>
      <c r="O482" s="60">
        <f t="shared" si="146"/>
        <v>0</v>
      </c>
    </row>
    <row r="483" spans="1:15" s="38" customFormat="1" ht="14.45" hidden="1" customHeight="1" outlineLevel="1" x14ac:dyDescent="0.25">
      <c r="A483" s="140" t="s">
        <v>487</v>
      </c>
      <c r="B483" s="141" t="s">
        <v>483</v>
      </c>
      <c r="C483" s="130">
        <f>SUM(N483:N489)</f>
        <v>0</v>
      </c>
      <c r="D483" s="130">
        <f>SUM(O483:O489)</f>
        <v>0</v>
      </c>
      <c r="E483" s="130">
        <f t="shared" ref="E483:E511" si="147">D483/8</f>
        <v>0</v>
      </c>
      <c r="F483" s="130"/>
      <c r="G483" s="60" t="s">
        <v>125</v>
      </c>
      <c r="H483" s="123"/>
      <c r="I483" s="123"/>
      <c r="J483" s="60"/>
      <c r="K483" s="60"/>
      <c r="L483" s="60"/>
      <c r="M483" s="60"/>
      <c r="N483" s="60">
        <f>M483*J483*K483*L483</f>
        <v>0</v>
      </c>
      <c r="O483" s="60">
        <f>J483*K483*L483</f>
        <v>0</v>
      </c>
    </row>
    <row r="484" spans="1:15" s="38" customFormat="1" ht="11.45" hidden="1" customHeight="1" outlineLevel="1" x14ac:dyDescent="0.25">
      <c r="A484" s="124"/>
      <c r="B484" s="142"/>
      <c r="C484" s="115"/>
      <c r="D484" s="115"/>
      <c r="E484" s="115"/>
      <c r="F484" s="115"/>
      <c r="G484" s="60" t="s">
        <v>126</v>
      </c>
      <c r="H484" s="124"/>
      <c r="I484" s="124"/>
      <c r="J484" s="60"/>
      <c r="K484" s="60"/>
      <c r="L484" s="60"/>
      <c r="M484" s="60"/>
      <c r="N484" s="60">
        <f t="shared" ref="N484:N489" si="148">M484*J484*K484*L484</f>
        <v>0</v>
      </c>
      <c r="O484" s="60">
        <f t="shared" ref="O484:O489" si="149">J484*K484*L484</f>
        <v>0</v>
      </c>
    </row>
    <row r="485" spans="1:15" s="38" customFormat="1" ht="10.7" hidden="1" customHeight="1" outlineLevel="1" x14ac:dyDescent="0.25">
      <c r="A485" s="124"/>
      <c r="B485" s="142"/>
      <c r="C485" s="115"/>
      <c r="D485" s="115"/>
      <c r="E485" s="115"/>
      <c r="F485" s="115"/>
      <c r="G485" s="60" t="s">
        <v>127</v>
      </c>
      <c r="H485" s="124"/>
      <c r="I485" s="124"/>
      <c r="J485" s="60"/>
      <c r="K485" s="60"/>
      <c r="L485" s="60"/>
      <c r="M485" s="60"/>
      <c r="N485" s="60">
        <f t="shared" si="148"/>
        <v>0</v>
      </c>
      <c r="O485" s="60">
        <f t="shared" si="149"/>
        <v>0</v>
      </c>
    </row>
    <row r="486" spans="1:15" s="38" customFormat="1" ht="10.7" hidden="1" customHeight="1" outlineLevel="1" x14ac:dyDescent="0.25">
      <c r="A486" s="124"/>
      <c r="B486" s="142"/>
      <c r="C486" s="115"/>
      <c r="D486" s="115"/>
      <c r="E486" s="115"/>
      <c r="F486" s="115"/>
      <c r="G486" s="60" t="s">
        <v>128</v>
      </c>
      <c r="H486" s="124"/>
      <c r="I486" s="124"/>
      <c r="J486" s="60"/>
      <c r="K486" s="60"/>
      <c r="L486" s="60"/>
      <c r="M486" s="60"/>
      <c r="N486" s="60">
        <f t="shared" si="148"/>
        <v>0</v>
      </c>
      <c r="O486" s="60">
        <f t="shared" si="149"/>
        <v>0</v>
      </c>
    </row>
    <row r="487" spans="1:15" s="38" customFormat="1" ht="10.7" hidden="1" customHeight="1" outlineLevel="1" x14ac:dyDescent="0.25">
      <c r="A487" s="124"/>
      <c r="B487" s="142"/>
      <c r="C487" s="115"/>
      <c r="D487" s="115"/>
      <c r="E487" s="115"/>
      <c r="F487" s="115"/>
      <c r="G487" s="60" t="s">
        <v>129</v>
      </c>
      <c r="H487" s="124"/>
      <c r="I487" s="124"/>
      <c r="J487" s="60"/>
      <c r="K487" s="60"/>
      <c r="L487" s="60"/>
      <c r="M487" s="60"/>
      <c r="N487" s="60">
        <f t="shared" si="148"/>
        <v>0</v>
      </c>
      <c r="O487" s="60">
        <f t="shared" si="149"/>
        <v>0</v>
      </c>
    </row>
    <row r="488" spans="1:15" s="38" customFormat="1" ht="10.7" hidden="1" customHeight="1" outlineLevel="1" x14ac:dyDescent="0.25">
      <c r="A488" s="124"/>
      <c r="B488" s="142"/>
      <c r="C488" s="115"/>
      <c r="D488" s="115"/>
      <c r="E488" s="115"/>
      <c r="F488" s="115"/>
      <c r="G488" s="60" t="s">
        <v>130</v>
      </c>
      <c r="H488" s="124"/>
      <c r="I488" s="124"/>
      <c r="J488" s="60"/>
      <c r="K488" s="60"/>
      <c r="L488" s="60"/>
      <c r="M488" s="60"/>
      <c r="N488" s="60">
        <f t="shared" si="148"/>
        <v>0</v>
      </c>
      <c r="O488" s="60">
        <f t="shared" si="149"/>
        <v>0</v>
      </c>
    </row>
    <row r="489" spans="1:15" s="38" customFormat="1" ht="12" hidden="1" customHeight="1" outlineLevel="1" thickBot="1" x14ac:dyDescent="0.3">
      <c r="A489" s="125"/>
      <c r="B489" s="143"/>
      <c r="C489" s="131"/>
      <c r="D489" s="131"/>
      <c r="E489" s="131"/>
      <c r="F489" s="131"/>
      <c r="G489" s="60" t="s">
        <v>131</v>
      </c>
      <c r="H489" s="134"/>
      <c r="I489" s="134"/>
      <c r="J489" s="60"/>
      <c r="K489" s="60"/>
      <c r="L489" s="60"/>
      <c r="M489" s="60"/>
      <c r="N489" s="60">
        <f t="shared" si="148"/>
        <v>0</v>
      </c>
      <c r="O489" s="60">
        <f t="shared" si="149"/>
        <v>0</v>
      </c>
    </row>
    <row r="490" spans="1:15" s="38" customFormat="1" ht="14.45" hidden="1" customHeight="1" outlineLevel="1" x14ac:dyDescent="0.25">
      <c r="A490" s="140" t="s">
        <v>489</v>
      </c>
      <c r="B490" s="141" t="s">
        <v>558</v>
      </c>
      <c r="C490" s="130">
        <f>SUM(N490:N496)</f>
        <v>0</v>
      </c>
      <c r="D490" s="130">
        <f>SUM(O490:O496)</f>
        <v>0</v>
      </c>
      <c r="E490" s="130">
        <f t="shared" si="147"/>
        <v>0</v>
      </c>
      <c r="F490" s="130"/>
      <c r="G490" s="60" t="s">
        <v>125</v>
      </c>
      <c r="H490" s="123"/>
      <c r="I490" s="123"/>
      <c r="J490" s="60"/>
      <c r="K490" s="60"/>
      <c r="L490" s="60"/>
      <c r="M490" s="60"/>
      <c r="N490" s="60">
        <f>M490*J490*K490*L490</f>
        <v>0</v>
      </c>
      <c r="O490" s="60">
        <f>J490*K490*L490</f>
        <v>0</v>
      </c>
    </row>
    <row r="491" spans="1:15" s="38" customFormat="1" ht="11.45" hidden="1" customHeight="1" outlineLevel="1" x14ac:dyDescent="0.25">
      <c r="A491" s="124"/>
      <c r="B491" s="142"/>
      <c r="C491" s="115"/>
      <c r="D491" s="115"/>
      <c r="E491" s="115"/>
      <c r="F491" s="115"/>
      <c r="G491" s="60" t="s">
        <v>126</v>
      </c>
      <c r="H491" s="124"/>
      <c r="I491" s="124"/>
      <c r="J491" s="60"/>
      <c r="K491" s="60"/>
      <c r="L491" s="60"/>
      <c r="M491" s="60"/>
      <c r="N491" s="60">
        <f t="shared" ref="N491:N496" si="150">M491*J491*K491*L491</f>
        <v>0</v>
      </c>
      <c r="O491" s="60">
        <f t="shared" ref="O491:O496" si="151">J491*K491*L491</f>
        <v>0</v>
      </c>
    </row>
    <row r="492" spans="1:15" s="38" customFormat="1" ht="10.7" hidden="1" customHeight="1" outlineLevel="1" x14ac:dyDescent="0.25">
      <c r="A492" s="124"/>
      <c r="B492" s="142"/>
      <c r="C492" s="115"/>
      <c r="D492" s="115"/>
      <c r="E492" s="115"/>
      <c r="F492" s="115"/>
      <c r="G492" s="60" t="s">
        <v>127</v>
      </c>
      <c r="H492" s="124"/>
      <c r="I492" s="124"/>
      <c r="J492" s="60"/>
      <c r="K492" s="60"/>
      <c r="L492" s="60"/>
      <c r="M492" s="60"/>
      <c r="N492" s="60">
        <f t="shared" si="150"/>
        <v>0</v>
      </c>
      <c r="O492" s="60">
        <f t="shared" si="151"/>
        <v>0</v>
      </c>
    </row>
    <row r="493" spans="1:15" s="38" customFormat="1" ht="10.7" hidden="1" customHeight="1" outlineLevel="1" x14ac:dyDescent="0.25">
      <c r="A493" s="124"/>
      <c r="B493" s="142"/>
      <c r="C493" s="115"/>
      <c r="D493" s="115"/>
      <c r="E493" s="115"/>
      <c r="F493" s="115"/>
      <c r="G493" s="60" t="s">
        <v>128</v>
      </c>
      <c r="H493" s="124"/>
      <c r="I493" s="124"/>
      <c r="J493" s="60"/>
      <c r="K493" s="60"/>
      <c r="L493" s="60"/>
      <c r="M493" s="60"/>
      <c r="N493" s="60">
        <f t="shared" si="150"/>
        <v>0</v>
      </c>
      <c r="O493" s="60">
        <f t="shared" si="151"/>
        <v>0</v>
      </c>
    </row>
    <row r="494" spans="1:15" s="38" customFormat="1" ht="10.7" hidden="1" customHeight="1" outlineLevel="1" x14ac:dyDescent="0.25">
      <c r="A494" s="124"/>
      <c r="B494" s="142"/>
      <c r="C494" s="115"/>
      <c r="D494" s="115"/>
      <c r="E494" s="115"/>
      <c r="F494" s="115"/>
      <c r="G494" s="60" t="s">
        <v>129</v>
      </c>
      <c r="H494" s="124"/>
      <c r="I494" s="124"/>
      <c r="J494" s="60"/>
      <c r="K494" s="60"/>
      <c r="L494" s="60"/>
      <c r="M494" s="60"/>
      <c r="N494" s="60">
        <f t="shared" si="150"/>
        <v>0</v>
      </c>
      <c r="O494" s="60">
        <f t="shared" si="151"/>
        <v>0</v>
      </c>
    </row>
    <row r="495" spans="1:15" s="38" customFormat="1" ht="10.7" hidden="1" customHeight="1" outlineLevel="1" x14ac:dyDescent="0.25">
      <c r="A495" s="124"/>
      <c r="B495" s="142"/>
      <c r="C495" s="115"/>
      <c r="D495" s="115"/>
      <c r="E495" s="115"/>
      <c r="F495" s="115"/>
      <c r="G495" s="60" t="s">
        <v>130</v>
      </c>
      <c r="H495" s="124"/>
      <c r="I495" s="124"/>
      <c r="J495" s="60"/>
      <c r="K495" s="60"/>
      <c r="L495" s="60"/>
      <c r="M495" s="60"/>
      <c r="N495" s="60">
        <f t="shared" si="150"/>
        <v>0</v>
      </c>
      <c r="O495" s="60">
        <f t="shared" si="151"/>
        <v>0</v>
      </c>
    </row>
    <row r="496" spans="1:15" s="38" customFormat="1" ht="12" hidden="1" customHeight="1" outlineLevel="1" thickBot="1" x14ac:dyDescent="0.3">
      <c r="A496" s="125"/>
      <c r="B496" s="143"/>
      <c r="C496" s="131"/>
      <c r="D496" s="131"/>
      <c r="E496" s="131"/>
      <c r="F496" s="131"/>
      <c r="G496" s="60" t="s">
        <v>131</v>
      </c>
      <c r="H496" s="134"/>
      <c r="I496" s="134"/>
      <c r="J496" s="60"/>
      <c r="K496" s="60"/>
      <c r="L496" s="60"/>
      <c r="M496" s="60"/>
      <c r="N496" s="60">
        <f t="shared" si="150"/>
        <v>0</v>
      </c>
      <c r="O496" s="60">
        <f t="shared" si="151"/>
        <v>0</v>
      </c>
    </row>
    <row r="497" spans="1:15" s="38" customFormat="1" ht="14.45" hidden="1" customHeight="1" outlineLevel="1" x14ac:dyDescent="0.25">
      <c r="A497" s="140" t="s">
        <v>491</v>
      </c>
      <c r="B497" s="141" t="s">
        <v>559</v>
      </c>
      <c r="C497" s="130">
        <f>SUM(N497:N503)</f>
        <v>0</v>
      </c>
      <c r="D497" s="130">
        <f>SUM(O497:O503)</f>
        <v>0</v>
      </c>
      <c r="E497" s="130">
        <f t="shared" si="147"/>
        <v>0</v>
      </c>
      <c r="F497" s="130"/>
      <c r="G497" s="60" t="s">
        <v>125</v>
      </c>
      <c r="H497" s="123"/>
      <c r="I497" s="123"/>
      <c r="J497" s="60"/>
      <c r="K497" s="60"/>
      <c r="L497" s="60"/>
      <c r="M497" s="60"/>
      <c r="N497" s="60">
        <f>M497*J497*K497*L497</f>
        <v>0</v>
      </c>
      <c r="O497" s="60">
        <f>J497*K497*L497</f>
        <v>0</v>
      </c>
    </row>
    <row r="498" spans="1:15" s="38" customFormat="1" ht="11.45" hidden="1" customHeight="1" outlineLevel="1" x14ac:dyDescent="0.25">
      <c r="A498" s="124"/>
      <c r="B498" s="142"/>
      <c r="C498" s="115"/>
      <c r="D498" s="115"/>
      <c r="E498" s="115"/>
      <c r="F498" s="115"/>
      <c r="G498" s="60" t="s">
        <v>126</v>
      </c>
      <c r="H498" s="124"/>
      <c r="I498" s="124"/>
      <c r="J498" s="60"/>
      <c r="K498" s="60"/>
      <c r="L498" s="60"/>
      <c r="M498" s="60"/>
      <c r="N498" s="60">
        <f t="shared" ref="N498:N503" si="152">M498*J498*K498*L498</f>
        <v>0</v>
      </c>
      <c r="O498" s="60">
        <f t="shared" ref="O498:O503" si="153">J498*K498*L498</f>
        <v>0</v>
      </c>
    </row>
    <row r="499" spans="1:15" s="38" customFormat="1" ht="10.7" hidden="1" customHeight="1" outlineLevel="1" x14ac:dyDescent="0.25">
      <c r="A499" s="124"/>
      <c r="B499" s="142"/>
      <c r="C499" s="115"/>
      <c r="D499" s="115"/>
      <c r="E499" s="115"/>
      <c r="F499" s="115"/>
      <c r="G499" s="60" t="s">
        <v>127</v>
      </c>
      <c r="H499" s="124"/>
      <c r="I499" s="124"/>
      <c r="J499" s="60"/>
      <c r="K499" s="60"/>
      <c r="L499" s="60"/>
      <c r="M499" s="60"/>
      <c r="N499" s="60">
        <f t="shared" si="152"/>
        <v>0</v>
      </c>
      <c r="O499" s="60">
        <f t="shared" si="153"/>
        <v>0</v>
      </c>
    </row>
    <row r="500" spans="1:15" s="38" customFormat="1" ht="10.7" hidden="1" customHeight="1" outlineLevel="1" x14ac:dyDescent="0.25">
      <c r="A500" s="124"/>
      <c r="B500" s="142"/>
      <c r="C500" s="115"/>
      <c r="D500" s="115"/>
      <c r="E500" s="115"/>
      <c r="F500" s="115"/>
      <c r="G500" s="60" t="s">
        <v>128</v>
      </c>
      <c r="H500" s="124"/>
      <c r="I500" s="124"/>
      <c r="J500" s="60"/>
      <c r="K500" s="60"/>
      <c r="L500" s="60"/>
      <c r="M500" s="60"/>
      <c r="N500" s="60">
        <f t="shared" si="152"/>
        <v>0</v>
      </c>
      <c r="O500" s="60">
        <f t="shared" si="153"/>
        <v>0</v>
      </c>
    </row>
    <row r="501" spans="1:15" s="38" customFormat="1" ht="10.7" hidden="1" customHeight="1" outlineLevel="1" x14ac:dyDescent="0.25">
      <c r="A501" s="124"/>
      <c r="B501" s="142"/>
      <c r="C501" s="115"/>
      <c r="D501" s="115"/>
      <c r="E501" s="115"/>
      <c r="F501" s="115"/>
      <c r="G501" s="60" t="s">
        <v>129</v>
      </c>
      <c r="H501" s="124"/>
      <c r="I501" s="124"/>
      <c r="J501" s="60"/>
      <c r="K501" s="60"/>
      <c r="L501" s="60"/>
      <c r="M501" s="60"/>
      <c r="N501" s="60">
        <f t="shared" si="152"/>
        <v>0</v>
      </c>
      <c r="O501" s="60">
        <f t="shared" si="153"/>
        <v>0</v>
      </c>
    </row>
    <row r="502" spans="1:15" s="38" customFormat="1" ht="10.7" hidden="1" customHeight="1" outlineLevel="1" x14ac:dyDescent="0.25">
      <c r="A502" s="124"/>
      <c r="B502" s="142"/>
      <c r="C502" s="115"/>
      <c r="D502" s="115"/>
      <c r="E502" s="115"/>
      <c r="F502" s="115"/>
      <c r="G502" s="60" t="s">
        <v>130</v>
      </c>
      <c r="H502" s="124"/>
      <c r="I502" s="124"/>
      <c r="J502" s="60"/>
      <c r="K502" s="60"/>
      <c r="L502" s="60"/>
      <c r="M502" s="60"/>
      <c r="N502" s="60">
        <f t="shared" si="152"/>
        <v>0</v>
      </c>
      <c r="O502" s="60">
        <f t="shared" si="153"/>
        <v>0</v>
      </c>
    </row>
    <row r="503" spans="1:15" s="38" customFormat="1" ht="12" hidden="1" customHeight="1" outlineLevel="1" thickBot="1" x14ac:dyDescent="0.3">
      <c r="A503" s="125"/>
      <c r="B503" s="143"/>
      <c r="C503" s="131"/>
      <c r="D503" s="131"/>
      <c r="E503" s="131"/>
      <c r="F503" s="131"/>
      <c r="G503" s="60" t="s">
        <v>131</v>
      </c>
      <c r="H503" s="134"/>
      <c r="I503" s="134"/>
      <c r="J503" s="60"/>
      <c r="K503" s="60"/>
      <c r="L503" s="60"/>
      <c r="M503" s="60"/>
      <c r="N503" s="60">
        <f t="shared" si="152"/>
        <v>0</v>
      </c>
      <c r="O503" s="60">
        <f t="shared" si="153"/>
        <v>0</v>
      </c>
    </row>
    <row r="504" spans="1:15" s="38" customFormat="1" ht="14.45" hidden="1" customHeight="1" outlineLevel="1" x14ac:dyDescent="0.25">
      <c r="A504" s="140" t="s">
        <v>493</v>
      </c>
      <c r="B504" s="141" t="s">
        <v>560</v>
      </c>
      <c r="C504" s="130">
        <f>SUM(N504:N510)</f>
        <v>0</v>
      </c>
      <c r="D504" s="130">
        <f>SUM(O504:O510)</f>
        <v>0</v>
      </c>
      <c r="E504" s="130">
        <f t="shared" si="147"/>
        <v>0</v>
      </c>
      <c r="F504" s="130"/>
      <c r="G504" s="60" t="s">
        <v>125</v>
      </c>
      <c r="H504" s="123"/>
      <c r="I504" s="123"/>
      <c r="J504" s="60"/>
      <c r="K504" s="60"/>
      <c r="L504" s="60"/>
      <c r="M504" s="60"/>
      <c r="N504" s="60">
        <f>M504*J504*K504*L504</f>
        <v>0</v>
      </c>
      <c r="O504" s="60">
        <f>J504*K504*L504</f>
        <v>0</v>
      </c>
    </row>
    <row r="505" spans="1:15" s="38" customFormat="1" ht="11.45" hidden="1" customHeight="1" outlineLevel="1" x14ac:dyDescent="0.25">
      <c r="A505" s="124"/>
      <c r="B505" s="142"/>
      <c r="C505" s="115"/>
      <c r="D505" s="115"/>
      <c r="E505" s="115"/>
      <c r="F505" s="115"/>
      <c r="G505" s="60" t="s">
        <v>126</v>
      </c>
      <c r="H505" s="124"/>
      <c r="I505" s="124"/>
      <c r="J505" s="60"/>
      <c r="K505" s="60"/>
      <c r="L505" s="60"/>
      <c r="M505" s="60"/>
      <c r="N505" s="60">
        <f t="shared" ref="N505:N510" si="154">M505*J505*K505*L505</f>
        <v>0</v>
      </c>
      <c r="O505" s="60">
        <f t="shared" ref="O505:O510" si="155">J505*K505*L505</f>
        <v>0</v>
      </c>
    </row>
    <row r="506" spans="1:15" s="38" customFormat="1" ht="10.7" hidden="1" customHeight="1" outlineLevel="1" x14ac:dyDescent="0.25">
      <c r="A506" s="124"/>
      <c r="B506" s="142"/>
      <c r="C506" s="115"/>
      <c r="D506" s="115"/>
      <c r="E506" s="115"/>
      <c r="F506" s="115"/>
      <c r="G506" s="60" t="s">
        <v>127</v>
      </c>
      <c r="H506" s="124"/>
      <c r="I506" s="124"/>
      <c r="J506" s="60"/>
      <c r="K506" s="60"/>
      <c r="L506" s="60"/>
      <c r="M506" s="60"/>
      <c r="N506" s="60">
        <f t="shared" si="154"/>
        <v>0</v>
      </c>
      <c r="O506" s="60">
        <f t="shared" si="155"/>
        <v>0</v>
      </c>
    </row>
    <row r="507" spans="1:15" s="38" customFormat="1" ht="10.7" hidden="1" customHeight="1" outlineLevel="1" x14ac:dyDescent="0.25">
      <c r="A507" s="124"/>
      <c r="B507" s="142"/>
      <c r="C507" s="115"/>
      <c r="D507" s="115"/>
      <c r="E507" s="115"/>
      <c r="F507" s="115"/>
      <c r="G507" s="60" t="s">
        <v>128</v>
      </c>
      <c r="H507" s="124"/>
      <c r="I507" s="124"/>
      <c r="J507" s="60"/>
      <c r="K507" s="60"/>
      <c r="L507" s="60"/>
      <c r="M507" s="60"/>
      <c r="N507" s="60">
        <f t="shared" si="154"/>
        <v>0</v>
      </c>
      <c r="O507" s="60">
        <f t="shared" si="155"/>
        <v>0</v>
      </c>
    </row>
    <row r="508" spans="1:15" s="38" customFormat="1" ht="10.7" hidden="1" customHeight="1" outlineLevel="1" x14ac:dyDescent="0.25">
      <c r="A508" s="124"/>
      <c r="B508" s="142"/>
      <c r="C508" s="115"/>
      <c r="D508" s="115"/>
      <c r="E508" s="115"/>
      <c r="F508" s="115"/>
      <c r="G508" s="60" t="s">
        <v>129</v>
      </c>
      <c r="H508" s="124"/>
      <c r="I508" s="124"/>
      <c r="J508" s="60"/>
      <c r="K508" s="60"/>
      <c r="L508" s="60"/>
      <c r="M508" s="60"/>
      <c r="N508" s="60">
        <f t="shared" si="154"/>
        <v>0</v>
      </c>
      <c r="O508" s="60">
        <f t="shared" si="155"/>
        <v>0</v>
      </c>
    </row>
    <row r="509" spans="1:15" s="38" customFormat="1" ht="10.7" hidden="1" customHeight="1" outlineLevel="1" x14ac:dyDescent="0.25">
      <c r="A509" s="124"/>
      <c r="B509" s="142"/>
      <c r="C509" s="115"/>
      <c r="D509" s="115"/>
      <c r="E509" s="115"/>
      <c r="F509" s="115"/>
      <c r="G509" s="60" t="s">
        <v>130</v>
      </c>
      <c r="H509" s="124"/>
      <c r="I509" s="124"/>
      <c r="J509" s="60"/>
      <c r="K509" s="60"/>
      <c r="L509" s="60"/>
      <c r="M509" s="60"/>
      <c r="N509" s="60">
        <f t="shared" si="154"/>
        <v>0</v>
      </c>
      <c r="O509" s="60">
        <f t="shared" si="155"/>
        <v>0</v>
      </c>
    </row>
    <row r="510" spans="1:15" s="38" customFormat="1" ht="12" hidden="1" customHeight="1" outlineLevel="1" thickBot="1" x14ac:dyDescent="0.3">
      <c r="A510" s="125"/>
      <c r="B510" s="143"/>
      <c r="C510" s="131"/>
      <c r="D510" s="131"/>
      <c r="E510" s="131"/>
      <c r="F510" s="131"/>
      <c r="G510" s="60" t="s">
        <v>131</v>
      </c>
      <c r="H510" s="134"/>
      <c r="I510" s="134"/>
      <c r="J510" s="60"/>
      <c r="K510" s="60"/>
      <c r="L510" s="60"/>
      <c r="M510" s="60"/>
      <c r="N510" s="60">
        <f t="shared" si="154"/>
        <v>0</v>
      </c>
      <c r="O510" s="60">
        <f t="shared" si="155"/>
        <v>0</v>
      </c>
    </row>
    <row r="511" spans="1:15" s="38" customFormat="1" ht="14.45" hidden="1" customHeight="1" outlineLevel="1" x14ac:dyDescent="0.25">
      <c r="A511" s="140" t="s">
        <v>495</v>
      </c>
      <c r="B511" s="141" t="s">
        <v>561</v>
      </c>
      <c r="C511" s="130">
        <f>SUM(N511:N517)</f>
        <v>0</v>
      </c>
      <c r="D511" s="130">
        <f>SUM(O511:O517)</f>
        <v>0</v>
      </c>
      <c r="E511" s="130">
        <f t="shared" si="147"/>
        <v>0</v>
      </c>
      <c r="F511" s="130"/>
      <c r="G511" s="60" t="s">
        <v>125</v>
      </c>
      <c r="H511" s="123"/>
      <c r="I511" s="123"/>
      <c r="J511" s="60"/>
      <c r="K511" s="60"/>
      <c r="L511" s="60"/>
      <c r="M511" s="60"/>
      <c r="N511" s="60">
        <f>M511*J511*K511*L511</f>
        <v>0</v>
      </c>
      <c r="O511" s="60">
        <f>J511*K511*L511</f>
        <v>0</v>
      </c>
    </row>
    <row r="512" spans="1:15" s="38" customFormat="1" ht="11.45" hidden="1" customHeight="1" outlineLevel="1" x14ac:dyDescent="0.25">
      <c r="A512" s="124"/>
      <c r="B512" s="142"/>
      <c r="C512" s="115"/>
      <c r="D512" s="115"/>
      <c r="E512" s="115"/>
      <c r="F512" s="115"/>
      <c r="G512" s="60" t="s">
        <v>126</v>
      </c>
      <c r="H512" s="124"/>
      <c r="I512" s="124"/>
      <c r="J512" s="60"/>
      <c r="K512" s="60"/>
      <c r="L512" s="60"/>
      <c r="M512" s="60"/>
      <c r="N512" s="60">
        <f t="shared" ref="N512:N517" si="156">M512*J512*K512*L512</f>
        <v>0</v>
      </c>
      <c r="O512" s="60">
        <f t="shared" ref="O512:O517" si="157">J512*K512*L512</f>
        <v>0</v>
      </c>
    </row>
    <row r="513" spans="1:15" s="38" customFormat="1" ht="10.7" hidden="1" customHeight="1" outlineLevel="1" x14ac:dyDescent="0.25">
      <c r="A513" s="124"/>
      <c r="B513" s="142"/>
      <c r="C513" s="115"/>
      <c r="D513" s="115"/>
      <c r="E513" s="115"/>
      <c r="F513" s="115"/>
      <c r="G513" s="60" t="s">
        <v>127</v>
      </c>
      <c r="H513" s="124"/>
      <c r="I513" s="124"/>
      <c r="J513" s="60"/>
      <c r="K513" s="60"/>
      <c r="L513" s="60"/>
      <c r="M513" s="60"/>
      <c r="N513" s="60">
        <f t="shared" si="156"/>
        <v>0</v>
      </c>
      <c r="O513" s="60">
        <f t="shared" si="157"/>
        <v>0</v>
      </c>
    </row>
    <row r="514" spans="1:15" s="38" customFormat="1" ht="10.7" hidden="1" customHeight="1" outlineLevel="1" x14ac:dyDescent="0.25">
      <c r="A514" s="124"/>
      <c r="B514" s="142"/>
      <c r="C514" s="115"/>
      <c r="D514" s="115"/>
      <c r="E514" s="115"/>
      <c r="F514" s="115"/>
      <c r="G514" s="60" t="s">
        <v>128</v>
      </c>
      <c r="H514" s="124"/>
      <c r="I514" s="124"/>
      <c r="J514" s="60"/>
      <c r="K514" s="60"/>
      <c r="L514" s="60"/>
      <c r="M514" s="60"/>
      <c r="N514" s="60">
        <f t="shared" si="156"/>
        <v>0</v>
      </c>
      <c r="O514" s="60">
        <f t="shared" si="157"/>
        <v>0</v>
      </c>
    </row>
    <row r="515" spans="1:15" s="38" customFormat="1" ht="10.7" hidden="1" customHeight="1" outlineLevel="1" x14ac:dyDescent="0.25">
      <c r="A515" s="124"/>
      <c r="B515" s="142"/>
      <c r="C515" s="115"/>
      <c r="D515" s="115"/>
      <c r="E515" s="115"/>
      <c r="F515" s="115"/>
      <c r="G515" s="60" t="s">
        <v>129</v>
      </c>
      <c r="H515" s="124"/>
      <c r="I515" s="124"/>
      <c r="J515" s="60"/>
      <c r="K515" s="60"/>
      <c r="L515" s="60"/>
      <c r="M515" s="60"/>
      <c r="N515" s="60">
        <f t="shared" si="156"/>
        <v>0</v>
      </c>
      <c r="O515" s="60">
        <f t="shared" si="157"/>
        <v>0</v>
      </c>
    </row>
    <row r="516" spans="1:15" s="38" customFormat="1" ht="10.7" hidden="1" customHeight="1" outlineLevel="1" x14ac:dyDescent="0.25">
      <c r="A516" s="124"/>
      <c r="B516" s="142"/>
      <c r="C516" s="115"/>
      <c r="D516" s="115"/>
      <c r="E516" s="115"/>
      <c r="F516" s="115"/>
      <c r="G516" s="60" t="s">
        <v>130</v>
      </c>
      <c r="H516" s="124"/>
      <c r="I516" s="124"/>
      <c r="J516" s="60"/>
      <c r="K516" s="60"/>
      <c r="L516" s="60"/>
      <c r="M516" s="60"/>
      <c r="N516" s="60">
        <f t="shared" si="156"/>
        <v>0</v>
      </c>
      <c r="O516" s="60">
        <f t="shared" si="157"/>
        <v>0</v>
      </c>
    </row>
    <row r="517" spans="1:15" s="38" customFormat="1" ht="12" hidden="1" customHeight="1" outlineLevel="1" thickBot="1" x14ac:dyDescent="0.3">
      <c r="A517" s="125"/>
      <c r="B517" s="143"/>
      <c r="C517" s="131"/>
      <c r="D517" s="131"/>
      <c r="E517" s="131"/>
      <c r="F517" s="131"/>
      <c r="G517" s="60" t="s">
        <v>131</v>
      </c>
      <c r="H517" s="134"/>
      <c r="I517" s="134"/>
      <c r="J517" s="60"/>
      <c r="K517" s="60"/>
      <c r="L517" s="60"/>
      <c r="M517" s="60"/>
      <c r="N517" s="60">
        <f t="shared" si="156"/>
        <v>0</v>
      </c>
      <c r="O517" s="60">
        <f t="shared" si="157"/>
        <v>0</v>
      </c>
    </row>
    <row r="518" spans="1:15" s="38" customFormat="1" hidden="1" outlineLevel="1" x14ac:dyDescent="0.25">
      <c r="A518" s="44" t="s">
        <v>497</v>
      </c>
      <c r="B518" s="54" t="s">
        <v>562</v>
      </c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60"/>
    </row>
    <row r="519" spans="1:15" s="38" customFormat="1" hidden="1" outlineLevel="1" x14ac:dyDescent="0.25">
      <c r="A519" s="44" t="s">
        <v>499</v>
      </c>
      <c r="B519" s="54" t="s">
        <v>563</v>
      </c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60"/>
    </row>
    <row r="520" spans="1:15" s="38" customFormat="1" ht="14.45" hidden="1" customHeight="1" outlineLevel="1" x14ac:dyDescent="0.25">
      <c r="A520" s="140" t="s">
        <v>501</v>
      </c>
      <c r="B520" s="141" t="s">
        <v>564</v>
      </c>
      <c r="C520" s="130">
        <f>SUM(N520:N526)</f>
        <v>0</v>
      </c>
      <c r="D520" s="130">
        <f>SUM(O520:O526)</f>
        <v>0</v>
      </c>
      <c r="E520" s="130">
        <f t="shared" ref="E520:E583" si="158">D520/8</f>
        <v>0</v>
      </c>
      <c r="F520" s="130"/>
      <c r="G520" s="60" t="s">
        <v>125</v>
      </c>
      <c r="H520" s="123"/>
      <c r="I520" s="123"/>
      <c r="J520" s="60"/>
      <c r="K520" s="60"/>
      <c r="L520" s="60"/>
      <c r="M520" s="60"/>
      <c r="N520" s="60">
        <f>M520*J520*K520*L520</f>
        <v>0</v>
      </c>
      <c r="O520" s="60">
        <f>J520*K520*L520</f>
        <v>0</v>
      </c>
    </row>
    <row r="521" spans="1:15" s="38" customFormat="1" ht="11.45" hidden="1" customHeight="1" outlineLevel="1" x14ac:dyDescent="0.25">
      <c r="A521" s="124"/>
      <c r="B521" s="142"/>
      <c r="C521" s="115"/>
      <c r="D521" s="115"/>
      <c r="E521" s="115"/>
      <c r="F521" s="115"/>
      <c r="G521" s="60" t="s">
        <v>126</v>
      </c>
      <c r="H521" s="124"/>
      <c r="I521" s="124"/>
      <c r="J521" s="60"/>
      <c r="K521" s="60"/>
      <c r="L521" s="60"/>
      <c r="M521" s="60"/>
      <c r="N521" s="60">
        <f t="shared" ref="N521:N526" si="159">M521*J521*K521*L521</f>
        <v>0</v>
      </c>
      <c r="O521" s="60">
        <f t="shared" ref="O521:O526" si="160">J521*K521*L521</f>
        <v>0</v>
      </c>
    </row>
    <row r="522" spans="1:15" s="38" customFormat="1" ht="10.7" hidden="1" customHeight="1" outlineLevel="1" x14ac:dyDescent="0.25">
      <c r="A522" s="124"/>
      <c r="B522" s="142"/>
      <c r="C522" s="115"/>
      <c r="D522" s="115"/>
      <c r="E522" s="115"/>
      <c r="F522" s="115"/>
      <c r="G522" s="60" t="s">
        <v>127</v>
      </c>
      <c r="H522" s="124"/>
      <c r="I522" s="124"/>
      <c r="J522" s="60"/>
      <c r="K522" s="60"/>
      <c r="L522" s="60"/>
      <c r="M522" s="60"/>
      <c r="N522" s="60">
        <f t="shared" si="159"/>
        <v>0</v>
      </c>
      <c r="O522" s="60">
        <f t="shared" si="160"/>
        <v>0</v>
      </c>
    </row>
    <row r="523" spans="1:15" s="38" customFormat="1" ht="10.7" hidden="1" customHeight="1" outlineLevel="1" x14ac:dyDescent="0.25">
      <c r="A523" s="124"/>
      <c r="B523" s="142"/>
      <c r="C523" s="115"/>
      <c r="D523" s="115"/>
      <c r="E523" s="115"/>
      <c r="F523" s="115"/>
      <c r="G523" s="60" t="s">
        <v>128</v>
      </c>
      <c r="H523" s="124"/>
      <c r="I523" s="124"/>
      <c r="J523" s="60"/>
      <c r="K523" s="60"/>
      <c r="L523" s="60"/>
      <c r="M523" s="60"/>
      <c r="N523" s="60">
        <f t="shared" si="159"/>
        <v>0</v>
      </c>
      <c r="O523" s="60">
        <f t="shared" si="160"/>
        <v>0</v>
      </c>
    </row>
    <row r="524" spans="1:15" s="38" customFormat="1" ht="10.7" hidden="1" customHeight="1" outlineLevel="1" x14ac:dyDescent="0.25">
      <c r="A524" s="124"/>
      <c r="B524" s="142"/>
      <c r="C524" s="115"/>
      <c r="D524" s="115"/>
      <c r="E524" s="115"/>
      <c r="F524" s="115"/>
      <c r="G524" s="60" t="s">
        <v>129</v>
      </c>
      <c r="H524" s="124"/>
      <c r="I524" s="124"/>
      <c r="J524" s="60"/>
      <c r="K524" s="60"/>
      <c r="L524" s="60"/>
      <c r="M524" s="60"/>
      <c r="N524" s="60">
        <f t="shared" si="159"/>
        <v>0</v>
      </c>
      <c r="O524" s="60">
        <f t="shared" si="160"/>
        <v>0</v>
      </c>
    </row>
    <row r="525" spans="1:15" s="38" customFormat="1" ht="10.7" hidden="1" customHeight="1" outlineLevel="1" x14ac:dyDescent="0.25">
      <c r="A525" s="124"/>
      <c r="B525" s="142"/>
      <c r="C525" s="115"/>
      <c r="D525" s="115"/>
      <c r="E525" s="115"/>
      <c r="F525" s="115"/>
      <c r="G525" s="60" t="s">
        <v>130</v>
      </c>
      <c r="H525" s="124"/>
      <c r="I525" s="124"/>
      <c r="J525" s="60"/>
      <c r="K525" s="60"/>
      <c r="L525" s="60"/>
      <c r="M525" s="60"/>
      <c r="N525" s="60">
        <f t="shared" si="159"/>
        <v>0</v>
      </c>
      <c r="O525" s="60">
        <f t="shared" si="160"/>
        <v>0</v>
      </c>
    </row>
    <row r="526" spans="1:15" s="38" customFormat="1" ht="12" hidden="1" customHeight="1" outlineLevel="1" thickBot="1" x14ac:dyDescent="0.3">
      <c r="A526" s="125"/>
      <c r="B526" s="143"/>
      <c r="C526" s="131"/>
      <c r="D526" s="131"/>
      <c r="E526" s="131"/>
      <c r="F526" s="131"/>
      <c r="G526" s="60" t="s">
        <v>131</v>
      </c>
      <c r="H526" s="134"/>
      <c r="I526" s="134"/>
      <c r="J526" s="60"/>
      <c r="K526" s="60"/>
      <c r="L526" s="60"/>
      <c r="M526" s="60"/>
      <c r="N526" s="60">
        <f t="shared" si="159"/>
        <v>0</v>
      </c>
      <c r="O526" s="60">
        <f t="shared" si="160"/>
        <v>0</v>
      </c>
    </row>
    <row r="527" spans="1:15" s="38" customFormat="1" ht="14.45" hidden="1" customHeight="1" outlineLevel="1" x14ac:dyDescent="0.25">
      <c r="A527" s="140" t="s">
        <v>503</v>
      </c>
      <c r="B527" s="141" t="s">
        <v>294</v>
      </c>
      <c r="C527" s="130">
        <f>SUM(N527:N533)</f>
        <v>0</v>
      </c>
      <c r="D527" s="130">
        <f>SUM(O527:O533)</f>
        <v>0</v>
      </c>
      <c r="E527" s="130">
        <f t="shared" si="158"/>
        <v>0</v>
      </c>
      <c r="F527" s="130"/>
      <c r="G527" s="60" t="s">
        <v>125</v>
      </c>
      <c r="H527" s="123"/>
      <c r="I527" s="123"/>
      <c r="J527" s="60"/>
      <c r="K527" s="60"/>
      <c r="L527" s="60"/>
      <c r="M527" s="60"/>
      <c r="N527" s="60">
        <f>M527*J527*K527*L527</f>
        <v>0</v>
      </c>
      <c r="O527" s="60">
        <f>J527*K527*L527</f>
        <v>0</v>
      </c>
    </row>
    <row r="528" spans="1:15" s="38" customFormat="1" ht="11.45" hidden="1" customHeight="1" outlineLevel="1" x14ac:dyDescent="0.25">
      <c r="A528" s="124"/>
      <c r="B528" s="142"/>
      <c r="C528" s="115"/>
      <c r="D528" s="115"/>
      <c r="E528" s="115"/>
      <c r="F528" s="115"/>
      <c r="G528" s="60" t="s">
        <v>126</v>
      </c>
      <c r="H528" s="124"/>
      <c r="I528" s="124"/>
      <c r="J528" s="60"/>
      <c r="K528" s="60"/>
      <c r="L528" s="60"/>
      <c r="M528" s="60"/>
      <c r="N528" s="60">
        <f t="shared" ref="N528:N533" si="161">M528*J528*K528*L528</f>
        <v>0</v>
      </c>
      <c r="O528" s="60">
        <f t="shared" ref="O528:O533" si="162">J528*K528*L528</f>
        <v>0</v>
      </c>
    </row>
    <row r="529" spans="1:15" s="38" customFormat="1" ht="10.7" hidden="1" customHeight="1" outlineLevel="1" x14ac:dyDescent="0.25">
      <c r="A529" s="124"/>
      <c r="B529" s="142"/>
      <c r="C529" s="115"/>
      <c r="D529" s="115"/>
      <c r="E529" s="115"/>
      <c r="F529" s="115"/>
      <c r="G529" s="60" t="s">
        <v>127</v>
      </c>
      <c r="H529" s="124"/>
      <c r="I529" s="124"/>
      <c r="J529" s="60"/>
      <c r="K529" s="60"/>
      <c r="L529" s="60"/>
      <c r="M529" s="60"/>
      <c r="N529" s="60">
        <f t="shared" si="161"/>
        <v>0</v>
      </c>
      <c r="O529" s="60">
        <f t="shared" si="162"/>
        <v>0</v>
      </c>
    </row>
    <row r="530" spans="1:15" s="38" customFormat="1" ht="10.7" hidden="1" customHeight="1" outlineLevel="1" x14ac:dyDescent="0.25">
      <c r="A530" s="124"/>
      <c r="B530" s="142"/>
      <c r="C530" s="115"/>
      <c r="D530" s="115"/>
      <c r="E530" s="115"/>
      <c r="F530" s="115"/>
      <c r="G530" s="60" t="s">
        <v>128</v>
      </c>
      <c r="H530" s="124"/>
      <c r="I530" s="124"/>
      <c r="J530" s="60"/>
      <c r="K530" s="60"/>
      <c r="L530" s="60"/>
      <c r="M530" s="60"/>
      <c r="N530" s="60">
        <f t="shared" si="161"/>
        <v>0</v>
      </c>
      <c r="O530" s="60">
        <f t="shared" si="162"/>
        <v>0</v>
      </c>
    </row>
    <row r="531" spans="1:15" s="38" customFormat="1" ht="10.7" hidden="1" customHeight="1" outlineLevel="1" x14ac:dyDescent="0.25">
      <c r="A531" s="124"/>
      <c r="B531" s="142"/>
      <c r="C531" s="115"/>
      <c r="D531" s="115"/>
      <c r="E531" s="115"/>
      <c r="F531" s="115"/>
      <c r="G531" s="60" t="s">
        <v>129</v>
      </c>
      <c r="H531" s="124"/>
      <c r="I531" s="124"/>
      <c r="J531" s="60"/>
      <c r="K531" s="60"/>
      <c r="L531" s="60"/>
      <c r="M531" s="60"/>
      <c r="N531" s="60">
        <f t="shared" si="161"/>
        <v>0</v>
      </c>
      <c r="O531" s="60">
        <f t="shared" si="162"/>
        <v>0</v>
      </c>
    </row>
    <row r="532" spans="1:15" s="38" customFormat="1" ht="10.7" hidden="1" customHeight="1" outlineLevel="1" x14ac:dyDescent="0.25">
      <c r="A532" s="124"/>
      <c r="B532" s="142"/>
      <c r="C532" s="115"/>
      <c r="D532" s="115"/>
      <c r="E532" s="115"/>
      <c r="F532" s="115"/>
      <c r="G532" s="60" t="s">
        <v>130</v>
      </c>
      <c r="H532" s="124"/>
      <c r="I532" s="124"/>
      <c r="J532" s="60"/>
      <c r="K532" s="60"/>
      <c r="L532" s="60"/>
      <c r="M532" s="60"/>
      <c r="N532" s="60">
        <f t="shared" si="161"/>
        <v>0</v>
      </c>
      <c r="O532" s="60">
        <f t="shared" si="162"/>
        <v>0</v>
      </c>
    </row>
    <row r="533" spans="1:15" s="38" customFormat="1" ht="12" hidden="1" customHeight="1" outlineLevel="1" thickBot="1" x14ac:dyDescent="0.3">
      <c r="A533" s="125"/>
      <c r="B533" s="143"/>
      <c r="C533" s="131"/>
      <c r="D533" s="131"/>
      <c r="E533" s="131"/>
      <c r="F533" s="131"/>
      <c r="G533" s="60" t="s">
        <v>131</v>
      </c>
      <c r="H533" s="134"/>
      <c r="I533" s="134"/>
      <c r="J533" s="60"/>
      <c r="K533" s="60"/>
      <c r="L533" s="60"/>
      <c r="M533" s="60"/>
      <c r="N533" s="60">
        <f t="shared" si="161"/>
        <v>0</v>
      </c>
      <c r="O533" s="60">
        <f t="shared" si="162"/>
        <v>0</v>
      </c>
    </row>
    <row r="534" spans="1:15" s="38" customFormat="1" ht="14.45" hidden="1" customHeight="1" outlineLevel="1" x14ac:dyDescent="0.25">
      <c r="A534" s="140" t="s">
        <v>505</v>
      </c>
      <c r="B534" s="141" t="s">
        <v>488</v>
      </c>
      <c r="C534" s="130">
        <f>SUM(N534:N540)</f>
        <v>0</v>
      </c>
      <c r="D534" s="130">
        <f>SUM(O534:O540)</f>
        <v>0</v>
      </c>
      <c r="E534" s="130">
        <f t="shared" si="158"/>
        <v>0</v>
      </c>
      <c r="F534" s="130"/>
      <c r="G534" s="60" t="s">
        <v>125</v>
      </c>
      <c r="H534" s="123"/>
      <c r="I534" s="123"/>
      <c r="J534" s="60"/>
      <c r="K534" s="60"/>
      <c r="L534" s="60"/>
      <c r="M534" s="60"/>
      <c r="N534" s="60">
        <f>M534*J534*K534*L534</f>
        <v>0</v>
      </c>
      <c r="O534" s="60">
        <f>J534*K534*L534</f>
        <v>0</v>
      </c>
    </row>
    <row r="535" spans="1:15" s="38" customFormat="1" ht="11.45" hidden="1" customHeight="1" outlineLevel="1" x14ac:dyDescent="0.25">
      <c r="A535" s="124"/>
      <c r="B535" s="142"/>
      <c r="C535" s="115"/>
      <c r="D535" s="115"/>
      <c r="E535" s="115"/>
      <c r="F535" s="115"/>
      <c r="G535" s="60" t="s">
        <v>126</v>
      </c>
      <c r="H535" s="124"/>
      <c r="I535" s="124"/>
      <c r="J535" s="60"/>
      <c r="K535" s="60"/>
      <c r="L535" s="60"/>
      <c r="M535" s="60"/>
      <c r="N535" s="60">
        <f t="shared" ref="N535:N540" si="163">M535*J535*K535*L535</f>
        <v>0</v>
      </c>
      <c r="O535" s="60">
        <f t="shared" ref="O535:O540" si="164">J535*K535*L535</f>
        <v>0</v>
      </c>
    </row>
    <row r="536" spans="1:15" s="38" customFormat="1" ht="10.7" hidden="1" customHeight="1" outlineLevel="1" x14ac:dyDescent="0.25">
      <c r="A536" s="124"/>
      <c r="B536" s="142"/>
      <c r="C536" s="115"/>
      <c r="D536" s="115"/>
      <c r="E536" s="115"/>
      <c r="F536" s="115"/>
      <c r="G536" s="60" t="s">
        <v>127</v>
      </c>
      <c r="H536" s="124"/>
      <c r="I536" s="124"/>
      <c r="J536" s="60"/>
      <c r="K536" s="60"/>
      <c r="L536" s="60"/>
      <c r="M536" s="60"/>
      <c r="N536" s="60">
        <f t="shared" si="163"/>
        <v>0</v>
      </c>
      <c r="O536" s="60">
        <f t="shared" si="164"/>
        <v>0</v>
      </c>
    </row>
    <row r="537" spans="1:15" s="38" customFormat="1" ht="10.7" hidden="1" customHeight="1" outlineLevel="1" x14ac:dyDescent="0.25">
      <c r="A537" s="124"/>
      <c r="B537" s="142"/>
      <c r="C537" s="115"/>
      <c r="D537" s="115"/>
      <c r="E537" s="115"/>
      <c r="F537" s="115"/>
      <c r="G537" s="60" t="s">
        <v>128</v>
      </c>
      <c r="H537" s="124"/>
      <c r="I537" s="124"/>
      <c r="J537" s="60"/>
      <c r="K537" s="60"/>
      <c r="L537" s="60"/>
      <c r="M537" s="60"/>
      <c r="N537" s="60">
        <f t="shared" si="163"/>
        <v>0</v>
      </c>
      <c r="O537" s="60">
        <f t="shared" si="164"/>
        <v>0</v>
      </c>
    </row>
    <row r="538" spans="1:15" s="38" customFormat="1" ht="10.7" hidden="1" customHeight="1" outlineLevel="1" x14ac:dyDescent="0.25">
      <c r="A538" s="124"/>
      <c r="B538" s="142"/>
      <c r="C538" s="115"/>
      <c r="D538" s="115"/>
      <c r="E538" s="115"/>
      <c r="F538" s="115"/>
      <c r="G538" s="60" t="s">
        <v>129</v>
      </c>
      <c r="H538" s="124"/>
      <c r="I538" s="124"/>
      <c r="J538" s="60"/>
      <c r="K538" s="60"/>
      <c r="L538" s="60"/>
      <c r="M538" s="60"/>
      <c r="N538" s="60">
        <f t="shared" si="163"/>
        <v>0</v>
      </c>
      <c r="O538" s="60">
        <f t="shared" si="164"/>
        <v>0</v>
      </c>
    </row>
    <row r="539" spans="1:15" s="38" customFormat="1" ht="10.7" hidden="1" customHeight="1" outlineLevel="1" x14ac:dyDescent="0.25">
      <c r="A539" s="124"/>
      <c r="B539" s="142"/>
      <c r="C539" s="115"/>
      <c r="D539" s="115"/>
      <c r="E539" s="115"/>
      <c r="F539" s="115"/>
      <c r="G539" s="60" t="s">
        <v>130</v>
      </c>
      <c r="H539" s="124"/>
      <c r="I539" s="124"/>
      <c r="J539" s="60"/>
      <c r="K539" s="60"/>
      <c r="L539" s="60"/>
      <c r="M539" s="60"/>
      <c r="N539" s="60">
        <f t="shared" si="163"/>
        <v>0</v>
      </c>
      <c r="O539" s="60">
        <f t="shared" si="164"/>
        <v>0</v>
      </c>
    </row>
    <row r="540" spans="1:15" s="38" customFormat="1" ht="12" hidden="1" customHeight="1" outlineLevel="1" thickBot="1" x14ac:dyDescent="0.3">
      <c r="A540" s="125"/>
      <c r="B540" s="143"/>
      <c r="C540" s="131"/>
      <c r="D540" s="131"/>
      <c r="E540" s="131"/>
      <c r="F540" s="131"/>
      <c r="G540" s="60" t="s">
        <v>131</v>
      </c>
      <c r="H540" s="134"/>
      <c r="I540" s="134"/>
      <c r="J540" s="60"/>
      <c r="K540" s="60"/>
      <c r="L540" s="60"/>
      <c r="M540" s="60"/>
      <c r="N540" s="60">
        <f t="shared" si="163"/>
        <v>0</v>
      </c>
      <c r="O540" s="60">
        <f t="shared" si="164"/>
        <v>0</v>
      </c>
    </row>
    <row r="541" spans="1:15" s="38" customFormat="1" ht="14.45" hidden="1" customHeight="1" outlineLevel="1" x14ac:dyDescent="0.25">
      <c r="A541" s="140" t="s">
        <v>507</v>
      </c>
      <c r="B541" s="141" t="s">
        <v>490</v>
      </c>
      <c r="C541" s="130">
        <f>SUM(N541:N547)</f>
        <v>0</v>
      </c>
      <c r="D541" s="130">
        <f>SUM(O541:O547)</f>
        <v>0</v>
      </c>
      <c r="E541" s="130">
        <f t="shared" si="158"/>
        <v>0</v>
      </c>
      <c r="F541" s="130"/>
      <c r="G541" s="60" t="s">
        <v>125</v>
      </c>
      <c r="H541" s="123"/>
      <c r="I541" s="123"/>
      <c r="J541" s="60"/>
      <c r="K541" s="60"/>
      <c r="L541" s="60"/>
      <c r="M541" s="60"/>
      <c r="N541" s="60">
        <f>M541*J541*K541*L541</f>
        <v>0</v>
      </c>
      <c r="O541" s="60">
        <f>J541*K541*L541</f>
        <v>0</v>
      </c>
    </row>
    <row r="542" spans="1:15" s="38" customFormat="1" ht="11.45" hidden="1" customHeight="1" outlineLevel="1" x14ac:dyDescent="0.25">
      <c r="A542" s="124"/>
      <c r="B542" s="142"/>
      <c r="C542" s="115"/>
      <c r="D542" s="115"/>
      <c r="E542" s="115"/>
      <c r="F542" s="115"/>
      <c r="G542" s="60" t="s">
        <v>126</v>
      </c>
      <c r="H542" s="124"/>
      <c r="I542" s="124"/>
      <c r="J542" s="60"/>
      <c r="K542" s="60"/>
      <c r="L542" s="60"/>
      <c r="M542" s="60"/>
      <c r="N542" s="60">
        <f t="shared" ref="N542:N547" si="165">M542*J542*K542*L542</f>
        <v>0</v>
      </c>
      <c r="O542" s="60">
        <f t="shared" ref="O542:O547" si="166">J542*K542*L542</f>
        <v>0</v>
      </c>
    </row>
    <row r="543" spans="1:15" s="38" customFormat="1" ht="10.7" hidden="1" customHeight="1" outlineLevel="1" x14ac:dyDescent="0.25">
      <c r="A543" s="124"/>
      <c r="B543" s="142"/>
      <c r="C543" s="115"/>
      <c r="D543" s="115"/>
      <c r="E543" s="115"/>
      <c r="F543" s="115"/>
      <c r="G543" s="60" t="s">
        <v>127</v>
      </c>
      <c r="H543" s="124"/>
      <c r="I543" s="124"/>
      <c r="J543" s="60"/>
      <c r="K543" s="60"/>
      <c r="L543" s="60"/>
      <c r="M543" s="60"/>
      <c r="N543" s="60">
        <f t="shared" si="165"/>
        <v>0</v>
      </c>
      <c r="O543" s="60">
        <f t="shared" si="166"/>
        <v>0</v>
      </c>
    </row>
    <row r="544" spans="1:15" s="38" customFormat="1" ht="10.7" hidden="1" customHeight="1" outlineLevel="1" x14ac:dyDescent="0.25">
      <c r="A544" s="124"/>
      <c r="B544" s="142"/>
      <c r="C544" s="115"/>
      <c r="D544" s="115"/>
      <c r="E544" s="115"/>
      <c r="F544" s="115"/>
      <c r="G544" s="60" t="s">
        <v>128</v>
      </c>
      <c r="H544" s="124"/>
      <c r="I544" s="124"/>
      <c r="J544" s="60"/>
      <c r="K544" s="60"/>
      <c r="L544" s="60"/>
      <c r="M544" s="60"/>
      <c r="N544" s="60">
        <f t="shared" si="165"/>
        <v>0</v>
      </c>
      <c r="O544" s="60">
        <f t="shared" si="166"/>
        <v>0</v>
      </c>
    </row>
    <row r="545" spans="1:15" s="38" customFormat="1" ht="10.7" hidden="1" customHeight="1" outlineLevel="1" x14ac:dyDescent="0.25">
      <c r="A545" s="124"/>
      <c r="B545" s="142"/>
      <c r="C545" s="115"/>
      <c r="D545" s="115"/>
      <c r="E545" s="115"/>
      <c r="F545" s="115"/>
      <c r="G545" s="60" t="s">
        <v>129</v>
      </c>
      <c r="H545" s="124"/>
      <c r="I545" s="124"/>
      <c r="J545" s="60"/>
      <c r="K545" s="60"/>
      <c r="L545" s="60"/>
      <c r="M545" s="60"/>
      <c r="N545" s="60">
        <f t="shared" si="165"/>
        <v>0</v>
      </c>
      <c r="O545" s="60">
        <f t="shared" si="166"/>
        <v>0</v>
      </c>
    </row>
    <row r="546" spans="1:15" s="38" customFormat="1" ht="10.7" hidden="1" customHeight="1" outlineLevel="1" x14ac:dyDescent="0.25">
      <c r="A546" s="124"/>
      <c r="B546" s="142"/>
      <c r="C546" s="115"/>
      <c r="D546" s="115"/>
      <c r="E546" s="115"/>
      <c r="F546" s="115"/>
      <c r="G546" s="60" t="s">
        <v>130</v>
      </c>
      <c r="H546" s="124"/>
      <c r="I546" s="124"/>
      <c r="J546" s="60"/>
      <c r="K546" s="60"/>
      <c r="L546" s="60"/>
      <c r="M546" s="60"/>
      <c r="N546" s="60">
        <f t="shared" si="165"/>
        <v>0</v>
      </c>
      <c r="O546" s="60">
        <f t="shared" si="166"/>
        <v>0</v>
      </c>
    </row>
    <row r="547" spans="1:15" s="38" customFormat="1" ht="12" hidden="1" customHeight="1" outlineLevel="1" thickBot="1" x14ac:dyDescent="0.3">
      <c r="A547" s="125"/>
      <c r="B547" s="143"/>
      <c r="C547" s="131"/>
      <c r="D547" s="131"/>
      <c r="E547" s="131"/>
      <c r="F547" s="131"/>
      <c r="G547" s="60" t="s">
        <v>131</v>
      </c>
      <c r="H547" s="134"/>
      <c r="I547" s="134"/>
      <c r="J547" s="60"/>
      <c r="K547" s="60"/>
      <c r="L547" s="60"/>
      <c r="M547" s="60"/>
      <c r="N547" s="60">
        <f t="shared" si="165"/>
        <v>0</v>
      </c>
      <c r="O547" s="60">
        <f t="shared" si="166"/>
        <v>0</v>
      </c>
    </row>
    <row r="548" spans="1:15" s="38" customFormat="1" ht="14.45" hidden="1" customHeight="1" outlineLevel="1" x14ac:dyDescent="0.25">
      <c r="A548" s="140" t="s">
        <v>509</v>
      </c>
      <c r="B548" s="141" t="s">
        <v>565</v>
      </c>
      <c r="C548" s="130">
        <f>SUM(N548:N554)</f>
        <v>0</v>
      </c>
      <c r="D548" s="130">
        <f>SUM(O548:O554)</f>
        <v>0</v>
      </c>
      <c r="E548" s="130">
        <f t="shared" si="158"/>
        <v>0</v>
      </c>
      <c r="F548" s="130"/>
      <c r="G548" s="60" t="s">
        <v>125</v>
      </c>
      <c r="H548" s="123"/>
      <c r="I548" s="123"/>
      <c r="J548" s="60"/>
      <c r="K548" s="60"/>
      <c r="L548" s="60"/>
      <c r="M548" s="60"/>
      <c r="N548" s="60">
        <f>M548*J548*K548*L548</f>
        <v>0</v>
      </c>
      <c r="O548" s="60">
        <f>J548*K548*L548</f>
        <v>0</v>
      </c>
    </row>
    <row r="549" spans="1:15" s="38" customFormat="1" ht="11.45" hidden="1" customHeight="1" outlineLevel="1" x14ac:dyDescent="0.25">
      <c r="A549" s="124"/>
      <c r="B549" s="142"/>
      <c r="C549" s="115"/>
      <c r="D549" s="115"/>
      <c r="E549" s="115"/>
      <c r="F549" s="115"/>
      <c r="G549" s="60" t="s">
        <v>126</v>
      </c>
      <c r="H549" s="124"/>
      <c r="I549" s="124"/>
      <c r="J549" s="60"/>
      <c r="K549" s="60"/>
      <c r="L549" s="60"/>
      <c r="M549" s="60"/>
      <c r="N549" s="60">
        <f t="shared" ref="N549:N554" si="167">M549*J549*K549*L549</f>
        <v>0</v>
      </c>
      <c r="O549" s="60">
        <f t="shared" ref="O549:O554" si="168">J549*K549*L549</f>
        <v>0</v>
      </c>
    </row>
    <row r="550" spans="1:15" s="38" customFormat="1" ht="10.7" hidden="1" customHeight="1" outlineLevel="1" x14ac:dyDescent="0.25">
      <c r="A550" s="124"/>
      <c r="B550" s="142"/>
      <c r="C550" s="115"/>
      <c r="D550" s="115"/>
      <c r="E550" s="115"/>
      <c r="F550" s="115"/>
      <c r="G550" s="60" t="s">
        <v>127</v>
      </c>
      <c r="H550" s="124"/>
      <c r="I550" s="124"/>
      <c r="J550" s="60"/>
      <c r="K550" s="60"/>
      <c r="L550" s="60"/>
      <c r="M550" s="60"/>
      <c r="N550" s="60">
        <f t="shared" si="167"/>
        <v>0</v>
      </c>
      <c r="O550" s="60">
        <f t="shared" si="168"/>
        <v>0</v>
      </c>
    </row>
    <row r="551" spans="1:15" s="38" customFormat="1" ht="10.7" hidden="1" customHeight="1" outlineLevel="1" x14ac:dyDescent="0.25">
      <c r="A551" s="124"/>
      <c r="B551" s="142"/>
      <c r="C551" s="115"/>
      <c r="D551" s="115"/>
      <c r="E551" s="115"/>
      <c r="F551" s="115"/>
      <c r="G551" s="60" t="s">
        <v>128</v>
      </c>
      <c r="H551" s="124"/>
      <c r="I551" s="124"/>
      <c r="J551" s="60"/>
      <c r="K551" s="60"/>
      <c r="L551" s="60"/>
      <c r="M551" s="60"/>
      <c r="N551" s="60">
        <f t="shared" si="167"/>
        <v>0</v>
      </c>
      <c r="O551" s="60">
        <f t="shared" si="168"/>
        <v>0</v>
      </c>
    </row>
    <row r="552" spans="1:15" s="38" customFormat="1" ht="10.7" hidden="1" customHeight="1" outlineLevel="1" x14ac:dyDescent="0.25">
      <c r="A552" s="124"/>
      <c r="B552" s="142"/>
      <c r="C552" s="115"/>
      <c r="D552" s="115"/>
      <c r="E552" s="115"/>
      <c r="F552" s="115"/>
      <c r="G552" s="60" t="s">
        <v>129</v>
      </c>
      <c r="H552" s="124"/>
      <c r="I552" s="124"/>
      <c r="J552" s="60"/>
      <c r="K552" s="60"/>
      <c r="L552" s="60"/>
      <c r="M552" s="60"/>
      <c r="N552" s="60">
        <f t="shared" si="167"/>
        <v>0</v>
      </c>
      <c r="O552" s="60">
        <f t="shared" si="168"/>
        <v>0</v>
      </c>
    </row>
    <row r="553" spans="1:15" s="38" customFormat="1" ht="10.7" hidden="1" customHeight="1" outlineLevel="1" x14ac:dyDescent="0.25">
      <c r="A553" s="124"/>
      <c r="B553" s="142"/>
      <c r="C553" s="115"/>
      <c r="D553" s="115"/>
      <c r="E553" s="115"/>
      <c r="F553" s="115"/>
      <c r="G553" s="60" t="s">
        <v>130</v>
      </c>
      <c r="H553" s="124"/>
      <c r="I553" s="124"/>
      <c r="J553" s="60"/>
      <c r="K553" s="60"/>
      <c r="L553" s="60"/>
      <c r="M553" s="60"/>
      <c r="N553" s="60">
        <f t="shared" si="167"/>
        <v>0</v>
      </c>
      <c r="O553" s="60">
        <f t="shared" si="168"/>
        <v>0</v>
      </c>
    </row>
    <row r="554" spans="1:15" s="38" customFormat="1" ht="12" hidden="1" customHeight="1" outlineLevel="1" thickBot="1" x14ac:dyDescent="0.3">
      <c r="A554" s="125"/>
      <c r="B554" s="143"/>
      <c r="C554" s="131"/>
      <c r="D554" s="131"/>
      <c r="E554" s="131"/>
      <c r="F554" s="131"/>
      <c r="G554" s="60" t="s">
        <v>131</v>
      </c>
      <c r="H554" s="134"/>
      <c r="I554" s="134"/>
      <c r="J554" s="60"/>
      <c r="K554" s="60"/>
      <c r="L554" s="60"/>
      <c r="M554" s="60"/>
      <c r="N554" s="60">
        <f t="shared" si="167"/>
        <v>0</v>
      </c>
      <c r="O554" s="60">
        <f t="shared" si="168"/>
        <v>0</v>
      </c>
    </row>
    <row r="555" spans="1:15" s="38" customFormat="1" ht="14.45" hidden="1" customHeight="1" outlineLevel="1" x14ac:dyDescent="0.25">
      <c r="A555" s="140" t="s">
        <v>511</v>
      </c>
      <c r="B555" s="141" t="s">
        <v>492</v>
      </c>
      <c r="C555" s="130">
        <f>SUM(N555:N561)</f>
        <v>0</v>
      </c>
      <c r="D555" s="130">
        <f>SUM(O555:O561)</f>
        <v>0</v>
      </c>
      <c r="E555" s="130">
        <f t="shared" si="158"/>
        <v>0</v>
      </c>
      <c r="F555" s="130"/>
      <c r="G555" s="60" t="s">
        <v>125</v>
      </c>
      <c r="H555" s="123"/>
      <c r="I555" s="123"/>
      <c r="J555" s="60"/>
      <c r="K555" s="60"/>
      <c r="L555" s="60"/>
      <c r="M555" s="60"/>
      <c r="N555" s="60">
        <f>M555*J555*K555*L555</f>
        <v>0</v>
      </c>
      <c r="O555" s="60">
        <f>J555*K555*L555</f>
        <v>0</v>
      </c>
    </row>
    <row r="556" spans="1:15" s="38" customFormat="1" ht="11.45" hidden="1" customHeight="1" outlineLevel="1" x14ac:dyDescent="0.25">
      <c r="A556" s="124"/>
      <c r="B556" s="142"/>
      <c r="C556" s="115"/>
      <c r="D556" s="115"/>
      <c r="E556" s="115"/>
      <c r="F556" s="115"/>
      <c r="G556" s="60" t="s">
        <v>126</v>
      </c>
      <c r="H556" s="124"/>
      <c r="I556" s="124"/>
      <c r="J556" s="60"/>
      <c r="K556" s="60"/>
      <c r="L556" s="60"/>
      <c r="M556" s="60"/>
      <c r="N556" s="60">
        <f t="shared" ref="N556:N561" si="169">M556*J556*K556*L556</f>
        <v>0</v>
      </c>
      <c r="O556" s="60">
        <f t="shared" ref="O556:O561" si="170">J556*K556*L556</f>
        <v>0</v>
      </c>
    </row>
    <row r="557" spans="1:15" s="38" customFormat="1" ht="10.7" hidden="1" customHeight="1" outlineLevel="1" x14ac:dyDescent="0.25">
      <c r="A557" s="124"/>
      <c r="B557" s="142"/>
      <c r="C557" s="115"/>
      <c r="D557" s="115"/>
      <c r="E557" s="115"/>
      <c r="F557" s="115"/>
      <c r="G557" s="60" t="s">
        <v>127</v>
      </c>
      <c r="H557" s="124"/>
      <c r="I557" s="124"/>
      <c r="J557" s="60"/>
      <c r="K557" s="60"/>
      <c r="L557" s="60"/>
      <c r="M557" s="60"/>
      <c r="N557" s="60">
        <f t="shared" si="169"/>
        <v>0</v>
      </c>
      <c r="O557" s="60">
        <f t="shared" si="170"/>
        <v>0</v>
      </c>
    </row>
    <row r="558" spans="1:15" s="38" customFormat="1" ht="10.7" hidden="1" customHeight="1" outlineLevel="1" x14ac:dyDescent="0.25">
      <c r="A558" s="124"/>
      <c r="B558" s="142"/>
      <c r="C558" s="115"/>
      <c r="D558" s="115"/>
      <c r="E558" s="115"/>
      <c r="F558" s="115"/>
      <c r="G558" s="60" t="s">
        <v>128</v>
      </c>
      <c r="H558" s="124"/>
      <c r="I558" s="124"/>
      <c r="J558" s="60"/>
      <c r="K558" s="60"/>
      <c r="L558" s="60"/>
      <c r="M558" s="60"/>
      <c r="N558" s="60">
        <f t="shared" si="169"/>
        <v>0</v>
      </c>
      <c r="O558" s="60">
        <f t="shared" si="170"/>
        <v>0</v>
      </c>
    </row>
    <row r="559" spans="1:15" s="38" customFormat="1" ht="10.7" hidden="1" customHeight="1" outlineLevel="1" x14ac:dyDescent="0.25">
      <c r="A559" s="124"/>
      <c r="B559" s="142"/>
      <c r="C559" s="115"/>
      <c r="D559" s="115"/>
      <c r="E559" s="115"/>
      <c r="F559" s="115"/>
      <c r="G559" s="60" t="s">
        <v>129</v>
      </c>
      <c r="H559" s="124"/>
      <c r="I559" s="124"/>
      <c r="J559" s="60"/>
      <c r="K559" s="60"/>
      <c r="L559" s="60"/>
      <c r="M559" s="60"/>
      <c r="N559" s="60">
        <f t="shared" si="169"/>
        <v>0</v>
      </c>
      <c r="O559" s="60">
        <f t="shared" si="170"/>
        <v>0</v>
      </c>
    </row>
    <row r="560" spans="1:15" s="38" customFormat="1" ht="10.7" hidden="1" customHeight="1" outlineLevel="1" x14ac:dyDescent="0.25">
      <c r="A560" s="124"/>
      <c r="B560" s="142"/>
      <c r="C560" s="115"/>
      <c r="D560" s="115"/>
      <c r="E560" s="115"/>
      <c r="F560" s="115"/>
      <c r="G560" s="60" t="s">
        <v>130</v>
      </c>
      <c r="H560" s="124"/>
      <c r="I560" s="124"/>
      <c r="J560" s="60"/>
      <c r="K560" s="60"/>
      <c r="L560" s="60"/>
      <c r="M560" s="60"/>
      <c r="N560" s="60">
        <f t="shared" si="169"/>
        <v>0</v>
      </c>
      <c r="O560" s="60">
        <f t="shared" si="170"/>
        <v>0</v>
      </c>
    </row>
    <row r="561" spans="1:15" s="38" customFormat="1" ht="12" hidden="1" customHeight="1" outlineLevel="1" thickBot="1" x14ac:dyDescent="0.3">
      <c r="A561" s="125"/>
      <c r="B561" s="143"/>
      <c r="C561" s="131"/>
      <c r="D561" s="131"/>
      <c r="E561" s="131"/>
      <c r="F561" s="131"/>
      <c r="G561" s="60" t="s">
        <v>131</v>
      </c>
      <c r="H561" s="134"/>
      <c r="I561" s="134"/>
      <c r="J561" s="60"/>
      <c r="K561" s="60"/>
      <c r="L561" s="60"/>
      <c r="M561" s="60"/>
      <c r="N561" s="60">
        <f t="shared" si="169"/>
        <v>0</v>
      </c>
      <c r="O561" s="60">
        <f t="shared" si="170"/>
        <v>0</v>
      </c>
    </row>
    <row r="562" spans="1:15" s="38" customFormat="1" ht="14.45" hidden="1" customHeight="1" outlineLevel="1" x14ac:dyDescent="0.25">
      <c r="A562" s="140" t="s">
        <v>513</v>
      </c>
      <c r="B562" s="141" t="s">
        <v>566</v>
      </c>
      <c r="C562" s="130">
        <f>SUM(N562:N568)</f>
        <v>0</v>
      </c>
      <c r="D562" s="130">
        <f>SUM(O562:O568)</f>
        <v>0</v>
      </c>
      <c r="E562" s="130">
        <f t="shared" si="158"/>
        <v>0</v>
      </c>
      <c r="F562" s="130"/>
      <c r="G562" s="60" t="s">
        <v>125</v>
      </c>
      <c r="H562" s="123"/>
      <c r="I562" s="123"/>
      <c r="J562" s="60"/>
      <c r="K562" s="60"/>
      <c r="L562" s="60"/>
      <c r="M562" s="60"/>
      <c r="N562" s="60">
        <f>M562*J562*K562*L562</f>
        <v>0</v>
      </c>
      <c r="O562" s="60">
        <f>J562*K562*L562</f>
        <v>0</v>
      </c>
    </row>
    <row r="563" spans="1:15" s="38" customFormat="1" ht="11.45" hidden="1" customHeight="1" outlineLevel="1" x14ac:dyDescent="0.25">
      <c r="A563" s="124"/>
      <c r="B563" s="142"/>
      <c r="C563" s="115"/>
      <c r="D563" s="115"/>
      <c r="E563" s="115"/>
      <c r="F563" s="115"/>
      <c r="G563" s="60" t="s">
        <v>126</v>
      </c>
      <c r="H563" s="124"/>
      <c r="I563" s="124"/>
      <c r="J563" s="60"/>
      <c r="K563" s="60"/>
      <c r="L563" s="60"/>
      <c r="M563" s="60"/>
      <c r="N563" s="60">
        <f t="shared" ref="N563:N568" si="171">M563*J563*K563*L563</f>
        <v>0</v>
      </c>
      <c r="O563" s="60">
        <f t="shared" ref="O563:O568" si="172">J563*K563*L563</f>
        <v>0</v>
      </c>
    </row>
    <row r="564" spans="1:15" s="38" customFormat="1" ht="10.7" hidden="1" customHeight="1" outlineLevel="1" x14ac:dyDescent="0.25">
      <c r="A564" s="124"/>
      <c r="B564" s="142"/>
      <c r="C564" s="115"/>
      <c r="D564" s="115"/>
      <c r="E564" s="115"/>
      <c r="F564" s="115"/>
      <c r="G564" s="60" t="s">
        <v>127</v>
      </c>
      <c r="H564" s="124"/>
      <c r="I564" s="124"/>
      <c r="J564" s="60"/>
      <c r="K564" s="60"/>
      <c r="L564" s="60"/>
      <c r="M564" s="60"/>
      <c r="N564" s="60">
        <f t="shared" si="171"/>
        <v>0</v>
      </c>
      <c r="O564" s="60">
        <f t="shared" si="172"/>
        <v>0</v>
      </c>
    </row>
    <row r="565" spans="1:15" s="38" customFormat="1" ht="10.7" hidden="1" customHeight="1" outlineLevel="1" x14ac:dyDescent="0.25">
      <c r="A565" s="124"/>
      <c r="B565" s="142"/>
      <c r="C565" s="115"/>
      <c r="D565" s="115"/>
      <c r="E565" s="115"/>
      <c r="F565" s="115"/>
      <c r="G565" s="60" t="s">
        <v>128</v>
      </c>
      <c r="H565" s="124"/>
      <c r="I565" s="124"/>
      <c r="J565" s="60"/>
      <c r="K565" s="60"/>
      <c r="L565" s="60"/>
      <c r="M565" s="60"/>
      <c r="N565" s="60">
        <f t="shared" si="171"/>
        <v>0</v>
      </c>
      <c r="O565" s="60">
        <f t="shared" si="172"/>
        <v>0</v>
      </c>
    </row>
    <row r="566" spans="1:15" s="38" customFormat="1" ht="10.7" hidden="1" customHeight="1" outlineLevel="1" x14ac:dyDescent="0.25">
      <c r="A566" s="124"/>
      <c r="B566" s="142"/>
      <c r="C566" s="115"/>
      <c r="D566" s="115"/>
      <c r="E566" s="115"/>
      <c r="F566" s="115"/>
      <c r="G566" s="60" t="s">
        <v>129</v>
      </c>
      <c r="H566" s="124"/>
      <c r="I566" s="124"/>
      <c r="J566" s="60"/>
      <c r="K566" s="60"/>
      <c r="L566" s="60"/>
      <c r="M566" s="60"/>
      <c r="N566" s="60">
        <f t="shared" si="171"/>
        <v>0</v>
      </c>
      <c r="O566" s="60">
        <f t="shared" si="172"/>
        <v>0</v>
      </c>
    </row>
    <row r="567" spans="1:15" s="38" customFormat="1" ht="10.7" hidden="1" customHeight="1" outlineLevel="1" x14ac:dyDescent="0.25">
      <c r="A567" s="124"/>
      <c r="B567" s="142"/>
      <c r="C567" s="115"/>
      <c r="D567" s="115"/>
      <c r="E567" s="115"/>
      <c r="F567" s="115"/>
      <c r="G567" s="60" t="s">
        <v>130</v>
      </c>
      <c r="H567" s="124"/>
      <c r="I567" s="124"/>
      <c r="J567" s="60"/>
      <c r="K567" s="60"/>
      <c r="L567" s="60"/>
      <c r="M567" s="60"/>
      <c r="N567" s="60">
        <f t="shared" si="171"/>
        <v>0</v>
      </c>
      <c r="O567" s="60">
        <f t="shared" si="172"/>
        <v>0</v>
      </c>
    </row>
    <row r="568" spans="1:15" s="38" customFormat="1" ht="12" hidden="1" customHeight="1" outlineLevel="1" thickBot="1" x14ac:dyDescent="0.3">
      <c r="A568" s="125"/>
      <c r="B568" s="143"/>
      <c r="C568" s="131"/>
      <c r="D568" s="131"/>
      <c r="E568" s="131"/>
      <c r="F568" s="131"/>
      <c r="G568" s="60" t="s">
        <v>131</v>
      </c>
      <c r="H568" s="134"/>
      <c r="I568" s="134"/>
      <c r="J568" s="60"/>
      <c r="K568" s="60"/>
      <c r="L568" s="60"/>
      <c r="M568" s="60"/>
      <c r="N568" s="60">
        <f t="shared" si="171"/>
        <v>0</v>
      </c>
      <c r="O568" s="60">
        <f t="shared" si="172"/>
        <v>0</v>
      </c>
    </row>
    <row r="569" spans="1:15" s="38" customFormat="1" ht="14.45" hidden="1" customHeight="1" outlineLevel="1" x14ac:dyDescent="0.25">
      <c r="A569" s="140" t="s">
        <v>515</v>
      </c>
      <c r="B569" s="141" t="s">
        <v>567</v>
      </c>
      <c r="C569" s="130">
        <f>SUM(N569:N575)</f>
        <v>0</v>
      </c>
      <c r="D569" s="130">
        <f>SUM(O569:O575)</f>
        <v>0</v>
      </c>
      <c r="E569" s="130">
        <f t="shared" si="158"/>
        <v>0</v>
      </c>
      <c r="F569" s="130"/>
      <c r="G569" s="60" t="s">
        <v>125</v>
      </c>
      <c r="H569" s="123"/>
      <c r="I569" s="123"/>
      <c r="J569" s="60"/>
      <c r="K569" s="60"/>
      <c r="L569" s="60"/>
      <c r="M569" s="60"/>
      <c r="N569" s="60">
        <f>M569*J569*K569*L569</f>
        <v>0</v>
      </c>
      <c r="O569" s="60">
        <f>J569*K569*L569</f>
        <v>0</v>
      </c>
    </row>
    <row r="570" spans="1:15" s="38" customFormat="1" ht="11.45" hidden="1" customHeight="1" outlineLevel="1" x14ac:dyDescent="0.25">
      <c r="A570" s="124"/>
      <c r="B570" s="142"/>
      <c r="C570" s="115"/>
      <c r="D570" s="115"/>
      <c r="E570" s="115"/>
      <c r="F570" s="115"/>
      <c r="G570" s="60" t="s">
        <v>126</v>
      </c>
      <c r="H570" s="124"/>
      <c r="I570" s="124"/>
      <c r="J570" s="60"/>
      <c r="K570" s="60"/>
      <c r="L570" s="60"/>
      <c r="M570" s="60"/>
      <c r="N570" s="60">
        <f t="shared" ref="N570:N575" si="173">M570*J570*K570*L570</f>
        <v>0</v>
      </c>
      <c r="O570" s="60">
        <f t="shared" ref="O570:O575" si="174">J570*K570*L570</f>
        <v>0</v>
      </c>
    </row>
    <row r="571" spans="1:15" s="38" customFormat="1" ht="10.7" hidden="1" customHeight="1" outlineLevel="1" x14ac:dyDescent="0.25">
      <c r="A571" s="124"/>
      <c r="B571" s="142"/>
      <c r="C571" s="115"/>
      <c r="D571" s="115"/>
      <c r="E571" s="115"/>
      <c r="F571" s="115"/>
      <c r="G571" s="60" t="s">
        <v>127</v>
      </c>
      <c r="H571" s="124"/>
      <c r="I571" s="124"/>
      <c r="J571" s="60"/>
      <c r="K571" s="60"/>
      <c r="L571" s="60"/>
      <c r="M571" s="60"/>
      <c r="N571" s="60">
        <f t="shared" si="173"/>
        <v>0</v>
      </c>
      <c r="O571" s="60">
        <f t="shared" si="174"/>
        <v>0</v>
      </c>
    </row>
    <row r="572" spans="1:15" s="38" customFormat="1" ht="10.7" hidden="1" customHeight="1" outlineLevel="1" x14ac:dyDescent="0.25">
      <c r="A572" s="124"/>
      <c r="B572" s="142"/>
      <c r="C572" s="115"/>
      <c r="D572" s="115"/>
      <c r="E572" s="115"/>
      <c r="F572" s="115"/>
      <c r="G572" s="60" t="s">
        <v>128</v>
      </c>
      <c r="H572" s="124"/>
      <c r="I572" s="124"/>
      <c r="J572" s="60"/>
      <c r="K572" s="60"/>
      <c r="L572" s="60"/>
      <c r="M572" s="60"/>
      <c r="N572" s="60">
        <f t="shared" si="173"/>
        <v>0</v>
      </c>
      <c r="O572" s="60">
        <f t="shared" si="174"/>
        <v>0</v>
      </c>
    </row>
    <row r="573" spans="1:15" s="38" customFormat="1" ht="10.7" hidden="1" customHeight="1" outlineLevel="1" x14ac:dyDescent="0.25">
      <c r="A573" s="124"/>
      <c r="B573" s="142"/>
      <c r="C573" s="115"/>
      <c r="D573" s="115"/>
      <c r="E573" s="115"/>
      <c r="F573" s="115"/>
      <c r="G573" s="60" t="s">
        <v>129</v>
      </c>
      <c r="H573" s="124"/>
      <c r="I573" s="124"/>
      <c r="J573" s="60"/>
      <c r="K573" s="60"/>
      <c r="L573" s="60"/>
      <c r="M573" s="60"/>
      <c r="N573" s="60">
        <f t="shared" si="173"/>
        <v>0</v>
      </c>
      <c r="O573" s="60">
        <f t="shared" si="174"/>
        <v>0</v>
      </c>
    </row>
    <row r="574" spans="1:15" s="38" customFormat="1" ht="10.7" hidden="1" customHeight="1" outlineLevel="1" x14ac:dyDescent="0.25">
      <c r="A574" s="124"/>
      <c r="B574" s="142"/>
      <c r="C574" s="115"/>
      <c r="D574" s="115"/>
      <c r="E574" s="115"/>
      <c r="F574" s="115"/>
      <c r="G574" s="60" t="s">
        <v>130</v>
      </c>
      <c r="H574" s="124"/>
      <c r="I574" s="124"/>
      <c r="J574" s="60"/>
      <c r="K574" s="60"/>
      <c r="L574" s="60"/>
      <c r="M574" s="60"/>
      <c r="N574" s="60">
        <f t="shared" si="173"/>
        <v>0</v>
      </c>
      <c r="O574" s="60">
        <f t="shared" si="174"/>
        <v>0</v>
      </c>
    </row>
    <row r="575" spans="1:15" s="38" customFormat="1" ht="12" hidden="1" customHeight="1" outlineLevel="1" thickBot="1" x14ac:dyDescent="0.3">
      <c r="A575" s="125"/>
      <c r="B575" s="143"/>
      <c r="C575" s="131"/>
      <c r="D575" s="131"/>
      <c r="E575" s="131"/>
      <c r="F575" s="131"/>
      <c r="G575" s="60" t="s">
        <v>131</v>
      </c>
      <c r="H575" s="134"/>
      <c r="I575" s="134"/>
      <c r="J575" s="60"/>
      <c r="K575" s="60"/>
      <c r="L575" s="60"/>
      <c r="M575" s="60"/>
      <c r="N575" s="60">
        <f t="shared" si="173"/>
        <v>0</v>
      </c>
      <c r="O575" s="60">
        <f t="shared" si="174"/>
        <v>0</v>
      </c>
    </row>
    <row r="576" spans="1:15" s="38" customFormat="1" ht="14.45" hidden="1" customHeight="1" outlineLevel="1" x14ac:dyDescent="0.25">
      <c r="A576" s="140" t="s">
        <v>517</v>
      </c>
      <c r="B576" s="141" t="s">
        <v>568</v>
      </c>
      <c r="C576" s="130">
        <f>SUM(N576:N582)</f>
        <v>0</v>
      </c>
      <c r="D576" s="130">
        <f>SUM(O576:O582)</f>
        <v>0</v>
      </c>
      <c r="E576" s="130">
        <f t="shared" si="158"/>
        <v>0</v>
      </c>
      <c r="F576" s="130"/>
      <c r="G576" s="60" t="s">
        <v>125</v>
      </c>
      <c r="H576" s="123"/>
      <c r="I576" s="123"/>
      <c r="J576" s="60"/>
      <c r="K576" s="60"/>
      <c r="L576" s="60"/>
      <c r="M576" s="60"/>
      <c r="N576" s="60">
        <f>M576*J576*K576*L576</f>
        <v>0</v>
      </c>
      <c r="O576" s="60">
        <f>J576*K576*L576</f>
        <v>0</v>
      </c>
    </row>
    <row r="577" spans="1:15" s="38" customFormat="1" ht="11.45" hidden="1" customHeight="1" outlineLevel="1" x14ac:dyDescent="0.25">
      <c r="A577" s="124"/>
      <c r="B577" s="142"/>
      <c r="C577" s="115"/>
      <c r="D577" s="115"/>
      <c r="E577" s="115"/>
      <c r="F577" s="115"/>
      <c r="G577" s="60" t="s">
        <v>126</v>
      </c>
      <c r="H577" s="124"/>
      <c r="I577" s="124"/>
      <c r="J577" s="60"/>
      <c r="K577" s="60"/>
      <c r="L577" s="60"/>
      <c r="M577" s="60"/>
      <c r="N577" s="60">
        <f t="shared" ref="N577:N582" si="175">M577*J577*K577*L577</f>
        <v>0</v>
      </c>
      <c r="O577" s="60">
        <f t="shared" ref="O577:O582" si="176">J577*K577*L577</f>
        <v>0</v>
      </c>
    </row>
    <row r="578" spans="1:15" s="38" customFormat="1" ht="10.7" hidden="1" customHeight="1" outlineLevel="1" x14ac:dyDescent="0.25">
      <c r="A578" s="124"/>
      <c r="B578" s="142"/>
      <c r="C578" s="115"/>
      <c r="D578" s="115"/>
      <c r="E578" s="115"/>
      <c r="F578" s="115"/>
      <c r="G578" s="60" t="s">
        <v>127</v>
      </c>
      <c r="H578" s="124"/>
      <c r="I578" s="124"/>
      <c r="J578" s="60"/>
      <c r="K578" s="60"/>
      <c r="L578" s="60"/>
      <c r="M578" s="60"/>
      <c r="N578" s="60">
        <f t="shared" si="175"/>
        <v>0</v>
      </c>
      <c r="O578" s="60">
        <f t="shared" si="176"/>
        <v>0</v>
      </c>
    </row>
    <row r="579" spans="1:15" s="38" customFormat="1" ht="10.7" hidden="1" customHeight="1" outlineLevel="1" x14ac:dyDescent="0.25">
      <c r="A579" s="124"/>
      <c r="B579" s="142"/>
      <c r="C579" s="115"/>
      <c r="D579" s="115"/>
      <c r="E579" s="115"/>
      <c r="F579" s="115"/>
      <c r="G579" s="60" t="s">
        <v>128</v>
      </c>
      <c r="H579" s="124"/>
      <c r="I579" s="124"/>
      <c r="J579" s="60"/>
      <c r="K579" s="60"/>
      <c r="L579" s="60"/>
      <c r="M579" s="60"/>
      <c r="N579" s="60">
        <f t="shared" si="175"/>
        <v>0</v>
      </c>
      <c r="O579" s="60">
        <f t="shared" si="176"/>
        <v>0</v>
      </c>
    </row>
    <row r="580" spans="1:15" s="38" customFormat="1" ht="10.7" hidden="1" customHeight="1" outlineLevel="1" x14ac:dyDescent="0.25">
      <c r="A580" s="124"/>
      <c r="B580" s="142"/>
      <c r="C580" s="115"/>
      <c r="D580" s="115"/>
      <c r="E580" s="115"/>
      <c r="F580" s="115"/>
      <c r="G580" s="60" t="s">
        <v>129</v>
      </c>
      <c r="H580" s="124"/>
      <c r="I580" s="124"/>
      <c r="J580" s="60"/>
      <c r="K580" s="60"/>
      <c r="L580" s="60"/>
      <c r="M580" s="60"/>
      <c r="N580" s="60">
        <f t="shared" si="175"/>
        <v>0</v>
      </c>
      <c r="O580" s="60">
        <f t="shared" si="176"/>
        <v>0</v>
      </c>
    </row>
    <row r="581" spans="1:15" s="38" customFormat="1" ht="10.7" hidden="1" customHeight="1" outlineLevel="1" x14ac:dyDescent="0.25">
      <c r="A581" s="124"/>
      <c r="B581" s="142"/>
      <c r="C581" s="115"/>
      <c r="D581" s="115"/>
      <c r="E581" s="115"/>
      <c r="F581" s="115"/>
      <c r="G581" s="60" t="s">
        <v>130</v>
      </c>
      <c r="H581" s="124"/>
      <c r="I581" s="124"/>
      <c r="J581" s="60"/>
      <c r="K581" s="60"/>
      <c r="L581" s="60"/>
      <c r="M581" s="60"/>
      <c r="N581" s="60">
        <f t="shared" si="175"/>
        <v>0</v>
      </c>
      <c r="O581" s="60">
        <f t="shared" si="176"/>
        <v>0</v>
      </c>
    </row>
    <row r="582" spans="1:15" s="38" customFormat="1" ht="12" hidden="1" customHeight="1" outlineLevel="1" thickBot="1" x14ac:dyDescent="0.3">
      <c r="A582" s="125"/>
      <c r="B582" s="143"/>
      <c r="C582" s="131"/>
      <c r="D582" s="131"/>
      <c r="E582" s="131"/>
      <c r="F582" s="131"/>
      <c r="G582" s="60" t="s">
        <v>131</v>
      </c>
      <c r="H582" s="134"/>
      <c r="I582" s="134"/>
      <c r="J582" s="60"/>
      <c r="K582" s="60"/>
      <c r="L582" s="60"/>
      <c r="M582" s="60"/>
      <c r="N582" s="60">
        <f t="shared" si="175"/>
        <v>0</v>
      </c>
      <c r="O582" s="60">
        <f t="shared" si="176"/>
        <v>0</v>
      </c>
    </row>
    <row r="583" spans="1:15" s="38" customFormat="1" ht="14.45" hidden="1" customHeight="1" outlineLevel="1" x14ac:dyDescent="0.25">
      <c r="A583" s="140" t="s">
        <v>519</v>
      </c>
      <c r="B583" s="141" t="s">
        <v>500</v>
      </c>
      <c r="C583" s="130">
        <f>SUM(N583:N589)</f>
        <v>0</v>
      </c>
      <c r="D583" s="130">
        <f>SUM(O583:O589)</f>
        <v>0</v>
      </c>
      <c r="E583" s="130">
        <f t="shared" si="158"/>
        <v>0</v>
      </c>
      <c r="F583" s="130"/>
      <c r="G583" s="60" t="s">
        <v>125</v>
      </c>
      <c r="H583" s="123"/>
      <c r="I583" s="123"/>
      <c r="J583" s="60"/>
      <c r="K583" s="60"/>
      <c r="L583" s="60"/>
      <c r="M583" s="60"/>
      <c r="N583" s="60">
        <f>M583*J583*K583*L583</f>
        <v>0</v>
      </c>
      <c r="O583" s="60">
        <f>J583*K583*L583</f>
        <v>0</v>
      </c>
    </row>
    <row r="584" spans="1:15" s="38" customFormat="1" ht="11.45" hidden="1" customHeight="1" outlineLevel="1" x14ac:dyDescent="0.25">
      <c r="A584" s="124"/>
      <c r="B584" s="142"/>
      <c r="C584" s="115"/>
      <c r="D584" s="115"/>
      <c r="E584" s="115"/>
      <c r="F584" s="115"/>
      <c r="G584" s="60" t="s">
        <v>126</v>
      </c>
      <c r="H584" s="124"/>
      <c r="I584" s="124"/>
      <c r="J584" s="60"/>
      <c r="K584" s="60"/>
      <c r="L584" s="60"/>
      <c r="M584" s="60"/>
      <c r="N584" s="60">
        <f t="shared" ref="N584:N589" si="177">M584*J584*K584*L584</f>
        <v>0</v>
      </c>
      <c r="O584" s="60">
        <f t="shared" ref="O584:O589" si="178">J584*K584*L584</f>
        <v>0</v>
      </c>
    </row>
    <row r="585" spans="1:15" s="38" customFormat="1" ht="10.7" hidden="1" customHeight="1" outlineLevel="1" x14ac:dyDescent="0.25">
      <c r="A585" s="124"/>
      <c r="B585" s="142"/>
      <c r="C585" s="115"/>
      <c r="D585" s="115"/>
      <c r="E585" s="115"/>
      <c r="F585" s="115"/>
      <c r="G585" s="60" t="s">
        <v>127</v>
      </c>
      <c r="H585" s="124"/>
      <c r="I585" s="124"/>
      <c r="J585" s="60"/>
      <c r="K585" s="60"/>
      <c r="L585" s="60"/>
      <c r="M585" s="60"/>
      <c r="N585" s="60">
        <f t="shared" si="177"/>
        <v>0</v>
      </c>
      <c r="O585" s="60">
        <f t="shared" si="178"/>
        <v>0</v>
      </c>
    </row>
    <row r="586" spans="1:15" s="38" customFormat="1" ht="10.7" hidden="1" customHeight="1" outlineLevel="1" x14ac:dyDescent="0.25">
      <c r="A586" s="124"/>
      <c r="B586" s="142"/>
      <c r="C586" s="115"/>
      <c r="D586" s="115"/>
      <c r="E586" s="115"/>
      <c r="F586" s="115"/>
      <c r="G586" s="60" t="s">
        <v>128</v>
      </c>
      <c r="H586" s="124"/>
      <c r="I586" s="124"/>
      <c r="J586" s="60"/>
      <c r="K586" s="60"/>
      <c r="L586" s="60"/>
      <c r="M586" s="60"/>
      <c r="N586" s="60">
        <f t="shared" si="177"/>
        <v>0</v>
      </c>
      <c r="O586" s="60">
        <f t="shared" si="178"/>
        <v>0</v>
      </c>
    </row>
    <row r="587" spans="1:15" s="38" customFormat="1" ht="10.7" hidden="1" customHeight="1" outlineLevel="1" x14ac:dyDescent="0.25">
      <c r="A587" s="124"/>
      <c r="B587" s="142"/>
      <c r="C587" s="115"/>
      <c r="D587" s="115"/>
      <c r="E587" s="115"/>
      <c r="F587" s="115"/>
      <c r="G587" s="60" t="s">
        <v>129</v>
      </c>
      <c r="H587" s="124"/>
      <c r="I587" s="124"/>
      <c r="J587" s="60"/>
      <c r="K587" s="60"/>
      <c r="L587" s="60"/>
      <c r="M587" s="60"/>
      <c r="N587" s="60">
        <f t="shared" si="177"/>
        <v>0</v>
      </c>
      <c r="O587" s="60">
        <f t="shared" si="178"/>
        <v>0</v>
      </c>
    </row>
    <row r="588" spans="1:15" s="38" customFormat="1" ht="10.7" hidden="1" customHeight="1" outlineLevel="1" x14ac:dyDescent="0.25">
      <c r="A588" s="124"/>
      <c r="B588" s="142"/>
      <c r="C588" s="115"/>
      <c r="D588" s="115"/>
      <c r="E588" s="115"/>
      <c r="F588" s="115"/>
      <c r="G588" s="60" t="s">
        <v>130</v>
      </c>
      <c r="H588" s="124"/>
      <c r="I588" s="124"/>
      <c r="J588" s="60"/>
      <c r="K588" s="60"/>
      <c r="L588" s="60"/>
      <c r="M588" s="60"/>
      <c r="N588" s="60">
        <f t="shared" si="177"/>
        <v>0</v>
      </c>
      <c r="O588" s="60">
        <f t="shared" si="178"/>
        <v>0</v>
      </c>
    </row>
    <row r="589" spans="1:15" s="38" customFormat="1" ht="12" hidden="1" customHeight="1" outlineLevel="1" thickBot="1" x14ac:dyDescent="0.3">
      <c r="A589" s="125"/>
      <c r="B589" s="143"/>
      <c r="C589" s="131"/>
      <c r="D589" s="131"/>
      <c r="E589" s="131"/>
      <c r="F589" s="131"/>
      <c r="G589" s="60" t="s">
        <v>131</v>
      </c>
      <c r="H589" s="134"/>
      <c r="I589" s="134"/>
      <c r="J589" s="60"/>
      <c r="K589" s="60"/>
      <c r="L589" s="60"/>
      <c r="M589" s="60"/>
      <c r="N589" s="60">
        <f t="shared" si="177"/>
        <v>0</v>
      </c>
      <c r="O589" s="60">
        <f t="shared" si="178"/>
        <v>0</v>
      </c>
    </row>
    <row r="590" spans="1:15" s="38" customFormat="1" ht="14.45" hidden="1" customHeight="1" outlineLevel="1" x14ac:dyDescent="0.25">
      <c r="A590" s="140" t="s">
        <v>521</v>
      </c>
      <c r="B590" s="141" t="s">
        <v>569</v>
      </c>
      <c r="C590" s="130">
        <f>SUM(N590:N596)</f>
        <v>0</v>
      </c>
      <c r="D590" s="130">
        <f>SUM(O590:O596)</f>
        <v>0</v>
      </c>
      <c r="E590" s="130">
        <f t="shared" ref="E590:E611" si="179">D590/8</f>
        <v>0</v>
      </c>
      <c r="F590" s="130"/>
      <c r="G590" s="60" t="s">
        <v>125</v>
      </c>
      <c r="H590" s="123"/>
      <c r="I590" s="123"/>
      <c r="J590" s="60"/>
      <c r="K590" s="60"/>
      <c r="L590" s="60"/>
      <c r="M590" s="60"/>
      <c r="N590" s="60">
        <f>M590*J590*K590*L590</f>
        <v>0</v>
      </c>
      <c r="O590" s="60">
        <f>J590*K590*L590</f>
        <v>0</v>
      </c>
    </row>
    <row r="591" spans="1:15" s="38" customFormat="1" ht="11.45" hidden="1" customHeight="1" outlineLevel="1" x14ac:dyDescent="0.25">
      <c r="A591" s="124"/>
      <c r="B591" s="142"/>
      <c r="C591" s="115"/>
      <c r="D591" s="115"/>
      <c r="E591" s="115"/>
      <c r="F591" s="115"/>
      <c r="G591" s="60" t="s">
        <v>126</v>
      </c>
      <c r="H591" s="124"/>
      <c r="I591" s="124"/>
      <c r="J591" s="60"/>
      <c r="K591" s="60"/>
      <c r="L591" s="60"/>
      <c r="M591" s="60"/>
      <c r="N591" s="60">
        <f t="shared" ref="N591:N596" si="180">M591*J591*K591*L591</f>
        <v>0</v>
      </c>
      <c r="O591" s="60">
        <f t="shared" ref="O591:O596" si="181">J591*K591*L591</f>
        <v>0</v>
      </c>
    </row>
    <row r="592" spans="1:15" s="38" customFormat="1" ht="10.7" hidden="1" customHeight="1" outlineLevel="1" x14ac:dyDescent="0.25">
      <c r="A592" s="124"/>
      <c r="B592" s="142"/>
      <c r="C592" s="115"/>
      <c r="D592" s="115"/>
      <c r="E592" s="115"/>
      <c r="F592" s="115"/>
      <c r="G592" s="60" t="s">
        <v>127</v>
      </c>
      <c r="H592" s="124"/>
      <c r="I592" s="124"/>
      <c r="J592" s="60"/>
      <c r="K592" s="60"/>
      <c r="L592" s="60"/>
      <c r="M592" s="60"/>
      <c r="N592" s="60">
        <f t="shared" si="180"/>
        <v>0</v>
      </c>
      <c r="O592" s="60">
        <f t="shared" si="181"/>
        <v>0</v>
      </c>
    </row>
    <row r="593" spans="1:15" s="38" customFormat="1" ht="10.7" hidden="1" customHeight="1" outlineLevel="1" x14ac:dyDescent="0.25">
      <c r="A593" s="124"/>
      <c r="B593" s="142"/>
      <c r="C593" s="115"/>
      <c r="D593" s="115"/>
      <c r="E593" s="115"/>
      <c r="F593" s="115"/>
      <c r="G593" s="60" t="s">
        <v>128</v>
      </c>
      <c r="H593" s="124"/>
      <c r="I593" s="124"/>
      <c r="J593" s="60"/>
      <c r="K593" s="60"/>
      <c r="L593" s="60"/>
      <c r="M593" s="60"/>
      <c r="N593" s="60">
        <f t="shared" si="180"/>
        <v>0</v>
      </c>
      <c r="O593" s="60">
        <f t="shared" si="181"/>
        <v>0</v>
      </c>
    </row>
    <row r="594" spans="1:15" s="38" customFormat="1" ht="10.7" hidden="1" customHeight="1" outlineLevel="1" x14ac:dyDescent="0.25">
      <c r="A594" s="124"/>
      <c r="B594" s="142"/>
      <c r="C594" s="115"/>
      <c r="D594" s="115"/>
      <c r="E594" s="115"/>
      <c r="F594" s="115"/>
      <c r="G594" s="60" t="s">
        <v>129</v>
      </c>
      <c r="H594" s="124"/>
      <c r="I594" s="124"/>
      <c r="J594" s="60"/>
      <c r="K594" s="60"/>
      <c r="L594" s="60"/>
      <c r="M594" s="60"/>
      <c r="N594" s="60">
        <f t="shared" si="180"/>
        <v>0</v>
      </c>
      <c r="O594" s="60">
        <f t="shared" si="181"/>
        <v>0</v>
      </c>
    </row>
    <row r="595" spans="1:15" s="38" customFormat="1" ht="10.7" hidden="1" customHeight="1" outlineLevel="1" x14ac:dyDescent="0.25">
      <c r="A595" s="124"/>
      <c r="B595" s="142"/>
      <c r="C595" s="115"/>
      <c r="D595" s="115"/>
      <c r="E595" s="115"/>
      <c r="F595" s="115"/>
      <c r="G595" s="60" t="s">
        <v>130</v>
      </c>
      <c r="H595" s="124"/>
      <c r="I595" s="124"/>
      <c r="J595" s="60"/>
      <c r="K595" s="60"/>
      <c r="L595" s="60"/>
      <c r="M595" s="60"/>
      <c r="N595" s="60">
        <f t="shared" si="180"/>
        <v>0</v>
      </c>
      <c r="O595" s="60">
        <f t="shared" si="181"/>
        <v>0</v>
      </c>
    </row>
    <row r="596" spans="1:15" s="38" customFormat="1" ht="12" hidden="1" customHeight="1" outlineLevel="1" thickBot="1" x14ac:dyDescent="0.3">
      <c r="A596" s="125"/>
      <c r="B596" s="143"/>
      <c r="C596" s="131"/>
      <c r="D596" s="131"/>
      <c r="E596" s="131"/>
      <c r="F596" s="131"/>
      <c r="G596" s="60" t="s">
        <v>131</v>
      </c>
      <c r="H596" s="134"/>
      <c r="I596" s="134"/>
      <c r="J596" s="60"/>
      <c r="K596" s="60"/>
      <c r="L596" s="60"/>
      <c r="M596" s="60"/>
      <c r="N596" s="60">
        <f t="shared" si="180"/>
        <v>0</v>
      </c>
      <c r="O596" s="60">
        <f t="shared" si="181"/>
        <v>0</v>
      </c>
    </row>
    <row r="597" spans="1:15" s="38" customFormat="1" ht="14.45" hidden="1" customHeight="1" outlineLevel="1" x14ac:dyDescent="0.25">
      <c r="A597" s="140" t="s">
        <v>523</v>
      </c>
      <c r="B597" s="141" t="s">
        <v>504</v>
      </c>
      <c r="C597" s="130">
        <f>SUM(N597:N603)</f>
        <v>0</v>
      </c>
      <c r="D597" s="130">
        <f>SUM(O597:O603)</f>
        <v>0</v>
      </c>
      <c r="E597" s="130">
        <f t="shared" si="179"/>
        <v>0</v>
      </c>
      <c r="F597" s="130"/>
      <c r="G597" s="60" t="s">
        <v>125</v>
      </c>
      <c r="H597" s="123"/>
      <c r="I597" s="123"/>
      <c r="J597" s="60"/>
      <c r="K597" s="60"/>
      <c r="L597" s="60"/>
      <c r="M597" s="60"/>
      <c r="N597" s="60">
        <f>M597*J597*K597*L597</f>
        <v>0</v>
      </c>
      <c r="O597" s="60">
        <f>J597*K597*L597</f>
        <v>0</v>
      </c>
    </row>
    <row r="598" spans="1:15" s="38" customFormat="1" ht="11.45" hidden="1" customHeight="1" outlineLevel="1" x14ac:dyDescent="0.25">
      <c r="A598" s="124"/>
      <c r="B598" s="142"/>
      <c r="C598" s="115"/>
      <c r="D598" s="115"/>
      <c r="E598" s="115"/>
      <c r="F598" s="115"/>
      <c r="G598" s="60" t="s">
        <v>126</v>
      </c>
      <c r="H598" s="124"/>
      <c r="I598" s="124"/>
      <c r="J598" s="60"/>
      <c r="K598" s="60"/>
      <c r="L598" s="60"/>
      <c r="M598" s="60"/>
      <c r="N598" s="60">
        <f t="shared" ref="N598:N603" si="182">M598*J598*K598*L598</f>
        <v>0</v>
      </c>
      <c r="O598" s="60">
        <f t="shared" ref="O598:O603" si="183">J598*K598*L598</f>
        <v>0</v>
      </c>
    </row>
    <row r="599" spans="1:15" s="38" customFormat="1" ht="10.7" hidden="1" customHeight="1" outlineLevel="1" x14ac:dyDescent="0.25">
      <c r="A599" s="124"/>
      <c r="B599" s="142"/>
      <c r="C599" s="115"/>
      <c r="D599" s="115"/>
      <c r="E599" s="115"/>
      <c r="F599" s="115"/>
      <c r="G599" s="60" t="s">
        <v>127</v>
      </c>
      <c r="H599" s="124"/>
      <c r="I599" s="124"/>
      <c r="J599" s="60"/>
      <c r="K599" s="60"/>
      <c r="L599" s="60"/>
      <c r="M599" s="60"/>
      <c r="N599" s="60">
        <f t="shared" si="182"/>
        <v>0</v>
      </c>
      <c r="O599" s="60">
        <f t="shared" si="183"/>
        <v>0</v>
      </c>
    </row>
    <row r="600" spans="1:15" s="38" customFormat="1" ht="10.7" hidden="1" customHeight="1" outlineLevel="1" x14ac:dyDescent="0.25">
      <c r="A600" s="124"/>
      <c r="B600" s="142"/>
      <c r="C600" s="115"/>
      <c r="D600" s="115"/>
      <c r="E600" s="115"/>
      <c r="F600" s="115"/>
      <c r="G600" s="60" t="s">
        <v>128</v>
      </c>
      <c r="H600" s="124"/>
      <c r="I600" s="124"/>
      <c r="J600" s="60"/>
      <c r="K600" s="60"/>
      <c r="L600" s="60"/>
      <c r="M600" s="60"/>
      <c r="N600" s="60">
        <f t="shared" si="182"/>
        <v>0</v>
      </c>
      <c r="O600" s="60">
        <f t="shared" si="183"/>
        <v>0</v>
      </c>
    </row>
    <row r="601" spans="1:15" s="38" customFormat="1" ht="10.7" hidden="1" customHeight="1" outlineLevel="1" x14ac:dyDescent="0.25">
      <c r="A601" s="124"/>
      <c r="B601" s="142"/>
      <c r="C601" s="115"/>
      <c r="D601" s="115"/>
      <c r="E601" s="115"/>
      <c r="F601" s="115"/>
      <c r="G601" s="60" t="s">
        <v>129</v>
      </c>
      <c r="H601" s="124"/>
      <c r="I601" s="124"/>
      <c r="J601" s="60"/>
      <c r="K601" s="60"/>
      <c r="L601" s="60"/>
      <c r="M601" s="60"/>
      <c r="N601" s="60">
        <f t="shared" si="182"/>
        <v>0</v>
      </c>
      <c r="O601" s="60">
        <f t="shared" si="183"/>
        <v>0</v>
      </c>
    </row>
    <row r="602" spans="1:15" s="38" customFormat="1" ht="10.7" hidden="1" customHeight="1" outlineLevel="1" x14ac:dyDescent="0.25">
      <c r="A602" s="124"/>
      <c r="B602" s="142"/>
      <c r="C602" s="115"/>
      <c r="D602" s="115"/>
      <c r="E602" s="115"/>
      <c r="F602" s="115"/>
      <c r="G602" s="60" t="s">
        <v>130</v>
      </c>
      <c r="H602" s="124"/>
      <c r="I602" s="124"/>
      <c r="J602" s="60"/>
      <c r="K602" s="60"/>
      <c r="L602" s="60"/>
      <c r="M602" s="60"/>
      <c r="N602" s="60">
        <f t="shared" si="182"/>
        <v>0</v>
      </c>
      <c r="O602" s="60">
        <f t="shared" si="183"/>
        <v>0</v>
      </c>
    </row>
    <row r="603" spans="1:15" s="38" customFormat="1" ht="12" hidden="1" customHeight="1" outlineLevel="1" thickBot="1" x14ac:dyDescent="0.3">
      <c r="A603" s="125"/>
      <c r="B603" s="143"/>
      <c r="C603" s="131"/>
      <c r="D603" s="131"/>
      <c r="E603" s="131"/>
      <c r="F603" s="131"/>
      <c r="G603" s="60" t="s">
        <v>131</v>
      </c>
      <c r="H603" s="134"/>
      <c r="I603" s="134"/>
      <c r="J603" s="60"/>
      <c r="K603" s="60"/>
      <c r="L603" s="60"/>
      <c r="M603" s="60"/>
      <c r="N603" s="60">
        <f t="shared" si="182"/>
        <v>0</v>
      </c>
      <c r="O603" s="60">
        <f t="shared" si="183"/>
        <v>0</v>
      </c>
    </row>
    <row r="604" spans="1:15" s="38" customFormat="1" ht="14.45" hidden="1" customHeight="1" outlineLevel="1" x14ac:dyDescent="0.25">
      <c r="A604" s="140" t="s">
        <v>525</v>
      </c>
      <c r="B604" s="141" t="s">
        <v>506</v>
      </c>
      <c r="C604" s="130">
        <f>SUM(N604:N610)</f>
        <v>0</v>
      </c>
      <c r="D604" s="130">
        <f>SUM(O604:O610)</f>
        <v>0</v>
      </c>
      <c r="E604" s="130">
        <f t="shared" si="179"/>
        <v>0</v>
      </c>
      <c r="F604" s="130"/>
      <c r="G604" s="60" t="s">
        <v>125</v>
      </c>
      <c r="H604" s="123"/>
      <c r="I604" s="123"/>
      <c r="J604" s="60"/>
      <c r="K604" s="60"/>
      <c r="L604" s="60"/>
      <c r="M604" s="60"/>
      <c r="N604" s="60">
        <f>M604*J604*K604*L604</f>
        <v>0</v>
      </c>
      <c r="O604" s="60">
        <f>J604*K604*L604</f>
        <v>0</v>
      </c>
    </row>
    <row r="605" spans="1:15" s="38" customFormat="1" ht="11.45" hidden="1" customHeight="1" outlineLevel="1" x14ac:dyDescent="0.25">
      <c r="A605" s="124"/>
      <c r="B605" s="142"/>
      <c r="C605" s="115"/>
      <c r="D605" s="115"/>
      <c r="E605" s="115"/>
      <c r="F605" s="115"/>
      <c r="G605" s="60" t="s">
        <v>126</v>
      </c>
      <c r="H605" s="124"/>
      <c r="I605" s="124"/>
      <c r="J605" s="60"/>
      <c r="K605" s="60"/>
      <c r="L605" s="60"/>
      <c r="M605" s="60"/>
      <c r="N605" s="60">
        <f t="shared" ref="N605:N610" si="184">M605*J605*K605*L605</f>
        <v>0</v>
      </c>
      <c r="O605" s="60">
        <f t="shared" ref="O605:O610" si="185">J605*K605*L605</f>
        <v>0</v>
      </c>
    </row>
    <row r="606" spans="1:15" s="38" customFormat="1" ht="10.7" hidden="1" customHeight="1" outlineLevel="1" x14ac:dyDescent="0.25">
      <c r="A606" s="124"/>
      <c r="B606" s="142"/>
      <c r="C606" s="115"/>
      <c r="D606" s="115"/>
      <c r="E606" s="115"/>
      <c r="F606" s="115"/>
      <c r="G606" s="60" t="s">
        <v>127</v>
      </c>
      <c r="H606" s="124"/>
      <c r="I606" s="124"/>
      <c r="J606" s="60"/>
      <c r="K606" s="60"/>
      <c r="L606" s="60"/>
      <c r="M606" s="60"/>
      <c r="N606" s="60">
        <f t="shared" si="184"/>
        <v>0</v>
      </c>
      <c r="O606" s="60">
        <f t="shared" si="185"/>
        <v>0</v>
      </c>
    </row>
    <row r="607" spans="1:15" s="38" customFormat="1" ht="10.7" hidden="1" customHeight="1" outlineLevel="1" x14ac:dyDescent="0.25">
      <c r="A607" s="124"/>
      <c r="B607" s="142"/>
      <c r="C607" s="115"/>
      <c r="D607" s="115"/>
      <c r="E607" s="115"/>
      <c r="F607" s="115"/>
      <c r="G607" s="60" t="s">
        <v>128</v>
      </c>
      <c r="H607" s="124"/>
      <c r="I607" s="124"/>
      <c r="J607" s="60"/>
      <c r="K607" s="60"/>
      <c r="L607" s="60"/>
      <c r="M607" s="60"/>
      <c r="N607" s="60">
        <f t="shared" si="184"/>
        <v>0</v>
      </c>
      <c r="O607" s="60">
        <f t="shared" si="185"/>
        <v>0</v>
      </c>
    </row>
    <row r="608" spans="1:15" s="38" customFormat="1" ht="10.7" hidden="1" customHeight="1" outlineLevel="1" x14ac:dyDescent="0.25">
      <c r="A608" s="124"/>
      <c r="B608" s="142"/>
      <c r="C608" s="115"/>
      <c r="D608" s="115"/>
      <c r="E608" s="115"/>
      <c r="F608" s="115"/>
      <c r="G608" s="60" t="s">
        <v>129</v>
      </c>
      <c r="H608" s="124"/>
      <c r="I608" s="124"/>
      <c r="J608" s="60"/>
      <c r="K608" s="60"/>
      <c r="L608" s="60"/>
      <c r="M608" s="60"/>
      <c r="N608" s="60">
        <f t="shared" si="184"/>
        <v>0</v>
      </c>
      <c r="O608" s="60">
        <f t="shared" si="185"/>
        <v>0</v>
      </c>
    </row>
    <row r="609" spans="1:15" s="38" customFormat="1" ht="10.7" hidden="1" customHeight="1" outlineLevel="1" x14ac:dyDescent="0.25">
      <c r="A609" s="124"/>
      <c r="B609" s="142"/>
      <c r="C609" s="115"/>
      <c r="D609" s="115"/>
      <c r="E609" s="115"/>
      <c r="F609" s="115"/>
      <c r="G609" s="60" t="s">
        <v>130</v>
      </c>
      <c r="H609" s="124"/>
      <c r="I609" s="124"/>
      <c r="J609" s="60"/>
      <c r="K609" s="60"/>
      <c r="L609" s="60"/>
      <c r="M609" s="60"/>
      <c r="N609" s="60">
        <f t="shared" si="184"/>
        <v>0</v>
      </c>
      <c r="O609" s="60">
        <f t="shared" si="185"/>
        <v>0</v>
      </c>
    </row>
    <row r="610" spans="1:15" s="38" customFormat="1" ht="12" hidden="1" customHeight="1" outlineLevel="1" thickBot="1" x14ac:dyDescent="0.3">
      <c r="A610" s="125"/>
      <c r="B610" s="143"/>
      <c r="C610" s="131"/>
      <c r="D610" s="131"/>
      <c r="E610" s="131"/>
      <c r="F610" s="131"/>
      <c r="G610" s="60" t="s">
        <v>131</v>
      </c>
      <c r="H610" s="134"/>
      <c r="I610" s="134"/>
      <c r="J610" s="60"/>
      <c r="K610" s="60"/>
      <c r="L610" s="60"/>
      <c r="M610" s="60"/>
      <c r="N610" s="60">
        <f t="shared" si="184"/>
        <v>0</v>
      </c>
      <c r="O610" s="60">
        <f t="shared" si="185"/>
        <v>0</v>
      </c>
    </row>
    <row r="611" spans="1:15" s="38" customFormat="1" ht="14.45" hidden="1" customHeight="1" outlineLevel="1" x14ac:dyDescent="0.25">
      <c r="A611" s="140" t="s">
        <v>570</v>
      </c>
      <c r="B611" s="141" t="s">
        <v>571</v>
      </c>
      <c r="C611" s="130">
        <f>SUM(N611:N617)</f>
        <v>0</v>
      </c>
      <c r="D611" s="130">
        <f>SUM(O611:O617)</f>
        <v>0</v>
      </c>
      <c r="E611" s="130">
        <f t="shared" si="179"/>
        <v>0</v>
      </c>
      <c r="F611" s="130"/>
      <c r="G611" s="60" t="s">
        <v>125</v>
      </c>
      <c r="H611" s="123"/>
      <c r="I611" s="123"/>
      <c r="J611" s="60"/>
      <c r="K611" s="60"/>
      <c r="L611" s="60"/>
      <c r="M611" s="60"/>
      <c r="N611" s="60">
        <f>M611*J611*K611*L611</f>
        <v>0</v>
      </c>
      <c r="O611" s="60">
        <f>J611*K611*L611</f>
        <v>0</v>
      </c>
    </row>
    <row r="612" spans="1:15" s="38" customFormat="1" ht="11.45" hidden="1" customHeight="1" outlineLevel="1" x14ac:dyDescent="0.25">
      <c r="A612" s="124"/>
      <c r="B612" s="142"/>
      <c r="C612" s="115"/>
      <c r="D612" s="115"/>
      <c r="E612" s="115"/>
      <c r="F612" s="115"/>
      <c r="G612" s="60" t="s">
        <v>126</v>
      </c>
      <c r="H612" s="124"/>
      <c r="I612" s="124"/>
      <c r="J612" s="60"/>
      <c r="K612" s="60"/>
      <c r="L612" s="60"/>
      <c r="M612" s="60"/>
      <c r="N612" s="60">
        <f t="shared" ref="N612:N617" si="186">M612*J612*K612*L612</f>
        <v>0</v>
      </c>
      <c r="O612" s="60">
        <f t="shared" ref="O612:O617" si="187">J612*K612*L612</f>
        <v>0</v>
      </c>
    </row>
    <row r="613" spans="1:15" s="38" customFormat="1" ht="10.7" hidden="1" customHeight="1" outlineLevel="1" x14ac:dyDescent="0.25">
      <c r="A613" s="124"/>
      <c r="B613" s="142"/>
      <c r="C613" s="115"/>
      <c r="D613" s="115"/>
      <c r="E613" s="115"/>
      <c r="F613" s="115"/>
      <c r="G613" s="60" t="s">
        <v>127</v>
      </c>
      <c r="H613" s="124"/>
      <c r="I613" s="124"/>
      <c r="J613" s="60"/>
      <c r="K613" s="60"/>
      <c r="L613" s="60"/>
      <c r="M613" s="60"/>
      <c r="N613" s="60">
        <f t="shared" si="186"/>
        <v>0</v>
      </c>
      <c r="O613" s="60">
        <f t="shared" si="187"/>
        <v>0</v>
      </c>
    </row>
    <row r="614" spans="1:15" s="38" customFormat="1" ht="10.7" hidden="1" customHeight="1" outlineLevel="1" x14ac:dyDescent="0.25">
      <c r="A614" s="124"/>
      <c r="B614" s="142"/>
      <c r="C614" s="115"/>
      <c r="D614" s="115"/>
      <c r="E614" s="115"/>
      <c r="F614" s="115"/>
      <c r="G614" s="60" t="s">
        <v>128</v>
      </c>
      <c r="H614" s="124"/>
      <c r="I614" s="124"/>
      <c r="J614" s="60"/>
      <c r="K614" s="60"/>
      <c r="L614" s="60"/>
      <c r="M614" s="60"/>
      <c r="N614" s="60">
        <f t="shared" si="186"/>
        <v>0</v>
      </c>
      <c r="O614" s="60">
        <f t="shared" si="187"/>
        <v>0</v>
      </c>
    </row>
    <row r="615" spans="1:15" s="38" customFormat="1" ht="10.7" hidden="1" customHeight="1" outlineLevel="1" x14ac:dyDescent="0.25">
      <c r="A615" s="124"/>
      <c r="B615" s="142"/>
      <c r="C615" s="115"/>
      <c r="D615" s="115"/>
      <c r="E615" s="115"/>
      <c r="F615" s="115"/>
      <c r="G615" s="60" t="s">
        <v>129</v>
      </c>
      <c r="H615" s="124"/>
      <c r="I615" s="124"/>
      <c r="J615" s="60"/>
      <c r="K615" s="60"/>
      <c r="L615" s="60"/>
      <c r="M615" s="60"/>
      <c r="N615" s="60">
        <f t="shared" si="186"/>
        <v>0</v>
      </c>
      <c r="O615" s="60">
        <f t="shared" si="187"/>
        <v>0</v>
      </c>
    </row>
    <row r="616" spans="1:15" s="38" customFormat="1" ht="10.7" hidden="1" customHeight="1" outlineLevel="1" x14ac:dyDescent="0.25">
      <c r="A616" s="124"/>
      <c r="B616" s="142"/>
      <c r="C616" s="115"/>
      <c r="D616" s="115"/>
      <c r="E616" s="115"/>
      <c r="F616" s="115"/>
      <c r="G616" s="60" t="s">
        <v>130</v>
      </c>
      <c r="H616" s="124"/>
      <c r="I616" s="124"/>
      <c r="J616" s="60"/>
      <c r="K616" s="60"/>
      <c r="L616" s="60"/>
      <c r="M616" s="60"/>
      <c r="N616" s="60">
        <f t="shared" si="186"/>
        <v>0</v>
      </c>
      <c r="O616" s="60">
        <f t="shared" si="187"/>
        <v>0</v>
      </c>
    </row>
    <row r="617" spans="1:15" s="38" customFormat="1" ht="12" hidden="1" customHeight="1" outlineLevel="1" thickBot="1" x14ac:dyDescent="0.3">
      <c r="A617" s="125"/>
      <c r="B617" s="143"/>
      <c r="C617" s="131"/>
      <c r="D617" s="131"/>
      <c r="E617" s="131"/>
      <c r="F617" s="131"/>
      <c r="G617" s="60" t="s">
        <v>131</v>
      </c>
      <c r="H617" s="134"/>
      <c r="I617" s="134"/>
      <c r="J617" s="60"/>
      <c r="K617" s="60"/>
      <c r="L617" s="60"/>
      <c r="M617" s="60"/>
      <c r="N617" s="60">
        <f t="shared" si="186"/>
        <v>0</v>
      </c>
      <c r="O617" s="60">
        <f t="shared" si="187"/>
        <v>0</v>
      </c>
    </row>
    <row r="618" spans="1:15" s="38" customFormat="1" hidden="1" outlineLevel="1" x14ac:dyDescent="0.25">
      <c r="A618" s="48" t="s">
        <v>572</v>
      </c>
      <c r="B618" s="54" t="s">
        <v>510</v>
      </c>
      <c r="C618" s="46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60"/>
    </row>
    <row r="619" spans="1:15" s="38" customFormat="1" ht="30.75" hidden="1" customHeight="1" outlineLevel="1" x14ac:dyDescent="0.25">
      <c r="A619" s="48" t="s">
        <v>573</v>
      </c>
      <c r="B619" s="54" t="s">
        <v>512</v>
      </c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60"/>
    </row>
    <row r="620" spans="1:15" s="38" customFormat="1" ht="14.45" hidden="1" customHeight="1" outlineLevel="1" x14ac:dyDescent="0.25">
      <c r="A620" s="140" t="s">
        <v>574</v>
      </c>
      <c r="B620" s="141" t="s">
        <v>514</v>
      </c>
      <c r="C620" s="130">
        <f>SUM(N620:N626)</f>
        <v>0</v>
      </c>
      <c r="D620" s="130">
        <f>SUM(O620:O626)</f>
        <v>0</v>
      </c>
      <c r="E620" s="130">
        <f t="shared" ref="E620:E683" si="188">D620/8</f>
        <v>0</v>
      </c>
      <c r="F620" s="130"/>
      <c r="G620" s="60" t="s">
        <v>125</v>
      </c>
      <c r="H620" s="123"/>
      <c r="I620" s="123"/>
      <c r="J620" s="60"/>
      <c r="K620" s="60"/>
      <c r="L620" s="60"/>
      <c r="M620" s="60"/>
      <c r="N620" s="60">
        <f>M620*J620*K620*L620</f>
        <v>0</v>
      </c>
      <c r="O620" s="60">
        <f>J620*K620*L620</f>
        <v>0</v>
      </c>
    </row>
    <row r="621" spans="1:15" s="38" customFormat="1" ht="11.45" hidden="1" customHeight="1" outlineLevel="1" x14ac:dyDescent="0.25">
      <c r="A621" s="124"/>
      <c r="B621" s="142"/>
      <c r="C621" s="115"/>
      <c r="D621" s="115"/>
      <c r="E621" s="115"/>
      <c r="F621" s="115"/>
      <c r="G621" s="60" t="s">
        <v>126</v>
      </c>
      <c r="H621" s="124"/>
      <c r="I621" s="124"/>
      <c r="J621" s="60"/>
      <c r="K621" s="60"/>
      <c r="L621" s="60"/>
      <c r="M621" s="60"/>
      <c r="N621" s="60">
        <f t="shared" ref="N621:N626" si="189">M621*J621*K621*L621</f>
        <v>0</v>
      </c>
      <c r="O621" s="60">
        <f t="shared" ref="O621:O626" si="190">J621*K621*L621</f>
        <v>0</v>
      </c>
    </row>
    <row r="622" spans="1:15" s="38" customFormat="1" ht="10.7" hidden="1" customHeight="1" outlineLevel="1" x14ac:dyDescent="0.25">
      <c r="A622" s="124"/>
      <c r="B622" s="142"/>
      <c r="C622" s="115"/>
      <c r="D622" s="115"/>
      <c r="E622" s="115"/>
      <c r="F622" s="115"/>
      <c r="G622" s="60" t="s">
        <v>127</v>
      </c>
      <c r="H622" s="124"/>
      <c r="I622" s="124"/>
      <c r="J622" s="60"/>
      <c r="K622" s="60"/>
      <c r="L622" s="60"/>
      <c r="M622" s="60"/>
      <c r="N622" s="60">
        <f t="shared" si="189"/>
        <v>0</v>
      </c>
      <c r="O622" s="60">
        <f t="shared" si="190"/>
        <v>0</v>
      </c>
    </row>
    <row r="623" spans="1:15" s="38" customFormat="1" ht="10.7" hidden="1" customHeight="1" outlineLevel="1" x14ac:dyDescent="0.25">
      <c r="A623" s="124"/>
      <c r="B623" s="142"/>
      <c r="C623" s="115"/>
      <c r="D623" s="115"/>
      <c r="E623" s="115"/>
      <c r="F623" s="115"/>
      <c r="G623" s="60" t="s">
        <v>128</v>
      </c>
      <c r="H623" s="124"/>
      <c r="I623" s="124"/>
      <c r="J623" s="60"/>
      <c r="K623" s="60"/>
      <c r="L623" s="60"/>
      <c r="M623" s="60"/>
      <c r="N623" s="60">
        <f t="shared" si="189"/>
        <v>0</v>
      </c>
      <c r="O623" s="60">
        <f t="shared" si="190"/>
        <v>0</v>
      </c>
    </row>
    <row r="624" spans="1:15" s="38" customFormat="1" ht="10.7" hidden="1" customHeight="1" outlineLevel="1" x14ac:dyDescent="0.25">
      <c r="A624" s="124"/>
      <c r="B624" s="142"/>
      <c r="C624" s="115"/>
      <c r="D624" s="115"/>
      <c r="E624" s="115"/>
      <c r="F624" s="115"/>
      <c r="G624" s="60" t="s">
        <v>129</v>
      </c>
      <c r="H624" s="124"/>
      <c r="I624" s="124"/>
      <c r="J624" s="60"/>
      <c r="K624" s="60"/>
      <c r="L624" s="60"/>
      <c r="M624" s="60"/>
      <c r="N624" s="60">
        <f t="shared" si="189"/>
        <v>0</v>
      </c>
      <c r="O624" s="60">
        <f t="shared" si="190"/>
        <v>0</v>
      </c>
    </row>
    <row r="625" spans="1:15" s="38" customFormat="1" ht="10.7" hidden="1" customHeight="1" outlineLevel="1" x14ac:dyDescent="0.25">
      <c r="A625" s="124"/>
      <c r="B625" s="142"/>
      <c r="C625" s="115"/>
      <c r="D625" s="115"/>
      <c r="E625" s="115"/>
      <c r="F625" s="115"/>
      <c r="G625" s="60" t="s">
        <v>130</v>
      </c>
      <c r="H625" s="124"/>
      <c r="I625" s="124"/>
      <c r="J625" s="60"/>
      <c r="K625" s="60"/>
      <c r="L625" s="60"/>
      <c r="M625" s="60"/>
      <c r="N625" s="60">
        <f t="shared" si="189"/>
        <v>0</v>
      </c>
      <c r="O625" s="60">
        <f t="shared" si="190"/>
        <v>0</v>
      </c>
    </row>
    <row r="626" spans="1:15" s="38" customFormat="1" ht="12" hidden="1" customHeight="1" outlineLevel="1" thickBot="1" x14ac:dyDescent="0.3">
      <c r="A626" s="125"/>
      <c r="B626" s="143"/>
      <c r="C626" s="131"/>
      <c r="D626" s="131"/>
      <c r="E626" s="131"/>
      <c r="F626" s="131"/>
      <c r="G626" s="60" t="s">
        <v>131</v>
      </c>
      <c r="H626" s="134"/>
      <c r="I626" s="134"/>
      <c r="J626" s="60"/>
      <c r="K626" s="60"/>
      <c r="L626" s="60"/>
      <c r="M626" s="60"/>
      <c r="N626" s="60">
        <f t="shared" si="189"/>
        <v>0</v>
      </c>
      <c r="O626" s="60">
        <f t="shared" si="190"/>
        <v>0</v>
      </c>
    </row>
    <row r="627" spans="1:15" s="38" customFormat="1" ht="14.45" hidden="1" customHeight="1" outlineLevel="1" x14ac:dyDescent="0.25">
      <c r="A627" s="140" t="s">
        <v>575</v>
      </c>
      <c r="B627" s="141" t="s">
        <v>516</v>
      </c>
      <c r="C627" s="130">
        <f>SUM(N627:N633)</f>
        <v>0</v>
      </c>
      <c r="D627" s="130">
        <f>SUM(O627:O633)</f>
        <v>0</v>
      </c>
      <c r="E627" s="130">
        <f t="shared" si="188"/>
        <v>0</v>
      </c>
      <c r="F627" s="130"/>
      <c r="G627" s="60" t="s">
        <v>125</v>
      </c>
      <c r="H627" s="123"/>
      <c r="I627" s="123"/>
      <c r="J627" s="60"/>
      <c r="K627" s="60"/>
      <c r="L627" s="60"/>
      <c r="M627" s="60"/>
      <c r="N627" s="60">
        <f>M627*J627*K627*L627</f>
        <v>0</v>
      </c>
      <c r="O627" s="60">
        <f>J627*K627*L627</f>
        <v>0</v>
      </c>
    </row>
    <row r="628" spans="1:15" s="38" customFormat="1" ht="11.45" hidden="1" customHeight="1" outlineLevel="1" x14ac:dyDescent="0.25">
      <c r="A628" s="124"/>
      <c r="B628" s="142"/>
      <c r="C628" s="115"/>
      <c r="D628" s="115"/>
      <c r="E628" s="115"/>
      <c r="F628" s="115"/>
      <c r="G628" s="60" t="s">
        <v>126</v>
      </c>
      <c r="H628" s="124"/>
      <c r="I628" s="124"/>
      <c r="J628" s="60"/>
      <c r="K628" s="60"/>
      <c r="L628" s="60"/>
      <c r="M628" s="60"/>
      <c r="N628" s="60">
        <f t="shared" ref="N628:N633" si="191">M628*J628*K628*L628</f>
        <v>0</v>
      </c>
      <c r="O628" s="60">
        <f t="shared" ref="O628:O633" si="192">J628*K628*L628</f>
        <v>0</v>
      </c>
    </row>
    <row r="629" spans="1:15" s="38" customFormat="1" ht="10.7" hidden="1" customHeight="1" outlineLevel="1" x14ac:dyDescent="0.25">
      <c r="A629" s="124"/>
      <c r="B629" s="142"/>
      <c r="C629" s="115"/>
      <c r="D629" s="115"/>
      <c r="E629" s="115"/>
      <c r="F629" s="115"/>
      <c r="G629" s="60" t="s">
        <v>127</v>
      </c>
      <c r="H629" s="124"/>
      <c r="I629" s="124"/>
      <c r="J629" s="60"/>
      <c r="K629" s="60"/>
      <c r="L629" s="60"/>
      <c r="M629" s="60"/>
      <c r="N629" s="60">
        <f t="shared" si="191"/>
        <v>0</v>
      </c>
      <c r="O629" s="60">
        <f t="shared" si="192"/>
        <v>0</v>
      </c>
    </row>
    <row r="630" spans="1:15" s="38" customFormat="1" ht="10.7" hidden="1" customHeight="1" outlineLevel="1" x14ac:dyDescent="0.25">
      <c r="A630" s="124"/>
      <c r="B630" s="142"/>
      <c r="C630" s="115"/>
      <c r="D630" s="115"/>
      <c r="E630" s="115"/>
      <c r="F630" s="115"/>
      <c r="G630" s="60" t="s">
        <v>128</v>
      </c>
      <c r="H630" s="124"/>
      <c r="I630" s="124"/>
      <c r="J630" s="60"/>
      <c r="K630" s="60"/>
      <c r="L630" s="60"/>
      <c r="M630" s="60"/>
      <c r="N630" s="60">
        <f t="shared" si="191"/>
        <v>0</v>
      </c>
      <c r="O630" s="60">
        <f t="shared" si="192"/>
        <v>0</v>
      </c>
    </row>
    <row r="631" spans="1:15" s="38" customFormat="1" ht="10.7" hidden="1" customHeight="1" outlineLevel="1" x14ac:dyDescent="0.25">
      <c r="A631" s="124"/>
      <c r="B631" s="142"/>
      <c r="C631" s="115"/>
      <c r="D631" s="115"/>
      <c r="E631" s="115"/>
      <c r="F631" s="115"/>
      <c r="G631" s="60" t="s">
        <v>129</v>
      </c>
      <c r="H631" s="124"/>
      <c r="I631" s="124"/>
      <c r="J631" s="60"/>
      <c r="K631" s="60"/>
      <c r="L631" s="60"/>
      <c r="M631" s="60"/>
      <c r="N631" s="60">
        <f t="shared" si="191"/>
        <v>0</v>
      </c>
      <c r="O631" s="60">
        <f t="shared" si="192"/>
        <v>0</v>
      </c>
    </row>
    <row r="632" spans="1:15" s="38" customFormat="1" ht="10.7" hidden="1" customHeight="1" outlineLevel="1" x14ac:dyDescent="0.25">
      <c r="A632" s="124"/>
      <c r="B632" s="142"/>
      <c r="C632" s="115"/>
      <c r="D632" s="115"/>
      <c r="E632" s="115"/>
      <c r="F632" s="115"/>
      <c r="G632" s="60" t="s">
        <v>130</v>
      </c>
      <c r="H632" s="124"/>
      <c r="I632" s="124"/>
      <c r="J632" s="60"/>
      <c r="K632" s="60"/>
      <c r="L632" s="60"/>
      <c r="M632" s="60"/>
      <c r="N632" s="60">
        <f t="shared" si="191"/>
        <v>0</v>
      </c>
      <c r="O632" s="60">
        <f t="shared" si="192"/>
        <v>0</v>
      </c>
    </row>
    <row r="633" spans="1:15" s="38" customFormat="1" ht="12" hidden="1" customHeight="1" outlineLevel="1" thickBot="1" x14ac:dyDescent="0.3">
      <c r="A633" s="125"/>
      <c r="B633" s="143"/>
      <c r="C633" s="131"/>
      <c r="D633" s="131"/>
      <c r="E633" s="131"/>
      <c r="F633" s="131"/>
      <c r="G633" s="60" t="s">
        <v>131</v>
      </c>
      <c r="H633" s="134"/>
      <c r="I633" s="134"/>
      <c r="J633" s="60"/>
      <c r="K633" s="60"/>
      <c r="L633" s="60"/>
      <c r="M633" s="60"/>
      <c r="N633" s="60">
        <f t="shared" si="191"/>
        <v>0</v>
      </c>
      <c r="O633" s="60">
        <f t="shared" si="192"/>
        <v>0</v>
      </c>
    </row>
    <row r="634" spans="1:15" s="38" customFormat="1" ht="14.45" hidden="1" customHeight="1" outlineLevel="1" x14ac:dyDescent="0.25">
      <c r="A634" s="140" t="s">
        <v>576</v>
      </c>
      <c r="B634" s="141" t="s">
        <v>518</v>
      </c>
      <c r="C634" s="130">
        <f>SUM(N634:N640)</f>
        <v>0</v>
      </c>
      <c r="D634" s="130">
        <f>SUM(O634:O640)</f>
        <v>0</v>
      </c>
      <c r="E634" s="130">
        <f t="shared" si="188"/>
        <v>0</v>
      </c>
      <c r="F634" s="130"/>
      <c r="G634" s="60" t="s">
        <v>125</v>
      </c>
      <c r="H634" s="123"/>
      <c r="I634" s="123"/>
      <c r="J634" s="60"/>
      <c r="K634" s="60"/>
      <c r="L634" s="60"/>
      <c r="M634" s="60"/>
      <c r="N634" s="60">
        <f>M634*J634*K634*L634</f>
        <v>0</v>
      </c>
      <c r="O634" s="60">
        <f>J634*K634*L634</f>
        <v>0</v>
      </c>
    </row>
    <row r="635" spans="1:15" s="38" customFormat="1" ht="11.45" hidden="1" customHeight="1" outlineLevel="1" x14ac:dyDescent="0.25">
      <c r="A635" s="124"/>
      <c r="B635" s="142"/>
      <c r="C635" s="115"/>
      <c r="D635" s="115"/>
      <c r="E635" s="115"/>
      <c r="F635" s="115"/>
      <c r="G635" s="60" t="s">
        <v>126</v>
      </c>
      <c r="H635" s="124"/>
      <c r="I635" s="124"/>
      <c r="J635" s="60"/>
      <c r="K635" s="60"/>
      <c r="L635" s="60"/>
      <c r="M635" s="60"/>
      <c r="N635" s="60">
        <f t="shared" ref="N635:N640" si="193">M635*J635*K635*L635</f>
        <v>0</v>
      </c>
      <c r="O635" s="60">
        <f t="shared" ref="O635:O640" si="194">J635*K635*L635</f>
        <v>0</v>
      </c>
    </row>
    <row r="636" spans="1:15" s="38" customFormat="1" ht="10.7" hidden="1" customHeight="1" outlineLevel="1" x14ac:dyDescent="0.25">
      <c r="A636" s="124"/>
      <c r="B636" s="142"/>
      <c r="C636" s="115"/>
      <c r="D636" s="115"/>
      <c r="E636" s="115"/>
      <c r="F636" s="115"/>
      <c r="G636" s="60" t="s">
        <v>127</v>
      </c>
      <c r="H636" s="124"/>
      <c r="I636" s="124"/>
      <c r="J636" s="60"/>
      <c r="K636" s="60"/>
      <c r="L636" s="60"/>
      <c r="M636" s="60"/>
      <c r="N636" s="60">
        <f t="shared" si="193"/>
        <v>0</v>
      </c>
      <c r="O636" s="60">
        <f t="shared" si="194"/>
        <v>0</v>
      </c>
    </row>
    <row r="637" spans="1:15" s="38" customFormat="1" ht="10.7" hidden="1" customHeight="1" outlineLevel="1" x14ac:dyDescent="0.25">
      <c r="A637" s="124"/>
      <c r="B637" s="142"/>
      <c r="C637" s="115"/>
      <c r="D637" s="115"/>
      <c r="E637" s="115"/>
      <c r="F637" s="115"/>
      <c r="G637" s="60" t="s">
        <v>128</v>
      </c>
      <c r="H637" s="124"/>
      <c r="I637" s="124"/>
      <c r="J637" s="60"/>
      <c r="K637" s="60"/>
      <c r="L637" s="60"/>
      <c r="M637" s="60"/>
      <c r="N637" s="60">
        <f t="shared" si="193"/>
        <v>0</v>
      </c>
      <c r="O637" s="60">
        <f t="shared" si="194"/>
        <v>0</v>
      </c>
    </row>
    <row r="638" spans="1:15" s="38" customFormat="1" ht="10.7" hidden="1" customHeight="1" outlineLevel="1" x14ac:dyDescent="0.25">
      <c r="A638" s="124"/>
      <c r="B638" s="142"/>
      <c r="C638" s="115"/>
      <c r="D638" s="115"/>
      <c r="E638" s="115"/>
      <c r="F638" s="115"/>
      <c r="G638" s="60" t="s">
        <v>129</v>
      </c>
      <c r="H638" s="124"/>
      <c r="I638" s="124"/>
      <c r="J638" s="60"/>
      <c r="K638" s="60"/>
      <c r="L638" s="60"/>
      <c r="M638" s="60"/>
      <c r="N638" s="60">
        <f t="shared" si="193"/>
        <v>0</v>
      </c>
      <c r="O638" s="60">
        <f t="shared" si="194"/>
        <v>0</v>
      </c>
    </row>
    <row r="639" spans="1:15" s="38" customFormat="1" ht="10.7" hidden="1" customHeight="1" outlineLevel="1" x14ac:dyDescent="0.25">
      <c r="A639" s="124"/>
      <c r="B639" s="142"/>
      <c r="C639" s="115"/>
      <c r="D639" s="115"/>
      <c r="E639" s="115"/>
      <c r="F639" s="115"/>
      <c r="G639" s="60" t="s">
        <v>130</v>
      </c>
      <c r="H639" s="124"/>
      <c r="I639" s="124"/>
      <c r="J639" s="60"/>
      <c r="K639" s="60"/>
      <c r="L639" s="60"/>
      <c r="M639" s="60"/>
      <c r="N639" s="60">
        <f t="shared" si="193"/>
        <v>0</v>
      </c>
      <c r="O639" s="60">
        <f t="shared" si="194"/>
        <v>0</v>
      </c>
    </row>
    <row r="640" spans="1:15" s="38" customFormat="1" ht="12" hidden="1" customHeight="1" outlineLevel="1" thickBot="1" x14ac:dyDescent="0.3">
      <c r="A640" s="125"/>
      <c r="B640" s="143"/>
      <c r="C640" s="131"/>
      <c r="D640" s="131"/>
      <c r="E640" s="131"/>
      <c r="F640" s="131"/>
      <c r="G640" s="60" t="s">
        <v>131</v>
      </c>
      <c r="H640" s="134"/>
      <c r="I640" s="134"/>
      <c r="J640" s="60"/>
      <c r="K640" s="60"/>
      <c r="L640" s="60"/>
      <c r="M640" s="60"/>
      <c r="N640" s="60">
        <f t="shared" si="193"/>
        <v>0</v>
      </c>
      <c r="O640" s="60">
        <f t="shared" si="194"/>
        <v>0</v>
      </c>
    </row>
    <row r="641" spans="1:15" s="38" customFormat="1" ht="14.45" hidden="1" customHeight="1" outlineLevel="1" x14ac:dyDescent="0.25">
      <c r="A641" s="140" t="s">
        <v>577</v>
      </c>
      <c r="B641" s="141" t="s">
        <v>578</v>
      </c>
      <c r="C641" s="130">
        <f>SUM(N641:N647)</f>
        <v>0</v>
      </c>
      <c r="D641" s="130">
        <f>SUM(O641:O647)</f>
        <v>0</v>
      </c>
      <c r="E641" s="130">
        <f t="shared" si="188"/>
        <v>0</v>
      </c>
      <c r="F641" s="130"/>
      <c r="G641" s="60" t="s">
        <v>125</v>
      </c>
      <c r="H641" s="123"/>
      <c r="I641" s="123"/>
      <c r="J641" s="60"/>
      <c r="K641" s="60"/>
      <c r="L641" s="60"/>
      <c r="M641" s="60"/>
      <c r="N641" s="60">
        <f>M641*J641*K641*L641</f>
        <v>0</v>
      </c>
      <c r="O641" s="60">
        <f>J641*K641*L641</f>
        <v>0</v>
      </c>
    </row>
    <row r="642" spans="1:15" s="38" customFormat="1" ht="11.45" hidden="1" customHeight="1" outlineLevel="1" x14ac:dyDescent="0.25">
      <c r="A642" s="124"/>
      <c r="B642" s="142"/>
      <c r="C642" s="115"/>
      <c r="D642" s="115"/>
      <c r="E642" s="115"/>
      <c r="F642" s="115"/>
      <c r="G642" s="60" t="s">
        <v>126</v>
      </c>
      <c r="H642" s="124"/>
      <c r="I642" s="124"/>
      <c r="J642" s="60"/>
      <c r="K642" s="60"/>
      <c r="L642" s="60"/>
      <c r="M642" s="60"/>
      <c r="N642" s="60">
        <f t="shared" ref="N642:N647" si="195">M642*J642*K642*L642</f>
        <v>0</v>
      </c>
      <c r="O642" s="60">
        <f t="shared" ref="O642:O647" si="196">J642*K642*L642</f>
        <v>0</v>
      </c>
    </row>
    <row r="643" spans="1:15" s="38" customFormat="1" ht="10.7" hidden="1" customHeight="1" outlineLevel="1" x14ac:dyDescent="0.25">
      <c r="A643" s="124"/>
      <c r="B643" s="142"/>
      <c r="C643" s="115"/>
      <c r="D643" s="115"/>
      <c r="E643" s="115"/>
      <c r="F643" s="115"/>
      <c r="G643" s="60" t="s">
        <v>127</v>
      </c>
      <c r="H643" s="124"/>
      <c r="I643" s="124"/>
      <c r="J643" s="60"/>
      <c r="K643" s="60"/>
      <c r="L643" s="60"/>
      <c r="M643" s="60"/>
      <c r="N643" s="60">
        <f t="shared" si="195"/>
        <v>0</v>
      </c>
      <c r="O643" s="60">
        <f t="shared" si="196"/>
        <v>0</v>
      </c>
    </row>
    <row r="644" spans="1:15" s="38" customFormat="1" ht="10.7" hidden="1" customHeight="1" outlineLevel="1" x14ac:dyDescent="0.25">
      <c r="A644" s="124"/>
      <c r="B644" s="142"/>
      <c r="C644" s="115"/>
      <c r="D644" s="115"/>
      <c r="E644" s="115"/>
      <c r="F644" s="115"/>
      <c r="G644" s="60" t="s">
        <v>128</v>
      </c>
      <c r="H644" s="124"/>
      <c r="I644" s="124"/>
      <c r="J644" s="60"/>
      <c r="K644" s="60"/>
      <c r="L644" s="60"/>
      <c r="M644" s="60"/>
      <c r="N644" s="60">
        <f t="shared" si="195"/>
        <v>0</v>
      </c>
      <c r="O644" s="60">
        <f t="shared" si="196"/>
        <v>0</v>
      </c>
    </row>
    <row r="645" spans="1:15" s="38" customFormat="1" ht="10.7" hidden="1" customHeight="1" outlineLevel="1" x14ac:dyDescent="0.25">
      <c r="A645" s="124"/>
      <c r="B645" s="142"/>
      <c r="C645" s="115"/>
      <c r="D645" s="115"/>
      <c r="E645" s="115"/>
      <c r="F645" s="115"/>
      <c r="G645" s="60" t="s">
        <v>129</v>
      </c>
      <c r="H645" s="124"/>
      <c r="I645" s="124"/>
      <c r="J645" s="60"/>
      <c r="K645" s="60"/>
      <c r="L645" s="60"/>
      <c r="M645" s="60"/>
      <c r="N645" s="60">
        <f t="shared" si="195"/>
        <v>0</v>
      </c>
      <c r="O645" s="60">
        <f t="shared" si="196"/>
        <v>0</v>
      </c>
    </row>
    <row r="646" spans="1:15" s="38" customFormat="1" ht="10.7" hidden="1" customHeight="1" outlineLevel="1" x14ac:dyDescent="0.25">
      <c r="A646" s="124"/>
      <c r="B646" s="142"/>
      <c r="C646" s="115"/>
      <c r="D646" s="115"/>
      <c r="E646" s="115"/>
      <c r="F646" s="115"/>
      <c r="G646" s="60" t="s">
        <v>130</v>
      </c>
      <c r="H646" s="124"/>
      <c r="I646" s="124"/>
      <c r="J646" s="60"/>
      <c r="K646" s="60"/>
      <c r="L646" s="60"/>
      <c r="M646" s="60"/>
      <c r="N646" s="60">
        <f t="shared" si="195"/>
        <v>0</v>
      </c>
      <c r="O646" s="60">
        <f t="shared" si="196"/>
        <v>0</v>
      </c>
    </row>
    <row r="647" spans="1:15" s="38" customFormat="1" ht="12" hidden="1" customHeight="1" outlineLevel="1" thickBot="1" x14ac:dyDescent="0.3">
      <c r="A647" s="125"/>
      <c r="B647" s="143"/>
      <c r="C647" s="131"/>
      <c r="D647" s="131"/>
      <c r="E647" s="131"/>
      <c r="F647" s="131"/>
      <c r="G647" s="60" t="s">
        <v>131</v>
      </c>
      <c r="H647" s="134"/>
      <c r="I647" s="134"/>
      <c r="J647" s="60"/>
      <c r="K647" s="60"/>
      <c r="L647" s="60"/>
      <c r="M647" s="60"/>
      <c r="N647" s="60">
        <f t="shared" si="195"/>
        <v>0</v>
      </c>
      <c r="O647" s="60">
        <f t="shared" si="196"/>
        <v>0</v>
      </c>
    </row>
    <row r="648" spans="1:15" s="38" customFormat="1" ht="14.45" hidden="1" customHeight="1" outlineLevel="1" x14ac:dyDescent="0.25">
      <c r="A648" s="140" t="s">
        <v>579</v>
      </c>
      <c r="B648" s="141" t="s">
        <v>520</v>
      </c>
      <c r="C648" s="130">
        <f>SUM(N648:N654)</f>
        <v>0</v>
      </c>
      <c r="D648" s="130">
        <f>SUM(O648:O654)</f>
        <v>0</v>
      </c>
      <c r="E648" s="130">
        <f t="shared" si="188"/>
        <v>0</v>
      </c>
      <c r="F648" s="130"/>
      <c r="G648" s="60" t="s">
        <v>125</v>
      </c>
      <c r="H648" s="123"/>
      <c r="I648" s="123"/>
      <c r="J648" s="60"/>
      <c r="K648" s="60"/>
      <c r="L648" s="60"/>
      <c r="M648" s="60"/>
      <c r="N648" s="60">
        <f>M648*J648*K648*L648</f>
        <v>0</v>
      </c>
      <c r="O648" s="60">
        <f>J648*K648*L648</f>
        <v>0</v>
      </c>
    </row>
    <row r="649" spans="1:15" s="38" customFormat="1" ht="11.45" hidden="1" customHeight="1" outlineLevel="1" x14ac:dyDescent="0.25">
      <c r="A649" s="124"/>
      <c r="B649" s="142"/>
      <c r="C649" s="115"/>
      <c r="D649" s="115"/>
      <c r="E649" s="115"/>
      <c r="F649" s="115"/>
      <c r="G649" s="60" t="s">
        <v>126</v>
      </c>
      <c r="H649" s="124"/>
      <c r="I649" s="124"/>
      <c r="J649" s="60"/>
      <c r="K649" s="60"/>
      <c r="L649" s="60"/>
      <c r="M649" s="60"/>
      <c r="N649" s="60">
        <f t="shared" ref="N649:N654" si="197">M649*J649*K649*L649</f>
        <v>0</v>
      </c>
      <c r="O649" s="60">
        <f t="shared" ref="O649:O654" si="198">J649*K649*L649</f>
        <v>0</v>
      </c>
    </row>
    <row r="650" spans="1:15" s="38" customFormat="1" ht="10.7" hidden="1" customHeight="1" outlineLevel="1" x14ac:dyDescent="0.25">
      <c r="A650" s="124"/>
      <c r="B650" s="142"/>
      <c r="C650" s="115"/>
      <c r="D650" s="115"/>
      <c r="E650" s="115"/>
      <c r="F650" s="115"/>
      <c r="G650" s="60" t="s">
        <v>127</v>
      </c>
      <c r="H650" s="124"/>
      <c r="I650" s="124"/>
      <c r="J650" s="60"/>
      <c r="K650" s="60"/>
      <c r="L650" s="60"/>
      <c r="M650" s="60"/>
      <c r="N650" s="60">
        <f t="shared" si="197"/>
        <v>0</v>
      </c>
      <c r="O650" s="60">
        <f t="shared" si="198"/>
        <v>0</v>
      </c>
    </row>
    <row r="651" spans="1:15" s="38" customFormat="1" ht="10.7" hidden="1" customHeight="1" outlineLevel="1" x14ac:dyDescent="0.25">
      <c r="A651" s="124"/>
      <c r="B651" s="142"/>
      <c r="C651" s="115"/>
      <c r="D651" s="115"/>
      <c r="E651" s="115"/>
      <c r="F651" s="115"/>
      <c r="G651" s="60" t="s">
        <v>128</v>
      </c>
      <c r="H651" s="124"/>
      <c r="I651" s="124"/>
      <c r="J651" s="60"/>
      <c r="K651" s="60"/>
      <c r="L651" s="60"/>
      <c r="M651" s="60"/>
      <c r="N651" s="60">
        <f t="shared" si="197"/>
        <v>0</v>
      </c>
      <c r="O651" s="60">
        <f t="shared" si="198"/>
        <v>0</v>
      </c>
    </row>
    <row r="652" spans="1:15" s="38" customFormat="1" ht="10.7" hidden="1" customHeight="1" outlineLevel="1" x14ac:dyDescent="0.25">
      <c r="A652" s="124"/>
      <c r="B652" s="142"/>
      <c r="C652" s="115"/>
      <c r="D652" s="115"/>
      <c r="E652" s="115"/>
      <c r="F652" s="115"/>
      <c r="G652" s="60" t="s">
        <v>129</v>
      </c>
      <c r="H652" s="124"/>
      <c r="I652" s="124"/>
      <c r="J652" s="60"/>
      <c r="K652" s="60"/>
      <c r="L652" s="60"/>
      <c r="M652" s="60"/>
      <c r="N652" s="60">
        <f t="shared" si="197"/>
        <v>0</v>
      </c>
      <c r="O652" s="60">
        <f t="shared" si="198"/>
        <v>0</v>
      </c>
    </row>
    <row r="653" spans="1:15" s="38" customFormat="1" ht="10.7" hidden="1" customHeight="1" outlineLevel="1" x14ac:dyDescent="0.25">
      <c r="A653" s="124"/>
      <c r="B653" s="142"/>
      <c r="C653" s="115"/>
      <c r="D653" s="115"/>
      <c r="E653" s="115"/>
      <c r="F653" s="115"/>
      <c r="G653" s="60" t="s">
        <v>130</v>
      </c>
      <c r="H653" s="124"/>
      <c r="I653" s="124"/>
      <c r="J653" s="60"/>
      <c r="K653" s="60"/>
      <c r="L653" s="60"/>
      <c r="M653" s="60"/>
      <c r="N653" s="60">
        <f t="shared" si="197"/>
        <v>0</v>
      </c>
      <c r="O653" s="60">
        <f t="shared" si="198"/>
        <v>0</v>
      </c>
    </row>
    <row r="654" spans="1:15" s="38" customFormat="1" ht="12" hidden="1" customHeight="1" outlineLevel="1" thickBot="1" x14ac:dyDescent="0.3">
      <c r="A654" s="125"/>
      <c r="B654" s="143"/>
      <c r="C654" s="131"/>
      <c r="D654" s="131"/>
      <c r="E654" s="131"/>
      <c r="F654" s="131"/>
      <c r="G654" s="60" t="s">
        <v>131</v>
      </c>
      <c r="H654" s="134"/>
      <c r="I654" s="134"/>
      <c r="J654" s="60"/>
      <c r="K654" s="60"/>
      <c r="L654" s="60"/>
      <c r="M654" s="60"/>
      <c r="N654" s="60">
        <f t="shared" si="197"/>
        <v>0</v>
      </c>
      <c r="O654" s="60">
        <f t="shared" si="198"/>
        <v>0</v>
      </c>
    </row>
    <row r="655" spans="1:15" s="38" customFormat="1" ht="14.45" hidden="1" customHeight="1" outlineLevel="1" x14ac:dyDescent="0.25">
      <c r="A655" s="140" t="s">
        <v>580</v>
      </c>
      <c r="B655" s="141" t="s">
        <v>581</v>
      </c>
      <c r="C655" s="130">
        <f>SUM(N655:N661)</f>
        <v>0</v>
      </c>
      <c r="D655" s="130">
        <f>SUM(O655:O661)</f>
        <v>0</v>
      </c>
      <c r="E655" s="130">
        <f t="shared" si="188"/>
        <v>0</v>
      </c>
      <c r="F655" s="130"/>
      <c r="G655" s="60" t="s">
        <v>125</v>
      </c>
      <c r="H655" s="123"/>
      <c r="I655" s="123"/>
      <c r="J655" s="60"/>
      <c r="K655" s="60"/>
      <c r="L655" s="60"/>
      <c r="M655" s="60"/>
      <c r="N655" s="60">
        <f>M655*J655*K655*L655</f>
        <v>0</v>
      </c>
      <c r="O655" s="60">
        <f>J655*K655*L655</f>
        <v>0</v>
      </c>
    </row>
    <row r="656" spans="1:15" s="38" customFormat="1" ht="11.45" hidden="1" customHeight="1" outlineLevel="1" x14ac:dyDescent="0.25">
      <c r="A656" s="124"/>
      <c r="B656" s="142"/>
      <c r="C656" s="115"/>
      <c r="D656" s="115"/>
      <c r="E656" s="115"/>
      <c r="F656" s="115"/>
      <c r="G656" s="60" t="s">
        <v>126</v>
      </c>
      <c r="H656" s="124"/>
      <c r="I656" s="124"/>
      <c r="J656" s="60"/>
      <c r="K656" s="60"/>
      <c r="L656" s="60"/>
      <c r="M656" s="60"/>
      <c r="N656" s="60">
        <f t="shared" ref="N656:N661" si="199">M656*J656*K656*L656</f>
        <v>0</v>
      </c>
      <c r="O656" s="60">
        <f t="shared" ref="O656:O661" si="200">J656*K656*L656</f>
        <v>0</v>
      </c>
    </row>
    <row r="657" spans="1:15" s="38" customFormat="1" ht="10.7" hidden="1" customHeight="1" outlineLevel="1" x14ac:dyDescent="0.25">
      <c r="A657" s="124"/>
      <c r="B657" s="142"/>
      <c r="C657" s="115"/>
      <c r="D657" s="115"/>
      <c r="E657" s="115"/>
      <c r="F657" s="115"/>
      <c r="G657" s="60" t="s">
        <v>127</v>
      </c>
      <c r="H657" s="124"/>
      <c r="I657" s="124"/>
      <c r="J657" s="60"/>
      <c r="K657" s="60"/>
      <c r="L657" s="60"/>
      <c r="M657" s="60"/>
      <c r="N657" s="60">
        <f t="shared" si="199"/>
        <v>0</v>
      </c>
      <c r="O657" s="60">
        <f t="shared" si="200"/>
        <v>0</v>
      </c>
    </row>
    <row r="658" spans="1:15" s="38" customFormat="1" ht="10.7" hidden="1" customHeight="1" outlineLevel="1" x14ac:dyDescent="0.25">
      <c r="A658" s="124"/>
      <c r="B658" s="142"/>
      <c r="C658" s="115"/>
      <c r="D658" s="115"/>
      <c r="E658" s="115"/>
      <c r="F658" s="115"/>
      <c r="G658" s="60" t="s">
        <v>128</v>
      </c>
      <c r="H658" s="124"/>
      <c r="I658" s="124"/>
      <c r="J658" s="60"/>
      <c r="K658" s="60"/>
      <c r="L658" s="60"/>
      <c r="M658" s="60"/>
      <c r="N658" s="60">
        <f t="shared" si="199"/>
        <v>0</v>
      </c>
      <c r="O658" s="60">
        <f t="shared" si="200"/>
        <v>0</v>
      </c>
    </row>
    <row r="659" spans="1:15" s="38" customFormat="1" ht="10.7" hidden="1" customHeight="1" outlineLevel="1" x14ac:dyDescent="0.25">
      <c r="A659" s="124"/>
      <c r="B659" s="142"/>
      <c r="C659" s="115"/>
      <c r="D659" s="115"/>
      <c r="E659" s="115"/>
      <c r="F659" s="115"/>
      <c r="G659" s="60" t="s">
        <v>129</v>
      </c>
      <c r="H659" s="124"/>
      <c r="I659" s="124"/>
      <c r="J659" s="60"/>
      <c r="K659" s="60"/>
      <c r="L659" s="60"/>
      <c r="M659" s="60"/>
      <c r="N659" s="60">
        <f t="shared" si="199"/>
        <v>0</v>
      </c>
      <c r="O659" s="60">
        <f t="shared" si="200"/>
        <v>0</v>
      </c>
    </row>
    <row r="660" spans="1:15" s="38" customFormat="1" ht="10.7" hidden="1" customHeight="1" outlineLevel="1" x14ac:dyDescent="0.25">
      <c r="A660" s="124"/>
      <c r="B660" s="142"/>
      <c r="C660" s="115"/>
      <c r="D660" s="115"/>
      <c r="E660" s="115"/>
      <c r="F660" s="115"/>
      <c r="G660" s="60" t="s">
        <v>130</v>
      </c>
      <c r="H660" s="124"/>
      <c r="I660" s="124"/>
      <c r="J660" s="60"/>
      <c r="K660" s="60"/>
      <c r="L660" s="60"/>
      <c r="M660" s="60"/>
      <c r="N660" s="60">
        <f t="shared" si="199"/>
        <v>0</v>
      </c>
      <c r="O660" s="60">
        <f t="shared" si="200"/>
        <v>0</v>
      </c>
    </row>
    <row r="661" spans="1:15" s="38" customFormat="1" ht="12" hidden="1" customHeight="1" outlineLevel="1" thickBot="1" x14ac:dyDescent="0.3">
      <c r="A661" s="125"/>
      <c r="B661" s="143"/>
      <c r="C661" s="131"/>
      <c r="D661" s="131"/>
      <c r="E661" s="131"/>
      <c r="F661" s="131"/>
      <c r="G661" s="60" t="s">
        <v>131</v>
      </c>
      <c r="H661" s="134"/>
      <c r="I661" s="134"/>
      <c r="J661" s="60"/>
      <c r="K661" s="60"/>
      <c r="L661" s="60"/>
      <c r="M661" s="60"/>
      <c r="N661" s="60">
        <f t="shared" si="199"/>
        <v>0</v>
      </c>
      <c r="O661" s="60">
        <f t="shared" si="200"/>
        <v>0</v>
      </c>
    </row>
    <row r="662" spans="1:15" s="38" customFormat="1" ht="14.45" hidden="1" customHeight="1" outlineLevel="1" x14ac:dyDescent="0.25">
      <c r="A662" s="140" t="s">
        <v>582</v>
      </c>
      <c r="B662" s="141" t="s">
        <v>583</v>
      </c>
      <c r="C662" s="130">
        <f>SUM(N662:N668)</f>
        <v>0</v>
      </c>
      <c r="D662" s="130">
        <f>SUM(O662:O668)</f>
        <v>0</v>
      </c>
      <c r="E662" s="130">
        <f t="shared" si="188"/>
        <v>0</v>
      </c>
      <c r="F662" s="130"/>
      <c r="G662" s="60" t="s">
        <v>125</v>
      </c>
      <c r="H662" s="123"/>
      <c r="I662" s="123"/>
      <c r="J662" s="60"/>
      <c r="K662" s="60"/>
      <c r="L662" s="60"/>
      <c r="M662" s="60"/>
      <c r="N662" s="60">
        <f>M662*J662*K662*L662</f>
        <v>0</v>
      </c>
      <c r="O662" s="60">
        <f>J662*K662*L662</f>
        <v>0</v>
      </c>
    </row>
    <row r="663" spans="1:15" s="38" customFormat="1" ht="11.45" hidden="1" customHeight="1" outlineLevel="1" x14ac:dyDescent="0.25">
      <c r="A663" s="124"/>
      <c r="B663" s="142"/>
      <c r="C663" s="115"/>
      <c r="D663" s="115"/>
      <c r="E663" s="115"/>
      <c r="F663" s="115"/>
      <c r="G663" s="60" t="s">
        <v>126</v>
      </c>
      <c r="H663" s="124"/>
      <c r="I663" s="124"/>
      <c r="J663" s="60"/>
      <c r="K663" s="60"/>
      <c r="L663" s="60"/>
      <c r="M663" s="60"/>
      <c r="N663" s="60">
        <f t="shared" ref="N663:N668" si="201">M663*J663*K663*L663</f>
        <v>0</v>
      </c>
      <c r="O663" s="60">
        <f t="shared" ref="O663:O668" si="202">J663*K663*L663</f>
        <v>0</v>
      </c>
    </row>
    <row r="664" spans="1:15" s="38" customFormat="1" ht="10.7" hidden="1" customHeight="1" outlineLevel="1" x14ac:dyDescent="0.25">
      <c r="A664" s="124"/>
      <c r="B664" s="142"/>
      <c r="C664" s="115"/>
      <c r="D664" s="115"/>
      <c r="E664" s="115"/>
      <c r="F664" s="115"/>
      <c r="G664" s="60" t="s">
        <v>127</v>
      </c>
      <c r="H664" s="124"/>
      <c r="I664" s="124"/>
      <c r="J664" s="60"/>
      <c r="K664" s="60"/>
      <c r="L664" s="60"/>
      <c r="M664" s="60"/>
      <c r="N664" s="60">
        <f t="shared" si="201"/>
        <v>0</v>
      </c>
      <c r="O664" s="60">
        <f t="shared" si="202"/>
        <v>0</v>
      </c>
    </row>
    <row r="665" spans="1:15" s="38" customFormat="1" ht="10.7" hidden="1" customHeight="1" outlineLevel="1" x14ac:dyDescent="0.25">
      <c r="A665" s="124"/>
      <c r="B665" s="142"/>
      <c r="C665" s="115"/>
      <c r="D665" s="115"/>
      <c r="E665" s="115"/>
      <c r="F665" s="115"/>
      <c r="G665" s="60" t="s">
        <v>128</v>
      </c>
      <c r="H665" s="124"/>
      <c r="I665" s="124"/>
      <c r="J665" s="60"/>
      <c r="K665" s="60"/>
      <c r="L665" s="60"/>
      <c r="M665" s="60"/>
      <c r="N665" s="60">
        <f t="shared" si="201"/>
        <v>0</v>
      </c>
      <c r="O665" s="60">
        <f t="shared" si="202"/>
        <v>0</v>
      </c>
    </row>
    <row r="666" spans="1:15" s="38" customFormat="1" ht="10.7" hidden="1" customHeight="1" outlineLevel="1" x14ac:dyDescent="0.25">
      <c r="A666" s="124"/>
      <c r="B666" s="142"/>
      <c r="C666" s="115"/>
      <c r="D666" s="115"/>
      <c r="E666" s="115"/>
      <c r="F666" s="115"/>
      <c r="G666" s="60" t="s">
        <v>129</v>
      </c>
      <c r="H666" s="124"/>
      <c r="I666" s="124"/>
      <c r="J666" s="60"/>
      <c r="K666" s="60"/>
      <c r="L666" s="60"/>
      <c r="M666" s="60"/>
      <c r="N666" s="60">
        <f t="shared" si="201"/>
        <v>0</v>
      </c>
      <c r="O666" s="60">
        <f t="shared" si="202"/>
        <v>0</v>
      </c>
    </row>
    <row r="667" spans="1:15" s="38" customFormat="1" ht="10.7" hidden="1" customHeight="1" outlineLevel="1" x14ac:dyDescent="0.25">
      <c r="A667" s="124"/>
      <c r="B667" s="142"/>
      <c r="C667" s="115"/>
      <c r="D667" s="115"/>
      <c r="E667" s="115"/>
      <c r="F667" s="115"/>
      <c r="G667" s="60" t="s">
        <v>130</v>
      </c>
      <c r="H667" s="124"/>
      <c r="I667" s="124"/>
      <c r="J667" s="60"/>
      <c r="K667" s="60"/>
      <c r="L667" s="60"/>
      <c r="M667" s="60"/>
      <c r="N667" s="60">
        <f t="shared" si="201"/>
        <v>0</v>
      </c>
      <c r="O667" s="60">
        <f t="shared" si="202"/>
        <v>0</v>
      </c>
    </row>
    <row r="668" spans="1:15" s="38" customFormat="1" ht="12" hidden="1" customHeight="1" outlineLevel="1" thickBot="1" x14ac:dyDescent="0.3">
      <c r="A668" s="125"/>
      <c r="B668" s="143"/>
      <c r="C668" s="131"/>
      <c r="D668" s="131"/>
      <c r="E668" s="131"/>
      <c r="F668" s="131"/>
      <c r="G668" s="60" t="s">
        <v>131</v>
      </c>
      <c r="H668" s="134"/>
      <c r="I668" s="134"/>
      <c r="J668" s="60"/>
      <c r="K668" s="60"/>
      <c r="L668" s="60"/>
      <c r="M668" s="60"/>
      <c r="N668" s="60">
        <f t="shared" si="201"/>
        <v>0</v>
      </c>
      <c r="O668" s="60">
        <f t="shared" si="202"/>
        <v>0</v>
      </c>
    </row>
    <row r="669" spans="1:15" s="38" customFormat="1" ht="14.45" hidden="1" customHeight="1" outlineLevel="1" x14ac:dyDescent="0.25">
      <c r="A669" s="140" t="s">
        <v>584</v>
      </c>
      <c r="B669" s="141" t="s">
        <v>585</v>
      </c>
      <c r="C669" s="130">
        <f>SUM(N669:N675)</f>
        <v>0</v>
      </c>
      <c r="D669" s="130">
        <f>SUM(O669:O675)</f>
        <v>0</v>
      </c>
      <c r="E669" s="130">
        <f t="shared" si="188"/>
        <v>0</v>
      </c>
      <c r="F669" s="130"/>
      <c r="G669" s="60" t="s">
        <v>125</v>
      </c>
      <c r="H669" s="123"/>
      <c r="I669" s="123"/>
      <c r="J669" s="60"/>
      <c r="K669" s="60"/>
      <c r="L669" s="60"/>
      <c r="M669" s="60"/>
      <c r="N669" s="60">
        <f>M669*J669*K669*L669</f>
        <v>0</v>
      </c>
      <c r="O669" s="60">
        <f>J669*K669*L669</f>
        <v>0</v>
      </c>
    </row>
    <row r="670" spans="1:15" s="38" customFormat="1" ht="11.45" hidden="1" customHeight="1" outlineLevel="1" x14ac:dyDescent="0.25">
      <c r="A670" s="124"/>
      <c r="B670" s="142"/>
      <c r="C670" s="115"/>
      <c r="D670" s="115"/>
      <c r="E670" s="115"/>
      <c r="F670" s="115"/>
      <c r="G670" s="60" t="s">
        <v>126</v>
      </c>
      <c r="H670" s="124"/>
      <c r="I670" s="124"/>
      <c r="J670" s="60"/>
      <c r="K670" s="60"/>
      <c r="L670" s="60"/>
      <c r="M670" s="60"/>
      <c r="N670" s="60">
        <f t="shared" ref="N670:N675" si="203">M670*J670*K670*L670</f>
        <v>0</v>
      </c>
      <c r="O670" s="60">
        <f t="shared" ref="O670:O675" si="204">J670*K670*L670</f>
        <v>0</v>
      </c>
    </row>
    <row r="671" spans="1:15" s="38" customFormat="1" ht="10.7" hidden="1" customHeight="1" outlineLevel="1" x14ac:dyDescent="0.25">
      <c r="A671" s="124"/>
      <c r="B671" s="142"/>
      <c r="C671" s="115"/>
      <c r="D671" s="115"/>
      <c r="E671" s="115"/>
      <c r="F671" s="115"/>
      <c r="G671" s="60" t="s">
        <v>127</v>
      </c>
      <c r="H671" s="124"/>
      <c r="I671" s="124"/>
      <c r="J671" s="60"/>
      <c r="K671" s="60"/>
      <c r="L671" s="60"/>
      <c r="M671" s="60"/>
      <c r="N671" s="60">
        <f t="shared" si="203"/>
        <v>0</v>
      </c>
      <c r="O671" s="60">
        <f t="shared" si="204"/>
        <v>0</v>
      </c>
    </row>
    <row r="672" spans="1:15" s="38" customFormat="1" ht="10.7" hidden="1" customHeight="1" outlineLevel="1" x14ac:dyDescent="0.25">
      <c r="A672" s="124"/>
      <c r="B672" s="142"/>
      <c r="C672" s="115"/>
      <c r="D672" s="115"/>
      <c r="E672" s="115"/>
      <c r="F672" s="115"/>
      <c r="G672" s="60" t="s">
        <v>128</v>
      </c>
      <c r="H672" s="124"/>
      <c r="I672" s="124"/>
      <c r="J672" s="60"/>
      <c r="K672" s="60"/>
      <c r="L672" s="60"/>
      <c r="M672" s="60"/>
      <c r="N672" s="60">
        <f t="shared" si="203"/>
        <v>0</v>
      </c>
      <c r="O672" s="60">
        <f t="shared" si="204"/>
        <v>0</v>
      </c>
    </row>
    <row r="673" spans="1:15" s="38" customFormat="1" ht="10.7" hidden="1" customHeight="1" outlineLevel="1" x14ac:dyDescent="0.25">
      <c r="A673" s="124"/>
      <c r="B673" s="142"/>
      <c r="C673" s="115"/>
      <c r="D673" s="115"/>
      <c r="E673" s="115"/>
      <c r="F673" s="115"/>
      <c r="G673" s="60" t="s">
        <v>129</v>
      </c>
      <c r="H673" s="124"/>
      <c r="I673" s="124"/>
      <c r="J673" s="60"/>
      <c r="K673" s="60"/>
      <c r="L673" s="60"/>
      <c r="M673" s="60"/>
      <c r="N673" s="60">
        <f t="shared" si="203"/>
        <v>0</v>
      </c>
      <c r="O673" s="60">
        <f t="shared" si="204"/>
        <v>0</v>
      </c>
    </row>
    <row r="674" spans="1:15" s="38" customFormat="1" ht="10.7" hidden="1" customHeight="1" outlineLevel="1" x14ac:dyDescent="0.25">
      <c r="A674" s="124"/>
      <c r="B674" s="142"/>
      <c r="C674" s="115"/>
      <c r="D674" s="115"/>
      <c r="E674" s="115"/>
      <c r="F674" s="115"/>
      <c r="G674" s="60" t="s">
        <v>130</v>
      </c>
      <c r="H674" s="124"/>
      <c r="I674" s="124"/>
      <c r="J674" s="60"/>
      <c r="K674" s="60"/>
      <c r="L674" s="60"/>
      <c r="M674" s="60"/>
      <c r="N674" s="60">
        <f t="shared" si="203"/>
        <v>0</v>
      </c>
      <c r="O674" s="60">
        <f t="shared" si="204"/>
        <v>0</v>
      </c>
    </row>
    <row r="675" spans="1:15" s="38" customFormat="1" ht="12" hidden="1" customHeight="1" outlineLevel="1" thickBot="1" x14ac:dyDescent="0.3">
      <c r="A675" s="125"/>
      <c r="B675" s="143"/>
      <c r="C675" s="131"/>
      <c r="D675" s="131"/>
      <c r="E675" s="131"/>
      <c r="F675" s="131"/>
      <c r="G675" s="60" t="s">
        <v>131</v>
      </c>
      <c r="H675" s="134"/>
      <c r="I675" s="134"/>
      <c r="J675" s="60"/>
      <c r="K675" s="60"/>
      <c r="L675" s="60"/>
      <c r="M675" s="60"/>
      <c r="N675" s="60">
        <f t="shared" si="203"/>
        <v>0</v>
      </c>
      <c r="O675" s="60">
        <f t="shared" si="204"/>
        <v>0</v>
      </c>
    </row>
    <row r="676" spans="1:15" s="38" customFormat="1" ht="14.45" hidden="1" customHeight="1" outlineLevel="1" x14ac:dyDescent="0.25">
      <c r="A676" s="154" t="s">
        <v>586</v>
      </c>
      <c r="B676" s="141" t="s">
        <v>587</v>
      </c>
      <c r="C676" s="130">
        <f>SUM(N676:N682)</f>
        <v>0</v>
      </c>
      <c r="D676" s="130">
        <f>SUM(O676:O682)</f>
        <v>0</v>
      </c>
      <c r="E676" s="130">
        <f t="shared" si="188"/>
        <v>0</v>
      </c>
      <c r="F676" s="130"/>
      <c r="G676" s="60" t="s">
        <v>125</v>
      </c>
      <c r="H676" s="123"/>
      <c r="I676" s="123"/>
      <c r="J676" s="60"/>
      <c r="K676" s="60"/>
      <c r="L676" s="60"/>
      <c r="M676" s="60"/>
      <c r="N676" s="60">
        <f>M676*J676*K676*L676</f>
        <v>0</v>
      </c>
      <c r="O676" s="60">
        <f>J676*K676*L676</f>
        <v>0</v>
      </c>
    </row>
    <row r="677" spans="1:15" s="38" customFormat="1" ht="11.45" hidden="1" customHeight="1" outlineLevel="1" x14ac:dyDescent="0.25">
      <c r="A677" s="154"/>
      <c r="B677" s="142"/>
      <c r="C677" s="115"/>
      <c r="D677" s="115"/>
      <c r="E677" s="115"/>
      <c r="F677" s="115"/>
      <c r="G677" s="60" t="s">
        <v>126</v>
      </c>
      <c r="H677" s="124"/>
      <c r="I677" s="124"/>
      <c r="J677" s="60"/>
      <c r="K677" s="60"/>
      <c r="L677" s="60"/>
      <c r="M677" s="60"/>
      <c r="N677" s="60">
        <f t="shared" ref="N677:N682" si="205">M677*J677*K677*L677</f>
        <v>0</v>
      </c>
      <c r="O677" s="60">
        <f t="shared" ref="O677:O682" si="206">J677*K677*L677</f>
        <v>0</v>
      </c>
    </row>
    <row r="678" spans="1:15" s="38" customFormat="1" ht="10.7" hidden="1" customHeight="1" outlineLevel="1" x14ac:dyDescent="0.25">
      <c r="A678" s="154"/>
      <c r="B678" s="142"/>
      <c r="C678" s="115"/>
      <c r="D678" s="115"/>
      <c r="E678" s="115"/>
      <c r="F678" s="115"/>
      <c r="G678" s="60" t="s">
        <v>127</v>
      </c>
      <c r="H678" s="124"/>
      <c r="I678" s="124"/>
      <c r="J678" s="60"/>
      <c r="K678" s="60"/>
      <c r="L678" s="60"/>
      <c r="M678" s="60"/>
      <c r="N678" s="60">
        <f t="shared" si="205"/>
        <v>0</v>
      </c>
      <c r="O678" s="60">
        <f t="shared" si="206"/>
        <v>0</v>
      </c>
    </row>
    <row r="679" spans="1:15" s="38" customFormat="1" ht="10.7" hidden="1" customHeight="1" outlineLevel="1" x14ac:dyDescent="0.25">
      <c r="A679" s="154"/>
      <c r="B679" s="142"/>
      <c r="C679" s="115"/>
      <c r="D679" s="115"/>
      <c r="E679" s="115"/>
      <c r="F679" s="115"/>
      <c r="G679" s="60" t="s">
        <v>128</v>
      </c>
      <c r="H679" s="124"/>
      <c r="I679" s="124"/>
      <c r="J679" s="60"/>
      <c r="K679" s="60"/>
      <c r="L679" s="60"/>
      <c r="M679" s="60"/>
      <c r="N679" s="60">
        <f t="shared" si="205"/>
        <v>0</v>
      </c>
      <c r="O679" s="60">
        <f t="shared" si="206"/>
        <v>0</v>
      </c>
    </row>
    <row r="680" spans="1:15" s="38" customFormat="1" ht="10.7" hidden="1" customHeight="1" outlineLevel="1" x14ac:dyDescent="0.25">
      <c r="A680" s="154"/>
      <c r="B680" s="142"/>
      <c r="C680" s="115"/>
      <c r="D680" s="115"/>
      <c r="E680" s="115"/>
      <c r="F680" s="115"/>
      <c r="G680" s="60" t="s">
        <v>129</v>
      </c>
      <c r="H680" s="124"/>
      <c r="I680" s="124"/>
      <c r="J680" s="60"/>
      <c r="K680" s="60"/>
      <c r="L680" s="60"/>
      <c r="M680" s="60"/>
      <c r="N680" s="60">
        <f t="shared" si="205"/>
        <v>0</v>
      </c>
      <c r="O680" s="60">
        <f t="shared" si="206"/>
        <v>0</v>
      </c>
    </row>
    <row r="681" spans="1:15" s="38" customFormat="1" ht="10.7" hidden="1" customHeight="1" outlineLevel="1" x14ac:dyDescent="0.25">
      <c r="A681" s="154"/>
      <c r="B681" s="142"/>
      <c r="C681" s="115"/>
      <c r="D681" s="115"/>
      <c r="E681" s="115"/>
      <c r="F681" s="115"/>
      <c r="G681" s="60" t="s">
        <v>130</v>
      </c>
      <c r="H681" s="124"/>
      <c r="I681" s="124"/>
      <c r="J681" s="60"/>
      <c r="K681" s="60"/>
      <c r="L681" s="60"/>
      <c r="M681" s="60"/>
      <c r="N681" s="60">
        <f t="shared" si="205"/>
        <v>0</v>
      </c>
      <c r="O681" s="60">
        <f t="shared" si="206"/>
        <v>0</v>
      </c>
    </row>
    <row r="682" spans="1:15" s="38" customFormat="1" ht="12" hidden="1" customHeight="1" outlineLevel="1" thickBot="1" x14ac:dyDescent="0.3">
      <c r="A682" s="154"/>
      <c r="B682" s="143"/>
      <c r="C682" s="131"/>
      <c r="D682" s="131"/>
      <c r="E682" s="131"/>
      <c r="F682" s="131"/>
      <c r="G682" s="60" t="s">
        <v>131</v>
      </c>
      <c r="H682" s="134"/>
      <c r="I682" s="134"/>
      <c r="J682" s="60"/>
      <c r="K682" s="60"/>
      <c r="L682" s="60"/>
      <c r="M682" s="60"/>
      <c r="N682" s="60">
        <f t="shared" si="205"/>
        <v>0</v>
      </c>
      <c r="O682" s="60">
        <f t="shared" si="206"/>
        <v>0</v>
      </c>
    </row>
    <row r="683" spans="1:15" s="38" customFormat="1" ht="14.45" hidden="1" customHeight="1" outlineLevel="1" x14ac:dyDescent="0.25">
      <c r="A683" s="154"/>
      <c r="B683" s="141" t="s">
        <v>588</v>
      </c>
      <c r="C683" s="130">
        <f>SUM(N683:N689)</f>
        <v>0</v>
      </c>
      <c r="D683" s="130">
        <f>SUM(O683:O689)</f>
        <v>0</v>
      </c>
      <c r="E683" s="130">
        <f t="shared" si="188"/>
        <v>0</v>
      </c>
      <c r="F683" s="130"/>
      <c r="G683" s="60" t="s">
        <v>125</v>
      </c>
      <c r="H683" s="123"/>
      <c r="I683" s="123"/>
      <c r="J683" s="60"/>
      <c r="K683" s="60"/>
      <c r="L683" s="60"/>
      <c r="M683" s="60"/>
      <c r="N683" s="60">
        <f>M683*J683*K683*L683</f>
        <v>0</v>
      </c>
      <c r="O683" s="60">
        <f>J683*K683*L683</f>
        <v>0</v>
      </c>
    </row>
    <row r="684" spans="1:15" s="38" customFormat="1" ht="11.45" hidden="1" customHeight="1" outlineLevel="1" x14ac:dyDescent="0.25">
      <c r="A684" s="154"/>
      <c r="B684" s="142"/>
      <c r="C684" s="115"/>
      <c r="D684" s="115"/>
      <c r="E684" s="115"/>
      <c r="F684" s="115"/>
      <c r="G684" s="60" t="s">
        <v>126</v>
      </c>
      <c r="H684" s="124"/>
      <c r="I684" s="124"/>
      <c r="J684" s="60"/>
      <c r="K684" s="60"/>
      <c r="L684" s="60"/>
      <c r="M684" s="60"/>
      <c r="N684" s="60">
        <f t="shared" ref="N684:N689" si="207">M684*J684*K684*L684</f>
        <v>0</v>
      </c>
      <c r="O684" s="60">
        <f t="shared" ref="O684:O689" si="208">J684*K684*L684</f>
        <v>0</v>
      </c>
    </row>
    <row r="685" spans="1:15" s="38" customFormat="1" ht="10.7" hidden="1" customHeight="1" outlineLevel="1" x14ac:dyDescent="0.25">
      <c r="A685" s="154"/>
      <c r="B685" s="142"/>
      <c r="C685" s="115"/>
      <c r="D685" s="115"/>
      <c r="E685" s="115"/>
      <c r="F685" s="115"/>
      <c r="G685" s="60" t="s">
        <v>127</v>
      </c>
      <c r="H685" s="124"/>
      <c r="I685" s="124"/>
      <c r="J685" s="60"/>
      <c r="K685" s="60"/>
      <c r="L685" s="60"/>
      <c r="M685" s="60"/>
      <c r="N685" s="60">
        <f t="shared" si="207"/>
        <v>0</v>
      </c>
      <c r="O685" s="60">
        <f t="shared" si="208"/>
        <v>0</v>
      </c>
    </row>
    <row r="686" spans="1:15" s="38" customFormat="1" ht="10.7" hidden="1" customHeight="1" outlineLevel="1" x14ac:dyDescent="0.25">
      <c r="A686" s="154"/>
      <c r="B686" s="142"/>
      <c r="C686" s="115"/>
      <c r="D686" s="115"/>
      <c r="E686" s="115"/>
      <c r="F686" s="115"/>
      <c r="G686" s="60" t="s">
        <v>128</v>
      </c>
      <c r="H686" s="124"/>
      <c r="I686" s="124"/>
      <c r="J686" s="60"/>
      <c r="K686" s="60"/>
      <c r="L686" s="60"/>
      <c r="M686" s="60"/>
      <c r="N686" s="60">
        <f t="shared" si="207"/>
        <v>0</v>
      </c>
      <c r="O686" s="60">
        <f t="shared" si="208"/>
        <v>0</v>
      </c>
    </row>
    <row r="687" spans="1:15" s="38" customFormat="1" ht="10.7" hidden="1" customHeight="1" outlineLevel="1" x14ac:dyDescent="0.25">
      <c r="A687" s="154"/>
      <c r="B687" s="142"/>
      <c r="C687" s="115"/>
      <c r="D687" s="115"/>
      <c r="E687" s="115"/>
      <c r="F687" s="115"/>
      <c r="G687" s="60" t="s">
        <v>129</v>
      </c>
      <c r="H687" s="124"/>
      <c r="I687" s="124"/>
      <c r="J687" s="60"/>
      <c r="K687" s="60"/>
      <c r="L687" s="60"/>
      <c r="M687" s="60"/>
      <c r="N687" s="60">
        <f t="shared" si="207"/>
        <v>0</v>
      </c>
      <c r="O687" s="60">
        <f t="shared" si="208"/>
        <v>0</v>
      </c>
    </row>
    <row r="688" spans="1:15" s="38" customFormat="1" ht="10.7" hidden="1" customHeight="1" outlineLevel="1" x14ac:dyDescent="0.25">
      <c r="A688" s="154"/>
      <c r="B688" s="142"/>
      <c r="C688" s="115"/>
      <c r="D688" s="115"/>
      <c r="E688" s="115"/>
      <c r="F688" s="115"/>
      <c r="G688" s="60" t="s">
        <v>130</v>
      </c>
      <c r="H688" s="124"/>
      <c r="I688" s="124"/>
      <c r="J688" s="60"/>
      <c r="K688" s="60"/>
      <c r="L688" s="60"/>
      <c r="M688" s="60"/>
      <c r="N688" s="60">
        <f t="shared" si="207"/>
        <v>0</v>
      </c>
      <c r="O688" s="60">
        <f t="shared" si="208"/>
        <v>0</v>
      </c>
    </row>
    <row r="689" spans="1:15" s="38" customFormat="1" ht="12" hidden="1" customHeight="1" outlineLevel="1" thickBot="1" x14ac:dyDescent="0.3">
      <c r="A689" s="154"/>
      <c r="B689" s="143"/>
      <c r="C689" s="131"/>
      <c r="D689" s="131"/>
      <c r="E689" s="131"/>
      <c r="F689" s="131"/>
      <c r="G689" s="60" t="s">
        <v>131</v>
      </c>
      <c r="H689" s="134"/>
      <c r="I689" s="134"/>
      <c r="J689" s="60"/>
      <c r="K689" s="60"/>
      <c r="L689" s="60"/>
      <c r="M689" s="60"/>
      <c r="N689" s="60">
        <f t="shared" si="207"/>
        <v>0</v>
      </c>
      <c r="O689" s="60">
        <f t="shared" si="208"/>
        <v>0</v>
      </c>
    </row>
    <row r="690" spans="1:15" s="38" customFormat="1" ht="14.45" hidden="1" customHeight="1" outlineLevel="1" x14ac:dyDescent="0.25">
      <c r="A690" s="154"/>
      <c r="B690" s="141" t="s">
        <v>589</v>
      </c>
      <c r="C690" s="130">
        <f>SUM(N690:N696)</f>
        <v>0</v>
      </c>
      <c r="D690" s="130">
        <f>SUM(O690:O696)</f>
        <v>0</v>
      </c>
      <c r="E690" s="130">
        <f t="shared" ref="E690:E739" si="209">D690/8</f>
        <v>0</v>
      </c>
      <c r="F690" s="130"/>
      <c r="G690" s="60" t="s">
        <v>125</v>
      </c>
      <c r="H690" s="123"/>
      <c r="I690" s="123"/>
      <c r="J690" s="60"/>
      <c r="K690" s="60"/>
      <c r="L690" s="60"/>
      <c r="M690" s="60"/>
      <c r="N690" s="60">
        <f>M690*J690*K690*L690</f>
        <v>0</v>
      </c>
      <c r="O690" s="60">
        <f>J690*K690*L690</f>
        <v>0</v>
      </c>
    </row>
    <row r="691" spans="1:15" s="38" customFormat="1" ht="11.45" hidden="1" customHeight="1" outlineLevel="1" x14ac:dyDescent="0.25">
      <c r="A691" s="154"/>
      <c r="B691" s="142"/>
      <c r="C691" s="115"/>
      <c r="D691" s="115"/>
      <c r="E691" s="115"/>
      <c r="F691" s="115"/>
      <c r="G691" s="60" t="s">
        <v>126</v>
      </c>
      <c r="H691" s="124"/>
      <c r="I691" s="124"/>
      <c r="J691" s="60"/>
      <c r="K691" s="60"/>
      <c r="L691" s="60"/>
      <c r="M691" s="60"/>
      <c r="N691" s="60">
        <f t="shared" ref="N691:N696" si="210">M691*J691*K691*L691</f>
        <v>0</v>
      </c>
      <c r="O691" s="60">
        <f t="shared" ref="O691:O696" si="211">J691*K691*L691</f>
        <v>0</v>
      </c>
    </row>
    <row r="692" spans="1:15" s="38" customFormat="1" ht="10.7" hidden="1" customHeight="1" outlineLevel="1" x14ac:dyDescent="0.25">
      <c r="A692" s="154"/>
      <c r="B692" s="142"/>
      <c r="C692" s="115"/>
      <c r="D692" s="115"/>
      <c r="E692" s="115"/>
      <c r="F692" s="115"/>
      <c r="G692" s="60" t="s">
        <v>127</v>
      </c>
      <c r="H692" s="124"/>
      <c r="I692" s="124"/>
      <c r="J692" s="60"/>
      <c r="K692" s="60"/>
      <c r="L692" s="60"/>
      <c r="M692" s="60"/>
      <c r="N692" s="60">
        <f t="shared" si="210"/>
        <v>0</v>
      </c>
      <c r="O692" s="60">
        <f t="shared" si="211"/>
        <v>0</v>
      </c>
    </row>
    <row r="693" spans="1:15" s="38" customFormat="1" ht="10.7" hidden="1" customHeight="1" outlineLevel="1" x14ac:dyDescent="0.25">
      <c r="A693" s="154"/>
      <c r="B693" s="142"/>
      <c r="C693" s="115"/>
      <c r="D693" s="115"/>
      <c r="E693" s="115"/>
      <c r="F693" s="115"/>
      <c r="G693" s="60" t="s">
        <v>128</v>
      </c>
      <c r="H693" s="124"/>
      <c r="I693" s="124"/>
      <c r="J693" s="60"/>
      <c r="K693" s="60"/>
      <c r="L693" s="60"/>
      <c r="M693" s="60"/>
      <c r="N693" s="60">
        <f t="shared" si="210"/>
        <v>0</v>
      </c>
      <c r="O693" s="60">
        <f t="shared" si="211"/>
        <v>0</v>
      </c>
    </row>
    <row r="694" spans="1:15" s="38" customFormat="1" ht="10.7" hidden="1" customHeight="1" outlineLevel="1" x14ac:dyDescent="0.25">
      <c r="A694" s="154"/>
      <c r="B694" s="142"/>
      <c r="C694" s="115"/>
      <c r="D694" s="115"/>
      <c r="E694" s="115"/>
      <c r="F694" s="115"/>
      <c r="G694" s="60" t="s">
        <v>129</v>
      </c>
      <c r="H694" s="124"/>
      <c r="I694" s="124"/>
      <c r="J694" s="60"/>
      <c r="K694" s="60"/>
      <c r="L694" s="60"/>
      <c r="M694" s="60"/>
      <c r="N694" s="60">
        <f t="shared" si="210"/>
        <v>0</v>
      </c>
      <c r="O694" s="60">
        <f t="shared" si="211"/>
        <v>0</v>
      </c>
    </row>
    <row r="695" spans="1:15" s="38" customFormat="1" ht="10.7" hidden="1" customHeight="1" outlineLevel="1" x14ac:dyDescent="0.25">
      <c r="A695" s="154"/>
      <c r="B695" s="142"/>
      <c r="C695" s="115"/>
      <c r="D695" s="115"/>
      <c r="E695" s="115"/>
      <c r="F695" s="115"/>
      <c r="G695" s="60" t="s">
        <v>130</v>
      </c>
      <c r="H695" s="124"/>
      <c r="I695" s="124"/>
      <c r="J695" s="60"/>
      <c r="K695" s="60"/>
      <c r="L695" s="60"/>
      <c r="M695" s="60"/>
      <c r="N695" s="60">
        <f t="shared" si="210"/>
        <v>0</v>
      </c>
      <c r="O695" s="60">
        <f t="shared" si="211"/>
        <v>0</v>
      </c>
    </row>
    <row r="696" spans="1:15" s="38" customFormat="1" ht="12" hidden="1" customHeight="1" outlineLevel="1" thickBot="1" x14ac:dyDescent="0.3">
      <c r="A696" s="154"/>
      <c r="B696" s="143"/>
      <c r="C696" s="131"/>
      <c r="D696" s="131"/>
      <c r="E696" s="131"/>
      <c r="F696" s="131"/>
      <c r="G696" s="60" t="s">
        <v>131</v>
      </c>
      <c r="H696" s="134"/>
      <c r="I696" s="134"/>
      <c r="J696" s="60"/>
      <c r="K696" s="60"/>
      <c r="L696" s="60"/>
      <c r="M696" s="60"/>
      <c r="N696" s="60">
        <f t="shared" si="210"/>
        <v>0</v>
      </c>
      <c r="O696" s="60">
        <f t="shared" si="211"/>
        <v>0</v>
      </c>
    </row>
    <row r="697" spans="1:15" s="38" customFormat="1" ht="14.45" hidden="1" customHeight="1" outlineLevel="1" x14ac:dyDescent="0.25">
      <c r="A697" s="154"/>
      <c r="B697" s="141" t="s">
        <v>527</v>
      </c>
      <c r="C697" s="130">
        <f>SUM(N697:N703)</f>
        <v>0</v>
      </c>
      <c r="D697" s="130">
        <f>SUM(O697:O703)</f>
        <v>0</v>
      </c>
      <c r="E697" s="130">
        <f t="shared" si="209"/>
        <v>0</v>
      </c>
      <c r="F697" s="130"/>
      <c r="G697" s="60" t="s">
        <v>125</v>
      </c>
      <c r="H697" s="123"/>
      <c r="I697" s="123"/>
      <c r="J697" s="60"/>
      <c r="K697" s="60"/>
      <c r="L697" s="60"/>
      <c r="M697" s="60"/>
      <c r="N697" s="60">
        <f>M697*J697*K697*L697</f>
        <v>0</v>
      </c>
      <c r="O697" s="60">
        <f>J697*K697*L697</f>
        <v>0</v>
      </c>
    </row>
    <row r="698" spans="1:15" s="38" customFormat="1" ht="11.45" hidden="1" customHeight="1" outlineLevel="1" x14ac:dyDescent="0.25">
      <c r="A698" s="154"/>
      <c r="B698" s="142"/>
      <c r="C698" s="115"/>
      <c r="D698" s="115"/>
      <c r="E698" s="115"/>
      <c r="F698" s="115"/>
      <c r="G698" s="60" t="s">
        <v>126</v>
      </c>
      <c r="H698" s="124"/>
      <c r="I698" s="124"/>
      <c r="J698" s="60"/>
      <c r="K698" s="60"/>
      <c r="L698" s="60"/>
      <c r="M698" s="60"/>
      <c r="N698" s="60">
        <f t="shared" ref="N698:N703" si="212">M698*J698*K698*L698</f>
        <v>0</v>
      </c>
      <c r="O698" s="60">
        <f t="shared" ref="O698:O703" si="213">J698*K698*L698</f>
        <v>0</v>
      </c>
    </row>
    <row r="699" spans="1:15" s="38" customFormat="1" ht="10.7" hidden="1" customHeight="1" outlineLevel="1" x14ac:dyDescent="0.25">
      <c r="A699" s="154"/>
      <c r="B699" s="142"/>
      <c r="C699" s="115"/>
      <c r="D699" s="115"/>
      <c r="E699" s="115"/>
      <c r="F699" s="115"/>
      <c r="G699" s="60" t="s">
        <v>127</v>
      </c>
      <c r="H699" s="124"/>
      <c r="I699" s="124"/>
      <c r="J699" s="60"/>
      <c r="K699" s="60"/>
      <c r="L699" s="60"/>
      <c r="M699" s="60"/>
      <c r="N699" s="60">
        <f t="shared" si="212"/>
        <v>0</v>
      </c>
      <c r="O699" s="60">
        <f t="shared" si="213"/>
        <v>0</v>
      </c>
    </row>
    <row r="700" spans="1:15" s="38" customFormat="1" ht="10.7" hidden="1" customHeight="1" outlineLevel="1" x14ac:dyDescent="0.25">
      <c r="A700" s="154"/>
      <c r="B700" s="142"/>
      <c r="C700" s="115"/>
      <c r="D700" s="115"/>
      <c r="E700" s="115"/>
      <c r="F700" s="115"/>
      <c r="G700" s="60" t="s">
        <v>128</v>
      </c>
      <c r="H700" s="124"/>
      <c r="I700" s="124"/>
      <c r="J700" s="60"/>
      <c r="K700" s="60"/>
      <c r="L700" s="60"/>
      <c r="M700" s="60"/>
      <c r="N700" s="60">
        <f t="shared" si="212"/>
        <v>0</v>
      </c>
      <c r="O700" s="60">
        <f t="shared" si="213"/>
        <v>0</v>
      </c>
    </row>
    <row r="701" spans="1:15" s="38" customFormat="1" ht="10.7" hidden="1" customHeight="1" outlineLevel="1" x14ac:dyDescent="0.25">
      <c r="A701" s="154"/>
      <c r="B701" s="142"/>
      <c r="C701" s="115"/>
      <c r="D701" s="115"/>
      <c r="E701" s="115"/>
      <c r="F701" s="115"/>
      <c r="G701" s="60" t="s">
        <v>129</v>
      </c>
      <c r="H701" s="124"/>
      <c r="I701" s="124"/>
      <c r="J701" s="60"/>
      <c r="K701" s="60"/>
      <c r="L701" s="60"/>
      <c r="M701" s="60"/>
      <c r="N701" s="60">
        <f t="shared" si="212"/>
        <v>0</v>
      </c>
      <c r="O701" s="60">
        <f t="shared" si="213"/>
        <v>0</v>
      </c>
    </row>
    <row r="702" spans="1:15" s="38" customFormat="1" ht="10.7" hidden="1" customHeight="1" outlineLevel="1" x14ac:dyDescent="0.25">
      <c r="A702" s="154"/>
      <c r="B702" s="142"/>
      <c r="C702" s="115"/>
      <c r="D702" s="115"/>
      <c r="E702" s="115"/>
      <c r="F702" s="115"/>
      <c r="G702" s="60" t="s">
        <v>130</v>
      </c>
      <c r="H702" s="124"/>
      <c r="I702" s="124"/>
      <c r="J702" s="60"/>
      <c r="K702" s="60"/>
      <c r="L702" s="60"/>
      <c r="M702" s="60"/>
      <c r="N702" s="60">
        <f t="shared" si="212"/>
        <v>0</v>
      </c>
      <c r="O702" s="60">
        <f t="shared" si="213"/>
        <v>0</v>
      </c>
    </row>
    <row r="703" spans="1:15" s="38" customFormat="1" ht="12" hidden="1" customHeight="1" outlineLevel="1" thickBot="1" x14ac:dyDescent="0.3">
      <c r="A703" s="154"/>
      <c r="B703" s="143"/>
      <c r="C703" s="131"/>
      <c r="D703" s="131"/>
      <c r="E703" s="131"/>
      <c r="F703" s="131"/>
      <c r="G703" s="60" t="s">
        <v>131</v>
      </c>
      <c r="H703" s="134"/>
      <c r="I703" s="134"/>
      <c r="J703" s="60"/>
      <c r="K703" s="60"/>
      <c r="L703" s="60"/>
      <c r="M703" s="60"/>
      <c r="N703" s="60">
        <f t="shared" si="212"/>
        <v>0</v>
      </c>
      <c r="O703" s="60">
        <f t="shared" si="213"/>
        <v>0</v>
      </c>
    </row>
    <row r="704" spans="1:15" s="38" customFormat="1" ht="14.45" hidden="1" customHeight="1" outlineLevel="1" x14ac:dyDescent="0.25">
      <c r="A704" s="154"/>
      <c r="B704" s="141" t="s">
        <v>528</v>
      </c>
      <c r="C704" s="130">
        <f>SUM(N704:N710)</f>
        <v>0</v>
      </c>
      <c r="D704" s="130">
        <f>SUM(O704:O710)</f>
        <v>0</v>
      </c>
      <c r="E704" s="130">
        <f t="shared" si="209"/>
        <v>0</v>
      </c>
      <c r="F704" s="130"/>
      <c r="G704" s="60" t="s">
        <v>125</v>
      </c>
      <c r="H704" s="123"/>
      <c r="I704" s="123"/>
      <c r="J704" s="60"/>
      <c r="K704" s="60"/>
      <c r="L704" s="60"/>
      <c r="M704" s="60"/>
      <c r="N704" s="60">
        <f>M704*J704*K704*L704</f>
        <v>0</v>
      </c>
      <c r="O704" s="60">
        <f>J704*K704*L704</f>
        <v>0</v>
      </c>
    </row>
    <row r="705" spans="1:15" s="38" customFormat="1" ht="11.45" hidden="1" customHeight="1" outlineLevel="1" x14ac:dyDescent="0.25">
      <c r="A705" s="154"/>
      <c r="B705" s="142"/>
      <c r="C705" s="115"/>
      <c r="D705" s="115"/>
      <c r="E705" s="115"/>
      <c r="F705" s="115"/>
      <c r="G705" s="60" t="s">
        <v>126</v>
      </c>
      <c r="H705" s="124"/>
      <c r="I705" s="124"/>
      <c r="J705" s="60"/>
      <c r="K705" s="60"/>
      <c r="L705" s="60"/>
      <c r="M705" s="60"/>
      <c r="N705" s="60">
        <f t="shared" ref="N705:N710" si="214">M705*J705*K705*L705</f>
        <v>0</v>
      </c>
      <c r="O705" s="60">
        <f t="shared" ref="O705:O710" si="215">J705*K705*L705</f>
        <v>0</v>
      </c>
    </row>
    <row r="706" spans="1:15" s="38" customFormat="1" ht="10.7" hidden="1" customHeight="1" outlineLevel="1" x14ac:dyDescent="0.25">
      <c r="A706" s="154"/>
      <c r="B706" s="142"/>
      <c r="C706" s="115"/>
      <c r="D706" s="115"/>
      <c r="E706" s="115"/>
      <c r="F706" s="115"/>
      <c r="G706" s="60" t="s">
        <v>127</v>
      </c>
      <c r="H706" s="124"/>
      <c r="I706" s="124"/>
      <c r="J706" s="60"/>
      <c r="K706" s="60"/>
      <c r="L706" s="60"/>
      <c r="M706" s="60"/>
      <c r="N706" s="60">
        <f t="shared" si="214"/>
        <v>0</v>
      </c>
      <c r="O706" s="60">
        <f t="shared" si="215"/>
        <v>0</v>
      </c>
    </row>
    <row r="707" spans="1:15" s="38" customFormat="1" ht="10.7" hidden="1" customHeight="1" outlineLevel="1" x14ac:dyDescent="0.25">
      <c r="A707" s="154"/>
      <c r="B707" s="142"/>
      <c r="C707" s="115"/>
      <c r="D707" s="115"/>
      <c r="E707" s="115"/>
      <c r="F707" s="115"/>
      <c r="G707" s="60" t="s">
        <v>128</v>
      </c>
      <c r="H707" s="124"/>
      <c r="I707" s="124"/>
      <c r="J707" s="60"/>
      <c r="K707" s="60"/>
      <c r="L707" s="60"/>
      <c r="M707" s="60"/>
      <c r="N707" s="60">
        <f t="shared" si="214"/>
        <v>0</v>
      </c>
      <c r="O707" s="60">
        <f t="shared" si="215"/>
        <v>0</v>
      </c>
    </row>
    <row r="708" spans="1:15" s="38" customFormat="1" ht="10.7" hidden="1" customHeight="1" outlineLevel="1" x14ac:dyDescent="0.25">
      <c r="A708" s="154"/>
      <c r="B708" s="142"/>
      <c r="C708" s="115"/>
      <c r="D708" s="115"/>
      <c r="E708" s="115"/>
      <c r="F708" s="115"/>
      <c r="G708" s="60" t="s">
        <v>129</v>
      </c>
      <c r="H708" s="124"/>
      <c r="I708" s="124"/>
      <c r="J708" s="60"/>
      <c r="K708" s="60"/>
      <c r="L708" s="60"/>
      <c r="M708" s="60"/>
      <c r="N708" s="60">
        <f t="shared" si="214"/>
        <v>0</v>
      </c>
      <c r="O708" s="60">
        <f t="shared" si="215"/>
        <v>0</v>
      </c>
    </row>
    <row r="709" spans="1:15" s="38" customFormat="1" ht="10.7" hidden="1" customHeight="1" outlineLevel="1" x14ac:dyDescent="0.25">
      <c r="A709" s="154"/>
      <c r="B709" s="142"/>
      <c r="C709" s="115"/>
      <c r="D709" s="115"/>
      <c r="E709" s="115"/>
      <c r="F709" s="115"/>
      <c r="G709" s="60" t="s">
        <v>130</v>
      </c>
      <c r="H709" s="124"/>
      <c r="I709" s="124"/>
      <c r="J709" s="60"/>
      <c r="K709" s="60"/>
      <c r="L709" s="60"/>
      <c r="M709" s="60"/>
      <c r="N709" s="60">
        <f t="shared" si="214"/>
        <v>0</v>
      </c>
      <c r="O709" s="60">
        <f t="shared" si="215"/>
        <v>0</v>
      </c>
    </row>
    <row r="710" spans="1:15" s="38" customFormat="1" ht="12" hidden="1" customHeight="1" outlineLevel="1" thickBot="1" x14ac:dyDescent="0.3">
      <c r="A710" s="154"/>
      <c r="B710" s="143"/>
      <c r="C710" s="131"/>
      <c r="D710" s="131"/>
      <c r="E710" s="131"/>
      <c r="F710" s="131"/>
      <c r="G710" s="60" t="s">
        <v>131</v>
      </c>
      <c r="H710" s="134"/>
      <c r="I710" s="134"/>
      <c r="J710" s="60"/>
      <c r="K710" s="60"/>
      <c r="L710" s="60"/>
      <c r="M710" s="60"/>
      <c r="N710" s="60">
        <f t="shared" si="214"/>
        <v>0</v>
      </c>
      <c r="O710" s="60">
        <f t="shared" si="215"/>
        <v>0</v>
      </c>
    </row>
    <row r="711" spans="1:15" s="38" customFormat="1" ht="14.45" hidden="1" customHeight="1" outlineLevel="1" x14ac:dyDescent="0.25">
      <c r="A711" s="154"/>
      <c r="B711" s="141" t="s">
        <v>529</v>
      </c>
      <c r="C711" s="130">
        <f>SUM(N711:N717)</f>
        <v>0</v>
      </c>
      <c r="D711" s="130">
        <f>SUM(O711:O717)</f>
        <v>0</v>
      </c>
      <c r="E711" s="130">
        <f t="shared" si="209"/>
        <v>0</v>
      </c>
      <c r="F711" s="130"/>
      <c r="G711" s="60" t="s">
        <v>125</v>
      </c>
      <c r="H711" s="123"/>
      <c r="I711" s="123"/>
      <c r="J711" s="60"/>
      <c r="K711" s="60"/>
      <c r="L711" s="60"/>
      <c r="M711" s="60"/>
      <c r="N711" s="60">
        <f>M711*J711*K711*L711</f>
        <v>0</v>
      </c>
      <c r="O711" s="60">
        <f>J711*K711*L711</f>
        <v>0</v>
      </c>
    </row>
    <row r="712" spans="1:15" s="38" customFormat="1" ht="11.45" hidden="1" customHeight="1" outlineLevel="1" x14ac:dyDescent="0.25">
      <c r="A712" s="154"/>
      <c r="B712" s="142"/>
      <c r="C712" s="115"/>
      <c r="D712" s="115"/>
      <c r="E712" s="115"/>
      <c r="F712" s="115"/>
      <c r="G712" s="60" t="s">
        <v>126</v>
      </c>
      <c r="H712" s="124"/>
      <c r="I712" s="124"/>
      <c r="J712" s="60"/>
      <c r="K712" s="60"/>
      <c r="L712" s="60"/>
      <c r="M712" s="60"/>
      <c r="N712" s="60">
        <f t="shared" ref="N712:N717" si="216">M712*J712*K712*L712</f>
        <v>0</v>
      </c>
      <c r="O712" s="60">
        <f t="shared" ref="O712:O717" si="217">J712*K712*L712</f>
        <v>0</v>
      </c>
    </row>
    <row r="713" spans="1:15" s="38" customFormat="1" ht="10.7" hidden="1" customHeight="1" outlineLevel="1" x14ac:dyDescent="0.25">
      <c r="A713" s="154"/>
      <c r="B713" s="142"/>
      <c r="C713" s="115"/>
      <c r="D713" s="115"/>
      <c r="E713" s="115"/>
      <c r="F713" s="115"/>
      <c r="G713" s="60" t="s">
        <v>127</v>
      </c>
      <c r="H713" s="124"/>
      <c r="I713" s="124"/>
      <c r="J713" s="60"/>
      <c r="K713" s="60"/>
      <c r="L713" s="60"/>
      <c r="M713" s="60"/>
      <c r="N713" s="60">
        <f t="shared" si="216"/>
        <v>0</v>
      </c>
      <c r="O713" s="60">
        <f t="shared" si="217"/>
        <v>0</v>
      </c>
    </row>
    <row r="714" spans="1:15" s="38" customFormat="1" ht="10.7" hidden="1" customHeight="1" outlineLevel="1" x14ac:dyDescent="0.25">
      <c r="A714" s="154"/>
      <c r="B714" s="142"/>
      <c r="C714" s="115"/>
      <c r="D714" s="115"/>
      <c r="E714" s="115"/>
      <c r="F714" s="115"/>
      <c r="G714" s="60" t="s">
        <v>128</v>
      </c>
      <c r="H714" s="124"/>
      <c r="I714" s="124"/>
      <c r="J714" s="60"/>
      <c r="K714" s="60"/>
      <c r="L714" s="60"/>
      <c r="M714" s="60"/>
      <c r="N714" s="60">
        <f t="shared" si="216"/>
        <v>0</v>
      </c>
      <c r="O714" s="60">
        <f t="shared" si="217"/>
        <v>0</v>
      </c>
    </row>
    <row r="715" spans="1:15" s="38" customFormat="1" ht="10.7" hidden="1" customHeight="1" outlineLevel="1" x14ac:dyDescent="0.25">
      <c r="A715" s="154"/>
      <c r="B715" s="142"/>
      <c r="C715" s="115"/>
      <c r="D715" s="115"/>
      <c r="E715" s="115"/>
      <c r="F715" s="115"/>
      <c r="G715" s="60" t="s">
        <v>129</v>
      </c>
      <c r="H715" s="124"/>
      <c r="I715" s="124"/>
      <c r="J715" s="60"/>
      <c r="K715" s="60"/>
      <c r="L715" s="60"/>
      <c r="M715" s="60"/>
      <c r="N715" s="60">
        <f t="shared" si="216"/>
        <v>0</v>
      </c>
      <c r="O715" s="60">
        <f t="shared" si="217"/>
        <v>0</v>
      </c>
    </row>
    <row r="716" spans="1:15" s="38" customFormat="1" ht="10.7" hidden="1" customHeight="1" outlineLevel="1" x14ac:dyDescent="0.25">
      <c r="A716" s="154"/>
      <c r="B716" s="142"/>
      <c r="C716" s="115"/>
      <c r="D716" s="115"/>
      <c r="E716" s="115"/>
      <c r="F716" s="115"/>
      <c r="G716" s="60" t="s">
        <v>130</v>
      </c>
      <c r="H716" s="124"/>
      <c r="I716" s="124"/>
      <c r="J716" s="60"/>
      <c r="K716" s="60"/>
      <c r="L716" s="60"/>
      <c r="M716" s="60"/>
      <c r="N716" s="60">
        <f t="shared" si="216"/>
        <v>0</v>
      </c>
      <c r="O716" s="60">
        <f t="shared" si="217"/>
        <v>0</v>
      </c>
    </row>
    <row r="717" spans="1:15" s="38" customFormat="1" ht="12" hidden="1" customHeight="1" outlineLevel="1" thickBot="1" x14ac:dyDescent="0.3">
      <c r="A717" s="154"/>
      <c r="B717" s="143"/>
      <c r="C717" s="131"/>
      <c r="D717" s="131"/>
      <c r="E717" s="131"/>
      <c r="F717" s="131"/>
      <c r="G717" s="60" t="s">
        <v>131</v>
      </c>
      <c r="H717" s="134"/>
      <c r="I717" s="134"/>
      <c r="J717" s="60"/>
      <c r="K717" s="60"/>
      <c r="L717" s="60"/>
      <c r="M717" s="60"/>
      <c r="N717" s="60">
        <f t="shared" si="216"/>
        <v>0</v>
      </c>
      <c r="O717" s="60">
        <f t="shared" si="217"/>
        <v>0</v>
      </c>
    </row>
    <row r="718" spans="1:15" s="38" customFormat="1" ht="14.45" hidden="1" customHeight="1" outlineLevel="1" x14ac:dyDescent="0.25">
      <c r="A718" s="154"/>
      <c r="B718" s="141" t="s">
        <v>590</v>
      </c>
      <c r="C718" s="130">
        <f>SUM(N718:N724)</f>
        <v>0</v>
      </c>
      <c r="D718" s="130">
        <f>SUM(O718:O724)</f>
        <v>0</v>
      </c>
      <c r="E718" s="130">
        <f t="shared" si="209"/>
        <v>0</v>
      </c>
      <c r="F718" s="130"/>
      <c r="G718" s="60" t="s">
        <v>125</v>
      </c>
      <c r="H718" s="123"/>
      <c r="I718" s="123"/>
      <c r="J718" s="60"/>
      <c r="K718" s="60"/>
      <c r="L718" s="60"/>
      <c r="M718" s="60"/>
      <c r="N718" s="60">
        <f>M718*J718*K718*L718</f>
        <v>0</v>
      </c>
      <c r="O718" s="60">
        <f>J718*K718*L718</f>
        <v>0</v>
      </c>
    </row>
    <row r="719" spans="1:15" s="38" customFormat="1" ht="11.45" hidden="1" customHeight="1" outlineLevel="1" x14ac:dyDescent="0.25">
      <c r="A719" s="154"/>
      <c r="B719" s="142"/>
      <c r="C719" s="115"/>
      <c r="D719" s="115"/>
      <c r="E719" s="115"/>
      <c r="F719" s="115"/>
      <c r="G719" s="60" t="s">
        <v>126</v>
      </c>
      <c r="H719" s="124"/>
      <c r="I719" s="124"/>
      <c r="J719" s="60"/>
      <c r="K719" s="60"/>
      <c r="L719" s="60"/>
      <c r="M719" s="60"/>
      <c r="N719" s="60">
        <f t="shared" ref="N719:N724" si="218">M719*J719*K719*L719</f>
        <v>0</v>
      </c>
      <c r="O719" s="60">
        <f t="shared" ref="O719:O724" si="219">J719*K719*L719</f>
        <v>0</v>
      </c>
    </row>
    <row r="720" spans="1:15" s="38" customFormat="1" ht="10.7" hidden="1" customHeight="1" outlineLevel="1" x14ac:dyDescent="0.25">
      <c r="A720" s="154"/>
      <c r="B720" s="142"/>
      <c r="C720" s="115"/>
      <c r="D720" s="115"/>
      <c r="E720" s="115"/>
      <c r="F720" s="115"/>
      <c r="G720" s="60" t="s">
        <v>127</v>
      </c>
      <c r="H720" s="124"/>
      <c r="I720" s="124"/>
      <c r="J720" s="60"/>
      <c r="K720" s="60"/>
      <c r="L720" s="60"/>
      <c r="M720" s="60"/>
      <c r="N720" s="60">
        <f t="shared" si="218"/>
        <v>0</v>
      </c>
      <c r="O720" s="60">
        <f t="shared" si="219"/>
        <v>0</v>
      </c>
    </row>
    <row r="721" spans="1:15" s="38" customFormat="1" ht="10.7" hidden="1" customHeight="1" outlineLevel="1" x14ac:dyDescent="0.25">
      <c r="A721" s="154"/>
      <c r="B721" s="142"/>
      <c r="C721" s="115"/>
      <c r="D721" s="115"/>
      <c r="E721" s="115"/>
      <c r="F721" s="115"/>
      <c r="G721" s="60" t="s">
        <v>128</v>
      </c>
      <c r="H721" s="124"/>
      <c r="I721" s="124"/>
      <c r="J721" s="60"/>
      <c r="K721" s="60"/>
      <c r="L721" s="60"/>
      <c r="M721" s="60"/>
      <c r="N721" s="60">
        <f t="shared" si="218"/>
        <v>0</v>
      </c>
      <c r="O721" s="60">
        <f t="shared" si="219"/>
        <v>0</v>
      </c>
    </row>
    <row r="722" spans="1:15" s="38" customFormat="1" ht="10.7" hidden="1" customHeight="1" outlineLevel="1" x14ac:dyDescent="0.25">
      <c r="A722" s="154"/>
      <c r="B722" s="142"/>
      <c r="C722" s="115"/>
      <c r="D722" s="115"/>
      <c r="E722" s="115"/>
      <c r="F722" s="115"/>
      <c r="G722" s="60" t="s">
        <v>129</v>
      </c>
      <c r="H722" s="124"/>
      <c r="I722" s="124"/>
      <c r="J722" s="60"/>
      <c r="K722" s="60"/>
      <c r="L722" s="60"/>
      <c r="M722" s="60"/>
      <c r="N722" s="60">
        <f t="shared" si="218"/>
        <v>0</v>
      </c>
      <c r="O722" s="60">
        <f t="shared" si="219"/>
        <v>0</v>
      </c>
    </row>
    <row r="723" spans="1:15" s="38" customFormat="1" ht="10.7" hidden="1" customHeight="1" outlineLevel="1" x14ac:dyDescent="0.25">
      <c r="A723" s="154"/>
      <c r="B723" s="142"/>
      <c r="C723" s="115"/>
      <c r="D723" s="115"/>
      <c r="E723" s="115"/>
      <c r="F723" s="115"/>
      <c r="G723" s="60" t="s">
        <v>130</v>
      </c>
      <c r="H723" s="124"/>
      <c r="I723" s="124"/>
      <c r="J723" s="60"/>
      <c r="K723" s="60"/>
      <c r="L723" s="60"/>
      <c r="M723" s="60"/>
      <c r="N723" s="60">
        <f t="shared" si="218"/>
        <v>0</v>
      </c>
      <c r="O723" s="60">
        <f t="shared" si="219"/>
        <v>0</v>
      </c>
    </row>
    <row r="724" spans="1:15" s="38" customFormat="1" ht="12" hidden="1" customHeight="1" outlineLevel="1" thickBot="1" x14ac:dyDescent="0.3">
      <c r="A724" s="154"/>
      <c r="B724" s="143"/>
      <c r="C724" s="131"/>
      <c r="D724" s="131"/>
      <c r="E724" s="131"/>
      <c r="F724" s="131"/>
      <c r="G724" s="60" t="s">
        <v>131</v>
      </c>
      <c r="H724" s="134"/>
      <c r="I724" s="134"/>
      <c r="J724" s="60"/>
      <c r="K724" s="60"/>
      <c r="L724" s="60"/>
      <c r="M724" s="60"/>
      <c r="N724" s="60">
        <f t="shared" si="218"/>
        <v>0</v>
      </c>
      <c r="O724" s="60">
        <f t="shared" si="219"/>
        <v>0</v>
      </c>
    </row>
    <row r="725" spans="1:15" s="38" customFormat="1" ht="14.45" hidden="1" customHeight="1" outlineLevel="1" x14ac:dyDescent="0.25">
      <c r="A725" s="154"/>
      <c r="B725" s="141" t="s">
        <v>591</v>
      </c>
      <c r="C725" s="130">
        <f>SUM(N725:N731)</f>
        <v>0</v>
      </c>
      <c r="D725" s="130">
        <f>SUM(O725:O731)</f>
        <v>0</v>
      </c>
      <c r="E725" s="130">
        <f t="shared" si="209"/>
        <v>0</v>
      </c>
      <c r="F725" s="130"/>
      <c r="G725" s="60" t="s">
        <v>125</v>
      </c>
      <c r="H725" s="123"/>
      <c r="I725" s="123"/>
      <c r="J725" s="60"/>
      <c r="K725" s="60"/>
      <c r="L725" s="60"/>
      <c r="M725" s="60"/>
      <c r="N725" s="60">
        <f>M725*J725*K725*L725</f>
        <v>0</v>
      </c>
      <c r="O725" s="60">
        <f>J725*K725*L725</f>
        <v>0</v>
      </c>
    </row>
    <row r="726" spans="1:15" s="38" customFormat="1" ht="11.45" hidden="1" customHeight="1" outlineLevel="1" x14ac:dyDescent="0.25">
      <c r="A726" s="154"/>
      <c r="B726" s="142"/>
      <c r="C726" s="115"/>
      <c r="D726" s="115"/>
      <c r="E726" s="115"/>
      <c r="F726" s="115"/>
      <c r="G726" s="60" t="s">
        <v>126</v>
      </c>
      <c r="H726" s="124"/>
      <c r="I726" s="124"/>
      <c r="J726" s="60"/>
      <c r="K726" s="60"/>
      <c r="L726" s="60"/>
      <c r="M726" s="60"/>
      <c r="N726" s="60">
        <f t="shared" ref="N726:N731" si="220">M726*J726*K726*L726</f>
        <v>0</v>
      </c>
      <c r="O726" s="60">
        <f t="shared" ref="O726:O731" si="221">J726*K726*L726</f>
        <v>0</v>
      </c>
    </row>
    <row r="727" spans="1:15" s="38" customFormat="1" ht="10.7" hidden="1" customHeight="1" outlineLevel="1" x14ac:dyDescent="0.25">
      <c r="A727" s="154"/>
      <c r="B727" s="142"/>
      <c r="C727" s="115"/>
      <c r="D727" s="115"/>
      <c r="E727" s="115"/>
      <c r="F727" s="115"/>
      <c r="G727" s="60" t="s">
        <v>127</v>
      </c>
      <c r="H727" s="124"/>
      <c r="I727" s="124"/>
      <c r="J727" s="60"/>
      <c r="K727" s="60"/>
      <c r="L727" s="60"/>
      <c r="M727" s="60"/>
      <c r="N727" s="60">
        <f t="shared" si="220"/>
        <v>0</v>
      </c>
      <c r="O727" s="60">
        <f t="shared" si="221"/>
        <v>0</v>
      </c>
    </row>
    <row r="728" spans="1:15" s="38" customFormat="1" ht="10.7" hidden="1" customHeight="1" outlineLevel="1" x14ac:dyDescent="0.25">
      <c r="A728" s="154"/>
      <c r="B728" s="142"/>
      <c r="C728" s="115"/>
      <c r="D728" s="115"/>
      <c r="E728" s="115"/>
      <c r="F728" s="115"/>
      <c r="G728" s="60" t="s">
        <v>128</v>
      </c>
      <c r="H728" s="124"/>
      <c r="I728" s="124"/>
      <c r="J728" s="60"/>
      <c r="K728" s="60"/>
      <c r="L728" s="60"/>
      <c r="M728" s="60"/>
      <c r="N728" s="60">
        <f t="shared" si="220"/>
        <v>0</v>
      </c>
      <c r="O728" s="60">
        <f t="shared" si="221"/>
        <v>0</v>
      </c>
    </row>
    <row r="729" spans="1:15" s="38" customFormat="1" ht="10.7" hidden="1" customHeight="1" outlineLevel="1" x14ac:dyDescent="0.25">
      <c r="A729" s="154"/>
      <c r="B729" s="142"/>
      <c r="C729" s="115"/>
      <c r="D729" s="115"/>
      <c r="E729" s="115"/>
      <c r="F729" s="115"/>
      <c r="G729" s="60" t="s">
        <v>129</v>
      </c>
      <c r="H729" s="124"/>
      <c r="I729" s="124"/>
      <c r="J729" s="60"/>
      <c r="K729" s="60"/>
      <c r="L729" s="60"/>
      <c r="M729" s="60"/>
      <c r="N729" s="60">
        <f t="shared" si="220"/>
        <v>0</v>
      </c>
      <c r="O729" s="60">
        <f t="shared" si="221"/>
        <v>0</v>
      </c>
    </row>
    <row r="730" spans="1:15" s="38" customFormat="1" ht="10.7" hidden="1" customHeight="1" outlineLevel="1" x14ac:dyDescent="0.25">
      <c r="A730" s="154"/>
      <c r="B730" s="142"/>
      <c r="C730" s="115"/>
      <c r="D730" s="115"/>
      <c r="E730" s="115"/>
      <c r="F730" s="115"/>
      <c r="G730" s="60" t="s">
        <v>130</v>
      </c>
      <c r="H730" s="124"/>
      <c r="I730" s="124"/>
      <c r="J730" s="60"/>
      <c r="K730" s="60"/>
      <c r="L730" s="60"/>
      <c r="M730" s="60"/>
      <c r="N730" s="60">
        <f t="shared" si="220"/>
        <v>0</v>
      </c>
      <c r="O730" s="60">
        <f t="shared" si="221"/>
        <v>0</v>
      </c>
    </row>
    <row r="731" spans="1:15" s="38" customFormat="1" ht="12" hidden="1" customHeight="1" outlineLevel="1" thickBot="1" x14ac:dyDescent="0.3">
      <c r="A731" s="154"/>
      <c r="B731" s="143"/>
      <c r="C731" s="131"/>
      <c r="D731" s="131"/>
      <c r="E731" s="131"/>
      <c r="F731" s="131"/>
      <c r="G731" s="60" t="s">
        <v>131</v>
      </c>
      <c r="H731" s="134"/>
      <c r="I731" s="134"/>
      <c r="J731" s="60"/>
      <c r="K731" s="60"/>
      <c r="L731" s="60"/>
      <c r="M731" s="60"/>
      <c r="N731" s="60">
        <f t="shared" si="220"/>
        <v>0</v>
      </c>
      <c r="O731" s="60">
        <f t="shared" si="221"/>
        <v>0</v>
      </c>
    </row>
    <row r="732" spans="1:15" s="38" customFormat="1" ht="14.45" hidden="1" customHeight="1" outlineLevel="1" x14ac:dyDescent="0.25">
      <c r="A732" s="140" t="s">
        <v>592</v>
      </c>
      <c r="B732" s="141" t="s">
        <v>593</v>
      </c>
      <c r="C732" s="130">
        <f>SUM(N732:N738)</f>
        <v>0</v>
      </c>
      <c r="D732" s="130">
        <f>SUM(O732:O738)</f>
        <v>0</v>
      </c>
      <c r="E732" s="130">
        <f t="shared" si="209"/>
        <v>0</v>
      </c>
      <c r="F732" s="130"/>
      <c r="G732" s="60" t="s">
        <v>125</v>
      </c>
      <c r="H732" s="123"/>
      <c r="I732" s="123"/>
      <c r="J732" s="60"/>
      <c r="K732" s="60"/>
      <c r="L732" s="60"/>
      <c r="M732" s="60"/>
      <c r="N732" s="60">
        <f>M732*J732*K732*L732</f>
        <v>0</v>
      </c>
      <c r="O732" s="60">
        <f>J732*K732*L732</f>
        <v>0</v>
      </c>
    </row>
    <row r="733" spans="1:15" s="38" customFormat="1" ht="11.45" hidden="1" customHeight="1" outlineLevel="1" x14ac:dyDescent="0.25">
      <c r="A733" s="124"/>
      <c r="B733" s="142"/>
      <c r="C733" s="115"/>
      <c r="D733" s="115"/>
      <c r="E733" s="115"/>
      <c r="F733" s="115"/>
      <c r="G733" s="60" t="s">
        <v>126</v>
      </c>
      <c r="H733" s="124"/>
      <c r="I733" s="124"/>
      <c r="J733" s="60"/>
      <c r="K733" s="60"/>
      <c r="L733" s="60"/>
      <c r="M733" s="60"/>
      <c r="N733" s="60">
        <f t="shared" ref="N733:N738" si="222">M733*J733*K733*L733</f>
        <v>0</v>
      </c>
      <c r="O733" s="60">
        <f t="shared" ref="O733:O738" si="223">J733*K733*L733</f>
        <v>0</v>
      </c>
    </row>
    <row r="734" spans="1:15" s="38" customFormat="1" ht="10.7" hidden="1" customHeight="1" outlineLevel="1" x14ac:dyDescent="0.25">
      <c r="A734" s="124"/>
      <c r="B734" s="142"/>
      <c r="C734" s="115"/>
      <c r="D734" s="115"/>
      <c r="E734" s="115"/>
      <c r="F734" s="115"/>
      <c r="G734" s="60" t="s">
        <v>127</v>
      </c>
      <c r="H734" s="124"/>
      <c r="I734" s="124"/>
      <c r="J734" s="60"/>
      <c r="K734" s="60"/>
      <c r="L734" s="60"/>
      <c r="M734" s="60"/>
      <c r="N734" s="60">
        <f t="shared" si="222"/>
        <v>0</v>
      </c>
      <c r="O734" s="60">
        <f t="shared" si="223"/>
        <v>0</v>
      </c>
    </row>
    <row r="735" spans="1:15" s="38" customFormat="1" ht="10.7" hidden="1" customHeight="1" outlineLevel="1" x14ac:dyDescent="0.25">
      <c r="A735" s="124"/>
      <c r="B735" s="142"/>
      <c r="C735" s="115"/>
      <c r="D735" s="115"/>
      <c r="E735" s="115"/>
      <c r="F735" s="115"/>
      <c r="G735" s="60" t="s">
        <v>128</v>
      </c>
      <c r="H735" s="124"/>
      <c r="I735" s="124"/>
      <c r="J735" s="60"/>
      <c r="K735" s="60"/>
      <c r="L735" s="60"/>
      <c r="M735" s="60"/>
      <c r="N735" s="60">
        <f t="shared" si="222"/>
        <v>0</v>
      </c>
      <c r="O735" s="60">
        <f t="shared" si="223"/>
        <v>0</v>
      </c>
    </row>
    <row r="736" spans="1:15" s="38" customFormat="1" ht="10.7" hidden="1" customHeight="1" outlineLevel="1" x14ac:dyDescent="0.25">
      <c r="A736" s="124"/>
      <c r="B736" s="142"/>
      <c r="C736" s="115"/>
      <c r="D736" s="115"/>
      <c r="E736" s="115"/>
      <c r="F736" s="115"/>
      <c r="G736" s="60" t="s">
        <v>129</v>
      </c>
      <c r="H736" s="124"/>
      <c r="I736" s="124"/>
      <c r="J736" s="60"/>
      <c r="K736" s="60"/>
      <c r="L736" s="60"/>
      <c r="M736" s="60"/>
      <c r="N736" s="60">
        <f t="shared" si="222"/>
        <v>0</v>
      </c>
      <c r="O736" s="60">
        <f t="shared" si="223"/>
        <v>0</v>
      </c>
    </row>
    <row r="737" spans="1:15" s="38" customFormat="1" ht="10.7" hidden="1" customHeight="1" outlineLevel="1" x14ac:dyDescent="0.25">
      <c r="A737" s="124"/>
      <c r="B737" s="142"/>
      <c r="C737" s="115"/>
      <c r="D737" s="115"/>
      <c r="E737" s="115"/>
      <c r="F737" s="115"/>
      <c r="G737" s="60" t="s">
        <v>130</v>
      </c>
      <c r="H737" s="124"/>
      <c r="I737" s="124"/>
      <c r="J737" s="60"/>
      <c r="K737" s="60"/>
      <c r="L737" s="60"/>
      <c r="M737" s="60"/>
      <c r="N737" s="60">
        <f t="shared" si="222"/>
        <v>0</v>
      </c>
      <c r="O737" s="60">
        <f t="shared" si="223"/>
        <v>0</v>
      </c>
    </row>
    <row r="738" spans="1:15" s="38" customFormat="1" ht="12" hidden="1" customHeight="1" outlineLevel="1" thickBot="1" x14ac:dyDescent="0.3">
      <c r="A738" s="125"/>
      <c r="B738" s="143"/>
      <c r="C738" s="131"/>
      <c r="D738" s="131"/>
      <c r="E738" s="131"/>
      <c r="F738" s="131"/>
      <c r="G738" s="60" t="s">
        <v>131</v>
      </c>
      <c r="H738" s="134"/>
      <c r="I738" s="134"/>
      <c r="J738" s="60"/>
      <c r="K738" s="60"/>
      <c r="L738" s="60"/>
      <c r="M738" s="60"/>
      <c r="N738" s="60">
        <f t="shared" si="222"/>
        <v>0</v>
      </c>
      <c r="O738" s="60">
        <f t="shared" si="223"/>
        <v>0</v>
      </c>
    </row>
    <row r="739" spans="1:15" s="38" customFormat="1" ht="14.45" hidden="1" customHeight="1" outlineLevel="1" x14ac:dyDescent="0.25">
      <c r="A739" s="140" t="s">
        <v>594</v>
      </c>
      <c r="B739" s="141" t="s">
        <v>595</v>
      </c>
      <c r="C739" s="130">
        <f>SUM(N739:N745)</f>
        <v>0</v>
      </c>
      <c r="D739" s="130">
        <f>SUM(O739:O745)</f>
        <v>0</v>
      </c>
      <c r="E739" s="130">
        <f t="shared" si="209"/>
        <v>0</v>
      </c>
      <c r="F739" s="130"/>
      <c r="G739" s="60" t="s">
        <v>125</v>
      </c>
      <c r="H739" s="123"/>
      <c r="I739" s="123"/>
      <c r="J739" s="60"/>
      <c r="K739" s="60"/>
      <c r="L739" s="60"/>
      <c r="M739" s="60"/>
      <c r="N739" s="60">
        <f>M739*J739*K739*L739</f>
        <v>0</v>
      </c>
      <c r="O739" s="60">
        <f>J739*K739*L739</f>
        <v>0</v>
      </c>
    </row>
    <row r="740" spans="1:15" s="38" customFormat="1" ht="11.45" hidden="1" customHeight="1" outlineLevel="1" x14ac:dyDescent="0.25">
      <c r="A740" s="124"/>
      <c r="B740" s="142"/>
      <c r="C740" s="115"/>
      <c r="D740" s="115"/>
      <c r="E740" s="115"/>
      <c r="F740" s="115"/>
      <c r="G740" s="60" t="s">
        <v>126</v>
      </c>
      <c r="H740" s="124"/>
      <c r="I740" s="124"/>
      <c r="J740" s="60"/>
      <c r="K740" s="60"/>
      <c r="L740" s="60"/>
      <c r="M740" s="60"/>
      <c r="N740" s="60">
        <f t="shared" ref="N740:N745" si="224">M740*J740*K740*L740</f>
        <v>0</v>
      </c>
      <c r="O740" s="60">
        <f t="shared" ref="O740:O745" si="225">J740*K740*L740</f>
        <v>0</v>
      </c>
    </row>
    <row r="741" spans="1:15" s="38" customFormat="1" ht="10.7" hidden="1" customHeight="1" outlineLevel="1" x14ac:dyDescent="0.25">
      <c r="A741" s="124"/>
      <c r="B741" s="142"/>
      <c r="C741" s="115"/>
      <c r="D741" s="115"/>
      <c r="E741" s="115"/>
      <c r="F741" s="115"/>
      <c r="G741" s="60" t="s">
        <v>127</v>
      </c>
      <c r="H741" s="124"/>
      <c r="I741" s="124"/>
      <c r="J741" s="60"/>
      <c r="K741" s="60"/>
      <c r="L741" s="60"/>
      <c r="M741" s="60"/>
      <c r="N741" s="60">
        <f t="shared" si="224"/>
        <v>0</v>
      </c>
      <c r="O741" s="60">
        <f t="shared" si="225"/>
        <v>0</v>
      </c>
    </row>
    <row r="742" spans="1:15" s="38" customFormat="1" ht="10.7" hidden="1" customHeight="1" outlineLevel="1" x14ac:dyDescent="0.25">
      <c r="A742" s="124"/>
      <c r="B742" s="142"/>
      <c r="C742" s="115"/>
      <c r="D742" s="115"/>
      <c r="E742" s="115"/>
      <c r="F742" s="115"/>
      <c r="G742" s="60" t="s">
        <v>128</v>
      </c>
      <c r="H742" s="124"/>
      <c r="I742" s="124"/>
      <c r="J742" s="60"/>
      <c r="K742" s="60"/>
      <c r="L742" s="60"/>
      <c r="M742" s="60"/>
      <c r="N742" s="60">
        <f t="shared" si="224"/>
        <v>0</v>
      </c>
      <c r="O742" s="60">
        <f t="shared" si="225"/>
        <v>0</v>
      </c>
    </row>
    <row r="743" spans="1:15" s="38" customFormat="1" ht="10.7" hidden="1" customHeight="1" outlineLevel="1" x14ac:dyDescent="0.25">
      <c r="A743" s="124"/>
      <c r="B743" s="142"/>
      <c r="C743" s="115"/>
      <c r="D743" s="115"/>
      <c r="E743" s="115"/>
      <c r="F743" s="115"/>
      <c r="G743" s="60" t="s">
        <v>129</v>
      </c>
      <c r="H743" s="124"/>
      <c r="I743" s="124"/>
      <c r="J743" s="60"/>
      <c r="K743" s="60"/>
      <c r="L743" s="60"/>
      <c r="M743" s="60"/>
      <c r="N743" s="60">
        <f t="shared" si="224"/>
        <v>0</v>
      </c>
      <c r="O743" s="60">
        <f t="shared" si="225"/>
        <v>0</v>
      </c>
    </row>
    <row r="744" spans="1:15" s="38" customFormat="1" ht="10.7" hidden="1" customHeight="1" outlineLevel="1" x14ac:dyDescent="0.25">
      <c r="A744" s="124"/>
      <c r="B744" s="142"/>
      <c r="C744" s="115"/>
      <c r="D744" s="115"/>
      <c r="E744" s="115"/>
      <c r="F744" s="115"/>
      <c r="G744" s="60" t="s">
        <v>130</v>
      </c>
      <c r="H744" s="124"/>
      <c r="I744" s="124"/>
      <c r="J744" s="60"/>
      <c r="K744" s="60"/>
      <c r="L744" s="60"/>
      <c r="M744" s="60"/>
      <c r="N744" s="60">
        <f t="shared" si="224"/>
        <v>0</v>
      </c>
      <c r="O744" s="60">
        <f t="shared" si="225"/>
        <v>0</v>
      </c>
    </row>
    <row r="745" spans="1:15" s="38" customFormat="1" ht="12" hidden="1" customHeight="1" outlineLevel="1" thickBot="1" x14ac:dyDescent="0.3">
      <c r="A745" s="125"/>
      <c r="B745" s="143"/>
      <c r="C745" s="131"/>
      <c r="D745" s="131"/>
      <c r="E745" s="131"/>
      <c r="F745" s="131"/>
      <c r="G745" s="60" t="s">
        <v>131</v>
      </c>
      <c r="H745" s="134"/>
      <c r="I745" s="134"/>
      <c r="J745" s="60"/>
      <c r="K745" s="60"/>
      <c r="L745" s="60"/>
      <c r="M745" s="60"/>
      <c r="N745" s="60">
        <f t="shared" si="224"/>
        <v>0</v>
      </c>
      <c r="O745" s="60">
        <f t="shared" si="225"/>
        <v>0</v>
      </c>
    </row>
    <row r="746" spans="1:15" ht="19.5" collapsed="1" thickBot="1" x14ac:dyDescent="0.35">
      <c r="A746" s="144" t="s">
        <v>530</v>
      </c>
      <c r="B746" s="145"/>
      <c r="C746" s="49">
        <f>C272+C60+C10</f>
        <v>0</v>
      </c>
      <c r="D746" s="64">
        <f>D10+D60+D272</f>
        <v>0</v>
      </c>
      <c r="E746" s="64">
        <f>E10+E60+E272</f>
        <v>0</v>
      </c>
      <c r="F746" s="59"/>
      <c r="G746" s="59"/>
      <c r="H746" s="59"/>
      <c r="I746" s="59"/>
      <c r="J746" s="59"/>
      <c r="K746" s="59"/>
      <c r="L746" s="59"/>
      <c r="M746" s="59"/>
      <c r="N746" s="59"/>
      <c r="O746" s="60"/>
    </row>
  </sheetData>
  <mergeCells count="844">
    <mergeCell ref="I732:I738"/>
    <mergeCell ref="A230:A236"/>
    <mergeCell ref="B230:B236"/>
    <mergeCell ref="C230:C236"/>
    <mergeCell ref="D230:D236"/>
    <mergeCell ref="F230:F236"/>
    <mergeCell ref="H230:H236"/>
    <mergeCell ref="I230:I236"/>
    <mergeCell ref="A258:A264"/>
    <mergeCell ref="B258:B264"/>
    <mergeCell ref="C258:C264"/>
    <mergeCell ref="D258:D264"/>
    <mergeCell ref="F258:F264"/>
    <mergeCell ref="H258:H264"/>
    <mergeCell ref="I258:I264"/>
    <mergeCell ref="H237:H243"/>
    <mergeCell ref="I237:I243"/>
    <mergeCell ref="A244:A250"/>
    <mergeCell ref="B244:B250"/>
    <mergeCell ref="C244:C250"/>
    <mergeCell ref="D244:D250"/>
    <mergeCell ref="F244:F250"/>
    <mergeCell ref="H244:H250"/>
    <mergeCell ref="I244:I250"/>
    <mergeCell ref="A5:A8"/>
    <mergeCell ref="A2:O3"/>
    <mergeCell ref="A9:O9"/>
    <mergeCell ref="A746:B746"/>
    <mergeCell ref="A676:A731"/>
    <mergeCell ref="G5:O6"/>
    <mergeCell ref="B11:B17"/>
    <mergeCell ref="A11:A17"/>
    <mergeCell ref="C4:O4"/>
    <mergeCell ref="F11:F17"/>
    <mergeCell ref="C11:C17"/>
    <mergeCell ref="A739:A745"/>
    <mergeCell ref="B739:B745"/>
    <mergeCell ref="C739:C745"/>
    <mergeCell ref="D739:D745"/>
    <mergeCell ref="F739:F745"/>
    <mergeCell ref="H739:H745"/>
    <mergeCell ref="I739:I745"/>
    <mergeCell ref="A732:A738"/>
    <mergeCell ref="B732:B738"/>
    <mergeCell ref="C732:C738"/>
    <mergeCell ref="D732:D738"/>
    <mergeCell ref="F732:F738"/>
    <mergeCell ref="H732:H738"/>
    <mergeCell ref="F32:F38"/>
    <mergeCell ref="F18:F24"/>
    <mergeCell ref="A25:A31"/>
    <mergeCell ref="B25:B31"/>
    <mergeCell ref="C25:C31"/>
    <mergeCell ref="D25:D31"/>
    <mergeCell ref="F25:F31"/>
    <mergeCell ref="D11:D17"/>
    <mergeCell ref="A18:A24"/>
    <mergeCell ref="B18:B24"/>
    <mergeCell ref="C18:C24"/>
    <mergeCell ref="D18:D24"/>
    <mergeCell ref="C5:C8"/>
    <mergeCell ref="D5:D8"/>
    <mergeCell ref="F5:F8"/>
    <mergeCell ref="B5:B8"/>
    <mergeCell ref="G7:G8"/>
    <mergeCell ref="A53:A59"/>
    <mergeCell ref="B53:B59"/>
    <mergeCell ref="C53:C59"/>
    <mergeCell ref="D53:D59"/>
    <mergeCell ref="F53:F59"/>
    <mergeCell ref="A46:A52"/>
    <mergeCell ref="B46:B52"/>
    <mergeCell ref="C46:C52"/>
    <mergeCell ref="D46:D52"/>
    <mergeCell ref="F46:F52"/>
    <mergeCell ref="A39:A45"/>
    <mergeCell ref="B39:B45"/>
    <mergeCell ref="C39:C45"/>
    <mergeCell ref="D39:D45"/>
    <mergeCell ref="F39:F45"/>
    <mergeCell ref="A32:A38"/>
    <mergeCell ref="B32:B38"/>
    <mergeCell ref="C32:C38"/>
    <mergeCell ref="D32:D38"/>
    <mergeCell ref="H25:H31"/>
    <mergeCell ref="I25:I31"/>
    <mergeCell ref="H32:H38"/>
    <mergeCell ref="I32:I38"/>
    <mergeCell ref="H39:H45"/>
    <mergeCell ref="I39:I45"/>
    <mergeCell ref="O7:O8"/>
    <mergeCell ref="H11:H17"/>
    <mergeCell ref="I11:I17"/>
    <mergeCell ref="H18:H24"/>
    <mergeCell ref="I18:I24"/>
    <mergeCell ref="J7:J8"/>
    <mergeCell ref="K7:K8"/>
    <mergeCell ref="L7:L8"/>
    <mergeCell ref="M7:M8"/>
    <mergeCell ref="N7:N8"/>
    <mergeCell ref="H7:I7"/>
    <mergeCell ref="H46:H52"/>
    <mergeCell ref="I46:I52"/>
    <mergeCell ref="H53:H59"/>
    <mergeCell ref="I53:I59"/>
    <mergeCell ref="A61:A67"/>
    <mergeCell ref="B61:B67"/>
    <mergeCell ref="C61:C67"/>
    <mergeCell ref="D61:D67"/>
    <mergeCell ref="F61:F67"/>
    <mergeCell ref="H61:H67"/>
    <mergeCell ref="I61:I67"/>
    <mergeCell ref="H68:H74"/>
    <mergeCell ref="I68:I74"/>
    <mergeCell ref="A75:A81"/>
    <mergeCell ref="B75:B81"/>
    <mergeCell ref="C75:C81"/>
    <mergeCell ref="D75:D81"/>
    <mergeCell ref="F75:F81"/>
    <mergeCell ref="H75:H81"/>
    <mergeCell ref="I75:I81"/>
    <mergeCell ref="A68:A74"/>
    <mergeCell ref="B68:B74"/>
    <mergeCell ref="C68:C74"/>
    <mergeCell ref="D68:D74"/>
    <mergeCell ref="F68:F74"/>
    <mergeCell ref="E68:E74"/>
    <mergeCell ref="E75:E81"/>
    <mergeCell ref="H82:H88"/>
    <mergeCell ref="I82:I88"/>
    <mergeCell ref="A90:A96"/>
    <mergeCell ref="B90:B96"/>
    <mergeCell ref="C90:C96"/>
    <mergeCell ref="D90:D96"/>
    <mergeCell ref="F90:F96"/>
    <mergeCell ref="H90:H96"/>
    <mergeCell ref="I90:I96"/>
    <mergeCell ref="A82:A88"/>
    <mergeCell ref="B82:B88"/>
    <mergeCell ref="C82:C88"/>
    <mergeCell ref="D82:D88"/>
    <mergeCell ref="F82:F88"/>
    <mergeCell ref="E82:E88"/>
    <mergeCell ref="E90:E96"/>
    <mergeCell ref="H97:H103"/>
    <mergeCell ref="I97:I103"/>
    <mergeCell ref="A104:A110"/>
    <mergeCell ref="B104:B110"/>
    <mergeCell ref="C104:C110"/>
    <mergeCell ref="D104:D110"/>
    <mergeCell ref="F104:F110"/>
    <mergeCell ref="H104:H110"/>
    <mergeCell ref="I104:I110"/>
    <mergeCell ref="A97:A103"/>
    <mergeCell ref="B97:B103"/>
    <mergeCell ref="C97:C103"/>
    <mergeCell ref="D97:D103"/>
    <mergeCell ref="F97:F103"/>
    <mergeCell ref="E97:E103"/>
    <mergeCell ref="E104:E110"/>
    <mergeCell ref="H111:H117"/>
    <mergeCell ref="I111:I117"/>
    <mergeCell ref="A118:A124"/>
    <mergeCell ref="B118:B124"/>
    <mergeCell ref="C118:C124"/>
    <mergeCell ref="D118:D124"/>
    <mergeCell ref="F118:F124"/>
    <mergeCell ref="H118:H124"/>
    <mergeCell ref="I118:I124"/>
    <mergeCell ref="A111:A117"/>
    <mergeCell ref="B111:B117"/>
    <mergeCell ref="C111:C117"/>
    <mergeCell ref="D111:D117"/>
    <mergeCell ref="F111:F117"/>
    <mergeCell ref="E111:E117"/>
    <mergeCell ref="E118:E124"/>
    <mergeCell ref="H125:H131"/>
    <mergeCell ref="I125:I131"/>
    <mergeCell ref="A132:A138"/>
    <mergeCell ref="B132:B138"/>
    <mergeCell ref="C132:C138"/>
    <mergeCell ref="D132:D138"/>
    <mergeCell ref="F132:F138"/>
    <mergeCell ref="H132:H138"/>
    <mergeCell ref="I132:I138"/>
    <mergeCell ref="A125:A131"/>
    <mergeCell ref="B125:B131"/>
    <mergeCell ref="C125:C131"/>
    <mergeCell ref="D125:D131"/>
    <mergeCell ref="F125:F131"/>
    <mergeCell ref="E125:E131"/>
    <mergeCell ref="E132:E138"/>
    <mergeCell ref="H139:H145"/>
    <mergeCell ref="I139:I145"/>
    <mergeCell ref="A146:A152"/>
    <mergeCell ref="B146:B152"/>
    <mergeCell ref="C146:C152"/>
    <mergeCell ref="D146:D152"/>
    <mergeCell ref="F146:F152"/>
    <mergeCell ref="H146:H152"/>
    <mergeCell ref="I146:I152"/>
    <mergeCell ref="A139:A145"/>
    <mergeCell ref="B139:B145"/>
    <mergeCell ref="C139:C145"/>
    <mergeCell ref="D139:D145"/>
    <mergeCell ref="F139:F145"/>
    <mergeCell ref="E139:E145"/>
    <mergeCell ref="E146:E152"/>
    <mergeCell ref="H167:H173"/>
    <mergeCell ref="I167:I173"/>
    <mergeCell ref="A167:A173"/>
    <mergeCell ref="B167:B173"/>
    <mergeCell ref="C167:C173"/>
    <mergeCell ref="D167:D173"/>
    <mergeCell ref="F167:F173"/>
    <mergeCell ref="H153:H159"/>
    <mergeCell ref="I153:I159"/>
    <mergeCell ref="A160:A166"/>
    <mergeCell ref="B160:B166"/>
    <mergeCell ref="C160:C166"/>
    <mergeCell ref="D160:D166"/>
    <mergeCell ref="F160:F166"/>
    <mergeCell ref="H160:H166"/>
    <mergeCell ref="I160:I166"/>
    <mergeCell ref="A153:A159"/>
    <mergeCell ref="B153:B159"/>
    <mergeCell ref="C153:C159"/>
    <mergeCell ref="D153:D159"/>
    <mergeCell ref="F153:F159"/>
    <mergeCell ref="E153:E159"/>
    <mergeCell ref="E160:E166"/>
    <mergeCell ref="E167:E173"/>
    <mergeCell ref="H174:H180"/>
    <mergeCell ref="I174:I180"/>
    <mergeCell ref="A181:A187"/>
    <mergeCell ref="B181:B187"/>
    <mergeCell ref="C181:C187"/>
    <mergeCell ref="D181:D187"/>
    <mergeCell ref="F181:F187"/>
    <mergeCell ref="H181:H187"/>
    <mergeCell ref="I181:I187"/>
    <mergeCell ref="A174:A180"/>
    <mergeCell ref="B174:B180"/>
    <mergeCell ref="C174:C180"/>
    <mergeCell ref="D174:D180"/>
    <mergeCell ref="F174:F180"/>
    <mergeCell ref="E174:E180"/>
    <mergeCell ref="E181:E187"/>
    <mergeCell ref="H188:H194"/>
    <mergeCell ref="I188:I194"/>
    <mergeCell ref="A195:A201"/>
    <mergeCell ref="B195:B201"/>
    <mergeCell ref="C195:C201"/>
    <mergeCell ref="D195:D201"/>
    <mergeCell ref="F195:F201"/>
    <mergeCell ref="H195:H201"/>
    <mergeCell ref="I195:I201"/>
    <mergeCell ref="A188:A194"/>
    <mergeCell ref="B188:B194"/>
    <mergeCell ref="C188:C194"/>
    <mergeCell ref="D188:D194"/>
    <mergeCell ref="F188:F194"/>
    <mergeCell ref="E188:E194"/>
    <mergeCell ref="E195:E201"/>
    <mergeCell ref="H202:H208"/>
    <mergeCell ref="I202:I208"/>
    <mergeCell ref="A209:A215"/>
    <mergeCell ref="B209:B215"/>
    <mergeCell ref="C209:C215"/>
    <mergeCell ref="D209:D215"/>
    <mergeCell ref="F209:F215"/>
    <mergeCell ref="H209:H215"/>
    <mergeCell ref="I209:I215"/>
    <mergeCell ref="A202:A208"/>
    <mergeCell ref="B202:B208"/>
    <mergeCell ref="C202:C208"/>
    <mergeCell ref="D202:D208"/>
    <mergeCell ref="F202:F208"/>
    <mergeCell ref="E202:E208"/>
    <mergeCell ref="E209:E215"/>
    <mergeCell ref="H216:H222"/>
    <mergeCell ref="I216:I222"/>
    <mergeCell ref="A223:A229"/>
    <mergeCell ref="B223:B229"/>
    <mergeCell ref="C223:C229"/>
    <mergeCell ref="D223:D229"/>
    <mergeCell ref="F223:F229"/>
    <mergeCell ref="H223:H229"/>
    <mergeCell ref="I223:I229"/>
    <mergeCell ref="A216:A222"/>
    <mergeCell ref="B216:B222"/>
    <mergeCell ref="C216:C222"/>
    <mergeCell ref="D216:D222"/>
    <mergeCell ref="F216:F222"/>
    <mergeCell ref="E216:E222"/>
    <mergeCell ref="E223:E229"/>
    <mergeCell ref="A237:A243"/>
    <mergeCell ref="B237:B243"/>
    <mergeCell ref="C237:C243"/>
    <mergeCell ref="D237:D243"/>
    <mergeCell ref="F237:F243"/>
    <mergeCell ref="H251:H257"/>
    <mergeCell ref="I251:I257"/>
    <mergeCell ref="A265:A271"/>
    <mergeCell ref="B265:B271"/>
    <mergeCell ref="C265:C271"/>
    <mergeCell ref="D265:D271"/>
    <mergeCell ref="F265:F271"/>
    <mergeCell ref="H265:H271"/>
    <mergeCell ref="I265:I271"/>
    <mergeCell ref="A251:A257"/>
    <mergeCell ref="B251:B257"/>
    <mergeCell ref="C251:C257"/>
    <mergeCell ref="D251:D257"/>
    <mergeCell ref="F251:F257"/>
    <mergeCell ref="H273:H279"/>
    <mergeCell ref="I273:I279"/>
    <mergeCell ref="A280:A286"/>
    <mergeCell ref="B280:B286"/>
    <mergeCell ref="C280:C286"/>
    <mergeCell ref="D280:D286"/>
    <mergeCell ref="F280:F286"/>
    <mergeCell ref="H280:H286"/>
    <mergeCell ref="I280:I286"/>
    <mergeCell ref="A273:A279"/>
    <mergeCell ref="B273:B279"/>
    <mergeCell ref="C273:C279"/>
    <mergeCell ref="D273:D279"/>
    <mergeCell ref="F273:F279"/>
    <mergeCell ref="H287:H293"/>
    <mergeCell ref="I287:I293"/>
    <mergeCell ref="A294:A300"/>
    <mergeCell ref="B294:B300"/>
    <mergeCell ref="C294:C300"/>
    <mergeCell ref="D294:D300"/>
    <mergeCell ref="F294:F300"/>
    <mergeCell ref="H294:H300"/>
    <mergeCell ref="I294:I300"/>
    <mergeCell ref="A287:A293"/>
    <mergeCell ref="B287:B293"/>
    <mergeCell ref="C287:C293"/>
    <mergeCell ref="D287:D293"/>
    <mergeCell ref="F287:F293"/>
    <mergeCell ref="E294:E300"/>
    <mergeCell ref="H301:H307"/>
    <mergeCell ref="I301:I307"/>
    <mergeCell ref="A308:A314"/>
    <mergeCell ref="B308:B314"/>
    <mergeCell ref="C308:C314"/>
    <mergeCell ref="D308:D314"/>
    <mergeCell ref="F308:F314"/>
    <mergeCell ref="H308:H314"/>
    <mergeCell ref="I308:I314"/>
    <mergeCell ref="A301:A307"/>
    <mergeCell ref="B301:B307"/>
    <mergeCell ref="C301:C307"/>
    <mergeCell ref="D301:D307"/>
    <mergeCell ref="F301:F307"/>
    <mergeCell ref="E301:E307"/>
    <mergeCell ref="E308:E314"/>
    <mergeCell ref="H315:H321"/>
    <mergeCell ref="I315:I321"/>
    <mergeCell ref="A322:A328"/>
    <mergeCell ref="B322:B328"/>
    <mergeCell ref="C322:C328"/>
    <mergeCell ref="D322:D328"/>
    <mergeCell ref="F322:F328"/>
    <mergeCell ref="H322:H328"/>
    <mergeCell ref="I322:I328"/>
    <mergeCell ref="A315:A321"/>
    <mergeCell ref="B315:B321"/>
    <mergeCell ref="C315:C321"/>
    <mergeCell ref="D315:D321"/>
    <mergeCell ref="F315:F321"/>
    <mergeCell ref="E315:E321"/>
    <mergeCell ref="E322:E328"/>
    <mergeCell ref="H329:H335"/>
    <mergeCell ref="I329:I335"/>
    <mergeCell ref="A336:A342"/>
    <mergeCell ref="B336:B342"/>
    <mergeCell ref="C336:C342"/>
    <mergeCell ref="D336:D342"/>
    <mergeCell ref="F336:F342"/>
    <mergeCell ref="H336:H342"/>
    <mergeCell ref="I336:I342"/>
    <mergeCell ref="A329:A335"/>
    <mergeCell ref="B329:B335"/>
    <mergeCell ref="C329:C335"/>
    <mergeCell ref="D329:D335"/>
    <mergeCell ref="F329:F335"/>
    <mergeCell ref="E329:E335"/>
    <mergeCell ref="E336:E342"/>
    <mergeCell ref="H343:H349"/>
    <mergeCell ref="I343:I349"/>
    <mergeCell ref="A350:A356"/>
    <mergeCell ref="B350:B356"/>
    <mergeCell ref="C350:C356"/>
    <mergeCell ref="D350:D356"/>
    <mergeCell ref="F350:F356"/>
    <mergeCell ref="H350:H356"/>
    <mergeCell ref="I350:I356"/>
    <mergeCell ref="A343:A349"/>
    <mergeCell ref="B343:B349"/>
    <mergeCell ref="C343:C349"/>
    <mergeCell ref="D343:D349"/>
    <mergeCell ref="F343:F349"/>
    <mergeCell ref="E343:E349"/>
    <mergeCell ref="E350:E356"/>
    <mergeCell ref="H357:H363"/>
    <mergeCell ref="I357:I363"/>
    <mergeCell ref="A364:A370"/>
    <mergeCell ref="B364:B370"/>
    <mergeCell ref="C364:C370"/>
    <mergeCell ref="D364:D370"/>
    <mergeCell ref="F364:F370"/>
    <mergeCell ref="H364:H370"/>
    <mergeCell ref="I364:I370"/>
    <mergeCell ref="A357:A363"/>
    <mergeCell ref="B357:B363"/>
    <mergeCell ref="C357:C363"/>
    <mergeCell ref="D357:D363"/>
    <mergeCell ref="F357:F363"/>
    <mergeCell ref="E357:E363"/>
    <mergeCell ref="E364:E370"/>
    <mergeCell ref="H371:H377"/>
    <mergeCell ref="I371:I377"/>
    <mergeCell ref="A378:A384"/>
    <mergeCell ref="B378:B384"/>
    <mergeCell ref="C378:C384"/>
    <mergeCell ref="D378:D384"/>
    <mergeCell ref="F378:F384"/>
    <mergeCell ref="H378:H384"/>
    <mergeCell ref="I378:I384"/>
    <mergeCell ref="A371:A377"/>
    <mergeCell ref="B371:B377"/>
    <mergeCell ref="C371:C377"/>
    <mergeCell ref="D371:D377"/>
    <mergeCell ref="F371:F377"/>
    <mergeCell ref="E371:E377"/>
    <mergeCell ref="E378:E384"/>
    <mergeCell ref="H385:H391"/>
    <mergeCell ref="I385:I391"/>
    <mergeCell ref="A392:A398"/>
    <mergeCell ref="B392:B398"/>
    <mergeCell ref="C392:C398"/>
    <mergeCell ref="D392:D398"/>
    <mergeCell ref="F392:F398"/>
    <mergeCell ref="H392:H398"/>
    <mergeCell ref="I392:I398"/>
    <mergeCell ref="A385:A391"/>
    <mergeCell ref="B385:B391"/>
    <mergeCell ref="C385:C391"/>
    <mergeCell ref="D385:D391"/>
    <mergeCell ref="F385:F391"/>
    <mergeCell ref="E385:E391"/>
    <mergeCell ref="E392:E398"/>
    <mergeCell ref="H399:H405"/>
    <mergeCell ref="I399:I405"/>
    <mergeCell ref="A406:A412"/>
    <mergeCell ref="B406:B412"/>
    <mergeCell ref="C406:C412"/>
    <mergeCell ref="D406:D412"/>
    <mergeCell ref="F406:F412"/>
    <mergeCell ref="H406:H412"/>
    <mergeCell ref="I406:I412"/>
    <mergeCell ref="A399:A405"/>
    <mergeCell ref="B399:B405"/>
    <mergeCell ref="C399:C405"/>
    <mergeCell ref="D399:D405"/>
    <mergeCell ref="F399:F405"/>
    <mergeCell ref="E399:E405"/>
    <mergeCell ref="E406:E412"/>
    <mergeCell ref="H413:H419"/>
    <mergeCell ref="I413:I419"/>
    <mergeCell ref="A420:A426"/>
    <mergeCell ref="B420:B426"/>
    <mergeCell ref="C420:C426"/>
    <mergeCell ref="D420:D426"/>
    <mergeCell ref="F420:F426"/>
    <mergeCell ref="H420:H426"/>
    <mergeCell ref="I420:I426"/>
    <mergeCell ref="A413:A419"/>
    <mergeCell ref="B413:B419"/>
    <mergeCell ref="C413:C419"/>
    <mergeCell ref="D413:D419"/>
    <mergeCell ref="F413:F419"/>
    <mergeCell ref="E413:E419"/>
    <mergeCell ref="E420:E426"/>
    <mergeCell ref="H427:H433"/>
    <mergeCell ref="I427:I433"/>
    <mergeCell ref="A434:A440"/>
    <mergeCell ref="B434:B440"/>
    <mergeCell ref="C434:C440"/>
    <mergeCell ref="D434:D440"/>
    <mergeCell ref="F434:F440"/>
    <mergeCell ref="H434:H440"/>
    <mergeCell ref="I434:I440"/>
    <mergeCell ref="A427:A433"/>
    <mergeCell ref="B427:B433"/>
    <mergeCell ref="C427:C433"/>
    <mergeCell ref="D427:D433"/>
    <mergeCell ref="F427:F433"/>
    <mergeCell ref="E427:E433"/>
    <mergeCell ref="E434:E440"/>
    <mergeCell ref="H441:H447"/>
    <mergeCell ref="I441:I447"/>
    <mergeCell ref="A448:A454"/>
    <mergeCell ref="B448:B454"/>
    <mergeCell ref="C448:C454"/>
    <mergeCell ref="D448:D454"/>
    <mergeCell ref="F448:F454"/>
    <mergeCell ref="H448:H454"/>
    <mergeCell ref="I448:I454"/>
    <mergeCell ref="A441:A447"/>
    <mergeCell ref="B441:B447"/>
    <mergeCell ref="C441:C447"/>
    <mergeCell ref="D441:D447"/>
    <mergeCell ref="F441:F447"/>
    <mergeCell ref="E441:E447"/>
    <mergeCell ref="E448:E454"/>
    <mergeCell ref="H455:H461"/>
    <mergeCell ref="I455:I461"/>
    <mergeCell ref="A462:A468"/>
    <mergeCell ref="B462:B468"/>
    <mergeCell ref="C462:C468"/>
    <mergeCell ref="D462:D468"/>
    <mergeCell ref="F462:F468"/>
    <mergeCell ref="H462:H468"/>
    <mergeCell ref="I462:I468"/>
    <mergeCell ref="A455:A461"/>
    <mergeCell ref="B455:B461"/>
    <mergeCell ref="C455:C461"/>
    <mergeCell ref="D455:D461"/>
    <mergeCell ref="F455:F461"/>
    <mergeCell ref="E455:E461"/>
    <mergeCell ref="E462:E468"/>
    <mergeCell ref="H469:H475"/>
    <mergeCell ref="I469:I475"/>
    <mergeCell ref="A476:A482"/>
    <mergeCell ref="B476:B482"/>
    <mergeCell ref="C476:C482"/>
    <mergeCell ref="D476:D482"/>
    <mergeCell ref="F476:F482"/>
    <mergeCell ref="H476:H482"/>
    <mergeCell ref="I476:I482"/>
    <mergeCell ref="A469:A475"/>
    <mergeCell ref="B469:B475"/>
    <mergeCell ref="C469:C475"/>
    <mergeCell ref="D469:D475"/>
    <mergeCell ref="F469:F475"/>
    <mergeCell ref="E469:E475"/>
    <mergeCell ref="E476:E482"/>
    <mergeCell ref="H483:H489"/>
    <mergeCell ref="I483:I489"/>
    <mergeCell ref="A490:A496"/>
    <mergeCell ref="B490:B496"/>
    <mergeCell ref="C490:C496"/>
    <mergeCell ref="D490:D496"/>
    <mergeCell ref="F490:F496"/>
    <mergeCell ref="H490:H496"/>
    <mergeCell ref="I490:I496"/>
    <mergeCell ref="A483:A489"/>
    <mergeCell ref="B483:B489"/>
    <mergeCell ref="C483:C489"/>
    <mergeCell ref="D483:D489"/>
    <mergeCell ref="F483:F489"/>
    <mergeCell ref="E483:E489"/>
    <mergeCell ref="E490:E496"/>
    <mergeCell ref="H497:H503"/>
    <mergeCell ref="I497:I503"/>
    <mergeCell ref="A504:A510"/>
    <mergeCell ref="B504:B510"/>
    <mergeCell ref="C504:C510"/>
    <mergeCell ref="D504:D510"/>
    <mergeCell ref="F504:F510"/>
    <mergeCell ref="H504:H510"/>
    <mergeCell ref="I504:I510"/>
    <mergeCell ref="A497:A503"/>
    <mergeCell ref="B497:B503"/>
    <mergeCell ref="C497:C503"/>
    <mergeCell ref="D497:D503"/>
    <mergeCell ref="F497:F503"/>
    <mergeCell ref="E497:E503"/>
    <mergeCell ref="E504:E510"/>
    <mergeCell ref="H511:H517"/>
    <mergeCell ref="I511:I517"/>
    <mergeCell ref="A520:A526"/>
    <mergeCell ref="B520:B526"/>
    <mergeCell ref="C520:C526"/>
    <mergeCell ref="D520:D526"/>
    <mergeCell ref="F520:F526"/>
    <mergeCell ref="H520:H526"/>
    <mergeCell ref="I520:I526"/>
    <mergeCell ref="A511:A517"/>
    <mergeCell ref="B511:B517"/>
    <mergeCell ref="C511:C517"/>
    <mergeCell ref="D511:D517"/>
    <mergeCell ref="F511:F517"/>
    <mergeCell ref="E511:E517"/>
    <mergeCell ref="E520:E526"/>
    <mergeCell ref="H527:H533"/>
    <mergeCell ref="I527:I533"/>
    <mergeCell ref="A534:A540"/>
    <mergeCell ref="B534:B540"/>
    <mergeCell ref="C534:C540"/>
    <mergeCell ref="D534:D540"/>
    <mergeCell ref="F534:F540"/>
    <mergeCell ref="H534:H540"/>
    <mergeCell ref="I534:I540"/>
    <mergeCell ref="A527:A533"/>
    <mergeCell ref="B527:B533"/>
    <mergeCell ref="C527:C533"/>
    <mergeCell ref="D527:D533"/>
    <mergeCell ref="F527:F533"/>
    <mergeCell ref="E527:E533"/>
    <mergeCell ref="E534:E540"/>
    <mergeCell ref="H541:H547"/>
    <mergeCell ref="I541:I547"/>
    <mergeCell ref="A548:A554"/>
    <mergeCell ref="B548:B554"/>
    <mergeCell ref="C548:C554"/>
    <mergeCell ref="D548:D554"/>
    <mergeCell ref="F548:F554"/>
    <mergeCell ref="H548:H554"/>
    <mergeCell ref="I548:I554"/>
    <mergeCell ref="A541:A547"/>
    <mergeCell ref="B541:B547"/>
    <mergeCell ref="C541:C547"/>
    <mergeCell ref="D541:D547"/>
    <mergeCell ref="F541:F547"/>
    <mergeCell ref="E541:E547"/>
    <mergeCell ref="E548:E554"/>
    <mergeCell ref="H555:H561"/>
    <mergeCell ref="I555:I561"/>
    <mergeCell ref="A562:A568"/>
    <mergeCell ref="B562:B568"/>
    <mergeCell ref="C562:C568"/>
    <mergeCell ref="D562:D568"/>
    <mergeCell ref="F562:F568"/>
    <mergeCell ref="H562:H568"/>
    <mergeCell ref="I562:I568"/>
    <mergeCell ref="A555:A561"/>
    <mergeCell ref="B555:B561"/>
    <mergeCell ref="C555:C561"/>
    <mergeCell ref="D555:D561"/>
    <mergeCell ref="F555:F561"/>
    <mergeCell ref="E555:E561"/>
    <mergeCell ref="E562:E568"/>
    <mergeCell ref="H569:H575"/>
    <mergeCell ref="I569:I575"/>
    <mergeCell ref="A576:A582"/>
    <mergeCell ref="B576:B582"/>
    <mergeCell ref="C576:C582"/>
    <mergeCell ref="D576:D582"/>
    <mergeCell ref="F576:F582"/>
    <mergeCell ref="H576:H582"/>
    <mergeCell ref="I576:I582"/>
    <mergeCell ref="A569:A575"/>
    <mergeCell ref="B569:B575"/>
    <mergeCell ref="C569:C575"/>
    <mergeCell ref="D569:D575"/>
    <mergeCell ref="F569:F575"/>
    <mergeCell ref="E569:E575"/>
    <mergeCell ref="E576:E582"/>
    <mergeCell ref="H583:H589"/>
    <mergeCell ref="I583:I589"/>
    <mergeCell ref="A590:A596"/>
    <mergeCell ref="B590:B596"/>
    <mergeCell ref="C590:C596"/>
    <mergeCell ref="D590:D596"/>
    <mergeCell ref="F590:F596"/>
    <mergeCell ref="H590:H596"/>
    <mergeCell ref="I590:I596"/>
    <mergeCell ref="A583:A589"/>
    <mergeCell ref="B583:B589"/>
    <mergeCell ref="C583:C589"/>
    <mergeCell ref="D583:D589"/>
    <mergeCell ref="F583:F589"/>
    <mergeCell ref="E583:E589"/>
    <mergeCell ref="E590:E596"/>
    <mergeCell ref="H597:H603"/>
    <mergeCell ref="I597:I603"/>
    <mergeCell ref="A604:A610"/>
    <mergeCell ref="B604:B610"/>
    <mergeCell ref="C604:C610"/>
    <mergeCell ref="D604:D610"/>
    <mergeCell ref="F604:F610"/>
    <mergeCell ref="H604:H610"/>
    <mergeCell ref="I604:I610"/>
    <mergeCell ref="A597:A603"/>
    <mergeCell ref="B597:B603"/>
    <mergeCell ref="C597:C603"/>
    <mergeCell ref="D597:D603"/>
    <mergeCell ref="F597:F603"/>
    <mergeCell ref="E597:E603"/>
    <mergeCell ref="E604:E610"/>
    <mergeCell ref="H611:H617"/>
    <mergeCell ref="I611:I617"/>
    <mergeCell ref="A620:A626"/>
    <mergeCell ref="B620:B626"/>
    <mergeCell ref="C620:C626"/>
    <mergeCell ref="D620:D626"/>
    <mergeCell ref="F620:F626"/>
    <mergeCell ref="H620:H626"/>
    <mergeCell ref="I620:I626"/>
    <mergeCell ref="A611:A617"/>
    <mergeCell ref="B611:B617"/>
    <mergeCell ref="C611:C617"/>
    <mergeCell ref="D611:D617"/>
    <mergeCell ref="F611:F617"/>
    <mergeCell ref="E611:E617"/>
    <mergeCell ref="E620:E626"/>
    <mergeCell ref="H627:H633"/>
    <mergeCell ref="I627:I633"/>
    <mergeCell ref="A634:A640"/>
    <mergeCell ref="B634:B640"/>
    <mergeCell ref="C634:C640"/>
    <mergeCell ref="D634:D640"/>
    <mergeCell ref="F634:F640"/>
    <mergeCell ref="H634:H640"/>
    <mergeCell ref="I634:I640"/>
    <mergeCell ref="A627:A633"/>
    <mergeCell ref="B627:B633"/>
    <mergeCell ref="C627:C633"/>
    <mergeCell ref="D627:D633"/>
    <mergeCell ref="F627:F633"/>
    <mergeCell ref="E627:E633"/>
    <mergeCell ref="E634:E640"/>
    <mergeCell ref="H641:H647"/>
    <mergeCell ref="I641:I647"/>
    <mergeCell ref="A648:A654"/>
    <mergeCell ref="B648:B654"/>
    <mergeCell ref="C648:C654"/>
    <mergeCell ref="D648:D654"/>
    <mergeCell ref="F648:F654"/>
    <mergeCell ref="H648:H654"/>
    <mergeCell ref="I648:I654"/>
    <mergeCell ref="A641:A647"/>
    <mergeCell ref="B641:B647"/>
    <mergeCell ref="C641:C647"/>
    <mergeCell ref="D641:D647"/>
    <mergeCell ref="F641:F647"/>
    <mergeCell ref="E641:E647"/>
    <mergeCell ref="E648:E654"/>
    <mergeCell ref="H655:H661"/>
    <mergeCell ref="I655:I661"/>
    <mergeCell ref="A662:A668"/>
    <mergeCell ref="B662:B668"/>
    <mergeCell ref="C662:C668"/>
    <mergeCell ref="D662:D668"/>
    <mergeCell ref="F662:F668"/>
    <mergeCell ref="H662:H668"/>
    <mergeCell ref="I662:I668"/>
    <mergeCell ref="A655:A661"/>
    <mergeCell ref="B655:B661"/>
    <mergeCell ref="C655:C661"/>
    <mergeCell ref="D655:D661"/>
    <mergeCell ref="F655:F661"/>
    <mergeCell ref="E655:E661"/>
    <mergeCell ref="E662:E668"/>
    <mergeCell ref="H669:H675"/>
    <mergeCell ref="I669:I675"/>
    <mergeCell ref="B676:B682"/>
    <mergeCell ref="C676:C682"/>
    <mergeCell ref="D676:D682"/>
    <mergeCell ref="F676:F682"/>
    <mergeCell ref="H676:H682"/>
    <mergeCell ref="I676:I682"/>
    <mergeCell ref="A669:A675"/>
    <mergeCell ref="B669:B675"/>
    <mergeCell ref="C669:C675"/>
    <mergeCell ref="D669:D675"/>
    <mergeCell ref="F669:F675"/>
    <mergeCell ref="E669:E675"/>
    <mergeCell ref="E676:E682"/>
    <mergeCell ref="I683:I689"/>
    <mergeCell ref="B697:B703"/>
    <mergeCell ref="C697:C703"/>
    <mergeCell ref="D697:D703"/>
    <mergeCell ref="F697:F703"/>
    <mergeCell ref="H697:H703"/>
    <mergeCell ref="I697:I703"/>
    <mergeCell ref="B690:B696"/>
    <mergeCell ref="C690:C696"/>
    <mergeCell ref="D690:D696"/>
    <mergeCell ref="F690:F696"/>
    <mergeCell ref="H690:H696"/>
    <mergeCell ref="I690:I696"/>
    <mergeCell ref="B683:B689"/>
    <mergeCell ref="C683:C689"/>
    <mergeCell ref="D683:D689"/>
    <mergeCell ref="F683:F689"/>
    <mergeCell ref="H683:H689"/>
    <mergeCell ref="E683:E689"/>
    <mergeCell ref="E690:E696"/>
    <mergeCell ref="E697:E703"/>
    <mergeCell ref="I704:I710"/>
    <mergeCell ref="B711:B717"/>
    <mergeCell ref="C711:C717"/>
    <mergeCell ref="D711:D717"/>
    <mergeCell ref="F711:F717"/>
    <mergeCell ref="H711:H717"/>
    <mergeCell ref="I711:I717"/>
    <mergeCell ref="B704:B710"/>
    <mergeCell ref="C704:C710"/>
    <mergeCell ref="D704:D710"/>
    <mergeCell ref="F704:F710"/>
    <mergeCell ref="H704:H710"/>
    <mergeCell ref="E704:E710"/>
    <mergeCell ref="E711:E717"/>
    <mergeCell ref="I718:I724"/>
    <mergeCell ref="B725:B731"/>
    <mergeCell ref="C725:C731"/>
    <mergeCell ref="D725:D731"/>
    <mergeCell ref="F725:F731"/>
    <mergeCell ref="H725:H731"/>
    <mergeCell ref="I725:I731"/>
    <mergeCell ref="B718:B724"/>
    <mergeCell ref="C718:C724"/>
    <mergeCell ref="D718:D724"/>
    <mergeCell ref="F718:F724"/>
    <mergeCell ref="H718:H724"/>
    <mergeCell ref="E718:E724"/>
    <mergeCell ref="E725:E731"/>
    <mergeCell ref="E5:E8"/>
    <mergeCell ref="E11:E17"/>
    <mergeCell ref="E18:E24"/>
    <mergeCell ref="E25:E31"/>
    <mergeCell ref="E32:E38"/>
    <mergeCell ref="E39:E45"/>
    <mergeCell ref="E46:E52"/>
    <mergeCell ref="E53:E59"/>
    <mergeCell ref="E61:E67"/>
    <mergeCell ref="E732:E738"/>
    <mergeCell ref="E739:E745"/>
    <mergeCell ref="E230:E236"/>
    <mergeCell ref="E237:E243"/>
    <mergeCell ref="E244:E250"/>
    <mergeCell ref="E251:E257"/>
    <mergeCell ref="E258:E264"/>
    <mergeCell ref="E265:E271"/>
    <mergeCell ref="E273:E279"/>
    <mergeCell ref="E280:E286"/>
    <mergeCell ref="E287:E29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6"/>
  <sheetViews>
    <sheetView zoomScaleNormal="100" workbookViewId="0">
      <selection activeCell="A2" sqref="A2:O3"/>
    </sheetView>
  </sheetViews>
  <sheetFormatPr defaultColWidth="9.140625" defaultRowHeight="15" outlineLevelRow="1" x14ac:dyDescent="0.25"/>
  <cols>
    <col min="1" max="1" width="8.42578125" style="22" customWidth="1"/>
    <col min="2" max="2" width="100.5703125" style="21" customWidth="1"/>
    <col min="3" max="3" width="14.85546875" style="21" customWidth="1"/>
    <col min="4" max="5" width="12.42578125" style="21" customWidth="1"/>
    <col min="6" max="6" width="14.42578125" style="21" customWidth="1"/>
    <col min="7" max="7" width="13.140625" style="21" customWidth="1"/>
    <col min="8" max="8" width="10.85546875" style="21" customWidth="1"/>
    <col min="9" max="9" width="9.85546875" style="21" customWidth="1"/>
    <col min="10" max="12" width="5" style="21" customWidth="1"/>
    <col min="13" max="14" width="11.140625" style="21" customWidth="1"/>
    <col min="15" max="15" width="12.140625" style="21" customWidth="1"/>
    <col min="16" max="16" width="17.42578125" style="21" customWidth="1"/>
    <col min="17" max="16384" width="9.140625" style="21"/>
  </cols>
  <sheetData>
    <row r="1" spans="1:15" ht="55.35" customHeight="1" x14ac:dyDescent="0.25">
      <c r="A1" s="23" t="s">
        <v>0</v>
      </c>
      <c r="B1" s="19"/>
      <c r="C1" s="20" t="s">
        <v>1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5" ht="15" customHeight="1" x14ac:dyDescent="0.25">
      <c r="A2" s="107" t="s">
        <v>977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</row>
    <row r="3" spans="1:15" ht="36" customHeight="1" thickBot="1" x14ac:dyDescent="0.3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</row>
    <row r="4" spans="1:15" ht="13.7" customHeight="1" thickBot="1" x14ac:dyDescent="0.3">
      <c r="A4" s="55"/>
      <c r="B4" s="55"/>
      <c r="C4" s="109" t="s">
        <v>106</v>
      </c>
      <c r="D4" s="110"/>
      <c r="E4" s="110"/>
      <c r="F4" s="111"/>
      <c r="G4" s="111"/>
      <c r="H4" s="111"/>
      <c r="I4" s="111"/>
      <c r="J4" s="111"/>
      <c r="K4" s="111"/>
      <c r="L4" s="111"/>
      <c r="M4" s="111"/>
      <c r="N4" s="111"/>
      <c r="O4" s="112"/>
    </row>
    <row r="5" spans="1:15" s="38" customFormat="1" ht="19.5" customHeight="1" x14ac:dyDescent="0.25">
      <c r="A5" s="113" t="s">
        <v>3</v>
      </c>
      <c r="B5" s="113" t="s">
        <v>4</v>
      </c>
      <c r="C5" s="113" t="s">
        <v>53</v>
      </c>
      <c r="D5" s="113" t="s">
        <v>107</v>
      </c>
      <c r="E5" s="113" t="s">
        <v>108</v>
      </c>
      <c r="F5" s="113" t="s">
        <v>109</v>
      </c>
      <c r="G5" s="117" t="s">
        <v>110</v>
      </c>
      <c r="H5" s="118"/>
      <c r="I5" s="118"/>
      <c r="J5" s="118"/>
      <c r="K5" s="118"/>
      <c r="L5" s="118"/>
      <c r="M5" s="118"/>
      <c r="N5" s="118"/>
      <c r="O5" s="119"/>
    </row>
    <row r="6" spans="1:15" s="38" customFormat="1" ht="19.5" customHeight="1" thickBot="1" x14ac:dyDescent="0.3">
      <c r="A6" s="114"/>
      <c r="B6" s="114"/>
      <c r="C6" s="114"/>
      <c r="D6" s="115"/>
      <c r="E6" s="115"/>
      <c r="F6" s="116"/>
      <c r="G6" s="120"/>
      <c r="H6" s="121"/>
      <c r="I6" s="121"/>
      <c r="J6" s="121"/>
      <c r="K6" s="121"/>
      <c r="L6" s="121"/>
      <c r="M6" s="121"/>
      <c r="N6" s="121"/>
      <c r="O6" s="122"/>
    </row>
    <row r="7" spans="1:15" s="38" customFormat="1" ht="25.35" customHeight="1" thickBot="1" x14ac:dyDescent="0.3">
      <c r="A7" s="115"/>
      <c r="B7" s="115"/>
      <c r="C7" s="115"/>
      <c r="D7" s="115"/>
      <c r="E7" s="115"/>
      <c r="F7" s="115"/>
      <c r="G7" s="100" t="s">
        <v>111</v>
      </c>
      <c r="H7" s="105" t="s">
        <v>112</v>
      </c>
      <c r="I7" s="106"/>
      <c r="J7" s="100" t="s">
        <v>113</v>
      </c>
      <c r="K7" s="100" t="s">
        <v>114</v>
      </c>
      <c r="L7" s="100" t="s">
        <v>115</v>
      </c>
      <c r="M7" s="100" t="s">
        <v>116</v>
      </c>
      <c r="N7" s="100" t="s">
        <v>117</v>
      </c>
      <c r="O7" s="100" t="s">
        <v>596</v>
      </c>
    </row>
    <row r="8" spans="1:15" s="38" customFormat="1" ht="19.5" customHeight="1" thickBot="1" x14ac:dyDescent="0.3">
      <c r="A8" s="101"/>
      <c r="B8" s="101"/>
      <c r="C8" s="101"/>
      <c r="D8" s="101"/>
      <c r="E8" s="101"/>
      <c r="F8" s="101"/>
      <c r="G8" s="101"/>
      <c r="H8" s="61" t="s">
        <v>119</v>
      </c>
      <c r="I8" s="61" t="s">
        <v>120</v>
      </c>
      <c r="J8" s="101"/>
      <c r="K8" s="101"/>
      <c r="L8" s="101"/>
      <c r="M8" s="101"/>
      <c r="N8" s="101"/>
      <c r="O8" s="101"/>
    </row>
    <row r="9" spans="1:15" s="38" customFormat="1" ht="19.5" customHeight="1" thickBot="1" x14ac:dyDescent="0.3">
      <c r="A9" s="102" t="s">
        <v>341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4"/>
    </row>
    <row r="10" spans="1:15" s="39" customFormat="1" ht="16.5" thickBot="1" x14ac:dyDescent="0.3">
      <c r="A10" s="37" t="s">
        <v>8</v>
      </c>
      <c r="B10" s="34" t="s">
        <v>122</v>
      </c>
      <c r="C10" s="35">
        <f>SUM(C11:C59)</f>
        <v>0</v>
      </c>
      <c r="D10" s="35">
        <f>SUM(D11:D59)</f>
        <v>0</v>
      </c>
      <c r="E10" s="35">
        <f>SUM(E11:E59)</f>
        <v>0</v>
      </c>
      <c r="F10" s="56"/>
      <c r="G10" s="56"/>
      <c r="H10" s="56"/>
      <c r="I10" s="56"/>
      <c r="J10" s="56"/>
      <c r="K10" s="56"/>
      <c r="L10" s="56"/>
      <c r="M10" s="56"/>
      <c r="N10" s="56"/>
      <c r="O10" s="36"/>
    </row>
    <row r="11" spans="1:15" s="38" customFormat="1" ht="14.45" hidden="1" customHeight="1" outlineLevel="1" x14ac:dyDescent="0.25">
      <c r="A11" s="140" t="s">
        <v>123</v>
      </c>
      <c r="B11" s="141" t="s">
        <v>342</v>
      </c>
      <c r="C11" s="130">
        <f>SUM(N11:N17)</f>
        <v>0</v>
      </c>
      <c r="D11" s="130">
        <f>SUM(O11:O17)</f>
        <v>0</v>
      </c>
      <c r="E11" s="130">
        <f>D11/8</f>
        <v>0</v>
      </c>
      <c r="F11" s="130"/>
      <c r="G11" s="60" t="s">
        <v>125</v>
      </c>
      <c r="H11" s="123"/>
      <c r="I11" s="123"/>
      <c r="J11" s="60"/>
      <c r="K11" s="60"/>
      <c r="L11" s="60"/>
      <c r="M11" s="60"/>
      <c r="N11" s="60">
        <f>M11*J11*K11*L11</f>
        <v>0</v>
      </c>
      <c r="O11" s="60">
        <f>J11*K11*L11</f>
        <v>0</v>
      </c>
    </row>
    <row r="12" spans="1:15" s="38" customFormat="1" ht="11.45" hidden="1" customHeight="1" outlineLevel="1" x14ac:dyDescent="0.25">
      <c r="A12" s="124"/>
      <c r="B12" s="128"/>
      <c r="C12" s="115"/>
      <c r="D12" s="115"/>
      <c r="E12" s="115"/>
      <c r="F12" s="115"/>
      <c r="G12" s="60" t="s">
        <v>126</v>
      </c>
      <c r="H12" s="124"/>
      <c r="I12" s="124"/>
      <c r="J12" s="60"/>
      <c r="K12" s="60"/>
      <c r="L12" s="60"/>
      <c r="M12" s="60"/>
      <c r="N12" s="60">
        <f t="shared" ref="N12:N17" si="0">M12*J12*K12*L12</f>
        <v>0</v>
      </c>
      <c r="O12" s="60">
        <f t="shared" ref="O12:O17" si="1">J12*K12*L12</f>
        <v>0</v>
      </c>
    </row>
    <row r="13" spans="1:15" s="38" customFormat="1" ht="10.7" hidden="1" customHeight="1" outlineLevel="1" x14ac:dyDescent="0.25">
      <c r="A13" s="124"/>
      <c r="B13" s="128"/>
      <c r="C13" s="115"/>
      <c r="D13" s="115"/>
      <c r="E13" s="115"/>
      <c r="F13" s="115"/>
      <c r="G13" s="60" t="s">
        <v>127</v>
      </c>
      <c r="H13" s="124"/>
      <c r="I13" s="124"/>
      <c r="J13" s="60"/>
      <c r="K13" s="60"/>
      <c r="L13" s="60"/>
      <c r="M13" s="60"/>
      <c r="N13" s="60">
        <f t="shared" si="0"/>
        <v>0</v>
      </c>
      <c r="O13" s="60">
        <f t="shared" si="1"/>
        <v>0</v>
      </c>
    </row>
    <row r="14" spans="1:15" s="38" customFormat="1" ht="10.7" hidden="1" customHeight="1" outlineLevel="1" x14ac:dyDescent="0.25">
      <c r="A14" s="124"/>
      <c r="B14" s="128"/>
      <c r="C14" s="115"/>
      <c r="D14" s="115"/>
      <c r="E14" s="115"/>
      <c r="F14" s="115"/>
      <c r="G14" s="60" t="s">
        <v>128</v>
      </c>
      <c r="H14" s="124"/>
      <c r="I14" s="124"/>
      <c r="J14" s="60"/>
      <c r="K14" s="60"/>
      <c r="L14" s="60"/>
      <c r="M14" s="60"/>
      <c r="N14" s="60">
        <f t="shared" si="0"/>
        <v>0</v>
      </c>
      <c r="O14" s="60">
        <f t="shared" si="1"/>
        <v>0</v>
      </c>
    </row>
    <row r="15" spans="1:15" s="38" customFormat="1" ht="10.7" hidden="1" customHeight="1" outlineLevel="1" x14ac:dyDescent="0.25">
      <c r="A15" s="124"/>
      <c r="B15" s="128"/>
      <c r="C15" s="115"/>
      <c r="D15" s="115"/>
      <c r="E15" s="115"/>
      <c r="F15" s="115"/>
      <c r="G15" s="60" t="s">
        <v>129</v>
      </c>
      <c r="H15" s="124"/>
      <c r="I15" s="124"/>
      <c r="J15" s="60"/>
      <c r="K15" s="60"/>
      <c r="L15" s="60"/>
      <c r="M15" s="60"/>
      <c r="N15" s="60">
        <f t="shared" si="0"/>
        <v>0</v>
      </c>
      <c r="O15" s="60">
        <f t="shared" si="1"/>
        <v>0</v>
      </c>
    </row>
    <row r="16" spans="1:15" s="38" customFormat="1" ht="10.7" hidden="1" customHeight="1" outlineLevel="1" x14ac:dyDescent="0.25">
      <c r="A16" s="124"/>
      <c r="B16" s="128"/>
      <c r="C16" s="115"/>
      <c r="D16" s="115"/>
      <c r="E16" s="115"/>
      <c r="F16" s="115"/>
      <c r="G16" s="60" t="s">
        <v>130</v>
      </c>
      <c r="H16" s="124"/>
      <c r="I16" s="124"/>
      <c r="J16" s="60"/>
      <c r="K16" s="60"/>
      <c r="L16" s="60"/>
      <c r="M16" s="60"/>
      <c r="N16" s="60">
        <f t="shared" si="0"/>
        <v>0</v>
      </c>
      <c r="O16" s="60">
        <f t="shared" si="1"/>
        <v>0</v>
      </c>
    </row>
    <row r="17" spans="1:15" s="38" customFormat="1" ht="12" hidden="1" customHeight="1" outlineLevel="1" x14ac:dyDescent="0.25">
      <c r="A17" s="125"/>
      <c r="B17" s="129"/>
      <c r="C17" s="131"/>
      <c r="D17" s="131"/>
      <c r="E17" s="131"/>
      <c r="F17" s="131"/>
      <c r="G17" s="60" t="s">
        <v>131</v>
      </c>
      <c r="H17" s="125"/>
      <c r="I17" s="125"/>
      <c r="J17" s="60"/>
      <c r="K17" s="60"/>
      <c r="L17" s="60"/>
      <c r="M17" s="60"/>
      <c r="N17" s="60">
        <f t="shared" si="0"/>
        <v>0</v>
      </c>
      <c r="O17" s="60">
        <f t="shared" si="1"/>
        <v>0</v>
      </c>
    </row>
    <row r="18" spans="1:15" s="38" customFormat="1" ht="14.45" hidden="1" customHeight="1" outlineLevel="1" x14ac:dyDescent="0.25">
      <c r="A18" s="140" t="s">
        <v>132</v>
      </c>
      <c r="B18" s="141" t="s">
        <v>387</v>
      </c>
      <c r="C18" s="130">
        <f>SUM(N18:N24)</f>
        <v>0</v>
      </c>
      <c r="D18" s="130">
        <f>SUM(O18:O24)</f>
        <v>0</v>
      </c>
      <c r="E18" s="130">
        <f t="shared" ref="E18" si="2">D18/8</f>
        <v>0</v>
      </c>
      <c r="F18" s="130"/>
      <c r="G18" s="60" t="s">
        <v>125</v>
      </c>
      <c r="H18" s="123"/>
      <c r="I18" s="123"/>
      <c r="J18" s="60"/>
      <c r="K18" s="60"/>
      <c r="L18" s="60"/>
      <c r="M18" s="60"/>
      <c r="N18" s="60">
        <f>M18*J18*K18*L18</f>
        <v>0</v>
      </c>
      <c r="O18" s="60">
        <f>J18*K18*L18</f>
        <v>0</v>
      </c>
    </row>
    <row r="19" spans="1:15" s="38" customFormat="1" ht="11.45" hidden="1" customHeight="1" outlineLevel="1" x14ac:dyDescent="0.25">
      <c r="A19" s="124"/>
      <c r="B19" s="128"/>
      <c r="C19" s="115"/>
      <c r="D19" s="115"/>
      <c r="E19" s="115"/>
      <c r="F19" s="115"/>
      <c r="G19" s="60" t="s">
        <v>126</v>
      </c>
      <c r="H19" s="124"/>
      <c r="I19" s="124"/>
      <c r="J19" s="60"/>
      <c r="K19" s="60"/>
      <c r="L19" s="60"/>
      <c r="M19" s="60"/>
      <c r="N19" s="60">
        <f t="shared" ref="N19:N24" si="3">M19*J19*K19*L19</f>
        <v>0</v>
      </c>
      <c r="O19" s="60">
        <f t="shared" ref="O19:O24" si="4">J19*K19*L19</f>
        <v>0</v>
      </c>
    </row>
    <row r="20" spans="1:15" s="38" customFormat="1" ht="10.7" hidden="1" customHeight="1" outlineLevel="1" x14ac:dyDescent="0.25">
      <c r="A20" s="124"/>
      <c r="B20" s="128"/>
      <c r="C20" s="115"/>
      <c r="D20" s="115"/>
      <c r="E20" s="115"/>
      <c r="F20" s="115"/>
      <c r="G20" s="60" t="s">
        <v>127</v>
      </c>
      <c r="H20" s="124"/>
      <c r="I20" s="124"/>
      <c r="J20" s="60"/>
      <c r="K20" s="60"/>
      <c r="L20" s="60"/>
      <c r="M20" s="60"/>
      <c r="N20" s="60">
        <f t="shared" si="3"/>
        <v>0</v>
      </c>
      <c r="O20" s="60">
        <f t="shared" si="4"/>
        <v>0</v>
      </c>
    </row>
    <row r="21" spans="1:15" s="38" customFormat="1" ht="10.7" hidden="1" customHeight="1" outlineLevel="1" x14ac:dyDescent="0.25">
      <c r="A21" s="124"/>
      <c r="B21" s="128"/>
      <c r="C21" s="115"/>
      <c r="D21" s="115"/>
      <c r="E21" s="115"/>
      <c r="F21" s="115"/>
      <c r="G21" s="60" t="s">
        <v>128</v>
      </c>
      <c r="H21" s="124"/>
      <c r="I21" s="124"/>
      <c r="J21" s="60"/>
      <c r="K21" s="60"/>
      <c r="L21" s="60"/>
      <c r="M21" s="60"/>
      <c r="N21" s="60">
        <f t="shared" si="3"/>
        <v>0</v>
      </c>
      <c r="O21" s="60">
        <f t="shared" si="4"/>
        <v>0</v>
      </c>
    </row>
    <row r="22" spans="1:15" s="38" customFormat="1" ht="10.7" hidden="1" customHeight="1" outlineLevel="1" x14ac:dyDescent="0.25">
      <c r="A22" s="124"/>
      <c r="B22" s="128"/>
      <c r="C22" s="115"/>
      <c r="D22" s="115"/>
      <c r="E22" s="115"/>
      <c r="F22" s="115"/>
      <c r="G22" s="60" t="s">
        <v>129</v>
      </c>
      <c r="H22" s="124"/>
      <c r="I22" s="124"/>
      <c r="J22" s="60"/>
      <c r="K22" s="60"/>
      <c r="L22" s="60"/>
      <c r="M22" s="60"/>
      <c r="N22" s="60">
        <f t="shared" si="3"/>
        <v>0</v>
      </c>
      <c r="O22" s="60">
        <f t="shared" si="4"/>
        <v>0</v>
      </c>
    </row>
    <row r="23" spans="1:15" s="38" customFormat="1" ht="10.7" hidden="1" customHeight="1" outlineLevel="1" x14ac:dyDescent="0.25">
      <c r="A23" s="124"/>
      <c r="B23" s="128"/>
      <c r="C23" s="115"/>
      <c r="D23" s="115"/>
      <c r="E23" s="115"/>
      <c r="F23" s="115"/>
      <c r="G23" s="60" t="s">
        <v>130</v>
      </c>
      <c r="H23" s="124"/>
      <c r="I23" s="124"/>
      <c r="J23" s="60"/>
      <c r="K23" s="60"/>
      <c r="L23" s="60"/>
      <c r="M23" s="60"/>
      <c r="N23" s="60">
        <f t="shared" si="3"/>
        <v>0</v>
      </c>
      <c r="O23" s="60">
        <f t="shared" si="4"/>
        <v>0</v>
      </c>
    </row>
    <row r="24" spans="1:15" s="38" customFormat="1" ht="12" hidden="1" customHeight="1" outlineLevel="1" x14ac:dyDescent="0.25">
      <c r="A24" s="125"/>
      <c r="B24" s="129"/>
      <c r="C24" s="131"/>
      <c r="D24" s="131"/>
      <c r="E24" s="131"/>
      <c r="F24" s="131"/>
      <c r="G24" s="60" t="s">
        <v>131</v>
      </c>
      <c r="H24" s="125"/>
      <c r="I24" s="125"/>
      <c r="J24" s="60"/>
      <c r="K24" s="60"/>
      <c r="L24" s="60"/>
      <c r="M24" s="60"/>
      <c r="N24" s="60">
        <f t="shared" si="3"/>
        <v>0</v>
      </c>
      <c r="O24" s="60">
        <f t="shared" si="4"/>
        <v>0</v>
      </c>
    </row>
    <row r="25" spans="1:15" s="38" customFormat="1" ht="14.45" hidden="1" customHeight="1" outlineLevel="1" x14ac:dyDescent="0.25">
      <c r="A25" s="140" t="s">
        <v>134</v>
      </c>
      <c r="B25" s="141" t="s">
        <v>388</v>
      </c>
      <c r="C25" s="130">
        <f>SUM(N25:N31)</f>
        <v>0</v>
      </c>
      <c r="D25" s="130">
        <f>SUM(O25:O31)</f>
        <v>0</v>
      </c>
      <c r="E25" s="130">
        <f t="shared" ref="E25" si="5">D25/8</f>
        <v>0</v>
      </c>
      <c r="F25" s="130"/>
      <c r="G25" s="60" t="s">
        <v>125</v>
      </c>
      <c r="H25" s="123"/>
      <c r="I25" s="123"/>
      <c r="J25" s="60"/>
      <c r="K25" s="60"/>
      <c r="L25" s="60"/>
      <c r="M25" s="60"/>
      <c r="N25" s="60">
        <f>M25*J25*K25*L25</f>
        <v>0</v>
      </c>
      <c r="O25" s="60">
        <f>J25*K25*L25</f>
        <v>0</v>
      </c>
    </row>
    <row r="26" spans="1:15" s="38" customFormat="1" ht="11.45" hidden="1" customHeight="1" outlineLevel="1" x14ac:dyDescent="0.25">
      <c r="A26" s="124"/>
      <c r="B26" s="128"/>
      <c r="C26" s="115"/>
      <c r="D26" s="115"/>
      <c r="E26" s="115"/>
      <c r="F26" s="115"/>
      <c r="G26" s="60" t="s">
        <v>126</v>
      </c>
      <c r="H26" s="124"/>
      <c r="I26" s="124"/>
      <c r="J26" s="60"/>
      <c r="K26" s="60"/>
      <c r="L26" s="60"/>
      <c r="M26" s="60"/>
      <c r="N26" s="60">
        <f t="shared" ref="N26:N31" si="6">M26*J26*K26*L26</f>
        <v>0</v>
      </c>
      <c r="O26" s="60">
        <f t="shared" ref="O26:O31" si="7">J26*K26*L26</f>
        <v>0</v>
      </c>
    </row>
    <row r="27" spans="1:15" s="38" customFormat="1" ht="10.7" hidden="1" customHeight="1" outlineLevel="1" x14ac:dyDescent="0.25">
      <c r="A27" s="124"/>
      <c r="B27" s="128"/>
      <c r="C27" s="115"/>
      <c r="D27" s="115"/>
      <c r="E27" s="115"/>
      <c r="F27" s="115"/>
      <c r="G27" s="60" t="s">
        <v>127</v>
      </c>
      <c r="H27" s="124"/>
      <c r="I27" s="124"/>
      <c r="J27" s="60"/>
      <c r="K27" s="60"/>
      <c r="L27" s="60"/>
      <c r="M27" s="60"/>
      <c r="N27" s="60">
        <f t="shared" si="6"/>
        <v>0</v>
      </c>
      <c r="O27" s="60">
        <f t="shared" si="7"/>
        <v>0</v>
      </c>
    </row>
    <row r="28" spans="1:15" s="38" customFormat="1" ht="10.7" hidden="1" customHeight="1" outlineLevel="1" x14ac:dyDescent="0.25">
      <c r="A28" s="124"/>
      <c r="B28" s="128"/>
      <c r="C28" s="115"/>
      <c r="D28" s="115"/>
      <c r="E28" s="115"/>
      <c r="F28" s="115"/>
      <c r="G28" s="60" t="s">
        <v>128</v>
      </c>
      <c r="H28" s="124"/>
      <c r="I28" s="124"/>
      <c r="J28" s="60"/>
      <c r="K28" s="60"/>
      <c r="L28" s="60"/>
      <c r="M28" s="60"/>
      <c r="N28" s="60">
        <f t="shared" si="6"/>
        <v>0</v>
      </c>
      <c r="O28" s="60">
        <f t="shared" si="7"/>
        <v>0</v>
      </c>
    </row>
    <row r="29" spans="1:15" s="38" customFormat="1" ht="10.7" hidden="1" customHeight="1" outlineLevel="1" x14ac:dyDescent="0.25">
      <c r="A29" s="124"/>
      <c r="B29" s="128"/>
      <c r="C29" s="115"/>
      <c r="D29" s="115"/>
      <c r="E29" s="115"/>
      <c r="F29" s="115"/>
      <c r="G29" s="60" t="s">
        <v>129</v>
      </c>
      <c r="H29" s="124"/>
      <c r="I29" s="124"/>
      <c r="J29" s="60"/>
      <c r="K29" s="60"/>
      <c r="L29" s="60"/>
      <c r="M29" s="60"/>
      <c r="N29" s="60">
        <f t="shared" si="6"/>
        <v>0</v>
      </c>
      <c r="O29" s="60">
        <f t="shared" si="7"/>
        <v>0</v>
      </c>
    </row>
    <row r="30" spans="1:15" s="38" customFormat="1" ht="10.7" hidden="1" customHeight="1" outlineLevel="1" x14ac:dyDescent="0.25">
      <c r="A30" s="124"/>
      <c r="B30" s="128"/>
      <c r="C30" s="115"/>
      <c r="D30" s="115"/>
      <c r="E30" s="115"/>
      <c r="F30" s="115"/>
      <c r="G30" s="60" t="s">
        <v>130</v>
      </c>
      <c r="H30" s="124"/>
      <c r="I30" s="124"/>
      <c r="J30" s="60"/>
      <c r="K30" s="60"/>
      <c r="L30" s="60"/>
      <c r="M30" s="60"/>
      <c r="N30" s="60">
        <f t="shared" si="6"/>
        <v>0</v>
      </c>
      <c r="O30" s="60">
        <f t="shared" si="7"/>
        <v>0</v>
      </c>
    </row>
    <row r="31" spans="1:15" s="38" customFormat="1" ht="12" hidden="1" customHeight="1" outlineLevel="1" x14ac:dyDescent="0.25">
      <c r="A31" s="125"/>
      <c r="B31" s="129"/>
      <c r="C31" s="131"/>
      <c r="D31" s="131"/>
      <c r="E31" s="131"/>
      <c r="F31" s="131"/>
      <c r="G31" s="60" t="s">
        <v>131</v>
      </c>
      <c r="H31" s="125"/>
      <c r="I31" s="125"/>
      <c r="J31" s="60"/>
      <c r="K31" s="60"/>
      <c r="L31" s="60"/>
      <c r="M31" s="60"/>
      <c r="N31" s="60">
        <f t="shared" si="6"/>
        <v>0</v>
      </c>
      <c r="O31" s="60">
        <f t="shared" si="7"/>
        <v>0</v>
      </c>
    </row>
    <row r="32" spans="1:15" s="38" customFormat="1" ht="14.45" hidden="1" customHeight="1" outlineLevel="1" x14ac:dyDescent="0.25">
      <c r="A32" s="140" t="s">
        <v>136</v>
      </c>
      <c r="B32" s="141" t="s">
        <v>389</v>
      </c>
      <c r="C32" s="130">
        <f>SUM(N32:N38)</f>
        <v>0</v>
      </c>
      <c r="D32" s="130">
        <f>SUM(O32:O38)</f>
        <v>0</v>
      </c>
      <c r="E32" s="130">
        <f t="shared" ref="E32" si="8">D32/8</f>
        <v>0</v>
      </c>
      <c r="F32" s="130"/>
      <c r="G32" s="60" t="s">
        <v>125</v>
      </c>
      <c r="H32" s="123"/>
      <c r="I32" s="123"/>
      <c r="J32" s="60"/>
      <c r="K32" s="60"/>
      <c r="L32" s="60"/>
      <c r="M32" s="60"/>
      <c r="N32" s="60">
        <f>M32*J32*K32*L32</f>
        <v>0</v>
      </c>
      <c r="O32" s="60">
        <f>J32*K32*L32</f>
        <v>0</v>
      </c>
    </row>
    <row r="33" spans="1:15" s="38" customFormat="1" ht="11.45" hidden="1" customHeight="1" outlineLevel="1" x14ac:dyDescent="0.25">
      <c r="A33" s="124"/>
      <c r="B33" s="128"/>
      <c r="C33" s="115"/>
      <c r="D33" s="115"/>
      <c r="E33" s="115"/>
      <c r="F33" s="115"/>
      <c r="G33" s="60" t="s">
        <v>126</v>
      </c>
      <c r="H33" s="124"/>
      <c r="I33" s="124"/>
      <c r="J33" s="60"/>
      <c r="K33" s="60"/>
      <c r="L33" s="60"/>
      <c r="M33" s="60"/>
      <c r="N33" s="60">
        <f t="shared" ref="N33:N38" si="9">M33*J33*K33*L33</f>
        <v>0</v>
      </c>
      <c r="O33" s="60">
        <f t="shared" ref="O33:O38" si="10">J33*K33*L33</f>
        <v>0</v>
      </c>
    </row>
    <row r="34" spans="1:15" s="38" customFormat="1" ht="10.7" hidden="1" customHeight="1" outlineLevel="1" x14ac:dyDescent="0.25">
      <c r="A34" s="124"/>
      <c r="B34" s="128"/>
      <c r="C34" s="115"/>
      <c r="D34" s="115"/>
      <c r="E34" s="115"/>
      <c r="F34" s="115"/>
      <c r="G34" s="60" t="s">
        <v>127</v>
      </c>
      <c r="H34" s="124"/>
      <c r="I34" s="124"/>
      <c r="J34" s="60"/>
      <c r="K34" s="60"/>
      <c r="L34" s="60"/>
      <c r="M34" s="60"/>
      <c r="N34" s="60">
        <f t="shared" si="9"/>
        <v>0</v>
      </c>
      <c r="O34" s="60">
        <f t="shared" si="10"/>
        <v>0</v>
      </c>
    </row>
    <row r="35" spans="1:15" s="38" customFormat="1" ht="10.7" hidden="1" customHeight="1" outlineLevel="1" x14ac:dyDescent="0.25">
      <c r="A35" s="124"/>
      <c r="B35" s="128"/>
      <c r="C35" s="115"/>
      <c r="D35" s="115"/>
      <c r="E35" s="115"/>
      <c r="F35" s="115"/>
      <c r="G35" s="60" t="s">
        <v>128</v>
      </c>
      <c r="H35" s="124"/>
      <c r="I35" s="124"/>
      <c r="J35" s="60"/>
      <c r="K35" s="60"/>
      <c r="L35" s="60"/>
      <c r="M35" s="60"/>
      <c r="N35" s="60">
        <f t="shared" si="9"/>
        <v>0</v>
      </c>
      <c r="O35" s="60">
        <f t="shared" si="10"/>
        <v>0</v>
      </c>
    </row>
    <row r="36" spans="1:15" s="38" customFormat="1" ht="10.7" hidden="1" customHeight="1" outlineLevel="1" x14ac:dyDescent="0.25">
      <c r="A36" s="124"/>
      <c r="B36" s="128"/>
      <c r="C36" s="115"/>
      <c r="D36" s="115"/>
      <c r="E36" s="115"/>
      <c r="F36" s="115"/>
      <c r="G36" s="60" t="s">
        <v>129</v>
      </c>
      <c r="H36" s="124"/>
      <c r="I36" s="124"/>
      <c r="J36" s="60"/>
      <c r="K36" s="60"/>
      <c r="L36" s="60"/>
      <c r="M36" s="60"/>
      <c r="N36" s="60">
        <f t="shared" si="9"/>
        <v>0</v>
      </c>
      <c r="O36" s="60">
        <f t="shared" si="10"/>
        <v>0</v>
      </c>
    </row>
    <row r="37" spans="1:15" s="38" customFormat="1" ht="10.7" hidden="1" customHeight="1" outlineLevel="1" x14ac:dyDescent="0.25">
      <c r="A37" s="124"/>
      <c r="B37" s="128"/>
      <c r="C37" s="115"/>
      <c r="D37" s="115"/>
      <c r="E37" s="115"/>
      <c r="F37" s="115"/>
      <c r="G37" s="60" t="s">
        <v>130</v>
      </c>
      <c r="H37" s="124"/>
      <c r="I37" s="124"/>
      <c r="J37" s="60"/>
      <c r="K37" s="60"/>
      <c r="L37" s="60"/>
      <c r="M37" s="60"/>
      <c r="N37" s="60">
        <f t="shared" si="9"/>
        <v>0</v>
      </c>
      <c r="O37" s="60">
        <f t="shared" si="10"/>
        <v>0</v>
      </c>
    </row>
    <row r="38" spans="1:15" s="38" customFormat="1" ht="12" hidden="1" customHeight="1" outlineLevel="1" x14ac:dyDescent="0.25">
      <c r="A38" s="125"/>
      <c r="B38" s="129"/>
      <c r="C38" s="131"/>
      <c r="D38" s="131"/>
      <c r="E38" s="131"/>
      <c r="F38" s="131"/>
      <c r="G38" s="60" t="s">
        <v>131</v>
      </c>
      <c r="H38" s="125"/>
      <c r="I38" s="125"/>
      <c r="J38" s="60"/>
      <c r="K38" s="60"/>
      <c r="L38" s="60"/>
      <c r="M38" s="60"/>
      <c r="N38" s="60">
        <f t="shared" si="9"/>
        <v>0</v>
      </c>
      <c r="O38" s="60">
        <f t="shared" si="10"/>
        <v>0</v>
      </c>
    </row>
    <row r="39" spans="1:15" s="38" customFormat="1" ht="14.45" hidden="1" customHeight="1" outlineLevel="1" x14ac:dyDescent="0.25">
      <c r="A39" s="140" t="s">
        <v>138</v>
      </c>
      <c r="B39" s="141" t="s">
        <v>390</v>
      </c>
      <c r="C39" s="130">
        <f>SUM(N39:N45)</f>
        <v>0</v>
      </c>
      <c r="D39" s="130">
        <f>SUM(O39:O45)</f>
        <v>0</v>
      </c>
      <c r="E39" s="130">
        <f t="shared" ref="E39" si="11">D39/8</f>
        <v>0</v>
      </c>
      <c r="F39" s="130"/>
      <c r="G39" s="60" t="s">
        <v>125</v>
      </c>
      <c r="H39" s="123"/>
      <c r="I39" s="123"/>
      <c r="J39" s="60"/>
      <c r="K39" s="60"/>
      <c r="L39" s="60"/>
      <c r="M39" s="60"/>
      <c r="N39" s="60">
        <f>M39*J39*K39*L39</f>
        <v>0</v>
      </c>
      <c r="O39" s="60">
        <f>J39*K39*L39</f>
        <v>0</v>
      </c>
    </row>
    <row r="40" spans="1:15" s="38" customFormat="1" ht="11.45" hidden="1" customHeight="1" outlineLevel="1" x14ac:dyDescent="0.25">
      <c r="A40" s="124"/>
      <c r="B40" s="128"/>
      <c r="C40" s="115"/>
      <c r="D40" s="115"/>
      <c r="E40" s="115"/>
      <c r="F40" s="115"/>
      <c r="G40" s="60" t="s">
        <v>126</v>
      </c>
      <c r="H40" s="124"/>
      <c r="I40" s="124"/>
      <c r="J40" s="60"/>
      <c r="K40" s="60"/>
      <c r="L40" s="60"/>
      <c r="M40" s="60"/>
      <c r="N40" s="60">
        <f t="shared" ref="N40:N45" si="12">M40*J40*K40*L40</f>
        <v>0</v>
      </c>
      <c r="O40" s="60">
        <f t="shared" ref="O40:O45" si="13">J40*K40*L40</f>
        <v>0</v>
      </c>
    </row>
    <row r="41" spans="1:15" s="38" customFormat="1" ht="10.7" hidden="1" customHeight="1" outlineLevel="1" x14ac:dyDescent="0.25">
      <c r="A41" s="124"/>
      <c r="B41" s="128"/>
      <c r="C41" s="115"/>
      <c r="D41" s="115"/>
      <c r="E41" s="115"/>
      <c r="F41" s="115"/>
      <c r="G41" s="60" t="s">
        <v>127</v>
      </c>
      <c r="H41" s="124"/>
      <c r="I41" s="124"/>
      <c r="J41" s="60"/>
      <c r="K41" s="60"/>
      <c r="L41" s="60"/>
      <c r="M41" s="60"/>
      <c r="N41" s="60">
        <f t="shared" si="12"/>
        <v>0</v>
      </c>
      <c r="O41" s="60">
        <f t="shared" si="13"/>
        <v>0</v>
      </c>
    </row>
    <row r="42" spans="1:15" s="38" customFormat="1" ht="10.7" hidden="1" customHeight="1" outlineLevel="1" x14ac:dyDescent="0.25">
      <c r="A42" s="124"/>
      <c r="B42" s="128"/>
      <c r="C42" s="115"/>
      <c r="D42" s="115"/>
      <c r="E42" s="115"/>
      <c r="F42" s="115"/>
      <c r="G42" s="60" t="s">
        <v>128</v>
      </c>
      <c r="H42" s="124"/>
      <c r="I42" s="124"/>
      <c r="J42" s="60"/>
      <c r="K42" s="60"/>
      <c r="L42" s="60"/>
      <c r="M42" s="60"/>
      <c r="N42" s="60">
        <f t="shared" si="12"/>
        <v>0</v>
      </c>
      <c r="O42" s="60">
        <f t="shared" si="13"/>
        <v>0</v>
      </c>
    </row>
    <row r="43" spans="1:15" s="38" customFormat="1" ht="10.7" hidden="1" customHeight="1" outlineLevel="1" x14ac:dyDescent="0.25">
      <c r="A43" s="124"/>
      <c r="B43" s="128"/>
      <c r="C43" s="115"/>
      <c r="D43" s="115"/>
      <c r="E43" s="115"/>
      <c r="F43" s="115"/>
      <c r="G43" s="60" t="s">
        <v>129</v>
      </c>
      <c r="H43" s="124"/>
      <c r="I43" s="124"/>
      <c r="J43" s="60"/>
      <c r="K43" s="60"/>
      <c r="L43" s="60"/>
      <c r="M43" s="60"/>
      <c r="N43" s="60">
        <f t="shared" si="12"/>
        <v>0</v>
      </c>
      <c r="O43" s="60">
        <f t="shared" si="13"/>
        <v>0</v>
      </c>
    </row>
    <row r="44" spans="1:15" s="38" customFormat="1" ht="10.7" hidden="1" customHeight="1" outlineLevel="1" x14ac:dyDescent="0.25">
      <c r="A44" s="124"/>
      <c r="B44" s="128"/>
      <c r="C44" s="115"/>
      <c r="D44" s="115"/>
      <c r="E44" s="115"/>
      <c r="F44" s="115"/>
      <c r="G44" s="60" t="s">
        <v>130</v>
      </c>
      <c r="H44" s="124"/>
      <c r="I44" s="124"/>
      <c r="J44" s="60"/>
      <c r="K44" s="60"/>
      <c r="L44" s="60"/>
      <c r="M44" s="60"/>
      <c r="N44" s="60">
        <f t="shared" si="12"/>
        <v>0</v>
      </c>
      <c r="O44" s="60">
        <f t="shared" si="13"/>
        <v>0</v>
      </c>
    </row>
    <row r="45" spans="1:15" s="38" customFormat="1" ht="12" hidden="1" customHeight="1" outlineLevel="1" x14ac:dyDescent="0.25">
      <c r="A45" s="125"/>
      <c r="B45" s="129"/>
      <c r="C45" s="131"/>
      <c r="D45" s="131"/>
      <c r="E45" s="131"/>
      <c r="F45" s="131"/>
      <c r="G45" s="60" t="s">
        <v>131</v>
      </c>
      <c r="H45" s="125"/>
      <c r="I45" s="125"/>
      <c r="J45" s="60"/>
      <c r="K45" s="60"/>
      <c r="L45" s="60"/>
      <c r="M45" s="60"/>
      <c r="N45" s="60">
        <f t="shared" si="12"/>
        <v>0</v>
      </c>
      <c r="O45" s="60">
        <f t="shared" si="13"/>
        <v>0</v>
      </c>
    </row>
    <row r="46" spans="1:15" s="38" customFormat="1" ht="14.45" hidden="1" customHeight="1" outlineLevel="1" x14ac:dyDescent="0.25">
      <c r="A46" s="140" t="s">
        <v>140</v>
      </c>
      <c r="B46" s="141" t="s">
        <v>391</v>
      </c>
      <c r="C46" s="130">
        <f>SUM(N46:N52)</f>
        <v>0</v>
      </c>
      <c r="D46" s="130">
        <f>SUM(O46:O52)</f>
        <v>0</v>
      </c>
      <c r="E46" s="130">
        <f t="shared" ref="E46" si="14">D46/8</f>
        <v>0</v>
      </c>
      <c r="F46" s="130"/>
      <c r="G46" s="60" t="s">
        <v>125</v>
      </c>
      <c r="H46" s="123"/>
      <c r="I46" s="123"/>
      <c r="J46" s="60"/>
      <c r="K46" s="60"/>
      <c r="L46" s="60"/>
      <c r="M46" s="60"/>
      <c r="N46" s="60">
        <f>M46*J46*K46*L46</f>
        <v>0</v>
      </c>
      <c r="O46" s="60">
        <f>J46*K46*L46</f>
        <v>0</v>
      </c>
    </row>
    <row r="47" spans="1:15" s="38" customFormat="1" ht="11.45" hidden="1" customHeight="1" outlineLevel="1" x14ac:dyDescent="0.25">
      <c r="A47" s="124"/>
      <c r="B47" s="128"/>
      <c r="C47" s="115"/>
      <c r="D47" s="115"/>
      <c r="E47" s="115"/>
      <c r="F47" s="115"/>
      <c r="G47" s="60" t="s">
        <v>126</v>
      </c>
      <c r="H47" s="124"/>
      <c r="I47" s="124"/>
      <c r="J47" s="60"/>
      <c r="K47" s="60"/>
      <c r="L47" s="60"/>
      <c r="M47" s="60"/>
      <c r="N47" s="60">
        <f t="shared" ref="N47:N52" si="15">M47*J47*K47*L47</f>
        <v>0</v>
      </c>
      <c r="O47" s="60">
        <f t="shared" ref="O47:O52" si="16">J47*K47*L47</f>
        <v>0</v>
      </c>
    </row>
    <row r="48" spans="1:15" s="38" customFormat="1" ht="10.7" hidden="1" customHeight="1" outlineLevel="1" x14ac:dyDescent="0.25">
      <c r="A48" s="124"/>
      <c r="B48" s="128"/>
      <c r="C48" s="115"/>
      <c r="D48" s="115"/>
      <c r="E48" s="115"/>
      <c r="F48" s="115"/>
      <c r="G48" s="60" t="s">
        <v>127</v>
      </c>
      <c r="H48" s="124"/>
      <c r="I48" s="124"/>
      <c r="J48" s="60"/>
      <c r="K48" s="60"/>
      <c r="L48" s="60"/>
      <c r="M48" s="60"/>
      <c r="N48" s="60">
        <f t="shared" si="15"/>
        <v>0</v>
      </c>
      <c r="O48" s="60">
        <f t="shared" si="16"/>
        <v>0</v>
      </c>
    </row>
    <row r="49" spans="1:15" s="38" customFormat="1" ht="10.7" hidden="1" customHeight="1" outlineLevel="1" x14ac:dyDescent="0.25">
      <c r="A49" s="124"/>
      <c r="B49" s="128"/>
      <c r="C49" s="115"/>
      <c r="D49" s="115"/>
      <c r="E49" s="115"/>
      <c r="F49" s="115"/>
      <c r="G49" s="60" t="s">
        <v>128</v>
      </c>
      <c r="H49" s="124"/>
      <c r="I49" s="124"/>
      <c r="J49" s="60"/>
      <c r="K49" s="60"/>
      <c r="L49" s="60"/>
      <c r="M49" s="60"/>
      <c r="N49" s="60">
        <f t="shared" si="15"/>
        <v>0</v>
      </c>
      <c r="O49" s="60">
        <f t="shared" si="16"/>
        <v>0</v>
      </c>
    </row>
    <row r="50" spans="1:15" s="38" customFormat="1" ht="10.7" hidden="1" customHeight="1" outlineLevel="1" x14ac:dyDescent="0.25">
      <c r="A50" s="124"/>
      <c r="B50" s="128"/>
      <c r="C50" s="115"/>
      <c r="D50" s="115"/>
      <c r="E50" s="115"/>
      <c r="F50" s="115"/>
      <c r="G50" s="60" t="s">
        <v>129</v>
      </c>
      <c r="H50" s="124"/>
      <c r="I50" s="124"/>
      <c r="J50" s="60"/>
      <c r="K50" s="60"/>
      <c r="L50" s="60"/>
      <c r="M50" s="60"/>
      <c r="N50" s="60">
        <f t="shared" si="15"/>
        <v>0</v>
      </c>
      <c r="O50" s="60">
        <f t="shared" si="16"/>
        <v>0</v>
      </c>
    </row>
    <row r="51" spans="1:15" s="38" customFormat="1" ht="10.7" hidden="1" customHeight="1" outlineLevel="1" x14ac:dyDescent="0.25">
      <c r="A51" s="124"/>
      <c r="B51" s="128"/>
      <c r="C51" s="115"/>
      <c r="D51" s="115"/>
      <c r="E51" s="115"/>
      <c r="F51" s="115"/>
      <c r="G51" s="60" t="s">
        <v>130</v>
      </c>
      <c r="H51" s="124"/>
      <c r="I51" s="124"/>
      <c r="J51" s="60"/>
      <c r="K51" s="60"/>
      <c r="L51" s="60"/>
      <c r="M51" s="60"/>
      <c r="N51" s="60">
        <f t="shared" si="15"/>
        <v>0</v>
      </c>
      <c r="O51" s="60">
        <f t="shared" si="16"/>
        <v>0</v>
      </c>
    </row>
    <row r="52" spans="1:15" s="38" customFormat="1" ht="12" hidden="1" customHeight="1" outlineLevel="1" x14ac:dyDescent="0.25">
      <c r="A52" s="125"/>
      <c r="B52" s="129"/>
      <c r="C52" s="131"/>
      <c r="D52" s="131"/>
      <c r="E52" s="131"/>
      <c r="F52" s="131"/>
      <c r="G52" s="60" t="s">
        <v>131</v>
      </c>
      <c r="H52" s="125"/>
      <c r="I52" s="125"/>
      <c r="J52" s="60"/>
      <c r="K52" s="60"/>
      <c r="L52" s="60"/>
      <c r="M52" s="60"/>
      <c r="N52" s="60">
        <f t="shared" si="15"/>
        <v>0</v>
      </c>
      <c r="O52" s="60">
        <f t="shared" si="16"/>
        <v>0</v>
      </c>
    </row>
    <row r="53" spans="1:15" s="38" customFormat="1" ht="14.45" hidden="1" customHeight="1" outlineLevel="1" x14ac:dyDescent="0.25">
      <c r="A53" s="140" t="s">
        <v>348</v>
      </c>
      <c r="B53" s="141" t="s">
        <v>144</v>
      </c>
      <c r="C53" s="130">
        <f>SUM(N53:N59)</f>
        <v>0</v>
      </c>
      <c r="D53" s="130">
        <f>SUM(O53:O59)</f>
        <v>0</v>
      </c>
      <c r="E53" s="130">
        <f t="shared" ref="E53" si="17">D53/8</f>
        <v>0</v>
      </c>
      <c r="F53" s="130"/>
      <c r="G53" s="60" t="s">
        <v>125</v>
      </c>
      <c r="H53" s="123"/>
      <c r="I53" s="123"/>
      <c r="J53" s="60"/>
      <c r="K53" s="60"/>
      <c r="L53" s="60"/>
      <c r="M53" s="60"/>
      <c r="N53" s="60">
        <f>M53*J53*K53*L53</f>
        <v>0</v>
      </c>
      <c r="O53" s="60">
        <f>J53*K53*L53</f>
        <v>0</v>
      </c>
    </row>
    <row r="54" spans="1:15" s="38" customFormat="1" ht="11.45" hidden="1" customHeight="1" outlineLevel="1" x14ac:dyDescent="0.25">
      <c r="A54" s="124"/>
      <c r="B54" s="128"/>
      <c r="C54" s="115"/>
      <c r="D54" s="115"/>
      <c r="E54" s="115"/>
      <c r="F54" s="115"/>
      <c r="G54" s="60" t="s">
        <v>126</v>
      </c>
      <c r="H54" s="124"/>
      <c r="I54" s="124"/>
      <c r="J54" s="60"/>
      <c r="K54" s="60"/>
      <c r="L54" s="60"/>
      <c r="M54" s="60"/>
      <c r="N54" s="60">
        <f t="shared" ref="N54:N59" si="18">M54*J54*K54*L54</f>
        <v>0</v>
      </c>
      <c r="O54" s="60">
        <f t="shared" ref="O54:O59" si="19">J54*K54*L54</f>
        <v>0</v>
      </c>
    </row>
    <row r="55" spans="1:15" s="38" customFormat="1" ht="10.7" hidden="1" customHeight="1" outlineLevel="1" x14ac:dyDescent="0.25">
      <c r="A55" s="124"/>
      <c r="B55" s="128"/>
      <c r="C55" s="115"/>
      <c r="D55" s="115"/>
      <c r="E55" s="115"/>
      <c r="F55" s="115"/>
      <c r="G55" s="60" t="s">
        <v>127</v>
      </c>
      <c r="H55" s="124"/>
      <c r="I55" s="124"/>
      <c r="J55" s="60"/>
      <c r="K55" s="60"/>
      <c r="L55" s="60"/>
      <c r="M55" s="60"/>
      <c r="N55" s="60">
        <f t="shared" si="18"/>
        <v>0</v>
      </c>
      <c r="O55" s="60">
        <f t="shared" si="19"/>
        <v>0</v>
      </c>
    </row>
    <row r="56" spans="1:15" s="38" customFormat="1" ht="10.7" hidden="1" customHeight="1" outlineLevel="1" x14ac:dyDescent="0.25">
      <c r="A56" s="124"/>
      <c r="B56" s="128"/>
      <c r="C56" s="115"/>
      <c r="D56" s="115"/>
      <c r="E56" s="115"/>
      <c r="F56" s="115"/>
      <c r="G56" s="60" t="s">
        <v>128</v>
      </c>
      <c r="H56" s="124"/>
      <c r="I56" s="124"/>
      <c r="J56" s="60"/>
      <c r="K56" s="60"/>
      <c r="L56" s="60"/>
      <c r="M56" s="60"/>
      <c r="N56" s="60">
        <f t="shared" si="18"/>
        <v>0</v>
      </c>
      <c r="O56" s="60">
        <f t="shared" si="19"/>
        <v>0</v>
      </c>
    </row>
    <row r="57" spans="1:15" s="38" customFormat="1" ht="10.7" hidden="1" customHeight="1" outlineLevel="1" x14ac:dyDescent="0.25">
      <c r="A57" s="124"/>
      <c r="B57" s="128"/>
      <c r="C57" s="115"/>
      <c r="D57" s="115"/>
      <c r="E57" s="115"/>
      <c r="F57" s="115"/>
      <c r="G57" s="60" t="s">
        <v>129</v>
      </c>
      <c r="H57" s="124"/>
      <c r="I57" s="124"/>
      <c r="J57" s="60"/>
      <c r="K57" s="60"/>
      <c r="L57" s="60"/>
      <c r="M57" s="60"/>
      <c r="N57" s="60">
        <f t="shared" si="18"/>
        <v>0</v>
      </c>
      <c r="O57" s="60">
        <f t="shared" si="19"/>
        <v>0</v>
      </c>
    </row>
    <row r="58" spans="1:15" s="38" customFormat="1" ht="10.7" hidden="1" customHeight="1" outlineLevel="1" x14ac:dyDescent="0.25">
      <c r="A58" s="124"/>
      <c r="B58" s="128"/>
      <c r="C58" s="115"/>
      <c r="D58" s="115"/>
      <c r="E58" s="115"/>
      <c r="F58" s="115"/>
      <c r="G58" s="60" t="s">
        <v>130</v>
      </c>
      <c r="H58" s="124"/>
      <c r="I58" s="124"/>
      <c r="J58" s="60"/>
      <c r="K58" s="60"/>
      <c r="L58" s="60"/>
      <c r="M58" s="60"/>
      <c r="N58" s="60">
        <f t="shared" si="18"/>
        <v>0</v>
      </c>
      <c r="O58" s="60">
        <f t="shared" si="19"/>
        <v>0</v>
      </c>
    </row>
    <row r="59" spans="1:15" s="38" customFormat="1" ht="12" hidden="1" customHeight="1" outlineLevel="1" thickBot="1" x14ac:dyDescent="0.3">
      <c r="A59" s="125"/>
      <c r="B59" s="129"/>
      <c r="C59" s="131"/>
      <c r="D59" s="131"/>
      <c r="E59" s="131"/>
      <c r="F59" s="131"/>
      <c r="G59" s="60" t="s">
        <v>131</v>
      </c>
      <c r="H59" s="134"/>
      <c r="I59" s="134"/>
      <c r="J59" s="60"/>
      <c r="K59" s="60"/>
      <c r="L59" s="60"/>
      <c r="M59" s="60"/>
      <c r="N59" s="60">
        <f t="shared" si="18"/>
        <v>0</v>
      </c>
      <c r="O59" s="60">
        <f t="shared" si="19"/>
        <v>0</v>
      </c>
    </row>
    <row r="60" spans="1:15" s="39" customFormat="1" ht="16.5" collapsed="1" thickBot="1" x14ac:dyDescent="0.3">
      <c r="A60" s="40" t="s">
        <v>10</v>
      </c>
      <c r="B60" s="41" t="s">
        <v>531</v>
      </c>
      <c r="C60" s="42">
        <f>C61+C68+C75+C82+C89+C146+C153+C160+C167+C174+C181+C188+C195+C202+C209+C216+C223+C237+C244+C251+C265</f>
        <v>0</v>
      </c>
      <c r="D60" s="42">
        <f>D61+D68+D75+D82+D89+D146+D153+D160+D167+D174+D181+D188+D195+D202+D209+D216+D223+D237+D244+D251+D265</f>
        <v>0</v>
      </c>
      <c r="E60" s="42">
        <f>E61+E68+E75+E82+E89+E146+E153+E160+E167+E174+E181+E188+E195+E202+E209+E216+E223+E237+E244+E251+E265</f>
        <v>0</v>
      </c>
      <c r="F60" s="57"/>
      <c r="G60" s="57"/>
      <c r="H60" s="57"/>
      <c r="I60" s="57"/>
      <c r="J60" s="57"/>
      <c r="K60" s="57"/>
      <c r="L60" s="57"/>
      <c r="M60" s="57"/>
      <c r="N60" s="57"/>
      <c r="O60" s="43"/>
    </row>
    <row r="61" spans="1:15" s="38" customFormat="1" ht="14.45" hidden="1" customHeight="1" outlineLevel="1" x14ac:dyDescent="0.25">
      <c r="A61" s="140" t="s">
        <v>146</v>
      </c>
      <c r="B61" s="141" t="s">
        <v>393</v>
      </c>
      <c r="C61" s="130">
        <f>SUM(N61:N67)</f>
        <v>0</v>
      </c>
      <c r="D61" s="130">
        <f>SUM(O61:O67)</f>
        <v>0</v>
      </c>
      <c r="E61" s="130">
        <f t="shared" ref="E61:E82" si="20">D61/8</f>
        <v>0</v>
      </c>
      <c r="F61" s="130"/>
      <c r="G61" s="60" t="s">
        <v>125</v>
      </c>
      <c r="H61" s="123"/>
      <c r="I61" s="123"/>
      <c r="J61" s="60"/>
      <c r="K61" s="60"/>
      <c r="L61" s="60"/>
      <c r="M61" s="60"/>
      <c r="N61" s="60">
        <f>M61*J61*K61*L61</f>
        <v>0</v>
      </c>
      <c r="O61" s="60">
        <f>J61*K61*L61</f>
        <v>0</v>
      </c>
    </row>
    <row r="62" spans="1:15" s="38" customFormat="1" ht="11.45" hidden="1" customHeight="1" outlineLevel="1" x14ac:dyDescent="0.25">
      <c r="A62" s="124"/>
      <c r="B62" s="128"/>
      <c r="C62" s="115"/>
      <c r="D62" s="115"/>
      <c r="E62" s="115"/>
      <c r="F62" s="115"/>
      <c r="G62" s="60" t="s">
        <v>126</v>
      </c>
      <c r="H62" s="124"/>
      <c r="I62" s="124"/>
      <c r="J62" s="60"/>
      <c r="K62" s="60"/>
      <c r="L62" s="60"/>
      <c r="M62" s="60"/>
      <c r="N62" s="60">
        <f t="shared" ref="N62:N67" si="21">M62*J62*K62*L62</f>
        <v>0</v>
      </c>
      <c r="O62" s="60">
        <f t="shared" ref="O62:O67" si="22">J62*K62*L62</f>
        <v>0</v>
      </c>
    </row>
    <row r="63" spans="1:15" s="38" customFormat="1" ht="10.7" hidden="1" customHeight="1" outlineLevel="1" x14ac:dyDescent="0.25">
      <c r="A63" s="124"/>
      <c r="B63" s="128"/>
      <c r="C63" s="115"/>
      <c r="D63" s="115"/>
      <c r="E63" s="115"/>
      <c r="F63" s="115"/>
      <c r="G63" s="60" t="s">
        <v>127</v>
      </c>
      <c r="H63" s="124"/>
      <c r="I63" s="124"/>
      <c r="J63" s="60"/>
      <c r="K63" s="60"/>
      <c r="L63" s="60"/>
      <c r="M63" s="60"/>
      <c r="N63" s="60">
        <f t="shared" si="21"/>
        <v>0</v>
      </c>
      <c r="O63" s="60">
        <f t="shared" si="22"/>
        <v>0</v>
      </c>
    </row>
    <row r="64" spans="1:15" s="38" customFormat="1" ht="10.7" hidden="1" customHeight="1" outlineLevel="1" x14ac:dyDescent="0.25">
      <c r="A64" s="124"/>
      <c r="B64" s="128"/>
      <c r="C64" s="115"/>
      <c r="D64" s="115"/>
      <c r="E64" s="115"/>
      <c r="F64" s="115"/>
      <c r="G64" s="60" t="s">
        <v>128</v>
      </c>
      <c r="H64" s="124"/>
      <c r="I64" s="124"/>
      <c r="J64" s="60"/>
      <c r="K64" s="60"/>
      <c r="L64" s="60"/>
      <c r="M64" s="60"/>
      <c r="N64" s="60">
        <f t="shared" si="21"/>
        <v>0</v>
      </c>
      <c r="O64" s="60">
        <f t="shared" si="22"/>
        <v>0</v>
      </c>
    </row>
    <row r="65" spans="1:15" s="38" customFormat="1" ht="10.7" hidden="1" customHeight="1" outlineLevel="1" x14ac:dyDescent="0.25">
      <c r="A65" s="124"/>
      <c r="B65" s="128"/>
      <c r="C65" s="115"/>
      <c r="D65" s="115"/>
      <c r="E65" s="115"/>
      <c r="F65" s="115"/>
      <c r="G65" s="60" t="s">
        <v>129</v>
      </c>
      <c r="H65" s="124"/>
      <c r="I65" s="124"/>
      <c r="J65" s="60"/>
      <c r="K65" s="60"/>
      <c r="L65" s="60"/>
      <c r="M65" s="60"/>
      <c r="N65" s="60">
        <f t="shared" si="21"/>
        <v>0</v>
      </c>
      <c r="O65" s="60">
        <f t="shared" si="22"/>
        <v>0</v>
      </c>
    </row>
    <row r="66" spans="1:15" s="38" customFormat="1" ht="10.7" hidden="1" customHeight="1" outlineLevel="1" x14ac:dyDescent="0.25">
      <c r="A66" s="124"/>
      <c r="B66" s="128"/>
      <c r="C66" s="115"/>
      <c r="D66" s="115"/>
      <c r="E66" s="115"/>
      <c r="F66" s="115"/>
      <c r="G66" s="60" t="s">
        <v>130</v>
      </c>
      <c r="H66" s="124"/>
      <c r="I66" s="124"/>
      <c r="J66" s="60"/>
      <c r="K66" s="60"/>
      <c r="L66" s="60"/>
      <c r="M66" s="60"/>
      <c r="N66" s="60">
        <f t="shared" si="21"/>
        <v>0</v>
      </c>
      <c r="O66" s="60">
        <f t="shared" si="22"/>
        <v>0</v>
      </c>
    </row>
    <row r="67" spans="1:15" s="38" customFormat="1" ht="12" hidden="1" customHeight="1" outlineLevel="1" thickBot="1" x14ac:dyDescent="0.3">
      <c r="A67" s="125"/>
      <c r="B67" s="129"/>
      <c r="C67" s="131"/>
      <c r="D67" s="131"/>
      <c r="E67" s="131"/>
      <c r="F67" s="131"/>
      <c r="G67" s="60" t="s">
        <v>131</v>
      </c>
      <c r="H67" s="134"/>
      <c r="I67" s="134"/>
      <c r="J67" s="60"/>
      <c r="K67" s="60"/>
      <c r="L67" s="60"/>
      <c r="M67" s="60"/>
      <c r="N67" s="60">
        <f t="shared" si="21"/>
        <v>0</v>
      </c>
      <c r="O67" s="60">
        <f t="shared" si="22"/>
        <v>0</v>
      </c>
    </row>
    <row r="68" spans="1:15" s="38" customFormat="1" ht="14.45" hidden="1" customHeight="1" outlineLevel="1" x14ac:dyDescent="0.25">
      <c r="A68" s="140" t="s">
        <v>148</v>
      </c>
      <c r="B68" s="141" t="s">
        <v>394</v>
      </c>
      <c r="C68" s="130">
        <f>SUM(N68:N74)</f>
        <v>0</v>
      </c>
      <c r="D68" s="130">
        <f>SUM(O68:O74)</f>
        <v>0</v>
      </c>
      <c r="E68" s="130">
        <f t="shared" si="20"/>
        <v>0</v>
      </c>
      <c r="F68" s="130"/>
      <c r="G68" s="60" t="s">
        <v>125</v>
      </c>
      <c r="H68" s="123"/>
      <c r="I68" s="123"/>
      <c r="J68" s="60"/>
      <c r="K68" s="60"/>
      <c r="L68" s="60"/>
      <c r="M68" s="60"/>
      <c r="N68" s="60">
        <f>M68*J68*K68*L68</f>
        <v>0</v>
      </c>
      <c r="O68" s="60">
        <f>J68*K68*L68</f>
        <v>0</v>
      </c>
    </row>
    <row r="69" spans="1:15" s="38" customFormat="1" ht="11.45" hidden="1" customHeight="1" outlineLevel="1" x14ac:dyDescent="0.25">
      <c r="A69" s="124"/>
      <c r="B69" s="128"/>
      <c r="C69" s="115"/>
      <c r="D69" s="115"/>
      <c r="E69" s="115"/>
      <c r="F69" s="115"/>
      <c r="G69" s="60" t="s">
        <v>126</v>
      </c>
      <c r="H69" s="124"/>
      <c r="I69" s="124"/>
      <c r="J69" s="60"/>
      <c r="K69" s="60"/>
      <c r="L69" s="60"/>
      <c r="M69" s="60"/>
      <c r="N69" s="60">
        <f t="shared" ref="N69:N74" si="23">M69*J69*K69*L69</f>
        <v>0</v>
      </c>
      <c r="O69" s="60">
        <f t="shared" ref="O69:O74" si="24">J69*K69*L69</f>
        <v>0</v>
      </c>
    </row>
    <row r="70" spans="1:15" s="38" customFormat="1" ht="10.7" hidden="1" customHeight="1" outlineLevel="1" x14ac:dyDescent="0.25">
      <c r="A70" s="124"/>
      <c r="B70" s="128"/>
      <c r="C70" s="115"/>
      <c r="D70" s="115"/>
      <c r="E70" s="115"/>
      <c r="F70" s="115"/>
      <c r="G70" s="60" t="s">
        <v>127</v>
      </c>
      <c r="H70" s="124"/>
      <c r="I70" s="124"/>
      <c r="J70" s="60"/>
      <c r="K70" s="60"/>
      <c r="L70" s="60"/>
      <c r="M70" s="60"/>
      <c r="N70" s="60">
        <f t="shared" si="23"/>
        <v>0</v>
      </c>
      <c r="O70" s="60">
        <f t="shared" si="24"/>
        <v>0</v>
      </c>
    </row>
    <row r="71" spans="1:15" s="38" customFormat="1" ht="10.7" hidden="1" customHeight="1" outlineLevel="1" x14ac:dyDescent="0.25">
      <c r="A71" s="124"/>
      <c r="B71" s="128"/>
      <c r="C71" s="115"/>
      <c r="D71" s="115"/>
      <c r="E71" s="115"/>
      <c r="F71" s="115"/>
      <c r="G71" s="60" t="s">
        <v>128</v>
      </c>
      <c r="H71" s="124"/>
      <c r="I71" s="124"/>
      <c r="J71" s="60"/>
      <c r="K71" s="60"/>
      <c r="L71" s="60"/>
      <c r="M71" s="60"/>
      <c r="N71" s="60">
        <f t="shared" si="23"/>
        <v>0</v>
      </c>
      <c r="O71" s="60">
        <f t="shared" si="24"/>
        <v>0</v>
      </c>
    </row>
    <row r="72" spans="1:15" s="38" customFormat="1" ht="10.7" hidden="1" customHeight="1" outlineLevel="1" x14ac:dyDescent="0.25">
      <c r="A72" s="124"/>
      <c r="B72" s="128"/>
      <c r="C72" s="115"/>
      <c r="D72" s="115"/>
      <c r="E72" s="115"/>
      <c r="F72" s="115"/>
      <c r="G72" s="60" t="s">
        <v>129</v>
      </c>
      <c r="H72" s="124"/>
      <c r="I72" s="124"/>
      <c r="J72" s="60"/>
      <c r="K72" s="60"/>
      <c r="L72" s="60"/>
      <c r="M72" s="60"/>
      <c r="N72" s="60">
        <f t="shared" si="23"/>
        <v>0</v>
      </c>
      <c r="O72" s="60">
        <f t="shared" si="24"/>
        <v>0</v>
      </c>
    </row>
    <row r="73" spans="1:15" s="38" customFormat="1" ht="10.7" hidden="1" customHeight="1" outlineLevel="1" x14ac:dyDescent="0.25">
      <c r="A73" s="124"/>
      <c r="B73" s="128"/>
      <c r="C73" s="115"/>
      <c r="D73" s="115"/>
      <c r="E73" s="115"/>
      <c r="F73" s="115"/>
      <c r="G73" s="60" t="s">
        <v>130</v>
      </c>
      <c r="H73" s="124"/>
      <c r="I73" s="124"/>
      <c r="J73" s="60"/>
      <c r="K73" s="60"/>
      <c r="L73" s="60"/>
      <c r="M73" s="60"/>
      <c r="N73" s="60">
        <f t="shared" si="23"/>
        <v>0</v>
      </c>
      <c r="O73" s="60">
        <f t="shared" si="24"/>
        <v>0</v>
      </c>
    </row>
    <row r="74" spans="1:15" s="38" customFormat="1" ht="12" hidden="1" customHeight="1" outlineLevel="1" thickBot="1" x14ac:dyDescent="0.3">
      <c r="A74" s="125"/>
      <c r="B74" s="129"/>
      <c r="C74" s="131"/>
      <c r="D74" s="131"/>
      <c r="E74" s="131"/>
      <c r="F74" s="131"/>
      <c r="G74" s="60" t="s">
        <v>131</v>
      </c>
      <c r="H74" s="134"/>
      <c r="I74" s="134"/>
      <c r="J74" s="60"/>
      <c r="K74" s="60"/>
      <c r="L74" s="60"/>
      <c r="M74" s="60"/>
      <c r="N74" s="60">
        <f t="shared" si="23"/>
        <v>0</v>
      </c>
      <c r="O74" s="60">
        <f t="shared" si="24"/>
        <v>0</v>
      </c>
    </row>
    <row r="75" spans="1:15" s="38" customFormat="1" ht="14.45" hidden="1" customHeight="1" outlineLevel="1" x14ac:dyDescent="0.25">
      <c r="A75" s="140" t="s">
        <v>150</v>
      </c>
      <c r="B75" s="141" t="s">
        <v>395</v>
      </c>
      <c r="C75" s="130">
        <f>SUM(N75:N81)</f>
        <v>0</v>
      </c>
      <c r="D75" s="130">
        <f>SUM(O75:O81)</f>
        <v>0</v>
      </c>
      <c r="E75" s="130">
        <f t="shared" si="20"/>
        <v>0</v>
      </c>
      <c r="F75" s="130"/>
      <c r="G75" s="60" t="s">
        <v>125</v>
      </c>
      <c r="H75" s="123"/>
      <c r="I75" s="123"/>
      <c r="J75" s="60"/>
      <c r="K75" s="60"/>
      <c r="L75" s="60"/>
      <c r="M75" s="60"/>
      <c r="N75" s="60">
        <f>M75*J75*K75*L75</f>
        <v>0</v>
      </c>
      <c r="O75" s="60">
        <f>J75*K75*L75</f>
        <v>0</v>
      </c>
    </row>
    <row r="76" spans="1:15" s="38" customFormat="1" ht="11.45" hidden="1" customHeight="1" outlineLevel="1" x14ac:dyDescent="0.25">
      <c r="A76" s="124"/>
      <c r="B76" s="128"/>
      <c r="C76" s="115"/>
      <c r="D76" s="115"/>
      <c r="E76" s="115"/>
      <c r="F76" s="115"/>
      <c r="G76" s="60" t="s">
        <v>126</v>
      </c>
      <c r="H76" s="124"/>
      <c r="I76" s="124"/>
      <c r="J76" s="60"/>
      <c r="K76" s="60"/>
      <c r="L76" s="60"/>
      <c r="M76" s="60"/>
      <c r="N76" s="60">
        <f t="shared" ref="N76:N81" si="25">M76*J76*K76*L76</f>
        <v>0</v>
      </c>
      <c r="O76" s="60">
        <f t="shared" ref="O76:O81" si="26">J76*K76*L76</f>
        <v>0</v>
      </c>
    </row>
    <row r="77" spans="1:15" s="38" customFormat="1" ht="10.7" hidden="1" customHeight="1" outlineLevel="1" x14ac:dyDescent="0.25">
      <c r="A77" s="124"/>
      <c r="B77" s="128"/>
      <c r="C77" s="115"/>
      <c r="D77" s="115"/>
      <c r="E77" s="115"/>
      <c r="F77" s="115"/>
      <c r="G77" s="60" t="s">
        <v>127</v>
      </c>
      <c r="H77" s="124"/>
      <c r="I77" s="124"/>
      <c r="J77" s="60"/>
      <c r="K77" s="60"/>
      <c r="L77" s="60"/>
      <c r="M77" s="60"/>
      <c r="N77" s="60">
        <f t="shared" si="25"/>
        <v>0</v>
      </c>
      <c r="O77" s="60">
        <f t="shared" si="26"/>
        <v>0</v>
      </c>
    </row>
    <row r="78" spans="1:15" s="38" customFormat="1" ht="10.7" hidden="1" customHeight="1" outlineLevel="1" x14ac:dyDescent="0.25">
      <c r="A78" s="124"/>
      <c r="B78" s="128"/>
      <c r="C78" s="115"/>
      <c r="D78" s="115"/>
      <c r="E78" s="115"/>
      <c r="F78" s="115"/>
      <c r="G78" s="60" t="s">
        <v>128</v>
      </c>
      <c r="H78" s="124"/>
      <c r="I78" s="124"/>
      <c r="J78" s="60"/>
      <c r="K78" s="60"/>
      <c r="L78" s="60"/>
      <c r="M78" s="60"/>
      <c r="N78" s="60">
        <f t="shared" si="25"/>
        <v>0</v>
      </c>
      <c r="O78" s="60">
        <f t="shared" si="26"/>
        <v>0</v>
      </c>
    </row>
    <row r="79" spans="1:15" s="38" customFormat="1" ht="10.7" hidden="1" customHeight="1" outlineLevel="1" x14ac:dyDescent="0.25">
      <c r="A79" s="124"/>
      <c r="B79" s="128"/>
      <c r="C79" s="115"/>
      <c r="D79" s="115"/>
      <c r="E79" s="115"/>
      <c r="F79" s="115"/>
      <c r="G79" s="60" t="s">
        <v>129</v>
      </c>
      <c r="H79" s="124"/>
      <c r="I79" s="124"/>
      <c r="J79" s="60"/>
      <c r="K79" s="60"/>
      <c r="L79" s="60"/>
      <c r="M79" s="60"/>
      <c r="N79" s="60">
        <f t="shared" si="25"/>
        <v>0</v>
      </c>
      <c r="O79" s="60">
        <f t="shared" si="26"/>
        <v>0</v>
      </c>
    </row>
    <row r="80" spans="1:15" s="38" customFormat="1" ht="10.7" hidden="1" customHeight="1" outlineLevel="1" x14ac:dyDescent="0.25">
      <c r="A80" s="124"/>
      <c r="B80" s="128"/>
      <c r="C80" s="115"/>
      <c r="D80" s="115"/>
      <c r="E80" s="115"/>
      <c r="F80" s="115"/>
      <c r="G80" s="60" t="s">
        <v>130</v>
      </c>
      <c r="H80" s="124"/>
      <c r="I80" s="124"/>
      <c r="J80" s="60"/>
      <c r="K80" s="60"/>
      <c r="L80" s="60"/>
      <c r="M80" s="60"/>
      <c r="N80" s="60">
        <f t="shared" si="25"/>
        <v>0</v>
      </c>
      <c r="O80" s="60">
        <f t="shared" si="26"/>
        <v>0</v>
      </c>
    </row>
    <row r="81" spans="1:15" s="38" customFormat="1" ht="12" hidden="1" customHeight="1" outlineLevel="1" thickBot="1" x14ac:dyDescent="0.3">
      <c r="A81" s="125"/>
      <c r="B81" s="129"/>
      <c r="C81" s="131"/>
      <c r="D81" s="131"/>
      <c r="E81" s="131"/>
      <c r="F81" s="131"/>
      <c r="G81" s="60" t="s">
        <v>131</v>
      </c>
      <c r="H81" s="134"/>
      <c r="I81" s="134"/>
      <c r="J81" s="60"/>
      <c r="K81" s="60"/>
      <c r="L81" s="60"/>
      <c r="M81" s="60"/>
      <c r="N81" s="60">
        <f t="shared" si="25"/>
        <v>0</v>
      </c>
      <c r="O81" s="60">
        <f t="shared" si="26"/>
        <v>0</v>
      </c>
    </row>
    <row r="82" spans="1:15" s="38" customFormat="1" ht="14.45" hidden="1" customHeight="1" outlineLevel="1" x14ac:dyDescent="0.25">
      <c r="A82" s="140" t="s">
        <v>152</v>
      </c>
      <c r="B82" s="141" t="s">
        <v>396</v>
      </c>
      <c r="C82" s="130">
        <f>SUM(N82:N88)</f>
        <v>0</v>
      </c>
      <c r="D82" s="130">
        <f>SUM(O82:O88)</f>
        <v>0</v>
      </c>
      <c r="E82" s="130">
        <f t="shared" si="20"/>
        <v>0</v>
      </c>
      <c r="F82" s="130"/>
      <c r="G82" s="60" t="s">
        <v>125</v>
      </c>
      <c r="H82" s="123"/>
      <c r="I82" s="123"/>
      <c r="J82" s="60"/>
      <c r="K82" s="60"/>
      <c r="L82" s="60"/>
      <c r="M82" s="60"/>
      <c r="N82" s="60">
        <f>M82*J82*K82*L82</f>
        <v>0</v>
      </c>
      <c r="O82" s="60">
        <f>J82*K82*L82</f>
        <v>0</v>
      </c>
    </row>
    <row r="83" spans="1:15" s="38" customFormat="1" ht="11.45" hidden="1" customHeight="1" outlineLevel="1" x14ac:dyDescent="0.25">
      <c r="A83" s="124"/>
      <c r="B83" s="128"/>
      <c r="C83" s="115"/>
      <c r="D83" s="115"/>
      <c r="E83" s="115"/>
      <c r="F83" s="115"/>
      <c r="G83" s="60" t="s">
        <v>126</v>
      </c>
      <c r="H83" s="124"/>
      <c r="I83" s="124"/>
      <c r="J83" s="60"/>
      <c r="K83" s="60"/>
      <c r="L83" s="60"/>
      <c r="M83" s="60"/>
      <c r="N83" s="60">
        <f t="shared" ref="N83:N88" si="27">M83*J83*K83*L83</f>
        <v>0</v>
      </c>
      <c r="O83" s="60">
        <f t="shared" ref="O83:O88" si="28">J83*K83*L83</f>
        <v>0</v>
      </c>
    </row>
    <row r="84" spans="1:15" s="38" customFormat="1" ht="10.7" hidden="1" customHeight="1" outlineLevel="1" x14ac:dyDescent="0.25">
      <c r="A84" s="124"/>
      <c r="B84" s="128"/>
      <c r="C84" s="115"/>
      <c r="D84" s="115"/>
      <c r="E84" s="115"/>
      <c r="F84" s="115"/>
      <c r="G84" s="60" t="s">
        <v>127</v>
      </c>
      <c r="H84" s="124"/>
      <c r="I84" s="124"/>
      <c r="J84" s="60"/>
      <c r="K84" s="60"/>
      <c r="L84" s="60"/>
      <c r="M84" s="60"/>
      <c r="N84" s="60">
        <f t="shared" si="27"/>
        <v>0</v>
      </c>
      <c r="O84" s="60">
        <f t="shared" si="28"/>
        <v>0</v>
      </c>
    </row>
    <row r="85" spans="1:15" s="38" customFormat="1" ht="10.7" hidden="1" customHeight="1" outlineLevel="1" x14ac:dyDescent="0.25">
      <c r="A85" s="124"/>
      <c r="B85" s="128"/>
      <c r="C85" s="115"/>
      <c r="D85" s="115"/>
      <c r="E85" s="115"/>
      <c r="F85" s="115"/>
      <c r="G85" s="60" t="s">
        <v>128</v>
      </c>
      <c r="H85" s="124"/>
      <c r="I85" s="124"/>
      <c r="J85" s="60"/>
      <c r="K85" s="60"/>
      <c r="L85" s="60"/>
      <c r="M85" s="60"/>
      <c r="N85" s="60">
        <f t="shared" si="27"/>
        <v>0</v>
      </c>
      <c r="O85" s="60">
        <f t="shared" si="28"/>
        <v>0</v>
      </c>
    </row>
    <row r="86" spans="1:15" s="38" customFormat="1" ht="10.7" hidden="1" customHeight="1" outlineLevel="1" x14ac:dyDescent="0.25">
      <c r="A86" s="124"/>
      <c r="B86" s="128"/>
      <c r="C86" s="115"/>
      <c r="D86" s="115"/>
      <c r="E86" s="115"/>
      <c r="F86" s="115"/>
      <c r="G86" s="60" t="s">
        <v>129</v>
      </c>
      <c r="H86" s="124"/>
      <c r="I86" s="124"/>
      <c r="J86" s="60"/>
      <c r="K86" s="60"/>
      <c r="L86" s="60"/>
      <c r="M86" s="60"/>
      <c r="N86" s="60">
        <f t="shared" si="27"/>
        <v>0</v>
      </c>
      <c r="O86" s="60">
        <f t="shared" si="28"/>
        <v>0</v>
      </c>
    </row>
    <row r="87" spans="1:15" s="38" customFormat="1" ht="10.7" hidden="1" customHeight="1" outlineLevel="1" x14ac:dyDescent="0.25">
      <c r="A87" s="124"/>
      <c r="B87" s="128"/>
      <c r="C87" s="115"/>
      <c r="D87" s="115"/>
      <c r="E87" s="115"/>
      <c r="F87" s="115"/>
      <c r="G87" s="60" t="s">
        <v>130</v>
      </c>
      <c r="H87" s="124"/>
      <c r="I87" s="124"/>
      <c r="J87" s="60"/>
      <c r="K87" s="60"/>
      <c r="L87" s="60"/>
      <c r="M87" s="60"/>
      <c r="N87" s="60">
        <f t="shared" si="27"/>
        <v>0</v>
      </c>
      <c r="O87" s="60">
        <f t="shared" si="28"/>
        <v>0</v>
      </c>
    </row>
    <row r="88" spans="1:15" s="38" customFormat="1" ht="12" hidden="1" customHeight="1" outlineLevel="1" thickBot="1" x14ac:dyDescent="0.3">
      <c r="A88" s="125"/>
      <c r="B88" s="129"/>
      <c r="C88" s="131"/>
      <c r="D88" s="131"/>
      <c r="E88" s="131"/>
      <c r="F88" s="131"/>
      <c r="G88" s="60" t="s">
        <v>131</v>
      </c>
      <c r="H88" s="134"/>
      <c r="I88" s="134"/>
      <c r="J88" s="60"/>
      <c r="K88" s="60"/>
      <c r="L88" s="60"/>
      <c r="M88" s="60"/>
      <c r="N88" s="60">
        <f t="shared" si="27"/>
        <v>0</v>
      </c>
      <c r="O88" s="60">
        <f t="shared" si="28"/>
        <v>0</v>
      </c>
    </row>
    <row r="89" spans="1:15" s="38" customFormat="1" ht="30" hidden="1" outlineLevel="1" x14ac:dyDescent="0.25">
      <c r="A89" s="44" t="s">
        <v>355</v>
      </c>
      <c r="B89" s="52" t="s">
        <v>397</v>
      </c>
      <c r="C89" s="45">
        <f>SUM(C90:C145)</f>
        <v>0</v>
      </c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60"/>
    </row>
    <row r="90" spans="1:15" s="38" customFormat="1" ht="14.45" hidden="1" customHeight="1" outlineLevel="1" x14ac:dyDescent="0.25">
      <c r="A90" s="140" t="s">
        <v>398</v>
      </c>
      <c r="B90" s="141" t="s">
        <v>399</v>
      </c>
      <c r="C90" s="130">
        <f>SUM(N90:N96)</f>
        <v>0</v>
      </c>
      <c r="D90" s="130">
        <f>SUM(O90:O96)</f>
        <v>0</v>
      </c>
      <c r="E90" s="130">
        <f t="shared" ref="E90:E153" si="29">D90/8</f>
        <v>0</v>
      </c>
      <c r="F90" s="130"/>
      <c r="G90" s="60" t="s">
        <v>125</v>
      </c>
      <c r="H90" s="123"/>
      <c r="I90" s="123"/>
      <c r="J90" s="60"/>
      <c r="K90" s="60"/>
      <c r="L90" s="60"/>
      <c r="M90" s="60"/>
      <c r="N90" s="60">
        <f>M90*J90*K90*L90</f>
        <v>0</v>
      </c>
      <c r="O90" s="60">
        <f>J90*K90*L90</f>
        <v>0</v>
      </c>
    </row>
    <row r="91" spans="1:15" s="38" customFormat="1" ht="11.45" hidden="1" customHeight="1" outlineLevel="1" x14ac:dyDescent="0.25">
      <c r="A91" s="124"/>
      <c r="B91" s="142"/>
      <c r="C91" s="115"/>
      <c r="D91" s="115"/>
      <c r="E91" s="115"/>
      <c r="F91" s="115"/>
      <c r="G91" s="60" t="s">
        <v>126</v>
      </c>
      <c r="H91" s="124"/>
      <c r="I91" s="124"/>
      <c r="J91" s="60"/>
      <c r="K91" s="60"/>
      <c r="L91" s="60"/>
      <c r="M91" s="60"/>
      <c r="N91" s="60">
        <f t="shared" ref="N91:N96" si="30">M91*J91*K91*L91</f>
        <v>0</v>
      </c>
      <c r="O91" s="60">
        <f t="shared" ref="O91:O96" si="31">J91*K91*L91</f>
        <v>0</v>
      </c>
    </row>
    <row r="92" spans="1:15" s="38" customFormat="1" ht="10.7" hidden="1" customHeight="1" outlineLevel="1" x14ac:dyDescent="0.25">
      <c r="A92" s="124"/>
      <c r="B92" s="142"/>
      <c r="C92" s="115"/>
      <c r="D92" s="115"/>
      <c r="E92" s="115"/>
      <c r="F92" s="115"/>
      <c r="G92" s="60" t="s">
        <v>127</v>
      </c>
      <c r="H92" s="124"/>
      <c r="I92" s="124"/>
      <c r="J92" s="60"/>
      <c r="K92" s="60"/>
      <c r="L92" s="60"/>
      <c r="M92" s="60"/>
      <c r="N92" s="60">
        <f t="shared" si="30"/>
        <v>0</v>
      </c>
      <c r="O92" s="60">
        <f t="shared" si="31"/>
        <v>0</v>
      </c>
    </row>
    <row r="93" spans="1:15" s="38" customFormat="1" ht="10.7" hidden="1" customHeight="1" outlineLevel="1" x14ac:dyDescent="0.25">
      <c r="A93" s="124"/>
      <c r="B93" s="142"/>
      <c r="C93" s="115"/>
      <c r="D93" s="115"/>
      <c r="E93" s="115"/>
      <c r="F93" s="115"/>
      <c r="G93" s="60" t="s">
        <v>128</v>
      </c>
      <c r="H93" s="124"/>
      <c r="I93" s="124"/>
      <c r="J93" s="60"/>
      <c r="K93" s="60"/>
      <c r="L93" s="60"/>
      <c r="M93" s="60"/>
      <c r="N93" s="60">
        <f t="shared" si="30"/>
        <v>0</v>
      </c>
      <c r="O93" s="60">
        <f t="shared" si="31"/>
        <v>0</v>
      </c>
    </row>
    <row r="94" spans="1:15" s="38" customFormat="1" ht="10.7" hidden="1" customHeight="1" outlineLevel="1" x14ac:dyDescent="0.25">
      <c r="A94" s="124"/>
      <c r="B94" s="142"/>
      <c r="C94" s="115"/>
      <c r="D94" s="115"/>
      <c r="E94" s="115"/>
      <c r="F94" s="115"/>
      <c r="G94" s="60" t="s">
        <v>129</v>
      </c>
      <c r="H94" s="124"/>
      <c r="I94" s="124"/>
      <c r="J94" s="60"/>
      <c r="K94" s="60"/>
      <c r="L94" s="60"/>
      <c r="M94" s="60"/>
      <c r="N94" s="60">
        <f t="shared" si="30"/>
        <v>0</v>
      </c>
      <c r="O94" s="60">
        <f t="shared" si="31"/>
        <v>0</v>
      </c>
    </row>
    <row r="95" spans="1:15" s="38" customFormat="1" ht="10.7" hidden="1" customHeight="1" outlineLevel="1" x14ac:dyDescent="0.25">
      <c r="A95" s="124"/>
      <c r="B95" s="142"/>
      <c r="C95" s="115"/>
      <c r="D95" s="115"/>
      <c r="E95" s="115"/>
      <c r="F95" s="115"/>
      <c r="G95" s="60" t="s">
        <v>130</v>
      </c>
      <c r="H95" s="124"/>
      <c r="I95" s="124"/>
      <c r="J95" s="60"/>
      <c r="K95" s="60"/>
      <c r="L95" s="60"/>
      <c r="M95" s="60"/>
      <c r="N95" s="60">
        <f t="shared" si="30"/>
        <v>0</v>
      </c>
      <c r="O95" s="60">
        <f t="shared" si="31"/>
        <v>0</v>
      </c>
    </row>
    <row r="96" spans="1:15" s="38" customFormat="1" ht="12" hidden="1" customHeight="1" outlineLevel="1" thickBot="1" x14ac:dyDescent="0.3">
      <c r="A96" s="125"/>
      <c r="B96" s="143"/>
      <c r="C96" s="131"/>
      <c r="D96" s="131"/>
      <c r="E96" s="131"/>
      <c r="F96" s="131"/>
      <c r="G96" s="60" t="s">
        <v>131</v>
      </c>
      <c r="H96" s="134"/>
      <c r="I96" s="134"/>
      <c r="J96" s="60"/>
      <c r="K96" s="60"/>
      <c r="L96" s="60"/>
      <c r="M96" s="60"/>
      <c r="N96" s="60">
        <f t="shared" si="30"/>
        <v>0</v>
      </c>
      <c r="O96" s="60">
        <f t="shared" si="31"/>
        <v>0</v>
      </c>
    </row>
    <row r="97" spans="1:15" s="38" customFormat="1" ht="14.45" hidden="1" customHeight="1" outlineLevel="1" x14ac:dyDescent="0.25">
      <c r="A97" s="140" t="s">
        <v>400</v>
      </c>
      <c r="B97" s="141" t="s">
        <v>401</v>
      </c>
      <c r="C97" s="130">
        <f>SUM(N97:N103)</f>
        <v>0</v>
      </c>
      <c r="D97" s="130">
        <f>SUM(O97:O103)</f>
        <v>0</v>
      </c>
      <c r="E97" s="130">
        <f t="shared" si="29"/>
        <v>0</v>
      </c>
      <c r="F97" s="130"/>
      <c r="G97" s="60" t="s">
        <v>125</v>
      </c>
      <c r="H97" s="123"/>
      <c r="I97" s="123"/>
      <c r="J97" s="60"/>
      <c r="K97" s="60"/>
      <c r="L97" s="60"/>
      <c r="M97" s="60"/>
      <c r="N97" s="60">
        <f>M97*J97*K97*L97</f>
        <v>0</v>
      </c>
      <c r="O97" s="60">
        <f>J97*K97*L97</f>
        <v>0</v>
      </c>
    </row>
    <row r="98" spans="1:15" s="38" customFormat="1" ht="11.45" hidden="1" customHeight="1" outlineLevel="1" x14ac:dyDescent="0.25">
      <c r="A98" s="124"/>
      <c r="B98" s="142"/>
      <c r="C98" s="115"/>
      <c r="D98" s="115"/>
      <c r="E98" s="115"/>
      <c r="F98" s="115"/>
      <c r="G98" s="60" t="s">
        <v>126</v>
      </c>
      <c r="H98" s="124"/>
      <c r="I98" s="124"/>
      <c r="J98" s="60"/>
      <c r="K98" s="60"/>
      <c r="L98" s="60"/>
      <c r="M98" s="60"/>
      <c r="N98" s="60">
        <f t="shared" ref="N98:N103" si="32">M98*J98*K98*L98</f>
        <v>0</v>
      </c>
      <c r="O98" s="60">
        <f t="shared" ref="O98:O103" si="33">J98*K98*L98</f>
        <v>0</v>
      </c>
    </row>
    <row r="99" spans="1:15" s="38" customFormat="1" ht="10.7" hidden="1" customHeight="1" outlineLevel="1" x14ac:dyDescent="0.25">
      <c r="A99" s="124"/>
      <c r="B99" s="142"/>
      <c r="C99" s="115"/>
      <c r="D99" s="115"/>
      <c r="E99" s="115"/>
      <c r="F99" s="115"/>
      <c r="G99" s="60" t="s">
        <v>127</v>
      </c>
      <c r="H99" s="124"/>
      <c r="I99" s="124"/>
      <c r="J99" s="60"/>
      <c r="K99" s="60"/>
      <c r="L99" s="60"/>
      <c r="M99" s="60"/>
      <c r="N99" s="60">
        <f t="shared" si="32"/>
        <v>0</v>
      </c>
      <c r="O99" s="60">
        <f t="shared" si="33"/>
        <v>0</v>
      </c>
    </row>
    <row r="100" spans="1:15" s="38" customFormat="1" ht="10.7" hidden="1" customHeight="1" outlineLevel="1" x14ac:dyDescent="0.25">
      <c r="A100" s="124"/>
      <c r="B100" s="142"/>
      <c r="C100" s="115"/>
      <c r="D100" s="115"/>
      <c r="E100" s="115"/>
      <c r="F100" s="115"/>
      <c r="G100" s="60" t="s">
        <v>128</v>
      </c>
      <c r="H100" s="124"/>
      <c r="I100" s="124"/>
      <c r="J100" s="60"/>
      <c r="K100" s="60"/>
      <c r="L100" s="60"/>
      <c r="M100" s="60"/>
      <c r="N100" s="60">
        <f t="shared" si="32"/>
        <v>0</v>
      </c>
      <c r="O100" s="60">
        <f t="shared" si="33"/>
        <v>0</v>
      </c>
    </row>
    <row r="101" spans="1:15" s="38" customFormat="1" ht="10.7" hidden="1" customHeight="1" outlineLevel="1" x14ac:dyDescent="0.25">
      <c r="A101" s="124"/>
      <c r="B101" s="142"/>
      <c r="C101" s="115"/>
      <c r="D101" s="115"/>
      <c r="E101" s="115"/>
      <c r="F101" s="115"/>
      <c r="G101" s="60" t="s">
        <v>129</v>
      </c>
      <c r="H101" s="124"/>
      <c r="I101" s="124"/>
      <c r="J101" s="60"/>
      <c r="K101" s="60"/>
      <c r="L101" s="60"/>
      <c r="M101" s="60"/>
      <c r="N101" s="60">
        <f t="shared" si="32"/>
        <v>0</v>
      </c>
      <c r="O101" s="60">
        <f t="shared" si="33"/>
        <v>0</v>
      </c>
    </row>
    <row r="102" spans="1:15" s="38" customFormat="1" ht="10.7" hidden="1" customHeight="1" outlineLevel="1" x14ac:dyDescent="0.25">
      <c r="A102" s="124"/>
      <c r="B102" s="142"/>
      <c r="C102" s="115"/>
      <c r="D102" s="115"/>
      <c r="E102" s="115"/>
      <c r="F102" s="115"/>
      <c r="G102" s="60" t="s">
        <v>130</v>
      </c>
      <c r="H102" s="124"/>
      <c r="I102" s="124"/>
      <c r="J102" s="60"/>
      <c r="K102" s="60"/>
      <c r="L102" s="60"/>
      <c r="M102" s="60"/>
      <c r="N102" s="60">
        <f t="shared" si="32"/>
        <v>0</v>
      </c>
      <c r="O102" s="60">
        <f t="shared" si="33"/>
        <v>0</v>
      </c>
    </row>
    <row r="103" spans="1:15" s="38" customFormat="1" ht="12" hidden="1" customHeight="1" outlineLevel="1" thickBot="1" x14ac:dyDescent="0.3">
      <c r="A103" s="125"/>
      <c r="B103" s="143"/>
      <c r="C103" s="131"/>
      <c r="D103" s="131"/>
      <c r="E103" s="131"/>
      <c r="F103" s="131"/>
      <c r="G103" s="60" t="s">
        <v>131</v>
      </c>
      <c r="H103" s="134"/>
      <c r="I103" s="134"/>
      <c r="J103" s="60"/>
      <c r="K103" s="60"/>
      <c r="L103" s="60"/>
      <c r="M103" s="60"/>
      <c r="N103" s="60">
        <f t="shared" si="32"/>
        <v>0</v>
      </c>
      <c r="O103" s="60">
        <f t="shared" si="33"/>
        <v>0</v>
      </c>
    </row>
    <row r="104" spans="1:15" s="38" customFormat="1" ht="14.45" hidden="1" customHeight="1" outlineLevel="1" x14ac:dyDescent="0.25">
      <c r="A104" s="140" t="s">
        <v>402</v>
      </c>
      <c r="B104" s="141" t="s">
        <v>403</v>
      </c>
      <c r="C104" s="130">
        <f>SUM(N104:N110)</f>
        <v>0</v>
      </c>
      <c r="D104" s="130">
        <f>SUM(O104:O110)</f>
        <v>0</v>
      </c>
      <c r="E104" s="130">
        <f t="shared" si="29"/>
        <v>0</v>
      </c>
      <c r="F104" s="130"/>
      <c r="G104" s="60" t="s">
        <v>125</v>
      </c>
      <c r="H104" s="123"/>
      <c r="I104" s="123"/>
      <c r="J104" s="60"/>
      <c r="K104" s="60"/>
      <c r="L104" s="60"/>
      <c r="M104" s="60"/>
      <c r="N104" s="60">
        <f>M104*J104*K104*L104</f>
        <v>0</v>
      </c>
      <c r="O104" s="60">
        <f>J104*K104*L104</f>
        <v>0</v>
      </c>
    </row>
    <row r="105" spans="1:15" s="38" customFormat="1" ht="11.45" hidden="1" customHeight="1" outlineLevel="1" x14ac:dyDescent="0.25">
      <c r="A105" s="124"/>
      <c r="B105" s="142"/>
      <c r="C105" s="115"/>
      <c r="D105" s="115"/>
      <c r="E105" s="115"/>
      <c r="F105" s="115"/>
      <c r="G105" s="60" t="s">
        <v>126</v>
      </c>
      <c r="H105" s="124"/>
      <c r="I105" s="124"/>
      <c r="J105" s="60"/>
      <c r="K105" s="60"/>
      <c r="L105" s="60"/>
      <c r="M105" s="60"/>
      <c r="N105" s="60">
        <f t="shared" ref="N105:N110" si="34">M105*J105*K105*L105</f>
        <v>0</v>
      </c>
      <c r="O105" s="60">
        <f t="shared" ref="O105:O110" si="35">J105*K105*L105</f>
        <v>0</v>
      </c>
    </row>
    <row r="106" spans="1:15" s="38" customFormat="1" ht="10.7" hidden="1" customHeight="1" outlineLevel="1" x14ac:dyDescent="0.25">
      <c r="A106" s="124"/>
      <c r="B106" s="142"/>
      <c r="C106" s="115"/>
      <c r="D106" s="115"/>
      <c r="E106" s="115"/>
      <c r="F106" s="115"/>
      <c r="G106" s="60" t="s">
        <v>127</v>
      </c>
      <c r="H106" s="124"/>
      <c r="I106" s="124"/>
      <c r="J106" s="60"/>
      <c r="K106" s="60"/>
      <c r="L106" s="60"/>
      <c r="M106" s="60"/>
      <c r="N106" s="60">
        <f t="shared" si="34"/>
        <v>0</v>
      </c>
      <c r="O106" s="60">
        <f t="shared" si="35"/>
        <v>0</v>
      </c>
    </row>
    <row r="107" spans="1:15" s="38" customFormat="1" ht="10.7" hidden="1" customHeight="1" outlineLevel="1" x14ac:dyDescent="0.25">
      <c r="A107" s="124"/>
      <c r="B107" s="142"/>
      <c r="C107" s="115"/>
      <c r="D107" s="115"/>
      <c r="E107" s="115"/>
      <c r="F107" s="115"/>
      <c r="G107" s="60" t="s">
        <v>128</v>
      </c>
      <c r="H107" s="124"/>
      <c r="I107" s="124"/>
      <c r="J107" s="60"/>
      <c r="K107" s="60"/>
      <c r="L107" s="60"/>
      <c r="M107" s="60"/>
      <c r="N107" s="60">
        <f t="shared" si="34"/>
        <v>0</v>
      </c>
      <c r="O107" s="60">
        <f t="shared" si="35"/>
        <v>0</v>
      </c>
    </row>
    <row r="108" spans="1:15" s="38" customFormat="1" ht="10.7" hidden="1" customHeight="1" outlineLevel="1" x14ac:dyDescent="0.25">
      <c r="A108" s="124"/>
      <c r="B108" s="142"/>
      <c r="C108" s="115"/>
      <c r="D108" s="115"/>
      <c r="E108" s="115"/>
      <c r="F108" s="115"/>
      <c r="G108" s="60" t="s">
        <v>129</v>
      </c>
      <c r="H108" s="124"/>
      <c r="I108" s="124"/>
      <c r="J108" s="60"/>
      <c r="K108" s="60"/>
      <c r="L108" s="60"/>
      <c r="M108" s="60"/>
      <c r="N108" s="60">
        <f t="shared" si="34"/>
        <v>0</v>
      </c>
      <c r="O108" s="60">
        <f t="shared" si="35"/>
        <v>0</v>
      </c>
    </row>
    <row r="109" spans="1:15" s="38" customFormat="1" ht="10.7" hidden="1" customHeight="1" outlineLevel="1" x14ac:dyDescent="0.25">
      <c r="A109" s="124"/>
      <c r="B109" s="142"/>
      <c r="C109" s="115"/>
      <c r="D109" s="115"/>
      <c r="E109" s="115"/>
      <c r="F109" s="115"/>
      <c r="G109" s="60" t="s">
        <v>130</v>
      </c>
      <c r="H109" s="124"/>
      <c r="I109" s="124"/>
      <c r="J109" s="60"/>
      <c r="K109" s="60"/>
      <c r="L109" s="60"/>
      <c r="M109" s="60"/>
      <c r="N109" s="60">
        <f t="shared" si="34"/>
        <v>0</v>
      </c>
      <c r="O109" s="60">
        <f t="shared" si="35"/>
        <v>0</v>
      </c>
    </row>
    <row r="110" spans="1:15" s="38" customFormat="1" ht="12" hidden="1" customHeight="1" outlineLevel="1" thickBot="1" x14ac:dyDescent="0.3">
      <c r="A110" s="125"/>
      <c r="B110" s="143"/>
      <c r="C110" s="131"/>
      <c r="D110" s="131"/>
      <c r="E110" s="131"/>
      <c r="F110" s="131"/>
      <c r="G110" s="60" t="s">
        <v>131</v>
      </c>
      <c r="H110" s="134"/>
      <c r="I110" s="134"/>
      <c r="J110" s="60"/>
      <c r="K110" s="60"/>
      <c r="L110" s="60"/>
      <c r="M110" s="60"/>
      <c r="N110" s="60">
        <f t="shared" si="34"/>
        <v>0</v>
      </c>
      <c r="O110" s="60">
        <f t="shared" si="35"/>
        <v>0</v>
      </c>
    </row>
    <row r="111" spans="1:15" s="38" customFormat="1" ht="14.45" hidden="1" customHeight="1" outlineLevel="1" x14ac:dyDescent="0.25">
      <c r="A111" s="140" t="s">
        <v>404</v>
      </c>
      <c r="B111" s="141" t="s">
        <v>405</v>
      </c>
      <c r="C111" s="130">
        <f>SUM(N111:N117)</f>
        <v>0</v>
      </c>
      <c r="D111" s="130">
        <f>SUM(O111:O117)</f>
        <v>0</v>
      </c>
      <c r="E111" s="130">
        <f t="shared" si="29"/>
        <v>0</v>
      </c>
      <c r="F111" s="130"/>
      <c r="G111" s="60" t="s">
        <v>125</v>
      </c>
      <c r="H111" s="123"/>
      <c r="I111" s="123"/>
      <c r="J111" s="60"/>
      <c r="K111" s="60"/>
      <c r="L111" s="60"/>
      <c r="M111" s="60"/>
      <c r="N111" s="60">
        <f>M111*J111*K111*L111</f>
        <v>0</v>
      </c>
      <c r="O111" s="60">
        <f>J111*K111*L111</f>
        <v>0</v>
      </c>
    </row>
    <row r="112" spans="1:15" s="38" customFormat="1" ht="11.45" hidden="1" customHeight="1" outlineLevel="1" x14ac:dyDescent="0.25">
      <c r="A112" s="124"/>
      <c r="B112" s="142"/>
      <c r="C112" s="115"/>
      <c r="D112" s="115"/>
      <c r="E112" s="115"/>
      <c r="F112" s="115"/>
      <c r="G112" s="60" t="s">
        <v>126</v>
      </c>
      <c r="H112" s="124"/>
      <c r="I112" s="124"/>
      <c r="J112" s="60"/>
      <c r="K112" s="60"/>
      <c r="L112" s="60"/>
      <c r="M112" s="60"/>
      <c r="N112" s="60">
        <f t="shared" ref="N112:N117" si="36">M112*J112*K112*L112</f>
        <v>0</v>
      </c>
      <c r="O112" s="60">
        <f t="shared" ref="O112:O117" si="37">J112*K112*L112</f>
        <v>0</v>
      </c>
    </row>
    <row r="113" spans="1:15" s="38" customFormat="1" ht="10.7" hidden="1" customHeight="1" outlineLevel="1" x14ac:dyDescent="0.25">
      <c r="A113" s="124"/>
      <c r="B113" s="142"/>
      <c r="C113" s="115"/>
      <c r="D113" s="115"/>
      <c r="E113" s="115"/>
      <c r="F113" s="115"/>
      <c r="G113" s="60" t="s">
        <v>127</v>
      </c>
      <c r="H113" s="124"/>
      <c r="I113" s="124"/>
      <c r="J113" s="60"/>
      <c r="K113" s="60"/>
      <c r="L113" s="60"/>
      <c r="M113" s="60"/>
      <c r="N113" s="60">
        <f t="shared" si="36"/>
        <v>0</v>
      </c>
      <c r="O113" s="60">
        <f t="shared" si="37"/>
        <v>0</v>
      </c>
    </row>
    <row r="114" spans="1:15" s="38" customFormat="1" ht="10.7" hidden="1" customHeight="1" outlineLevel="1" x14ac:dyDescent="0.25">
      <c r="A114" s="124"/>
      <c r="B114" s="142"/>
      <c r="C114" s="115"/>
      <c r="D114" s="115"/>
      <c r="E114" s="115"/>
      <c r="F114" s="115"/>
      <c r="G114" s="60" t="s">
        <v>128</v>
      </c>
      <c r="H114" s="124"/>
      <c r="I114" s="124"/>
      <c r="J114" s="60"/>
      <c r="K114" s="60"/>
      <c r="L114" s="60"/>
      <c r="M114" s="60"/>
      <c r="N114" s="60">
        <f t="shared" si="36"/>
        <v>0</v>
      </c>
      <c r="O114" s="60">
        <f t="shared" si="37"/>
        <v>0</v>
      </c>
    </row>
    <row r="115" spans="1:15" s="38" customFormat="1" ht="10.7" hidden="1" customHeight="1" outlineLevel="1" x14ac:dyDescent="0.25">
      <c r="A115" s="124"/>
      <c r="B115" s="142"/>
      <c r="C115" s="115"/>
      <c r="D115" s="115"/>
      <c r="E115" s="115"/>
      <c r="F115" s="115"/>
      <c r="G115" s="60" t="s">
        <v>129</v>
      </c>
      <c r="H115" s="124"/>
      <c r="I115" s="124"/>
      <c r="J115" s="60"/>
      <c r="K115" s="60"/>
      <c r="L115" s="60"/>
      <c r="M115" s="60"/>
      <c r="N115" s="60">
        <f t="shared" si="36"/>
        <v>0</v>
      </c>
      <c r="O115" s="60">
        <f t="shared" si="37"/>
        <v>0</v>
      </c>
    </row>
    <row r="116" spans="1:15" s="38" customFormat="1" ht="10.7" hidden="1" customHeight="1" outlineLevel="1" x14ac:dyDescent="0.25">
      <c r="A116" s="124"/>
      <c r="B116" s="142"/>
      <c r="C116" s="115"/>
      <c r="D116" s="115"/>
      <c r="E116" s="115"/>
      <c r="F116" s="115"/>
      <c r="G116" s="60" t="s">
        <v>130</v>
      </c>
      <c r="H116" s="124"/>
      <c r="I116" s="124"/>
      <c r="J116" s="60"/>
      <c r="K116" s="60"/>
      <c r="L116" s="60"/>
      <c r="M116" s="60"/>
      <c r="N116" s="60">
        <f t="shared" si="36"/>
        <v>0</v>
      </c>
      <c r="O116" s="60">
        <f t="shared" si="37"/>
        <v>0</v>
      </c>
    </row>
    <row r="117" spans="1:15" s="38" customFormat="1" ht="12" hidden="1" customHeight="1" outlineLevel="1" thickBot="1" x14ac:dyDescent="0.3">
      <c r="A117" s="125"/>
      <c r="B117" s="143"/>
      <c r="C117" s="131"/>
      <c r="D117" s="131"/>
      <c r="E117" s="131"/>
      <c r="F117" s="131"/>
      <c r="G117" s="60" t="s">
        <v>131</v>
      </c>
      <c r="H117" s="134"/>
      <c r="I117" s="134"/>
      <c r="J117" s="60"/>
      <c r="K117" s="60"/>
      <c r="L117" s="60"/>
      <c r="M117" s="60"/>
      <c r="N117" s="60">
        <f t="shared" si="36"/>
        <v>0</v>
      </c>
      <c r="O117" s="60">
        <f t="shared" si="37"/>
        <v>0</v>
      </c>
    </row>
    <row r="118" spans="1:15" s="38" customFormat="1" ht="14.45" hidden="1" customHeight="1" outlineLevel="1" x14ac:dyDescent="0.25">
      <c r="A118" s="140" t="s">
        <v>406</v>
      </c>
      <c r="B118" s="141" t="s">
        <v>407</v>
      </c>
      <c r="C118" s="130">
        <f>SUM(N118:N124)</f>
        <v>0</v>
      </c>
      <c r="D118" s="130">
        <f>SUM(O118:O124)</f>
        <v>0</v>
      </c>
      <c r="E118" s="130">
        <f t="shared" si="29"/>
        <v>0</v>
      </c>
      <c r="F118" s="130"/>
      <c r="G118" s="60" t="s">
        <v>125</v>
      </c>
      <c r="H118" s="123"/>
      <c r="I118" s="123"/>
      <c r="J118" s="60"/>
      <c r="K118" s="60"/>
      <c r="L118" s="60"/>
      <c r="M118" s="60"/>
      <c r="N118" s="60">
        <f>M118*J118*K118*L118</f>
        <v>0</v>
      </c>
      <c r="O118" s="60">
        <f>J118*K118*L118</f>
        <v>0</v>
      </c>
    </row>
    <row r="119" spans="1:15" s="38" customFormat="1" ht="11.45" hidden="1" customHeight="1" outlineLevel="1" x14ac:dyDescent="0.25">
      <c r="A119" s="124"/>
      <c r="B119" s="142"/>
      <c r="C119" s="115"/>
      <c r="D119" s="115"/>
      <c r="E119" s="115"/>
      <c r="F119" s="115"/>
      <c r="G119" s="60" t="s">
        <v>126</v>
      </c>
      <c r="H119" s="124"/>
      <c r="I119" s="124"/>
      <c r="J119" s="60"/>
      <c r="K119" s="60"/>
      <c r="L119" s="60"/>
      <c r="M119" s="60"/>
      <c r="N119" s="60">
        <f t="shared" ref="N119:N124" si="38">M119*J119*K119*L119</f>
        <v>0</v>
      </c>
      <c r="O119" s="60">
        <f t="shared" ref="O119:O124" si="39">J119*K119*L119</f>
        <v>0</v>
      </c>
    </row>
    <row r="120" spans="1:15" s="38" customFormat="1" ht="10.7" hidden="1" customHeight="1" outlineLevel="1" x14ac:dyDescent="0.25">
      <c r="A120" s="124"/>
      <c r="B120" s="142"/>
      <c r="C120" s="115"/>
      <c r="D120" s="115"/>
      <c r="E120" s="115"/>
      <c r="F120" s="115"/>
      <c r="G120" s="60" t="s">
        <v>127</v>
      </c>
      <c r="H120" s="124"/>
      <c r="I120" s="124"/>
      <c r="J120" s="60"/>
      <c r="K120" s="60"/>
      <c r="L120" s="60"/>
      <c r="M120" s="60"/>
      <c r="N120" s="60">
        <f t="shared" si="38"/>
        <v>0</v>
      </c>
      <c r="O120" s="60">
        <f t="shared" si="39"/>
        <v>0</v>
      </c>
    </row>
    <row r="121" spans="1:15" s="38" customFormat="1" ht="10.7" hidden="1" customHeight="1" outlineLevel="1" x14ac:dyDescent="0.25">
      <c r="A121" s="124"/>
      <c r="B121" s="142"/>
      <c r="C121" s="115"/>
      <c r="D121" s="115"/>
      <c r="E121" s="115"/>
      <c r="F121" s="115"/>
      <c r="G121" s="60" t="s">
        <v>128</v>
      </c>
      <c r="H121" s="124"/>
      <c r="I121" s="124"/>
      <c r="J121" s="60"/>
      <c r="K121" s="60"/>
      <c r="L121" s="60"/>
      <c r="M121" s="60"/>
      <c r="N121" s="60">
        <f t="shared" si="38"/>
        <v>0</v>
      </c>
      <c r="O121" s="60">
        <f t="shared" si="39"/>
        <v>0</v>
      </c>
    </row>
    <row r="122" spans="1:15" s="38" customFormat="1" ht="10.7" hidden="1" customHeight="1" outlineLevel="1" x14ac:dyDescent="0.25">
      <c r="A122" s="124"/>
      <c r="B122" s="142"/>
      <c r="C122" s="115"/>
      <c r="D122" s="115"/>
      <c r="E122" s="115"/>
      <c r="F122" s="115"/>
      <c r="G122" s="60" t="s">
        <v>129</v>
      </c>
      <c r="H122" s="124"/>
      <c r="I122" s="124"/>
      <c r="J122" s="60"/>
      <c r="K122" s="60"/>
      <c r="L122" s="60"/>
      <c r="M122" s="60"/>
      <c r="N122" s="60">
        <f t="shared" si="38"/>
        <v>0</v>
      </c>
      <c r="O122" s="60">
        <f t="shared" si="39"/>
        <v>0</v>
      </c>
    </row>
    <row r="123" spans="1:15" s="38" customFormat="1" ht="10.7" hidden="1" customHeight="1" outlineLevel="1" x14ac:dyDescent="0.25">
      <c r="A123" s="124"/>
      <c r="B123" s="142"/>
      <c r="C123" s="115"/>
      <c r="D123" s="115"/>
      <c r="E123" s="115"/>
      <c r="F123" s="115"/>
      <c r="G123" s="60" t="s">
        <v>130</v>
      </c>
      <c r="H123" s="124"/>
      <c r="I123" s="124"/>
      <c r="J123" s="60"/>
      <c r="K123" s="60"/>
      <c r="L123" s="60"/>
      <c r="M123" s="60"/>
      <c r="N123" s="60">
        <f t="shared" si="38"/>
        <v>0</v>
      </c>
      <c r="O123" s="60">
        <f t="shared" si="39"/>
        <v>0</v>
      </c>
    </row>
    <row r="124" spans="1:15" s="38" customFormat="1" ht="12" hidden="1" customHeight="1" outlineLevel="1" thickBot="1" x14ac:dyDescent="0.3">
      <c r="A124" s="125"/>
      <c r="B124" s="143"/>
      <c r="C124" s="131"/>
      <c r="D124" s="131"/>
      <c r="E124" s="131"/>
      <c r="F124" s="131"/>
      <c r="G124" s="60" t="s">
        <v>131</v>
      </c>
      <c r="H124" s="134"/>
      <c r="I124" s="134"/>
      <c r="J124" s="60"/>
      <c r="K124" s="60"/>
      <c r="L124" s="60"/>
      <c r="M124" s="60"/>
      <c r="N124" s="60">
        <f t="shared" si="38"/>
        <v>0</v>
      </c>
      <c r="O124" s="60">
        <f t="shared" si="39"/>
        <v>0</v>
      </c>
    </row>
    <row r="125" spans="1:15" s="38" customFormat="1" ht="14.45" hidden="1" customHeight="1" outlineLevel="1" x14ac:dyDescent="0.25">
      <c r="A125" s="140" t="s">
        <v>408</v>
      </c>
      <c r="B125" s="141" t="s">
        <v>409</v>
      </c>
      <c r="C125" s="130">
        <f>SUM(N125:N131)</f>
        <v>0</v>
      </c>
      <c r="D125" s="130">
        <f>SUM(O125:O131)</f>
        <v>0</v>
      </c>
      <c r="E125" s="130">
        <f t="shared" si="29"/>
        <v>0</v>
      </c>
      <c r="F125" s="130"/>
      <c r="G125" s="60" t="s">
        <v>125</v>
      </c>
      <c r="H125" s="123"/>
      <c r="I125" s="123"/>
      <c r="J125" s="60"/>
      <c r="K125" s="60"/>
      <c r="L125" s="60"/>
      <c r="M125" s="60"/>
      <c r="N125" s="60">
        <f>M125*J125*K125*L125</f>
        <v>0</v>
      </c>
      <c r="O125" s="60">
        <f>J125*K125*L125</f>
        <v>0</v>
      </c>
    </row>
    <row r="126" spans="1:15" s="38" customFormat="1" ht="11.45" hidden="1" customHeight="1" outlineLevel="1" x14ac:dyDescent="0.25">
      <c r="A126" s="124"/>
      <c r="B126" s="142"/>
      <c r="C126" s="115"/>
      <c r="D126" s="115"/>
      <c r="E126" s="115"/>
      <c r="F126" s="115"/>
      <c r="G126" s="60" t="s">
        <v>126</v>
      </c>
      <c r="H126" s="124"/>
      <c r="I126" s="124"/>
      <c r="J126" s="60"/>
      <c r="K126" s="60"/>
      <c r="L126" s="60"/>
      <c r="M126" s="60"/>
      <c r="N126" s="60">
        <f t="shared" ref="N126:N131" si="40">M126*J126*K126*L126</f>
        <v>0</v>
      </c>
      <c r="O126" s="60">
        <f t="shared" ref="O126:O131" si="41">J126*K126*L126</f>
        <v>0</v>
      </c>
    </row>
    <row r="127" spans="1:15" s="38" customFormat="1" ht="10.7" hidden="1" customHeight="1" outlineLevel="1" x14ac:dyDescent="0.25">
      <c r="A127" s="124"/>
      <c r="B127" s="142"/>
      <c r="C127" s="115"/>
      <c r="D127" s="115"/>
      <c r="E127" s="115"/>
      <c r="F127" s="115"/>
      <c r="G127" s="60" t="s">
        <v>127</v>
      </c>
      <c r="H127" s="124"/>
      <c r="I127" s="124"/>
      <c r="J127" s="60"/>
      <c r="K127" s="60"/>
      <c r="L127" s="60"/>
      <c r="M127" s="60"/>
      <c r="N127" s="60">
        <f t="shared" si="40"/>
        <v>0</v>
      </c>
      <c r="O127" s="60">
        <f t="shared" si="41"/>
        <v>0</v>
      </c>
    </row>
    <row r="128" spans="1:15" s="38" customFormat="1" ht="10.7" hidden="1" customHeight="1" outlineLevel="1" x14ac:dyDescent="0.25">
      <c r="A128" s="124"/>
      <c r="B128" s="142"/>
      <c r="C128" s="115"/>
      <c r="D128" s="115"/>
      <c r="E128" s="115"/>
      <c r="F128" s="115"/>
      <c r="G128" s="60" t="s">
        <v>128</v>
      </c>
      <c r="H128" s="124"/>
      <c r="I128" s="124"/>
      <c r="J128" s="60"/>
      <c r="K128" s="60"/>
      <c r="L128" s="60"/>
      <c r="M128" s="60"/>
      <c r="N128" s="60">
        <f t="shared" si="40"/>
        <v>0</v>
      </c>
      <c r="O128" s="60">
        <f t="shared" si="41"/>
        <v>0</v>
      </c>
    </row>
    <row r="129" spans="1:15" s="38" customFormat="1" ht="10.7" hidden="1" customHeight="1" outlineLevel="1" x14ac:dyDescent="0.25">
      <c r="A129" s="124"/>
      <c r="B129" s="142"/>
      <c r="C129" s="115"/>
      <c r="D129" s="115"/>
      <c r="E129" s="115"/>
      <c r="F129" s="115"/>
      <c r="G129" s="60" t="s">
        <v>129</v>
      </c>
      <c r="H129" s="124"/>
      <c r="I129" s="124"/>
      <c r="J129" s="60"/>
      <c r="K129" s="60"/>
      <c r="L129" s="60"/>
      <c r="M129" s="60"/>
      <c r="N129" s="60">
        <f t="shared" si="40"/>
        <v>0</v>
      </c>
      <c r="O129" s="60">
        <f t="shared" si="41"/>
        <v>0</v>
      </c>
    </row>
    <row r="130" spans="1:15" s="38" customFormat="1" ht="10.7" hidden="1" customHeight="1" outlineLevel="1" x14ac:dyDescent="0.25">
      <c r="A130" s="124"/>
      <c r="B130" s="142"/>
      <c r="C130" s="115"/>
      <c r="D130" s="115"/>
      <c r="E130" s="115"/>
      <c r="F130" s="115"/>
      <c r="G130" s="60" t="s">
        <v>130</v>
      </c>
      <c r="H130" s="124"/>
      <c r="I130" s="124"/>
      <c r="J130" s="60"/>
      <c r="K130" s="60"/>
      <c r="L130" s="60"/>
      <c r="M130" s="60"/>
      <c r="N130" s="60">
        <f t="shared" si="40"/>
        <v>0</v>
      </c>
      <c r="O130" s="60">
        <f t="shared" si="41"/>
        <v>0</v>
      </c>
    </row>
    <row r="131" spans="1:15" s="38" customFormat="1" ht="12" hidden="1" customHeight="1" outlineLevel="1" thickBot="1" x14ac:dyDescent="0.3">
      <c r="A131" s="125"/>
      <c r="B131" s="143"/>
      <c r="C131" s="131"/>
      <c r="D131" s="131"/>
      <c r="E131" s="131"/>
      <c r="F131" s="131"/>
      <c r="G131" s="60" t="s">
        <v>131</v>
      </c>
      <c r="H131" s="134"/>
      <c r="I131" s="134"/>
      <c r="J131" s="60"/>
      <c r="K131" s="60"/>
      <c r="L131" s="60"/>
      <c r="M131" s="60"/>
      <c r="N131" s="60">
        <f t="shared" si="40"/>
        <v>0</v>
      </c>
      <c r="O131" s="60">
        <f t="shared" si="41"/>
        <v>0</v>
      </c>
    </row>
    <row r="132" spans="1:15" s="38" customFormat="1" ht="14.45" hidden="1" customHeight="1" outlineLevel="1" x14ac:dyDescent="0.25">
      <c r="A132" s="140" t="s">
        <v>410</v>
      </c>
      <c r="B132" s="141" t="s">
        <v>411</v>
      </c>
      <c r="C132" s="130">
        <f>SUM(N132:N138)</f>
        <v>0</v>
      </c>
      <c r="D132" s="130">
        <f>SUM(O132:O138)</f>
        <v>0</v>
      </c>
      <c r="E132" s="130">
        <f t="shared" si="29"/>
        <v>0</v>
      </c>
      <c r="F132" s="130"/>
      <c r="G132" s="60" t="s">
        <v>125</v>
      </c>
      <c r="H132" s="123"/>
      <c r="I132" s="123"/>
      <c r="J132" s="60"/>
      <c r="K132" s="60"/>
      <c r="L132" s="60"/>
      <c r="M132" s="60"/>
      <c r="N132" s="60">
        <f>M132*J132*K132*L132</f>
        <v>0</v>
      </c>
      <c r="O132" s="60">
        <f>J132*K132*L132</f>
        <v>0</v>
      </c>
    </row>
    <row r="133" spans="1:15" s="38" customFormat="1" ht="11.45" hidden="1" customHeight="1" outlineLevel="1" x14ac:dyDescent="0.25">
      <c r="A133" s="124"/>
      <c r="B133" s="142"/>
      <c r="C133" s="115"/>
      <c r="D133" s="115"/>
      <c r="E133" s="115"/>
      <c r="F133" s="115"/>
      <c r="G133" s="60" t="s">
        <v>126</v>
      </c>
      <c r="H133" s="124"/>
      <c r="I133" s="124"/>
      <c r="J133" s="60"/>
      <c r="K133" s="60"/>
      <c r="L133" s="60"/>
      <c r="M133" s="60"/>
      <c r="N133" s="60">
        <f t="shared" ref="N133:N138" si="42">M133*J133*K133*L133</f>
        <v>0</v>
      </c>
      <c r="O133" s="60">
        <f t="shared" ref="O133:O138" si="43">J133*K133*L133</f>
        <v>0</v>
      </c>
    </row>
    <row r="134" spans="1:15" s="38" customFormat="1" ht="10.7" hidden="1" customHeight="1" outlineLevel="1" x14ac:dyDescent="0.25">
      <c r="A134" s="124"/>
      <c r="B134" s="142"/>
      <c r="C134" s="115"/>
      <c r="D134" s="115"/>
      <c r="E134" s="115"/>
      <c r="F134" s="115"/>
      <c r="G134" s="60" t="s">
        <v>127</v>
      </c>
      <c r="H134" s="124"/>
      <c r="I134" s="124"/>
      <c r="J134" s="60"/>
      <c r="K134" s="60"/>
      <c r="L134" s="60"/>
      <c r="M134" s="60"/>
      <c r="N134" s="60">
        <f t="shared" si="42"/>
        <v>0</v>
      </c>
      <c r="O134" s="60">
        <f t="shared" si="43"/>
        <v>0</v>
      </c>
    </row>
    <row r="135" spans="1:15" s="38" customFormat="1" ht="10.7" hidden="1" customHeight="1" outlineLevel="1" x14ac:dyDescent="0.25">
      <c r="A135" s="124"/>
      <c r="B135" s="142"/>
      <c r="C135" s="115"/>
      <c r="D135" s="115"/>
      <c r="E135" s="115"/>
      <c r="F135" s="115"/>
      <c r="G135" s="60" t="s">
        <v>128</v>
      </c>
      <c r="H135" s="124"/>
      <c r="I135" s="124"/>
      <c r="J135" s="60"/>
      <c r="K135" s="60"/>
      <c r="L135" s="60"/>
      <c r="M135" s="60"/>
      <c r="N135" s="60">
        <f t="shared" si="42"/>
        <v>0</v>
      </c>
      <c r="O135" s="60">
        <f t="shared" si="43"/>
        <v>0</v>
      </c>
    </row>
    <row r="136" spans="1:15" s="38" customFormat="1" ht="10.7" hidden="1" customHeight="1" outlineLevel="1" x14ac:dyDescent="0.25">
      <c r="A136" s="124"/>
      <c r="B136" s="142"/>
      <c r="C136" s="115"/>
      <c r="D136" s="115"/>
      <c r="E136" s="115"/>
      <c r="F136" s="115"/>
      <c r="G136" s="60" t="s">
        <v>129</v>
      </c>
      <c r="H136" s="124"/>
      <c r="I136" s="124"/>
      <c r="J136" s="60"/>
      <c r="K136" s="60"/>
      <c r="L136" s="60"/>
      <c r="M136" s="60"/>
      <c r="N136" s="60">
        <f t="shared" si="42"/>
        <v>0</v>
      </c>
      <c r="O136" s="60">
        <f t="shared" si="43"/>
        <v>0</v>
      </c>
    </row>
    <row r="137" spans="1:15" s="38" customFormat="1" ht="10.7" hidden="1" customHeight="1" outlineLevel="1" x14ac:dyDescent="0.25">
      <c r="A137" s="124"/>
      <c r="B137" s="142"/>
      <c r="C137" s="115"/>
      <c r="D137" s="115"/>
      <c r="E137" s="115"/>
      <c r="F137" s="115"/>
      <c r="G137" s="60" t="s">
        <v>130</v>
      </c>
      <c r="H137" s="124"/>
      <c r="I137" s="124"/>
      <c r="J137" s="60"/>
      <c r="K137" s="60"/>
      <c r="L137" s="60"/>
      <c r="M137" s="60"/>
      <c r="N137" s="60">
        <f t="shared" si="42"/>
        <v>0</v>
      </c>
      <c r="O137" s="60">
        <f t="shared" si="43"/>
        <v>0</v>
      </c>
    </row>
    <row r="138" spans="1:15" s="38" customFormat="1" ht="12" hidden="1" customHeight="1" outlineLevel="1" thickBot="1" x14ac:dyDescent="0.3">
      <c r="A138" s="125"/>
      <c r="B138" s="143"/>
      <c r="C138" s="131"/>
      <c r="D138" s="131"/>
      <c r="E138" s="131"/>
      <c r="F138" s="131"/>
      <c r="G138" s="60" t="s">
        <v>131</v>
      </c>
      <c r="H138" s="134"/>
      <c r="I138" s="134"/>
      <c r="J138" s="60"/>
      <c r="K138" s="60"/>
      <c r="L138" s="60"/>
      <c r="M138" s="60"/>
      <c r="N138" s="60">
        <f t="shared" si="42"/>
        <v>0</v>
      </c>
      <c r="O138" s="60">
        <f t="shared" si="43"/>
        <v>0</v>
      </c>
    </row>
    <row r="139" spans="1:15" s="38" customFormat="1" ht="14.45" hidden="1" customHeight="1" outlineLevel="1" x14ac:dyDescent="0.25">
      <c r="A139" s="140" t="s">
        <v>412</v>
      </c>
      <c r="B139" s="141" t="s">
        <v>532</v>
      </c>
      <c r="C139" s="130">
        <f>SUM(N139:N145)</f>
        <v>0</v>
      </c>
      <c r="D139" s="130">
        <f>SUM(O139:O145)</f>
        <v>0</v>
      </c>
      <c r="E139" s="130">
        <f t="shared" si="29"/>
        <v>0</v>
      </c>
      <c r="F139" s="130"/>
      <c r="G139" s="60" t="s">
        <v>125</v>
      </c>
      <c r="H139" s="123"/>
      <c r="I139" s="123"/>
      <c r="J139" s="60"/>
      <c r="K139" s="60"/>
      <c r="L139" s="60"/>
      <c r="M139" s="60"/>
      <c r="N139" s="60">
        <f>M139*J139*K139*L139</f>
        <v>0</v>
      </c>
      <c r="O139" s="60">
        <f>J139*K139*L139</f>
        <v>0</v>
      </c>
    </row>
    <row r="140" spans="1:15" s="38" customFormat="1" ht="11.45" hidden="1" customHeight="1" outlineLevel="1" x14ac:dyDescent="0.25">
      <c r="A140" s="124"/>
      <c r="B140" s="142"/>
      <c r="C140" s="115"/>
      <c r="D140" s="115"/>
      <c r="E140" s="115"/>
      <c r="F140" s="115"/>
      <c r="G140" s="60" t="s">
        <v>126</v>
      </c>
      <c r="H140" s="124"/>
      <c r="I140" s="124"/>
      <c r="J140" s="60"/>
      <c r="K140" s="60"/>
      <c r="L140" s="60"/>
      <c r="M140" s="60"/>
      <c r="N140" s="60">
        <f t="shared" ref="N140:N145" si="44">M140*J140*K140*L140</f>
        <v>0</v>
      </c>
      <c r="O140" s="60">
        <f t="shared" ref="O140:O145" si="45">J140*K140*L140</f>
        <v>0</v>
      </c>
    </row>
    <row r="141" spans="1:15" s="38" customFormat="1" ht="10.7" hidden="1" customHeight="1" outlineLevel="1" x14ac:dyDescent="0.25">
      <c r="A141" s="124"/>
      <c r="B141" s="142"/>
      <c r="C141" s="115"/>
      <c r="D141" s="115"/>
      <c r="E141" s="115"/>
      <c r="F141" s="115"/>
      <c r="G141" s="60" t="s">
        <v>127</v>
      </c>
      <c r="H141" s="124"/>
      <c r="I141" s="124"/>
      <c r="J141" s="60"/>
      <c r="K141" s="60"/>
      <c r="L141" s="60"/>
      <c r="M141" s="60"/>
      <c r="N141" s="60">
        <f t="shared" si="44"/>
        <v>0</v>
      </c>
      <c r="O141" s="60">
        <f t="shared" si="45"/>
        <v>0</v>
      </c>
    </row>
    <row r="142" spans="1:15" s="38" customFormat="1" ht="10.7" hidden="1" customHeight="1" outlineLevel="1" x14ac:dyDescent="0.25">
      <c r="A142" s="124"/>
      <c r="B142" s="142"/>
      <c r="C142" s="115"/>
      <c r="D142" s="115"/>
      <c r="E142" s="115"/>
      <c r="F142" s="115"/>
      <c r="G142" s="60" t="s">
        <v>128</v>
      </c>
      <c r="H142" s="124"/>
      <c r="I142" s="124"/>
      <c r="J142" s="60"/>
      <c r="K142" s="60"/>
      <c r="L142" s="60"/>
      <c r="M142" s="60"/>
      <c r="N142" s="60">
        <f t="shared" si="44"/>
        <v>0</v>
      </c>
      <c r="O142" s="60">
        <f t="shared" si="45"/>
        <v>0</v>
      </c>
    </row>
    <row r="143" spans="1:15" s="38" customFormat="1" ht="10.7" hidden="1" customHeight="1" outlineLevel="1" x14ac:dyDescent="0.25">
      <c r="A143" s="124"/>
      <c r="B143" s="142"/>
      <c r="C143" s="115"/>
      <c r="D143" s="115"/>
      <c r="E143" s="115"/>
      <c r="F143" s="115"/>
      <c r="G143" s="60" t="s">
        <v>129</v>
      </c>
      <c r="H143" s="124"/>
      <c r="I143" s="124"/>
      <c r="J143" s="60"/>
      <c r="K143" s="60"/>
      <c r="L143" s="60"/>
      <c r="M143" s="60"/>
      <c r="N143" s="60">
        <f t="shared" si="44"/>
        <v>0</v>
      </c>
      <c r="O143" s="60">
        <f t="shared" si="45"/>
        <v>0</v>
      </c>
    </row>
    <row r="144" spans="1:15" s="38" customFormat="1" ht="10.7" hidden="1" customHeight="1" outlineLevel="1" x14ac:dyDescent="0.25">
      <c r="A144" s="124"/>
      <c r="B144" s="142"/>
      <c r="C144" s="115"/>
      <c r="D144" s="115"/>
      <c r="E144" s="115"/>
      <c r="F144" s="115"/>
      <c r="G144" s="60" t="s">
        <v>130</v>
      </c>
      <c r="H144" s="124"/>
      <c r="I144" s="124"/>
      <c r="J144" s="60"/>
      <c r="K144" s="60"/>
      <c r="L144" s="60"/>
      <c r="M144" s="60"/>
      <c r="N144" s="60">
        <f t="shared" si="44"/>
        <v>0</v>
      </c>
      <c r="O144" s="60">
        <f t="shared" si="45"/>
        <v>0</v>
      </c>
    </row>
    <row r="145" spans="1:15" s="38" customFormat="1" ht="12" hidden="1" customHeight="1" outlineLevel="1" thickBot="1" x14ac:dyDescent="0.3">
      <c r="A145" s="125"/>
      <c r="B145" s="143"/>
      <c r="C145" s="131"/>
      <c r="D145" s="131"/>
      <c r="E145" s="131"/>
      <c r="F145" s="131"/>
      <c r="G145" s="60" t="s">
        <v>131</v>
      </c>
      <c r="H145" s="134"/>
      <c r="I145" s="134"/>
      <c r="J145" s="60"/>
      <c r="K145" s="60"/>
      <c r="L145" s="60"/>
      <c r="M145" s="60"/>
      <c r="N145" s="60">
        <f t="shared" si="44"/>
        <v>0</v>
      </c>
      <c r="O145" s="60">
        <f t="shared" si="45"/>
        <v>0</v>
      </c>
    </row>
    <row r="146" spans="1:15" s="38" customFormat="1" ht="14.45" hidden="1" customHeight="1" outlineLevel="1" x14ac:dyDescent="0.25">
      <c r="A146" s="140" t="s">
        <v>156</v>
      </c>
      <c r="B146" s="141" t="s">
        <v>533</v>
      </c>
      <c r="C146" s="130">
        <f>SUM(N146:N152)</f>
        <v>0</v>
      </c>
      <c r="D146" s="130">
        <f>SUM(O146:O152)</f>
        <v>0</v>
      </c>
      <c r="E146" s="130">
        <f t="shared" si="29"/>
        <v>0</v>
      </c>
      <c r="F146" s="130"/>
      <c r="G146" s="60" t="s">
        <v>125</v>
      </c>
      <c r="H146" s="123"/>
      <c r="I146" s="123"/>
      <c r="J146" s="60"/>
      <c r="K146" s="60"/>
      <c r="L146" s="60"/>
      <c r="M146" s="60"/>
      <c r="N146" s="60">
        <f>M146*J146*K146*L146</f>
        <v>0</v>
      </c>
      <c r="O146" s="60">
        <f>J146*K146*L146</f>
        <v>0</v>
      </c>
    </row>
    <row r="147" spans="1:15" s="38" customFormat="1" ht="11.45" hidden="1" customHeight="1" outlineLevel="1" x14ac:dyDescent="0.25">
      <c r="A147" s="124"/>
      <c r="B147" s="142"/>
      <c r="C147" s="115"/>
      <c r="D147" s="115"/>
      <c r="E147" s="115"/>
      <c r="F147" s="115"/>
      <c r="G147" s="60" t="s">
        <v>126</v>
      </c>
      <c r="H147" s="124"/>
      <c r="I147" s="124"/>
      <c r="J147" s="60"/>
      <c r="K147" s="60"/>
      <c r="L147" s="60"/>
      <c r="M147" s="60"/>
      <c r="N147" s="60">
        <f t="shared" ref="N147:N152" si="46">M147*J147*K147*L147</f>
        <v>0</v>
      </c>
      <c r="O147" s="60">
        <f t="shared" ref="O147:O152" si="47">J147*K147*L147</f>
        <v>0</v>
      </c>
    </row>
    <row r="148" spans="1:15" s="38" customFormat="1" ht="10.7" hidden="1" customHeight="1" outlineLevel="1" x14ac:dyDescent="0.25">
      <c r="A148" s="124"/>
      <c r="B148" s="142"/>
      <c r="C148" s="115"/>
      <c r="D148" s="115"/>
      <c r="E148" s="115"/>
      <c r="F148" s="115"/>
      <c r="G148" s="60" t="s">
        <v>127</v>
      </c>
      <c r="H148" s="124"/>
      <c r="I148" s="124"/>
      <c r="J148" s="60"/>
      <c r="K148" s="60"/>
      <c r="L148" s="60"/>
      <c r="M148" s="60"/>
      <c r="N148" s="60">
        <f t="shared" si="46"/>
        <v>0</v>
      </c>
      <c r="O148" s="60">
        <f t="shared" si="47"/>
        <v>0</v>
      </c>
    </row>
    <row r="149" spans="1:15" s="38" customFormat="1" ht="10.7" hidden="1" customHeight="1" outlineLevel="1" x14ac:dyDescent="0.25">
      <c r="A149" s="124"/>
      <c r="B149" s="142"/>
      <c r="C149" s="115"/>
      <c r="D149" s="115"/>
      <c r="E149" s="115"/>
      <c r="F149" s="115"/>
      <c r="G149" s="60" t="s">
        <v>128</v>
      </c>
      <c r="H149" s="124"/>
      <c r="I149" s="124"/>
      <c r="J149" s="60"/>
      <c r="K149" s="60"/>
      <c r="L149" s="60"/>
      <c r="M149" s="60"/>
      <c r="N149" s="60">
        <f t="shared" si="46"/>
        <v>0</v>
      </c>
      <c r="O149" s="60">
        <f t="shared" si="47"/>
        <v>0</v>
      </c>
    </row>
    <row r="150" spans="1:15" s="38" customFormat="1" ht="10.7" hidden="1" customHeight="1" outlineLevel="1" x14ac:dyDescent="0.25">
      <c r="A150" s="124"/>
      <c r="B150" s="142"/>
      <c r="C150" s="115"/>
      <c r="D150" s="115"/>
      <c r="E150" s="115"/>
      <c r="F150" s="115"/>
      <c r="G150" s="60" t="s">
        <v>129</v>
      </c>
      <c r="H150" s="124"/>
      <c r="I150" s="124"/>
      <c r="J150" s="60"/>
      <c r="K150" s="60"/>
      <c r="L150" s="60"/>
      <c r="M150" s="60"/>
      <c r="N150" s="60">
        <f t="shared" si="46"/>
        <v>0</v>
      </c>
      <c r="O150" s="60">
        <f t="shared" si="47"/>
        <v>0</v>
      </c>
    </row>
    <row r="151" spans="1:15" s="38" customFormat="1" ht="10.7" hidden="1" customHeight="1" outlineLevel="1" x14ac:dyDescent="0.25">
      <c r="A151" s="124"/>
      <c r="B151" s="142"/>
      <c r="C151" s="115"/>
      <c r="D151" s="115"/>
      <c r="E151" s="115"/>
      <c r="F151" s="115"/>
      <c r="G151" s="60" t="s">
        <v>130</v>
      </c>
      <c r="H151" s="124"/>
      <c r="I151" s="124"/>
      <c r="J151" s="60"/>
      <c r="K151" s="60"/>
      <c r="L151" s="60"/>
      <c r="M151" s="60"/>
      <c r="N151" s="60">
        <f t="shared" si="46"/>
        <v>0</v>
      </c>
      <c r="O151" s="60">
        <f t="shared" si="47"/>
        <v>0</v>
      </c>
    </row>
    <row r="152" spans="1:15" s="38" customFormat="1" ht="12" hidden="1" customHeight="1" outlineLevel="1" thickBot="1" x14ac:dyDescent="0.3">
      <c r="A152" s="125"/>
      <c r="B152" s="143"/>
      <c r="C152" s="131"/>
      <c r="D152" s="131"/>
      <c r="E152" s="131"/>
      <c r="F152" s="131"/>
      <c r="G152" s="60" t="s">
        <v>131</v>
      </c>
      <c r="H152" s="134"/>
      <c r="I152" s="134"/>
      <c r="J152" s="60"/>
      <c r="K152" s="60"/>
      <c r="L152" s="60"/>
      <c r="M152" s="60"/>
      <c r="N152" s="60">
        <f t="shared" si="46"/>
        <v>0</v>
      </c>
      <c r="O152" s="60">
        <f t="shared" si="47"/>
        <v>0</v>
      </c>
    </row>
    <row r="153" spans="1:15" s="38" customFormat="1" ht="14.45" hidden="1" customHeight="1" outlineLevel="1" x14ac:dyDescent="0.25">
      <c r="A153" s="140" t="s">
        <v>158</v>
      </c>
      <c r="B153" s="141" t="s">
        <v>534</v>
      </c>
      <c r="C153" s="130">
        <f>SUM(N153:N159)</f>
        <v>0</v>
      </c>
      <c r="D153" s="130">
        <f>SUM(O153:O159)</f>
        <v>0</v>
      </c>
      <c r="E153" s="130">
        <f t="shared" si="29"/>
        <v>0</v>
      </c>
      <c r="F153" s="130"/>
      <c r="G153" s="60" t="s">
        <v>125</v>
      </c>
      <c r="H153" s="123"/>
      <c r="I153" s="123"/>
      <c r="J153" s="60"/>
      <c r="K153" s="60"/>
      <c r="L153" s="60"/>
      <c r="M153" s="60"/>
      <c r="N153" s="60">
        <f>M153*J153*K153*L153</f>
        <v>0</v>
      </c>
      <c r="O153" s="60">
        <f>J153*K153*L153</f>
        <v>0</v>
      </c>
    </row>
    <row r="154" spans="1:15" s="38" customFormat="1" ht="11.45" hidden="1" customHeight="1" outlineLevel="1" x14ac:dyDescent="0.25">
      <c r="A154" s="124"/>
      <c r="B154" s="142"/>
      <c r="C154" s="115"/>
      <c r="D154" s="115"/>
      <c r="E154" s="115"/>
      <c r="F154" s="115"/>
      <c r="G154" s="60" t="s">
        <v>126</v>
      </c>
      <c r="H154" s="124"/>
      <c r="I154" s="124"/>
      <c r="J154" s="60"/>
      <c r="K154" s="60"/>
      <c r="L154" s="60"/>
      <c r="M154" s="60"/>
      <c r="N154" s="60">
        <f t="shared" ref="N154:N159" si="48">M154*J154*K154*L154</f>
        <v>0</v>
      </c>
      <c r="O154" s="60">
        <f t="shared" ref="O154:O159" si="49">J154*K154*L154</f>
        <v>0</v>
      </c>
    </row>
    <row r="155" spans="1:15" s="38" customFormat="1" ht="10.7" hidden="1" customHeight="1" outlineLevel="1" x14ac:dyDescent="0.25">
      <c r="A155" s="124"/>
      <c r="B155" s="142"/>
      <c r="C155" s="115"/>
      <c r="D155" s="115"/>
      <c r="E155" s="115"/>
      <c r="F155" s="115"/>
      <c r="G155" s="60" t="s">
        <v>127</v>
      </c>
      <c r="H155" s="124"/>
      <c r="I155" s="124"/>
      <c r="J155" s="60"/>
      <c r="K155" s="60"/>
      <c r="L155" s="60"/>
      <c r="M155" s="60"/>
      <c r="N155" s="60">
        <f t="shared" si="48"/>
        <v>0</v>
      </c>
      <c r="O155" s="60">
        <f t="shared" si="49"/>
        <v>0</v>
      </c>
    </row>
    <row r="156" spans="1:15" s="38" customFormat="1" ht="10.7" hidden="1" customHeight="1" outlineLevel="1" x14ac:dyDescent="0.25">
      <c r="A156" s="124"/>
      <c r="B156" s="142"/>
      <c r="C156" s="115"/>
      <c r="D156" s="115"/>
      <c r="E156" s="115"/>
      <c r="F156" s="115"/>
      <c r="G156" s="60" t="s">
        <v>128</v>
      </c>
      <c r="H156" s="124"/>
      <c r="I156" s="124"/>
      <c r="J156" s="60"/>
      <c r="K156" s="60"/>
      <c r="L156" s="60"/>
      <c r="M156" s="60"/>
      <c r="N156" s="60">
        <f t="shared" si="48"/>
        <v>0</v>
      </c>
      <c r="O156" s="60">
        <f t="shared" si="49"/>
        <v>0</v>
      </c>
    </row>
    <row r="157" spans="1:15" s="38" customFormat="1" ht="10.7" hidden="1" customHeight="1" outlineLevel="1" x14ac:dyDescent="0.25">
      <c r="A157" s="124"/>
      <c r="B157" s="142"/>
      <c r="C157" s="115"/>
      <c r="D157" s="115"/>
      <c r="E157" s="115"/>
      <c r="F157" s="115"/>
      <c r="G157" s="60" t="s">
        <v>129</v>
      </c>
      <c r="H157" s="124"/>
      <c r="I157" s="124"/>
      <c r="J157" s="60"/>
      <c r="K157" s="60"/>
      <c r="L157" s="60"/>
      <c r="M157" s="60"/>
      <c r="N157" s="60">
        <f t="shared" si="48"/>
        <v>0</v>
      </c>
      <c r="O157" s="60">
        <f t="shared" si="49"/>
        <v>0</v>
      </c>
    </row>
    <row r="158" spans="1:15" s="38" customFormat="1" ht="10.7" hidden="1" customHeight="1" outlineLevel="1" x14ac:dyDescent="0.25">
      <c r="A158" s="124"/>
      <c r="B158" s="142"/>
      <c r="C158" s="115"/>
      <c r="D158" s="115"/>
      <c r="E158" s="115"/>
      <c r="F158" s="115"/>
      <c r="G158" s="60" t="s">
        <v>130</v>
      </c>
      <c r="H158" s="124"/>
      <c r="I158" s="124"/>
      <c r="J158" s="60"/>
      <c r="K158" s="60"/>
      <c r="L158" s="60"/>
      <c r="M158" s="60"/>
      <c r="N158" s="60">
        <f t="shared" si="48"/>
        <v>0</v>
      </c>
      <c r="O158" s="60">
        <f t="shared" si="49"/>
        <v>0</v>
      </c>
    </row>
    <row r="159" spans="1:15" s="38" customFormat="1" ht="12" hidden="1" customHeight="1" outlineLevel="1" thickBot="1" x14ac:dyDescent="0.3">
      <c r="A159" s="125"/>
      <c r="B159" s="143"/>
      <c r="C159" s="131"/>
      <c r="D159" s="131"/>
      <c r="E159" s="131"/>
      <c r="F159" s="131"/>
      <c r="G159" s="60" t="s">
        <v>131</v>
      </c>
      <c r="H159" s="134"/>
      <c r="I159" s="134"/>
      <c r="J159" s="60"/>
      <c r="K159" s="60"/>
      <c r="L159" s="60"/>
      <c r="M159" s="60"/>
      <c r="N159" s="60">
        <f t="shared" si="48"/>
        <v>0</v>
      </c>
      <c r="O159" s="60">
        <f t="shared" si="49"/>
        <v>0</v>
      </c>
    </row>
    <row r="160" spans="1:15" s="38" customFormat="1" ht="14.45" hidden="1" customHeight="1" outlineLevel="1" x14ac:dyDescent="0.25">
      <c r="A160" s="140" t="s">
        <v>160</v>
      </c>
      <c r="B160" s="141" t="s">
        <v>535</v>
      </c>
      <c r="C160" s="130">
        <f>SUM(N160:N166)</f>
        <v>0</v>
      </c>
      <c r="D160" s="130">
        <f>SUM(O160:O166)</f>
        <v>0</v>
      </c>
      <c r="E160" s="130">
        <f t="shared" ref="E160:E223" si="50">D160/8</f>
        <v>0</v>
      </c>
      <c r="F160" s="130"/>
      <c r="G160" s="60" t="s">
        <v>125</v>
      </c>
      <c r="H160" s="123"/>
      <c r="I160" s="123"/>
      <c r="J160" s="60"/>
      <c r="K160" s="60"/>
      <c r="L160" s="60"/>
      <c r="M160" s="60"/>
      <c r="N160" s="60">
        <f>M160*J160*K160*L160</f>
        <v>0</v>
      </c>
      <c r="O160" s="60">
        <f>J160*K160*L160</f>
        <v>0</v>
      </c>
    </row>
    <row r="161" spans="1:15" s="38" customFormat="1" ht="11.45" hidden="1" customHeight="1" outlineLevel="1" x14ac:dyDescent="0.25">
      <c r="A161" s="124"/>
      <c r="B161" s="142"/>
      <c r="C161" s="115"/>
      <c r="D161" s="115"/>
      <c r="E161" s="115"/>
      <c r="F161" s="115"/>
      <c r="G161" s="60" t="s">
        <v>126</v>
      </c>
      <c r="H161" s="124"/>
      <c r="I161" s="124"/>
      <c r="J161" s="60"/>
      <c r="K161" s="60"/>
      <c r="L161" s="60"/>
      <c r="M161" s="60"/>
      <c r="N161" s="60">
        <f t="shared" ref="N161:N166" si="51">M161*J161*K161*L161</f>
        <v>0</v>
      </c>
      <c r="O161" s="60">
        <f t="shared" ref="O161:O166" si="52">J161*K161*L161</f>
        <v>0</v>
      </c>
    </row>
    <row r="162" spans="1:15" s="38" customFormat="1" ht="10.7" hidden="1" customHeight="1" outlineLevel="1" x14ac:dyDescent="0.25">
      <c r="A162" s="124"/>
      <c r="B162" s="142"/>
      <c r="C162" s="115"/>
      <c r="D162" s="115"/>
      <c r="E162" s="115"/>
      <c r="F162" s="115"/>
      <c r="G162" s="60" t="s">
        <v>127</v>
      </c>
      <c r="H162" s="124"/>
      <c r="I162" s="124"/>
      <c r="J162" s="60"/>
      <c r="K162" s="60"/>
      <c r="L162" s="60"/>
      <c r="M162" s="60"/>
      <c r="N162" s="60">
        <f t="shared" si="51"/>
        <v>0</v>
      </c>
      <c r="O162" s="60">
        <f t="shared" si="52"/>
        <v>0</v>
      </c>
    </row>
    <row r="163" spans="1:15" s="38" customFormat="1" ht="10.7" hidden="1" customHeight="1" outlineLevel="1" x14ac:dyDescent="0.25">
      <c r="A163" s="124"/>
      <c r="B163" s="142"/>
      <c r="C163" s="115"/>
      <c r="D163" s="115"/>
      <c r="E163" s="115"/>
      <c r="F163" s="115"/>
      <c r="G163" s="60" t="s">
        <v>128</v>
      </c>
      <c r="H163" s="124"/>
      <c r="I163" s="124"/>
      <c r="J163" s="60"/>
      <c r="K163" s="60"/>
      <c r="L163" s="60"/>
      <c r="M163" s="60"/>
      <c r="N163" s="60">
        <f t="shared" si="51"/>
        <v>0</v>
      </c>
      <c r="O163" s="60">
        <f t="shared" si="52"/>
        <v>0</v>
      </c>
    </row>
    <row r="164" spans="1:15" s="38" customFormat="1" ht="10.7" hidden="1" customHeight="1" outlineLevel="1" x14ac:dyDescent="0.25">
      <c r="A164" s="124"/>
      <c r="B164" s="142"/>
      <c r="C164" s="115"/>
      <c r="D164" s="115"/>
      <c r="E164" s="115"/>
      <c r="F164" s="115"/>
      <c r="G164" s="60" t="s">
        <v>129</v>
      </c>
      <c r="H164" s="124"/>
      <c r="I164" s="124"/>
      <c r="J164" s="60"/>
      <c r="K164" s="60"/>
      <c r="L164" s="60"/>
      <c r="M164" s="60"/>
      <c r="N164" s="60">
        <f t="shared" si="51"/>
        <v>0</v>
      </c>
      <c r="O164" s="60">
        <f t="shared" si="52"/>
        <v>0</v>
      </c>
    </row>
    <row r="165" spans="1:15" s="38" customFormat="1" ht="10.7" hidden="1" customHeight="1" outlineLevel="1" x14ac:dyDescent="0.25">
      <c r="A165" s="124"/>
      <c r="B165" s="142"/>
      <c r="C165" s="115"/>
      <c r="D165" s="115"/>
      <c r="E165" s="115"/>
      <c r="F165" s="115"/>
      <c r="G165" s="60" t="s">
        <v>130</v>
      </c>
      <c r="H165" s="124"/>
      <c r="I165" s="124"/>
      <c r="J165" s="60"/>
      <c r="K165" s="60"/>
      <c r="L165" s="60"/>
      <c r="M165" s="60"/>
      <c r="N165" s="60">
        <f t="shared" si="51"/>
        <v>0</v>
      </c>
      <c r="O165" s="60">
        <f t="shared" si="52"/>
        <v>0</v>
      </c>
    </row>
    <row r="166" spans="1:15" s="38" customFormat="1" ht="12" hidden="1" customHeight="1" outlineLevel="1" thickBot="1" x14ac:dyDescent="0.3">
      <c r="A166" s="125"/>
      <c r="B166" s="143"/>
      <c r="C166" s="131"/>
      <c r="D166" s="131"/>
      <c r="E166" s="131"/>
      <c r="F166" s="131"/>
      <c r="G166" s="60" t="s">
        <v>131</v>
      </c>
      <c r="H166" s="134"/>
      <c r="I166" s="134"/>
      <c r="J166" s="60"/>
      <c r="K166" s="60"/>
      <c r="L166" s="60"/>
      <c r="M166" s="60"/>
      <c r="N166" s="60">
        <f t="shared" si="51"/>
        <v>0</v>
      </c>
      <c r="O166" s="60">
        <f t="shared" si="52"/>
        <v>0</v>
      </c>
    </row>
    <row r="167" spans="1:15" s="38" customFormat="1" ht="14.45" hidden="1" customHeight="1" outlineLevel="1" x14ac:dyDescent="0.25">
      <c r="A167" s="140" t="s">
        <v>162</v>
      </c>
      <c r="B167" s="141" t="s">
        <v>536</v>
      </c>
      <c r="C167" s="130">
        <f>SUM(N167:N173)</f>
        <v>0</v>
      </c>
      <c r="D167" s="130">
        <f>SUM(O167:O173)</f>
        <v>0</v>
      </c>
      <c r="E167" s="130">
        <f t="shared" si="50"/>
        <v>0</v>
      </c>
      <c r="F167" s="130"/>
      <c r="G167" s="60" t="s">
        <v>125</v>
      </c>
      <c r="H167" s="123"/>
      <c r="I167" s="123"/>
      <c r="J167" s="60"/>
      <c r="K167" s="60"/>
      <c r="L167" s="60"/>
      <c r="M167" s="60"/>
      <c r="N167" s="60">
        <f>M167*J167*K167*L167</f>
        <v>0</v>
      </c>
      <c r="O167" s="60">
        <f>J167*K167*L167</f>
        <v>0</v>
      </c>
    </row>
    <row r="168" spans="1:15" s="38" customFormat="1" ht="11.45" hidden="1" customHeight="1" outlineLevel="1" x14ac:dyDescent="0.25">
      <c r="A168" s="124"/>
      <c r="B168" s="142"/>
      <c r="C168" s="115"/>
      <c r="D168" s="115"/>
      <c r="E168" s="115"/>
      <c r="F168" s="115"/>
      <c r="G168" s="60" t="s">
        <v>126</v>
      </c>
      <c r="H168" s="124"/>
      <c r="I168" s="124"/>
      <c r="J168" s="60"/>
      <c r="K168" s="60"/>
      <c r="L168" s="60"/>
      <c r="M168" s="60"/>
      <c r="N168" s="60">
        <f t="shared" ref="N168:N173" si="53">M168*J168*K168*L168</f>
        <v>0</v>
      </c>
      <c r="O168" s="60">
        <f t="shared" ref="O168:O173" si="54">J168*K168*L168</f>
        <v>0</v>
      </c>
    </row>
    <row r="169" spans="1:15" s="38" customFormat="1" ht="10.7" hidden="1" customHeight="1" outlineLevel="1" x14ac:dyDescent="0.25">
      <c r="A169" s="124"/>
      <c r="B169" s="142"/>
      <c r="C169" s="115"/>
      <c r="D169" s="115"/>
      <c r="E169" s="115"/>
      <c r="F169" s="115"/>
      <c r="G169" s="60" t="s">
        <v>127</v>
      </c>
      <c r="H169" s="124"/>
      <c r="I169" s="124"/>
      <c r="J169" s="60"/>
      <c r="K169" s="60"/>
      <c r="L169" s="60"/>
      <c r="M169" s="60"/>
      <c r="N169" s="60">
        <f t="shared" si="53"/>
        <v>0</v>
      </c>
      <c r="O169" s="60">
        <f t="shared" si="54"/>
        <v>0</v>
      </c>
    </row>
    <row r="170" spans="1:15" s="38" customFormat="1" ht="10.7" hidden="1" customHeight="1" outlineLevel="1" x14ac:dyDescent="0.25">
      <c r="A170" s="124"/>
      <c r="B170" s="142"/>
      <c r="C170" s="115"/>
      <c r="D170" s="115"/>
      <c r="E170" s="115"/>
      <c r="F170" s="115"/>
      <c r="G170" s="60" t="s">
        <v>128</v>
      </c>
      <c r="H170" s="124"/>
      <c r="I170" s="124"/>
      <c r="J170" s="60"/>
      <c r="K170" s="60"/>
      <c r="L170" s="60"/>
      <c r="M170" s="60"/>
      <c r="N170" s="60">
        <f t="shared" si="53"/>
        <v>0</v>
      </c>
      <c r="O170" s="60">
        <f t="shared" si="54"/>
        <v>0</v>
      </c>
    </row>
    <row r="171" spans="1:15" s="38" customFormat="1" ht="10.7" hidden="1" customHeight="1" outlineLevel="1" x14ac:dyDescent="0.25">
      <c r="A171" s="124"/>
      <c r="B171" s="142"/>
      <c r="C171" s="115"/>
      <c r="D171" s="115"/>
      <c r="E171" s="115"/>
      <c r="F171" s="115"/>
      <c r="G171" s="60" t="s">
        <v>129</v>
      </c>
      <c r="H171" s="124"/>
      <c r="I171" s="124"/>
      <c r="J171" s="60"/>
      <c r="K171" s="60"/>
      <c r="L171" s="60"/>
      <c r="M171" s="60"/>
      <c r="N171" s="60">
        <f t="shared" si="53"/>
        <v>0</v>
      </c>
      <c r="O171" s="60">
        <f t="shared" si="54"/>
        <v>0</v>
      </c>
    </row>
    <row r="172" spans="1:15" s="38" customFormat="1" ht="10.7" hidden="1" customHeight="1" outlineLevel="1" x14ac:dyDescent="0.25">
      <c r="A172" s="124"/>
      <c r="B172" s="142"/>
      <c r="C172" s="115"/>
      <c r="D172" s="115"/>
      <c r="E172" s="115"/>
      <c r="F172" s="115"/>
      <c r="G172" s="60" t="s">
        <v>130</v>
      </c>
      <c r="H172" s="124"/>
      <c r="I172" s="124"/>
      <c r="J172" s="60"/>
      <c r="K172" s="60"/>
      <c r="L172" s="60"/>
      <c r="M172" s="60"/>
      <c r="N172" s="60">
        <f t="shared" si="53"/>
        <v>0</v>
      </c>
      <c r="O172" s="60">
        <f t="shared" si="54"/>
        <v>0</v>
      </c>
    </row>
    <row r="173" spans="1:15" s="38" customFormat="1" ht="12" hidden="1" customHeight="1" outlineLevel="1" thickBot="1" x14ac:dyDescent="0.3">
      <c r="A173" s="125"/>
      <c r="B173" s="143"/>
      <c r="C173" s="131"/>
      <c r="D173" s="131"/>
      <c r="E173" s="131"/>
      <c r="F173" s="131"/>
      <c r="G173" s="60" t="s">
        <v>131</v>
      </c>
      <c r="H173" s="134"/>
      <c r="I173" s="134"/>
      <c r="J173" s="60"/>
      <c r="K173" s="60"/>
      <c r="L173" s="60"/>
      <c r="M173" s="60"/>
      <c r="N173" s="60">
        <f t="shared" si="53"/>
        <v>0</v>
      </c>
      <c r="O173" s="60">
        <f t="shared" si="54"/>
        <v>0</v>
      </c>
    </row>
    <row r="174" spans="1:15" s="38" customFormat="1" ht="14.45" hidden="1" customHeight="1" outlineLevel="1" x14ac:dyDescent="0.25">
      <c r="A174" s="140" t="s">
        <v>361</v>
      </c>
      <c r="B174" s="141" t="s">
        <v>537</v>
      </c>
      <c r="C174" s="130">
        <f>SUM(N174:N180)</f>
        <v>0</v>
      </c>
      <c r="D174" s="130">
        <f>SUM(O174:O180)</f>
        <v>0</v>
      </c>
      <c r="E174" s="130">
        <f t="shared" si="50"/>
        <v>0</v>
      </c>
      <c r="F174" s="130"/>
      <c r="G174" s="60" t="s">
        <v>125</v>
      </c>
      <c r="H174" s="123"/>
      <c r="I174" s="123"/>
      <c r="J174" s="60"/>
      <c r="K174" s="60"/>
      <c r="L174" s="60"/>
      <c r="M174" s="60"/>
      <c r="N174" s="60">
        <f>M174*J174*K174*L174</f>
        <v>0</v>
      </c>
      <c r="O174" s="60">
        <f>J174*K174*L174</f>
        <v>0</v>
      </c>
    </row>
    <row r="175" spans="1:15" s="38" customFormat="1" ht="11.45" hidden="1" customHeight="1" outlineLevel="1" x14ac:dyDescent="0.25">
      <c r="A175" s="124"/>
      <c r="B175" s="142"/>
      <c r="C175" s="115"/>
      <c r="D175" s="115"/>
      <c r="E175" s="115"/>
      <c r="F175" s="115"/>
      <c r="G175" s="60" t="s">
        <v>126</v>
      </c>
      <c r="H175" s="124"/>
      <c r="I175" s="124"/>
      <c r="J175" s="60"/>
      <c r="K175" s="60"/>
      <c r="L175" s="60"/>
      <c r="M175" s="60"/>
      <c r="N175" s="60">
        <f t="shared" ref="N175:N180" si="55">M175*J175*K175*L175</f>
        <v>0</v>
      </c>
      <c r="O175" s="60">
        <f t="shared" ref="O175:O180" si="56">J175*K175*L175</f>
        <v>0</v>
      </c>
    </row>
    <row r="176" spans="1:15" s="38" customFormat="1" ht="10.7" hidden="1" customHeight="1" outlineLevel="1" x14ac:dyDescent="0.25">
      <c r="A176" s="124"/>
      <c r="B176" s="142"/>
      <c r="C176" s="115"/>
      <c r="D176" s="115"/>
      <c r="E176" s="115"/>
      <c r="F176" s="115"/>
      <c r="G176" s="60" t="s">
        <v>127</v>
      </c>
      <c r="H176" s="124"/>
      <c r="I176" s="124"/>
      <c r="J176" s="60"/>
      <c r="K176" s="60"/>
      <c r="L176" s="60"/>
      <c r="M176" s="60"/>
      <c r="N176" s="60">
        <f t="shared" si="55"/>
        <v>0</v>
      </c>
      <c r="O176" s="60">
        <f t="shared" si="56"/>
        <v>0</v>
      </c>
    </row>
    <row r="177" spans="1:15" s="38" customFormat="1" ht="10.7" hidden="1" customHeight="1" outlineLevel="1" x14ac:dyDescent="0.25">
      <c r="A177" s="124"/>
      <c r="B177" s="142"/>
      <c r="C177" s="115"/>
      <c r="D177" s="115"/>
      <c r="E177" s="115"/>
      <c r="F177" s="115"/>
      <c r="G177" s="60" t="s">
        <v>128</v>
      </c>
      <c r="H177" s="124"/>
      <c r="I177" s="124"/>
      <c r="J177" s="60"/>
      <c r="K177" s="60"/>
      <c r="L177" s="60"/>
      <c r="M177" s="60"/>
      <c r="N177" s="60">
        <f t="shared" si="55"/>
        <v>0</v>
      </c>
      <c r="O177" s="60">
        <f t="shared" si="56"/>
        <v>0</v>
      </c>
    </row>
    <row r="178" spans="1:15" s="38" customFormat="1" ht="10.7" hidden="1" customHeight="1" outlineLevel="1" x14ac:dyDescent="0.25">
      <c r="A178" s="124"/>
      <c r="B178" s="142"/>
      <c r="C178" s="115"/>
      <c r="D178" s="115"/>
      <c r="E178" s="115"/>
      <c r="F178" s="115"/>
      <c r="G178" s="60" t="s">
        <v>129</v>
      </c>
      <c r="H178" s="124"/>
      <c r="I178" s="124"/>
      <c r="J178" s="60"/>
      <c r="K178" s="60"/>
      <c r="L178" s="60"/>
      <c r="M178" s="60"/>
      <c r="N178" s="60">
        <f t="shared" si="55"/>
        <v>0</v>
      </c>
      <c r="O178" s="60">
        <f t="shared" si="56"/>
        <v>0</v>
      </c>
    </row>
    <row r="179" spans="1:15" s="38" customFormat="1" ht="10.7" hidden="1" customHeight="1" outlineLevel="1" x14ac:dyDescent="0.25">
      <c r="A179" s="124"/>
      <c r="B179" s="142"/>
      <c r="C179" s="115"/>
      <c r="D179" s="115"/>
      <c r="E179" s="115"/>
      <c r="F179" s="115"/>
      <c r="G179" s="60" t="s">
        <v>130</v>
      </c>
      <c r="H179" s="124"/>
      <c r="I179" s="124"/>
      <c r="J179" s="60"/>
      <c r="K179" s="60"/>
      <c r="L179" s="60"/>
      <c r="M179" s="60"/>
      <c r="N179" s="60">
        <f t="shared" si="55"/>
        <v>0</v>
      </c>
      <c r="O179" s="60">
        <f t="shared" si="56"/>
        <v>0</v>
      </c>
    </row>
    <row r="180" spans="1:15" s="38" customFormat="1" ht="12" hidden="1" customHeight="1" outlineLevel="1" thickBot="1" x14ac:dyDescent="0.3">
      <c r="A180" s="125"/>
      <c r="B180" s="143"/>
      <c r="C180" s="131"/>
      <c r="D180" s="131"/>
      <c r="E180" s="131"/>
      <c r="F180" s="131"/>
      <c r="G180" s="60" t="s">
        <v>131</v>
      </c>
      <c r="H180" s="134"/>
      <c r="I180" s="134"/>
      <c r="J180" s="60"/>
      <c r="K180" s="60"/>
      <c r="L180" s="60"/>
      <c r="M180" s="60"/>
      <c r="N180" s="60">
        <f t="shared" si="55"/>
        <v>0</v>
      </c>
      <c r="O180" s="60">
        <f t="shared" si="56"/>
        <v>0</v>
      </c>
    </row>
    <row r="181" spans="1:15" s="38" customFormat="1" ht="14.45" hidden="1" customHeight="1" outlineLevel="1" x14ac:dyDescent="0.25">
      <c r="A181" s="140" t="s">
        <v>363</v>
      </c>
      <c r="B181" s="141" t="s">
        <v>166</v>
      </c>
      <c r="C181" s="130">
        <f>SUM(N181:N187)</f>
        <v>0</v>
      </c>
      <c r="D181" s="130">
        <f>SUM(O181:O187)</f>
        <v>0</v>
      </c>
      <c r="E181" s="130">
        <f t="shared" si="50"/>
        <v>0</v>
      </c>
      <c r="F181" s="130"/>
      <c r="G181" s="60" t="s">
        <v>125</v>
      </c>
      <c r="H181" s="123"/>
      <c r="I181" s="123"/>
      <c r="J181" s="60"/>
      <c r="K181" s="60"/>
      <c r="L181" s="60"/>
      <c r="M181" s="60"/>
      <c r="N181" s="60">
        <f>M181*J181*K181*L181</f>
        <v>0</v>
      </c>
      <c r="O181" s="60">
        <f>J181*K181*L181</f>
        <v>0</v>
      </c>
    </row>
    <row r="182" spans="1:15" s="38" customFormat="1" ht="11.45" hidden="1" customHeight="1" outlineLevel="1" x14ac:dyDescent="0.25">
      <c r="A182" s="124"/>
      <c r="B182" s="142"/>
      <c r="C182" s="115"/>
      <c r="D182" s="115"/>
      <c r="E182" s="115"/>
      <c r="F182" s="115"/>
      <c r="G182" s="60" t="s">
        <v>126</v>
      </c>
      <c r="H182" s="124"/>
      <c r="I182" s="124"/>
      <c r="J182" s="60"/>
      <c r="K182" s="60"/>
      <c r="L182" s="60"/>
      <c r="M182" s="60"/>
      <c r="N182" s="60">
        <f t="shared" ref="N182:N187" si="57">M182*J182*K182*L182</f>
        <v>0</v>
      </c>
      <c r="O182" s="60">
        <f t="shared" ref="O182:O187" si="58">J182*K182*L182</f>
        <v>0</v>
      </c>
    </row>
    <row r="183" spans="1:15" s="38" customFormat="1" ht="10.7" hidden="1" customHeight="1" outlineLevel="1" x14ac:dyDescent="0.25">
      <c r="A183" s="124"/>
      <c r="B183" s="142"/>
      <c r="C183" s="115"/>
      <c r="D183" s="115"/>
      <c r="E183" s="115"/>
      <c r="F183" s="115"/>
      <c r="G183" s="60" t="s">
        <v>127</v>
      </c>
      <c r="H183" s="124"/>
      <c r="I183" s="124"/>
      <c r="J183" s="60"/>
      <c r="K183" s="60"/>
      <c r="L183" s="60"/>
      <c r="M183" s="60"/>
      <c r="N183" s="60">
        <f t="shared" si="57"/>
        <v>0</v>
      </c>
      <c r="O183" s="60">
        <f t="shared" si="58"/>
        <v>0</v>
      </c>
    </row>
    <row r="184" spans="1:15" s="38" customFormat="1" ht="10.7" hidden="1" customHeight="1" outlineLevel="1" x14ac:dyDescent="0.25">
      <c r="A184" s="124"/>
      <c r="B184" s="142"/>
      <c r="C184" s="115"/>
      <c r="D184" s="115"/>
      <c r="E184" s="115"/>
      <c r="F184" s="115"/>
      <c r="G184" s="60" t="s">
        <v>128</v>
      </c>
      <c r="H184" s="124"/>
      <c r="I184" s="124"/>
      <c r="J184" s="60"/>
      <c r="K184" s="60"/>
      <c r="L184" s="60"/>
      <c r="M184" s="60"/>
      <c r="N184" s="60">
        <f t="shared" si="57"/>
        <v>0</v>
      </c>
      <c r="O184" s="60">
        <f t="shared" si="58"/>
        <v>0</v>
      </c>
    </row>
    <row r="185" spans="1:15" s="38" customFormat="1" ht="10.7" hidden="1" customHeight="1" outlineLevel="1" x14ac:dyDescent="0.25">
      <c r="A185" s="124"/>
      <c r="B185" s="142"/>
      <c r="C185" s="115"/>
      <c r="D185" s="115"/>
      <c r="E185" s="115"/>
      <c r="F185" s="115"/>
      <c r="G185" s="60" t="s">
        <v>129</v>
      </c>
      <c r="H185" s="124"/>
      <c r="I185" s="124"/>
      <c r="J185" s="60"/>
      <c r="K185" s="60"/>
      <c r="L185" s="60"/>
      <c r="M185" s="60"/>
      <c r="N185" s="60">
        <f t="shared" si="57"/>
        <v>0</v>
      </c>
      <c r="O185" s="60">
        <f t="shared" si="58"/>
        <v>0</v>
      </c>
    </row>
    <row r="186" spans="1:15" s="38" customFormat="1" ht="10.7" hidden="1" customHeight="1" outlineLevel="1" x14ac:dyDescent="0.25">
      <c r="A186" s="124"/>
      <c r="B186" s="142"/>
      <c r="C186" s="115"/>
      <c r="D186" s="115"/>
      <c r="E186" s="115"/>
      <c r="F186" s="115"/>
      <c r="G186" s="60" t="s">
        <v>130</v>
      </c>
      <c r="H186" s="124"/>
      <c r="I186" s="124"/>
      <c r="J186" s="60"/>
      <c r="K186" s="60"/>
      <c r="L186" s="60"/>
      <c r="M186" s="60"/>
      <c r="N186" s="60">
        <f t="shared" si="57"/>
        <v>0</v>
      </c>
      <c r="O186" s="60">
        <f t="shared" si="58"/>
        <v>0</v>
      </c>
    </row>
    <row r="187" spans="1:15" s="38" customFormat="1" ht="12" hidden="1" customHeight="1" outlineLevel="1" thickBot="1" x14ac:dyDescent="0.3">
      <c r="A187" s="125"/>
      <c r="B187" s="143"/>
      <c r="C187" s="131"/>
      <c r="D187" s="131"/>
      <c r="E187" s="131"/>
      <c r="F187" s="131"/>
      <c r="G187" s="60" t="s">
        <v>131</v>
      </c>
      <c r="H187" s="134"/>
      <c r="I187" s="134"/>
      <c r="J187" s="60"/>
      <c r="K187" s="60"/>
      <c r="L187" s="60"/>
      <c r="M187" s="60"/>
      <c r="N187" s="60">
        <f t="shared" si="57"/>
        <v>0</v>
      </c>
      <c r="O187" s="60">
        <f t="shared" si="58"/>
        <v>0</v>
      </c>
    </row>
    <row r="188" spans="1:15" s="38" customFormat="1" ht="14.45" hidden="1" customHeight="1" outlineLevel="1" x14ac:dyDescent="0.25">
      <c r="A188" s="140" t="s">
        <v>365</v>
      </c>
      <c r="B188" s="141" t="s">
        <v>538</v>
      </c>
      <c r="C188" s="130">
        <f>SUM(N188:N194)</f>
        <v>0</v>
      </c>
      <c r="D188" s="130">
        <f>SUM(O188:O194)</f>
        <v>0</v>
      </c>
      <c r="E188" s="130">
        <f t="shared" si="50"/>
        <v>0</v>
      </c>
      <c r="F188" s="130"/>
      <c r="G188" s="60" t="s">
        <v>125</v>
      </c>
      <c r="H188" s="123"/>
      <c r="I188" s="123"/>
      <c r="J188" s="60"/>
      <c r="K188" s="60"/>
      <c r="L188" s="60"/>
      <c r="M188" s="60"/>
      <c r="N188" s="60">
        <f>M188*J188*K188*L188</f>
        <v>0</v>
      </c>
      <c r="O188" s="60">
        <f>J188*K188*L188</f>
        <v>0</v>
      </c>
    </row>
    <row r="189" spans="1:15" s="38" customFormat="1" ht="11.45" hidden="1" customHeight="1" outlineLevel="1" x14ac:dyDescent="0.25">
      <c r="A189" s="124"/>
      <c r="B189" s="142"/>
      <c r="C189" s="115"/>
      <c r="D189" s="115"/>
      <c r="E189" s="115"/>
      <c r="F189" s="115"/>
      <c r="G189" s="60" t="s">
        <v>126</v>
      </c>
      <c r="H189" s="124"/>
      <c r="I189" s="124"/>
      <c r="J189" s="60"/>
      <c r="K189" s="60"/>
      <c r="L189" s="60"/>
      <c r="M189" s="60"/>
      <c r="N189" s="60">
        <f t="shared" ref="N189:N194" si="59">M189*J189*K189*L189</f>
        <v>0</v>
      </c>
      <c r="O189" s="60">
        <f t="shared" ref="O189:O194" si="60">J189*K189*L189</f>
        <v>0</v>
      </c>
    </row>
    <row r="190" spans="1:15" s="38" customFormat="1" ht="10.7" hidden="1" customHeight="1" outlineLevel="1" x14ac:dyDescent="0.25">
      <c r="A190" s="124"/>
      <c r="B190" s="142"/>
      <c r="C190" s="115"/>
      <c r="D190" s="115"/>
      <c r="E190" s="115"/>
      <c r="F190" s="115"/>
      <c r="G190" s="60" t="s">
        <v>127</v>
      </c>
      <c r="H190" s="124"/>
      <c r="I190" s="124"/>
      <c r="J190" s="60"/>
      <c r="K190" s="60"/>
      <c r="L190" s="60"/>
      <c r="M190" s="60"/>
      <c r="N190" s="60">
        <f t="shared" si="59"/>
        <v>0</v>
      </c>
      <c r="O190" s="60">
        <f t="shared" si="60"/>
        <v>0</v>
      </c>
    </row>
    <row r="191" spans="1:15" s="38" customFormat="1" ht="10.7" hidden="1" customHeight="1" outlineLevel="1" x14ac:dyDescent="0.25">
      <c r="A191" s="124"/>
      <c r="B191" s="142"/>
      <c r="C191" s="115"/>
      <c r="D191" s="115"/>
      <c r="E191" s="115"/>
      <c r="F191" s="115"/>
      <c r="G191" s="60" t="s">
        <v>128</v>
      </c>
      <c r="H191" s="124"/>
      <c r="I191" s="124"/>
      <c r="J191" s="60"/>
      <c r="K191" s="60"/>
      <c r="L191" s="60"/>
      <c r="M191" s="60"/>
      <c r="N191" s="60">
        <f t="shared" si="59"/>
        <v>0</v>
      </c>
      <c r="O191" s="60">
        <f t="shared" si="60"/>
        <v>0</v>
      </c>
    </row>
    <row r="192" spans="1:15" s="38" customFormat="1" ht="10.7" hidden="1" customHeight="1" outlineLevel="1" x14ac:dyDescent="0.25">
      <c r="A192" s="124"/>
      <c r="B192" s="142"/>
      <c r="C192" s="115"/>
      <c r="D192" s="115"/>
      <c r="E192" s="115"/>
      <c r="F192" s="115"/>
      <c r="G192" s="60" t="s">
        <v>129</v>
      </c>
      <c r="H192" s="124"/>
      <c r="I192" s="124"/>
      <c r="J192" s="60"/>
      <c r="K192" s="60"/>
      <c r="L192" s="60"/>
      <c r="M192" s="60"/>
      <c r="N192" s="60">
        <f t="shared" si="59"/>
        <v>0</v>
      </c>
      <c r="O192" s="60">
        <f t="shared" si="60"/>
        <v>0</v>
      </c>
    </row>
    <row r="193" spans="1:15" s="38" customFormat="1" ht="10.7" hidden="1" customHeight="1" outlineLevel="1" x14ac:dyDescent="0.25">
      <c r="A193" s="124"/>
      <c r="B193" s="142"/>
      <c r="C193" s="115"/>
      <c r="D193" s="115"/>
      <c r="E193" s="115"/>
      <c r="F193" s="115"/>
      <c r="G193" s="60" t="s">
        <v>130</v>
      </c>
      <c r="H193" s="124"/>
      <c r="I193" s="124"/>
      <c r="J193" s="60"/>
      <c r="K193" s="60"/>
      <c r="L193" s="60"/>
      <c r="M193" s="60"/>
      <c r="N193" s="60">
        <f t="shared" si="59"/>
        <v>0</v>
      </c>
      <c r="O193" s="60">
        <f t="shared" si="60"/>
        <v>0</v>
      </c>
    </row>
    <row r="194" spans="1:15" s="38" customFormat="1" ht="12" hidden="1" customHeight="1" outlineLevel="1" thickBot="1" x14ac:dyDescent="0.3">
      <c r="A194" s="125"/>
      <c r="B194" s="143"/>
      <c r="C194" s="131"/>
      <c r="D194" s="131"/>
      <c r="E194" s="131"/>
      <c r="F194" s="131"/>
      <c r="G194" s="60" t="s">
        <v>131</v>
      </c>
      <c r="H194" s="134"/>
      <c r="I194" s="134"/>
      <c r="J194" s="60"/>
      <c r="K194" s="60"/>
      <c r="L194" s="60"/>
      <c r="M194" s="60"/>
      <c r="N194" s="60">
        <f t="shared" si="59"/>
        <v>0</v>
      </c>
      <c r="O194" s="60">
        <f t="shared" si="60"/>
        <v>0</v>
      </c>
    </row>
    <row r="195" spans="1:15" s="38" customFormat="1" ht="14.45" hidden="1" customHeight="1" outlineLevel="1" x14ac:dyDescent="0.25">
      <c r="A195" s="140" t="s">
        <v>367</v>
      </c>
      <c r="B195" s="141" t="s">
        <v>419</v>
      </c>
      <c r="C195" s="130">
        <f>SUM(N195:N201)</f>
        <v>0</v>
      </c>
      <c r="D195" s="130">
        <f>SUM(O195:O201)</f>
        <v>0</v>
      </c>
      <c r="E195" s="130">
        <f t="shared" si="50"/>
        <v>0</v>
      </c>
      <c r="F195" s="130"/>
      <c r="G195" s="60" t="s">
        <v>125</v>
      </c>
      <c r="H195" s="123"/>
      <c r="I195" s="123"/>
      <c r="J195" s="60"/>
      <c r="K195" s="60"/>
      <c r="L195" s="60"/>
      <c r="M195" s="60"/>
      <c r="N195" s="60">
        <f>M195*J195*K195*L195</f>
        <v>0</v>
      </c>
      <c r="O195" s="60">
        <f>J195*K195*L195</f>
        <v>0</v>
      </c>
    </row>
    <row r="196" spans="1:15" s="38" customFormat="1" ht="11.45" hidden="1" customHeight="1" outlineLevel="1" x14ac:dyDescent="0.25">
      <c r="A196" s="124"/>
      <c r="B196" s="142"/>
      <c r="C196" s="115"/>
      <c r="D196" s="115"/>
      <c r="E196" s="115"/>
      <c r="F196" s="115"/>
      <c r="G196" s="60" t="s">
        <v>126</v>
      </c>
      <c r="H196" s="124"/>
      <c r="I196" s="124"/>
      <c r="J196" s="60"/>
      <c r="K196" s="60"/>
      <c r="L196" s="60"/>
      <c r="M196" s="60"/>
      <c r="N196" s="60">
        <f t="shared" ref="N196:N201" si="61">M196*J196*K196*L196</f>
        <v>0</v>
      </c>
      <c r="O196" s="60">
        <f t="shared" ref="O196:O201" si="62">J196*K196*L196</f>
        <v>0</v>
      </c>
    </row>
    <row r="197" spans="1:15" s="38" customFormat="1" ht="10.7" hidden="1" customHeight="1" outlineLevel="1" x14ac:dyDescent="0.25">
      <c r="A197" s="124"/>
      <c r="B197" s="142"/>
      <c r="C197" s="115"/>
      <c r="D197" s="115"/>
      <c r="E197" s="115"/>
      <c r="F197" s="115"/>
      <c r="G197" s="60" t="s">
        <v>127</v>
      </c>
      <c r="H197" s="124"/>
      <c r="I197" s="124"/>
      <c r="J197" s="60"/>
      <c r="K197" s="60"/>
      <c r="L197" s="60"/>
      <c r="M197" s="60"/>
      <c r="N197" s="60">
        <f t="shared" si="61"/>
        <v>0</v>
      </c>
      <c r="O197" s="60">
        <f t="shared" si="62"/>
        <v>0</v>
      </c>
    </row>
    <row r="198" spans="1:15" s="38" customFormat="1" ht="10.7" hidden="1" customHeight="1" outlineLevel="1" x14ac:dyDescent="0.25">
      <c r="A198" s="124"/>
      <c r="B198" s="142"/>
      <c r="C198" s="115"/>
      <c r="D198" s="115"/>
      <c r="E198" s="115"/>
      <c r="F198" s="115"/>
      <c r="G198" s="60" t="s">
        <v>128</v>
      </c>
      <c r="H198" s="124"/>
      <c r="I198" s="124"/>
      <c r="J198" s="60"/>
      <c r="K198" s="60"/>
      <c r="L198" s="60"/>
      <c r="M198" s="60"/>
      <c r="N198" s="60">
        <f t="shared" si="61"/>
        <v>0</v>
      </c>
      <c r="O198" s="60">
        <f t="shared" si="62"/>
        <v>0</v>
      </c>
    </row>
    <row r="199" spans="1:15" s="38" customFormat="1" ht="10.7" hidden="1" customHeight="1" outlineLevel="1" x14ac:dyDescent="0.25">
      <c r="A199" s="124"/>
      <c r="B199" s="142"/>
      <c r="C199" s="115"/>
      <c r="D199" s="115"/>
      <c r="E199" s="115"/>
      <c r="F199" s="115"/>
      <c r="G199" s="60" t="s">
        <v>129</v>
      </c>
      <c r="H199" s="124"/>
      <c r="I199" s="124"/>
      <c r="J199" s="60"/>
      <c r="K199" s="60"/>
      <c r="L199" s="60"/>
      <c r="M199" s="60"/>
      <c r="N199" s="60">
        <f t="shared" si="61"/>
        <v>0</v>
      </c>
      <c r="O199" s="60">
        <f t="shared" si="62"/>
        <v>0</v>
      </c>
    </row>
    <row r="200" spans="1:15" s="38" customFormat="1" ht="10.7" hidden="1" customHeight="1" outlineLevel="1" x14ac:dyDescent="0.25">
      <c r="A200" s="124"/>
      <c r="B200" s="142"/>
      <c r="C200" s="115"/>
      <c r="D200" s="115"/>
      <c r="E200" s="115"/>
      <c r="F200" s="115"/>
      <c r="G200" s="60" t="s">
        <v>130</v>
      </c>
      <c r="H200" s="124"/>
      <c r="I200" s="124"/>
      <c r="J200" s="60"/>
      <c r="K200" s="60"/>
      <c r="L200" s="60"/>
      <c r="M200" s="60"/>
      <c r="N200" s="60">
        <f t="shared" si="61"/>
        <v>0</v>
      </c>
      <c r="O200" s="60">
        <f t="shared" si="62"/>
        <v>0</v>
      </c>
    </row>
    <row r="201" spans="1:15" s="38" customFormat="1" ht="12" hidden="1" customHeight="1" outlineLevel="1" thickBot="1" x14ac:dyDescent="0.3">
      <c r="A201" s="125"/>
      <c r="B201" s="143"/>
      <c r="C201" s="131"/>
      <c r="D201" s="131"/>
      <c r="E201" s="131"/>
      <c r="F201" s="131"/>
      <c r="G201" s="60" t="s">
        <v>131</v>
      </c>
      <c r="H201" s="134"/>
      <c r="I201" s="134"/>
      <c r="J201" s="60"/>
      <c r="K201" s="60"/>
      <c r="L201" s="60"/>
      <c r="M201" s="60"/>
      <c r="N201" s="60">
        <f t="shared" si="61"/>
        <v>0</v>
      </c>
      <c r="O201" s="60">
        <f t="shared" si="62"/>
        <v>0</v>
      </c>
    </row>
    <row r="202" spans="1:15" s="38" customFormat="1" ht="14.45" hidden="1" customHeight="1" outlineLevel="1" x14ac:dyDescent="0.25">
      <c r="A202" s="140" t="s">
        <v>369</v>
      </c>
      <c r="B202" s="141" t="s">
        <v>539</v>
      </c>
      <c r="C202" s="130">
        <f>SUM(N202:N208)</f>
        <v>0</v>
      </c>
      <c r="D202" s="130">
        <f>SUM(O202:O208)</f>
        <v>0</v>
      </c>
      <c r="E202" s="130">
        <f t="shared" si="50"/>
        <v>0</v>
      </c>
      <c r="F202" s="130"/>
      <c r="G202" s="60" t="s">
        <v>125</v>
      </c>
      <c r="H202" s="123"/>
      <c r="I202" s="123"/>
      <c r="J202" s="60"/>
      <c r="K202" s="60"/>
      <c r="L202" s="60"/>
      <c r="M202" s="60"/>
      <c r="N202" s="60">
        <f>M202*J202*K202*L202</f>
        <v>0</v>
      </c>
      <c r="O202" s="60">
        <f>J202*K202*L202</f>
        <v>0</v>
      </c>
    </row>
    <row r="203" spans="1:15" s="38" customFormat="1" ht="11.45" hidden="1" customHeight="1" outlineLevel="1" x14ac:dyDescent="0.25">
      <c r="A203" s="124"/>
      <c r="B203" s="142"/>
      <c r="C203" s="115"/>
      <c r="D203" s="115"/>
      <c r="E203" s="115"/>
      <c r="F203" s="115"/>
      <c r="G203" s="60" t="s">
        <v>126</v>
      </c>
      <c r="H203" s="124"/>
      <c r="I203" s="124"/>
      <c r="J203" s="60"/>
      <c r="K203" s="60"/>
      <c r="L203" s="60"/>
      <c r="M203" s="60"/>
      <c r="N203" s="60">
        <f t="shared" ref="N203:N208" si="63">M203*J203*K203*L203</f>
        <v>0</v>
      </c>
      <c r="O203" s="60">
        <f t="shared" ref="O203:O208" si="64">J203*K203*L203</f>
        <v>0</v>
      </c>
    </row>
    <row r="204" spans="1:15" s="38" customFormat="1" ht="10.7" hidden="1" customHeight="1" outlineLevel="1" x14ac:dyDescent="0.25">
      <c r="A204" s="124"/>
      <c r="B204" s="142"/>
      <c r="C204" s="115"/>
      <c r="D204" s="115"/>
      <c r="E204" s="115"/>
      <c r="F204" s="115"/>
      <c r="G204" s="60" t="s">
        <v>127</v>
      </c>
      <c r="H204" s="124"/>
      <c r="I204" s="124"/>
      <c r="J204" s="60"/>
      <c r="K204" s="60"/>
      <c r="L204" s="60"/>
      <c r="M204" s="60"/>
      <c r="N204" s="60">
        <f t="shared" si="63"/>
        <v>0</v>
      </c>
      <c r="O204" s="60">
        <f t="shared" si="64"/>
        <v>0</v>
      </c>
    </row>
    <row r="205" spans="1:15" s="38" customFormat="1" ht="10.7" hidden="1" customHeight="1" outlineLevel="1" x14ac:dyDescent="0.25">
      <c r="A205" s="124"/>
      <c r="B205" s="142"/>
      <c r="C205" s="115"/>
      <c r="D205" s="115"/>
      <c r="E205" s="115"/>
      <c r="F205" s="115"/>
      <c r="G205" s="60" t="s">
        <v>128</v>
      </c>
      <c r="H205" s="124"/>
      <c r="I205" s="124"/>
      <c r="J205" s="60"/>
      <c r="K205" s="60"/>
      <c r="L205" s="60"/>
      <c r="M205" s="60"/>
      <c r="N205" s="60">
        <f t="shared" si="63"/>
        <v>0</v>
      </c>
      <c r="O205" s="60">
        <f t="shared" si="64"/>
        <v>0</v>
      </c>
    </row>
    <row r="206" spans="1:15" s="38" customFormat="1" ht="10.7" hidden="1" customHeight="1" outlineLevel="1" x14ac:dyDescent="0.25">
      <c r="A206" s="124"/>
      <c r="B206" s="142"/>
      <c r="C206" s="115"/>
      <c r="D206" s="115"/>
      <c r="E206" s="115"/>
      <c r="F206" s="115"/>
      <c r="G206" s="60" t="s">
        <v>129</v>
      </c>
      <c r="H206" s="124"/>
      <c r="I206" s="124"/>
      <c r="J206" s="60"/>
      <c r="K206" s="60"/>
      <c r="L206" s="60"/>
      <c r="M206" s="60"/>
      <c r="N206" s="60">
        <f t="shared" si="63"/>
        <v>0</v>
      </c>
      <c r="O206" s="60">
        <f t="shared" si="64"/>
        <v>0</v>
      </c>
    </row>
    <row r="207" spans="1:15" s="38" customFormat="1" ht="10.7" hidden="1" customHeight="1" outlineLevel="1" x14ac:dyDescent="0.25">
      <c r="A207" s="124"/>
      <c r="B207" s="142"/>
      <c r="C207" s="115"/>
      <c r="D207" s="115"/>
      <c r="E207" s="115"/>
      <c r="F207" s="115"/>
      <c r="G207" s="60" t="s">
        <v>130</v>
      </c>
      <c r="H207" s="124"/>
      <c r="I207" s="124"/>
      <c r="J207" s="60"/>
      <c r="K207" s="60"/>
      <c r="L207" s="60"/>
      <c r="M207" s="60"/>
      <c r="N207" s="60">
        <f t="shared" si="63"/>
        <v>0</v>
      </c>
      <c r="O207" s="60">
        <f t="shared" si="64"/>
        <v>0</v>
      </c>
    </row>
    <row r="208" spans="1:15" s="38" customFormat="1" ht="12" hidden="1" customHeight="1" outlineLevel="1" thickBot="1" x14ac:dyDescent="0.3">
      <c r="A208" s="125"/>
      <c r="B208" s="143"/>
      <c r="C208" s="131"/>
      <c r="D208" s="131"/>
      <c r="E208" s="131"/>
      <c r="F208" s="131"/>
      <c r="G208" s="60" t="s">
        <v>131</v>
      </c>
      <c r="H208" s="134"/>
      <c r="I208" s="134"/>
      <c r="J208" s="60"/>
      <c r="K208" s="60"/>
      <c r="L208" s="60"/>
      <c r="M208" s="60"/>
      <c r="N208" s="60">
        <f t="shared" si="63"/>
        <v>0</v>
      </c>
      <c r="O208" s="60">
        <f t="shared" si="64"/>
        <v>0</v>
      </c>
    </row>
    <row r="209" spans="1:15" s="38" customFormat="1" ht="14.45" hidden="1" customHeight="1" outlineLevel="1" x14ac:dyDescent="0.25">
      <c r="A209" s="140" t="s">
        <v>371</v>
      </c>
      <c r="B209" s="141" t="s">
        <v>540</v>
      </c>
      <c r="C209" s="130">
        <f>SUM(N209:N215)</f>
        <v>0</v>
      </c>
      <c r="D209" s="130">
        <f>SUM(O209:O215)</f>
        <v>0</v>
      </c>
      <c r="E209" s="130">
        <f t="shared" si="50"/>
        <v>0</v>
      </c>
      <c r="F209" s="130"/>
      <c r="G209" s="60" t="s">
        <v>125</v>
      </c>
      <c r="H209" s="123"/>
      <c r="I209" s="123"/>
      <c r="J209" s="60"/>
      <c r="K209" s="60"/>
      <c r="L209" s="60"/>
      <c r="M209" s="60"/>
      <c r="N209" s="60">
        <f>M209*J209*K209*L209</f>
        <v>0</v>
      </c>
      <c r="O209" s="60">
        <f>J209*K209*L209</f>
        <v>0</v>
      </c>
    </row>
    <row r="210" spans="1:15" s="38" customFormat="1" ht="11.45" hidden="1" customHeight="1" outlineLevel="1" x14ac:dyDescent="0.25">
      <c r="A210" s="124"/>
      <c r="B210" s="142"/>
      <c r="C210" s="115"/>
      <c r="D210" s="115"/>
      <c r="E210" s="115"/>
      <c r="F210" s="115"/>
      <c r="G210" s="60" t="s">
        <v>126</v>
      </c>
      <c r="H210" s="124"/>
      <c r="I210" s="124"/>
      <c r="J210" s="60"/>
      <c r="K210" s="60"/>
      <c r="L210" s="60"/>
      <c r="M210" s="60"/>
      <c r="N210" s="60">
        <f t="shared" ref="N210:N215" si="65">M210*J210*K210*L210</f>
        <v>0</v>
      </c>
      <c r="O210" s="60">
        <f t="shared" ref="O210:O215" si="66">J210*K210*L210</f>
        <v>0</v>
      </c>
    </row>
    <row r="211" spans="1:15" s="38" customFormat="1" ht="10.7" hidden="1" customHeight="1" outlineLevel="1" x14ac:dyDescent="0.25">
      <c r="A211" s="124"/>
      <c r="B211" s="142"/>
      <c r="C211" s="115"/>
      <c r="D211" s="115"/>
      <c r="E211" s="115"/>
      <c r="F211" s="115"/>
      <c r="G211" s="60" t="s">
        <v>127</v>
      </c>
      <c r="H211" s="124"/>
      <c r="I211" s="124"/>
      <c r="J211" s="60"/>
      <c r="K211" s="60"/>
      <c r="L211" s="60"/>
      <c r="M211" s="60"/>
      <c r="N211" s="60">
        <f t="shared" si="65"/>
        <v>0</v>
      </c>
      <c r="O211" s="60">
        <f t="shared" si="66"/>
        <v>0</v>
      </c>
    </row>
    <row r="212" spans="1:15" s="38" customFormat="1" ht="10.7" hidden="1" customHeight="1" outlineLevel="1" x14ac:dyDescent="0.25">
      <c r="A212" s="124"/>
      <c r="B212" s="142"/>
      <c r="C212" s="115"/>
      <c r="D212" s="115"/>
      <c r="E212" s="115"/>
      <c r="F212" s="115"/>
      <c r="G212" s="60" t="s">
        <v>128</v>
      </c>
      <c r="H212" s="124"/>
      <c r="I212" s="124"/>
      <c r="J212" s="60"/>
      <c r="K212" s="60"/>
      <c r="L212" s="60"/>
      <c r="M212" s="60"/>
      <c r="N212" s="60">
        <f t="shared" si="65"/>
        <v>0</v>
      </c>
      <c r="O212" s="60">
        <f t="shared" si="66"/>
        <v>0</v>
      </c>
    </row>
    <row r="213" spans="1:15" s="38" customFormat="1" ht="10.7" hidden="1" customHeight="1" outlineLevel="1" x14ac:dyDescent="0.25">
      <c r="A213" s="124"/>
      <c r="B213" s="142"/>
      <c r="C213" s="115"/>
      <c r="D213" s="115"/>
      <c r="E213" s="115"/>
      <c r="F213" s="115"/>
      <c r="G213" s="60" t="s">
        <v>129</v>
      </c>
      <c r="H213" s="124"/>
      <c r="I213" s="124"/>
      <c r="J213" s="60"/>
      <c r="K213" s="60"/>
      <c r="L213" s="60"/>
      <c r="M213" s="60"/>
      <c r="N213" s="60">
        <f t="shared" si="65"/>
        <v>0</v>
      </c>
      <c r="O213" s="60">
        <f t="shared" si="66"/>
        <v>0</v>
      </c>
    </row>
    <row r="214" spans="1:15" s="38" customFormat="1" ht="10.7" hidden="1" customHeight="1" outlineLevel="1" x14ac:dyDescent="0.25">
      <c r="A214" s="124"/>
      <c r="B214" s="142"/>
      <c r="C214" s="115"/>
      <c r="D214" s="115"/>
      <c r="E214" s="115"/>
      <c r="F214" s="115"/>
      <c r="G214" s="60" t="s">
        <v>130</v>
      </c>
      <c r="H214" s="124"/>
      <c r="I214" s="124"/>
      <c r="J214" s="60"/>
      <c r="K214" s="60"/>
      <c r="L214" s="60"/>
      <c r="M214" s="60"/>
      <c r="N214" s="60">
        <f t="shared" si="65"/>
        <v>0</v>
      </c>
      <c r="O214" s="60">
        <f t="shared" si="66"/>
        <v>0</v>
      </c>
    </row>
    <row r="215" spans="1:15" s="38" customFormat="1" ht="12" hidden="1" customHeight="1" outlineLevel="1" thickBot="1" x14ac:dyDescent="0.3">
      <c r="A215" s="125"/>
      <c r="B215" s="143"/>
      <c r="C215" s="131"/>
      <c r="D215" s="131"/>
      <c r="E215" s="131"/>
      <c r="F215" s="131"/>
      <c r="G215" s="60" t="s">
        <v>131</v>
      </c>
      <c r="H215" s="134"/>
      <c r="I215" s="134"/>
      <c r="J215" s="60"/>
      <c r="K215" s="60"/>
      <c r="L215" s="60"/>
      <c r="M215" s="60"/>
      <c r="N215" s="60">
        <f t="shared" si="65"/>
        <v>0</v>
      </c>
      <c r="O215" s="60">
        <f t="shared" si="66"/>
        <v>0</v>
      </c>
    </row>
    <row r="216" spans="1:15" s="38" customFormat="1" ht="14.45" hidden="1" customHeight="1" outlineLevel="1" x14ac:dyDescent="0.25">
      <c r="A216" s="140" t="s">
        <v>373</v>
      </c>
      <c r="B216" s="141" t="s">
        <v>541</v>
      </c>
      <c r="C216" s="130">
        <f>SUM(N216:N222)</f>
        <v>0</v>
      </c>
      <c r="D216" s="130">
        <f>SUM(O216:O222)</f>
        <v>0</v>
      </c>
      <c r="E216" s="130">
        <f t="shared" si="50"/>
        <v>0</v>
      </c>
      <c r="F216" s="130"/>
      <c r="G216" s="60" t="s">
        <v>125</v>
      </c>
      <c r="H216" s="123"/>
      <c r="I216" s="123"/>
      <c r="J216" s="60"/>
      <c r="K216" s="60"/>
      <c r="L216" s="60"/>
      <c r="M216" s="60"/>
      <c r="N216" s="60">
        <f>M216*J216*K216*L216</f>
        <v>0</v>
      </c>
      <c r="O216" s="60">
        <f>J216*K216*L216</f>
        <v>0</v>
      </c>
    </row>
    <row r="217" spans="1:15" s="38" customFormat="1" ht="11.45" hidden="1" customHeight="1" outlineLevel="1" x14ac:dyDescent="0.25">
      <c r="A217" s="124"/>
      <c r="B217" s="142"/>
      <c r="C217" s="115"/>
      <c r="D217" s="115"/>
      <c r="E217" s="115"/>
      <c r="F217" s="115"/>
      <c r="G217" s="60" t="s">
        <v>126</v>
      </c>
      <c r="H217" s="124"/>
      <c r="I217" s="124"/>
      <c r="J217" s="60"/>
      <c r="K217" s="60"/>
      <c r="L217" s="60"/>
      <c r="M217" s="60"/>
      <c r="N217" s="60">
        <f t="shared" ref="N217:N222" si="67">M217*J217*K217*L217</f>
        <v>0</v>
      </c>
      <c r="O217" s="60">
        <f t="shared" ref="O217:O222" si="68">J217*K217*L217</f>
        <v>0</v>
      </c>
    </row>
    <row r="218" spans="1:15" s="38" customFormat="1" ht="10.7" hidden="1" customHeight="1" outlineLevel="1" x14ac:dyDescent="0.25">
      <c r="A218" s="124"/>
      <c r="B218" s="142"/>
      <c r="C218" s="115"/>
      <c r="D218" s="115"/>
      <c r="E218" s="115"/>
      <c r="F218" s="115"/>
      <c r="G218" s="60" t="s">
        <v>127</v>
      </c>
      <c r="H218" s="124"/>
      <c r="I218" s="124"/>
      <c r="J218" s="60"/>
      <c r="K218" s="60"/>
      <c r="L218" s="60"/>
      <c r="M218" s="60"/>
      <c r="N218" s="60">
        <f t="shared" si="67"/>
        <v>0</v>
      </c>
      <c r="O218" s="60">
        <f t="shared" si="68"/>
        <v>0</v>
      </c>
    </row>
    <row r="219" spans="1:15" s="38" customFormat="1" ht="10.7" hidden="1" customHeight="1" outlineLevel="1" x14ac:dyDescent="0.25">
      <c r="A219" s="124"/>
      <c r="B219" s="142"/>
      <c r="C219" s="115"/>
      <c r="D219" s="115"/>
      <c r="E219" s="115"/>
      <c r="F219" s="115"/>
      <c r="G219" s="60" t="s">
        <v>128</v>
      </c>
      <c r="H219" s="124"/>
      <c r="I219" s="124"/>
      <c r="J219" s="60"/>
      <c r="K219" s="60"/>
      <c r="L219" s="60"/>
      <c r="M219" s="60"/>
      <c r="N219" s="60">
        <f t="shared" si="67"/>
        <v>0</v>
      </c>
      <c r="O219" s="60">
        <f t="shared" si="68"/>
        <v>0</v>
      </c>
    </row>
    <row r="220" spans="1:15" s="38" customFormat="1" ht="10.7" hidden="1" customHeight="1" outlineLevel="1" x14ac:dyDescent="0.25">
      <c r="A220" s="124"/>
      <c r="B220" s="142"/>
      <c r="C220" s="115"/>
      <c r="D220" s="115"/>
      <c r="E220" s="115"/>
      <c r="F220" s="115"/>
      <c r="G220" s="60" t="s">
        <v>129</v>
      </c>
      <c r="H220" s="124"/>
      <c r="I220" s="124"/>
      <c r="J220" s="60"/>
      <c r="K220" s="60"/>
      <c r="L220" s="60"/>
      <c r="M220" s="60"/>
      <c r="N220" s="60">
        <f t="shared" si="67"/>
        <v>0</v>
      </c>
      <c r="O220" s="60">
        <f t="shared" si="68"/>
        <v>0</v>
      </c>
    </row>
    <row r="221" spans="1:15" s="38" customFormat="1" ht="10.7" hidden="1" customHeight="1" outlineLevel="1" x14ac:dyDescent="0.25">
      <c r="A221" s="124"/>
      <c r="B221" s="142"/>
      <c r="C221" s="115"/>
      <c r="D221" s="115"/>
      <c r="E221" s="115"/>
      <c r="F221" s="115"/>
      <c r="G221" s="60" t="s">
        <v>130</v>
      </c>
      <c r="H221" s="124"/>
      <c r="I221" s="124"/>
      <c r="J221" s="60"/>
      <c r="K221" s="60"/>
      <c r="L221" s="60"/>
      <c r="M221" s="60"/>
      <c r="N221" s="60">
        <f t="shared" si="67"/>
        <v>0</v>
      </c>
      <c r="O221" s="60">
        <f t="shared" si="68"/>
        <v>0</v>
      </c>
    </row>
    <row r="222" spans="1:15" s="38" customFormat="1" ht="12" hidden="1" customHeight="1" outlineLevel="1" thickBot="1" x14ac:dyDescent="0.3">
      <c r="A222" s="125"/>
      <c r="B222" s="143"/>
      <c r="C222" s="131"/>
      <c r="D222" s="131"/>
      <c r="E222" s="131"/>
      <c r="F222" s="131"/>
      <c r="G222" s="60" t="s">
        <v>131</v>
      </c>
      <c r="H222" s="134"/>
      <c r="I222" s="134"/>
      <c r="J222" s="60"/>
      <c r="K222" s="60"/>
      <c r="L222" s="60"/>
      <c r="M222" s="60"/>
      <c r="N222" s="60">
        <f t="shared" si="67"/>
        <v>0</v>
      </c>
      <c r="O222" s="60">
        <f t="shared" si="68"/>
        <v>0</v>
      </c>
    </row>
    <row r="223" spans="1:15" s="38" customFormat="1" ht="14.45" hidden="1" customHeight="1" outlineLevel="1" x14ac:dyDescent="0.25">
      <c r="A223" s="140" t="s">
        <v>375</v>
      </c>
      <c r="B223" s="141" t="s">
        <v>542</v>
      </c>
      <c r="C223" s="130">
        <f>SUM(N223:N229)</f>
        <v>0</v>
      </c>
      <c r="D223" s="130">
        <f>SUM(O223:O229)</f>
        <v>0</v>
      </c>
      <c r="E223" s="130">
        <f t="shared" si="50"/>
        <v>0</v>
      </c>
      <c r="F223" s="130"/>
      <c r="G223" s="60" t="s">
        <v>125</v>
      </c>
      <c r="H223" s="123"/>
      <c r="I223" s="123"/>
      <c r="J223" s="60"/>
      <c r="K223" s="60"/>
      <c r="L223" s="60"/>
      <c r="M223" s="60"/>
      <c r="N223" s="60">
        <f>M223*J223*K223*L223</f>
        <v>0</v>
      </c>
      <c r="O223" s="60">
        <f>J223*K223*L223</f>
        <v>0</v>
      </c>
    </row>
    <row r="224" spans="1:15" s="38" customFormat="1" ht="11.45" hidden="1" customHeight="1" outlineLevel="1" x14ac:dyDescent="0.25">
      <c r="A224" s="124"/>
      <c r="B224" s="142"/>
      <c r="C224" s="115"/>
      <c r="D224" s="115"/>
      <c r="E224" s="115"/>
      <c r="F224" s="115"/>
      <c r="G224" s="60" t="s">
        <v>126</v>
      </c>
      <c r="H224" s="124"/>
      <c r="I224" s="124"/>
      <c r="J224" s="60"/>
      <c r="K224" s="60"/>
      <c r="L224" s="60"/>
      <c r="M224" s="60"/>
      <c r="N224" s="60">
        <f t="shared" ref="N224:N229" si="69">M224*J224*K224*L224</f>
        <v>0</v>
      </c>
      <c r="O224" s="60">
        <f t="shared" ref="O224:O229" si="70">J224*K224*L224</f>
        <v>0</v>
      </c>
    </row>
    <row r="225" spans="1:15" s="38" customFormat="1" ht="10.7" hidden="1" customHeight="1" outlineLevel="1" x14ac:dyDescent="0.25">
      <c r="A225" s="124"/>
      <c r="B225" s="142"/>
      <c r="C225" s="115"/>
      <c r="D225" s="115"/>
      <c r="E225" s="115"/>
      <c r="F225" s="115"/>
      <c r="G225" s="60" t="s">
        <v>127</v>
      </c>
      <c r="H225" s="124"/>
      <c r="I225" s="124"/>
      <c r="J225" s="60"/>
      <c r="K225" s="60"/>
      <c r="L225" s="60"/>
      <c r="M225" s="60"/>
      <c r="N225" s="60">
        <f t="shared" si="69"/>
        <v>0</v>
      </c>
      <c r="O225" s="60">
        <f t="shared" si="70"/>
        <v>0</v>
      </c>
    </row>
    <row r="226" spans="1:15" s="38" customFormat="1" ht="10.7" hidden="1" customHeight="1" outlineLevel="1" x14ac:dyDescent="0.25">
      <c r="A226" s="124"/>
      <c r="B226" s="142"/>
      <c r="C226" s="115"/>
      <c r="D226" s="115"/>
      <c r="E226" s="115"/>
      <c r="F226" s="115"/>
      <c r="G226" s="60" t="s">
        <v>128</v>
      </c>
      <c r="H226" s="124"/>
      <c r="I226" s="124"/>
      <c r="J226" s="60"/>
      <c r="K226" s="60"/>
      <c r="L226" s="60"/>
      <c r="M226" s="60"/>
      <c r="N226" s="60">
        <f t="shared" si="69"/>
        <v>0</v>
      </c>
      <c r="O226" s="60">
        <f t="shared" si="70"/>
        <v>0</v>
      </c>
    </row>
    <row r="227" spans="1:15" s="38" customFormat="1" ht="10.7" hidden="1" customHeight="1" outlineLevel="1" x14ac:dyDescent="0.25">
      <c r="A227" s="124"/>
      <c r="B227" s="142"/>
      <c r="C227" s="115"/>
      <c r="D227" s="115"/>
      <c r="E227" s="115"/>
      <c r="F227" s="115"/>
      <c r="G227" s="60" t="s">
        <v>129</v>
      </c>
      <c r="H227" s="124"/>
      <c r="I227" s="124"/>
      <c r="J227" s="60"/>
      <c r="K227" s="60"/>
      <c r="L227" s="60"/>
      <c r="M227" s="60"/>
      <c r="N227" s="60">
        <f t="shared" si="69"/>
        <v>0</v>
      </c>
      <c r="O227" s="60">
        <f t="shared" si="70"/>
        <v>0</v>
      </c>
    </row>
    <row r="228" spans="1:15" s="38" customFormat="1" ht="10.7" hidden="1" customHeight="1" outlineLevel="1" x14ac:dyDescent="0.25">
      <c r="A228" s="124"/>
      <c r="B228" s="142"/>
      <c r="C228" s="115"/>
      <c r="D228" s="115"/>
      <c r="E228" s="115"/>
      <c r="F228" s="115"/>
      <c r="G228" s="60" t="s">
        <v>130</v>
      </c>
      <c r="H228" s="124"/>
      <c r="I228" s="124"/>
      <c r="J228" s="60"/>
      <c r="K228" s="60"/>
      <c r="L228" s="60"/>
      <c r="M228" s="60"/>
      <c r="N228" s="60">
        <f t="shared" si="69"/>
        <v>0</v>
      </c>
      <c r="O228" s="60">
        <f t="shared" si="70"/>
        <v>0</v>
      </c>
    </row>
    <row r="229" spans="1:15" s="38" customFormat="1" ht="12" hidden="1" customHeight="1" outlineLevel="1" thickBot="1" x14ac:dyDescent="0.3">
      <c r="A229" s="125"/>
      <c r="B229" s="143"/>
      <c r="C229" s="131"/>
      <c r="D229" s="131"/>
      <c r="E229" s="131"/>
      <c r="F229" s="131"/>
      <c r="G229" s="60" t="s">
        <v>131</v>
      </c>
      <c r="H229" s="134"/>
      <c r="I229" s="134"/>
      <c r="J229" s="60"/>
      <c r="K229" s="60"/>
      <c r="L229" s="60"/>
      <c r="M229" s="60"/>
      <c r="N229" s="60">
        <f t="shared" si="69"/>
        <v>0</v>
      </c>
      <c r="O229" s="60">
        <f t="shared" si="70"/>
        <v>0</v>
      </c>
    </row>
    <row r="230" spans="1:15" s="38" customFormat="1" ht="14.45" hidden="1" customHeight="1" outlineLevel="1" x14ac:dyDescent="0.25">
      <c r="A230" s="140" t="s">
        <v>424</v>
      </c>
      <c r="B230" s="141" t="s">
        <v>543</v>
      </c>
      <c r="C230" s="130">
        <f>SUM(N230:N236)</f>
        <v>0</v>
      </c>
      <c r="D230" s="130">
        <f>SUM(O230:O236)</f>
        <v>0</v>
      </c>
      <c r="E230" s="130">
        <f t="shared" ref="E230:E265" si="71">D230/8</f>
        <v>0</v>
      </c>
      <c r="F230" s="130"/>
      <c r="G230" s="60" t="s">
        <v>125</v>
      </c>
      <c r="H230" s="123"/>
      <c r="I230" s="123"/>
      <c r="J230" s="60"/>
      <c r="K230" s="60"/>
      <c r="L230" s="60"/>
      <c r="M230" s="60"/>
      <c r="N230" s="60">
        <f>M230*J230*K230*L230</f>
        <v>0</v>
      </c>
      <c r="O230" s="60">
        <f>J230*K230*L230</f>
        <v>0</v>
      </c>
    </row>
    <row r="231" spans="1:15" s="38" customFormat="1" ht="11.45" hidden="1" customHeight="1" outlineLevel="1" x14ac:dyDescent="0.25">
      <c r="A231" s="124"/>
      <c r="B231" s="142"/>
      <c r="C231" s="115"/>
      <c r="D231" s="115"/>
      <c r="E231" s="115"/>
      <c r="F231" s="115"/>
      <c r="G231" s="60" t="s">
        <v>126</v>
      </c>
      <c r="H231" s="124"/>
      <c r="I231" s="124"/>
      <c r="J231" s="60"/>
      <c r="K231" s="60"/>
      <c r="L231" s="60"/>
      <c r="M231" s="60"/>
      <c r="N231" s="60">
        <f t="shared" ref="N231:N236" si="72">M231*J231*K231*L231</f>
        <v>0</v>
      </c>
      <c r="O231" s="60">
        <f t="shared" ref="O231:O236" si="73">J231*K231*L231</f>
        <v>0</v>
      </c>
    </row>
    <row r="232" spans="1:15" s="38" customFormat="1" ht="10.7" hidden="1" customHeight="1" outlineLevel="1" x14ac:dyDescent="0.25">
      <c r="A232" s="124"/>
      <c r="B232" s="142"/>
      <c r="C232" s="115"/>
      <c r="D232" s="115"/>
      <c r="E232" s="115"/>
      <c r="F232" s="115"/>
      <c r="G232" s="60" t="s">
        <v>127</v>
      </c>
      <c r="H232" s="124"/>
      <c r="I232" s="124"/>
      <c r="J232" s="60"/>
      <c r="K232" s="60"/>
      <c r="L232" s="60"/>
      <c r="M232" s="60"/>
      <c r="N232" s="60">
        <f t="shared" si="72"/>
        <v>0</v>
      </c>
      <c r="O232" s="60">
        <f t="shared" si="73"/>
        <v>0</v>
      </c>
    </row>
    <row r="233" spans="1:15" s="38" customFormat="1" ht="10.7" hidden="1" customHeight="1" outlineLevel="1" x14ac:dyDescent="0.25">
      <c r="A233" s="124"/>
      <c r="B233" s="142"/>
      <c r="C233" s="115"/>
      <c r="D233" s="115"/>
      <c r="E233" s="115"/>
      <c r="F233" s="115"/>
      <c r="G233" s="60" t="s">
        <v>128</v>
      </c>
      <c r="H233" s="124"/>
      <c r="I233" s="124"/>
      <c r="J233" s="60"/>
      <c r="K233" s="60"/>
      <c r="L233" s="60"/>
      <c r="M233" s="60"/>
      <c r="N233" s="60">
        <f t="shared" si="72"/>
        <v>0</v>
      </c>
      <c r="O233" s="60">
        <f t="shared" si="73"/>
        <v>0</v>
      </c>
    </row>
    <row r="234" spans="1:15" s="38" customFormat="1" ht="10.7" hidden="1" customHeight="1" outlineLevel="1" x14ac:dyDescent="0.25">
      <c r="A234" s="124"/>
      <c r="B234" s="142"/>
      <c r="C234" s="115"/>
      <c r="D234" s="115"/>
      <c r="E234" s="115"/>
      <c r="F234" s="115"/>
      <c r="G234" s="60" t="s">
        <v>129</v>
      </c>
      <c r="H234" s="124"/>
      <c r="I234" s="124"/>
      <c r="J234" s="60"/>
      <c r="K234" s="60"/>
      <c r="L234" s="60"/>
      <c r="M234" s="60"/>
      <c r="N234" s="60">
        <f t="shared" si="72"/>
        <v>0</v>
      </c>
      <c r="O234" s="60">
        <f t="shared" si="73"/>
        <v>0</v>
      </c>
    </row>
    <row r="235" spans="1:15" s="38" customFormat="1" ht="10.7" hidden="1" customHeight="1" outlineLevel="1" x14ac:dyDescent="0.25">
      <c r="A235" s="124"/>
      <c r="B235" s="142"/>
      <c r="C235" s="115"/>
      <c r="D235" s="115"/>
      <c r="E235" s="115"/>
      <c r="F235" s="115"/>
      <c r="G235" s="60" t="s">
        <v>130</v>
      </c>
      <c r="H235" s="124"/>
      <c r="I235" s="124"/>
      <c r="J235" s="60"/>
      <c r="K235" s="60"/>
      <c r="L235" s="60"/>
      <c r="M235" s="60"/>
      <c r="N235" s="60">
        <f t="shared" si="72"/>
        <v>0</v>
      </c>
      <c r="O235" s="60">
        <f t="shared" si="73"/>
        <v>0</v>
      </c>
    </row>
    <row r="236" spans="1:15" s="38" customFormat="1" ht="12" hidden="1" customHeight="1" outlineLevel="1" thickBot="1" x14ac:dyDescent="0.3">
      <c r="A236" s="125"/>
      <c r="B236" s="143"/>
      <c r="C236" s="131"/>
      <c r="D236" s="131"/>
      <c r="E236" s="131"/>
      <c r="F236" s="131"/>
      <c r="G236" s="60" t="s">
        <v>131</v>
      </c>
      <c r="H236" s="134"/>
      <c r="I236" s="134"/>
      <c r="J236" s="60"/>
      <c r="K236" s="60"/>
      <c r="L236" s="60"/>
      <c r="M236" s="60"/>
      <c r="N236" s="60">
        <f t="shared" si="72"/>
        <v>0</v>
      </c>
      <c r="O236" s="60">
        <f t="shared" si="73"/>
        <v>0</v>
      </c>
    </row>
    <row r="237" spans="1:15" s="38" customFormat="1" ht="14.45" hidden="1" customHeight="1" outlineLevel="1" x14ac:dyDescent="0.25">
      <c r="A237" s="140" t="s">
        <v>426</v>
      </c>
      <c r="B237" s="141" t="s">
        <v>544</v>
      </c>
      <c r="C237" s="130">
        <f>SUM(N237:N243)</f>
        <v>0</v>
      </c>
      <c r="D237" s="130">
        <f>SUM(O237:O243)</f>
        <v>0</v>
      </c>
      <c r="E237" s="130">
        <f t="shared" si="71"/>
        <v>0</v>
      </c>
      <c r="F237" s="130"/>
      <c r="G237" s="60" t="s">
        <v>125</v>
      </c>
      <c r="H237" s="123"/>
      <c r="I237" s="123"/>
      <c r="J237" s="60"/>
      <c r="K237" s="60"/>
      <c r="L237" s="60"/>
      <c r="M237" s="60"/>
      <c r="N237" s="60">
        <f>M237*J237*K237*L237</f>
        <v>0</v>
      </c>
      <c r="O237" s="60">
        <f>J237*K237*L237</f>
        <v>0</v>
      </c>
    </row>
    <row r="238" spans="1:15" s="38" customFormat="1" ht="11.45" hidden="1" customHeight="1" outlineLevel="1" x14ac:dyDescent="0.25">
      <c r="A238" s="124"/>
      <c r="B238" s="142"/>
      <c r="C238" s="115"/>
      <c r="D238" s="115"/>
      <c r="E238" s="115"/>
      <c r="F238" s="115"/>
      <c r="G238" s="60" t="s">
        <v>126</v>
      </c>
      <c r="H238" s="124"/>
      <c r="I238" s="124"/>
      <c r="J238" s="60"/>
      <c r="K238" s="60"/>
      <c r="L238" s="60"/>
      <c r="M238" s="60"/>
      <c r="N238" s="60">
        <f t="shared" ref="N238:N243" si="74">M238*J238*K238*L238</f>
        <v>0</v>
      </c>
      <c r="O238" s="60">
        <f t="shared" ref="O238:O243" si="75">J238*K238*L238</f>
        <v>0</v>
      </c>
    </row>
    <row r="239" spans="1:15" s="38" customFormat="1" ht="10.7" hidden="1" customHeight="1" outlineLevel="1" x14ac:dyDescent="0.25">
      <c r="A239" s="124"/>
      <c r="B239" s="142"/>
      <c r="C239" s="115"/>
      <c r="D239" s="115"/>
      <c r="E239" s="115"/>
      <c r="F239" s="115"/>
      <c r="G239" s="60" t="s">
        <v>127</v>
      </c>
      <c r="H239" s="124"/>
      <c r="I239" s="124"/>
      <c r="J239" s="60"/>
      <c r="K239" s="60"/>
      <c r="L239" s="60"/>
      <c r="M239" s="60"/>
      <c r="N239" s="60">
        <f t="shared" si="74"/>
        <v>0</v>
      </c>
      <c r="O239" s="60">
        <f t="shared" si="75"/>
        <v>0</v>
      </c>
    </row>
    <row r="240" spans="1:15" s="38" customFormat="1" ht="10.7" hidden="1" customHeight="1" outlineLevel="1" x14ac:dyDescent="0.25">
      <c r="A240" s="124"/>
      <c r="B240" s="142"/>
      <c r="C240" s="115"/>
      <c r="D240" s="115"/>
      <c r="E240" s="115"/>
      <c r="F240" s="115"/>
      <c r="G240" s="60" t="s">
        <v>128</v>
      </c>
      <c r="H240" s="124"/>
      <c r="I240" s="124"/>
      <c r="J240" s="60"/>
      <c r="K240" s="60"/>
      <c r="L240" s="60"/>
      <c r="M240" s="60"/>
      <c r="N240" s="60">
        <f t="shared" si="74"/>
        <v>0</v>
      </c>
      <c r="O240" s="60">
        <f t="shared" si="75"/>
        <v>0</v>
      </c>
    </row>
    <row r="241" spans="1:15" s="38" customFormat="1" ht="10.7" hidden="1" customHeight="1" outlineLevel="1" x14ac:dyDescent="0.25">
      <c r="A241" s="124"/>
      <c r="B241" s="142"/>
      <c r="C241" s="115"/>
      <c r="D241" s="115"/>
      <c r="E241" s="115"/>
      <c r="F241" s="115"/>
      <c r="G241" s="60" t="s">
        <v>129</v>
      </c>
      <c r="H241" s="124"/>
      <c r="I241" s="124"/>
      <c r="J241" s="60"/>
      <c r="K241" s="60"/>
      <c r="L241" s="60"/>
      <c r="M241" s="60"/>
      <c r="N241" s="60">
        <f t="shared" si="74"/>
        <v>0</v>
      </c>
      <c r="O241" s="60">
        <f t="shared" si="75"/>
        <v>0</v>
      </c>
    </row>
    <row r="242" spans="1:15" s="38" customFormat="1" ht="10.7" hidden="1" customHeight="1" outlineLevel="1" x14ac:dyDescent="0.25">
      <c r="A242" s="124"/>
      <c r="B242" s="142"/>
      <c r="C242" s="115"/>
      <c r="D242" s="115"/>
      <c r="E242" s="115"/>
      <c r="F242" s="115"/>
      <c r="G242" s="60" t="s">
        <v>130</v>
      </c>
      <c r="H242" s="124"/>
      <c r="I242" s="124"/>
      <c r="J242" s="60"/>
      <c r="K242" s="60"/>
      <c r="L242" s="60"/>
      <c r="M242" s="60"/>
      <c r="N242" s="60">
        <f t="shared" si="74"/>
        <v>0</v>
      </c>
      <c r="O242" s="60">
        <f t="shared" si="75"/>
        <v>0</v>
      </c>
    </row>
    <row r="243" spans="1:15" s="38" customFormat="1" ht="12" hidden="1" customHeight="1" outlineLevel="1" thickBot="1" x14ac:dyDescent="0.3">
      <c r="A243" s="125"/>
      <c r="B243" s="143"/>
      <c r="C243" s="131"/>
      <c r="D243" s="131"/>
      <c r="E243" s="131"/>
      <c r="F243" s="131"/>
      <c r="G243" s="60" t="s">
        <v>131</v>
      </c>
      <c r="H243" s="134"/>
      <c r="I243" s="134"/>
      <c r="J243" s="60"/>
      <c r="K243" s="60"/>
      <c r="L243" s="60"/>
      <c r="M243" s="60"/>
      <c r="N243" s="60">
        <f t="shared" si="74"/>
        <v>0</v>
      </c>
      <c r="O243" s="60">
        <f t="shared" si="75"/>
        <v>0</v>
      </c>
    </row>
    <row r="244" spans="1:15" s="38" customFormat="1" ht="14.45" hidden="1" customHeight="1" outlineLevel="1" x14ac:dyDescent="0.25">
      <c r="A244" s="140" t="s">
        <v>428</v>
      </c>
      <c r="B244" s="141" t="s">
        <v>545</v>
      </c>
      <c r="C244" s="130">
        <f>SUM(N244:N250)</f>
        <v>0</v>
      </c>
      <c r="D244" s="130">
        <f>SUM(O244:O250)</f>
        <v>0</v>
      </c>
      <c r="E244" s="130">
        <f t="shared" si="71"/>
        <v>0</v>
      </c>
      <c r="F244" s="130"/>
      <c r="G244" s="60" t="s">
        <v>125</v>
      </c>
      <c r="H244" s="123"/>
      <c r="I244" s="123"/>
      <c r="J244" s="60"/>
      <c r="K244" s="60"/>
      <c r="L244" s="60"/>
      <c r="M244" s="60"/>
      <c r="N244" s="60">
        <f>M244*J244*K244*L244</f>
        <v>0</v>
      </c>
      <c r="O244" s="60">
        <f>J244*K244*L244</f>
        <v>0</v>
      </c>
    </row>
    <row r="245" spans="1:15" s="38" customFormat="1" ht="11.45" hidden="1" customHeight="1" outlineLevel="1" x14ac:dyDescent="0.25">
      <c r="A245" s="124"/>
      <c r="B245" s="142"/>
      <c r="C245" s="115"/>
      <c r="D245" s="115"/>
      <c r="E245" s="115"/>
      <c r="F245" s="115"/>
      <c r="G245" s="60" t="s">
        <v>126</v>
      </c>
      <c r="H245" s="124"/>
      <c r="I245" s="124"/>
      <c r="J245" s="60"/>
      <c r="K245" s="60"/>
      <c r="L245" s="60"/>
      <c r="M245" s="60"/>
      <c r="N245" s="60">
        <f t="shared" ref="N245:N250" si="76">M245*J245*K245*L245</f>
        <v>0</v>
      </c>
      <c r="O245" s="60">
        <f t="shared" ref="O245:O250" si="77">J245*K245*L245</f>
        <v>0</v>
      </c>
    </row>
    <row r="246" spans="1:15" s="38" customFormat="1" ht="10.7" hidden="1" customHeight="1" outlineLevel="1" x14ac:dyDescent="0.25">
      <c r="A246" s="124"/>
      <c r="B246" s="142"/>
      <c r="C246" s="115"/>
      <c r="D246" s="115"/>
      <c r="E246" s="115"/>
      <c r="F246" s="115"/>
      <c r="G246" s="60" t="s">
        <v>127</v>
      </c>
      <c r="H246" s="124"/>
      <c r="I246" s="124"/>
      <c r="J246" s="60"/>
      <c r="K246" s="60"/>
      <c r="L246" s="60"/>
      <c r="M246" s="60"/>
      <c r="N246" s="60">
        <f t="shared" si="76"/>
        <v>0</v>
      </c>
      <c r="O246" s="60">
        <f t="shared" si="77"/>
        <v>0</v>
      </c>
    </row>
    <row r="247" spans="1:15" s="38" customFormat="1" ht="10.7" hidden="1" customHeight="1" outlineLevel="1" x14ac:dyDescent="0.25">
      <c r="A247" s="124"/>
      <c r="B247" s="142"/>
      <c r="C247" s="115"/>
      <c r="D247" s="115"/>
      <c r="E247" s="115"/>
      <c r="F247" s="115"/>
      <c r="G247" s="60" t="s">
        <v>128</v>
      </c>
      <c r="H247" s="124"/>
      <c r="I247" s="124"/>
      <c r="J247" s="60"/>
      <c r="K247" s="60"/>
      <c r="L247" s="60"/>
      <c r="M247" s="60"/>
      <c r="N247" s="60">
        <f t="shared" si="76"/>
        <v>0</v>
      </c>
      <c r="O247" s="60">
        <f t="shared" si="77"/>
        <v>0</v>
      </c>
    </row>
    <row r="248" spans="1:15" s="38" customFormat="1" ht="10.7" hidden="1" customHeight="1" outlineLevel="1" x14ac:dyDescent="0.25">
      <c r="A248" s="124"/>
      <c r="B248" s="142"/>
      <c r="C248" s="115"/>
      <c r="D248" s="115"/>
      <c r="E248" s="115"/>
      <c r="F248" s="115"/>
      <c r="G248" s="60" t="s">
        <v>129</v>
      </c>
      <c r="H248" s="124"/>
      <c r="I248" s="124"/>
      <c r="J248" s="60"/>
      <c r="K248" s="60"/>
      <c r="L248" s="60"/>
      <c r="M248" s="60"/>
      <c r="N248" s="60">
        <f t="shared" si="76"/>
        <v>0</v>
      </c>
      <c r="O248" s="60">
        <f t="shared" si="77"/>
        <v>0</v>
      </c>
    </row>
    <row r="249" spans="1:15" s="38" customFormat="1" ht="10.7" hidden="1" customHeight="1" outlineLevel="1" x14ac:dyDescent="0.25">
      <c r="A249" s="124"/>
      <c r="B249" s="142"/>
      <c r="C249" s="115"/>
      <c r="D249" s="115"/>
      <c r="E249" s="115"/>
      <c r="F249" s="115"/>
      <c r="G249" s="60" t="s">
        <v>130</v>
      </c>
      <c r="H249" s="124"/>
      <c r="I249" s="124"/>
      <c r="J249" s="60"/>
      <c r="K249" s="60"/>
      <c r="L249" s="60"/>
      <c r="M249" s="60"/>
      <c r="N249" s="60">
        <f t="shared" si="76"/>
        <v>0</v>
      </c>
      <c r="O249" s="60">
        <f t="shared" si="77"/>
        <v>0</v>
      </c>
    </row>
    <row r="250" spans="1:15" s="38" customFormat="1" ht="12" hidden="1" customHeight="1" outlineLevel="1" thickBot="1" x14ac:dyDescent="0.3">
      <c r="A250" s="125"/>
      <c r="B250" s="143"/>
      <c r="C250" s="131"/>
      <c r="D250" s="131"/>
      <c r="E250" s="131"/>
      <c r="F250" s="131"/>
      <c r="G250" s="60" t="s">
        <v>131</v>
      </c>
      <c r="H250" s="134"/>
      <c r="I250" s="134"/>
      <c r="J250" s="60"/>
      <c r="K250" s="60"/>
      <c r="L250" s="60"/>
      <c r="M250" s="60"/>
      <c r="N250" s="60">
        <f t="shared" si="76"/>
        <v>0</v>
      </c>
      <c r="O250" s="60">
        <f t="shared" si="77"/>
        <v>0</v>
      </c>
    </row>
    <row r="251" spans="1:15" s="38" customFormat="1" ht="14.45" hidden="1" customHeight="1" outlineLevel="1" x14ac:dyDescent="0.25">
      <c r="A251" s="140" t="s">
        <v>430</v>
      </c>
      <c r="B251" s="141" t="s">
        <v>546</v>
      </c>
      <c r="C251" s="130">
        <f>SUM(N251:N257)</f>
        <v>0</v>
      </c>
      <c r="D251" s="130">
        <f>SUM(O251:O257)</f>
        <v>0</v>
      </c>
      <c r="E251" s="130">
        <f t="shared" si="71"/>
        <v>0</v>
      </c>
      <c r="F251" s="130"/>
      <c r="G251" s="60" t="s">
        <v>125</v>
      </c>
      <c r="H251" s="123"/>
      <c r="I251" s="123"/>
      <c r="J251" s="60"/>
      <c r="K251" s="60"/>
      <c r="L251" s="60"/>
      <c r="M251" s="60"/>
      <c r="N251" s="60">
        <f>M251*J251*K251*L251</f>
        <v>0</v>
      </c>
      <c r="O251" s="60">
        <f>J251*K251*L251</f>
        <v>0</v>
      </c>
    </row>
    <row r="252" spans="1:15" s="38" customFormat="1" ht="11.45" hidden="1" customHeight="1" outlineLevel="1" x14ac:dyDescent="0.25">
      <c r="A252" s="124"/>
      <c r="B252" s="142"/>
      <c r="C252" s="115"/>
      <c r="D252" s="115"/>
      <c r="E252" s="115"/>
      <c r="F252" s="115"/>
      <c r="G252" s="60" t="s">
        <v>126</v>
      </c>
      <c r="H252" s="124"/>
      <c r="I252" s="124"/>
      <c r="J252" s="60"/>
      <c r="K252" s="60"/>
      <c r="L252" s="60"/>
      <c r="M252" s="60"/>
      <c r="N252" s="60">
        <f t="shared" ref="N252:N257" si="78">M252*J252*K252*L252</f>
        <v>0</v>
      </c>
      <c r="O252" s="60">
        <f t="shared" ref="O252:O257" si="79">J252*K252*L252</f>
        <v>0</v>
      </c>
    </row>
    <row r="253" spans="1:15" s="38" customFormat="1" ht="10.7" hidden="1" customHeight="1" outlineLevel="1" x14ac:dyDescent="0.25">
      <c r="A253" s="124"/>
      <c r="B253" s="142"/>
      <c r="C253" s="115"/>
      <c r="D253" s="115"/>
      <c r="E253" s="115"/>
      <c r="F253" s="115"/>
      <c r="G253" s="60" t="s">
        <v>127</v>
      </c>
      <c r="H253" s="124"/>
      <c r="I253" s="124"/>
      <c r="J253" s="60"/>
      <c r="K253" s="60"/>
      <c r="L253" s="60"/>
      <c r="M253" s="60"/>
      <c r="N253" s="60">
        <f t="shared" si="78"/>
        <v>0</v>
      </c>
      <c r="O253" s="60">
        <f t="shared" si="79"/>
        <v>0</v>
      </c>
    </row>
    <row r="254" spans="1:15" s="38" customFormat="1" ht="10.7" hidden="1" customHeight="1" outlineLevel="1" x14ac:dyDescent="0.25">
      <c r="A254" s="124"/>
      <c r="B254" s="142"/>
      <c r="C254" s="115"/>
      <c r="D254" s="115"/>
      <c r="E254" s="115"/>
      <c r="F254" s="115"/>
      <c r="G254" s="60" t="s">
        <v>128</v>
      </c>
      <c r="H254" s="124"/>
      <c r="I254" s="124"/>
      <c r="J254" s="60"/>
      <c r="K254" s="60"/>
      <c r="L254" s="60"/>
      <c r="M254" s="60"/>
      <c r="N254" s="60">
        <f t="shared" si="78"/>
        <v>0</v>
      </c>
      <c r="O254" s="60">
        <f t="shared" si="79"/>
        <v>0</v>
      </c>
    </row>
    <row r="255" spans="1:15" s="38" customFormat="1" ht="10.7" hidden="1" customHeight="1" outlineLevel="1" x14ac:dyDescent="0.25">
      <c r="A255" s="124"/>
      <c r="B255" s="142"/>
      <c r="C255" s="115"/>
      <c r="D255" s="115"/>
      <c r="E255" s="115"/>
      <c r="F255" s="115"/>
      <c r="G255" s="60" t="s">
        <v>129</v>
      </c>
      <c r="H255" s="124"/>
      <c r="I255" s="124"/>
      <c r="J255" s="60"/>
      <c r="K255" s="60"/>
      <c r="L255" s="60"/>
      <c r="M255" s="60"/>
      <c r="N255" s="60">
        <f t="shared" si="78"/>
        <v>0</v>
      </c>
      <c r="O255" s="60">
        <f t="shared" si="79"/>
        <v>0</v>
      </c>
    </row>
    <row r="256" spans="1:15" s="38" customFormat="1" ht="10.7" hidden="1" customHeight="1" outlineLevel="1" x14ac:dyDescent="0.25">
      <c r="A256" s="124"/>
      <c r="B256" s="142"/>
      <c r="C256" s="115"/>
      <c r="D256" s="115"/>
      <c r="E256" s="115"/>
      <c r="F256" s="115"/>
      <c r="G256" s="60" t="s">
        <v>130</v>
      </c>
      <c r="H256" s="124"/>
      <c r="I256" s="124"/>
      <c r="J256" s="60"/>
      <c r="K256" s="60"/>
      <c r="L256" s="60"/>
      <c r="M256" s="60"/>
      <c r="N256" s="60">
        <f t="shared" si="78"/>
        <v>0</v>
      </c>
      <c r="O256" s="60">
        <f t="shared" si="79"/>
        <v>0</v>
      </c>
    </row>
    <row r="257" spans="1:15" s="38" customFormat="1" ht="12" hidden="1" customHeight="1" outlineLevel="1" thickBot="1" x14ac:dyDescent="0.3">
      <c r="A257" s="125"/>
      <c r="B257" s="143"/>
      <c r="C257" s="131"/>
      <c r="D257" s="131"/>
      <c r="E257" s="131"/>
      <c r="F257" s="131"/>
      <c r="G257" s="60" t="s">
        <v>131</v>
      </c>
      <c r="H257" s="134"/>
      <c r="I257" s="134"/>
      <c r="J257" s="60"/>
      <c r="K257" s="60"/>
      <c r="L257" s="60"/>
      <c r="M257" s="60"/>
      <c r="N257" s="60">
        <f t="shared" si="78"/>
        <v>0</v>
      </c>
      <c r="O257" s="60">
        <f t="shared" si="79"/>
        <v>0</v>
      </c>
    </row>
    <row r="258" spans="1:15" s="38" customFormat="1" ht="14.45" hidden="1" customHeight="1" outlineLevel="1" x14ac:dyDescent="0.25">
      <c r="A258" s="140" t="s">
        <v>432</v>
      </c>
      <c r="B258" s="141" t="s">
        <v>547</v>
      </c>
      <c r="C258" s="130">
        <f>SUM(N258:N264)</f>
        <v>0</v>
      </c>
      <c r="D258" s="130">
        <f>SUM(O258:O264)</f>
        <v>0</v>
      </c>
      <c r="E258" s="130">
        <f t="shared" si="71"/>
        <v>0</v>
      </c>
      <c r="F258" s="130"/>
      <c r="G258" s="60" t="s">
        <v>125</v>
      </c>
      <c r="H258" s="123"/>
      <c r="I258" s="123"/>
      <c r="J258" s="60"/>
      <c r="K258" s="60"/>
      <c r="L258" s="60"/>
      <c r="M258" s="60"/>
      <c r="N258" s="60">
        <f>M258*J258*K258*L258</f>
        <v>0</v>
      </c>
      <c r="O258" s="60">
        <f>J258*K258*L258</f>
        <v>0</v>
      </c>
    </row>
    <row r="259" spans="1:15" s="38" customFormat="1" ht="11.45" hidden="1" customHeight="1" outlineLevel="1" x14ac:dyDescent="0.25">
      <c r="A259" s="124"/>
      <c r="B259" s="142"/>
      <c r="C259" s="115"/>
      <c r="D259" s="115"/>
      <c r="E259" s="115"/>
      <c r="F259" s="115"/>
      <c r="G259" s="60" t="s">
        <v>126</v>
      </c>
      <c r="H259" s="124"/>
      <c r="I259" s="124"/>
      <c r="J259" s="60"/>
      <c r="K259" s="60"/>
      <c r="L259" s="60"/>
      <c r="M259" s="60"/>
      <c r="N259" s="60">
        <f t="shared" ref="N259:N264" si="80">M259*J259*K259*L259</f>
        <v>0</v>
      </c>
      <c r="O259" s="60">
        <f t="shared" ref="O259:O264" si="81">J259*K259*L259</f>
        <v>0</v>
      </c>
    </row>
    <row r="260" spans="1:15" s="38" customFormat="1" ht="10.7" hidden="1" customHeight="1" outlineLevel="1" x14ac:dyDescent="0.25">
      <c r="A260" s="124"/>
      <c r="B260" s="142"/>
      <c r="C260" s="115"/>
      <c r="D260" s="115"/>
      <c r="E260" s="115"/>
      <c r="F260" s="115"/>
      <c r="G260" s="60" t="s">
        <v>127</v>
      </c>
      <c r="H260" s="124"/>
      <c r="I260" s="124"/>
      <c r="J260" s="60"/>
      <c r="K260" s="60"/>
      <c r="L260" s="60"/>
      <c r="M260" s="60"/>
      <c r="N260" s="60">
        <f t="shared" si="80"/>
        <v>0</v>
      </c>
      <c r="O260" s="60">
        <f t="shared" si="81"/>
        <v>0</v>
      </c>
    </row>
    <row r="261" spans="1:15" s="38" customFormat="1" ht="10.7" hidden="1" customHeight="1" outlineLevel="1" x14ac:dyDescent="0.25">
      <c r="A261" s="124"/>
      <c r="B261" s="142"/>
      <c r="C261" s="115"/>
      <c r="D261" s="115"/>
      <c r="E261" s="115"/>
      <c r="F261" s="115"/>
      <c r="G261" s="60" t="s">
        <v>128</v>
      </c>
      <c r="H261" s="124"/>
      <c r="I261" s="124"/>
      <c r="J261" s="60"/>
      <c r="K261" s="60"/>
      <c r="L261" s="60"/>
      <c r="M261" s="60"/>
      <c r="N261" s="60">
        <f t="shared" si="80"/>
        <v>0</v>
      </c>
      <c r="O261" s="60">
        <f t="shared" si="81"/>
        <v>0</v>
      </c>
    </row>
    <row r="262" spans="1:15" s="38" customFormat="1" ht="10.7" hidden="1" customHeight="1" outlineLevel="1" x14ac:dyDescent="0.25">
      <c r="A262" s="124"/>
      <c r="B262" s="142"/>
      <c r="C262" s="115"/>
      <c r="D262" s="115"/>
      <c r="E262" s="115"/>
      <c r="F262" s="115"/>
      <c r="G262" s="60" t="s">
        <v>129</v>
      </c>
      <c r="H262" s="124"/>
      <c r="I262" s="124"/>
      <c r="J262" s="60"/>
      <c r="K262" s="60"/>
      <c r="L262" s="60"/>
      <c r="M262" s="60"/>
      <c r="N262" s="60">
        <f t="shared" si="80"/>
        <v>0</v>
      </c>
      <c r="O262" s="60">
        <f t="shared" si="81"/>
        <v>0</v>
      </c>
    </row>
    <row r="263" spans="1:15" s="38" customFormat="1" ht="10.7" hidden="1" customHeight="1" outlineLevel="1" x14ac:dyDescent="0.25">
      <c r="A263" s="124"/>
      <c r="B263" s="142"/>
      <c r="C263" s="115"/>
      <c r="D263" s="115"/>
      <c r="E263" s="115"/>
      <c r="F263" s="115"/>
      <c r="G263" s="60" t="s">
        <v>130</v>
      </c>
      <c r="H263" s="124"/>
      <c r="I263" s="124"/>
      <c r="J263" s="60"/>
      <c r="K263" s="60"/>
      <c r="L263" s="60"/>
      <c r="M263" s="60"/>
      <c r="N263" s="60">
        <f t="shared" si="80"/>
        <v>0</v>
      </c>
      <c r="O263" s="60">
        <f t="shared" si="81"/>
        <v>0</v>
      </c>
    </row>
    <row r="264" spans="1:15" s="38" customFormat="1" ht="12" hidden="1" customHeight="1" outlineLevel="1" thickBot="1" x14ac:dyDescent="0.3">
      <c r="A264" s="125"/>
      <c r="B264" s="143"/>
      <c r="C264" s="131"/>
      <c r="D264" s="131"/>
      <c r="E264" s="131"/>
      <c r="F264" s="131"/>
      <c r="G264" s="60" t="s">
        <v>131</v>
      </c>
      <c r="H264" s="134"/>
      <c r="I264" s="134"/>
      <c r="J264" s="60"/>
      <c r="K264" s="60"/>
      <c r="L264" s="60"/>
      <c r="M264" s="60"/>
      <c r="N264" s="60">
        <f t="shared" si="80"/>
        <v>0</v>
      </c>
      <c r="O264" s="60">
        <f t="shared" si="81"/>
        <v>0</v>
      </c>
    </row>
    <row r="265" spans="1:15" s="38" customFormat="1" ht="14.45" hidden="1" customHeight="1" outlineLevel="1" x14ac:dyDescent="0.25">
      <c r="A265" s="140" t="s">
        <v>548</v>
      </c>
      <c r="B265" s="141" t="s">
        <v>549</v>
      </c>
      <c r="C265" s="130">
        <f>SUM(N265:N271)</f>
        <v>0</v>
      </c>
      <c r="D265" s="130">
        <f>SUM(O265:O271)</f>
        <v>0</v>
      </c>
      <c r="E265" s="130">
        <f t="shared" si="71"/>
        <v>0</v>
      </c>
      <c r="F265" s="130"/>
      <c r="G265" s="60" t="s">
        <v>125</v>
      </c>
      <c r="H265" s="123"/>
      <c r="I265" s="123"/>
      <c r="J265" s="60"/>
      <c r="K265" s="60"/>
      <c r="L265" s="60"/>
      <c r="M265" s="60"/>
      <c r="N265" s="60">
        <f>M265*J265*K265*L265</f>
        <v>0</v>
      </c>
      <c r="O265" s="60">
        <f>J265*K265*L265</f>
        <v>0</v>
      </c>
    </row>
    <row r="266" spans="1:15" s="38" customFormat="1" ht="11.45" hidden="1" customHeight="1" outlineLevel="1" x14ac:dyDescent="0.25">
      <c r="A266" s="124"/>
      <c r="B266" s="142"/>
      <c r="C266" s="115"/>
      <c r="D266" s="115"/>
      <c r="E266" s="115"/>
      <c r="F266" s="115"/>
      <c r="G266" s="60" t="s">
        <v>126</v>
      </c>
      <c r="H266" s="124"/>
      <c r="I266" s="124"/>
      <c r="J266" s="60"/>
      <c r="K266" s="60"/>
      <c r="L266" s="60"/>
      <c r="M266" s="60"/>
      <c r="N266" s="60">
        <f t="shared" ref="N266:N271" si="82">M266*J266*K266*L266</f>
        <v>0</v>
      </c>
      <c r="O266" s="60">
        <f t="shared" ref="O266:O271" si="83">J266*K266*L266</f>
        <v>0</v>
      </c>
    </row>
    <row r="267" spans="1:15" s="38" customFormat="1" ht="10.7" hidden="1" customHeight="1" outlineLevel="1" x14ac:dyDescent="0.25">
      <c r="A267" s="124"/>
      <c r="B267" s="142"/>
      <c r="C267" s="115"/>
      <c r="D267" s="115"/>
      <c r="E267" s="115"/>
      <c r="F267" s="115"/>
      <c r="G267" s="60" t="s">
        <v>127</v>
      </c>
      <c r="H267" s="124"/>
      <c r="I267" s="124"/>
      <c r="J267" s="60"/>
      <c r="K267" s="60"/>
      <c r="L267" s="60"/>
      <c r="M267" s="60"/>
      <c r="N267" s="60">
        <f t="shared" si="82"/>
        <v>0</v>
      </c>
      <c r="O267" s="60">
        <f t="shared" si="83"/>
        <v>0</v>
      </c>
    </row>
    <row r="268" spans="1:15" s="38" customFormat="1" ht="10.7" hidden="1" customHeight="1" outlineLevel="1" x14ac:dyDescent="0.25">
      <c r="A268" s="124"/>
      <c r="B268" s="142"/>
      <c r="C268" s="115"/>
      <c r="D268" s="115"/>
      <c r="E268" s="115"/>
      <c r="F268" s="115"/>
      <c r="G268" s="60" t="s">
        <v>128</v>
      </c>
      <c r="H268" s="124"/>
      <c r="I268" s="124"/>
      <c r="J268" s="60"/>
      <c r="K268" s="60"/>
      <c r="L268" s="60"/>
      <c r="M268" s="60"/>
      <c r="N268" s="60">
        <f t="shared" si="82"/>
        <v>0</v>
      </c>
      <c r="O268" s="60">
        <f t="shared" si="83"/>
        <v>0</v>
      </c>
    </row>
    <row r="269" spans="1:15" s="38" customFormat="1" ht="10.7" hidden="1" customHeight="1" outlineLevel="1" x14ac:dyDescent="0.25">
      <c r="A269" s="124"/>
      <c r="B269" s="142"/>
      <c r="C269" s="115"/>
      <c r="D269" s="115"/>
      <c r="E269" s="115"/>
      <c r="F269" s="115"/>
      <c r="G269" s="60" t="s">
        <v>129</v>
      </c>
      <c r="H269" s="124"/>
      <c r="I269" s="124"/>
      <c r="J269" s="60"/>
      <c r="K269" s="60"/>
      <c r="L269" s="60"/>
      <c r="M269" s="60"/>
      <c r="N269" s="60">
        <f t="shared" si="82"/>
        <v>0</v>
      </c>
      <c r="O269" s="60">
        <f t="shared" si="83"/>
        <v>0</v>
      </c>
    </row>
    <row r="270" spans="1:15" s="38" customFormat="1" ht="10.7" hidden="1" customHeight="1" outlineLevel="1" x14ac:dyDescent="0.25">
      <c r="A270" s="124"/>
      <c r="B270" s="142"/>
      <c r="C270" s="115"/>
      <c r="D270" s="115"/>
      <c r="E270" s="115"/>
      <c r="F270" s="115"/>
      <c r="G270" s="60" t="s">
        <v>130</v>
      </c>
      <c r="H270" s="124"/>
      <c r="I270" s="124"/>
      <c r="J270" s="60"/>
      <c r="K270" s="60"/>
      <c r="L270" s="60"/>
      <c r="M270" s="60"/>
      <c r="N270" s="60">
        <f t="shared" si="82"/>
        <v>0</v>
      </c>
      <c r="O270" s="60">
        <f t="shared" si="83"/>
        <v>0</v>
      </c>
    </row>
    <row r="271" spans="1:15" s="38" customFormat="1" ht="12" hidden="1" customHeight="1" outlineLevel="1" thickBot="1" x14ac:dyDescent="0.3">
      <c r="A271" s="125"/>
      <c r="B271" s="143"/>
      <c r="C271" s="131"/>
      <c r="D271" s="131"/>
      <c r="E271" s="131"/>
      <c r="F271" s="131"/>
      <c r="G271" s="60" t="s">
        <v>131</v>
      </c>
      <c r="H271" s="134"/>
      <c r="I271" s="134"/>
      <c r="J271" s="60"/>
      <c r="K271" s="60"/>
      <c r="L271" s="60"/>
      <c r="M271" s="60"/>
      <c r="N271" s="60">
        <f t="shared" si="82"/>
        <v>0</v>
      </c>
      <c r="O271" s="60">
        <f t="shared" si="83"/>
        <v>0</v>
      </c>
    </row>
    <row r="272" spans="1:15" s="39" customFormat="1" ht="16.5" collapsed="1" thickBot="1" x14ac:dyDescent="0.3">
      <c r="A272" s="40" t="s">
        <v>26</v>
      </c>
      <c r="B272" s="41" t="s">
        <v>262</v>
      </c>
      <c r="C272" s="42">
        <f>SUM(C273:C745)</f>
        <v>0</v>
      </c>
      <c r="D272" s="42">
        <f>SUM(D273:D745)</f>
        <v>0</v>
      </c>
      <c r="E272" s="42">
        <f>SUM(E273:E745)</f>
        <v>0</v>
      </c>
      <c r="F272" s="42"/>
      <c r="G272" s="42"/>
      <c r="H272" s="42"/>
      <c r="I272" s="42"/>
      <c r="J272" s="42"/>
      <c r="K272" s="42"/>
      <c r="L272" s="42"/>
      <c r="M272" s="42"/>
      <c r="N272" s="42"/>
      <c r="O272" s="47"/>
    </row>
    <row r="273" spans="1:15" s="38" customFormat="1" ht="14.45" hidden="1" customHeight="1" outlineLevel="1" x14ac:dyDescent="0.25">
      <c r="A273" s="140" t="s">
        <v>165</v>
      </c>
      <c r="B273" s="141" t="s">
        <v>382</v>
      </c>
      <c r="C273" s="130">
        <f>SUM(N273:N279)</f>
        <v>0</v>
      </c>
      <c r="D273" s="130">
        <f>SUM(O273:O279)</f>
        <v>0</v>
      </c>
      <c r="E273" s="130">
        <f t="shared" ref="E273:E336" si="84">D273/8</f>
        <v>0</v>
      </c>
      <c r="F273" s="130"/>
      <c r="G273" s="60" t="s">
        <v>125</v>
      </c>
      <c r="H273" s="123"/>
      <c r="I273" s="123"/>
      <c r="J273" s="60"/>
      <c r="K273" s="60"/>
      <c r="L273" s="60"/>
      <c r="M273" s="60"/>
      <c r="N273" s="60">
        <f>M273*J273*K273*L273</f>
        <v>0</v>
      </c>
      <c r="O273" s="60">
        <f>J273*K273*L273</f>
        <v>0</v>
      </c>
    </row>
    <row r="274" spans="1:15" s="38" customFormat="1" ht="11.45" hidden="1" customHeight="1" outlineLevel="1" x14ac:dyDescent="0.25">
      <c r="A274" s="124"/>
      <c r="B274" s="142"/>
      <c r="C274" s="115"/>
      <c r="D274" s="115"/>
      <c r="E274" s="115"/>
      <c r="F274" s="115"/>
      <c r="G274" s="60" t="s">
        <v>126</v>
      </c>
      <c r="H274" s="124"/>
      <c r="I274" s="124"/>
      <c r="J274" s="60"/>
      <c r="K274" s="60"/>
      <c r="L274" s="60"/>
      <c r="M274" s="60"/>
      <c r="N274" s="60">
        <f t="shared" ref="N274:N279" si="85">M274*J274*K274*L274</f>
        <v>0</v>
      </c>
      <c r="O274" s="60">
        <f t="shared" ref="O274:O279" si="86">J274*K274*L274</f>
        <v>0</v>
      </c>
    </row>
    <row r="275" spans="1:15" s="38" customFormat="1" ht="10.7" hidden="1" customHeight="1" outlineLevel="1" x14ac:dyDescent="0.25">
      <c r="A275" s="124"/>
      <c r="B275" s="142"/>
      <c r="C275" s="115"/>
      <c r="D275" s="115"/>
      <c r="E275" s="115"/>
      <c r="F275" s="115"/>
      <c r="G275" s="60" t="s">
        <v>127</v>
      </c>
      <c r="H275" s="124"/>
      <c r="I275" s="124"/>
      <c r="J275" s="60"/>
      <c r="K275" s="60"/>
      <c r="L275" s="60"/>
      <c r="M275" s="60"/>
      <c r="N275" s="60">
        <f t="shared" si="85"/>
        <v>0</v>
      </c>
      <c r="O275" s="60">
        <f t="shared" si="86"/>
        <v>0</v>
      </c>
    </row>
    <row r="276" spans="1:15" s="38" customFormat="1" ht="10.7" hidden="1" customHeight="1" outlineLevel="1" x14ac:dyDescent="0.25">
      <c r="A276" s="124"/>
      <c r="B276" s="142"/>
      <c r="C276" s="115"/>
      <c r="D276" s="115"/>
      <c r="E276" s="115"/>
      <c r="F276" s="115"/>
      <c r="G276" s="60" t="s">
        <v>128</v>
      </c>
      <c r="H276" s="124"/>
      <c r="I276" s="124"/>
      <c r="J276" s="60"/>
      <c r="K276" s="60"/>
      <c r="L276" s="60"/>
      <c r="M276" s="60"/>
      <c r="N276" s="60">
        <f t="shared" si="85"/>
        <v>0</v>
      </c>
      <c r="O276" s="60">
        <f t="shared" si="86"/>
        <v>0</v>
      </c>
    </row>
    <row r="277" spans="1:15" s="38" customFormat="1" ht="10.7" hidden="1" customHeight="1" outlineLevel="1" x14ac:dyDescent="0.25">
      <c r="A277" s="124"/>
      <c r="B277" s="142"/>
      <c r="C277" s="115"/>
      <c r="D277" s="115"/>
      <c r="E277" s="115"/>
      <c r="F277" s="115"/>
      <c r="G277" s="60" t="s">
        <v>129</v>
      </c>
      <c r="H277" s="124"/>
      <c r="I277" s="124"/>
      <c r="J277" s="60"/>
      <c r="K277" s="60"/>
      <c r="L277" s="60"/>
      <c r="M277" s="60"/>
      <c r="N277" s="60">
        <f t="shared" si="85"/>
        <v>0</v>
      </c>
      <c r="O277" s="60">
        <f t="shared" si="86"/>
        <v>0</v>
      </c>
    </row>
    <row r="278" spans="1:15" s="38" customFormat="1" ht="10.7" hidden="1" customHeight="1" outlineLevel="1" x14ac:dyDescent="0.25">
      <c r="A278" s="124"/>
      <c r="B278" s="142"/>
      <c r="C278" s="115"/>
      <c r="D278" s="115"/>
      <c r="E278" s="115"/>
      <c r="F278" s="115"/>
      <c r="G278" s="60" t="s">
        <v>130</v>
      </c>
      <c r="H278" s="124"/>
      <c r="I278" s="124"/>
      <c r="J278" s="60"/>
      <c r="K278" s="60"/>
      <c r="L278" s="60"/>
      <c r="M278" s="60"/>
      <c r="N278" s="60">
        <f t="shared" si="85"/>
        <v>0</v>
      </c>
      <c r="O278" s="60">
        <f t="shared" si="86"/>
        <v>0</v>
      </c>
    </row>
    <row r="279" spans="1:15" s="38" customFormat="1" ht="12" hidden="1" customHeight="1" outlineLevel="1" thickBot="1" x14ac:dyDescent="0.3">
      <c r="A279" s="125"/>
      <c r="B279" s="143"/>
      <c r="C279" s="131"/>
      <c r="D279" s="131"/>
      <c r="E279" s="131"/>
      <c r="F279" s="131"/>
      <c r="G279" s="60" t="s">
        <v>131</v>
      </c>
      <c r="H279" s="134"/>
      <c r="I279" s="134"/>
      <c r="J279" s="60"/>
      <c r="K279" s="60"/>
      <c r="L279" s="60"/>
      <c r="M279" s="60"/>
      <c r="N279" s="60">
        <f t="shared" si="85"/>
        <v>0</v>
      </c>
      <c r="O279" s="60">
        <f t="shared" si="86"/>
        <v>0</v>
      </c>
    </row>
    <row r="280" spans="1:15" s="38" customFormat="1" ht="14.45" hidden="1" customHeight="1" outlineLevel="1" x14ac:dyDescent="0.25">
      <c r="A280" s="140" t="s">
        <v>167</v>
      </c>
      <c r="B280" s="141" t="s">
        <v>434</v>
      </c>
      <c r="C280" s="130">
        <f>SUM(N280:N286)</f>
        <v>0</v>
      </c>
      <c r="D280" s="130">
        <f>SUM(O280:O286)</f>
        <v>0</v>
      </c>
      <c r="E280" s="130">
        <f t="shared" si="84"/>
        <v>0</v>
      </c>
      <c r="F280" s="130"/>
      <c r="G280" s="60" t="s">
        <v>125</v>
      </c>
      <c r="H280" s="123"/>
      <c r="I280" s="123"/>
      <c r="J280" s="60"/>
      <c r="K280" s="60"/>
      <c r="L280" s="60"/>
      <c r="M280" s="60"/>
      <c r="N280" s="60">
        <f>M280*J280*K280*L280</f>
        <v>0</v>
      </c>
      <c r="O280" s="60">
        <f>J280*K280*L280</f>
        <v>0</v>
      </c>
    </row>
    <row r="281" spans="1:15" s="38" customFormat="1" ht="11.45" hidden="1" customHeight="1" outlineLevel="1" x14ac:dyDescent="0.25">
      <c r="A281" s="124"/>
      <c r="B281" s="142"/>
      <c r="C281" s="115"/>
      <c r="D281" s="115"/>
      <c r="E281" s="115"/>
      <c r="F281" s="115"/>
      <c r="G281" s="60" t="s">
        <v>126</v>
      </c>
      <c r="H281" s="124"/>
      <c r="I281" s="124"/>
      <c r="J281" s="60"/>
      <c r="K281" s="60"/>
      <c r="L281" s="60"/>
      <c r="M281" s="60"/>
      <c r="N281" s="60">
        <f t="shared" ref="N281:N286" si="87">M281*J281*K281*L281</f>
        <v>0</v>
      </c>
      <c r="O281" s="60">
        <f t="shared" ref="O281:O286" si="88">J281*K281*L281</f>
        <v>0</v>
      </c>
    </row>
    <row r="282" spans="1:15" s="38" customFormat="1" ht="10.7" hidden="1" customHeight="1" outlineLevel="1" x14ac:dyDescent="0.25">
      <c r="A282" s="124"/>
      <c r="B282" s="142"/>
      <c r="C282" s="115"/>
      <c r="D282" s="115"/>
      <c r="E282" s="115"/>
      <c r="F282" s="115"/>
      <c r="G282" s="60" t="s">
        <v>127</v>
      </c>
      <c r="H282" s="124"/>
      <c r="I282" s="124"/>
      <c r="J282" s="60"/>
      <c r="K282" s="60"/>
      <c r="L282" s="60"/>
      <c r="M282" s="60"/>
      <c r="N282" s="60">
        <f t="shared" si="87"/>
        <v>0</v>
      </c>
      <c r="O282" s="60">
        <f t="shared" si="88"/>
        <v>0</v>
      </c>
    </row>
    <row r="283" spans="1:15" s="38" customFormat="1" ht="10.7" hidden="1" customHeight="1" outlineLevel="1" x14ac:dyDescent="0.25">
      <c r="A283" s="124"/>
      <c r="B283" s="142"/>
      <c r="C283" s="115"/>
      <c r="D283" s="115"/>
      <c r="E283" s="115"/>
      <c r="F283" s="115"/>
      <c r="G283" s="60" t="s">
        <v>128</v>
      </c>
      <c r="H283" s="124"/>
      <c r="I283" s="124"/>
      <c r="J283" s="60"/>
      <c r="K283" s="60"/>
      <c r="L283" s="60"/>
      <c r="M283" s="60"/>
      <c r="N283" s="60">
        <f t="shared" si="87"/>
        <v>0</v>
      </c>
      <c r="O283" s="60">
        <f t="shared" si="88"/>
        <v>0</v>
      </c>
    </row>
    <row r="284" spans="1:15" s="38" customFormat="1" ht="10.7" hidden="1" customHeight="1" outlineLevel="1" x14ac:dyDescent="0.25">
      <c r="A284" s="124"/>
      <c r="B284" s="142"/>
      <c r="C284" s="115"/>
      <c r="D284" s="115"/>
      <c r="E284" s="115"/>
      <c r="F284" s="115"/>
      <c r="G284" s="60" t="s">
        <v>129</v>
      </c>
      <c r="H284" s="124"/>
      <c r="I284" s="124"/>
      <c r="J284" s="60"/>
      <c r="K284" s="60"/>
      <c r="L284" s="60"/>
      <c r="M284" s="60"/>
      <c r="N284" s="60">
        <f t="shared" si="87"/>
        <v>0</v>
      </c>
      <c r="O284" s="60">
        <f t="shared" si="88"/>
        <v>0</v>
      </c>
    </row>
    <row r="285" spans="1:15" s="38" customFormat="1" ht="10.7" hidden="1" customHeight="1" outlineLevel="1" x14ac:dyDescent="0.25">
      <c r="A285" s="124"/>
      <c r="B285" s="142"/>
      <c r="C285" s="115"/>
      <c r="D285" s="115"/>
      <c r="E285" s="115"/>
      <c r="F285" s="115"/>
      <c r="G285" s="60" t="s">
        <v>130</v>
      </c>
      <c r="H285" s="124"/>
      <c r="I285" s="124"/>
      <c r="J285" s="60"/>
      <c r="K285" s="60"/>
      <c r="L285" s="60"/>
      <c r="M285" s="60"/>
      <c r="N285" s="60">
        <f t="shared" si="87"/>
        <v>0</v>
      </c>
      <c r="O285" s="60">
        <f t="shared" si="88"/>
        <v>0</v>
      </c>
    </row>
    <row r="286" spans="1:15" s="38" customFormat="1" ht="12" hidden="1" customHeight="1" outlineLevel="1" thickBot="1" x14ac:dyDescent="0.3">
      <c r="A286" s="125"/>
      <c r="B286" s="143"/>
      <c r="C286" s="131"/>
      <c r="D286" s="131"/>
      <c r="E286" s="131"/>
      <c r="F286" s="131"/>
      <c r="G286" s="60" t="s">
        <v>131</v>
      </c>
      <c r="H286" s="134"/>
      <c r="I286" s="134"/>
      <c r="J286" s="60"/>
      <c r="K286" s="60"/>
      <c r="L286" s="60"/>
      <c r="M286" s="60"/>
      <c r="N286" s="60">
        <f t="shared" si="87"/>
        <v>0</v>
      </c>
      <c r="O286" s="60">
        <f t="shared" si="88"/>
        <v>0</v>
      </c>
    </row>
    <row r="287" spans="1:15" s="38" customFormat="1" ht="14.45" hidden="1" customHeight="1" outlineLevel="1" x14ac:dyDescent="0.25">
      <c r="A287" s="140" t="s">
        <v>169</v>
      </c>
      <c r="B287" s="141" t="s">
        <v>435</v>
      </c>
      <c r="C287" s="130">
        <f>SUM(N287:N293)</f>
        <v>0</v>
      </c>
      <c r="D287" s="130">
        <f>SUM(O287:O293)</f>
        <v>0</v>
      </c>
      <c r="E287" s="130">
        <f t="shared" si="84"/>
        <v>0</v>
      </c>
      <c r="F287" s="130"/>
      <c r="G287" s="60" t="s">
        <v>125</v>
      </c>
      <c r="H287" s="123"/>
      <c r="I287" s="123"/>
      <c r="J287" s="60"/>
      <c r="K287" s="60"/>
      <c r="L287" s="60"/>
      <c r="M287" s="60"/>
      <c r="N287" s="60">
        <f>M287*J287*K287*L287</f>
        <v>0</v>
      </c>
      <c r="O287" s="60">
        <f>J287*K287*L287</f>
        <v>0</v>
      </c>
    </row>
    <row r="288" spans="1:15" s="38" customFormat="1" ht="11.45" hidden="1" customHeight="1" outlineLevel="1" x14ac:dyDescent="0.25">
      <c r="A288" s="124"/>
      <c r="B288" s="142"/>
      <c r="C288" s="115"/>
      <c r="D288" s="115"/>
      <c r="E288" s="115"/>
      <c r="F288" s="115"/>
      <c r="G288" s="60" t="s">
        <v>126</v>
      </c>
      <c r="H288" s="124"/>
      <c r="I288" s="124"/>
      <c r="J288" s="60"/>
      <c r="K288" s="60"/>
      <c r="L288" s="60"/>
      <c r="M288" s="60"/>
      <c r="N288" s="60">
        <f t="shared" ref="N288:N293" si="89">M288*J288*K288*L288</f>
        <v>0</v>
      </c>
      <c r="O288" s="60">
        <f t="shared" ref="O288:O293" si="90">J288*K288*L288</f>
        <v>0</v>
      </c>
    </row>
    <row r="289" spans="1:15" s="38" customFormat="1" ht="10.7" hidden="1" customHeight="1" outlineLevel="1" x14ac:dyDescent="0.25">
      <c r="A289" s="124"/>
      <c r="B289" s="142"/>
      <c r="C289" s="115"/>
      <c r="D289" s="115"/>
      <c r="E289" s="115"/>
      <c r="F289" s="115"/>
      <c r="G289" s="60" t="s">
        <v>127</v>
      </c>
      <c r="H289" s="124"/>
      <c r="I289" s="124"/>
      <c r="J289" s="60"/>
      <c r="K289" s="60"/>
      <c r="L289" s="60"/>
      <c r="M289" s="60"/>
      <c r="N289" s="60">
        <f t="shared" si="89"/>
        <v>0</v>
      </c>
      <c r="O289" s="60">
        <f t="shared" si="90"/>
        <v>0</v>
      </c>
    </row>
    <row r="290" spans="1:15" s="38" customFormat="1" ht="10.7" hidden="1" customHeight="1" outlineLevel="1" x14ac:dyDescent="0.25">
      <c r="A290" s="124"/>
      <c r="B290" s="142"/>
      <c r="C290" s="115"/>
      <c r="D290" s="115"/>
      <c r="E290" s="115"/>
      <c r="F290" s="115"/>
      <c r="G290" s="60" t="s">
        <v>128</v>
      </c>
      <c r="H290" s="124"/>
      <c r="I290" s="124"/>
      <c r="J290" s="60"/>
      <c r="K290" s="60"/>
      <c r="L290" s="60"/>
      <c r="M290" s="60"/>
      <c r="N290" s="60">
        <f t="shared" si="89"/>
        <v>0</v>
      </c>
      <c r="O290" s="60">
        <f t="shared" si="90"/>
        <v>0</v>
      </c>
    </row>
    <row r="291" spans="1:15" s="38" customFormat="1" ht="10.7" hidden="1" customHeight="1" outlineLevel="1" x14ac:dyDescent="0.25">
      <c r="A291" s="124"/>
      <c r="B291" s="142"/>
      <c r="C291" s="115"/>
      <c r="D291" s="115"/>
      <c r="E291" s="115"/>
      <c r="F291" s="115"/>
      <c r="G291" s="60" t="s">
        <v>129</v>
      </c>
      <c r="H291" s="124"/>
      <c r="I291" s="124"/>
      <c r="J291" s="60"/>
      <c r="K291" s="60"/>
      <c r="L291" s="60"/>
      <c r="M291" s="60"/>
      <c r="N291" s="60">
        <f t="shared" si="89"/>
        <v>0</v>
      </c>
      <c r="O291" s="60">
        <f t="shared" si="90"/>
        <v>0</v>
      </c>
    </row>
    <row r="292" spans="1:15" s="38" customFormat="1" ht="10.7" hidden="1" customHeight="1" outlineLevel="1" x14ac:dyDescent="0.25">
      <c r="A292" s="124"/>
      <c r="B292" s="142"/>
      <c r="C292" s="115"/>
      <c r="D292" s="115"/>
      <c r="E292" s="115"/>
      <c r="F292" s="115"/>
      <c r="G292" s="60" t="s">
        <v>130</v>
      </c>
      <c r="H292" s="124"/>
      <c r="I292" s="124"/>
      <c r="J292" s="60"/>
      <c r="K292" s="60"/>
      <c r="L292" s="60"/>
      <c r="M292" s="60"/>
      <c r="N292" s="60">
        <f t="shared" si="89"/>
        <v>0</v>
      </c>
      <c r="O292" s="60">
        <f t="shared" si="90"/>
        <v>0</v>
      </c>
    </row>
    <row r="293" spans="1:15" s="38" customFormat="1" ht="12" hidden="1" customHeight="1" outlineLevel="1" thickBot="1" x14ac:dyDescent="0.3">
      <c r="A293" s="125"/>
      <c r="B293" s="143"/>
      <c r="C293" s="131"/>
      <c r="D293" s="131"/>
      <c r="E293" s="131"/>
      <c r="F293" s="131"/>
      <c r="G293" s="60" t="s">
        <v>131</v>
      </c>
      <c r="H293" s="134"/>
      <c r="I293" s="134"/>
      <c r="J293" s="60"/>
      <c r="K293" s="60"/>
      <c r="L293" s="60"/>
      <c r="M293" s="60"/>
      <c r="N293" s="60">
        <f t="shared" si="89"/>
        <v>0</v>
      </c>
      <c r="O293" s="60">
        <f t="shared" si="90"/>
        <v>0</v>
      </c>
    </row>
    <row r="294" spans="1:15" s="38" customFormat="1" ht="14.45" hidden="1" customHeight="1" outlineLevel="1" x14ac:dyDescent="0.25">
      <c r="A294" s="140" t="s">
        <v>436</v>
      </c>
      <c r="B294" s="141" t="s">
        <v>437</v>
      </c>
      <c r="C294" s="130">
        <f>SUM(N294:N300)</f>
        <v>0</v>
      </c>
      <c r="D294" s="130">
        <f>SUM(O294:O300)</f>
        <v>0</v>
      </c>
      <c r="E294" s="130">
        <f t="shared" si="84"/>
        <v>0</v>
      </c>
      <c r="F294" s="130"/>
      <c r="G294" s="60" t="s">
        <v>125</v>
      </c>
      <c r="H294" s="123"/>
      <c r="I294" s="123"/>
      <c r="J294" s="60"/>
      <c r="K294" s="60"/>
      <c r="L294" s="60"/>
      <c r="M294" s="60"/>
      <c r="N294" s="60">
        <f>M294*J294*K294*L294</f>
        <v>0</v>
      </c>
      <c r="O294" s="60">
        <f>J294*K294*L294</f>
        <v>0</v>
      </c>
    </row>
    <row r="295" spans="1:15" s="38" customFormat="1" ht="11.45" hidden="1" customHeight="1" outlineLevel="1" x14ac:dyDescent="0.25">
      <c r="A295" s="124"/>
      <c r="B295" s="142"/>
      <c r="C295" s="115"/>
      <c r="D295" s="115"/>
      <c r="E295" s="115"/>
      <c r="F295" s="115"/>
      <c r="G295" s="60" t="s">
        <v>126</v>
      </c>
      <c r="H295" s="124"/>
      <c r="I295" s="124"/>
      <c r="J295" s="60"/>
      <c r="K295" s="60"/>
      <c r="L295" s="60"/>
      <c r="M295" s="60"/>
      <c r="N295" s="60">
        <f t="shared" ref="N295:N300" si="91">M295*J295*K295*L295</f>
        <v>0</v>
      </c>
      <c r="O295" s="60">
        <f t="shared" ref="O295:O300" si="92">J295*K295*L295</f>
        <v>0</v>
      </c>
    </row>
    <row r="296" spans="1:15" s="38" customFormat="1" ht="10.7" hidden="1" customHeight="1" outlineLevel="1" x14ac:dyDescent="0.25">
      <c r="A296" s="124"/>
      <c r="B296" s="142"/>
      <c r="C296" s="115"/>
      <c r="D296" s="115"/>
      <c r="E296" s="115"/>
      <c r="F296" s="115"/>
      <c r="G296" s="60" t="s">
        <v>127</v>
      </c>
      <c r="H296" s="124"/>
      <c r="I296" s="124"/>
      <c r="J296" s="60"/>
      <c r="K296" s="60"/>
      <c r="L296" s="60"/>
      <c r="M296" s="60"/>
      <c r="N296" s="60">
        <f t="shared" si="91"/>
        <v>0</v>
      </c>
      <c r="O296" s="60">
        <f t="shared" si="92"/>
        <v>0</v>
      </c>
    </row>
    <row r="297" spans="1:15" s="38" customFormat="1" ht="10.7" hidden="1" customHeight="1" outlineLevel="1" x14ac:dyDescent="0.25">
      <c r="A297" s="124"/>
      <c r="B297" s="142"/>
      <c r="C297" s="115"/>
      <c r="D297" s="115"/>
      <c r="E297" s="115"/>
      <c r="F297" s="115"/>
      <c r="G297" s="60" t="s">
        <v>128</v>
      </c>
      <c r="H297" s="124"/>
      <c r="I297" s="124"/>
      <c r="J297" s="60"/>
      <c r="K297" s="60"/>
      <c r="L297" s="60"/>
      <c r="M297" s="60"/>
      <c r="N297" s="60">
        <f t="shared" si="91"/>
        <v>0</v>
      </c>
      <c r="O297" s="60">
        <f t="shared" si="92"/>
        <v>0</v>
      </c>
    </row>
    <row r="298" spans="1:15" s="38" customFormat="1" ht="10.7" hidden="1" customHeight="1" outlineLevel="1" x14ac:dyDescent="0.25">
      <c r="A298" s="124"/>
      <c r="B298" s="142"/>
      <c r="C298" s="115"/>
      <c r="D298" s="115"/>
      <c r="E298" s="115"/>
      <c r="F298" s="115"/>
      <c r="G298" s="60" t="s">
        <v>129</v>
      </c>
      <c r="H298" s="124"/>
      <c r="I298" s="124"/>
      <c r="J298" s="60"/>
      <c r="K298" s="60"/>
      <c r="L298" s="60"/>
      <c r="M298" s="60"/>
      <c r="N298" s="60">
        <f t="shared" si="91"/>
        <v>0</v>
      </c>
      <c r="O298" s="60">
        <f t="shared" si="92"/>
        <v>0</v>
      </c>
    </row>
    <row r="299" spans="1:15" s="38" customFormat="1" ht="10.7" hidden="1" customHeight="1" outlineLevel="1" x14ac:dyDescent="0.25">
      <c r="A299" s="124"/>
      <c r="B299" s="142"/>
      <c r="C299" s="115"/>
      <c r="D299" s="115"/>
      <c r="E299" s="115"/>
      <c r="F299" s="115"/>
      <c r="G299" s="60" t="s">
        <v>130</v>
      </c>
      <c r="H299" s="124"/>
      <c r="I299" s="124"/>
      <c r="J299" s="60"/>
      <c r="K299" s="60"/>
      <c r="L299" s="60"/>
      <c r="M299" s="60"/>
      <c r="N299" s="60">
        <f t="shared" si="91"/>
        <v>0</v>
      </c>
      <c r="O299" s="60">
        <f t="shared" si="92"/>
        <v>0</v>
      </c>
    </row>
    <row r="300" spans="1:15" s="38" customFormat="1" ht="12" hidden="1" customHeight="1" outlineLevel="1" thickBot="1" x14ac:dyDescent="0.3">
      <c r="A300" s="125"/>
      <c r="B300" s="143"/>
      <c r="C300" s="131"/>
      <c r="D300" s="131"/>
      <c r="E300" s="131"/>
      <c r="F300" s="131"/>
      <c r="G300" s="60" t="s">
        <v>131</v>
      </c>
      <c r="H300" s="134"/>
      <c r="I300" s="134"/>
      <c r="J300" s="60"/>
      <c r="K300" s="60"/>
      <c r="L300" s="60"/>
      <c r="M300" s="60"/>
      <c r="N300" s="60">
        <f t="shared" si="91"/>
        <v>0</v>
      </c>
      <c r="O300" s="60">
        <f t="shared" si="92"/>
        <v>0</v>
      </c>
    </row>
    <row r="301" spans="1:15" s="38" customFormat="1" ht="14.45" hidden="1" customHeight="1" outlineLevel="1" x14ac:dyDescent="0.25">
      <c r="A301" s="140" t="s">
        <v>438</v>
      </c>
      <c r="B301" s="141" t="s">
        <v>439</v>
      </c>
      <c r="C301" s="130">
        <f>SUM(N301:N307)</f>
        <v>0</v>
      </c>
      <c r="D301" s="130">
        <f>SUM(O301:O307)</f>
        <v>0</v>
      </c>
      <c r="E301" s="130">
        <f t="shared" si="84"/>
        <v>0</v>
      </c>
      <c r="F301" s="130"/>
      <c r="G301" s="60" t="s">
        <v>125</v>
      </c>
      <c r="H301" s="123"/>
      <c r="I301" s="123"/>
      <c r="J301" s="60"/>
      <c r="K301" s="60"/>
      <c r="L301" s="60"/>
      <c r="M301" s="60"/>
      <c r="N301" s="60">
        <f>M301*J301*K301*L301</f>
        <v>0</v>
      </c>
      <c r="O301" s="60">
        <f>J301*K301*L301</f>
        <v>0</v>
      </c>
    </row>
    <row r="302" spans="1:15" s="38" customFormat="1" ht="11.45" hidden="1" customHeight="1" outlineLevel="1" x14ac:dyDescent="0.25">
      <c r="A302" s="124"/>
      <c r="B302" s="142"/>
      <c r="C302" s="115"/>
      <c r="D302" s="115"/>
      <c r="E302" s="115"/>
      <c r="F302" s="115"/>
      <c r="G302" s="60" t="s">
        <v>126</v>
      </c>
      <c r="H302" s="124"/>
      <c r="I302" s="124"/>
      <c r="J302" s="60"/>
      <c r="K302" s="60"/>
      <c r="L302" s="60"/>
      <c r="M302" s="60"/>
      <c r="N302" s="60">
        <f t="shared" ref="N302:N307" si="93">M302*J302*K302*L302</f>
        <v>0</v>
      </c>
      <c r="O302" s="60">
        <f t="shared" ref="O302:O307" si="94">J302*K302*L302</f>
        <v>0</v>
      </c>
    </row>
    <row r="303" spans="1:15" s="38" customFormat="1" ht="10.7" hidden="1" customHeight="1" outlineLevel="1" x14ac:dyDescent="0.25">
      <c r="A303" s="124"/>
      <c r="B303" s="142"/>
      <c r="C303" s="115"/>
      <c r="D303" s="115"/>
      <c r="E303" s="115"/>
      <c r="F303" s="115"/>
      <c r="G303" s="60" t="s">
        <v>127</v>
      </c>
      <c r="H303" s="124"/>
      <c r="I303" s="124"/>
      <c r="J303" s="60"/>
      <c r="K303" s="60"/>
      <c r="L303" s="60"/>
      <c r="M303" s="60"/>
      <c r="N303" s="60">
        <f t="shared" si="93"/>
        <v>0</v>
      </c>
      <c r="O303" s="60">
        <f t="shared" si="94"/>
        <v>0</v>
      </c>
    </row>
    <row r="304" spans="1:15" s="38" customFormat="1" ht="10.7" hidden="1" customHeight="1" outlineLevel="1" x14ac:dyDescent="0.25">
      <c r="A304" s="124"/>
      <c r="B304" s="142"/>
      <c r="C304" s="115"/>
      <c r="D304" s="115"/>
      <c r="E304" s="115"/>
      <c r="F304" s="115"/>
      <c r="G304" s="60" t="s">
        <v>128</v>
      </c>
      <c r="H304" s="124"/>
      <c r="I304" s="124"/>
      <c r="J304" s="60"/>
      <c r="K304" s="60"/>
      <c r="L304" s="60"/>
      <c r="M304" s="60"/>
      <c r="N304" s="60">
        <f t="shared" si="93"/>
        <v>0</v>
      </c>
      <c r="O304" s="60">
        <f t="shared" si="94"/>
        <v>0</v>
      </c>
    </row>
    <row r="305" spans="1:15" s="38" customFormat="1" ht="10.7" hidden="1" customHeight="1" outlineLevel="1" x14ac:dyDescent="0.25">
      <c r="A305" s="124"/>
      <c r="B305" s="142"/>
      <c r="C305" s="115"/>
      <c r="D305" s="115"/>
      <c r="E305" s="115"/>
      <c r="F305" s="115"/>
      <c r="G305" s="60" t="s">
        <v>129</v>
      </c>
      <c r="H305" s="124"/>
      <c r="I305" s="124"/>
      <c r="J305" s="60"/>
      <c r="K305" s="60"/>
      <c r="L305" s="60"/>
      <c r="M305" s="60"/>
      <c r="N305" s="60">
        <f t="shared" si="93"/>
        <v>0</v>
      </c>
      <c r="O305" s="60">
        <f t="shared" si="94"/>
        <v>0</v>
      </c>
    </row>
    <row r="306" spans="1:15" s="38" customFormat="1" ht="10.7" hidden="1" customHeight="1" outlineLevel="1" x14ac:dyDescent="0.25">
      <c r="A306" s="124"/>
      <c r="B306" s="142"/>
      <c r="C306" s="115"/>
      <c r="D306" s="115"/>
      <c r="E306" s="115"/>
      <c r="F306" s="115"/>
      <c r="G306" s="60" t="s">
        <v>130</v>
      </c>
      <c r="H306" s="124"/>
      <c r="I306" s="124"/>
      <c r="J306" s="60"/>
      <c r="K306" s="60"/>
      <c r="L306" s="60"/>
      <c r="M306" s="60"/>
      <c r="N306" s="60">
        <f t="shared" si="93"/>
        <v>0</v>
      </c>
      <c r="O306" s="60">
        <f t="shared" si="94"/>
        <v>0</v>
      </c>
    </row>
    <row r="307" spans="1:15" s="38" customFormat="1" ht="12" hidden="1" customHeight="1" outlineLevel="1" thickBot="1" x14ac:dyDescent="0.3">
      <c r="A307" s="125"/>
      <c r="B307" s="143"/>
      <c r="C307" s="131"/>
      <c r="D307" s="131"/>
      <c r="E307" s="131"/>
      <c r="F307" s="131"/>
      <c r="G307" s="60" t="s">
        <v>131</v>
      </c>
      <c r="H307" s="134"/>
      <c r="I307" s="134"/>
      <c r="J307" s="60"/>
      <c r="K307" s="60"/>
      <c r="L307" s="60"/>
      <c r="M307" s="60"/>
      <c r="N307" s="60">
        <f t="shared" si="93"/>
        <v>0</v>
      </c>
      <c r="O307" s="60">
        <f t="shared" si="94"/>
        <v>0</v>
      </c>
    </row>
    <row r="308" spans="1:15" s="38" customFormat="1" ht="14.45" hidden="1" customHeight="1" outlineLevel="1" x14ac:dyDescent="0.25">
      <c r="A308" s="140" t="s">
        <v>440</v>
      </c>
      <c r="B308" s="141" t="s">
        <v>441</v>
      </c>
      <c r="C308" s="130">
        <f>SUM(N308:N314)</f>
        <v>0</v>
      </c>
      <c r="D308" s="130">
        <f>SUM(O308:O314)</f>
        <v>0</v>
      </c>
      <c r="E308" s="130">
        <f t="shared" si="84"/>
        <v>0</v>
      </c>
      <c r="F308" s="130"/>
      <c r="G308" s="60" t="s">
        <v>125</v>
      </c>
      <c r="H308" s="123"/>
      <c r="I308" s="123"/>
      <c r="J308" s="60"/>
      <c r="K308" s="60"/>
      <c r="L308" s="60"/>
      <c r="M308" s="60"/>
      <c r="N308" s="60">
        <f>M308*J308*K308*L308</f>
        <v>0</v>
      </c>
      <c r="O308" s="60">
        <f>J308*K308*L308</f>
        <v>0</v>
      </c>
    </row>
    <row r="309" spans="1:15" s="38" customFormat="1" ht="11.45" hidden="1" customHeight="1" outlineLevel="1" x14ac:dyDescent="0.25">
      <c r="A309" s="124"/>
      <c r="B309" s="142"/>
      <c r="C309" s="115"/>
      <c r="D309" s="115"/>
      <c r="E309" s="115"/>
      <c r="F309" s="115"/>
      <c r="G309" s="60" t="s">
        <v>126</v>
      </c>
      <c r="H309" s="124"/>
      <c r="I309" s="124"/>
      <c r="J309" s="60"/>
      <c r="K309" s="60"/>
      <c r="L309" s="60"/>
      <c r="M309" s="60"/>
      <c r="N309" s="60">
        <f t="shared" ref="N309:N314" si="95">M309*J309*K309*L309</f>
        <v>0</v>
      </c>
      <c r="O309" s="60">
        <f t="shared" ref="O309:O314" si="96">J309*K309*L309</f>
        <v>0</v>
      </c>
    </row>
    <row r="310" spans="1:15" s="38" customFormat="1" ht="10.7" hidden="1" customHeight="1" outlineLevel="1" x14ac:dyDescent="0.25">
      <c r="A310" s="124"/>
      <c r="B310" s="142"/>
      <c r="C310" s="115"/>
      <c r="D310" s="115"/>
      <c r="E310" s="115"/>
      <c r="F310" s="115"/>
      <c r="G310" s="60" t="s">
        <v>127</v>
      </c>
      <c r="H310" s="124"/>
      <c r="I310" s="124"/>
      <c r="J310" s="60"/>
      <c r="K310" s="60"/>
      <c r="L310" s="60"/>
      <c r="M310" s="60"/>
      <c r="N310" s="60">
        <f t="shared" si="95"/>
        <v>0</v>
      </c>
      <c r="O310" s="60">
        <f t="shared" si="96"/>
        <v>0</v>
      </c>
    </row>
    <row r="311" spans="1:15" s="38" customFormat="1" ht="10.7" hidden="1" customHeight="1" outlineLevel="1" x14ac:dyDescent="0.25">
      <c r="A311" s="124"/>
      <c r="B311" s="142"/>
      <c r="C311" s="115"/>
      <c r="D311" s="115"/>
      <c r="E311" s="115"/>
      <c r="F311" s="115"/>
      <c r="G311" s="60" t="s">
        <v>128</v>
      </c>
      <c r="H311" s="124"/>
      <c r="I311" s="124"/>
      <c r="J311" s="60"/>
      <c r="K311" s="60"/>
      <c r="L311" s="60"/>
      <c r="M311" s="60"/>
      <c r="N311" s="60">
        <f t="shared" si="95"/>
        <v>0</v>
      </c>
      <c r="O311" s="60">
        <f t="shared" si="96"/>
        <v>0</v>
      </c>
    </row>
    <row r="312" spans="1:15" s="38" customFormat="1" ht="10.7" hidden="1" customHeight="1" outlineLevel="1" x14ac:dyDescent="0.25">
      <c r="A312" s="124"/>
      <c r="B312" s="142"/>
      <c r="C312" s="115"/>
      <c r="D312" s="115"/>
      <c r="E312" s="115"/>
      <c r="F312" s="115"/>
      <c r="G312" s="60" t="s">
        <v>129</v>
      </c>
      <c r="H312" s="124"/>
      <c r="I312" s="124"/>
      <c r="J312" s="60"/>
      <c r="K312" s="60"/>
      <c r="L312" s="60"/>
      <c r="M312" s="60"/>
      <c r="N312" s="60">
        <f t="shared" si="95"/>
        <v>0</v>
      </c>
      <c r="O312" s="60">
        <f t="shared" si="96"/>
        <v>0</v>
      </c>
    </row>
    <row r="313" spans="1:15" s="38" customFormat="1" ht="10.7" hidden="1" customHeight="1" outlineLevel="1" x14ac:dyDescent="0.25">
      <c r="A313" s="124"/>
      <c r="B313" s="142"/>
      <c r="C313" s="115"/>
      <c r="D313" s="115"/>
      <c r="E313" s="115"/>
      <c r="F313" s="115"/>
      <c r="G313" s="60" t="s">
        <v>130</v>
      </c>
      <c r="H313" s="124"/>
      <c r="I313" s="124"/>
      <c r="J313" s="60"/>
      <c r="K313" s="60"/>
      <c r="L313" s="60"/>
      <c r="M313" s="60"/>
      <c r="N313" s="60">
        <f t="shared" si="95"/>
        <v>0</v>
      </c>
      <c r="O313" s="60">
        <f t="shared" si="96"/>
        <v>0</v>
      </c>
    </row>
    <row r="314" spans="1:15" s="38" customFormat="1" ht="12" hidden="1" customHeight="1" outlineLevel="1" thickBot="1" x14ac:dyDescent="0.3">
      <c r="A314" s="125"/>
      <c r="B314" s="143"/>
      <c r="C314" s="131"/>
      <c r="D314" s="131"/>
      <c r="E314" s="131"/>
      <c r="F314" s="131"/>
      <c r="G314" s="60" t="s">
        <v>131</v>
      </c>
      <c r="H314" s="134"/>
      <c r="I314" s="134"/>
      <c r="J314" s="60"/>
      <c r="K314" s="60"/>
      <c r="L314" s="60"/>
      <c r="M314" s="60"/>
      <c r="N314" s="60">
        <f t="shared" si="95"/>
        <v>0</v>
      </c>
      <c r="O314" s="60">
        <f t="shared" si="96"/>
        <v>0</v>
      </c>
    </row>
    <row r="315" spans="1:15" s="38" customFormat="1" ht="14.45" hidden="1" customHeight="1" outlineLevel="1" x14ac:dyDescent="0.25">
      <c r="A315" s="140" t="s">
        <v>442</v>
      </c>
      <c r="B315" s="141" t="s">
        <v>443</v>
      </c>
      <c r="C315" s="130">
        <f>SUM(N315:N321)</f>
        <v>0</v>
      </c>
      <c r="D315" s="130">
        <f>SUM(O315:O321)</f>
        <v>0</v>
      </c>
      <c r="E315" s="130">
        <f t="shared" si="84"/>
        <v>0</v>
      </c>
      <c r="F315" s="130"/>
      <c r="G315" s="60" t="s">
        <v>125</v>
      </c>
      <c r="H315" s="123"/>
      <c r="I315" s="123"/>
      <c r="J315" s="60"/>
      <c r="K315" s="60"/>
      <c r="L315" s="60"/>
      <c r="M315" s="60"/>
      <c r="N315" s="60">
        <f>M315*J315*K315*L315</f>
        <v>0</v>
      </c>
      <c r="O315" s="60">
        <f>J315*K315*L315</f>
        <v>0</v>
      </c>
    </row>
    <row r="316" spans="1:15" s="38" customFormat="1" ht="11.45" hidden="1" customHeight="1" outlineLevel="1" x14ac:dyDescent="0.25">
      <c r="A316" s="124"/>
      <c r="B316" s="142"/>
      <c r="C316" s="115"/>
      <c r="D316" s="115"/>
      <c r="E316" s="115"/>
      <c r="F316" s="115"/>
      <c r="G316" s="60" t="s">
        <v>126</v>
      </c>
      <c r="H316" s="124"/>
      <c r="I316" s="124"/>
      <c r="J316" s="60"/>
      <c r="K316" s="60"/>
      <c r="L316" s="60"/>
      <c r="M316" s="60"/>
      <c r="N316" s="60">
        <f t="shared" ref="N316:N321" si="97">M316*J316*K316*L316</f>
        <v>0</v>
      </c>
      <c r="O316" s="60">
        <f t="shared" ref="O316:O321" si="98">J316*K316*L316</f>
        <v>0</v>
      </c>
    </row>
    <row r="317" spans="1:15" s="38" customFormat="1" ht="10.7" hidden="1" customHeight="1" outlineLevel="1" x14ac:dyDescent="0.25">
      <c r="A317" s="124"/>
      <c r="B317" s="142"/>
      <c r="C317" s="115"/>
      <c r="D317" s="115"/>
      <c r="E317" s="115"/>
      <c r="F317" s="115"/>
      <c r="G317" s="60" t="s">
        <v>127</v>
      </c>
      <c r="H317" s="124"/>
      <c r="I317" s="124"/>
      <c r="J317" s="60"/>
      <c r="K317" s="60"/>
      <c r="L317" s="60"/>
      <c r="M317" s="60"/>
      <c r="N317" s="60">
        <f t="shared" si="97"/>
        <v>0</v>
      </c>
      <c r="O317" s="60">
        <f t="shared" si="98"/>
        <v>0</v>
      </c>
    </row>
    <row r="318" spans="1:15" s="38" customFormat="1" ht="10.7" hidden="1" customHeight="1" outlineLevel="1" x14ac:dyDescent="0.25">
      <c r="A318" s="124"/>
      <c r="B318" s="142"/>
      <c r="C318" s="115"/>
      <c r="D318" s="115"/>
      <c r="E318" s="115"/>
      <c r="F318" s="115"/>
      <c r="G318" s="60" t="s">
        <v>128</v>
      </c>
      <c r="H318" s="124"/>
      <c r="I318" s="124"/>
      <c r="J318" s="60"/>
      <c r="K318" s="60"/>
      <c r="L318" s="60"/>
      <c r="M318" s="60"/>
      <c r="N318" s="60">
        <f t="shared" si="97"/>
        <v>0</v>
      </c>
      <c r="O318" s="60">
        <f t="shared" si="98"/>
        <v>0</v>
      </c>
    </row>
    <row r="319" spans="1:15" s="38" customFormat="1" ht="10.7" hidden="1" customHeight="1" outlineLevel="1" x14ac:dyDescent="0.25">
      <c r="A319" s="124"/>
      <c r="B319" s="142"/>
      <c r="C319" s="115"/>
      <c r="D319" s="115"/>
      <c r="E319" s="115"/>
      <c r="F319" s="115"/>
      <c r="G319" s="60" t="s">
        <v>129</v>
      </c>
      <c r="H319" s="124"/>
      <c r="I319" s="124"/>
      <c r="J319" s="60"/>
      <c r="K319" s="60"/>
      <c r="L319" s="60"/>
      <c r="M319" s="60"/>
      <c r="N319" s="60">
        <f t="shared" si="97"/>
        <v>0</v>
      </c>
      <c r="O319" s="60">
        <f t="shared" si="98"/>
        <v>0</v>
      </c>
    </row>
    <row r="320" spans="1:15" s="38" customFormat="1" ht="10.7" hidden="1" customHeight="1" outlineLevel="1" x14ac:dyDescent="0.25">
      <c r="A320" s="124"/>
      <c r="B320" s="142"/>
      <c r="C320" s="115"/>
      <c r="D320" s="115"/>
      <c r="E320" s="115"/>
      <c r="F320" s="115"/>
      <c r="G320" s="60" t="s">
        <v>130</v>
      </c>
      <c r="H320" s="124"/>
      <c r="I320" s="124"/>
      <c r="J320" s="60"/>
      <c r="K320" s="60"/>
      <c r="L320" s="60"/>
      <c r="M320" s="60"/>
      <c r="N320" s="60">
        <f t="shared" si="97"/>
        <v>0</v>
      </c>
      <c r="O320" s="60">
        <f t="shared" si="98"/>
        <v>0</v>
      </c>
    </row>
    <row r="321" spans="1:15" s="38" customFormat="1" ht="12" hidden="1" customHeight="1" outlineLevel="1" thickBot="1" x14ac:dyDescent="0.3">
      <c r="A321" s="125"/>
      <c r="B321" s="143"/>
      <c r="C321" s="131"/>
      <c r="D321" s="131"/>
      <c r="E321" s="131"/>
      <c r="F321" s="131"/>
      <c r="G321" s="60" t="s">
        <v>131</v>
      </c>
      <c r="H321" s="134"/>
      <c r="I321" s="134"/>
      <c r="J321" s="60"/>
      <c r="K321" s="60"/>
      <c r="L321" s="60"/>
      <c r="M321" s="60"/>
      <c r="N321" s="60">
        <f t="shared" si="97"/>
        <v>0</v>
      </c>
      <c r="O321" s="60">
        <f t="shared" si="98"/>
        <v>0</v>
      </c>
    </row>
    <row r="322" spans="1:15" s="38" customFormat="1" ht="14.45" hidden="1" customHeight="1" outlineLevel="1" x14ac:dyDescent="0.25">
      <c r="A322" s="140" t="s">
        <v>444</v>
      </c>
      <c r="B322" s="141" t="s">
        <v>445</v>
      </c>
      <c r="C322" s="130">
        <f>SUM(N322:N328)</f>
        <v>0</v>
      </c>
      <c r="D322" s="130">
        <f>SUM(O322:O328)</f>
        <v>0</v>
      </c>
      <c r="E322" s="130">
        <f t="shared" si="84"/>
        <v>0</v>
      </c>
      <c r="F322" s="130"/>
      <c r="G322" s="60" t="s">
        <v>125</v>
      </c>
      <c r="H322" s="123"/>
      <c r="I322" s="123"/>
      <c r="J322" s="60"/>
      <c r="K322" s="60"/>
      <c r="L322" s="60"/>
      <c r="M322" s="60"/>
      <c r="N322" s="60">
        <f>M322*J322*K322*L322</f>
        <v>0</v>
      </c>
      <c r="O322" s="60">
        <f>J322*K322*L322</f>
        <v>0</v>
      </c>
    </row>
    <row r="323" spans="1:15" s="38" customFormat="1" ht="11.45" hidden="1" customHeight="1" outlineLevel="1" x14ac:dyDescent="0.25">
      <c r="A323" s="124"/>
      <c r="B323" s="142"/>
      <c r="C323" s="115"/>
      <c r="D323" s="115"/>
      <c r="E323" s="115"/>
      <c r="F323" s="115"/>
      <c r="G323" s="60" t="s">
        <v>126</v>
      </c>
      <c r="H323" s="124"/>
      <c r="I323" s="124"/>
      <c r="J323" s="60"/>
      <c r="K323" s="60"/>
      <c r="L323" s="60"/>
      <c r="M323" s="60"/>
      <c r="N323" s="60">
        <f t="shared" ref="N323:N328" si="99">M323*J323*K323*L323</f>
        <v>0</v>
      </c>
      <c r="O323" s="60">
        <f t="shared" ref="O323:O328" si="100">J323*K323*L323</f>
        <v>0</v>
      </c>
    </row>
    <row r="324" spans="1:15" s="38" customFormat="1" ht="10.7" hidden="1" customHeight="1" outlineLevel="1" x14ac:dyDescent="0.25">
      <c r="A324" s="124"/>
      <c r="B324" s="142"/>
      <c r="C324" s="115"/>
      <c r="D324" s="115"/>
      <c r="E324" s="115"/>
      <c r="F324" s="115"/>
      <c r="G324" s="60" t="s">
        <v>127</v>
      </c>
      <c r="H324" s="124"/>
      <c r="I324" s="124"/>
      <c r="J324" s="60"/>
      <c r="K324" s="60"/>
      <c r="L324" s="60"/>
      <c r="M324" s="60"/>
      <c r="N324" s="60">
        <f t="shared" si="99"/>
        <v>0</v>
      </c>
      <c r="O324" s="60">
        <f t="shared" si="100"/>
        <v>0</v>
      </c>
    </row>
    <row r="325" spans="1:15" s="38" customFormat="1" ht="10.7" hidden="1" customHeight="1" outlineLevel="1" x14ac:dyDescent="0.25">
      <c r="A325" s="124"/>
      <c r="B325" s="142"/>
      <c r="C325" s="115"/>
      <c r="D325" s="115"/>
      <c r="E325" s="115"/>
      <c r="F325" s="115"/>
      <c r="G325" s="60" t="s">
        <v>128</v>
      </c>
      <c r="H325" s="124"/>
      <c r="I325" s="124"/>
      <c r="J325" s="60"/>
      <c r="K325" s="60"/>
      <c r="L325" s="60"/>
      <c r="M325" s="60"/>
      <c r="N325" s="60">
        <f t="shared" si="99"/>
        <v>0</v>
      </c>
      <c r="O325" s="60">
        <f t="shared" si="100"/>
        <v>0</v>
      </c>
    </row>
    <row r="326" spans="1:15" s="38" customFormat="1" ht="10.7" hidden="1" customHeight="1" outlineLevel="1" x14ac:dyDescent="0.25">
      <c r="A326" s="124"/>
      <c r="B326" s="142"/>
      <c r="C326" s="115"/>
      <c r="D326" s="115"/>
      <c r="E326" s="115"/>
      <c r="F326" s="115"/>
      <c r="G326" s="60" t="s">
        <v>129</v>
      </c>
      <c r="H326" s="124"/>
      <c r="I326" s="124"/>
      <c r="J326" s="60"/>
      <c r="K326" s="60"/>
      <c r="L326" s="60"/>
      <c r="M326" s="60"/>
      <c r="N326" s="60">
        <f t="shared" si="99"/>
        <v>0</v>
      </c>
      <c r="O326" s="60">
        <f t="shared" si="100"/>
        <v>0</v>
      </c>
    </row>
    <row r="327" spans="1:15" s="38" customFormat="1" ht="10.7" hidden="1" customHeight="1" outlineLevel="1" x14ac:dyDescent="0.25">
      <c r="A327" s="124"/>
      <c r="B327" s="142"/>
      <c r="C327" s="115"/>
      <c r="D327" s="115"/>
      <c r="E327" s="115"/>
      <c r="F327" s="115"/>
      <c r="G327" s="60" t="s">
        <v>130</v>
      </c>
      <c r="H327" s="124"/>
      <c r="I327" s="124"/>
      <c r="J327" s="60"/>
      <c r="K327" s="60"/>
      <c r="L327" s="60"/>
      <c r="M327" s="60"/>
      <c r="N327" s="60">
        <f t="shared" si="99"/>
        <v>0</v>
      </c>
      <c r="O327" s="60">
        <f t="shared" si="100"/>
        <v>0</v>
      </c>
    </row>
    <row r="328" spans="1:15" s="38" customFormat="1" ht="12" hidden="1" customHeight="1" outlineLevel="1" thickBot="1" x14ac:dyDescent="0.3">
      <c r="A328" s="125"/>
      <c r="B328" s="143"/>
      <c r="C328" s="131"/>
      <c r="D328" s="131"/>
      <c r="E328" s="131"/>
      <c r="F328" s="131"/>
      <c r="G328" s="60" t="s">
        <v>131</v>
      </c>
      <c r="H328" s="134"/>
      <c r="I328" s="134"/>
      <c r="J328" s="60"/>
      <c r="K328" s="60"/>
      <c r="L328" s="60"/>
      <c r="M328" s="60"/>
      <c r="N328" s="60">
        <f t="shared" si="99"/>
        <v>0</v>
      </c>
      <c r="O328" s="60">
        <f t="shared" si="100"/>
        <v>0</v>
      </c>
    </row>
    <row r="329" spans="1:15" s="38" customFormat="1" ht="14.45" hidden="1" customHeight="1" outlineLevel="1" x14ac:dyDescent="0.25">
      <c r="A329" s="140" t="s">
        <v>446</v>
      </c>
      <c r="B329" s="141" t="s">
        <v>550</v>
      </c>
      <c r="C329" s="130">
        <f>SUM(N329:N335)</f>
        <v>0</v>
      </c>
      <c r="D329" s="130">
        <f>SUM(O329:O335)</f>
        <v>0</v>
      </c>
      <c r="E329" s="130">
        <f t="shared" si="84"/>
        <v>0</v>
      </c>
      <c r="F329" s="130"/>
      <c r="G329" s="60" t="s">
        <v>125</v>
      </c>
      <c r="H329" s="123"/>
      <c r="I329" s="123"/>
      <c r="J329" s="60"/>
      <c r="K329" s="60"/>
      <c r="L329" s="60"/>
      <c r="M329" s="60"/>
      <c r="N329" s="60">
        <f>M329*J329*K329*L329</f>
        <v>0</v>
      </c>
      <c r="O329" s="60">
        <f>J329*K329*L329</f>
        <v>0</v>
      </c>
    </row>
    <row r="330" spans="1:15" s="38" customFormat="1" ht="11.45" hidden="1" customHeight="1" outlineLevel="1" x14ac:dyDescent="0.25">
      <c r="A330" s="124"/>
      <c r="B330" s="142"/>
      <c r="C330" s="115"/>
      <c r="D330" s="115"/>
      <c r="E330" s="115"/>
      <c r="F330" s="115"/>
      <c r="G330" s="60" t="s">
        <v>126</v>
      </c>
      <c r="H330" s="124"/>
      <c r="I330" s="124"/>
      <c r="J330" s="60"/>
      <c r="K330" s="60"/>
      <c r="L330" s="60"/>
      <c r="M330" s="60"/>
      <c r="N330" s="60">
        <f t="shared" ref="N330:N335" si="101">M330*J330*K330*L330</f>
        <v>0</v>
      </c>
      <c r="O330" s="60">
        <f t="shared" ref="O330:O335" si="102">J330*K330*L330</f>
        <v>0</v>
      </c>
    </row>
    <row r="331" spans="1:15" s="38" customFormat="1" ht="10.7" hidden="1" customHeight="1" outlineLevel="1" x14ac:dyDescent="0.25">
      <c r="A331" s="124"/>
      <c r="B331" s="142"/>
      <c r="C331" s="115"/>
      <c r="D331" s="115"/>
      <c r="E331" s="115"/>
      <c r="F331" s="115"/>
      <c r="G331" s="60" t="s">
        <v>127</v>
      </c>
      <c r="H331" s="124"/>
      <c r="I331" s="124"/>
      <c r="J331" s="60"/>
      <c r="K331" s="60"/>
      <c r="L331" s="60"/>
      <c r="M331" s="60"/>
      <c r="N331" s="60">
        <f t="shared" si="101"/>
        <v>0</v>
      </c>
      <c r="O331" s="60">
        <f t="shared" si="102"/>
        <v>0</v>
      </c>
    </row>
    <row r="332" spans="1:15" s="38" customFormat="1" ht="10.7" hidden="1" customHeight="1" outlineLevel="1" x14ac:dyDescent="0.25">
      <c r="A332" s="124"/>
      <c r="B332" s="142"/>
      <c r="C332" s="115"/>
      <c r="D332" s="115"/>
      <c r="E332" s="115"/>
      <c r="F332" s="115"/>
      <c r="G332" s="60" t="s">
        <v>128</v>
      </c>
      <c r="H332" s="124"/>
      <c r="I332" s="124"/>
      <c r="J332" s="60"/>
      <c r="K332" s="60"/>
      <c r="L332" s="60"/>
      <c r="M332" s="60"/>
      <c r="N332" s="60">
        <f t="shared" si="101"/>
        <v>0</v>
      </c>
      <c r="O332" s="60">
        <f t="shared" si="102"/>
        <v>0</v>
      </c>
    </row>
    <row r="333" spans="1:15" s="38" customFormat="1" ht="10.7" hidden="1" customHeight="1" outlineLevel="1" x14ac:dyDescent="0.25">
      <c r="A333" s="124"/>
      <c r="B333" s="142"/>
      <c r="C333" s="115"/>
      <c r="D333" s="115"/>
      <c r="E333" s="115"/>
      <c r="F333" s="115"/>
      <c r="G333" s="60" t="s">
        <v>129</v>
      </c>
      <c r="H333" s="124"/>
      <c r="I333" s="124"/>
      <c r="J333" s="60"/>
      <c r="K333" s="60"/>
      <c r="L333" s="60"/>
      <c r="M333" s="60"/>
      <c r="N333" s="60">
        <f t="shared" si="101"/>
        <v>0</v>
      </c>
      <c r="O333" s="60">
        <f t="shared" si="102"/>
        <v>0</v>
      </c>
    </row>
    <row r="334" spans="1:15" s="38" customFormat="1" ht="10.7" hidden="1" customHeight="1" outlineLevel="1" x14ac:dyDescent="0.25">
      <c r="A334" s="124"/>
      <c r="B334" s="142"/>
      <c r="C334" s="115"/>
      <c r="D334" s="115"/>
      <c r="E334" s="115"/>
      <c r="F334" s="115"/>
      <c r="G334" s="60" t="s">
        <v>130</v>
      </c>
      <c r="H334" s="124"/>
      <c r="I334" s="124"/>
      <c r="J334" s="60"/>
      <c r="K334" s="60"/>
      <c r="L334" s="60"/>
      <c r="M334" s="60"/>
      <c r="N334" s="60">
        <f t="shared" si="101"/>
        <v>0</v>
      </c>
      <c r="O334" s="60">
        <f t="shared" si="102"/>
        <v>0</v>
      </c>
    </row>
    <row r="335" spans="1:15" s="38" customFormat="1" ht="12" hidden="1" customHeight="1" outlineLevel="1" thickBot="1" x14ac:dyDescent="0.3">
      <c r="A335" s="125"/>
      <c r="B335" s="143"/>
      <c r="C335" s="131"/>
      <c r="D335" s="131"/>
      <c r="E335" s="131"/>
      <c r="F335" s="131"/>
      <c r="G335" s="60" t="s">
        <v>131</v>
      </c>
      <c r="H335" s="134"/>
      <c r="I335" s="134"/>
      <c r="J335" s="60"/>
      <c r="K335" s="60"/>
      <c r="L335" s="60"/>
      <c r="M335" s="60"/>
      <c r="N335" s="60">
        <f t="shared" si="101"/>
        <v>0</v>
      </c>
      <c r="O335" s="60">
        <f t="shared" si="102"/>
        <v>0</v>
      </c>
    </row>
    <row r="336" spans="1:15" s="38" customFormat="1" ht="14.45" hidden="1" customHeight="1" outlineLevel="1" x14ac:dyDescent="0.25">
      <c r="A336" s="140" t="s">
        <v>448</v>
      </c>
      <c r="B336" s="141" t="s">
        <v>551</v>
      </c>
      <c r="C336" s="130">
        <f>SUM(N336:N342)</f>
        <v>0</v>
      </c>
      <c r="D336" s="130">
        <f>SUM(O336:O342)</f>
        <v>0</v>
      </c>
      <c r="E336" s="130">
        <f t="shared" si="84"/>
        <v>0</v>
      </c>
      <c r="F336" s="130"/>
      <c r="G336" s="60" t="s">
        <v>125</v>
      </c>
      <c r="H336" s="123"/>
      <c r="I336" s="123"/>
      <c r="J336" s="60"/>
      <c r="K336" s="60"/>
      <c r="L336" s="60"/>
      <c r="M336" s="60"/>
      <c r="N336" s="60">
        <f>M336*J336*K336*L336</f>
        <v>0</v>
      </c>
      <c r="O336" s="60">
        <f>J336*K336*L336</f>
        <v>0</v>
      </c>
    </row>
    <row r="337" spans="1:15" s="38" customFormat="1" ht="11.45" hidden="1" customHeight="1" outlineLevel="1" x14ac:dyDescent="0.25">
      <c r="A337" s="124"/>
      <c r="B337" s="142"/>
      <c r="C337" s="115"/>
      <c r="D337" s="115"/>
      <c r="E337" s="115"/>
      <c r="F337" s="115"/>
      <c r="G337" s="60" t="s">
        <v>126</v>
      </c>
      <c r="H337" s="124"/>
      <c r="I337" s="124"/>
      <c r="J337" s="60"/>
      <c r="K337" s="60"/>
      <c r="L337" s="60"/>
      <c r="M337" s="60"/>
      <c r="N337" s="60">
        <f t="shared" ref="N337:N342" si="103">M337*J337*K337*L337</f>
        <v>0</v>
      </c>
      <c r="O337" s="60">
        <f t="shared" ref="O337:O342" si="104">J337*K337*L337</f>
        <v>0</v>
      </c>
    </row>
    <row r="338" spans="1:15" s="38" customFormat="1" ht="10.7" hidden="1" customHeight="1" outlineLevel="1" x14ac:dyDescent="0.25">
      <c r="A338" s="124"/>
      <c r="B338" s="142"/>
      <c r="C338" s="115"/>
      <c r="D338" s="115"/>
      <c r="E338" s="115"/>
      <c r="F338" s="115"/>
      <c r="G338" s="60" t="s">
        <v>127</v>
      </c>
      <c r="H338" s="124"/>
      <c r="I338" s="124"/>
      <c r="J338" s="60"/>
      <c r="K338" s="60"/>
      <c r="L338" s="60"/>
      <c r="M338" s="60"/>
      <c r="N338" s="60">
        <f t="shared" si="103"/>
        <v>0</v>
      </c>
      <c r="O338" s="60">
        <f t="shared" si="104"/>
        <v>0</v>
      </c>
    </row>
    <row r="339" spans="1:15" s="38" customFormat="1" ht="10.7" hidden="1" customHeight="1" outlineLevel="1" x14ac:dyDescent="0.25">
      <c r="A339" s="124"/>
      <c r="B339" s="142"/>
      <c r="C339" s="115"/>
      <c r="D339" s="115"/>
      <c r="E339" s="115"/>
      <c r="F339" s="115"/>
      <c r="G339" s="60" t="s">
        <v>128</v>
      </c>
      <c r="H339" s="124"/>
      <c r="I339" s="124"/>
      <c r="J339" s="60"/>
      <c r="K339" s="60"/>
      <c r="L339" s="60"/>
      <c r="M339" s="60"/>
      <c r="N339" s="60">
        <f t="shared" si="103"/>
        <v>0</v>
      </c>
      <c r="O339" s="60">
        <f t="shared" si="104"/>
        <v>0</v>
      </c>
    </row>
    <row r="340" spans="1:15" s="38" customFormat="1" ht="10.7" hidden="1" customHeight="1" outlineLevel="1" x14ac:dyDescent="0.25">
      <c r="A340" s="124"/>
      <c r="B340" s="142"/>
      <c r="C340" s="115"/>
      <c r="D340" s="115"/>
      <c r="E340" s="115"/>
      <c r="F340" s="115"/>
      <c r="G340" s="60" t="s">
        <v>129</v>
      </c>
      <c r="H340" s="124"/>
      <c r="I340" s="124"/>
      <c r="J340" s="60"/>
      <c r="K340" s="60"/>
      <c r="L340" s="60"/>
      <c r="M340" s="60"/>
      <c r="N340" s="60">
        <f t="shared" si="103"/>
        <v>0</v>
      </c>
      <c r="O340" s="60">
        <f t="shared" si="104"/>
        <v>0</v>
      </c>
    </row>
    <row r="341" spans="1:15" s="38" customFormat="1" ht="10.7" hidden="1" customHeight="1" outlineLevel="1" x14ac:dyDescent="0.25">
      <c r="A341" s="124"/>
      <c r="B341" s="142"/>
      <c r="C341" s="115"/>
      <c r="D341" s="115"/>
      <c r="E341" s="115"/>
      <c r="F341" s="115"/>
      <c r="G341" s="60" t="s">
        <v>130</v>
      </c>
      <c r="H341" s="124"/>
      <c r="I341" s="124"/>
      <c r="J341" s="60"/>
      <c r="K341" s="60"/>
      <c r="L341" s="60"/>
      <c r="M341" s="60"/>
      <c r="N341" s="60">
        <f t="shared" si="103"/>
        <v>0</v>
      </c>
      <c r="O341" s="60">
        <f t="shared" si="104"/>
        <v>0</v>
      </c>
    </row>
    <row r="342" spans="1:15" s="38" customFormat="1" ht="12" hidden="1" customHeight="1" outlineLevel="1" thickBot="1" x14ac:dyDescent="0.3">
      <c r="A342" s="125"/>
      <c r="B342" s="143"/>
      <c r="C342" s="131"/>
      <c r="D342" s="131"/>
      <c r="E342" s="131"/>
      <c r="F342" s="131"/>
      <c r="G342" s="60" t="s">
        <v>131</v>
      </c>
      <c r="H342" s="134"/>
      <c r="I342" s="134"/>
      <c r="J342" s="60"/>
      <c r="K342" s="60"/>
      <c r="L342" s="60"/>
      <c r="M342" s="60"/>
      <c r="N342" s="60">
        <f t="shared" si="103"/>
        <v>0</v>
      </c>
      <c r="O342" s="60">
        <f t="shared" si="104"/>
        <v>0</v>
      </c>
    </row>
    <row r="343" spans="1:15" s="38" customFormat="1" ht="14.45" hidden="1" customHeight="1" outlineLevel="1" x14ac:dyDescent="0.25">
      <c r="A343" s="140" t="s">
        <v>450</v>
      </c>
      <c r="B343" s="141" t="s">
        <v>451</v>
      </c>
      <c r="C343" s="130">
        <f>SUM(N343:N349)</f>
        <v>0</v>
      </c>
      <c r="D343" s="130">
        <f>SUM(O343:O349)</f>
        <v>0</v>
      </c>
      <c r="E343" s="130">
        <f t="shared" ref="E343:E406" si="105">D343/8</f>
        <v>0</v>
      </c>
      <c r="F343" s="130"/>
      <c r="G343" s="60" t="s">
        <v>125</v>
      </c>
      <c r="H343" s="123"/>
      <c r="I343" s="123"/>
      <c r="J343" s="60"/>
      <c r="K343" s="60"/>
      <c r="L343" s="60"/>
      <c r="M343" s="60"/>
      <c r="N343" s="60">
        <f>M343*J343*K343*L343</f>
        <v>0</v>
      </c>
      <c r="O343" s="60">
        <f>J343*K343*L343</f>
        <v>0</v>
      </c>
    </row>
    <row r="344" spans="1:15" s="38" customFormat="1" ht="11.45" hidden="1" customHeight="1" outlineLevel="1" x14ac:dyDescent="0.25">
      <c r="A344" s="124"/>
      <c r="B344" s="142"/>
      <c r="C344" s="115"/>
      <c r="D344" s="115"/>
      <c r="E344" s="115"/>
      <c r="F344" s="115"/>
      <c r="G344" s="60" t="s">
        <v>126</v>
      </c>
      <c r="H344" s="124"/>
      <c r="I344" s="124"/>
      <c r="J344" s="60"/>
      <c r="K344" s="60"/>
      <c r="L344" s="60"/>
      <c r="M344" s="60"/>
      <c r="N344" s="60">
        <f t="shared" ref="N344:N349" si="106">M344*J344*K344*L344</f>
        <v>0</v>
      </c>
      <c r="O344" s="60">
        <f t="shared" ref="O344:O349" si="107">J344*K344*L344</f>
        <v>0</v>
      </c>
    </row>
    <row r="345" spans="1:15" s="38" customFormat="1" ht="10.7" hidden="1" customHeight="1" outlineLevel="1" x14ac:dyDescent="0.25">
      <c r="A345" s="124"/>
      <c r="B345" s="142"/>
      <c r="C345" s="115"/>
      <c r="D345" s="115"/>
      <c r="E345" s="115"/>
      <c r="F345" s="115"/>
      <c r="G345" s="60" t="s">
        <v>127</v>
      </c>
      <c r="H345" s="124"/>
      <c r="I345" s="124"/>
      <c r="J345" s="60"/>
      <c r="K345" s="60"/>
      <c r="L345" s="60"/>
      <c r="M345" s="60"/>
      <c r="N345" s="60">
        <f t="shared" si="106"/>
        <v>0</v>
      </c>
      <c r="O345" s="60">
        <f t="shared" si="107"/>
        <v>0</v>
      </c>
    </row>
    <row r="346" spans="1:15" s="38" customFormat="1" ht="10.7" hidden="1" customHeight="1" outlineLevel="1" x14ac:dyDescent="0.25">
      <c r="A346" s="124"/>
      <c r="B346" s="142"/>
      <c r="C346" s="115"/>
      <c r="D346" s="115"/>
      <c r="E346" s="115"/>
      <c r="F346" s="115"/>
      <c r="G346" s="60" t="s">
        <v>128</v>
      </c>
      <c r="H346" s="124"/>
      <c r="I346" s="124"/>
      <c r="J346" s="60"/>
      <c r="K346" s="60"/>
      <c r="L346" s="60"/>
      <c r="M346" s="60"/>
      <c r="N346" s="60">
        <f t="shared" si="106"/>
        <v>0</v>
      </c>
      <c r="O346" s="60">
        <f t="shared" si="107"/>
        <v>0</v>
      </c>
    </row>
    <row r="347" spans="1:15" s="38" customFormat="1" ht="10.7" hidden="1" customHeight="1" outlineLevel="1" x14ac:dyDescent="0.25">
      <c r="A347" s="124"/>
      <c r="B347" s="142"/>
      <c r="C347" s="115"/>
      <c r="D347" s="115"/>
      <c r="E347" s="115"/>
      <c r="F347" s="115"/>
      <c r="G347" s="60" t="s">
        <v>129</v>
      </c>
      <c r="H347" s="124"/>
      <c r="I347" s="124"/>
      <c r="J347" s="60"/>
      <c r="K347" s="60"/>
      <c r="L347" s="60"/>
      <c r="M347" s="60"/>
      <c r="N347" s="60">
        <f t="shared" si="106"/>
        <v>0</v>
      </c>
      <c r="O347" s="60">
        <f t="shared" si="107"/>
        <v>0</v>
      </c>
    </row>
    <row r="348" spans="1:15" s="38" customFormat="1" ht="10.7" hidden="1" customHeight="1" outlineLevel="1" x14ac:dyDescent="0.25">
      <c r="A348" s="124"/>
      <c r="B348" s="142"/>
      <c r="C348" s="115"/>
      <c r="D348" s="115"/>
      <c r="E348" s="115"/>
      <c r="F348" s="115"/>
      <c r="G348" s="60" t="s">
        <v>130</v>
      </c>
      <c r="H348" s="124"/>
      <c r="I348" s="124"/>
      <c r="J348" s="60"/>
      <c r="K348" s="60"/>
      <c r="L348" s="60"/>
      <c r="M348" s="60"/>
      <c r="N348" s="60">
        <f t="shared" si="106"/>
        <v>0</v>
      </c>
      <c r="O348" s="60">
        <f t="shared" si="107"/>
        <v>0</v>
      </c>
    </row>
    <row r="349" spans="1:15" s="38" customFormat="1" ht="12" hidden="1" customHeight="1" outlineLevel="1" thickBot="1" x14ac:dyDescent="0.3">
      <c r="A349" s="125"/>
      <c r="B349" s="143"/>
      <c r="C349" s="131"/>
      <c r="D349" s="131"/>
      <c r="E349" s="131"/>
      <c r="F349" s="131"/>
      <c r="G349" s="60" t="s">
        <v>131</v>
      </c>
      <c r="H349" s="134"/>
      <c r="I349" s="134"/>
      <c r="J349" s="60"/>
      <c r="K349" s="60"/>
      <c r="L349" s="60"/>
      <c r="M349" s="60"/>
      <c r="N349" s="60">
        <f t="shared" si="106"/>
        <v>0</v>
      </c>
      <c r="O349" s="60">
        <f t="shared" si="107"/>
        <v>0</v>
      </c>
    </row>
    <row r="350" spans="1:15" s="38" customFormat="1" ht="14.45" hidden="1" customHeight="1" outlineLevel="1" x14ac:dyDescent="0.25">
      <c r="A350" s="140" t="s">
        <v>452</v>
      </c>
      <c r="B350" s="141" t="s">
        <v>552</v>
      </c>
      <c r="C350" s="130">
        <f>SUM(N350:N356)</f>
        <v>0</v>
      </c>
      <c r="D350" s="130">
        <f>SUM(O350:O356)</f>
        <v>0</v>
      </c>
      <c r="E350" s="130">
        <f t="shared" si="105"/>
        <v>0</v>
      </c>
      <c r="F350" s="130"/>
      <c r="G350" s="60" t="s">
        <v>125</v>
      </c>
      <c r="H350" s="123"/>
      <c r="I350" s="123"/>
      <c r="J350" s="60"/>
      <c r="K350" s="60"/>
      <c r="L350" s="60"/>
      <c r="M350" s="60"/>
      <c r="N350" s="60">
        <f>M350*J350*K350*L350</f>
        <v>0</v>
      </c>
      <c r="O350" s="60">
        <f>J350*K350*L350</f>
        <v>0</v>
      </c>
    </row>
    <row r="351" spans="1:15" s="38" customFormat="1" ht="11.45" hidden="1" customHeight="1" outlineLevel="1" x14ac:dyDescent="0.25">
      <c r="A351" s="124"/>
      <c r="B351" s="142"/>
      <c r="C351" s="115"/>
      <c r="D351" s="115"/>
      <c r="E351" s="115"/>
      <c r="F351" s="115"/>
      <c r="G351" s="60" t="s">
        <v>126</v>
      </c>
      <c r="H351" s="124"/>
      <c r="I351" s="124"/>
      <c r="J351" s="60"/>
      <c r="K351" s="60"/>
      <c r="L351" s="60"/>
      <c r="M351" s="60"/>
      <c r="N351" s="60">
        <f t="shared" ref="N351:N356" si="108">M351*J351*K351*L351</f>
        <v>0</v>
      </c>
      <c r="O351" s="60">
        <f t="shared" ref="O351:O356" si="109">J351*K351*L351</f>
        <v>0</v>
      </c>
    </row>
    <row r="352" spans="1:15" s="38" customFormat="1" ht="10.7" hidden="1" customHeight="1" outlineLevel="1" x14ac:dyDescent="0.25">
      <c r="A352" s="124"/>
      <c r="B352" s="142"/>
      <c r="C352" s="115"/>
      <c r="D352" s="115"/>
      <c r="E352" s="115"/>
      <c r="F352" s="115"/>
      <c r="G352" s="60" t="s">
        <v>127</v>
      </c>
      <c r="H352" s="124"/>
      <c r="I352" s="124"/>
      <c r="J352" s="60"/>
      <c r="K352" s="60"/>
      <c r="L352" s="60"/>
      <c r="M352" s="60"/>
      <c r="N352" s="60">
        <f t="shared" si="108"/>
        <v>0</v>
      </c>
      <c r="O352" s="60">
        <f t="shared" si="109"/>
        <v>0</v>
      </c>
    </row>
    <row r="353" spans="1:15" s="38" customFormat="1" ht="10.7" hidden="1" customHeight="1" outlineLevel="1" x14ac:dyDescent="0.25">
      <c r="A353" s="124"/>
      <c r="B353" s="142"/>
      <c r="C353" s="115"/>
      <c r="D353" s="115"/>
      <c r="E353" s="115"/>
      <c r="F353" s="115"/>
      <c r="G353" s="60" t="s">
        <v>128</v>
      </c>
      <c r="H353" s="124"/>
      <c r="I353" s="124"/>
      <c r="J353" s="60"/>
      <c r="K353" s="60"/>
      <c r="L353" s="60"/>
      <c r="M353" s="60"/>
      <c r="N353" s="60">
        <f t="shared" si="108"/>
        <v>0</v>
      </c>
      <c r="O353" s="60">
        <f t="shared" si="109"/>
        <v>0</v>
      </c>
    </row>
    <row r="354" spans="1:15" s="38" customFormat="1" ht="10.7" hidden="1" customHeight="1" outlineLevel="1" x14ac:dyDescent="0.25">
      <c r="A354" s="124"/>
      <c r="B354" s="142"/>
      <c r="C354" s="115"/>
      <c r="D354" s="115"/>
      <c r="E354" s="115"/>
      <c r="F354" s="115"/>
      <c r="G354" s="60" t="s">
        <v>129</v>
      </c>
      <c r="H354" s="124"/>
      <c r="I354" s="124"/>
      <c r="J354" s="60"/>
      <c r="K354" s="60"/>
      <c r="L354" s="60"/>
      <c r="M354" s="60"/>
      <c r="N354" s="60">
        <f t="shared" si="108"/>
        <v>0</v>
      </c>
      <c r="O354" s="60">
        <f t="shared" si="109"/>
        <v>0</v>
      </c>
    </row>
    <row r="355" spans="1:15" s="38" customFormat="1" ht="10.7" hidden="1" customHeight="1" outlineLevel="1" x14ac:dyDescent="0.25">
      <c r="A355" s="124"/>
      <c r="B355" s="142"/>
      <c r="C355" s="115"/>
      <c r="D355" s="115"/>
      <c r="E355" s="115"/>
      <c r="F355" s="115"/>
      <c r="G355" s="60" t="s">
        <v>130</v>
      </c>
      <c r="H355" s="124"/>
      <c r="I355" s="124"/>
      <c r="J355" s="60"/>
      <c r="K355" s="60"/>
      <c r="L355" s="60"/>
      <c r="M355" s="60"/>
      <c r="N355" s="60">
        <f t="shared" si="108"/>
        <v>0</v>
      </c>
      <c r="O355" s="60">
        <f t="shared" si="109"/>
        <v>0</v>
      </c>
    </row>
    <row r="356" spans="1:15" s="38" customFormat="1" ht="12" hidden="1" customHeight="1" outlineLevel="1" thickBot="1" x14ac:dyDescent="0.3">
      <c r="A356" s="125"/>
      <c r="B356" s="143"/>
      <c r="C356" s="131"/>
      <c r="D356" s="131"/>
      <c r="E356" s="131"/>
      <c r="F356" s="131"/>
      <c r="G356" s="60" t="s">
        <v>131</v>
      </c>
      <c r="H356" s="134"/>
      <c r="I356" s="134"/>
      <c r="J356" s="60"/>
      <c r="K356" s="60"/>
      <c r="L356" s="60"/>
      <c r="M356" s="60"/>
      <c r="N356" s="60">
        <f t="shared" si="108"/>
        <v>0</v>
      </c>
      <c r="O356" s="60">
        <f t="shared" si="109"/>
        <v>0</v>
      </c>
    </row>
    <row r="357" spans="1:15" s="38" customFormat="1" ht="14.45" hidden="1" customHeight="1" outlineLevel="1" x14ac:dyDescent="0.25">
      <c r="A357" s="140" t="s">
        <v>454</v>
      </c>
      <c r="B357" s="141" t="s">
        <v>553</v>
      </c>
      <c r="C357" s="130">
        <f>SUM(N357:N363)</f>
        <v>0</v>
      </c>
      <c r="D357" s="130">
        <f>SUM(O357:O363)</f>
        <v>0</v>
      </c>
      <c r="E357" s="130">
        <f t="shared" si="105"/>
        <v>0</v>
      </c>
      <c r="F357" s="130"/>
      <c r="G357" s="60" t="s">
        <v>125</v>
      </c>
      <c r="H357" s="123"/>
      <c r="I357" s="123"/>
      <c r="J357" s="60"/>
      <c r="K357" s="60"/>
      <c r="L357" s="60"/>
      <c r="M357" s="60"/>
      <c r="N357" s="60">
        <f>M357*J357*K357*L357</f>
        <v>0</v>
      </c>
      <c r="O357" s="60">
        <f>J357*K357*L357</f>
        <v>0</v>
      </c>
    </row>
    <row r="358" spans="1:15" s="38" customFormat="1" ht="11.45" hidden="1" customHeight="1" outlineLevel="1" x14ac:dyDescent="0.25">
      <c r="A358" s="124"/>
      <c r="B358" s="142"/>
      <c r="C358" s="115"/>
      <c r="D358" s="115"/>
      <c r="E358" s="115"/>
      <c r="F358" s="115"/>
      <c r="G358" s="60" t="s">
        <v>126</v>
      </c>
      <c r="H358" s="124"/>
      <c r="I358" s="124"/>
      <c r="J358" s="60"/>
      <c r="K358" s="60"/>
      <c r="L358" s="60"/>
      <c r="M358" s="60"/>
      <c r="N358" s="60">
        <f t="shared" ref="N358:N363" si="110">M358*J358*K358*L358</f>
        <v>0</v>
      </c>
      <c r="O358" s="60">
        <f t="shared" ref="O358:O363" si="111">J358*K358*L358</f>
        <v>0</v>
      </c>
    </row>
    <row r="359" spans="1:15" s="38" customFormat="1" ht="10.7" hidden="1" customHeight="1" outlineLevel="1" x14ac:dyDescent="0.25">
      <c r="A359" s="124"/>
      <c r="B359" s="142"/>
      <c r="C359" s="115"/>
      <c r="D359" s="115"/>
      <c r="E359" s="115"/>
      <c r="F359" s="115"/>
      <c r="G359" s="60" t="s">
        <v>127</v>
      </c>
      <c r="H359" s="124"/>
      <c r="I359" s="124"/>
      <c r="J359" s="60"/>
      <c r="K359" s="60"/>
      <c r="L359" s="60"/>
      <c r="M359" s="60"/>
      <c r="N359" s="60">
        <f t="shared" si="110"/>
        <v>0</v>
      </c>
      <c r="O359" s="60">
        <f t="shared" si="111"/>
        <v>0</v>
      </c>
    </row>
    <row r="360" spans="1:15" s="38" customFormat="1" ht="10.7" hidden="1" customHeight="1" outlineLevel="1" x14ac:dyDescent="0.25">
      <c r="A360" s="124"/>
      <c r="B360" s="142"/>
      <c r="C360" s="115"/>
      <c r="D360" s="115"/>
      <c r="E360" s="115"/>
      <c r="F360" s="115"/>
      <c r="G360" s="60" t="s">
        <v>128</v>
      </c>
      <c r="H360" s="124"/>
      <c r="I360" s="124"/>
      <c r="J360" s="60"/>
      <c r="K360" s="60"/>
      <c r="L360" s="60"/>
      <c r="M360" s="60"/>
      <c r="N360" s="60">
        <f t="shared" si="110"/>
        <v>0</v>
      </c>
      <c r="O360" s="60">
        <f t="shared" si="111"/>
        <v>0</v>
      </c>
    </row>
    <row r="361" spans="1:15" s="38" customFormat="1" ht="10.7" hidden="1" customHeight="1" outlineLevel="1" x14ac:dyDescent="0.25">
      <c r="A361" s="124"/>
      <c r="B361" s="142"/>
      <c r="C361" s="115"/>
      <c r="D361" s="115"/>
      <c r="E361" s="115"/>
      <c r="F361" s="115"/>
      <c r="G361" s="60" t="s">
        <v>129</v>
      </c>
      <c r="H361" s="124"/>
      <c r="I361" s="124"/>
      <c r="J361" s="60"/>
      <c r="K361" s="60"/>
      <c r="L361" s="60"/>
      <c r="M361" s="60"/>
      <c r="N361" s="60">
        <f t="shared" si="110"/>
        <v>0</v>
      </c>
      <c r="O361" s="60">
        <f t="shared" si="111"/>
        <v>0</v>
      </c>
    </row>
    <row r="362" spans="1:15" s="38" customFormat="1" ht="10.7" hidden="1" customHeight="1" outlineLevel="1" x14ac:dyDescent="0.25">
      <c r="A362" s="124"/>
      <c r="B362" s="142"/>
      <c r="C362" s="115"/>
      <c r="D362" s="115"/>
      <c r="E362" s="115"/>
      <c r="F362" s="115"/>
      <c r="G362" s="60" t="s">
        <v>130</v>
      </c>
      <c r="H362" s="124"/>
      <c r="I362" s="124"/>
      <c r="J362" s="60"/>
      <c r="K362" s="60"/>
      <c r="L362" s="60"/>
      <c r="M362" s="60"/>
      <c r="N362" s="60">
        <f t="shared" si="110"/>
        <v>0</v>
      </c>
      <c r="O362" s="60">
        <f t="shared" si="111"/>
        <v>0</v>
      </c>
    </row>
    <row r="363" spans="1:15" s="38" customFormat="1" ht="12" hidden="1" customHeight="1" outlineLevel="1" thickBot="1" x14ac:dyDescent="0.3">
      <c r="A363" s="125"/>
      <c r="B363" s="143"/>
      <c r="C363" s="131"/>
      <c r="D363" s="131"/>
      <c r="E363" s="131"/>
      <c r="F363" s="131"/>
      <c r="G363" s="60" t="s">
        <v>131</v>
      </c>
      <c r="H363" s="134"/>
      <c r="I363" s="134"/>
      <c r="J363" s="60"/>
      <c r="K363" s="60"/>
      <c r="L363" s="60"/>
      <c r="M363" s="60"/>
      <c r="N363" s="60">
        <f t="shared" si="110"/>
        <v>0</v>
      </c>
      <c r="O363" s="60">
        <f t="shared" si="111"/>
        <v>0</v>
      </c>
    </row>
    <row r="364" spans="1:15" s="38" customFormat="1" ht="14.45" hidden="1" customHeight="1" outlineLevel="1" x14ac:dyDescent="0.25">
      <c r="A364" s="140" t="s">
        <v>456</v>
      </c>
      <c r="B364" s="141" t="s">
        <v>457</v>
      </c>
      <c r="C364" s="130">
        <f>SUM(N364:N370)</f>
        <v>0</v>
      </c>
      <c r="D364" s="130">
        <f>SUM(O364:O370)</f>
        <v>0</v>
      </c>
      <c r="E364" s="130">
        <f t="shared" si="105"/>
        <v>0</v>
      </c>
      <c r="F364" s="130"/>
      <c r="G364" s="60" t="s">
        <v>125</v>
      </c>
      <c r="H364" s="123"/>
      <c r="I364" s="123"/>
      <c r="J364" s="60"/>
      <c r="K364" s="60"/>
      <c r="L364" s="60"/>
      <c r="M364" s="60"/>
      <c r="N364" s="60">
        <f>M364*J364*K364*L364</f>
        <v>0</v>
      </c>
      <c r="O364" s="60">
        <f>J364*K364*L364</f>
        <v>0</v>
      </c>
    </row>
    <row r="365" spans="1:15" s="38" customFormat="1" ht="11.45" hidden="1" customHeight="1" outlineLevel="1" x14ac:dyDescent="0.25">
      <c r="A365" s="124"/>
      <c r="B365" s="142"/>
      <c r="C365" s="115"/>
      <c r="D365" s="115"/>
      <c r="E365" s="115"/>
      <c r="F365" s="115"/>
      <c r="G365" s="60" t="s">
        <v>126</v>
      </c>
      <c r="H365" s="124"/>
      <c r="I365" s="124"/>
      <c r="J365" s="60"/>
      <c r="K365" s="60"/>
      <c r="L365" s="60"/>
      <c r="M365" s="60"/>
      <c r="N365" s="60">
        <f t="shared" ref="N365:N370" si="112">M365*J365*K365*L365</f>
        <v>0</v>
      </c>
      <c r="O365" s="60">
        <f t="shared" ref="O365:O370" si="113">J365*K365*L365</f>
        <v>0</v>
      </c>
    </row>
    <row r="366" spans="1:15" s="38" customFormat="1" ht="10.7" hidden="1" customHeight="1" outlineLevel="1" x14ac:dyDescent="0.25">
      <c r="A366" s="124"/>
      <c r="B366" s="142"/>
      <c r="C366" s="115"/>
      <c r="D366" s="115"/>
      <c r="E366" s="115"/>
      <c r="F366" s="115"/>
      <c r="G366" s="60" t="s">
        <v>127</v>
      </c>
      <c r="H366" s="124"/>
      <c r="I366" s="124"/>
      <c r="J366" s="60"/>
      <c r="K366" s="60"/>
      <c r="L366" s="60"/>
      <c r="M366" s="60"/>
      <c r="N366" s="60">
        <f t="shared" si="112"/>
        <v>0</v>
      </c>
      <c r="O366" s="60">
        <f t="shared" si="113"/>
        <v>0</v>
      </c>
    </row>
    <row r="367" spans="1:15" s="38" customFormat="1" ht="10.7" hidden="1" customHeight="1" outlineLevel="1" x14ac:dyDescent="0.25">
      <c r="A367" s="124"/>
      <c r="B367" s="142"/>
      <c r="C367" s="115"/>
      <c r="D367" s="115"/>
      <c r="E367" s="115"/>
      <c r="F367" s="115"/>
      <c r="G367" s="60" t="s">
        <v>128</v>
      </c>
      <c r="H367" s="124"/>
      <c r="I367" s="124"/>
      <c r="J367" s="60"/>
      <c r="K367" s="60"/>
      <c r="L367" s="60"/>
      <c r="M367" s="60"/>
      <c r="N367" s="60">
        <f t="shared" si="112"/>
        <v>0</v>
      </c>
      <c r="O367" s="60">
        <f t="shared" si="113"/>
        <v>0</v>
      </c>
    </row>
    <row r="368" spans="1:15" s="38" customFormat="1" ht="10.7" hidden="1" customHeight="1" outlineLevel="1" x14ac:dyDescent="0.25">
      <c r="A368" s="124"/>
      <c r="B368" s="142"/>
      <c r="C368" s="115"/>
      <c r="D368" s="115"/>
      <c r="E368" s="115"/>
      <c r="F368" s="115"/>
      <c r="G368" s="60" t="s">
        <v>129</v>
      </c>
      <c r="H368" s="124"/>
      <c r="I368" s="124"/>
      <c r="J368" s="60"/>
      <c r="K368" s="60"/>
      <c r="L368" s="60"/>
      <c r="M368" s="60"/>
      <c r="N368" s="60">
        <f t="shared" si="112"/>
        <v>0</v>
      </c>
      <c r="O368" s="60">
        <f t="shared" si="113"/>
        <v>0</v>
      </c>
    </row>
    <row r="369" spans="1:15" s="38" customFormat="1" ht="10.7" hidden="1" customHeight="1" outlineLevel="1" x14ac:dyDescent="0.25">
      <c r="A369" s="124"/>
      <c r="B369" s="142"/>
      <c r="C369" s="115"/>
      <c r="D369" s="115"/>
      <c r="E369" s="115"/>
      <c r="F369" s="115"/>
      <c r="G369" s="60" t="s">
        <v>130</v>
      </c>
      <c r="H369" s="124"/>
      <c r="I369" s="124"/>
      <c r="J369" s="60"/>
      <c r="K369" s="60"/>
      <c r="L369" s="60"/>
      <c r="M369" s="60"/>
      <c r="N369" s="60">
        <f t="shared" si="112"/>
        <v>0</v>
      </c>
      <c r="O369" s="60">
        <f t="shared" si="113"/>
        <v>0</v>
      </c>
    </row>
    <row r="370" spans="1:15" s="38" customFormat="1" ht="12" hidden="1" customHeight="1" outlineLevel="1" thickBot="1" x14ac:dyDescent="0.3">
      <c r="A370" s="125"/>
      <c r="B370" s="143"/>
      <c r="C370" s="131"/>
      <c r="D370" s="131"/>
      <c r="E370" s="131"/>
      <c r="F370" s="131"/>
      <c r="G370" s="60" t="s">
        <v>131</v>
      </c>
      <c r="H370" s="134"/>
      <c r="I370" s="134"/>
      <c r="J370" s="60"/>
      <c r="K370" s="60"/>
      <c r="L370" s="60"/>
      <c r="M370" s="60"/>
      <c r="N370" s="60">
        <f t="shared" si="112"/>
        <v>0</v>
      </c>
      <c r="O370" s="60">
        <f t="shared" si="113"/>
        <v>0</v>
      </c>
    </row>
    <row r="371" spans="1:15" s="38" customFormat="1" ht="14.45" hidden="1" customHeight="1" outlineLevel="1" x14ac:dyDescent="0.25">
      <c r="A371" s="140" t="s">
        <v>458</v>
      </c>
      <c r="B371" s="141" t="s">
        <v>459</v>
      </c>
      <c r="C371" s="130">
        <f>SUM(N371:N377)</f>
        <v>0</v>
      </c>
      <c r="D371" s="130">
        <f>SUM(O371:O377)</f>
        <v>0</v>
      </c>
      <c r="E371" s="130">
        <f t="shared" si="105"/>
        <v>0</v>
      </c>
      <c r="F371" s="130"/>
      <c r="G371" s="60" t="s">
        <v>125</v>
      </c>
      <c r="H371" s="123"/>
      <c r="I371" s="123"/>
      <c r="J371" s="60"/>
      <c r="K371" s="60"/>
      <c r="L371" s="60"/>
      <c r="M371" s="60"/>
      <c r="N371" s="60">
        <f>M371*J371*K371*L371</f>
        <v>0</v>
      </c>
      <c r="O371" s="60">
        <f>J371*K371*L371</f>
        <v>0</v>
      </c>
    </row>
    <row r="372" spans="1:15" s="38" customFormat="1" ht="11.45" hidden="1" customHeight="1" outlineLevel="1" x14ac:dyDescent="0.25">
      <c r="A372" s="124"/>
      <c r="B372" s="142"/>
      <c r="C372" s="115"/>
      <c r="D372" s="115"/>
      <c r="E372" s="115"/>
      <c r="F372" s="115"/>
      <c r="G372" s="60" t="s">
        <v>126</v>
      </c>
      <c r="H372" s="124"/>
      <c r="I372" s="124"/>
      <c r="J372" s="60"/>
      <c r="K372" s="60"/>
      <c r="L372" s="60"/>
      <c r="M372" s="60"/>
      <c r="N372" s="60">
        <f t="shared" ref="N372:N377" si="114">M372*J372*K372*L372</f>
        <v>0</v>
      </c>
      <c r="O372" s="60">
        <f t="shared" ref="O372:O377" si="115">J372*K372*L372</f>
        <v>0</v>
      </c>
    </row>
    <row r="373" spans="1:15" s="38" customFormat="1" ht="10.7" hidden="1" customHeight="1" outlineLevel="1" x14ac:dyDescent="0.25">
      <c r="A373" s="124"/>
      <c r="B373" s="142"/>
      <c r="C373" s="115"/>
      <c r="D373" s="115"/>
      <c r="E373" s="115"/>
      <c r="F373" s="115"/>
      <c r="G373" s="60" t="s">
        <v>127</v>
      </c>
      <c r="H373" s="124"/>
      <c r="I373" s="124"/>
      <c r="J373" s="60"/>
      <c r="K373" s="60"/>
      <c r="L373" s="60"/>
      <c r="M373" s="60"/>
      <c r="N373" s="60">
        <f t="shared" si="114"/>
        <v>0</v>
      </c>
      <c r="O373" s="60">
        <f t="shared" si="115"/>
        <v>0</v>
      </c>
    </row>
    <row r="374" spans="1:15" s="38" customFormat="1" ht="10.7" hidden="1" customHeight="1" outlineLevel="1" x14ac:dyDescent="0.25">
      <c r="A374" s="124"/>
      <c r="B374" s="142"/>
      <c r="C374" s="115"/>
      <c r="D374" s="115"/>
      <c r="E374" s="115"/>
      <c r="F374" s="115"/>
      <c r="G374" s="60" t="s">
        <v>128</v>
      </c>
      <c r="H374" s="124"/>
      <c r="I374" s="124"/>
      <c r="J374" s="60"/>
      <c r="K374" s="60"/>
      <c r="L374" s="60"/>
      <c r="M374" s="60"/>
      <c r="N374" s="60">
        <f t="shared" si="114"/>
        <v>0</v>
      </c>
      <c r="O374" s="60">
        <f t="shared" si="115"/>
        <v>0</v>
      </c>
    </row>
    <row r="375" spans="1:15" s="38" customFormat="1" ht="10.7" hidden="1" customHeight="1" outlineLevel="1" x14ac:dyDescent="0.25">
      <c r="A375" s="124"/>
      <c r="B375" s="142"/>
      <c r="C375" s="115"/>
      <c r="D375" s="115"/>
      <c r="E375" s="115"/>
      <c r="F375" s="115"/>
      <c r="G375" s="60" t="s">
        <v>129</v>
      </c>
      <c r="H375" s="124"/>
      <c r="I375" s="124"/>
      <c r="J375" s="60"/>
      <c r="K375" s="60"/>
      <c r="L375" s="60"/>
      <c r="M375" s="60"/>
      <c r="N375" s="60">
        <f t="shared" si="114"/>
        <v>0</v>
      </c>
      <c r="O375" s="60">
        <f t="shared" si="115"/>
        <v>0</v>
      </c>
    </row>
    <row r="376" spans="1:15" s="38" customFormat="1" ht="10.7" hidden="1" customHeight="1" outlineLevel="1" x14ac:dyDescent="0.25">
      <c r="A376" s="124"/>
      <c r="B376" s="142"/>
      <c r="C376" s="115"/>
      <c r="D376" s="115"/>
      <c r="E376" s="115"/>
      <c r="F376" s="115"/>
      <c r="G376" s="60" t="s">
        <v>130</v>
      </c>
      <c r="H376" s="124"/>
      <c r="I376" s="124"/>
      <c r="J376" s="60"/>
      <c r="K376" s="60"/>
      <c r="L376" s="60"/>
      <c r="M376" s="60"/>
      <c r="N376" s="60">
        <f t="shared" si="114"/>
        <v>0</v>
      </c>
      <c r="O376" s="60">
        <f t="shared" si="115"/>
        <v>0</v>
      </c>
    </row>
    <row r="377" spans="1:15" s="38" customFormat="1" ht="12" hidden="1" customHeight="1" outlineLevel="1" thickBot="1" x14ac:dyDescent="0.3">
      <c r="A377" s="125"/>
      <c r="B377" s="143"/>
      <c r="C377" s="131"/>
      <c r="D377" s="131"/>
      <c r="E377" s="131"/>
      <c r="F377" s="131"/>
      <c r="G377" s="60" t="s">
        <v>131</v>
      </c>
      <c r="H377" s="134"/>
      <c r="I377" s="134"/>
      <c r="J377" s="60"/>
      <c r="K377" s="60"/>
      <c r="L377" s="60"/>
      <c r="M377" s="60"/>
      <c r="N377" s="60">
        <f t="shared" si="114"/>
        <v>0</v>
      </c>
      <c r="O377" s="60">
        <f t="shared" si="115"/>
        <v>0</v>
      </c>
    </row>
    <row r="378" spans="1:15" s="38" customFormat="1" ht="14.45" hidden="1" customHeight="1" outlineLevel="1" x14ac:dyDescent="0.25">
      <c r="A378" s="140" t="s">
        <v>460</v>
      </c>
      <c r="B378" s="141" t="s">
        <v>286</v>
      </c>
      <c r="C378" s="130">
        <f>SUM(N378:N384)</f>
        <v>0</v>
      </c>
      <c r="D378" s="130">
        <f>SUM(O378:O384)</f>
        <v>0</v>
      </c>
      <c r="E378" s="130">
        <f t="shared" si="105"/>
        <v>0</v>
      </c>
      <c r="F378" s="130"/>
      <c r="G378" s="60" t="s">
        <v>125</v>
      </c>
      <c r="H378" s="123"/>
      <c r="I378" s="123"/>
      <c r="J378" s="60"/>
      <c r="K378" s="60"/>
      <c r="L378" s="60"/>
      <c r="M378" s="60"/>
      <c r="N378" s="60">
        <f>M378*J378*K378*L378</f>
        <v>0</v>
      </c>
      <c r="O378" s="60">
        <f>J378*K378*L378</f>
        <v>0</v>
      </c>
    </row>
    <row r="379" spans="1:15" s="38" customFormat="1" ht="11.45" hidden="1" customHeight="1" outlineLevel="1" x14ac:dyDescent="0.25">
      <c r="A379" s="124"/>
      <c r="B379" s="142"/>
      <c r="C379" s="115"/>
      <c r="D379" s="115"/>
      <c r="E379" s="115"/>
      <c r="F379" s="115"/>
      <c r="G379" s="60" t="s">
        <v>126</v>
      </c>
      <c r="H379" s="124"/>
      <c r="I379" s="124"/>
      <c r="J379" s="60"/>
      <c r="K379" s="60"/>
      <c r="L379" s="60"/>
      <c r="M379" s="60"/>
      <c r="N379" s="60">
        <f t="shared" ref="N379:N384" si="116">M379*J379*K379*L379</f>
        <v>0</v>
      </c>
      <c r="O379" s="60">
        <f t="shared" ref="O379:O384" si="117">J379*K379*L379</f>
        <v>0</v>
      </c>
    </row>
    <row r="380" spans="1:15" s="38" customFormat="1" ht="10.7" hidden="1" customHeight="1" outlineLevel="1" x14ac:dyDescent="0.25">
      <c r="A380" s="124"/>
      <c r="B380" s="142"/>
      <c r="C380" s="115"/>
      <c r="D380" s="115"/>
      <c r="E380" s="115"/>
      <c r="F380" s="115"/>
      <c r="G380" s="60" t="s">
        <v>127</v>
      </c>
      <c r="H380" s="124"/>
      <c r="I380" s="124"/>
      <c r="J380" s="60"/>
      <c r="K380" s="60"/>
      <c r="L380" s="60"/>
      <c r="M380" s="60"/>
      <c r="N380" s="60">
        <f t="shared" si="116"/>
        <v>0</v>
      </c>
      <c r="O380" s="60">
        <f t="shared" si="117"/>
        <v>0</v>
      </c>
    </row>
    <row r="381" spans="1:15" s="38" customFormat="1" ht="10.7" hidden="1" customHeight="1" outlineLevel="1" x14ac:dyDescent="0.25">
      <c r="A381" s="124"/>
      <c r="B381" s="142"/>
      <c r="C381" s="115"/>
      <c r="D381" s="115"/>
      <c r="E381" s="115"/>
      <c r="F381" s="115"/>
      <c r="G381" s="60" t="s">
        <v>128</v>
      </c>
      <c r="H381" s="124"/>
      <c r="I381" s="124"/>
      <c r="J381" s="60"/>
      <c r="K381" s="60"/>
      <c r="L381" s="60"/>
      <c r="M381" s="60"/>
      <c r="N381" s="60">
        <f t="shared" si="116"/>
        <v>0</v>
      </c>
      <c r="O381" s="60">
        <f t="shared" si="117"/>
        <v>0</v>
      </c>
    </row>
    <row r="382" spans="1:15" s="38" customFormat="1" ht="10.7" hidden="1" customHeight="1" outlineLevel="1" x14ac:dyDescent="0.25">
      <c r="A382" s="124"/>
      <c r="B382" s="142"/>
      <c r="C382" s="115"/>
      <c r="D382" s="115"/>
      <c r="E382" s="115"/>
      <c r="F382" s="115"/>
      <c r="G382" s="60" t="s">
        <v>129</v>
      </c>
      <c r="H382" s="124"/>
      <c r="I382" s="124"/>
      <c r="J382" s="60"/>
      <c r="K382" s="60"/>
      <c r="L382" s="60"/>
      <c r="M382" s="60"/>
      <c r="N382" s="60">
        <f t="shared" si="116"/>
        <v>0</v>
      </c>
      <c r="O382" s="60">
        <f t="shared" si="117"/>
        <v>0</v>
      </c>
    </row>
    <row r="383" spans="1:15" s="38" customFormat="1" ht="10.7" hidden="1" customHeight="1" outlineLevel="1" x14ac:dyDescent="0.25">
      <c r="A383" s="124"/>
      <c r="B383" s="142"/>
      <c r="C383" s="115"/>
      <c r="D383" s="115"/>
      <c r="E383" s="115"/>
      <c r="F383" s="115"/>
      <c r="G383" s="60" t="s">
        <v>130</v>
      </c>
      <c r="H383" s="124"/>
      <c r="I383" s="124"/>
      <c r="J383" s="60"/>
      <c r="K383" s="60"/>
      <c r="L383" s="60"/>
      <c r="M383" s="60"/>
      <c r="N383" s="60">
        <f t="shared" si="116"/>
        <v>0</v>
      </c>
      <c r="O383" s="60">
        <f t="shared" si="117"/>
        <v>0</v>
      </c>
    </row>
    <row r="384" spans="1:15" s="38" customFormat="1" ht="12" hidden="1" customHeight="1" outlineLevel="1" thickBot="1" x14ac:dyDescent="0.3">
      <c r="A384" s="125"/>
      <c r="B384" s="143"/>
      <c r="C384" s="131"/>
      <c r="D384" s="131"/>
      <c r="E384" s="131"/>
      <c r="F384" s="131"/>
      <c r="G384" s="60" t="s">
        <v>131</v>
      </c>
      <c r="H384" s="134"/>
      <c r="I384" s="134"/>
      <c r="J384" s="60"/>
      <c r="K384" s="60"/>
      <c r="L384" s="60"/>
      <c r="M384" s="60"/>
      <c r="N384" s="60">
        <f t="shared" si="116"/>
        <v>0</v>
      </c>
      <c r="O384" s="60">
        <f t="shared" si="117"/>
        <v>0</v>
      </c>
    </row>
    <row r="385" spans="1:15" s="38" customFormat="1" ht="14.45" hidden="1" customHeight="1" outlineLevel="1" x14ac:dyDescent="0.25">
      <c r="A385" s="140" t="s">
        <v>461</v>
      </c>
      <c r="B385" s="141" t="s">
        <v>462</v>
      </c>
      <c r="C385" s="130">
        <f>SUM(N385:N391)</f>
        <v>0</v>
      </c>
      <c r="D385" s="130">
        <f>SUM(O385:O391)</f>
        <v>0</v>
      </c>
      <c r="E385" s="130">
        <f t="shared" si="105"/>
        <v>0</v>
      </c>
      <c r="F385" s="130"/>
      <c r="G385" s="60" t="s">
        <v>125</v>
      </c>
      <c r="H385" s="123"/>
      <c r="I385" s="123"/>
      <c r="J385" s="60"/>
      <c r="K385" s="60"/>
      <c r="L385" s="60"/>
      <c r="M385" s="60"/>
      <c r="N385" s="60">
        <f>M385*J385*K385*L385</f>
        <v>0</v>
      </c>
      <c r="O385" s="60">
        <f>J385*K385*L385</f>
        <v>0</v>
      </c>
    </row>
    <row r="386" spans="1:15" s="38" customFormat="1" ht="11.45" hidden="1" customHeight="1" outlineLevel="1" x14ac:dyDescent="0.25">
      <c r="A386" s="124"/>
      <c r="B386" s="142"/>
      <c r="C386" s="115"/>
      <c r="D386" s="115"/>
      <c r="E386" s="115"/>
      <c r="F386" s="115"/>
      <c r="G386" s="60" t="s">
        <v>126</v>
      </c>
      <c r="H386" s="124"/>
      <c r="I386" s="124"/>
      <c r="J386" s="60"/>
      <c r="K386" s="60"/>
      <c r="L386" s="60"/>
      <c r="M386" s="60"/>
      <c r="N386" s="60">
        <f t="shared" ref="N386:N391" si="118">M386*J386*K386*L386</f>
        <v>0</v>
      </c>
      <c r="O386" s="60">
        <f t="shared" ref="O386:O391" si="119">J386*K386*L386</f>
        <v>0</v>
      </c>
    </row>
    <row r="387" spans="1:15" s="38" customFormat="1" ht="10.7" hidden="1" customHeight="1" outlineLevel="1" x14ac:dyDescent="0.25">
      <c r="A387" s="124"/>
      <c r="B387" s="142"/>
      <c r="C387" s="115"/>
      <c r="D387" s="115"/>
      <c r="E387" s="115"/>
      <c r="F387" s="115"/>
      <c r="G387" s="60" t="s">
        <v>127</v>
      </c>
      <c r="H387" s="124"/>
      <c r="I387" s="124"/>
      <c r="J387" s="60"/>
      <c r="K387" s="60"/>
      <c r="L387" s="60"/>
      <c r="M387" s="60"/>
      <c r="N387" s="60">
        <f t="shared" si="118"/>
        <v>0</v>
      </c>
      <c r="O387" s="60">
        <f t="shared" si="119"/>
        <v>0</v>
      </c>
    </row>
    <row r="388" spans="1:15" s="38" customFormat="1" ht="10.7" hidden="1" customHeight="1" outlineLevel="1" x14ac:dyDescent="0.25">
      <c r="A388" s="124"/>
      <c r="B388" s="142"/>
      <c r="C388" s="115"/>
      <c r="D388" s="115"/>
      <c r="E388" s="115"/>
      <c r="F388" s="115"/>
      <c r="G388" s="60" t="s">
        <v>128</v>
      </c>
      <c r="H388" s="124"/>
      <c r="I388" s="124"/>
      <c r="J388" s="60"/>
      <c r="K388" s="60"/>
      <c r="L388" s="60"/>
      <c r="M388" s="60"/>
      <c r="N388" s="60">
        <f t="shared" si="118"/>
        <v>0</v>
      </c>
      <c r="O388" s="60">
        <f t="shared" si="119"/>
        <v>0</v>
      </c>
    </row>
    <row r="389" spans="1:15" s="38" customFormat="1" ht="10.7" hidden="1" customHeight="1" outlineLevel="1" x14ac:dyDescent="0.25">
      <c r="A389" s="124"/>
      <c r="B389" s="142"/>
      <c r="C389" s="115"/>
      <c r="D389" s="115"/>
      <c r="E389" s="115"/>
      <c r="F389" s="115"/>
      <c r="G389" s="60" t="s">
        <v>129</v>
      </c>
      <c r="H389" s="124"/>
      <c r="I389" s="124"/>
      <c r="J389" s="60"/>
      <c r="K389" s="60"/>
      <c r="L389" s="60"/>
      <c r="M389" s="60"/>
      <c r="N389" s="60">
        <f t="shared" si="118"/>
        <v>0</v>
      </c>
      <c r="O389" s="60">
        <f t="shared" si="119"/>
        <v>0</v>
      </c>
    </row>
    <row r="390" spans="1:15" s="38" customFormat="1" ht="10.7" hidden="1" customHeight="1" outlineLevel="1" x14ac:dyDescent="0.25">
      <c r="A390" s="124"/>
      <c r="B390" s="142"/>
      <c r="C390" s="115"/>
      <c r="D390" s="115"/>
      <c r="E390" s="115"/>
      <c r="F390" s="115"/>
      <c r="G390" s="60" t="s">
        <v>130</v>
      </c>
      <c r="H390" s="124"/>
      <c r="I390" s="124"/>
      <c r="J390" s="60"/>
      <c r="K390" s="60"/>
      <c r="L390" s="60"/>
      <c r="M390" s="60"/>
      <c r="N390" s="60">
        <f t="shared" si="118"/>
        <v>0</v>
      </c>
      <c r="O390" s="60">
        <f t="shared" si="119"/>
        <v>0</v>
      </c>
    </row>
    <row r="391" spans="1:15" s="38" customFormat="1" ht="12" hidden="1" customHeight="1" outlineLevel="1" thickBot="1" x14ac:dyDescent="0.3">
      <c r="A391" s="125"/>
      <c r="B391" s="143"/>
      <c r="C391" s="131"/>
      <c r="D391" s="131"/>
      <c r="E391" s="131"/>
      <c r="F391" s="131"/>
      <c r="G391" s="60" t="s">
        <v>131</v>
      </c>
      <c r="H391" s="134"/>
      <c r="I391" s="134"/>
      <c r="J391" s="60"/>
      <c r="K391" s="60"/>
      <c r="L391" s="60"/>
      <c r="M391" s="60"/>
      <c r="N391" s="60">
        <f t="shared" si="118"/>
        <v>0</v>
      </c>
      <c r="O391" s="60">
        <f t="shared" si="119"/>
        <v>0</v>
      </c>
    </row>
    <row r="392" spans="1:15" s="38" customFormat="1" ht="14.45" hidden="1" customHeight="1" outlineLevel="1" x14ac:dyDescent="0.25">
      <c r="A392" s="140" t="s">
        <v>463</v>
      </c>
      <c r="B392" s="141" t="s">
        <v>464</v>
      </c>
      <c r="C392" s="130">
        <f>SUM(N392:N398)</f>
        <v>0</v>
      </c>
      <c r="D392" s="130">
        <f>SUM(O392:O398)</f>
        <v>0</v>
      </c>
      <c r="E392" s="130">
        <f t="shared" si="105"/>
        <v>0</v>
      </c>
      <c r="F392" s="130"/>
      <c r="G392" s="60" t="s">
        <v>125</v>
      </c>
      <c r="H392" s="123"/>
      <c r="I392" s="123"/>
      <c r="J392" s="60"/>
      <c r="K392" s="60"/>
      <c r="L392" s="60"/>
      <c r="M392" s="60"/>
      <c r="N392" s="60">
        <f>M392*J392*K392*L392</f>
        <v>0</v>
      </c>
      <c r="O392" s="60">
        <f>J392*K392*L392</f>
        <v>0</v>
      </c>
    </row>
    <row r="393" spans="1:15" s="38" customFormat="1" ht="11.45" hidden="1" customHeight="1" outlineLevel="1" x14ac:dyDescent="0.25">
      <c r="A393" s="124"/>
      <c r="B393" s="142"/>
      <c r="C393" s="115"/>
      <c r="D393" s="115"/>
      <c r="E393" s="115"/>
      <c r="F393" s="115"/>
      <c r="G393" s="60" t="s">
        <v>126</v>
      </c>
      <c r="H393" s="124"/>
      <c r="I393" s="124"/>
      <c r="J393" s="60"/>
      <c r="K393" s="60"/>
      <c r="L393" s="60"/>
      <c r="M393" s="60"/>
      <c r="N393" s="60">
        <f t="shared" ref="N393:N398" si="120">M393*J393*K393*L393</f>
        <v>0</v>
      </c>
      <c r="O393" s="60">
        <f t="shared" ref="O393:O398" si="121">J393*K393*L393</f>
        <v>0</v>
      </c>
    </row>
    <row r="394" spans="1:15" s="38" customFormat="1" ht="10.7" hidden="1" customHeight="1" outlineLevel="1" x14ac:dyDescent="0.25">
      <c r="A394" s="124"/>
      <c r="B394" s="142"/>
      <c r="C394" s="115"/>
      <c r="D394" s="115"/>
      <c r="E394" s="115"/>
      <c r="F394" s="115"/>
      <c r="G394" s="60" t="s">
        <v>127</v>
      </c>
      <c r="H394" s="124"/>
      <c r="I394" s="124"/>
      <c r="J394" s="60"/>
      <c r="K394" s="60"/>
      <c r="L394" s="60"/>
      <c r="M394" s="60"/>
      <c r="N394" s="60">
        <f t="shared" si="120"/>
        <v>0</v>
      </c>
      <c r="O394" s="60">
        <f t="shared" si="121"/>
        <v>0</v>
      </c>
    </row>
    <row r="395" spans="1:15" s="38" customFormat="1" ht="10.7" hidden="1" customHeight="1" outlineLevel="1" x14ac:dyDescent="0.25">
      <c r="A395" s="124"/>
      <c r="B395" s="142"/>
      <c r="C395" s="115"/>
      <c r="D395" s="115"/>
      <c r="E395" s="115"/>
      <c r="F395" s="115"/>
      <c r="G395" s="60" t="s">
        <v>128</v>
      </c>
      <c r="H395" s="124"/>
      <c r="I395" s="124"/>
      <c r="J395" s="60"/>
      <c r="K395" s="60"/>
      <c r="L395" s="60"/>
      <c r="M395" s="60"/>
      <c r="N395" s="60">
        <f t="shared" si="120"/>
        <v>0</v>
      </c>
      <c r="O395" s="60">
        <f t="shared" si="121"/>
        <v>0</v>
      </c>
    </row>
    <row r="396" spans="1:15" s="38" customFormat="1" ht="10.7" hidden="1" customHeight="1" outlineLevel="1" x14ac:dyDescent="0.25">
      <c r="A396" s="124"/>
      <c r="B396" s="142"/>
      <c r="C396" s="115"/>
      <c r="D396" s="115"/>
      <c r="E396" s="115"/>
      <c r="F396" s="115"/>
      <c r="G396" s="60" t="s">
        <v>129</v>
      </c>
      <c r="H396" s="124"/>
      <c r="I396" s="124"/>
      <c r="J396" s="60"/>
      <c r="K396" s="60"/>
      <c r="L396" s="60"/>
      <c r="M396" s="60"/>
      <c r="N396" s="60">
        <f t="shared" si="120"/>
        <v>0</v>
      </c>
      <c r="O396" s="60">
        <f t="shared" si="121"/>
        <v>0</v>
      </c>
    </row>
    <row r="397" spans="1:15" s="38" customFormat="1" ht="10.7" hidden="1" customHeight="1" outlineLevel="1" x14ac:dyDescent="0.25">
      <c r="A397" s="124"/>
      <c r="B397" s="142"/>
      <c r="C397" s="115"/>
      <c r="D397" s="115"/>
      <c r="E397" s="115"/>
      <c r="F397" s="115"/>
      <c r="G397" s="60" t="s">
        <v>130</v>
      </c>
      <c r="H397" s="124"/>
      <c r="I397" s="124"/>
      <c r="J397" s="60"/>
      <c r="K397" s="60"/>
      <c r="L397" s="60"/>
      <c r="M397" s="60"/>
      <c r="N397" s="60">
        <f t="shared" si="120"/>
        <v>0</v>
      </c>
      <c r="O397" s="60">
        <f t="shared" si="121"/>
        <v>0</v>
      </c>
    </row>
    <row r="398" spans="1:15" s="38" customFormat="1" ht="12" hidden="1" customHeight="1" outlineLevel="1" thickBot="1" x14ac:dyDescent="0.3">
      <c r="A398" s="125"/>
      <c r="B398" s="143"/>
      <c r="C398" s="131"/>
      <c r="D398" s="131"/>
      <c r="E398" s="131"/>
      <c r="F398" s="131"/>
      <c r="G398" s="60" t="s">
        <v>131</v>
      </c>
      <c r="H398" s="134"/>
      <c r="I398" s="134"/>
      <c r="J398" s="60"/>
      <c r="K398" s="60"/>
      <c r="L398" s="60"/>
      <c r="M398" s="60"/>
      <c r="N398" s="60">
        <f t="shared" si="120"/>
        <v>0</v>
      </c>
      <c r="O398" s="60">
        <f t="shared" si="121"/>
        <v>0</v>
      </c>
    </row>
    <row r="399" spans="1:15" s="38" customFormat="1" ht="14.45" hidden="1" customHeight="1" outlineLevel="1" x14ac:dyDescent="0.25">
      <c r="A399" s="140" t="s">
        <v>465</v>
      </c>
      <c r="B399" s="141" t="s">
        <v>466</v>
      </c>
      <c r="C399" s="130">
        <f>SUM(N399:N405)</f>
        <v>0</v>
      </c>
      <c r="D399" s="130">
        <f>SUM(O399:O405)</f>
        <v>0</v>
      </c>
      <c r="E399" s="130">
        <f t="shared" si="105"/>
        <v>0</v>
      </c>
      <c r="F399" s="130"/>
      <c r="G399" s="60" t="s">
        <v>125</v>
      </c>
      <c r="H399" s="123"/>
      <c r="I399" s="123"/>
      <c r="J399" s="60"/>
      <c r="K399" s="60"/>
      <c r="L399" s="60"/>
      <c r="M399" s="60"/>
      <c r="N399" s="60">
        <f>M399*J399*K399*L399</f>
        <v>0</v>
      </c>
      <c r="O399" s="60">
        <f>J399*K399*L399</f>
        <v>0</v>
      </c>
    </row>
    <row r="400" spans="1:15" s="38" customFormat="1" ht="11.45" hidden="1" customHeight="1" outlineLevel="1" x14ac:dyDescent="0.25">
      <c r="A400" s="124"/>
      <c r="B400" s="142"/>
      <c r="C400" s="115"/>
      <c r="D400" s="115"/>
      <c r="E400" s="115"/>
      <c r="F400" s="115"/>
      <c r="G400" s="60" t="s">
        <v>126</v>
      </c>
      <c r="H400" s="124"/>
      <c r="I400" s="124"/>
      <c r="J400" s="60"/>
      <c r="K400" s="60"/>
      <c r="L400" s="60"/>
      <c r="M400" s="60"/>
      <c r="N400" s="60">
        <f t="shared" ref="N400:N405" si="122">M400*J400*K400*L400</f>
        <v>0</v>
      </c>
      <c r="O400" s="60">
        <f t="shared" ref="O400:O405" si="123">J400*K400*L400</f>
        <v>0</v>
      </c>
    </row>
    <row r="401" spans="1:15" s="38" customFormat="1" ht="10.7" hidden="1" customHeight="1" outlineLevel="1" x14ac:dyDescent="0.25">
      <c r="A401" s="124"/>
      <c r="B401" s="142"/>
      <c r="C401" s="115"/>
      <c r="D401" s="115"/>
      <c r="E401" s="115"/>
      <c r="F401" s="115"/>
      <c r="G401" s="60" t="s">
        <v>127</v>
      </c>
      <c r="H401" s="124"/>
      <c r="I401" s="124"/>
      <c r="J401" s="60"/>
      <c r="K401" s="60"/>
      <c r="L401" s="60"/>
      <c r="M401" s="60"/>
      <c r="N401" s="60">
        <f t="shared" si="122"/>
        <v>0</v>
      </c>
      <c r="O401" s="60">
        <f t="shared" si="123"/>
        <v>0</v>
      </c>
    </row>
    <row r="402" spans="1:15" s="38" customFormat="1" ht="10.7" hidden="1" customHeight="1" outlineLevel="1" x14ac:dyDescent="0.25">
      <c r="A402" s="124"/>
      <c r="B402" s="142"/>
      <c r="C402" s="115"/>
      <c r="D402" s="115"/>
      <c r="E402" s="115"/>
      <c r="F402" s="115"/>
      <c r="G402" s="60" t="s">
        <v>128</v>
      </c>
      <c r="H402" s="124"/>
      <c r="I402" s="124"/>
      <c r="J402" s="60"/>
      <c r="K402" s="60"/>
      <c r="L402" s="60"/>
      <c r="M402" s="60"/>
      <c r="N402" s="60">
        <f t="shared" si="122"/>
        <v>0</v>
      </c>
      <c r="O402" s="60">
        <f t="shared" si="123"/>
        <v>0</v>
      </c>
    </row>
    <row r="403" spans="1:15" s="38" customFormat="1" ht="10.7" hidden="1" customHeight="1" outlineLevel="1" x14ac:dyDescent="0.25">
      <c r="A403" s="124"/>
      <c r="B403" s="142"/>
      <c r="C403" s="115"/>
      <c r="D403" s="115"/>
      <c r="E403" s="115"/>
      <c r="F403" s="115"/>
      <c r="G403" s="60" t="s">
        <v>129</v>
      </c>
      <c r="H403" s="124"/>
      <c r="I403" s="124"/>
      <c r="J403" s="60"/>
      <c r="K403" s="60"/>
      <c r="L403" s="60"/>
      <c r="M403" s="60"/>
      <c r="N403" s="60">
        <f t="shared" si="122"/>
        <v>0</v>
      </c>
      <c r="O403" s="60">
        <f t="shared" si="123"/>
        <v>0</v>
      </c>
    </row>
    <row r="404" spans="1:15" s="38" customFormat="1" ht="10.7" hidden="1" customHeight="1" outlineLevel="1" x14ac:dyDescent="0.25">
      <c r="A404" s="124"/>
      <c r="B404" s="142"/>
      <c r="C404" s="115"/>
      <c r="D404" s="115"/>
      <c r="E404" s="115"/>
      <c r="F404" s="115"/>
      <c r="G404" s="60" t="s">
        <v>130</v>
      </c>
      <c r="H404" s="124"/>
      <c r="I404" s="124"/>
      <c r="J404" s="60"/>
      <c r="K404" s="60"/>
      <c r="L404" s="60"/>
      <c r="M404" s="60"/>
      <c r="N404" s="60">
        <f t="shared" si="122"/>
        <v>0</v>
      </c>
      <c r="O404" s="60">
        <f t="shared" si="123"/>
        <v>0</v>
      </c>
    </row>
    <row r="405" spans="1:15" s="38" customFormat="1" ht="12" hidden="1" customHeight="1" outlineLevel="1" thickBot="1" x14ac:dyDescent="0.3">
      <c r="A405" s="125"/>
      <c r="B405" s="143"/>
      <c r="C405" s="131"/>
      <c r="D405" s="131"/>
      <c r="E405" s="131"/>
      <c r="F405" s="131"/>
      <c r="G405" s="60" t="s">
        <v>131</v>
      </c>
      <c r="H405" s="134"/>
      <c r="I405" s="134"/>
      <c r="J405" s="60"/>
      <c r="K405" s="60"/>
      <c r="L405" s="60"/>
      <c r="M405" s="60"/>
      <c r="N405" s="60">
        <f t="shared" si="122"/>
        <v>0</v>
      </c>
      <c r="O405" s="60">
        <f t="shared" si="123"/>
        <v>0</v>
      </c>
    </row>
    <row r="406" spans="1:15" s="38" customFormat="1" ht="14.45" hidden="1" customHeight="1" outlineLevel="1" x14ac:dyDescent="0.25">
      <c r="A406" s="140" t="s">
        <v>467</v>
      </c>
      <c r="B406" s="141" t="s">
        <v>554</v>
      </c>
      <c r="C406" s="130">
        <f>SUM(N406:N412)</f>
        <v>0</v>
      </c>
      <c r="D406" s="130">
        <f>SUM(O406:O412)</f>
        <v>0</v>
      </c>
      <c r="E406" s="130">
        <f t="shared" si="105"/>
        <v>0</v>
      </c>
      <c r="F406" s="130"/>
      <c r="G406" s="60" t="s">
        <v>125</v>
      </c>
      <c r="H406" s="123"/>
      <c r="I406" s="123"/>
      <c r="J406" s="60"/>
      <c r="K406" s="60"/>
      <c r="L406" s="60"/>
      <c r="M406" s="60"/>
      <c r="N406" s="60">
        <f>M406*J406*K406*L406</f>
        <v>0</v>
      </c>
      <c r="O406" s="60">
        <f>J406*K406*L406</f>
        <v>0</v>
      </c>
    </row>
    <row r="407" spans="1:15" s="38" customFormat="1" ht="11.45" hidden="1" customHeight="1" outlineLevel="1" x14ac:dyDescent="0.25">
      <c r="A407" s="124"/>
      <c r="B407" s="142"/>
      <c r="C407" s="115"/>
      <c r="D407" s="115"/>
      <c r="E407" s="115"/>
      <c r="F407" s="115"/>
      <c r="G407" s="60" t="s">
        <v>126</v>
      </c>
      <c r="H407" s="124"/>
      <c r="I407" s="124"/>
      <c r="J407" s="60"/>
      <c r="K407" s="60"/>
      <c r="L407" s="60"/>
      <c r="M407" s="60"/>
      <c r="N407" s="60">
        <f t="shared" ref="N407:N412" si="124">M407*J407*K407*L407</f>
        <v>0</v>
      </c>
      <c r="O407" s="60">
        <f t="shared" ref="O407:O412" si="125">J407*K407*L407</f>
        <v>0</v>
      </c>
    </row>
    <row r="408" spans="1:15" s="38" customFormat="1" ht="10.7" hidden="1" customHeight="1" outlineLevel="1" x14ac:dyDescent="0.25">
      <c r="A408" s="124"/>
      <c r="B408" s="142"/>
      <c r="C408" s="115"/>
      <c r="D408" s="115"/>
      <c r="E408" s="115"/>
      <c r="F408" s="115"/>
      <c r="G408" s="60" t="s">
        <v>127</v>
      </c>
      <c r="H408" s="124"/>
      <c r="I408" s="124"/>
      <c r="J408" s="60"/>
      <c r="K408" s="60"/>
      <c r="L408" s="60"/>
      <c r="M408" s="60"/>
      <c r="N408" s="60">
        <f t="shared" si="124"/>
        <v>0</v>
      </c>
      <c r="O408" s="60">
        <f t="shared" si="125"/>
        <v>0</v>
      </c>
    </row>
    <row r="409" spans="1:15" s="38" customFormat="1" ht="10.7" hidden="1" customHeight="1" outlineLevel="1" x14ac:dyDescent="0.25">
      <c r="A409" s="124"/>
      <c r="B409" s="142"/>
      <c r="C409" s="115"/>
      <c r="D409" s="115"/>
      <c r="E409" s="115"/>
      <c r="F409" s="115"/>
      <c r="G409" s="60" t="s">
        <v>128</v>
      </c>
      <c r="H409" s="124"/>
      <c r="I409" s="124"/>
      <c r="J409" s="60"/>
      <c r="K409" s="60"/>
      <c r="L409" s="60"/>
      <c r="M409" s="60"/>
      <c r="N409" s="60">
        <f t="shared" si="124"/>
        <v>0</v>
      </c>
      <c r="O409" s="60">
        <f t="shared" si="125"/>
        <v>0</v>
      </c>
    </row>
    <row r="410" spans="1:15" s="38" customFormat="1" ht="10.7" hidden="1" customHeight="1" outlineLevel="1" x14ac:dyDescent="0.25">
      <c r="A410" s="124"/>
      <c r="B410" s="142"/>
      <c r="C410" s="115"/>
      <c r="D410" s="115"/>
      <c r="E410" s="115"/>
      <c r="F410" s="115"/>
      <c r="G410" s="60" t="s">
        <v>129</v>
      </c>
      <c r="H410" s="124"/>
      <c r="I410" s="124"/>
      <c r="J410" s="60"/>
      <c r="K410" s="60"/>
      <c r="L410" s="60"/>
      <c r="M410" s="60"/>
      <c r="N410" s="60">
        <f t="shared" si="124"/>
        <v>0</v>
      </c>
      <c r="O410" s="60">
        <f t="shared" si="125"/>
        <v>0</v>
      </c>
    </row>
    <row r="411" spans="1:15" s="38" customFormat="1" ht="10.7" hidden="1" customHeight="1" outlineLevel="1" x14ac:dyDescent="0.25">
      <c r="A411" s="124"/>
      <c r="B411" s="142"/>
      <c r="C411" s="115"/>
      <c r="D411" s="115"/>
      <c r="E411" s="115"/>
      <c r="F411" s="115"/>
      <c r="G411" s="60" t="s">
        <v>130</v>
      </c>
      <c r="H411" s="124"/>
      <c r="I411" s="124"/>
      <c r="J411" s="60"/>
      <c r="K411" s="60"/>
      <c r="L411" s="60"/>
      <c r="M411" s="60"/>
      <c r="N411" s="60">
        <f t="shared" si="124"/>
        <v>0</v>
      </c>
      <c r="O411" s="60">
        <f t="shared" si="125"/>
        <v>0</v>
      </c>
    </row>
    <row r="412" spans="1:15" s="38" customFormat="1" ht="12" hidden="1" customHeight="1" outlineLevel="1" thickBot="1" x14ac:dyDescent="0.3">
      <c r="A412" s="125"/>
      <c r="B412" s="143"/>
      <c r="C412" s="131"/>
      <c r="D412" s="131"/>
      <c r="E412" s="131"/>
      <c r="F412" s="131"/>
      <c r="G412" s="60" t="s">
        <v>131</v>
      </c>
      <c r="H412" s="134"/>
      <c r="I412" s="134"/>
      <c r="J412" s="60"/>
      <c r="K412" s="60"/>
      <c r="L412" s="60"/>
      <c r="M412" s="60"/>
      <c r="N412" s="60">
        <f t="shared" si="124"/>
        <v>0</v>
      </c>
      <c r="O412" s="60">
        <f t="shared" si="125"/>
        <v>0</v>
      </c>
    </row>
    <row r="413" spans="1:15" s="38" customFormat="1" ht="14.45" hidden="1" customHeight="1" outlineLevel="1" x14ac:dyDescent="0.25">
      <c r="A413" s="140" t="s">
        <v>469</v>
      </c>
      <c r="B413" s="141" t="s">
        <v>555</v>
      </c>
      <c r="C413" s="130">
        <f>SUM(N413:N419)</f>
        <v>0</v>
      </c>
      <c r="D413" s="130">
        <f>SUM(O413:O419)</f>
        <v>0</v>
      </c>
      <c r="E413" s="130">
        <f t="shared" ref="E413:E476" si="126">D413/8</f>
        <v>0</v>
      </c>
      <c r="F413" s="130"/>
      <c r="G413" s="60" t="s">
        <v>125</v>
      </c>
      <c r="H413" s="123"/>
      <c r="I413" s="123"/>
      <c r="J413" s="60"/>
      <c r="K413" s="60"/>
      <c r="L413" s="60"/>
      <c r="M413" s="60"/>
      <c r="N413" s="60">
        <f>M413*J413*K413*L413</f>
        <v>0</v>
      </c>
      <c r="O413" s="60">
        <f>J413*K413*L413</f>
        <v>0</v>
      </c>
    </row>
    <row r="414" spans="1:15" s="38" customFormat="1" ht="11.45" hidden="1" customHeight="1" outlineLevel="1" x14ac:dyDescent="0.25">
      <c r="A414" s="124"/>
      <c r="B414" s="142"/>
      <c r="C414" s="115"/>
      <c r="D414" s="115"/>
      <c r="E414" s="115"/>
      <c r="F414" s="115"/>
      <c r="G414" s="60" t="s">
        <v>126</v>
      </c>
      <c r="H414" s="124"/>
      <c r="I414" s="124"/>
      <c r="J414" s="60"/>
      <c r="K414" s="60"/>
      <c r="L414" s="60"/>
      <c r="M414" s="60"/>
      <c r="N414" s="60">
        <f t="shared" ref="N414:N419" si="127">M414*J414*K414*L414</f>
        <v>0</v>
      </c>
      <c r="O414" s="60">
        <f t="shared" ref="O414:O419" si="128">J414*K414*L414</f>
        <v>0</v>
      </c>
    </row>
    <row r="415" spans="1:15" s="38" customFormat="1" ht="10.7" hidden="1" customHeight="1" outlineLevel="1" x14ac:dyDescent="0.25">
      <c r="A415" s="124"/>
      <c r="B415" s="142"/>
      <c r="C415" s="115"/>
      <c r="D415" s="115"/>
      <c r="E415" s="115"/>
      <c r="F415" s="115"/>
      <c r="G415" s="60" t="s">
        <v>127</v>
      </c>
      <c r="H415" s="124"/>
      <c r="I415" s="124"/>
      <c r="J415" s="60"/>
      <c r="K415" s="60"/>
      <c r="L415" s="60"/>
      <c r="M415" s="60"/>
      <c r="N415" s="60">
        <f t="shared" si="127"/>
        <v>0</v>
      </c>
      <c r="O415" s="60">
        <f t="shared" si="128"/>
        <v>0</v>
      </c>
    </row>
    <row r="416" spans="1:15" s="38" customFormat="1" ht="10.7" hidden="1" customHeight="1" outlineLevel="1" x14ac:dyDescent="0.25">
      <c r="A416" s="124"/>
      <c r="B416" s="142"/>
      <c r="C416" s="115"/>
      <c r="D416" s="115"/>
      <c r="E416" s="115"/>
      <c r="F416" s="115"/>
      <c r="G416" s="60" t="s">
        <v>128</v>
      </c>
      <c r="H416" s="124"/>
      <c r="I416" s="124"/>
      <c r="J416" s="60"/>
      <c r="K416" s="60"/>
      <c r="L416" s="60"/>
      <c r="M416" s="60"/>
      <c r="N416" s="60">
        <f t="shared" si="127"/>
        <v>0</v>
      </c>
      <c r="O416" s="60">
        <f t="shared" si="128"/>
        <v>0</v>
      </c>
    </row>
    <row r="417" spans="1:15" s="38" customFormat="1" ht="10.7" hidden="1" customHeight="1" outlineLevel="1" x14ac:dyDescent="0.25">
      <c r="A417" s="124"/>
      <c r="B417" s="142"/>
      <c r="C417" s="115"/>
      <c r="D417" s="115"/>
      <c r="E417" s="115"/>
      <c r="F417" s="115"/>
      <c r="G417" s="60" t="s">
        <v>129</v>
      </c>
      <c r="H417" s="124"/>
      <c r="I417" s="124"/>
      <c r="J417" s="60"/>
      <c r="K417" s="60"/>
      <c r="L417" s="60"/>
      <c r="M417" s="60"/>
      <c r="N417" s="60">
        <f t="shared" si="127"/>
        <v>0</v>
      </c>
      <c r="O417" s="60">
        <f t="shared" si="128"/>
        <v>0</v>
      </c>
    </row>
    <row r="418" spans="1:15" s="38" customFormat="1" ht="10.7" hidden="1" customHeight="1" outlineLevel="1" x14ac:dyDescent="0.25">
      <c r="A418" s="124"/>
      <c r="B418" s="142"/>
      <c r="C418" s="115"/>
      <c r="D418" s="115"/>
      <c r="E418" s="115"/>
      <c r="F418" s="115"/>
      <c r="G418" s="60" t="s">
        <v>130</v>
      </c>
      <c r="H418" s="124"/>
      <c r="I418" s="124"/>
      <c r="J418" s="60"/>
      <c r="K418" s="60"/>
      <c r="L418" s="60"/>
      <c r="M418" s="60"/>
      <c r="N418" s="60">
        <f t="shared" si="127"/>
        <v>0</v>
      </c>
      <c r="O418" s="60">
        <f t="shared" si="128"/>
        <v>0</v>
      </c>
    </row>
    <row r="419" spans="1:15" s="38" customFormat="1" ht="12" hidden="1" customHeight="1" outlineLevel="1" thickBot="1" x14ac:dyDescent="0.3">
      <c r="A419" s="125"/>
      <c r="B419" s="143"/>
      <c r="C419" s="131"/>
      <c r="D419" s="131"/>
      <c r="E419" s="131"/>
      <c r="F419" s="131"/>
      <c r="G419" s="60" t="s">
        <v>131</v>
      </c>
      <c r="H419" s="134"/>
      <c r="I419" s="134"/>
      <c r="J419" s="60"/>
      <c r="K419" s="60"/>
      <c r="L419" s="60"/>
      <c r="M419" s="60"/>
      <c r="N419" s="60">
        <f t="shared" si="127"/>
        <v>0</v>
      </c>
      <c r="O419" s="60">
        <f t="shared" si="128"/>
        <v>0</v>
      </c>
    </row>
    <row r="420" spans="1:15" s="38" customFormat="1" ht="14.45" hidden="1" customHeight="1" outlineLevel="1" x14ac:dyDescent="0.25">
      <c r="A420" s="140" t="s">
        <v>471</v>
      </c>
      <c r="B420" s="141" t="s">
        <v>470</v>
      </c>
      <c r="C420" s="130">
        <f>SUM(N420:N426)</f>
        <v>0</v>
      </c>
      <c r="D420" s="130">
        <f>SUM(O420:O426)</f>
        <v>0</v>
      </c>
      <c r="E420" s="130">
        <f t="shared" si="126"/>
        <v>0</v>
      </c>
      <c r="F420" s="130"/>
      <c r="G420" s="60" t="s">
        <v>125</v>
      </c>
      <c r="H420" s="123"/>
      <c r="I420" s="123"/>
      <c r="J420" s="60"/>
      <c r="K420" s="60"/>
      <c r="L420" s="60"/>
      <c r="M420" s="60"/>
      <c r="N420" s="60">
        <f>M420*J420*K420*L420</f>
        <v>0</v>
      </c>
      <c r="O420" s="60">
        <f>J420*K420*L420</f>
        <v>0</v>
      </c>
    </row>
    <row r="421" spans="1:15" s="38" customFormat="1" ht="11.45" hidden="1" customHeight="1" outlineLevel="1" x14ac:dyDescent="0.25">
      <c r="A421" s="124"/>
      <c r="B421" s="142"/>
      <c r="C421" s="115"/>
      <c r="D421" s="115"/>
      <c r="E421" s="115"/>
      <c r="F421" s="115"/>
      <c r="G421" s="60" t="s">
        <v>126</v>
      </c>
      <c r="H421" s="124"/>
      <c r="I421" s="124"/>
      <c r="J421" s="60"/>
      <c r="K421" s="60"/>
      <c r="L421" s="60"/>
      <c r="M421" s="60"/>
      <c r="N421" s="60">
        <f t="shared" ref="N421:N426" si="129">M421*J421*K421*L421</f>
        <v>0</v>
      </c>
      <c r="O421" s="60">
        <f t="shared" ref="O421:O426" si="130">J421*K421*L421</f>
        <v>0</v>
      </c>
    </row>
    <row r="422" spans="1:15" s="38" customFormat="1" ht="10.7" hidden="1" customHeight="1" outlineLevel="1" x14ac:dyDescent="0.25">
      <c r="A422" s="124"/>
      <c r="B422" s="142"/>
      <c r="C422" s="115"/>
      <c r="D422" s="115"/>
      <c r="E422" s="115"/>
      <c r="F422" s="115"/>
      <c r="G422" s="60" t="s">
        <v>127</v>
      </c>
      <c r="H422" s="124"/>
      <c r="I422" s="124"/>
      <c r="J422" s="60"/>
      <c r="K422" s="60"/>
      <c r="L422" s="60"/>
      <c r="M422" s="60"/>
      <c r="N422" s="60">
        <f t="shared" si="129"/>
        <v>0</v>
      </c>
      <c r="O422" s="60">
        <f t="shared" si="130"/>
        <v>0</v>
      </c>
    </row>
    <row r="423" spans="1:15" s="38" customFormat="1" ht="10.7" hidden="1" customHeight="1" outlineLevel="1" x14ac:dyDescent="0.25">
      <c r="A423" s="124"/>
      <c r="B423" s="142"/>
      <c r="C423" s="115"/>
      <c r="D423" s="115"/>
      <c r="E423" s="115"/>
      <c r="F423" s="115"/>
      <c r="G423" s="60" t="s">
        <v>128</v>
      </c>
      <c r="H423" s="124"/>
      <c r="I423" s="124"/>
      <c r="J423" s="60"/>
      <c r="K423" s="60"/>
      <c r="L423" s="60"/>
      <c r="M423" s="60"/>
      <c r="N423" s="60">
        <f t="shared" si="129"/>
        <v>0</v>
      </c>
      <c r="O423" s="60">
        <f t="shared" si="130"/>
        <v>0</v>
      </c>
    </row>
    <row r="424" spans="1:15" s="38" customFormat="1" ht="10.7" hidden="1" customHeight="1" outlineLevel="1" x14ac:dyDescent="0.25">
      <c r="A424" s="124"/>
      <c r="B424" s="142"/>
      <c r="C424" s="115"/>
      <c r="D424" s="115"/>
      <c r="E424" s="115"/>
      <c r="F424" s="115"/>
      <c r="G424" s="60" t="s">
        <v>129</v>
      </c>
      <c r="H424" s="124"/>
      <c r="I424" s="124"/>
      <c r="J424" s="60"/>
      <c r="K424" s="60"/>
      <c r="L424" s="60"/>
      <c r="M424" s="60"/>
      <c r="N424" s="60">
        <f t="shared" si="129"/>
        <v>0</v>
      </c>
      <c r="O424" s="60">
        <f t="shared" si="130"/>
        <v>0</v>
      </c>
    </row>
    <row r="425" spans="1:15" s="38" customFormat="1" ht="10.7" hidden="1" customHeight="1" outlineLevel="1" x14ac:dyDescent="0.25">
      <c r="A425" s="124"/>
      <c r="B425" s="142"/>
      <c r="C425" s="115"/>
      <c r="D425" s="115"/>
      <c r="E425" s="115"/>
      <c r="F425" s="115"/>
      <c r="G425" s="60" t="s">
        <v>130</v>
      </c>
      <c r="H425" s="124"/>
      <c r="I425" s="124"/>
      <c r="J425" s="60"/>
      <c r="K425" s="60"/>
      <c r="L425" s="60"/>
      <c r="M425" s="60"/>
      <c r="N425" s="60">
        <f t="shared" si="129"/>
        <v>0</v>
      </c>
      <c r="O425" s="60">
        <f t="shared" si="130"/>
        <v>0</v>
      </c>
    </row>
    <row r="426" spans="1:15" s="38" customFormat="1" ht="12" hidden="1" customHeight="1" outlineLevel="1" thickBot="1" x14ac:dyDescent="0.3">
      <c r="A426" s="125"/>
      <c r="B426" s="143"/>
      <c r="C426" s="131"/>
      <c r="D426" s="131"/>
      <c r="E426" s="131"/>
      <c r="F426" s="131"/>
      <c r="G426" s="60" t="s">
        <v>131</v>
      </c>
      <c r="H426" s="134"/>
      <c r="I426" s="134"/>
      <c r="J426" s="60"/>
      <c r="K426" s="60"/>
      <c r="L426" s="60"/>
      <c r="M426" s="60"/>
      <c r="N426" s="60">
        <f t="shared" si="129"/>
        <v>0</v>
      </c>
      <c r="O426" s="60">
        <f t="shared" si="130"/>
        <v>0</v>
      </c>
    </row>
    <row r="427" spans="1:15" s="38" customFormat="1" ht="14.45" hidden="1" customHeight="1" outlineLevel="1" x14ac:dyDescent="0.25">
      <c r="A427" s="140" t="s">
        <v>473</v>
      </c>
      <c r="B427" s="141" t="s">
        <v>472</v>
      </c>
      <c r="C427" s="130">
        <f>SUM(N427:N433)</f>
        <v>0</v>
      </c>
      <c r="D427" s="130">
        <f>SUM(O427:O433)</f>
        <v>0</v>
      </c>
      <c r="E427" s="130">
        <f t="shared" si="126"/>
        <v>0</v>
      </c>
      <c r="F427" s="130"/>
      <c r="G427" s="60" t="s">
        <v>125</v>
      </c>
      <c r="H427" s="123"/>
      <c r="I427" s="123"/>
      <c r="J427" s="60"/>
      <c r="K427" s="60"/>
      <c r="L427" s="60"/>
      <c r="M427" s="60"/>
      <c r="N427" s="60">
        <f>M427*J427*K427*L427</f>
        <v>0</v>
      </c>
      <c r="O427" s="60">
        <f>J427*K427*L427</f>
        <v>0</v>
      </c>
    </row>
    <row r="428" spans="1:15" s="38" customFormat="1" ht="11.45" hidden="1" customHeight="1" outlineLevel="1" x14ac:dyDescent="0.25">
      <c r="A428" s="124"/>
      <c r="B428" s="142"/>
      <c r="C428" s="115"/>
      <c r="D428" s="115"/>
      <c r="E428" s="115"/>
      <c r="F428" s="115"/>
      <c r="G428" s="60" t="s">
        <v>126</v>
      </c>
      <c r="H428" s="124"/>
      <c r="I428" s="124"/>
      <c r="J428" s="60"/>
      <c r="K428" s="60"/>
      <c r="L428" s="60"/>
      <c r="M428" s="60"/>
      <c r="N428" s="60">
        <f t="shared" ref="N428:N433" si="131">M428*J428*K428*L428</f>
        <v>0</v>
      </c>
      <c r="O428" s="60">
        <f t="shared" ref="O428:O433" si="132">J428*K428*L428</f>
        <v>0</v>
      </c>
    </row>
    <row r="429" spans="1:15" s="38" customFormat="1" ht="10.7" hidden="1" customHeight="1" outlineLevel="1" x14ac:dyDescent="0.25">
      <c r="A429" s="124"/>
      <c r="B429" s="142"/>
      <c r="C429" s="115"/>
      <c r="D429" s="115"/>
      <c r="E429" s="115"/>
      <c r="F429" s="115"/>
      <c r="G429" s="60" t="s">
        <v>127</v>
      </c>
      <c r="H429" s="124"/>
      <c r="I429" s="124"/>
      <c r="J429" s="60"/>
      <c r="K429" s="60"/>
      <c r="L429" s="60"/>
      <c r="M429" s="60"/>
      <c r="N429" s="60">
        <f t="shared" si="131"/>
        <v>0</v>
      </c>
      <c r="O429" s="60">
        <f t="shared" si="132"/>
        <v>0</v>
      </c>
    </row>
    <row r="430" spans="1:15" s="38" customFormat="1" ht="10.7" hidden="1" customHeight="1" outlineLevel="1" x14ac:dyDescent="0.25">
      <c r="A430" s="124"/>
      <c r="B430" s="142"/>
      <c r="C430" s="115"/>
      <c r="D430" s="115"/>
      <c r="E430" s="115"/>
      <c r="F430" s="115"/>
      <c r="G430" s="60" t="s">
        <v>128</v>
      </c>
      <c r="H430" s="124"/>
      <c r="I430" s="124"/>
      <c r="J430" s="60"/>
      <c r="K430" s="60"/>
      <c r="L430" s="60"/>
      <c r="M430" s="60"/>
      <c r="N430" s="60">
        <f t="shared" si="131"/>
        <v>0</v>
      </c>
      <c r="O430" s="60">
        <f t="shared" si="132"/>
        <v>0</v>
      </c>
    </row>
    <row r="431" spans="1:15" s="38" customFormat="1" ht="10.7" hidden="1" customHeight="1" outlineLevel="1" x14ac:dyDescent="0.25">
      <c r="A431" s="124"/>
      <c r="B431" s="142"/>
      <c r="C431" s="115"/>
      <c r="D431" s="115"/>
      <c r="E431" s="115"/>
      <c r="F431" s="115"/>
      <c r="G431" s="60" t="s">
        <v>129</v>
      </c>
      <c r="H431" s="124"/>
      <c r="I431" s="124"/>
      <c r="J431" s="60"/>
      <c r="K431" s="60"/>
      <c r="L431" s="60"/>
      <c r="M431" s="60"/>
      <c r="N431" s="60">
        <f t="shared" si="131"/>
        <v>0</v>
      </c>
      <c r="O431" s="60">
        <f t="shared" si="132"/>
        <v>0</v>
      </c>
    </row>
    <row r="432" spans="1:15" s="38" customFormat="1" ht="10.7" hidden="1" customHeight="1" outlineLevel="1" x14ac:dyDescent="0.25">
      <c r="A432" s="124"/>
      <c r="B432" s="142"/>
      <c r="C432" s="115"/>
      <c r="D432" s="115"/>
      <c r="E432" s="115"/>
      <c r="F432" s="115"/>
      <c r="G432" s="60" t="s">
        <v>130</v>
      </c>
      <c r="H432" s="124"/>
      <c r="I432" s="124"/>
      <c r="J432" s="60"/>
      <c r="K432" s="60"/>
      <c r="L432" s="60"/>
      <c r="M432" s="60"/>
      <c r="N432" s="60">
        <f t="shared" si="131"/>
        <v>0</v>
      </c>
      <c r="O432" s="60">
        <f t="shared" si="132"/>
        <v>0</v>
      </c>
    </row>
    <row r="433" spans="1:15" s="38" customFormat="1" ht="12" hidden="1" customHeight="1" outlineLevel="1" thickBot="1" x14ac:dyDescent="0.3">
      <c r="A433" s="125"/>
      <c r="B433" s="143"/>
      <c r="C433" s="131"/>
      <c r="D433" s="131"/>
      <c r="E433" s="131"/>
      <c r="F433" s="131"/>
      <c r="G433" s="60" t="s">
        <v>131</v>
      </c>
      <c r="H433" s="134"/>
      <c r="I433" s="134"/>
      <c r="J433" s="60"/>
      <c r="K433" s="60"/>
      <c r="L433" s="60"/>
      <c r="M433" s="60"/>
      <c r="N433" s="60">
        <f t="shared" si="131"/>
        <v>0</v>
      </c>
      <c r="O433" s="60">
        <f t="shared" si="132"/>
        <v>0</v>
      </c>
    </row>
    <row r="434" spans="1:15" s="38" customFormat="1" ht="14.45" hidden="1" customHeight="1" outlineLevel="1" x14ac:dyDescent="0.25">
      <c r="A434" s="140" t="s">
        <v>474</v>
      </c>
      <c r="B434" s="141" t="s">
        <v>556</v>
      </c>
      <c r="C434" s="130">
        <f>SUM(N434:N440)</f>
        <v>0</v>
      </c>
      <c r="D434" s="130">
        <f>SUM(O434:O440)</f>
        <v>0</v>
      </c>
      <c r="E434" s="130">
        <f t="shared" si="126"/>
        <v>0</v>
      </c>
      <c r="F434" s="130"/>
      <c r="G434" s="60" t="s">
        <v>125</v>
      </c>
      <c r="H434" s="123"/>
      <c r="I434" s="123"/>
      <c r="J434" s="60"/>
      <c r="K434" s="60"/>
      <c r="L434" s="60"/>
      <c r="M434" s="60"/>
      <c r="N434" s="60">
        <f>M434*J434*K434*L434</f>
        <v>0</v>
      </c>
      <c r="O434" s="60">
        <f>J434*K434*L434</f>
        <v>0</v>
      </c>
    </row>
    <row r="435" spans="1:15" s="38" customFormat="1" ht="11.45" hidden="1" customHeight="1" outlineLevel="1" x14ac:dyDescent="0.25">
      <c r="A435" s="124"/>
      <c r="B435" s="142"/>
      <c r="C435" s="115"/>
      <c r="D435" s="115"/>
      <c r="E435" s="115"/>
      <c r="F435" s="115"/>
      <c r="G435" s="60" t="s">
        <v>126</v>
      </c>
      <c r="H435" s="124"/>
      <c r="I435" s="124"/>
      <c r="J435" s="60"/>
      <c r="K435" s="60"/>
      <c r="L435" s="60"/>
      <c r="M435" s="60"/>
      <c r="N435" s="60">
        <f t="shared" ref="N435:N440" si="133">M435*J435*K435*L435</f>
        <v>0</v>
      </c>
      <c r="O435" s="60">
        <f t="shared" ref="O435:O440" si="134">J435*K435*L435</f>
        <v>0</v>
      </c>
    </row>
    <row r="436" spans="1:15" s="38" customFormat="1" ht="10.7" hidden="1" customHeight="1" outlineLevel="1" x14ac:dyDescent="0.25">
      <c r="A436" s="124"/>
      <c r="B436" s="142"/>
      <c r="C436" s="115"/>
      <c r="D436" s="115"/>
      <c r="E436" s="115"/>
      <c r="F436" s="115"/>
      <c r="G436" s="60" t="s">
        <v>127</v>
      </c>
      <c r="H436" s="124"/>
      <c r="I436" s="124"/>
      <c r="J436" s="60"/>
      <c r="K436" s="60"/>
      <c r="L436" s="60"/>
      <c r="M436" s="60"/>
      <c r="N436" s="60">
        <f t="shared" si="133"/>
        <v>0</v>
      </c>
      <c r="O436" s="60">
        <f t="shared" si="134"/>
        <v>0</v>
      </c>
    </row>
    <row r="437" spans="1:15" s="38" customFormat="1" ht="10.7" hidden="1" customHeight="1" outlineLevel="1" x14ac:dyDescent="0.25">
      <c r="A437" s="124"/>
      <c r="B437" s="142"/>
      <c r="C437" s="115"/>
      <c r="D437" s="115"/>
      <c r="E437" s="115"/>
      <c r="F437" s="115"/>
      <c r="G437" s="60" t="s">
        <v>128</v>
      </c>
      <c r="H437" s="124"/>
      <c r="I437" s="124"/>
      <c r="J437" s="60"/>
      <c r="K437" s="60"/>
      <c r="L437" s="60"/>
      <c r="M437" s="60"/>
      <c r="N437" s="60">
        <f t="shared" si="133"/>
        <v>0</v>
      </c>
      <c r="O437" s="60">
        <f t="shared" si="134"/>
        <v>0</v>
      </c>
    </row>
    <row r="438" spans="1:15" s="38" customFormat="1" ht="10.7" hidden="1" customHeight="1" outlineLevel="1" x14ac:dyDescent="0.25">
      <c r="A438" s="124"/>
      <c r="B438" s="142"/>
      <c r="C438" s="115"/>
      <c r="D438" s="115"/>
      <c r="E438" s="115"/>
      <c r="F438" s="115"/>
      <c r="G438" s="60" t="s">
        <v>129</v>
      </c>
      <c r="H438" s="124"/>
      <c r="I438" s="124"/>
      <c r="J438" s="60"/>
      <c r="K438" s="60"/>
      <c r="L438" s="60"/>
      <c r="M438" s="60"/>
      <c r="N438" s="60">
        <f t="shared" si="133"/>
        <v>0</v>
      </c>
      <c r="O438" s="60">
        <f t="shared" si="134"/>
        <v>0</v>
      </c>
    </row>
    <row r="439" spans="1:15" s="38" customFormat="1" ht="10.7" hidden="1" customHeight="1" outlineLevel="1" x14ac:dyDescent="0.25">
      <c r="A439" s="124"/>
      <c r="B439" s="142"/>
      <c r="C439" s="115"/>
      <c r="D439" s="115"/>
      <c r="E439" s="115"/>
      <c r="F439" s="115"/>
      <c r="G439" s="60" t="s">
        <v>130</v>
      </c>
      <c r="H439" s="124"/>
      <c r="I439" s="124"/>
      <c r="J439" s="60"/>
      <c r="K439" s="60"/>
      <c r="L439" s="60"/>
      <c r="M439" s="60"/>
      <c r="N439" s="60">
        <f t="shared" si="133"/>
        <v>0</v>
      </c>
      <c r="O439" s="60">
        <f t="shared" si="134"/>
        <v>0</v>
      </c>
    </row>
    <row r="440" spans="1:15" s="38" customFormat="1" ht="12" hidden="1" customHeight="1" outlineLevel="1" thickBot="1" x14ac:dyDescent="0.3">
      <c r="A440" s="125"/>
      <c r="B440" s="143"/>
      <c r="C440" s="131"/>
      <c r="D440" s="131"/>
      <c r="E440" s="131"/>
      <c r="F440" s="131"/>
      <c r="G440" s="60" t="s">
        <v>131</v>
      </c>
      <c r="H440" s="134"/>
      <c r="I440" s="134"/>
      <c r="J440" s="60"/>
      <c r="K440" s="60"/>
      <c r="L440" s="60"/>
      <c r="M440" s="60"/>
      <c r="N440" s="60">
        <f t="shared" si="133"/>
        <v>0</v>
      </c>
      <c r="O440" s="60">
        <f t="shared" si="134"/>
        <v>0</v>
      </c>
    </row>
    <row r="441" spans="1:15" s="38" customFormat="1" ht="14.45" hidden="1" customHeight="1" outlineLevel="1" x14ac:dyDescent="0.25">
      <c r="A441" s="140" t="s">
        <v>476</v>
      </c>
      <c r="B441" s="141" t="s">
        <v>557</v>
      </c>
      <c r="C441" s="130">
        <f>SUM(N441:N447)</f>
        <v>0</v>
      </c>
      <c r="D441" s="130">
        <f>SUM(O441:O447)</f>
        <v>0</v>
      </c>
      <c r="E441" s="130">
        <f t="shared" si="126"/>
        <v>0</v>
      </c>
      <c r="F441" s="130"/>
      <c r="G441" s="60" t="s">
        <v>125</v>
      </c>
      <c r="H441" s="123"/>
      <c r="I441" s="123"/>
      <c r="J441" s="60"/>
      <c r="K441" s="60"/>
      <c r="L441" s="60"/>
      <c r="M441" s="60"/>
      <c r="N441" s="60">
        <f>M441*J441*K441*L441</f>
        <v>0</v>
      </c>
      <c r="O441" s="60">
        <f>J441*K441*L441</f>
        <v>0</v>
      </c>
    </row>
    <row r="442" spans="1:15" s="38" customFormat="1" ht="11.45" hidden="1" customHeight="1" outlineLevel="1" x14ac:dyDescent="0.25">
      <c r="A442" s="124"/>
      <c r="B442" s="142"/>
      <c r="C442" s="115"/>
      <c r="D442" s="115"/>
      <c r="E442" s="115"/>
      <c r="F442" s="115"/>
      <c r="G442" s="60" t="s">
        <v>126</v>
      </c>
      <c r="H442" s="124"/>
      <c r="I442" s="124"/>
      <c r="J442" s="60"/>
      <c r="K442" s="60"/>
      <c r="L442" s="60"/>
      <c r="M442" s="60"/>
      <c r="N442" s="60">
        <f t="shared" ref="N442:N447" si="135">M442*J442*K442*L442</f>
        <v>0</v>
      </c>
      <c r="O442" s="60">
        <f t="shared" ref="O442:O447" si="136">J442*K442*L442</f>
        <v>0</v>
      </c>
    </row>
    <row r="443" spans="1:15" s="38" customFormat="1" ht="10.7" hidden="1" customHeight="1" outlineLevel="1" x14ac:dyDescent="0.25">
      <c r="A443" s="124"/>
      <c r="B443" s="142"/>
      <c r="C443" s="115"/>
      <c r="D443" s="115"/>
      <c r="E443" s="115"/>
      <c r="F443" s="115"/>
      <c r="G443" s="60" t="s">
        <v>127</v>
      </c>
      <c r="H443" s="124"/>
      <c r="I443" s="124"/>
      <c r="J443" s="60"/>
      <c r="K443" s="60"/>
      <c r="L443" s="60"/>
      <c r="M443" s="60"/>
      <c r="N443" s="60">
        <f t="shared" si="135"/>
        <v>0</v>
      </c>
      <c r="O443" s="60">
        <f t="shared" si="136"/>
        <v>0</v>
      </c>
    </row>
    <row r="444" spans="1:15" s="38" customFormat="1" ht="10.7" hidden="1" customHeight="1" outlineLevel="1" x14ac:dyDescent="0.25">
      <c r="A444" s="124"/>
      <c r="B444" s="142"/>
      <c r="C444" s="115"/>
      <c r="D444" s="115"/>
      <c r="E444" s="115"/>
      <c r="F444" s="115"/>
      <c r="G444" s="60" t="s">
        <v>128</v>
      </c>
      <c r="H444" s="124"/>
      <c r="I444" s="124"/>
      <c r="J444" s="60"/>
      <c r="K444" s="60"/>
      <c r="L444" s="60"/>
      <c r="M444" s="60"/>
      <c r="N444" s="60">
        <f t="shared" si="135"/>
        <v>0</v>
      </c>
      <c r="O444" s="60">
        <f t="shared" si="136"/>
        <v>0</v>
      </c>
    </row>
    <row r="445" spans="1:15" s="38" customFormat="1" ht="10.7" hidden="1" customHeight="1" outlineLevel="1" x14ac:dyDescent="0.25">
      <c r="A445" s="124"/>
      <c r="B445" s="142"/>
      <c r="C445" s="115"/>
      <c r="D445" s="115"/>
      <c r="E445" s="115"/>
      <c r="F445" s="115"/>
      <c r="G445" s="60" t="s">
        <v>129</v>
      </c>
      <c r="H445" s="124"/>
      <c r="I445" s="124"/>
      <c r="J445" s="60"/>
      <c r="K445" s="60"/>
      <c r="L445" s="60"/>
      <c r="M445" s="60"/>
      <c r="N445" s="60">
        <f t="shared" si="135"/>
        <v>0</v>
      </c>
      <c r="O445" s="60">
        <f t="shared" si="136"/>
        <v>0</v>
      </c>
    </row>
    <row r="446" spans="1:15" s="38" customFormat="1" ht="10.7" hidden="1" customHeight="1" outlineLevel="1" x14ac:dyDescent="0.25">
      <c r="A446" s="124"/>
      <c r="B446" s="142"/>
      <c r="C446" s="115"/>
      <c r="D446" s="115"/>
      <c r="E446" s="115"/>
      <c r="F446" s="115"/>
      <c r="G446" s="60" t="s">
        <v>130</v>
      </c>
      <c r="H446" s="124"/>
      <c r="I446" s="124"/>
      <c r="J446" s="60"/>
      <c r="K446" s="60"/>
      <c r="L446" s="60"/>
      <c r="M446" s="60"/>
      <c r="N446" s="60">
        <f t="shared" si="135"/>
        <v>0</v>
      </c>
      <c r="O446" s="60">
        <f t="shared" si="136"/>
        <v>0</v>
      </c>
    </row>
    <row r="447" spans="1:15" s="38" customFormat="1" ht="12" hidden="1" customHeight="1" outlineLevel="1" thickBot="1" x14ac:dyDescent="0.3">
      <c r="A447" s="125"/>
      <c r="B447" s="143"/>
      <c r="C447" s="131"/>
      <c r="D447" s="131"/>
      <c r="E447" s="131"/>
      <c r="F447" s="131"/>
      <c r="G447" s="60" t="s">
        <v>131</v>
      </c>
      <c r="H447" s="134"/>
      <c r="I447" s="134"/>
      <c r="J447" s="60"/>
      <c r="K447" s="60"/>
      <c r="L447" s="60"/>
      <c r="M447" s="60"/>
      <c r="N447" s="60">
        <f t="shared" si="135"/>
        <v>0</v>
      </c>
      <c r="O447" s="60">
        <f t="shared" si="136"/>
        <v>0</v>
      </c>
    </row>
    <row r="448" spans="1:15" s="38" customFormat="1" ht="14.45" hidden="1" customHeight="1" outlineLevel="1" x14ac:dyDescent="0.25">
      <c r="A448" s="140" t="s">
        <v>478</v>
      </c>
      <c r="B448" s="141" t="s">
        <v>326</v>
      </c>
      <c r="C448" s="130">
        <f>SUM(N448:N454)</f>
        <v>0</v>
      </c>
      <c r="D448" s="130">
        <f>SUM(O448:O454)</f>
        <v>0</v>
      </c>
      <c r="E448" s="130">
        <f t="shared" si="126"/>
        <v>0</v>
      </c>
      <c r="F448" s="130"/>
      <c r="G448" s="60" t="s">
        <v>125</v>
      </c>
      <c r="H448" s="123"/>
      <c r="I448" s="123"/>
      <c r="J448" s="60"/>
      <c r="K448" s="60"/>
      <c r="L448" s="60"/>
      <c r="M448" s="60"/>
      <c r="N448" s="60">
        <f>M448*J448*K448*L448</f>
        <v>0</v>
      </c>
      <c r="O448" s="60">
        <f>J448*K448*L448</f>
        <v>0</v>
      </c>
    </row>
    <row r="449" spans="1:15" s="38" customFormat="1" ht="11.45" hidden="1" customHeight="1" outlineLevel="1" x14ac:dyDescent="0.25">
      <c r="A449" s="124"/>
      <c r="B449" s="142"/>
      <c r="C449" s="115"/>
      <c r="D449" s="115"/>
      <c r="E449" s="115"/>
      <c r="F449" s="115"/>
      <c r="G449" s="60" t="s">
        <v>126</v>
      </c>
      <c r="H449" s="124"/>
      <c r="I449" s="124"/>
      <c r="J449" s="60"/>
      <c r="K449" s="60"/>
      <c r="L449" s="60"/>
      <c r="M449" s="60"/>
      <c r="N449" s="60">
        <f t="shared" ref="N449:N454" si="137">M449*J449*K449*L449</f>
        <v>0</v>
      </c>
      <c r="O449" s="60">
        <f t="shared" ref="O449:O454" si="138">J449*K449*L449</f>
        <v>0</v>
      </c>
    </row>
    <row r="450" spans="1:15" s="38" customFormat="1" ht="10.7" hidden="1" customHeight="1" outlineLevel="1" x14ac:dyDescent="0.25">
      <c r="A450" s="124"/>
      <c r="B450" s="142"/>
      <c r="C450" s="115"/>
      <c r="D450" s="115"/>
      <c r="E450" s="115"/>
      <c r="F450" s="115"/>
      <c r="G450" s="60" t="s">
        <v>127</v>
      </c>
      <c r="H450" s="124"/>
      <c r="I450" s="124"/>
      <c r="J450" s="60"/>
      <c r="K450" s="60"/>
      <c r="L450" s="60"/>
      <c r="M450" s="60"/>
      <c r="N450" s="60">
        <f t="shared" si="137"/>
        <v>0</v>
      </c>
      <c r="O450" s="60">
        <f t="shared" si="138"/>
        <v>0</v>
      </c>
    </row>
    <row r="451" spans="1:15" s="38" customFormat="1" ht="10.7" hidden="1" customHeight="1" outlineLevel="1" x14ac:dyDescent="0.25">
      <c r="A451" s="124"/>
      <c r="B451" s="142"/>
      <c r="C451" s="115"/>
      <c r="D451" s="115"/>
      <c r="E451" s="115"/>
      <c r="F451" s="115"/>
      <c r="G451" s="60" t="s">
        <v>128</v>
      </c>
      <c r="H451" s="124"/>
      <c r="I451" s="124"/>
      <c r="J451" s="60"/>
      <c r="K451" s="60"/>
      <c r="L451" s="60"/>
      <c r="M451" s="60"/>
      <c r="N451" s="60">
        <f t="shared" si="137"/>
        <v>0</v>
      </c>
      <c r="O451" s="60">
        <f t="shared" si="138"/>
        <v>0</v>
      </c>
    </row>
    <row r="452" spans="1:15" s="38" customFormat="1" ht="10.7" hidden="1" customHeight="1" outlineLevel="1" x14ac:dyDescent="0.25">
      <c r="A452" s="124"/>
      <c r="B452" s="142"/>
      <c r="C452" s="115"/>
      <c r="D452" s="115"/>
      <c r="E452" s="115"/>
      <c r="F452" s="115"/>
      <c r="G452" s="60" t="s">
        <v>129</v>
      </c>
      <c r="H452" s="124"/>
      <c r="I452" s="124"/>
      <c r="J452" s="60"/>
      <c r="K452" s="60"/>
      <c r="L452" s="60"/>
      <c r="M452" s="60"/>
      <c r="N452" s="60">
        <f t="shared" si="137"/>
        <v>0</v>
      </c>
      <c r="O452" s="60">
        <f t="shared" si="138"/>
        <v>0</v>
      </c>
    </row>
    <row r="453" spans="1:15" s="38" customFormat="1" ht="10.7" hidden="1" customHeight="1" outlineLevel="1" x14ac:dyDescent="0.25">
      <c r="A453" s="124"/>
      <c r="B453" s="142"/>
      <c r="C453" s="115"/>
      <c r="D453" s="115"/>
      <c r="E453" s="115"/>
      <c r="F453" s="115"/>
      <c r="G453" s="60" t="s">
        <v>130</v>
      </c>
      <c r="H453" s="124"/>
      <c r="I453" s="124"/>
      <c r="J453" s="60"/>
      <c r="K453" s="60"/>
      <c r="L453" s="60"/>
      <c r="M453" s="60"/>
      <c r="N453" s="60">
        <f t="shared" si="137"/>
        <v>0</v>
      </c>
      <c r="O453" s="60">
        <f t="shared" si="138"/>
        <v>0</v>
      </c>
    </row>
    <row r="454" spans="1:15" s="38" customFormat="1" ht="12" hidden="1" customHeight="1" outlineLevel="1" thickBot="1" x14ac:dyDescent="0.3">
      <c r="A454" s="125"/>
      <c r="B454" s="143"/>
      <c r="C454" s="131"/>
      <c r="D454" s="131"/>
      <c r="E454" s="131"/>
      <c r="F454" s="131"/>
      <c r="G454" s="60" t="s">
        <v>131</v>
      </c>
      <c r="H454" s="134"/>
      <c r="I454" s="134"/>
      <c r="J454" s="60"/>
      <c r="K454" s="60"/>
      <c r="L454" s="60"/>
      <c r="M454" s="60"/>
      <c r="N454" s="60">
        <f t="shared" si="137"/>
        <v>0</v>
      </c>
      <c r="O454" s="60">
        <f t="shared" si="138"/>
        <v>0</v>
      </c>
    </row>
    <row r="455" spans="1:15" s="38" customFormat="1" ht="14.45" hidden="1" customHeight="1" outlineLevel="1" x14ac:dyDescent="0.25">
      <c r="A455" s="140" t="s">
        <v>480</v>
      </c>
      <c r="B455" s="141" t="s">
        <v>475</v>
      </c>
      <c r="C455" s="130">
        <f>SUM(N455:N461)</f>
        <v>0</v>
      </c>
      <c r="D455" s="130">
        <f>SUM(O455:O461)</f>
        <v>0</v>
      </c>
      <c r="E455" s="130">
        <f t="shared" si="126"/>
        <v>0</v>
      </c>
      <c r="F455" s="130"/>
      <c r="G455" s="60" t="s">
        <v>125</v>
      </c>
      <c r="H455" s="123"/>
      <c r="I455" s="123"/>
      <c r="J455" s="60"/>
      <c r="K455" s="60"/>
      <c r="L455" s="60"/>
      <c r="M455" s="60"/>
      <c r="N455" s="60">
        <f>M455*J455*K455*L455</f>
        <v>0</v>
      </c>
      <c r="O455" s="60">
        <f>J455*K455*L455</f>
        <v>0</v>
      </c>
    </row>
    <row r="456" spans="1:15" s="38" customFormat="1" ht="11.45" hidden="1" customHeight="1" outlineLevel="1" x14ac:dyDescent="0.25">
      <c r="A456" s="124"/>
      <c r="B456" s="142"/>
      <c r="C456" s="115"/>
      <c r="D456" s="115"/>
      <c r="E456" s="115"/>
      <c r="F456" s="115"/>
      <c r="G456" s="60" t="s">
        <v>126</v>
      </c>
      <c r="H456" s="124"/>
      <c r="I456" s="124"/>
      <c r="J456" s="60"/>
      <c r="K456" s="60"/>
      <c r="L456" s="60"/>
      <c r="M456" s="60"/>
      <c r="N456" s="60">
        <f t="shared" ref="N456:N461" si="139">M456*J456*K456*L456</f>
        <v>0</v>
      </c>
      <c r="O456" s="60">
        <f t="shared" ref="O456:O461" si="140">J456*K456*L456</f>
        <v>0</v>
      </c>
    </row>
    <row r="457" spans="1:15" s="38" customFormat="1" ht="10.7" hidden="1" customHeight="1" outlineLevel="1" x14ac:dyDescent="0.25">
      <c r="A457" s="124"/>
      <c r="B457" s="142"/>
      <c r="C457" s="115"/>
      <c r="D457" s="115"/>
      <c r="E457" s="115"/>
      <c r="F457" s="115"/>
      <c r="G457" s="60" t="s">
        <v>127</v>
      </c>
      <c r="H457" s="124"/>
      <c r="I457" s="124"/>
      <c r="J457" s="60"/>
      <c r="K457" s="60"/>
      <c r="L457" s="60"/>
      <c r="M457" s="60"/>
      <c r="N457" s="60">
        <f t="shared" si="139"/>
        <v>0</v>
      </c>
      <c r="O457" s="60">
        <f t="shared" si="140"/>
        <v>0</v>
      </c>
    </row>
    <row r="458" spans="1:15" s="38" customFormat="1" ht="10.7" hidden="1" customHeight="1" outlineLevel="1" x14ac:dyDescent="0.25">
      <c r="A458" s="124"/>
      <c r="B458" s="142"/>
      <c r="C458" s="115"/>
      <c r="D458" s="115"/>
      <c r="E458" s="115"/>
      <c r="F458" s="115"/>
      <c r="G458" s="60" t="s">
        <v>128</v>
      </c>
      <c r="H458" s="124"/>
      <c r="I458" s="124"/>
      <c r="J458" s="60"/>
      <c r="K458" s="60"/>
      <c r="L458" s="60"/>
      <c r="M458" s="60"/>
      <c r="N458" s="60">
        <f t="shared" si="139"/>
        <v>0</v>
      </c>
      <c r="O458" s="60">
        <f t="shared" si="140"/>
        <v>0</v>
      </c>
    </row>
    <row r="459" spans="1:15" s="38" customFormat="1" ht="10.7" hidden="1" customHeight="1" outlineLevel="1" x14ac:dyDescent="0.25">
      <c r="A459" s="124"/>
      <c r="B459" s="142"/>
      <c r="C459" s="115"/>
      <c r="D459" s="115"/>
      <c r="E459" s="115"/>
      <c r="F459" s="115"/>
      <c r="G459" s="60" t="s">
        <v>129</v>
      </c>
      <c r="H459" s="124"/>
      <c r="I459" s="124"/>
      <c r="J459" s="60"/>
      <c r="K459" s="60"/>
      <c r="L459" s="60"/>
      <c r="M459" s="60"/>
      <c r="N459" s="60">
        <f t="shared" si="139"/>
        <v>0</v>
      </c>
      <c r="O459" s="60">
        <f t="shared" si="140"/>
        <v>0</v>
      </c>
    </row>
    <row r="460" spans="1:15" s="38" customFormat="1" ht="10.7" hidden="1" customHeight="1" outlineLevel="1" x14ac:dyDescent="0.25">
      <c r="A460" s="124"/>
      <c r="B460" s="142"/>
      <c r="C460" s="115"/>
      <c r="D460" s="115"/>
      <c r="E460" s="115"/>
      <c r="F460" s="115"/>
      <c r="G460" s="60" t="s">
        <v>130</v>
      </c>
      <c r="H460" s="124"/>
      <c r="I460" s="124"/>
      <c r="J460" s="60"/>
      <c r="K460" s="60"/>
      <c r="L460" s="60"/>
      <c r="M460" s="60"/>
      <c r="N460" s="60">
        <f t="shared" si="139"/>
        <v>0</v>
      </c>
      <c r="O460" s="60">
        <f t="shared" si="140"/>
        <v>0</v>
      </c>
    </row>
    <row r="461" spans="1:15" s="38" customFormat="1" ht="12" hidden="1" customHeight="1" outlineLevel="1" thickBot="1" x14ac:dyDescent="0.3">
      <c r="A461" s="125"/>
      <c r="B461" s="143"/>
      <c r="C461" s="131"/>
      <c r="D461" s="131"/>
      <c r="E461" s="131"/>
      <c r="F461" s="131"/>
      <c r="G461" s="60" t="s">
        <v>131</v>
      </c>
      <c r="H461" s="134"/>
      <c r="I461" s="134"/>
      <c r="J461" s="60"/>
      <c r="K461" s="60"/>
      <c r="L461" s="60"/>
      <c r="M461" s="60"/>
      <c r="N461" s="60">
        <f t="shared" si="139"/>
        <v>0</v>
      </c>
      <c r="O461" s="60">
        <f t="shared" si="140"/>
        <v>0</v>
      </c>
    </row>
    <row r="462" spans="1:15" s="38" customFormat="1" ht="14.45" hidden="1" customHeight="1" outlineLevel="1" x14ac:dyDescent="0.25">
      <c r="A462" s="140" t="s">
        <v>482</v>
      </c>
      <c r="B462" s="141" t="s">
        <v>477</v>
      </c>
      <c r="C462" s="130">
        <f>SUM(N462:N468)</f>
        <v>0</v>
      </c>
      <c r="D462" s="130">
        <f>SUM(O462:O468)</f>
        <v>0</v>
      </c>
      <c r="E462" s="130">
        <f t="shared" si="126"/>
        <v>0</v>
      </c>
      <c r="F462" s="130"/>
      <c r="G462" s="60" t="s">
        <v>125</v>
      </c>
      <c r="H462" s="123"/>
      <c r="I462" s="123"/>
      <c r="J462" s="60"/>
      <c r="K462" s="60"/>
      <c r="L462" s="60"/>
      <c r="M462" s="60"/>
      <c r="N462" s="60">
        <f>M462*J462*K462*L462</f>
        <v>0</v>
      </c>
      <c r="O462" s="60">
        <f>J462*K462*L462</f>
        <v>0</v>
      </c>
    </row>
    <row r="463" spans="1:15" s="38" customFormat="1" ht="11.45" hidden="1" customHeight="1" outlineLevel="1" x14ac:dyDescent="0.25">
      <c r="A463" s="124"/>
      <c r="B463" s="142"/>
      <c r="C463" s="115"/>
      <c r="D463" s="115"/>
      <c r="E463" s="115"/>
      <c r="F463" s="115"/>
      <c r="G463" s="60" t="s">
        <v>126</v>
      </c>
      <c r="H463" s="124"/>
      <c r="I463" s="124"/>
      <c r="J463" s="60"/>
      <c r="K463" s="60"/>
      <c r="L463" s="60"/>
      <c r="M463" s="60"/>
      <c r="N463" s="60">
        <f t="shared" ref="N463:N468" si="141">M463*J463*K463*L463</f>
        <v>0</v>
      </c>
      <c r="O463" s="60">
        <f t="shared" ref="O463:O468" si="142">J463*K463*L463</f>
        <v>0</v>
      </c>
    </row>
    <row r="464" spans="1:15" s="38" customFormat="1" ht="10.7" hidden="1" customHeight="1" outlineLevel="1" x14ac:dyDescent="0.25">
      <c r="A464" s="124"/>
      <c r="B464" s="142"/>
      <c r="C464" s="115"/>
      <c r="D464" s="115"/>
      <c r="E464" s="115"/>
      <c r="F464" s="115"/>
      <c r="G464" s="60" t="s">
        <v>127</v>
      </c>
      <c r="H464" s="124"/>
      <c r="I464" s="124"/>
      <c r="J464" s="60"/>
      <c r="K464" s="60"/>
      <c r="L464" s="60"/>
      <c r="M464" s="60"/>
      <c r="N464" s="60">
        <f t="shared" si="141"/>
        <v>0</v>
      </c>
      <c r="O464" s="60">
        <f t="shared" si="142"/>
        <v>0</v>
      </c>
    </row>
    <row r="465" spans="1:15" s="38" customFormat="1" ht="10.7" hidden="1" customHeight="1" outlineLevel="1" x14ac:dyDescent="0.25">
      <c r="A465" s="124"/>
      <c r="B465" s="142"/>
      <c r="C465" s="115"/>
      <c r="D465" s="115"/>
      <c r="E465" s="115"/>
      <c r="F465" s="115"/>
      <c r="G465" s="60" t="s">
        <v>128</v>
      </c>
      <c r="H465" s="124"/>
      <c r="I465" s="124"/>
      <c r="J465" s="60"/>
      <c r="K465" s="60"/>
      <c r="L465" s="60"/>
      <c r="M465" s="60"/>
      <c r="N465" s="60">
        <f t="shared" si="141"/>
        <v>0</v>
      </c>
      <c r="O465" s="60">
        <f t="shared" si="142"/>
        <v>0</v>
      </c>
    </row>
    <row r="466" spans="1:15" s="38" customFormat="1" ht="10.7" hidden="1" customHeight="1" outlineLevel="1" x14ac:dyDescent="0.25">
      <c r="A466" s="124"/>
      <c r="B466" s="142"/>
      <c r="C466" s="115"/>
      <c r="D466" s="115"/>
      <c r="E466" s="115"/>
      <c r="F466" s="115"/>
      <c r="G466" s="60" t="s">
        <v>129</v>
      </c>
      <c r="H466" s="124"/>
      <c r="I466" s="124"/>
      <c r="J466" s="60"/>
      <c r="K466" s="60"/>
      <c r="L466" s="60"/>
      <c r="M466" s="60"/>
      <c r="N466" s="60">
        <f t="shared" si="141"/>
        <v>0</v>
      </c>
      <c r="O466" s="60">
        <f t="shared" si="142"/>
        <v>0</v>
      </c>
    </row>
    <row r="467" spans="1:15" s="38" customFormat="1" ht="10.7" hidden="1" customHeight="1" outlineLevel="1" x14ac:dyDescent="0.25">
      <c r="A467" s="124"/>
      <c r="B467" s="142"/>
      <c r="C467" s="115"/>
      <c r="D467" s="115"/>
      <c r="E467" s="115"/>
      <c r="F467" s="115"/>
      <c r="G467" s="60" t="s">
        <v>130</v>
      </c>
      <c r="H467" s="124"/>
      <c r="I467" s="124"/>
      <c r="J467" s="60"/>
      <c r="K467" s="60"/>
      <c r="L467" s="60"/>
      <c r="M467" s="60"/>
      <c r="N467" s="60">
        <f t="shared" si="141"/>
        <v>0</v>
      </c>
      <c r="O467" s="60">
        <f t="shared" si="142"/>
        <v>0</v>
      </c>
    </row>
    <row r="468" spans="1:15" s="38" customFormat="1" ht="12" hidden="1" customHeight="1" outlineLevel="1" thickBot="1" x14ac:dyDescent="0.3">
      <c r="A468" s="125"/>
      <c r="B468" s="143"/>
      <c r="C468" s="131"/>
      <c r="D468" s="131"/>
      <c r="E468" s="131"/>
      <c r="F468" s="131"/>
      <c r="G468" s="60" t="s">
        <v>131</v>
      </c>
      <c r="H468" s="134"/>
      <c r="I468" s="134"/>
      <c r="J468" s="60"/>
      <c r="K468" s="60"/>
      <c r="L468" s="60"/>
      <c r="M468" s="60"/>
      <c r="N468" s="60">
        <f t="shared" si="141"/>
        <v>0</v>
      </c>
      <c r="O468" s="60">
        <f t="shared" si="142"/>
        <v>0</v>
      </c>
    </row>
    <row r="469" spans="1:15" s="38" customFormat="1" ht="14.45" hidden="1" customHeight="1" outlineLevel="1" x14ac:dyDescent="0.25">
      <c r="A469" s="140" t="s">
        <v>484</v>
      </c>
      <c r="B469" s="141" t="s">
        <v>479</v>
      </c>
      <c r="C469" s="130">
        <f>SUM(N469:N475)</f>
        <v>0</v>
      </c>
      <c r="D469" s="130">
        <f>SUM(O469:O475)</f>
        <v>0</v>
      </c>
      <c r="E469" s="130">
        <f t="shared" si="126"/>
        <v>0</v>
      </c>
      <c r="F469" s="130"/>
      <c r="G469" s="60" t="s">
        <v>125</v>
      </c>
      <c r="H469" s="123"/>
      <c r="I469" s="123"/>
      <c r="J469" s="60"/>
      <c r="K469" s="60"/>
      <c r="L469" s="60"/>
      <c r="M469" s="60"/>
      <c r="N469" s="60">
        <f>M469*J469*K469*L469</f>
        <v>0</v>
      </c>
      <c r="O469" s="60">
        <f>J469*K469*L469</f>
        <v>0</v>
      </c>
    </row>
    <row r="470" spans="1:15" s="38" customFormat="1" ht="11.45" hidden="1" customHeight="1" outlineLevel="1" x14ac:dyDescent="0.25">
      <c r="A470" s="124"/>
      <c r="B470" s="142"/>
      <c r="C470" s="115"/>
      <c r="D470" s="115"/>
      <c r="E470" s="115"/>
      <c r="F470" s="115"/>
      <c r="G470" s="60" t="s">
        <v>126</v>
      </c>
      <c r="H470" s="124"/>
      <c r="I470" s="124"/>
      <c r="J470" s="60"/>
      <c r="K470" s="60"/>
      <c r="L470" s="60"/>
      <c r="M470" s="60"/>
      <c r="N470" s="60">
        <f t="shared" ref="N470:N475" si="143">M470*J470*K470*L470</f>
        <v>0</v>
      </c>
      <c r="O470" s="60">
        <f t="shared" ref="O470:O475" si="144">J470*K470*L470</f>
        <v>0</v>
      </c>
    </row>
    <row r="471" spans="1:15" s="38" customFormat="1" ht="10.7" hidden="1" customHeight="1" outlineLevel="1" x14ac:dyDescent="0.25">
      <c r="A471" s="124"/>
      <c r="B471" s="142"/>
      <c r="C471" s="115"/>
      <c r="D471" s="115"/>
      <c r="E471" s="115"/>
      <c r="F471" s="115"/>
      <c r="G471" s="60" t="s">
        <v>127</v>
      </c>
      <c r="H471" s="124"/>
      <c r="I471" s="124"/>
      <c r="J471" s="60"/>
      <c r="K471" s="60"/>
      <c r="L471" s="60"/>
      <c r="M471" s="60"/>
      <c r="N471" s="60">
        <f t="shared" si="143"/>
        <v>0</v>
      </c>
      <c r="O471" s="60">
        <f t="shared" si="144"/>
        <v>0</v>
      </c>
    </row>
    <row r="472" spans="1:15" s="38" customFormat="1" ht="10.7" hidden="1" customHeight="1" outlineLevel="1" x14ac:dyDescent="0.25">
      <c r="A472" s="124"/>
      <c r="B472" s="142"/>
      <c r="C472" s="115"/>
      <c r="D472" s="115"/>
      <c r="E472" s="115"/>
      <c r="F472" s="115"/>
      <c r="G472" s="60" t="s">
        <v>128</v>
      </c>
      <c r="H472" s="124"/>
      <c r="I472" s="124"/>
      <c r="J472" s="60"/>
      <c r="K472" s="60"/>
      <c r="L472" s="60"/>
      <c r="M472" s="60"/>
      <c r="N472" s="60">
        <f t="shared" si="143"/>
        <v>0</v>
      </c>
      <c r="O472" s="60">
        <f t="shared" si="144"/>
        <v>0</v>
      </c>
    </row>
    <row r="473" spans="1:15" s="38" customFormat="1" ht="10.7" hidden="1" customHeight="1" outlineLevel="1" x14ac:dyDescent="0.25">
      <c r="A473" s="124"/>
      <c r="B473" s="142"/>
      <c r="C473" s="115"/>
      <c r="D473" s="115"/>
      <c r="E473" s="115"/>
      <c r="F473" s="115"/>
      <c r="G473" s="60" t="s">
        <v>129</v>
      </c>
      <c r="H473" s="124"/>
      <c r="I473" s="124"/>
      <c r="J473" s="60"/>
      <c r="K473" s="60"/>
      <c r="L473" s="60"/>
      <c r="M473" s="60"/>
      <c r="N473" s="60">
        <f t="shared" si="143"/>
        <v>0</v>
      </c>
      <c r="O473" s="60">
        <f t="shared" si="144"/>
        <v>0</v>
      </c>
    </row>
    <row r="474" spans="1:15" s="38" customFormat="1" ht="10.7" hidden="1" customHeight="1" outlineLevel="1" x14ac:dyDescent="0.25">
      <c r="A474" s="124"/>
      <c r="B474" s="142"/>
      <c r="C474" s="115"/>
      <c r="D474" s="115"/>
      <c r="E474" s="115"/>
      <c r="F474" s="115"/>
      <c r="G474" s="60" t="s">
        <v>130</v>
      </c>
      <c r="H474" s="124"/>
      <c r="I474" s="124"/>
      <c r="J474" s="60"/>
      <c r="K474" s="60"/>
      <c r="L474" s="60"/>
      <c r="M474" s="60"/>
      <c r="N474" s="60">
        <f t="shared" si="143"/>
        <v>0</v>
      </c>
      <c r="O474" s="60">
        <f t="shared" si="144"/>
        <v>0</v>
      </c>
    </row>
    <row r="475" spans="1:15" s="38" customFormat="1" ht="12" hidden="1" customHeight="1" outlineLevel="1" thickBot="1" x14ac:dyDescent="0.3">
      <c r="A475" s="125"/>
      <c r="B475" s="143"/>
      <c r="C475" s="131"/>
      <c r="D475" s="131"/>
      <c r="E475" s="131"/>
      <c r="F475" s="131"/>
      <c r="G475" s="60" t="s">
        <v>131</v>
      </c>
      <c r="H475" s="134"/>
      <c r="I475" s="134"/>
      <c r="J475" s="60"/>
      <c r="K475" s="60"/>
      <c r="L475" s="60"/>
      <c r="M475" s="60"/>
      <c r="N475" s="60">
        <f t="shared" si="143"/>
        <v>0</v>
      </c>
      <c r="O475" s="60">
        <f t="shared" si="144"/>
        <v>0</v>
      </c>
    </row>
    <row r="476" spans="1:15" s="38" customFormat="1" ht="14.45" hidden="1" customHeight="1" outlineLevel="1" x14ac:dyDescent="0.25">
      <c r="A476" s="140" t="s">
        <v>486</v>
      </c>
      <c r="B476" s="141" t="s">
        <v>481</v>
      </c>
      <c r="C476" s="130">
        <f>SUM(N476:N482)</f>
        <v>0</v>
      </c>
      <c r="D476" s="130">
        <f>SUM(O476:O482)</f>
        <v>0</v>
      </c>
      <c r="E476" s="130">
        <f t="shared" si="126"/>
        <v>0</v>
      </c>
      <c r="F476" s="130"/>
      <c r="G476" s="60" t="s">
        <v>125</v>
      </c>
      <c r="H476" s="123"/>
      <c r="I476" s="123"/>
      <c r="J476" s="60"/>
      <c r="K476" s="60"/>
      <c r="L476" s="60"/>
      <c r="M476" s="60"/>
      <c r="N476" s="60">
        <f>M476*J476*K476*L476</f>
        <v>0</v>
      </c>
      <c r="O476" s="60">
        <f>J476*K476*L476</f>
        <v>0</v>
      </c>
    </row>
    <row r="477" spans="1:15" s="38" customFormat="1" ht="11.45" hidden="1" customHeight="1" outlineLevel="1" x14ac:dyDescent="0.25">
      <c r="A477" s="124"/>
      <c r="B477" s="142"/>
      <c r="C477" s="115"/>
      <c r="D477" s="115"/>
      <c r="E477" s="115"/>
      <c r="F477" s="115"/>
      <c r="G477" s="60" t="s">
        <v>126</v>
      </c>
      <c r="H477" s="124"/>
      <c r="I477" s="124"/>
      <c r="J477" s="60"/>
      <c r="K477" s="60"/>
      <c r="L477" s="60"/>
      <c r="M477" s="60"/>
      <c r="N477" s="60">
        <f t="shared" ref="N477:N482" si="145">M477*J477*K477*L477</f>
        <v>0</v>
      </c>
      <c r="O477" s="60">
        <f t="shared" ref="O477:O482" si="146">J477*K477*L477</f>
        <v>0</v>
      </c>
    </row>
    <row r="478" spans="1:15" s="38" customFormat="1" ht="10.7" hidden="1" customHeight="1" outlineLevel="1" x14ac:dyDescent="0.25">
      <c r="A478" s="124"/>
      <c r="B478" s="142"/>
      <c r="C478" s="115"/>
      <c r="D478" s="115"/>
      <c r="E478" s="115"/>
      <c r="F478" s="115"/>
      <c r="G478" s="60" t="s">
        <v>127</v>
      </c>
      <c r="H478" s="124"/>
      <c r="I478" s="124"/>
      <c r="J478" s="60"/>
      <c r="K478" s="60"/>
      <c r="L478" s="60"/>
      <c r="M478" s="60"/>
      <c r="N478" s="60">
        <f t="shared" si="145"/>
        <v>0</v>
      </c>
      <c r="O478" s="60">
        <f t="shared" si="146"/>
        <v>0</v>
      </c>
    </row>
    <row r="479" spans="1:15" s="38" customFormat="1" ht="10.7" hidden="1" customHeight="1" outlineLevel="1" x14ac:dyDescent="0.25">
      <c r="A479" s="124"/>
      <c r="B479" s="142"/>
      <c r="C479" s="115"/>
      <c r="D479" s="115"/>
      <c r="E479" s="115"/>
      <c r="F479" s="115"/>
      <c r="G479" s="60" t="s">
        <v>128</v>
      </c>
      <c r="H479" s="124"/>
      <c r="I479" s="124"/>
      <c r="J479" s="60"/>
      <c r="K479" s="60"/>
      <c r="L479" s="60"/>
      <c r="M479" s="60"/>
      <c r="N479" s="60">
        <f t="shared" si="145"/>
        <v>0</v>
      </c>
      <c r="O479" s="60">
        <f t="shared" si="146"/>
        <v>0</v>
      </c>
    </row>
    <row r="480" spans="1:15" s="38" customFormat="1" ht="10.7" hidden="1" customHeight="1" outlineLevel="1" x14ac:dyDescent="0.25">
      <c r="A480" s="124"/>
      <c r="B480" s="142"/>
      <c r="C480" s="115"/>
      <c r="D480" s="115"/>
      <c r="E480" s="115"/>
      <c r="F480" s="115"/>
      <c r="G480" s="60" t="s">
        <v>129</v>
      </c>
      <c r="H480" s="124"/>
      <c r="I480" s="124"/>
      <c r="J480" s="60"/>
      <c r="K480" s="60"/>
      <c r="L480" s="60"/>
      <c r="M480" s="60"/>
      <c r="N480" s="60">
        <f t="shared" si="145"/>
        <v>0</v>
      </c>
      <c r="O480" s="60">
        <f t="shared" si="146"/>
        <v>0</v>
      </c>
    </row>
    <row r="481" spans="1:15" s="38" customFormat="1" ht="10.7" hidden="1" customHeight="1" outlineLevel="1" x14ac:dyDescent="0.25">
      <c r="A481" s="124"/>
      <c r="B481" s="142"/>
      <c r="C481" s="115"/>
      <c r="D481" s="115"/>
      <c r="E481" s="115"/>
      <c r="F481" s="115"/>
      <c r="G481" s="60" t="s">
        <v>130</v>
      </c>
      <c r="H481" s="124"/>
      <c r="I481" s="124"/>
      <c r="J481" s="60"/>
      <c r="K481" s="60"/>
      <c r="L481" s="60"/>
      <c r="M481" s="60"/>
      <c r="N481" s="60">
        <f t="shared" si="145"/>
        <v>0</v>
      </c>
      <c r="O481" s="60">
        <f t="shared" si="146"/>
        <v>0</v>
      </c>
    </row>
    <row r="482" spans="1:15" s="38" customFormat="1" ht="12" hidden="1" customHeight="1" outlineLevel="1" thickBot="1" x14ac:dyDescent="0.3">
      <c r="A482" s="125"/>
      <c r="B482" s="143"/>
      <c r="C482" s="131"/>
      <c r="D482" s="131"/>
      <c r="E482" s="131"/>
      <c r="F482" s="131"/>
      <c r="G482" s="60" t="s">
        <v>131</v>
      </c>
      <c r="H482" s="134"/>
      <c r="I482" s="134"/>
      <c r="J482" s="60"/>
      <c r="K482" s="60"/>
      <c r="L482" s="60"/>
      <c r="M482" s="60"/>
      <c r="N482" s="60">
        <f t="shared" si="145"/>
        <v>0</v>
      </c>
      <c r="O482" s="60">
        <f t="shared" si="146"/>
        <v>0</v>
      </c>
    </row>
    <row r="483" spans="1:15" s="38" customFormat="1" ht="14.45" hidden="1" customHeight="1" outlineLevel="1" x14ac:dyDescent="0.25">
      <c r="A483" s="140" t="s">
        <v>487</v>
      </c>
      <c r="B483" s="141" t="s">
        <v>483</v>
      </c>
      <c r="C483" s="130">
        <f>SUM(N483:N489)</f>
        <v>0</v>
      </c>
      <c r="D483" s="130">
        <f>SUM(O483:O489)</f>
        <v>0</v>
      </c>
      <c r="E483" s="130">
        <f t="shared" ref="E483:E511" si="147">D483/8</f>
        <v>0</v>
      </c>
      <c r="F483" s="130"/>
      <c r="G483" s="60" t="s">
        <v>125</v>
      </c>
      <c r="H483" s="123"/>
      <c r="I483" s="123"/>
      <c r="J483" s="60"/>
      <c r="K483" s="60"/>
      <c r="L483" s="60"/>
      <c r="M483" s="60"/>
      <c r="N483" s="60">
        <f>M483*J483*K483*L483</f>
        <v>0</v>
      </c>
      <c r="O483" s="60">
        <f>J483*K483*L483</f>
        <v>0</v>
      </c>
    </row>
    <row r="484" spans="1:15" s="38" customFormat="1" ht="11.45" hidden="1" customHeight="1" outlineLevel="1" x14ac:dyDescent="0.25">
      <c r="A484" s="124"/>
      <c r="B484" s="142"/>
      <c r="C484" s="115"/>
      <c r="D484" s="115"/>
      <c r="E484" s="115"/>
      <c r="F484" s="115"/>
      <c r="G484" s="60" t="s">
        <v>126</v>
      </c>
      <c r="H484" s="124"/>
      <c r="I484" s="124"/>
      <c r="J484" s="60"/>
      <c r="K484" s="60"/>
      <c r="L484" s="60"/>
      <c r="M484" s="60"/>
      <c r="N484" s="60">
        <f t="shared" ref="N484:N489" si="148">M484*J484*K484*L484</f>
        <v>0</v>
      </c>
      <c r="O484" s="60">
        <f t="shared" ref="O484:O489" si="149">J484*K484*L484</f>
        <v>0</v>
      </c>
    </row>
    <row r="485" spans="1:15" s="38" customFormat="1" ht="10.7" hidden="1" customHeight="1" outlineLevel="1" x14ac:dyDescent="0.25">
      <c r="A485" s="124"/>
      <c r="B485" s="142"/>
      <c r="C485" s="115"/>
      <c r="D485" s="115"/>
      <c r="E485" s="115"/>
      <c r="F485" s="115"/>
      <c r="G485" s="60" t="s">
        <v>127</v>
      </c>
      <c r="H485" s="124"/>
      <c r="I485" s="124"/>
      <c r="J485" s="60"/>
      <c r="K485" s="60"/>
      <c r="L485" s="60"/>
      <c r="M485" s="60"/>
      <c r="N485" s="60">
        <f t="shared" si="148"/>
        <v>0</v>
      </c>
      <c r="O485" s="60">
        <f t="shared" si="149"/>
        <v>0</v>
      </c>
    </row>
    <row r="486" spans="1:15" s="38" customFormat="1" ht="10.7" hidden="1" customHeight="1" outlineLevel="1" x14ac:dyDescent="0.25">
      <c r="A486" s="124"/>
      <c r="B486" s="142"/>
      <c r="C486" s="115"/>
      <c r="D486" s="115"/>
      <c r="E486" s="115"/>
      <c r="F486" s="115"/>
      <c r="G486" s="60" t="s">
        <v>128</v>
      </c>
      <c r="H486" s="124"/>
      <c r="I486" s="124"/>
      <c r="J486" s="60"/>
      <c r="K486" s="60"/>
      <c r="L486" s="60"/>
      <c r="M486" s="60"/>
      <c r="N486" s="60">
        <f t="shared" si="148"/>
        <v>0</v>
      </c>
      <c r="O486" s="60">
        <f t="shared" si="149"/>
        <v>0</v>
      </c>
    </row>
    <row r="487" spans="1:15" s="38" customFormat="1" ht="10.7" hidden="1" customHeight="1" outlineLevel="1" x14ac:dyDescent="0.25">
      <c r="A487" s="124"/>
      <c r="B487" s="142"/>
      <c r="C487" s="115"/>
      <c r="D487" s="115"/>
      <c r="E487" s="115"/>
      <c r="F487" s="115"/>
      <c r="G487" s="60" t="s">
        <v>129</v>
      </c>
      <c r="H487" s="124"/>
      <c r="I487" s="124"/>
      <c r="J487" s="60"/>
      <c r="K487" s="60"/>
      <c r="L487" s="60"/>
      <c r="M487" s="60"/>
      <c r="N487" s="60">
        <f t="shared" si="148"/>
        <v>0</v>
      </c>
      <c r="O487" s="60">
        <f t="shared" si="149"/>
        <v>0</v>
      </c>
    </row>
    <row r="488" spans="1:15" s="38" customFormat="1" ht="10.7" hidden="1" customHeight="1" outlineLevel="1" x14ac:dyDescent="0.25">
      <c r="A488" s="124"/>
      <c r="B488" s="142"/>
      <c r="C488" s="115"/>
      <c r="D488" s="115"/>
      <c r="E488" s="115"/>
      <c r="F488" s="115"/>
      <c r="G488" s="60" t="s">
        <v>130</v>
      </c>
      <c r="H488" s="124"/>
      <c r="I488" s="124"/>
      <c r="J488" s="60"/>
      <c r="K488" s="60"/>
      <c r="L488" s="60"/>
      <c r="M488" s="60"/>
      <c r="N488" s="60">
        <f t="shared" si="148"/>
        <v>0</v>
      </c>
      <c r="O488" s="60">
        <f t="shared" si="149"/>
        <v>0</v>
      </c>
    </row>
    <row r="489" spans="1:15" s="38" customFormat="1" ht="12" hidden="1" customHeight="1" outlineLevel="1" thickBot="1" x14ac:dyDescent="0.3">
      <c r="A489" s="125"/>
      <c r="B489" s="143"/>
      <c r="C489" s="131"/>
      <c r="D489" s="131"/>
      <c r="E489" s="131"/>
      <c r="F489" s="131"/>
      <c r="G489" s="60" t="s">
        <v>131</v>
      </c>
      <c r="H489" s="134"/>
      <c r="I489" s="134"/>
      <c r="J489" s="60"/>
      <c r="K489" s="60"/>
      <c r="L489" s="60"/>
      <c r="M489" s="60"/>
      <c r="N489" s="60">
        <f t="shared" si="148"/>
        <v>0</v>
      </c>
      <c r="O489" s="60">
        <f t="shared" si="149"/>
        <v>0</v>
      </c>
    </row>
    <row r="490" spans="1:15" s="38" customFormat="1" ht="14.45" hidden="1" customHeight="1" outlineLevel="1" x14ac:dyDescent="0.25">
      <c r="A490" s="140" t="s">
        <v>489</v>
      </c>
      <c r="B490" s="141" t="s">
        <v>558</v>
      </c>
      <c r="C490" s="130">
        <f>SUM(N490:N496)</f>
        <v>0</v>
      </c>
      <c r="D490" s="130">
        <f>SUM(O490:O496)</f>
        <v>0</v>
      </c>
      <c r="E490" s="130">
        <f t="shared" si="147"/>
        <v>0</v>
      </c>
      <c r="F490" s="130"/>
      <c r="G490" s="60" t="s">
        <v>125</v>
      </c>
      <c r="H490" s="123"/>
      <c r="I490" s="123"/>
      <c r="J490" s="60"/>
      <c r="K490" s="60"/>
      <c r="L490" s="60"/>
      <c r="M490" s="60"/>
      <c r="N490" s="60">
        <f>M490*J490*K490*L490</f>
        <v>0</v>
      </c>
      <c r="O490" s="60">
        <f>J490*K490*L490</f>
        <v>0</v>
      </c>
    </row>
    <row r="491" spans="1:15" s="38" customFormat="1" ht="11.45" hidden="1" customHeight="1" outlineLevel="1" x14ac:dyDescent="0.25">
      <c r="A491" s="124"/>
      <c r="B491" s="142"/>
      <c r="C491" s="115"/>
      <c r="D491" s="115"/>
      <c r="E491" s="115"/>
      <c r="F491" s="115"/>
      <c r="G491" s="60" t="s">
        <v>126</v>
      </c>
      <c r="H491" s="124"/>
      <c r="I491" s="124"/>
      <c r="J491" s="60"/>
      <c r="K491" s="60"/>
      <c r="L491" s="60"/>
      <c r="M491" s="60"/>
      <c r="N491" s="60">
        <f t="shared" ref="N491:N496" si="150">M491*J491*K491*L491</f>
        <v>0</v>
      </c>
      <c r="O491" s="60">
        <f t="shared" ref="O491:O496" si="151">J491*K491*L491</f>
        <v>0</v>
      </c>
    </row>
    <row r="492" spans="1:15" s="38" customFormat="1" ht="10.7" hidden="1" customHeight="1" outlineLevel="1" x14ac:dyDescent="0.25">
      <c r="A492" s="124"/>
      <c r="B492" s="142"/>
      <c r="C492" s="115"/>
      <c r="D492" s="115"/>
      <c r="E492" s="115"/>
      <c r="F492" s="115"/>
      <c r="G492" s="60" t="s">
        <v>127</v>
      </c>
      <c r="H492" s="124"/>
      <c r="I492" s="124"/>
      <c r="J492" s="60"/>
      <c r="K492" s="60"/>
      <c r="L492" s="60"/>
      <c r="M492" s="60"/>
      <c r="N492" s="60">
        <f t="shared" si="150"/>
        <v>0</v>
      </c>
      <c r="O492" s="60">
        <f t="shared" si="151"/>
        <v>0</v>
      </c>
    </row>
    <row r="493" spans="1:15" s="38" customFormat="1" ht="10.7" hidden="1" customHeight="1" outlineLevel="1" x14ac:dyDescent="0.25">
      <c r="A493" s="124"/>
      <c r="B493" s="142"/>
      <c r="C493" s="115"/>
      <c r="D493" s="115"/>
      <c r="E493" s="115"/>
      <c r="F493" s="115"/>
      <c r="G493" s="60" t="s">
        <v>128</v>
      </c>
      <c r="H493" s="124"/>
      <c r="I493" s="124"/>
      <c r="J493" s="60"/>
      <c r="K493" s="60"/>
      <c r="L493" s="60"/>
      <c r="M493" s="60"/>
      <c r="N493" s="60">
        <f t="shared" si="150"/>
        <v>0</v>
      </c>
      <c r="O493" s="60">
        <f t="shared" si="151"/>
        <v>0</v>
      </c>
    </row>
    <row r="494" spans="1:15" s="38" customFormat="1" ht="10.7" hidden="1" customHeight="1" outlineLevel="1" x14ac:dyDescent="0.25">
      <c r="A494" s="124"/>
      <c r="B494" s="142"/>
      <c r="C494" s="115"/>
      <c r="D494" s="115"/>
      <c r="E494" s="115"/>
      <c r="F494" s="115"/>
      <c r="G494" s="60" t="s">
        <v>129</v>
      </c>
      <c r="H494" s="124"/>
      <c r="I494" s="124"/>
      <c r="J494" s="60"/>
      <c r="K494" s="60"/>
      <c r="L494" s="60"/>
      <c r="M494" s="60"/>
      <c r="N494" s="60">
        <f t="shared" si="150"/>
        <v>0</v>
      </c>
      <c r="O494" s="60">
        <f t="shared" si="151"/>
        <v>0</v>
      </c>
    </row>
    <row r="495" spans="1:15" s="38" customFormat="1" ht="10.7" hidden="1" customHeight="1" outlineLevel="1" x14ac:dyDescent="0.25">
      <c r="A495" s="124"/>
      <c r="B495" s="142"/>
      <c r="C495" s="115"/>
      <c r="D495" s="115"/>
      <c r="E495" s="115"/>
      <c r="F495" s="115"/>
      <c r="G495" s="60" t="s">
        <v>130</v>
      </c>
      <c r="H495" s="124"/>
      <c r="I495" s="124"/>
      <c r="J495" s="60"/>
      <c r="K495" s="60"/>
      <c r="L495" s="60"/>
      <c r="M495" s="60"/>
      <c r="N495" s="60">
        <f t="shared" si="150"/>
        <v>0</v>
      </c>
      <c r="O495" s="60">
        <f t="shared" si="151"/>
        <v>0</v>
      </c>
    </row>
    <row r="496" spans="1:15" s="38" customFormat="1" ht="12" hidden="1" customHeight="1" outlineLevel="1" thickBot="1" x14ac:dyDescent="0.3">
      <c r="A496" s="125"/>
      <c r="B496" s="143"/>
      <c r="C496" s="131"/>
      <c r="D496" s="131"/>
      <c r="E496" s="131"/>
      <c r="F496" s="131"/>
      <c r="G496" s="60" t="s">
        <v>131</v>
      </c>
      <c r="H496" s="134"/>
      <c r="I496" s="134"/>
      <c r="J496" s="60"/>
      <c r="K496" s="60"/>
      <c r="L496" s="60"/>
      <c r="M496" s="60"/>
      <c r="N496" s="60">
        <f t="shared" si="150"/>
        <v>0</v>
      </c>
      <c r="O496" s="60">
        <f t="shared" si="151"/>
        <v>0</v>
      </c>
    </row>
    <row r="497" spans="1:15" s="38" customFormat="1" ht="14.45" hidden="1" customHeight="1" outlineLevel="1" x14ac:dyDescent="0.25">
      <c r="A497" s="140" t="s">
        <v>491</v>
      </c>
      <c r="B497" s="141" t="s">
        <v>559</v>
      </c>
      <c r="C497" s="130">
        <f>SUM(N497:N503)</f>
        <v>0</v>
      </c>
      <c r="D497" s="130">
        <f>SUM(O497:O503)</f>
        <v>0</v>
      </c>
      <c r="E497" s="130">
        <f t="shared" si="147"/>
        <v>0</v>
      </c>
      <c r="F497" s="130"/>
      <c r="G497" s="60" t="s">
        <v>125</v>
      </c>
      <c r="H497" s="123"/>
      <c r="I497" s="123"/>
      <c r="J497" s="60"/>
      <c r="K497" s="60"/>
      <c r="L497" s="60"/>
      <c r="M497" s="60"/>
      <c r="N497" s="60">
        <f>M497*J497*K497*L497</f>
        <v>0</v>
      </c>
      <c r="O497" s="60">
        <f>J497*K497*L497</f>
        <v>0</v>
      </c>
    </row>
    <row r="498" spans="1:15" s="38" customFormat="1" ht="11.45" hidden="1" customHeight="1" outlineLevel="1" x14ac:dyDescent="0.25">
      <c r="A498" s="124"/>
      <c r="B498" s="142"/>
      <c r="C498" s="115"/>
      <c r="D498" s="115"/>
      <c r="E498" s="115"/>
      <c r="F498" s="115"/>
      <c r="G498" s="60" t="s">
        <v>126</v>
      </c>
      <c r="H498" s="124"/>
      <c r="I498" s="124"/>
      <c r="J498" s="60"/>
      <c r="K498" s="60"/>
      <c r="L498" s="60"/>
      <c r="M498" s="60"/>
      <c r="N498" s="60">
        <f t="shared" ref="N498:N503" si="152">M498*J498*K498*L498</f>
        <v>0</v>
      </c>
      <c r="O498" s="60">
        <f t="shared" ref="O498:O503" si="153">J498*K498*L498</f>
        <v>0</v>
      </c>
    </row>
    <row r="499" spans="1:15" s="38" customFormat="1" ht="10.7" hidden="1" customHeight="1" outlineLevel="1" x14ac:dyDescent="0.25">
      <c r="A499" s="124"/>
      <c r="B499" s="142"/>
      <c r="C499" s="115"/>
      <c r="D499" s="115"/>
      <c r="E499" s="115"/>
      <c r="F499" s="115"/>
      <c r="G499" s="60" t="s">
        <v>127</v>
      </c>
      <c r="H499" s="124"/>
      <c r="I499" s="124"/>
      <c r="J499" s="60"/>
      <c r="K499" s="60"/>
      <c r="L499" s="60"/>
      <c r="M499" s="60"/>
      <c r="N499" s="60">
        <f t="shared" si="152"/>
        <v>0</v>
      </c>
      <c r="O499" s="60">
        <f t="shared" si="153"/>
        <v>0</v>
      </c>
    </row>
    <row r="500" spans="1:15" s="38" customFormat="1" ht="10.7" hidden="1" customHeight="1" outlineLevel="1" x14ac:dyDescent="0.25">
      <c r="A500" s="124"/>
      <c r="B500" s="142"/>
      <c r="C500" s="115"/>
      <c r="D500" s="115"/>
      <c r="E500" s="115"/>
      <c r="F500" s="115"/>
      <c r="G500" s="60" t="s">
        <v>128</v>
      </c>
      <c r="H500" s="124"/>
      <c r="I500" s="124"/>
      <c r="J500" s="60"/>
      <c r="K500" s="60"/>
      <c r="L500" s="60"/>
      <c r="M500" s="60"/>
      <c r="N500" s="60">
        <f t="shared" si="152"/>
        <v>0</v>
      </c>
      <c r="O500" s="60">
        <f t="shared" si="153"/>
        <v>0</v>
      </c>
    </row>
    <row r="501" spans="1:15" s="38" customFormat="1" ht="10.7" hidden="1" customHeight="1" outlineLevel="1" x14ac:dyDescent="0.25">
      <c r="A501" s="124"/>
      <c r="B501" s="142"/>
      <c r="C501" s="115"/>
      <c r="D501" s="115"/>
      <c r="E501" s="115"/>
      <c r="F501" s="115"/>
      <c r="G501" s="60" t="s">
        <v>129</v>
      </c>
      <c r="H501" s="124"/>
      <c r="I501" s="124"/>
      <c r="J501" s="60"/>
      <c r="K501" s="60"/>
      <c r="L501" s="60"/>
      <c r="M501" s="60"/>
      <c r="N501" s="60">
        <f t="shared" si="152"/>
        <v>0</v>
      </c>
      <c r="O501" s="60">
        <f t="shared" si="153"/>
        <v>0</v>
      </c>
    </row>
    <row r="502" spans="1:15" s="38" customFormat="1" ht="10.7" hidden="1" customHeight="1" outlineLevel="1" x14ac:dyDescent="0.25">
      <c r="A502" s="124"/>
      <c r="B502" s="142"/>
      <c r="C502" s="115"/>
      <c r="D502" s="115"/>
      <c r="E502" s="115"/>
      <c r="F502" s="115"/>
      <c r="G502" s="60" t="s">
        <v>130</v>
      </c>
      <c r="H502" s="124"/>
      <c r="I502" s="124"/>
      <c r="J502" s="60"/>
      <c r="K502" s="60"/>
      <c r="L502" s="60"/>
      <c r="M502" s="60"/>
      <c r="N502" s="60">
        <f t="shared" si="152"/>
        <v>0</v>
      </c>
      <c r="O502" s="60">
        <f t="shared" si="153"/>
        <v>0</v>
      </c>
    </row>
    <row r="503" spans="1:15" s="38" customFormat="1" ht="12" hidden="1" customHeight="1" outlineLevel="1" thickBot="1" x14ac:dyDescent="0.3">
      <c r="A503" s="125"/>
      <c r="B503" s="143"/>
      <c r="C503" s="131"/>
      <c r="D503" s="131"/>
      <c r="E503" s="131"/>
      <c r="F503" s="131"/>
      <c r="G503" s="60" t="s">
        <v>131</v>
      </c>
      <c r="H503" s="134"/>
      <c r="I503" s="134"/>
      <c r="J503" s="60"/>
      <c r="K503" s="60"/>
      <c r="L503" s="60"/>
      <c r="M503" s="60"/>
      <c r="N503" s="60">
        <f t="shared" si="152"/>
        <v>0</v>
      </c>
      <c r="O503" s="60">
        <f t="shared" si="153"/>
        <v>0</v>
      </c>
    </row>
    <row r="504" spans="1:15" s="38" customFormat="1" ht="14.45" hidden="1" customHeight="1" outlineLevel="1" x14ac:dyDescent="0.25">
      <c r="A504" s="140" t="s">
        <v>493</v>
      </c>
      <c r="B504" s="141" t="s">
        <v>560</v>
      </c>
      <c r="C504" s="130">
        <f>SUM(N504:N510)</f>
        <v>0</v>
      </c>
      <c r="D504" s="130">
        <f>SUM(O504:O510)</f>
        <v>0</v>
      </c>
      <c r="E504" s="130">
        <f t="shared" si="147"/>
        <v>0</v>
      </c>
      <c r="F504" s="130"/>
      <c r="G504" s="60" t="s">
        <v>125</v>
      </c>
      <c r="H504" s="123"/>
      <c r="I504" s="123"/>
      <c r="J504" s="60"/>
      <c r="K504" s="60"/>
      <c r="L504" s="60"/>
      <c r="M504" s="60"/>
      <c r="N504" s="60">
        <f>M504*J504*K504*L504</f>
        <v>0</v>
      </c>
      <c r="O504" s="60">
        <f>J504*K504*L504</f>
        <v>0</v>
      </c>
    </row>
    <row r="505" spans="1:15" s="38" customFormat="1" ht="11.45" hidden="1" customHeight="1" outlineLevel="1" x14ac:dyDescent="0.25">
      <c r="A505" s="124"/>
      <c r="B505" s="142"/>
      <c r="C505" s="115"/>
      <c r="D505" s="115"/>
      <c r="E505" s="115"/>
      <c r="F505" s="115"/>
      <c r="G505" s="60" t="s">
        <v>126</v>
      </c>
      <c r="H505" s="124"/>
      <c r="I505" s="124"/>
      <c r="J505" s="60"/>
      <c r="K505" s="60"/>
      <c r="L505" s="60"/>
      <c r="M505" s="60"/>
      <c r="N505" s="60">
        <f t="shared" ref="N505:N510" si="154">M505*J505*K505*L505</f>
        <v>0</v>
      </c>
      <c r="O505" s="60">
        <f t="shared" ref="O505:O510" si="155">J505*K505*L505</f>
        <v>0</v>
      </c>
    </row>
    <row r="506" spans="1:15" s="38" customFormat="1" ht="10.7" hidden="1" customHeight="1" outlineLevel="1" x14ac:dyDescent="0.25">
      <c r="A506" s="124"/>
      <c r="B506" s="142"/>
      <c r="C506" s="115"/>
      <c r="D506" s="115"/>
      <c r="E506" s="115"/>
      <c r="F506" s="115"/>
      <c r="G506" s="60" t="s">
        <v>127</v>
      </c>
      <c r="H506" s="124"/>
      <c r="I506" s="124"/>
      <c r="J506" s="60"/>
      <c r="K506" s="60"/>
      <c r="L506" s="60"/>
      <c r="M506" s="60"/>
      <c r="N506" s="60">
        <f t="shared" si="154"/>
        <v>0</v>
      </c>
      <c r="O506" s="60">
        <f t="shared" si="155"/>
        <v>0</v>
      </c>
    </row>
    <row r="507" spans="1:15" s="38" customFormat="1" ht="10.7" hidden="1" customHeight="1" outlineLevel="1" x14ac:dyDescent="0.25">
      <c r="A507" s="124"/>
      <c r="B507" s="142"/>
      <c r="C507" s="115"/>
      <c r="D507" s="115"/>
      <c r="E507" s="115"/>
      <c r="F507" s="115"/>
      <c r="G507" s="60" t="s">
        <v>128</v>
      </c>
      <c r="H507" s="124"/>
      <c r="I507" s="124"/>
      <c r="J507" s="60"/>
      <c r="K507" s="60"/>
      <c r="L507" s="60"/>
      <c r="M507" s="60"/>
      <c r="N507" s="60">
        <f t="shared" si="154"/>
        <v>0</v>
      </c>
      <c r="O507" s="60">
        <f t="shared" si="155"/>
        <v>0</v>
      </c>
    </row>
    <row r="508" spans="1:15" s="38" customFormat="1" ht="10.7" hidden="1" customHeight="1" outlineLevel="1" x14ac:dyDescent="0.25">
      <c r="A508" s="124"/>
      <c r="B508" s="142"/>
      <c r="C508" s="115"/>
      <c r="D508" s="115"/>
      <c r="E508" s="115"/>
      <c r="F508" s="115"/>
      <c r="G508" s="60" t="s">
        <v>129</v>
      </c>
      <c r="H508" s="124"/>
      <c r="I508" s="124"/>
      <c r="J508" s="60"/>
      <c r="K508" s="60"/>
      <c r="L508" s="60"/>
      <c r="M508" s="60"/>
      <c r="N508" s="60">
        <f t="shared" si="154"/>
        <v>0</v>
      </c>
      <c r="O508" s="60">
        <f t="shared" si="155"/>
        <v>0</v>
      </c>
    </row>
    <row r="509" spans="1:15" s="38" customFormat="1" ht="10.7" hidden="1" customHeight="1" outlineLevel="1" x14ac:dyDescent="0.25">
      <c r="A509" s="124"/>
      <c r="B509" s="142"/>
      <c r="C509" s="115"/>
      <c r="D509" s="115"/>
      <c r="E509" s="115"/>
      <c r="F509" s="115"/>
      <c r="G509" s="60" t="s">
        <v>130</v>
      </c>
      <c r="H509" s="124"/>
      <c r="I509" s="124"/>
      <c r="J509" s="60"/>
      <c r="K509" s="60"/>
      <c r="L509" s="60"/>
      <c r="M509" s="60"/>
      <c r="N509" s="60">
        <f t="shared" si="154"/>
        <v>0</v>
      </c>
      <c r="O509" s="60">
        <f t="shared" si="155"/>
        <v>0</v>
      </c>
    </row>
    <row r="510" spans="1:15" s="38" customFormat="1" ht="12" hidden="1" customHeight="1" outlineLevel="1" thickBot="1" x14ac:dyDescent="0.3">
      <c r="A510" s="125"/>
      <c r="B510" s="143"/>
      <c r="C510" s="131"/>
      <c r="D510" s="131"/>
      <c r="E510" s="131"/>
      <c r="F510" s="131"/>
      <c r="G510" s="60" t="s">
        <v>131</v>
      </c>
      <c r="H510" s="134"/>
      <c r="I510" s="134"/>
      <c r="J510" s="60"/>
      <c r="K510" s="60"/>
      <c r="L510" s="60"/>
      <c r="M510" s="60"/>
      <c r="N510" s="60">
        <f t="shared" si="154"/>
        <v>0</v>
      </c>
      <c r="O510" s="60">
        <f t="shared" si="155"/>
        <v>0</v>
      </c>
    </row>
    <row r="511" spans="1:15" s="38" customFormat="1" ht="14.45" hidden="1" customHeight="1" outlineLevel="1" x14ac:dyDescent="0.25">
      <c r="A511" s="140" t="s">
        <v>495</v>
      </c>
      <c r="B511" s="141" t="s">
        <v>561</v>
      </c>
      <c r="C511" s="130">
        <f>SUM(N511:N517)</f>
        <v>0</v>
      </c>
      <c r="D511" s="130">
        <f>SUM(O511:O517)</f>
        <v>0</v>
      </c>
      <c r="E511" s="130">
        <f t="shared" si="147"/>
        <v>0</v>
      </c>
      <c r="F511" s="130"/>
      <c r="G511" s="60" t="s">
        <v>125</v>
      </c>
      <c r="H511" s="123"/>
      <c r="I511" s="123"/>
      <c r="J511" s="60"/>
      <c r="K511" s="60"/>
      <c r="L511" s="60"/>
      <c r="M511" s="60"/>
      <c r="N511" s="60">
        <f>M511*J511*K511*L511</f>
        <v>0</v>
      </c>
      <c r="O511" s="60">
        <f>J511*K511*L511</f>
        <v>0</v>
      </c>
    </row>
    <row r="512" spans="1:15" s="38" customFormat="1" ht="11.45" hidden="1" customHeight="1" outlineLevel="1" x14ac:dyDescent="0.25">
      <c r="A512" s="124"/>
      <c r="B512" s="142"/>
      <c r="C512" s="115"/>
      <c r="D512" s="115"/>
      <c r="E512" s="115"/>
      <c r="F512" s="115"/>
      <c r="G512" s="60" t="s">
        <v>126</v>
      </c>
      <c r="H512" s="124"/>
      <c r="I512" s="124"/>
      <c r="J512" s="60"/>
      <c r="K512" s="60"/>
      <c r="L512" s="60"/>
      <c r="M512" s="60"/>
      <c r="N512" s="60">
        <f t="shared" ref="N512:N517" si="156">M512*J512*K512*L512</f>
        <v>0</v>
      </c>
      <c r="O512" s="60">
        <f t="shared" ref="O512:O517" si="157">J512*K512*L512</f>
        <v>0</v>
      </c>
    </row>
    <row r="513" spans="1:15" s="38" customFormat="1" ht="10.7" hidden="1" customHeight="1" outlineLevel="1" x14ac:dyDescent="0.25">
      <c r="A513" s="124"/>
      <c r="B513" s="142"/>
      <c r="C513" s="115"/>
      <c r="D513" s="115"/>
      <c r="E513" s="115"/>
      <c r="F513" s="115"/>
      <c r="G513" s="60" t="s">
        <v>127</v>
      </c>
      <c r="H513" s="124"/>
      <c r="I513" s="124"/>
      <c r="J513" s="60"/>
      <c r="K513" s="60"/>
      <c r="L513" s="60"/>
      <c r="M513" s="60"/>
      <c r="N513" s="60">
        <f t="shared" si="156"/>
        <v>0</v>
      </c>
      <c r="O513" s="60">
        <f t="shared" si="157"/>
        <v>0</v>
      </c>
    </row>
    <row r="514" spans="1:15" s="38" customFormat="1" ht="10.7" hidden="1" customHeight="1" outlineLevel="1" x14ac:dyDescent="0.25">
      <c r="A514" s="124"/>
      <c r="B514" s="142"/>
      <c r="C514" s="115"/>
      <c r="D514" s="115"/>
      <c r="E514" s="115"/>
      <c r="F514" s="115"/>
      <c r="G514" s="60" t="s">
        <v>128</v>
      </c>
      <c r="H514" s="124"/>
      <c r="I514" s="124"/>
      <c r="J514" s="60"/>
      <c r="K514" s="60"/>
      <c r="L514" s="60"/>
      <c r="M514" s="60"/>
      <c r="N514" s="60">
        <f t="shared" si="156"/>
        <v>0</v>
      </c>
      <c r="O514" s="60">
        <f t="shared" si="157"/>
        <v>0</v>
      </c>
    </row>
    <row r="515" spans="1:15" s="38" customFormat="1" ht="10.7" hidden="1" customHeight="1" outlineLevel="1" x14ac:dyDescent="0.25">
      <c r="A515" s="124"/>
      <c r="B515" s="142"/>
      <c r="C515" s="115"/>
      <c r="D515" s="115"/>
      <c r="E515" s="115"/>
      <c r="F515" s="115"/>
      <c r="G515" s="60" t="s">
        <v>129</v>
      </c>
      <c r="H515" s="124"/>
      <c r="I515" s="124"/>
      <c r="J515" s="60"/>
      <c r="K515" s="60"/>
      <c r="L515" s="60"/>
      <c r="M515" s="60"/>
      <c r="N515" s="60">
        <f t="shared" si="156"/>
        <v>0</v>
      </c>
      <c r="O515" s="60">
        <f t="shared" si="157"/>
        <v>0</v>
      </c>
    </row>
    <row r="516" spans="1:15" s="38" customFormat="1" ht="10.7" hidden="1" customHeight="1" outlineLevel="1" x14ac:dyDescent="0.25">
      <c r="A516" s="124"/>
      <c r="B516" s="142"/>
      <c r="C516" s="115"/>
      <c r="D516" s="115"/>
      <c r="E516" s="115"/>
      <c r="F516" s="115"/>
      <c r="G516" s="60" t="s">
        <v>130</v>
      </c>
      <c r="H516" s="124"/>
      <c r="I516" s="124"/>
      <c r="J516" s="60"/>
      <c r="K516" s="60"/>
      <c r="L516" s="60"/>
      <c r="M516" s="60"/>
      <c r="N516" s="60">
        <f t="shared" si="156"/>
        <v>0</v>
      </c>
      <c r="O516" s="60">
        <f t="shared" si="157"/>
        <v>0</v>
      </c>
    </row>
    <row r="517" spans="1:15" s="38" customFormat="1" ht="12" hidden="1" customHeight="1" outlineLevel="1" thickBot="1" x14ac:dyDescent="0.3">
      <c r="A517" s="125"/>
      <c r="B517" s="143"/>
      <c r="C517" s="131"/>
      <c r="D517" s="131"/>
      <c r="E517" s="131"/>
      <c r="F517" s="131"/>
      <c r="G517" s="60" t="s">
        <v>131</v>
      </c>
      <c r="H517" s="134"/>
      <c r="I517" s="134"/>
      <c r="J517" s="60"/>
      <c r="K517" s="60"/>
      <c r="L517" s="60"/>
      <c r="M517" s="60"/>
      <c r="N517" s="60">
        <f t="shared" si="156"/>
        <v>0</v>
      </c>
      <c r="O517" s="60">
        <f t="shared" si="157"/>
        <v>0</v>
      </c>
    </row>
    <row r="518" spans="1:15" s="38" customFormat="1" hidden="1" outlineLevel="1" x14ac:dyDescent="0.25">
      <c r="A518" s="44" t="s">
        <v>497</v>
      </c>
      <c r="B518" s="54" t="s">
        <v>562</v>
      </c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60"/>
    </row>
    <row r="519" spans="1:15" s="38" customFormat="1" hidden="1" outlineLevel="1" x14ac:dyDescent="0.25">
      <c r="A519" s="44" t="s">
        <v>499</v>
      </c>
      <c r="B519" s="54" t="s">
        <v>563</v>
      </c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60"/>
    </row>
    <row r="520" spans="1:15" s="38" customFormat="1" ht="14.45" hidden="1" customHeight="1" outlineLevel="1" x14ac:dyDescent="0.25">
      <c r="A520" s="140" t="s">
        <v>501</v>
      </c>
      <c r="B520" s="141" t="s">
        <v>564</v>
      </c>
      <c r="C520" s="130">
        <f>SUM(N520:N526)</f>
        <v>0</v>
      </c>
      <c r="D520" s="130">
        <f>SUM(O520:O526)</f>
        <v>0</v>
      </c>
      <c r="E520" s="130">
        <f t="shared" ref="E520:E583" si="158">D520/8</f>
        <v>0</v>
      </c>
      <c r="F520" s="130"/>
      <c r="G520" s="60" t="s">
        <v>125</v>
      </c>
      <c r="H520" s="123"/>
      <c r="I520" s="123"/>
      <c r="J520" s="60"/>
      <c r="K520" s="60"/>
      <c r="L520" s="60"/>
      <c r="M520" s="60"/>
      <c r="N520" s="60">
        <f>M520*J520*K520*L520</f>
        <v>0</v>
      </c>
      <c r="O520" s="60">
        <f>J520*K520*L520</f>
        <v>0</v>
      </c>
    </row>
    <row r="521" spans="1:15" s="38" customFormat="1" ht="11.45" hidden="1" customHeight="1" outlineLevel="1" x14ac:dyDescent="0.25">
      <c r="A521" s="124"/>
      <c r="B521" s="142"/>
      <c r="C521" s="115"/>
      <c r="D521" s="115"/>
      <c r="E521" s="115"/>
      <c r="F521" s="115"/>
      <c r="G521" s="60" t="s">
        <v>126</v>
      </c>
      <c r="H521" s="124"/>
      <c r="I521" s="124"/>
      <c r="J521" s="60"/>
      <c r="K521" s="60"/>
      <c r="L521" s="60"/>
      <c r="M521" s="60"/>
      <c r="N521" s="60">
        <f t="shared" ref="N521:N526" si="159">M521*J521*K521*L521</f>
        <v>0</v>
      </c>
      <c r="O521" s="60">
        <f t="shared" ref="O521:O526" si="160">J521*K521*L521</f>
        <v>0</v>
      </c>
    </row>
    <row r="522" spans="1:15" s="38" customFormat="1" ht="10.7" hidden="1" customHeight="1" outlineLevel="1" x14ac:dyDescent="0.25">
      <c r="A522" s="124"/>
      <c r="B522" s="142"/>
      <c r="C522" s="115"/>
      <c r="D522" s="115"/>
      <c r="E522" s="115"/>
      <c r="F522" s="115"/>
      <c r="G522" s="60" t="s">
        <v>127</v>
      </c>
      <c r="H522" s="124"/>
      <c r="I522" s="124"/>
      <c r="J522" s="60"/>
      <c r="K522" s="60"/>
      <c r="L522" s="60"/>
      <c r="M522" s="60"/>
      <c r="N522" s="60">
        <f t="shared" si="159"/>
        <v>0</v>
      </c>
      <c r="O522" s="60">
        <f t="shared" si="160"/>
        <v>0</v>
      </c>
    </row>
    <row r="523" spans="1:15" s="38" customFormat="1" ht="10.7" hidden="1" customHeight="1" outlineLevel="1" x14ac:dyDescent="0.25">
      <c r="A523" s="124"/>
      <c r="B523" s="142"/>
      <c r="C523" s="115"/>
      <c r="D523" s="115"/>
      <c r="E523" s="115"/>
      <c r="F523" s="115"/>
      <c r="G523" s="60" t="s">
        <v>128</v>
      </c>
      <c r="H523" s="124"/>
      <c r="I523" s="124"/>
      <c r="J523" s="60"/>
      <c r="K523" s="60"/>
      <c r="L523" s="60"/>
      <c r="M523" s="60"/>
      <c r="N523" s="60">
        <f t="shared" si="159"/>
        <v>0</v>
      </c>
      <c r="O523" s="60">
        <f t="shared" si="160"/>
        <v>0</v>
      </c>
    </row>
    <row r="524" spans="1:15" s="38" customFormat="1" ht="10.7" hidden="1" customHeight="1" outlineLevel="1" x14ac:dyDescent="0.25">
      <c r="A524" s="124"/>
      <c r="B524" s="142"/>
      <c r="C524" s="115"/>
      <c r="D524" s="115"/>
      <c r="E524" s="115"/>
      <c r="F524" s="115"/>
      <c r="G524" s="60" t="s">
        <v>129</v>
      </c>
      <c r="H524" s="124"/>
      <c r="I524" s="124"/>
      <c r="J524" s="60"/>
      <c r="K524" s="60"/>
      <c r="L524" s="60"/>
      <c r="M524" s="60"/>
      <c r="N524" s="60">
        <f t="shared" si="159"/>
        <v>0</v>
      </c>
      <c r="O524" s="60">
        <f t="shared" si="160"/>
        <v>0</v>
      </c>
    </row>
    <row r="525" spans="1:15" s="38" customFormat="1" ht="10.7" hidden="1" customHeight="1" outlineLevel="1" x14ac:dyDescent="0.25">
      <c r="A525" s="124"/>
      <c r="B525" s="142"/>
      <c r="C525" s="115"/>
      <c r="D525" s="115"/>
      <c r="E525" s="115"/>
      <c r="F525" s="115"/>
      <c r="G525" s="60" t="s">
        <v>130</v>
      </c>
      <c r="H525" s="124"/>
      <c r="I525" s="124"/>
      <c r="J525" s="60"/>
      <c r="K525" s="60"/>
      <c r="L525" s="60"/>
      <c r="M525" s="60"/>
      <c r="N525" s="60">
        <f t="shared" si="159"/>
        <v>0</v>
      </c>
      <c r="O525" s="60">
        <f t="shared" si="160"/>
        <v>0</v>
      </c>
    </row>
    <row r="526" spans="1:15" s="38" customFormat="1" ht="12" hidden="1" customHeight="1" outlineLevel="1" thickBot="1" x14ac:dyDescent="0.3">
      <c r="A526" s="125"/>
      <c r="B526" s="143"/>
      <c r="C526" s="131"/>
      <c r="D526" s="131"/>
      <c r="E526" s="131"/>
      <c r="F526" s="131"/>
      <c r="G526" s="60" t="s">
        <v>131</v>
      </c>
      <c r="H526" s="134"/>
      <c r="I526" s="134"/>
      <c r="J526" s="60"/>
      <c r="K526" s="60"/>
      <c r="L526" s="60"/>
      <c r="M526" s="60"/>
      <c r="N526" s="60">
        <f t="shared" si="159"/>
        <v>0</v>
      </c>
      <c r="O526" s="60">
        <f t="shared" si="160"/>
        <v>0</v>
      </c>
    </row>
    <row r="527" spans="1:15" s="38" customFormat="1" ht="14.45" hidden="1" customHeight="1" outlineLevel="1" x14ac:dyDescent="0.25">
      <c r="A527" s="140" t="s">
        <v>503</v>
      </c>
      <c r="B527" s="141" t="s">
        <v>294</v>
      </c>
      <c r="C527" s="130">
        <f>SUM(N527:N533)</f>
        <v>0</v>
      </c>
      <c r="D527" s="130">
        <f>SUM(O527:O533)</f>
        <v>0</v>
      </c>
      <c r="E527" s="130">
        <f t="shared" si="158"/>
        <v>0</v>
      </c>
      <c r="F527" s="130"/>
      <c r="G527" s="60" t="s">
        <v>125</v>
      </c>
      <c r="H527" s="123"/>
      <c r="I527" s="123"/>
      <c r="J527" s="60"/>
      <c r="K527" s="60"/>
      <c r="L527" s="60"/>
      <c r="M527" s="60"/>
      <c r="N527" s="60">
        <f>M527*J527*K527*L527</f>
        <v>0</v>
      </c>
      <c r="O527" s="60">
        <f>J527*K527*L527</f>
        <v>0</v>
      </c>
    </row>
    <row r="528" spans="1:15" s="38" customFormat="1" ht="11.45" hidden="1" customHeight="1" outlineLevel="1" x14ac:dyDescent="0.25">
      <c r="A528" s="124"/>
      <c r="B528" s="142"/>
      <c r="C528" s="115"/>
      <c r="D528" s="115"/>
      <c r="E528" s="115"/>
      <c r="F528" s="115"/>
      <c r="G528" s="60" t="s">
        <v>126</v>
      </c>
      <c r="H528" s="124"/>
      <c r="I528" s="124"/>
      <c r="J528" s="60"/>
      <c r="K528" s="60"/>
      <c r="L528" s="60"/>
      <c r="M528" s="60"/>
      <c r="N528" s="60">
        <f t="shared" ref="N528:N533" si="161">M528*J528*K528*L528</f>
        <v>0</v>
      </c>
      <c r="O528" s="60">
        <f t="shared" ref="O528:O533" si="162">J528*K528*L528</f>
        <v>0</v>
      </c>
    </row>
    <row r="529" spans="1:15" s="38" customFormat="1" ht="10.7" hidden="1" customHeight="1" outlineLevel="1" x14ac:dyDescent="0.25">
      <c r="A529" s="124"/>
      <c r="B529" s="142"/>
      <c r="C529" s="115"/>
      <c r="D529" s="115"/>
      <c r="E529" s="115"/>
      <c r="F529" s="115"/>
      <c r="G529" s="60" t="s">
        <v>127</v>
      </c>
      <c r="H529" s="124"/>
      <c r="I529" s="124"/>
      <c r="J529" s="60"/>
      <c r="K529" s="60"/>
      <c r="L529" s="60"/>
      <c r="M529" s="60"/>
      <c r="N529" s="60">
        <f t="shared" si="161"/>
        <v>0</v>
      </c>
      <c r="O529" s="60">
        <f t="shared" si="162"/>
        <v>0</v>
      </c>
    </row>
    <row r="530" spans="1:15" s="38" customFormat="1" ht="10.7" hidden="1" customHeight="1" outlineLevel="1" x14ac:dyDescent="0.25">
      <c r="A530" s="124"/>
      <c r="B530" s="142"/>
      <c r="C530" s="115"/>
      <c r="D530" s="115"/>
      <c r="E530" s="115"/>
      <c r="F530" s="115"/>
      <c r="G530" s="60" t="s">
        <v>128</v>
      </c>
      <c r="H530" s="124"/>
      <c r="I530" s="124"/>
      <c r="J530" s="60"/>
      <c r="K530" s="60"/>
      <c r="L530" s="60"/>
      <c r="M530" s="60"/>
      <c r="N530" s="60">
        <f t="shared" si="161"/>
        <v>0</v>
      </c>
      <c r="O530" s="60">
        <f t="shared" si="162"/>
        <v>0</v>
      </c>
    </row>
    <row r="531" spans="1:15" s="38" customFormat="1" ht="10.7" hidden="1" customHeight="1" outlineLevel="1" x14ac:dyDescent="0.25">
      <c r="A531" s="124"/>
      <c r="B531" s="142"/>
      <c r="C531" s="115"/>
      <c r="D531" s="115"/>
      <c r="E531" s="115"/>
      <c r="F531" s="115"/>
      <c r="G531" s="60" t="s">
        <v>129</v>
      </c>
      <c r="H531" s="124"/>
      <c r="I531" s="124"/>
      <c r="J531" s="60"/>
      <c r="K531" s="60"/>
      <c r="L531" s="60"/>
      <c r="M531" s="60"/>
      <c r="N531" s="60">
        <f t="shared" si="161"/>
        <v>0</v>
      </c>
      <c r="O531" s="60">
        <f t="shared" si="162"/>
        <v>0</v>
      </c>
    </row>
    <row r="532" spans="1:15" s="38" customFormat="1" ht="10.7" hidden="1" customHeight="1" outlineLevel="1" x14ac:dyDescent="0.25">
      <c r="A532" s="124"/>
      <c r="B532" s="142"/>
      <c r="C532" s="115"/>
      <c r="D532" s="115"/>
      <c r="E532" s="115"/>
      <c r="F532" s="115"/>
      <c r="G532" s="60" t="s">
        <v>130</v>
      </c>
      <c r="H532" s="124"/>
      <c r="I532" s="124"/>
      <c r="J532" s="60"/>
      <c r="K532" s="60"/>
      <c r="L532" s="60"/>
      <c r="M532" s="60"/>
      <c r="N532" s="60">
        <f t="shared" si="161"/>
        <v>0</v>
      </c>
      <c r="O532" s="60">
        <f t="shared" si="162"/>
        <v>0</v>
      </c>
    </row>
    <row r="533" spans="1:15" s="38" customFormat="1" ht="12" hidden="1" customHeight="1" outlineLevel="1" thickBot="1" x14ac:dyDescent="0.3">
      <c r="A533" s="125"/>
      <c r="B533" s="143"/>
      <c r="C533" s="131"/>
      <c r="D533" s="131"/>
      <c r="E533" s="131"/>
      <c r="F533" s="131"/>
      <c r="G533" s="60" t="s">
        <v>131</v>
      </c>
      <c r="H533" s="134"/>
      <c r="I533" s="134"/>
      <c r="J533" s="60"/>
      <c r="K533" s="60"/>
      <c r="L533" s="60"/>
      <c r="M533" s="60"/>
      <c r="N533" s="60">
        <f t="shared" si="161"/>
        <v>0</v>
      </c>
      <c r="O533" s="60">
        <f t="shared" si="162"/>
        <v>0</v>
      </c>
    </row>
    <row r="534" spans="1:15" s="38" customFormat="1" ht="14.45" hidden="1" customHeight="1" outlineLevel="1" x14ac:dyDescent="0.25">
      <c r="A534" s="140" t="s">
        <v>505</v>
      </c>
      <c r="B534" s="141" t="s">
        <v>488</v>
      </c>
      <c r="C534" s="130">
        <f>SUM(N534:N540)</f>
        <v>0</v>
      </c>
      <c r="D534" s="130">
        <f>SUM(O534:O540)</f>
        <v>0</v>
      </c>
      <c r="E534" s="130">
        <f t="shared" si="158"/>
        <v>0</v>
      </c>
      <c r="F534" s="130"/>
      <c r="G534" s="60" t="s">
        <v>125</v>
      </c>
      <c r="H534" s="123"/>
      <c r="I534" s="123"/>
      <c r="J534" s="60"/>
      <c r="K534" s="60"/>
      <c r="L534" s="60"/>
      <c r="M534" s="60"/>
      <c r="N534" s="60">
        <f>M534*J534*K534*L534</f>
        <v>0</v>
      </c>
      <c r="O534" s="60">
        <f>J534*K534*L534</f>
        <v>0</v>
      </c>
    </row>
    <row r="535" spans="1:15" s="38" customFormat="1" ht="11.45" hidden="1" customHeight="1" outlineLevel="1" x14ac:dyDescent="0.25">
      <c r="A535" s="124"/>
      <c r="B535" s="142"/>
      <c r="C535" s="115"/>
      <c r="D535" s="115"/>
      <c r="E535" s="115"/>
      <c r="F535" s="115"/>
      <c r="G535" s="60" t="s">
        <v>126</v>
      </c>
      <c r="H535" s="124"/>
      <c r="I535" s="124"/>
      <c r="J535" s="60"/>
      <c r="K535" s="60"/>
      <c r="L535" s="60"/>
      <c r="M535" s="60"/>
      <c r="N535" s="60">
        <f t="shared" ref="N535:N540" si="163">M535*J535*K535*L535</f>
        <v>0</v>
      </c>
      <c r="O535" s="60">
        <f t="shared" ref="O535:O540" si="164">J535*K535*L535</f>
        <v>0</v>
      </c>
    </row>
    <row r="536" spans="1:15" s="38" customFormat="1" ht="10.7" hidden="1" customHeight="1" outlineLevel="1" x14ac:dyDescent="0.25">
      <c r="A536" s="124"/>
      <c r="B536" s="142"/>
      <c r="C536" s="115"/>
      <c r="D536" s="115"/>
      <c r="E536" s="115"/>
      <c r="F536" s="115"/>
      <c r="G536" s="60" t="s">
        <v>127</v>
      </c>
      <c r="H536" s="124"/>
      <c r="I536" s="124"/>
      <c r="J536" s="60"/>
      <c r="K536" s="60"/>
      <c r="L536" s="60"/>
      <c r="M536" s="60"/>
      <c r="N536" s="60">
        <f t="shared" si="163"/>
        <v>0</v>
      </c>
      <c r="O536" s="60">
        <f t="shared" si="164"/>
        <v>0</v>
      </c>
    </row>
    <row r="537" spans="1:15" s="38" customFormat="1" ht="10.7" hidden="1" customHeight="1" outlineLevel="1" x14ac:dyDescent="0.25">
      <c r="A537" s="124"/>
      <c r="B537" s="142"/>
      <c r="C537" s="115"/>
      <c r="D537" s="115"/>
      <c r="E537" s="115"/>
      <c r="F537" s="115"/>
      <c r="G537" s="60" t="s">
        <v>128</v>
      </c>
      <c r="H537" s="124"/>
      <c r="I537" s="124"/>
      <c r="J537" s="60"/>
      <c r="K537" s="60"/>
      <c r="L537" s="60"/>
      <c r="M537" s="60"/>
      <c r="N537" s="60">
        <f t="shared" si="163"/>
        <v>0</v>
      </c>
      <c r="O537" s="60">
        <f t="shared" si="164"/>
        <v>0</v>
      </c>
    </row>
    <row r="538" spans="1:15" s="38" customFormat="1" ht="10.7" hidden="1" customHeight="1" outlineLevel="1" x14ac:dyDescent="0.25">
      <c r="A538" s="124"/>
      <c r="B538" s="142"/>
      <c r="C538" s="115"/>
      <c r="D538" s="115"/>
      <c r="E538" s="115"/>
      <c r="F538" s="115"/>
      <c r="G538" s="60" t="s">
        <v>129</v>
      </c>
      <c r="H538" s="124"/>
      <c r="I538" s="124"/>
      <c r="J538" s="60"/>
      <c r="K538" s="60"/>
      <c r="L538" s="60"/>
      <c r="M538" s="60"/>
      <c r="N538" s="60">
        <f t="shared" si="163"/>
        <v>0</v>
      </c>
      <c r="O538" s="60">
        <f t="shared" si="164"/>
        <v>0</v>
      </c>
    </row>
    <row r="539" spans="1:15" s="38" customFormat="1" ht="10.7" hidden="1" customHeight="1" outlineLevel="1" x14ac:dyDescent="0.25">
      <c r="A539" s="124"/>
      <c r="B539" s="142"/>
      <c r="C539" s="115"/>
      <c r="D539" s="115"/>
      <c r="E539" s="115"/>
      <c r="F539" s="115"/>
      <c r="G539" s="60" t="s">
        <v>130</v>
      </c>
      <c r="H539" s="124"/>
      <c r="I539" s="124"/>
      <c r="J539" s="60"/>
      <c r="K539" s="60"/>
      <c r="L539" s="60"/>
      <c r="M539" s="60"/>
      <c r="N539" s="60">
        <f t="shared" si="163"/>
        <v>0</v>
      </c>
      <c r="O539" s="60">
        <f t="shared" si="164"/>
        <v>0</v>
      </c>
    </row>
    <row r="540" spans="1:15" s="38" customFormat="1" ht="12" hidden="1" customHeight="1" outlineLevel="1" thickBot="1" x14ac:dyDescent="0.3">
      <c r="A540" s="125"/>
      <c r="B540" s="143"/>
      <c r="C540" s="131"/>
      <c r="D540" s="131"/>
      <c r="E540" s="131"/>
      <c r="F540" s="131"/>
      <c r="G540" s="60" t="s">
        <v>131</v>
      </c>
      <c r="H540" s="134"/>
      <c r="I540" s="134"/>
      <c r="J540" s="60"/>
      <c r="K540" s="60"/>
      <c r="L540" s="60"/>
      <c r="M540" s="60"/>
      <c r="N540" s="60">
        <f t="shared" si="163"/>
        <v>0</v>
      </c>
      <c r="O540" s="60">
        <f t="shared" si="164"/>
        <v>0</v>
      </c>
    </row>
    <row r="541" spans="1:15" s="38" customFormat="1" ht="14.45" hidden="1" customHeight="1" outlineLevel="1" x14ac:dyDescent="0.25">
      <c r="A541" s="140" t="s">
        <v>507</v>
      </c>
      <c r="B541" s="141" t="s">
        <v>490</v>
      </c>
      <c r="C541" s="130">
        <f>SUM(N541:N547)</f>
        <v>0</v>
      </c>
      <c r="D541" s="130">
        <f>SUM(O541:O547)</f>
        <v>0</v>
      </c>
      <c r="E541" s="130">
        <f t="shared" si="158"/>
        <v>0</v>
      </c>
      <c r="F541" s="130"/>
      <c r="G541" s="60" t="s">
        <v>125</v>
      </c>
      <c r="H541" s="123"/>
      <c r="I541" s="123"/>
      <c r="J541" s="60"/>
      <c r="K541" s="60"/>
      <c r="L541" s="60"/>
      <c r="M541" s="60"/>
      <c r="N541" s="60">
        <f>M541*J541*K541*L541</f>
        <v>0</v>
      </c>
      <c r="O541" s="60">
        <f>J541*K541*L541</f>
        <v>0</v>
      </c>
    </row>
    <row r="542" spans="1:15" s="38" customFormat="1" ht="11.45" hidden="1" customHeight="1" outlineLevel="1" x14ac:dyDescent="0.25">
      <c r="A542" s="124"/>
      <c r="B542" s="142"/>
      <c r="C542" s="115"/>
      <c r="D542" s="115"/>
      <c r="E542" s="115"/>
      <c r="F542" s="115"/>
      <c r="G542" s="60" t="s">
        <v>126</v>
      </c>
      <c r="H542" s="124"/>
      <c r="I542" s="124"/>
      <c r="J542" s="60"/>
      <c r="K542" s="60"/>
      <c r="L542" s="60"/>
      <c r="M542" s="60"/>
      <c r="N542" s="60">
        <f t="shared" ref="N542:N547" si="165">M542*J542*K542*L542</f>
        <v>0</v>
      </c>
      <c r="O542" s="60">
        <f t="shared" ref="O542:O547" si="166">J542*K542*L542</f>
        <v>0</v>
      </c>
    </row>
    <row r="543" spans="1:15" s="38" customFormat="1" ht="10.7" hidden="1" customHeight="1" outlineLevel="1" x14ac:dyDescent="0.25">
      <c r="A543" s="124"/>
      <c r="B543" s="142"/>
      <c r="C543" s="115"/>
      <c r="D543" s="115"/>
      <c r="E543" s="115"/>
      <c r="F543" s="115"/>
      <c r="G543" s="60" t="s">
        <v>127</v>
      </c>
      <c r="H543" s="124"/>
      <c r="I543" s="124"/>
      <c r="J543" s="60"/>
      <c r="K543" s="60"/>
      <c r="L543" s="60"/>
      <c r="M543" s="60"/>
      <c r="N543" s="60">
        <f t="shared" si="165"/>
        <v>0</v>
      </c>
      <c r="O543" s="60">
        <f t="shared" si="166"/>
        <v>0</v>
      </c>
    </row>
    <row r="544" spans="1:15" s="38" customFormat="1" ht="10.7" hidden="1" customHeight="1" outlineLevel="1" x14ac:dyDescent="0.25">
      <c r="A544" s="124"/>
      <c r="B544" s="142"/>
      <c r="C544" s="115"/>
      <c r="D544" s="115"/>
      <c r="E544" s="115"/>
      <c r="F544" s="115"/>
      <c r="G544" s="60" t="s">
        <v>128</v>
      </c>
      <c r="H544" s="124"/>
      <c r="I544" s="124"/>
      <c r="J544" s="60"/>
      <c r="K544" s="60"/>
      <c r="L544" s="60"/>
      <c r="M544" s="60"/>
      <c r="N544" s="60">
        <f t="shared" si="165"/>
        <v>0</v>
      </c>
      <c r="O544" s="60">
        <f t="shared" si="166"/>
        <v>0</v>
      </c>
    </row>
    <row r="545" spans="1:15" s="38" customFormat="1" ht="10.7" hidden="1" customHeight="1" outlineLevel="1" x14ac:dyDescent="0.25">
      <c r="A545" s="124"/>
      <c r="B545" s="142"/>
      <c r="C545" s="115"/>
      <c r="D545" s="115"/>
      <c r="E545" s="115"/>
      <c r="F545" s="115"/>
      <c r="G545" s="60" t="s">
        <v>129</v>
      </c>
      <c r="H545" s="124"/>
      <c r="I545" s="124"/>
      <c r="J545" s="60"/>
      <c r="K545" s="60"/>
      <c r="L545" s="60"/>
      <c r="M545" s="60"/>
      <c r="N545" s="60">
        <f t="shared" si="165"/>
        <v>0</v>
      </c>
      <c r="O545" s="60">
        <f t="shared" si="166"/>
        <v>0</v>
      </c>
    </row>
    <row r="546" spans="1:15" s="38" customFormat="1" ht="10.7" hidden="1" customHeight="1" outlineLevel="1" x14ac:dyDescent="0.25">
      <c r="A546" s="124"/>
      <c r="B546" s="142"/>
      <c r="C546" s="115"/>
      <c r="D546" s="115"/>
      <c r="E546" s="115"/>
      <c r="F546" s="115"/>
      <c r="G546" s="60" t="s">
        <v>130</v>
      </c>
      <c r="H546" s="124"/>
      <c r="I546" s="124"/>
      <c r="J546" s="60"/>
      <c r="K546" s="60"/>
      <c r="L546" s="60"/>
      <c r="M546" s="60"/>
      <c r="N546" s="60">
        <f t="shared" si="165"/>
        <v>0</v>
      </c>
      <c r="O546" s="60">
        <f t="shared" si="166"/>
        <v>0</v>
      </c>
    </row>
    <row r="547" spans="1:15" s="38" customFormat="1" ht="12" hidden="1" customHeight="1" outlineLevel="1" thickBot="1" x14ac:dyDescent="0.3">
      <c r="A547" s="125"/>
      <c r="B547" s="143"/>
      <c r="C547" s="131"/>
      <c r="D547" s="131"/>
      <c r="E547" s="131"/>
      <c r="F547" s="131"/>
      <c r="G547" s="60" t="s">
        <v>131</v>
      </c>
      <c r="H547" s="134"/>
      <c r="I547" s="134"/>
      <c r="J547" s="60"/>
      <c r="K547" s="60"/>
      <c r="L547" s="60"/>
      <c r="M547" s="60"/>
      <c r="N547" s="60">
        <f t="shared" si="165"/>
        <v>0</v>
      </c>
      <c r="O547" s="60">
        <f t="shared" si="166"/>
        <v>0</v>
      </c>
    </row>
    <row r="548" spans="1:15" s="38" customFormat="1" ht="14.45" hidden="1" customHeight="1" outlineLevel="1" x14ac:dyDescent="0.25">
      <c r="A548" s="140" t="s">
        <v>509</v>
      </c>
      <c r="B548" s="141" t="s">
        <v>565</v>
      </c>
      <c r="C548" s="130">
        <f>SUM(N548:N554)</f>
        <v>0</v>
      </c>
      <c r="D548" s="130">
        <f>SUM(O548:O554)</f>
        <v>0</v>
      </c>
      <c r="E548" s="130">
        <f t="shared" si="158"/>
        <v>0</v>
      </c>
      <c r="F548" s="130"/>
      <c r="G548" s="60" t="s">
        <v>125</v>
      </c>
      <c r="H548" s="123"/>
      <c r="I548" s="123"/>
      <c r="J548" s="60"/>
      <c r="K548" s="60"/>
      <c r="L548" s="60"/>
      <c r="M548" s="60"/>
      <c r="N548" s="60">
        <f>M548*J548*K548*L548</f>
        <v>0</v>
      </c>
      <c r="O548" s="60">
        <f>J548*K548*L548</f>
        <v>0</v>
      </c>
    </row>
    <row r="549" spans="1:15" s="38" customFormat="1" ht="11.45" hidden="1" customHeight="1" outlineLevel="1" x14ac:dyDescent="0.25">
      <c r="A549" s="124"/>
      <c r="B549" s="142"/>
      <c r="C549" s="115"/>
      <c r="D549" s="115"/>
      <c r="E549" s="115"/>
      <c r="F549" s="115"/>
      <c r="G549" s="60" t="s">
        <v>126</v>
      </c>
      <c r="H549" s="124"/>
      <c r="I549" s="124"/>
      <c r="J549" s="60"/>
      <c r="K549" s="60"/>
      <c r="L549" s="60"/>
      <c r="M549" s="60"/>
      <c r="N549" s="60">
        <f t="shared" ref="N549:N554" si="167">M549*J549*K549*L549</f>
        <v>0</v>
      </c>
      <c r="O549" s="60">
        <f t="shared" ref="O549:O554" si="168">J549*K549*L549</f>
        <v>0</v>
      </c>
    </row>
    <row r="550" spans="1:15" s="38" customFormat="1" ht="10.7" hidden="1" customHeight="1" outlineLevel="1" x14ac:dyDescent="0.25">
      <c r="A550" s="124"/>
      <c r="B550" s="142"/>
      <c r="C550" s="115"/>
      <c r="D550" s="115"/>
      <c r="E550" s="115"/>
      <c r="F550" s="115"/>
      <c r="G550" s="60" t="s">
        <v>127</v>
      </c>
      <c r="H550" s="124"/>
      <c r="I550" s="124"/>
      <c r="J550" s="60"/>
      <c r="K550" s="60"/>
      <c r="L550" s="60"/>
      <c r="M550" s="60"/>
      <c r="N550" s="60">
        <f t="shared" si="167"/>
        <v>0</v>
      </c>
      <c r="O550" s="60">
        <f t="shared" si="168"/>
        <v>0</v>
      </c>
    </row>
    <row r="551" spans="1:15" s="38" customFormat="1" ht="10.7" hidden="1" customHeight="1" outlineLevel="1" x14ac:dyDescent="0.25">
      <c r="A551" s="124"/>
      <c r="B551" s="142"/>
      <c r="C551" s="115"/>
      <c r="D551" s="115"/>
      <c r="E551" s="115"/>
      <c r="F551" s="115"/>
      <c r="G551" s="60" t="s">
        <v>128</v>
      </c>
      <c r="H551" s="124"/>
      <c r="I551" s="124"/>
      <c r="J551" s="60"/>
      <c r="K551" s="60"/>
      <c r="L551" s="60"/>
      <c r="M551" s="60"/>
      <c r="N551" s="60">
        <f t="shared" si="167"/>
        <v>0</v>
      </c>
      <c r="O551" s="60">
        <f t="shared" si="168"/>
        <v>0</v>
      </c>
    </row>
    <row r="552" spans="1:15" s="38" customFormat="1" ht="10.7" hidden="1" customHeight="1" outlineLevel="1" x14ac:dyDescent="0.25">
      <c r="A552" s="124"/>
      <c r="B552" s="142"/>
      <c r="C552" s="115"/>
      <c r="D552" s="115"/>
      <c r="E552" s="115"/>
      <c r="F552" s="115"/>
      <c r="G552" s="60" t="s">
        <v>129</v>
      </c>
      <c r="H552" s="124"/>
      <c r="I552" s="124"/>
      <c r="J552" s="60"/>
      <c r="K552" s="60"/>
      <c r="L552" s="60"/>
      <c r="M552" s="60"/>
      <c r="N552" s="60">
        <f t="shared" si="167"/>
        <v>0</v>
      </c>
      <c r="O552" s="60">
        <f t="shared" si="168"/>
        <v>0</v>
      </c>
    </row>
    <row r="553" spans="1:15" s="38" customFormat="1" ht="10.7" hidden="1" customHeight="1" outlineLevel="1" x14ac:dyDescent="0.25">
      <c r="A553" s="124"/>
      <c r="B553" s="142"/>
      <c r="C553" s="115"/>
      <c r="D553" s="115"/>
      <c r="E553" s="115"/>
      <c r="F553" s="115"/>
      <c r="G553" s="60" t="s">
        <v>130</v>
      </c>
      <c r="H553" s="124"/>
      <c r="I553" s="124"/>
      <c r="J553" s="60"/>
      <c r="K553" s="60"/>
      <c r="L553" s="60"/>
      <c r="M553" s="60"/>
      <c r="N553" s="60">
        <f t="shared" si="167"/>
        <v>0</v>
      </c>
      <c r="O553" s="60">
        <f t="shared" si="168"/>
        <v>0</v>
      </c>
    </row>
    <row r="554" spans="1:15" s="38" customFormat="1" ht="12" hidden="1" customHeight="1" outlineLevel="1" thickBot="1" x14ac:dyDescent="0.3">
      <c r="A554" s="125"/>
      <c r="B554" s="143"/>
      <c r="C554" s="131"/>
      <c r="D554" s="131"/>
      <c r="E554" s="131"/>
      <c r="F554" s="131"/>
      <c r="G554" s="60" t="s">
        <v>131</v>
      </c>
      <c r="H554" s="134"/>
      <c r="I554" s="134"/>
      <c r="J554" s="60"/>
      <c r="K554" s="60"/>
      <c r="L554" s="60"/>
      <c r="M554" s="60"/>
      <c r="N554" s="60">
        <f t="shared" si="167"/>
        <v>0</v>
      </c>
      <c r="O554" s="60">
        <f t="shared" si="168"/>
        <v>0</v>
      </c>
    </row>
    <row r="555" spans="1:15" s="38" customFormat="1" ht="14.45" hidden="1" customHeight="1" outlineLevel="1" x14ac:dyDescent="0.25">
      <c r="A555" s="140" t="s">
        <v>511</v>
      </c>
      <c r="B555" s="141" t="s">
        <v>492</v>
      </c>
      <c r="C555" s="130">
        <f>SUM(N555:N561)</f>
        <v>0</v>
      </c>
      <c r="D555" s="130">
        <f>SUM(O555:O561)</f>
        <v>0</v>
      </c>
      <c r="E555" s="130">
        <f t="shared" si="158"/>
        <v>0</v>
      </c>
      <c r="F555" s="130"/>
      <c r="G555" s="60" t="s">
        <v>125</v>
      </c>
      <c r="H555" s="123"/>
      <c r="I555" s="123"/>
      <c r="J555" s="60"/>
      <c r="K555" s="60"/>
      <c r="L555" s="60"/>
      <c r="M555" s="60"/>
      <c r="N555" s="60">
        <f>M555*J555*K555*L555</f>
        <v>0</v>
      </c>
      <c r="O555" s="60">
        <f>J555*K555*L555</f>
        <v>0</v>
      </c>
    </row>
    <row r="556" spans="1:15" s="38" customFormat="1" ht="11.45" hidden="1" customHeight="1" outlineLevel="1" x14ac:dyDescent="0.25">
      <c r="A556" s="124"/>
      <c r="B556" s="142"/>
      <c r="C556" s="115"/>
      <c r="D556" s="115"/>
      <c r="E556" s="115"/>
      <c r="F556" s="115"/>
      <c r="G556" s="60" t="s">
        <v>126</v>
      </c>
      <c r="H556" s="124"/>
      <c r="I556" s="124"/>
      <c r="J556" s="60"/>
      <c r="K556" s="60"/>
      <c r="L556" s="60"/>
      <c r="M556" s="60"/>
      <c r="N556" s="60">
        <f t="shared" ref="N556:N561" si="169">M556*J556*K556*L556</f>
        <v>0</v>
      </c>
      <c r="O556" s="60">
        <f t="shared" ref="O556:O561" si="170">J556*K556*L556</f>
        <v>0</v>
      </c>
    </row>
    <row r="557" spans="1:15" s="38" customFormat="1" ht="10.7" hidden="1" customHeight="1" outlineLevel="1" x14ac:dyDescent="0.25">
      <c r="A557" s="124"/>
      <c r="B557" s="142"/>
      <c r="C557" s="115"/>
      <c r="D557" s="115"/>
      <c r="E557" s="115"/>
      <c r="F557" s="115"/>
      <c r="G557" s="60" t="s">
        <v>127</v>
      </c>
      <c r="H557" s="124"/>
      <c r="I557" s="124"/>
      <c r="J557" s="60"/>
      <c r="K557" s="60"/>
      <c r="L557" s="60"/>
      <c r="M557" s="60"/>
      <c r="N557" s="60">
        <f t="shared" si="169"/>
        <v>0</v>
      </c>
      <c r="O557" s="60">
        <f t="shared" si="170"/>
        <v>0</v>
      </c>
    </row>
    <row r="558" spans="1:15" s="38" customFormat="1" ht="10.7" hidden="1" customHeight="1" outlineLevel="1" x14ac:dyDescent="0.25">
      <c r="A558" s="124"/>
      <c r="B558" s="142"/>
      <c r="C558" s="115"/>
      <c r="D558" s="115"/>
      <c r="E558" s="115"/>
      <c r="F558" s="115"/>
      <c r="G558" s="60" t="s">
        <v>128</v>
      </c>
      <c r="H558" s="124"/>
      <c r="I558" s="124"/>
      <c r="J558" s="60"/>
      <c r="K558" s="60"/>
      <c r="L558" s="60"/>
      <c r="M558" s="60"/>
      <c r="N558" s="60">
        <f t="shared" si="169"/>
        <v>0</v>
      </c>
      <c r="O558" s="60">
        <f t="shared" si="170"/>
        <v>0</v>
      </c>
    </row>
    <row r="559" spans="1:15" s="38" customFormat="1" ht="10.7" hidden="1" customHeight="1" outlineLevel="1" x14ac:dyDescent="0.25">
      <c r="A559" s="124"/>
      <c r="B559" s="142"/>
      <c r="C559" s="115"/>
      <c r="D559" s="115"/>
      <c r="E559" s="115"/>
      <c r="F559" s="115"/>
      <c r="G559" s="60" t="s">
        <v>129</v>
      </c>
      <c r="H559" s="124"/>
      <c r="I559" s="124"/>
      <c r="J559" s="60"/>
      <c r="K559" s="60"/>
      <c r="L559" s="60"/>
      <c r="M559" s="60"/>
      <c r="N559" s="60">
        <f t="shared" si="169"/>
        <v>0</v>
      </c>
      <c r="O559" s="60">
        <f t="shared" si="170"/>
        <v>0</v>
      </c>
    </row>
    <row r="560" spans="1:15" s="38" customFormat="1" ht="10.7" hidden="1" customHeight="1" outlineLevel="1" x14ac:dyDescent="0.25">
      <c r="A560" s="124"/>
      <c r="B560" s="142"/>
      <c r="C560" s="115"/>
      <c r="D560" s="115"/>
      <c r="E560" s="115"/>
      <c r="F560" s="115"/>
      <c r="G560" s="60" t="s">
        <v>130</v>
      </c>
      <c r="H560" s="124"/>
      <c r="I560" s="124"/>
      <c r="J560" s="60"/>
      <c r="K560" s="60"/>
      <c r="L560" s="60"/>
      <c r="M560" s="60"/>
      <c r="N560" s="60">
        <f t="shared" si="169"/>
        <v>0</v>
      </c>
      <c r="O560" s="60">
        <f t="shared" si="170"/>
        <v>0</v>
      </c>
    </row>
    <row r="561" spans="1:15" s="38" customFormat="1" ht="12" hidden="1" customHeight="1" outlineLevel="1" thickBot="1" x14ac:dyDescent="0.3">
      <c r="A561" s="125"/>
      <c r="B561" s="143"/>
      <c r="C561" s="131"/>
      <c r="D561" s="131"/>
      <c r="E561" s="131"/>
      <c r="F561" s="131"/>
      <c r="G561" s="60" t="s">
        <v>131</v>
      </c>
      <c r="H561" s="134"/>
      <c r="I561" s="134"/>
      <c r="J561" s="60"/>
      <c r="K561" s="60"/>
      <c r="L561" s="60"/>
      <c r="M561" s="60"/>
      <c r="N561" s="60">
        <f t="shared" si="169"/>
        <v>0</v>
      </c>
      <c r="O561" s="60">
        <f t="shared" si="170"/>
        <v>0</v>
      </c>
    </row>
    <row r="562" spans="1:15" s="38" customFormat="1" ht="14.45" hidden="1" customHeight="1" outlineLevel="1" x14ac:dyDescent="0.25">
      <c r="A562" s="140" t="s">
        <v>513</v>
      </c>
      <c r="B562" s="141" t="s">
        <v>566</v>
      </c>
      <c r="C562" s="130">
        <f>SUM(N562:N568)</f>
        <v>0</v>
      </c>
      <c r="D562" s="130">
        <f>SUM(O562:O568)</f>
        <v>0</v>
      </c>
      <c r="E562" s="130">
        <f t="shared" si="158"/>
        <v>0</v>
      </c>
      <c r="F562" s="130"/>
      <c r="G562" s="60" t="s">
        <v>125</v>
      </c>
      <c r="H562" s="123"/>
      <c r="I562" s="123"/>
      <c r="J562" s="60"/>
      <c r="K562" s="60"/>
      <c r="L562" s="60"/>
      <c r="M562" s="60"/>
      <c r="N562" s="60">
        <f>M562*J562*K562*L562</f>
        <v>0</v>
      </c>
      <c r="O562" s="60">
        <f>J562*K562*L562</f>
        <v>0</v>
      </c>
    </row>
    <row r="563" spans="1:15" s="38" customFormat="1" ht="11.45" hidden="1" customHeight="1" outlineLevel="1" x14ac:dyDescent="0.25">
      <c r="A563" s="124"/>
      <c r="B563" s="142"/>
      <c r="C563" s="115"/>
      <c r="D563" s="115"/>
      <c r="E563" s="115"/>
      <c r="F563" s="115"/>
      <c r="G563" s="60" t="s">
        <v>126</v>
      </c>
      <c r="H563" s="124"/>
      <c r="I563" s="124"/>
      <c r="J563" s="60"/>
      <c r="K563" s="60"/>
      <c r="L563" s="60"/>
      <c r="M563" s="60"/>
      <c r="N563" s="60">
        <f t="shared" ref="N563:N568" si="171">M563*J563*K563*L563</f>
        <v>0</v>
      </c>
      <c r="O563" s="60">
        <f t="shared" ref="O563:O568" si="172">J563*K563*L563</f>
        <v>0</v>
      </c>
    </row>
    <row r="564" spans="1:15" s="38" customFormat="1" ht="10.7" hidden="1" customHeight="1" outlineLevel="1" x14ac:dyDescent="0.25">
      <c r="A564" s="124"/>
      <c r="B564" s="142"/>
      <c r="C564" s="115"/>
      <c r="D564" s="115"/>
      <c r="E564" s="115"/>
      <c r="F564" s="115"/>
      <c r="G564" s="60" t="s">
        <v>127</v>
      </c>
      <c r="H564" s="124"/>
      <c r="I564" s="124"/>
      <c r="J564" s="60"/>
      <c r="K564" s="60"/>
      <c r="L564" s="60"/>
      <c r="M564" s="60"/>
      <c r="N564" s="60">
        <f t="shared" si="171"/>
        <v>0</v>
      </c>
      <c r="O564" s="60">
        <f t="shared" si="172"/>
        <v>0</v>
      </c>
    </row>
    <row r="565" spans="1:15" s="38" customFormat="1" ht="10.7" hidden="1" customHeight="1" outlineLevel="1" x14ac:dyDescent="0.25">
      <c r="A565" s="124"/>
      <c r="B565" s="142"/>
      <c r="C565" s="115"/>
      <c r="D565" s="115"/>
      <c r="E565" s="115"/>
      <c r="F565" s="115"/>
      <c r="G565" s="60" t="s">
        <v>128</v>
      </c>
      <c r="H565" s="124"/>
      <c r="I565" s="124"/>
      <c r="J565" s="60"/>
      <c r="K565" s="60"/>
      <c r="L565" s="60"/>
      <c r="M565" s="60"/>
      <c r="N565" s="60">
        <f t="shared" si="171"/>
        <v>0</v>
      </c>
      <c r="O565" s="60">
        <f t="shared" si="172"/>
        <v>0</v>
      </c>
    </row>
    <row r="566" spans="1:15" s="38" customFormat="1" ht="10.7" hidden="1" customHeight="1" outlineLevel="1" x14ac:dyDescent="0.25">
      <c r="A566" s="124"/>
      <c r="B566" s="142"/>
      <c r="C566" s="115"/>
      <c r="D566" s="115"/>
      <c r="E566" s="115"/>
      <c r="F566" s="115"/>
      <c r="G566" s="60" t="s">
        <v>129</v>
      </c>
      <c r="H566" s="124"/>
      <c r="I566" s="124"/>
      <c r="J566" s="60"/>
      <c r="K566" s="60"/>
      <c r="L566" s="60"/>
      <c r="M566" s="60"/>
      <c r="N566" s="60">
        <f t="shared" si="171"/>
        <v>0</v>
      </c>
      <c r="O566" s="60">
        <f t="shared" si="172"/>
        <v>0</v>
      </c>
    </row>
    <row r="567" spans="1:15" s="38" customFormat="1" ht="10.7" hidden="1" customHeight="1" outlineLevel="1" x14ac:dyDescent="0.25">
      <c r="A567" s="124"/>
      <c r="B567" s="142"/>
      <c r="C567" s="115"/>
      <c r="D567" s="115"/>
      <c r="E567" s="115"/>
      <c r="F567" s="115"/>
      <c r="G567" s="60" t="s">
        <v>130</v>
      </c>
      <c r="H567" s="124"/>
      <c r="I567" s="124"/>
      <c r="J567" s="60"/>
      <c r="K567" s="60"/>
      <c r="L567" s="60"/>
      <c r="M567" s="60"/>
      <c r="N567" s="60">
        <f t="shared" si="171"/>
        <v>0</v>
      </c>
      <c r="O567" s="60">
        <f t="shared" si="172"/>
        <v>0</v>
      </c>
    </row>
    <row r="568" spans="1:15" s="38" customFormat="1" ht="12" hidden="1" customHeight="1" outlineLevel="1" thickBot="1" x14ac:dyDescent="0.3">
      <c r="A568" s="125"/>
      <c r="B568" s="143"/>
      <c r="C568" s="131"/>
      <c r="D568" s="131"/>
      <c r="E568" s="131"/>
      <c r="F568" s="131"/>
      <c r="G568" s="60" t="s">
        <v>131</v>
      </c>
      <c r="H568" s="134"/>
      <c r="I568" s="134"/>
      <c r="J568" s="60"/>
      <c r="K568" s="60"/>
      <c r="L568" s="60"/>
      <c r="M568" s="60"/>
      <c r="N568" s="60">
        <f t="shared" si="171"/>
        <v>0</v>
      </c>
      <c r="O568" s="60">
        <f t="shared" si="172"/>
        <v>0</v>
      </c>
    </row>
    <row r="569" spans="1:15" s="38" customFormat="1" ht="14.45" hidden="1" customHeight="1" outlineLevel="1" x14ac:dyDescent="0.25">
      <c r="A569" s="140" t="s">
        <v>515</v>
      </c>
      <c r="B569" s="141" t="s">
        <v>567</v>
      </c>
      <c r="C569" s="130">
        <f>SUM(N569:N575)</f>
        <v>0</v>
      </c>
      <c r="D569" s="130">
        <f>SUM(O569:O575)</f>
        <v>0</v>
      </c>
      <c r="E569" s="130">
        <f t="shared" si="158"/>
        <v>0</v>
      </c>
      <c r="F569" s="130"/>
      <c r="G569" s="60" t="s">
        <v>125</v>
      </c>
      <c r="H569" s="123"/>
      <c r="I569" s="123"/>
      <c r="J569" s="60"/>
      <c r="K569" s="60"/>
      <c r="L569" s="60"/>
      <c r="M569" s="60"/>
      <c r="N569" s="60">
        <f>M569*J569*K569*L569</f>
        <v>0</v>
      </c>
      <c r="O569" s="60">
        <f>J569*K569*L569</f>
        <v>0</v>
      </c>
    </row>
    <row r="570" spans="1:15" s="38" customFormat="1" ht="11.45" hidden="1" customHeight="1" outlineLevel="1" x14ac:dyDescent="0.25">
      <c r="A570" s="124"/>
      <c r="B570" s="142"/>
      <c r="C570" s="115"/>
      <c r="D570" s="115"/>
      <c r="E570" s="115"/>
      <c r="F570" s="115"/>
      <c r="G570" s="60" t="s">
        <v>126</v>
      </c>
      <c r="H570" s="124"/>
      <c r="I570" s="124"/>
      <c r="J570" s="60"/>
      <c r="K570" s="60"/>
      <c r="L570" s="60"/>
      <c r="M570" s="60"/>
      <c r="N570" s="60">
        <f t="shared" ref="N570:N575" si="173">M570*J570*K570*L570</f>
        <v>0</v>
      </c>
      <c r="O570" s="60">
        <f t="shared" ref="O570:O575" si="174">J570*K570*L570</f>
        <v>0</v>
      </c>
    </row>
    <row r="571" spans="1:15" s="38" customFormat="1" ht="10.7" hidden="1" customHeight="1" outlineLevel="1" x14ac:dyDescent="0.25">
      <c r="A571" s="124"/>
      <c r="B571" s="142"/>
      <c r="C571" s="115"/>
      <c r="D571" s="115"/>
      <c r="E571" s="115"/>
      <c r="F571" s="115"/>
      <c r="G571" s="60" t="s">
        <v>127</v>
      </c>
      <c r="H571" s="124"/>
      <c r="I571" s="124"/>
      <c r="J571" s="60"/>
      <c r="K571" s="60"/>
      <c r="L571" s="60"/>
      <c r="M571" s="60"/>
      <c r="N571" s="60">
        <f t="shared" si="173"/>
        <v>0</v>
      </c>
      <c r="O571" s="60">
        <f t="shared" si="174"/>
        <v>0</v>
      </c>
    </row>
    <row r="572" spans="1:15" s="38" customFormat="1" ht="10.7" hidden="1" customHeight="1" outlineLevel="1" x14ac:dyDescent="0.25">
      <c r="A572" s="124"/>
      <c r="B572" s="142"/>
      <c r="C572" s="115"/>
      <c r="D572" s="115"/>
      <c r="E572" s="115"/>
      <c r="F572" s="115"/>
      <c r="G572" s="60" t="s">
        <v>128</v>
      </c>
      <c r="H572" s="124"/>
      <c r="I572" s="124"/>
      <c r="J572" s="60"/>
      <c r="K572" s="60"/>
      <c r="L572" s="60"/>
      <c r="M572" s="60"/>
      <c r="N572" s="60">
        <f t="shared" si="173"/>
        <v>0</v>
      </c>
      <c r="O572" s="60">
        <f t="shared" si="174"/>
        <v>0</v>
      </c>
    </row>
    <row r="573" spans="1:15" s="38" customFormat="1" ht="10.7" hidden="1" customHeight="1" outlineLevel="1" x14ac:dyDescent="0.25">
      <c r="A573" s="124"/>
      <c r="B573" s="142"/>
      <c r="C573" s="115"/>
      <c r="D573" s="115"/>
      <c r="E573" s="115"/>
      <c r="F573" s="115"/>
      <c r="G573" s="60" t="s">
        <v>129</v>
      </c>
      <c r="H573" s="124"/>
      <c r="I573" s="124"/>
      <c r="J573" s="60"/>
      <c r="K573" s="60"/>
      <c r="L573" s="60"/>
      <c r="M573" s="60"/>
      <c r="N573" s="60">
        <f t="shared" si="173"/>
        <v>0</v>
      </c>
      <c r="O573" s="60">
        <f t="shared" si="174"/>
        <v>0</v>
      </c>
    </row>
    <row r="574" spans="1:15" s="38" customFormat="1" ht="10.7" hidden="1" customHeight="1" outlineLevel="1" x14ac:dyDescent="0.25">
      <c r="A574" s="124"/>
      <c r="B574" s="142"/>
      <c r="C574" s="115"/>
      <c r="D574" s="115"/>
      <c r="E574" s="115"/>
      <c r="F574" s="115"/>
      <c r="G574" s="60" t="s">
        <v>130</v>
      </c>
      <c r="H574" s="124"/>
      <c r="I574" s="124"/>
      <c r="J574" s="60"/>
      <c r="K574" s="60"/>
      <c r="L574" s="60"/>
      <c r="M574" s="60"/>
      <c r="N574" s="60">
        <f t="shared" si="173"/>
        <v>0</v>
      </c>
      <c r="O574" s="60">
        <f t="shared" si="174"/>
        <v>0</v>
      </c>
    </row>
    <row r="575" spans="1:15" s="38" customFormat="1" ht="12" hidden="1" customHeight="1" outlineLevel="1" thickBot="1" x14ac:dyDescent="0.3">
      <c r="A575" s="125"/>
      <c r="B575" s="143"/>
      <c r="C575" s="131"/>
      <c r="D575" s="131"/>
      <c r="E575" s="131"/>
      <c r="F575" s="131"/>
      <c r="G575" s="60" t="s">
        <v>131</v>
      </c>
      <c r="H575" s="134"/>
      <c r="I575" s="134"/>
      <c r="J575" s="60"/>
      <c r="K575" s="60"/>
      <c r="L575" s="60"/>
      <c r="M575" s="60"/>
      <c r="N575" s="60">
        <f t="shared" si="173"/>
        <v>0</v>
      </c>
      <c r="O575" s="60">
        <f t="shared" si="174"/>
        <v>0</v>
      </c>
    </row>
    <row r="576" spans="1:15" s="38" customFormat="1" ht="14.45" hidden="1" customHeight="1" outlineLevel="1" x14ac:dyDescent="0.25">
      <c r="A576" s="140" t="s">
        <v>517</v>
      </c>
      <c r="B576" s="141" t="s">
        <v>568</v>
      </c>
      <c r="C576" s="130">
        <f>SUM(N576:N582)</f>
        <v>0</v>
      </c>
      <c r="D576" s="130">
        <f>SUM(O576:O582)</f>
        <v>0</v>
      </c>
      <c r="E576" s="130">
        <f t="shared" si="158"/>
        <v>0</v>
      </c>
      <c r="F576" s="130"/>
      <c r="G576" s="60" t="s">
        <v>125</v>
      </c>
      <c r="H576" s="123"/>
      <c r="I576" s="123"/>
      <c r="J576" s="60"/>
      <c r="K576" s="60"/>
      <c r="L576" s="60"/>
      <c r="M576" s="60"/>
      <c r="N576" s="60">
        <f>M576*J576*K576*L576</f>
        <v>0</v>
      </c>
      <c r="O576" s="60">
        <f>J576*K576*L576</f>
        <v>0</v>
      </c>
    </row>
    <row r="577" spans="1:15" s="38" customFormat="1" ht="11.45" hidden="1" customHeight="1" outlineLevel="1" x14ac:dyDescent="0.25">
      <c r="A577" s="124"/>
      <c r="B577" s="142"/>
      <c r="C577" s="115"/>
      <c r="D577" s="115"/>
      <c r="E577" s="115"/>
      <c r="F577" s="115"/>
      <c r="G577" s="60" t="s">
        <v>126</v>
      </c>
      <c r="H577" s="124"/>
      <c r="I577" s="124"/>
      <c r="J577" s="60"/>
      <c r="K577" s="60"/>
      <c r="L577" s="60"/>
      <c r="M577" s="60"/>
      <c r="N577" s="60">
        <f t="shared" ref="N577:N582" si="175">M577*J577*K577*L577</f>
        <v>0</v>
      </c>
      <c r="O577" s="60">
        <f t="shared" ref="O577:O582" si="176">J577*K577*L577</f>
        <v>0</v>
      </c>
    </row>
    <row r="578" spans="1:15" s="38" customFormat="1" ht="10.7" hidden="1" customHeight="1" outlineLevel="1" x14ac:dyDescent="0.25">
      <c r="A578" s="124"/>
      <c r="B578" s="142"/>
      <c r="C578" s="115"/>
      <c r="D578" s="115"/>
      <c r="E578" s="115"/>
      <c r="F578" s="115"/>
      <c r="G578" s="60" t="s">
        <v>127</v>
      </c>
      <c r="H578" s="124"/>
      <c r="I578" s="124"/>
      <c r="J578" s="60"/>
      <c r="K578" s="60"/>
      <c r="L578" s="60"/>
      <c r="M578" s="60"/>
      <c r="N578" s="60">
        <f t="shared" si="175"/>
        <v>0</v>
      </c>
      <c r="O578" s="60">
        <f t="shared" si="176"/>
        <v>0</v>
      </c>
    </row>
    <row r="579" spans="1:15" s="38" customFormat="1" ht="10.7" hidden="1" customHeight="1" outlineLevel="1" x14ac:dyDescent="0.25">
      <c r="A579" s="124"/>
      <c r="B579" s="142"/>
      <c r="C579" s="115"/>
      <c r="D579" s="115"/>
      <c r="E579" s="115"/>
      <c r="F579" s="115"/>
      <c r="G579" s="60" t="s">
        <v>128</v>
      </c>
      <c r="H579" s="124"/>
      <c r="I579" s="124"/>
      <c r="J579" s="60"/>
      <c r="K579" s="60"/>
      <c r="L579" s="60"/>
      <c r="M579" s="60"/>
      <c r="N579" s="60">
        <f t="shared" si="175"/>
        <v>0</v>
      </c>
      <c r="O579" s="60">
        <f t="shared" si="176"/>
        <v>0</v>
      </c>
    </row>
    <row r="580" spans="1:15" s="38" customFormat="1" ht="10.7" hidden="1" customHeight="1" outlineLevel="1" x14ac:dyDescent="0.25">
      <c r="A580" s="124"/>
      <c r="B580" s="142"/>
      <c r="C580" s="115"/>
      <c r="D580" s="115"/>
      <c r="E580" s="115"/>
      <c r="F580" s="115"/>
      <c r="G580" s="60" t="s">
        <v>129</v>
      </c>
      <c r="H580" s="124"/>
      <c r="I580" s="124"/>
      <c r="J580" s="60"/>
      <c r="K580" s="60"/>
      <c r="L580" s="60"/>
      <c r="M580" s="60"/>
      <c r="N580" s="60">
        <f t="shared" si="175"/>
        <v>0</v>
      </c>
      <c r="O580" s="60">
        <f t="shared" si="176"/>
        <v>0</v>
      </c>
    </row>
    <row r="581" spans="1:15" s="38" customFormat="1" ht="10.7" hidden="1" customHeight="1" outlineLevel="1" x14ac:dyDescent="0.25">
      <c r="A581" s="124"/>
      <c r="B581" s="142"/>
      <c r="C581" s="115"/>
      <c r="D581" s="115"/>
      <c r="E581" s="115"/>
      <c r="F581" s="115"/>
      <c r="G581" s="60" t="s">
        <v>130</v>
      </c>
      <c r="H581" s="124"/>
      <c r="I581" s="124"/>
      <c r="J581" s="60"/>
      <c r="K581" s="60"/>
      <c r="L581" s="60"/>
      <c r="M581" s="60"/>
      <c r="N581" s="60">
        <f t="shared" si="175"/>
        <v>0</v>
      </c>
      <c r="O581" s="60">
        <f t="shared" si="176"/>
        <v>0</v>
      </c>
    </row>
    <row r="582" spans="1:15" s="38" customFormat="1" ht="12" hidden="1" customHeight="1" outlineLevel="1" thickBot="1" x14ac:dyDescent="0.3">
      <c r="A582" s="125"/>
      <c r="B582" s="143"/>
      <c r="C582" s="131"/>
      <c r="D582" s="131"/>
      <c r="E582" s="131"/>
      <c r="F582" s="131"/>
      <c r="G582" s="60" t="s">
        <v>131</v>
      </c>
      <c r="H582" s="134"/>
      <c r="I582" s="134"/>
      <c r="J582" s="60"/>
      <c r="K582" s="60"/>
      <c r="L582" s="60"/>
      <c r="M582" s="60"/>
      <c r="N582" s="60">
        <f t="shared" si="175"/>
        <v>0</v>
      </c>
      <c r="O582" s="60">
        <f t="shared" si="176"/>
        <v>0</v>
      </c>
    </row>
    <row r="583" spans="1:15" s="38" customFormat="1" ht="14.45" hidden="1" customHeight="1" outlineLevel="1" x14ac:dyDescent="0.25">
      <c r="A583" s="140" t="s">
        <v>519</v>
      </c>
      <c r="B583" s="141" t="s">
        <v>500</v>
      </c>
      <c r="C583" s="130">
        <f>SUM(N583:N589)</f>
        <v>0</v>
      </c>
      <c r="D583" s="130">
        <f>SUM(O583:O589)</f>
        <v>0</v>
      </c>
      <c r="E583" s="130">
        <f t="shared" si="158"/>
        <v>0</v>
      </c>
      <c r="F583" s="130"/>
      <c r="G583" s="60" t="s">
        <v>125</v>
      </c>
      <c r="H583" s="123"/>
      <c r="I583" s="123"/>
      <c r="J583" s="60"/>
      <c r="K583" s="60"/>
      <c r="L583" s="60"/>
      <c r="M583" s="60"/>
      <c r="N583" s="60">
        <f>M583*J583*K583*L583</f>
        <v>0</v>
      </c>
      <c r="O583" s="60">
        <f>J583*K583*L583</f>
        <v>0</v>
      </c>
    </row>
    <row r="584" spans="1:15" s="38" customFormat="1" ht="11.45" hidden="1" customHeight="1" outlineLevel="1" x14ac:dyDescent="0.25">
      <c r="A584" s="124"/>
      <c r="B584" s="142"/>
      <c r="C584" s="115"/>
      <c r="D584" s="115"/>
      <c r="E584" s="115"/>
      <c r="F584" s="115"/>
      <c r="G584" s="60" t="s">
        <v>126</v>
      </c>
      <c r="H584" s="124"/>
      <c r="I584" s="124"/>
      <c r="J584" s="60"/>
      <c r="K584" s="60"/>
      <c r="L584" s="60"/>
      <c r="M584" s="60"/>
      <c r="N584" s="60">
        <f t="shared" ref="N584:N589" si="177">M584*J584*K584*L584</f>
        <v>0</v>
      </c>
      <c r="O584" s="60">
        <f t="shared" ref="O584:O589" si="178">J584*K584*L584</f>
        <v>0</v>
      </c>
    </row>
    <row r="585" spans="1:15" s="38" customFormat="1" ht="10.7" hidden="1" customHeight="1" outlineLevel="1" x14ac:dyDescent="0.25">
      <c r="A585" s="124"/>
      <c r="B585" s="142"/>
      <c r="C585" s="115"/>
      <c r="D585" s="115"/>
      <c r="E585" s="115"/>
      <c r="F585" s="115"/>
      <c r="G585" s="60" t="s">
        <v>127</v>
      </c>
      <c r="H585" s="124"/>
      <c r="I585" s="124"/>
      <c r="J585" s="60"/>
      <c r="K585" s="60"/>
      <c r="L585" s="60"/>
      <c r="M585" s="60"/>
      <c r="N585" s="60">
        <f t="shared" si="177"/>
        <v>0</v>
      </c>
      <c r="O585" s="60">
        <f t="shared" si="178"/>
        <v>0</v>
      </c>
    </row>
    <row r="586" spans="1:15" s="38" customFormat="1" ht="10.7" hidden="1" customHeight="1" outlineLevel="1" x14ac:dyDescent="0.25">
      <c r="A586" s="124"/>
      <c r="B586" s="142"/>
      <c r="C586" s="115"/>
      <c r="D586" s="115"/>
      <c r="E586" s="115"/>
      <c r="F586" s="115"/>
      <c r="G586" s="60" t="s">
        <v>128</v>
      </c>
      <c r="H586" s="124"/>
      <c r="I586" s="124"/>
      <c r="J586" s="60"/>
      <c r="K586" s="60"/>
      <c r="L586" s="60"/>
      <c r="M586" s="60"/>
      <c r="N586" s="60">
        <f t="shared" si="177"/>
        <v>0</v>
      </c>
      <c r="O586" s="60">
        <f t="shared" si="178"/>
        <v>0</v>
      </c>
    </row>
    <row r="587" spans="1:15" s="38" customFormat="1" ht="10.7" hidden="1" customHeight="1" outlineLevel="1" x14ac:dyDescent="0.25">
      <c r="A587" s="124"/>
      <c r="B587" s="142"/>
      <c r="C587" s="115"/>
      <c r="D587" s="115"/>
      <c r="E587" s="115"/>
      <c r="F587" s="115"/>
      <c r="G587" s="60" t="s">
        <v>129</v>
      </c>
      <c r="H587" s="124"/>
      <c r="I587" s="124"/>
      <c r="J587" s="60"/>
      <c r="K587" s="60"/>
      <c r="L587" s="60"/>
      <c r="M587" s="60"/>
      <c r="N587" s="60">
        <f t="shared" si="177"/>
        <v>0</v>
      </c>
      <c r="O587" s="60">
        <f t="shared" si="178"/>
        <v>0</v>
      </c>
    </row>
    <row r="588" spans="1:15" s="38" customFormat="1" ht="10.7" hidden="1" customHeight="1" outlineLevel="1" x14ac:dyDescent="0.25">
      <c r="A588" s="124"/>
      <c r="B588" s="142"/>
      <c r="C588" s="115"/>
      <c r="D588" s="115"/>
      <c r="E588" s="115"/>
      <c r="F588" s="115"/>
      <c r="G588" s="60" t="s">
        <v>130</v>
      </c>
      <c r="H588" s="124"/>
      <c r="I588" s="124"/>
      <c r="J588" s="60"/>
      <c r="K588" s="60"/>
      <c r="L588" s="60"/>
      <c r="M588" s="60"/>
      <c r="N588" s="60">
        <f t="shared" si="177"/>
        <v>0</v>
      </c>
      <c r="O588" s="60">
        <f t="shared" si="178"/>
        <v>0</v>
      </c>
    </row>
    <row r="589" spans="1:15" s="38" customFormat="1" ht="12" hidden="1" customHeight="1" outlineLevel="1" thickBot="1" x14ac:dyDescent="0.3">
      <c r="A589" s="125"/>
      <c r="B589" s="143"/>
      <c r="C589" s="131"/>
      <c r="D589" s="131"/>
      <c r="E589" s="131"/>
      <c r="F589" s="131"/>
      <c r="G589" s="60" t="s">
        <v>131</v>
      </c>
      <c r="H589" s="134"/>
      <c r="I589" s="134"/>
      <c r="J589" s="60"/>
      <c r="K589" s="60"/>
      <c r="L589" s="60"/>
      <c r="M589" s="60"/>
      <c r="N589" s="60">
        <f t="shared" si="177"/>
        <v>0</v>
      </c>
      <c r="O589" s="60">
        <f t="shared" si="178"/>
        <v>0</v>
      </c>
    </row>
    <row r="590" spans="1:15" s="38" customFormat="1" ht="14.45" hidden="1" customHeight="1" outlineLevel="1" x14ac:dyDescent="0.25">
      <c r="A590" s="140" t="s">
        <v>521</v>
      </c>
      <c r="B590" s="141" t="s">
        <v>569</v>
      </c>
      <c r="C590" s="130">
        <f>SUM(N590:N596)</f>
        <v>0</v>
      </c>
      <c r="D590" s="130">
        <f>SUM(O590:O596)</f>
        <v>0</v>
      </c>
      <c r="E590" s="130">
        <f t="shared" ref="E590:E611" si="179">D590/8</f>
        <v>0</v>
      </c>
      <c r="F590" s="130"/>
      <c r="G590" s="60" t="s">
        <v>125</v>
      </c>
      <c r="H590" s="123"/>
      <c r="I590" s="123"/>
      <c r="J590" s="60"/>
      <c r="K590" s="60"/>
      <c r="L590" s="60"/>
      <c r="M590" s="60"/>
      <c r="N590" s="60">
        <f>M590*J590*K590*L590</f>
        <v>0</v>
      </c>
      <c r="O590" s="60">
        <f>J590*K590*L590</f>
        <v>0</v>
      </c>
    </row>
    <row r="591" spans="1:15" s="38" customFormat="1" ht="11.45" hidden="1" customHeight="1" outlineLevel="1" x14ac:dyDescent="0.25">
      <c r="A591" s="124"/>
      <c r="B591" s="142"/>
      <c r="C591" s="115"/>
      <c r="D591" s="115"/>
      <c r="E591" s="115"/>
      <c r="F591" s="115"/>
      <c r="G591" s="60" t="s">
        <v>126</v>
      </c>
      <c r="H591" s="124"/>
      <c r="I591" s="124"/>
      <c r="J591" s="60"/>
      <c r="K591" s="60"/>
      <c r="L591" s="60"/>
      <c r="M591" s="60"/>
      <c r="N591" s="60">
        <f t="shared" ref="N591:N596" si="180">M591*J591*K591*L591</f>
        <v>0</v>
      </c>
      <c r="O591" s="60">
        <f t="shared" ref="O591:O596" si="181">J591*K591*L591</f>
        <v>0</v>
      </c>
    </row>
    <row r="592" spans="1:15" s="38" customFormat="1" ht="10.7" hidden="1" customHeight="1" outlineLevel="1" x14ac:dyDescent="0.25">
      <c r="A592" s="124"/>
      <c r="B592" s="142"/>
      <c r="C592" s="115"/>
      <c r="D592" s="115"/>
      <c r="E592" s="115"/>
      <c r="F592" s="115"/>
      <c r="G592" s="60" t="s">
        <v>127</v>
      </c>
      <c r="H592" s="124"/>
      <c r="I592" s="124"/>
      <c r="J592" s="60"/>
      <c r="K592" s="60"/>
      <c r="L592" s="60"/>
      <c r="M592" s="60"/>
      <c r="N592" s="60">
        <f t="shared" si="180"/>
        <v>0</v>
      </c>
      <c r="O592" s="60">
        <f t="shared" si="181"/>
        <v>0</v>
      </c>
    </row>
    <row r="593" spans="1:15" s="38" customFormat="1" ht="10.7" hidden="1" customHeight="1" outlineLevel="1" x14ac:dyDescent="0.25">
      <c r="A593" s="124"/>
      <c r="B593" s="142"/>
      <c r="C593" s="115"/>
      <c r="D593" s="115"/>
      <c r="E593" s="115"/>
      <c r="F593" s="115"/>
      <c r="G593" s="60" t="s">
        <v>128</v>
      </c>
      <c r="H593" s="124"/>
      <c r="I593" s="124"/>
      <c r="J593" s="60"/>
      <c r="K593" s="60"/>
      <c r="L593" s="60"/>
      <c r="M593" s="60"/>
      <c r="N593" s="60">
        <f t="shared" si="180"/>
        <v>0</v>
      </c>
      <c r="O593" s="60">
        <f t="shared" si="181"/>
        <v>0</v>
      </c>
    </row>
    <row r="594" spans="1:15" s="38" customFormat="1" ht="10.7" hidden="1" customHeight="1" outlineLevel="1" x14ac:dyDescent="0.25">
      <c r="A594" s="124"/>
      <c r="B594" s="142"/>
      <c r="C594" s="115"/>
      <c r="D594" s="115"/>
      <c r="E594" s="115"/>
      <c r="F594" s="115"/>
      <c r="G594" s="60" t="s">
        <v>129</v>
      </c>
      <c r="H594" s="124"/>
      <c r="I594" s="124"/>
      <c r="J594" s="60"/>
      <c r="K594" s="60"/>
      <c r="L594" s="60"/>
      <c r="M594" s="60"/>
      <c r="N594" s="60">
        <f t="shared" si="180"/>
        <v>0</v>
      </c>
      <c r="O594" s="60">
        <f t="shared" si="181"/>
        <v>0</v>
      </c>
    </row>
    <row r="595" spans="1:15" s="38" customFormat="1" ht="10.7" hidden="1" customHeight="1" outlineLevel="1" x14ac:dyDescent="0.25">
      <c r="A595" s="124"/>
      <c r="B595" s="142"/>
      <c r="C595" s="115"/>
      <c r="D595" s="115"/>
      <c r="E595" s="115"/>
      <c r="F595" s="115"/>
      <c r="G595" s="60" t="s">
        <v>130</v>
      </c>
      <c r="H595" s="124"/>
      <c r="I595" s="124"/>
      <c r="J595" s="60"/>
      <c r="K595" s="60"/>
      <c r="L595" s="60"/>
      <c r="M595" s="60"/>
      <c r="N595" s="60">
        <f t="shared" si="180"/>
        <v>0</v>
      </c>
      <c r="O595" s="60">
        <f t="shared" si="181"/>
        <v>0</v>
      </c>
    </row>
    <row r="596" spans="1:15" s="38" customFormat="1" ht="12" hidden="1" customHeight="1" outlineLevel="1" thickBot="1" x14ac:dyDescent="0.3">
      <c r="A596" s="125"/>
      <c r="B596" s="143"/>
      <c r="C596" s="131"/>
      <c r="D596" s="131"/>
      <c r="E596" s="131"/>
      <c r="F596" s="131"/>
      <c r="G596" s="60" t="s">
        <v>131</v>
      </c>
      <c r="H596" s="134"/>
      <c r="I596" s="134"/>
      <c r="J596" s="60"/>
      <c r="K596" s="60"/>
      <c r="L596" s="60"/>
      <c r="M596" s="60"/>
      <c r="N596" s="60">
        <f t="shared" si="180"/>
        <v>0</v>
      </c>
      <c r="O596" s="60">
        <f t="shared" si="181"/>
        <v>0</v>
      </c>
    </row>
    <row r="597" spans="1:15" s="38" customFormat="1" ht="14.45" hidden="1" customHeight="1" outlineLevel="1" x14ac:dyDescent="0.25">
      <c r="A597" s="140" t="s">
        <v>523</v>
      </c>
      <c r="B597" s="141" t="s">
        <v>504</v>
      </c>
      <c r="C597" s="130">
        <f>SUM(N597:N603)</f>
        <v>0</v>
      </c>
      <c r="D597" s="130">
        <f>SUM(O597:O603)</f>
        <v>0</v>
      </c>
      <c r="E597" s="130">
        <f t="shared" si="179"/>
        <v>0</v>
      </c>
      <c r="F597" s="130"/>
      <c r="G597" s="60" t="s">
        <v>125</v>
      </c>
      <c r="H597" s="123"/>
      <c r="I597" s="123"/>
      <c r="J597" s="60"/>
      <c r="K597" s="60"/>
      <c r="L597" s="60"/>
      <c r="M597" s="60"/>
      <c r="N597" s="60">
        <f>M597*J597*K597*L597</f>
        <v>0</v>
      </c>
      <c r="O597" s="60">
        <f>J597*K597*L597</f>
        <v>0</v>
      </c>
    </row>
    <row r="598" spans="1:15" s="38" customFormat="1" ht="11.45" hidden="1" customHeight="1" outlineLevel="1" x14ac:dyDescent="0.25">
      <c r="A598" s="124"/>
      <c r="B598" s="142"/>
      <c r="C598" s="115"/>
      <c r="D598" s="115"/>
      <c r="E598" s="115"/>
      <c r="F598" s="115"/>
      <c r="G598" s="60" t="s">
        <v>126</v>
      </c>
      <c r="H598" s="124"/>
      <c r="I598" s="124"/>
      <c r="J598" s="60"/>
      <c r="K598" s="60"/>
      <c r="L598" s="60"/>
      <c r="M598" s="60"/>
      <c r="N598" s="60">
        <f t="shared" ref="N598:N603" si="182">M598*J598*K598*L598</f>
        <v>0</v>
      </c>
      <c r="O598" s="60">
        <f t="shared" ref="O598:O603" si="183">J598*K598*L598</f>
        <v>0</v>
      </c>
    </row>
    <row r="599" spans="1:15" s="38" customFormat="1" ht="10.7" hidden="1" customHeight="1" outlineLevel="1" x14ac:dyDescent="0.25">
      <c r="A599" s="124"/>
      <c r="B599" s="142"/>
      <c r="C599" s="115"/>
      <c r="D599" s="115"/>
      <c r="E599" s="115"/>
      <c r="F599" s="115"/>
      <c r="G599" s="60" t="s">
        <v>127</v>
      </c>
      <c r="H599" s="124"/>
      <c r="I599" s="124"/>
      <c r="J599" s="60"/>
      <c r="K599" s="60"/>
      <c r="L599" s="60"/>
      <c r="M599" s="60"/>
      <c r="N599" s="60">
        <f t="shared" si="182"/>
        <v>0</v>
      </c>
      <c r="O599" s="60">
        <f t="shared" si="183"/>
        <v>0</v>
      </c>
    </row>
    <row r="600" spans="1:15" s="38" customFormat="1" ht="10.7" hidden="1" customHeight="1" outlineLevel="1" x14ac:dyDescent="0.25">
      <c r="A600" s="124"/>
      <c r="B600" s="142"/>
      <c r="C600" s="115"/>
      <c r="D600" s="115"/>
      <c r="E600" s="115"/>
      <c r="F600" s="115"/>
      <c r="G600" s="60" t="s">
        <v>128</v>
      </c>
      <c r="H600" s="124"/>
      <c r="I600" s="124"/>
      <c r="J600" s="60"/>
      <c r="K600" s="60"/>
      <c r="L600" s="60"/>
      <c r="M600" s="60"/>
      <c r="N600" s="60">
        <f t="shared" si="182"/>
        <v>0</v>
      </c>
      <c r="O600" s="60">
        <f t="shared" si="183"/>
        <v>0</v>
      </c>
    </row>
    <row r="601" spans="1:15" s="38" customFormat="1" ht="10.7" hidden="1" customHeight="1" outlineLevel="1" x14ac:dyDescent="0.25">
      <c r="A601" s="124"/>
      <c r="B601" s="142"/>
      <c r="C601" s="115"/>
      <c r="D601" s="115"/>
      <c r="E601" s="115"/>
      <c r="F601" s="115"/>
      <c r="G601" s="60" t="s">
        <v>129</v>
      </c>
      <c r="H601" s="124"/>
      <c r="I601" s="124"/>
      <c r="J601" s="60"/>
      <c r="K601" s="60"/>
      <c r="L601" s="60"/>
      <c r="M601" s="60"/>
      <c r="N601" s="60">
        <f t="shared" si="182"/>
        <v>0</v>
      </c>
      <c r="O601" s="60">
        <f t="shared" si="183"/>
        <v>0</v>
      </c>
    </row>
    <row r="602" spans="1:15" s="38" customFormat="1" ht="10.7" hidden="1" customHeight="1" outlineLevel="1" x14ac:dyDescent="0.25">
      <c r="A602" s="124"/>
      <c r="B602" s="142"/>
      <c r="C602" s="115"/>
      <c r="D602" s="115"/>
      <c r="E602" s="115"/>
      <c r="F602" s="115"/>
      <c r="G602" s="60" t="s">
        <v>130</v>
      </c>
      <c r="H602" s="124"/>
      <c r="I602" s="124"/>
      <c r="J602" s="60"/>
      <c r="K602" s="60"/>
      <c r="L602" s="60"/>
      <c r="M602" s="60"/>
      <c r="N602" s="60">
        <f t="shared" si="182"/>
        <v>0</v>
      </c>
      <c r="O602" s="60">
        <f t="shared" si="183"/>
        <v>0</v>
      </c>
    </row>
    <row r="603" spans="1:15" s="38" customFormat="1" ht="12" hidden="1" customHeight="1" outlineLevel="1" thickBot="1" x14ac:dyDescent="0.3">
      <c r="A603" s="125"/>
      <c r="B603" s="143"/>
      <c r="C603" s="131"/>
      <c r="D603" s="131"/>
      <c r="E603" s="131"/>
      <c r="F603" s="131"/>
      <c r="G603" s="60" t="s">
        <v>131</v>
      </c>
      <c r="H603" s="134"/>
      <c r="I603" s="134"/>
      <c r="J603" s="60"/>
      <c r="K603" s="60"/>
      <c r="L603" s="60"/>
      <c r="M603" s="60"/>
      <c r="N603" s="60">
        <f t="shared" si="182"/>
        <v>0</v>
      </c>
      <c r="O603" s="60">
        <f t="shared" si="183"/>
        <v>0</v>
      </c>
    </row>
    <row r="604" spans="1:15" s="38" customFormat="1" ht="14.45" hidden="1" customHeight="1" outlineLevel="1" x14ac:dyDescent="0.25">
      <c r="A604" s="140" t="s">
        <v>525</v>
      </c>
      <c r="B604" s="141" t="s">
        <v>506</v>
      </c>
      <c r="C604" s="130">
        <f>SUM(N604:N610)</f>
        <v>0</v>
      </c>
      <c r="D604" s="130">
        <f>SUM(O604:O610)</f>
        <v>0</v>
      </c>
      <c r="E604" s="130">
        <f t="shared" si="179"/>
        <v>0</v>
      </c>
      <c r="F604" s="130"/>
      <c r="G604" s="60" t="s">
        <v>125</v>
      </c>
      <c r="H604" s="123"/>
      <c r="I604" s="123"/>
      <c r="J604" s="60"/>
      <c r="K604" s="60"/>
      <c r="L604" s="60"/>
      <c r="M604" s="60"/>
      <c r="N604" s="60">
        <f>M604*J604*K604*L604</f>
        <v>0</v>
      </c>
      <c r="O604" s="60">
        <f>J604*K604*L604</f>
        <v>0</v>
      </c>
    </row>
    <row r="605" spans="1:15" s="38" customFormat="1" ht="11.45" hidden="1" customHeight="1" outlineLevel="1" x14ac:dyDescent="0.25">
      <c r="A605" s="124"/>
      <c r="B605" s="142"/>
      <c r="C605" s="115"/>
      <c r="D605" s="115"/>
      <c r="E605" s="115"/>
      <c r="F605" s="115"/>
      <c r="G605" s="60" t="s">
        <v>126</v>
      </c>
      <c r="H605" s="124"/>
      <c r="I605" s="124"/>
      <c r="J605" s="60"/>
      <c r="K605" s="60"/>
      <c r="L605" s="60"/>
      <c r="M605" s="60"/>
      <c r="N605" s="60">
        <f t="shared" ref="N605:N610" si="184">M605*J605*K605*L605</f>
        <v>0</v>
      </c>
      <c r="O605" s="60">
        <f t="shared" ref="O605:O610" si="185">J605*K605*L605</f>
        <v>0</v>
      </c>
    </row>
    <row r="606" spans="1:15" s="38" customFormat="1" ht="10.7" hidden="1" customHeight="1" outlineLevel="1" x14ac:dyDescent="0.25">
      <c r="A606" s="124"/>
      <c r="B606" s="142"/>
      <c r="C606" s="115"/>
      <c r="D606" s="115"/>
      <c r="E606" s="115"/>
      <c r="F606" s="115"/>
      <c r="G606" s="60" t="s">
        <v>127</v>
      </c>
      <c r="H606" s="124"/>
      <c r="I606" s="124"/>
      <c r="J606" s="60"/>
      <c r="K606" s="60"/>
      <c r="L606" s="60"/>
      <c r="M606" s="60"/>
      <c r="N606" s="60">
        <f t="shared" si="184"/>
        <v>0</v>
      </c>
      <c r="O606" s="60">
        <f t="shared" si="185"/>
        <v>0</v>
      </c>
    </row>
    <row r="607" spans="1:15" s="38" customFormat="1" ht="10.7" hidden="1" customHeight="1" outlineLevel="1" x14ac:dyDescent="0.25">
      <c r="A607" s="124"/>
      <c r="B607" s="142"/>
      <c r="C607" s="115"/>
      <c r="D607" s="115"/>
      <c r="E607" s="115"/>
      <c r="F607" s="115"/>
      <c r="G607" s="60" t="s">
        <v>128</v>
      </c>
      <c r="H607" s="124"/>
      <c r="I607" s="124"/>
      <c r="J607" s="60"/>
      <c r="K607" s="60"/>
      <c r="L607" s="60"/>
      <c r="M607" s="60"/>
      <c r="N607" s="60">
        <f t="shared" si="184"/>
        <v>0</v>
      </c>
      <c r="O607" s="60">
        <f t="shared" si="185"/>
        <v>0</v>
      </c>
    </row>
    <row r="608" spans="1:15" s="38" customFormat="1" ht="10.7" hidden="1" customHeight="1" outlineLevel="1" x14ac:dyDescent="0.25">
      <c r="A608" s="124"/>
      <c r="B608" s="142"/>
      <c r="C608" s="115"/>
      <c r="D608" s="115"/>
      <c r="E608" s="115"/>
      <c r="F608" s="115"/>
      <c r="G608" s="60" t="s">
        <v>129</v>
      </c>
      <c r="H608" s="124"/>
      <c r="I608" s="124"/>
      <c r="J608" s="60"/>
      <c r="K608" s="60"/>
      <c r="L608" s="60"/>
      <c r="M608" s="60"/>
      <c r="N608" s="60">
        <f t="shared" si="184"/>
        <v>0</v>
      </c>
      <c r="O608" s="60">
        <f t="shared" si="185"/>
        <v>0</v>
      </c>
    </row>
    <row r="609" spans="1:15" s="38" customFormat="1" ht="10.7" hidden="1" customHeight="1" outlineLevel="1" x14ac:dyDescent="0.25">
      <c r="A609" s="124"/>
      <c r="B609" s="142"/>
      <c r="C609" s="115"/>
      <c r="D609" s="115"/>
      <c r="E609" s="115"/>
      <c r="F609" s="115"/>
      <c r="G609" s="60" t="s">
        <v>130</v>
      </c>
      <c r="H609" s="124"/>
      <c r="I609" s="124"/>
      <c r="J609" s="60"/>
      <c r="K609" s="60"/>
      <c r="L609" s="60"/>
      <c r="M609" s="60"/>
      <c r="N609" s="60">
        <f t="shared" si="184"/>
        <v>0</v>
      </c>
      <c r="O609" s="60">
        <f t="shared" si="185"/>
        <v>0</v>
      </c>
    </row>
    <row r="610" spans="1:15" s="38" customFormat="1" ht="12" hidden="1" customHeight="1" outlineLevel="1" thickBot="1" x14ac:dyDescent="0.3">
      <c r="A610" s="125"/>
      <c r="B610" s="143"/>
      <c r="C610" s="131"/>
      <c r="D610" s="131"/>
      <c r="E610" s="131"/>
      <c r="F610" s="131"/>
      <c r="G610" s="60" t="s">
        <v>131</v>
      </c>
      <c r="H610" s="134"/>
      <c r="I610" s="134"/>
      <c r="J610" s="60"/>
      <c r="K610" s="60"/>
      <c r="L610" s="60"/>
      <c r="M610" s="60"/>
      <c r="N610" s="60">
        <f t="shared" si="184"/>
        <v>0</v>
      </c>
      <c r="O610" s="60">
        <f t="shared" si="185"/>
        <v>0</v>
      </c>
    </row>
    <row r="611" spans="1:15" s="38" customFormat="1" ht="14.45" hidden="1" customHeight="1" outlineLevel="1" x14ac:dyDescent="0.25">
      <c r="A611" s="140" t="s">
        <v>570</v>
      </c>
      <c r="B611" s="141" t="s">
        <v>571</v>
      </c>
      <c r="C611" s="130">
        <f>SUM(N611:N617)</f>
        <v>0</v>
      </c>
      <c r="D611" s="130">
        <f>SUM(O611:O617)</f>
        <v>0</v>
      </c>
      <c r="E611" s="130">
        <f t="shared" si="179"/>
        <v>0</v>
      </c>
      <c r="F611" s="130"/>
      <c r="G611" s="60" t="s">
        <v>125</v>
      </c>
      <c r="H611" s="123"/>
      <c r="I611" s="123"/>
      <c r="J611" s="60"/>
      <c r="K611" s="60"/>
      <c r="L611" s="60"/>
      <c r="M611" s="60"/>
      <c r="N611" s="60">
        <f>M611*J611*K611*L611</f>
        <v>0</v>
      </c>
      <c r="O611" s="60">
        <f>J611*K611*L611</f>
        <v>0</v>
      </c>
    </row>
    <row r="612" spans="1:15" s="38" customFormat="1" ht="11.45" hidden="1" customHeight="1" outlineLevel="1" x14ac:dyDescent="0.25">
      <c r="A612" s="124"/>
      <c r="B612" s="142"/>
      <c r="C612" s="115"/>
      <c r="D612" s="115"/>
      <c r="E612" s="115"/>
      <c r="F612" s="115"/>
      <c r="G612" s="60" t="s">
        <v>126</v>
      </c>
      <c r="H612" s="124"/>
      <c r="I612" s="124"/>
      <c r="J612" s="60"/>
      <c r="K612" s="60"/>
      <c r="L612" s="60"/>
      <c r="M612" s="60"/>
      <c r="N612" s="60">
        <f t="shared" ref="N612:N617" si="186">M612*J612*K612*L612</f>
        <v>0</v>
      </c>
      <c r="O612" s="60">
        <f t="shared" ref="O612:O617" si="187">J612*K612*L612</f>
        <v>0</v>
      </c>
    </row>
    <row r="613" spans="1:15" s="38" customFormat="1" ht="10.7" hidden="1" customHeight="1" outlineLevel="1" x14ac:dyDescent="0.25">
      <c r="A613" s="124"/>
      <c r="B613" s="142"/>
      <c r="C613" s="115"/>
      <c r="D613" s="115"/>
      <c r="E613" s="115"/>
      <c r="F613" s="115"/>
      <c r="G613" s="60" t="s">
        <v>127</v>
      </c>
      <c r="H613" s="124"/>
      <c r="I613" s="124"/>
      <c r="J613" s="60"/>
      <c r="K613" s="60"/>
      <c r="L613" s="60"/>
      <c r="M613" s="60"/>
      <c r="N613" s="60">
        <f t="shared" si="186"/>
        <v>0</v>
      </c>
      <c r="O613" s="60">
        <f t="shared" si="187"/>
        <v>0</v>
      </c>
    </row>
    <row r="614" spans="1:15" s="38" customFormat="1" ht="10.7" hidden="1" customHeight="1" outlineLevel="1" x14ac:dyDescent="0.25">
      <c r="A614" s="124"/>
      <c r="B614" s="142"/>
      <c r="C614" s="115"/>
      <c r="D614" s="115"/>
      <c r="E614" s="115"/>
      <c r="F614" s="115"/>
      <c r="G614" s="60" t="s">
        <v>128</v>
      </c>
      <c r="H614" s="124"/>
      <c r="I614" s="124"/>
      <c r="J614" s="60"/>
      <c r="K614" s="60"/>
      <c r="L614" s="60"/>
      <c r="M614" s="60"/>
      <c r="N614" s="60">
        <f t="shared" si="186"/>
        <v>0</v>
      </c>
      <c r="O614" s="60">
        <f t="shared" si="187"/>
        <v>0</v>
      </c>
    </row>
    <row r="615" spans="1:15" s="38" customFormat="1" ht="10.7" hidden="1" customHeight="1" outlineLevel="1" x14ac:dyDescent="0.25">
      <c r="A615" s="124"/>
      <c r="B615" s="142"/>
      <c r="C615" s="115"/>
      <c r="D615" s="115"/>
      <c r="E615" s="115"/>
      <c r="F615" s="115"/>
      <c r="G615" s="60" t="s">
        <v>129</v>
      </c>
      <c r="H615" s="124"/>
      <c r="I615" s="124"/>
      <c r="J615" s="60"/>
      <c r="K615" s="60"/>
      <c r="L615" s="60"/>
      <c r="M615" s="60"/>
      <c r="N615" s="60">
        <f t="shared" si="186"/>
        <v>0</v>
      </c>
      <c r="O615" s="60">
        <f t="shared" si="187"/>
        <v>0</v>
      </c>
    </row>
    <row r="616" spans="1:15" s="38" customFormat="1" ht="10.7" hidden="1" customHeight="1" outlineLevel="1" x14ac:dyDescent="0.25">
      <c r="A616" s="124"/>
      <c r="B616" s="142"/>
      <c r="C616" s="115"/>
      <c r="D616" s="115"/>
      <c r="E616" s="115"/>
      <c r="F616" s="115"/>
      <c r="G616" s="60" t="s">
        <v>130</v>
      </c>
      <c r="H616" s="124"/>
      <c r="I616" s="124"/>
      <c r="J616" s="60"/>
      <c r="K616" s="60"/>
      <c r="L616" s="60"/>
      <c r="M616" s="60"/>
      <c r="N616" s="60">
        <f t="shared" si="186"/>
        <v>0</v>
      </c>
      <c r="O616" s="60">
        <f t="shared" si="187"/>
        <v>0</v>
      </c>
    </row>
    <row r="617" spans="1:15" s="38" customFormat="1" ht="12" hidden="1" customHeight="1" outlineLevel="1" thickBot="1" x14ac:dyDescent="0.3">
      <c r="A617" s="125"/>
      <c r="B617" s="143"/>
      <c r="C617" s="131"/>
      <c r="D617" s="131"/>
      <c r="E617" s="131"/>
      <c r="F617" s="131"/>
      <c r="G617" s="60" t="s">
        <v>131</v>
      </c>
      <c r="H617" s="134"/>
      <c r="I617" s="134"/>
      <c r="J617" s="60"/>
      <c r="K617" s="60"/>
      <c r="L617" s="60"/>
      <c r="M617" s="60"/>
      <c r="N617" s="60">
        <f t="shared" si="186"/>
        <v>0</v>
      </c>
      <c r="O617" s="60">
        <f t="shared" si="187"/>
        <v>0</v>
      </c>
    </row>
    <row r="618" spans="1:15" s="38" customFormat="1" hidden="1" outlineLevel="1" x14ac:dyDescent="0.25">
      <c r="A618" s="48" t="s">
        <v>572</v>
      </c>
      <c r="B618" s="54" t="s">
        <v>510</v>
      </c>
      <c r="C618" s="46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60"/>
    </row>
    <row r="619" spans="1:15" s="38" customFormat="1" ht="30.75" hidden="1" customHeight="1" outlineLevel="1" x14ac:dyDescent="0.25">
      <c r="A619" s="48" t="s">
        <v>573</v>
      </c>
      <c r="B619" s="54" t="s">
        <v>512</v>
      </c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60"/>
    </row>
    <row r="620" spans="1:15" s="38" customFormat="1" ht="14.45" hidden="1" customHeight="1" outlineLevel="1" x14ac:dyDescent="0.25">
      <c r="A620" s="140" t="s">
        <v>574</v>
      </c>
      <c r="B620" s="141" t="s">
        <v>514</v>
      </c>
      <c r="C620" s="130">
        <f>SUM(N620:N626)</f>
        <v>0</v>
      </c>
      <c r="D620" s="130">
        <f>SUM(O620:O626)</f>
        <v>0</v>
      </c>
      <c r="E620" s="130">
        <f t="shared" ref="E620:E683" si="188">D620/8</f>
        <v>0</v>
      </c>
      <c r="F620" s="130"/>
      <c r="G620" s="60" t="s">
        <v>125</v>
      </c>
      <c r="H620" s="123"/>
      <c r="I620" s="123"/>
      <c r="J620" s="60"/>
      <c r="K620" s="60"/>
      <c r="L620" s="60"/>
      <c r="M620" s="60"/>
      <c r="N620" s="60">
        <f>M620*J620*K620*L620</f>
        <v>0</v>
      </c>
      <c r="O620" s="60">
        <f>J620*K620*L620</f>
        <v>0</v>
      </c>
    </row>
    <row r="621" spans="1:15" s="38" customFormat="1" ht="11.45" hidden="1" customHeight="1" outlineLevel="1" x14ac:dyDescent="0.25">
      <c r="A621" s="124"/>
      <c r="B621" s="142"/>
      <c r="C621" s="115"/>
      <c r="D621" s="115"/>
      <c r="E621" s="115"/>
      <c r="F621" s="115"/>
      <c r="G621" s="60" t="s">
        <v>126</v>
      </c>
      <c r="H621" s="124"/>
      <c r="I621" s="124"/>
      <c r="J621" s="60"/>
      <c r="K621" s="60"/>
      <c r="L621" s="60"/>
      <c r="M621" s="60"/>
      <c r="N621" s="60">
        <f t="shared" ref="N621:N626" si="189">M621*J621*K621*L621</f>
        <v>0</v>
      </c>
      <c r="O621" s="60">
        <f t="shared" ref="O621:O626" si="190">J621*K621*L621</f>
        <v>0</v>
      </c>
    </row>
    <row r="622" spans="1:15" s="38" customFormat="1" ht="10.7" hidden="1" customHeight="1" outlineLevel="1" x14ac:dyDescent="0.25">
      <c r="A622" s="124"/>
      <c r="B622" s="142"/>
      <c r="C622" s="115"/>
      <c r="D622" s="115"/>
      <c r="E622" s="115"/>
      <c r="F622" s="115"/>
      <c r="G622" s="60" t="s">
        <v>127</v>
      </c>
      <c r="H622" s="124"/>
      <c r="I622" s="124"/>
      <c r="J622" s="60"/>
      <c r="K622" s="60"/>
      <c r="L622" s="60"/>
      <c r="M622" s="60"/>
      <c r="N622" s="60">
        <f t="shared" si="189"/>
        <v>0</v>
      </c>
      <c r="O622" s="60">
        <f t="shared" si="190"/>
        <v>0</v>
      </c>
    </row>
    <row r="623" spans="1:15" s="38" customFormat="1" ht="10.7" hidden="1" customHeight="1" outlineLevel="1" x14ac:dyDescent="0.25">
      <c r="A623" s="124"/>
      <c r="B623" s="142"/>
      <c r="C623" s="115"/>
      <c r="D623" s="115"/>
      <c r="E623" s="115"/>
      <c r="F623" s="115"/>
      <c r="G623" s="60" t="s">
        <v>128</v>
      </c>
      <c r="H623" s="124"/>
      <c r="I623" s="124"/>
      <c r="J623" s="60"/>
      <c r="K623" s="60"/>
      <c r="L623" s="60"/>
      <c r="M623" s="60"/>
      <c r="N623" s="60">
        <f t="shared" si="189"/>
        <v>0</v>
      </c>
      <c r="O623" s="60">
        <f t="shared" si="190"/>
        <v>0</v>
      </c>
    </row>
    <row r="624" spans="1:15" s="38" customFormat="1" ht="10.7" hidden="1" customHeight="1" outlineLevel="1" x14ac:dyDescent="0.25">
      <c r="A624" s="124"/>
      <c r="B624" s="142"/>
      <c r="C624" s="115"/>
      <c r="D624" s="115"/>
      <c r="E624" s="115"/>
      <c r="F624" s="115"/>
      <c r="G624" s="60" t="s">
        <v>129</v>
      </c>
      <c r="H624" s="124"/>
      <c r="I624" s="124"/>
      <c r="J624" s="60"/>
      <c r="K624" s="60"/>
      <c r="L624" s="60"/>
      <c r="M624" s="60"/>
      <c r="N624" s="60">
        <f t="shared" si="189"/>
        <v>0</v>
      </c>
      <c r="O624" s="60">
        <f t="shared" si="190"/>
        <v>0</v>
      </c>
    </row>
    <row r="625" spans="1:15" s="38" customFormat="1" ht="10.7" hidden="1" customHeight="1" outlineLevel="1" x14ac:dyDescent="0.25">
      <c r="A625" s="124"/>
      <c r="B625" s="142"/>
      <c r="C625" s="115"/>
      <c r="D625" s="115"/>
      <c r="E625" s="115"/>
      <c r="F625" s="115"/>
      <c r="G625" s="60" t="s">
        <v>130</v>
      </c>
      <c r="H625" s="124"/>
      <c r="I625" s="124"/>
      <c r="J625" s="60"/>
      <c r="K625" s="60"/>
      <c r="L625" s="60"/>
      <c r="M625" s="60"/>
      <c r="N625" s="60">
        <f t="shared" si="189"/>
        <v>0</v>
      </c>
      <c r="O625" s="60">
        <f t="shared" si="190"/>
        <v>0</v>
      </c>
    </row>
    <row r="626" spans="1:15" s="38" customFormat="1" ht="12" hidden="1" customHeight="1" outlineLevel="1" thickBot="1" x14ac:dyDescent="0.3">
      <c r="A626" s="125"/>
      <c r="B626" s="143"/>
      <c r="C626" s="131"/>
      <c r="D626" s="131"/>
      <c r="E626" s="131"/>
      <c r="F626" s="131"/>
      <c r="G626" s="60" t="s">
        <v>131</v>
      </c>
      <c r="H626" s="134"/>
      <c r="I626" s="134"/>
      <c r="J626" s="60"/>
      <c r="K626" s="60"/>
      <c r="L626" s="60"/>
      <c r="M626" s="60"/>
      <c r="N626" s="60">
        <f t="shared" si="189"/>
        <v>0</v>
      </c>
      <c r="O626" s="60">
        <f t="shared" si="190"/>
        <v>0</v>
      </c>
    </row>
    <row r="627" spans="1:15" s="38" customFormat="1" ht="14.45" hidden="1" customHeight="1" outlineLevel="1" x14ac:dyDescent="0.25">
      <c r="A627" s="140" t="s">
        <v>575</v>
      </c>
      <c r="B627" s="141" t="s">
        <v>516</v>
      </c>
      <c r="C627" s="130">
        <f>SUM(N627:N633)</f>
        <v>0</v>
      </c>
      <c r="D627" s="130">
        <f>SUM(O627:O633)</f>
        <v>0</v>
      </c>
      <c r="E627" s="130">
        <f t="shared" si="188"/>
        <v>0</v>
      </c>
      <c r="F627" s="130"/>
      <c r="G627" s="60" t="s">
        <v>125</v>
      </c>
      <c r="H627" s="123"/>
      <c r="I627" s="123"/>
      <c r="J627" s="60"/>
      <c r="K627" s="60"/>
      <c r="L627" s="60"/>
      <c r="M627" s="60"/>
      <c r="N627" s="60">
        <f>M627*J627*K627*L627</f>
        <v>0</v>
      </c>
      <c r="O627" s="60">
        <f>J627*K627*L627</f>
        <v>0</v>
      </c>
    </row>
    <row r="628" spans="1:15" s="38" customFormat="1" ht="11.45" hidden="1" customHeight="1" outlineLevel="1" x14ac:dyDescent="0.25">
      <c r="A628" s="124"/>
      <c r="B628" s="142"/>
      <c r="C628" s="115"/>
      <c r="D628" s="115"/>
      <c r="E628" s="115"/>
      <c r="F628" s="115"/>
      <c r="G628" s="60" t="s">
        <v>126</v>
      </c>
      <c r="H628" s="124"/>
      <c r="I628" s="124"/>
      <c r="J628" s="60"/>
      <c r="K628" s="60"/>
      <c r="L628" s="60"/>
      <c r="M628" s="60"/>
      <c r="N628" s="60">
        <f t="shared" ref="N628:N633" si="191">M628*J628*K628*L628</f>
        <v>0</v>
      </c>
      <c r="O628" s="60">
        <f t="shared" ref="O628:O633" si="192">J628*K628*L628</f>
        <v>0</v>
      </c>
    </row>
    <row r="629" spans="1:15" s="38" customFormat="1" ht="10.7" hidden="1" customHeight="1" outlineLevel="1" x14ac:dyDescent="0.25">
      <c r="A629" s="124"/>
      <c r="B629" s="142"/>
      <c r="C629" s="115"/>
      <c r="D629" s="115"/>
      <c r="E629" s="115"/>
      <c r="F629" s="115"/>
      <c r="G629" s="60" t="s">
        <v>127</v>
      </c>
      <c r="H629" s="124"/>
      <c r="I629" s="124"/>
      <c r="J629" s="60"/>
      <c r="K629" s="60"/>
      <c r="L629" s="60"/>
      <c r="M629" s="60"/>
      <c r="N629" s="60">
        <f t="shared" si="191"/>
        <v>0</v>
      </c>
      <c r="O629" s="60">
        <f t="shared" si="192"/>
        <v>0</v>
      </c>
    </row>
    <row r="630" spans="1:15" s="38" customFormat="1" ht="10.7" hidden="1" customHeight="1" outlineLevel="1" x14ac:dyDescent="0.25">
      <c r="A630" s="124"/>
      <c r="B630" s="142"/>
      <c r="C630" s="115"/>
      <c r="D630" s="115"/>
      <c r="E630" s="115"/>
      <c r="F630" s="115"/>
      <c r="G630" s="60" t="s">
        <v>128</v>
      </c>
      <c r="H630" s="124"/>
      <c r="I630" s="124"/>
      <c r="J630" s="60"/>
      <c r="K630" s="60"/>
      <c r="L630" s="60"/>
      <c r="M630" s="60"/>
      <c r="N630" s="60">
        <f t="shared" si="191"/>
        <v>0</v>
      </c>
      <c r="O630" s="60">
        <f t="shared" si="192"/>
        <v>0</v>
      </c>
    </row>
    <row r="631" spans="1:15" s="38" customFormat="1" ht="10.7" hidden="1" customHeight="1" outlineLevel="1" x14ac:dyDescent="0.25">
      <c r="A631" s="124"/>
      <c r="B631" s="142"/>
      <c r="C631" s="115"/>
      <c r="D631" s="115"/>
      <c r="E631" s="115"/>
      <c r="F631" s="115"/>
      <c r="G631" s="60" t="s">
        <v>129</v>
      </c>
      <c r="H631" s="124"/>
      <c r="I631" s="124"/>
      <c r="J631" s="60"/>
      <c r="K631" s="60"/>
      <c r="L631" s="60"/>
      <c r="M631" s="60"/>
      <c r="N631" s="60">
        <f t="shared" si="191"/>
        <v>0</v>
      </c>
      <c r="O631" s="60">
        <f t="shared" si="192"/>
        <v>0</v>
      </c>
    </row>
    <row r="632" spans="1:15" s="38" customFormat="1" ht="10.7" hidden="1" customHeight="1" outlineLevel="1" x14ac:dyDescent="0.25">
      <c r="A632" s="124"/>
      <c r="B632" s="142"/>
      <c r="C632" s="115"/>
      <c r="D632" s="115"/>
      <c r="E632" s="115"/>
      <c r="F632" s="115"/>
      <c r="G632" s="60" t="s">
        <v>130</v>
      </c>
      <c r="H632" s="124"/>
      <c r="I632" s="124"/>
      <c r="J632" s="60"/>
      <c r="K632" s="60"/>
      <c r="L632" s="60"/>
      <c r="M632" s="60"/>
      <c r="N632" s="60">
        <f t="shared" si="191"/>
        <v>0</v>
      </c>
      <c r="O632" s="60">
        <f t="shared" si="192"/>
        <v>0</v>
      </c>
    </row>
    <row r="633" spans="1:15" s="38" customFormat="1" ht="12" hidden="1" customHeight="1" outlineLevel="1" thickBot="1" x14ac:dyDescent="0.3">
      <c r="A633" s="125"/>
      <c r="B633" s="143"/>
      <c r="C633" s="131"/>
      <c r="D633" s="131"/>
      <c r="E633" s="131"/>
      <c r="F633" s="131"/>
      <c r="G633" s="60" t="s">
        <v>131</v>
      </c>
      <c r="H633" s="134"/>
      <c r="I633" s="134"/>
      <c r="J633" s="60"/>
      <c r="K633" s="60"/>
      <c r="L633" s="60"/>
      <c r="M633" s="60"/>
      <c r="N633" s="60">
        <f t="shared" si="191"/>
        <v>0</v>
      </c>
      <c r="O633" s="60">
        <f t="shared" si="192"/>
        <v>0</v>
      </c>
    </row>
    <row r="634" spans="1:15" s="38" customFormat="1" ht="14.45" hidden="1" customHeight="1" outlineLevel="1" x14ac:dyDescent="0.25">
      <c r="A634" s="140" t="s">
        <v>576</v>
      </c>
      <c r="B634" s="141" t="s">
        <v>518</v>
      </c>
      <c r="C634" s="130">
        <f>SUM(N634:N640)</f>
        <v>0</v>
      </c>
      <c r="D634" s="130">
        <f>SUM(O634:O640)</f>
        <v>0</v>
      </c>
      <c r="E634" s="130">
        <f t="shared" si="188"/>
        <v>0</v>
      </c>
      <c r="F634" s="130"/>
      <c r="G634" s="60" t="s">
        <v>125</v>
      </c>
      <c r="H634" s="123"/>
      <c r="I634" s="123"/>
      <c r="J634" s="60"/>
      <c r="K634" s="60"/>
      <c r="L634" s="60"/>
      <c r="M634" s="60"/>
      <c r="N634" s="60">
        <f>M634*J634*K634*L634</f>
        <v>0</v>
      </c>
      <c r="O634" s="60">
        <f>J634*K634*L634</f>
        <v>0</v>
      </c>
    </row>
    <row r="635" spans="1:15" s="38" customFormat="1" ht="11.45" hidden="1" customHeight="1" outlineLevel="1" x14ac:dyDescent="0.25">
      <c r="A635" s="124"/>
      <c r="B635" s="142"/>
      <c r="C635" s="115"/>
      <c r="D635" s="115"/>
      <c r="E635" s="115"/>
      <c r="F635" s="115"/>
      <c r="G635" s="60" t="s">
        <v>126</v>
      </c>
      <c r="H635" s="124"/>
      <c r="I635" s="124"/>
      <c r="J635" s="60"/>
      <c r="K635" s="60"/>
      <c r="L635" s="60"/>
      <c r="M635" s="60"/>
      <c r="N635" s="60">
        <f t="shared" ref="N635:N640" si="193">M635*J635*K635*L635</f>
        <v>0</v>
      </c>
      <c r="O635" s="60">
        <f t="shared" ref="O635:O640" si="194">J635*K635*L635</f>
        <v>0</v>
      </c>
    </row>
    <row r="636" spans="1:15" s="38" customFormat="1" ht="10.7" hidden="1" customHeight="1" outlineLevel="1" x14ac:dyDescent="0.25">
      <c r="A636" s="124"/>
      <c r="B636" s="142"/>
      <c r="C636" s="115"/>
      <c r="D636" s="115"/>
      <c r="E636" s="115"/>
      <c r="F636" s="115"/>
      <c r="G636" s="60" t="s">
        <v>127</v>
      </c>
      <c r="H636" s="124"/>
      <c r="I636" s="124"/>
      <c r="J636" s="60"/>
      <c r="K636" s="60"/>
      <c r="L636" s="60"/>
      <c r="M636" s="60"/>
      <c r="N636" s="60">
        <f t="shared" si="193"/>
        <v>0</v>
      </c>
      <c r="O636" s="60">
        <f t="shared" si="194"/>
        <v>0</v>
      </c>
    </row>
    <row r="637" spans="1:15" s="38" customFormat="1" ht="10.7" hidden="1" customHeight="1" outlineLevel="1" x14ac:dyDescent="0.25">
      <c r="A637" s="124"/>
      <c r="B637" s="142"/>
      <c r="C637" s="115"/>
      <c r="D637" s="115"/>
      <c r="E637" s="115"/>
      <c r="F637" s="115"/>
      <c r="G637" s="60" t="s">
        <v>128</v>
      </c>
      <c r="H637" s="124"/>
      <c r="I637" s="124"/>
      <c r="J637" s="60"/>
      <c r="K637" s="60"/>
      <c r="L637" s="60"/>
      <c r="M637" s="60"/>
      <c r="N637" s="60">
        <f t="shared" si="193"/>
        <v>0</v>
      </c>
      <c r="O637" s="60">
        <f t="shared" si="194"/>
        <v>0</v>
      </c>
    </row>
    <row r="638" spans="1:15" s="38" customFormat="1" ht="10.7" hidden="1" customHeight="1" outlineLevel="1" x14ac:dyDescent="0.25">
      <c r="A638" s="124"/>
      <c r="B638" s="142"/>
      <c r="C638" s="115"/>
      <c r="D638" s="115"/>
      <c r="E638" s="115"/>
      <c r="F638" s="115"/>
      <c r="G638" s="60" t="s">
        <v>129</v>
      </c>
      <c r="H638" s="124"/>
      <c r="I638" s="124"/>
      <c r="J638" s="60"/>
      <c r="K638" s="60"/>
      <c r="L638" s="60"/>
      <c r="M638" s="60"/>
      <c r="N638" s="60">
        <f t="shared" si="193"/>
        <v>0</v>
      </c>
      <c r="O638" s="60">
        <f t="shared" si="194"/>
        <v>0</v>
      </c>
    </row>
    <row r="639" spans="1:15" s="38" customFormat="1" ht="10.7" hidden="1" customHeight="1" outlineLevel="1" x14ac:dyDescent="0.25">
      <c r="A639" s="124"/>
      <c r="B639" s="142"/>
      <c r="C639" s="115"/>
      <c r="D639" s="115"/>
      <c r="E639" s="115"/>
      <c r="F639" s="115"/>
      <c r="G639" s="60" t="s">
        <v>130</v>
      </c>
      <c r="H639" s="124"/>
      <c r="I639" s="124"/>
      <c r="J639" s="60"/>
      <c r="K639" s="60"/>
      <c r="L639" s="60"/>
      <c r="M639" s="60"/>
      <c r="N639" s="60">
        <f t="shared" si="193"/>
        <v>0</v>
      </c>
      <c r="O639" s="60">
        <f t="shared" si="194"/>
        <v>0</v>
      </c>
    </row>
    <row r="640" spans="1:15" s="38" customFormat="1" ht="12" hidden="1" customHeight="1" outlineLevel="1" thickBot="1" x14ac:dyDescent="0.3">
      <c r="A640" s="125"/>
      <c r="B640" s="143"/>
      <c r="C640" s="131"/>
      <c r="D640" s="131"/>
      <c r="E640" s="131"/>
      <c r="F640" s="131"/>
      <c r="G640" s="60" t="s">
        <v>131</v>
      </c>
      <c r="H640" s="134"/>
      <c r="I640" s="134"/>
      <c r="J640" s="60"/>
      <c r="K640" s="60"/>
      <c r="L640" s="60"/>
      <c r="M640" s="60"/>
      <c r="N640" s="60">
        <f t="shared" si="193"/>
        <v>0</v>
      </c>
      <c r="O640" s="60">
        <f t="shared" si="194"/>
        <v>0</v>
      </c>
    </row>
    <row r="641" spans="1:15" s="38" customFormat="1" ht="14.45" hidden="1" customHeight="1" outlineLevel="1" x14ac:dyDescent="0.25">
      <c r="A641" s="140" t="s">
        <v>577</v>
      </c>
      <c r="B641" s="141" t="s">
        <v>578</v>
      </c>
      <c r="C641" s="130">
        <f>SUM(N641:N647)</f>
        <v>0</v>
      </c>
      <c r="D641" s="130">
        <f>SUM(O641:O647)</f>
        <v>0</v>
      </c>
      <c r="E641" s="130">
        <f t="shared" si="188"/>
        <v>0</v>
      </c>
      <c r="F641" s="130"/>
      <c r="G641" s="60" t="s">
        <v>125</v>
      </c>
      <c r="H641" s="123"/>
      <c r="I641" s="123"/>
      <c r="J641" s="60"/>
      <c r="K641" s="60"/>
      <c r="L641" s="60"/>
      <c r="M641" s="60"/>
      <c r="N641" s="60">
        <f>M641*J641*K641*L641</f>
        <v>0</v>
      </c>
      <c r="O641" s="60">
        <f>J641*K641*L641</f>
        <v>0</v>
      </c>
    </row>
    <row r="642" spans="1:15" s="38" customFormat="1" ht="11.45" hidden="1" customHeight="1" outlineLevel="1" x14ac:dyDescent="0.25">
      <c r="A642" s="124"/>
      <c r="B642" s="142"/>
      <c r="C642" s="115"/>
      <c r="D642" s="115"/>
      <c r="E642" s="115"/>
      <c r="F642" s="115"/>
      <c r="G642" s="60" t="s">
        <v>126</v>
      </c>
      <c r="H642" s="124"/>
      <c r="I642" s="124"/>
      <c r="J642" s="60"/>
      <c r="K642" s="60"/>
      <c r="L642" s="60"/>
      <c r="M642" s="60"/>
      <c r="N642" s="60">
        <f t="shared" ref="N642:N647" si="195">M642*J642*K642*L642</f>
        <v>0</v>
      </c>
      <c r="O642" s="60">
        <f t="shared" ref="O642:O647" si="196">J642*K642*L642</f>
        <v>0</v>
      </c>
    </row>
    <row r="643" spans="1:15" s="38" customFormat="1" ht="10.7" hidden="1" customHeight="1" outlineLevel="1" x14ac:dyDescent="0.25">
      <c r="A643" s="124"/>
      <c r="B643" s="142"/>
      <c r="C643" s="115"/>
      <c r="D643" s="115"/>
      <c r="E643" s="115"/>
      <c r="F643" s="115"/>
      <c r="G643" s="60" t="s">
        <v>127</v>
      </c>
      <c r="H643" s="124"/>
      <c r="I643" s="124"/>
      <c r="J643" s="60"/>
      <c r="K643" s="60"/>
      <c r="L643" s="60"/>
      <c r="M643" s="60"/>
      <c r="N643" s="60">
        <f t="shared" si="195"/>
        <v>0</v>
      </c>
      <c r="O643" s="60">
        <f t="shared" si="196"/>
        <v>0</v>
      </c>
    </row>
    <row r="644" spans="1:15" s="38" customFormat="1" ht="10.7" hidden="1" customHeight="1" outlineLevel="1" x14ac:dyDescent="0.25">
      <c r="A644" s="124"/>
      <c r="B644" s="142"/>
      <c r="C644" s="115"/>
      <c r="D644" s="115"/>
      <c r="E644" s="115"/>
      <c r="F644" s="115"/>
      <c r="G644" s="60" t="s">
        <v>128</v>
      </c>
      <c r="H644" s="124"/>
      <c r="I644" s="124"/>
      <c r="J644" s="60"/>
      <c r="K644" s="60"/>
      <c r="L644" s="60"/>
      <c r="M644" s="60"/>
      <c r="N644" s="60">
        <f t="shared" si="195"/>
        <v>0</v>
      </c>
      <c r="O644" s="60">
        <f t="shared" si="196"/>
        <v>0</v>
      </c>
    </row>
    <row r="645" spans="1:15" s="38" customFormat="1" ht="10.7" hidden="1" customHeight="1" outlineLevel="1" x14ac:dyDescent="0.25">
      <c r="A645" s="124"/>
      <c r="B645" s="142"/>
      <c r="C645" s="115"/>
      <c r="D645" s="115"/>
      <c r="E645" s="115"/>
      <c r="F645" s="115"/>
      <c r="G645" s="60" t="s">
        <v>129</v>
      </c>
      <c r="H645" s="124"/>
      <c r="I645" s="124"/>
      <c r="J645" s="60"/>
      <c r="K645" s="60"/>
      <c r="L645" s="60"/>
      <c r="M645" s="60"/>
      <c r="N645" s="60">
        <f t="shared" si="195"/>
        <v>0</v>
      </c>
      <c r="O645" s="60">
        <f t="shared" si="196"/>
        <v>0</v>
      </c>
    </row>
    <row r="646" spans="1:15" s="38" customFormat="1" ht="10.7" hidden="1" customHeight="1" outlineLevel="1" x14ac:dyDescent="0.25">
      <c r="A646" s="124"/>
      <c r="B646" s="142"/>
      <c r="C646" s="115"/>
      <c r="D646" s="115"/>
      <c r="E646" s="115"/>
      <c r="F646" s="115"/>
      <c r="G646" s="60" t="s">
        <v>130</v>
      </c>
      <c r="H646" s="124"/>
      <c r="I646" s="124"/>
      <c r="J646" s="60"/>
      <c r="K646" s="60"/>
      <c r="L646" s="60"/>
      <c r="M646" s="60"/>
      <c r="N646" s="60">
        <f t="shared" si="195"/>
        <v>0</v>
      </c>
      <c r="O646" s="60">
        <f t="shared" si="196"/>
        <v>0</v>
      </c>
    </row>
    <row r="647" spans="1:15" s="38" customFormat="1" ht="12" hidden="1" customHeight="1" outlineLevel="1" thickBot="1" x14ac:dyDescent="0.3">
      <c r="A647" s="125"/>
      <c r="B647" s="143"/>
      <c r="C647" s="131"/>
      <c r="D647" s="131"/>
      <c r="E647" s="131"/>
      <c r="F647" s="131"/>
      <c r="G647" s="60" t="s">
        <v>131</v>
      </c>
      <c r="H647" s="134"/>
      <c r="I647" s="134"/>
      <c r="J647" s="60"/>
      <c r="K647" s="60"/>
      <c r="L647" s="60"/>
      <c r="M647" s="60"/>
      <c r="N647" s="60">
        <f t="shared" si="195"/>
        <v>0</v>
      </c>
      <c r="O647" s="60">
        <f t="shared" si="196"/>
        <v>0</v>
      </c>
    </row>
    <row r="648" spans="1:15" s="38" customFormat="1" ht="14.45" hidden="1" customHeight="1" outlineLevel="1" x14ac:dyDescent="0.25">
      <c r="A648" s="140" t="s">
        <v>579</v>
      </c>
      <c r="B648" s="141" t="s">
        <v>520</v>
      </c>
      <c r="C648" s="130">
        <f>SUM(N648:N654)</f>
        <v>0</v>
      </c>
      <c r="D648" s="130">
        <f>SUM(O648:O654)</f>
        <v>0</v>
      </c>
      <c r="E648" s="130">
        <f t="shared" si="188"/>
        <v>0</v>
      </c>
      <c r="F648" s="130"/>
      <c r="G648" s="60" t="s">
        <v>125</v>
      </c>
      <c r="H648" s="123"/>
      <c r="I648" s="123"/>
      <c r="J648" s="60"/>
      <c r="K648" s="60"/>
      <c r="L648" s="60"/>
      <c r="M648" s="60"/>
      <c r="N648" s="60">
        <f>M648*J648*K648*L648</f>
        <v>0</v>
      </c>
      <c r="O648" s="60">
        <f>J648*K648*L648</f>
        <v>0</v>
      </c>
    </row>
    <row r="649" spans="1:15" s="38" customFormat="1" ht="11.45" hidden="1" customHeight="1" outlineLevel="1" x14ac:dyDescent="0.25">
      <c r="A649" s="124"/>
      <c r="B649" s="142"/>
      <c r="C649" s="115"/>
      <c r="D649" s="115"/>
      <c r="E649" s="115"/>
      <c r="F649" s="115"/>
      <c r="G649" s="60" t="s">
        <v>126</v>
      </c>
      <c r="H649" s="124"/>
      <c r="I649" s="124"/>
      <c r="J649" s="60"/>
      <c r="K649" s="60"/>
      <c r="L649" s="60"/>
      <c r="M649" s="60"/>
      <c r="N649" s="60">
        <f t="shared" ref="N649:N654" si="197">M649*J649*K649*L649</f>
        <v>0</v>
      </c>
      <c r="O649" s="60">
        <f t="shared" ref="O649:O654" si="198">J649*K649*L649</f>
        <v>0</v>
      </c>
    </row>
    <row r="650" spans="1:15" s="38" customFormat="1" ht="10.7" hidden="1" customHeight="1" outlineLevel="1" x14ac:dyDescent="0.25">
      <c r="A650" s="124"/>
      <c r="B650" s="142"/>
      <c r="C650" s="115"/>
      <c r="D650" s="115"/>
      <c r="E650" s="115"/>
      <c r="F650" s="115"/>
      <c r="G650" s="60" t="s">
        <v>127</v>
      </c>
      <c r="H650" s="124"/>
      <c r="I650" s="124"/>
      <c r="J650" s="60"/>
      <c r="K650" s="60"/>
      <c r="L650" s="60"/>
      <c r="M650" s="60"/>
      <c r="N650" s="60">
        <f t="shared" si="197"/>
        <v>0</v>
      </c>
      <c r="O650" s="60">
        <f t="shared" si="198"/>
        <v>0</v>
      </c>
    </row>
    <row r="651" spans="1:15" s="38" customFormat="1" ht="10.7" hidden="1" customHeight="1" outlineLevel="1" x14ac:dyDescent="0.25">
      <c r="A651" s="124"/>
      <c r="B651" s="142"/>
      <c r="C651" s="115"/>
      <c r="D651" s="115"/>
      <c r="E651" s="115"/>
      <c r="F651" s="115"/>
      <c r="G651" s="60" t="s">
        <v>128</v>
      </c>
      <c r="H651" s="124"/>
      <c r="I651" s="124"/>
      <c r="J651" s="60"/>
      <c r="K651" s="60"/>
      <c r="L651" s="60"/>
      <c r="M651" s="60"/>
      <c r="N651" s="60">
        <f t="shared" si="197"/>
        <v>0</v>
      </c>
      <c r="O651" s="60">
        <f t="shared" si="198"/>
        <v>0</v>
      </c>
    </row>
    <row r="652" spans="1:15" s="38" customFormat="1" ht="10.7" hidden="1" customHeight="1" outlineLevel="1" x14ac:dyDescent="0.25">
      <c r="A652" s="124"/>
      <c r="B652" s="142"/>
      <c r="C652" s="115"/>
      <c r="D652" s="115"/>
      <c r="E652" s="115"/>
      <c r="F652" s="115"/>
      <c r="G652" s="60" t="s">
        <v>129</v>
      </c>
      <c r="H652" s="124"/>
      <c r="I652" s="124"/>
      <c r="J652" s="60"/>
      <c r="K652" s="60"/>
      <c r="L652" s="60"/>
      <c r="M652" s="60"/>
      <c r="N652" s="60">
        <f t="shared" si="197"/>
        <v>0</v>
      </c>
      <c r="O652" s="60">
        <f t="shared" si="198"/>
        <v>0</v>
      </c>
    </row>
    <row r="653" spans="1:15" s="38" customFormat="1" ht="10.7" hidden="1" customHeight="1" outlineLevel="1" x14ac:dyDescent="0.25">
      <c r="A653" s="124"/>
      <c r="B653" s="142"/>
      <c r="C653" s="115"/>
      <c r="D653" s="115"/>
      <c r="E653" s="115"/>
      <c r="F653" s="115"/>
      <c r="G653" s="60" t="s">
        <v>130</v>
      </c>
      <c r="H653" s="124"/>
      <c r="I653" s="124"/>
      <c r="J653" s="60"/>
      <c r="K653" s="60"/>
      <c r="L653" s="60"/>
      <c r="M653" s="60"/>
      <c r="N653" s="60">
        <f t="shared" si="197"/>
        <v>0</v>
      </c>
      <c r="O653" s="60">
        <f t="shared" si="198"/>
        <v>0</v>
      </c>
    </row>
    <row r="654" spans="1:15" s="38" customFormat="1" ht="12" hidden="1" customHeight="1" outlineLevel="1" thickBot="1" x14ac:dyDescent="0.3">
      <c r="A654" s="125"/>
      <c r="B654" s="143"/>
      <c r="C654" s="131"/>
      <c r="D654" s="131"/>
      <c r="E654" s="131"/>
      <c r="F654" s="131"/>
      <c r="G654" s="60" t="s">
        <v>131</v>
      </c>
      <c r="H654" s="134"/>
      <c r="I654" s="134"/>
      <c r="J654" s="60"/>
      <c r="K654" s="60"/>
      <c r="L654" s="60"/>
      <c r="M654" s="60"/>
      <c r="N654" s="60">
        <f t="shared" si="197"/>
        <v>0</v>
      </c>
      <c r="O654" s="60">
        <f t="shared" si="198"/>
        <v>0</v>
      </c>
    </row>
    <row r="655" spans="1:15" s="38" customFormat="1" ht="14.45" hidden="1" customHeight="1" outlineLevel="1" x14ac:dyDescent="0.25">
      <c r="A655" s="140" t="s">
        <v>580</v>
      </c>
      <c r="B655" s="141" t="s">
        <v>581</v>
      </c>
      <c r="C655" s="130">
        <f>SUM(N655:N661)</f>
        <v>0</v>
      </c>
      <c r="D655" s="130">
        <f>SUM(O655:O661)</f>
        <v>0</v>
      </c>
      <c r="E655" s="130">
        <f t="shared" si="188"/>
        <v>0</v>
      </c>
      <c r="F655" s="130"/>
      <c r="G655" s="60" t="s">
        <v>125</v>
      </c>
      <c r="H655" s="123"/>
      <c r="I655" s="123"/>
      <c r="J655" s="60"/>
      <c r="K655" s="60"/>
      <c r="L655" s="60"/>
      <c r="M655" s="60"/>
      <c r="N655" s="60">
        <f>M655*J655*K655*L655</f>
        <v>0</v>
      </c>
      <c r="O655" s="60">
        <f>J655*K655*L655</f>
        <v>0</v>
      </c>
    </row>
    <row r="656" spans="1:15" s="38" customFormat="1" ht="11.45" hidden="1" customHeight="1" outlineLevel="1" x14ac:dyDescent="0.25">
      <c r="A656" s="124"/>
      <c r="B656" s="142"/>
      <c r="C656" s="115"/>
      <c r="D656" s="115"/>
      <c r="E656" s="115"/>
      <c r="F656" s="115"/>
      <c r="G656" s="60" t="s">
        <v>126</v>
      </c>
      <c r="H656" s="124"/>
      <c r="I656" s="124"/>
      <c r="J656" s="60"/>
      <c r="K656" s="60"/>
      <c r="L656" s="60"/>
      <c r="M656" s="60"/>
      <c r="N656" s="60">
        <f t="shared" ref="N656:N661" si="199">M656*J656*K656*L656</f>
        <v>0</v>
      </c>
      <c r="O656" s="60">
        <f t="shared" ref="O656:O661" si="200">J656*K656*L656</f>
        <v>0</v>
      </c>
    </row>
    <row r="657" spans="1:15" s="38" customFormat="1" ht="10.7" hidden="1" customHeight="1" outlineLevel="1" x14ac:dyDescent="0.25">
      <c r="A657" s="124"/>
      <c r="B657" s="142"/>
      <c r="C657" s="115"/>
      <c r="D657" s="115"/>
      <c r="E657" s="115"/>
      <c r="F657" s="115"/>
      <c r="G657" s="60" t="s">
        <v>127</v>
      </c>
      <c r="H657" s="124"/>
      <c r="I657" s="124"/>
      <c r="J657" s="60"/>
      <c r="K657" s="60"/>
      <c r="L657" s="60"/>
      <c r="M657" s="60"/>
      <c r="N657" s="60">
        <f t="shared" si="199"/>
        <v>0</v>
      </c>
      <c r="O657" s="60">
        <f t="shared" si="200"/>
        <v>0</v>
      </c>
    </row>
    <row r="658" spans="1:15" s="38" customFormat="1" ht="10.7" hidden="1" customHeight="1" outlineLevel="1" x14ac:dyDescent="0.25">
      <c r="A658" s="124"/>
      <c r="B658" s="142"/>
      <c r="C658" s="115"/>
      <c r="D658" s="115"/>
      <c r="E658" s="115"/>
      <c r="F658" s="115"/>
      <c r="G658" s="60" t="s">
        <v>128</v>
      </c>
      <c r="H658" s="124"/>
      <c r="I658" s="124"/>
      <c r="J658" s="60"/>
      <c r="K658" s="60"/>
      <c r="L658" s="60"/>
      <c r="M658" s="60"/>
      <c r="N658" s="60">
        <f t="shared" si="199"/>
        <v>0</v>
      </c>
      <c r="O658" s="60">
        <f t="shared" si="200"/>
        <v>0</v>
      </c>
    </row>
    <row r="659" spans="1:15" s="38" customFormat="1" ht="10.7" hidden="1" customHeight="1" outlineLevel="1" x14ac:dyDescent="0.25">
      <c r="A659" s="124"/>
      <c r="B659" s="142"/>
      <c r="C659" s="115"/>
      <c r="D659" s="115"/>
      <c r="E659" s="115"/>
      <c r="F659" s="115"/>
      <c r="G659" s="60" t="s">
        <v>129</v>
      </c>
      <c r="H659" s="124"/>
      <c r="I659" s="124"/>
      <c r="J659" s="60"/>
      <c r="K659" s="60"/>
      <c r="L659" s="60"/>
      <c r="M659" s="60"/>
      <c r="N659" s="60">
        <f t="shared" si="199"/>
        <v>0</v>
      </c>
      <c r="O659" s="60">
        <f t="shared" si="200"/>
        <v>0</v>
      </c>
    </row>
    <row r="660" spans="1:15" s="38" customFormat="1" ht="10.7" hidden="1" customHeight="1" outlineLevel="1" x14ac:dyDescent="0.25">
      <c r="A660" s="124"/>
      <c r="B660" s="142"/>
      <c r="C660" s="115"/>
      <c r="D660" s="115"/>
      <c r="E660" s="115"/>
      <c r="F660" s="115"/>
      <c r="G660" s="60" t="s">
        <v>130</v>
      </c>
      <c r="H660" s="124"/>
      <c r="I660" s="124"/>
      <c r="J660" s="60"/>
      <c r="K660" s="60"/>
      <c r="L660" s="60"/>
      <c r="M660" s="60"/>
      <c r="N660" s="60">
        <f t="shared" si="199"/>
        <v>0</v>
      </c>
      <c r="O660" s="60">
        <f t="shared" si="200"/>
        <v>0</v>
      </c>
    </row>
    <row r="661" spans="1:15" s="38" customFormat="1" ht="12" hidden="1" customHeight="1" outlineLevel="1" thickBot="1" x14ac:dyDescent="0.3">
      <c r="A661" s="125"/>
      <c r="B661" s="143"/>
      <c r="C661" s="131"/>
      <c r="D661" s="131"/>
      <c r="E661" s="131"/>
      <c r="F661" s="131"/>
      <c r="G661" s="60" t="s">
        <v>131</v>
      </c>
      <c r="H661" s="134"/>
      <c r="I661" s="134"/>
      <c r="J661" s="60"/>
      <c r="K661" s="60"/>
      <c r="L661" s="60"/>
      <c r="M661" s="60"/>
      <c r="N661" s="60">
        <f t="shared" si="199"/>
        <v>0</v>
      </c>
      <c r="O661" s="60">
        <f t="shared" si="200"/>
        <v>0</v>
      </c>
    </row>
    <row r="662" spans="1:15" s="38" customFormat="1" ht="14.45" hidden="1" customHeight="1" outlineLevel="1" x14ac:dyDescent="0.25">
      <c r="A662" s="140" t="s">
        <v>582</v>
      </c>
      <c r="B662" s="141" t="s">
        <v>583</v>
      </c>
      <c r="C662" s="130">
        <f>SUM(N662:N668)</f>
        <v>0</v>
      </c>
      <c r="D662" s="130">
        <f>SUM(O662:O668)</f>
        <v>0</v>
      </c>
      <c r="E662" s="130">
        <f t="shared" si="188"/>
        <v>0</v>
      </c>
      <c r="F662" s="130"/>
      <c r="G662" s="60" t="s">
        <v>125</v>
      </c>
      <c r="H662" s="123"/>
      <c r="I662" s="123"/>
      <c r="J662" s="60"/>
      <c r="K662" s="60"/>
      <c r="L662" s="60"/>
      <c r="M662" s="60"/>
      <c r="N662" s="60">
        <f>M662*J662*K662*L662</f>
        <v>0</v>
      </c>
      <c r="O662" s="60">
        <f>J662*K662*L662</f>
        <v>0</v>
      </c>
    </row>
    <row r="663" spans="1:15" s="38" customFormat="1" ht="11.45" hidden="1" customHeight="1" outlineLevel="1" x14ac:dyDescent="0.25">
      <c r="A663" s="124"/>
      <c r="B663" s="142"/>
      <c r="C663" s="115"/>
      <c r="D663" s="115"/>
      <c r="E663" s="115"/>
      <c r="F663" s="115"/>
      <c r="G663" s="60" t="s">
        <v>126</v>
      </c>
      <c r="H663" s="124"/>
      <c r="I663" s="124"/>
      <c r="J663" s="60"/>
      <c r="K663" s="60"/>
      <c r="L663" s="60"/>
      <c r="M663" s="60"/>
      <c r="N663" s="60">
        <f t="shared" ref="N663:N668" si="201">M663*J663*K663*L663</f>
        <v>0</v>
      </c>
      <c r="O663" s="60">
        <f t="shared" ref="O663:O668" si="202">J663*K663*L663</f>
        <v>0</v>
      </c>
    </row>
    <row r="664" spans="1:15" s="38" customFormat="1" ht="10.7" hidden="1" customHeight="1" outlineLevel="1" x14ac:dyDescent="0.25">
      <c r="A664" s="124"/>
      <c r="B664" s="142"/>
      <c r="C664" s="115"/>
      <c r="D664" s="115"/>
      <c r="E664" s="115"/>
      <c r="F664" s="115"/>
      <c r="G664" s="60" t="s">
        <v>127</v>
      </c>
      <c r="H664" s="124"/>
      <c r="I664" s="124"/>
      <c r="J664" s="60"/>
      <c r="K664" s="60"/>
      <c r="L664" s="60"/>
      <c r="M664" s="60"/>
      <c r="N664" s="60">
        <f t="shared" si="201"/>
        <v>0</v>
      </c>
      <c r="O664" s="60">
        <f t="shared" si="202"/>
        <v>0</v>
      </c>
    </row>
    <row r="665" spans="1:15" s="38" customFormat="1" ht="10.7" hidden="1" customHeight="1" outlineLevel="1" x14ac:dyDescent="0.25">
      <c r="A665" s="124"/>
      <c r="B665" s="142"/>
      <c r="C665" s="115"/>
      <c r="D665" s="115"/>
      <c r="E665" s="115"/>
      <c r="F665" s="115"/>
      <c r="G665" s="60" t="s">
        <v>128</v>
      </c>
      <c r="H665" s="124"/>
      <c r="I665" s="124"/>
      <c r="J665" s="60"/>
      <c r="K665" s="60"/>
      <c r="L665" s="60"/>
      <c r="M665" s="60"/>
      <c r="N665" s="60">
        <f t="shared" si="201"/>
        <v>0</v>
      </c>
      <c r="O665" s="60">
        <f t="shared" si="202"/>
        <v>0</v>
      </c>
    </row>
    <row r="666" spans="1:15" s="38" customFormat="1" ht="10.7" hidden="1" customHeight="1" outlineLevel="1" x14ac:dyDescent="0.25">
      <c r="A666" s="124"/>
      <c r="B666" s="142"/>
      <c r="C666" s="115"/>
      <c r="D666" s="115"/>
      <c r="E666" s="115"/>
      <c r="F666" s="115"/>
      <c r="G666" s="60" t="s">
        <v>129</v>
      </c>
      <c r="H666" s="124"/>
      <c r="I666" s="124"/>
      <c r="J666" s="60"/>
      <c r="K666" s="60"/>
      <c r="L666" s="60"/>
      <c r="M666" s="60"/>
      <c r="N666" s="60">
        <f t="shared" si="201"/>
        <v>0</v>
      </c>
      <c r="O666" s="60">
        <f t="shared" si="202"/>
        <v>0</v>
      </c>
    </row>
    <row r="667" spans="1:15" s="38" customFormat="1" ht="10.7" hidden="1" customHeight="1" outlineLevel="1" x14ac:dyDescent="0.25">
      <c r="A667" s="124"/>
      <c r="B667" s="142"/>
      <c r="C667" s="115"/>
      <c r="D667" s="115"/>
      <c r="E667" s="115"/>
      <c r="F667" s="115"/>
      <c r="G667" s="60" t="s">
        <v>130</v>
      </c>
      <c r="H667" s="124"/>
      <c r="I667" s="124"/>
      <c r="J667" s="60"/>
      <c r="K667" s="60"/>
      <c r="L667" s="60"/>
      <c r="M667" s="60"/>
      <c r="N667" s="60">
        <f t="shared" si="201"/>
        <v>0</v>
      </c>
      <c r="O667" s="60">
        <f t="shared" si="202"/>
        <v>0</v>
      </c>
    </row>
    <row r="668" spans="1:15" s="38" customFormat="1" ht="12" hidden="1" customHeight="1" outlineLevel="1" thickBot="1" x14ac:dyDescent="0.3">
      <c r="A668" s="125"/>
      <c r="B668" s="143"/>
      <c r="C668" s="131"/>
      <c r="D668" s="131"/>
      <c r="E668" s="131"/>
      <c r="F668" s="131"/>
      <c r="G668" s="60" t="s">
        <v>131</v>
      </c>
      <c r="H668" s="134"/>
      <c r="I668" s="134"/>
      <c r="J668" s="60"/>
      <c r="K668" s="60"/>
      <c r="L668" s="60"/>
      <c r="M668" s="60"/>
      <c r="N668" s="60">
        <f t="shared" si="201"/>
        <v>0</v>
      </c>
      <c r="O668" s="60">
        <f t="shared" si="202"/>
        <v>0</v>
      </c>
    </row>
    <row r="669" spans="1:15" s="38" customFormat="1" ht="14.45" hidden="1" customHeight="1" outlineLevel="1" x14ac:dyDescent="0.25">
      <c r="A669" s="140" t="s">
        <v>584</v>
      </c>
      <c r="B669" s="141" t="s">
        <v>585</v>
      </c>
      <c r="C669" s="130">
        <f>SUM(N669:N675)</f>
        <v>0</v>
      </c>
      <c r="D669" s="130">
        <f>SUM(O669:O675)</f>
        <v>0</v>
      </c>
      <c r="E669" s="130">
        <f t="shared" si="188"/>
        <v>0</v>
      </c>
      <c r="F669" s="130"/>
      <c r="G669" s="60" t="s">
        <v>125</v>
      </c>
      <c r="H669" s="123"/>
      <c r="I669" s="123"/>
      <c r="J669" s="60"/>
      <c r="K669" s="60"/>
      <c r="L669" s="60"/>
      <c r="M669" s="60"/>
      <c r="N669" s="60">
        <f>M669*J669*K669*L669</f>
        <v>0</v>
      </c>
      <c r="O669" s="60">
        <f>J669*K669*L669</f>
        <v>0</v>
      </c>
    </row>
    <row r="670" spans="1:15" s="38" customFormat="1" ht="11.45" hidden="1" customHeight="1" outlineLevel="1" x14ac:dyDescent="0.25">
      <c r="A670" s="124"/>
      <c r="B670" s="142"/>
      <c r="C670" s="115"/>
      <c r="D670" s="115"/>
      <c r="E670" s="115"/>
      <c r="F670" s="115"/>
      <c r="G670" s="60" t="s">
        <v>126</v>
      </c>
      <c r="H670" s="124"/>
      <c r="I670" s="124"/>
      <c r="J670" s="60"/>
      <c r="K670" s="60"/>
      <c r="L670" s="60"/>
      <c r="M670" s="60"/>
      <c r="N670" s="60">
        <f t="shared" ref="N670:N675" si="203">M670*J670*K670*L670</f>
        <v>0</v>
      </c>
      <c r="O670" s="60">
        <f t="shared" ref="O670:O675" si="204">J670*K670*L670</f>
        <v>0</v>
      </c>
    </row>
    <row r="671" spans="1:15" s="38" customFormat="1" ht="10.7" hidden="1" customHeight="1" outlineLevel="1" x14ac:dyDescent="0.25">
      <c r="A671" s="124"/>
      <c r="B671" s="142"/>
      <c r="C671" s="115"/>
      <c r="D671" s="115"/>
      <c r="E671" s="115"/>
      <c r="F671" s="115"/>
      <c r="G671" s="60" t="s">
        <v>127</v>
      </c>
      <c r="H671" s="124"/>
      <c r="I671" s="124"/>
      <c r="J671" s="60"/>
      <c r="K671" s="60"/>
      <c r="L671" s="60"/>
      <c r="M671" s="60"/>
      <c r="N671" s="60">
        <f t="shared" si="203"/>
        <v>0</v>
      </c>
      <c r="O671" s="60">
        <f t="shared" si="204"/>
        <v>0</v>
      </c>
    </row>
    <row r="672" spans="1:15" s="38" customFormat="1" ht="10.7" hidden="1" customHeight="1" outlineLevel="1" x14ac:dyDescent="0.25">
      <c r="A672" s="124"/>
      <c r="B672" s="142"/>
      <c r="C672" s="115"/>
      <c r="D672" s="115"/>
      <c r="E672" s="115"/>
      <c r="F672" s="115"/>
      <c r="G672" s="60" t="s">
        <v>128</v>
      </c>
      <c r="H672" s="124"/>
      <c r="I672" s="124"/>
      <c r="J672" s="60"/>
      <c r="K672" s="60"/>
      <c r="L672" s="60"/>
      <c r="M672" s="60"/>
      <c r="N672" s="60">
        <f t="shared" si="203"/>
        <v>0</v>
      </c>
      <c r="O672" s="60">
        <f t="shared" si="204"/>
        <v>0</v>
      </c>
    </row>
    <row r="673" spans="1:15" s="38" customFormat="1" ht="10.7" hidden="1" customHeight="1" outlineLevel="1" x14ac:dyDescent="0.25">
      <c r="A673" s="124"/>
      <c r="B673" s="142"/>
      <c r="C673" s="115"/>
      <c r="D673" s="115"/>
      <c r="E673" s="115"/>
      <c r="F673" s="115"/>
      <c r="G673" s="60" t="s">
        <v>129</v>
      </c>
      <c r="H673" s="124"/>
      <c r="I673" s="124"/>
      <c r="J673" s="60"/>
      <c r="K673" s="60"/>
      <c r="L673" s="60"/>
      <c r="M673" s="60"/>
      <c r="N673" s="60">
        <f t="shared" si="203"/>
        <v>0</v>
      </c>
      <c r="O673" s="60">
        <f t="shared" si="204"/>
        <v>0</v>
      </c>
    </row>
    <row r="674" spans="1:15" s="38" customFormat="1" ht="10.7" hidden="1" customHeight="1" outlineLevel="1" x14ac:dyDescent="0.25">
      <c r="A674" s="124"/>
      <c r="B674" s="142"/>
      <c r="C674" s="115"/>
      <c r="D674" s="115"/>
      <c r="E674" s="115"/>
      <c r="F674" s="115"/>
      <c r="G674" s="60" t="s">
        <v>130</v>
      </c>
      <c r="H674" s="124"/>
      <c r="I674" s="124"/>
      <c r="J674" s="60"/>
      <c r="K674" s="60"/>
      <c r="L674" s="60"/>
      <c r="M674" s="60"/>
      <c r="N674" s="60">
        <f t="shared" si="203"/>
        <v>0</v>
      </c>
      <c r="O674" s="60">
        <f t="shared" si="204"/>
        <v>0</v>
      </c>
    </row>
    <row r="675" spans="1:15" s="38" customFormat="1" ht="12" hidden="1" customHeight="1" outlineLevel="1" thickBot="1" x14ac:dyDescent="0.3">
      <c r="A675" s="125"/>
      <c r="B675" s="143"/>
      <c r="C675" s="131"/>
      <c r="D675" s="131"/>
      <c r="E675" s="131"/>
      <c r="F675" s="131"/>
      <c r="G675" s="60" t="s">
        <v>131</v>
      </c>
      <c r="H675" s="134"/>
      <c r="I675" s="134"/>
      <c r="J675" s="60"/>
      <c r="K675" s="60"/>
      <c r="L675" s="60"/>
      <c r="M675" s="60"/>
      <c r="N675" s="60">
        <f t="shared" si="203"/>
        <v>0</v>
      </c>
      <c r="O675" s="60">
        <f t="shared" si="204"/>
        <v>0</v>
      </c>
    </row>
    <row r="676" spans="1:15" s="38" customFormat="1" ht="14.45" hidden="1" customHeight="1" outlineLevel="1" x14ac:dyDescent="0.25">
      <c r="A676" s="154" t="s">
        <v>586</v>
      </c>
      <c r="B676" s="141" t="s">
        <v>587</v>
      </c>
      <c r="C676" s="130">
        <f>SUM(N676:N682)</f>
        <v>0</v>
      </c>
      <c r="D676" s="130">
        <f>SUM(O676:O682)</f>
        <v>0</v>
      </c>
      <c r="E676" s="130">
        <f t="shared" si="188"/>
        <v>0</v>
      </c>
      <c r="F676" s="130"/>
      <c r="G676" s="60" t="s">
        <v>125</v>
      </c>
      <c r="H676" s="123"/>
      <c r="I676" s="123"/>
      <c r="J676" s="60"/>
      <c r="K676" s="60"/>
      <c r="L676" s="60"/>
      <c r="M676" s="60"/>
      <c r="N676" s="60">
        <f>M676*J676*K676*L676</f>
        <v>0</v>
      </c>
      <c r="O676" s="60">
        <f>J676*K676*L676</f>
        <v>0</v>
      </c>
    </row>
    <row r="677" spans="1:15" s="38" customFormat="1" ht="11.45" hidden="1" customHeight="1" outlineLevel="1" x14ac:dyDescent="0.25">
      <c r="A677" s="154"/>
      <c r="B677" s="142"/>
      <c r="C677" s="115"/>
      <c r="D677" s="115"/>
      <c r="E677" s="115"/>
      <c r="F677" s="115"/>
      <c r="G677" s="60" t="s">
        <v>126</v>
      </c>
      <c r="H677" s="124"/>
      <c r="I677" s="124"/>
      <c r="J677" s="60"/>
      <c r="K677" s="60"/>
      <c r="L677" s="60"/>
      <c r="M677" s="60"/>
      <c r="N677" s="60">
        <f t="shared" ref="N677:N682" si="205">M677*J677*K677*L677</f>
        <v>0</v>
      </c>
      <c r="O677" s="60">
        <f t="shared" ref="O677:O682" si="206">J677*K677*L677</f>
        <v>0</v>
      </c>
    </row>
    <row r="678" spans="1:15" s="38" customFormat="1" ht="10.7" hidden="1" customHeight="1" outlineLevel="1" x14ac:dyDescent="0.25">
      <c r="A678" s="154"/>
      <c r="B678" s="142"/>
      <c r="C678" s="115"/>
      <c r="D678" s="115"/>
      <c r="E678" s="115"/>
      <c r="F678" s="115"/>
      <c r="G678" s="60" t="s">
        <v>127</v>
      </c>
      <c r="H678" s="124"/>
      <c r="I678" s="124"/>
      <c r="J678" s="60"/>
      <c r="K678" s="60"/>
      <c r="L678" s="60"/>
      <c r="M678" s="60"/>
      <c r="N678" s="60">
        <f t="shared" si="205"/>
        <v>0</v>
      </c>
      <c r="O678" s="60">
        <f t="shared" si="206"/>
        <v>0</v>
      </c>
    </row>
    <row r="679" spans="1:15" s="38" customFormat="1" ht="10.7" hidden="1" customHeight="1" outlineLevel="1" x14ac:dyDescent="0.25">
      <c r="A679" s="154"/>
      <c r="B679" s="142"/>
      <c r="C679" s="115"/>
      <c r="D679" s="115"/>
      <c r="E679" s="115"/>
      <c r="F679" s="115"/>
      <c r="G679" s="60" t="s">
        <v>128</v>
      </c>
      <c r="H679" s="124"/>
      <c r="I679" s="124"/>
      <c r="J679" s="60"/>
      <c r="K679" s="60"/>
      <c r="L679" s="60"/>
      <c r="M679" s="60"/>
      <c r="N679" s="60">
        <f t="shared" si="205"/>
        <v>0</v>
      </c>
      <c r="O679" s="60">
        <f t="shared" si="206"/>
        <v>0</v>
      </c>
    </row>
    <row r="680" spans="1:15" s="38" customFormat="1" ht="10.7" hidden="1" customHeight="1" outlineLevel="1" x14ac:dyDescent="0.25">
      <c r="A680" s="154"/>
      <c r="B680" s="142"/>
      <c r="C680" s="115"/>
      <c r="D680" s="115"/>
      <c r="E680" s="115"/>
      <c r="F680" s="115"/>
      <c r="G680" s="60" t="s">
        <v>129</v>
      </c>
      <c r="H680" s="124"/>
      <c r="I680" s="124"/>
      <c r="J680" s="60"/>
      <c r="K680" s="60"/>
      <c r="L680" s="60"/>
      <c r="M680" s="60"/>
      <c r="N680" s="60">
        <f t="shared" si="205"/>
        <v>0</v>
      </c>
      <c r="O680" s="60">
        <f t="shared" si="206"/>
        <v>0</v>
      </c>
    </row>
    <row r="681" spans="1:15" s="38" customFormat="1" ht="10.7" hidden="1" customHeight="1" outlineLevel="1" x14ac:dyDescent="0.25">
      <c r="A681" s="154"/>
      <c r="B681" s="142"/>
      <c r="C681" s="115"/>
      <c r="D681" s="115"/>
      <c r="E681" s="115"/>
      <c r="F681" s="115"/>
      <c r="G681" s="60" t="s">
        <v>130</v>
      </c>
      <c r="H681" s="124"/>
      <c r="I681" s="124"/>
      <c r="J681" s="60"/>
      <c r="K681" s="60"/>
      <c r="L681" s="60"/>
      <c r="M681" s="60"/>
      <c r="N681" s="60">
        <f t="shared" si="205"/>
        <v>0</v>
      </c>
      <c r="O681" s="60">
        <f t="shared" si="206"/>
        <v>0</v>
      </c>
    </row>
    <row r="682" spans="1:15" s="38" customFormat="1" ht="12" hidden="1" customHeight="1" outlineLevel="1" thickBot="1" x14ac:dyDescent="0.3">
      <c r="A682" s="154"/>
      <c r="B682" s="143"/>
      <c r="C682" s="131"/>
      <c r="D682" s="131"/>
      <c r="E682" s="131"/>
      <c r="F682" s="131"/>
      <c r="G682" s="60" t="s">
        <v>131</v>
      </c>
      <c r="H682" s="134"/>
      <c r="I682" s="134"/>
      <c r="J682" s="60"/>
      <c r="K682" s="60"/>
      <c r="L682" s="60"/>
      <c r="M682" s="60"/>
      <c r="N682" s="60">
        <f t="shared" si="205"/>
        <v>0</v>
      </c>
      <c r="O682" s="60">
        <f t="shared" si="206"/>
        <v>0</v>
      </c>
    </row>
    <row r="683" spans="1:15" s="38" customFormat="1" ht="14.45" hidden="1" customHeight="1" outlineLevel="1" x14ac:dyDescent="0.25">
      <c r="A683" s="154"/>
      <c r="B683" s="141" t="s">
        <v>588</v>
      </c>
      <c r="C683" s="130">
        <f>SUM(N683:N689)</f>
        <v>0</v>
      </c>
      <c r="D683" s="130">
        <f>SUM(O683:O689)</f>
        <v>0</v>
      </c>
      <c r="E683" s="130">
        <f t="shared" si="188"/>
        <v>0</v>
      </c>
      <c r="F683" s="130"/>
      <c r="G683" s="60" t="s">
        <v>125</v>
      </c>
      <c r="H683" s="123"/>
      <c r="I683" s="123"/>
      <c r="J683" s="60"/>
      <c r="K683" s="60"/>
      <c r="L683" s="60"/>
      <c r="M683" s="60"/>
      <c r="N683" s="60">
        <f>M683*J683*K683*L683</f>
        <v>0</v>
      </c>
      <c r="O683" s="60">
        <f>J683*K683*L683</f>
        <v>0</v>
      </c>
    </row>
    <row r="684" spans="1:15" s="38" customFormat="1" ht="11.45" hidden="1" customHeight="1" outlineLevel="1" x14ac:dyDescent="0.25">
      <c r="A684" s="154"/>
      <c r="B684" s="142"/>
      <c r="C684" s="115"/>
      <c r="D684" s="115"/>
      <c r="E684" s="115"/>
      <c r="F684" s="115"/>
      <c r="G684" s="60" t="s">
        <v>126</v>
      </c>
      <c r="H684" s="124"/>
      <c r="I684" s="124"/>
      <c r="J684" s="60"/>
      <c r="K684" s="60"/>
      <c r="L684" s="60"/>
      <c r="M684" s="60"/>
      <c r="N684" s="60">
        <f t="shared" ref="N684:N689" si="207">M684*J684*K684*L684</f>
        <v>0</v>
      </c>
      <c r="O684" s="60">
        <f t="shared" ref="O684:O689" si="208">J684*K684*L684</f>
        <v>0</v>
      </c>
    </row>
    <row r="685" spans="1:15" s="38" customFormat="1" ht="10.7" hidden="1" customHeight="1" outlineLevel="1" x14ac:dyDescent="0.25">
      <c r="A685" s="154"/>
      <c r="B685" s="142"/>
      <c r="C685" s="115"/>
      <c r="D685" s="115"/>
      <c r="E685" s="115"/>
      <c r="F685" s="115"/>
      <c r="G685" s="60" t="s">
        <v>127</v>
      </c>
      <c r="H685" s="124"/>
      <c r="I685" s="124"/>
      <c r="J685" s="60"/>
      <c r="K685" s="60"/>
      <c r="L685" s="60"/>
      <c r="M685" s="60"/>
      <c r="N685" s="60">
        <f t="shared" si="207"/>
        <v>0</v>
      </c>
      <c r="O685" s="60">
        <f t="shared" si="208"/>
        <v>0</v>
      </c>
    </row>
    <row r="686" spans="1:15" s="38" customFormat="1" ht="10.7" hidden="1" customHeight="1" outlineLevel="1" x14ac:dyDescent="0.25">
      <c r="A686" s="154"/>
      <c r="B686" s="142"/>
      <c r="C686" s="115"/>
      <c r="D686" s="115"/>
      <c r="E686" s="115"/>
      <c r="F686" s="115"/>
      <c r="G686" s="60" t="s">
        <v>128</v>
      </c>
      <c r="H686" s="124"/>
      <c r="I686" s="124"/>
      <c r="J686" s="60"/>
      <c r="K686" s="60"/>
      <c r="L686" s="60"/>
      <c r="M686" s="60"/>
      <c r="N686" s="60">
        <f t="shared" si="207"/>
        <v>0</v>
      </c>
      <c r="O686" s="60">
        <f t="shared" si="208"/>
        <v>0</v>
      </c>
    </row>
    <row r="687" spans="1:15" s="38" customFormat="1" ht="10.7" hidden="1" customHeight="1" outlineLevel="1" x14ac:dyDescent="0.25">
      <c r="A687" s="154"/>
      <c r="B687" s="142"/>
      <c r="C687" s="115"/>
      <c r="D687" s="115"/>
      <c r="E687" s="115"/>
      <c r="F687" s="115"/>
      <c r="G687" s="60" t="s">
        <v>129</v>
      </c>
      <c r="H687" s="124"/>
      <c r="I687" s="124"/>
      <c r="J687" s="60"/>
      <c r="K687" s="60"/>
      <c r="L687" s="60"/>
      <c r="M687" s="60"/>
      <c r="N687" s="60">
        <f t="shared" si="207"/>
        <v>0</v>
      </c>
      <c r="O687" s="60">
        <f t="shared" si="208"/>
        <v>0</v>
      </c>
    </row>
    <row r="688" spans="1:15" s="38" customFormat="1" ht="10.7" hidden="1" customHeight="1" outlineLevel="1" x14ac:dyDescent="0.25">
      <c r="A688" s="154"/>
      <c r="B688" s="142"/>
      <c r="C688" s="115"/>
      <c r="D688" s="115"/>
      <c r="E688" s="115"/>
      <c r="F688" s="115"/>
      <c r="G688" s="60" t="s">
        <v>130</v>
      </c>
      <c r="H688" s="124"/>
      <c r="I688" s="124"/>
      <c r="J688" s="60"/>
      <c r="K688" s="60"/>
      <c r="L688" s="60"/>
      <c r="M688" s="60"/>
      <c r="N688" s="60">
        <f t="shared" si="207"/>
        <v>0</v>
      </c>
      <c r="O688" s="60">
        <f t="shared" si="208"/>
        <v>0</v>
      </c>
    </row>
    <row r="689" spans="1:15" s="38" customFormat="1" ht="12" hidden="1" customHeight="1" outlineLevel="1" thickBot="1" x14ac:dyDescent="0.3">
      <c r="A689" s="154"/>
      <c r="B689" s="143"/>
      <c r="C689" s="131"/>
      <c r="D689" s="131"/>
      <c r="E689" s="131"/>
      <c r="F689" s="131"/>
      <c r="G689" s="60" t="s">
        <v>131</v>
      </c>
      <c r="H689" s="134"/>
      <c r="I689" s="134"/>
      <c r="J689" s="60"/>
      <c r="K689" s="60"/>
      <c r="L689" s="60"/>
      <c r="M689" s="60"/>
      <c r="N689" s="60">
        <f t="shared" si="207"/>
        <v>0</v>
      </c>
      <c r="O689" s="60">
        <f t="shared" si="208"/>
        <v>0</v>
      </c>
    </row>
    <row r="690" spans="1:15" s="38" customFormat="1" ht="14.45" hidden="1" customHeight="1" outlineLevel="1" x14ac:dyDescent="0.25">
      <c r="A690" s="154"/>
      <c r="B690" s="141" t="s">
        <v>589</v>
      </c>
      <c r="C690" s="130">
        <f>SUM(N690:N696)</f>
        <v>0</v>
      </c>
      <c r="D690" s="130">
        <f>SUM(O690:O696)</f>
        <v>0</v>
      </c>
      <c r="E690" s="130">
        <f t="shared" ref="E690:E739" si="209">D690/8</f>
        <v>0</v>
      </c>
      <c r="F690" s="130"/>
      <c r="G690" s="60" t="s">
        <v>125</v>
      </c>
      <c r="H690" s="123"/>
      <c r="I690" s="123"/>
      <c r="J690" s="60"/>
      <c r="K690" s="60"/>
      <c r="L690" s="60"/>
      <c r="M690" s="60"/>
      <c r="N690" s="60">
        <f>M690*J690*K690*L690</f>
        <v>0</v>
      </c>
      <c r="O690" s="60">
        <f>J690*K690*L690</f>
        <v>0</v>
      </c>
    </row>
    <row r="691" spans="1:15" s="38" customFormat="1" ht="11.45" hidden="1" customHeight="1" outlineLevel="1" x14ac:dyDescent="0.25">
      <c r="A691" s="154"/>
      <c r="B691" s="142"/>
      <c r="C691" s="115"/>
      <c r="D691" s="115"/>
      <c r="E691" s="115"/>
      <c r="F691" s="115"/>
      <c r="G691" s="60" t="s">
        <v>126</v>
      </c>
      <c r="H691" s="124"/>
      <c r="I691" s="124"/>
      <c r="J691" s="60"/>
      <c r="K691" s="60"/>
      <c r="L691" s="60"/>
      <c r="M691" s="60"/>
      <c r="N691" s="60">
        <f t="shared" ref="N691:N696" si="210">M691*J691*K691*L691</f>
        <v>0</v>
      </c>
      <c r="O691" s="60">
        <f t="shared" ref="O691:O696" si="211">J691*K691*L691</f>
        <v>0</v>
      </c>
    </row>
    <row r="692" spans="1:15" s="38" customFormat="1" ht="10.7" hidden="1" customHeight="1" outlineLevel="1" x14ac:dyDescent="0.25">
      <c r="A692" s="154"/>
      <c r="B692" s="142"/>
      <c r="C692" s="115"/>
      <c r="D692" s="115"/>
      <c r="E692" s="115"/>
      <c r="F692" s="115"/>
      <c r="G692" s="60" t="s">
        <v>127</v>
      </c>
      <c r="H692" s="124"/>
      <c r="I692" s="124"/>
      <c r="J692" s="60"/>
      <c r="K692" s="60"/>
      <c r="L692" s="60"/>
      <c r="M692" s="60"/>
      <c r="N692" s="60">
        <f t="shared" si="210"/>
        <v>0</v>
      </c>
      <c r="O692" s="60">
        <f t="shared" si="211"/>
        <v>0</v>
      </c>
    </row>
    <row r="693" spans="1:15" s="38" customFormat="1" ht="10.7" hidden="1" customHeight="1" outlineLevel="1" x14ac:dyDescent="0.25">
      <c r="A693" s="154"/>
      <c r="B693" s="142"/>
      <c r="C693" s="115"/>
      <c r="D693" s="115"/>
      <c r="E693" s="115"/>
      <c r="F693" s="115"/>
      <c r="G693" s="60" t="s">
        <v>128</v>
      </c>
      <c r="H693" s="124"/>
      <c r="I693" s="124"/>
      <c r="J693" s="60"/>
      <c r="K693" s="60"/>
      <c r="L693" s="60"/>
      <c r="M693" s="60"/>
      <c r="N693" s="60">
        <f t="shared" si="210"/>
        <v>0</v>
      </c>
      <c r="O693" s="60">
        <f t="shared" si="211"/>
        <v>0</v>
      </c>
    </row>
    <row r="694" spans="1:15" s="38" customFormat="1" ht="10.7" hidden="1" customHeight="1" outlineLevel="1" x14ac:dyDescent="0.25">
      <c r="A694" s="154"/>
      <c r="B694" s="142"/>
      <c r="C694" s="115"/>
      <c r="D694" s="115"/>
      <c r="E694" s="115"/>
      <c r="F694" s="115"/>
      <c r="G694" s="60" t="s">
        <v>129</v>
      </c>
      <c r="H694" s="124"/>
      <c r="I694" s="124"/>
      <c r="J694" s="60"/>
      <c r="K694" s="60"/>
      <c r="L694" s="60"/>
      <c r="M694" s="60"/>
      <c r="N694" s="60">
        <f t="shared" si="210"/>
        <v>0</v>
      </c>
      <c r="O694" s="60">
        <f t="shared" si="211"/>
        <v>0</v>
      </c>
    </row>
    <row r="695" spans="1:15" s="38" customFormat="1" ht="10.7" hidden="1" customHeight="1" outlineLevel="1" x14ac:dyDescent="0.25">
      <c r="A695" s="154"/>
      <c r="B695" s="142"/>
      <c r="C695" s="115"/>
      <c r="D695" s="115"/>
      <c r="E695" s="115"/>
      <c r="F695" s="115"/>
      <c r="G695" s="60" t="s">
        <v>130</v>
      </c>
      <c r="H695" s="124"/>
      <c r="I695" s="124"/>
      <c r="J695" s="60"/>
      <c r="K695" s="60"/>
      <c r="L695" s="60"/>
      <c r="M695" s="60"/>
      <c r="N695" s="60">
        <f t="shared" si="210"/>
        <v>0</v>
      </c>
      <c r="O695" s="60">
        <f t="shared" si="211"/>
        <v>0</v>
      </c>
    </row>
    <row r="696" spans="1:15" s="38" customFormat="1" ht="12" hidden="1" customHeight="1" outlineLevel="1" thickBot="1" x14ac:dyDescent="0.3">
      <c r="A696" s="154"/>
      <c r="B696" s="143"/>
      <c r="C696" s="131"/>
      <c r="D696" s="131"/>
      <c r="E696" s="131"/>
      <c r="F696" s="131"/>
      <c r="G696" s="60" t="s">
        <v>131</v>
      </c>
      <c r="H696" s="134"/>
      <c r="I696" s="134"/>
      <c r="J696" s="60"/>
      <c r="K696" s="60"/>
      <c r="L696" s="60"/>
      <c r="M696" s="60"/>
      <c r="N696" s="60">
        <f t="shared" si="210"/>
        <v>0</v>
      </c>
      <c r="O696" s="60">
        <f t="shared" si="211"/>
        <v>0</v>
      </c>
    </row>
    <row r="697" spans="1:15" s="38" customFormat="1" ht="14.45" hidden="1" customHeight="1" outlineLevel="1" x14ac:dyDescent="0.25">
      <c r="A697" s="154"/>
      <c r="B697" s="141" t="s">
        <v>527</v>
      </c>
      <c r="C697" s="130">
        <f>SUM(N697:N703)</f>
        <v>0</v>
      </c>
      <c r="D697" s="130">
        <f>SUM(O697:O703)</f>
        <v>0</v>
      </c>
      <c r="E697" s="130">
        <f t="shared" si="209"/>
        <v>0</v>
      </c>
      <c r="F697" s="130"/>
      <c r="G697" s="60" t="s">
        <v>125</v>
      </c>
      <c r="H697" s="123"/>
      <c r="I697" s="123"/>
      <c r="J697" s="60"/>
      <c r="K697" s="60"/>
      <c r="L697" s="60"/>
      <c r="M697" s="60"/>
      <c r="N697" s="60">
        <f>M697*J697*K697*L697</f>
        <v>0</v>
      </c>
      <c r="O697" s="60">
        <f>J697*K697*L697</f>
        <v>0</v>
      </c>
    </row>
    <row r="698" spans="1:15" s="38" customFormat="1" ht="11.45" hidden="1" customHeight="1" outlineLevel="1" x14ac:dyDescent="0.25">
      <c r="A698" s="154"/>
      <c r="B698" s="142"/>
      <c r="C698" s="115"/>
      <c r="D698" s="115"/>
      <c r="E698" s="115"/>
      <c r="F698" s="115"/>
      <c r="G698" s="60" t="s">
        <v>126</v>
      </c>
      <c r="H698" s="124"/>
      <c r="I698" s="124"/>
      <c r="J698" s="60"/>
      <c r="K698" s="60"/>
      <c r="L698" s="60"/>
      <c r="M698" s="60"/>
      <c r="N698" s="60">
        <f t="shared" ref="N698:N703" si="212">M698*J698*K698*L698</f>
        <v>0</v>
      </c>
      <c r="O698" s="60">
        <f t="shared" ref="O698:O703" si="213">J698*K698*L698</f>
        <v>0</v>
      </c>
    </row>
    <row r="699" spans="1:15" s="38" customFormat="1" ht="10.7" hidden="1" customHeight="1" outlineLevel="1" x14ac:dyDescent="0.25">
      <c r="A699" s="154"/>
      <c r="B699" s="142"/>
      <c r="C699" s="115"/>
      <c r="D699" s="115"/>
      <c r="E699" s="115"/>
      <c r="F699" s="115"/>
      <c r="G699" s="60" t="s">
        <v>127</v>
      </c>
      <c r="H699" s="124"/>
      <c r="I699" s="124"/>
      <c r="J699" s="60"/>
      <c r="K699" s="60"/>
      <c r="L699" s="60"/>
      <c r="M699" s="60"/>
      <c r="N699" s="60">
        <f t="shared" si="212"/>
        <v>0</v>
      </c>
      <c r="O699" s="60">
        <f t="shared" si="213"/>
        <v>0</v>
      </c>
    </row>
    <row r="700" spans="1:15" s="38" customFormat="1" ht="10.7" hidden="1" customHeight="1" outlineLevel="1" x14ac:dyDescent="0.25">
      <c r="A700" s="154"/>
      <c r="B700" s="142"/>
      <c r="C700" s="115"/>
      <c r="D700" s="115"/>
      <c r="E700" s="115"/>
      <c r="F700" s="115"/>
      <c r="G700" s="60" t="s">
        <v>128</v>
      </c>
      <c r="H700" s="124"/>
      <c r="I700" s="124"/>
      <c r="J700" s="60"/>
      <c r="K700" s="60"/>
      <c r="L700" s="60"/>
      <c r="M700" s="60"/>
      <c r="N700" s="60">
        <f t="shared" si="212"/>
        <v>0</v>
      </c>
      <c r="O700" s="60">
        <f t="shared" si="213"/>
        <v>0</v>
      </c>
    </row>
    <row r="701" spans="1:15" s="38" customFormat="1" ht="10.7" hidden="1" customHeight="1" outlineLevel="1" x14ac:dyDescent="0.25">
      <c r="A701" s="154"/>
      <c r="B701" s="142"/>
      <c r="C701" s="115"/>
      <c r="D701" s="115"/>
      <c r="E701" s="115"/>
      <c r="F701" s="115"/>
      <c r="G701" s="60" t="s">
        <v>129</v>
      </c>
      <c r="H701" s="124"/>
      <c r="I701" s="124"/>
      <c r="J701" s="60"/>
      <c r="K701" s="60"/>
      <c r="L701" s="60"/>
      <c r="M701" s="60"/>
      <c r="N701" s="60">
        <f t="shared" si="212"/>
        <v>0</v>
      </c>
      <c r="O701" s="60">
        <f t="shared" si="213"/>
        <v>0</v>
      </c>
    </row>
    <row r="702" spans="1:15" s="38" customFormat="1" ht="10.7" hidden="1" customHeight="1" outlineLevel="1" x14ac:dyDescent="0.25">
      <c r="A702" s="154"/>
      <c r="B702" s="142"/>
      <c r="C702" s="115"/>
      <c r="D702" s="115"/>
      <c r="E702" s="115"/>
      <c r="F702" s="115"/>
      <c r="G702" s="60" t="s">
        <v>130</v>
      </c>
      <c r="H702" s="124"/>
      <c r="I702" s="124"/>
      <c r="J702" s="60"/>
      <c r="K702" s="60"/>
      <c r="L702" s="60"/>
      <c r="M702" s="60"/>
      <c r="N702" s="60">
        <f t="shared" si="212"/>
        <v>0</v>
      </c>
      <c r="O702" s="60">
        <f t="shared" si="213"/>
        <v>0</v>
      </c>
    </row>
    <row r="703" spans="1:15" s="38" customFormat="1" ht="12" hidden="1" customHeight="1" outlineLevel="1" thickBot="1" x14ac:dyDescent="0.3">
      <c r="A703" s="154"/>
      <c r="B703" s="143"/>
      <c r="C703" s="131"/>
      <c r="D703" s="131"/>
      <c r="E703" s="131"/>
      <c r="F703" s="131"/>
      <c r="G703" s="60" t="s">
        <v>131</v>
      </c>
      <c r="H703" s="134"/>
      <c r="I703" s="134"/>
      <c r="J703" s="60"/>
      <c r="K703" s="60"/>
      <c r="L703" s="60"/>
      <c r="M703" s="60"/>
      <c r="N703" s="60">
        <f t="shared" si="212"/>
        <v>0</v>
      </c>
      <c r="O703" s="60">
        <f t="shared" si="213"/>
        <v>0</v>
      </c>
    </row>
    <row r="704" spans="1:15" s="38" customFormat="1" ht="14.45" hidden="1" customHeight="1" outlineLevel="1" x14ac:dyDescent="0.25">
      <c r="A704" s="154"/>
      <c r="B704" s="141" t="s">
        <v>528</v>
      </c>
      <c r="C704" s="130">
        <f>SUM(N704:N710)</f>
        <v>0</v>
      </c>
      <c r="D704" s="130">
        <f>SUM(O704:O710)</f>
        <v>0</v>
      </c>
      <c r="E704" s="130">
        <f t="shared" si="209"/>
        <v>0</v>
      </c>
      <c r="F704" s="130"/>
      <c r="G704" s="60" t="s">
        <v>125</v>
      </c>
      <c r="H704" s="123"/>
      <c r="I704" s="123"/>
      <c r="J704" s="60"/>
      <c r="K704" s="60"/>
      <c r="L704" s="60"/>
      <c r="M704" s="60"/>
      <c r="N704" s="60">
        <f>M704*J704*K704*L704</f>
        <v>0</v>
      </c>
      <c r="O704" s="60">
        <f>J704*K704*L704</f>
        <v>0</v>
      </c>
    </row>
    <row r="705" spans="1:15" s="38" customFormat="1" ht="11.45" hidden="1" customHeight="1" outlineLevel="1" x14ac:dyDescent="0.25">
      <c r="A705" s="154"/>
      <c r="B705" s="142"/>
      <c r="C705" s="115"/>
      <c r="D705" s="115"/>
      <c r="E705" s="115"/>
      <c r="F705" s="115"/>
      <c r="G705" s="60" t="s">
        <v>126</v>
      </c>
      <c r="H705" s="124"/>
      <c r="I705" s="124"/>
      <c r="J705" s="60"/>
      <c r="K705" s="60"/>
      <c r="L705" s="60"/>
      <c r="M705" s="60"/>
      <c r="N705" s="60">
        <f t="shared" ref="N705:N710" si="214">M705*J705*K705*L705</f>
        <v>0</v>
      </c>
      <c r="O705" s="60">
        <f t="shared" ref="O705:O710" si="215">J705*K705*L705</f>
        <v>0</v>
      </c>
    </row>
    <row r="706" spans="1:15" s="38" customFormat="1" ht="10.7" hidden="1" customHeight="1" outlineLevel="1" x14ac:dyDescent="0.25">
      <c r="A706" s="154"/>
      <c r="B706" s="142"/>
      <c r="C706" s="115"/>
      <c r="D706" s="115"/>
      <c r="E706" s="115"/>
      <c r="F706" s="115"/>
      <c r="G706" s="60" t="s">
        <v>127</v>
      </c>
      <c r="H706" s="124"/>
      <c r="I706" s="124"/>
      <c r="J706" s="60"/>
      <c r="K706" s="60"/>
      <c r="L706" s="60"/>
      <c r="M706" s="60"/>
      <c r="N706" s="60">
        <f t="shared" si="214"/>
        <v>0</v>
      </c>
      <c r="O706" s="60">
        <f t="shared" si="215"/>
        <v>0</v>
      </c>
    </row>
    <row r="707" spans="1:15" s="38" customFormat="1" ht="10.7" hidden="1" customHeight="1" outlineLevel="1" x14ac:dyDescent="0.25">
      <c r="A707" s="154"/>
      <c r="B707" s="142"/>
      <c r="C707" s="115"/>
      <c r="D707" s="115"/>
      <c r="E707" s="115"/>
      <c r="F707" s="115"/>
      <c r="G707" s="60" t="s">
        <v>128</v>
      </c>
      <c r="H707" s="124"/>
      <c r="I707" s="124"/>
      <c r="J707" s="60"/>
      <c r="K707" s="60"/>
      <c r="L707" s="60"/>
      <c r="M707" s="60"/>
      <c r="N707" s="60">
        <f t="shared" si="214"/>
        <v>0</v>
      </c>
      <c r="O707" s="60">
        <f t="shared" si="215"/>
        <v>0</v>
      </c>
    </row>
    <row r="708" spans="1:15" s="38" customFormat="1" ht="10.7" hidden="1" customHeight="1" outlineLevel="1" x14ac:dyDescent="0.25">
      <c r="A708" s="154"/>
      <c r="B708" s="142"/>
      <c r="C708" s="115"/>
      <c r="D708" s="115"/>
      <c r="E708" s="115"/>
      <c r="F708" s="115"/>
      <c r="G708" s="60" t="s">
        <v>129</v>
      </c>
      <c r="H708" s="124"/>
      <c r="I708" s="124"/>
      <c r="J708" s="60"/>
      <c r="K708" s="60"/>
      <c r="L708" s="60"/>
      <c r="M708" s="60"/>
      <c r="N708" s="60">
        <f t="shared" si="214"/>
        <v>0</v>
      </c>
      <c r="O708" s="60">
        <f t="shared" si="215"/>
        <v>0</v>
      </c>
    </row>
    <row r="709" spans="1:15" s="38" customFormat="1" ht="10.7" hidden="1" customHeight="1" outlineLevel="1" x14ac:dyDescent="0.25">
      <c r="A709" s="154"/>
      <c r="B709" s="142"/>
      <c r="C709" s="115"/>
      <c r="D709" s="115"/>
      <c r="E709" s="115"/>
      <c r="F709" s="115"/>
      <c r="G709" s="60" t="s">
        <v>130</v>
      </c>
      <c r="H709" s="124"/>
      <c r="I709" s="124"/>
      <c r="J709" s="60"/>
      <c r="K709" s="60"/>
      <c r="L709" s="60"/>
      <c r="M709" s="60"/>
      <c r="N709" s="60">
        <f t="shared" si="214"/>
        <v>0</v>
      </c>
      <c r="O709" s="60">
        <f t="shared" si="215"/>
        <v>0</v>
      </c>
    </row>
    <row r="710" spans="1:15" s="38" customFormat="1" ht="12" hidden="1" customHeight="1" outlineLevel="1" thickBot="1" x14ac:dyDescent="0.3">
      <c r="A710" s="154"/>
      <c r="B710" s="143"/>
      <c r="C710" s="131"/>
      <c r="D710" s="131"/>
      <c r="E710" s="131"/>
      <c r="F710" s="131"/>
      <c r="G710" s="60" t="s">
        <v>131</v>
      </c>
      <c r="H710" s="134"/>
      <c r="I710" s="134"/>
      <c r="J710" s="60"/>
      <c r="K710" s="60"/>
      <c r="L710" s="60"/>
      <c r="M710" s="60"/>
      <c r="N710" s="60">
        <f t="shared" si="214"/>
        <v>0</v>
      </c>
      <c r="O710" s="60">
        <f t="shared" si="215"/>
        <v>0</v>
      </c>
    </row>
    <row r="711" spans="1:15" s="38" customFormat="1" ht="14.45" hidden="1" customHeight="1" outlineLevel="1" x14ac:dyDescent="0.25">
      <c r="A711" s="154"/>
      <c r="B711" s="141" t="s">
        <v>529</v>
      </c>
      <c r="C711" s="130">
        <f>SUM(N711:N717)</f>
        <v>0</v>
      </c>
      <c r="D711" s="130">
        <f>SUM(O711:O717)</f>
        <v>0</v>
      </c>
      <c r="E711" s="130">
        <f t="shared" si="209"/>
        <v>0</v>
      </c>
      <c r="F711" s="130"/>
      <c r="G711" s="60" t="s">
        <v>125</v>
      </c>
      <c r="H711" s="123"/>
      <c r="I711" s="123"/>
      <c r="J711" s="60"/>
      <c r="K711" s="60"/>
      <c r="L711" s="60"/>
      <c r="M711" s="60"/>
      <c r="N711" s="60">
        <f>M711*J711*K711*L711</f>
        <v>0</v>
      </c>
      <c r="O711" s="60">
        <f>J711*K711*L711</f>
        <v>0</v>
      </c>
    </row>
    <row r="712" spans="1:15" s="38" customFormat="1" ht="11.45" hidden="1" customHeight="1" outlineLevel="1" x14ac:dyDescent="0.25">
      <c r="A712" s="154"/>
      <c r="B712" s="142"/>
      <c r="C712" s="115"/>
      <c r="D712" s="115"/>
      <c r="E712" s="115"/>
      <c r="F712" s="115"/>
      <c r="G712" s="60" t="s">
        <v>126</v>
      </c>
      <c r="H712" s="124"/>
      <c r="I712" s="124"/>
      <c r="J712" s="60"/>
      <c r="K712" s="60"/>
      <c r="L712" s="60"/>
      <c r="M712" s="60"/>
      <c r="N712" s="60">
        <f t="shared" ref="N712:N717" si="216">M712*J712*K712*L712</f>
        <v>0</v>
      </c>
      <c r="O712" s="60">
        <f t="shared" ref="O712:O717" si="217">J712*K712*L712</f>
        <v>0</v>
      </c>
    </row>
    <row r="713" spans="1:15" s="38" customFormat="1" ht="10.7" hidden="1" customHeight="1" outlineLevel="1" x14ac:dyDescent="0.25">
      <c r="A713" s="154"/>
      <c r="B713" s="142"/>
      <c r="C713" s="115"/>
      <c r="D713" s="115"/>
      <c r="E713" s="115"/>
      <c r="F713" s="115"/>
      <c r="G713" s="60" t="s">
        <v>127</v>
      </c>
      <c r="H713" s="124"/>
      <c r="I713" s="124"/>
      <c r="J713" s="60"/>
      <c r="K713" s="60"/>
      <c r="L713" s="60"/>
      <c r="M713" s="60"/>
      <c r="N713" s="60">
        <f t="shared" si="216"/>
        <v>0</v>
      </c>
      <c r="O713" s="60">
        <f t="shared" si="217"/>
        <v>0</v>
      </c>
    </row>
    <row r="714" spans="1:15" s="38" customFormat="1" ht="10.7" hidden="1" customHeight="1" outlineLevel="1" x14ac:dyDescent="0.25">
      <c r="A714" s="154"/>
      <c r="B714" s="142"/>
      <c r="C714" s="115"/>
      <c r="D714" s="115"/>
      <c r="E714" s="115"/>
      <c r="F714" s="115"/>
      <c r="G714" s="60" t="s">
        <v>128</v>
      </c>
      <c r="H714" s="124"/>
      <c r="I714" s="124"/>
      <c r="J714" s="60"/>
      <c r="K714" s="60"/>
      <c r="L714" s="60"/>
      <c r="M714" s="60"/>
      <c r="N714" s="60">
        <f t="shared" si="216"/>
        <v>0</v>
      </c>
      <c r="O714" s="60">
        <f t="shared" si="217"/>
        <v>0</v>
      </c>
    </row>
    <row r="715" spans="1:15" s="38" customFormat="1" ht="10.7" hidden="1" customHeight="1" outlineLevel="1" x14ac:dyDescent="0.25">
      <c r="A715" s="154"/>
      <c r="B715" s="142"/>
      <c r="C715" s="115"/>
      <c r="D715" s="115"/>
      <c r="E715" s="115"/>
      <c r="F715" s="115"/>
      <c r="G715" s="60" t="s">
        <v>129</v>
      </c>
      <c r="H715" s="124"/>
      <c r="I715" s="124"/>
      <c r="J715" s="60"/>
      <c r="K715" s="60"/>
      <c r="L715" s="60"/>
      <c r="M715" s="60"/>
      <c r="N715" s="60">
        <f t="shared" si="216"/>
        <v>0</v>
      </c>
      <c r="O715" s="60">
        <f t="shared" si="217"/>
        <v>0</v>
      </c>
    </row>
    <row r="716" spans="1:15" s="38" customFormat="1" ht="10.7" hidden="1" customHeight="1" outlineLevel="1" x14ac:dyDescent="0.25">
      <c r="A716" s="154"/>
      <c r="B716" s="142"/>
      <c r="C716" s="115"/>
      <c r="D716" s="115"/>
      <c r="E716" s="115"/>
      <c r="F716" s="115"/>
      <c r="G716" s="60" t="s">
        <v>130</v>
      </c>
      <c r="H716" s="124"/>
      <c r="I716" s="124"/>
      <c r="J716" s="60"/>
      <c r="K716" s="60"/>
      <c r="L716" s="60"/>
      <c r="M716" s="60"/>
      <c r="N716" s="60">
        <f t="shared" si="216"/>
        <v>0</v>
      </c>
      <c r="O716" s="60">
        <f t="shared" si="217"/>
        <v>0</v>
      </c>
    </row>
    <row r="717" spans="1:15" s="38" customFormat="1" ht="12" hidden="1" customHeight="1" outlineLevel="1" thickBot="1" x14ac:dyDescent="0.3">
      <c r="A717" s="154"/>
      <c r="B717" s="143"/>
      <c r="C717" s="131"/>
      <c r="D717" s="131"/>
      <c r="E717" s="131"/>
      <c r="F717" s="131"/>
      <c r="G717" s="60" t="s">
        <v>131</v>
      </c>
      <c r="H717" s="134"/>
      <c r="I717" s="134"/>
      <c r="J717" s="60"/>
      <c r="K717" s="60"/>
      <c r="L717" s="60"/>
      <c r="M717" s="60"/>
      <c r="N717" s="60">
        <f t="shared" si="216"/>
        <v>0</v>
      </c>
      <c r="O717" s="60">
        <f t="shared" si="217"/>
        <v>0</v>
      </c>
    </row>
    <row r="718" spans="1:15" s="38" customFormat="1" ht="14.45" hidden="1" customHeight="1" outlineLevel="1" x14ac:dyDescent="0.25">
      <c r="A718" s="154"/>
      <c r="B718" s="141" t="s">
        <v>590</v>
      </c>
      <c r="C718" s="130">
        <f>SUM(N718:N724)</f>
        <v>0</v>
      </c>
      <c r="D718" s="130">
        <f>SUM(O718:O724)</f>
        <v>0</v>
      </c>
      <c r="E718" s="130">
        <f t="shared" si="209"/>
        <v>0</v>
      </c>
      <c r="F718" s="130"/>
      <c r="G718" s="60" t="s">
        <v>125</v>
      </c>
      <c r="H718" s="123"/>
      <c r="I718" s="123"/>
      <c r="J718" s="60"/>
      <c r="K718" s="60"/>
      <c r="L718" s="60"/>
      <c r="M718" s="60"/>
      <c r="N718" s="60">
        <f>M718*J718*K718*L718</f>
        <v>0</v>
      </c>
      <c r="O718" s="60">
        <f>J718*K718*L718</f>
        <v>0</v>
      </c>
    </row>
    <row r="719" spans="1:15" s="38" customFormat="1" ht="11.45" hidden="1" customHeight="1" outlineLevel="1" x14ac:dyDescent="0.25">
      <c r="A719" s="154"/>
      <c r="B719" s="142"/>
      <c r="C719" s="115"/>
      <c r="D719" s="115"/>
      <c r="E719" s="115"/>
      <c r="F719" s="115"/>
      <c r="G719" s="60" t="s">
        <v>126</v>
      </c>
      <c r="H719" s="124"/>
      <c r="I719" s="124"/>
      <c r="J719" s="60"/>
      <c r="K719" s="60"/>
      <c r="L719" s="60"/>
      <c r="M719" s="60"/>
      <c r="N719" s="60">
        <f t="shared" ref="N719:N724" si="218">M719*J719*K719*L719</f>
        <v>0</v>
      </c>
      <c r="O719" s="60">
        <f t="shared" ref="O719:O724" si="219">J719*K719*L719</f>
        <v>0</v>
      </c>
    </row>
    <row r="720" spans="1:15" s="38" customFormat="1" ht="10.7" hidden="1" customHeight="1" outlineLevel="1" x14ac:dyDescent="0.25">
      <c r="A720" s="154"/>
      <c r="B720" s="142"/>
      <c r="C720" s="115"/>
      <c r="D720" s="115"/>
      <c r="E720" s="115"/>
      <c r="F720" s="115"/>
      <c r="G720" s="60" t="s">
        <v>127</v>
      </c>
      <c r="H720" s="124"/>
      <c r="I720" s="124"/>
      <c r="J720" s="60"/>
      <c r="K720" s="60"/>
      <c r="L720" s="60"/>
      <c r="M720" s="60"/>
      <c r="N720" s="60">
        <f t="shared" si="218"/>
        <v>0</v>
      </c>
      <c r="O720" s="60">
        <f t="shared" si="219"/>
        <v>0</v>
      </c>
    </row>
    <row r="721" spans="1:15" s="38" customFormat="1" ht="10.7" hidden="1" customHeight="1" outlineLevel="1" x14ac:dyDescent="0.25">
      <c r="A721" s="154"/>
      <c r="B721" s="142"/>
      <c r="C721" s="115"/>
      <c r="D721" s="115"/>
      <c r="E721" s="115"/>
      <c r="F721" s="115"/>
      <c r="G721" s="60" t="s">
        <v>128</v>
      </c>
      <c r="H721" s="124"/>
      <c r="I721" s="124"/>
      <c r="J721" s="60"/>
      <c r="K721" s="60"/>
      <c r="L721" s="60"/>
      <c r="M721" s="60"/>
      <c r="N721" s="60">
        <f t="shared" si="218"/>
        <v>0</v>
      </c>
      <c r="O721" s="60">
        <f t="shared" si="219"/>
        <v>0</v>
      </c>
    </row>
    <row r="722" spans="1:15" s="38" customFormat="1" ht="10.7" hidden="1" customHeight="1" outlineLevel="1" x14ac:dyDescent="0.25">
      <c r="A722" s="154"/>
      <c r="B722" s="142"/>
      <c r="C722" s="115"/>
      <c r="D722" s="115"/>
      <c r="E722" s="115"/>
      <c r="F722" s="115"/>
      <c r="G722" s="60" t="s">
        <v>129</v>
      </c>
      <c r="H722" s="124"/>
      <c r="I722" s="124"/>
      <c r="J722" s="60"/>
      <c r="K722" s="60"/>
      <c r="L722" s="60"/>
      <c r="M722" s="60"/>
      <c r="N722" s="60">
        <f t="shared" si="218"/>
        <v>0</v>
      </c>
      <c r="O722" s="60">
        <f t="shared" si="219"/>
        <v>0</v>
      </c>
    </row>
    <row r="723" spans="1:15" s="38" customFormat="1" ht="10.7" hidden="1" customHeight="1" outlineLevel="1" x14ac:dyDescent="0.25">
      <c r="A723" s="154"/>
      <c r="B723" s="142"/>
      <c r="C723" s="115"/>
      <c r="D723" s="115"/>
      <c r="E723" s="115"/>
      <c r="F723" s="115"/>
      <c r="G723" s="60" t="s">
        <v>130</v>
      </c>
      <c r="H723" s="124"/>
      <c r="I723" s="124"/>
      <c r="J723" s="60"/>
      <c r="K723" s="60"/>
      <c r="L723" s="60"/>
      <c r="M723" s="60"/>
      <c r="N723" s="60">
        <f t="shared" si="218"/>
        <v>0</v>
      </c>
      <c r="O723" s="60">
        <f t="shared" si="219"/>
        <v>0</v>
      </c>
    </row>
    <row r="724" spans="1:15" s="38" customFormat="1" ht="12" hidden="1" customHeight="1" outlineLevel="1" thickBot="1" x14ac:dyDescent="0.3">
      <c r="A724" s="154"/>
      <c r="B724" s="143"/>
      <c r="C724" s="131"/>
      <c r="D724" s="131"/>
      <c r="E724" s="131"/>
      <c r="F724" s="131"/>
      <c r="G724" s="60" t="s">
        <v>131</v>
      </c>
      <c r="H724" s="134"/>
      <c r="I724" s="134"/>
      <c r="J724" s="60"/>
      <c r="K724" s="60"/>
      <c r="L724" s="60"/>
      <c r="M724" s="60"/>
      <c r="N724" s="60">
        <f t="shared" si="218"/>
        <v>0</v>
      </c>
      <c r="O724" s="60">
        <f t="shared" si="219"/>
        <v>0</v>
      </c>
    </row>
    <row r="725" spans="1:15" s="38" customFormat="1" ht="14.45" hidden="1" customHeight="1" outlineLevel="1" x14ac:dyDescent="0.25">
      <c r="A725" s="154"/>
      <c r="B725" s="141" t="s">
        <v>591</v>
      </c>
      <c r="C725" s="130">
        <f>SUM(N725:N731)</f>
        <v>0</v>
      </c>
      <c r="D725" s="130">
        <f>SUM(O725:O731)</f>
        <v>0</v>
      </c>
      <c r="E725" s="130">
        <f t="shared" si="209"/>
        <v>0</v>
      </c>
      <c r="F725" s="130"/>
      <c r="G725" s="60" t="s">
        <v>125</v>
      </c>
      <c r="H725" s="123"/>
      <c r="I725" s="123"/>
      <c r="J725" s="60"/>
      <c r="K725" s="60"/>
      <c r="L725" s="60"/>
      <c r="M725" s="60"/>
      <c r="N725" s="60">
        <f>M725*J725*K725*L725</f>
        <v>0</v>
      </c>
      <c r="O725" s="60">
        <f>J725*K725*L725</f>
        <v>0</v>
      </c>
    </row>
    <row r="726" spans="1:15" s="38" customFormat="1" ht="11.45" hidden="1" customHeight="1" outlineLevel="1" x14ac:dyDescent="0.25">
      <c r="A726" s="154"/>
      <c r="B726" s="142"/>
      <c r="C726" s="115"/>
      <c r="D726" s="115"/>
      <c r="E726" s="115"/>
      <c r="F726" s="115"/>
      <c r="G726" s="60" t="s">
        <v>126</v>
      </c>
      <c r="H726" s="124"/>
      <c r="I726" s="124"/>
      <c r="J726" s="60"/>
      <c r="K726" s="60"/>
      <c r="L726" s="60"/>
      <c r="M726" s="60"/>
      <c r="N726" s="60">
        <f t="shared" ref="N726:N731" si="220">M726*J726*K726*L726</f>
        <v>0</v>
      </c>
      <c r="O726" s="60">
        <f t="shared" ref="O726:O731" si="221">J726*K726*L726</f>
        <v>0</v>
      </c>
    </row>
    <row r="727" spans="1:15" s="38" customFormat="1" ht="10.7" hidden="1" customHeight="1" outlineLevel="1" x14ac:dyDescent="0.25">
      <c r="A727" s="154"/>
      <c r="B727" s="142"/>
      <c r="C727" s="115"/>
      <c r="D727" s="115"/>
      <c r="E727" s="115"/>
      <c r="F727" s="115"/>
      <c r="G727" s="60" t="s">
        <v>127</v>
      </c>
      <c r="H727" s="124"/>
      <c r="I727" s="124"/>
      <c r="J727" s="60"/>
      <c r="K727" s="60"/>
      <c r="L727" s="60"/>
      <c r="M727" s="60"/>
      <c r="N727" s="60">
        <f t="shared" si="220"/>
        <v>0</v>
      </c>
      <c r="O727" s="60">
        <f t="shared" si="221"/>
        <v>0</v>
      </c>
    </row>
    <row r="728" spans="1:15" s="38" customFormat="1" ht="10.7" hidden="1" customHeight="1" outlineLevel="1" x14ac:dyDescent="0.25">
      <c r="A728" s="154"/>
      <c r="B728" s="142"/>
      <c r="C728" s="115"/>
      <c r="D728" s="115"/>
      <c r="E728" s="115"/>
      <c r="F728" s="115"/>
      <c r="G728" s="60" t="s">
        <v>128</v>
      </c>
      <c r="H728" s="124"/>
      <c r="I728" s="124"/>
      <c r="J728" s="60"/>
      <c r="K728" s="60"/>
      <c r="L728" s="60"/>
      <c r="M728" s="60"/>
      <c r="N728" s="60">
        <f t="shared" si="220"/>
        <v>0</v>
      </c>
      <c r="O728" s="60">
        <f t="shared" si="221"/>
        <v>0</v>
      </c>
    </row>
    <row r="729" spans="1:15" s="38" customFormat="1" ht="10.7" hidden="1" customHeight="1" outlineLevel="1" x14ac:dyDescent="0.25">
      <c r="A729" s="154"/>
      <c r="B729" s="142"/>
      <c r="C729" s="115"/>
      <c r="D729" s="115"/>
      <c r="E729" s="115"/>
      <c r="F729" s="115"/>
      <c r="G729" s="60" t="s">
        <v>129</v>
      </c>
      <c r="H729" s="124"/>
      <c r="I729" s="124"/>
      <c r="J729" s="60"/>
      <c r="K729" s="60"/>
      <c r="L729" s="60"/>
      <c r="M729" s="60"/>
      <c r="N729" s="60">
        <f t="shared" si="220"/>
        <v>0</v>
      </c>
      <c r="O729" s="60">
        <f t="shared" si="221"/>
        <v>0</v>
      </c>
    </row>
    <row r="730" spans="1:15" s="38" customFormat="1" ht="10.7" hidden="1" customHeight="1" outlineLevel="1" x14ac:dyDescent="0.25">
      <c r="A730" s="154"/>
      <c r="B730" s="142"/>
      <c r="C730" s="115"/>
      <c r="D730" s="115"/>
      <c r="E730" s="115"/>
      <c r="F730" s="115"/>
      <c r="G730" s="60" t="s">
        <v>130</v>
      </c>
      <c r="H730" s="124"/>
      <c r="I730" s="124"/>
      <c r="J730" s="60"/>
      <c r="K730" s="60"/>
      <c r="L730" s="60"/>
      <c r="M730" s="60"/>
      <c r="N730" s="60">
        <f t="shared" si="220"/>
        <v>0</v>
      </c>
      <c r="O730" s="60">
        <f t="shared" si="221"/>
        <v>0</v>
      </c>
    </row>
    <row r="731" spans="1:15" s="38" customFormat="1" ht="12" hidden="1" customHeight="1" outlineLevel="1" thickBot="1" x14ac:dyDescent="0.3">
      <c r="A731" s="154"/>
      <c r="B731" s="143"/>
      <c r="C731" s="131"/>
      <c r="D731" s="131"/>
      <c r="E731" s="131"/>
      <c r="F731" s="131"/>
      <c r="G731" s="60" t="s">
        <v>131</v>
      </c>
      <c r="H731" s="134"/>
      <c r="I731" s="134"/>
      <c r="J731" s="60"/>
      <c r="K731" s="60"/>
      <c r="L731" s="60"/>
      <c r="M731" s="60"/>
      <c r="N731" s="60">
        <f t="shared" si="220"/>
        <v>0</v>
      </c>
      <c r="O731" s="60">
        <f t="shared" si="221"/>
        <v>0</v>
      </c>
    </row>
    <row r="732" spans="1:15" s="38" customFormat="1" ht="14.45" hidden="1" customHeight="1" outlineLevel="1" x14ac:dyDescent="0.25">
      <c r="A732" s="140" t="s">
        <v>592</v>
      </c>
      <c r="B732" s="141" t="s">
        <v>593</v>
      </c>
      <c r="C732" s="130">
        <f>SUM(N732:N738)</f>
        <v>0</v>
      </c>
      <c r="D732" s="130">
        <f>SUM(O732:O738)</f>
        <v>0</v>
      </c>
      <c r="E732" s="130">
        <f t="shared" si="209"/>
        <v>0</v>
      </c>
      <c r="F732" s="130"/>
      <c r="G732" s="60" t="s">
        <v>125</v>
      </c>
      <c r="H732" s="123"/>
      <c r="I732" s="123"/>
      <c r="J732" s="60"/>
      <c r="K732" s="60"/>
      <c r="L732" s="60"/>
      <c r="M732" s="60"/>
      <c r="N732" s="60">
        <f>M732*J732*K732*L732</f>
        <v>0</v>
      </c>
      <c r="O732" s="60">
        <f>J732*K732*L732</f>
        <v>0</v>
      </c>
    </row>
    <row r="733" spans="1:15" s="38" customFormat="1" ht="11.45" hidden="1" customHeight="1" outlineLevel="1" x14ac:dyDescent="0.25">
      <c r="A733" s="124"/>
      <c r="B733" s="142"/>
      <c r="C733" s="115"/>
      <c r="D733" s="115"/>
      <c r="E733" s="115"/>
      <c r="F733" s="115"/>
      <c r="G733" s="60" t="s">
        <v>126</v>
      </c>
      <c r="H733" s="124"/>
      <c r="I733" s="124"/>
      <c r="J733" s="60"/>
      <c r="K733" s="60"/>
      <c r="L733" s="60"/>
      <c r="M733" s="60"/>
      <c r="N733" s="60">
        <f t="shared" ref="N733:N738" si="222">M733*J733*K733*L733</f>
        <v>0</v>
      </c>
      <c r="O733" s="60">
        <f t="shared" ref="O733:O738" si="223">J733*K733*L733</f>
        <v>0</v>
      </c>
    </row>
    <row r="734" spans="1:15" s="38" customFormat="1" ht="10.7" hidden="1" customHeight="1" outlineLevel="1" x14ac:dyDescent="0.25">
      <c r="A734" s="124"/>
      <c r="B734" s="142"/>
      <c r="C734" s="115"/>
      <c r="D734" s="115"/>
      <c r="E734" s="115"/>
      <c r="F734" s="115"/>
      <c r="G734" s="60" t="s">
        <v>127</v>
      </c>
      <c r="H734" s="124"/>
      <c r="I734" s="124"/>
      <c r="J734" s="60"/>
      <c r="K734" s="60"/>
      <c r="L734" s="60"/>
      <c r="M734" s="60"/>
      <c r="N734" s="60">
        <f t="shared" si="222"/>
        <v>0</v>
      </c>
      <c r="O734" s="60">
        <f t="shared" si="223"/>
        <v>0</v>
      </c>
    </row>
    <row r="735" spans="1:15" s="38" customFormat="1" ht="10.7" hidden="1" customHeight="1" outlineLevel="1" x14ac:dyDescent="0.25">
      <c r="A735" s="124"/>
      <c r="B735" s="142"/>
      <c r="C735" s="115"/>
      <c r="D735" s="115"/>
      <c r="E735" s="115"/>
      <c r="F735" s="115"/>
      <c r="G735" s="60" t="s">
        <v>128</v>
      </c>
      <c r="H735" s="124"/>
      <c r="I735" s="124"/>
      <c r="J735" s="60"/>
      <c r="K735" s="60"/>
      <c r="L735" s="60"/>
      <c r="M735" s="60"/>
      <c r="N735" s="60">
        <f t="shared" si="222"/>
        <v>0</v>
      </c>
      <c r="O735" s="60">
        <f t="shared" si="223"/>
        <v>0</v>
      </c>
    </row>
    <row r="736" spans="1:15" s="38" customFormat="1" ht="10.7" hidden="1" customHeight="1" outlineLevel="1" x14ac:dyDescent="0.25">
      <c r="A736" s="124"/>
      <c r="B736" s="142"/>
      <c r="C736" s="115"/>
      <c r="D736" s="115"/>
      <c r="E736" s="115"/>
      <c r="F736" s="115"/>
      <c r="G736" s="60" t="s">
        <v>129</v>
      </c>
      <c r="H736" s="124"/>
      <c r="I736" s="124"/>
      <c r="J736" s="60"/>
      <c r="K736" s="60"/>
      <c r="L736" s="60"/>
      <c r="M736" s="60"/>
      <c r="N736" s="60">
        <f t="shared" si="222"/>
        <v>0</v>
      </c>
      <c r="O736" s="60">
        <f t="shared" si="223"/>
        <v>0</v>
      </c>
    </row>
    <row r="737" spans="1:15" s="38" customFormat="1" ht="10.7" hidden="1" customHeight="1" outlineLevel="1" x14ac:dyDescent="0.25">
      <c r="A737" s="124"/>
      <c r="B737" s="142"/>
      <c r="C737" s="115"/>
      <c r="D737" s="115"/>
      <c r="E737" s="115"/>
      <c r="F737" s="115"/>
      <c r="G737" s="60" t="s">
        <v>130</v>
      </c>
      <c r="H737" s="124"/>
      <c r="I737" s="124"/>
      <c r="J737" s="60"/>
      <c r="K737" s="60"/>
      <c r="L737" s="60"/>
      <c r="M737" s="60"/>
      <c r="N737" s="60">
        <f t="shared" si="222"/>
        <v>0</v>
      </c>
      <c r="O737" s="60">
        <f t="shared" si="223"/>
        <v>0</v>
      </c>
    </row>
    <row r="738" spans="1:15" s="38" customFormat="1" ht="12" hidden="1" customHeight="1" outlineLevel="1" thickBot="1" x14ac:dyDescent="0.3">
      <c r="A738" s="125"/>
      <c r="B738" s="143"/>
      <c r="C738" s="131"/>
      <c r="D738" s="131"/>
      <c r="E738" s="131"/>
      <c r="F738" s="131"/>
      <c r="G738" s="60" t="s">
        <v>131</v>
      </c>
      <c r="H738" s="134"/>
      <c r="I738" s="134"/>
      <c r="J738" s="60"/>
      <c r="K738" s="60"/>
      <c r="L738" s="60"/>
      <c r="M738" s="60"/>
      <c r="N738" s="60">
        <f t="shared" si="222"/>
        <v>0</v>
      </c>
      <c r="O738" s="60">
        <f t="shared" si="223"/>
        <v>0</v>
      </c>
    </row>
    <row r="739" spans="1:15" s="38" customFormat="1" ht="14.45" hidden="1" customHeight="1" outlineLevel="1" x14ac:dyDescent="0.25">
      <c r="A739" s="140" t="s">
        <v>594</v>
      </c>
      <c r="B739" s="141" t="s">
        <v>595</v>
      </c>
      <c r="C739" s="130">
        <f>SUM(N739:N745)</f>
        <v>0</v>
      </c>
      <c r="D739" s="130">
        <f>SUM(O739:O745)</f>
        <v>0</v>
      </c>
      <c r="E739" s="130">
        <f t="shared" si="209"/>
        <v>0</v>
      </c>
      <c r="F739" s="130"/>
      <c r="G739" s="60" t="s">
        <v>125</v>
      </c>
      <c r="H739" s="123"/>
      <c r="I739" s="123"/>
      <c r="J739" s="60"/>
      <c r="K739" s="60"/>
      <c r="L739" s="60"/>
      <c r="M739" s="60"/>
      <c r="N739" s="60">
        <f>M739*J739*K739*L739</f>
        <v>0</v>
      </c>
      <c r="O739" s="60">
        <f>J739*K739*L739</f>
        <v>0</v>
      </c>
    </row>
    <row r="740" spans="1:15" s="38" customFormat="1" ht="11.45" hidden="1" customHeight="1" outlineLevel="1" x14ac:dyDescent="0.25">
      <c r="A740" s="124"/>
      <c r="B740" s="142"/>
      <c r="C740" s="115"/>
      <c r="D740" s="115"/>
      <c r="E740" s="115"/>
      <c r="F740" s="115"/>
      <c r="G740" s="60" t="s">
        <v>126</v>
      </c>
      <c r="H740" s="124"/>
      <c r="I740" s="124"/>
      <c r="J740" s="60"/>
      <c r="K740" s="60"/>
      <c r="L740" s="60"/>
      <c r="M740" s="60"/>
      <c r="N740" s="60">
        <f t="shared" ref="N740:N745" si="224">M740*J740*K740*L740</f>
        <v>0</v>
      </c>
      <c r="O740" s="60">
        <f t="shared" ref="O740:O745" si="225">J740*K740*L740</f>
        <v>0</v>
      </c>
    </row>
    <row r="741" spans="1:15" s="38" customFormat="1" ht="10.7" hidden="1" customHeight="1" outlineLevel="1" x14ac:dyDescent="0.25">
      <c r="A741" s="124"/>
      <c r="B741" s="142"/>
      <c r="C741" s="115"/>
      <c r="D741" s="115"/>
      <c r="E741" s="115"/>
      <c r="F741" s="115"/>
      <c r="G741" s="60" t="s">
        <v>127</v>
      </c>
      <c r="H741" s="124"/>
      <c r="I741" s="124"/>
      <c r="J741" s="60"/>
      <c r="K741" s="60"/>
      <c r="L741" s="60"/>
      <c r="M741" s="60"/>
      <c r="N741" s="60">
        <f t="shared" si="224"/>
        <v>0</v>
      </c>
      <c r="O741" s="60">
        <f t="shared" si="225"/>
        <v>0</v>
      </c>
    </row>
    <row r="742" spans="1:15" s="38" customFormat="1" ht="10.7" hidden="1" customHeight="1" outlineLevel="1" x14ac:dyDescent="0.25">
      <c r="A742" s="124"/>
      <c r="B742" s="142"/>
      <c r="C742" s="115"/>
      <c r="D742" s="115"/>
      <c r="E742" s="115"/>
      <c r="F742" s="115"/>
      <c r="G742" s="60" t="s">
        <v>128</v>
      </c>
      <c r="H742" s="124"/>
      <c r="I742" s="124"/>
      <c r="J742" s="60"/>
      <c r="K742" s="60"/>
      <c r="L742" s="60"/>
      <c r="M742" s="60"/>
      <c r="N742" s="60">
        <f t="shared" si="224"/>
        <v>0</v>
      </c>
      <c r="O742" s="60">
        <f t="shared" si="225"/>
        <v>0</v>
      </c>
    </row>
    <row r="743" spans="1:15" s="38" customFormat="1" ht="10.7" hidden="1" customHeight="1" outlineLevel="1" x14ac:dyDescent="0.25">
      <c r="A743" s="124"/>
      <c r="B743" s="142"/>
      <c r="C743" s="115"/>
      <c r="D743" s="115"/>
      <c r="E743" s="115"/>
      <c r="F743" s="115"/>
      <c r="G743" s="60" t="s">
        <v>129</v>
      </c>
      <c r="H743" s="124"/>
      <c r="I743" s="124"/>
      <c r="J743" s="60"/>
      <c r="K743" s="60"/>
      <c r="L743" s="60"/>
      <c r="M743" s="60"/>
      <c r="N743" s="60">
        <f t="shared" si="224"/>
        <v>0</v>
      </c>
      <c r="O743" s="60">
        <f t="shared" si="225"/>
        <v>0</v>
      </c>
    </row>
    <row r="744" spans="1:15" s="38" customFormat="1" ht="10.7" hidden="1" customHeight="1" outlineLevel="1" x14ac:dyDescent="0.25">
      <c r="A744" s="124"/>
      <c r="B744" s="142"/>
      <c r="C744" s="115"/>
      <c r="D744" s="115"/>
      <c r="E744" s="115"/>
      <c r="F744" s="115"/>
      <c r="G744" s="60" t="s">
        <v>130</v>
      </c>
      <c r="H744" s="124"/>
      <c r="I744" s="124"/>
      <c r="J744" s="60"/>
      <c r="K744" s="60"/>
      <c r="L744" s="60"/>
      <c r="M744" s="60"/>
      <c r="N744" s="60">
        <f t="shared" si="224"/>
        <v>0</v>
      </c>
      <c r="O744" s="60">
        <f t="shared" si="225"/>
        <v>0</v>
      </c>
    </row>
    <row r="745" spans="1:15" s="38" customFormat="1" ht="12" hidden="1" customHeight="1" outlineLevel="1" thickBot="1" x14ac:dyDescent="0.3">
      <c r="A745" s="125"/>
      <c r="B745" s="143"/>
      <c r="C745" s="131"/>
      <c r="D745" s="131"/>
      <c r="E745" s="131"/>
      <c r="F745" s="131"/>
      <c r="G745" s="60" t="s">
        <v>131</v>
      </c>
      <c r="H745" s="134"/>
      <c r="I745" s="134"/>
      <c r="J745" s="60"/>
      <c r="K745" s="60"/>
      <c r="L745" s="60"/>
      <c r="M745" s="60"/>
      <c r="N745" s="60">
        <f t="shared" si="224"/>
        <v>0</v>
      </c>
      <c r="O745" s="60">
        <f t="shared" si="225"/>
        <v>0</v>
      </c>
    </row>
    <row r="746" spans="1:15" ht="19.5" collapsed="1" thickBot="1" x14ac:dyDescent="0.35">
      <c r="A746" s="144" t="s">
        <v>530</v>
      </c>
      <c r="B746" s="145"/>
      <c r="C746" s="49">
        <f>C272+C60+C10</f>
        <v>0</v>
      </c>
      <c r="D746" s="64">
        <f>D10+D60+D272</f>
        <v>0</v>
      </c>
      <c r="E746" s="64">
        <f>E10+E60+E272</f>
        <v>0</v>
      </c>
      <c r="F746" s="59"/>
      <c r="G746" s="59"/>
      <c r="H746" s="59"/>
      <c r="I746" s="59"/>
      <c r="J746" s="59"/>
      <c r="K746" s="59"/>
      <c r="L746" s="59"/>
      <c r="M746" s="59"/>
      <c r="N746" s="59"/>
      <c r="O746" s="60"/>
    </row>
  </sheetData>
  <mergeCells count="844">
    <mergeCell ref="A2:O3"/>
    <mergeCell ref="C4:O4"/>
    <mergeCell ref="A5:A8"/>
    <mergeCell ref="B5:B8"/>
    <mergeCell ref="C5:C8"/>
    <mergeCell ref="D5:D8"/>
    <mergeCell ref="F5:F8"/>
    <mergeCell ref="G5:O6"/>
    <mergeCell ref="G7:G8"/>
    <mergeCell ref="H7:I7"/>
    <mergeCell ref="A9:O9"/>
    <mergeCell ref="A11:A17"/>
    <mergeCell ref="B11:B17"/>
    <mergeCell ref="C11:C17"/>
    <mergeCell ref="D11:D17"/>
    <mergeCell ref="F11:F17"/>
    <mergeCell ref="H11:H17"/>
    <mergeCell ref="I11:I17"/>
    <mergeCell ref="J7:J8"/>
    <mergeCell ref="K7:K8"/>
    <mergeCell ref="L7:L8"/>
    <mergeCell ref="M7:M8"/>
    <mergeCell ref="N7:N8"/>
    <mergeCell ref="O7:O8"/>
    <mergeCell ref="E5:E8"/>
    <mergeCell ref="E11:E17"/>
    <mergeCell ref="I18:I24"/>
    <mergeCell ref="A25:A31"/>
    <mergeCell ref="B25:B31"/>
    <mergeCell ref="C25:C31"/>
    <mergeCell ref="D25:D31"/>
    <mergeCell ref="F25:F31"/>
    <mergeCell ref="H25:H31"/>
    <mergeCell ref="I25:I31"/>
    <mergeCell ref="A18:A24"/>
    <mergeCell ref="B18:B24"/>
    <mergeCell ref="C18:C24"/>
    <mergeCell ref="D18:D24"/>
    <mergeCell ref="F18:F24"/>
    <mergeCell ref="H18:H24"/>
    <mergeCell ref="E18:E24"/>
    <mergeCell ref="E25:E31"/>
    <mergeCell ref="I32:I38"/>
    <mergeCell ref="A39:A45"/>
    <mergeCell ref="B39:B45"/>
    <mergeCell ref="C39:C45"/>
    <mergeCell ref="D39:D45"/>
    <mergeCell ref="F39:F45"/>
    <mergeCell ref="H39:H45"/>
    <mergeCell ref="I39:I45"/>
    <mergeCell ref="A32:A38"/>
    <mergeCell ref="B32:B38"/>
    <mergeCell ref="C32:C38"/>
    <mergeCell ref="D32:D38"/>
    <mergeCell ref="F32:F38"/>
    <mergeCell ref="H32:H38"/>
    <mergeCell ref="E32:E38"/>
    <mergeCell ref="E39:E45"/>
    <mergeCell ref="I46:I52"/>
    <mergeCell ref="A53:A59"/>
    <mergeCell ref="B53:B59"/>
    <mergeCell ref="C53:C59"/>
    <mergeCell ref="D53:D59"/>
    <mergeCell ref="F53:F59"/>
    <mergeCell ref="H53:H59"/>
    <mergeCell ref="I53:I59"/>
    <mergeCell ref="A46:A52"/>
    <mergeCell ref="B46:B52"/>
    <mergeCell ref="C46:C52"/>
    <mergeCell ref="D46:D52"/>
    <mergeCell ref="F46:F52"/>
    <mergeCell ref="H46:H52"/>
    <mergeCell ref="E46:E52"/>
    <mergeCell ref="E53:E59"/>
    <mergeCell ref="I61:I67"/>
    <mergeCell ref="A68:A74"/>
    <mergeCell ref="B68:B74"/>
    <mergeCell ref="C68:C74"/>
    <mergeCell ref="D68:D74"/>
    <mergeCell ref="F68:F74"/>
    <mergeCell ref="H68:H74"/>
    <mergeCell ref="I68:I74"/>
    <mergeCell ref="A61:A67"/>
    <mergeCell ref="B61:B67"/>
    <mergeCell ref="C61:C67"/>
    <mergeCell ref="D61:D67"/>
    <mergeCell ref="F61:F67"/>
    <mergeCell ref="H61:H67"/>
    <mergeCell ref="E61:E67"/>
    <mergeCell ref="E68:E74"/>
    <mergeCell ref="I75:I81"/>
    <mergeCell ref="A82:A88"/>
    <mergeCell ref="B82:B88"/>
    <mergeCell ref="C82:C88"/>
    <mergeCell ref="D82:D88"/>
    <mergeCell ref="F82:F88"/>
    <mergeCell ref="H82:H88"/>
    <mergeCell ref="I82:I88"/>
    <mergeCell ref="A75:A81"/>
    <mergeCell ref="B75:B81"/>
    <mergeCell ref="C75:C81"/>
    <mergeCell ref="D75:D81"/>
    <mergeCell ref="F75:F81"/>
    <mergeCell ref="H75:H81"/>
    <mergeCell ref="E75:E81"/>
    <mergeCell ref="E82:E88"/>
    <mergeCell ref="I90:I96"/>
    <mergeCell ref="A97:A103"/>
    <mergeCell ref="B97:B103"/>
    <mergeCell ref="C97:C103"/>
    <mergeCell ref="D97:D103"/>
    <mergeCell ref="F97:F103"/>
    <mergeCell ref="H97:H103"/>
    <mergeCell ref="I97:I103"/>
    <mergeCell ref="A90:A96"/>
    <mergeCell ref="B90:B96"/>
    <mergeCell ref="C90:C96"/>
    <mergeCell ref="D90:D96"/>
    <mergeCell ref="F90:F96"/>
    <mergeCell ref="H90:H96"/>
    <mergeCell ref="E90:E96"/>
    <mergeCell ref="E97:E103"/>
    <mergeCell ref="I104:I110"/>
    <mergeCell ref="A111:A117"/>
    <mergeCell ref="B111:B117"/>
    <mergeCell ref="C111:C117"/>
    <mergeCell ref="D111:D117"/>
    <mergeCell ref="F111:F117"/>
    <mergeCell ref="H111:H117"/>
    <mergeCell ref="I111:I117"/>
    <mergeCell ref="A104:A110"/>
    <mergeCell ref="B104:B110"/>
    <mergeCell ref="C104:C110"/>
    <mergeCell ref="D104:D110"/>
    <mergeCell ref="F104:F110"/>
    <mergeCell ref="H104:H110"/>
    <mergeCell ref="E104:E110"/>
    <mergeCell ref="E111:E117"/>
    <mergeCell ref="I118:I124"/>
    <mergeCell ref="A125:A131"/>
    <mergeCell ref="B125:B131"/>
    <mergeCell ref="C125:C131"/>
    <mergeCell ref="D125:D131"/>
    <mergeCell ref="F125:F131"/>
    <mergeCell ref="H125:H131"/>
    <mergeCell ref="I125:I131"/>
    <mergeCell ref="A118:A124"/>
    <mergeCell ref="B118:B124"/>
    <mergeCell ref="C118:C124"/>
    <mergeCell ref="D118:D124"/>
    <mergeCell ref="F118:F124"/>
    <mergeCell ref="H118:H124"/>
    <mergeCell ref="E118:E124"/>
    <mergeCell ref="E125:E131"/>
    <mergeCell ref="I132:I138"/>
    <mergeCell ref="A139:A145"/>
    <mergeCell ref="B139:B145"/>
    <mergeCell ref="C139:C145"/>
    <mergeCell ref="D139:D145"/>
    <mergeCell ref="F139:F145"/>
    <mergeCell ref="H139:H145"/>
    <mergeCell ref="I139:I145"/>
    <mergeCell ref="A132:A138"/>
    <mergeCell ref="B132:B138"/>
    <mergeCell ref="C132:C138"/>
    <mergeCell ref="D132:D138"/>
    <mergeCell ref="F132:F138"/>
    <mergeCell ref="H132:H138"/>
    <mergeCell ref="E132:E138"/>
    <mergeCell ref="E139:E145"/>
    <mergeCell ref="I146:I152"/>
    <mergeCell ref="A153:A159"/>
    <mergeCell ref="B153:B159"/>
    <mergeCell ref="C153:C159"/>
    <mergeCell ref="D153:D159"/>
    <mergeCell ref="F153:F159"/>
    <mergeCell ref="H153:H159"/>
    <mergeCell ref="I153:I159"/>
    <mergeCell ref="A146:A152"/>
    <mergeCell ref="B146:B152"/>
    <mergeCell ref="C146:C152"/>
    <mergeCell ref="D146:D152"/>
    <mergeCell ref="F146:F152"/>
    <mergeCell ref="H146:H152"/>
    <mergeCell ref="E146:E152"/>
    <mergeCell ref="E153:E159"/>
    <mergeCell ref="I160:I166"/>
    <mergeCell ref="A167:A173"/>
    <mergeCell ref="B167:B173"/>
    <mergeCell ref="C167:C173"/>
    <mergeCell ref="D167:D173"/>
    <mergeCell ref="F167:F173"/>
    <mergeCell ref="H167:H173"/>
    <mergeCell ref="I167:I173"/>
    <mergeCell ref="A160:A166"/>
    <mergeCell ref="B160:B166"/>
    <mergeCell ref="C160:C166"/>
    <mergeCell ref="D160:D166"/>
    <mergeCell ref="F160:F166"/>
    <mergeCell ref="H160:H166"/>
    <mergeCell ref="E160:E166"/>
    <mergeCell ref="E167:E173"/>
    <mergeCell ref="I174:I180"/>
    <mergeCell ref="A181:A187"/>
    <mergeCell ref="B181:B187"/>
    <mergeCell ref="C181:C187"/>
    <mergeCell ref="D181:D187"/>
    <mergeCell ref="F181:F187"/>
    <mergeCell ref="H181:H187"/>
    <mergeCell ref="I181:I187"/>
    <mergeCell ref="A174:A180"/>
    <mergeCell ref="B174:B180"/>
    <mergeCell ref="C174:C180"/>
    <mergeCell ref="D174:D180"/>
    <mergeCell ref="F174:F180"/>
    <mergeCell ref="H174:H180"/>
    <mergeCell ref="E174:E180"/>
    <mergeCell ref="E181:E187"/>
    <mergeCell ref="I188:I194"/>
    <mergeCell ref="A195:A201"/>
    <mergeCell ref="B195:B201"/>
    <mergeCell ref="C195:C201"/>
    <mergeCell ref="D195:D201"/>
    <mergeCell ref="F195:F201"/>
    <mergeCell ref="H195:H201"/>
    <mergeCell ref="I195:I201"/>
    <mergeCell ref="A188:A194"/>
    <mergeCell ref="B188:B194"/>
    <mergeCell ref="C188:C194"/>
    <mergeCell ref="D188:D194"/>
    <mergeCell ref="F188:F194"/>
    <mergeCell ref="H188:H194"/>
    <mergeCell ref="E188:E194"/>
    <mergeCell ref="E195:E201"/>
    <mergeCell ref="I202:I208"/>
    <mergeCell ref="A209:A215"/>
    <mergeCell ref="B209:B215"/>
    <mergeCell ref="C209:C215"/>
    <mergeCell ref="D209:D215"/>
    <mergeCell ref="F209:F215"/>
    <mergeCell ref="H209:H215"/>
    <mergeCell ref="I209:I215"/>
    <mergeCell ref="A202:A208"/>
    <mergeCell ref="B202:B208"/>
    <mergeCell ref="C202:C208"/>
    <mergeCell ref="D202:D208"/>
    <mergeCell ref="F202:F208"/>
    <mergeCell ref="H202:H208"/>
    <mergeCell ref="E202:E208"/>
    <mergeCell ref="E209:E215"/>
    <mergeCell ref="I216:I222"/>
    <mergeCell ref="A223:A229"/>
    <mergeCell ref="B223:B229"/>
    <mergeCell ref="C223:C229"/>
    <mergeCell ref="D223:D229"/>
    <mergeCell ref="F223:F229"/>
    <mergeCell ref="H223:H229"/>
    <mergeCell ref="I223:I229"/>
    <mergeCell ref="A216:A222"/>
    <mergeCell ref="B216:B222"/>
    <mergeCell ref="C216:C222"/>
    <mergeCell ref="D216:D222"/>
    <mergeCell ref="F216:F222"/>
    <mergeCell ref="H216:H222"/>
    <mergeCell ref="E216:E222"/>
    <mergeCell ref="E223:E229"/>
    <mergeCell ref="I230:I236"/>
    <mergeCell ref="A237:A243"/>
    <mergeCell ref="B237:B243"/>
    <mergeCell ref="C237:C243"/>
    <mergeCell ref="D237:D243"/>
    <mergeCell ref="F237:F243"/>
    <mergeCell ref="H237:H243"/>
    <mergeCell ref="I237:I243"/>
    <mergeCell ref="A230:A236"/>
    <mergeCell ref="B230:B236"/>
    <mergeCell ref="C230:C236"/>
    <mergeCell ref="D230:D236"/>
    <mergeCell ref="F230:F236"/>
    <mergeCell ref="H230:H236"/>
    <mergeCell ref="E230:E236"/>
    <mergeCell ref="E237:E243"/>
    <mergeCell ref="I244:I250"/>
    <mergeCell ref="A251:A257"/>
    <mergeCell ref="B251:B257"/>
    <mergeCell ref="C251:C257"/>
    <mergeCell ref="D251:D257"/>
    <mergeCell ref="F251:F257"/>
    <mergeCell ref="H251:H257"/>
    <mergeCell ref="I251:I257"/>
    <mergeCell ref="A244:A250"/>
    <mergeCell ref="B244:B250"/>
    <mergeCell ref="C244:C250"/>
    <mergeCell ref="D244:D250"/>
    <mergeCell ref="F244:F250"/>
    <mergeCell ref="H244:H250"/>
    <mergeCell ref="E244:E250"/>
    <mergeCell ref="E251:E257"/>
    <mergeCell ref="I258:I264"/>
    <mergeCell ref="A265:A271"/>
    <mergeCell ref="B265:B271"/>
    <mergeCell ref="C265:C271"/>
    <mergeCell ref="D265:D271"/>
    <mergeCell ref="F265:F271"/>
    <mergeCell ref="H265:H271"/>
    <mergeCell ref="I265:I271"/>
    <mergeCell ref="A258:A264"/>
    <mergeCell ref="B258:B264"/>
    <mergeCell ref="C258:C264"/>
    <mergeCell ref="D258:D264"/>
    <mergeCell ref="F258:F264"/>
    <mergeCell ref="H258:H264"/>
    <mergeCell ref="E258:E264"/>
    <mergeCell ref="E265:E271"/>
    <mergeCell ref="I273:I279"/>
    <mergeCell ref="A280:A286"/>
    <mergeCell ref="B280:B286"/>
    <mergeCell ref="C280:C286"/>
    <mergeCell ref="D280:D286"/>
    <mergeCell ref="F280:F286"/>
    <mergeCell ref="H280:H286"/>
    <mergeCell ref="I280:I286"/>
    <mergeCell ref="A273:A279"/>
    <mergeCell ref="B273:B279"/>
    <mergeCell ref="C273:C279"/>
    <mergeCell ref="D273:D279"/>
    <mergeCell ref="F273:F279"/>
    <mergeCell ref="H273:H279"/>
    <mergeCell ref="E273:E279"/>
    <mergeCell ref="E280:E286"/>
    <mergeCell ref="I287:I293"/>
    <mergeCell ref="A294:A300"/>
    <mergeCell ref="B294:B300"/>
    <mergeCell ref="C294:C300"/>
    <mergeCell ref="D294:D300"/>
    <mergeCell ref="F294:F300"/>
    <mergeCell ref="H294:H300"/>
    <mergeCell ref="I294:I300"/>
    <mergeCell ref="A287:A293"/>
    <mergeCell ref="B287:B293"/>
    <mergeCell ref="C287:C293"/>
    <mergeCell ref="D287:D293"/>
    <mergeCell ref="F287:F293"/>
    <mergeCell ref="H287:H293"/>
    <mergeCell ref="E287:E293"/>
    <mergeCell ref="E294:E300"/>
    <mergeCell ref="I301:I307"/>
    <mergeCell ref="A308:A314"/>
    <mergeCell ref="B308:B314"/>
    <mergeCell ref="C308:C314"/>
    <mergeCell ref="D308:D314"/>
    <mergeCell ref="F308:F314"/>
    <mergeCell ref="H308:H314"/>
    <mergeCell ref="I308:I314"/>
    <mergeCell ref="A301:A307"/>
    <mergeCell ref="B301:B307"/>
    <mergeCell ref="C301:C307"/>
    <mergeCell ref="D301:D307"/>
    <mergeCell ref="F301:F307"/>
    <mergeCell ref="H301:H307"/>
    <mergeCell ref="E301:E307"/>
    <mergeCell ref="E308:E314"/>
    <mergeCell ref="I315:I321"/>
    <mergeCell ref="A322:A328"/>
    <mergeCell ref="B322:B328"/>
    <mergeCell ref="C322:C328"/>
    <mergeCell ref="D322:D328"/>
    <mergeCell ref="F322:F328"/>
    <mergeCell ref="H322:H328"/>
    <mergeCell ref="I322:I328"/>
    <mergeCell ref="A315:A321"/>
    <mergeCell ref="B315:B321"/>
    <mergeCell ref="C315:C321"/>
    <mergeCell ref="D315:D321"/>
    <mergeCell ref="F315:F321"/>
    <mergeCell ref="H315:H321"/>
    <mergeCell ref="E315:E321"/>
    <mergeCell ref="E322:E328"/>
    <mergeCell ref="I329:I335"/>
    <mergeCell ref="A336:A342"/>
    <mergeCell ref="B336:B342"/>
    <mergeCell ref="C336:C342"/>
    <mergeCell ref="D336:D342"/>
    <mergeCell ref="F336:F342"/>
    <mergeCell ref="H336:H342"/>
    <mergeCell ref="I336:I342"/>
    <mergeCell ref="A329:A335"/>
    <mergeCell ref="B329:B335"/>
    <mergeCell ref="C329:C335"/>
    <mergeCell ref="D329:D335"/>
    <mergeCell ref="F329:F335"/>
    <mergeCell ref="H329:H335"/>
    <mergeCell ref="E329:E335"/>
    <mergeCell ref="E336:E342"/>
    <mergeCell ref="I343:I349"/>
    <mergeCell ref="A350:A356"/>
    <mergeCell ref="B350:B356"/>
    <mergeCell ref="C350:C356"/>
    <mergeCell ref="D350:D356"/>
    <mergeCell ref="F350:F356"/>
    <mergeCell ref="H350:H356"/>
    <mergeCell ref="I350:I356"/>
    <mergeCell ref="A343:A349"/>
    <mergeCell ref="B343:B349"/>
    <mergeCell ref="C343:C349"/>
    <mergeCell ref="D343:D349"/>
    <mergeCell ref="F343:F349"/>
    <mergeCell ref="H343:H349"/>
    <mergeCell ref="E343:E349"/>
    <mergeCell ref="E350:E356"/>
    <mergeCell ref="I357:I363"/>
    <mergeCell ref="A364:A370"/>
    <mergeCell ref="B364:B370"/>
    <mergeCell ref="C364:C370"/>
    <mergeCell ref="D364:D370"/>
    <mergeCell ref="F364:F370"/>
    <mergeCell ref="H364:H370"/>
    <mergeCell ref="I364:I370"/>
    <mergeCell ref="A357:A363"/>
    <mergeCell ref="B357:B363"/>
    <mergeCell ref="C357:C363"/>
    <mergeCell ref="D357:D363"/>
    <mergeCell ref="F357:F363"/>
    <mergeCell ref="H357:H363"/>
    <mergeCell ref="E357:E363"/>
    <mergeCell ref="E364:E370"/>
    <mergeCell ref="I371:I377"/>
    <mergeCell ref="A378:A384"/>
    <mergeCell ref="B378:B384"/>
    <mergeCell ref="C378:C384"/>
    <mergeCell ref="D378:D384"/>
    <mergeCell ref="F378:F384"/>
    <mergeCell ref="H378:H384"/>
    <mergeCell ref="I378:I384"/>
    <mergeCell ref="A371:A377"/>
    <mergeCell ref="B371:B377"/>
    <mergeCell ref="C371:C377"/>
    <mergeCell ref="D371:D377"/>
    <mergeCell ref="F371:F377"/>
    <mergeCell ref="H371:H377"/>
    <mergeCell ref="E371:E377"/>
    <mergeCell ref="E378:E384"/>
    <mergeCell ref="I385:I391"/>
    <mergeCell ref="A392:A398"/>
    <mergeCell ref="B392:B398"/>
    <mergeCell ref="C392:C398"/>
    <mergeCell ref="D392:D398"/>
    <mergeCell ref="F392:F398"/>
    <mergeCell ref="H392:H398"/>
    <mergeCell ref="I392:I398"/>
    <mergeCell ref="A385:A391"/>
    <mergeCell ref="B385:B391"/>
    <mergeCell ref="C385:C391"/>
    <mergeCell ref="D385:D391"/>
    <mergeCell ref="F385:F391"/>
    <mergeCell ref="H385:H391"/>
    <mergeCell ref="E385:E391"/>
    <mergeCell ref="E392:E398"/>
    <mergeCell ref="I399:I405"/>
    <mergeCell ref="A406:A412"/>
    <mergeCell ref="B406:B412"/>
    <mergeCell ref="C406:C412"/>
    <mergeCell ref="D406:D412"/>
    <mergeCell ref="F406:F412"/>
    <mergeCell ref="H406:H412"/>
    <mergeCell ref="I406:I412"/>
    <mergeCell ref="A399:A405"/>
    <mergeCell ref="B399:B405"/>
    <mergeCell ref="C399:C405"/>
    <mergeCell ref="D399:D405"/>
    <mergeCell ref="F399:F405"/>
    <mergeCell ref="H399:H405"/>
    <mergeCell ref="E399:E405"/>
    <mergeCell ref="E406:E412"/>
    <mergeCell ref="I413:I419"/>
    <mergeCell ref="A420:A426"/>
    <mergeCell ref="B420:B426"/>
    <mergeCell ref="C420:C426"/>
    <mergeCell ref="D420:D426"/>
    <mergeCell ref="F420:F426"/>
    <mergeCell ref="H420:H426"/>
    <mergeCell ref="I420:I426"/>
    <mergeCell ref="A413:A419"/>
    <mergeCell ref="B413:B419"/>
    <mergeCell ref="C413:C419"/>
    <mergeCell ref="D413:D419"/>
    <mergeCell ref="F413:F419"/>
    <mergeCell ref="H413:H419"/>
    <mergeCell ref="E413:E419"/>
    <mergeCell ref="E420:E426"/>
    <mergeCell ref="I427:I433"/>
    <mergeCell ref="A434:A440"/>
    <mergeCell ref="B434:B440"/>
    <mergeCell ref="C434:C440"/>
    <mergeCell ref="D434:D440"/>
    <mergeCell ref="F434:F440"/>
    <mergeCell ref="H434:H440"/>
    <mergeCell ref="I434:I440"/>
    <mergeCell ref="A427:A433"/>
    <mergeCell ref="B427:B433"/>
    <mergeCell ref="C427:C433"/>
    <mergeCell ref="D427:D433"/>
    <mergeCell ref="F427:F433"/>
    <mergeCell ref="H427:H433"/>
    <mergeCell ref="E427:E433"/>
    <mergeCell ref="E434:E440"/>
    <mergeCell ref="I441:I447"/>
    <mergeCell ref="A448:A454"/>
    <mergeCell ref="B448:B454"/>
    <mergeCell ref="C448:C454"/>
    <mergeCell ref="D448:D454"/>
    <mergeCell ref="F448:F454"/>
    <mergeCell ref="H448:H454"/>
    <mergeCell ref="I448:I454"/>
    <mergeCell ref="A441:A447"/>
    <mergeCell ref="B441:B447"/>
    <mergeCell ref="C441:C447"/>
    <mergeCell ref="D441:D447"/>
    <mergeCell ref="F441:F447"/>
    <mergeCell ref="H441:H447"/>
    <mergeCell ref="E441:E447"/>
    <mergeCell ref="E448:E454"/>
    <mergeCell ref="I455:I461"/>
    <mergeCell ref="A462:A468"/>
    <mergeCell ref="B462:B468"/>
    <mergeCell ref="C462:C468"/>
    <mergeCell ref="D462:D468"/>
    <mergeCell ref="F462:F468"/>
    <mergeCell ref="H462:H468"/>
    <mergeCell ref="I462:I468"/>
    <mergeCell ref="A455:A461"/>
    <mergeCell ref="B455:B461"/>
    <mergeCell ref="C455:C461"/>
    <mergeCell ref="D455:D461"/>
    <mergeCell ref="F455:F461"/>
    <mergeCell ref="H455:H461"/>
    <mergeCell ref="E455:E461"/>
    <mergeCell ref="E462:E468"/>
    <mergeCell ref="I469:I475"/>
    <mergeCell ref="A476:A482"/>
    <mergeCell ref="B476:B482"/>
    <mergeCell ref="C476:C482"/>
    <mergeCell ref="D476:D482"/>
    <mergeCell ref="F476:F482"/>
    <mergeCell ref="H476:H482"/>
    <mergeCell ref="I476:I482"/>
    <mergeCell ref="A469:A475"/>
    <mergeCell ref="B469:B475"/>
    <mergeCell ref="C469:C475"/>
    <mergeCell ref="D469:D475"/>
    <mergeCell ref="F469:F475"/>
    <mergeCell ref="H469:H475"/>
    <mergeCell ref="E469:E475"/>
    <mergeCell ref="E476:E482"/>
    <mergeCell ref="I483:I489"/>
    <mergeCell ref="A490:A496"/>
    <mergeCell ref="B490:B496"/>
    <mergeCell ref="C490:C496"/>
    <mergeCell ref="D490:D496"/>
    <mergeCell ref="F490:F496"/>
    <mergeCell ref="H490:H496"/>
    <mergeCell ref="I490:I496"/>
    <mergeCell ref="A483:A489"/>
    <mergeCell ref="B483:B489"/>
    <mergeCell ref="C483:C489"/>
    <mergeCell ref="D483:D489"/>
    <mergeCell ref="F483:F489"/>
    <mergeCell ref="H483:H489"/>
    <mergeCell ref="E483:E489"/>
    <mergeCell ref="E490:E496"/>
    <mergeCell ref="I497:I503"/>
    <mergeCell ref="A504:A510"/>
    <mergeCell ref="B504:B510"/>
    <mergeCell ref="C504:C510"/>
    <mergeCell ref="D504:D510"/>
    <mergeCell ref="F504:F510"/>
    <mergeCell ref="H504:H510"/>
    <mergeCell ref="I504:I510"/>
    <mergeCell ref="A497:A503"/>
    <mergeCell ref="B497:B503"/>
    <mergeCell ref="C497:C503"/>
    <mergeCell ref="D497:D503"/>
    <mergeCell ref="F497:F503"/>
    <mergeCell ref="H497:H503"/>
    <mergeCell ref="E497:E503"/>
    <mergeCell ref="E504:E510"/>
    <mergeCell ref="I511:I517"/>
    <mergeCell ref="A520:A526"/>
    <mergeCell ref="B520:B526"/>
    <mergeCell ref="C520:C526"/>
    <mergeCell ref="D520:D526"/>
    <mergeCell ref="F520:F526"/>
    <mergeCell ref="H520:H526"/>
    <mergeCell ref="I520:I526"/>
    <mergeCell ref="A511:A517"/>
    <mergeCell ref="B511:B517"/>
    <mergeCell ref="C511:C517"/>
    <mergeCell ref="D511:D517"/>
    <mergeCell ref="F511:F517"/>
    <mergeCell ref="H511:H517"/>
    <mergeCell ref="E511:E517"/>
    <mergeCell ref="E520:E526"/>
    <mergeCell ref="I527:I533"/>
    <mergeCell ref="A534:A540"/>
    <mergeCell ref="B534:B540"/>
    <mergeCell ref="C534:C540"/>
    <mergeCell ref="D534:D540"/>
    <mergeCell ref="F534:F540"/>
    <mergeCell ref="H534:H540"/>
    <mergeCell ref="I534:I540"/>
    <mergeCell ref="A527:A533"/>
    <mergeCell ref="B527:B533"/>
    <mergeCell ref="C527:C533"/>
    <mergeCell ref="D527:D533"/>
    <mergeCell ref="F527:F533"/>
    <mergeCell ref="H527:H533"/>
    <mergeCell ref="E527:E533"/>
    <mergeCell ref="E534:E540"/>
    <mergeCell ref="I541:I547"/>
    <mergeCell ref="A548:A554"/>
    <mergeCell ref="B548:B554"/>
    <mergeCell ref="C548:C554"/>
    <mergeCell ref="D548:D554"/>
    <mergeCell ref="F548:F554"/>
    <mergeCell ref="H548:H554"/>
    <mergeCell ref="I548:I554"/>
    <mergeCell ref="A541:A547"/>
    <mergeCell ref="B541:B547"/>
    <mergeCell ref="C541:C547"/>
    <mergeCell ref="D541:D547"/>
    <mergeCell ref="F541:F547"/>
    <mergeCell ref="H541:H547"/>
    <mergeCell ref="E541:E547"/>
    <mergeCell ref="E548:E554"/>
    <mergeCell ref="I555:I561"/>
    <mergeCell ref="A562:A568"/>
    <mergeCell ref="B562:B568"/>
    <mergeCell ref="C562:C568"/>
    <mergeCell ref="D562:D568"/>
    <mergeCell ref="F562:F568"/>
    <mergeCell ref="H562:H568"/>
    <mergeCell ref="I562:I568"/>
    <mergeCell ref="A555:A561"/>
    <mergeCell ref="B555:B561"/>
    <mergeCell ref="C555:C561"/>
    <mergeCell ref="D555:D561"/>
    <mergeCell ref="F555:F561"/>
    <mergeCell ref="H555:H561"/>
    <mergeCell ref="E555:E561"/>
    <mergeCell ref="E562:E568"/>
    <mergeCell ref="I569:I575"/>
    <mergeCell ref="A576:A582"/>
    <mergeCell ref="B576:B582"/>
    <mergeCell ref="C576:C582"/>
    <mergeCell ref="D576:D582"/>
    <mergeCell ref="F576:F582"/>
    <mergeCell ref="H576:H582"/>
    <mergeCell ref="I576:I582"/>
    <mergeCell ref="A569:A575"/>
    <mergeCell ref="B569:B575"/>
    <mergeCell ref="C569:C575"/>
    <mergeCell ref="D569:D575"/>
    <mergeCell ref="F569:F575"/>
    <mergeCell ref="H569:H575"/>
    <mergeCell ref="E569:E575"/>
    <mergeCell ref="E576:E582"/>
    <mergeCell ref="I583:I589"/>
    <mergeCell ref="A590:A596"/>
    <mergeCell ref="B590:B596"/>
    <mergeCell ref="C590:C596"/>
    <mergeCell ref="D590:D596"/>
    <mergeCell ref="F590:F596"/>
    <mergeCell ref="H590:H596"/>
    <mergeCell ref="I590:I596"/>
    <mergeCell ref="A583:A589"/>
    <mergeCell ref="B583:B589"/>
    <mergeCell ref="C583:C589"/>
    <mergeCell ref="D583:D589"/>
    <mergeCell ref="F583:F589"/>
    <mergeCell ref="H583:H589"/>
    <mergeCell ref="E583:E589"/>
    <mergeCell ref="E590:E596"/>
    <mergeCell ref="I597:I603"/>
    <mergeCell ref="A604:A610"/>
    <mergeCell ref="B604:B610"/>
    <mergeCell ref="C604:C610"/>
    <mergeCell ref="D604:D610"/>
    <mergeCell ref="F604:F610"/>
    <mergeCell ref="H604:H610"/>
    <mergeCell ref="I604:I610"/>
    <mergeCell ref="A597:A603"/>
    <mergeCell ref="B597:B603"/>
    <mergeCell ref="C597:C603"/>
    <mergeCell ref="D597:D603"/>
    <mergeCell ref="F597:F603"/>
    <mergeCell ref="H597:H603"/>
    <mergeCell ref="E597:E603"/>
    <mergeCell ref="E604:E610"/>
    <mergeCell ref="I611:I617"/>
    <mergeCell ref="A620:A626"/>
    <mergeCell ref="B620:B626"/>
    <mergeCell ref="C620:C626"/>
    <mergeCell ref="D620:D626"/>
    <mergeCell ref="F620:F626"/>
    <mergeCell ref="H620:H626"/>
    <mergeCell ref="I620:I626"/>
    <mergeCell ref="A611:A617"/>
    <mergeCell ref="B611:B617"/>
    <mergeCell ref="C611:C617"/>
    <mergeCell ref="D611:D617"/>
    <mergeCell ref="F611:F617"/>
    <mergeCell ref="H611:H617"/>
    <mergeCell ref="E611:E617"/>
    <mergeCell ref="E620:E626"/>
    <mergeCell ref="I627:I633"/>
    <mergeCell ref="A634:A640"/>
    <mergeCell ref="B634:B640"/>
    <mergeCell ref="C634:C640"/>
    <mergeCell ref="D634:D640"/>
    <mergeCell ref="F634:F640"/>
    <mergeCell ref="H634:H640"/>
    <mergeCell ref="I634:I640"/>
    <mergeCell ref="A627:A633"/>
    <mergeCell ref="B627:B633"/>
    <mergeCell ref="C627:C633"/>
    <mergeCell ref="D627:D633"/>
    <mergeCell ref="F627:F633"/>
    <mergeCell ref="H627:H633"/>
    <mergeCell ref="E627:E633"/>
    <mergeCell ref="E634:E640"/>
    <mergeCell ref="I641:I647"/>
    <mergeCell ref="A648:A654"/>
    <mergeCell ref="B648:B654"/>
    <mergeCell ref="C648:C654"/>
    <mergeCell ref="D648:D654"/>
    <mergeCell ref="F648:F654"/>
    <mergeCell ref="H648:H654"/>
    <mergeCell ref="I648:I654"/>
    <mergeCell ref="A641:A647"/>
    <mergeCell ref="B641:B647"/>
    <mergeCell ref="C641:C647"/>
    <mergeCell ref="D641:D647"/>
    <mergeCell ref="F641:F647"/>
    <mergeCell ref="H641:H647"/>
    <mergeCell ref="E641:E647"/>
    <mergeCell ref="E648:E654"/>
    <mergeCell ref="I655:I661"/>
    <mergeCell ref="A662:A668"/>
    <mergeCell ref="B662:B668"/>
    <mergeCell ref="C662:C668"/>
    <mergeCell ref="D662:D668"/>
    <mergeCell ref="F662:F668"/>
    <mergeCell ref="H662:H668"/>
    <mergeCell ref="I662:I668"/>
    <mergeCell ref="A655:A661"/>
    <mergeCell ref="B655:B661"/>
    <mergeCell ref="C655:C661"/>
    <mergeCell ref="D655:D661"/>
    <mergeCell ref="F655:F661"/>
    <mergeCell ref="H655:H661"/>
    <mergeCell ref="E655:E661"/>
    <mergeCell ref="E662:E668"/>
    <mergeCell ref="I669:I675"/>
    <mergeCell ref="A676:A731"/>
    <mergeCell ref="B676:B682"/>
    <mergeCell ref="C676:C682"/>
    <mergeCell ref="D676:D682"/>
    <mergeCell ref="F676:F682"/>
    <mergeCell ref="H676:H682"/>
    <mergeCell ref="I676:I682"/>
    <mergeCell ref="B683:B689"/>
    <mergeCell ref="C683:C689"/>
    <mergeCell ref="A669:A675"/>
    <mergeCell ref="B669:B675"/>
    <mergeCell ref="C669:C675"/>
    <mergeCell ref="D669:D675"/>
    <mergeCell ref="F669:F675"/>
    <mergeCell ref="H669:H675"/>
    <mergeCell ref="B697:B703"/>
    <mergeCell ref="C697:C703"/>
    <mergeCell ref="D697:D703"/>
    <mergeCell ref="F697:F703"/>
    <mergeCell ref="H697:H703"/>
    <mergeCell ref="I697:I703"/>
    <mergeCell ref="D683:D689"/>
    <mergeCell ref="F683:F689"/>
    <mergeCell ref="H683:H689"/>
    <mergeCell ref="I683:I689"/>
    <mergeCell ref="B690:B696"/>
    <mergeCell ref="C690:C696"/>
    <mergeCell ref="D690:D696"/>
    <mergeCell ref="F690:F696"/>
    <mergeCell ref="H690:H696"/>
    <mergeCell ref="I690:I696"/>
    <mergeCell ref="B711:B717"/>
    <mergeCell ref="C711:C717"/>
    <mergeCell ref="D711:D717"/>
    <mergeCell ref="F711:F717"/>
    <mergeCell ref="H711:H717"/>
    <mergeCell ref="I711:I717"/>
    <mergeCell ref="B704:B710"/>
    <mergeCell ref="C704:C710"/>
    <mergeCell ref="D704:D710"/>
    <mergeCell ref="F704:F710"/>
    <mergeCell ref="H704:H710"/>
    <mergeCell ref="I704:I710"/>
    <mergeCell ref="B725:B731"/>
    <mergeCell ref="C725:C731"/>
    <mergeCell ref="D725:D731"/>
    <mergeCell ref="F725:F731"/>
    <mergeCell ref="H725:H731"/>
    <mergeCell ref="I725:I731"/>
    <mergeCell ref="B718:B724"/>
    <mergeCell ref="C718:C724"/>
    <mergeCell ref="D718:D724"/>
    <mergeCell ref="F718:F724"/>
    <mergeCell ref="H718:H724"/>
    <mergeCell ref="I718:I724"/>
    <mergeCell ref="A746:B746"/>
    <mergeCell ref="I732:I738"/>
    <mergeCell ref="A739:A745"/>
    <mergeCell ref="B739:B745"/>
    <mergeCell ref="C739:C745"/>
    <mergeCell ref="D739:D745"/>
    <mergeCell ref="F739:F745"/>
    <mergeCell ref="H739:H745"/>
    <mergeCell ref="I739:I745"/>
    <mergeCell ref="A732:A738"/>
    <mergeCell ref="B732:B738"/>
    <mergeCell ref="C732:C738"/>
    <mergeCell ref="D732:D738"/>
    <mergeCell ref="F732:F738"/>
    <mergeCell ref="H732:H738"/>
    <mergeCell ref="E732:E738"/>
    <mergeCell ref="E739:E745"/>
    <mergeCell ref="E669:E675"/>
    <mergeCell ref="E676:E682"/>
    <mergeCell ref="E683:E689"/>
    <mergeCell ref="E690:E696"/>
    <mergeCell ref="E697:E703"/>
    <mergeCell ref="E704:E710"/>
    <mergeCell ref="E711:E717"/>
    <mergeCell ref="E718:E724"/>
    <mergeCell ref="E725:E73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609"/>
  <sheetViews>
    <sheetView tabSelected="1" zoomScale="115" zoomScaleNormal="115" workbookViewId="0">
      <selection activeCell="K21" sqref="K21"/>
    </sheetView>
  </sheetViews>
  <sheetFormatPr defaultColWidth="9.140625" defaultRowHeight="15" outlineLevelRow="1" x14ac:dyDescent="0.25"/>
  <cols>
    <col min="1" max="1" width="8.42578125" style="22" customWidth="1"/>
    <col min="2" max="2" width="100.5703125" style="21" customWidth="1"/>
    <col min="3" max="3" width="14.85546875" style="21" customWidth="1"/>
    <col min="4" max="5" width="12.42578125" style="21" customWidth="1"/>
    <col min="6" max="6" width="14.42578125" style="21" customWidth="1"/>
    <col min="7" max="7" width="13.140625" style="21" customWidth="1"/>
    <col min="8" max="8" width="10.85546875" style="21" customWidth="1"/>
    <col min="9" max="9" width="9.85546875" style="21" customWidth="1"/>
    <col min="10" max="10" width="8.140625" style="21" customWidth="1"/>
    <col min="11" max="11" width="8.85546875" style="21" customWidth="1"/>
    <col min="12" max="12" width="8.85546875" style="165" customWidth="1"/>
    <col min="13" max="13" width="13.42578125" style="21" customWidth="1"/>
    <col min="14" max="14" width="19.42578125" style="21" customWidth="1"/>
    <col min="15" max="16" width="18.140625" style="21" customWidth="1"/>
    <col min="17" max="17" width="17.42578125" style="21" customWidth="1"/>
    <col min="18" max="16384" width="9.140625" style="21"/>
  </cols>
  <sheetData>
    <row r="1" spans="1:16" ht="55.35" customHeight="1" x14ac:dyDescent="0.25">
      <c r="A1" s="23" t="s">
        <v>0</v>
      </c>
      <c r="B1" s="19"/>
      <c r="C1" s="20" t="s">
        <v>1</v>
      </c>
      <c r="D1" s="20"/>
      <c r="E1" s="20"/>
      <c r="F1" s="20"/>
      <c r="G1" s="20"/>
      <c r="H1" s="20"/>
      <c r="I1" s="20"/>
      <c r="J1" s="20"/>
      <c r="K1" s="20"/>
      <c r="L1" s="156"/>
      <c r="M1" s="20"/>
      <c r="N1" s="20"/>
      <c r="O1" s="20"/>
    </row>
    <row r="2" spans="1:16" ht="15" customHeight="1" x14ac:dyDescent="0.25">
      <c r="A2" s="107" t="s">
        <v>978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6" ht="36" customHeight="1" thickBot="1" x14ac:dyDescent="0.3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</row>
    <row r="4" spans="1:16" ht="13.7" customHeight="1" thickBot="1" x14ac:dyDescent="0.3">
      <c r="A4" s="55"/>
      <c r="B4" s="55"/>
      <c r="C4" s="109" t="s">
        <v>106</v>
      </c>
      <c r="D4" s="110"/>
      <c r="E4" s="110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2"/>
    </row>
    <row r="5" spans="1:16" s="38" customFormat="1" ht="19.5" customHeight="1" x14ac:dyDescent="0.25">
      <c r="A5" s="113" t="s">
        <v>3</v>
      </c>
      <c r="B5" s="113" t="s">
        <v>4</v>
      </c>
      <c r="C5" s="113" t="s">
        <v>53</v>
      </c>
      <c r="D5" s="113" t="s">
        <v>107</v>
      </c>
      <c r="E5" s="113" t="s">
        <v>108</v>
      </c>
      <c r="F5" s="113" t="s">
        <v>109</v>
      </c>
      <c r="G5" s="117" t="s">
        <v>110</v>
      </c>
      <c r="H5" s="118"/>
      <c r="I5" s="118"/>
      <c r="J5" s="118"/>
      <c r="K5" s="118"/>
      <c r="L5" s="118"/>
      <c r="M5" s="118"/>
      <c r="N5" s="118"/>
      <c r="O5" s="118"/>
      <c r="P5" s="119"/>
    </row>
    <row r="6" spans="1:16" s="38" customFormat="1" ht="19.5" customHeight="1" thickBot="1" x14ac:dyDescent="0.3">
      <c r="A6" s="114"/>
      <c r="B6" s="114"/>
      <c r="C6" s="114"/>
      <c r="D6" s="115"/>
      <c r="E6" s="115"/>
      <c r="F6" s="116"/>
      <c r="G6" s="120"/>
      <c r="H6" s="121"/>
      <c r="I6" s="121"/>
      <c r="J6" s="121"/>
      <c r="K6" s="121"/>
      <c r="L6" s="121"/>
      <c r="M6" s="121"/>
      <c r="N6" s="121"/>
      <c r="O6" s="121"/>
      <c r="P6" s="122"/>
    </row>
    <row r="7" spans="1:16" s="38" customFormat="1" ht="25.35" customHeight="1" thickBot="1" x14ac:dyDescent="0.3">
      <c r="A7" s="115"/>
      <c r="B7" s="115"/>
      <c r="C7" s="115"/>
      <c r="D7" s="115"/>
      <c r="E7" s="115"/>
      <c r="F7" s="115"/>
      <c r="G7" s="100" t="s">
        <v>111</v>
      </c>
      <c r="H7" s="105" t="s">
        <v>112</v>
      </c>
      <c r="I7" s="106"/>
      <c r="J7" s="100" t="s">
        <v>113</v>
      </c>
      <c r="K7" s="100" t="s">
        <v>114</v>
      </c>
      <c r="L7" s="157" t="s">
        <v>114</v>
      </c>
      <c r="M7" s="100" t="s">
        <v>115</v>
      </c>
      <c r="N7" s="100" t="s">
        <v>116</v>
      </c>
      <c r="O7" s="100" t="s">
        <v>117</v>
      </c>
      <c r="P7" s="100" t="s">
        <v>118</v>
      </c>
    </row>
    <row r="8" spans="1:16" s="38" customFormat="1" ht="19.5" customHeight="1" thickBot="1" x14ac:dyDescent="0.3">
      <c r="A8" s="101"/>
      <c r="B8" s="101"/>
      <c r="C8" s="101"/>
      <c r="D8" s="101"/>
      <c r="E8" s="101"/>
      <c r="F8" s="101"/>
      <c r="G8" s="101"/>
      <c r="H8" s="61" t="s">
        <v>119</v>
      </c>
      <c r="I8" s="61" t="s">
        <v>120</v>
      </c>
      <c r="J8" s="101"/>
      <c r="K8" s="101"/>
      <c r="L8" s="158"/>
      <c r="M8" s="101"/>
      <c r="N8" s="101"/>
      <c r="O8" s="101"/>
      <c r="P8" s="101"/>
    </row>
    <row r="9" spans="1:16" s="38" customFormat="1" ht="19.5" customHeight="1" thickBot="1" x14ac:dyDescent="0.3">
      <c r="A9" s="102" t="s">
        <v>341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4"/>
    </row>
    <row r="10" spans="1:16" s="39" customFormat="1" ht="15.75" x14ac:dyDescent="0.25">
      <c r="A10" s="37" t="s">
        <v>8</v>
      </c>
      <c r="B10" s="34" t="s">
        <v>122</v>
      </c>
      <c r="C10" s="35">
        <f>SUM(C11:C73)</f>
        <v>0</v>
      </c>
      <c r="D10" s="35">
        <f>SUM(D11:D73)</f>
        <v>0</v>
      </c>
      <c r="E10" s="35">
        <f>SUM(E11:E73)</f>
        <v>0</v>
      </c>
      <c r="F10" s="56"/>
      <c r="G10" s="56"/>
      <c r="H10" s="56"/>
      <c r="I10" s="56"/>
      <c r="J10" s="56"/>
      <c r="K10" s="56"/>
      <c r="L10" s="159"/>
      <c r="M10" s="56"/>
      <c r="N10" s="56"/>
      <c r="O10" s="56"/>
      <c r="P10" s="36"/>
    </row>
    <row r="11" spans="1:16" s="38" customFormat="1" ht="14.45" customHeight="1" outlineLevel="1" x14ac:dyDescent="0.25">
      <c r="A11" s="140" t="s">
        <v>123</v>
      </c>
      <c r="B11" s="141" t="s">
        <v>342</v>
      </c>
      <c r="C11" s="130">
        <f>SUM(O11:O17)</f>
        <v>0</v>
      </c>
      <c r="D11" s="130">
        <f>SUM(P11:P17)</f>
        <v>0</v>
      </c>
      <c r="E11" s="130">
        <f>D11/8</f>
        <v>0</v>
      </c>
      <c r="F11" s="130"/>
      <c r="G11" s="60" t="s">
        <v>125</v>
      </c>
      <c r="H11" s="123"/>
      <c r="I11" s="123"/>
      <c r="J11" s="60"/>
      <c r="K11" s="60"/>
      <c r="L11" s="160"/>
      <c r="M11" s="60"/>
      <c r="N11" s="60"/>
      <c r="O11" s="60">
        <f>N11*J11*K11*M11</f>
        <v>0</v>
      </c>
      <c r="P11" s="60">
        <f>J11*K11*M11</f>
        <v>0</v>
      </c>
    </row>
    <row r="12" spans="1:16" s="38" customFormat="1" ht="11.45" customHeight="1" outlineLevel="1" x14ac:dyDescent="0.25">
      <c r="A12" s="124"/>
      <c r="B12" s="128"/>
      <c r="C12" s="115"/>
      <c r="D12" s="115"/>
      <c r="E12" s="115"/>
      <c r="F12" s="115"/>
      <c r="G12" s="60" t="s">
        <v>126</v>
      </c>
      <c r="H12" s="124"/>
      <c r="I12" s="124"/>
      <c r="J12" s="60"/>
      <c r="K12" s="60"/>
      <c r="L12" s="160"/>
      <c r="M12" s="60"/>
      <c r="N12" s="60"/>
      <c r="O12" s="60">
        <f t="shared" ref="O12:O17" si="0">N12*J12*K12*M12</f>
        <v>0</v>
      </c>
      <c r="P12" s="60">
        <f t="shared" ref="P12:P73" si="1">J12*K12*M12</f>
        <v>0</v>
      </c>
    </row>
    <row r="13" spans="1:16" s="38" customFormat="1" ht="10.7" customHeight="1" outlineLevel="1" x14ac:dyDescent="0.25">
      <c r="A13" s="124"/>
      <c r="B13" s="128"/>
      <c r="C13" s="115"/>
      <c r="D13" s="115"/>
      <c r="E13" s="115"/>
      <c r="F13" s="115"/>
      <c r="G13" s="60" t="s">
        <v>127</v>
      </c>
      <c r="H13" s="124"/>
      <c r="I13" s="124"/>
      <c r="J13" s="60"/>
      <c r="K13" s="60"/>
      <c r="L13" s="160"/>
      <c r="M13" s="60"/>
      <c r="N13" s="60"/>
      <c r="O13" s="60">
        <f t="shared" si="0"/>
        <v>0</v>
      </c>
      <c r="P13" s="60">
        <f t="shared" si="1"/>
        <v>0</v>
      </c>
    </row>
    <row r="14" spans="1:16" s="38" customFormat="1" ht="10.7" customHeight="1" outlineLevel="1" x14ac:dyDescent="0.25">
      <c r="A14" s="124"/>
      <c r="B14" s="128"/>
      <c r="C14" s="115"/>
      <c r="D14" s="115"/>
      <c r="E14" s="115"/>
      <c r="F14" s="115"/>
      <c r="G14" s="60" t="s">
        <v>128</v>
      </c>
      <c r="H14" s="124"/>
      <c r="I14" s="124"/>
      <c r="J14" s="60"/>
      <c r="K14" s="60"/>
      <c r="L14" s="160"/>
      <c r="M14" s="60"/>
      <c r="N14" s="60"/>
      <c r="O14" s="60">
        <f t="shared" si="0"/>
        <v>0</v>
      </c>
      <c r="P14" s="60">
        <f t="shared" si="1"/>
        <v>0</v>
      </c>
    </row>
    <row r="15" spans="1:16" s="38" customFormat="1" ht="10.7" customHeight="1" outlineLevel="1" x14ac:dyDescent="0.25">
      <c r="A15" s="124"/>
      <c r="B15" s="128"/>
      <c r="C15" s="115"/>
      <c r="D15" s="115"/>
      <c r="E15" s="115"/>
      <c r="F15" s="115"/>
      <c r="G15" s="60" t="s">
        <v>129</v>
      </c>
      <c r="H15" s="124"/>
      <c r="I15" s="124"/>
      <c r="J15" s="60"/>
      <c r="K15" s="60"/>
      <c r="L15" s="160"/>
      <c r="M15" s="60"/>
      <c r="N15" s="60"/>
      <c r="O15" s="60">
        <f t="shared" si="0"/>
        <v>0</v>
      </c>
      <c r="P15" s="60">
        <f t="shared" si="1"/>
        <v>0</v>
      </c>
    </row>
    <row r="16" spans="1:16" s="38" customFormat="1" ht="10.7" customHeight="1" outlineLevel="1" x14ac:dyDescent="0.25">
      <c r="A16" s="124"/>
      <c r="B16" s="128"/>
      <c r="C16" s="115"/>
      <c r="D16" s="115"/>
      <c r="E16" s="115"/>
      <c r="F16" s="115"/>
      <c r="G16" s="60" t="s">
        <v>130</v>
      </c>
      <c r="H16" s="124"/>
      <c r="I16" s="124"/>
      <c r="J16" s="60"/>
      <c r="K16" s="60"/>
      <c r="L16" s="160"/>
      <c r="M16" s="60"/>
      <c r="N16" s="60"/>
      <c r="O16" s="60">
        <f t="shared" si="0"/>
        <v>0</v>
      </c>
      <c r="P16" s="60">
        <f t="shared" si="1"/>
        <v>0</v>
      </c>
    </row>
    <row r="17" spans="1:16" s="38" customFormat="1" ht="12" customHeight="1" outlineLevel="1" x14ac:dyDescent="0.25">
      <c r="A17" s="125"/>
      <c r="B17" s="129"/>
      <c r="C17" s="131"/>
      <c r="D17" s="131"/>
      <c r="E17" s="131"/>
      <c r="F17" s="131"/>
      <c r="G17" s="60" t="s">
        <v>131</v>
      </c>
      <c r="H17" s="125"/>
      <c r="I17" s="125"/>
      <c r="J17" s="60"/>
      <c r="K17" s="60"/>
      <c r="L17" s="160"/>
      <c r="M17" s="60"/>
      <c r="N17" s="60"/>
      <c r="O17" s="60">
        <f t="shared" si="0"/>
        <v>0</v>
      </c>
      <c r="P17" s="60">
        <f t="shared" si="1"/>
        <v>0</v>
      </c>
    </row>
    <row r="18" spans="1:16" s="38" customFormat="1" ht="14.45" customHeight="1" outlineLevel="1" x14ac:dyDescent="0.25">
      <c r="A18" s="140" t="s">
        <v>132</v>
      </c>
      <c r="B18" s="141" t="s">
        <v>597</v>
      </c>
      <c r="C18" s="130">
        <f>SUM(O18:O24)</f>
        <v>0</v>
      </c>
      <c r="D18" s="130">
        <f>SUM(P18:P24)</f>
        <v>0</v>
      </c>
      <c r="E18" s="130">
        <f t="shared" ref="E18" si="2">D18/8</f>
        <v>0</v>
      </c>
      <c r="F18" s="130"/>
      <c r="G18" s="60" t="s">
        <v>125</v>
      </c>
      <c r="H18" s="123"/>
      <c r="I18" s="123"/>
      <c r="J18" s="60"/>
      <c r="K18" s="60"/>
      <c r="L18" s="160"/>
      <c r="M18" s="60"/>
      <c r="N18" s="60"/>
      <c r="O18" s="60">
        <f>N18*J18*K18*M18</f>
        <v>0</v>
      </c>
      <c r="P18" s="60">
        <f t="shared" si="1"/>
        <v>0</v>
      </c>
    </row>
    <row r="19" spans="1:16" s="38" customFormat="1" ht="11.45" customHeight="1" outlineLevel="1" x14ac:dyDescent="0.25">
      <c r="A19" s="124"/>
      <c r="B19" s="128"/>
      <c r="C19" s="115"/>
      <c r="D19" s="115"/>
      <c r="E19" s="115"/>
      <c r="F19" s="115"/>
      <c r="G19" s="60" t="s">
        <v>126</v>
      </c>
      <c r="H19" s="124"/>
      <c r="I19" s="124"/>
      <c r="J19" s="60"/>
      <c r="K19" s="60"/>
      <c r="L19" s="160"/>
      <c r="M19" s="60"/>
      <c r="N19" s="60"/>
      <c r="O19" s="60">
        <f t="shared" ref="O19:O24" si="3">N19*J19*K19*M19</f>
        <v>0</v>
      </c>
      <c r="P19" s="60">
        <f t="shared" si="1"/>
        <v>0</v>
      </c>
    </row>
    <row r="20" spans="1:16" s="38" customFormat="1" ht="10.7" customHeight="1" outlineLevel="1" x14ac:dyDescent="0.25">
      <c r="A20" s="124"/>
      <c r="B20" s="128"/>
      <c r="C20" s="115"/>
      <c r="D20" s="115"/>
      <c r="E20" s="115"/>
      <c r="F20" s="115"/>
      <c r="G20" s="60" t="s">
        <v>127</v>
      </c>
      <c r="H20" s="124"/>
      <c r="I20" s="124"/>
      <c r="J20" s="60"/>
      <c r="K20" s="60"/>
      <c r="L20" s="160"/>
      <c r="M20" s="60"/>
      <c r="N20" s="60"/>
      <c r="O20" s="60">
        <f t="shared" si="3"/>
        <v>0</v>
      </c>
      <c r="P20" s="60">
        <f t="shared" si="1"/>
        <v>0</v>
      </c>
    </row>
    <row r="21" spans="1:16" s="38" customFormat="1" ht="10.7" customHeight="1" outlineLevel="1" x14ac:dyDescent="0.25">
      <c r="A21" s="124"/>
      <c r="B21" s="128"/>
      <c r="C21" s="115"/>
      <c r="D21" s="115"/>
      <c r="E21" s="115"/>
      <c r="F21" s="115"/>
      <c r="G21" s="60" t="s">
        <v>128</v>
      </c>
      <c r="H21" s="124"/>
      <c r="I21" s="124"/>
      <c r="J21" s="60"/>
      <c r="K21" s="60"/>
      <c r="L21" s="160"/>
      <c r="M21" s="60"/>
      <c r="N21" s="60"/>
      <c r="O21" s="60">
        <f t="shared" si="3"/>
        <v>0</v>
      </c>
      <c r="P21" s="60">
        <f t="shared" si="1"/>
        <v>0</v>
      </c>
    </row>
    <row r="22" spans="1:16" s="38" customFormat="1" ht="10.7" customHeight="1" outlineLevel="1" x14ac:dyDescent="0.25">
      <c r="A22" s="124"/>
      <c r="B22" s="128"/>
      <c r="C22" s="115"/>
      <c r="D22" s="115"/>
      <c r="E22" s="115"/>
      <c r="F22" s="115"/>
      <c r="G22" s="60" t="s">
        <v>129</v>
      </c>
      <c r="H22" s="124"/>
      <c r="I22" s="124"/>
      <c r="J22" s="60"/>
      <c r="K22" s="60"/>
      <c r="L22" s="160"/>
      <c r="M22" s="60"/>
      <c r="N22" s="60"/>
      <c r="O22" s="60">
        <f t="shared" si="3"/>
        <v>0</v>
      </c>
      <c r="P22" s="60">
        <f t="shared" si="1"/>
        <v>0</v>
      </c>
    </row>
    <row r="23" spans="1:16" s="38" customFormat="1" ht="10.7" customHeight="1" outlineLevel="1" x14ac:dyDescent="0.25">
      <c r="A23" s="124"/>
      <c r="B23" s="128"/>
      <c r="C23" s="115"/>
      <c r="D23" s="115"/>
      <c r="E23" s="115"/>
      <c r="F23" s="115"/>
      <c r="G23" s="60" t="s">
        <v>130</v>
      </c>
      <c r="H23" s="124"/>
      <c r="I23" s="124"/>
      <c r="J23" s="60"/>
      <c r="K23" s="60"/>
      <c r="L23" s="160"/>
      <c r="M23" s="60"/>
      <c r="N23" s="60"/>
      <c r="O23" s="60">
        <f t="shared" si="3"/>
        <v>0</v>
      </c>
      <c r="P23" s="60">
        <f t="shared" si="1"/>
        <v>0</v>
      </c>
    </row>
    <row r="24" spans="1:16" s="38" customFormat="1" ht="12" customHeight="1" outlineLevel="1" x14ac:dyDescent="0.25">
      <c r="A24" s="125"/>
      <c r="B24" s="129"/>
      <c r="C24" s="131"/>
      <c r="D24" s="131"/>
      <c r="E24" s="131"/>
      <c r="F24" s="131"/>
      <c r="G24" s="60" t="s">
        <v>131</v>
      </c>
      <c r="H24" s="125"/>
      <c r="I24" s="125"/>
      <c r="J24" s="60"/>
      <c r="K24" s="60"/>
      <c r="L24" s="160"/>
      <c r="M24" s="60"/>
      <c r="N24" s="60"/>
      <c r="O24" s="60">
        <f t="shared" si="3"/>
        <v>0</v>
      </c>
      <c r="P24" s="60">
        <f t="shared" si="1"/>
        <v>0</v>
      </c>
    </row>
    <row r="25" spans="1:16" s="38" customFormat="1" ht="14.45" customHeight="1" outlineLevel="1" x14ac:dyDescent="0.25">
      <c r="A25" s="140" t="s">
        <v>134</v>
      </c>
      <c r="B25" s="141" t="s">
        <v>388</v>
      </c>
      <c r="C25" s="130">
        <f>SUM(O25:O31)</f>
        <v>0</v>
      </c>
      <c r="D25" s="130">
        <f>SUM(P25:P31)</f>
        <v>0</v>
      </c>
      <c r="E25" s="130">
        <f t="shared" ref="E25" si="4">D25/8</f>
        <v>0</v>
      </c>
      <c r="F25" s="130"/>
      <c r="G25" s="60" t="s">
        <v>125</v>
      </c>
      <c r="H25" s="123"/>
      <c r="I25" s="123"/>
      <c r="J25" s="60"/>
      <c r="K25" s="60"/>
      <c r="L25" s="160"/>
      <c r="M25" s="60"/>
      <c r="N25" s="60"/>
      <c r="O25" s="60">
        <f>N25*J25*K25*M25</f>
        <v>0</v>
      </c>
      <c r="P25" s="60">
        <f t="shared" si="1"/>
        <v>0</v>
      </c>
    </row>
    <row r="26" spans="1:16" s="38" customFormat="1" ht="11.45" customHeight="1" outlineLevel="1" x14ac:dyDescent="0.25">
      <c r="A26" s="124"/>
      <c r="B26" s="128"/>
      <c r="C26" s="115"/>
      <c r="D26" s="115"/>
      <c r="E26" s="115"/>
      <c r="F26" s="115"/>
      <c r="G26" s="60" t="s">
        <v>126</v>
      </c>
      <c r="H26" s="124"/>
      <c r="I26" s="124"/>
      <c r="J26" s="60"/>
      <c r="K26" s="60"/>
      <c r="L26" s="160"/>
      <c r="M26" s="60"/>
      <c r="N26" s="60"/>
      <c r="O26" s="60">
        <f t="shared" ref="O26:O31" si="5">N26*J26*K26*M26</f>
        <v>0</v>
      </c>
      <c r="P26" s="60">
        <f t="shared" si="1"/>
        <v>0</v>
      </c>
    </row>
    <row r="27" spans="1:16" s="38" customFormat="1" ht="10.7" customHeight="1" outlineLevel="1" x14ac:dyDescent="0.25">
      <c r="A27" s="124"/>
      <c r="B27" s="128"/>
      <c r="C27" s="115"/>
      <c r="D27" s="115"/>
      <c r="E27" s="115"/>
      <c r="F27" s="115"/>
      <c r="G27" s="60" t="s">
        <v>127</v>
      </c>
      <c r="H27" s="124"/>
      <c r="I27" s="124"/>
      <c r="J27" s="60"/>
      <c r="K27" s="60"/>
      <c r="L27" s="160"/>
      <c r="M27" s="60"/>
      <c r="N27" s="60"/>
      <c r="O27" s="60">
        <f t="shared" si="5"/>
        <v>0</v>
      </c>
      <c r="P27" s="60">
        <f t="shared" si="1"/>
        <v>0</v>
      </c>
    </row>
    <row r="28" spans="1:16" s="38" customFormat="1" ht="10.7" customHeight="1" outlineLevel="1" x14ac:dyDescent="0.25">
      <c r="A28" s="124"/>
      <c r="B28" s="128"/>
      <c r="C28" s="115"/>
      <c r="D28" s="115"/>
      <c r="E28" s="115"/>
      <c r="F28" s="115"/>
      <c r="G28" s="60" t="s">
        <v>128</v>
      </c>
      <c r="H28" s="124"/>
      <c r="I28" s="124"/>
      <c r="J28" s="60"/>
      <c r="K28" s="60"/>
      <c r="L28" s="160"/>
      <c r="M28" s="60"/>
      <c r="N28" s="60"/>
      <c r="O28" s="60">
        <f t="shared" si="5"/>
        <v>0</v>
      </c>
      <c r="P28" s="60">
        <f t="shared" si="1"/>
        <v>0</v>
      </c>
    </row>
    <row r="29" spans="1:16" s="38" customFormat="1" ht="10.7" customHeight="1" outlineLevel="1" x14ac:dyDescent="0.25">
      <c r="A29" s="124"/>
      <c r="B29" s="128"/>
      <c r="C29" s="115"/>
      <c r="D29" s="115"/>
      <c r="E29" s="115"/>
      <c r="F29" s="115"/>
      <c r="G29" s="60" t="s">
        <v>129</v>
      </c>
      <c r="H29" s="124"/>
      <c r="I29" s="124"/>
      <c r="J29" s="60"/>
      <c r="K29" s="60"/>
      <c r="L29" s="160"/>
      <c r="M29" s="60"/>
      <c r="N29" s="60"/>
      <c r="O29" s="60">
        <f t="shared" si="5"/>
        <v>0</v>
      </c>
      <c r="P29" s="60">
        <f t="shared" si="1"/>
        <v>0</v>
      </c>
    </row>
    <row r="30" spans="1:16" s="38" customFormat="1" ht="10.7" customHeight="1" outlineLevel="1" x14ac:dyDescent="0.25">
      <c r="A30" s="124"/>
      <c r="B30" s="128"/>
      <c r="C30" s="115"/>
      <c r="D30" s="115"/>
      <c r="E30" s="115"/>
      <c r="F30" s="115"/>
      <c r="G30" s="60" t="s">
        <v>130</v>
      </c>
      <c r="H30" s="124"/>
      <c r="I30" s="124"/>
      <c r="J30" s="60"/>
      <c r="K30" s="60"/>
      <c r="L30" s="160"/>
      <c r="M30" s="60"/>
      <c r="N30" s="60"/>
      <c r="O30" s="60">
        <f t="shared" si="5"/>
        <v>0</v>
      </c>
      <c r="P30" s="60">
        <f t="shared" si="1"/>
        <v>0</v>
      </c>
    </row>
    <row r="31" spans="1:16" s="38" customFormat="1" ht="12" customHeight="1" outlineLevel="1" x14ac:dyDescent="0.25">
      <c r="A31" s="125"/>
      <c r="B31" s="129"/>
      <c r="C31" s="131"/>
      <c r="D31" s="131"/>
      <c r="E31" s="131"/>
      <c r="F31" s="131"/>
      <c r="G31" s="60" t="s">
        <v>131</v>
      </c>
      <c r="H31" s="125"/>
      <c r="I31" s="125"/>
      <c r="J31" s="60"/>
      <c r="K31" s="60"/>
      <c r="L31" s="160"/>
      <c r="M31" s="60"/>
      <c r="N31" s="60"/>
      <c r="O31" s="60">
        <f t="shared" si="5"/>
        <v>0</v>
      </c>
      <c r="P31" s="60">
        <f t="shared" si="1"/>
        <v>0</v>
      </c>
    </row>
    <row r="32" spans="1:16" s="38" customFormat="1" ht="14.45" customHeight="1" outlineLevel="1" x14ac:dyDescent="0.25">
      <c r="A32" s="140" t="s">
        <v>136</v>
      </c>
      <c r="B32" s="141" t="s">
        <v>389</v>
      </c>
      <c r="C32" s="130">
        <f>SUM(O32:O38)</f>
        <v>0</v>
      </c>
      <c r="D32" s="130">
        <f>SUM(P32:P38)</f>
        <v>0</v>
      </c>
      <c r="E32" s="130">
        <f t="shared" ref="E32" si="6">D32/8</f>
        <v>0</v>
      </c>
      <c r="F32" s="130"/>
      <c r="G32" s="60" t="s">
        <v>125</v>
      </c>
      <c r="H32" s="123"/>
      <c r="I32" s="123"/>
      <c r="J32" s="60"/>
      <c r="K32" s="60"/>
      <c r="L32" s="160"/>
      <c r="M32" s="60"/>
      <c r="N32" s="60"/>
      <c r="O32" s="60">
        <f>N32*J32*K32*M32</f>
        <v>0</v>
      </c>
      <c r="P32" s="60">
        <f t="shared" si="1"/>
        <v>0</v>
      </c>
    </row>
    <row r="33" spans="1:16" s="38" customFormat="1" ht="11.45" customHeight="1" outlineLevel="1" x14ac:dyDescent="0.25">
      <c r="A33" s="124"/>
      <c r="B33" s="128"/>
      <c r="C33" s="115"/>
      <c r="D33" s="115"/>
      <c r="E33" s="115"/>
      <c r="F33" s="115"/>
      <c r="G33" s="60" t="s">
        <v>126</v>
      </c>
      <c r="H33" s="124"/>
      <c r="I33" s="124"/>
      <c r="J33" s="60"/>
      <c r="K33" s="60"/>
      <c r="L33" s="160"/>
      <c r="M33" s="60"/>
      <c r="N33" s="60"/>
      <c r="O33" s="60">
        <f t="shared" ref="O33:O38" si="7">N33*J33*K33*M33</f>
        <v>0</v>
      </c>
      <c r="P33" s="60">
        <f t="shared" si="1"/>
        <v>0</v>
      </c>
    </row>
    <row r="34" spans="1:16" s="38" customFormat="1" ht="10.7" customHeight="1" outlineLevel="1" x14ac:dyDescent="0.25">
      <c r="A34" s="124"/>
      <c r="B34" s="128"/>
      <c r="C34" s="115"/>
      <c r="D34" s="115"/>
      <c r="E34" s="115"/>
      <c r="F34" s="115"/>
      <c r="G34" s="60" t="s">
        <v>127</v>
      </c>
      <c r="H34" s="124"/>
      <c r="I34" s="124"/>
      <c r="J34" s="60"/>
      <c r="K34" s="60"/>
      <c r="L34" s="160"/>
      <c r="M34" s="60"/>
      <c r="N34" s="60"/>
      <c r="O34" s="60">
        <f t="shared" si="7"/>
        <v>0</v>
      </c>
      <c r="P34" s="60">
        <f t="shared" si="1"/>
        <v>0</v>
      </c>
    </row>
    <row r="35" spans="1:16" s="38" customFormat="1" ht="10.7" customHeight="1" outlineLevel="1" x14ac:dyDescent="0.25">
      <c r="A35" s="124"/>
      <c r="B35" s="128"/>
      <c r="C35" s="115"/>
      <c r="D35" s="115"/>
      <c r="E35" s="115"/>
      <c r="F35" s="115"/>
      <c r="G35" s="60" t="s">
        <v>128</v>
      </c>
      <c r="H35" s="124"/>
      <c r="I35" s="124"/>
      <c r="J35" s="60"/>
      <c r="K35" s="60"/>
      <c r="L35" s="160"/>
      <c r="M35" s="60"/>
      <c r="N35" s="60"/>
      <c r="O35" s="60">
        <f t="shared" si="7"/>
        <v>0</v>
      </c>
      <c r="P35" s="60">
        <f t="shared" si="1"/>
        <v>0</v>
      </c>
    </row>
    <row r="36" spans="1:16" s="38" customFormat="1" ht="10.7" customHeight="1" outlineLevel="1" x14ac:dyDescent="0.25">
      <c r="A36" s="124"/>
      <c r="B36" s="128"/>
      <c r="C36" s="115"/>
      <c r="D36" s="115"/>
      <c r="E36" s="115"/>
      <c r="F36" s="115"/>
      <c r="G36" s="60" t="s">
        <v>129</v>
      </c>
      <c r="H36" s="124"/>
      <c r="I36" s="124"/>
      <c r="J36" s="60"/>
      <c r="K36" s="60"/>
      <c r="L36" s="160"/>
      <c r="M36" s="60"/>
      <c r="N36" s="60"/>
      <c r="O36" s="60">
        <f t="shared" si="7"/>
        <v>0</v>
      </c>
      <c r="P36" s="60">
        <f t="shared" si="1"/>
        <v>0</v>
      </c>
    </row>
    <row r="37" spans="1:16" s="38" customFormat="1" ht="10.7" customHeight="1" outlineLevel="1" x14ac:dyDescent="0.25">
      <c r="A37" s="124"/>
      <c r="B37" s="128"/>
      <c r="C37" s="115"/>
      <c r="D37" s="115"/>
      <c r="E37" s="115"/>
      <c r="F37" s="115"/>
      <c r="G37" s="60" t="s">
        <v>130</v>
      </c>
      <c r="H37" s="124"/>
      <c r="I37" s="124"/>
      <c r="J37" s="60"/>
      <c r="K37" s="60"/>
      <c r="L37" s="160"/>
      <c r="M37" s="60"/>
      <c r="N37" s="60"/>
      <c r="O37" s="60">
        <f t="shared" si="7"/>
        <v>0</v>
      </c>
      <c r="P37" s="60">
        <f t="shared" si="1"/>
        <v>0</v>
      </c>
    </row>
    <row r="38" spans="1:16" s="38" customFormat="1" ht="12" customHeight="1" outlineLevel="1" x14ac:dyDescent="0.25">
      <c r="A38" s="125"/>
      <c r="B38" s="129"/>
      <c r="C38" s="131"/>
      <c r="D38" s="131"/>
      <c r="E38" s="131"/>
      <c r="F38" s="131"/>
      <c r="G38" s="60" t="s">
        <v>131</v>
      </c>
      <c r="H38" s="125"/>
      <c r="I38" s="125"/>
      <c r="J38" s="60"/>
      <c r="K38" s="60"/>
      <c r="L38" s="160"/>
      <c r="M38" s="60"/>
      <c r="N38" s="60"/>
      <c r="O38" s="60">
        <f t="shared" si="7"/>
        <v>0</v>
      </c>
      <c r="P38" s="60">
        <f t="shared" si="1"/>
        <v>0</v>
      </c>
    </row>
    <row r="39" spans="1:16" s="38" customFormat="1" ht="14.45" customHeight="1" outlineLevel="1" x14ac:dyDescent="0.25">
      <c r="A39" s="140" t="s">
        <v>138</v>
      </c>
      <c r="B39" s="141" t="s">
        <v>390</v>
      </c>
      <c r="C39" s="130">
        <f>SUM(O39:O45)</f>
        <v>0</v>
      </c>
      <c r="D39" s="130">
        <f>SUM(P39:P45)</f>
        <v>0</v>
      </c>
      <c r="E39" s="130">
        <f t="shared" ref="E39" si="8">D39/8</f>
        <v>0</v>
      </c>
      <c r="F39" s="130"/>
      <c r="G39" s="60" t="s">
        <v>125</v>
      </c>
      <c r="H39" s="123"/>
      <c r="I39" s="123"/>
      <c r="J39" s="60"/>
      <c r="K39" s="60"/>
      <c r="L39" s="160"/>
      <c r="M39" s="60"/>
      <c r="N39" s="60"/>
      <c r="O39" s="60">
        <f>N39*J39*K39*M39</f>
        <v>0</v>
      </c>
      <c r="P39" s="60">
        <f t="shared" si="1"/>
        <v>0</v>
      </c>
    </row>
    <row r="40" spans="1:16" s="38" customFormat="1" ht="11.45" customHeight="1" outlineLevel="1" x14ac:dyDescent="0.25">
      <c r="A40" s="124"/>
      <c r="B40" s="128"/>
      <c r="C40" s="115"/>
      <c r="D40" s="115"/>
      <c r="E40" s="115"/>
      <c r="F40" s="115"/>
      <c r="G40" s="60" t="s">
        <v>126</v>
      </c>
      <c r="H40" s="124"/>
      <c r="I40" s="124"/>
      <c r="J40" s="60"/>
      <c r="K40" s="60"/>
      <c r="L40" s="160"/>
      <c r="M40" s="60"/>
      <c r="N40" s="60"/>
      <c r="O40" s="60">
        <f t="shared" ref="O40:O45" si="9">N40*J40*K40*M40</f>
        <v>0</v>
      </c>
      <c r="P40" s="60">
        <f t="shared" si="1"/>
        <v>0</v>
      </c>
    </row>
    <row r="41" spans="1:16" s="38" customFormat="1" ht="10.7" customHeight="1" outlineLevel="1" x14ac:dyDescent="0.25">
      <c r="A41" s="124"/>
      <c r="B41" s="128"/>
      <c r="C41" s="115"/>
      <c r="D41" s="115"/>
      <c r="E41" s="115"/>
      <c r="F41" s="115"/>
      <c r="G41" s="60" t="s">
        <v>127</v>
      </c>
      <c r="H41" s="124"/>
      <c r="I41" s="124"/>
      <c r="J41" s="60"/>
      <c r="K41" s="60"/>
      <c r="L41" s="160"/>
      <c r="M41" s="60"/>
      <c r="N41" s="60"/>
      <c r="O41" s="60">
        <f t="shared" si="9"/>
        <v>0</v>
      </c>
      <c r="P41" s="60">
        <f t="shared" si="1"/>
        <v>0</v>
      </c>
    </row>
    <row r="42" spans="1:16" s="38" customFormat="1" ht="10.7" customHeight="1" outlineLevel="1" x14ac:dyDescent="0.25">
      <c r="A42" s="124"/>
      <c r="B42" s="128"/>
      <c r="C42" s="115"/>
      <c r="D42" s="115"/>
      <c r="E42" s="115"/>
      <c r="F42" s="115"/>
      <c r="G42" s="60" t="s">
        <v>128</v>
      </c>
      <c r="H42" s="124"/>
      <c r="I42" s="124"/>
      <c r="J42" s="60"/>
      <c r="K42" s="60"/>
      <c r="L42" s="160"/>
      <c r="M42" s="60"/>
      <c r="N42" s="60"/>
      <c r="O42" s="60">
        <f t="shared" si="9"/>
        <v>0</v>
      </c>
      <c r="P42" s="60">
        <f t="shared" si="1"/>
        <v>0</v>
      </c>
    </row>
    <row r="43" spans="1:16" s="38" customFormat="1" ht="10.7" customHeight="1" outlineLevel="1" x14ac:dyDescent="0.25">
      <c r="A43" s="124"/>
      <c r="B43" s="128"/>
      <c r="C43" s="115"/>
      <c r="D43" s="115"/>
      <c r="E43" s="115"/>
      <c r="F43" s="115"/>
      <c r="G43" s="60" t="s">
        <v>129</v>
      </c>
      <c r="H43" s="124"/>
      <c r="I43" s="124"/>
      <c r="J43" s="60"/>
      <c r="K43" s="60"/>
      <c r="L43" s="160"/>
      <c r="M43" s="60"/>
      <c r="N43" s="60"/>
      <c r="O43" s="60">
        <f t="shared" si="9"/>
        <v>0</v>
      </c>
      <c r="P43" s="60">
        <f t="shared" si="1"/>
        <v>0</v>
      </c>
    </row>
    <row r="44" spans="1:16" s="38" customFormat="1" ht="10.7" customHeight="1" outlineLevel="1" x14ac:dyDescent="0.25">
      <c r="A44" s="124"/>
      <c r="B44" s="128"/>
      <c r="C44" s="115"/>
      <c r="D44" s="115"/>
      <c r="E44" s="115"/>
      <c r="F44" s="115"/>
      <c r="G44" s="60" t="s">
        <v>130</v>
      </c>
      <c r="H44" s="124"/>
      <c r="I44" s="124"/>
      <c r="J44" s="60"/>
      <c r="K44" s="60"/>
      <c r="L44" s="160"/>
      <c r="M44" s="60"/>
      <c r="N44" s="60"/>
      <c r="O44" s="60">
        <f t="shared" si="9"/>
        <v>0</v>
      </c>
      <c r="P44" s="60">
        <f t="shared" si="1"/>
        <v>0</v>
      </c>
    </row>
    <row r="45" spans="1:16" s="38" customFormat="1" ht="12" customHeight="1" outlineLevel="1" x14ac:dyDescent="0.25">
      <c r="A45" s="125"/>
      <c r="B45" s="129"/>
      <c r="C45" s="131"/>
      <c r="D45" s="131"/>
      <c r="E45" s="131"/>
      <c r="F45" s="131"/>
      <c r="G45" s="60" t="s">
        <v>131</v>
      </c>
      <c r="H45" s="125"/>
      <c r="I45" s="125"/>
      <c r="J45" s="60"/>
      <c r="K45" s="60"/>
      <c r="L45" s="160"/>
      <c r="M45" s="60"/>
      <c r="N45" s="60"/>
      <c r="O45" s="60">
        <f t="shared" si="9"/>
        <v>0</v>
      </c>
      <c r="P45" s="60">
        <f t="shared" si="1"/>
        <v>0</v>
      </c>
    </row>
    <row r="46" spans="1:16" s="38" customFormat="1" ht="14.45" customHeight="1" outlineLevel="1" x14ac:dyDescent="0.25">
      <c r="A46" s="140" t="s">
        <v>140</v>
      </c>
      <c r="B46" s="141" t="s">
        <v>391</v>
      </c>
      <c r="C46" s="130">
        <f>SUM(O46:O52)</f>
        <v>0</v>
      </c>
      <c r="D46" s="130">
        <f>SUM(P46:P52)</f>
        <v>0</v>
      </c>
      <c r="E46" s="130">
        <f t="shared" ref="E46" si="10">D46/8</f>
        <v>0</v>
      </c>
      <c r="F46" s="130"/>
      <c r="G46" s="60" t="s">
        <v>125</v>
      </c>
      <c r="H46" s="123"/>
      <c r="I46" s="123"/>
      <c r="J46" s="60"/>
      <c r="K46" s="60"/>
      <c r="L46" s="160"/>
      <c r="M46" s="60"/>
      <c r="N46" s="60"/>
      <c r="O46" s="60">
        <f>N46*J46*K46*M46</f>
        <v>0</v>
      </c>
      <c r="P46" s="60">
        <f t="shared" si="1"/>
        <v>0</v>
      </c>
    </row>
    <row r="47" spans="1:16" s="38" customFormat="1" ht="11.45" customHeight="1" outlineLevel="1" x14ac:dyDescent="0.25">
      <c r="A47" s="124"/>
      <c r="B47" s="128"/>
      <c r="C47" s="115"/>
      <c r="D47" s="115"/>
      <c r="E47" s="115"/>
      <c r="F47" s="115"/>
      <c r="G47" s="60" t="s">
        <v>126</v>
      </c>
      <c r="H47" s="124"/>
      <c r="I47" s="124"/>
      <c r="J47" s="60"/>
      <c r="K47" s="60"/>
      <c r="L47" s="160"/>
      <c r="M47" s="60"/>
      <c r="N47" s="60"/>
      <c r="O47" s="60">
        <f t="shared" ref="O47:O52" si="11">N47*J47*K47*M47</f>
        <v>0</v>
      </c>
      <c r="P47" s="60">
        <f t="shared" si="1"/>
        <v>0</v>
      </c>
    </row>
    <row r="48" spans="1:16" s="38" customFormat="1" ht="10.7" customHeight="1" outlineLevel="1" x14ac:dyDescent="0.25">
      <c r="A48" s="124"/>
      <c r="B48" s="128"/>
      <c r="C48" s="115"/>
      <c r="D48" s="115"/>
      <c r="E48" s="115"/>
      <c r="F48" s="115"/>
      <c r="G48" s="60" t="s">
        <v>127</v>
      </c>
      <c r="H48" s="124"/>
      <c r="I48" s="124"/>
      <c r="J48" s="60"/>
      <c r="K48" s="60"/>
      <c r="L48" s="160"/>
      <c r="M48" s="60"/>
      <c r="N48" s="60"/>
      <c r="O48" s="60">
        <f t="shared" si="11"/>
        <v>0</v>
      </c>
      <c r="P48" s="60">
        <f t="shared" si="1"/>
        <v>0</v>
      </c>
    </row>
    <row r="49" spans="1:16" s="38" customFormat="1" ht="10.7" customHeight="1" outlineLevel="1" x14ac:dyDescent="0.25">
      <c r="A49" s="124"/>
      <c r="B49" s="128"/>
      <c r="C49" s="115"/>
      <c r="D49" s="115"/>
      <c r="E49" s="115"/>
      <c r="F49" s="115"/>
      <c r="G49" s="60" t="s">
        <v>128</v>
      </c>
      <c r="H49" s="124"/>
      <c r="I49" s="124"/>
      <c r="J49" s="60"/>
      <c r="K49" s="60"/>
      <c r="L49" s="160"/>
      <c r="M49" s="60"/>
      <c r="N49" s="60"/>
      <c r="O49" s="60">
        <f t="shared" si="11"/>
        <v>0</v>
      </c>
      <c r="P49" s="60">
        <f t="shared" si="1"/>
        <v>0</v>
      </c>
    </row>
    <row r="50" spans="1:16" s="38" customFormat="1" ht="10.7" customHeight="1" outlineLevel="1" x14ac:dyDescent="0.25">
      <c r="A50" s="124"/>
      <c r="B50" s="128"/>
      <c r="C50" s="115"/>
      <c r="D50" s="115"/>
      <c r="E50" s="115"/>
      <c r="F50" s="115"/>
      <c r="G50" s="60" t="s">
        <v>129</v>
      </c>
      <c r="H50" s="124"/>
      <c r="I50" s="124"/>
      <c r="J50" s="60"/>
      <c r="K50" s="60"/>
      <c r="L50" s="160"/>
      <c r="M50" s="60"/>
      <c r="N50" s="60"/>
      <c r="O50" s="60">
        <f t="shared" si="11"/>
        <v>0</v>
      </c>
      <c r="P50" s="60">
        <f t="shared" si="1"/>
        <v>0</v>
      </c>
    </row>
    <row r="51" spans="1:16" s="38" customFormat="1" ht="10.7" customHeight="1" outlineLevel="1" x14ac:dyDescent="0.25">
      <c r="A51" s="124"/>
      <c r="B51" s="128"/>
      <c r="C51" s="115"/>
      <c r="D51" s="115"/>
      <c r="E51" s="115"/>
      <c r="F51" s="115"/>
      <c r="G51" s="60" t="s">
        <v>130</v>
      </c>
      <c r="H51" s="124"/>
      <c r="I51" s="124"/>
      <c r="J51" s="60"/>
      <c r="K51" s="60"/>
      <c r="L51" s="160"/>
      <c r="M51" s="60"/>
      <c r="N51" s="60"/>
      <c r="O51" s="60">
        <f t="shared" si="11"/>
        <v>0</v>
      </c>
      <c r="P51" s="60">
        <f t="shared" si="1"/>
        <v>0</v>
      </c>
    </row>
    <row r="52" spans="1:16" s="38" customFormat="1" ht="12" customHeight="1" outlineLevel="1" x14ac:dyDescent="0.25">
      <c r="A52" s="125"/>
      <c r="B52" s="129"/>
      <c r="C52" s="131"/>
      <c r="D52" s="131"/>
      <c r="E52" s="131"/>
      <c r="F52" s="131"/>
      <c r="G52" s="60" t="s">
        <v>131</v>
      </c>
      <c r="H52" s="125"/>
      <c r="I52" s="125"/>
      <c r="J52" s="60"/>
      <c r="K52" s="60"/>
      <c r="L52" s="160"/>
      <c r="M52" s="60"/>
      <c r="N52" s="60"/>
      <c r="O52" s="60">
        <f t="shared" si="11"/>
        <v>0</v>
      </c>
      <c r="P52" s="60">
        <f t="shared" si="1"/>
        <v>0</v>
      </c>
    </row>
    <row r="53" spans="1:16" s="38" customFormat="1" ht="14.45" customHeight="1" outlineLevel="1" x14ac:dyDescent="0.25">
      <c r="A53" s="140" t="s">
        <v>348</v>
      </c>
      <c r="B53" s="141" t="s">
        <v>598</v>
      </c>
      <c r="C53" s="130">
        <f>SUM(O53:O59)</f>
        <v>0</v>
      </c>
      <c r="D53" s="130">
        <f>SUM(P53:P59)</f>
        <v>0</v>
      </c>
      <c r="E53" s="130">
        <f t="shared" ref="E53" si="12">D53/8</f>
        <v>0</v>
      </c>
      <c r="F53" s="130"/>
      <c r="G53" s="60" t="s">
        <v>125</v>
      </c>
      <c r="H53" s="123"/>
      <c r="I53" s="123"/>
      <c r="J53" s="60"/>
      <c r="K53" s="60"/>
      <c r="L53" s="160"/>
      <c r="M53" s="60"/>
      <c r="N53" s="60"/>
      <c r="O53" s="60">
        <f>N53*J53*K53*M53</f>
        <v>0</v>
      </c>
      <c r="P53" s="60">
        <f t="shared" si="1"/>
        <v>0</v>
      </c>
    </row>
    <row r="54" spans="1:16" s="38" customFormat="1" ht="11.45" customHeight="1" outlineLevel="1" x14ac:dyDescent="0.25">
      <c r="A54" s="124"/>
      <c r="B54" s="128"/>
      <c r="C54" s="115"/>
      <c r="D54" s="115"/>
      <c r="E54" s="115"/>
      <c r="F54" s="115"/>
      <c r="G54" s="60" t="s">
        <v>126</v>
      </c>
      <c r="H54" s="124"/>
      <c r="I54" s="124"/>
      <c r="J54" s="60"/>
      <c r="K54" s="60"/>
      <c r="L54" s="160"/>
      <c r="M54" s="60"/>
      <c r="N54" s="60"/>
      <c r="O54" s="60">
        <f t="shared" ref="O54:O59" si="13">N54*J54*K54*M54</f>
        <v>0</v>
      </c>
      <c r="P54" s="60">
        <f t="shared" si="1"/>
        <v>0</v>
      </c>
    </row>
    <row r="55" spans="1:16" s="38" customFormat="1" ht="10.7" customHeight="1" outlineLevel="1" x14ac:dyDescent="0.25">
      <c r="A55" s="124"/>
      <c r="B55" s="128"/>
      <c r="C55" s="115"/>
      <c r="D55" s="115"/>
      <c r="E55" s="115"/>
      <c r="F55" s="115"/>
      <c r="G55" s="60" t="s">
        <v>127</v>
      </c>
      <c r="H55" s="124"/>
      <c r="I55" s="124"/>
      <c r="J55" s="60"/>
      <c r="K55" s="60"/>
      <c r="L55" s="160"/>
      <c r="M55" s="60"/>
      <c r="N55" s="60"/>
      <c r="O55" s="60">
        <f t="shared" si="13"/>
        <v>0</v>
      </c>
      <c r="P55" s="60">
        <f t="shared" si="1"/>
        <v>0</v>
      </c>
    </row>
    <row r="56" spans="1:16" s="38" customFormat="1" ht="10.7" customHeight="1" outlineLevel="1" x14ac:dyDescent="0.25">
      <c r="A56" s="124"/>
      <c r="B56" s="128"/>
      <c r="C56" s="115"/>
      <c r="D56" s="115"/>
      <c r="E56" s="115"/>
      <c r="F56" s="115"/>
      <c r="G56" s="60" t="s">
        <v>128</v>
      </c>
      <c r="H56" s="124"/>
      <c r="I56" s="124"/>
      <c r="J56" s="60"/>
      <c r="K56" s="60"/>
      <c r="L56" s="160"/>
      <c r="M56" s="60"/>
      <c r="N56" s="60"/>
      <c r="O56" s="60">
        <f t="shared" si="13"/>
        <v>0</v>
      </c>
      <c r="P56" s="60">
        <f t="shared" si="1"/>
        <v>0</v>
      </c>
    </row>
    <row r="57" spans="1:16" s="38" customFormat="1" ht="10.7" customHeight="1" outlineLevel="1" x14ac:dyDescent="0.25">
      <c r="A57" s="124"/>
      <c r="B57" s="128"/>
      <c r="C57" s="115"/>
      <c r="D57" s="115"/>
      <c r="E57" s="115"/>
      <c r="F57" s="115"/>
      <c r="G57" s="60" t="s">
        <v>129</v>
      </c>
      <c r="H57" s="124"/>
      <c r="I57" s="124"/>
      <c r="J57" s="60"/>
      <c r="K57" s="60"/>
      <c r="L57" s="160"/>
      <c r="M57" s="60"/>
      <c r="N57" s="60"/>
      <c r="O57" s="60">
        <f t="shared" si="13"/>
        <v>0</v>
      </c>
      <c r="P57" s="60">
        <f t="shared" si="1"/>
        <v>0</v>
      </c>
    </row>
    <row r="58" spans="1:16" s="38" customFormat="1" ht="10.7" customHeight="1" outlineLevel="1" x14ac:dyDescent="0.25">
      <c r="A58" s="124"/>
      <c r="B58" s="128"/>
      <c r="C58" s="115"/>
      <c r="D58" s="115"/>
      <c r="E58" s="115"/>
      <c r="F58" s="115"/>
      <c r="G58" s="60" t="s">
        <v>130</v>
      </c>
      <c r="H58" s="124"/>
      <c r="I58" s="124"/>
      <c r="J58" s="60"/>
      <c r="K58" s="60"/>
      <c r="L58" s="160"/>
      <c r="M58" s="60"/>
      <c r="N58" s="60"/>
      <c r="O58" s="60">
        <f t="shared" si="13"/>
        <v>0</v>
      </c>
      <c r="P58" s="60">
        <f t="shared" si="1"/>
        <v>0</v>
      </c>
    </row>
    <row r="59" spans="1:16" s="38" customFormat="1" ht="12" customHeight="1" outlineLevel="1" thickBot="1" x14ac:dyDescent="0.3">
      <c r="A59" s="125"/>
      <c r="B59" s="129"/>
      <c r="C59" s="131"/>
      <c r="D59" s="131"/>
      <c r="E59" s="131"/>
      <c r="F59" s="131"/>
      <c r="G59" s="60" t="s">
        <v>131</v>
      </c>
      <c r="H59" s="134"/>
      <c r="I59" s="134"/>
      <c r="J59" s="60"/>
      <c r="K59" s="60"/>
      <c r="L59" s="160"/>
      <c r="M59" s="60"/>
      <c r="N59" s="60"/>
      <c r="O59" s="60">
        <f t="shared" si="13"/>
        <v>0</v>
      </c>
      <c r="P59" s="60">
        <f t="shared" si="1"/>
        <v>0</v>
      </c>
    </row>
    <row r="60" spans="1:16" s="38" customFormat="1" ht="14.45" customHeight="1" outlineLevel="1" x14ac:dyDescent="0.25">
      <c r="A60" s="140" t="s">
        <v>143</v>
      </c>
      <c r="B60" s="141" t="s">
        <v>599</v>
      </c>
      <c r="C60" s="130">
        <f>SUM(O60:O66)</f>
        <v>0</v>
      </c>
      <c r="D60" s="130">
        <f>SUM(P60:P66)</f>
        <v>0</v>
      </c>
      <c r="E60" s="130">
        <f t="shared" ref="E60" si="14">D60/8</f>
        <v>0</v>
      </c>
      <c r="F60" s="130"/>
      <c r="G60" s="60" t="s">
        <v>125</v>
      </c>
      <c r="H60" s="123"/>
      <c r="I60" s="123"/>
      <c r="J60" s="60"/>
      <c r="K60" s="60"/>
      <c r="L60" s="160"/>
      <c r="M60" s="60"/>
      <c r="N60" s="60"/>
      <c r="O60" s="60">
        <f>N60*J60*K60*M60</f>
        <v>0</v>
      </c>
      <c r="P60" s="60">
        <f t="shared" si="1"/>
        <v>0</v>
      </c>
    </row>
    <row r="61" spans="1:16" s="38" customFormat="1" ht="11.45" customHeight="1" outlineLevel="1" x14ac:dyDescent="0.25">
      <c r="A61" s="124"/>
      <c r="B61" s="128"/>
      <c r="C61" s="115"/>
      <c r="D61" s="115"/>
      <c r="E61" s="115"/>
      <c r="F61" s="115"/>
      <c r="G61" s="60" t="s">
        <v>126</v>
      </c>
      <c r="H61" s="124"/>
      <c r="I61" s="124"/>
      <c r="J61" s="60"/>
      <c r="K61" s="60"/>
      <c r="L61" s="160"/>
      <c r="M61" s="60"/>
      <c r="N61" s="60"/>
      <c r="O61" s="60">
        <f t="shared" ref="O61:O66" si="15">N61*J61*K61*M61</f>
        <v>0</v>
      </c>
      <c r="P61" s="60">
        <f t="shared" si="1"/>
        <v>0</v>
      </c>
    </row>
    <row r="62" spans="1:16" s="38" customFormat="1" ht="10.7" customHeight="1" outlineLevel="1" x14ac:dyDescent="0.25">
      <c r="A62" s="124"/>
      <c r="B62" s="128"/>
      <c r="C62" s="115"/>
      <c r="D62" s="115"/>
      <c r="E62" s="115"/>
      <c r="F62" s="115"/>
      <c r="G62" s="60" t="s">
        <v>127</v>
      </c>
      <c r="H62" s="124"/>
      <c r="I62" s="124"/>
      <c r="J62" s="60"/>
      <c r="K62" s="60"/>
      <c r="L62" s="160"/>
      <c r="M62" s="60"/>
      <c r="N62" s="60"/>
      <c r="O62" s="60">
        <f t="shared" si="15"/>
        <v>0</v>
      </c>
      <c r="P62" s="60">
        <f t="shared" si="1"/>
        <v>0</v>
      </c>
    </row>
    <row r="63" spans="1:16" s="38" customFormat="1" ht="10.7" customHeight="1" outlineLevel="1" x14ac:dyDescent="0.25">
      <c r="A63" s="124"/>
      <c r="B63" s="128"/>
      <c r="C63" s="115"/>
      <c r="D63" s="115"/>
      <c r="E63" s="115"/>
      <c r="F63" s="115"/>
      <c r="G63" s="60" t="s">
        <v>128</v>
      </c>
      <c r="H63" s="124"/>
      <c r="I63" s="124"/>
      <c r="J63" s="60"/>
      <c r="K63" s="60"/>
      <c r="L63" s="160"/>
      <c r="M63" s="60"/>
      <c r="N63" s="60"/>
      <c r="O63" s="60">
        <f t="shared" si="15"/>
        <v>0</v>
      </c>
      <c r="P63" s="60">
        <f t="shared" si="1"/>
        <v>0</v>
      </c>
    </row>
    <row r="64" spans="1:16" s="38" customFormat="1" ht="10.7" customHeight="1" outlineLevel="1" x14ac:dyDescent="0.25">
      <c r="A64" s="124"/>
      <c r="B64" s="128"/>
      <c r="C64" s="115"/>
      <c r="D64" s="115"/>
      <c r="E64" s="115"/>
      <c r="F64" s="115"/>
      <c r="G64" s="60" t="s">
        <v>129</v>
      </c>
      <c r="H64" s="124"/>
      <c r="I64" s="124"/>
      <c r="J64" s="60"/>
      <c r="K64" s="60"/>
      <c r="L64" s="160"/>
      <c r="M64" s="60"/>
      <c r="N64" s="60"/>
      <c r="O64" s="60">
        <f t="shared" si="15"/>
        <v>0</v>
      </c>
      <c r="P64" s="60">
        <f t="shared" si="1"/>
        <v>0</v>
      </c>
    </row>
    <row r="65" spans="1:16" s="38" customFormat="1" ht="10.7" customHeight="1" outlineLevel="1" x14ac:dyDescent="0.25">
      <c r="A65" s="124"/>
      <c r="B65" s="128"/>
      <c r="C65" s="115"/>
      <c r="D65" s="115"/>
      <c r="E65" s="115"/>
      <c r="F65" s="115"/>
      <c r="G65" s="60" t="s">
        <v>130</v>
      </c>
      <c r="H65" s="124"/>
      <c r="I65" s="124"/>
      <c r="J65" s="60"/>
      <c r="K65" s="60"/>
      <c r="L65" s="160"/>
      <c r="M65" s="60"/>
      <c r="N65" s="60"/>
      <c r="O65" s="60">
        <f t="shared" si="15"/>
        <v>0</v>
      </c>
      <c r="P65" s="60">
        <f t="shared" si="1"/>
        <v>0</v>
      </c>
    </row>
    <row r="66" spans="1:16" s="38" customFormat="1" ht="12" customHeight="1" outlineLevel="1" thickBot="1" x14ac:dyDescent="0.3">
      <c r="A66" s="125"/>
      <c r="B66" s="129"/>
      <c r="C66" s="131"/>
      <c r="D66" s="131"/>
      <c r="E66" s="131"/>
      <c r="F66" s="131"/>
      <c r="G66" s="60" t="s">
        <v>131</v>
      </c>
      <c r="H66" s="134"/>
      <c r="I66" s="134"/>
      <c r="J66" s="60"/>
      <c r="K66" s="60"/>
      <c r="L66" s="160"/>
      <c r="M66" s="60"/>
      <c r="N66" s="60"/>
      <c r="O66" s="60">
        <f t="shared" si="15"/>
        <v>0</v>
      </c>
      <c r="P66" s="60">
        <f t="shared" si="1"/>
        <v>0</v>
      </c>
    </row>
    <row r="67" spans="1:16" s="38" customFormat="1" ht="14.45" customHeight="1" outlineLevel="1" x14ac:dyDescent="0.25">
      <c r="A67" s="140" t="s">
        <v>600</v>
      </c>
      <c r="B67" s="141" t="s">
        <v>144</v>
      </c>
      <c r="C67" s="130">
        <f>SUM(O67:O73)</f>
        <v>0</v>
      </c>
      <c r="D67" s="130">
        <f>SUM(P67:P73)</f>
        <v>0</v>
      </c>
      <c r="E67" s="130">
        <f t="shared" ref="E67" si="16">D67/8</f>
        <v>0</v>
      </c>
      <c r="F67" s="130"/>
      <c r="G67" s="60" t="s">
        <v>125</v>
      </c>
      <c r="H67" s="123"/>
      <c r="I67" s="123"/>
      <c r="J67" s="60"/>
      <c r="K67" s="60"/>
      <c r="L67" s="160"/>
      <c r="M67" s="60"/>
      <c r="N67" s="60"/>
      <c r="O67" s="60">
        <f>N67*J67*K67*M67</f>
        <v>0</v>
      </c>
      <c r="P67" s="60">
        <f t="shared" si="1"/>
        <v>0</v>
      </c>
    </row>
    <row r="68" spans="1:16" s="38" customFormat="1" ht="11.45" customHeight="1" outlineLevel="1" x14ac:dyDescent="0.25">
      <c r="A68" s="124"/>
      <c r="B68" s="128"/>
      <c r="C68" s="115"/>
      <c r="D68" s="115"/>
      <c r="E68" s="115"/>
      <c r="F68" s="115"/>
      <c r="G68" s="60" t="s">
        <v>126</v>
      </c>
      <c r="H68" s="124"/>
      <c r="I68" s="124"/>
      <c r="J68" s="60"/>
      <c r="K68" s="60"/>
      <c r="L68" s="160"/>
      <c r="M68" s="60"/>
      <c r="N68" s="60"/>
      <c r="O68" s="60">
        <f t="shared" ref="O68:O73" si="17">N68*J68*K68*M68</f>
        <v>0</v>
      </c>
      <c r="P68" s="60">
        <f t="shared" si="1"/>
        <v>0</v>
      </c>
    </row>
    <row r="69" spans="1:16" s="38" customFormat="1" ht="10.7" customHeight="1" outlineLevel="1" x14ac:dyDescent="0.25">
      <c r="A69" s="124"/>
      <c r="B69" s="128"/>
      <c r="C69" s="115"/>
      <c r="D69" s="115"/>
      <c r="E69" s="115"/>
      <c r="F69" s="115"/>
      <c r="G69" s="60" t="s">
        <v>127</v>
      </c>
      <c r="H69" s="124"/>
      <c r="I69" s="124"/>
      <c r="J69" s="60"/>
      <c r="K69" s="60"/>
      <c r="L69" s="160"/>
      <c r="M69" s="60"/>
      <c r="N69" s="60"/>
      <c r="O69" s="60">
        <f t="shared" si="17"/>
        <v>0</v>
      </c>
      <c r="P69" s="60">
        <f t="shared" si="1"/>
        <v>0</v>
      </c>
    </row>
    <row r="70" spans="1:16" s="38" customFormat="1" ht="10.7" customHeight="1" outlineLevel="1" x14ac:dyDescent="0.25">
      <c r="A70" s="124"/>
      <c r="B70" s="128"/>
      <c r="C70" s="115"/>
      <c r="D70" s="115"/>
      <c r="E70" s="115"/>
      <c r="F70" s="115"/>
      <c r="G70" s="60" t="s">
        <v>128</v>
      </c>
      <c r="H70" s="124"/>
      <c r="I70" s="124"/>
      <c r="J70" s="60"/>
      <c r="K70" s="60"/>
      <c r="L70" s="160"/>
      <c r="M70" s="60"/>
      <c r="N70" s="60"/>
      <c r="O70" s="60">
        <f t="shared" si="17"/>
        <v>0</v>
      </c>
      <c r="P70" s="60">
        <f t="shared" si="1"/>
        <v>0</v>
      </c>
    </row>
    <row r="71" spans="1:16" s="38" customFormat="1" ht="10.7" customHeight="1" outlineLevel="1" x14ac:dyDescent="0.25">
      <c r="A71" s="124"/>
      <c r="B71" s="128"/>
      <c r="C71" s="115"/>
      <c r="D71" s="115"/>
      <c r="E71" s="115"/>
      <c r="F71" s="115"/>
      <c r="G71" s="60" t="s">
        <v>129</v>
      </c>
      <c r="H71" s="124"/>
      <c r="I71" s="124"/>
      <c r="J71" s="60"/>
      <c r="K71" s="60"/>
      <c r="L71" s="160"/>
      <c r="M71" s="60"/>
      <c r="N71" s="60"/>
      <c r="O71" s="60">
        <f t="shared" si="17"/>
        <v>0</v>
      </c>
      <c r="P71" s="60">
        <f t="shared" si="1"/>
        <v>0</v>
      </c>
    </row>
    <row r="72" spans="1:16" s="38" customFormat="1" ht="10.7" customHeight="1" outlineLevel="1" x14ac:dyDescent="0.25">
      <c r="A72" s="124"/>
      <c r="B72" s="128"/>
      <c r="C72" s="115"/>
      <c r="D72" s="115"/>
      <c r="E72" s="115"/>
      <c r="F72" s="115"/>
      <c r="G72" s="60" t="s">
        <v>130</v>
      </c>
      <c r="H72" s="124"/>
      <c r="I72" s="124"/>
      <c r="J72" s="60"/>
      <c r="K72" s="60"/>
      <c r="L72" s="160"/>
      <c r="M72" s="60"/>
      <c r="N72" s="60"/>
      <c r="O72" s="60">
        <f t="shared" si="17"/>
        <v>0</v>
      </c>
      <c r="P72" s="60">
        <f t="shared" si="1"/>
        <v>0</v>
      </c>
    </row>
    <row r="73" spans="1:16" s="38" customFormat="1" ht="12" customHeight="1" outlineLevel="1" thickBot="1" x14ac:dyDescent="0.3">
      <c r="A73" s="125"/>
      <c r="B73" s="129"/>
      <c r="C73" s="131"/>
      <c r="D73" s="131"/>
      <c r="E73" s="131"/>
      <c r="F73" s="131"/>
      <c r="G73" s="60" t="s">
        <v>131</v>
      </c>
      <c r="H73" s="134"/>
      <c r="I73" s="134"/>
      <c r="J73" s="60"/>
      <c r="K73" s="60"/>
      <c r="L73" s="160"/>
      <c r="M73" s="60"/>
      <c r="N73" s="60"/>
      <c r="O73" s="60">
        <f t="shared" si="17"/>
        <v>0</v>
      </c>
      <c r="P73" s="60">
        <f t="shared" si="1"/>
        <v>0</v>
      </c>
    </row>
    <row r="74" spans="1:16" s="39" customFormat="1" ht="15.75" x14ac:dyDescent="0.25">
      <c r="A74" s="40" t="s">
        <v>10</v>
      </c>
      <c r="B74" s="41" t="s">
        <v>601</v>
      </c>
      <c r="C74" s="42">
        <f>SUM(C75:C102,C103)</f>
        <v>0</v>
      </c>
      <c r="D74" s="42">
        <f>SUM(D75:D102,D103)</f>
        <v>0</v>
      </c>
      <c r="E74" s="42">
        <f>SUM(E75:E102,E103)</f>
        <v>0</v>
      </c>
      <c r="F74" s="57"/>
      <c r="G74" s="57"/>
      <c r="H74" s="57"/>
      <c r="I74" s="57"/>
      <c r="J74" s="57"/>
      <c r="K74" s="57"/>
      <c r="L74" s="161"/>
      <c r="M74" s="57"/>
      <c r="N74" s="57"/>
      <c r="O74" s="57"/>
      <c r="P74" s="43"/>
    </row>
    <row r="75" spans="1:16" s="38" customFormat="1" ht="14.45" customHeight="1" outlineLevel="1" x14ac:dyDescent="0.25">
      <c r="A75" s="140" t="s">
        <v>146</v>
      </c>
      <c r="B75" s="141" t="s">
        <v>393</v>
      </c>
      <c r="C75" s="130">
        <f>SUM(O75:O81)</f>
        <v>0</v>
      </c>
      <c r="D75" s="130">
        <f>SUM(P75:P81)</f>
        <v>0</v>
      </c>
      <c r="E75" s="130">
        <f t="shared" ref="E75:E96" si="18">D75/8</f>
        <v>0</v>
      </c>
      <c r="F75" s="130"/>
      <c r="G75" s="60" t="s">
        <v>125</v>
      </c>
      <c r="H75" s="123"/>
      <c r="I75" s="123"/>
      <c r="J75" s="60"/>
      <c r="K75" s="60"/>
      <c r="L75" s="160"/>
      <c r="M75" s="60"/>
      <c r="N75" s="60"/>
      <c r="O75" s="60">
        <f>N75*J75*K75*M75</f>
        <v>0</v>
      </c>
      <c r="P75" s="60">
        <f>J75*K75*M75</f>
        <v>0</v>
      </c>
    </row>
    <row r="76" spans="1:16" s="38" customFormat="1" ht="11.45" customHeight="1" outlineLevel="1" x14ac:dyDescent="0.25">
      <c r="A76" s="146"/>
      <c r="B76" s="142"/>
      <c r="C76" s="148"/>
      <c r="D76" s="148"/>
      <c r="E76" s="148"/>
      <c r="F76" s="148"/>
      <c r="G76" s="60" t="s">
        <v>126</v>
      </c>
      <c r="H76" s="151"/>
      <c r="I76" s="151"/>
      <c r="J76" s="60"/>
      <c r="K76" s="60"/>
      <c r="L76" s="160"/>
      <c r="M76" s="60"/>
      <c r="N76" s="60"/>
      <c r="O76" s="60">
        <f t="shared" ref="O76:O81" si="19">N76*J76*K76*M76</f>
        <v>0</v>
      </c>
      <c r="P76" s="60">
        <f t="shared" ref="P76:P102" si="20">J76*K76*M76</f>
        <v>0</v>
      </c>
    </row>
    <row r="77" spans="1:16" s="38" customFormat="1" ht="10.7" customHeight="1" outlineLevel="1" x14ac:dyDescent="0.25">
      <c r="A77" s="146"/>
      <c r="B77" s="142"/>
      <c r="C77" s="148"/>
      <c r="D77" s="148"/>
      <c r="E77" s="148"/>
      <c r="F77" s="148"/>
      <c r="G77" s="60" t="s">
        <v>127</v>
      </c>
      <c r="H77" s="151"/>
      <c r="I77" s="151"/>
      <c r="J77" s="60"/>
      <c r="K77" s="60"/>
      <c r="L77" s="160"/>
      <c r="M77" s="60"/>
      <c r="N77" s="60"/>
      <c r="O77" s="60">
        <f t="shared" si="19"/>
        <v>0</v>
      </c>
      <c r="P77" s="60">
        <f t="shared" si="20"/>
        <v>0</v>
      </c>
    </row>
    <row r="78" spans="1:16" s="38" customFormat="1" ht="10.7" customHeight="1" outlineLevel="1" x14ac:dyDescent="0.25">
      <c r="A78" s="146"/>
      <c r="B78" s="142"/>
      <c r="C78" s="148"/>
      <c r="D78" s="148"/>
      <c r="E78" s="148"/>
      <c r="F78" s="148"/>
      <c r="G78" s="60" t="s">
        <v>128</v>
      </c>
      <c r="H78" s="151"/>
      <c r="I78" s="151"/>
      <c r="J78" s="60"/>
      <c r="K78" s="60"/>
      <c r="L78" s="160"/>
      <c r="M78" s="60"/>
      <c r="N78" s="60"/>
      <c r="O78" s="60">
        <f t="shared" si="19"/>
        <v>0</v>
      </c>
      <c r="P78" s="60">
        <f t="shared" si="20"/>
        <v>0</v>
      </c>
    </row>
    <row r="79" spans="1:16" s="38" customFormat="1" ht="10.7" customHeight="1" outlineLevel="1" x14ac:dyDescent="0.25">
      <c r="A79" s="146"/>
      <c r="B79" s="142"/>
      <c r="C79" s="148"/>
      <c r="D79" s="148"/>
      <c r="E79" s="148"/>
      <c r="F79" s="148"/>
      <c r="G79" s="60" t="s">
        <v>129</v>
      </c>
      <c r="H79" s="151"/>
      <c r="I79" s="151"/>
      <c r="J79" s="60"/>
      <c r="K79" s="60"/>
      <c r="L79" s="160"/>
      <c r="M79" s="60"/>
      <c r="N79" s="60"/>
      <c r="O79" s="60">
        <f t="shared" si="19"/>
        <v>0</v>
      </c>
      <c r="P79" s="60">
        <f t="shared" si="20"/>
        <v>0</v>
      </c>
    </row>
    <row r="80" spans="1:16" s="38" customFormat="1" ht="10.7" customHeight="1" outlineLevel="1" x14ac:dyDescent="0.25">
      <c r="A80" s="146"/>
      <c r="B80" s="142"/>
      <c r="C80" s="148"/>
      <c r="D80" s="148"/>
      <c r="E80" s="148"/>
      <c r="F80" s="148"/>
      <c r="G80" s="60" t="s">
        <v>130</v>
      </c>
      <c r="H80" s="151"/>
      <c r="I80" s="151"/>
      <c r="J80" s="60"/>
      <c r="K80" s="60"/>
      <c r="L80" s="160"/>
      <c r="M80" s="60"/>
      <c r="N80" s="60"/>
      <c r="O80" s="60">
        <f t="shared" si="19"/>
        <v>0</v>
      </c>
      <c r="P80" s="60">
        <f t="shared" si="20"/>
        <v>0</v>
      </c>
    </row>
    <row r="81" spans="1:16" s="38" customFormat="1" ht="12" customHeight="1" outlineLevel="1" thickBot="1" x14ac:dyDescent="0.3">
      <c r="A81" s="147"/>
      <c r="B81" s="143"/>
      <c r="C81" s="149"/>
      <c r="D81" s="149"/>
      <c r="E81" s="149"/>
      <c r="F81" s="149"/>
      <c r="G81" s="60" t="s">
        <v>131</v>
      </c>
      <c r="H81" s="152"/>
      <c r="I81" s="152"/>
      <c r="J81" s="60"/>
      <c r="K81" s="60"/>
      <c r="L81" s="160"/>
      <c r="M81" s="60"/>
      <c r="N81" s="60"/>
      <c r="O81" s="60">
        <f t="shared" si="19"/>
        <v>0</v>
      </c>
      <c r="P81" s="60">
        <f t="shared" si="20"/>
        <v>0</v>
      </c>
    </row>
    <row r="82" spans="1:16" s="38" customFormat="1" ht="14.45" customHeight="1" outlineLevel="1" x14ac:dyDescent="0.25">
      <c r="A82" s="140" t="s">
        <v>148</v>
      </c>
      <c r="B82" s="141" t="s">
        <v>394</v>
      </c>
      <c r="C82" s="130">
        <f>SUM(O82:O88)</f>
        <v>0</v>
      </c>
      <c r="D82" s="130">
        <f>SUM(P82:P88)</f>
        <v>0</v>
      </c>
      <c r="E82" s="130">
        <f t="shared" si="18"/>
        <v>0</v>
      </c>
      <c r="F82" s="130"/>
      <c r="G82" s="60" t="s">
        <v>125</v>
      </c>
      <c r="H82" s="150"/>
      <c r="I82" s="150"/>
      <c r="J82" s="60"/>
      <c r="K82" s="60"/>
      <c r="L82" s="160"/>
      <c r="M82" s="60"/>
      <c r="N82" s="60"/>
      <c r="O82" s="60">
        <f>N82*J82*K82*M82</f>
        <v>0</v>
      </c>
      <c r="P82" s="60">
        <f t="shared" si="20"/>
        <v>0</v>
      </c>
    </row>
    <row r="83" spans="1:16" s="38" customFormat="1" ht="11.45" customHeight="1" outlineLevel="1" x14ac:dyDescent="0.25">
      <c r="A83" s="146"/>
      <c r="B83" s="142"/>
      <c r="C83" s="148"/>
      <c r="D83" s="148"/>
      <c r="E83" s="148"/>
      <c r="F83" s="148"/>
      <c r="G83" s="60" t="s">
        <v>126</v>
      </c>
      <c r="H83" s="151"/>
      <c r="I83" s="151"/>
      <c r="J83" s="60"/>
      <c r="K83" s="60"/>
      <c r="L83" s="160"/>
      <c r="M83" s="60"/>
      <c r="N83" s="60"/>
      <c r="O83" s="60">
        <f t="shared" ref="O83:O88" si="21">N83*J83*K83*M83</f>
        <v>0</v>
      </c>
      <c r="P83" s="60">
        <f t="shared" si="20"/>
        <v>0</v>
      </c>
    </row>
    <row r="84" spans="1:16" s="38" customFormat="1" ht="10.7" customHeight="1" outlineLevel="1" x14ac:dyDescent="0.25">
      <c r="A84" s="146"/>
      <c r="B84" s="142"/>
      <c r="C84" s="148"/>
      <c r="D84" s="148"/>
      <c r="E84" s="148"/>
      <c r="F84" s="148"/>
      <c r="G84" s="60" t="s">
        <v>127</v>
      </c>
      <c r="H84" s="151"/>
      <c r="I84" s="151"/>
      <c r="J84" s="60"/>
      <c r="K84" s="60"/>
      <c r="L84" s="160"/>
      <c r="M84" s="60"/>
      <c r="N84" s="60"/>
      <c r="O84" s="60">
        <f t="shared" si="21"/>
        <v>0</v>
      </c>
      <c r="P84" s="60">
        <f t="shared" si="20"/>
        <v>0</v>
      </c>
    </row>
    <row r="85" spans="1:16" s="38" customFormat="1" ht="10.7" customHeight="1" outlineLevel="1" x14ac:dyDescent="0.25">
      <c r="A85" s="146"/>
      <c r="B85" s="142"/>
      <c r="C85" s="148"/>
      <c r="D85" s="148"/>
      <c r="E85" s="148"/>
      <c r="F85" s="148"/>
      <c r="G85" s="60" t="s">
        <v>128</v>
      </c>
      <c r="H85" s="151"/>
      <c r="I85" s="151"/>
      <c r="J85" s="60"/>
      <c r="K85" s="60"/>
      <c r="L85" s="160"/>
      <c r="M85" s="60"/>
      <c r="N85" s="60"/>
      <c r="O85" s="60">
        <f t="shared" si="21"/>
        <v>0</v>
      </c>
      <c r="P85" s="60">
        <f t="shared" si="20"/>
        <v>0</v>
      </c>
    </row>
    <row r="86" spans="1:16" s="38" customFormat="1" ht="10.7" customHeight="1" outlineLevel="1" x14ac:dyDescent="0.25">
      <c r="A86" s="146"/>
      <c r="B86" s="142"/>
      <c r="C86" s="148"/>
      <c r="D86" s="148"/>
      <c r="E86" s="148"/>
      <c r="F86" s="148"/>
      <c r="G86" s="60" t="s">
        <v>129</v>
      </c>
      <c r="H86" s="151"/>
      <c r="I86" s="151"/>
      <c r="J86" s="60"/>
      <c r="K86" s="60"/>
      <c r="L86" s="160"/>
      <c r="M86" s="60"/>
      <c r="N86" s="60"/>
      <c r="O86" s="60">
        <f t="shared" si="21"/>
        <v>0</v>
      </c>
      <c r="P86" s="60">
        <f t="shared" si="20"/>
        <v>0</v>
      </c>
    </row>
    <row r="87" spans="1:16" s="38" customFormat="1" ht="10.7" customHeight="1" outlineLevel="1" x14ac:dyDescent="0.25">
      <c r="A87" s="146"/>
      <c r="B87" s="142"/>
      <c r="C87" s="148"/>
      <c r="D87" s="148"/>
      <c r="E87" s="148"/>
      <c r="F87" s="148"/>
      <c r="G87" s="60" t="s">
        <v>130</v>
      </c>
      <c r="H87" s="151"/>
      <c r="I87" s="151"/>
      <c r="J87" s="60"/>
      <c r="K87" s="60"/>
      <c r="L87" s="160"/>
      <c r="M87" s="60"/>
      <c r="N87" s="60"/>
      <c r="O87" s="60">
        <f t="shared" si="21"/>
        <v>0</v>
      </c>
      <c r="P87" s="60">
        <f t="shared" si="20"/>
        <v>0</v>
      </c>
    </row>
    <row r="88" spans="1:16" s="38" customFormat="1" ht="12" customHeight="1" outlineLevel="1" thickBot="1" x14ac:dyDescent="0.3">
      <c r="A88" s="147"/>
      <c r="B88" s="143"/>
      <c r="C88" s="149"/>
      <c r="D88" s="149"/>
      <c r="E88" s="149"/>
      <c r="F88" s="149"/>
      <c r="G88" s="60" t="s">
        <v>131</v>
      </c>
      <c r="H88" s="152"/>
      <c r="I88" s="152"/>
      <c r="J88" s="60"/>
      <c r="K88" s="60"/>
      <c r="L88" s="160"/>
      <c r="M88" s="60"/>
      <c r="N88" s="60"/>
      <c r="O88" s="60">
        <f t="shared" si="21"/>
        <v>0</v>
      </c>
      <c r="P88" s="60">
        <f t="shared" si="20"/>
        <v>0</v>
      </c>
    </row>
    <row r="89" spans="1:16" s="38" customFormat="1" ht="14.45" customHeight="1" outlineLevel="1" x14ac:dyDescent="0.25">
      <c r="A89" s="140" t="s">
        <v>150</v>
      </c>
      <c r="B89" s="141" t="s">
        <v>395</v>
      </c>
      <c r="C89" s="130">
        <f>SUM(O89:O95)</f>
        <v>0</v>
      </c>
      <c r="D89" s="130">
        <f>SUM(P89:P95)</f>
        <v>0</v>
      </c>
      <c r="E89" s="130">
        <f t="shared" si="18"/>
        <v>0</v>
      </c>
      <c r="F89" s="130"/>
      <c r="G89" s="60" t="s">
        <v>125</v>
      </c>
      <c r="H89" s="150"/>
      <c r="I89" s="150"/>
      <c r="J89" s="60"/>
      <c r="K89" s="60"/>
      <c r="L89" s="160"/>
      <c r="M89" s="60"/>
      <c r="N89" s="60"/>
      <c r="O89" s="60">
        <f>N89*J89*K89*M89</f>
        <v>0</v>
      </c>
      <c r="P89" s="60">
        <f t="shared" si="20"/>
        <v>0</v>
      </c>
    </row>
    <row r="90" spans="1:16" s="38" customFormat="1" ht="11.45" customHeight="1" outlineLevel="1" x14ac:dyDescent="0.25">
      <c r="A90" s="146"/>
      <c r="B90" s="142"/>
      <c r="C90" s="148"/>
      <c r="D90" s="148"/>
      <c r="E90" s="148"/>
      <c r="F90" s="148"/>
      <c r="G90" s="60" t="s">
        <v>126</v>
      </c>
      <c r="H90" s="151"/>
      <c r="I90" s="151"/>
      <c r="J90" s="60"/>
      <c r="K90" s="60"/>
      <c r="L90" s="160"/>
      <c r="M90" s="60"/>
      <c r="N90" s="60"/>
      <c r="O90" s="60">
        <f t="shared" ref="O90:O95" si="22">N90*J90*K90*M90</f>
        <v>0</v>
      </c>
      <c r="P90" s="60">
        <f t="shared" si="20"/>
        <v>0</v>
      </c>
    </row>
    <row r="91" spans="1:16" s="38" customFormat="1" ht="10.7" customHeight="1" outlineLevel="1" x14ac:dyDescent="0.25">
      <c r="A91" s="146"/>
      <c r="B91" s="142"/>
      <c r="C91" s="148"/>
      <c r="D91" s="148"/>
      <c r="E91" s="148"/>
      <c r="F91" s="148"/>
      <c r="G91" s="60" t="s">
        <v>127</v>
      </c>
      <c r="H91" s="151"/>
      <c r="I91" s="151"/>
      <c r="J91" s="60"/>
      <c r="K91" s="60"/>
      <c r="L91" s="160"/>
      <c r="M91" s="60"/>
      <c r="N91" s="60"/>
      <c r="O91" s="60">
        <f t="shared" si="22"/>
        <v>0</v>
      </c>
      <c r="P91" s="60">
        <f t="shared" si="20"/>
        <v>0</v>
      </c>
    </row>
    <row r="92" spans="1:16" s="38" customFormat="1" ht="10.7" customHeight="1" outlineLevel="1" x14ac:dyDescent="0.25">
      <c r="A92" s="146"/>
      <c r="B92" s="142"/>
      <c r="C92" s="148"/>
      <c r="D92" s="148"/>
      <c r="E92" s="148"/>
      <c r="F92" s="148"/>
      <c r="G92" s="60" t="s">
        <v>128</v>
      </c>
      <c r="H92" s="151"/>
      <c r="I92" s="151"/>
      <c r="J92" s="60"/>
      <c r="K92" s="60"/>
      <c r="L92" s="160"/>
      <c r="M92" s="60"/>
      <c r="N92" s="60"/>
      <c r="O92" s="60">
        <f t="shared" si="22"/>
        <v>0</v>
      </c>
      <c r="P92" s="60">
        <f t="shared" si="20"/>
        <v>0</v>
      </c>
    </row>
    <row r="93" spans="1:16" s="38" customFormat="1" ht="10.7" customHeight="1" outlineLevel="1" x14ac:dyDescent="0.25">
      <c r="A93" s="146"/>
      <c r="B93" s="142"/>
      <c r="C93" s="148"/>
      <c r="D93" s="148"/>
      <c r="E93" s="148"/>
      <c r="F93" s="148"/>
      <c r="G93" s="60" t="s">
        <v>129</v>
      </c>
      <c r="H93" s="151"/>
      <c r="I93" s="151"/>
      <c r="J93" s="60"/>
      <c r="K93" s="60"/>
      <c r="L93" s="160"/>
      <c r="M93" s="60"/>
      <c r="N93" s="60"/>
      <c r="O93" s="60">
        <f t="shared" si="22"/>
        <v>0</v>
      </c>
      <c r="P93" s="60">
        <f t="shared" si="20"/>
        <v>0</v>
      </c>
    </row>
    <row r="94" spans="1:16" s="38" customFormat="1" ht="10.7" customHeight="1" outlineLevel="1" x14ac:dyDescent="0.25">
      <c r="A94" s="146"/>
      <c r="B94" s="142"/>
      <c r="C94" s="148"/>
      <c r="D94" s="148"/>
      <c r="E94" s="148"/>
      <c r="F94" s="148"/>
      <c r="G94" s="60" t="s">
        <v>130</v>
      </c>
      <c r="H94" s="151"/>
      <c r="I94" s="151"/>
      <c r="J94" s="60"/>
      <c r="K94" s="60"/>
      <c r="L94" s="160"/>
      <c r="M94" s="60"/>
      <c r="N94" s="60"/>
      <c r="O94" s="60">
        <f t="shared" si="22"/>
        <v>0</v>
      </c>
      <c r="P94" s="60">
        <f t="shared" si="20"/>
        <v>0</v>
      </c>
    </row>
    <row r="95" spans="1:16" s="38" customFormat="1" ht="12" customHeight="1" outlineLevel="1" thickBot="1" x14ac:dyDescent="0.3">
      <c r="A95" s="147"/>
      <c r="B95" s="143"/>
      <c r="C95" s="149"/>
      <c r="D95" s="149"/>
      <c r="E95" s="149"/>
      <c r="F95" s="149"/>
      <c r="G95" s="60" t="s">
        <v>131</v>
      </c>
      <c r="H95" s="152"/>
      <c r="I95" s="152"/>
      <c r="J95" s="60"/>
      <c r="K95" s="60"/>
      <c r="L95" s="160"/>
      <c r="M95" s="60"/>
      <c r="N95" s="60"/>
      <c r="O95" s="60">
        <f t="shared" si="22"/>
        <v>0</v>
      </c>
      <c r="P95" s="60">
        <f t="shared" si="20"/>
        <v>0</v>
      </c>
    </row>
    <row r="96" spans="1:16" s="38" customFormat="1" ht="14.45" customHeight="1" outlineLevel="1" x14ac:dyDescent="0.25">
      <c r="A96" s="140" t="s">
        <v>152</v>
      </c>
      <c r="B96" s="141" t="s">
        <v>396</v>
      </c>
      <c r="C96" s="130">
        <f>SUM(O96:O102)</f>
        <v>0</v>
      </c>
      <c r="D96" s="130">
        <f>SUM(P96:P102)</f>
        <v>0</v>
      </c>
      <c r="E96" s="130">
        <f t="shared" si="18"/>
        <v>0</v>
      </c>
      <c r="F96" s="130"/>
      <c r="G96" s="60" t="s">
        <v>125</v>
      </c>
      <c r="H96" s="150"/>
      <c r="I96" s="150"/>
      <c r="J96" s="60"/>
      <c r="K96" s="60"/>
      <c r="L96" s="160"/>
      <c r="M96" s="60"/>
      <c r="N96" s="60"/>
      <c r="O96" s="60">
        <f>N96*J96*K96*M96</f>
        <v>0</v>
      </c>
      <c r="P96" s="60">
        <f t="shared" si="20"/>
        <v>0</v>
      </c>
    </row>
    <row r="97" spans="1:16" s="38" customFormat="1" ht="11.45" customHeight="1" outlineLevel="1" x14ac:dyDescent="0.25">
      <c r="A97" s="146"/>
      <c r="B97" s="142"/>
      <c r="C97" s="148"/>
      <c r="D97" s="148"/>
      <c r="E97" s="148"/>
      <c r="F97" s="148"/>
      <c r="G97" s="60" t="s">
        <v>126</v>
      </c>
      <c r="H97" s="151"/>
      <c r="I97" s="151"/>
      <c r="J97" s="60"/>
      <c r="K97" s="60"/>
      <c r="L97" s="160"/>
      <c r="M97" s="60"/>
      <c r="N97" s="60"/>
      <c r="O97" s="60">
        <f t="shared" ref="O97:O102" si="23">N97*J97*K97*M97</f>
        <v>0</v>
      </c>
      <c r="P97" s="60">
        <f t="shared" si="20"/>
        <v>0</v>
      </c>
    </row>
    <row r="98" spans="1:16" s="38" customFormat="1" ht="10.7" customHeight="1" outlineLevel="1" x14ac:dyDescent="0.25">
      <c r="A98" s="146"/>
      <c r="B98" s="142"/>
      <c r="C98" s="148"/>
      <c r="D98" s="148"/>
      <c r="E98" s="148"/>
      <c r="F98" s="148"/>
      <c r="G98" s="60" t="s">
        <v>127</v>
      </c>
      <c r="H98" s="151"/>
      <c r="I98" s="151"/>
      <c r="J98" s="60"/>
      <c r="K98" s="60"/>
      <c r="L98" s="160"/>
      <c r="M98" s="60"/>
      <c r="N98" s="60"/>
      <c r="O98" s="60">
        <f t="shared" si="23"/>
        <v>0</v>
      </c>
      <c r="P98" s="60">
        <f t="shared" si="20"/>
        <v>0</v>
      </c>
    </row>
    <row r="99" spans="1:16" s="38" customFormat="1" ht="10.7" customHeight="1" outlineLevel="1" x14ac:dyDescent="0.25">
      <c r="A99" s="146"/>
      <c r="B99" s="142"/>
      <c r="C99" s="148"/>
      <c r="D99" s="148"/>
      <c r="E99" s="148"/>
      <c r="F99" s="148"/>
      <c r="G99" s="60" t="s">
        <v>128</v>
      </c>
      <c r="H99" s="151"/>
      <c r="I99" s="151"/>
      <c r="J99" s="60"/>
      <c r="K99" s="60"/>
      <c r="L99" s="160"/>
      <c r="M99" s="60"/>
      <c r="N99" s="60"/>
      <c r="O99" s="60">
        <f t="shared" si="23"/>
        <v>0</v>
      </c>
      <c r="P99" s="60">
        <f t="shared" si="20"/>
        <v>0</v>
      </c>
    </row>
    <row r="100" spans="1:16" s="38" customFormat="1" ht="10.7" customHeight="1" outlineLevel="1" x14ac:dyDescent="0.25">
      <c r="A100" s="146"/>
      <c r="B100" s="142"/>
      <c r="C100" s="148"/>
      <c r="D100" s="148"/>
      <c r="E100" s="148"/>
      <c r="F100" s="148"/>
      <c r="G100" s="60" t="s">
        <v>129</v>
      </c>
      <c r="H100" s="151"/>
      <c r="I100" s="151"/>
      <c r="J100" s="60"/>
      <c r="K100" s="60"/>
      <c r="L100" s="160"/>
      <c r="M100" s="60"/>
      <c r="N100" s="60"/>
      <c r="O100" s="60">
        <f t="shared" si="23"/>
        <v>0</v>
      </c>
      <c r="P100" s="60">
        <f t="shared" si="20"/>
        <v>0</v>
      </c>
    </row>
    <row r="101" spans="1:16" s="38" customFormat="1" ht="10.7" customHeight="1" outlineLevel="1" x14ac:dyDescent="0.25">
      <c r="A101" s="146"/>
      <c r="B101" s="142"/>
      <c r="C101" s="148"/>
      <c r="D101" s="148"/>
      <c r="E101" s="148"/>
      <c r="F101" s="148"/>
      <c r="G101" s="60" t="s">
        <v>130</v>
      </c>
      <c r="H101" s="151"/>
      <c r="I101" s="151"/>
      <c r="J101" s="60"/>
      <c r="K101" s="60"/>
      <c r="L101" s="160"/>
      <c r="M101" s="60"/>
      <c r="N101" s="60"/>
      <c r="O101" s="60">
        <f t="shared" si="23"/>
        <v>0</v>
      </c>
      <c r="P101" s="60">
        <f t="shared" si="20"/>
        <v>0</v>
      </c>
    </row>
    <row r="102" spans="1:16" s="38" customFormat="1" ht="12" customHeight="1" outlineLevel="1" thickBot="1" x14ac:dyDescent="0.3">
      <c r="A102" s="147"/>
      <c r="B102" s="143"/>
      <c r="C102" s="149"/>
      <c r="D102" s="149"/>
      <c r="E102" s="149"/>
      <c r="F102" s="149"/>
      <c r="G102" s="60" t="s">
        <v>131</v>
      </c>
      <c r="H102" s="152"/>
      <c r="I102" s="152"/>
      <c r="J102" s="60"/>
      <c r="K102" s="60"/>
      <c r="L102" s="160"/>
      <c r="M102" s="60"/>
      <c r="N102" s="60"/>
      <c r="O102" s="60">
        <f t="shared" si="23"/>
        <v>0</v>
      </c>
      <c r="P102" s="60">
        <f t="shared" si="20"/>
        <v>0</v>
      </c>
    </row>
    <row r="103" spans="1:16" s="38" customFormat="1" ht="30" outlineLevel="1" x14ac:dyDescent="0.25">
      <c r="A103" s="44" t="s">
        <v>355</v>
      </c>
      <c r="B103" s="52" t="s">
        <v>397</v>
      </c>
      <c r="C103" s="45">
        <f>SUM(C104:C180)</f>
        <v>0</v>
      </c>
      <c r="D103" s="58"/>
      <c r="E103" s="58"/>
      <c r="F103" s="58"/>
      <c r="G103" s="58"/>
      <c r="H103" s="58"/>
      <c r="I103" s="58"/>
      <c r="J103" s="58"/>
      <c r="K103" s="58"/>
      <c r="L103" s="162"/>
      <c r="M103" s="58"/>
      <c r="N103" s="58"/>
      <c r="O103" s="58"/>
      <c r="P103" s="60"/>
    </row>
    <row r="104" spans="1:16" s="38" customFormat="1" ht="14.45" customHeight="1" outlineLevel="1" x14ac:dyDescent="0.25">
      <c r="A104" s="140" t="s">
        <v>398</v>
      </c>
      <c r="B104" s="141" t="s">
        <v>399</v>
      </c>
      <c r="C104" s="130">
        <f>SUM(O104:O110)</f>
        <v>0</v>
      </c>
      <c r="D104" s="130">
        <f>SUM(P104:P110)</f>
        <v>0</v>
      </c>
      <c r="E104" s="130">
        <f t="shared" ref="E104:E167" si="24">D104/8</f>
        <v>0</v>
      </c>
      <c r="F104" s="130"/>
      <c r="G104" s="60" t="s">
        <v>125</v>
      </c>
      <c r="H104" s="123"/>
      <c r="I104" s="123"/>
      <c r="J104" s="60"/>
      <c r="K104" s="60"/>
      <c r="L104" s="160"/>
      <c r="M104" s="60"/>
      <c r="N104" s="60"/>
      <c r="O104" s="60">
        <f>N104*J104*K104*M104</f>
        <v>0</v>
      </c>
      <c r="P104" s="60">
        <f>J104*K104*M104</f>
        <v>0</v>
      </c>
    </row>
    <row r="105" spans="1:16" s="38" customFormat="1" ht="11.45" customHeight="1" outlineLevel="1" x14ac:dyDescent="0.25">
      <c r="A105" s="146"/>
      <c r="B105" s="142"/>
      <c r="C105" s="148"/>
      <c r="D105" s="148"/>
      <c r="E105" s="148"/>
      <c r="F105" s="148"/>
      <c r="G105" s="60" t="s">
        <v>126</v>
      </c>
      <c r="H105" s="151"/>
      <c r="I105" s="151"/>
      <c r="J105" s="60"/>
      <c r="K105" s="60"/>
      <c r="L105" s="160"/>
      <c r="M105" s="60"/>
      <c r="N105" s="60"/>
      <c r="O105" s="60">
        <f t="shared" ref="O105:O110" si="25">N105*J105*K105*M105</f>
        <v>0</v>
      </c>
      <c r="P105" s="60">
        <f t="shared" ref="P105:P168" si="26">J105*K105*M105</f>
        <v>0</v>
      </c>
    </row>
    <row r="106" spans="1:16" s="38" customFormat="1" ht="10.7" customHeight="1" outlineLevel="1" x14ac:dyDescent="0.25">
      <c r="A106" s="146"/>
      <c r="B106" s="142"/>
      <c r="C106" s="148"/>
      <c r="D106" s="148"/>
      <c r="E106" s="148"/>
      <c r="F106" s="148"/>
      <c r="G106" s="60" t="s">
        <v>127</v>
      </c>
      <c r="H106" s="151"/>
      <c r="I106" s="151"/>
      <c r="J106" s="60"/>
      <c r="K106" s="60"/>
      <c r="L106" s="160"/>
      <c r="M106" s="60"/>
      <c r="N106" s="60"/>
      <c r="O106" s="60">
        <f t="shared" si="25"/>
        <v>0</v>
      </c>
      <c r="P106" s="60">
        <f t="shared" si="26"/>
        <v>0</v>
      </c>
    </row>
    <row r="107" spans="1:16" s="38" customFormat="1" ht="10.7" customHeight="1" outlineLevel="1" x14ac:dyDescent="0.25">
      <c r="A107" s="146"/>
      <c r="B107" s="142"/>
      <c r="C107" s="148"/>
      <c r="D107" s="148"/>
      <c r="E107" s="148"/>
      <c r="F107" s="148"/>
      <c r="G107" s="60" t="s">
        <v>128</v>
      </c>
      <c r="H107" s="151"/>
      <c r="I107" s="151"/>
      <c r="J107" s="60"/>
      <c r="K107" s="60"/>
      <c r="L107" s="160"/>
      <c r="M107" s="60"/>
      <c r="N107" s="60"/>
      <c r="O107" s="60">
        <f t="shared" si="25"/>
        <v>0</v>
      </c>
      <c r="P107" s="60">
        <f t="shared" si="26"/>
        <v>0</v>
      </c>
    </row>
    <row r="108" spans="1:16" s="38" customFormat="1" ht="10.7" customHeight="1" outlineLevel="1" x14ac:dyDescent="0.25">
      <c r="A108" s="146"/>
      <c r="B108" s="142"/>
      <c r="C108" s="148"/>
      <c r="D108" s="148"/>
      <c r="E108" s="148"/>
      <c r="F108" s="148"/>
      <c r="G108" s="60" t="s">
        <v>129</v>
      </c>
      <c r="H108" s="151"/>
      <c r="I108" s="151"/>
      <c r="J108" s="60"/>
      <c r="K108" s="60"/>
      <c r="L108" s="160"/>
      <c r="M108" s="60"/>
      <c r="N108" s="60"/>
      <c r="O108" s="60">
        <f t="shared" si="25"/>
        <v>0</v>
      </c>
      <c r="P108" s="60">
        <f t="shared" si="26"/>
        <v>0</v>
      </c>
    </row>
    <row r="109" spans="1:16" s="38" customFormat="1" ht="10.7" customHeight="1" outlineLevel="1" x14ac:dyDescent="0.25">
      <c r="A109" s="146"/>
      <c r="B109" s="142"/>
      <c r="C109" s="148"/>
      <c r="D109" s="148"/>
      <c r="E109" s="148"/>
      <c r="F109" s="148"/>
      <c r="G109" s="60" t="s">
        <v>130</v>
      </c>
      <c r="H109" s="151"/>
      <c r="I109" s="151"/>
      <c r="J109" s="60"/>
      <c r="K109" s="60"/>
      <c r="L109" s="160"/>
      <c r="M109" s="60"/>
      <c r="N109" s="60"/>
      <c r="O109" s="60">
        <f t="shared" si="25"/>
        <v>0</v>
      </c>
      <c r="P109" s="60">
        <f t="shared" si="26"/>
        <v>0</v>
      </c>
    </row>
    <row r="110" spans="1:16" s="38" customFormat="1" ht="12" customHeight="1" outlineLevel="1" thickBot="1" x14ac:dyDescent="0.3">
      <c r="A110" s="147"/>
      <c r="B110" s="143"/>
      <c r="C110" s="149"/>
      <c r="D110" s="149"/>
      <c r="E110" s="149"/>
      <c r="F110" s="149"/>
      <c r="G110" s="60" t="s">
        <v>131</v>
      </c>
      <c r="H110" s="152"/>
      <c r="I110" s="152"/>
      <c r="J110" s="60"/>
      <c r="K110" s="60"/>
      <c r="L110" s="160"/>
      <c r="M110" s="60"/>
      <c r="N110" s="60"/>
      <c r="O110" s="60">
        <f t="shared" si="25"/>
        <v>0</v>
      </c>
      <c r="P110" s="60">
        <f t="shared" si="26"/>
        <v>0</v>
      </c>
    </row>
    <row r="111" spans="1:16" s="38" customFormat="1" ht="14.45" customHeight="1" outlineLevel="1" x14ac:dyDescent="0.25">
      <c r="A111" s="140" t="s">
        <v>400</v>
      </c>
      <c r="B111" s="141" t="s">
        <v>401</v>
      </c>
      <c r="C111" s="130">
        <f>SUM(O111:O117)</f>
        <v>0</v>
      </c>
      <c r="D111" s="130">
        <f>SUM(P111:P117)</f>
        <v>0</v>
      </c>
      <c r="E111" s="130">
        <f t="shared" si="24"/>
        <v>0</v>
      </c>
      <c r="F111" s="130"/>
      <c r="G111" s="60" t="s">
        <v>125</v>
      </c>
      <c r="H111" s="150"/>
      <c r="I111" s="150"/>
      <c r="J111" s="60"/>
      <c r="K111" s="60"/>
      <c r="L111" s="160"/>
      <c r="M111" s="60"/>
      <c r="N111" s="60"/>
      <c r="O111" s="60">
        <f>N111*J111*K111*M111</f>
        <v>0</v>
      </c>
      <c r="P111" s="60">
        <f t="shared" si="26"/>
        <v>0</v>
      </c>
    </row>
    <row r="112" spans="1:16" s="38" customFormat="1" ht="11.45" customHeight="1" outlineLevel="1" x14ac:dyDescent="0.25">
      <c r="A112" s="146"/>
      <c r="B112" s="142"/>
      <c r="C112" s="148"/>
      <c r="D112" s="148"/>
      <c r="E112" s="148"/>
      <c r="F112" s="148"/>
      <c r="G112" s="60" t="s">
        <v>126</v>
      </c>
      <c r="H112" s="151"/>
      <c r="I112" s="151"/>
      <c r="J112" s="60"/>
      <c r="K112" s="60"/>
      <c r="L112" s="160"/>
      <c r="M112" s="60"/>
      <c r="N112" s="60"/>
      <c r="O112" s="60">
        <f t="shared" ref="O112:O117" si="27">N112*J112*K112*M112</f>
        <v>0</v>
      </c>
      <c r="P112" s="60">
        <f t="shared" si="26"/>
        <v>0</v>
      </c>
    </row>
    <row r="113" spans="1:16" s="38" customFormat="1" ht="10.7" customHeight="1" outlineLevel="1" x14ac:dyDescent="0.25">
      <c r="A113" s="146"/>
      <c r="B113" s="142"/>
      <c r="C113" s="148"/>
      <c r="D113" s="148"/>
      <c r="E113" s="148"/>
      <c r="F113" s="148"/>
      <c r="G113" s="60" t="s">
        <v>127</v>
      </c>
      <c r="H113" s="151"/>
      <c r="I113" s="151"/>
      <c r="J113" s="60"/>
      <c r="K113" s="60"/>
      <c r="L113" s="160"/>
      <c r="M113" s="60"/>
      <c r="N113" s="60"/>
      <c r="O113" s="60">
        <f t="shared" si="27"/>
        <v>0</v>
      </c>
      <c r="P113" s="60">
        <f t="shared" si="26"/>
        <v>0</v>
      </c>
    </row>
    <row r="114" spans="1:16" s="38" customFormat="1" ht="10.7" customHeight="1" outlineLevel="1" x14ac:dyDescent="0.25">
      <c r="A114" s="146"/>
      <c r="B114" s="142"/>
      <c r="C114" s="148"/>
      <c r="D114" s="148"/>
      <c r="E114" s="148"/>
      <c r="F114" s="148"/>
      <c r="G114" s="60" t="s">
        <v>128</v>
      </c>
      <c r="H114" s="151"/>
      <c r="I114" s="151"/>
      <c r="J114" s="60"/>
      <c r="K114" s="60"/>
      <c r="L114" s="160"/>
      <c r="M114" s="60"/>
      <c r="N114" s="60"/>
      <c r="O114" s="60">
        <f t="shared" si="27"/>
        <v>0</v>
      </c>
      <c r="P114" s="60">
        <f t="shared" si="26"/>
        <v>0</v>
      </c>
    </row>
    <row r="115" spans="1:16" s="38" customFormat="1" ht="10.7" customHeight="1" outlineLevel="1" x14ac:dyDescent="0.25">
      <c r="A115" s="146"/>
      <c r="B115" s="142"/>
      <c r="C115" s="148"/>
      <c r="D115" s="148"/>
      <c r="E115" s="148"/>
      <c r="F115" s="148"/>
      <c r="G115" s="60" t="s">
        <v>129</v>
      </c>
      <c r="H115" s="151"/>
      <c r="I115" s="151"/>
      <c r="J115" s="60"/>
      <c r="K115" s="60"/>
      <c r="L115" s="160"/>
      <c r="M115" s="60"/>
      <c r="N115" s="60"/>
      <c r="O115" s="60">
        <f t="shared" si="27"/>
        <v>0</v>
      </c>
      <c r="P115" s="60">
        <f t="shared" si="26"/>
        <v>0</v>
      </c>
    </row>
    <row r="116" spans="1:16" s="38" customFormat="1" ht="10.7" customHeight="1" outlineLevel="1" x14ac:dyDescent="0.25">
      <c r="A116" s="146"/>
      <c r="B116" s="142"/>
      <c r="C116" s="148"/>
      <c r="D116" s="148"/>
      <c r="E116" s="148"/>
      <c r="F116" s="148"/>
      <c r="G116" s="60" t="s">
        <v>130</v>
      </c>
      <c r="H116" s="151"/>
      <c r="I116" s="151"/>
      <c r="J116" s="60"/>
      <c r="K116" s="60"/>
      <c r="L116" s="160"/>
      <c r="M116" s="60"/>
      <c r="N116" s="60"/>
      <c r="O116" s="60">
        <f t="shared" si="27"/>
        <v>0</v>
      </c>
      <c r="P116" s="60">
        <f t="shared" si="26"/>
        <v>0</v>
      </c>
    </row>
    <row r="117" spans="1:16" s="38" customFormat="1" ht="12" customHeight="1" outlineLevel="1" thickBot="1" x14ac:dyDescent="0.3">
      <c r="A117" s="147"/>
      <c r="B117" s="143"/>
      <c r="C117" s="149"/>
      <c r="D117" s="149"/>
      <c r="E117" s="149"/>
      <c r="F117" s="149"/>
      <c r="G117" s="60" t="s">
        <v>131</v>
      </c>
      <c r="H117" s="152"/>
      <c r="I117" s="152"/>
      <c r="J117" s="60"/>
      <c r="K117" s="60"/>
      <c r="L117" s="160"/>
      <c r="M117" s="60"/>
      <c r="N117" s="60"/>
      <c r="O117" s="60">
        <f t="shared" si="27"/>
        <v>0</v>
      </c>
      <c r="P117" s="60">
        <f t="shared" si="26"/>
        <v>0</v>
      </c>
    </row>
    <row r="118" spans="1:16" s="38" customFormat="1" ht="14.45" customHeight="1" outlineLevel="1" x14ac:dyDescent="0.25">
      <c r="A118" s="140" t="s">
        <v>402</v>
      </c>
      <c r="B118" s="141" t="s">
        <v>403</v>
      </c>
      <c r="C118" s="130">
        <f>SUM(O118:O124)</f>
        <v>0</v>
      </c>
      <c r="D118" s="130">
        <f>SUM(P118:P124)</f>
        <v>0</v>
      </c>
      <c r="E118" s="130">
        <f t="shared" si="24"/>
        <v>0</v>
      </c>
      <c r="F118" s="130"/>
      <c r="G118" s="60" t="s">
        <v>125</v>
      </c>
      <c r="H118" s="150"/>
      <c r="I118" s="150"/>
      <c r="J118" s="60"/>
      <c r="K118" s="60"/>
      <c r="L118" s="160"/>
      <c r="M118" s="60"/>
      <c r="N118" s="60"/>
      <c r="O118" s="60">
        <f>N118*J118*K118*M118</f>
        <v>0</v>
      </c>
      <c r="P118" s="60">
        <f t="shared" si="26"/>
        <v>0</v>
      </c>
    </row>
    <row r="119" spans="1:16" s="38" customFormat="1" ht="11.45" customHeight="1" outlineLevel="1" x14ac:dyDescent="0.25">
      <c r="A119" s="146"/>
      <c r="B119" s="142"/>
      <c r="C119" s="148"/>
      <c r="D119" s="148"/>
      <c r="E119" s="148"/>
      <c r="F119" s="148"/>
      <c r="G119" s="60" t="s">
        <v>126</v>
      </c>
      <c r="H119" s="151"/>
      <c r="I119" s="151"/>
      <c r="J119" s="60"/>
      <c r="K119" s="60"/>
      <c r="L119" s="160"/>
      <c r="M119" s="60"/>
      <c r="N119" s="60"/>
      <c r="O119" s="60">
        <f t="shared" ref="O119:O124" si="28">N119*J119*K119*M119</f>
        <v>0</v>
      </c>
      <c r="P119" s="60">
        <f t="shared" si="26"/>
        <v>0</v>
      </c>
    </row>
    <row r="120" spans="1:16" s="38" customFormat="1" ht="10.7" customHeight="1" outlineLevel="1" x14ac:dyDescent="0.25">
      <c r="A120" s="146"/>
      <c r="B120" s="142"/>
      <c r="C120" s="148"/>
      <c r="D120" s="148"/>
      <c r="E120" s="148"/>
      <c r="F120" s="148"/>
      <c r="G120" s="60" t="s">
        <v>127</v>
      </c>
      <c r="H120" s="151"/>
      <c r="I120" s="151"/>
      <c r="J120" s="60"/>
      <c r="K120" s="60"/>
      <c r="L120" s="160"/>
      <c r="M120" s="60"/>
      <c r="N120" s="60"/>
      <c r="O120" s="60">
        <f t="shared" si="28"/>
        <v>0</v>
      </c>
      <c r="P120" s="60">
        <f t="shared" si="26"/>
        <v>0</v>
      </c>
    </row>
    <row r="121" spans="1:16" s="38" customFormat="1" ht="10.7" customHeight="1" outlineLevel="1" x14ac:dyDescent="0.25">
      <c r="A121" s="146"/>
      <c r="B121" s="142"/>
      <c r="C121" s="148"/>
      <c r="D121" s="148"/>
      <c r="E121" s="148"/>
      <c r="F121" s="148"/>
      <c r="G121" s="60" t="s">
        <v>128</v>
      </c>
      <c r="H121" s="151"/>
      <c r="I121" s="151"/>
      <c r="J121" s="60"/>
      <c r="K121" s="60"/>
      <c r="L121" s="160"/>
      <c r="M121" s="60"/>
      <c r="N121" s="60"/>
      <c r="O121" s="60">
        <f t="shared" si="28"/>
        <v>0</v>
      </c>
      <c r="P121" s="60">
        <f t="shared" si="26"/>
        <v>0</v>
      </c>
    </row>
    <row r="122" spans="1:16" s="38" customFormat="1" ht="10.7" customHeight="1" outlineLevel="1" x14ac:dyDescent="0.25">
      <c r="A122" s="146"/>
      <c r="B122" s="142"/>
      <c r="C122" s="148"/>
      <c r="D122" s="148"/>
      <c r="E122" s="148"/>
      <c r="F122" s="148"/>
      <c r="G122" s="60" t="s">
        <v>129</v>
      </c>
      <c r="H122" s="151"/>
      <c r="I122" s="151"/>
      <c r="J122" s="60"/>
      <c r="K122" s="60"/>
      <c r="L122" s="160"/>
      <c r="M122" s="60"/>
      <c r="N122" s="60"/>
      <c r="O122" s="60">
        <f t="shared" si="28"/>
        <v>0</v>
      </c>
      <c r="P122" s="60">
        <f t="shared" si="26"/>
        <v>0</v>
      </c>
    </row>
    <row r="123" spans="1:16" s="38" customFormat="1" ht="10.7" customHeight="1" outlineLevel="1" x14ac:dyDescent="0.25">
      <c r="A123" s="146"/>
      <c r="B123" s="142"/>
      <c r="C123" s="148"/>
      <c r="D123" s="148"/>
      <c r="E123" s="148"/>
      <c r="F123" s="148"/>
      <c r="G123" s="60" t="s">
        <v>130</v>
      </c>
      <c r="H123" s="151"/>
      <c r="I123" s="151"/>
      <c r="J123" s="60"/>
      <c r="K123" s="60"/>
      <c r="L123" s="160"/>
      <c r="M123" s="60"/>
      <c r="N123" s="60"/>
      <c r="O123" s="60">
        <f t="shared" si="28"/>
        <v>0</v>
      </c>
      <c r="P123" s="60">
        <f t="shared" si="26"/>
        <v>0</v>
      </c>
    </row>
    <row r="124" spans="1:16" s="38" customFormat="1" ht="12" customHeight="1" outlineLevel="1" thickBot="1" x14ac:dyDescent="0.3">
      <c r="A124" s="147"/>
      <c r="B124" s="143"/>
      <c r="C124" s="149"/>
      <c r="D124" s="149"/>
      <c r="E124" s="149"/>
      <c r="F124" s="149"/>
      <c r="G124" s="60" t="s">
        <v>131</v>
      </c>
      <c r="H124" s="152"/>
      <c r="I124" s="152"/>
      <c r="J124" s="60"/>
      <c r="K124" s="60"/>
      <c r="L124" s="160"/>
      <c r="M124" s="60"/>
      <c r="N124" s="60"/>
      <c r="O124" s="60">
        <f t="shared" si="28"/>
        <v>0</v>
      </c>
      <c r="P124" s="60">
        <f t="shared" si="26"/>
        <v>0</v>
      </c>
    </row>
    <row r="125" spans="1:16" s="38" customFormat="1" ht="14.45" customHeight="1" outlineLevel="1" x14ac:dyDescent="0.25">
      <c r="A125" s="140" t="s">
        <v>404</v>
      </c>
      <c r="B125" s="141" t="s">
        <v>405</v>
      </c>
      <c r="C125" s="130">
        <f>SUM(O125:O131)</f>
        <v>0</v>
      </c>
      <c r="D125" s="130">
        <f>SUM(P125:P131)</f>
        <v>0</v>
      </c>
      <c r="E125" s="130">
        <f t="shared" si="24"/>
        <v>0</v>
      </c>
      <c r="F125" s="130"/>
      <c r="G125" s="60" t="s">
        <v>125</v>
      </c>
      <c r="H125" s="150"/>
      <c r="I125" s="150"/>
      <c r="J125" s="60"/>
      <c r="K125" s="60"/>
      <c r="L125" s="160"/>
      <c r="M125" s="60"/>
      <c r="N125" s="60"/>
      <c r="O125" s="60">
        <f>N125*J125*K125*M125</f>
        <v>0</v>
      </c>
      <c r="P125" s="60">
        <f t="shared" si="26"/>
        <v>0</v>
      </c>
    </row>
    <row r="126" spans="1:16" s="38" customFormat="1" ht="11.45" customHeight="1" outlineLevel="1" x14ac:dyDescent="0.25">
      <c r="A126" s="146"/>
      <c r="B126" s="142"/>
      <c r="C126" s="148"/>
      <c r="D126" s="148"/>
      <c r="E126" s="148"/>
      <c r="F126" s="148"/>
      <c r="G126" s="60" t="s">
        <v>126</v>
      </c>
      <c r="H126" s="151"/>
      <c r="I126" s="151"/>
      <c r="J126" s="60"/>
      <c r="K126" s="60"/>
      <c r="L126" s="160"/>
      <c r="M126" s="60"/>
      <c r="N126" s="60"/>
      <c r="O126" s="60">
        <f t="shared" ref="O126:O131" si="29">N126*J126*K126*M126</f>
        <v>0</v>
      </c>
      <c r="P126" s="60">
        <f t="shared" si="26"/>
        <v>0</v>
      </c>
    </row>
    <row r="127" spans="1:16" s="38" customFormat="1" ht="10.7" customHeight="1" outlineLevel="1" x14ac:dyDescent="0.25">
      <c r="A127" s="146"/>
      <c r="B127" s="142"/>
      <c r="C127" s="148"/>
      <c r="D127" s="148"/>
      <c r="E127" s="148"/>
      <c r="F127" s="148"/>
      <c r="G127" s="60" t="s">
        <v>127</v>
      </c>
      <c r="H127" s="151"/>
      <c r="I127" s="151"/>
      <c r="J127" s="60"/>
      <c r="K127" s="60"/>
      <c r="L127" s="160"/>
      <c r="M127" s="60"/>
      <c r="N127" s="60"/>
      <c r="O127" s="60">
        <f t="shared" si="29"/>
        <v>0</v>
      </c>
      <c r="P127" s="60">
        <f t="shared" si="26"/>
        <v>0</v>
      </c>
    </row>
    <row r="128" spans="1:16" s="38" customFormat="1" ht="10.7" customHeight="1" outlineLevel="1" x14ac:dyDescent="0.25">
      <c r="A128" s="146"/>
      <c r="B128" s="142"/>
      <c r="C128" s="148"/>
      <c r="D128" s="148"/>
      <c r="E128" s="148"/>
      <c r="F128" s="148"/>
      <c r="G128" s="60" t="s">
        <v>128</v>
      </c>
      <c r="H128" s="151"/>
      <c r="I128" s="151"/>
      <c r="J128" s="60"/>
      <c r="K128" s="60"/>
      <c r="L128" s="160"/>
      <c r="M128" s="60"/>
      <c r="N128" s="60"/>
      <c r="O128" s="60">
        <f t="shared" si="29"/>
        <v>0</v>
      </c>
      <c r="P128" s="60">
        <f t="shared" si="26"/>
        <v>0</v>
      </c>
    </row>
    <row r="129" spans="1:16" s="38" customFormat="1" ht="10.7" customHeight="1" outlineLevel="1" x14ac:dyDescent="0.25">
      <c r="A129" s="146"/>
      <c r="B129" s="142"/>
      <c r="C129" s="148"/>
      <c r="D129" s="148"/>
      <c r="E129" s="148"/>
      <c r="F129" s="148"/>
      <c r="G129" s="60" t="s">
        <v>129</v>
      </c>
      <c r="H129" s="151"/>
      <c r="I129" s="151"/>
      <c r="J129" s="60"/>
      <c r="K129" s="60"/>
      <c r="L129" s="160"/>
      <c r="M129" s="60"/>
      <c r="N129" s="60"/>
      <c r="O129" s="60">
        <f t="shared" si="29"/>
        <v>0</v>
      </c>
      <c r="P129" s="60">
        <f t="shared" si="26"/>
        <v>0</v>
      </c>
    </row>
    <row r="130" spans="1:16" s="38" customFormat="1" ht="10.7" customHeight="1" outlineLevel="1" x14ac:dyDescent="0.25">
      <c r="A130" s="146"/>
      <c r="B130" s="142"/>
      <c r="C130" s="148"/>
      <c r="D130" s="148"/>
      <c r="E130" s="148"/>
      <c r="F130" s="148"/>
      <c r="G130" s="60" t="s">
        <v>130</v>
      </c>
      <c r="H130" s="151"/>
      <c r="I130" s="151"/>
      <c r="J130" s="60"/>
      <c r="K130" s="60"/>
      <c r="L130" s="160"/>
      <c r="M130" s="60"/>
      <c r="N130" s="60"/>
      <c r="O130" s="60">
        <f t="shared" si="29"/>
        <v>0</v>
      </c>
      <c r="P130" s="60">
        <f t="shared" si="26"/>
        <v>0</v>
      </c>
    </row>
    <row r="131" spans="1:16" s="38" customFormat="1" ht="12" customHeight="1" outlineLevel="1" thickBot="1" x14ac:dyDescent="0.3">
      <c r="A131" s="147"/>
      <c r="B131" s="143"/>
      <c r="C131" s="149"/>
      <c r="D131" s="149"/>
      <c r="E131" s="149"/>
      <c r="F131" s="149"/>
      <c r="G131" s="60" t="s">
        <v>131</v>
      </c>
      <c r="H131" s="152"/>
      <c r="I131" s="152"/>
      <c r="J131" s="60"/>
      <c r="K131" s="60"/>
      <c r="L131" s="160"/>
      <c r="M131" s="60"/>
      <c r="N131" s="60"/>
      <c r="O131" s="60">
        <f t="shared" si="29"/>
        <v>0</v>
      </c>
      <c r="P131" s="60">
        <f t="shared" si="26"/>
        <v>0</v>
      </c>
    </row>
    <row r="132" spans="1:16" s="38" customFormat="1" ht="14.45" customHeight="1" outlineLevel="1" x14ac:dyDescent="0.25">
      <c r="A132" s="140" t="s">
        <v>406</v>
      </c>
      <c r="B132" s="141" t="s">
        <v>407</v>
      </c>
      <c r="C132" s="130">
        <f>SUM(O132:O138)</f>
        <v>0</v>
      </c>
      <c r="D132" s="130">
        <f>SUM(P132:P138)</f>
        <v>0</v>
      </c>
      <c r="E132" s="130">
        <f t="shared" si="24"/>
        <v>0</v>
      </c>
      <c r="F132" s="130"/>
      <c r="G132" s="60" t="s">
        <v>125</v>
      </c>
      <c r="H132" s="150"/>
      <c r="I132" s="150"/>
      <c r="J132" s="60"/>
      <c r="K132" s="60"/>
      <c r="L132" s="160"/>
      <c r="M132" s="60"/>
      <c r="N132" s="60"/>
      <c r="O132" s="60">
        <f>N132*J132*K132*M132</f>
        <v>0</v>
      </c>
      <c r="P132" s="60">
        <f t="shared" si="26"/>
        <v>0</v>
      </c>
    </row>
    <row r="133" spans="1:16" s="38" customFormat="1" ht="11.45" customHeight="1" outlineLevel="1" x14ac:dyDescent="0.25">
      <c r="A133" s="146"/>
      <c r="B133" s="142"/>
      <c r="C133" s="148"/>
      <c r="D133" s="148"/>
      <c r="E133" s="148"/>
      <c r="F133" s="148"/>
      <c r="G133" s="60" t="s">
        <v>126</v>
      </c>
      <c r="H133" s="151"/>
      <c r="I133" s="151"/>
      <c r="J133" s="60"/>
      <c r="K133" s="60"/>
      <c r="L133" s="160"/>
      <c r="M133" s="60"/>
      <c r="N133" s="60"/>
      <c r="O133" s="60">
        <f t="shared" ref="O133:O138" si="30">N133*J133*K133*M133</f>
        <v>0</v>
      </c>
      <c r="P133" s="60">
        <f t="shared" si="26"/>
        <v>0</v>
      </c>
    </row>
    <row r="134" spans="1:16" s="38" customFormat="1" ht="10.7" customHeight="1" outlineLevel="1" x14ac:dyDescent="0.25">
      <c r="A134" s="146"/>
      <c r="B134" s="142"/>
      <c r="C134" s="148"/>
      <c r="D134" s="148"/>
      <c r="E134" s="148"/>
      <c r="F134" s="148"/>
      <c r="G134" s="60" t="s">
        <v>127</v>
      </c>
      <c r="H134" s="151"/>
      <c r="I134" s="151"/>
      <c r="J134" s="60"/>
      <c r="K134" s="60"/>
      <c r="L134" s="160"/>
      <c r="M134" s="60"/>
      <c r="N134" s="60"/>
      <c r="O134" s="60">
        <f t="shared" si="30"/>
        <v>0</v>
      </c>
      <c r="P134" s="60">
        <f t="shared" si="26"/>
        <v>0</v>
      </c>
    </row>
    <row r="135" spans="1:16" s="38" customFormat="1" ht="10.7" customHeight="1" outlineLevel="1" x14ac:dyDescent="0.25">
      <c r="A135" s="146"/>
      <c r="B135" s="142"/>
      <c r="C135" s="148"/>
      <c r="D135" s="148"/>
      <c r="E135" s="148"/>
      <c r="F135" s="148"/>
      <c r="G135" s="60" t="s">
        <v>128</v>
      </c>
      <c r="H135" s="151"/>
      <c r="I135" s="151"/>
      <c r="J135" s="60"/>
      <c r="K135" s="60"/>
      <c r="L135" s="160"/>
      <c r="M135" s="60"/>
      <c r="N135" s="60"/>
      <c r="O135" s="60">
        <f t="shared" si="30"/>
        <v>0</v>
      </c>
      <c r="P135" s="60">
        <f t="shared" si="26"/>
        <v>0</v>
      </c>
    </row>
    <row r="136" spans="1:16" s="38" customFormat="1" ht="10.7" customHeight="1" outlineLevel="1" x14ac:dyDescent="0.25">
      <c r="A136" s="146"/>
      <c r="B136" s="142"/>
      <c r="C136" s="148"/>
      <c r="D136" s="148"/>
      <c r="E136" s="148"/>
      <c r="F136" s="148"/>
      <c r="G136" s="60" t="s">
        <v>129</v>
      </c>
      <c r="H136" s="151"/>
      <c r="I136" s="151"/>
      <c r="J136" s="60"/>
      <c r="K136" s="60"/>
      <c r="L136" s="160"/>
      <c r="M136" s="60"/>
      <c r="N136" s="60"/>
      <c r="O136" s="60">
        <f t="shared" si="30"/>
        <v>0</v>
      </c>
      <c r="P136" s="60">
        <f t="shared" si="26"/>
        <v>0</v>
      </c>
    </row>
    <row r="137" spans="1:16" s="38" customFormat="1" ht="10.7" customHeight="1" outlineLevel="1" x14ac:dyDescent="0.25">
      <c r="A137" s="146"/>
      <c r="B137" s="142"/>
      <c r="C137" s="148"/>
      <c r="D137" s="148"/>
      <c r="E137" s="148"/>
      <c r="F137" s="148"/>
      <c r="G137" s="60" t="s">
        <v>130</v>
      </c>
      <c r="H137" s="151"/>
      <c r="I137" s="151"/>
      <c r="J137" s="60"/>
      <c r="K137" s="60"/>
      <c r="L137" s="160"/>
      <c r="M137" s="60"/>
      <c r="N137" s="60"/>
      <c r="O137" s="60">
        <f t="shared" si="30"/>
        <v>0</v>
      </c>
      <c r="P137" s="60">
        <f t="shared" si="26"/>
        <v>0</v>
      </c>
    </row>
    <row r="138" spans="1:16" s="38" customFormat="1" ht="12" customHeight="1" outlineLevel="1" thickBot="1" x14ac:dyDescent="0.3">
      <c r="A138" s="147"/>
      <c r="B138" s="143"/>
      <c r="C138" s="149"/>
      <c r="D138" s="149"/>
      <c r="E138" s="149"/>
      <c r="F138" s="149"/>
      <c r="G138" s="60" t="s">
        <v>131</v>
      </c>
      <c r="H138" s="152"/>
      <c r="I138" s="152"/>
      <c r="J138" s="60"/>
      <c r="K138" s="60"/>
      <c r="L138" s="160"/>
      <c r="M138" s="60"/>
      <c r="N138" s="60"/>
      <c r="O138" s="60">
        <f t="shared" si="30"/>
        <v>0</v>
      </c>
      <c r="P138" s="60">
        <f t="shared" si="26"/>
        <v>0</v>
      </c>
    </row>
    <row r="139" spans="1:16" s="38" customFormat="1" ht="14.45" customHeight="1" outlineLevel="1" x14ac:dyDescent="0.25">
      <c r="A139" s="140" t="s">
        <v>408</v>
      </c>
      <c r="B139" s="141" t="s">
        <v>409</v>
      </c>
      <c r="C139" s="130">
        <f>SUM(O139:O145)</f>
        <v>0</v>
      </c>
      <c r="D139" s="130">
        <f>SUM(P139:P145)</f>
        <v>0</v>
      </c>
      <c r="E139" s="130">
        <f t="shared" si="24"/>
        <v>0</v>
      </c>
      <c r="F139" s="130"/>
      <c r="G139" s="60" t="s">
        <v>125</v>
      </c>
      <c r="H139" s="150"/>
      <c r="I139" s="150"/>
      <c r="J139" s="60"/>
      <c r="K139" s="60"/>
      <c r="L139" s="160"/>
      <c r="M139" s="60"/>
      <c r="N139" s="60"/>
      <c r="O139" s="60">
        <f>N139*J139*K139*M139</f>
        <v>0</v>
      </c>
      <c r="P139" s="60">
        <f t="shared" si="26"/>
        <v>0</v>
      </c>
    </row>
    <row r="140" spans="1:16" s="38" customFormat="1" ht="11.45" customHeight="1" outlineLevel="1" x14ac:dyDescent="0.25">
      <c r="A140" s="146"/>
      <c r="B140" s="142"/>
      <c r="C140" s="148"/>
      <c r="D140" s="148"/>
      <c r="E140" s="148"/>
      <c r="F140" s="148"/>
      <c r="G140" s="60" t="s">
        <v>126</v>
      </c>
      <c r="H140" s="151"/>
      <c r="I140" s="151"/>
      <c r="J140" s="60"/>
      <c r="K140" s="60"/>
      <c r="L140" s="160"/>
      <c r="M140" s="60"/>
      <c r="N140" s="60"/>
      <c r="O140" s="60">
        <f t="shared" ref="O140:O145" si="31">N140*J140*K140*M140</f>
        <v>0</v>
      </c>
      <c r="P140" s="60">
        <f t="shared" si="26"/>
        <v>0</v>
      </c>
    </row>
    <row r="141" spans="1:16" s="38" customFormat="1" ht="10.7" customHeight="1" outlineLevel="1" x14ac:dyDescent="0.25">
      <c r="A141" s="146"/>
      <c r="B141" s="142"/>
      <c r="C141" s="148"/>
      <c r="D141" s="148"/>
      <c r="E141" s="148"/>
      <c r="F141" s="148"/>
      <c r="G141" s="60" t="s">
        <v>127</v>
      </c>
      <c r="H141" s="151"/>
      <c r="I141" s="151"/>
      <c r="J141" s="60"/>
      <c r="K141" s="60"/>
      <c r="L141" s="160"/>
      <c r="M141" s="60"/>
      <c r="N141" s="60"/>
      <c r="O141" s="60">
        <f t="shared" si="31"/>
        <v>0</v>
      </c>
      <c r="P141" s="60">
        <f t="shared" si="26"/>
        <v>0</v>
      </c>
    </row>
    <row r="142" spans="1:16" s="38" customFormat="1" ht="10.7" customHeight="1" outlineLevel="1" x14ac:dyDescent="0.25">
      <c r="A142" s="146"/>
      <c r="B142" s="142"/>
      <c r="C142" s="148"/>
      <c r="D142" s="148"/>
      <c r="E142" s="148"/>
      <c r="F142" s="148"/>
      <c r="G142" s="60" t="s">
        <v>128</v>
      </c>
      <c r="H142" s="151"/>
      <c r="I142" s="151"/>
      <c r="J142" s="60"/>
      <c r="K142" s="60"/>
      <c r="L142" s="160"/>
      <c r="M142" s="60"/>
      <c r="N142" s="60"/>
      <c r="O142" s="60">
        <f t="shared" si="31"/>
        <v>0</v>
      </c>
      <c r="P142" s="60">
        <f t="shared" si="26"/>
        <v>0</v>
      </c>
    </row>
    <row r="143" spans="1:16" s="38" customFormat="1" ht="10.7" customHeight="1" outlineLevel="1" x14ac:dyDescent="0.25">
      <c r="A143" s="146"/>
      <c r="B143" s="142"/>
      <c r="C143" s="148"/>
      <c r="D143" s="148"/>
      <c r="E143" s="148"/>
      <c r="F143" s="148"/>
      <c r="G143" s="60" t="s">
        <v>129</v>
      </c>
      <c r="H143" s="151"/>
      <c r="I143" s="151"/>
      <c r="J143" s="60"/>
      <c r="K143" s="60"/>
      <c r="L143" s="160"/>
      <c r="M143" s="60"/>
      <c r="N143" s="60"/>
      <c r="O143" s="60">
        <f t="shared" si="31"/>
        <v>0</v>
      </c>
      <c r="P143" s="60">
        <f t="shared" si="26"/>
        <v>0</v>
      </c>
    </row>
    <row r="144" spans="1:16" s="38" customFormat="1" ht="10.7" customHeight="1" outlineLevel="1" x14ac:dyDescent="0.25">
      <c r="A144" s="146"/>
      <c r="B144" s="142"/>
      <c r="C144" s="148"/>
      <c r="D144" s="148"/>
      <c r="E144" s="148"/>
      <c r="F144" s="148"/>
      <c r="G144" s="60" t="s">
        <v>130</v>
      </c>
      <c r="H144" s="151"/>
      <c r="I144" s="151"/>
      <c r="J144" s="60"/>
      <c r="K144" s="60"/>
      <c r="L144" s="160"/>
      <c r="M144" s="60"/>
      <c r="N144" s="60"/>
      <c r="O144" s="60">
        <f t="shared" si="31"/>
        <v>0</v>
      </c>
      <c r="P144" s="60">
        <f t="shared" si="26"/>
        <v>0</v>
      </c>
    </row>
    <row r="145" spans="1:16" s="38" customFormat="1" ht="12" customHeight="1" outlineLevel="1" thickBot="1" x14ac:dyDescent="0.3">
      <c r="A145" s="147"/>
      <c r="B145" s="143"/>
      <c r="C145" s="149"/>
      <c r="D145" s="149"/>
      <c r="E145" s="149"/>
      <c r="F145" s="149"/>
      <c r="G145" s="60" t="s">
        <v>131</v>
      </c>
      <c r="H145" s="152"/>
      <c r="I145" s="152"/>
      <c r="J145" s="60"/>
      <c r="K145" s="60"/>
      <c r="L145" s="160"/>
      <c r="M145" s="60"/>
      <c r="N145" s="60"/>
      <c r="O145" s="60">
        <f t="shared" si="31"/>
        <v>0</v>
      </c>
      <c r="P145" s="60">
        <f t="shared" si="26"/>
        <v>0</v>
      </c>
    </row>
    <row r="146" spans="1:16" s="38" customFormat="1" ht="14.45" customHeight="1" outlineLevel="1" x14ac:dyDescent="0.25">
      <c r="A146" s="140" t="s">
        <v>410</v>
      </c>
      <c r="B146" s="141" t="s">
        <v>411</v>
      </c>
      <c r="C146" s="130">
        <f>SUM(O146:O152)</f>
        <v>0</v>
      </c>
      <c r="D146" s="130">
        <f>SUM(P146:P152)</f>
        <v>0</v>
      </c>
      <c r="E146" s="130">
        <f t="shared" si="24"/>
        <v>0</v>
      </c>
      <c r="F146" s="130"/>
      <c r="G146" s="60" t="s">
        <v>125</v>
      </c>
      <c r="H146" s="150"/>
      <c r="I146" s="150"/>
      <c r="J146" s="60"/>
      <c r="K146" s="60"/>
      <c r="L146" s="160"/>
      <c r="M146" s="60"/>
      <c r="N146" s="60"/>
      <c r="O146" s="60">
        <f>N146*J146*K146*M146</f>
        <v>0</v>
      </c>
      <c r="P146" s="60">
        <f t="shared" si="26"/>
        <v>0</v>
      </c>
    </row>
    <row r="147" spans="1:16" s="38" customFormat="1" ht="11.45" customHeight="1" outlineLevel="1" x14ac:dyDescent="0.25">
      <c r="A147" s="146"/>
      <c r="B147" s="142"/>
      <c r="C147" s="148"/>
      <c r="D147" s="148"/>
      <c r="E147" s="148"/>
      <c r="F147" s="148"/>
      <c r="G147" s="60" t="s">
        <v>126</v>
      </c>
      <c r="H147" s="151"/>
      <c r="I147" s="151"/>
      <c r="J147" s="60"/>
      <c r="K147" s="60"/>
      <c r="L147" s="160"/>
      <c r="M147" s="60"/>
      <c r="N147" s="60"/>
      <c r="O147" s="60">
        <f t="shared" ref="O147:O152" si="32">N147*J147*K147*M147</f>
        <v>0</v>
      </c>
      <c r="P147" s="60">
        <f t="shared" si="26"/>
        <v>0</v>
      </c>
    </row>
    <row r="148" spans="1:16" s="38" customFormat="1" ht="10.7" customHeight="1" outlineLevel="1" x14ac:dyDescent="0.25">
      <c r="A148" s="146"/>
      <c r="B148" s="142"/>
      <c r="C148" s="148"/>
      <c r="D148" s="148"/>
      <c r="E148" s="148"/>
      <c r="F148" s="148"/>
      <c r="G148" s="60" t="s">
        <v>127</v>
      </c>
      <c r="H148" s="151"/>
      <c r="I148" s="151"/>
      <c r="J148" s="60"/>
      <c r="K148" s="60"/>
      <c r="L148" s="160"/>
      <c r="M148" s="60"/>
      <c r="N148" s="60"/>
      <c r="O148" s="60">
        <f t="shared" si="32"/>
        <v>0</v>
      </c>
      <c r="P148" s="60">
        <f t="shared" si="26"/>
        <v>0</v>
      </c>
    </row>
    <row r="149" spans="1:16" s="38" customFormat="1" ht="10.7" customHeight="1" outlineLevel="1" x14ac:dyDescent="0.25">
      <c r="A149" s="146"/>
      <c r="B149" s="142"/>
      <c r="C149" s="148"/>
      <c r="D149" s="148"/>
      <c r="E149" s="148"/>
      <c r="F149" s="148"/>
      <c r="G149" s="60" t="s">
        <v>128</v>
      </c>
      <c r="H149" s="151"/>
      <c r="I149" s="151"/>
      <c r="J149" s="60"/>
      <c r="K149" s="60"/>
      <c r="L149" s="160"/>
      <c r="M149" s="60"/>
      <c r="N149" s="60"/>
      <c r="O149" s="60">
        <f t="shared" si="32"/>
        <v>0</v>
      </c>
      <c r="P149" s="60">
        <f t="shared" si="26"/>
        <v>0</v>
      </c>
    </row>
    <row r="150" spans="1:16" s="38" customFormat="1" ht="10.7" customHeight="1" outlineLevel="1" x14ac:dyDescent="0.25">
      <c r="A150" s="146"/>
      <c r="B150" s="142"/>
      <c r="C150" s="148"/>
      <c r="D150" s="148"/>
      <c r="E150" s="148"/>
      <c r="F150" s="148"/>
      <c r="G150" s="60" t="s">
        <v>129</v>
      </c>
      <c r="H150" s="151"/>
      <c r="I150" s="151"/>
      <c r="J150" s="60"/>
      <c r="K150" s="60"/>
      <c r="L150" s="160"/>
      <c r="M150" s="60"/>
      <c r="N150" s="60"/>
      <c r="O150" s="60">
        <f t="shared" si="32"/>
        <v>0</v>
      </c>
      <c r="P150" s="60">
        <f t="shared" si="26"/>
        <v>0</v>
      </c>
    </row>
    <row r="151" spans="1:16" s="38" customFormat="1" ht="10.7" customHeight="1" outlineLevel="1" x14ac:dyDescent="0.25">
      <c r="A151" s="146"/>
      <c r="B151" s="142"/>
      <c r="C151" s="148"/>
      <c r="D151" s="148"/>
      <c r="E151" s="148"/>
      <c r="F151" s="148"/>
      <c r="G151" s="60" t="s">
        <v>130</v>
      </c>
      <c r="H151" s="151"/>
      <c r="I151" s="151"/>
      <c r="J151" s="60"/>
      <c r="K151" s="60"/>
      <c r="L151" s="160"/>
      <c r="M151" s="60"/>
      <c r="N151" s="60"/>
      <c r="O151" s="60">
        <f t="shared" si="32"/>
        <v>0</v>
      </c>
      <c r="P151" s="60">
        <f t="shared" si="26"/>
        <v>0</v>
      </c>
    </row>
    <row r="152" spans="1:16" s="38" customFormat="1" ht="12" customHeight="1" outlineLevel="1" thickBot="1" x14ac:dyDescent="0.3">
      <c r="A152" s="147"/>
      <c r="B152" s="143"/>
      <c r="C152" s="149"/>
      <c r="D152" s="149"/>
      <c r="E152" s="149"/>
      <c r="F152" s="149"/>
      <c r="G152" s="60" t="s">
        <v>131</v>
      </c>
      <c r="H152" s="152"/>
      <c r="I152" s="152"/>
      <c r="J152" s="60"/>
      <c r="K152" s="60"/>
      <c r="L152" s="160"/>
      <c r="M152" s="60"/>
      <c r="N152" s="60"/>
      <c r="O152" s="60">
        <f t="shared" si="32"/>
        <v>0</v>
      </c>
      <c r="P152" s="60">
        <f t="shared" si="26"/>
        <v>0</v>
      </c>
    </row>
    <row r="153" spans="1:16" s="38" customFormat="1" ht="14.45" customHeight="1" outlineLevel="1" x14ac:dyDescent="0.25">
      <c r="A153" s="140" t="s">
        <v>156</v>
      </c>
      <c r="B153" s="141" t="s">
        <v>533</v>
      </c>
      <c r="C153" s="130">
        <f>SUM(O153:O159)</f>
        <v>0</v>
      </c>
      <c r="D153" s="130">
        <f>SUM(P153:P159)</f>
        <v>0</v>
      </c>
      <c r="E153" s="130">
        <f t="shared" si="24"/>
        <v>0</v>
      </c>
      <c r="F153" s="130"/>
      <c r="G153" s="60" t="s">
        <v>125</v>
      </c>
      <c r="H153" s="150"/>
      <c r="I153" s="150"/>
      <c r="J153" s="60"/>
      <c r="K153" s="60"/>
      <c r="L153" s="160"/>
      <c r="M153" s="60"/>
      <c r="N153" s="60"/>
      <c r="O153" s="60">
        <f>N153*J153*K153*M153</f>
        <v>0</v>
      </c>
      <c r="P153" s="60">
        <f t="shared" si="26"/>
        <v>0</v>
      </c>
    </row>
    <row r="154" spans="1:16" s="38" customFormat="1" ht="11.45" customHeight="1" outlineLevel="1" x14ac:dyDescent="0.25">
      <c r="A154" s="146"/>
      <c r="B154" s="142"/>
      <c r="C154" s="148"/>
      <c r="D154" s="148"/>
      <c r="E154" s="148"/>
      <c r="F154" s="148"/>
      <c r="G154" s="60" t="s">
        <v>126</v>
      </c>
      <c r="H154" s="151"/>
      <c r="I154" s="151"/>
      <c r="J154" s="60"/>
      <c r="K154" s="60"/>
      <c r="L154" s="160"/>
      <c r="M154" s="60"/>
      <c r="N154" s="60"/>
      <c r="O154" s="60">
        <f t="shared" ref="O154:O159" si="33">N154*J154*K154*M154</f>
        <v>0</v>
      </c>
      <c r="P154" s="60">
        <f t="shared" si="26"/>
        <v>0</v>
      </c>
    </row>
    <row r="155" spans="1:16" s="38" customFormat="1" ht="10.7" customHeight="1" outlineLevel="1" x14ac:dyDescent="0.25">
      <c r="A155" s="146"/>
      <c r="B155" s="142"/>
      <c r="C155" s="148"/>
      <c r="D155" s="148"/>
      <c r="E155" s="148"/>
      <c r="F155" s="148"/>
      <c r="G155" s="60" t="s">
        <v>127</v>
      </c>
      <c r="H155" s="151"/>
      <c r="I155" s="151"/>
      <c r="J155" s="60"/>
      <c r="K155" s="60"/>
      <c r="L155" s="160"/>
      <c r="M155" s="60"/>
      <c r="N155" s="60"/>
      <c r="O155" s="60">
        <f t="shared" si="33"/>
        <v>0</v>
      </c>
      <c r="P155" s="60">
        <f t="shared" si="26"/>
        <v>0</v>
      </c>
    </row>
    <row r="156" spans="1:16" s="38" customFormat="1" ht="10.7" customHeight="1" outlineLevel="1" x14ac:dyDescent="0.25">
      <c r="A156" s="146"/>
      <c r="B156" s="142"/>
      <c r="C156" s="148"/>
      <c r="D156" s="148"/>
      <c r="E156" s="148"/>
      <c r="F156" s="148"/>
      <c r="G156" s="60" t="s">
        <v>128</v>
      </c>
      <c r="H156" s="151"/>
      <c r="I156" s="151"/>
      <c r="J156" s="60"/>
      <c r="K156" s="60"/>
      <c r="L156" s="160"/>
      <c r="M156" s="60"/>
      <c r="N156" s="60"/>
      <c r="O156" s="60">
        <f t="shared" si="33"/>
        <v>0</v>
      </c>
      <c r="P156" s="60">
        <f t="shared" si="26"/>
        <v>0</v>
      </c>
    </row>
    <row r="157" spans="1:16" s="38" customFormat="1" ht="10.7" customHeight="1" outlineLevel="1" x14ac:dyDescent="0.25">
      <c r="A157" s="146"/>
      <c r="B157" s="142"/>
      <c r="C157" s="148"/>
      <c r="D157" s="148"/>
      <c r="E157" s="148"/>
      <c r="F157" s="148"/>
      <c r="G157" s="60" t="s">
        <v>129</v>
      </c>
      <c r="H157" s="151"/>
      <c r="I157" s="151"/>
      <c r="J157" s="60"/>
      <c r="K157" s="60"/>
      <c r="L157" s="160"/>
      <c r="M157" s="60"/>
      <c r="N157" s="60"/>
      <c r="O157" s="60">
        <f t="shared" si="33"/>
        <v>0</v>
      </c>
      <c r="P157" s="60">
        <f t="shared" si="26"/>
        <v>0</v>
      </c>
    </row>
    <row r="158" spans="1:16" s="38" customFormat="1" ht="10.7" customHeight="1" outlineLevel="1" x14ac:dyDescent="0.25">
      <c r="A158" s="146"/>
      <c r="B158" s="142"/>
      <c r="C158" s="148"/>
      <c r="D158" s="148"/>
      <c r="E158" s="148"/>
      <c r="F158" s="148"/>
      <c r="G158" s="60" t="s">
        <v>130</v>
      </c>
      <c r="H158" s="151"/>
      <c r="I158" s="151"/>
      <c r="J158" s="60"/>
      <c r="K158" s="60"/>
      <c r="L158" s="160"/>
      <c r="M158" s="60"/>
      <c r="N158" s="60"/>
      <c r="O158" s="60">
        <f t="shared" si="33"/>
        <v>0</v>
      </c>
      <c r="P158" s="60">
        <f t="shared" si="26"/>
        <v>0</v>
      </c>
    </row>
    <row r="159" spans="1:16" s="38" customFormat="1" ht="12" customHeight="1" outlineLevel="1" thickBot="1" x14ac:dyDescent="0.3">
      <c r="A159" s="147"/>
      <c r="B159" s="143"/>
      <c r="C159" s="149"/>
      <c r="D159" s="149"/>
      <c r="E159" s="149"/>
      <c r="F159" s="149"/>
      <c r="G159" s="60" t="s">
        <v>131</v>
      </c>
      <c r="H159" s="152"/>
      <c r="I159" s="152"/>
      <c r="J159" s="60"/>
      <c r="K159" s="60"/>
      <c r="L159" s="160"/>
      <c r="M159" s="60"/>
      <c r="N159" s="60"/>
      <c r="O159" s="60">
        <f t="shared" si="33"/>
        <v>0</v>
      </c>
      <c r="P159" s="60">
        <f t="shared" si="26"/>
        <v>0</v>
      </c>
    </row>
    <row r="160" spans="1:16" s="38" customFormat="1" ht="14.45" customHeight="1" outlineLevel="1" x14ac:dyDescent="0.25">
      <c r="A160" s="140" t="s">
        <v>158</v>
      </c>
      <c r="B160" s="141" t="s">
        <v>534</v>
      </c>
      <c r="C160" s="130">
        <f>SUM(O160:O166)</f>
        <v>0</v>
      </c>
      <c r="D160" s="130">
        <f>SUM(P160:P166)</f>
        <v>0</v>
      </c>
      <c r="E160" s="130">
        <f t="shared" si="24"/>
        <v>0</v>
      </c>
      <c r="F160" s="130"/>
      <c r="G160" s="60" t="s">
        <v>125</v>
      </c>
      <c r="H160" s="150"/>
      <c r="I160" s="150"/>
      <c r="J160" s="60"/>
      <c r="K160" s="60"/>
      <c r="L160" s="160"/>
      <c r="M160" s="60"/>
      <c r="N160" s="60"/>
      <c r="O160" s="60">
        <f>N160*J160*K160*M160</f>
        <v>0</v>
      </c>
      <c r="P160" s="60">
        <f t="shared" si="26"/>
        <v>0</v>
      </c>
    </row>
    <row r="161" spans="1:16" s="38" customFormat="1" ht="11.45" customHeight="1" outlineLevel="1" x14ac:dyDescent="0.25">
      <c r="A161" s="146"/>
      <c r="B161" s="142"/>
      <c r="C161" s="148"/>
      <c r="D161" s="148"/>
      <c r="E161" s="148"/>
      <c r="F161" s="148"/>
      <c r="G161" s="60" t="s">
        <v>126</v>
      </c>
      <c r="H161" s="151"/>
      <c r="I161" s="151"/>
      <c r="J161" s="60"/>
      <c r="K161" s="60"/>
      <c r="L161" s="160"/>
      <c r="M161" s="60"/>
      <c r="N161" s="60"/>
      <c r="O161" s="60">
        <f t="shared" ref="O161:O166" si="34">N161*J161*K161*M161</f>
        <v>0</v>
      </c>
      <c r="P161" s="60">
        <f t="shared" si="26"/>
        <v>0</v>
      </c>
    </row>
    <row r="162" spans="1:16" s="38" customFormat="1" ht="10.7" customHeight="1" outlineLevel="1" x14ac:dyDescent="0.25">
      <c r="A162" s="146"/>
      <c r="B162" s="142"/>
      <c r="C162" s="148"/>
      <c r="D162" s="148"/>
      <c r="E162" s="148"/>
      <c r="F162" s="148"/>
      <c r="G162" s="60" t="s">
        <v>127</v>
      </c>
      <c r="H162" s="151"/>
      <c r="I162" s="151"/>
      <c r="J162" s="60"/>
      <c r="K162" s="60"/>
      <c r="L162" s="160"/>
      <c r="M162" s="60"/>
      <c r="N162" s="60"/>
      <c r="O162" s="60">
        <f t="shared" si="34"/>
        <v>0</v>
      </c>
      <c r="P162" s="60">
        <f t="shared" si="26"/>
        <v>0</v>
      </c>
    </row>
    <row r="163" spans="1:16" s="38" customFormat="1" ht="10.7" customHeight="1" outlineLevel="1" x14ac:dyDescent="0.25">
      <c r="A163" s="146"/>
      <c r="B163" s="142"/>
      <c r="C163" s="148"/>
      <c r="D163" s="148"/>
      <c r="E163" s="148"/>
      <c r="F163" s="148"/>
      <c r="G163" s="60" t="s">
        <v>128</v>
      </c>
      <c r="H163" s="151"/>
      <c r="I163" s="151"/>
      <c r="J163" s="60"/>
      <c r="K163" s="60"/>
      <c r="L163" s="160"/>
      <c r="M163" s="60"/>
      <c r="N163" s="60"/>
      <c r="O163" s="60">
        <f t="shared" si="34"/>
        <v>0</v>
      </c>
      <c r="P163" s="60">
        <f t="shared" si="26"/>
        <v>0</v>
      </c>
    </row>
    <row r="164" spans="1:16" s="38" customFormat="1" ht="10.7" customHeight="1" outlineLevel="1" x14ac:dyDescent="0.25">
      <c r="A164" s="146"/>
      <c r="B164" s="142"/>
      <c r="C164" s="148"/>
      <c r="D164" s="148"/>
      <c r="E164" s="148"/>
      <c r="F164" s="148"/>
      <c r="G164" s="60" t="s">
        <v>129</v>
      </c>
      <c r="H164" s="151"/>
      <c r="I164" s="151"/>
      <c r="J164" s="60"/>
      <c r="K164" s="60"/>
      <c r="L164" s="160"/>
      <c r="M164" s="60"/>
      <c r="N164" s="60"/>
      <c r="O164" s="60">
        <f t="shared" si="34"/>
        <v>0</v>
      </c>
      <c r="P164" s="60">
        <f t="shared" si="26"/>
        <v>0</v>
      </c>
    </row>
    <row r="165" spans="1:16" s="38" customFormat="1" ht="10.7" customHeight="1" outlineLevel="1" x14ac:dyDescent="0.25">
      <c r="A165" s="146"/>
      <c r="B165" s="142"/>
      <c r="C165" s="148"/>
      <c r="D165" s="148"/>
      <c r="E165" s="148"/>
      <c r="F165" s="148"/>
      <c r="G165" s="60" t="s">
        <v>130</v>
      </c>
      <c r="H165" s="151"/>
      <c r="I165" s="151"/>
      <c r="J165" s="60"/>
      <c r="K165" s="60"/>
      <c r="L165" s="160"/>
      <c r="M165" s="60"/>
      <c r="N165" s="60"/>
      <c r="O165" s="60">
        <f t="shared" si="34"/>
        <v>0</v>
      </c>
      <c r="P165" s="60">
        <f t="shared" si="26"/>
        <v>0</v>
      </c>
    </row>
    <row r="166" spans="1:16" s="38" customFormat="1" ht="12" customHeight="1" outlineLevel="1" thickBot="1" x14ac:dyDescent="0.3">
      <c r="A166" s="147"/>
      <c r="B166" s="143"/>
      <c r="C166" s="149"/>
      <c r="D166" s="149"/>
      <c r="E166" s="149"/>
      <c r="F166" s="149"/>
      <c r="G166" s="60" t="s">
        <v>131</v>
      </c>
      <c r="H166" s="152"/>
      <c r="I166" s="152"/>
      <c r="J166" s="60"/>
      <c r="K166" s="60"/>
      <c r="L166" s="160"/>
      <c r="M166" s="60"/>
      <c r="N166" s="60"/>
      <c r="O166" s="60">
        <f t="shared" si="34"/>
        <v>0</v>
      </c>
      <c r="P166" s="60">
        <f t="shared" si="26"/>
        <v>0</v>
      </c>
    </row>
    <row r="167" spans="1:16" s="38" customFormat="1" ht="14.45" customHeight="1" outlineLevel="1" x14ac:dyDescent="0.25">
      <c r="A167" s="140" t="s">
        <v>160</v>
      </c>
      <c r="B167" s="141" t="s">
        <v>535</v>
      </c>
      <c r="C167" s="130">
        <f>SUM(O167:O173)</f>
        <v>0</v>
      </c>
      <c r="D167" s="130">
        <f>SUM(P167:P173)</f>
        <v>0</v>
      </c>
      <c r="E167" s="130">
        <f t="shared" si="24"/>
        <v>0</v>
      </c>
      <c r="F167" s="130"/>
      <c r="G167" s="60" t="s">
        <v>125</v>
      </c>
      <c r="H167" s="150"/>
      <c r="I167" s="150"/>
      <c r="J167" s="60"/>
      <c r="K167" s="60"/>
      <c r="L167" s="160"/>
      <c r="M167" s="60"/>
      <c r="N167" s="60"/>
      <c r="O167" s="60">
        <f>N167*J167*K167*M167</f>
        <v>0</v>
      </c>
      <c r="P167" s="60">
        <f t="shared" si="26"/>
        <v>0</v>
      </c>
    </row>
    <row r="168" spans="1:16" s="38" customFormat="1" ht="11.45" customHeight="1" outlineLevel="1" x14ac:dyDescent="0.25">
      <c r="A168" s="146"/>
      <c r="B168" s="142"/>
      <c r="C168" s="148"/>
      <c r="D168" s="148"/>
      <c r="E168" s="148"/>
      <c r="F168" s="148"/>
      <c r="G168" s="60" t="s">
        <v>126</v>
      </c>
      <c r="H168" s="151"/>
      <c r="I168" s="151"/>
      <c r="J168" s="60"/>
      <c r="K168" s="60"/>
      <c r="L168" s="160"/>
      <c r="M168" s="60"/>
      <c r="N168" s="60"/>
      <c r="O168" s="60">
        <f t="shared" ref="O168:O173" si="35">N168*J168*K168*M168</f>
        <v>0</v>
      </c>
      <c r="P168" s="60">
        <f t="shared" si="26"/>
        <v>0</v>
      </c>
    </row>
    <row r="169" spans="1:16" s="38" customFormat="1" ht="10.7" customHeight="1" outlineLevel="1" x14ac:dyDescent="0.25">
      <c r="A169" s="146"/>
      <c r="B169" s="142"/>
      <c r="C169" s="148"/>
      <c r="D169" s="148"/>
      <c r="E169" s="148"/>
      <c r="F169" s="148"/>
      <c r="G169" s="60" t="s">
        <v>127</v>
      </c>
      <c r="H169" s="151"/>
      <c r="I169" s="151"/>
      <c r="J169" s="60"/>
      <c r="K169" s="60"/>
      <c r="L169" s="160"/>
      <c r="M169" s="60"/>
      <c r="N169" s="60"/>
      <c r="O169" s="60">
        <f t="shared" si="35"/>
        <v>0</v>
      </c>
      <c r="P169" s="60">
        <f t="shared" ref="P169:P180" si="36">J169*K169*M169</f>
        <v>0</v>
      </c>
    </row>
    <row r="170" spans="1:16" s="38" customFormat="1" ht="10.7" customHeight="1" outlineLevel="1" x14ac:dyDescent="0.25">
      <c r="A170" s="146"/>
      <c r="B170" s="142"/>
      <c r="C170" s="148"/>
      <c r="D170" s="148"/>
      <c r="E170" s="148"/>
      <c r="F170" s="148"/>
      <c r="G170" s="60" t="s">
        <v>128</v>
      </c>
      <c r="H170" s="151"/>
      <c r="I170" s="151"/>
      <c r="J170" s="60"/>
      <c r="K170" s="60"/>
      <c r="L170" s="160"/>
      <c r="M170" s="60"/>
      <c r="N170" s="60"/>
      <c r="O170" s="60">
        <f t="shared" si="35"/>
        <v>0</v>
      </c>
      <c r="P170" s="60">
        <f t="shared" si="36"/>
        <v>0</v>
      </c>
    </row>
    <row r="171" spans="1:16" s="38" customFormat="1" ht="10.7" customHeight="1" outlineLevel="1" x14ac:dyDescent="0.25">
      <c r="A171" s="146"/>
      <c r="B171" s="142"/>
      <c r="C171" s="148"/>
      <c r="D171" s="148"/>
      <c r="E171" s="148"/>
      <c r="F171" s="148"/>
      <c r="G171" s="60" t="s">
        <v>129</v>
      </c>
      <c r="H171" s="151"/>
      <c r="I171" s="151"/>
      <c r="J171" s="60"/>
      <c r="K171" s="60"/>
      <c r="L171" s="160"/>
      <c r="M171" s="60"/>
      <c r="N171" s="60"/>
      <c r="O171" s="60">
        <f t="shared" si="35"/>
        <v>0</v>
      </c>
      <c r="P171" s="60">
        <f t="shared" si="36"/>
        <v>0</v>
      </c>
    </row>
    <row r="172" spans="1:16" s="38" customFormat="1" ht="10.7" customHeight="1" outlineLevel="1" x14ac:dyDescent="0.25">
      <c r="A172" s="146"/>
      <c r="B172" s="142"/>
      <c r="C172" s="148"/>
      <c r="D172" s="148"/>
      <c r="E172" s="148"/>
      <c r="F172" s="148"/>
      <c r="G172" s="60" t="s">
        <v>130</v>
      </c>
      <c r="H172" s="151"/>
      <c r="I172" s="151"/>
      <c r="J172" s="60"/>
      <c r="K172" s="60"/>
      <c r="L172" s="160"/>
      <c r="M172" s="60"/>
      <c r="N172" s="60"/>
      <c r="O172" s="60">
        <f t="shared" si="35"/>
        <v>0</v>
      </c>
      <c r="P172" s="60">
        <f t="shared" si="36"/>
        <v>0</v>
      </c>
    </row>
    <row r="173" spans="1:16" s="38" customFormat="1" ht="12" customHeight="1" outlineLevel="1" thickBot="1" x14ac:dyDescent="0.3">
      <c r="A173" s="147"/>
      <c r="B173" s="143"/>
      <c r="C173" s="149"/>
      <c r="D173" s="149"/>
      <c r="E173" s="149"/>
      <c r="F173" s="149"/>
      <c r="G173" s="60" t="s">
        <v>131</v>
      </c>
      <c r="H173" s="152"/>
      <c r="I173" s="152"/>
      <c r="J173" s="60"/>
      <c r="K173" s="60"/>
      <c r="L173" s="160"/>
      <c r="M173" s="60"/>
      <c r="N173" s="60"/>
      <c r="O173" s="60">
        <f t="shared" si="35"/>
        <v>0</v>
      </c>
      <c r="P173" s="60">
        <f t="shared" si="36"/>
        <v>0</v>
      </c>
    </row>
    <row r="174" spans="1:16" s="38" customFormat="1" ht="14.45" customHeight="1" outlineLevel="1" x14ac:dyDescent="0.25">
      <c r="A174" s="140" t="s">
        <v>162</v>
      </c>
      <c r="B174" s="141" t="s">
        <v>536</v>
      </c>
      <c r="C174" s="130">
        <f>SUM(O174:O180)</f>
        <v>0</v>
      </c>
      <c r="D174" s="130">
        <f>SUM(P174:P180)</f>
        <v>0</v>
      </c>
      <c r="E174" s="130">
        <f t="shared" ref="E174" si="37">D174/8</f>
        <v>0</v>
      </c>
      <c r="F174" s="130"/>
      <c r="G174" s="60" t="s">
        <v>125</v>
      </c>
      <c r="H174" s="150"/>
      <c r="I174" s="150"/>
      <c r="J174" s="60"/>
      <c r="K174" s="60"/>
      <c r="L174" s="160"/>
      <c r="M174" s="60"/>
      <c r="N174" s="60"/>
      <c r="O174" s="60">
        <f>N174*J174*K174*M174</f>
        <v>0</v>
      </c>
      <c r="P174" s="60">
        <f t="shared" si="36"/>
        <v>0</v>
      </c>
    </row>
    <row r="175" spans="1:16" s="38" customFormat="1" ht="11.45" customHeight="1" outlineLevel="1" x14ac:dyDescent="0.25">
      <c r="A175" s="146"/>
      <c r="B175" s="142"/>
      <c r="C175" s="148"/>
      <c r="D175" s="148"/>
      <c r="E175" s="148"/>
      <c r="F175" s="148"/>
      <c r="G175" s="60" t="s">
        <v>126</v>
      </c>
      <c r="H175" s="151"/>
      <c r="I175" s="151"/>
      <c r="J175" s="60"/>
      <c r="K175" s="60"/>
      <c r="L175" s="160"/>
      <c r="M175" s="60"/>
      <c r="N175" s="60"/>
      <c r="O175" s="60">
        <f t="shared" ref="O175:O180" si="38">N175*J175*K175*M175</f>
        <v>0</v>
      </c>
      <c r="P175" s="60">
        <f t="shared" si="36"/>
        <v>0</v>
      </c>
    </row>
    <row r="176" spans="1:16" s="38" customFormat="1" ht="10.7" customHeight="1" outlineLevel="1" x14ac:dyDescent="0.25">
      <c r="A176" s="146"/>
      <c r="B176" s="142"/>
      <c r="C176" s="148"/>
      <c r="D176" s="148"/>
      <c r="E176" s="148"/>
      <c r="F176" s="148"/>
      <c r="G176" s="60" t="s">
        <v>127</v>
      </c>
      <c r="H176" s="151"/>
      <c r="I176" s="151"/>
      <c r="J176" s="60"/>
      <c r="K176" s="60"/>
      <c r="L176" s="160"/>
      <c r="M176" s="60"/>
      <c r="N176" s="60"/>
      <c r="O176" s="60">
        <f t="shared" si="38"/>
        <v>0</v>
      </c>
      <c r="P176" s="60">
        <f t="shared" si="36"/>
        <v>0</v>
      </c>
    </row>
    <row r="177" spans="1:16" s="38" customFormat="1" ht="10.7" customHeight="1" outlineLevel="1" x14ac:dyDescent="0.25">
      <c r="A177" s="146"/>
      <c r="B177" s="142"/>
      <c r="C177" s="148"/>
      <c r="D177" s="148"/>
      <c r="E177" s="148"/>
      <c r="F177" s="148"/>
      <c r="G177" s="60" t="s">
        <v>128</v>
      </c>
      <c r="H177" s="151"/>
      <c r="I177" s="151"/>
      <c r="J177" s="60"/>
      <c r="K177" s="60"/>
      <c r="L177" s="160"/>
      <c r="M177" s="60"/>
      <c r="N177" s="60"/>
      <c r="O177" s="60">
        <f t="shared" si="38"/>
        <v>0</v>
      </c>
      <c r="P177" s="60">
        <f t="shared" si="36"/>
        <v>0</v>
      </c>
    </row>
    <row r="178" spans="1:16" s="38" customFormat="1" ht="10.7" customHeight="1" outlineLevel="1" x14ac:dyDescent="0.25">
      <c r="A178" s="146"/>
      <c r="B178" s="142"/>
      <c r="C178" s="148"/>
      <c r="D178" s="148"/>
      <c r="E178" s="148"/>
      <c r="F178" s="148"/>
      <c r="G178" s="60" t="s">
        <v>129</v>
      </c>
      <c r="H178" s="151"/>
      <c r="I178" s="151"/>
      <c r="J178" s="60"/>
      <c r="K178" s="60"/>
      <c r="L178" s="160"/>
      <c r="M178" s="60"/>
      <c r="N178" s="60"/>
      <c r="O178" s="60">
        <f t="shared" si="38"/>
        <v>0</v>
      </c>
      <c r="P178" s="60">
        <f t="shared" si="36"/>
        <v>0</v>
      </c>
    </row>
    <row r="179" spans="1:16" s="38" customFormat="1" ht="10.7" customHeight="1" outlineLevel="1" x14ac:dyDescent="0.25">
      <c r="A179" s="146"/>
      <c r="B179" s="142"/>
      <c r="C179" s="148"/>
      <c r="D179" s="148"/>
      <c r="E179" s="148"/>
      <c r="F179" s="148"/>
      <c r="G179" s="60" t="s">
        <v>130</v>
      </c>
      <c r="H179" s="151"/>
      <c r="I179" s="151"/>
      <c r="J179" s="60"/>
      <c r="K179" s="60"/>
      <c r="L179" s="160"/>
      <c r="M179" s="60"/>
      <c r="N179" s="60"/>
      <c r="O179" s="60">
        <f t="shared" si="38"/>
        <v>0</v>
      </c>
      <c r="P179" s="60">
        <f t="shared" si="36"/>
        <v>0</v>
      </c>
    </row>
    <row r="180" spans="1:16" s="38" customFormat="1" ht="12" customHeight="1" outlineLevel="1" thickBot="1" x14ac:dyDescent="0.3">
      <c r="A180" s="147"/>
      <c r="B180" s="143"/>
      <c r="C180" s="149"/>
      <c r="D180" s="149"/>
      <c r="E180" s="149"/>
      <c r="F180" s="149"/>
      <c r="G180" s="60" t="s">
        <v>131</v>
      </c>
      <c r="H180" s="152"/>
      <c r="I180" s="152"/>
      <c r="J180" s="60"/>
      <c r="K180" s="60"/>
      <c r="L180" s="160"/>
      <c r="M180" s="60"/>
      <c r="N180" s="60"/>
      <c r="O180" s="60">
        <f t="shared" si="38"/>
        <v>0</v>
      </c>
      <c r="P180" s="60">
        <f t="shared" si="36"/>
        <v>0</v>
      </c>
    </row>
    <row r="181" spans="1:16" s="39" customFormat="1" ht="15.75" x14ac:dyDescent="0.25">
      <c r="A181" s="40" t="s">
        <v>26</v>
      </c>
      <c r="B181" s="41" t="s">
        <v>145</v>
      </c>
      <c r="C181" s="42">
        <f>SUM(C182:C244)</f>
        <v>0</v>
      </c>
      <c r="D181" s="42">
        <f>SUM(D182:D244)</f>
        <v>0</v>
      </c>
      <c r="E181" s="42">
        <f>SUM(E182:E244)</f>
        <v>0</v>
      </c>
      <c r="F181" s="57"/>
      <c r="G181" s="57"/>
      <c r="H181" s="57"/>
      <c r="I181" s="57"/>
      <c r="J181" s="57"/>
      <c r="K181" s="57"/>
      <c r="L181" s="161"/>
      <c r="M181" s="57"/>
      <c r="N181" s="57"/>
      <c r="O181" s="57"/>
      <c r="P181" s="43"/>
    </row>
    <row r="182" spans="1:16" s="38" customFormat="1" ht="14.45" customHeight="1" outlineLevel="1" x14ac:dyDescent="0.25">
      <c r="A182" s="140" t="s">
        <v>165</v>
      </c>
      <c r="B182" s="141" t="s">
        <v>539</v>
      </c>
      <c r="C182" s="130">
        <f>SUM(O182:O188)</f>
        <v>0</v>
      </c>
      <c r="D182" s="130">
        <f>SUM(P182:P188)</f>
        <v>0</v>
      </c>
      <c r="E182" s="130">
        <f t="shared" ref="E182:E238" si="39">D182/8</f>
        <v>0</v>
      </c>
      <c r="F182" s="130"/>
      <c r="G182" s="60" t="s">
        <v>125</v>
      </c>
      <c r="H182" s="123"/>
      <c r="I182" s="123"/>
      <c r="J182" s="60"/>
      <c r="K182" s="60"/>
      <c r="L182" s="160"/>
      <c r="M182" s="60"/>
      <c r="N182" s="60"/>
      <c r="O182" s="60">
        <f>N182*J182*K182*M182</f>
        <v>0</v>
      </c>
      <c r="P182" s="60">
        <f>J182*K182*M182</f>
        <v>0</v>
      </c>
    </row>
    <row r="183" spans="1:16" s="38" customFormat="1" ht="11.45" customHeight="1" outlineLevel="1" x14ac:dyDescent="0.25">
      <c r="A183" s="146"/>
      <c r="B183" s="142"/>
      <c r="C183" s="115"/>
      <c r="D183" s="115"/>
      <c r="E183" s="115"/>
      <c r="F183" s="115"/>
      <c r="G183" s="60" t="s">
        <v>126</v>
      </c>
      <c r="H183" s="124"/>
      <c r="I183" s="124"/>
      <c r="J183" s="60"/>
      <c r="K183" s="60"/>
      <c r="L183" s="160"/>
      <c r="M183" s="60"/>
      <c r="N183" s="60"/>
      <c r="O183" s="60">
        <f t="shared" ref="O183:O188" si="40">N183*J183*K183*M183</f>
        <v>0</v>
      </c>
      <c r="P183" s="60">
        <f t="shared" ref="P183:P244" si="41">J183*K183*M183</f>
        <v>0</v>
      </c>
    </row>
    <row r="184" spans="1:16" s="38" customFormat="1" ht="10.7" customHeight="1" outlineLevel="1" x14ac:dyDescent="0.25">
      <c r="A184" s="146"/>
      <c r="B184" s="142"/>
      <c r="C184" s="115"/>
      <c r="D184" s="115"/>
      <c r="E184" s="115"/>
      <c r="F184" s="115"/>
      <c r="G184" s="60" t="s">
        <v>127</v>
      </c>
      <c r="H184" s="124"/>
      <c r="I184" s="124"/>
      <c r="J184" s="60"/>
      <c r="K184" s="60"/>
      <c r="L184" s="160"/>
      <c r="M184" s="60"/>
      <c r="N184" s="60"/>
      <c r="O184" s="60">
        <f t="shared" si="40"/>
        <v>0</v>
      </c>
      <c r="P184" s="60">
        <f t="shared" si="41"/>
        <v>0</v>
      </c>
    </row>
    <row r="185" spans="1:16" s="38" customFormat="1" ht="10.7" customHeight="1" outlineLevel="1" x14ac:dyDescent="0.25">
      <c r="A185" s="146"/>
      <c r="B185" s="142"/>
      <c r="C185" s="115"/>
      <c r="D185" s="115"/>
      <c r="E185" s="115"/>
      <c r="F185" s="115"/>
      <c r="G185" s="60" t="s">
        <v>128</v>
      </c>
      <c r="H185" s="124"/>
      <c r="I185" s="124"/>
      <c r="J185" s="60"/>
      <c r="K185" s="60"/>
      <c r="L185" s="160"/>
      <c r="M185" s="60"/>
      <c r="N185" s="60"/>
      <c r="O185" s="60">
        <f t="shared" si="40"/>
        <v>0</v>
      </c>
      <c r="P185" s="60">
        <f t="shared" si="41"/>
        <v>0</v>
      </c>
    </row>
    <row r="186" spans="1:16" s="38" customFormat="1" ht="10.7" customHeight="1" outlineLevel="1" x14ac:dyDescent="0.25">
      <c r="A186" s="146"/>
      <c r="B186" s="142"/>
      <c r="C186" s="115"/>
      <c r="D186" s="115"/>
      <c r="E186" s="115"/>
      <c r="F186" s="115"/>
      <c r="G186" s="60" t="s">
        <v>129</v>
      </c>
      <c r="H186" s="124"/>
      <c r="I186" s="124"/>
      <c r="J186" s="60"/>
      <c r="K186" s="60"/>
      <c r="L186" s="160"/>
      <c r="M186" s="60"/>
      <c r="N186" s="60"/>
      <c r="O186" s="60">
        <f t="shared" si="40"/>
        <v>0</v>
      </c>
      <c r="P186" s="60">
        <f t="shared" si="41"/>
        <v>0</v>
      </c>
    </row>
    <row r="187" spans="1:16" s="38" customFormat="1" ht="10.7" customHeight="1" outlineLevel="1" x14ac:dyDescent="0.25">
      <c r="A187" s="146"/>
      <c r="B187" s="142"/>
      <c r="C187" s="115"/>
      <c r="D187" s="115"/>
      <c r="E187" s="115"/>
      <c r="F187" s="115"/>
      <c r="G187" s="60" t="s">
        <v>130</v>
      </c>
      <c r="H187" s="124"/>
      <c r="I187" s="124"/>
      <c r="J187" s="60"/>
      <c r="K187" s="60"/>
      <c r="L187" s="160"/>
      <c r="M187" s="60"/>
      <c r="N187" s="60"/>
      <c r="O187" s="60">
        <f t="shared" si="40"/>
        <v>0</v>
      </c>
      <c r="P187" s="60">
        <f t="shared" si="41"/>
        <v>0</v>
      </c>
    </row>
    <row r="188" spans="1:16" s="38" customFormat="1" ht="12" customHeight="1" outlineLevel="1" thickBot="1" x14ac:dyDescent="0.3">
      <c r="A188" s="147"/>
      <c r="B188" s="143"/>
      <c r="C188" s="131"/>
      <c r="D188" s="131"/>
      <c r="E188" s="131"/>
      <c r="F188" s="131"/>
      <c r="G188" s="60" t="s">
        <v>131</v>
      </c>
      <c r="H188" s="134"/>
      <c r="I188" s="134"/>
      <c r="J188" s="60"/>
      <c r="K188" s="60"/>
      <c r="L188" s="160"/>
      <c r="M188" s="60"/>
      <c r="N188" s="60"/>
      <c r="O188" s="60">
        <f t="shared" si="40"/>
        <v>0</v>
      </c>
      <c r="P188" s="60">
        <f t="shared" si="41"/>
        <v>0</v>
      </c>
    </row>
    <row r="189" spans="1:16" s="38" customFormat="1" ht="14.45" customHeight="1" outlineLevel="1" x14ac:dyDescent="0.25">
      <c r="A189" s="140" t="s">
        <v>167</v>
      </c>
      <c r="B189" s="141" t="s">
        <v>540</v>
      </c>
      <c r="C189" s="130">
        <f>SUM(O189:O195)</f>
        <v>0</v>
      </c>
      <c r="D189" s="130">
        <f>SUM(P189:P195)</f>
        <v>0</v>
      </c>
      <c r="E189" s="130">
        <f t="shared" si="39"/>
        <v>0</v>
      </c>
      <c r="F189" s="130"/>
      <c r="G189" s="60" t="s">
        <v>125</v>
      </c>
      <c r="H189" s="123"/>
      <c r="I189" s="123"/>
      <c r="J189" s="60"/>
      <c r="K189" s="60"/>
      <c r="L189" s="160"/>
      <c r="M189" s="60"/>
      <c r="N189" s="60"/>
      <c r="O189" s="60">
        <f>N189*J189*K189*M189</f>
        <v>0</v>
      </c>
      <c r="P189" s="60">
        <f t="shared" si="41"/>
        <v>0</v>
      </c>
    </row>
    <row r="190" spans="1:16" s="38" customFormat="1" ht="11.45" customHeight="1" outlineLevel="1" x14ac:dyDescent="0.25">
      <c r="A190" s="146"/>
      <c r="B190" s="142"/>
      <c r="C190" s="115"/>
      <c r="D190" s="115"/>
      <c r="E190" s="115"/>
      <c r="F190" s="115"/>
      <c r="G190" s="60" t="s">
        <v>126</v>
      </c>
      <c r="H190" s="124"/>
      <c r="I190" s="124"/>
      <c r="J190" s="60"/>
      <c r="K190" s="60"/>
      <c r="L190" s="160"/>
      <c r="M190" s="60"/>
      <c r="N190" s="60"/>
      <c r="O190" s="60">
        <f t="shared" ref="O190:O195" si="42">N190*J190*K190*M190</f>
        <v>0</v>
      </c>
      <c r="P190" s="60">
        <f t="shared" si="41"/>
        <v>0</v>
      </c>
    </row>
    <row r="191" spans="1:16" s="38" customFormat="1" ht="10.7" customHeight="1" outlineLevel="1" x14ac:dyDescent="0.25">
      <c r="A191" s="146"/>
      <c r="B191" s="142"/>
      <c r="C191" s="115"/>
      <c r="D191" s="115"/>
      <c r="E191" s="115"/>
      <c r="F191" s="115"/>
      <c r="G191" s="60" t="s">
        <v>127</v>
      </c>
      <c r="H191" s="124"/>
      <c r="I191" s="124"/>
      <c r="J191" s="60"/>
      <c r="K191" s="60"/>
      <c r="L191" s="160"/>
      <c r="M191" s="60"/>
      <c r="N191" s="60"/>
      <c r="O191" s="60">
        <f t="shared" si="42"/>
        <v>0</v>
      </c>
      <c r="P191" s="60">
        <f t="shared" si="41"/>
        <v>0</v>
      </c>
    </row>
    <row r="192" spans="1:16" s="38" customFormat="1" ht="10.7" customHeight="1" outlineLevel="1" x14ac:dyDescent="0.25">
      <c r="A192" s="146"/>
      <c r="B192" s="142"/>
      <c r="C192" s="115"/>
      <c r="D192" s="115"/>
      <c r="E192" s="115"/>
      <c r="F192" s="115"/>
      <c r="G192" s="60" t="s">
        <v>128</v>
      </c>
      <c r="H192" s="124"/>
      <c r="I192" s="124"/>
      <c r="J192" s="60"/>
      <c r="K192" s="60"/>
      <c r="L192" s="160"/>
      <c r="M192" s="60"/>
      <c r="N192" s="60"/>
      <c r="O192" s="60">
        <f t="shared" si="42"/>
        <v>0</v>
      </c>
      <c r="P192" s="60">
        <f t="shared" si="41"/>
        <v>0</v>
      </c>
    </row>
    <row r="193" spans="1:16" s="38" customFormat="1" ht="10.7" customHeight="1" outlineLevel="1" x14ac:dyDescent="0.25">
      <c r="A193" s="146"/>
      <c r="B193" s="142"/>
      <c r="C193" s="115"/>
      <c r="D193" s="115"/>
      <c r="E193" s="115"/>
      <c r="F193" s="115"/>
      <c r="G193" s="60" t="s">
        <v>129</v>
      </c>
      <c r="H193" s="124"/>
      <c r="I193" s="124"/>
      <c r="J193" s="60"/>
      <c r="K193" s="60"/>
      <c r="L193" s="160"/>
      <c r="M193" s="60"/>
      <c r="N193" s="60"/>
      <c r="O193" s="60">
        <f t="shared" si="42"/>
        <v>0</v>
      </c>
      <c r="P193" s="60">
        <f t="shared" si="41"/>
        <v>0</v>
      </c>
    </row>
    <row r="194" spans="1:16" s="38" customFormat="1" ht="10.7" customHeight="1" outlineLevel="1" x14ac:dyDescent="0.25">
      <c r="A194" s="146"/>
      <c r="B194" s="142"/>
      <c r="C194" s="115"/>
      <c r="D194" s="115"/>
      <c r="E194" s="115"/>
      <c r="F194" s="115"/>
      <c r="G194" s="60" t="s">
        <v>130</v>
      </c>
      <c r="H194" s="124"/>
      <c r="I194" s="124"/>
      <c r="J194" s="60"/>
      <c r="K194" s="60"/>
      <c r="L194" s="160"/>
      <c r="M194" s="60"/>
      <c r="N194" s="60"/>
      <c r="O194" s="60">
        <f t="shared" si="42"/>
        <v>0</v>
      </c>
      <c r="P194" s="60">
        <f t="shared" si="41"/>
        <v>0</v>
      </c>
    </row>
    <row r="195" spans="1:16" s="38" customFormat="1" ht="12" customHeight="1" outlineLevel="1" thickBot="1" x14ac:dyDescent="0.3">
      <c r="A195" s="147"/>
      <c r="B195" s="143"/>
      <c r="C195" s="131"/>
      <c r="D195" s="131"/>
      <c r="E195" s="131"/>
      <c r="F195" s="131"/>
      <c r="G195" s="60" t="s">
        <v>131</v>
      </c>
      <c r="H195" s="134"/>
      <c r="I195" s="134"/>
      <c r="J195" s="60"/>
      <c r="K195" s="60"/>
      <c r="L195" s="160"/>
      <c r="M195" s="60"/>
      <c r="N195" s="60"/>
      <c r="O195" s="60">
        <f t="shared" si="42"/>
        <v>0</v>
      </c>
      <c r="P195" s="60">
        <f t="shared" si="41"/>
        <v>0</v>
      </c>
    </row>
    <row r="196" spans="1:16" s="38" customFormat="1" ht="14.45" customHeight="1" outlineLevel="1" x14ac:dyDescent="0.25">
      <c r="A196" s="140" t="s">
        <v>169</v>
      </c>
      <c r="B196" s="141" t="s">
        <v>541</v>
      </c>
      <c r="C196" s="130">
        <f>SUM(O196:O202)</f>
        <v>0</v>
      </c>
      <c r="D196" s="130">
        <f>SUM(P196:P202)</f>
        <v>0</v>
      </c>
      <c r="E196" s="130">
        <f t="shared" si="39"/>
        <v>0</v>
      </c>
      <c r="F196" s="130"/>
      <c r="G196" s="60" t="s">
        <v>125</v>
      </c>
      <c r="H196" s="123"/>
      <c r="I196" s="123"/>
      <c r="J196" s="60"/>
      <c r="K196" s="60"/>
      <c r="L196" s="160"/>
      <c r="M196" s="60"/>
      <c r="N196" s="60"/>
      <c r="O196" s="60">
        <f>N196*J196*K196*M196</f>
        <v>0</v>
      </c>
      <c r="P196" s="60">
        <f t="shared" si="41"/>
        <v>0</v>
      </c>
    </row>
    <row r="197" spans="1:16" s="38" customFormat="1" ht="11.45" customHeight="1" outlineLevel="1" x14ac:dyDescent="0.25">
      <c r="A197" s="146"/>
      <c r="B197" s="142"/>
      <c r="C197" s="115"/>
      <c r="D197" s="115"/>
      <c r="E197" s="115"/>
      <c r="F197" s="115"/>
      <c r="G197" s="60" t="s">
        <v>126</v>
      </c>
      <c r="H197" s="124"/>
      <c r="I197" s="124"/>
      <c r="J197" s="60"/>
      <c r="K197" s="60"/>
      <c r="L197" s="160"/>
      <c r="M197" s="60"/>
      <c r="N197" s="60"/>
      <c r="O197" s="60">
        <f t="shared" ref="O197:O202" si="43">N197*J197*K197*M197</f>
        <v>0</v>
      </c>
      <c r="P197" s="60">
        <f t="shared" si="41"/>
        <v>0</v>
      </c>
    </row>
    <row r="198" spans="1:16" s="38" customFormat="1" ht="10.7" customHeight="1" outlineLevel="1" x14ac:dyDescent="0.25">
      <c r="A198" s="146"/>
      <c r="B198" s="142"/>
      <c r="C198" s="115"/>
      <c r="D198" s="115"/>
      <c r="E198" s="115"/>
      <c r="F198" s="115"/>
      <c r="G198" s="60" t="s">
        <v>127</v>
      </c>
      <c r="H198" s="124"/>
      <c r="I198" s="124"/>
      <c r="J198" s="60"/>
      <c r="K198" s="60"/>
      <c r="L198" s="160"/>
      <c r="M198" s="60"/>
      <c r="N198" s="60"/>
      <c r="O198" s="60">
        <f t="shared" si="43"/>
        <v>0</v>
      </c>
      <c r="P198" s="60">
        <f t="shared" si="41"/>
        <v>0</v>
      </c>
    </row>
    <row r="199" spans="1:16" s="38" customFormat="1" ht="10.7" customHeight="1" outlineLevel="1" x14ac:dyDescent="0.25">
      <c r="A199" s="146"/>
      <c r="B199" s="142"/>
      <c r="C199" s="115"/>
      <c r="D199" s="115"/>
      <c r="E199" s="115"/>
      <c r="F199" s="115"/>
      <c r="G199" s="60" t="s">
        <v>128</v>
      </c>
      <c r="H199" s="124"/>
      <c r="I199" s="124"/>
      <c r="J199" s="60"/>
      <c r="K199" s="60"/>
      <c r="L199" s="160"/>
      <c r="M199" s="60"/>
      <c r="N199" s="60"/>
      <c r="O199" s="60">
        <f t="shared" si="43"/>
        <v>0</v>
      </c>
      <c r="P199" s="60">
        <f t="shared" si="41"/>
        <v>0</v>
      </c>
    </row>
    <row r="200" spans="1:16" s="38" customFormat="1" ht="10.7" customHeight="1" outlineLevel="1" x14ac:dyDescent="0.25">
      <c r="A200" s="146"/>
      <c r="B200" s="142"/>
      <c r="C200" s="115"/>
      <c r="D200" s="115"/>
      <c r="E200" s="115"/>
      <c r="F200" s="115"/>
      <c r="G200" s="60" t="s">
        <v>129</v>
      </c>
      <c r="H200" s="124"/>
      <c r="I200" s="124"/>
      <c r="J200" s="60"/>
      <c r="K200" s="60"/>
      <c r="L200" s="160"/>
      <c r="M200" s="60"/>
      <c r="N200" s="60"/>
      <c r="O200" s="60">
        <f t="shared" si="43"/>
        <v>0</v>
      </c>
      <c r="P200" s="60">
        <f t="shared" si="41"/>
        <v>0</v>
      </c>
    </row>
    <row r="201" spans="1:16" s="38" customFormat="1" ht="10.7" customHeight="1" outlineLevel="1" x14ac:dyDescent="0.25">
      <c r="A201" s="146"/>
      <c r="B201" s="142"/>
      <c r="C201" s="115"/>
      <c r="D201" s="115"/>
      <c r="E201" s="115"/>
      <c r="F201" s="115"/>
      <c r="G201" s="60" t="s">
        <v>130</v>
      </c>
      <c r="H201" s="124"/>
      <c r="I201" s="124"/>
      <c r="J201" s="60"/>
      <c r="K201" s="60"/>
      <c r="L201" s="160"/>
      <c r="M201" s="60"/>
      <c r="N201" s="60"/>
      <c r="O201" s="60">
        <f t="shared" si="43"/>
        <v>0</v>
      </c>
      <c r="P201" s="60">
        <f t="shared" si="41"/>
        <v>0</v>
      </c>
    </row>
    <row r="202" spans="1:16" s="38" customFormat="1" ht="12" customHeight="1" outlineLevel="1" thickBot="1" x14ac:dyDescent="0.3">
      <c r="A202" s="147"/>
      <c r="B202" s="143"/>
      <c r="C202" s="131"/>
      <c r="D202" s="131"/>
      <c r="E202" s="131"/>
      <c r="F202" s="131"/>
      <c r="G202" s="60" t="s">
        <v>131</v>
      </c>
      <c r="H202" s="134"/>
      <c r="I202" s="134"/>
      <c r="J202" s="60"/>
      <c r="K202" s="60"/>
      <c r="L202" s="160"/>
      <c r="M202" s="60"/>
      <c r="N202" s="60"/>
      <c r="O202" s="60">
        <f t="shared" si="43"/>
        <v>0</v>
      </c>
      <c r="P202" s="60">
        <f t="shared" si="41"/>
        <v>0</v>
      </c>
    </row>
    <row r="203" spans="1:16" s="38" customFormat="1" ht="14.45" customHeight="1" outlineLevel="1" x14ac:dyDescent="0.25">
      <c r="A203" s="140" t="s">
        <v>436</v>
      </c>
      <c r="B203" s="141" t="s">
        <v>542</v>
      </c>
      <c r="C203" s="130">
        <f>SUM(O203:O209)</f>
        <v>0</v>
      </c>
      <c r="D203" s="130">
        <f>SUM(P203:P209)</f>
        <v>0</v>
      </c>
      <c r="E203" s="130">
        <f t="shared" si="39"/>
        <v>0</v>
      </c>
      <c r="F203" s="130"/>
      <c r="G203" s="60" t="s">
        <v>125</v>
      </c>
      <c r="H203" s="123"/>
      <c r="I203" s="123"/>
      <c r="J203" s="60"/>
      <c r="K203" s="60"/>
      <c r="L203" s="160"/>
      <c r="M203" s="60"/>
      <c r="N203" s="60"/>
      <c r="O203" s="60">
        <f>N203*J203*K203*M203</f>
        <v>0</v>
      </c>
      <c r="P203" s="60">
        <f t="shared" si="41"/>
        <v>0</v>
      </c>
    </row>
    <row r="204" spans="1:16" s="38" customFormat="1" ht="11.45" customHeight="1" outlineLevel="1" x14ac:dyDescent="0.25">
      <c r="A204" s="146"/>
      <c r="B204" s="142"/>
      <c r="C204" s="115"/>
      <c r="D204" s="115"/>
      <c r="E204" s="115"/>
      <c r="F204" s="115"/>
      <c r="G204" s="60" t="s">
        <v>126</v>
      </c>
      <c r="H204" s="124"/>
      <c r="I204" s="124"/>
      <c r="J204" s="60"/>
      <c r="K204" s="60"/>
      <c r="L204" s="160"/>
      <c r="M204" s="60"/>
      <c r="N204" s="60"/>
      <c r="O204" s="60">
        <f t="shared" ref="O204:O209" si="44">N204*J204*K204*M204</f>
        <v>0</v>
      </c>
      <c r="P204" s="60">
        <f t="shared" si="41"/>
        <v>0</v>
      </c>
    </row>
    <row r="205" spans="1:16" s="38" customFormat="1" ht="10.7" customHeight="1" outlineLevel="1" x14ac:dyDescent="0.25">
      <c r="A205" s="146"/>
      <c r="B205" s="142"/>
      <c r="C205" s="115"/>
      <c r="D205" s="115"/>
      <c r="E205" s="115"/>
      <c r="F205" s="115"/>
      <c r="G205" s="60" t="s">
        <v>127</v>
      </c>
      <c r="H205" s="124"/>
      <c r="I205" s="124"/>
      <c r="J205" s="60"/>
      <c r="K205" s="60"/>
      <c r="L205" s="160"/>
      <c r="M205" s="60"/>
      <c r="N205" s="60"/>
      <c r="O205" s="60">
        <f t="shared" si="44"/>
        <v>0</v>
      </c>
      <c r="P205" s="60">
        <f t="shared" si="41"/>
        <v>0</v>
      </c>
    </row>
    <row r="206" spans="1:16" s="38" customFormat="1" ht="10.7" customHeight="1" outlineLevel="1" x14ac:dyDescent="0.25">
      <c r="A206" s="146"/>
      <c r="B206" s="142"/>
      <c r="C206" s="115"/>
      <c r="D206" s="115"/>
      <c r="E206" s="115"/>
      <c r="F206" s="115"/>
      <c r="G206" s="60" t="s">
        <v>128</v>
      </c>
      <c r="H206" s="124"/>
      <c r="I206" s="124"/>
      <c r="J206" s="60"/>
      <c r="K206" s="60"/>
      <c r="L206" s="160"/>
      <c r="M206" s="60"/>
      <c r="N206" s="60"/>
      <c r="O206" s="60">
        <f t="shared" si="44"/>
        <v>0</v>
      </c>
      <c r="P206" s="60">
        <f t="shared" si="41"/>
        <v>0</v>
      </c>
    </row>
    <row r="207" spans="1:16" s="38" customFormat="1" ht="10.7" customHeight="1" outlineLevel="1" x14ac:dyDescent="0.25">
      <c r="A207" s="146"/>
      <c r="B207" s="142"/>
      <c r="C207" s="115"/>
      <c r="D207" s="115"/>
      <c r="E207" s="115"/>
      <c r="F207" s="115"/>
      <c r="G207" s="60" t="s">
        <v>129</v>
      </c>
      <c r="H207" s="124"/>
      <c r="I207" s="124"/>
      <c r="J207" s="60"/>
      <c r="K207" s="60"/>
      <c r="L207" s="160"/>
      <c r="M207" s="60"/>
      <c r="N207" s="60"/>
      <c r="O207" s="60">
        <f t="shared" si="44"/>
        <v>0</v>
      </c>
      <c r="P207" s="60">
        <f t="shared" si="41"/>
        <v>0</v>
      </c>
    </row>
    <row r="208" spans="1:16" s="38" customFormat="1" ht="10.7" customHeight="1" outlineLevel="1" x14ac:dyDescent="0.25">
      <c r="A208" s="146"/>
      <c r="B208" s="142"/>
      <c r="C208" s="115"/>
      <c r="D208" s="115"/>
      <c r="E208" s="115"/>
      <c r="F208" s="115"/>
      <c r="G208" s="60" t="s">
        <v>130</v>
      </c>
      <c r="H208" s="124"/>
      <c r="I208" s="124"/>
      <c r="J208" s="60"/>
      <c r="K208" s="60"/>
      <c r="L208" s="160"/>
      <c r="M208" s="60"/>
      <c r="N208" s="60"/>
      <c r="O208" s="60">
        <f t="shared" si="44"/>
        <v>0</v>
      </c>
      <c r="P208" s="60">
        <f t="shared" si="41"/>
        <v>0</v>
      </c>
    </row>
    <row r="209" spans="1:16" s="38" customFormat="1" ht="12" customHeight="1" outlineLevel="1" thickBot="1" x14ac:dyDescent="0.3">
      <c r="A209" s="147"/>
      <c r="B209" s="143"/>
      <c r="C209" s="131"/>
      <c r="D209" s="131"/>
      <c r="E209" s="131"/>
      <c r="F209" s="131"/>
      <c r="G209" s="60" t="s">
        <v>131</v>
      </c>
      <c r="H209" s="134"/>
      <c r="I209" s="134"/>
      <c r="J209" s="60"/>
      <c r="K209" s="60"/>
      <c r="L209" s="160"/>
      <c r="M209" s="60"/>
      <c r="N209" s="60"/>
      <c r="O209" s="60">
        <f t="shared" si="44"/>
        <v>0</v>
      </c>
      <c r="P209" s="60">
        <f t="shared" si="41"/>
        <v>0</v>
      </c>
    </row>
    <row r="210" spans="1:16" s="38" customFormat="1" ht="14.45" customHeight="1" outlineLevel="1" x14ac:dyDescent="0.25">
      <c r="A210" s="140" t="s">
        <v>438</v>
      </c>
      <c r="B210" s="141" t="s">
        <v>543</v>
      </c>
      <c r="C210" s="130">
        <f>SUM(O210:O216)</f>
        <v>0</v>
      </c>
      <c r="D210" s="130">
        <f>SUM(P210:P216)</f>
        <v>0</v>
      </c>
      <c r="E210" s="130">
        <f t="shared" si="39"/>
        <v>0</v>
      </c>
      <c r="F210" s="130"/>
      <c r="G210" s="60" t="s">
        <v>125</v>
      </c>
      <c r="H210" s="123"/>
      <c r="I210" s="123"/>
      <c r="J210" s="60"/>
      <c r="K210" s="60"/>
      <c r="L210" s="160"/>
      <c r="M210" s="60"/>
      <c r="N210" s="60"/>
      <c r="O210" s="60">
        <f>N210*J210*K210*M210</f>
        <v>0</v>
      </c>
      <c r="P210" s="60">
        <f t="shared" si="41"/>
        <v>0</v>
      </c>
    </row>
    <row r="211" spans="1:16" s="38" customFormat="1" ht="11.45" customHeight="1" outlineLevel="1" x14ac:dyDescent="0.25">
      <c r="A211" s="146"/>
      <c r="B211" s="142"/>
      <c r="C211" s="115"/>
      <c r="D211" s="115"/>
      <c r="E211" s="115"/>
      <c r="F211" s="115"/>
      <c r="G211" s="60" t="s">
        <v>126</v>
      </c>
      <c r="H211" s="124"/>
      <c r="I211" s="124"/>
      <c r="J211" s="60"/>
      <c r="K211" s="60"/>
      <c r="L211" s="160"/>
      <c r="M211" s="60"/>
      <c r="N211" s="60"/>
      <c r="O211" s="60">
        <f t="shared" ref="O211:O216" si="45">N211*J211*K211*M211</f>
        <v>0</v>
      </c>
      <c r="P211" s="60">
        <f t="shared" si="41"/>
        <v>0</v>
      </c>
    </row>
    <row r="212" spans="1:16" s="38" customFormat="1" ht="10.7" customHeight="1" outlineLevel="1" x14ac:dyDescent="0.25">
      <c r="A212" s="146"/>
      <c r="B212" s="142"/>
      <c r="C212" s="115"/>
      <c r="D212" s="115"/>
      <c r="E212" s="115"/>
      <c r="F212" s="115"/>
      <c r="G212" s="60" t="s">
        <v>127</v>
      </c>
      <c r="H212" s="124"/>
      <c r="I212" s="124"/>
      <c r="J212" s="60"/>
      <c r="K212" s="60"/>
      <c r="L212" s="160"/>
      <c r="M212" s="60"/>
      <c r="N212" s="60"/>
      <c r="O212" s="60">
        <f t="shared" si="45"/>
        <v>0</v>
      </c>
      <c r="P212" s="60">
        <f t="shared" si="41"/>
        <v>0</v>
      </c>
    </row>
    <row r="213" spans="1:16" s="38" customFormat="1" ht="10.7" customHeight="1" outlineLevel="1" x14ac:dyDescent="0.25">
      <c r="A213" s="146"/>
      <c r="B213" s="142"/>
      <c r="C213" s="115"/>
      <c r="D213" s="115"/>
      <c r="E213" s="115"/>
      <c r="F213" s="115"/>
      <c r="G213" s="60" t="s">
        <v>128</v>
      </c>
      <c r="H213" s="124"/>
      <c r="I213" s="124"/>
      <c r="J213" s="60"/>
      <c r="K213" s="60"/>
      <c r="L213" s="160"/>
      <c r="M213" s="60"/>
      <c r="N213" s="60"/>
      <c r="O213" s="60">
        <f t="shared" si="45"/>
        <v>0</v>
      </c>
      <c r="P213" s="60">
        <f t="shared" si="41"/>
        <v>0</v>
      </c>
    </row>
    <row r="214" spans="1:16" s="38" customFormat="1" ht="10.7" customHeight="1" outlineLevel="1" x14ac:dyDescent="0.25">
      <c r="A214" s="146"/>
      <c r="B214" s="142"/>
      <c r="C214" s="115"/>
      <c r="D214" s="115"/>
      <c r="E214" s="115"/>
      <c r="F214" s="115"/>
      <c r="G214" s="60" t="s">
        <v>129</v>
      </c>
      <c r="H214" s="124"/>
      <c r="I214" s="124"/>
      <c r="J214" s="60"/>
      <c r="K214" s="60"/>
      <c r="L214" s="160"/>
      <c r="M214" s="60"/>
      <c r="N214" s="60"/>
      <c r="O214" s="60">
        <f t="shared" si="45"/>
        <v>0</v>
      </c>
      <c r="P214" s="60">
        <f t="shared" si="41"/>
        <v>0</v>
      </c>
    </row>
    <row r="215" spans="1:16" s="38" customFormat="1" ht="10.7" customHeight="1" outlineLevel="1" x14ac:dyDescent="0.25">
      <c r="A215" s="146"/>
      <c r="B215" s="142"/>
      <c r="C215" s="115"/>
      <c r="D215" s="115"/>
      <c r="E215" s="115"/>
      <c r="F215" s="115"/>
      <c r="G215" s="60" t="s">
        <v>130</v>
      </c>
      <c r="H215" s="124"/>
      <c r="I215" s="124"/>
      <c r="J215" s="60"/>
      <c r="K215" s="60"/>
      <c r="L215" s="160"/>
      <c r="M215" s="60"/>
      <c r="N215" s="60"/>
      <c r="O215" s="60">
        <f t="shared" si="45"/>
        <v>0</v>
      </c>
      <c r="P215" s="60">
        <f t="shared" si="41"/>
        <v>0</v>
      </c>
    </row>
    <row r="216" spans="1:16" s="38" customFormat="1" ht="12" customHeight="1" outlineLevel="1" thickBot="1" x14ac:dyDescent="0.3">
      <c r="A216" s="147"/>
      <c r="B216" s="143"/>
      <c r="C216" s="131"/>
      <c r="D216" s="131"/>
      <c r="E216" s="131"/>
      <c r="F216" s="131"/>
      <c r="G216" s="60" t="s">
        <v>131</v>
      </c>
      <c r="H216" s="134"/>
      <c r="I216" s="134"/>
      <c r="J216" s="60"/>
      <c r="K216" s="60"/>
      <c r="L216" s="160"/>
      <c r="M216" s="60"/>
      <c r="N216" s="60"/>
      <c r="O216" s="60">
        <f t="shared" si="45"/>
        <v>0</v>
      </c>
      <c r="P216" s="60">
        <f t="shared" si="41"/>
        <v>0</v>
      </c>
    </row>
    <row r="217" spans="1:16" s="38" customFormat="1" ht="14.45" customHeight="1" outlineLevel="1" x14ac:dyDescent="0.25">
      <c r="A217" s="140" t="s">
        <v>440</v>
      </c>
      <c r="B217" s="141" t="s">
        <v>602</v>
      </c>
      <c r="C217" s="130">
        <f>SUM(O217:O223)</f>
        <v>0</v>
      </c>
      <c r="D217" s="130">
        <f>SUM(P217:P223)</f>
        <v>0</v>
      </c>
      <c r="E217" s="130">
        <f t="shared" si="39"/>
        <v>0</v>
      </c>
      <c r="F217" s="130"/>
      <c r="G217" s="60" t="s">
        <v>125</v>
      </c>
      <c r="H217" s="123"/>
      <c r="I217" s="123"/>
      <c r="J217" s="60"/>
      <c r="K217" s="60"/>
      <c r="L217" s="160"/>
      <c r="M217" s="60"/>
      <c r="N217" s="60"/>
      <c r="O217" s="60">
        <f>N217*J217*K217*M217</f>
        <v>0</v>
      </c>
      <c r="P217" s="60">
        <f t="shared" si="41"/>
        <v>0</v>
      </c>
    </row>
    <row r="218" spans="1:16" s="38" customFormat="1" ht="11.45" customHeight="1" outlineLevel="1" x14ac:dyDescent="0.25">
      <c r="A218" s="146"/>
      <c r="B218" s="142"/>
      <c r="C218" s="115"/>
      <c r="D218" s="115"/>
      <c r="E218" s="115"/>
      <c r="F218" s="115"/>
      <c r="G218" s="60" t="s">
        <v>126</v>
      </c>
      <c r="H218" s="124"/>
      <c r="I218" s="124"/>
      <c r="J218" s="60"/>
      <c r="K218" s="60"/>
      <c r="L218" s="160"/>
      <c r="M218" s="60"/>
      <c r="N218" s="60"/>
      <c r="O218" s="60">
        <f t="shared" ref="O218:O223" si="46">N218*J218*K218*M218</f>
        <v>0</v>
      </c>
      <c r="P218" s="60">
        <f t="shared" si="41"/>
        <v>0</v>
      </c>
    </row>
    <row r="219" spans="1:16" s="38" customFormat="1" ht="10.7" customHeight="1" outlineLevel="1" x14ac:dyDescent="0.25">
      <c r="A219" s="146"/>
      <c r="B219" s="142"/>
      <c r="C219" s="115"/>
      <c r="D219" s="115"/>
      <c r="E219" s="115"/>
      <c r="F219" s="115"/>
      <c r="G219" s="60" t="s">
        <v>127</v>
      </c>
      <c r="H219" s="124"/>
      <c r="I219" s="124"/>
      <c r="J219" s="60"/>
      <c r="K219" s="60"/>
      <c r="L219" s="160"/>
      <c r="M219" s="60"/>
      <c r="N219" s="60"/>
      <c r="O219" s="60">
        <f t="shared" si="46"/>
        <v>0</v>
      </c>
      <c r="P219" s="60">
        <f t="shared" si="41"/>
        <v>0</v>
      </c>
    </row>
    <row r="220" spans="1:16" s="38" customFormat="1" ht="10.7" customHeight="1" outlineLevel="1" x14ac:dyDescent="0.25">
      <c r="A220" s="146"/>
      <c r="B220" s="142"/>
      <c r="C220" s="115"/>
      <c r="D220" s="115"/>
      <c r="E220" s="115"/>
      <c r="F220" s="115"/>
      <c r="G220" s="60" t="s">
        <v>128</v>
      </c>
      <c r="H220" s="124"/>
      <c r="I220" s="124"/>
      <c r="J220" s="60"/>
      <c r="K220" s="60"/>
      <c r="L220" s="160"/>
      <c r="M220" s="60"/>
      <c r="N220" s="60"/>
      <c r="O220" s="60">
        <f t="shared" si="46"/>
        <v>0</v>
      </c>
      <c r="P220" s="60">
        <f t="shared" si="41"/>
        <v>0</v>
      </c>
    </row>
    <row r="221" spans="1:16" s="38" customFormat="1" ht="10.7" customHeight="1" outlineLevel="1" x14ac:dyDescent="0.25">
      <c r="A221" s="146"/>
      <c r="B221" s="142"/>
      <c r="C221" s="115"/>
      <c r="D221" s="115"/>
      <c r="E221" s="115"/>
      <c r="F221" s="115"/>
      <c r="G221" s="60" t="s">
        <v>129</v>
      </c>
      <c r="H221" s="124"/>
      <c r="I221" s="124"/>
      <c r="J221" s="60"/>
      <c r="K221" s="60"/>
      <c r="L221" s="160"/>
      <c r="M221" s="60"/>
      <c r="N221" s="60"/>
      <c r="O221" s="60">
        <f t="shared" si="46"/>
        <v>0</v>
      </c>
      <c r="P221" s="60">
        <f t="shared" si="41"/>
        <v>0</v>
      </c>
    </row>
    <row r="222" spans="1:16" s="38" customFormat="1" ht="10.7" customHeight="1" outlineLevel="1" x14ac:dyDescent="0.25">
      <c r="A222" s="146"/>
      <c r="B222" s="142"/>
      <c r="C222" s="115"/>
      <c r="D222" s="115"/>
      <c r="E222" s="115"/>
      <c r="F222" s="115"/>
      <c r="G222" s="60" t="s">
        <v>130</v>
      </c>
      <c r="H222" s="124"/>
      <c r="I222" s="124"/>
      <c r="J222" s="60"/>
      <c r="K222" s="60"/>
      <c r="L222" s="160"/>
      <c r="M222" s="60"/>
      <c r="N222" s="60"/>
      <c r="O222" s="60">
        <f t="shared" si="46"/>
        <v>0</v>
      </c>
      <c r="P222" s="60">
        <f t="shared" si="41"/>
        <v>0</v>
      </c>
    </row>
    <row r="223" spans="1:16" s="38" customFormat="1" ht="12" customHeight="1" outlineLevel="1" thickBot="1" x14ac:dyDescent="0.3">
      <c r="A223" s="147"/>
      <c r="B223" s="143"/>
      <c r="C223" s="131"/>
      <c r="D223" s="131"/>
      <c r="E223" s="131"/>
      <c r="F223" s="131"/>
      <c r="G223" s="60" t="s">
        <v>131</v>
      </c>
      <c r="H223" s="134"/>
      <c r="I223" s="134"/>
      <c r="J223" s="60"/>
      <c r="K223" s="60"/>
      <c r="L223" s="160"/>
      <c r="M223" s="60"/>
      <c r="N223" s="60"/>
      <c r="O223" s="60">
        <f t="shared" si="46"/>
        <v>0</v>
      </c>
      <c r="P223" s="60">
        <f t="shared" si="41"/>
        <v>0</v>
      </c>
    </row>
    <row r="224" spans="1:16" s="38" customFormat="1" ht="14.45" customHeight="1" outlineLevel="1" x14ac:dyDescent="0.25">
      <c r="A224" s="140" t="s">
        <v>442</v>
      </c>
      <c r="B224" s="141" t="s">
        <v>545</v>
      </c>
      <c r="C224" s="130">
        <f>SUM(O224:O230)</f>
        <v>0</v>
      </c>
      <c r="D224" s="130">
        <f>SUM(P224:P230)</f>
        <v>0</v>
      </c>
      <c r="E224" s="130">
        <f t="shared" si="39"/>
        <v>0</v>
      </c>
      <c r="F224" s="130"/>
      <c r="G224" s="60" t="s">
        <v>125</v>
      </c>
      <c r="H224" s="123"/>
      <c r="I224" s="123"/>
      <c r="J224" s="60"/>
      <c r="K224" s="60"/>
      <c r="L224" s="160"/>
      <c r="M224" s="60"/>
      <c r="N224" s="60"/>
      <c r="O224" s="60">
        <f>N224*J224*K224*M224</f>
        <v>0</v>
      </c>
      <c r="P224" s="60">
        <f t="shared" si="41"/>
        <v>0</v>
      </c>
    </row>
    <row r="225" spans="1:16" s="38" customFormat="1" ht="11.45" customHeight="1" outlineLevel="1" x14ac:dyDescent="0.25">
      <c r="A225" s="146"/>
      <c r="B225" s="142"/>
      <c r="C225" s="115"/>
      <c r="D225" s="115"/>
      <c r="E225" s="115"/>
      <c r="F225" s="115"/>
      <c r="G225" s="60" t="s">
        <v>126</v>
      </c>
      <c r="H225" s="124"/>
      <c r="I225" s="124"/>
      <c r="J225" s="60"/>
      <c r="K225" s="60"/>
      <c r="L225" s="160"/>
      <c r="M225" s="60"/>
      <c r="N225" s="60"/>
      <c r="O225" s="60">
        <f t="shared" ref="O225:O230" si="47">N225*J225*K225*M225</f>
        <v>0</v>
      </c>
      <c r="P225" s="60">
        <f t="shared" si="41"/>
        <v>0</v>
      </c>
    </row>
    <row r="226" spans="1:16" s="38" customFormat="1" ht="10.7" customHeight="1" outlineLevel="1" x14ac:dyDescent="0.25">
      <c r="A226" s="146"/>
      <c r="B226" s="142"/>
      <c r="C226" s="115"/>
      <c r="D226" s="115"/>
      <c r="E226" s="115"/>
      <c r="F226" s="115"/>
      <c r="G226" s="60" t="s">
        <v>127</v>
      </c>
      <c r="H226" s="124"/>
      <c r="I226" s="124"/>
      <c r="J226" s="60"/>
      <c r="K226" s="60"/>
      <c r="L226" s="160"/>
      <c r="M226" s="60"/>
      <c r="N226" s="60"/>
      <c r="O226" s="60">
        <f t="shared" si="47"/>
        <v>0</v>
      </c>
      <c r="P226" s="60">
        <f t="shared" si="41"/>
        <v>0</v>
      </c>
    </row>
    <row r="227" spans="1:16" s="38" customFormat="1" ht="10.7" customHeight="1" outlineLevel="1" x14ac:dyDescent="0.25">
      <c r="A227" s="146"/>
      <c r="B227" s="142"/>
      <c r="C227" s="115"/>
      <c r="D227" s="115"/>
      <c r="E227" s="115"/>
      <c r="F227" s="115"/>
      <c r="G227" s="60" t="s">
        <v>128</v>
      </c>
      <c r="H227" s="124"/>
      <c r="I227" s="124"/>
      <c r="J227" s="60"/>
      <c r="K227" s="60"/>
      <c r="L227" s="160"/>
      <c r="M227" s="60"/>
      <c r="N227" s="60"/>
      <c r="O227" s="60">
        <f t="shared" si="47"/>
        <v>0</v>
      </c>
      <c r="P227" s="60">
        <f t="shared" si="41"/>
        <v>0</v>
      </c>
    </row>
    <row r="228" spans="1:16" s="38" customFormat="1" ht="10.7" customHeight="1" outlineLevel="1" x14ac:dyDescent="0.25">
      <c r="A228" s="146"/>
      <c r="B228" s="142"/>
      <c r="C228" s="115"/>
      <c r="D228" s="115"/>
      <c r="E228" s="115"/>
      <c r="F228" s="115"/>
      <c r="G228" s="60" t="s">
        <v>129</v>
      </c>
      <c r="H228" s="124"/>
      <c r="I228" s="124"/>
      <c r="J228" s="60"/>
      <c r="K228" s="60"/>
      <c r="L228" s="160"/>
      <c r="M228" s="60"/>
      <c r="N228" s="60"/>
      <c r="O228" s="60">
        <f t="shared" si="47"/>
        <v>0</v>
      </c>
      <c r="P228" s="60">
        <f t="shared" si="41"/>
        <v>0</v>
      </c>
    </row>
    <row r="229" spans="1:16" s="38" customFormat="1" ht="10.7" customHeight="1" outlineLevel="1" x14ac:dyDescent="0.25">
      <c r="A229" s="146"/>
      <c r="B229" s="142"/>
      <c r="C229" s="115"/>
      <c r="D229" s="115"/>
      <c r="E229" s="115"/>
      <c r="F229" s="115"/>
      <c r="G229" s="60" t="s">
        <v>130</v>
      </c>
      <c r="H229" s="124"/>
      <c r="I229" s="124"/>
      <c r="J229" s="60"/>
      <c r="K229" s="60"/>
      <c r="L229" s="160"/>
      <c r="M229" s="60"/>
      <c r="N229" s="60"/>
      <c r="O229" s="60">
        <f t="shared" si="47"/>
        <v>0</v>
      </c>
      <c r="P229" s="60">
        <f t="shared" si="41"/>
        <v>0</v>
      </c>
    </row>
    <row r="230" spans="1:16" s="38" customFormat="1" ht="12" customHeight="1" outlineLevel="1" thickBot="1" x14ac:dyDescent="0.3">
      <c r="A230" s="147"/>
      <c r="B230" s="143"/>
      <c r="C230" s="131"/>
      <c r="D230" s="131"/>
      <c r="E230" s="131"/>
      <c r="F230" s="131"/>
      <c r="G230" s="60" t="s">
        <v>131</v>
      </c>
      <c r="H230" s="134"/>
      <c r="I230" s="134"/>
      <c r="J230" s="60"/>
      <c r="K230" s="60"/>
      <c r="L230" s="160"/>
      <c r="M230" s="60"/>
      <c r="N230" s="60"/>
      <c r="O230" s="60">
        <f t="shared" si="47"/>
        <v>0</v>
      </c>
      <c r="P230" s="60">
        <f t="shared" si="41"/>
        <v>0</v>
      </c>
    </row>
    <row r="231" spans="1:16" s="38" customFormat="1" ht="14.45" customHeight="1" outlineLevel="1" x14ac:dyDescent="0.25">
      <c r="A231" s="140" t="s">
        <v>444</v>
      </c>
      <c r="B231" s="141" t="s">
        <v>546</v>
      </c>
      <c r="C231" s="130">
        <f>SUM(O231:O237)</f>
        <v>0</v>
      </c>
      <c r="D231" s="130">
        <f>SUM(P231:P237)</f>
        <v>0</v>
      </c>
      <c r="E231" s="130">
        <f t="shared" si="39"/>
        <v>0</v>
      </c>
      <c r="F231" s="130"/>
      <c r="G231" s="60" t="s">
        <v>125</v>
      </c>
      <c r="H231" s="123"/>
      <c r="I231" s="123"/>
      <c r="J231" s="60"/>
      <c r="K231" s="60"/>
      <c r="L231" s="160"/>
      <c r="M231" s="60"/>
      <c r="N231" s="60"/>
      <c r="O231" s="60">
        <f>N231*J231*K231*M231</f>
        <v>0</v>
      </c>
      <c r="P231" s="60">
        <f t="shared" si="41"/>
        <v>0</v>
      </c>
    </row>
    <row r="232" spans="1:16" s="38" customFormat="1" ht="11.45" customHeight="1" outlineLevel="1" x14ac:dyDescent="0.25">
      <c r="A232" s="146"/>
      <c r="B232" s="142"/>
      <c r="C232" s="115"/>
      <c r="D232" s="115"/>
      <c r="E232" s="115"/>
      <c r="F232" s="115"/>
      <c r="G232" s="60" t="s">
        <v>126</v>
      </c>
      <c r="H232" s="124"/>
      <c r="I232" s="124"/>
      <c r="J232" s="60"/>
      <c r="K232" s="60"/>
      <c r="L232" s="160"/>
      <c r="M232" s="60"/>
      <c r="N232" s="60"/>
      <c r="O232" s="60">
        <f t="shared" ref="O232:O237" si="48">N232*J232*K232*M232</f>
        <v>0</v>
      </c>
      <c r="P232" s="60">
        <f t="shared" si="41"/>
        <v>0</v>
      </c>
    </row>
    <row r="233" spans="1:16" s="38" customFormat="1" ht="10.7" customHeight="1" outlineLevel="1" x14ac:dyDescent="0.25">
      <c r="A233" s="146"/>
      <c r="B233" s="142"/>
      <c r="C233" s="115"/>
      <c r="D233" s="115"/>
      <c r="E233" s="115"/>
      <c r="F233" s="115"/>
      <c r="G233" s="60" t="s">
        <v>127</v>
      </c>
      <c r="H233" s="124"/>
      <c r="I233" s="124"/>
      <c r="J233" s="60"/>
      <c r="K233" s="60"/>
      <c r="L233" s="160"/>
      <c r="M233" s="60"/>
      <c r="N233" s="60"/>
      <c r="O233" s="60">
        <f t="shared" si="48"/>
        <v>0</v>
      </c>
      <c r="P233" s="60">
        <f t="shared" si="41"/>
        <v>0</v>
      </c>
    </row>
    <row r="234" spans="1:16" s="38" customFormat="1" ht="10.7" customHeight="1" outlineLevel="1" x14ac:dyDescent="0.25">
      <c r="A234" s="146"/>
      <c r="B234" s="142"/>
      <c r="C234" s="115"/>
      <c r="D234" s="115"/>
      <c r="E234" s="115"/>
      <c r="F234" s="115"/>
      <c r="G234" s="60" t="s">
        <v>128</v>
      </c>
      <c r="H234" s="124"/>
      <c r="I234" s="124"/>
      <c r="J234" s="60"/>
      <c r="K234" s="60"/>
      <c r="L234" s="160"/>
      <c r="M234" s="60"/>
      <c r="N234" s="60"/>
      <c r="O234" s="60">
        <f t="shared" si="48"/>
        <v>0</v>
      </c>
      <c r="P234" s="60">
        <f t="shared" si="41"/>
        <v>0</v>
      </c>
    </row>
    <row r="235" spans="1:16" s="38" customFormat="1" ht="10.7" customHeight="1" outlineLevel="1" x14ac:dyDescent="0.25">
      <c r="A235" s="146"/>
      <c r="B235" s="142"/>
      <c r="C235" s="115"/>
      <c r="D235" s="115"/>
      <c r="E235" s="115"/>
      <c r="F235" s="115"/>
      <c r="G235" s="60" t="s">
        <v>129</v>
      </c>
      <c r="H235" s="124"/>
      <c r="I235" s="124"/>
      <c r="J235" s="60"/>
      <c r="K235" s="60"/>
      <c r="L235" s="160"/>
      <c r="M235" s="60"/>
      <c r="N235" s="60"/>
      <c r="O235" s="60">
        <f t="shared" si="48"/>
        <v>0</v>
      </c>
      <c r="P235" s="60">
        <f t="shared" si="41"/>
        <v>0</v>
      </c>
    </row>
    <row r="236" spans="1:16" s="38" customFormat="1" ht="10.7" customHeight="1" outlineLevel="1" x14ac:dyDescent="0.25">
      <c r="A236" s="146"/>
      <c r="B236" s="142"/>
      <c r="C236" s="115"/>
      <c r="D236" s="115"/>
      <c r="E236" s="115"/>
      <c r="F236" s="115"/>
      <c r="G236" s="60" t="s">
        <v>130</v>
      </c>
      <c r="H236" s="124"/>
      <c r="I236" s="124"/>
      <c r="J236" s="60"/>
      <c r="K236" s="60"/>
      <c r="L236" s="160"/>
      <c r="M236" s="60"/>
      <c r="N236" s="60"/>
      <c r="O236" s="60">
        <f t="shared" si="48"/>
        <v>0</v>
      </c>
      <c r="P236" s="60">
        <f t="shared" si="41"/>
        <v>0</v>
      </c>
    </row>
    <row r="237" spans="1:16" s="38" customFormat="1" ht="12" customHeight="1" outlineLevel="1" thickBot="1" x14ac:dyDescent="0.3">
      <c r="A237" s="147"/>
      <c r="B237" s="143"/>
      <c r="C237" s="131"/>
      <c r="D237" s="131"/>
      <c r="E237" s="131"/>
      <c r="F237" s="131"/>
      <c r="G237" s="60" t="s">
        <v>131</v>
      </c>
      <c r="H237" s="134"/>
      <c r="I237" s="134"/>
      <c r="J237" s="60"/>
      <c r="K237" s="60"/>
      <c r="L237" s="160"/>
      <c r="M237" s="60"/>
      <c r="N237" s="60"/>
      <c r="O237" s="60">
        <f t="shared" si="48"/>
        <v>0</v>
      </c>
      <c r="P237" s="60">
        <f t="shared" si="41"/>
        <v>0</v>
      </c>
    </row>
    <row r="238" spans="1:16" s="38" customFormat="1" ht="14.45" customHeight="1" outlineLevel="1" x14ac:dyDescent="0.25">
      <c r="A238" s="140" t="s">
        <v>446</v>
      </c>
      <c r="B238" s="141" t="s">
        <v>547</v>
      </c>
      <c r="C238" s="130">
        <f>SUM(O238:O244)</f>
        <v>0</v>
      </c>
      <c r="D238" s="130">
        <f>SUM(P238:P244)</f>
        <v>0</v>
      </c>
      <c r="E238" s="130">
        <f t="shared" si="39"/>
        <v>0</v>
      </c>
      <c r="F238" s="130"/>
      <c r="G238" s="60" t="s">
        <v>125</v>
      </c>
      <c r="H238" s="123"/>
      <c r="I238" s="123"/>
      <c r="J238" s="60"/>
      <c r="K238" s="60"/>
      <c r="L238" s="160"/>
      <c r="M238" s="60"/>
      <c r="N238" s="60"/>
      <c r="O238" s="60">
        <f>N238*J238*K238*M238</f>
        <v>0</v>
      </c>
      <c r="P238" s="60">
        <f t="shared" si="41"/>
        <v>0</v>
      </c>
    </row>
    <row r="239" spans="1:16" s="38" customFormat="1" ht="11.45" customHeight="1" outlineLevel="1" x14ac:dyDescent="0.25">
      <c r="A239" s="146"/>
      <c r="B239" s="142"/>
      <c r="C239" s="115"/>
      <c r="D239" s="115"/>
      <c r="E239" s="115"/>
      <c r="F239" s="115"/>
      <c r="G239" s="60" t="s">
        <v>126</v>
      </c>
      <c r="H239" s="124"/>
      <c r="I239" s="124"/>
      <c r="J239" s="60"/>
      <c r="K239" s="60"/>
      <c r="L239" s="160"/>
      <c r="M239" s="60"/>
      <c r="N239" s="60"/>
      <c r="O239" s="60">
        <f t="shared" ref="O239:O244" si="49">N239*J239*K239*M239</f>
        <v>0</v>
      </c>
      <c r="P239" s="60">
        <f t="shared" si="41"/>
        <v>0</v>
      </c>
    </row>
    <row r="240" spans="1:16" s="38" customFormat="1" ht="10.7" customHeight="1" outlineLevel="1" x14ac:dyDescent="0.25">
      <c r="A240" s="146"/>
      <c r="B240" s="142"/>
      <c r="C240" s="115"/>
      <c r="D240" s="115"/>
      <c r="E240" s="115"/>
      <c r="F240" s="115"/>
      <c r="G240" s="60" t="s">
        <v>127</v>
      </c>
      <c r="H240" s="124"/>
      <c r="I240" s="124"/>
      <c r="J240" s="60"/>
      <c r="K240" s="60"/>
      <c r="L240" s="160"/>
      <c r="M240" s="60"/>
      <c r="N240" s="60"/>
      <c r="O240" s="60">
        <f t="shared" si="49"/>
        <v>0</v>
      </c>
      <c r="P240" s="60">
        <f t="shared" si="41"/>
        <v>0</v>
      </c>
    </row>
    <row r="241" spans="1:16" s="38" customFormat="1" ht="10.7" customHeight="1" outlineLevel="1" x14ac:dyDescent="0.25">
      <c r="A241" s="146"/>
      <c r="B241" s="142"/>
      <c r="C241" s="115"/>
      <c r="D241" s="115"/>
      <c r="E241" s="115"/>
      <c r="F241" s="115"/>
      <c r="G241" s="60" t="s">
        <v>128</v>
      </c>
      <c r="H241" s="124"/>
      <c r="I241" s="124"/>
      <c r="J241" s="60"/>
      <c r="K241" s="60"/>
      <c r="L241" s="160"/>
      <c r="M241" s="60"/>
      <c r="N241" s="60"/>
      <c r="O241" s="60">
        <f t="shared" si="49"/>
        <v>0</v>
      </c>
      <c r="P241" s="60">
        <f t="shared" si="41"/>
        <v>0</v>
      </c>
    </row>
    <row r="242" spans="1:16" s="38" customFormat="1" ht="10.7" customHeight="1" outlineLevel="1" x14ac:dyDescent="0.25">
      <c r="A242" s="146"/>
      <c r="B242" s="142"/>
      <c r="C242" s="115"/>
      <c r="D242" s="115"/>
      <c r="E242" s="115"/>
      <c r="F242" s="115"/>
      <c r="G242" s="60" t="s">
        <v>129</v>
      </c>
      <c r="H242" s="124"/>
      <c r="I242" s="124"/>
      <c r="J242" s="60"/>
      <c r="K242" s="60"/>
      <c r="L242" s="160"/>
      <c r="M242" s="60"/>
      <c r="N242" s="60"/>
      <c r="O242" s="60">
        <f t="shared" si="49"/>
        <v>0</v>
      </c>
      <c r="P242" s="60">
        <f t="shared" si="41"/>
        <v>0</v>
      </c>
    </row>
    <row r="243" spans="1:16" s="38" customFormat="1" ht="10.7" customHeight="1" outlineLevel="1" x14ac:dyDescent="0.25">
      <c r="A243" s="146"/>
      <c r="B243" s="142"/>
      <c r="C243" s="115"/>
      <c r="D243" s="115"/>
      <c r="E243" s="115"/>
      <c r="F243" s="115"/>
      <c r="G243" s="60" t="s">
        <v>130</v>
      </c>
      <c r="H243" s="124"/>
      <c r="I243" s="124"/>
      <c r="J243" s="60"/>
      <c r="K243" s="60"/>
      <c r="L243" s="160"/>
      <c r="M243" s="60"/>
      <c r="N243" s="60"/>
      <c r="O243" s="60">
        <f t="shared" si="49"/>
        <v>0</v>
      </c>
      <c r="P243" s="60">
        <f t="shared" si="41"/>
        <v>0</v>
      </c>
    </row>
    <row r="244" spans="1:16" s="38" customFormat="1" ht="12" customHeight="1" outlineLevel="1" thickBot="1" x14ac:dyDescent="0.3">
      <c r="A244" s="155"/>
      <c r="B244" s="143"/>
      <c r="C244" s="131"/>
      <c r="D244" s="131"/>
      <c r="E244" s="131"/>
      <c r="F244" s="131"/>
      <c r="G244" s="60" t="s">
        <v>131</v>
      </c>
      <c r="H244" s="134"/>
      <c r="I244" s="134"/>
      <c r="J244" s="60"/>
      <c r="K244" s="60"/>
      <c r="L244" s="160"/>
      <c r="M244" s="60"/>
      <c r="N244" s="60"/>
      <c r="O244" s="60">
        <f t="shared" si="49"/>
        <v>0</v>
      </c>
      <c r="P244" s="60">
        <f t="shared" si="41"/>
        <v>0</v>
      </c>
    </row>
    <row r="245" spans="1:16" s="39" customFormat="1" ht="15.75" x14ac:dyDescent="0.25">
      <c r="A245" s="40" t="s">
        <v>40</v>
      </c>
      <c r="B245" s="41" t="s">
        <v>377</v>
      </c>
      <c r="C245" s="42">
        <f>SUM(C246:C259)</f>
        <v>0</v>
      </c>
      <c r="D245" s="42">
        <f>SUM(D246:D259)</f>
        <v>0</v>
      </c>
      <c r="E245" s="42">
        <f>SUM(E246:E259)</f>
        <v>0</v>
      </c>
      <c r="F245" s="57"/>
      <c r="G245" s="57"/>
      <c r="H245" s="57"/>
      <c r="I245" s="57"/>
      <c r="J245" s="57"/>
      <c r="K245" s="57"/>
      <c r="L245" s="161"/>
      <c r="M245" s="57"/>
      <c r="N245" s="57"/>
      <c r="O245" s="57"/>
      <c r="P245" s="43"/>
    </row>
    <row r="246" spans="1:16" s="38" customFormat="1" ht="14.45" customHeight="1" outlineLevel="1" x14ac:dyDescent="0.25">
      <c r="A246" s="140" t="s">
        <v>172</v>
      </c>
      <c r="B246" s="141" t="s">
        <v>166</v>
      </c>
      <c r="C246" s="130">
        <f>SUM(O246:O252)</f>
        <v>0</v>
      </c>
      <c r="D246" s="130">
        <f>SUM(P246:P252)</f>
        <v>0</v>
      </c>
      <c r="E246" s="130">
        <f t="shared" ref="E246:E253" si="50">D246/8</f>
        <v>0</v>
      </c>
      <c r="F246" s="130"/>
      <c r="G246" s="60" t="s">
        <v>125</v>
      </c>
      <c r="H246" s="123"/>
      <c r="I246" s="123"/>
      <c r="J246" s="60"/>
      <c r="K246" s="60"/>
      <c r="L246" s="160"/>
      <c r="M246" s="60"/>
      <c r="N246" s="60"/>
      <c r="O246" s="60">
        <f>N246*J246*K246*M246</f>
        <v>0</v>
      </c>
      <c r="P246" s="60">
        <f>J246*K246*M246</f>
        <v>0</v>
      </c>
    </row>
    <row r="247" spans="1:16" s="38" customFormat="1" ht="11.45" customHeight="1" outlineLevel="1" x14ac:dyDescent="0.25">
      <c r="A247" s="124"/>
      <c r="B247" s="142"/>
      <c r="C247" s="115"/>
      <c r="D247" s="115"/>
      <c r="E247" s="115"/>
      <c r="F247" s="115"/>
      <c r="G247" s="60" t="s">
        <v>126</v>
      </c>
      <c r="H247" s="124"/>
      <c r="I247" s="124"/>
      <c r="J247" s="60"/>
      <c r="K247" s="60"/>
      <c r="L247" s="160"/>
      <c r="M247" s="60"/>
      <c r="N247" s="60"/>
      <c r="O247" s="60">
        <f t="shared" ref="O247:O252" si="51">N247*J247*K247*M247</f>
        <v>0</v>
      </c>
      <c r="P247" s="60">
        <f t="shared" ref="P247:P259" si="52">J247*K247*M247</f>
        <v>0</v>
      </c>
    </row>
    <row r="248" spans="1:16" s="38" customFormat="1" ht="10.7" customHeight="1" outlineLevel="1" x14ac:dyDescent="0.25">
      <c r="A248" s="124"/>
      <c r="B248" s="142"/>
      <c r="C248" s="115"/>
      <c r="D248" s="115"/>
      <c r="E248" s="115"/>
      <c r="F248" s="115"/>
      <c r="G248" s="60" t="s">
        <v>127</v>
      </c>
      <c r="H248" s="124"/>
      <c r="I248" s="124"/>
      <c r="J248" s="60"/>
      <c r="K248" s="60"/>
      <c r="L248" s="160"/>
      <c r="M248" s="60"/>
      <c r="N248" s="60"/>
      <c r="O248" s="60">
        <f t="shared" si="51"/>
        <v>0</v>
      </c>
      <c r="P248" s="60">
        <f t="shared" si="52"/>
        <v>0</v>
      </c>
    </row>
    <row r="249" spans="1:16" s="38" customFormat="1" ht="10.7" customHeight="1" outlineLevel="1" x14ac:dyDescent="0.25">
      <c r="A249" s="124"/>
      <c r="B249" s="142"/>
      <c r="C249" s="115"/>
      <c r="D249" s="115"/>
      <c r="E249" s="115"/>
      <c r="F249" s="115"/>
      <c r="G249" s="60" t="s">
        <v>128</v>
      </c>
      <c r="H249" s="124"/>
      <c r="I249" s="124"/>
      <c r="J249" s="60"/>
      <c r="K249" s="60"/>
      <c r="L249" s="160"/>
      <c r="M249" s="60"/>
      <c r="N249" s="60"/>
      <c r="O249" s="60">
        <f t="shared" si="51"/>
        <v>0</v>
      </c>
      <c r="P249" s="60">
        <f t="shared" si="52"/>
        <v>0</v>
      </c>
    </row>
    <row r="250" spans="1:16" s="38" customFormat="1" ht="10.7" customHeight="1" outlineLevel="1" x14ac:dyDescent="0.25">
      <c r="A250" s="124"/>
      <c r="B250" s="142"/>
      <c r="C250" s="115"/>
      <c r="D250" s="115"/>
      <c r="E250" s="115"/>
      <c r="F250" s="115"/>
      <c r="G250" s="60" t="s">
        <v>129</v>
      </c>
      <c r="H250" s="124"/>
      <c r="I250" s="124"/>
      <c r="J250" s="60"/>
      <c r="K250" s="60"/>
      <c r="L250" s="160"/>
      <c r="M250" s="60"/>
      <c r="N250" s="60"/>
      <c r="O250" s="60">
        <f t="shared" si="51"/>
        <v>0</v>
      </c>
      <c r="P250" s="60">
        <f t="shared" si="52"/>
        <v>0</v>
      </c>
    </row>
    <row r="251" spans="1:16" s="38" customFormat="1" ht="10.7" customHeight="1" outlineLevel="1" x14ac:dyDescent="0.25">
      <c r="A251" s="124"/>
      <c r="B251" s="142"/>
      <c r="C251" s="115"/>
      <c r="D251" s="115"/>
      <c r="E251" s="115"/>
      <c r="F251" s="115"/>
      <c r="G251" s="60" t="s">
        <v>130</v>
      </c>
      <c r="H251" s="124"/>
      <c r="I251" s="124"/>
      <c r="J251" s="60"/>
      <c r="K251" s="60"/>
      <c r="L251" s="160"/>
      <c r="M251" s="60"/>
      <c r="N251" s="60"/>
      <c r="O251" s="60">
        <f t="shared" si="51"/>
        <v>0</v>
      </c>
      <c r="P251" s="60">
        <f t="shared" si="52"/>
        <v>0</v>
      </c>
    </row>
    <row r="252" spans="1:16" s="38" customFormat="1" ht="12" customHeight="1" outlineLevel="1" thickBot="1" x14ac:dyDescent="0.3">
      <c r="A252" s="125"/>
      <c r="B252" s="143"/>
      <c r="C252" s="131"/>
      <c r="D252" s="131"/>
      <c r="E252" s="131"/>
      <c r="F252" s="131"/>
      <c r="G252" s="60" t="s">
        <v>131</v>
      </c>
      <c r="H252" s="134"/>
      <c r="I252" s="134"/>
      <c r="J252" s="60"/>
      <c r="K252" s="60"/>
      <c r="L252" s="160"/>
      <c r="M252" s="60"/>
      <c r="N252" s="60"/>
      <c r="O252" s="60">
        <f t="shared" si="51"/>
        <v>0</v>
      </c>
      <c r="P252" s="60">
        <f t="shared" si="52"/>
        <v>0</v>
      </c>
    </row>
    <row r="253" spans="1:16" s="38" customFormat="1" ht="14.45" customHeight="1" outlineLevel="1" x14ac:dyDescent="0.25">
      <c r="A253" s="140" t="s">
        <v>174</v>
      </c>
      <c r="B253" s="141" t="s">
        <v>168</v>
      </c>
      <c r="C253" s="130">
        <f>SUM(O253:O259)</f>
        <v>0</v>
      </c>
      <c r="D253" s="130">
        <f>SUM(P253:P259)</f>
        <v>0</v>
      </c>
      <c r="E253" s="130">
        <f t="shared" si="50"/>
        <v>0</v>
      </c>
      <c r="F253" s="130"/>
      <c r="G253" s="60" t="s">
        <v>125</v>
      </c>
      <c r="H253" s="123"/>
      <c r="I253" s="123"/>
      <c r="J253" s="60"/>
      <c r="K253" s="60"/>
      <c r="L253" s="160"/>
      <c r="M253" s="60"/>
      <c r="N253" s="60"/>
      <c r="O253" s="60">
        <f>N253*J253*K253*M253</f>
        <v>0</v>
      </c>
      <c r="P253" s="60">
        <f t="shared" si="52"/>
        <v>0</v>
      </c>
    </row>
    <row r="254" spans="1:16" s="38" customFormat="1" ht="11.45" customHeight="1" outlineLevel="1" x14ac:dyDescent="0.25">
      <c r="A254" s="124"/>
      <c r="B254" s="142"/>
      <c r="C254" s="115"/>
      <c r="D254" s="115"/>
      <c r="E254" s="115"/>
      <c r="F254" s="115"/>
      <c r="G254" s="60" t="s">
        <v>126</v>
      </c>
      <c r="H254" s="124"/>
      <c r="I254" s="124"/>
      <c r="J254" s="60"/>
      <c r="K254" s="60"/>
      <c r="L254" s="160"/>
      <c r="M254" s="60"/>
      <c r="N254" s="60"/>
      <c r="O254" s="60">
        <f t="shared" ref="O254:O259" si="53">N254*J254*K254*M254</f>
        <v>0</v>
      </c>
      <c r="P254" s="60">
        <f t="shared" si="52"/>
        <v>0</v>
      </c>
    </row>
    <row r="255" spans="1:16" s="38" customFormat="1" ht="10.7" customHeight="1" outlineLevel="1" x14ac:dyDescent="0.25">
      <c r="A255" s="124"/>
      <c r="B255" s="142"/>
      <c r="C255" s="115"/>
      <c r="D255" s="115"/>
      <c r="E255" s="115"/>
      <c r="F255" s="115"/>
      <c r="G255" s="60" t="s">
        <v>127</v>
      </c>
      <c r="H255" s="124"/>
      <c r="I255" s="124"/>
      <c r="J255" s="60"/>
      <c r="K255" s="60"/>
      <c r="L255" s="160"/>
      <c r="M255" s="60"/>
      <c r="N255" s="60"/>
      <c r="O255" s="60">
        <f t="shared" si="53"/>
        <v>0</v>
      </c>
      <c r="P255" s="60">
        <f t="shared" si="52"/>
        <v>0</v>
      </c>
    </row>
    <row r="256" spans="1:16" s="38" customFormat="1" ht="10.7" customHeight="1" outlineLevel="1" x14ac:dyDescent="0.25">
      <c r="A256" s="124"/>
      <c r="B256" s="142"/>
      <c r="C256" s="115"/>
      <c r="D256" s="115"/>
      <c r="E256" s="115"/>
      <c r="F256" s="115"/>
      <c r="G256" s="60" t="s">
        <v>128</v>
      </c>
      <c r="H256" s="124"/>
      <c r="I256" s="124"/>
      <c r="J256" s="60"/>
      <c r="K256" s="60"/>
      <c r="L256" s="160"/>
      <c r="M256" s="60"/>
      <c r="N256" s="60"/>
      <c r="O256" s="60">
        <f t="shared" si="53"/>
        <v>0</v>
      </c>
      <c r="P256" s="60">
        <f t="shared" si="52"/>
        <v>0</v>
      </c>
    </row>
    <row r="257" spans="1:16" s="38" customFormat="1" ht="10.7" customHeight="1" outlineLevel="1" x14ac:dyDescent="0.25">
      <c r="A257" s="124"/>
      <c r="B257" s="142"/>
      <c r="C257" s="115"/>
      <c r="D257" s="115"/>
      <c r="E257" s="115"/>
      <c r="F257" s="115"/>
      <c r="G257" s="60" t="s">
        <v>129</v>
      </c>
      <c r="H257" s="124"/>
      <c r="I257" s="124"/>
      <c r="J257" s="60"/>
      <c r="K257" s="60"/>
      <c r="L257" s="160"/>
      <c r="M257" s="60"/>
      <c r="N257" s="60"/>
      <c r="O257" s="60">
        <f t="shared" si="53"/>
        <v>0</v>
      </c>
      <c r="P257" s="60">
        <f t="shared" si="52"/>
        <v>0</v>
      </c>
    </row>
    <row r="258" spans="1:16" s="38" customFormat="1" ht="10.7" customHeight="1" outlineLevel="1" x14ac:dyDescent="0.25">
      <c r="A258" s="124"/>
      <c r="B258" s="142"/>
      <c r="C258" s="115"/>
      <c r="D258" s="115"/>
      <c r="E258" s="115"/>
      <c r="F258" s="115"/>
      <c r="G258" s="60" t="s">
        <v>130</v>
      </c>
      <c r="H258" s="124"/>
      <c r="I258" s="124"/>
      <c r="J258" s="60"/>
      <c r="K258" s="60"/>
      <c r="L258" s="160"/>
      <c r="M258" s="60"/>
      <c r="N258" s="60"/>
      <c r="O258" s="60">
        <f t="shared" si="53"/>
        <v>0</v>
      </c>
      <c r="P258" s="60">
        <f t="shared" si="52"/>
        <v>0</v>
      </c>
    </row>
    <row r="259" spans="1:16" s="38" customFormat="1" ht="12" customHeight="1" outlineLevel="1" thickBot="1" x14ac:dyDescent="0.3">
      <c r="A259" s="125"/>
      <c r="B259" s="143"/>
      <c r="C259" s="131"/>
      <c r="D259" s="131"/>
      <c r="E259" s="131"/>
      <c r="F259" s="131"/>
      <c r="G259" s="60" t="s">
        <v>131</v>
      </c>
      <c r="H259" s="134"/>
      <c r="I259" s="134"/>
      <c r="J259" s="60"/>
      <c r="K259" s="60"/>
      <c r="L259" s="160"/>
      <c r="M259" s="60"/>
      <c r="N259" s="60"/>
      <c r="O259" s="60">
        <f t="shared" si="53"/>
        <v>0</v>
      </c>
      <c r="P259" s="60">
        <f t="shared" si="52"/>
        <v>0</v>
      </c>
    </row>
    <row r="260" spans="1:16" s="39" customFormat="1" ht="15.75" x14ac:dyDescent="0.25">
      <c r="A260" s="40" t="s">
        <v>42</v>
      </c>
      <c r="B260" s="41" t="s">
        <v>171</v>
      </c>
      <c r="C260" s="42">
        <f>SUM(C261:C281)</f>
        <v>0</v>
      </c>
      <c r="D260" s="42">
        <f>SUM(D261:D281)</f>
        <v>0</v>
      </c>
      <c r="E260" s="42">
        <f>SUM(E261:E281)</f>
        <v>0</v>
      </c>
      <c r="F260" s="57"/>
      <c r="G260" s="57"/>
      <c r="H260" s="57"/>
      <c r="I260" s="57"/>
      <c r="J260" s="57"/>
      <c r="K260" s="57"/>
      <c r="L260" s="161"/>
      <c r="M260" s="57"/>
      <c r="N260" s="57"/>
      <c r="O260" s="57"/>
      <c r="P260" s="43"/>
    </row>
    <row r="261" spans="1:16" s="38" customFormat="1" ht="14.45" customHeight="1" outlineLevel="1" x14ac:dyDescent="0.25">
      <c r="A261" s="140" t="s">
        <v>177</v>
      </c>
      <c r="B261" s="141" t="s">
        <v>603</v>
      </c>
      <c r="C261" s="130">
        <f>SUM(O261:O267)</f>
        <v>0</v>
      </c>
      <c r="D261" s="130">
        <f>SUM(P261:P267)</f>
        <v>0</v>
      </c>
      <c r="E261" s="130">
        <f t="shared" ref="E261:E275" si="54">D261/8</f>
        <v>0</v>
      </c>
      <c r="F261" s="130"/>
      <c r="G261" s="60" t="s">
        <v>125</v>
      </c>
      <c r="H261" s="123"/>
      <c r="I261" s="123"/>
      <c r="J261" s="60"/>
      <c r="K261" s="60"/>
      <c r="L261" s="160"/>
      <c r="M261" s="60"/>
      <c r="N261" s="60"/>
      <c r="O261" s="60">
        <f>N261*J261*K261*M261</f>
        <v>0</v>
      </c>
      <c r="P261" s="60">
        <f>J261*K261*M261</f>
        <v>0</v>
      </c>
    </row>
    <row r="262" spans="1:16" s="38" customFormat="1" ht="11.45" customHeight="1" outlineLevel="1" x14ac:dyDescent="0.25">
      <c r="A262" s="124"/>
      <c r="B262" s="142"/>
      <c r="C262" s="115"/>
      <c r="D262" s="115"/>
      <c r="E262" s="115"/>
      <c r="F262" s="115"/>
      <c r="G262" s="60" t="s">
        <v>126</v>
      </c>
      <c r="H262" s="124"/>
      <c r="I262" s="124"/>
      <c r="J262" s="60"/>
      <c r="K262" s="60"/>
      <c r="L262" s="160"/>
      <c r="M262" s="60"/>
      <c r="N262" s="60"/>
      <c r="O262" s="60">
        <f t="shared" ref="O262:O267" si="55">N262*J262*K262*M262</f>
        <v>0</v>
      </c>
      <c r="P262" s="60">
        <f t="shared" ref="P262:P281" si="56">J262*K262*M262</f>
        <v>0</v>
      </c>
    </row>
    <row r="263" spans="1:16" s="38" customFormat="1" ht="10.7" customHeight="1" outlineLevel="1" x14ac:dyDescent="0.25">
      <c r="A263" s="124"/>
      <c r="B263" s="142"/>
      <c r="C263" s="115"/>
      <c r="D263" s="115"/>
      <c r="E263" s="115"/>
      <c r="F263" s="115"/>
      <c r="G263" s="60" t="s">
        <v>127</v>
      </c>
      <c r="H263" s="124"/>
      <c r="I263" s="124"/>
      <c r="J263" s="60"/>
      <c r="K263" s="60"/>
      <c r="L263" s="160"/>
      <c r="M263" s="60"/>
      <c r="N263" s="60"/>
      <c r="O263" s="60">
        <f t="shared" si="55"/>
        <v>0</v>
      </c>
      <c r="P263" s="60">
        <f t="shared" si="56"/>
        <v>0</v>
      </c>
    </row>
    <row r="264" spans="1:16" s="38" customFormat="1" ht="10.7" customHeight="1" outlineLevel="1" x14ac:dyDescent="0.25">
      <c r="A264" s="124"/>
      <c r="B264" s="142"/>
      <c r="C264" s="115"/>
      <c r="D264" s="115"/>
      <c r="E264" s="115"/>
      <c r="F264" s="115"/>
      <c r="G264" s="60" t="s">
        <v>128</v>
      </c>
      <c r="H264" s="124"/>
      <c r="I264" s="124"/>
      <c r="J264" s="60"/>
      <c r="K264" s="60"/>
      <c r="L264" s="160"/>
      <c r="M264" s="60"/>
      <c r="N264" s="60"/>
      <c r="O264" s="60">
        <f t="shared" si="55"/>
        <v>0</v>
      </c>
      <c r="P264" s="60">
        <f t="shared" si="56"/>
        <v>0</v>
      </c>
    </row>
    <row r="265" spans="1:16" s="38" customFormat="1" ht="10.7" customHeight="1" outlineLevel="1" x14ac:dyDescent="0.25">
      <c r="A265" s="124"/>
      <c r="B265" s="142"/>
      <c r="C265" s="115"/>
      <c r="D265" s="115"/>
      <c r="E265" s="115"/>
      <c r="F265" s="115"/>
      <c r="G265" s="60" t="s">
        <v>129</v>
      </c>
      <c r="H265" s="124"/>
      <c r="I265" s="124"/>
      <c r="J265" s="60"/>
      <c r="K265" s="60"/>
      <c r="L265" s="160"/>
      <c r="M265" s="60"/>
      <c r="N265" s="60"/>
      <c r="O265" s="60">
        <f t="shared" si="55"/>
        <v>0</v>
      </c>
      <c r="P265" s="60">
        <f t="shared" si="56"/>
        <v>0</v>
      </c>
    </row>
    <row r="266" spans="1:16" s="38" customFormat="1" ht="10.7" customHeight="1" outlineLevel="1" x14ac:dyDescent="0.25">
      <c r="A266" s="124"/>
      <c r="B266" s="142"/>
      <c r="C266" s="115"/>
      <c r="D266" s="115"/>
      <c r="E266" s="115"/>
      <c r="F266" s="115"/>
      <c r="G266" s="60" t="s">
        <v>130</v>
      </c>
      <c r="H266" s="124"/>
      <c r="I266" s="124"/>
      <c r="J266" s="60"/>
      <c r="K266" s="60"/>
      <c r="L266" s="160"/>
      <c r="M266" s="60"/>
      <c r="N266" s="60"/>
      <c r="O266" s="60">
        <f t="shared" si="55"/>
        <v>0</v>
      </c>
      <c r="P266" s="60">
        <f t="shared" si="56"/>
        <v>0</v>
      </c>
    </row>
    <row r="267" spans="1:16" s="38" customFormat="1" ht="12" customHeight="1" outlineLevel="1" thickBot="1" x14ac:dyDescent="0.3">
      <c r="A267" s="125"/>
      <c r="B267" s="143"/>
      <c r="C267" s="131"/>
      <c r="D267" s="131"/>
      <c r="E267" s="131"/>
      <c r="F267" s="131"/>
      <c r="G267" s="60" t="s">
        <v>131</v>
      </c>
      <c r="H267" s="134"/>
      <c r="I267" s="134"/>
      <c r="J267" s="60"/>
      <c r="K267" s="60"/>
      <c r="L267" s="160"/>
      <c r="M267" s="60"/>
      <c r="N267" s="60"/>
      <c r="O267" s="60">
        <f t="shared" si="55"/>
        <v>0</v>
      </c>
      <c r="P267" s="60">
        <f t="shared" si="56"/>
        <v>0</v>
      </c>
    </row>
    <row r="268" spans="1:16" s="38" customFormat="1" ht="14.45" customHeight="1" outlineLevel="1" x14ac:dyDescent="0.25">
      <c r="A268" s="140" t="s">
        <v>179</v>
      </c>
      <c r="B268" s="141" t="s">
        <v>604</v>
      </c>
      <c r="C268" s="130">
        <f>SUM(O268:O274)</f>
        <v>0</v>
      </c>
      <c r="D268" s="130">
        <f>SUM(P268:P274)</f>
        <v>0</v>
      </c>
      <c r="E268" s="130">
        <f t="shared" si="54"/>
        <v>0</v>
      </c>
      <c r="F268" s="130"/>
      <c r="G268" s="60" t="s">
        <v>125</v>
      </c>
      <c r="H268" s="123"/>
      <c r="I268" s="123"/>
      <c r="J268" s="60"/>
      <c r="K268" s="60"/>
      <c r="L268" s="160"/>
      <c r="M268" s="60"/>
      <c r="N268" s="60"/>
      <c r="O268" s="60">
        <f>N268*J268*K268*M268</f>
        <v>0</v>
      </c>
      <c r="P268" s="60">
        <f t="shared" si="56"/>
        <v>0</v>
      </c>
    </row>
    <row r="269" spans="1:16" s="38" customFormat="1" ht="11.45" customHeight="1" outlineLevel="1" x14ac:dyDescent="0.25">
      <c r="A269" s="124"/>
      <c r="B269" s="142"/>
      <c r="C269" s="115"/>
      <c r="D269" s="115"/>
      <c r="E269" s="115"/>
      <c r="F269" s="115"/>
      <c r="G269" s="60" t="s">
        <v>126</v>
      </c>
      <c r="H269" s="124"/>
      <c r="I269" s="124"/>
      <c r="J269" s="60"/>
      <c r="K269" s="60"/>
      <c r="L269" s="160"/>
      <c r="M269" s="60"/>
      <c r="N269" s="60"/>
      <c r="O269" s="60">
        <f t="shared" ref="O269:O274" si="57">N269*J269*K269*M269</f>
        <v>0</v>
      </c>
      <c r="P269" s="60">
        <f t="shared" si="56"/>
        <v>0</v>
      </c>
    </row>
    <row r="270" spans="1:16" s="38" customFormat="1" ht="10.7" customHeight="1" outlineLevel="1" x14ac:dyDescent="0.25">
      <c r="A270" s="124"/>
      <c r="B270" s="142"/>
      <c r="C270" s="115"/>
      <c r="D270" s="115"/>
      <c r="E270" s="115"/>
      <c r="F270" s="115"/>
      <c r="G270" s="60" t="s">
        <v>127</v>
      </c>
      <c r="H270" s="124"/>
      <c r="I270" s="124"/>
      <c r="J270" s="60"/>
      <c r="K270" s="60"/>
      <c r="L270" s="160"/>
      <c r="M270" s="60"/>
      <c r="N270" s="60"/>
      <c r="O270" s="60">
        <f t="shared" si="57"/>
        <v>0</v>
      </c>
      <c r="P270" s="60">
        <f t="shared" si="56"/>
        <v>0</v>
      </c>
    </row>
    <row r="271" spans="1:16" s="38" customFormat="1" ht="10.7" customHeight="1" outlineLevel="1" x14ac:dyDescent="0.25">
      <c r="A271" s="124"/>
      <c r="B271" s="142"/>
      <c r="C271" s="115"/>
      <c r="D271" s="115"/>
      <c r="E271" s="115"/>
      <c r="F271" s="115"/>
      <c r="G271" s="60" t="s">
        <v>128</v>
      </c>
      <c r="H271" s="124"/>
      <c r="I271" s="124"/>
      <c r="J271" s="60"/>
      <c r="K271" s="60"/>
      <c r="L271" s="160"/>
      <c r="M271" s="60"/>
      <c r="N271" s="60"/>
      <c r="O271" s="60">
        <f t="shared" si="57"/>
        <v>0</v>
      </c>
      <c r="P271" s="60">
        <f t="shared" si="56"/>
        <v>0</v>
      </c>
    </row>
    <row r="272" spans="1:16" s="38" customFormat="1" ht="10.7" customHeight="1" outlineLevel="1" x14ac:dyDescent="0.25">
      <c r="A272" s="124"/>
      <c r="B272" s="142"/>
      <c r="C272" s="115"/>
      <c r="D272" s="115"/>
      <c r="E272" s="115"/>
      <c r="F272" s="115"/>
      <c r="G272" s="60" t="s">
        <v>129</v>
      </c>
      <c r="H272" s="124"/>
      <c r="I272" s="124"/>
      <c r="J272" s="60"/>
      <c r="K272" s="60"/>
      <c r="L272" s="160"/>
      <c r="M272" s="60"/>
      <c r="N272" s="60"/>
      <c r="O272" s="60">
        <f t="shared" si="57"/>
        <v>0</v>
      </c>
      <c r="P272" s="60">
        <f t="shared" si="56"/>
        <v>0</v>
      </c>
    </row>
    <row r="273" spans="1:16" s="38" customFormat="1" ht="10.7" customHeight="1" outlineLevel="1" x14ac:dyDescent="0.25">
      <c r="A273" s="124"/>
      <c r="B273" s="142"/>
      <c r="C273" s="115"/>
      <c r="D273" s="115"/>
      <c r="E273" s="115"/>
      <c r="F273" s="115"/>
      <c r="G273" s="60" t="s">
        <v>130</v>
      </c>
      <c r="H273" s="124"/>
      <c r="I273" s="124"/>
      <c r="J273" s="60"/>
      <c r="K273" s="60"/>
      <c r="L273" s="160"/>
      <c r="M273" s="60"/>
      <c r="N273" s="60"/>
      <c r="O273" s="60">
        <f t="shared" si="57"/>
        <v>0</v>
      </c>
      <c r="P273" s="60">
        <f t="shared" si="56"/>
        <v>0</v>
      </c>
    </row>
    <row r="274" spans="1:16" s="38" customFormat="1" ht="12" customHeight="1" outlineLevel="1" thickBot="1" x14ac:dyDescent="0.3">
      <c r="A274" s="125"/>
      <c r="B274" s="143"/>
      <c r="C274" s="131"/>
      <c r="D274" s="131"/>
      <c r="E274" s="131"/>
      <c r="F274" s="131"/>
      <c r="G274" s="60" t="s">
        <v>131</v>
      </c>
      <c r="H274" s="134"/>
      <c r="I274" s="134"/>
      <c r="J274" s="60"/>
      <c r="K274" s="60"/>
      <c r="L274" s="160"/>
      <c r="M274" s="60"/>
      <c r="N274" s="60"/>
      <c r="O274" s="60">
        <f t="shared" si="57"/>
        <v>0</v>
      </c>
      <c r="P274" s="60">
        <f t="shared" si="56"/>
        <v>0</v>
      </c>
    </row>
    <row r="275" spans="1:16" s="38" customFormat="1" ht="14.45" customHeight="1" outlineLevel="1" x14ac:dyDescent="0.25">
      <c r="A275" s="140" t="s">
        <v>605</v>
      </c>
      <c r="B275" s="141" t="s">
        <v>606</v>
      </c>
      <c r="C275" s="130">
        <f>SUM(O275:O281)</f>
        <v>0</v>
      </c>
      <c r="D275" s="130">
        <f>SUM(P275:P281)</f>
        <v>0</v>
      </c>
      <c r="E275" s="130">
        <f t="shared" si="54"/>
        <v>0</v>
      </c>
      <c r="F275" s="130"/>
      <c r="G275" s="60" t="s">
        <v>125</v>
      </c>
      <c r="H275" s="123"/>
      <c r="I275" s="123"/>
      <c r="J275" s="60"/>
      <c r="K275" s="60"/>
      <c r="L275" s="160"/>
      <c r="M275" s="60"/>
      <c r="N275" s="60"/>
      <c r="O275" s="60">
        <f>N275*J275*K275*M275</f>
        <v>0</v>
      </c>
      <c r="P275" s="60">
        <f t="shared" si="56"/>
        <v>0</v>
      </c>
    </row>
    <row r="276" spans="1:16" s="38" customFormat="1" ht="11.45" customHeight="1" outlineLevel="1" x14ac:dyDescent="0.25">
      <c r="A276" s="124"/>
      <c r="B276" s="142"/>
      <c r="C276" s="115"/>
      <c r="D276" s="115"/>
      <c r="E276" s="115"/>
      <c r="F276" s="115"/>
      <c r="G276" s="60" t="s">
        <v>126</v>
      </c>
      <c r="H276" s="124"/>
      <c r="I276" s="124"/>
      <c r="J276" s="60"/>
      <c r="K276" s="60"/>
      <c r="L276" s="160"/>
      <c r="M276" s="60"/>
      <c r="N276" s="60"/>
      <c r="O276" s="60">
        <f t="shared" ref="O276:O281" si="58">N276*J276*K276*M276</f>
        <v>0</v>
      </c>
      <c r="P276" s="60">
        <f t="shared" si="56"/>
        <v>0</v>
      </c>
    </row>
    <row r="277" spans="1:16" s="38" customFormat="1" ht="10.7" customHeight="1" outlineLevel="1" x14ac:dyDescent="0.25">
      <c r="A277" s="124"/>
      <c r="B277" s="142"/>
      <c r="C277" s="115"/>
      <c r="D277" s="115"/>
      <c r="E277" s="115"/>
      <c r="F277" s="115"/>
      <c r="G277" s="60" t="s">
        <v>127</v>
      </c>
      <c r="H277" s="124"/>
      <c r="I277" s="124"/>
      <c r="J277" s="60"/>
      <c r="K277" s="60"/>
      <c r="L277" s="160"/>
      <c r="M277" s="60"/>
      <c r="N277" s="60"/>
      <c r="O277" s="60">
        <f t="shared" si="58"/>
        <v>0</v>
      </c>
      <c r="P277" s="60">
        <f t="shared" si="56"/>
        <v>0</v>
      </c>
    </row>
    <row r="278" spans="1:16" s="38" customFormat="1" ht="10.7" customHeight="1" outlineLevel="1" x14ac:dyDescent="0.25">
      <c r="A278" s="124"/>
      <c r="B278" s="142"/>
      <c r="C278" s="115"/>
      <c r="D278" s="115"/>
      <c r="E278" s="115"/>
      <c r="F278" s="115"/>
      <c r="G278" s="60" t="s">
        <v>128</v>
      </c>
      <c r="H278" s="124"/>
      <c r="I278" s="124"/>
      <c r="J278" s="60"/>
      <c r="K278" s="60"/>
      <c r="L278" s="160"/>
      <c r="M278" s="60"/>
      <c r="N278" s="60"/>
      <c r="O278" s="60">
        <f t="shared" si="58"/>
        <v>0</v>
      </c>
      <c r="P278" s="60">
        <f t="shared" si="56"/>
        <v>0</v>
      </c>
    </row>
    <row r="279" spans="1:16" s="38" customFormat="1" ht="10.7" customHeight="1" outlineLevel="1" x14ac:dyDescent="0.25">
      <c r="A279" s="124"/>
      <c r="B279" s="142"/>
      <c r="C279" s="115"/>
      <c r="D279" s="115"/>
      <c r="E279" s="115"/>
      <c r="F279" s="115"/>
      <c r="G279" s="60" t="s">
        <v>129</v>
      </c>
      <c r="H279" s="124"/>
      <c r="I279" s="124"/>
      <c r="J279" s="60"/>
      <c r="K279" s="60"/>
      <c r="L279" s="160"/>
      <c r="M279" s="60"/>
      <c r="N279" s="60"/>
      <c r="O279" s="60">
        <f t="shared" si="58"/>
        <v>0</v>
      </c>
      <c r="P279" s="60">
        <f t="shared" si="56"/>
        <v>0</v>
      </c>
    </row>
    <row r="280" spans="1:16" s="38" customFormat="1" ht="10.7" customHeight="1" outlineLevel="1" x14ac:dyDescent="0.25">
      <c r="A280" s="124"/>
      <c r="B280" s="142"/>
      <c r="C280" s="115"/>
      <c r="D280" s="115"/>
      <c r="E280" s="115"/>
      <c r="F280" s="115"/>
      <c r="G280" s="60" t="s">
        <v>130</v>
      </c>
      <c r="H280" s="124"/>
      <c r="I280" s="124"/>
      <c r="J280" s="60"/>
      <c r="K280" s="60"/>
      <c r="L280" s="160"/>
      <c r="M280" s="60"/>
      <c r="N280" s="60"/>
      <c r="O280" s="60">
        <f t="shared" si="58"/>
        <v>0</v>
      </c>
      <c r="P280" s="60">
        <f t="shared" si="56"/>
        <v>0</v>
      </c>
    </row>
    <row r="281" spans="1:16" s="38" customFormat="1" ht="12" customHeight="1" outlineLevel="1" thickBot="1" x14ac:dyDescent="0.3">
      <c r="A281" s="125"/>
      <c r="B281" s="143"/>
      <c r="C281" s="131"/>
      <c r="D281" s="131"/>
      <c r="E281" s="131"/>
      <c r="F281" s="131"/>
      <c r="G281" s="60" t="s">
        <v>131</v>
      </c>
      <c r="H281" s="134"/>
      <c r="I281" s="134"/>
      <c r="J281" s="60"/>
      <c r="K281" s="60"/>
      <c r="L281" s="160"/>
      <c r="M281" s="60"/>
      <c r="N281" s="60"/>
      <c r="O281" s="60">
        <f t="shared" si="58"/>
        <v>0</v>
      </c>
      <c r="P281" s="60">
        <f t="shared" si="56"/>
        <v>0</v>
      </c>
    </row>
    <row r="282" spans="1:16" s="39" customFormat="1" ht="15.75" x14ac:dyDescent="0.25">
      <c r="A282" s="40" t="s">
        <v>44</v>
      </c>
      <c r="B282" s="41" t="s">
        <v>176</v>
      </c>
      <c r="C282" s="42">
        <f>SUM(C283:C296)</f>
        <v>0</v>
      </c>
      <c r="D282" s="42">
        <f>SUM(D283:D296)</f>
        <v>0</v>
      </c>
      <c r="E282" s="42">
        <f>SUM(E283:E296)</f>
        <v>0</v>
      </c>
      <c r="F282" s="57"/>
      <c r="G282" s="57"/>
      <c r="H282" s="57"/>
      <c r="I282" s="57"/>
      <c r="J282" s="57"/>
      <c r="K282" s="57"/>
      <c r="L282" s="161"/>
      <c r="M282" s="57"/>
      <c r="N282" s="57"/>
      <c r="O282" s="57"/>
      <c r="P282" s="43"/>
    </row>
    <row r="283" spans="1:16" s="38" customFormat="1" ht="14.45" customHeight="1" outlineLevel="1" x14ac:dyDescent="0.25">
      <c r="A283" s="140" t="s">
        <v>182</v>
      </c>
      <c r="B283" s="141" t="s">
        <v>378</v>
      </c>
      <c r="C283" s="130">
        <f>SUM(O283:O289)</f>
        <v>0</v>
      </c>
      <c r="D283" s="130">
        <f>SUM(P283:P289)</f>
        <v>0</v>
      </c>
      <c r="E283" s="130">
        <f t="shared" ref="E283:E290" si="59">D283/8</f>
        <v>0</v>
      </c>
      <c r="F283" s="130"/>
      <c r="G283" s="60" t="s">
        <v>125</v>
      </c>
      <c r="H283" s="123"/>
      <c r="I283" s="123"/>
      <c r="J283" s="60"/>
      <c r="K283" s="60"/>
      <c r="L283" s="160"/>
      <c r="M283" s="60"/>
      <c r="N283" s="60"/>
      <c r="O283" s="60">
        <f>N283*J283*K283*M283</f>
        <v>0</v>
      </c>
      <c r="P283" s="60">
        <f>J283*K283*M283</f>
        <v>0</v>
      </c>
    </row>
    <row r="284" spans="1:16" s="38" customFormat="1" ht="11.45" customHeight="1" outlineLevel="1" x14ac:dyDescent="0.25">
      <c r="A284" s="124"/>
      <c r="B284" s="142"/>
      <c r="C284" s="115"/>
      <c r="D284" s="115"/>
      <c r="E284" s="115"/>
      <c r="F284" s="115"/>
      <c r="G284" s="60" t="s">
        <v>126</v>
      </c>
      <c r="H284" s="124"/>
      <c r="I284" s="124"/>
      <c r="J284" s="60"/>
      <c r="K284" s="60"/>
      <c r="L284" s="160"/>
      <c r="M284" s="60"/>
      <c r="N284" s="60"/>
      <c r="O284" s="60">
        <f t="shared" ref="O284:O289" si="60">N284*J284*K284*M284</f>
        <v>0</v>
      </c>
      <c r="P284" s="60">
        <f t="shared" ref="P284:P296" si="61">J284*K284*M284</f>
        <v>0</v>
      </c>
    </row>
    <row r="285" spans="1:16" s="38" customFormat="1" ht="10.7" customHeight="1" outlineLevel="1" x14ac:dyDescent="0.25">
      <c r="A285" s="124"/>
      <c r="B285" s="142"/>
      <c r="C285" s="115"/>
      <c r="D285" s="115"/>
      <c r="E285" s="115"/>
      <c r="F285" s="115"/>
      <c r="G285" s="60" t="s">
        <v>127</v>
      </c>
      <c r="H285" s="124"/>
      <c r="I285" s="124"/>
      <c r="J285" s="60"/>
      <c r="K285" s="60"/>
      <c r="L285" s="160"/>
      <c r="M285" s="60"/>
      <c r="N285" s="60"/>
      <c r="O285" s="60">
        <f t="shared" si="60"/>
        <v>0</v>
      </c>
      <c r="P285" s="60">
        <f t="shared" si="61"/>
        <v>0</v>
      </c>
    </row>
    <row r="286" spans="1:16" s="38" customFormat="1" ht="10.7" customHeight="1" outlineLevel="1" x14ac:dyDescent="0.25">
      <c r="A286" s="124"/>
      <c r="B286" s="142"/>
      <c r="C286" s="115"/>
      <c r="D286" s="115"/>
      <c r="E286" s="115"/>
      <c r="F286" s="115"/>
      <c r="G286" s="60" t="s">
        <v>128</v>
      </c>
      <c r="H286" s="124"/>
      <c r="I286" s="124"/>
      <c r="J286" s="60"/>
      <c r="K286" s="60"/>
      <c r="L286" s="160"/>
      <c r="M286" s="60"/>
      <c r="N286" s="60"/>
      <c r="O286" s="60">
        <f t="shared" si="60"/>
        <v>0</v>
      </c>
      <c r="P286" s="60">
        <f t="shared" si="61"/>
        <v>0</v>
      </c>
    </row>
    <row r="287" spans="1:16" s="38" customFormat="1" ht="10.7" customHeight="1" outlineLevel="1" x14ac:dyDescent="0.25">
      <c r="A287" s="124"/>
      <c r="B287" s="142"/>
      <c r="C287" s="115"/>
      <c r="D287" s="115"/>
      <c r="E287" s="115"/>
      <c r="F287" s="115"/>
      <c r="G287" s="60" t="s">
        <v>129</v>
      </c>
      <c r="H287" s="124"/>
      <c r="I287" s="124"/>
      <c r="J287" s="60"/>
      <c r="K287" s="60"/>
      <c r="L287" s="160"/>
      <c r="M287" s="60"/>
      <c r="N287" s="60"/>
      <c r="O287" s="60">
        <f t="shared" si="60"/>
        <v>0</v>
      </c>
      <c r="P287" s="60">
        <f t="shared" si="61"/>
        <v>0</v>
      </c>
    </row>
    <row r="288" spans="1:16" s="38" customFormat="1" ht="10.7" customHeight="1" outlineLevel="1" x14ac:dyDescent="0.25">
      <c r="A288" s="124"/>
      <c r="B288" s="142"/>
      <c r="C288" s="115"/>
      <c r="D288" s="115"/>
      <c r="E288" s="115"/>
      <c r="F288" s="115"/>
      <c r="G288" s="60" t="s">
        <v>130</v>
      </c>
      <c r="H288" s="124"/>
      <c r="I288" s="124"/>
      <c r="J288" s="60"/>
      <c r="K288" s="60"/>
      <c r="L288" s="160"/>
      <c r="M288" s="60"/>
      <c r="N288" s="60"/>
      <c r="O288" s="60">
        <f t="shared" si="60"/>
        <v>0</v>
      </c>
      <c r="P288" s="60">
        <f t="shared" si="61"/>
        <v>0</v>
      </c>
    </row>
    <row r="289" spans="1:16" s="38" customFormat="1" ht="12" customHeight="1" outlineLevel="1" thickBot="1" x14ac:dyDescent="0.3">
      <c r="A289" s="125"/>
      <c r="B289" s="143"/>
      <c r="C289" s="131"/>
      <c r="D289" s="131"/>
      <c r="E289" s="131"/>
      <c r="F289" s="131"/>
      <c r="G289" s="60" t="s">
        <v>131</v>
      </c>
      <c r="H289" s="134"/>
      <c r="I289" s="134"/>
      <c r="J289" s="60"/>
      <c r="K289" s="60"/>
      <c r="L289" s="160"/>
      <c r="M289" s="60"/>
      <c r="N289" s="60"/>
      <c r="O289" s="60">
        <f t="shared" si="60"/>
        <v>0</v>
      </c>
      <c r="P289" s="60">
        <f t="shared" si="61"/>
        <v>0</v>
      </c>
    </row>
    <row r="290" spans="1:16" s="38" customFormat="1" ht="14.45" customHeight="1" outlineLevel="1" x14ac:dyDescent="0.25">
      <c r="A290" s="140" t="s">
        <v>184</v>
      </c>
      <c r="B290" s="141" t="s">
        <v>379</v>
      </c>
      <c r="C290" s="130">
        <f>SUM(O290:O296)</f>
        <v>0</v>
      </c>
      <c r="D290" s="130">
        <f>SUM(P290:P296)</f>
        <v>0</v>
      </c>
      <c r="E290" s="130">
        <f t="shared" si="59"/>
        <v>0</v>
      </c>
      <c r="F290" s="130"/>
      <c r="G290" s="60" t="s">
        <v>125</v>
      </c>
      <c r="H290" s="123"/>
      <c r="I290" s="123"/>
      <c r="J290" s="60"/>
      <c r="K290" s="60"/>
      <c r="L290" s="160"/>
      <c r="M290" s="60"/>
      <c r="N290" s="60"/>
      <c r="O290" s="60">
        <f>N290*J290*K290*M290</f>
        <v>0</v>
      </c>
      <c r="P290" s="60">
        <f t="shared" si="61"/>
        <v>0</v>
      </c>
    </row>
    <row r="291" spans="1:16" s="38" customFormat="1" ht="11.45" customHeight="1" outlineLevel="1" x14ac:dyDescent="0.25">
      <c r="A291" s="124"/>
      <c r="B291" s="142"/>
      <c r="C291" s="115"/>
      <c r="D291" s="115"/>
      <c r="E291" s="115"/>
      <c r="F291" s="115"/>
      <c r="G291" s="60" t="s">
        <v>126</v>
      </c>
      <c r="H291" s="124"/>
      <c r="I291" s="124"/>
      <c r="J291" s="60"/>
      <c r="K291" s="60"/>
      <c r="L291" s="160"/>
      <c r="M291" s="60"/>
      <c r="N291" s="60"/>
      <c r="O291" s="60">
        <f t="shared" ref="O291:O296" si="62">N291*J291*K291*M291</f>
        <v>0</v>
      </c>
      <c r="P291" s="60">
        <f t="shared" si="61"/>
        <v>0</v>
      </c>
    </row>
    <row r="292" spans="1:16" s="38" customFormat="1" ht="10.7" customHeight="1" outlineLevel="1" x14ac:dyDescent="0.25">
      <c r="A292" s="124"/>
      <c r="B292" s="142"/>
      <c r="C292" s="115"/>
      <c r="D292" s="115"/>
      <c r="E292" s="115"/>
      <c r="F292" s="115"/>
      <c r="G292" s="60" t="s">
        <v>127</v>
      </c>
      <c r="H292" s="124"/>
      <c r="I292" s="124"/>
      <c r="J292" s="60"/>
      <c r="K292" s="60"/>
      <c r="L292" s="160"/>
      <c r="M292" s="60"/>
      <c r="N292" s="60"/>
      <c r="O292" s="60">
        <f t="shared" si="62"/>
        <v>0</v>
      </c>
      <c r="P292" s="60">
        <f t="shared" si="61"/>
        <v>0</v>
      </c>
    </row>
    <row r="293" spans="1:16" s="38" customFormat="1" ht="10.7" customHeight="1" outlineLevel="1" x14ac:dyDescent="0.25">
      <c r="A293" s="124"/>
      <c r="B293" s="142"/>
      <c r="C293" s="115"/>
      <c r="D293" s="115"/>
      <c r="E293" s="115"/>
      <c r="F293" s="115"/>
      <c r="G293" s="60" t="s">
        <v>128</v>
      </c>
      <c r="H293" s="124"/>
      <c r="I293" s="124"/>
      <c r="J293" s="60"/>
      <c r="K293" s="60"/>
      <c r="L293" s="160"/>
      <c r="M293" s="60"/>
      <c r="N293" s="60"/>
      <c r="O293" s="60">
        <f t="shared" si="62"/>
        <v>0</v>
      </c>
      <c r="P293" s="60">
        <f t="shared" si="61"/>
        <v>0</v>
      </c>
    </row>
    <row r="294" spans="1:16" s="38" customFormat="1" ht="10.7" customHeight="1" outlineLevel="1" x14ac:dyDescent="0.25">
      <c r="A294" s="124"/>
      <c r="B294" s="142"/>
      <c r="C294" s="115"/>
      <c r="D294" s="115"/>
      <c r="E294" s="115"/>
      <c r="F294" s="115"/>
      <c r="G294" s="60" t="s">
        <v>129</v>
      </c>
      <c r="H294" s="124"/>
      <c r="I294" s="124"/>
      <c r="J294" s="60"/>
      <c r="K294" s="60"/>
      <c r="L294" s="160"/>
      <c r="M294" s="60"/>
      <c r="N294" s="60"/>
      <c r="O294" s="60">
        <f t="shared" si="62"/>
        <v>0</v>
      </c>
      <c r="P294" s="60">
        <f t="shared" si="61"/>
        <v>0</v>
      </c>
    </row>
    <row r="295" spans="1:16" s="38" customFormat="1" ht="10.7" customHeight="1" outlineLevel="1" x14ac:dyDescent="0.25">
      <c r="A295" s="124"/>
      <c r="B295" s="142"/>
      <c r="C295" s="115"/>
      <c r="D295" s="115"/>
      <c r="E295" s="115"/>
      <c r="F295" s="115"/>
      <c r="G295" s="60" t="s">
        <v>130</v>
      </c>
      <c r="H295" s="124"/>
      <c r="I295" s="124"/>
      <c r="J295" s="60"/>
      <c r="K295" s="60"/>
      <c r="L295" s="160"/>
      <c r="M295" s="60"/>
      <c r="N295" s="60"/>
      <c r="O295" s="60">
        <f t="shared" si="62"/>
        <v>0</v>
      </c>
      <c r="P295" s="60">
        <f t="shared" si="61"/>
        <v>0</v>
      </c>
    </row>
    <row r="296" spans="1:16" s="38" customFormat="1" ht="12" customHeight="1" outlineLevel="1" thickBot="1" x14ac:dyDescent="0.3">
      <c r="A296" s="125"/>
      <c r="B296" s="143"/>
      <c r="C296" s="131"/>
      <c r="D296" s="131"/>
      <c r="E296" s="131"/>
      <c r="F296" s="131"/>
      <c r="G296" s="60" t="s">
        <v>131</v>
      </c>
      <c r="H296" s="134"/>
      <c r="I296" s="134"/>
      <c r="J296" s="60"/>
      <c r="K296" s="60"/>
      <c r="L296" s="160"/>
      <c r="M296" s="60"/>
      <c r="N296" s="60"/>
      <c r="O296" s="60">
        <f t="shared" si="62"/>
        <v>0</v>
      </c>
      <c r="P296" s="60">
        <f t="shared" si="61"/>
        <v>0</v>
      </c>
    </row>
    <row r="297" spans="1:16" s="39" customFormat="1" ht="15.75" x14ac:dyDescent="0.25">
      <c r="A297" s="40" t="s">
        <v>252</v>
      </c>
      <c r="B297" s="41" t="s">
        <v>607</v>
      </c>
      <c r="C297" s="42">
        <f>SUM(C298:C745)</f>
        <v>0</v>
      </c>
      <c r="D297" s="42">
        <f>SUM(D298:D745)</f>
        <v>0</v>
      </c>
      <c r="E297" s="42">
        <f>SUM(E298:E745)</f>
        <v>0</v>
      </c>
      <c r="F297" s="57"/>
      <c r="G297" s="57"/>
      <c r="H297" s="57"/>
      <c r="I297" s="57"/>
      <c r="J297" s="57"/>
      <c r="K297" s="57"/>
      <c r="L297" s="161"/>
      <c r="M297" s="57"/>
      <c r="N297" s="57"/>
      <c r="O297" s="57"/>
      <c r="P297" s="43"/>
    </row>
    <row r="298" spans="1:16" s="38" customFormat="1" ht="14.45" customHeight="1" outlineLevel="1" x14ac:dyDescent="0.25">
      <c r="A298" s="140" t="s">
        <v>81</v>
      </c>
      <c r="B298" s="141" t="s">
        <v>608</v>
      </c>
      <c r="C298" s="130">
        <f>SUM(O298:O304)</f>
        <v>0</v>
      </c>
      <c r="D298" s="130">
        <f>SUM(P298:P304)</f>
        <v>0</v>
      </c>
      <c r="E298" s="130">
        <f t="shared" ref="E298:E361" si="63">D298/8</f>
        <v>0</v>
      </c>
      <c r="F298" s="130"/>
      <c r="G298" s="60" t="s">
        <v>125</v>
      </c>
      <c r="H298" s="123"/>
      <c r="I298" s="123"/>
      <c r="J298" s="60"/>
      <c r="K298" s="60"/>
      <c r="L298" s="160"/>
      <c r="M298" s="60"/>
      <c r="N298" s="60"/>
      <c r="O298" s="60">
        <f>N298*J298*K298*M298</f>
        <v>0</v>
      </c>
      <c r="P298" s="60">
        <f>J298*K298*M298</f>
        <v>0</v>
      </c>
    </row>
    <row r="299" spans="1:16" s="38" customFormat="1" ht="11.45" customHeight="1" outlineLevel="1" x14ac:dyDescent="0.25">
      <c r="A299" s="124"/>
      <c r="B299" s="142"/>
      <c r="C299" s="115"/>
      <c r="D299" s="115"/>
      <c r="E299" s="115"/>
      <c r="F299" s="115"/>
      <c r="G299" s="60" t="s">
        <v>126</v>
      </c>
      <c r="H299" s="124"/>
      <c r="I299" s="124"/>
      <c r="J299" s="60"/>
      <c r="K299" s="60"/>
      <c r="L299" s="160"/>
      <c r="M299" s="60"/>
      <c r="N299" s="60"/>
      <c r="O299" s="60">
        <f t="shared" ref="O299:O304" si="64">N299*J299*K299*M299</f>
        <v>0</v>
      </c>
      <c r="P299" s="60">
        <f t="shared" ref="P299:P362" si="65">J299*K299*M299</f>
        <v>0</v>
      </c>
    </row>
    <row r="300" spans="1:16" s="38" customFormat="1" ht="10.7" customHeight="1" outlineLevel="1" x14ac:dyDescent="0.25">
      <c r="A300" s="124"/>
      <c r="B300" s="142"/>
      <c r="C300" s="115"/>
      <c r="D300" s="115"/>
      <c r="E300" s="115"/>
      <c r="F300" s="115"/>
      <c r="G300" s="60" t="s">
        <v>127</v>
      </c>
      <c r="H300" s="124"/>
      <c r="I300" s="124"/>
      <c r="J300" s="60"/>
      <c r="K300" s="60"/>
      <c r="L300" s="160"/>
      <c r="M300" s="60"/>
      <c r="N300" s="60"/>
      <c r="O300" s="60">
        <f t="shared" si="64"/>
        <v>0</v>
      </c>
      <c r="P300" s="60">
        <f t="shared" si="65"/>
        <v>0</v>
      </c>
    </row>
    <row r="301" spans="1:16" s="38" customFormat="1" ht="10.7" customHeight="1" outlineLevel="1" x14ac:dyDescent="0.25">
      <c r="A301" s="124"/>
      <c r="B301" s="142"/>
      <c r="C301" s="115"/>
      <c r="D301" s="115"/>
      <c r="E301" s="115"/>
      <c r="F301" s="115"/>
      <c r="G301" s="60" t="s">
        <v>128</v>
      </c>
      <c r="H301" s="124"/>
      <c r="I301" s="124"/>
      <c r="J301" s="60"/>
      <c r="K301" s="60"/>
      <c r="L301" s="160"/>
      <c r="M301" s="60"/>
      <c r="N301" s="60"/>
      <c r="O301" s="60">
        <f t="shared" si="64"/>
        <v>0</v>
      </c>
      <c r="P301" s="60">
        <f t="shared" si="65"/>
        <v>0</v>
      </c>
    </row>
    <row r="302" spans="1:16" s="38" customFormat="1" ht="10.7" customHeight="1" outlineLevel="1" x14ac:dyDescent="0.25">
      <c r="A302" s="124"/>
      <c r="B302" s="142"/>
      <c r="C302" s="115"/>
      <c r="D302" s="115"/>
      <c r="E302" s="115"/>
      <c r="F302" s="115"/>
      <c r="G302" s="60" t="s">
        <v>129</v>
      </c>
      <c r="H302" s="124"/>
      <c r="I302" s="124"/>
      <c r="J302" s="60"/>
      <c r="K302" s="60"/>
      <c r="L302" s="160"/>
      <c r="M302" s="60"/>
      <c r="N302" s="60"/>
      <c r="O302" s="60">
        <f t="shared" si="64"/>
        <v>0</v>
      </c>
      <c r="P302" s="60">
        <f t="shared" si="65"/>
        <v>0</v>
      </c>
    </row>
    <row r="303" spans="1:16" s="38" customFormat="1" ht="10.7" customHeight="1" outlineLevel="1" x14ac:dyDescent="0.25">
      <c r="A303" s="124"/>
      <c r="B303" s="142"/>
      <c r="C303" s="115"/>
      <c r="D303" s="115"/>
      <c r="E303" s="115"/>
      <c r="F303" s="115"/>
      <c r="G303" s="60" t="s">
        <v>130</v>
      </c>
      <c r="H303" s="124"/>
      <c r="I303" s="124"/>
      <c r="J303" s="60"/>
      <c r="K303" s="60"/>
      <c r="L303" s="160"/>
      <c r="M303" s="60"/>
      <c r="N303" s="60"/>
      <c r="O303" s="60">
        <f t="shared" si="64"/>
        <v>0</v>
      </c>
      <c r="P303" s="60">
        <f t="shared" si="65"/>
        <v>0</v>
      </c>
    </row>
    <row r="304" spans="1:16" s="38" customFormat="1" ht="12" customHeight="1" outlineLevel="1" thickBot="1" x14ac:dyDescent="0.3">
      <c r="A304" s="125"/>
      <c r="B304" s="143"/>
      <c r="C304" s="131"/>
      <c r="D304" s="131"/>
      <c r="E304" s="131"/>
      <c r="F304" s="131"/>
      <c r="G304" s="60" t="s">
        <v>131</v>
      </c>
      <c r="H304" s="134"/>
      <c r="I304" s="134"/>
      <c r="J304" s="60"/>
      <c r="K304" s="60"/>
      <c r="L304" s="160"/>
      <c r="M304" s="60"/>
      <c r="N304" s="60"/>
      <c r="O304" s="60">
        <f t="shared" si="64"/>
        <v>0</v>
      </c>
      <c r="P304" s="60">
        <f t="shared" si="65"/>
        <v>0</v>
      </c>
    </row>
    <row r="305" spans="1:16" s="38" customFormat="1" ht="14.45" customHeight="1" outlineLevel="1" x14ac:dyDescent="0.25">
      <c r="A305" s="140" t="s">
        <v>255</v>
      </c>
      <c r="B305" s="141" t="s">
        <v>609</v>
      </c>
      <c r="C305" s="130">
        <f>SUM(O305:O311)</f>
        <v>0</v>
      </c>
      <c r="D305" s="130">
        <f>SUM(P305:P311)</f>
        <v>0</v>
      </c>
      <c r="E305" s="130">
        <f t="shared" si="63"/>
        <v>0</v>
      </c>
      <c r="F305" s="130"/>
      <c r="G305" s="60" t="s">
        <v>125</v>
      </c>
      <c r="H305" s="123"/>
      <c r="I305" s="123"/>
      <c r="J305" s="60"/>
      <c r="K305" s="60"/>
      <c r="L305" s="160"/>
      <c r="M305" s="60"/>
      <c r="N305" s="60"/>
      <c r="O305" s="60">
        <f>N305*J305*K305*M305</f>
        <v>0</v>
      </c>
      <c r="P305" s="60">
        <f t="shared" si="65"/>
        <v>0</v>
      </c>
    </row>
    <row r="306" spans="1:16" s="38" customFormat="1" ht="11.45" customHeight="1" outlineLevel="1" x14ac:dyDescent="0.25">
      <c r="A306" s="124"/>
      <c r="B306" s="142"/>
      <c r="C306" s="115"/>
      <c r="D306" s="115"/>
      <c r="E306" s="115"/>
      <c r="F306" s="115"/>
      <c r="G306" s="60" t="s">
        <v>126</v>
      </c>
      <c r="H306" s="124"/>
      <c r="I306" s="124"/>
      <c r="J306" s="60"/>
      <c r="K306" s="60"/>
      <c r="L306" s="160"/>
      <c r="M306" s="60"/>
      <c r="N306" s="60"/>
      <c r="O306" s="60">
        <f t="shared" ref="O306:O311" si="66">N306*J306*K306*M306</f>
        <v>0</v>
      </c>
      <c r="P306" s="60">
        <f t="shared" si="65"/>
        <v>0</v>
      </c>
    </row>
    <row r="307" spans="1:16" s="38" customFormat="1" ht="10.7" customHeight="1" outlineLevel="1" x14ac:dyDescent="0.25">
      <c r="A307" s="124"/>
      <c r="B307" s="142"/>
      <c r="C307" s="115"/>
      <c r="D307" s="115"/>
      <c r="E307" s="115"/>
      <c r="F307" s="115"/>
      <c r="G307" s="60" t="s">
        <v>127</v>
      </c>
      <c r="H307" s="124"/>
      <c r="I307" s="124"/>
      <c r="J307" s="60"/>
      <c r="K307" s="60"/>
      <c r="L307" s="160"/>
      <c r="M307" s="60"/>
      <c r="N307" s="60"/>
      <c r="O307" s="60">
        <f t="shared" si="66"/>
        <v>0</v>
      </c>
      <c r="P307" s="60">
        <f t="shared" si="65"/>
        <v>0</v>
      </c>
    </row>
    <row r="308" spans="1:16" s="38" customFormat="1" ht="10.7" customHeight="1" outlineLevel="1" x14ac:dyDescent="0.25">
      <c r="A308" s="124"/>
      <c r="B308" s="142"/>
      <c r="C308" s="115"/>
      <c r="D308" s="115"/>
      <c r="E308" s="115"/>
      <c r="F308" s="115"/>
      <c r="G308" s="60" t="s">
        <v>128</v>
      </c>
      <c r="H308" s="124"/>
      <c r="I308" s="124"/>
      <c r="J308" s="60"/>
      <c r="K308" s="60"/>
      <c r="L308" s="160"/>
      <c r="M308" s="60"/>
      <c r="N308" s="60"/>
      <c r="O308" s="60">
        <f t="shared" si="66"/>
        <v>0</v>
      </c>
      <c r="P308" s="60">
        <f t="shared" si="65"/>
        <v>0</v>
      </c>
    </row>
    <row r="309" spans="1:16" s="38" customFormat="1" ht="10.7" customHeight="1" outlineLevel="1" x14ac:dyDescent="0.25">
      <c r="A309" s="124"/>
      <c r="B309" s="142"/>
      <c r="C309" s="115"/>
      <c r="D309" s="115"/>
      <c r="E309" s="115"/>
      <c r="F309" s="115"/>
      <c r="G309" s="60" t="s">
        <v>129</v>
      </c>
      <c r="H309" s="124"/>
      <c r="I309" s="124"/>
      <c r="J309" s="60"/>
      <c r="K309" s="60"/>
      <c r="L309" s="160"/>
      <c r="M309" s="60"/>
      <c r="N309" s="60"/>
      <c r="O309" s="60">
        <f t="shared" si="66"/>
        <v>0</v>
      </c>
      <c r="P309" s="60">
        <f t="shared" si="65"/>
        <v>0</v>
      </c>
    </row>
    <row r="310" spans="1:16" s="38" customFormat="1" ht="10.7" customHeight="1" outlineLevel="1" x14ac:dyDescent="0.25">
      <c r="A310" s="124"/>
      <c r="B310" s="142"/>
      <c r="C310" s="115"/>
      <c r="D310" s="115"/>
      <c r="E310" s="115"/>
      <c r="F310" s="115"/>
      <c r="G310" s="60" t="s">
        <v>130</v>
      </c>
      <c r="H310" s="124"/>
      <c r="I310" s="124"/>
      <c r="J310" s="60"/>
      <c r="K310" s="60"/>
      <c r="L310" s="160"/>
      <c r="M310" s="60"/>
      <c r="N310" s="60"/>
      <c r="O310" s="60">
        <f t="shared" si="66"/>
        <v>0</v>
      </c>
      <c r="P310" s="60">
        <f t="shared" si="65"/>
        <v>0</v>
      </c>
    </row>
    <row r="311" spans="1:16" s="38" customFormat="1" ht="12" customHeight="1" outlineLevel="1" thickBot="1" x14ac:dyDescent="0.3">
      <c r="A311" s="125"/>
      <c r="B311" s="143"/>
      <c r="C311" s="131"/>
      <c r="D311" s="131"/>
      <c r="E311" s="131"/>
      <c r="F311" s="131"/>
      <c r="G311" s="60" t="s">
        <v>131</v>
      </c>
      <c r="H311" s="134"/>
      <c r="I311" s="134"/>
      <c r="J311" s="60"/>
      <c r="K311" s="60"/>
      <c r="L311" s="160"/>
      <c r="M311" s="60"/>
      <c r="N311" s="60"/>
      <c r="O311" s="60">
        <f t="shared" si="66"/>
        <v>0</v>
      </c>
      <c r="P311" s="60">
        <f t="shared" si="65"/>
        <v>0</v>
      </c>
    </row>
    <row r="312" spans="1:16" s="38" customFormat="1" ht="14.45" customHeight="1" outlineLevel="1" x14ac:dyDescent="0.25">
      <c r="A312" s="140" t="s">
        <v>610</v>
      </c>
      <c r="B312" s="141" t="s">
        <v>611</v>
      </c>
      <c r="C312" s="130">
        <f>SUM(O312:O318)</f>
        <v>0</v>
      </c>
      <c r="D312" s="130">
        <f>SUM(P312:P318)</f>
        <v>0</v>
      </c>
      <c r="E312" s="130">
        <f t="shared" si="63"/>
        <v>0</v>
      </c>
      <c r="F312" s="130"/>
      <c r="G312" s="60" t="s">
        <v>125</v>
      </c>
      <c r="H312" s="123"/>
      <c r="I312" s="123"/>
      <c r="J312" s="60"/>
      <c r="K312" s="60"/>
      <c r="L312" s="160"/>
      <c r="M312" s="60"/>
      <c r="N312" s="60"/>
      <c r="O312" s="60">
        <f>N312*J312*K312*M312</f>
        <v>0</v>
      </c>
      <c r="P312" s="60">
        <f t="shared" si="65"/>
        <v>0</v>
      </c>
    </row>
    <row r="313" spans="1:16" s="38" customFormat="1" ht="11.45" customHeight="1" outlineLevel="1" x14ac:dyDescent="0.25">
      <c r="A313" s="124"/>
      <c r="B313" s="142"/>
      <c r="C313" s="115"/>
      <c r="D313" s="115"/>
      <c r="E313" s="115"/>
      <c r="F313" s="115"/>
      <c r="G313" s="60" t="s">
        <v>126</v>
      </c>
      <c r="H313" s="124"/>
      <c r="I313" s="124"/>
      <c r="J313" s="60"/>
      <c r="K313" s="60"/>
      <c r="L313" s="160"/>
      <c r="M313" s="60"/>
      <c r="N313" s="60"/>
      <c r="O313" s="60">
        <f t="shared" ref="O313:O318" si="67">N313*J313*K313*M313</f>
        <v>0</v>
      </c>
      <c r="P313" s="60">
        <f t="shared" si="65"/>
        <v>0</v>
      </c>
    </row>
    <row r="314" spans="1:16" s="38" customFormat="1" ht="10.7" customHeight="1" outlineLevel="1" x14ac:dyDescent="0.25">
      <c r="A314" s="124"/>
      <c r="B314" s="142"/>
      <c r="C314" s="115"/>
      <c r="D314" s="115"/>
      <c r="E314" s="115"/>
      <c r="F314" s="115"/>
      <c r="G314" s="60" t="s">
        <v>127</v>
      </c>
      <c r="H314" s="124"/>
      <c r="I314" s="124"/>
      <c r="J314" s="60"/>
      <c r="K314" s="60"/>
      <c r="L314" s="160"/>
      <c r="M314" s="60"/>
      <c r="N314" s="60"/>
      <c r="O314" s="60">
        <f t="shared" si="67"/>
        <v>0</v>
      </c>
      <c r="P314" s="60">
        <f t="shared" si="65"/>
        <v>0</v>
      </c>
    </row>
    <row r="315" spans="1:16" s="38" customFormat="1" ht="10.7" customHeight="1" outlineLevel="1" x14ac:dyDescent="0.25">
      <c r="A315" s="124"/>
      <c r="B315" s="142"/>
      <c r="C315" s="115"/>
      <c r="D315" s="115"/>
      <c r="E315" s="115"/>
      <c r="F315" s="115"/>
      <c r="G315" s="60" t="s">
        <v>128</v>
      </c>
      <c r="H315" s="124"/>
      <c r="I315" s="124"/>
      <c r="J315" s="60"/>
      <c r="K315" s="60"/>
      <c r="L315" s="160"/>
      <c r="M315" s="60"/>
      <c r="N315" s="60"/>
      <c r="O315" s="60">
        <f t="shared" si="67"/>
        <v>0</v>
      </c>
      <c r="P315" s="60">
        <f t="shared" si="65"/>
        <v>0</v>
      </c>
    </row>
    <row r="316" spans="1:16" s="38" customFormat="1" ht="10.7" customHeight="1" outlineLevel="1" x14ac:dyDescent="0.25">
      <c r="A316" s="124"/>
      <c r="B316" s="142"/>
      <c r="C316" s="115"/>
      <c r="D316" s="115"/>
      <c r="E316" s="115"/>
      <c r="F316" s="115"/>
      <c r="G316" s="60" t="s">
        <v>129</v>
      </c>
      <c r="H316" s="124"/>
      <c r="I316" s="124"/>
      <c r="J316" s="60"/>
      <c r="K316" s="60"/>
      <c r="L316" s="160"/>
      <c r="M316" s="60"/>
      <c r="N316" s="60"/>
      <c r="O316" s="60">
        <f t="shared" si="67"/>
        <v>0</v>
      </c>
      <c r="P316" s="60">
        <f t="shared" si="65"/>
        <v>0</v>
      </c>
    </row>
    <row r="317" spans="1:16" s="38" customFormat="1" ht="10.7" customHeight="1" outlineLevel="1" x14ac:dyDescent="0.25">
      <c r="A317" s="124"/>
      <c r="B317" s="142"/>
      <c r="C317" s="115"/>
      <c r="D317" s="115"/>
      <c r="E317" s="115"/>
      <c r="F317" s="115"/>
      <c r="G317" s="60" t="s">
        <v>130</v>
      </c>
      <c r="H317" s="124"/>
      <c r="I317" s="124"/>
      <c r="J317" s="60"/>
      <c r="K317" s="60"/>
      <c r="L317" s="160"/>
      <c r="M317" s="60"/>
      <c r="N317" s="60"/>
      <c r="O317" s="60">
        <f t="shared" si="67"/>
        <v>0</v>
      </c>
      <c r="P317" s="60">
        <f t="shared" si="65"/>
        <v>0</v>
      </c>
    </row>
    <row r="318" spans="1:16" s="38" customFormat="1" ht="12" customHeight="1" outlineLevel="1" thickBot="1" x14ac:dyDescent="0.3">
      <c r="A318" s="125"/>
      <c r="B318" s="143"/>
      <c r="C318" s="131"/>
      <c r="D318" s="131"/>
      <c r="E318" s="131"/>
      <c r="F318" s="131"/>
      <c r="G318" s="60" t="s">
        <v>131</v>
      </c>
      <c r="H318" s="134"/>
      <c r="I318" s="134"/>
      <c r="J318" s="60"/>
      <c r="K318" s="60"/>
      <c r="L318" s="160"/>
      <c r="M318" s="60"/>
      <c r="N318" s="60"/>
      <c r="O318" s="60">
        <f t="shared" si="67"/>
        <v>0</v>
      </c>
      <c r="P318" s="60">
        <f t="shared" si="65"/>
        <v>0</v>
      </c>
    </row>
    <row r="319" spans="1:16" s="38" customFormat="1" ht="14.45" customHeight="1" outlineLevel="1" x14ac:dyDescent="0.25">
      <c r="A319" s="140" t="s">
        <v>612</v>
      </c>
      <c r="B319" s="141" t="s">
        <v>613</v>
      </c>
      <c r="C319" s="130">
        <f>SUM(O319:O325)</f>
        <v>0</v>
      </c>
      <c r="D319" s="130">
        <f>SUM(P319:P325)</f>
        <v>0</v>
      </c>
      <c r="E319" s="130">
        <f t="shared" si="63"/>
        <v>0</v>
      </c>
      <c r="F319" s="130"/>
      <c r="G319" s="60" t="s">
        <v>125</v>
      </c>
      <c r="H319" s="123"/>
      <c r="I319" s="123"/>
      <c r="J319" s="60"/>
      <c r="K319" s="60"/>
      <c r="L319" s="160"/>
      <c r="M319" s="60"/>
      <c r="N319" s="60"/>
      <c r="O319" s="60">
        <f>N319*J319*K319*M319</f>
        <v>0</v>
      </c>
      <c r="P319" s="60">
        <f t="shared" si="65"/>
        <v>0</v>
      </c>
    </row>
    <row r="320" spans="1:16" s="38" customFormat="1" ht="11.45" customHeight="1" outlineLevel="1" x14ac:dyDescent="0.25">
      <c r="A320" s="124"/>
      <c r="B320" s="142"/>
      <c r="C320" s="115"/>
      <c r="D320" s="115"/>
      <c r="E320" s="115"/>
      <c r="F320" s="115"/>
      <c r="G320" s="60" t="s">
        <v>126</v>
      </c>
      <c r="H320" s="124"/>
      <c r="I320" s="124"/>
      <c r="J320" s="60"/>
      <c r="K320" s="60"/>
      <c r="L320" s="160"/>
      <c r="M320" s="60"/>
      <c r="N320" s="60"/>
      <c r="O320" s="60">
        <f t="shared" ref="O320:O325" si="68">N320*J320*K320*M320</f>
        <v>0</v>
      </c>
      <c r="P320" s="60">
        <f t="shared" si="65"/>
        <v>0</v>
      </c>
    </row>
    <row r="321" spans="1:16" s="38" customFormat="1" ht="10.7" customHeight="1" outlineLevel="1" x14ac:dyDescent="0.25">
      <c r="A321" s="124"/>
      <c r="B321" s="142"/>
      <c r="C321" s="115"/>
      <c r="D321" s="115"/>
      <c r="E321" s="115"/>
      <c r="F321" s="115"/>
      <c r="G321" s="60" t="s">
        <v>127</v>
      </c>
      <c r="H321" s="124"/>
      <c r="I321" s="124"/>
      <c r="J321" s="60"/>
      <c r="K321" s="60"/>
      <c r="L321" s="160"/>
      <c r="M321" s="60"/>
      <c r="N321" s="60"/>
      <c r="O321" s="60">
        <f t="shared" si="68"/>
        <v>0</v>
      </c>
      <c r="P321" s="60">
        <f t="shared" si="65"/>
        <v>0</v>
      </c>
    </row>
    <row r="322" spans="1:16" s="38" customFormat="1" ht="10.7" customHeight="1" outlineLevel="1" x14ac:dyDescent="0.25">
      <c r="A322" s="124"/>
      <c r="B322" s="142"/>
      <c r="C322" s="115"/>
      <c r="D322" s="115"/>
      <c r="E322" s="115"/>
      <c r="F322" s="115"/>
      <c r="G322" s="60" t="s">
        <v>128</v>
      </c>
      <c r="H322" s="124"/>
      <c r="I322" s="124"/>
      <c r="J322" s="60"/>
      <c r="K322" s="60"/>
      <c r="L322" s="160"/>
      <c r="M322" s="60"/>
      <c r="N322" s="60"/>
      <c r="O322" s="60">
        <f t="shared" si="68"/>
        <v>0</v>
      </c>
      <c r="P322" s="60">
        <f t="shared" si="65"/>
        <v>0</v>
      </c>
    </row>
    <row r="323" spans="1:16" s="38" customFormat="1" ht="10.7" customHeight="1" outlineLevel="1" x14ac:dyDescent="0.25">
      <c r="A323" s="124"/>
      <c r="B323" s="142"/>
      <c r="C323" s="115"/>
      <c r="D323" s="115"/>
      <c r="E323" s="115"/>
      <c r="F323" s="115"/>
      <c r="G323" s="60" t="s">
        <v>129</v>
      </c>
      <c r="H323" s="124"/>
      <c r="I323" s="124"/>
      <c r="J323" s="60"/>
      <c r="K323" s="60"/>
      <c r="L323" s="160"/>
      <c r="M323" s="60"/>
      <c r="N323" s="60"/>
      <c r="O323" s="60">
        <f t="shared" si="68"/>
        <v>0</v>
      </c>
      <c r="P323" s="60">
        <f t="shared" si="65"/>
        <v>0</v>
      </c>
    </row>
    <row r="324" spans="1:16" s="38" customFormat="1" ht="10.7" customHeight="1" outlineLevel="1" x14ac:dyDescent="0.25">
      <c r="A324" s="124"/>
      <c r="B324" s="142"/>
      <c r="C324" s="115"/>
      <c r="D324" s="115"/>
      <c r="E324" s="115"/>
      <c r="F324" s="115"/>
      <c r="G324" s="60" t="s">
        <v>130</v>
      </c>
      <c r="H324" s="124"/>
      <c r="I324" s="124"/>
      <c r="J324" s="60"/>
      <c r="K324" s="60"/>
      <c r="L324" s="160"/>
      <c r="M324" s="60"/>
      <c r="N324" s="60"/>
      <c r="O324" s="60">
        <f t="shared" si="68"/>
        <v>0</v>
      </c>
      <c r="P324" s="60">
        <f t="shared" si="65"/>
        <v>0</v>
      </c>
    </row>
    <row r="325" spans="1:16" s="38" customFormat="1" ht="12" customHeight="1" outlineLevel="1" thickBot="1" x14ac:dyDescent="0.3">
      <c r="A325" s="125"/>
      <c r="B325" s="143"/>
      <c r="C325" s="131"/>
      <c r="D325" s="131"/>
      <c r="E325" s="131"/>
      <c r="F325" s="131"/>
      <c r="G325" s="60" t="s">
        <v>131</v>
      </c>
      <c r="H325" s="134"/>
      <c r="I325" s="134"/>
      <c r="J325" s="60"/>
      <c r="K325" s="60"/>
      <c r="L325" s="160"/>
      <c r="M325" s="60"/>
      <c r="N325" s="60"/>
      <c r="O325" s="60">
        <f t="shared" si="68"/>
        <v>0</v>
      </c>
      <c r="P325" s="60">
        <f t="shared" si="65"/>
        <v>0</v>
      </c>
    </row>
    <row r="326" spans="1:16" s="38" customFormat="1" ht="14.45" customHeight="1" outlineLevel="1" x14ac:dyDescent="0.25">
      <c r="A326" s="140" t="s">
        <v>614</v>
      </c>
      <c r="B326" s="141" t="s">
        <v>615</v>
      </c>
      <c r="C326" s="130">
        <f>SUM(O326:O332)</f>
        <v>0</v>
      </c>
      <c r="D326" s="130">
        <f>SUM(P326:P332)</f>
        <v>0</v>
      </c>
      <c r="E326" s="130">
        <f t="shared" si="63"/>
        <v>0</v>
      </c>
      <c r="F326" s="130"/>
      <c r="G326" s="60" t="s">
        <v>125</v>
      </c>
      <c r="H326" s="123"/>
      <c r="I326" s="123"/>
      <c r="J326" s="60"/>
      <c r="K326" s="60"/>
      <c r="L326" s="160"/>
      <c r="M326" s="60"/>
      <c r="N326" s="60"/>
      <c r="O326" s="60">
        <f>N326*J326*K326*M326</f>
        <v>0</v>
      </c>
      <c r="P326" s="60">
        <f t="shared" si="65"/>
        <v>0</v>
      </c>
    </row>
    <row r="327" spans="1:16" s="38" customFormat="1" ht="11.45" customHeight="1" outlineLevel="1" x14ac:dyDescent="0.25">
      <c r="A327" s="124"/>
      <c r="B327" s="142"/>
      <c r="C327" s="115"/>
      <c r="D327" s="115"/>
      <c r="E327" s="115"/>
      <c r="F327" s="115"/>
      <c r="G327" s="60" t="s">
        <v>126</v>
      </c>
      <c r="H327" s="124"/>
      <c r="I327" s="124"/>
      <c r="J327" s="60"/>
      <c r="K327" s="60"/>
      <c r="L327" s="160"/>
      <c r="M327" s="60"/>
      <c r="N327" s="60"/>
      <c r="O327" s="60">
        <f t="shared" ref="O327:O332" si="69">N327*J327*K327*M327</f>
        <v>0</v>
      </c>
      <c r="P327" s="60">
        <f t="shared" si="65"/>
        <v>0</v>
      </c>
    </row>
    <row r="328" spans="1:16" s="38" customFormat="1" ht="10.7" customHeight="1" outlineLevel="1" x14ac:dyDescent="0.25">
      <c r="A328" s="124"/>
      <c r="B328" s="142"/>
      <c r="C328" s="115"/>
      <c r="D328" s="115"/>
      <c r="E328" s="115"/>
      <c r="F328" s="115"/>
      <c r="G328" s="60" t="s">
        <v>127</v>
      </c>
      <c r="H328" s="124"/>
      <c r="I328" s="124"/>
      <c r="J328" s="60"/>
      <c r="K328" s="60"/>
      <c r="L328" s="160"/>
      <c r="M328" s="60"/>
      <c r="N328" s="60"/>
      <c r="O328" s="60">
        <f t="shared" si="69"/>
        <v>0</v>
      </c>
      <c r="P328" s="60">
        <f t="shared" si="65"/>
        <v>0</v>
      </c>
    </row>
    <row r="329" spans="1:16" s="38" customFormat="1" ht="10.7" customHeight="1" outlineLevel="1" x14ac:dyDescent="0.25">
      <c r="A329" s="124"/>
      <c r="B329" s="142"/>
      <c r="C329" s="115"/>
      <c r="D329" s="115"/>
      <c r="E329" s="115"/>
      <c r="F329" s="115"/>
      <c r="G329" s="60" t="s">
        <v>128</v>
      </c>
      <c r="H329" s="124"/>
      <c r="I329" s="124"/>
      <c r="J329" s="60"/>
      <c r="K329" s="60"/>
      <c r="L329" s="160"/>
      <c r="M329" s="60"/>
      <c r="N329" s="60"/>
      <c r="O329" s="60">
        <f t="shared" si="69"/>
        <v>0</v>
      </c>
      <c r="P329" s="60">
        <f t="shared" si="65"/>
        <v>0</v>
      </c>
    </row>
    <row r="330" spans="1:16" s="38" customFormat="1" ht="10.7" customHeight="1" outlineLevel="1" x14ac:dyDescent="0.25">
      <c r="A330" s="124"/>
      <c r="B330" s="142"/>
      <c r="C330" s="115"/>
      <c r="D330" s="115"/>
      <c r="E330" s="115"/>
      <c r="F330" s="115"/>
      <c r="G330" s="60" t="s">
        <v>129</v>
      </c>
      <c r="H330" s="124"/>
      <c r="I330" s="124"/>
      <c r="J330" s="60"/>
      <c r="K330" s="60"/>
      <c r="L330" s="160"/>
      <c r="M330" s="60"/>
      <c r="N330" s="60"/>
      <c r="O330" s="60">
        <f t="shared" si="69"/>
        <v>0</v>
      </c>
      <c r="P330" s="60">
        <f t="shared" si="65"/>
        <v>0</v>
      </c>
    </row>
    <row r="331" spans="1:16" s="38" customFormat="1" ht="10.7" customHeight="1" outlineLevel="1" x14ac:dyDescent="0.25">
      <c r="A331" s="124"/>
      <c r="B331" s="142"/>
      <c r="C331" s="115"/>
      <c r="D331" s="115"/>
      <c r="E331" s="115"/>
      <c r="F331" s="115"/>
      <c r="G331" s="60" t="s">
        <v>130</v>
      </c>
      <c r="H331" s="124"/>
      <c r="I331" s="124"/>
      <c r="J331" s="60"/>
      <c r="K331" s="60"/>
      <c r="L331" s="160"/>
      <c r="M331" s="60"/>
      <c r="N331" s="60"/>
      <c r="O331" s="60">
        <f t="shared" si="69"/>
        <v>0</v>
      </c>
      <c r="P331" s="60">
        <f t="shared" si="65"/>
        <v>0</v>
      </c>
    </row>
    <row r="332" spans="1:16" s="38" customFormat="1" ht="12" customHeight="1" outlineLevel="1" thickBot="1" x14ac:dyDescent="0.3">
      <c r="A332" s="125"/>
      <c r="B332" s="143"/>
      <c r="C332" s="131"/>
      <c r="D332" s="131"/>
      <c r="E332" s="131"/>
      <c r="F332" s="131"/>
      <c r="G332" s="60" t="s">
        <v>131</v>
      </c>
      <c r="H332" s="134"/>
      <c r="I332" s="134"/>
      <c r="J332" s="60"/>
      <c r="K332" s="60"/>
      <c r="L332" s="160"/>
      <c r="M332" s="60"/>
      <c r="N332" s="60"/>
      <c r="O332" s="60">
        <f t="shared" si="69"/>
        <v>0</v>
      </c>
      <c r="P332" s="60">
        <f t="shared" si="65"/>
        <v>0</v>
      </c>
    </row>
    <row r="333" spans="1:16" s="38" customFormat="1" ht="14.45" customHeight="1" outlineLevel="1" x14ac:dyDescent="0.25">
      <c r="A333" s="140" t="s">
        <v>616</v>
      </c>
      <c r="B333" s="141" t="s">
        <v>617</v>
      </c>
      <c r="C333" s="130">
        <f>SUM(O333:O339)</f>
        <v>0</v>
      </c>
      <c r="D333" s="130">
        <f>SUM(P333:P339)</f>
        <v>0</v>
      </c>
      <c r="E333" s="130">
        <f t="shared" si="63"/>
        <v>0</v>
      </c>
      <c r="F333" s="130"/>
      <c r="G333" s="60" t="s">
        <v>125</v>
      </c>
      <c r="H333" s="123"/>
      <c r="I333" s="123"/>
      <c r="J333" s="60"/>
      <c r="K333" s="60"/>
      <c r="L333" s="160"/>
      <c r="M333" s="60"/>
      <c r="N333" s="60"/>
      <c r="O333" s="60">
        <f>N333*J333*K333*M333</f>
        <v>0</v>
      </c>
      <c r="P333" s="60">
        <f t="shared" si="65"/>
        <v>0</v>
      </c>
    </row>
    <row r="334" spans="1:16" s="38" customFormat="1" ht="11.45" customHeight="1" outlineLevel="1" x14ac:dyDescent="0.25">
      <c r="A334" s="124"/>
      <c r="B334" s="142"/>
      <c r="C334" s="115"/>
      <c r="D334" s="115"/>
      <c r="E334" s="115"/>
      <c r="F334" s="115"/>
      <c r="G334" s="60" t="s">
        <v>126</v>
      </c>
      <c r="H334" s="124"/>
      <c r="I334" s="124"/>
      <c r="J334" s="60"/>
      <c r="K334" s="60"/>
      <c r="L334" s="160"/>
      <c r="M334" s="60"/>
      <c r="N334" s="60"/>
      <c r="O334" s="60">
        <f t="shared" ref="O334:O339" si="70">N334*J334*K334*M334</f>
        <v>0</v>
      </c>
      <c r="P334" s="60">
        <f t="shared" si="65"/>
        <v>0</v>
      </c>
    </row>
    <row r="335" spans="1:16" s="38" customFormat="1" ht="10.7" customHeight="1" outlineLevel="1" x14ac:dyDescent="0.25">
      <c r="A335" s="124"/>
      <c r="B335" s="142"/>
      <c r="C335" s="115"/>
      <c r="D335" s="115"/>
      <c r="E335" s="115"/>
      <c r="F335" s="115"/>
      <c r="G335" s="60" t="s">
        <v>127</v>
      </c>
      <c r="H335" s="124"/>
      <c r="I335" s="124"/>
      <c r="J335" s="60"/>
      <c r="K335" s="60"/>
      <c r="L335" s="160"/>
      <c r="M335" s="60"/>
      <c r="N335" s="60"/>
      <c r="O335" s="60">
        <f t="shared" si="70"/>
        <v>0</v>
      </c>
      <c r="P335" s="60">
        <f t="shared" si="65"/>
        <v>0</v>
      </c>
    </row>
    <row r="336" spans="1:16" s="38" customFormat="1" ht="10.7" customHeight="1" outlineLevel="1" x14ac:dyDescent="0.25">
      <c r="A336" s="124"/>
      <c r="B336" s="142"/>
      <c r="C336" s="115"/>
      <c r="D336" s="115"/>
      <c r="E336" s="115"/>
      <c r="F336" s="115"/>
      <c r="G336" s="60" t="s">
        <v>128</v>
      </c>
      <c r="H336" s="124"/>
      <c r="I336" s="124"/>
      <c r="J336" s="60"/>
      <c r="K336" s="60"/>
      <c r="L336" s="160"/>
      <c r="M336" s="60"/>
      <c r="N336" s="60"/>
      <c r="O336" s="60">
        <f t="shared" si="70"/>
        <v>0</v>
      </c>
      <c r="P336" s="60">
        <f t="shared" si="65"/>
        <v>0</v>
      </c>
    </row>
    <row r="337" spans="1:16" s="38" customFormat="1" ht="10.7" customHeight="1" outlineLevel="1" x14ac:dyDescent="0.25">
      <c r="A337" s="124"/>
      <c r="B337" s="142"/>
      <c r="C337" s="115"/>
      <c r="D337" s="115"/>
      <c r="E337" s="115"/>
      <c r="F337" s="115"/>
      <c r="G337" s="60" t="s">
        <v>129</v>
      </c>
      <c r="H337" s="124"/>
      <c r="I337" s="124"/>
      <c r="J337" s="60"/>
      <c r="K337" s="60"/>
      <c r="L337" s="160"/>
      <c r="M337" s="60"/>
      <c r="N337" s="60"/>
      <c r="O337" s="60">
        <f t="shared" si="70"/>
        <v>0</v>
      </c>
      <c r="P337" s="60">
        <f t="shared" si="65"/>
        <v>0</v>
      </c>
    </row>
    <row r="338" spans="1:16" s="38" customFormat="1" ht="10.7" customHeight="1" outlineLevel="1" x14ac:dyDescent="0.25">
      <c r="A338" s="124"/>
      <c r="B338" s="142"/>
      <c r="C338" s="115"/>
      <c r="D338" s="115"/>
      <c r="E338" s="115"/>
      <c r="F338" s="115"/>
      <c r="G338" s="60" t="s">
        <v>130</v>
      </c>
      <c r="H338" s="124"/>
      <c r="I338" s="124"/>
      <c r="J338" s="60"/>
      <c r="K338" s="60"/>
      <c r="L338" s="160"/>
      <c r="M338" s="60"/>
      <c r="N338" s="60"/>
      <c r="O338" s="60">
        <f t="shared" si="70"/>
        <v>0</v>
      </c>
      <c r="P338" s="60">
        <f t="shared" si="65"/>
        <v>0</v>
      </c>
    </row>
    <row r="339" spans="1:16" s="38" customFormat="1" ht="12" customHeight="1" outlineLevel="1" thickBot="1" x14ac:dyDescent="0.3">
      <c r="A339" s="125"/>
      <c r="B339" s="143"/>
      <c r="C339" s="131"/>
      <c r="D339" s="131"/>
      <c r="E339" s="131"/>
      <c r="F339" s="131"/>
      <c r="G339" s="60" t="s">
        <v>131</v>
      </c>
      <c r="H339" s="134"/>
      <c r="I339" s="134"/>
      <c r="J339" s="60"/>
      <c r="K339" s="60"/>
      <c r="L339" s="160"/>
      <c r="M339" s="60"/>
      <c r="N339" s="60"/>
      <c r="O339" s="60">
        <f t="shared" si="70"/>
        <v>0</v>
      </c>
      <c r="P339" s="60">
        <f t="shared" si="65"/>
        <v>0</v>
      </c>
    </row>
    <row r="340" spans="1:16" s="38" customFormat="1" ht="14.45" customHeight="1" outlineLevel="1" x14ac:dyDescent="0.25">
      <c r="A340" s="140" t="s">
        <v>618</v>
      </c>
      <c r="B340" s="141" t="s">
        <v>619</v>
      </c>
      <c r="C340" s="130">
        <f>SUM(O340:O346)</f>
        <v>0</v>
      </c>
      <c r="D340" s="130">
        <f>SUM(P340:P346)</f>
        <v>0</v>
      </c>
      <c r="E340" s="130">
        <f t="shared" si="63"/>
        <v>0</v>
      </c>
      <c r="F340" s="130"/>
      <c r="G340" s="60" t="s">
        <v>125</v>
      </c>
      <c r="H340" s="123"/>
      <c r="I340" s="123"/>
      <c r="J340" s="60"/>
      <c r="K340" s="60"/>
      <c r="L340" s="160"/>
      <c r="M340" s="60"/>
      <c r="N340" s="60"/>
      <c r="O340" s="60">
        <f>N340*J340*K340*M340</f>
        <v>0</v>
      </c>
      <c r="P340" s="60">
        <f t="shared" si="65"/>
        <v>0</v>
      </c>
    </row>
    <row r="341" spans="1:16" s="38" customFormat="1" ht="11.45" customHeight="1" outlineLevel="1" x14ac:dyDescent="0.25">
      <c r="A341" s="124"/>
      <c r="B341" s="142"/>
      <c r="C341" s="115"/>
      <c r="D341" s="115"/>
      <c r="E341" s="115"/>
      <c r="F341" s="115"/>
      <c r="G341" s="60" t="s">
        <v>126</v>
      </c>
      <c r="H341" s="124"/>
      <c r="I341" s="124"/>
      <c r="J341" s="60"/>
      <c r="K341" s="60"/>
      <c r="L341" s="160"/>
      <c r="M341" s="60"/>
      <c r="N341" s="60"/>
      <c r="O341" s="60">
        <f t="shared" ref="O341:O346" si="71">N341*J341*K341*M341</f>
        <v>0</v>
      </c>
      <c r="P341" s="60">
        <f t="shared" si="65"/>
        <v>0</v>
      </c>
    </row>
    <row r="342" spans="1:16" s="38" customFormat="1" ht="10.7" customHeight="1" outlineLevel="1" x14ac:dyDescent="0.25">
      <c r="A342" s="124"/>
      <c r="B342" s="142"/>
      <c r="C342" s="115"/>
      <c r="D342" s="115"/>
      <c r="E342" s="115"/>
      <c r="F342" s="115"/>
      <c r="G342" s="60" t="s">
        <v>127</v>
      </c>
      <c r="H342" s="124"/>
      <c r="I342" s="124"/>
      <c r="J342" s="60"/>
      <c r="K342" s="60"/>
      <c r="L342" s="160"/>
      <c r="M342" s="60"/>
      <c r="N342" s="60"/>
      <c r="O342" s="60">
        <f t="shared" si="71"/>
        <v>0</v>
      </c>
      <c r="P342" s="60">
        <f t="shared" si="65"/>
        <v>0</v>
      </c>
    </row>
    <row r="343" spans="1:16" s="38" customFormat="1" ht="10.7" customHeight="1" outlineLevel="1" x14ac:dyDescent="0.25">
      <c r="A343" s="124"/>
      <c r="B343" s="142"/>
      <c r="C343" s="115"/>
      <c r="D343" s="115"/>
      <c r="E343" s="115"/>
      <c r="F343" s="115"/>
      <c r="G343" s="60" t="s">
        <v>128</v>
      </c>
      <c r="H343" s="124"/>
      <c r="I343" s="124"/>
      <c r="J343" s="60"/>
      <c r="K343" s="60"/>
      <c r="L343" s="160"/>
      <c r="M343" s="60"/>
      <c r="N343" s="60"/>
      <c r="O343" s="60">
        <f t="shared" si="71"/>
        <v>0</v>
      </c>
      <c r="P343" s="60">
        <f t="shared" si="65"/>
        <v>0</v>
      </c>
    </row>
    <row r="344" spans="1:16" s="38" customFormat="1" ht="10.7" customHeight="1" outlineLevel="1" x14ac:dyDescent="0.25">
      <c r="A344" s="124"/>
      <c r="B344" s="142"/>
      <c r="C344" s="115"/>
      <c r="D344" s="115"/>
      <c r="E344" s="115"/>
      <c r="F344" s="115"/>
      <c r="G344" s="60" t="s">
        <v>129</v>
      </c>
      <c r="H344" s="124"/>
      <c r="I344" s="124"/>
      <c r="J344" s="60"/>
      <c r="K344" s="60"/>
      <c r="L344" s="160"/>
      <c r="M344" s="60"/>
      <c r="N344" s="60"/>
      <c r="O344" s="60">
        <f t="shared" si="71"/>
        <v>0</v>
      </c>
      <c r="P344" s="60">
        <f t="shared" si="65"/>
        <v>0</v>
      </c>
    </row>
    <row r="345" spans="1:16" s="38" customFormat="1" ht="10.7" customHeight="1" outlineLevel="1" x14ac:dyDescent="0.25">
      <c r="A345" s="124"/>
      <c r="B345" s="142"/>
      <c r="C345" s="115"/>
      <c r="D345" s="115"/>
      <c r="E345" s="115"/>
      <c r="F345" s="115"/>
      <c r="G345" s="60" t="s">
        <v>130</v>
      </c>
      <c r="H345" s="124"/>
      <c r="I345" s="124"/>
      <c r="J345" s="60"/>
      <c r="K345" s="60"/>
      <c r="L345" s="160"/>
      <c r="M345" s="60"/>
      <c r="N345" s="60"/>
      <c r="O345" s="60">
        <f t="shared" si="71"/>
        <v>0</v>
      </c>
      <c r="P345" s="60">
        <f t="shared" si="65"/>
        <v>0</v>
      </c>
    </row>
    <row r="346" spans="1:16" s="38" customFormat="1" ht="12" customHeight="1" outlineLevel="1" thickBot="1" x14ac:dyDescent="0.3">
      <c r="A346" s="125"/>
      <c r="B346" s="143"/>
      <c r="C346" s="131"/>
      <c r="D346" s="131"/>
      <c r="E346" s="131"/>
      <c r="F346" s="131"/>
      <c r="G346" s="60" t="s">
        <v>131</v>
      </c>
      <c r="H346" s="134"/>
      <c r="I346" s="134"/>
      <c r="J346" s="60"/>
      <c r="K346" s="60"/>
      <c r="L346" s="160"/>
      <c r="M346" s="60"/>
      <c r="N346" s="60"/>
      <c r="O346" s="60">
        <f t="shared" si="71"/>
        <v>0</v>
      </c>
      <c r="P346" s="60">
        <f t="shared" si="65"/>
        <v>0</v>
      </c>
    </row>
    <row r="347" spans="1:16" s="38" customFormat="1" ht="14.45" customHeight="1" outlineLevel="1" x14ac:dyDescent="0.25">
      <c r="A347" s="140" t="s">
        <v>620</v>
      </c>
      <c r="B347" s="141" t="s">
        <v>621</v>
      </c>
      <c r="C347" s="130">
        <f>SUM(O347:O353)</f>
        <v>0</v>
      </c>
      <c r="D347" s="130">
        <f>SUM(P347:P353)</f>
        <v>0</v>
      </c>
      <c r="E347" s="130">
        <f t="shared" si="63"/>
        <v>0</v>
      </c>
      <c r="F347" s="130"/>
      <c r="G347" s="60" t="s">
        <v>125</v>
      </c>
      <c r="H347" s="123"/>
      <c r="I347" s="123"/>
      <c r="J347" s="60"/>
      <c r="K347" s="60"/>
      <c r="L347" s="160"/>
      <c r="M347" s="60"/>
      <c r="N347" s="60"/>
      <c r="O347" s="60">
        <f>N347*J347*K347*M347</f>
        <v>0</v>
      </c>
      <c r="P347" s="60">
        <f t="shared" si="65"/>
        <v>0</v>
      </c>
    </row>
    <row r="348" spans="1:16" s="38" customFormat="1" ht="11.45" customHeight="1" outlineLevel="1" x14ac:dyDescent="0.25">
      <c r="A348" s="124"/>
      <c r="B348" s="142"/>
      <c r="C348" s="115"/>
      <c r="D348" s="115"/>
      <c r="E348" s="115"/>
      <c r="F348" s="115"/>
      <c r="G348" s="60" t="s">
        <v>126</v>
      </c>
      <c r="H348" s="124"/>
      <c r="I348" s="124"/>
      <c r="J348" s="60"/>
      <c r="K348" s="60"/>
      <c r="L348" s="160"/>
      <c r="M348" s="60"/>
      <c r="N348" s="60"/>
      <c r="O348" s="60">
        <f t="shared" ref="O348:O353" si="72">N348*J348*K348*M348</f>
        <v>0</v>
      </c>
      <c r="P348" s="60">
        <f t="shared" si="65"/>
        <v>0</v>
      </c>
    </row>
    <row r="349" spans="1:16" s="38" customFormat="1" ht="10.7" customHeight="1" outlineLevel="1" x14ac:dyDescent="0.25">
      <c r="A349" s="124"/>
      <c r="B349" s="142"/>
      <c r="C349" s="115"/>
      <c r="D349" s="115"/>
      <c r="E349" s="115"/>
      <c r="F349" s="115"/>
      <c r="G349" s="60" t="s">
        <v>127</v>
      </c>
      <c r="H349" s="124"/>
      <c r="I349" s="124"/>
      <c r="J349" s="60"/>
      <c r="K349" s="60"/>
      <c r="L349" s="160"/>
      <c r="M349" s="60"/>
      <c r="N349" s="60"/>
      <c r="O349" s="60">
        <f t="shared" si="72"/>
        <v>0</v>
      </c>
      <c r="P349" s="60">
        <f t="shared" si="65"/>
        <v>0</v>
      </c>
    </row>
    <row r="350" spans="1:16" s="38" customFormat="1" ht="10.7" customHeight="1" outlineLevel="1" x14ac:dyDescent="0.25">
      <c r="A350" s="124"/>
      <c r="B350" s="142"/>
      <c r="C350" s="115"/>
      <c r="D350" s="115"/>
      <c r="E350" s="115"/>
      <c r="F350" s="115"/>
      <c r="G350" s="60" t="s">
        <v>128</v>
      </c>
      <c r="H350" s="124"/>
      <c r="I350" s="124"/>
      <c r="J350" s="60"/>
      <c r="K350" s="60"/>
      <c r="L350" s="160"/>
      <c r="M350" s="60"/>
      <c r="N350" s="60"/>
      <c r="O350" s="60">
        <f t="shared" si="72"/>
        <v>0</v>
      </c>
      <c r="P350" s="60">
        <f t="shared" si="65"/>
        <v>0</v>
      </c>
    </row>
    <row r="351" spans="1:16" s="38" customFormat="1" ht="10.7" customHeight="1" outlineLevel="1" x14ac:dyDescent="0.25">
      <c r="A351" s="124"/>
      <c r="B351" s="142"/>
      <c r="C351" s="115"/>
      <c r="D351" s="115"/>
      <c r="E351" s="115"/>
      <c r="F351" s="115"/>
      <c r="G351" s="60" t="s">
        <v>129</v>
      </c>
      <c r="H351" s="124"/>
      <c r="I351" s="124"/>
      <c r="J351" s="60"/>
      <c r="K351" s="60"/>
      <c r="L351" s="160"/>
      <c r="M351" s="60"/>
      <c r="N351" s="60"/>
      <c r="O351" s="60">
        <f t="shared" si="72"/>
        <v>0</v>
      </c>
      <c r="P351" s="60">
        <f t="shared" si="65"/>
        <v>0</v>
      </c>
    </row>
    <row r="352" spans="1:16" s="38" customFormat="1" ht="10.7" customHeight="1" outlineLevel="1" x14ac:dyDescent="0.25">
      <c r="A352" s="124"/>
      <c r="B352" s="142"/>
      <c r="C352" s="115"/>
      <c r="D352" s="115"/>
      <c r="E352" s="115"/>
      <c r="F352" s="115"/>
      <c r="G352" s="60" t="s">
        <v>130</v>
      </c>
      <c r="H352" s="124"/>
      <c r="I352" s="124"/>
      <c r="J352" s="60"/>
      <c r="K352" s="60"/>
      <c r="L352" s="160"/>
      <c r="M352" s="60"/>
      <c r="N352" s="60"/>
      <c r="O352" s="60">
        <f t="shared" si="72"/>
        <v>0</v>
      </c>
      <c r="P352" s="60">
        <f t="shared" si="65"/>
        <v>0</v>
      </c>
    </row>
    <row r="353" spans="1:16" s="38" customFormat="1" ht="12" customHeight="1" outlineLevel="1" thickBot="1" x14ac:dyDescent="0.3">
      <c r="A353" s="125"/>
      <c r="B353" s="143"/>
      <c r="C353" s="131"/>
      <c r="D353" s="131"/>
      <c r="E353" s="131"/>
      <c r="F353" s="131"/>
      <c r="G353" s="60" t="s">
        <v>131</v>
      </c>
      <c r="H353" s="134"/>
      <c r="I353" s="134"/>
      <c r="J353" s="60"/>
      <c r="K353" s="60"/>
      <c r="L353" s="160"/>
      <c r="M353" s="60"/>
      <c r="N353" s="60"/>
      <c r="O353" s="60">
        <f t="shared" si="72"/>
        <v>0</v>
      </c>
      <c r="P353" s="60">
        <f t="shared" si="65"/>
        <v>0</v>
      </c>
    </row>
    <row r="354" spans="1:16" s="38" customFormat="1" ht="14.45" customHeight="1" outlineLevel="1" x14ac:dyDescent="0.25">
      <c r="A354" s="140" t="s">
        <v>622</v>
      </c>
      <c r="B354" s="141" t="s">
        <v>623</v>
      </c>
      <c r="C354" s="130">
        <f>SUM(O354:O360)</f>
        <v>0</v>
      </c>
      <c r="D354" s="130">
        <f>SUM(P354:P360)</f>
        <v>0</v>
      </c>
      <c r="E354" s="130">
        <f t="shared" si="63"/>
        <v>0</v>
      </c>
      <c r="F354" s="130"/>
      <c r="G354" s="60" t="s">
        <v>125</v>
      </c>
      <c r="H354" s="123"/>
      <c r="I354" s="123"/>
      <c r="J354" s="60"/>
      <c r="K354" s="60"/>
      <c r="L354" s="160"/>
      <c r="M354" s="60"/>
      <c r="N354" s="60"/>
      <c r="O354" s="60">
        <f>N354*J354*K354*M354</f>
        <v>0</v>
      </c>
      <c r="P354" s="60">
        <f t="shared" si="65"/>
        <v>0</v>
      </c>
    </row>
    <row r="355" spans="1:16" s="38" customFormat="1" ht="11.45" customHeight="1" outlineLevel="1" x14ac:dyDescent="0.25">
      <c r="A355" s="124"/>
      <c r="B355" s="142"/>
      <c r="C355" s="115"/>
      <c r="D355" s="115"/>
      <c r="E355" s="115"/>
      <c r="F355" s="115"/>
      <c r="G355" s="60" t="s">
        <v>126</v>
      </c>
      <c r="H355" s="124"/>
      <c r="I355" s="124"/>
      <c r="J355" s="60"/>
      <c r="K355" s="60"/>
      <c r="L355" s="160"/>
      <c r="M355" s="60"/>
      <c r="N355" s="60"/>
      <c r="O355" s="60">
        <f t="shared" ref="O355:O360" si="73">N355*J355*K355*M355</f>
        <v>0</v>
      </c>
      <c r="P355" s="60">
        <f t="shared" si="65"/>
        <v>0</v>
      </c>
    </row>
    <row r="356" spans="1:16" s="38" customFormat="1" ht="10.7" customHeight="1" outlineLevel="1" x14ac:dyDescent="0.25">
      <c r="A356" s="124"/>
      <c r="B356" s="142"/>
      <c r="C356" s="115"/>
      <c r="D356" s="115"/>
      <c r="E356" s="115"/>
      <c r="F356" s="115"/>
      <c r="G356" s="60" t="s">
        <v>127</v>
      </c>
      <c r="H356" s="124"/>
      <c r="I356" s="124"/>
      <c r="J356" s="60"/>
      <c r="K356" s="60"/>
      <c r="L356" s="160"/>
      <c r="M356" s="60"/>
      <c r="N356" s="60"/>
      <c r="O356" s="60">
        <f t="shared" si="73"/>
        <v>0</v>
      </c>
      <c r="P356" s="60">
        <f t="shared" si="65"/>
        <v>0</v>
      </c>
    </row>
    <row r="357" spans="1:16" s="38" customFormat="1" ht="10.7" customHeight="1" outlineLevel="1" x14ac:dyDescent="0.25">
      <c r="A357" s="124"/>
      <c r="B357" s="142"/>
      <c r="C357" s="115"/>
      <c r="D357" s="115"/>
      <c r="E357" s="115"/>
      <c r="F357" s="115"/>
      <c r="G357" s="60" t="s">
        <v>128</v>
      </c>
      <c r="H357" s="124"/>
      <c r="I357" s="124"/>
      <c r="J357" s="60"/>
      <c r="K357" s="60"/>
      <c r="L357" s="160"/>
      <c r="M357" s="60"/>
      <c r="N357" s="60"/>
      <c r="O357" s="60">
        <f t="shared" si="73"/>
        <v>0</v>
      </c>
      <c r="P357" s="60">
        <f t="shared" si="65"/>
        <v>0</v>
      </c>
    </row>
    <row r="358" spans="1:16" s="38" customFormat="1" ht="10.7" customHeight="1" outlineLevel="1" x14ac:dyDescent="0.25">
      <c r="A358" s="124"/>
      <c r="B358" s="142"/>
      <c r="C358" s="115"/>
      <c r="D358" s="115"/>
      <c r="E358" s="115"/>
      <c r="F358" s="115"/>
      <c r="G358" s="60" t="s">
        <v>129</v>
      </c>
      <c r="H358" s="124"/>
      <c r="I358" s="124"/>
      <c r="J358" s="60"/>
      <c r="K358" s="60"/>
      <c r="L358" s="160"/>
      <c r="M358" s="60"/>
      <c r="N358" s="60"/>
      <c r="O358" s="60">
        <f t="shared" si="73"/>
        <v>0</v>
      </c>
      <c r="P358" s="60">
        <f t="shared" si="65"/>
        <v>0</v>
      </c>
    </row>
    <row r="359" spans="1:16" s="38" customFormat="1" ht="10.7" customHeight="1" outlineLevel="1" x14ac:dyDescent="0.25">
      <c r="A359" s="124"/>
      <c r="B359" s="142"/>
      <c r="C359" s="115"/>
      <c r="D359" s="115"/>
      <c r="E359" s="115"/>
      <c r="F359" s="115"/>
      <c r="G359" s="60" t="s">
        <v>130</v>
      </c>
      <c r="H359" s="124"/>
      <c r="I359" s="124"/>
      <c r="J359" s="60"/>
      <c r="K359" s="60"/>
      <c r="L359" s="160"/>
      <c r="M359" s="60"/>
      <c r="N359" s="60"/>
      <c r="O359" s="60">
        <f t="shared" si="73"/>
        <v>0</v>
      </c>
      <c r="P359" s="60">
        <f t="shared" si="65"/>
        <v>0</v>
      </c>
    </row>
    <row r="360" spans="1:16" s="38" customFormat="1" ht="12" customHeight="1" outlineLevel="1" thickBot="1" x14ac:dyDescent="0.3">
      <c r="A360" s="125"/>
      <c r="B360" s="143"/>
      <c r="C360" s="131"/>
      <c r="D360" s="131"/>
      <c r="E360" s="131"/>
      <c r="F360" s="131"/>
      <c r="G360" s="60" t="s">
        <v>131</v>
      </c>
      <c r="H360" s="134"/>
      <c r="I360" s="134"/>
      <c r="J360" s="60"/>
      <c r="K360" s="60"/>
      <c r="L360" s="160"/>
      <c r="M360" s="60"/>
      <c r="N360" s="60"/>
      <c r="O360" s="60">
        <f t="shared" si="73"/>
        <v>0</v>
      </c>
      <c r="P360" s="60">
        <f t="shared" si="65"/>
        <v>0</v>
      </c>
    </row>
    <row r="361" spans="1:16" s="38" customFormat="1" ht="14.45" customHeight="1" outlineLevel="1" x14ac:dyDescent="0.25">
      <c r="A361" s="140" t="s">
        <v>624</v>
      </c>
      <c r="B361" s="141" t="s">
        <v>625</v>
      </c>
      <c r="C361" s="130">
        <f>SUM(O361:O367)</f>
        <v>0</v>
      </c>
      <c r="D361" s="130">
        <f>SUM(P361:P367)</f>
        <v>0</v>
      </c>
      <c r="E361" s="130">
        <f t="shared" si="63"/>
        <v>0</v>
      </c>
      <c r="F361" s="130"/>
      <c r="G361" s="60" t="s">
        <v>125</v>
      </c>
      <c r="H361" s="123"/>
      <c r="I361" s="123"/>
      <c r="J361" s="60"/>
      <c r="K361" s="60"/>
      <c r="L361" s="160"/>
      <c r="M361" s="60"/>
      <c r="N361" s="60"/>
      <c r="O361" s="60">
        <f>N361*J361*K361*M361</f>
        <v>0</v>
      </c>
      <c r="P361" s="60">
        <f t="shared" si="65"/>
        <v>0</v>
      </c>
    </row>
    <row r="362" spans="1:16" s="38" customFormat="1" ht="11.45" customHeight="1" outlineLevel="1" x14ac:dyDescent="0.25">
      <c r="A362" s="124"/>
      <c r="B362" s="142"/>
      <c r="C362" s="115"/>
      <c r="D362" s="115"/>
      <c r="E362" s="115"/>
      <c r="F362" s="115"/>
      <c r="G362" s="60" t="s">
        <v>126</v>
      </c>
      <c r="H362" s="124"/>
      <c r="I362" s="124"/>
      <c r="J362" s="60"/>
      <c r="K362" s="60"/>
      <c r="L362" s="160"/>
      <c r="M362" s="60"/>
      <c r="N362" s="60"/>
      <c r="O362" s="60">
        <f t="shared" ref="O362:O367" si="74">N362*J362*K362*M362</f>
        <v>0</v>
      </c>
      <c r="P362" s="60">
        <f t="shared" si="65"/>
        <v>0</v>
      </c>
    </row>
    <row r="363" spans="1:16" s="38" customFormat="1" ht="10.7" customHeight="1" outlineLevel="1" x14ac:dyDescent="0.25">
      <c r="A363" s="124"/>
      <c r="B363" s="142"/>
      <c r="C363" s="115"/>
      <c r="D363" s="115"/>
      <c r="E363" s="115"/>
      <c r="F363" s="115"/>
      <c r="G363" s="60" t="s">
        <v>127</v>
      </c>
      <c r="H363" s="124"/>
      <c r="I363" s="124"/>
      <c r="J363" s="60"/>
      <c r="K363" s="60"/>
      <c r="L363" s="160"/>
      <c r="M363" s="60"/>
      <c r="N363" s="60"/>
      <c r="O363" s="60">
        <f t="shared" si="74"/>
        <v>0</v>
      </c>
      <c r="P363" s="60">
        <f t="shared" ref="P363:P426" si="75">J363*K363*M363</f>
        <v>0</v>
      </c>
    </row>
    <row r="364" spans="1:16" s="38" customFormat="1" ht="10.7" customHeight="1" outlineLevel="1" x14ac:dyDescent="0.25">
      <c r="A364" s="124"/>
      <c r="B364" s="142"/>
      <c r="C364" s="115"/>
      <c r="D364" s="115"/>
      <c r="E364" s="115"/>
      <c r="F364" s="115"/>
      <c r="G364" s="60" t="s">
        <v>128</v>
      </c>
      <c r="H364" s="124"/>
      <c r="I364" s="124"/>
      <c r="J364" s="60"/>
      <c r="K364" s="60"/>
      <c r="L364" s="160"/>
      <c r="M364" s="60"/>
      <c r="N364" s="60"/>
      <c r="O364" s="60">
        <f t="shared" si="74"/>
        <v>0</v>
      </c>
      <c r="P364" s="60">
        <f t="shared" si="75"/>
        <v>0</v>
      </c>
    </row>
    <row r="365" spans="1:16" s="38" customFormat="1" ht="10.7" customHeight="1" outlineLevel="1" x14ac:dyDescent="0.25">
      <c r="A365" s="124"/>
      <c r="B365" s="142"/>
      <c r="C365" s="115"/>
      <c r="D365" s="115"/>
      <c r="E365" s="115"/>
      <c r="F365" s="115"/>
      <c r="G365" s="60" t="s">
        <v>129</v>
      </c>
      <c r="H365" s="124"/>
      <c r="I365" s="124"/>
      <c r="J365" s="60"/>
      <c r="K365" s="60"/>
      <c r="L365" s="160"/>
      <c r="M365" s="60"/>
      <c r="N365" s="60"/>
      <c r="O365" s="60">
        <f t="shared" si="74"/>
        <v>0</v>
      </c>
      <c r="P365" s="60">
        <f t="shared" si="75"/>
        <v>0</v>
      </c>
    </row>
    <row r="366" spans="1:16" s="38" customFormat="1" ht="10.7" customHeight="1" outlineLevel="1" x14ac:dyDescent="0.25">
      <c r="A366" s="124"/>
      <c r="B366" s="142"/>
      <c r="C366" s="115"/>
      <c r="D366" s="115"/>
      <c r="E366" s="115"/>
      <c r="F366" s="115"/>
      <c r="G366" s="60" t="s">
        <v>130</v>
      </c>
      <c r="H366" s="124"/>
      <c r="I366" s="124"/>
      <c r="J366" s="60"/>
      <c r="K366" s="60"/>
      <c r="L366" s="160"/>
      <c r="M366" s="60"/>
      <c r="N366" s="60"/>
      <c r="O366" s="60">
        <f t="shared" si="74"/>
        <v>0</v>
      </c>
      <c r="P366" s="60">
        <f t="shared" si="75"/>
        <v>0</v>
      </c>
    </row>
    <row r="367" spans="1:16" s="38" customFormat="1" ht="12" customHeight="1" outlineLevel="1" thickBot="1" x14ac:dyDescent="0.3">
      <c r="A367" s="125"/>
      <c r="B367" s="143"/>
      <c r="C367" s="131"/>
      <c r="D367" s="131"/>
      <c r="E367" s="131"/>
      <c r="F367" s="131"/>
      <c r="G367" s="60" t="s">
        <v>131</v>
      </c>
      <c r="H367" s="134"/>
      <c r="I367" s="134"/>
      <c r="J367" s="60"/>
      <c r="K367" s="60"/>
      <c r="L367" s="160"/>
      <c r="M367" s="60"/>
      <c r="N367" s="60"/>
      <c r="O367" s="60">
        <f t="shared" si="74"/>
        <v>0</v>
      </c>
      <c r="P367" s="60">
        <f t="shared" si="75"/>
        <v>0</v>
      </c>
    </row>
    <row r="368" spans="1:16" s="38" customFormat="1" ht="14.45" customHeight="1" outlineLevel="1" x14ac:dyDescent="0.25">
      <c r="A368" s="140" t="s">
        <v>626</v>
      </c>
      <c r="B368" s="141" t="s">
        <v>627</v>
      </c>
      <c r="C368" s="130">
        <f>SUM(O368:O374)</f>
        <v>0</v>
      </c>
      <c r="D368" s="130">
        <f>SUM(P368:P374)</f>
        <v>0</v>
      </c>
      <c r="E368" s="130">
        <f t="shared" ref="E368:E431" si="76">D368/8</f>
        <v>0</v>
      </c>
      <c r="F368" s="130"/>
      <c r="G368" s="60" t="s">
        <v>125</v>
      </c>
      <c r="H368" s="123"/>
      <c r="I368" s="123"/>
      <c r="J368" s="60"/>
      <c r="K368" s="60"/>
      <c r="L368" s="160"/>
      <c r="M368" s="60"/>
      <c r="N368" s="60"/>
      <c r="O368" s="60">
        <f>N368*J368*K368*M368</f>
        <v>0</v>
      </c>
      <c r="P368" s="60">
        <f t="shared" si="75"/>
        <v>0</v>
      </c>
    </row>
    <row r="369" spans="1:16" s="38" customFormat="1" ht="11.45" customHeight="1" outlineLevel="1" x14ac:dyDescent="0.25">
      <c r="A369" s="124"/>
      <c r="B369" s="142"/>
      <c r="C369" s="115"/>
      <c r="D369" s="115"/>
      <c r="E369" s="115"/>
      <c r="F369" s="115"/>
      <c r="G369" s="60" t="s">
        <v>126</v>
      </c>
      <c r="H369" s="124"/>
      <c r="I369" s="124"/>
      <c r="J369" s="60"/>
      <c r="K369" s="60"/>
      <c r="L369" s="160"/>
      <c r="M369" s="60"/>
      <c r="N369" s="60"/>
      <c r="O369" s="60">
        <f t="shared" ref="O369:O374" si="77">N369*J369*K369*M369</f>
        <v>0</v>
      </c>
      <c r="P369" s="60">
        <f t="shared" si="75"/>
        <v>0</v>
      </c>
    </row>
    <row r="370" spans="1:16" s="38" customFormat="1" ht="10.7" customHeight="1" outlineLevel="1" x14ac:dyDescent="0.25">
      <c r="A370" s="124"/>
      <c r="B370" s="142"/>
      <c r="C370" s="115"/>
      <c r="D370" s="115"/>
      <c r="E370" s="115"/>
      <c r="F370" s="115"/>
      <c r="G370" s="60" t="s">
        <v>127</v>
      </c>
      <c r="H370" s="124"/>
      <c r="I370" s="124"/>
      <c r="J370" s="60"/>
      <c r="K370" s="60"/>
      <c r="L370" s="160"/>
      <c r="M370" s="60"/>
      <c r="N370" s="60"/>
      <c r="O370" s="60">
        <f t="shared" si="77"/>
        <v>0</v>
      </c>
      <c r="P370" s="60">
        <f t="shared" si="75"/>
        <v>0</v>
      </c>
    </row>
    <row r="371" spans="1:16" s="38" customFormat="1" ht="10.7" customHeight="1" outlineLevel="1" x14ac:dyDescent="0.25">
      <c r="A371" s="124"/>
      <c r="B371" s="142"/>
      <c r="C371" s="115"/>
      <c r="D371" s="115"/>
      <c r="E371" s="115"/>
      <c r="F371" s="115"/>
      <c r="G371" s="60" t="s">
        <v>128</v>
      </c>
      <c r="H371" s="124"/>
      <c r="I371" s="124"/>
      <c r="J371" s="60"/>
      <c r="K371" s="60"/>
      <c r="L371" s="160"/>
      <c r="M371" s="60"/>
      <c r="N371" s="60"/>
      <c r="O371" s="60">
        <f t="shared" si="77"/>
        <v>0</v>
      </c>
      <c r="P371" s="60">
        <f t="shared" si="75"/>
        <v>0</v>
      </c>
    </row>
    <row r="372" spans="1:16" s="38" customFormat="1" ht="10.7" customHeight="1" outlineLevel="1" x14ac:dyDescent="0.25">
      <c r="A372" s="124"/>
      <c r="B372" s="142"/>
      <c r="C372" s="115"/>
      <c r="D372" s="115"/>
      <c r="E372" s="115"/>
      <c r="F372" s="115"/>
      <c r="G372" s="60" t="s">
        <v>129</v>
      </c>
      <c r="H372" s="124"/>
      <c r="I372" s="124"/>
      <c r="J372" s="60"/>
      <c r="K372" s="60"/>
      <c r="L372" s="160"/>
      <c r="M372" s="60"/>
      <c r="N372" s="60"/>
      <c r="O372" s="60">
        <f t="shared" si="77"/>
        <v>0</v>
      </c>
      <c r="P372" s="60">
        <f t="shared" si="75"/>
        <v>0</v>
      </c>
    </row>
    <row r="373" spans="1:16" s="38" customFormat="1" ht="10.7" customHeight="1" outlineLevel="1" x14ac:dyDescent="0.25">
      <c r="A373" s="124"/>
      <c r="B373" s="142"/>
      <c r="C373" s="115"/>
      <c r="D373" s="115"/>
      <c r="E373" s="115"/>
      <c r="F373" s="115"/>
      <c r="G373" s="60" t="s">
        <v>130</v>
      </c>
      <c r="H373" s="124"/>
      <c r="I373" s="124"/>
      <c r="J373" s="60"/>
      <c r="K373" s="60"/>
      <c r="L373" s="160"/>
      <c r="M373" s="60"/>
      <c r="N373" s="60"/>
      <c r="O373" s="60">
        <f t="shared" si="77"/>
        <v>0</v>
      </c>
      <c r="P373" s="60">
        <f t="shared" si="75"/>
        <v>0</v>
      </c>
    </row>
    <row r="374" spans="1:16" s="38" customFormat="1" ht="12" customHeight="1" outlineLevel="1" thickBot="1" x14ac:dyDescent="0.3">
      <c r="A374" s="125"/>
      <c r="B374" s="143"/>
      <c r="C374" s="131"/>
      <c r="D374" s="131"/>
      <c r="E374" s="131"/>
      <c r="F374" s="131"/>
      <c r="G374" s="60" t="s">
        <v>131</v>
      </c>
      <c r="H374" s="134"/>
      <c r="I374" s="134"/>
      <c r="J374" s="60"/>
      <c r="K374" s="60"/>
      <c r="L374" s="160"/>
      <c r="M374" s="60"/>
      <c r="N374" s="60"/>
      <c r="O374" s="60">
        <f t="shared" si="77"/>
        <v>0</v>
      </c>
      <c r="P374" s="60">
        <f t="shared" si="75"/>
        <v>0</v>
      </c>
    </row>
    <row r="375" spans="1:16" s="38" customFormat="1" ht="14.45" customHeight="1" outlineLevel="1" x14ac:dyDescent="0.25">
      <c r="A375" s="140" t="s">
        <v>628</v>
      </c>
      <c r="B375" s="141" t="s">
        <v>629</v>
      </c>
      <c r="C375" s="130">
        <f>SUM(O375:O381)</f>
        <v>0</v>
      </c>
      <c r="D375" s="130">
        <f>SUM(P375:P381)</f>
        <v>0</v>
      </c>
      <c r="E375" s="130">
        <f t="shared" si="76"/>
        <v>0</v>
      </c>
      <c r="F375" s="130"/>
      <c r="G375" s="60" t="s">
        <v>125</v>
      </c>
      <c r="H375" s="123"/>
      <c r="I375" s="123"/>
      <c r="J375" s="60"/>
      <c r="K375" s="60"/>
      <c r="L375" s="160"/>
      <c r="M375" s="60"/>
      <c r="N375" s="60"/>
      <c r="O375" s="60">
        <f>N375*J375*K375*M375</f>
        <v>0</v>
      </c>
      <c r="P375" s="60">
        <f t="shared" si="75"/>
        <v>0</v>
      </c>
    </row>
    <row r="376" spans="1:16" s="38" customFormat="1" ht="11.45" customHeight="1" outlineLevel="1" x14ac:dyDescent="0.25">
      <c r="A376" s="124"/>
      <c r="B376" s="142"/>
      <c r="C376" s="115"/>
      <c r="D376" s="115"/>
      <c r="E376" s="115"/>
      <c r="F376" s="115"/>
      <c r="G376" s="60" t="s">
        <v>126</v>
      </c>
      <c r="H376" s="124"/>
      <c r="I376" s="124"/>
      <c r="J376" s="60"/>
      <c r="K376" s="60"/>
      <c r="L376" s="160"/>
      <c r="M376" s="60"/>
      <c r="N376" s="60"/>
      <c r="O376" s="60">
        <f t="shared" ref="O376:O381" si="78">N376*J376*K376*M376</f>
        <v>0</v>
      </c>
      <c r="P376" s="60">
        <f t="shared" si="75"/>
        <v>0</v>
      </c>
    </row>
    <row r="377" spans="1:16" s="38" customFormat="1" ht="10.7" customHeight="1" outlineLevel="1" x14ac:dyDescent="0.25">
      <c r="A377" s="124"/>
      <c r="B377" s="142"/>
      <c r="C377" s="115"/>
      <c r="D377" s="115"/>
      <c r="E377" s="115"/>
      <c r="F377" s="115"/>
      <c r="G377" s="60" t="s">
        <v>127</v>
      </c>
      <c r="H377" s="124"/>
      <c r="I377" s="124"/>
      <c r="J377" s="60"/>
      <c r="K377" s="60"/>
      <c r="L377" s="160"/>
      <c r="M377" s="60"/>
      <c r="N377" s="60"/>
      <c r="O377" s="60">
        <f t="shared" si="78"/>
        <v>0</v>
      </c>
      <c r="P377" s="60">
        <f t="shared" si="75"/>
        <v>0</v>
      </c>
    </row>
    <row r="378" spans="1:16" s="38" customFormat="1" ht="10.7" customHeight="1" outlineLevel="1" x14ac:dyDescent="0.25">
      <c r="A378" s="124"/>
      <c r="B378" s="142"/>
      <c r="C378" s="115"/>
      <c r="D378" s="115"/>
      <c r="E378" s="115"/>
      <c r="F378" s="115"/>
      <c r="G378" s="60" t="s">
        <v>128</v>
      </c>
      <c r="H378" s="124"/>
      <c r="I378" s="124"/>
      <c r="J378" s="60"/>
      <c r="K378" s="60"/>
      <c r="L378" s="160"/>
      <c r="M378" s="60"/>
      <c r="N378" s="60"/>
      <c r="O378" s="60">
        <f t="shared" si="78"/>
        <v>0</v>
      </c>
      <c r="P378" s="60">
        <f t="shared" si="75"/>
        <v>0</v>
      </c>
    </row>
    <row r="379" spans="1:16" s="38" customFormat="1" ht="10.7" customHeight="1" outlineLevel="1" x14ac:dyDescent="0.25">
      <c r="A379" s="124"/>
      <c r="B379" s="142"/>
      <c r="C379" s="115"/>
      <c r="D379" s="115"/>
      <c r="E379" s="115"/>
      <c r="F379" s="115"/>
      <c r="G379" s="60" t="s">
        <v>129</v>
      </c>
      <c r="H379" s="124"/>
      <c r="I379" s="124"/>
      <c r="J379" s="60"/>
      <c r="K379" s="60"/>
      <c r="L379" s="160"/>
      <c r="M379" s="60"/>
      <c r="N379" s="60"/>
      <c r="O379" s="60">
        <f t="shared" si="78"/>
        <v>0</v>
      </c>
      <c r="P379" s="60">
        <f t="shared" si="75"/>
        <v>0</v>
      </c>
    </row>
    <row r="380" spans="1:16" s="38" customFormat="1" ht="10.7" customHeight="1" outlineLevel="1" x14ac:dyDescent="0.25">
      <c r="A380" s="124"/>
      <c r="B380" s="142"/>
      <c r="C380" s="115"/>
      <c r="D380" s="115"/>
      <c r="E380" s="115"/>
      <c r="F380" s="115"/>
      <c r="G380" s="60" t="s">
        <v>130</v>
      </c>
      <c r="H380" s="124"/>
      <c r="I380" s="124"/>
      <c r="J380" s="60"/>
      <c r="K380" s="60"/>
      <c r="L380" s="160"/>
      <c r="M380" s="60"/>
      <c r="N380" s="60"/>
      <c r="O380" s="60">
        <f t="shared" si="78"/>
        <v>0</v>
      </c>
      <c r="P380" s="60">
        <f t="shared" si="75"/>
        <v>0</v>
      </c>
    </row>
    <row r="381" spans="1:16" s="38" customFormat="1" ht="12" customHeight="1" outlineLevel="1" thickBot="1" x14ac:dyDescent="0.3">
      <c r="A381" s="125"/>
      <c r="B381" s="143"/>
      <c r="C381" s="131"/>
      <c r="D381" s="131"/>
      <c r="E381" s="131"/>
      <c r="F381" s="131"/>
      <c r="G381" s="60" t="s">
        <v>131</v>
      </c>
      <c r="H381" s="134"/>
      <c r="I381" s="134"/>
      <c r="J381" s="60"/>
      <c r="K381" s="60"/>
      <c r="L381" s="160"/>
      <c r="M381" s="60"/>
      <c r="N381" s="60"/>
      <c r="O381" s="60">
        <f t="shared" si="78"/>
        <v>0</v>
      </c>
      <c r="P381" s="60">
        <f t="shared" si="75"/>
        <v>0</v>
      </c>
    </row>
    <row r="382" spans="1:16" s="38" customFormat="1" ht="14.45" customHeight="1" outlineLevel="1" x14ac:dyDescent="0.25">
      <c r="A382" s="140" t="s">
        <v>630</v>
      </c>
      <c r="B382" s="141" t="s">
        <v>631</v>
      </c>
      <c r="C382" s="130">
        <f>SUM(O382:O388)</f>
        <v>0</v>
      </c>
      <c r="D382" s="130">
        <f>SUM(P382:P388)</f>
        <v>0</v>
      </c>
      <c r="E382" s="130">
        <f t="shared" si="76"/>
        <v>0</v>
      </c>
      <c r="F382" s="130"/>
      <c r="G382" s="60" t="s">
        <v>125</v>
      </c>
      <c r="H382" s="123"/>
      <c r="I382" s="123"/>
      <c r="J382" s="60"/>
      <c r="K382" s="60"/>
      <c r="L382" s="160"/>
      <c r="M382" s="60"/>
      <c r="N382" s="60"/>
      <c r="O382" s="60">
        <f>N382*J382*K382*M382</f>
        <v>0</v>
      </c>
      <c r="P382" s="60">
        <f t="shared" si="75"/>
        <v>0</v>
      </c>
    </row>
    <row r="383" spans="1:16" s="38" customFormat="1" ht="11.45" customHeight="1" outlineLevel="1" x14ac:dyDescent="0.25">
      <c r="A383" s="124"/>
      <c r="B383" s="142"/>
      <c r="C383" s="115"/>
      <c r="D383" s="115"/>
      <c r="E383" s="115"/>
      <c r="F383" s="115"/>
      <c r="G383" s="60" t="s">
        <v>126</v>
      </c>
      <c r="H383" s="124"/>
      <c r="I383" s="124"/>
      <c r="J383" s="60"/>
      <c r="K383" s="60"/>
      <c r="L383" s="160"/>
      <c r="M383" s="60"/>
      <c r="N383" s="60"/>
      <c r="O383" s="60">
        <f t="shared" ref="O383:O388" si="79">N383*J383*K383*M383</f>
        <v>0</v>
      </c>
      <c r="P383" s="60">
        <f t="shared" si="75"/>
        <v>0</v>
      </c>
    </row>
    <row r="384" spans="1:16" s="38" customFormat="1" ht="10.7" customHeight="1" outlineLevel="1" x14ac:dyDescent="0.25">
      <c r="A384" s="124"/>
      <c r="B384" s="142"/>
      <c r="C384" s="115"/>
      <c r="D384" s="115"/>
      <c r="E384" s="115"/>
      <c r="F384" s="115"/>
      <c r="G384" s="60" t="s">
        <v>127</v>
      </c>
      <c r="H384" s="124"/>
      <c r="I384" s="124"/>
      <c r="J384" s="60"/>
      <c r="K384" s="60"/>
      <c r="L384" s="160"/>
      <c r="M384" s="60"/>
      <c r="N384" s="60"/>
      <c r="O384" s="60">
        <f t="shared" si="79"/>
        <v>0</v>
      </c>
      <c r="P384" s="60">
        <f t="shared" si="75"/>
        <v>0</v>
      </c>
    </row>
    <row r="385" spans="1:16" s="38" customFormat="1" ht="10.7" customHeight="1" outlineLevel="1" x14ac:dyDescent="0.25">
      <c r="A385" s="124"/>
      <c r="B385" s="142"/>
      <c r="C385" s="115"/>
      <c r="D385" s="115"/>
      <c r="E385" s="115"/>
      <c r="F385" s="115"/>
      <c r="G385" s="60" t="s">
        <v>128</v>
      </c>
      <c r="H385" s="124"/>
      <c r="I385" s="124"/>
      <c r="J385" s="60"/>
      <c r="K385" s="60"/>
      <c r="L385" s="160"/>
      <c r="M385" s="60"/>
      <c r="N385" s="60"/>
      <c r="O385" s="60">
        <f t="shared" si="79"/>
        <v>0</v>
      </c>
      <c r="P385" s="60">
        <f t="shared" si="75"/>
        <v>0</v>
      </c>
    </row>
    <row r="386" spans="1:16" s="38" customFormat="1" ht="10.7" customHeight="1" outlineLevel="1" x14ac:dyDescent="0.25">
      <c r="A386" s="124"/>
      <c r="B386" s="142"/>
      <c r="C386" s="115"/>
      <c r="D386" s="115"/>
      <c r="E386" s="115"/>
      <c r="F386" s="115"/>
      <c r="G386" s="60" t="s">
        <v>129</v>
      </c>
      <c r="H386" s="124"/>
      <c r="I386" s="124"/>
      <c r="J386" s="60"/>
      <c r="K386" s="60"/>
      <c r="L386" s="160"/>
      <c r="M386" s="60"/>
      <c r="N386" s="60"/>
      <c r="O386" s="60">
        <f t="shared" si="79"/>
        <v>0</v>
      </c>
      <c r="P386" s="60">
        <f t="shared" si="75"/>
        <v>0</v>
      </c>
    </row>
    <row r="387" spans="1:16" s="38" customFormat="1" ht="10.7" customHeight="1" outlineLevel="1" x14ac:dyDescent="0.25">
      <c r="A387" s="124"/>
      <c r="B387" s="142"/>
      <c r="C387" s="115"/>
      <c r="D387" s="115"/>
      <c r="E387" s="115"/>
      <c r="F387" s="115"/>
      <c r="G387" s="60" t="s">
        <v>130</v>
      </c>
      <c r="H387" s="124"/>
      <c r="I387" s="124"/>
      <c r="J387" s="60"/>
      <c r="K387" s="60"/>
      <c r="L387" s="160"/>
      <c r="M387" s="60"/>
      <c r="N387" s="60"/>
      <c r="O387" s="60">
        <f t="shared" si="79"/>
        <v>0</v>
      </c>
      <c r="P387" s="60">
        <f t="shared" si="75"/>
        <v>0</v>
      </c>
    </row>
    <row r="388" spans="1:16" s="38" customFormat="1" ht="12" customHeight="1" outlineLevel="1" thickBot="1" x14ac:dyDescent="0.3">
      <c r="A388" s="125"/>
      <c r="B388" s="143"/>
      <c r="C388" s="131"/>
      <c r="D388" s="131"/>
      <c r="E388" s="131"/>
      <c r="F388" s="131"/>
      <c r="G388" s="60" t="s">
        <v>131</v>
      </c>
      <c r="H388" s="134"/>
      <c r="I388" s="134"/>
      <c r="J388" s="60"/>
      <c r="K388" s="60"/>
      <c r="L388" s="160"/>
      <c r="M388" s="60"/>
      <c r="N388" s="60"/>
      <c r="O388" s="60">
        <f t="shared" si="79"/>
        <v>0</v>
      </c>
      <c r="P388" s="60">
        <f t="shared" si="75"/>
        <v>0</v>
      </c>
    </row>
    <row r="389" spans="1:16" s="38" customFormat="1" ht="14.45" customHeight="1" outlineLevel="1" x14ac:dyDescent="0.25">
      <c r="A389" s="140" t="s">
        <v>632</v>
      </c>
      <c r="B389" s="141" t="s">
        <v>633</v>
      </c>
      <c r="C389" s="130">
        <f>SUM(O389:O395)</f>
        <v>0</v>
      </c>
      <c r="D389" s="130">
        <f>SUM(P389:P395)</f>
        <v>0</v>
      </c>
      <c r="E389" s="130">
        <f t="shared" si="76"/>
        <v>0</v>
      </c>
      <c r="F389" s="130"/>
      <c r="G389" s="60" t="s">
        <v>125</v>
      </c>
      <c r="H389" s="123"/>
      <c r="I389" s="123"/>
      <c r="J389" s="60"/>
      <c r="K389" s="60"/>
      <c r="L389" s="160"/>
      <c r="M389" s="60"/>
      <c r="N389" s="60"/>
      <c r="O389" s="60">
        <f>N389*J389*K389*M389</f>
        <v>0</v>
      </c>
      <c r="P389" s="60">
        <f t="shared" si="75"/>
        <v>0</v>
      </c>
    </row>
    <row r="390" spans="1:16" s="38" customFormat="1" ht="11.45" customHeight="1" outlineLevel="1" x14ac:dyDescent="0.25">
      <c r="A390" s="124"/>
      <c r="B390" s="142"/>
      <c r="C390" s="115"/>
      <c r="D390" s="115"/>
      <c r="E390" s="115"/>
      <c r="F390" s="115"/>
      <c r="G390" s="60" t="s">
        <v>126</v>
      </c>
      <c r="H390" s="124"/>
      <c r="I390" s="124"/>
      <c r="J390" s="60"/>
      <c r="K390" s="60"/>
      <c r="L390" s="160"/>
      <c r="M390" s="60"/>
      <c r="N390" s="60"/>
      <c r="O390" s="60">
        <f t="shared" ref="O390:O395" si="80">N390*J390*K390*M390</f>
        <v>0</v>
      </c>
      <c r="P390" s="60">
        <f t="shared" si="75"/>
        <v>0</v>
      </c>
    </row>
    <row r="391" spans="1:16" s="38" customFormat="1" ht="10.7" customHeight="1" outlineLevel="1" x14ac:dyDescent="0.25">
      <c r="A391" s="124"/>
      <c r="B391" s="142"/>
      <c r="C391" s="115"/>
      <c r="D391" s="115"/>
      <c r="E391" s="115"/>
      <c r="F391" s="115"/>
      <c r="G391" s="60" t="s">
        <v>127</v>
      </c>
      <c r="H391" s="124"/>
      <c r="I391" s="124"/>
      <c r="J391" s="60"/>
      <c r="K391" s="60"/>
      <c r="L391" s="160"/>
      <c r="M391" s="60"/>
      <c r="N391" s="60"/>
      <c r="O391" s="60">
        <f t="shared" si="80"/>
        <v>0</v>
      </c>
      <c r="P391" s="60">
        <f t="shared" si="75"/>
        <v>0</v>
      </c>
    </row>
    <row r="392" spans="1:16" s="38" customFormat="1" ht="10.7" customHeight="1" outlineLevel="1" x14ac:dyDescent="0.25">
      <c r="A392" s="124"/>
      <c r="B392" s="142"/>
      <c r="C392" s="115"/>
      <c r="D392" s="115"/>
      <c r="E392" s="115"/>
      <c r="F392" s="115"/>
      <c r="G392" s="60" t="s">
        <v>128</v>
      </c>
      <c r="H392" s="124"/>
      <c r="I392" s="124"/>
      <c r="J392" s="60"/>
      <c r="K392" s="60"/>
      <c r="L392" s="160"/>
      <c r="M392" s="60"/>
      <c r="N392" s="60"/>
      <c r="O392" s="60">
        <f t="shared" si="80"/>
        <v>0</v>
      </c>
      <c r="P392" s="60">
        <f t="shared" si="75"/>
        <v>0</v>
      </c>
    </row>
    <row r="393" spans="1:16" s="38" customFormat="1" ht="10.7" customHeight="1" outlineLevel="1" x14ac:dyDescent="0.25">
      <c r="A393" s="124"/>
      <c r="B393" s="142"/>
      <c r="C393" s="115"/>
      <c r="D393" s="115"/>
      <c r="E393" s="115"/>
      <c r="F393" s="115"/>
      <c r="G393" s="60" t="s">
        <v>129</v>
      </c>
      <c r="H393" s="124"/>
      <c r="I393" s="124"/>
      <c r="J393" s="60"/>
      <c r="K393" s="60"/>
      <c r="L393" s="160"/>
      <c r="M393" s="60"/>
      <c r="N393" s="60"/>
      <c r="O393" s="60">
        <f t="shared" si="80"/>
        <v>0</v>
      </c>
      <c r="P393" s="60">
        <f t="shared" si="75"/>
        <v>0</v>
      </c>
    </row>
    <row r="394" spans="1:16" s="38" customFormat="1" ht="10.7" customHeight="1" outlineLevel="1" x14ac:dyDescent="0.25">
      <c r="A394" s="124"/>
      <c r="B394" s="142"/>
      <c r="C394" s="115"/>
      <c r="D394" s="115"/>
      <c r="E394" s="115"/>
      <c r="F394" s="115"/>
      <c r="G394" s="60" t="s">
        <v>130</v>
      </c>
      <c r="H394" s="124"/>
      <c r="I394" s="124"/>
      <c r="J394" s="60"/>
      <c r="K394" s="60"/>
      <c r="L394" s="160"/>
      <c r="M394" s="60"/>
      <c r="N394" s="60"/>
      <c r="O394" s="60">
        <f t="shared" si="80"/>
        <v>0</v>
      </c>
      <c r="P394" s="60">
        <f t="shared" si="75"/>
        <v>0</v>
      </c>
    </row>
    <row r="395" spans="1:16" s="38" customFormat="1" ht="12" customHeight="1" outlineLevel="1" thickBot="1" x14ac:dyDescent="0.3">
      <c r="A395" s="125"/>
      <c r="B395" s="143"/>
      <c r="C395" s="131"/>
      <c r="D395" s="131"/>
      <c r="E395" s="131"/>
      <c r="F395" s="131"/>
      <c r="G395" s="60" t="s">
        <v>131</v>
      </c>
      <c r="H395" s="134"/>
      <c r="I395" s="134"/>
      <c r="J395" s="60"/>
      <c r="K395" s="60"/>
      <c r="L395" s="160"/>
      <c r="M395" s="60"/>
      <c r="N395" s="60"/>
      <c r="O395" s="60">
        <f t="shared" si="80"/>
        <v>0</v>
      </c>
      <c r="P395" s="60">
        <f t="shared" si="75"/>
        <v>0</v>
      </c>
    </row>
    <row r="396" spans="1:16" s="38" customFormat="1" ht="14.45" customHeight="1" outlineLevel="1" x14ac:dyDescent="0.25">
      <c r="A396" s="140" t="s">
        <v>634</v>
      </c>
      <c r="B396" s="141" t="s">
        <v>635</v>
      </c>
      <c r="C396" s="130">
        <f>SUM(O396:O402)</f>
        <v>0</v>
      </c>
      <c r="D396" s="130">
        <f>SUM(P396:P402)</f>
        <v>0</v>
      </c>
      <c r="E396" s="130">
        <f t="shared" si="76"/>
        <v>0</v>
      </c>
      <c r="F396" s="130"/>
      <c r="G396" s="60" t="s">
        <v>125</v>
      </c>
      <c r="H396" s="123"/>
      <c r="I396" s="123"/>
      <c r="J396" s="60"/>
      <c r="K396" s="60"/>
      <c r="L396" s="160"/>
      <c r="M396" s="60"/>
      <c r="N396" s="60"/>
      <c r="O396" s="60">
        <f>N396*J396*K396*M396</f>
        <v>0</v>
      </c>
      <c r="P396" s="60">
        <f t="shared" si="75"/>
        <v>0</v>
      </c>
    </row>
    <row r="397" spans="1:16" s="38" customFormat="1" ht="11.45" customHeight="1" outlineLevel="1" x14ac:dyDescent="0.25">
      <c r="A397" s="124"/>
      <c r="B397" s="142"/>
      <c r="C397" s="115"/>
      <c r="D397" s="115"/>
      <c r="E397" s="115"/>
      <c r="F397" s="115"/>
      <c r="G397" s="60" t="s">
        <v>126</v>
      </c>
      <c r="H397" s="124"/>
      <c r="I397" s="124"/>
      <c r="J397" s="60"/>
      <c r="K397" s="60"/>
      <c r="L397" s="160"/>
      <c r="M397" s="60"/>
      <c r="N397" s="60"/>
      <c r="O397" s="60">
        <f t="shared" ref="O397:O402" si="81">N397*J397*K397*M397</f>
        <v>0</v>
      </c>
      <c r="P397" s="60">
        <f t="shared" si="75"/>
        <v>0</v>
      </c>
    </row>
    <row r="398" spans="1:16" s="38" customFormat="1" ht="10.7" customHeight="1" outlineLevel="1" x14ac:dyDescent="0.25">
      <c r="A398" s="124"/>
      <c r="B398" s="142"/>
      <c r="C398" s="115"/>
      <c r="D398" s="115"/>
      <c r="E398" s="115"/>
      <c r="F398" s="115"/>
      <c r="G398" s="60" t="s">
        <v>127</v>
      </c>
      <c r="H398" s="124"/>
      <c r="I398" s="124"/>
      <c r="J398" s="60"/>
      <c r="K398" s="60"/>
      <c r="L398" s="160"/>
      <c r="M398" s="60"/>
      <c r="N398" s="60"/>
      <c r="O398" s="60">
        <f t="shared" si="81"/>
        <v>0</v>
      </c>
      <c r="P398" s="60">
        <f t="shared" si="75"/>
        <v>0</v>
      </c>
    </row>
    <row r="399" spans="1:16" s="38" customFormat="1" ht="10.7" customHeight="1" outlineLevel="1" x14ac:dyDescent="0.25">
      <c r="A399" s="124"/>
      <c r="B399" s="142"/>
      <c r="C399" s="115"/>
      <c r="D399" s="115"/>
      <c r="E399" s="115"/>
      <c r="F399" s="115"/>
      <c r="G399" s="60" t="s">
        <v>128</v>
      </c>
      <c r="H399" s="124"/>
      <c r="I399" s="124"/>
      <c r="J399" s="60"/>
      <c r="K399" s="60"/>
      <c r="L399" s="160"/>
      <c r="M399" s="60"/>
      <c r="N399" s="60"/>
      <c r="O399" s="60">
        <f t="shared" si="81"/>
        <v>0</v>
      </c>
      <c r="P399" s="60">
        <f t="shared" si="75"/>
        <v>0</v>
      </c>
    </row>
    <row r="400" spans="1:16" s="38" customFormat="1" ht="10.7" customHeight="1" outlineLevel="1" x14ac:dyDescent="0.25">
      <c r="A400" s="124"/>
      <c r="B400" s="142"/>
      <c r="C400" s="115"/>
      <c r="D400" s="115"/>
      <c r="E400" s="115"/>
      <c r="F400" s="115"/>
      <c r="G400" s="60" t="s">
        <v>129</v>
      </c>
      <c r="H400" s="124"/>
      <c r="I400" s="124"/>
      <c r="J400" s="60"/>
      <c r="K400" s="60"/>
      <c r="L400" s="160"/>
      <c r="M400" s="60"/>
      <c r="N400" s="60"/>
      <c r="O400" s="60">
        <f t="shared" si="81"/>
        <v>0</v>
      </c>
      <c r="P400" s="60">
        <f t="shared" si="75"/>
        <v>0</v>
      </c>
    </row>
    <row r="401" spans="1:16" s="38" customFormat="1" ht="10.7" customHeight="1" outlineLevel="1" x14ac:dyDescent="0.25">
      <c r="A401" s="124"/>
      <c r="B401" s="142"/>
      <c r="C401" s="115"/>
      <c r="D401" s="115"/>
      <c r="E401" s="115"/>
      <c r="F401" s="115"/>
      <c r="G401" s="60" t="s">
        <v>130</v>
      </c>
      <c r="H401" s="124"/>
      <c r="I401" s="124"/>
      <c r="J401" s="60"/>
      <c r="K401" s="60"/>
      <c r="L401" s="160"/>
      <c r="M401" s="60"/>
      <c r="N401" s="60"/>
      <c r="O401" s="60">
        <f t="shared" si="81"/>
        <v>0</v>
      </c>
      <c r="P401" s="60">
        <f t="shared" si="75"/>
        <v>0</v>
      </c>
    </row>
    <row r="402" spans="1:16" s="38" customFormat="1" ht="12" customHeight="1" outlineLevel="1" thickBot="1" x14ac:dyDescent="0.3">
      <c r="A402" s="125"/>
      <c r="B402" s="143"/>
      <c r="C402" s="131"/>
      <c r="D402" s="131"/>
      <c r="E402" s="131"/>
      <c r="F402" s="131"/>
      <c r="G402" s="60" t="s">
        <v>131</v>
      </c>
      <c r="H402" s="134"/>
      <c r="I402" s="134"/>
      <c r="J402" s="60"/>
      <c r="K402" s="60"/>
      <c r="L402" s="160"/>
      <c r="M402" s="60"/>
      <c r="N402" s="60"/>
      <c r="O402" s="60">
        <f t="shared" si="81"/>
        <v>0</v>
      </c>
      <c r="P402" s="60">
        <f t="shared" si="75"/>
        <v>0</v>
      </c>
    </row>
    <row r="403" spans="1:16" s="38" customFormat="1" ht="14.45" customHeight="1" outlineLevel="1" x14ac:dyDescent="0.25">
      <c r="A403" s="140" t="s">
        <v>636</v>
      </c>
      <c r="B403" s="141" t="s">
        <v>637</v>
      </c>
      <c r="C403" s="130">
        <f>SUM(O403:O409)</f>
        <v>0</v>
      </c>
      <c r="D403" s="130">
        <f>SUM(P403:P409)</f>
        <v>0</v>
      </c>
      <c r="E403" s="130">
        <f t="shared" si="76"/>
        <v>0</v>
      </c>
      <c r="F403" s="130"/>
      <c r="G403" s="60" t="s">
        <v>125</v>
      </c>
      <c r="H403" s="123"/>
      <c r="I403" s="123"/>
      <c r="J403" s="60"/>
      <c r="K403" s="60"/>
      <c r="L403" s="160"/>
      <c r="M403" s="60"/>
      <c r="N403" s="60"/>
      <c r="O403" s="60">
        <f>N403*J403*K403*M403</f>
        <v>0</v>
      </c>
      <c r="P403" s="60">
        <f t="shared" si="75"/>
        <v>0</v>
      </c>
    </row>
    <row r="404" spans="1:16" s="38" customFormat="1" ht="11.45" customHeight="1" outlineLevel="1" x14ac:dyDescent="0.25">
      <c r="A404" s="124"/>
      <c r="B404" s="142"/>
      <c r="C404" s="115"/>
      <c r="D404" s="115"/>
      <c r="E404" s="115"/>
      <c r="F404" s="115"/>
      <c r="G404" s="60" t="s">
        <v>126</v>
      </c>
      <c r="H404" s="124"/>
      <c r="I404" s="124"/>
      <c r="J404" s="60"/>
      <c r="K404" s="60"/>
      <c r="L404" s="160"/>
      <c r="M404" s="60"/>
      <c r="N404" s="60"/>
      <c r="O404" s="60">
        <f t="shared" ref="O404:O409" si="82">N404*J404*K404*M404</f>
        <v>0</v>
      </c>
      <c r="P404" s="60">
        <f t="shared" si="75"/>
        <v>0</v>
      </c>
    </row>
    <row r="405" spans="1:16" s="38" customFormat="1" ht="10.7" customHeight="1" outlineLevel="1" x14ac:dyDescent="0.25">
      <c r="A405" s="124"/>
      <c r="B405" s="142"/>
      <c r="C405" s="115"/>
      <c r="D405" s="115"/>
      <c r="E405" s="115"/>
      <c r="F405" s="115"/>
      <c r="G405" s="60" t="s">
        <v>127</v>
      </c>
      <c r="H405" s="124"/>
      <c r="I405" s="124"/>
      <c r="J405" s="60"/>
      <c r="K405" s="60"/>
      <c r="L405" s="160"/>
      <c r="M405" s="60"/>
      <c r="N405" s="60"/>
      <c r="O405" s="60">
        <f t="shared" si="82"/>
        <v>0</v>
      </c>
      <c r="P405" s="60">
        <f t="shared" si="75"/>
        <v>0</v>
      </c>
    </row>
    <row r="406" spans="1:16" s="38" customFormat="1" ht="10.7" customHeight="1" outlineLevel="1" x14ac:dyDescent="0.25">
      <c r="A406" s="124"/>
      <c r="B406" s="142"/>
      <c r="C406" s="115"/>
      <c r="D406" s="115"/>
      <c r="E406" s="115"/>
      <c r="F406" s="115"/>
      <c r="G406" s="60" t="s">
        <v>128</v>
      </c>
      <c r="H406" s="124"/>
      <c r="I406" s="124"/>
      <c r="J406" s="60"/>
      <c r="K406" s="60"/>
      <c r="L406" s="160"/>
      <c r="M406" s="60"/>
      <c r="N406" s="60"/>
      <c r="O406" s="60">
        <f t="shared" si="82"/>
        <v>0</v>
      </c>
      <c r="P406" s="60">
        <f t="shared" si="75"/>
        <v>0</v>
      </c>
    </row>
    <row r="407" spans="1:16" s="38" customFormat="1" ht="10.7" customHeight="1" outlineLevel="1" x14ac:dyDescent="0.25">
      <c r="A407" s="124"/>
      <c r="B407" s="142"/>
      <c r="C407" s="115"/>
      <c r="D407" s="115"/>
      <c r="E407" s="115"/>
      <c r="F407" s="115"/>
      <c r="G407" s="60" t="s">
        <v>129</v>
      </c>
      <c r="H407" s="124"/>
      <c r="I407" s="124"/>
      <c r="J407" s="60"/>
      <c r="K407" s="60"/>
      <c r="L407" s="160"/>
      <c r="M407" s="60"/>
      <c r="N407" s="60"/>
      <c r="O407" s="60">
        <f t="shared" si="82"/>
        <v>0</v>
      </c>
      <c r="P407" s="60">
        <f t="shared" si="75"/>
        <v>0</v>
      </c>
    </row>
    <row r="408" spans="1:16" s="38" customFormat="1" ht="10.7" customHeight="1" outlineLevel="1" x14ac:dyDescent="0.25">
      <c r="A408" s="124"/>
      <c r="B408" s="142"/>
      <c r="C408" s="115"/>
      <c r="D408" s="115"/>
      <c r="E408" s="115"/>
      <c r="F408" s="115"/>
      <c r="G408" s="60" t="s">
        <v>130</v>
      </c>
      <c r="H408" s="124"/>
      <c r="I408" s="124"/>
      <c r="J408" s="60"/>
      <c r="K408" s="60"/>
      <c r="L408" s="160"/>
      <c r="M408" s="60"/>
      <c r="N408" s="60"/>
      <c r="O408" s="60">
        <f t="shared" si="82"/>
        <v>0</v>
      </c>
      <c r="P408" s="60">
        <f t="shared" si="75"/>
        <v>0</v>
      </c>
    </row>
    <row r="409" spans="1:16" s="38" customFormat="1" ht="12" customHeight="1" outlineLevel="1" thickBot="1" x14ac:dyDescent="0.3">
      <c r="A409" s="125"/>
      <c r="B409" s="143"/>
      <c r="C409" s="131"/>
      <c r="D409" s="131"/>
      <c r="E409" s="131"/>
      <c r="F409" s="131"/>
      <c r="G409" s="60" t="s">
        <v>131</v>
      </c>
      <c r="H409" s="134"/>
      <c r="I409" s="134"/>
      <c r="J409" s="60"/>
      <c r="K409" s="60"/>
      <c r="L409" s="160"/>
      <c r="M409" s="60"/>
      <c r="N409" s="60"/>
      <c r="O409" s="60">
        <f t="shared" si="82"/>
        <v>0</v>
      </c>
      <c r="P409" s="60">
        <f t="shared" si="75"/>
        <v>0</v>
      </c>
    </row>
    <row r="410" spans="1:16" s="38" customFormat="1" ht="14.45" customHeight="1" outlineLevel="1" x14ac:dyDescent="0.25">
      <c r="A410" s="140" t="s">
        <v>638</v>
      </c>
      <c r="B410" s="141" t="s">
        <v>639</v>
      </c>
      <c r="C410" s="130">
        <f>SUM(O410:O416)</f>
        <v>0</v>
      </c>
      <c r="D410" s="130">
        <f>SUM(P410:P416)</f>
        <v>0</v>
      </c>
      <c r="E410" s="130">
        <f t="shared" si="76"/>
        <v>0</v>
      </c>
      <c r="F410" s="130"/>
      <c r="G410" s="60" t="s">
        <v>125</v>
      </c>
      <c r="H410" s="123"/>
      <c r="I410" s="123"/>
      <c r="J410" s="60"/>
      <c r="K410" s="60"/>
      <c r="L410" s="160"/>
      <c r="M410" s="60"/>
      <c r="N410" s="60"/>
      <c r="O410" s="60">
        <f>N410*J410*K410*M410</f>
        <v>0</v>
      </c>
      <c r="P410" s="60">
        <f t="shared" si="75"/>
        <v>0</v>
      </c>
    </row>
    <row r="411" spans="1:16" s="38" customFormat="1" ht="11.45" customHeight="1" outlineLevel="1" x14ac:dyDescent="0.25">
      <c r="A411" s="124"/>
      <c r="B411" s="142"/>
      <c r="C411" s="115"/>
      <c r="D411" s="115"/>
      <c r="E411" s="115"/>
      <c r="F411" s="115"/>
      <c r="G411" s="60" t="s">
        <v>126</v>
      </c>
      <c r="H411" s="124"/>
      <c r="I411" s="124"/>
      <c r="J411" s="60"/>
      <c r="K411" s="60"/>
      <c r="L411" s="160"/>
      <c r="M411" s="60"/>
      <c r="N411" s="60"/>
      <c r="O411" s="60">
        <f t="shared" ref="O411:O416" si="83">N411*J411*K411*M411</f>
        <v>0</v>
      </c>
      <c r="P411" s="60">
        <f t="shared" si="75"/>
        <v>0</v>
      </c>
    </row>
    <row r="412" spans="1:16" s="38" customFormat="1" ht="10.7" customHeight="1" outlineLevel="1" x14ac:dyDescent="0.25">
      <c r="A412" s="124"/>
      <c r="B412" s="142"/>
      <c r="C412" s="115"/>
      <c r="D412" s="115"/>
      <c r="E412" s="115"/>
      <c r="F412" s="115"/>
      <c r="G412" s="60" t="s">
        <v>127</v>
      </c>
      <c r="H412" s="124"/>
      <c r="I412" s="124"/>
      <c r="J412" s="60"/>
      <c r="K412" s="60"/>
      <c r="L412" s="160"/>
      <c r="M412" s="60"/>
      <c r="N412" s="60"/>
      <c r="O412" s="60">
        <f t="shared" si="83"/>
        <v>0</v>
      </c>
      <c r="P412" s="60">
        <f t="shared" si="75"/>
        <v>0</v>
      </c>
    </row>
    <row r="413" spans="1:16" s="38" customFormat="1" ht="10.7" customHeight="1" outlineLevel="1" x14ac:dyDescent="0.25">
      <c r="A413" s="124"/>
      <c r="B413" s="142"/>
      <c r="C413" s="115"/>
      <c r="D413" s="115"/>
      <c r="E413" s="115"/>
      <c r="F413" s="115"/>
      <c r="G413" s="60" t="s">
        <v>128</v>
      </c>
      <c r="H413" s="124"/>
      <c r="I413" s="124"/>
      <c r="J413" s="60"/>
      <c r="K413" s="60"/>
      <c r="L413" s="160"/>
      <c r="M413" s="60"/>
      <c r="N413" s="60"/>
      <c r="O413" s="60">
        <f t="shared" si="83"/>
        <v>0</v>
      </c>
      <c r="P413" s="60">
        <f t="shared" si="75"/>
        <v>0</v>
      </c>
    </row>
    <row r="414" spans="1:16" s="38" customFormat="1" ht="10.7" customHeight="1" outlineLevel="1" x14ac:dyDescent="0.25">
      <c r="A414" s="124"/>
      <c r="B414" s="142"/>
      <c r="C414" s="115"/>
      <c r="D414" s="115"/>
      <c r="E414" s="115"/>
      <c r="F414" s="115"/>
      <c r="G414" s="60" t="s">
        <v>129</v>
      </c>
      <c r="H414" s="124"/>
      <c r="I414" s="124"/>
      <c r="J414" s="60"/>
      <c r="K414" s="60"/>
      <c r="L414" s="160"/>
      <c r="M414" s="60"/>
      <c r="N414" s="60"/>
      <c r="O414" s="60">
        <f t="shared" si="83"/>
        <v>0</v>
      </c>
      <c r="P414" s="60">
        <f t="shared" si="75"/>
        <v>0</v>
      </c>
    </row>
    <row r="415" spans="1:16" s="38" customFormat="1" ht="10.7" customHeight="1" outlineLevel="1" x14ac:dyDescent="0.25">
      <c r="A415" s="124"/>
      <c r="B415" s="142"/>
      <c r="C415" s="115"/>
      <c r="D415" s="115"/>
      <c r="E415" s="115"/>
      <c r="F415" s="115"/>
      <c r="G415" s="60" t="s">
        <v>130</v>
      </c>
      <c r="H415" s="124"/>
      <c r="I415" s="124"/>
      <c r="J415" s="60"/>
      <c r="K415" s="60"/>
      <c r="L415" s="160"/>
      <c r="M415" s="60"/>
      <c r="N415" s="60"/>
      <c r="O415" s="60">
        <f t="shared" si="83"/>
        <v>0</v>
      </c>
      <c r="P415" s="60">
        <f t="shared" si="75"/>
        <v>0</v>
      </c>
    </row>
    <row r="416" spans="1:16" s="38" customFormat="1" ht="12" customHeight="1" outlineLevel="1" thickBot="1" x14ac:dyDescent="0.3">
      <c r="A416" s="125"/>
      <c r="B416" s="143"/>
      <c r="C416" s="131"/>
      <c r="D416" s="131"/>
      <c r="E416" s="131"/>
      <c r="F416" s="131"/>
      <c r="G416" s="60" t="s">
        <v>131</v>
      </c>
      <c r="H416" s="134"/>
      <c r="I416" s="134"/>
      <c r="J416" s="60"/>
      <c r="K416" s="60"/>
      <c r="L416" s="160"/>
      <c r="M416" s="60"/>
      <c r="N416" s="60"/>
      <c r="O416" s="60">
        <f t="shared" si="83"/>
        <v>0</v>
      </c>
      <c r="P416" s="60">
        <f t="shared" si="75"/>
        <v>0</v>
      </c>
    </row>
    <row r="417" spans="1:16" s="38" customFormat="1" ht="14.45" customHeight="1" outlineLevel="1" x14ac:dyDescent="0.25">
      <c r="A417" s="140" t="s">
        <v>640</v>
      </c>
      <c r="B417" s="141" t="s">
        <v>641</v>
      </c>
      <c r="C417" s="130">
        <f>SUM(O417:O423)</f>
        <v>0</v>
      </c>
      <c r="D417" s="130">
        <f>SUM(P417:P423)</f>
        <v>0</v>
      </c>
      <c r="E417" s="130">
        <f t="shared" si="76"/>
        <v>0</v>
      </c>
      <c r="F417" s="130"/>
      <c r="G417" s="60" t="s">
        <v>125</v>
      </c>
      <c r="H417" s="123"/>
      <c r="I417" s="123"/>
      <c r="J417" s="60"/>
      <c r="K417" s="60"/>
      <c r="L417" s="160"/>
      <c r="M417" s="60"/>
      <c r="N417" s="60"/>
      <c r="O417" s="60">
        <f>N417*J417*K417*M417</f>
        <v>0</v>
      </c>
      <c r="P417" s="60">
        <f t="shared" si="75"/>
        <v>0</v>
      </c>
    </row>
    <row r="418" spans="1:16" s="38" customFormat="1" ht="11.45" customHeight="1" outlineLevel="1" x14ac:dyDescent="0.25">
      <c r="A418" s="124"/>
      <c r="B418" s="142"/>
      <c r="C418" s="115"/>
      <c r="D418" s="115"/>
      <c r="E418" s="115"/>
      <c r="F418" s="115"/>
      <c r="G418" s="60" t="s">
        <v>126</v>
      </c>
      <c r="H418" s="124"/>
      <c r="I418" s="124"/>
      <c r="J418" s="60"/>
      <c r="K418" s="60"/>
      <c r="L418" s="160"/>
      <c r="M418" s="60"/>
      <c r="N418" s="60"/>
      <c r="O418" s="60">
        <f t="shared" ref="O418:O423" si="84">N418*J418*K418*M418</f>
        <v>0</v>
      </c>
      <c r="P418" s="60">
        <f t="shared" si="75"/>
        <v>0</v>
      </c>
    </row>
    <row r="419" spans="1:16" s="38" customFormat="1" ht="10.7" customHeight="1" outlineLevel="1" x14ac:dyDescent="0.25">
      <c r="A419" s="124"/>
      <c r="B419" s="142"/>
      <c r="C419" s="115"/>
      <c r="D419" s="115"/>
      <c r="E419" s="115"/>
      <c r="F419" s="115"/>
      <c r="G419" s="60" t="s">
        <v>127</v>
      </c>
      <c r="H419" s="124"/>
      <c r="I419" s="124"/>
      <c r="J419" s="60"/>
      <c r="K419" s="60"/>
      <c r="L419" s="160"/>
      <c r="M419" s="60"/>
      <c r="N419" s="60"/>
      <c r="O419" s="60">
        <f t="shared" si="84"/>
        <v>0</v>
      </c>
      <c r="P419" s="60">
        <f t="shared" si="75"/>
        <v>0</v>
      </c>
    </row>
    <row r="420" spans="1:16" s="38" customFormat="1" ht="10.7" customHeight="1" outlineLevel="1" x14ac:dyDescent="0.25">
      <c r="A420" s="124"/>
      <c r="B420" s="142"/>
      <c r="C420" s="115"/>
      <c r="D420" s="115"/>
      <c r="E420" s="115"/>
      <c r="F420" s="115"/>
      <c r="G420" s="60" t="s">
        <v>128</v>
      </c>
      <c r="H420" s="124"/>
      <c r="I420" s="124"/>
      <c r="J420" s="60"/>
      <c r="K420" s="60"/>
      <c r="L420" s="160"/>
      <c r="M420" s="60"/>
      <c r="N420" s="60"/>
      <c r="O420" s="60">
        <f t="shared" si="84"/>
        <v>0</v>
      </c>
      <c r="P420" s="60">
        <f t="shared" si="75"/>
        <v>0</v>
      </c>
    </row>
    <row r="421" spans="1:16" s="38" customFormat="1" ht="10.7" customHeight="1" outlineLevel="1" x14ac:dyDescent="0.25">
      <c r="A421" s="124"/>
      <c r="B421" s="142"/>
      <c r="C421" s="115"/>
      <c r="D421" s="115"/>
      <c r="E421" s="115"/>
      <c r="F421" s="115"/>
      <c r="G421" s="60" t="s">
        <v>129</v>
      </c>
      <c r="H421" s="124"/>
      <c r="I421" s="124"/>
      <c r="J421" s="60"/>
      <c r="K421" s="60"/>
      <c r="L421" s="160"/>
      <c r="M421" s="60"/>
      <c r="N421" s="60"/>
      <c r="O421" s="60">
        <f t="shared" si="84"/>
        <v>0</v>
      </c>
      <c r="P421" s="60">
        <f t="shared" si="75"/>
        <v>0</v>
      </c>
    </row>
    <row r="422" spans="1:16" s="38" customFormat="1" ht="10.7" customHeight="1" outlineLevel="1" x14ac:dyDescent="0.25">
      <c r="A422" s="124"/>
      <c r="B422" s="142"/>
      <c r="C422" s="115"/>
      <c r="D422" s="115"/>
      <c r="E422" s="115"/>
      <c r="F422" s="115"/>
      <c r="G422" s="60" t="s">
        <v>130</v>
      </c>
      <c r="H422" s="124"/>
      <c r="I422" s="124"/>
      <c r="J422" s="60"/>
      <c r="K422" s="60"/>
      <c r="L422" s="160"/>
      <c r="M422" s="60"/>
      <c r="N422" s="60"/>
      <c r="O422" s="60">
        <f t="shared" si="84"/>
        <v>0</v>
      </c>
      <c r="P422" s="60">
        <f t="shared" si="75"/>
        <v>0</v>
      </c>
    </row>
    <row r="423" spans="1:16" s="38" customFormat="1" ht="12" customHeight="1" outlineLevel="1" thickBot="1" x14ac:dyDescent="0.3">
      <c r="A423" s="125"/>
      <c r="B423" s="143"/>
      <c r="C423" s="131"/>
      <c r="D423" s="131"/>
      <c r="E423" s="131"/>
      <c r="F423" s="131"/>
      <c r="G423" s="60" t="s">
        <v>131</v>
      </c>
      <c r="H423" s="134"/>
      <c r="I423" s="134"/>
      <c r="J423" s="60"/>
      <c r="K423" s="60"/>
      <c r="L423" s="160"/>
      <c r="M423" s="60"/>
      <c r="N423" s="60"/>
      <c r="O423" s="60">
        <f t="shared" si="84"/>
        <v>0</v>
      </c>
      <c r="P423" s="60">
        <f t="shared" si="75"/>
        <v>0</v>
      </c>
    </row>
    <row r="424" spans="1:16" s="38" customFormat="1" ht="14.45" customHeight="1" outlineLevel="1" x14ac:dyDescent="0.25">
      <c r="A424" s="140" t="s">
        <v>642</v>
      </c>
      <c r="B424" s="141" t="s">
        <v>643</v>
      </c>
      <c r="C424" s="130">
        <f>SUM(O424:O430)</f>
        <v>0</v>
      </c>
      <c r="D424" s="130">
        <f>SUM(P424:P430)</f>
        <v>0</v>
      </c>
      <c r="E424" s="130">
        <f t="shared" si="76"/>
        <v>0</v>
      </c>
      <c r="F424" s="130"/>
      <c r="G424" s="60" t="s">
        <v>125</v>
      </c>
      <c r="H424" s="123"/>
      <c r="I424" s="123"/>
      <c r="J424" s="60"/>
      <c r="K424" s="60"/>
      <c r="L424" s="160"/>
      <c r="M424" s="60"/>
      <c r="N424" s="60"/>
      <c r="O424" s="60">
        <f>N424*J424*K424*M424</f>
        <v>0</v>
      </c>
      <c r="P424" s="60">
        <f t="shared" si="75"/>
        <v>0</v>
      </c>
    </row>
    <row r="425" spans="1:16" s="38" customFormat="1" ht="11.45" customHeight="1" outlineLevel="1" x14ac:dyDescent="0.25">
      <c r="A425" s="124"/>
      <c r="B425" s="142"/>
      <c r="C425" s="115"/>
      <c r="D425" s="115"/>
      <c r="E425" s="115"/>
      <c r="F425" s="115"/>
      <c r="G425" s="60" t="s">
        <v>126</v>
      </c>
      <c r="H425" s="124"/>
      <c r="I425" s="124"/>
      <c r="J425" s="60"/>
      <c r="K425" s="60"/>
      <c r="L425" s="160"/>
      <c r="M425" s="60"/>
      <c r="N425" s="60"/>
      <c r="O425" s="60">
        <f t="shared" ref="O425:O430" si="85">N425*J425*K425*M425</f>
        <v>0</v>
      </c>
      <c r="P425" s="60">
        <f t="shared" si="75"/>
        <v>0</v>
      </c>
    </row>
    <row r="426" spans="1:16" s="38" customFormat="1" ht="10.7" customHeight="1" outlineLevel="1" x14ac:dyDescent="0.25">
      <c r="A426" s="124"/>
      <c r="B426" s="142"/>
      <c r="C426" s="115"/>
      <c r="D426" s="115"/>
      <c r="E426" s="115"/>
      <c r="F426" s="115"/>
      <c r="G426" s="60" t="s">
        <v>127</v>
      </c>
      <c r="H426" s="124"/>
      <c r="I426" s="124"/>
      <c r="J426" s="60"/>
      <c r="K426" s="60"/>
      <c r="L426" s="160"/>
      <c r="M426" s="60"/>
      <c r="N426" s="60"/>
      <c r="O426" s="60">
        <f t="shared" si="85"/>
        <v>0</v>
      </c>
      <c r="P426" s="60">
        <f t="shared" si="75"/>
        <v>0</v>
      </c>
    </row>
    <row r="427" spans="1:16" s="38" customFormat="1" ht="10.7" customHeight="1" outlineLevel="1" x14ac:dyDescent="0.25">
      <c r="A427" s="124"/>
      <c r="B427" s="142"/>
      <c r="C427" s="115"/>
      <c r="D427" s="115"/>
      <c r="E427" s="115"/>
      <c r="F427" s="115"/>
      <c r="G427" s="60" t="s">
        <v>128</v>
      </c>
      <c r="H427" s="124"/>
      <c r="I427" s="124"/>
      <c r="J427" s="60"/>
      <c r="K427" s="60"/>
      <c r="L427" s="160"/>
      <c r="M427" s="60"/>
      <c r="N427" s="60"/>
      <c r="O427" s="60">
        <f t="shared" si="85"/>
        <v>0</v>
      </c>
      <c r="P427" s="60">
        <f t="shared" ref="P427:P490" si="86">J427*K427*M427</f>
        <v>0</v>
      </c>
    </row>
    <row r="428" spans="1:16" s="38" customFormat="1" ht="10.7" customHeight="1" outlineLevel="1" x14ac:dyDescent="0.25">
      <c r="A428" s="124"/>
      <c r="B428" s="142"/>
      <c r="C428" s="115"/>
      <c r="D428" s="115"/>
      <c r="E428" s="115"/>
      <c r="F428" s="115"/>
      <c r="G428" s="60" t="s">
        <v>129</v>
      </c>
      <c r="H428" s="124"/>
      <c r="I428" s="124"/>
      <c r="J428" s="60"/>
      <c r="K428" s="60"/>
      <c r="L428" s="160"/>
      <c r="M428" s="60"/>
      <c r="N428" s="60"/>
      <c r="O428" s="60">
        <f t="shared" si="85"/>
        <v>0</v>
      </c>
      <c r="P428" s="60">
        <f t="shared" si="86"/>
        <v>0</v>
      </c>
    </row>
    <row r="429" spans="1:16" s="38" customFormat="1" ht="10.7" customHeight="1" outlineLevel="1" x14ac:dyDescent="0.25">
      <c r="A429" s="124"/>
      <c r="B429" s="142"/>
      <c r="C429" s="115"/>
      <c r="D429" s="115"/>
      <c r="E429" s="115"/>
      <c r="F429" s="115"/>
      <c r="G429" s="60" t="s">
        <v>130</v>
      </c>
      <c r="H429" s="124"/>
      <c r="I429" s="124"/>
      <c r="J429" s="60"/>
      <c r="K429" s="60"/>
      <c r="L429" s="160"/>
      <c r="M429" s="60"/>
      <c r="N429" s="60"/>
      <c r="O429" s="60">
        <f t="shared" si="85"/>
        <v>0</v>
      </c>
      <c r="P429" s="60">
        <f t="shared" si="86"/>
        <v>0</v>
      </c>
    </row>
    <row r="430" spans="1:16" s="38" customFormat="1" ht="12" customHeight="1" outlineLevel="1" thickBot="1" x14ac:dyDescent="0.3">
      <c r="A430" s="125"/>
      <c r="B430" s="143"/>
      <c r="C430" s="131"/>
      <c r="D430" s="131"/>
      <c r="E430" s="131"/>
      <c r="F430" s="131"/>
      <c r="G430" s="60" t="s">
        <v>131</v>
      </c>
      <c r="H430" s="134"/>
      <c r="I430" s="134"/>
      <c r="J430" s="60"/>
      <c r="K430" s="60"/>
      <c r="L430" s="160"/>
      <c r="M430" s="60"/>
      <c r="N430" s="60"/>
      <c r="O430" s="60">
        <f t="shared" si="85"/>
        <v>0</v>
      </c>
      <c r="P430" s="60">
        <f t="shared" si="86"/>
        <v>0</v>
      </c>
    </row>
    <row r="431" spans="1:16" s="38" customFormat="1" ht="14.45" customHeight="1" outlineLevel="1" x14ac:dyDescent="0.25">
      <c r="A431" s="140" t="s">
        <v>644</v>
      </c>
      <c r="B431" s="141" t="s">
        <v>645</v>
      </c>
      <c r="C431" s="130">
        <f>SUM(O431:O437)</f>
        <v>0</v>
      </c>
      <c r="D431" s="130">
        <f>SUM(P431:P437)</f>
        <v>0</v>
      </c>
      <c r="E431" s="130">
        <f t="shared" si="76"/>
        <v>0</v>
      </c>
      <c r="F431" s="130"/>
      <c r="G431" s="60" t="s">
        <v>125</v>
      </c>
      <c r="H431" s="123"/>
      <c r="I431" s="123"/>
      <c r="J431" s="60"/>
      <c r="K431" s="60"/>
      <c r="L431" s="160"/>
      <c r="M431" s="60"/>
      <c r="N431" s="60"/>
      <c r="O431" s="60">
        <f>N431*J431*K431*M431</f>
        <v>0</v>
      </c>
      <c r="P431" s="60">
        <f t="shared" si="86"/>
        <v>0</v>
      </c>
    </row>
    <row r="432" spans="1:16" s="38" customFormat="1" ht="11.45" customHeight="1" outlineLevel="1" x14ac:dyDescent="0.25">
      <c r="A432" s="124"/>
      <c r="B432" s="142"/>
      <c r="C432" s="115"/>
      <c r="D432" s="115"/>
      <c r="E432" s="115"/>
      <c r="F432" s="115"/>
      <c r="G432" s="60" t="s">
        <v>126</v>
      </c>
      <c r="H432" s="124"/>
      <c r="I432" s="124"/>
      <c r="J432" s="60"/>
      <c r="K432" s="60"/>
      <c r="L432" s="160"/>
      <c r="M432" s="60"/>
      <c r="N432" s="60"/>
      <c r="O432" s="60">
        <f t="shared" ref="O432:O437" si="87">N432*J432*K432*M432</f>
        <v>0</v>
      </c>
      <c r="P432" s="60">
        <f t="shared" si="86"/>
        <v>0</v>
      </c>
    </row>
    <row r="433" spans="1:16" s="38" customFormat="1" ht="10.7" customHeight="1" outlineLevel="1" x14ac:dyDescent="0.25">
      <c r="A433" s="124"/>
      <c r="B433" s="142"/>
      <c r="C433" s="115"/>
      <c r="D433" s="115"/>
      <c r="E433" s="115"/>
      <c r="F433" s="115"/>
      <c r="G433" s="60" t="s">
        <v>127</v>
      </c>
      <c r="H433" s="124"/>
      <c r="I433" s="124"/>
      <c r="J433" s="60"/>
      <c r="K433" s="60"/>
      <c r="L433" s="160"/>
      <c r="M433" s="60"/>
      <c r="N433" s="60"/>
      <c r="O433" s="60">
        <f t="shared" si="87"/>
        <v>0</v>
      </c>
      <c r="P433" s="60">
        <f t="shared" si="86"/>
        <v>0</v>
      </c>
    </row>
    <row r="434" spans="1:16" s="38" customFormat="1" ht="10.7" customHeight="1" outlineLevel="1" x14ac:dyDescent="0.25">
      <c r="A434" s="124"/>
      <c r="B434" s="142"/>
      <c r="C434" s="115"/>
      <c r="D434" s="115"/>
      <c r="E434" s="115"/>
      <c r="F434" s="115"/>
      <c r="G434" s="60" t="s">
        <v>128</v>
      </c>
      <c r="H434" s="124"/>
      <c r="I434" s="124"/>
      <c r="J434" s="60"/>
      <c r="K434" s="60"/>
      <c r="L434" s="160"/>
      <c r="M434" s="60"/>
      <c r="N434" s="60"/>
      <c r="O434" s="60">
        <f t="shared" si="87"/>
        <v>0</v>
      </c>
      <c r="P434" s="60">
        <f t="shared" si="86"/>
        <v>0</v>
      </c>
    </row>
    <row r="435" spans="1:16" s="38" customFormat="1" ht="10.7" customHeight="1" outlineLevel="1" x14ac:dyDescent="0.25">
      <c r="A435" s="124"/>
      <c r="B435" s="142"/>
      <c r="C435" s="115"/>
      <c r="D435" s="115"/>
      <c r="E435" s="115"/>
      <c r="F435" s="115"/>
      <c r="G435" s="60" t="s">
        <v>129</v>
      </c>
      <c r="H435" s="124"/>
      <c r="I435" s="124"/>
      <c r="J435" s="60"/>
      <c r="K435" s="60"/>
      <c r="L435" s="160"/>
      <c r="M435" s="60"/>
      <c r="N435" s="60"/>
      <c r="O435" s="60">
        <f t="shared" si="87"/>
        <v>0</v>
      </c>
      <c r="P435" s="60">
        <f t="shared" si="86"/>
        <v>0</v>
      </c>
    </row>
    <row r="436" spans="1:16" s="38" customFormat="1" ht="10.7" customHeight="1" outlineLevel="1" x14ac:dyDescent="0.25">
      <c r="A436" s="124"/>
      <c r="B436" s="142"/>
      <c r="C436" s="115"/>
      <c r="D436" s="115"/>
      <c r="E436" s="115"/>
      <c r="F436" s="115"/>
      <c r="G436" s="60" t="s">
        <v>130</v>
      </c>
      <c r="H436" s="124"/>
      <c r="I436" s="124"/>
      <c r="J436" s="60"/>
      <c r="K436" s="60"/>
      <c r="L436" s="160"/>
      <c r="M436" s="60"/>
      <c r="N436" s="60"/>
      <c r="O436" s="60">
        <f t="shared" si="87"/>
        <v>0</v>
      </c>
      <c r="P436" s="60">
        <f t="shared" si="86"/>
        <v>0</v>
      </c>
    </row>
    <row r="437" spans="1:16" s="38" customFormat="1" ht="12" customHeight="1" outlineLevel="1" thickBot="1" x14ac:dyDescent="0.3">
      <c r="A437" s="125"/>
      <c r="B437" s="143"/>
      <c r="C437" s="131"/>
      <c r="D437" s="131"/>
      <c r="E437" s="131"/>
      <c r="F437" s="131"/>
      <c r="G437" s="60" t="s">
        <v>131</v>
      </c>
      <c r="H437" s="134"/>
      <c r="I437" s="134"/>
      <c r="J437" s="60"/>
      <c r="K437" s="60"/>
      <c r="L437" s="160"/>
      <c r="M437" s="60"/>
      <c r="N437" s="60"/>
      <c r="O437" s="60">
        <f t="shared" si="87"/>
        <v>0</v>
      </c>
      <c r="P437" s="60">
        <f t="shared" si="86"/>
        <v>0</v>
      </c>
    </row>
    <row r="438" spans="1:16" s="38" customFormat="1" ht="14.45" customHeight="1" outlineLevel="1" x14ac:dyDescent="0.25">
      <c r="A438" s="140" t="s">
        <v>646</v>
      </c>
      <c r="B438" s="141" t="s">
        <v>647</v>
      </c>
      <c r="C438" s="130">
        <f>SUM(O438:O444)</f>
        <v>0</v>
      </c>
      <c r="D438" s="130">
        <f>SUM(P438:P444)</f>
        <v>0</v>
      </c>
      <c r="E438" s="130">
        <f t="shared" ref="E438:E501" si="88">D438/8</f>
        <v>0</v>
      </c>
      <c r="F438" s="130"/>
      <c r="G438" s="60" t="s">
        <v>125</v>
      </c>
      <c r="H438" s="123"/>
      <c r="I438" s="123"/>
      <c r="J438" s="60"/>
      <c r="K438" s="60"/>
      <c r="L438" s="160"/>
      <c r="M438" s="60"/>
      <c r="N438" s="60"/>
      <c r="O438" s="60">
        <f>N438*J438*K438*M438</f>
        <v>0</v>
      </c>
      <c r="P438" s="60">
        <f t="shared" si="86"/>
        <v>0</v>
      </c>
    </row>
    <row r="439" spans="1:16" s="38" customFormat="1" ht="11.45" customHeight="1" outlineLevel="1" x14ac:dyDescent="0.25">
      <c r="A439" s="124"/>
      <c r="B439" s="142"/>
      <c r="C439" s="115"/>
      <c r="D439" s="115"/>
      <c r="E439" s="115"/>
      <c r="F439" s="115"/>
      <c r="G439" s="60" t="s">
        <v>126</v>
      </c>
      <c r="H439" s="124"/>
      <c r="I439" s="124"/>
      <c r="J439" s="60"/>
      <c r="K439" s="60"/>
      <c r="L439" s="160"/>
      <c r="M439" s="60"/>
      <c r="N439" s="60"/>
      <c r="O439" s="60">
        <f t="shared" ref="O439:O444" si="89">N439*J439*K439*M439</f>
        <v>0</v>
      </c>
      <c r="P439" s="60">
        <f t="shared" si="86"/>
        <v>0</v>
      </c>
    </row>
    <row r="440" spans="1:16" s="38" customFormat="1" ht="10.7" customHeight="1" outlineLevel="1" x14ac:dyDescent="0.25">
      <c r="A440" s="124"/>
      <c r="B440" s="142"/>
      <c r="C440" s="115"/>
      <c r="D440" s="115"/>
      <c r="E440" s="115"/>
      <c r="F440" s="115"/>
      <c r="G440" s="60" t="s">
        <v>127</v>
      </c>
      <c r="H440" s="124"/>
      <c r="I440" s="124"/>
      <c r="J440" s="60"/>
      <c r="K440" s="60"/>
      <c r="L440" s="160"/>
      <c r="M440" s="60"/>
      <c r="N440" s="60"/>
      <c r="O440" s="60">
        <f t="shared" si="89"/>
        <v>0</v>
      </c>
      <c r="P440" s="60">
        <f t="shared" si="86"/>
        <v>0</v>
      </c>
    </row>
    <row r="441" spans="1:16" s="38" customFormat="1" ht="10.7" customHeight="1" outlineLevel="1" x14ac:dyDescent="0.25">
      <c r="A441" s="124"/>
      <c r="B441" s="142"/>
      <c r="C441" s="115"/>
      <c r="D441" s="115"/>
      <c r="E441" s="115"/>
      <c r="F441" s="115"/>
      <c r="G441" s="60" t="s">
        <v>128</v>
      </c>
      <c r="H441" s="124"/>
      <c r="I441" s="124"/>
      <c r="J441" s="60"/>
      <c r="K441" s="60"/>
      <c r="L441" s="160"/>
      <c r="M441" s="60"/>
      <c r="N441" s="60"/>
      <c r="O441" s="60">
        <f t="shared" si="89"/>
        <v>0</v>
      </c>
      <c r="P441" s="60">
        <f t="shared" si="86"/>
        <v>0</v>
      </c>
    </row>
    <row r="442" spans="1:16" s="38" customFormat="1" ht="10.7" customHeight="1" outlineLevel="1" x14ac:dyDescent="0.25">
      <c r="A442" s="124"/>
      <c r="B442" s="142"/>
      <c r="C442" s="115"/>
      <c r="D442" s="115"/>
      <c r="E442" s="115"/>
      <c r="F442" s="115"/>
      <c r="G442" s="60" t="s">
        <v>129</v>
      </c>
      <c r="H442" s="124"/>
      <c r="I442" s="124"/>
      <c r="J442" s="60"/>
      <c r="K442" s="60"/>
      <c r="L442" s="160"/>
      <c r="M442" s="60"/>
      <c r="N442" s="60"/>
      <c r="O442" s="60">
        <f t="shared" si="89"/>
        <v>0</v>
      </c>
      <c r="P442" s="60">
        <f t="shared" si="86"/>
        <v>0</v>
      </c>
    </row>
    <row r="443" spans="1:16" s="38" customFormat="1" ht="10.7" customHeight="1" outlineLevel="1" x14ac:dyDescent="0.25">
      <c r="A443" s="124"/>
      <c r="B443" s="142"/>
      <c r="C443" s="115"/>
      <c r="D443" s="115"/>
      <c r="E443" s="115"/>
      <c r="F443" s="115"/>
      <c r="G443" s="60" t="s">
        <v>130</v>
      </c>
      <c r="H443" s="124"/>
      <c r="I443" s="124"/>
      <c r="J443" s="60"/>
      <c r="K443" s="60"/>
      <c r="L443" s="160"/>
      <c r="M443" s="60"/>
      <c r="N443" s="60"/>
      <c r="O443" s="60">
        <f t="shared" si="89"/>
        <v>0</v>
      </c>
      <c r="P443" s="60">
        <f t="shared" si="86"/>
        <v>0</v>
      </c>
    </row>
    <row r="444" spans="1:16" s="38" customFormat="1" ht="12" customHeight="1" outlineLevel="1" thickBot="1" x14ac:dyDescent="0.3">
      <c r="A444" s="125"/>
      <c r="B444" s="143"/>
      <c r="C444" s="131"/>
      <c r="D444" s="131"/>
      <c r="E444" s="131"/>
      <c r="F444" s="131"/>
      <c r="G444" s="60" t="s">
        <v>131</v>
      </c>
      <c r="H444" s="134"/>
      <c r="I444" s="134"/>
      <c r="J444" s="60"/>
      <c r="K444" s="60"/>
      <c r="L444" s="160"/>
      <c r="M444" s="60"/>
      <c r="N444" s="60"/>
      <c r="O444" s="60">
        <f t="shared" si="89"/>
        <v>0</v>
      </c>
      <c r="P444" s="60">
        <f t="shared" si="86"/>
        <v>0</v>
      </c>
    </row>
    <row r="445" spans="1:16" s="38" customFormat="1" ht="14.45" customHeight="1" outlineLevel="1" x14ac:dyDescent="0.25">
      <c r="A445" s="140" t="s">
        <v>648</v>
      </c>
      <c r="B445" s="141" t="s">
        <v>649</v>
      </c>
      <c r="C445" s="130">
        <f>SUM(O445:O451)</f>
        <v>0</v>
      </c>
      <c r="D445" s="130">
        <f>SUM(P445:P451)</f>
        <v>0</v>
      </c>
      <c r="E445" s="130">
        <f t="shared" si="88"/>
        <v>0</v>
      </c>
      <c r="F445" s="130"/>
      <c r="G445" s="60" t="s">
        <v>125</v>
      </c>
      <c r="H445" s="123"/>
      <c r="I445" s="123"/>
      <c r="J445" s="60"/>
      <c r="K445" s="60"/>
      <c r="L445" s="160"/>
      <c r="M445" s="60"/>
      <c r="N445" s="60"/>
      <c r="O445" s="60">
        <f>N445*J445*K445*M445</f>
        <v>0</v>
      </c>
      <c r="P445" s="60">
        <f t="shared" si="86"/>
        <v>0</v>
      </c>
    </row>
    <row r="446" spans="1:16" s="38" customFormat="1" ht="11.45" customHeight="1" outlineLevel="1" x14ac:dyDescent="0.25">
      <c r="A446" s="124"/>
      <c r="B446" s="142"/>
      <c r="C446" s="115"/>
      <c r="D446" s="115"/>
      <c r="E446" s="115"/>
      <c r="F446" s="115"/>
      <c r="G446" s="60" t="s">
        <v>126</v>
      </c>
      <c r="H446" s="124"/>
      <c r="I446" s="124"/>
      <c r="J446" s="60"/>
      <c r="K446" s="60"/>
      <c r="L446" s="160"/>
      <c r="M446" s="60"/>
      <c r="N446" s="60"/>
      <c r="O446" s="60">
        <f t="shared" ref="O446:O451" si="90">N446*J446*K446*M446</f>
        <v>0</v>
      </c>
      <c r="P446" s="60">
        <f t="shared" si="86"/>
        <v>0</v>
      </c>
    </row>
    <row r="447" spans="1:16" s="38" customFormat="1" ht="10.7" customHeight="1" outlineLevel="1" x14ac:dyDescent="0.25">
      <c r="A447" s="124"/>
      <c r="B447" s="142"/>
      <c r="C447" s="115"/>
      <c r="D447" s="115"/>
      <c r="E447" s="115"/>
      <c r="F447" s="115"/>
      <c r="G447" s="60" t="s">
        <v>127</v>
      </c>
      <c r="H447" s="124"/>
      <c r="I447" s="124"/>
      <c r="J447" s="60"/>
      <c r="K447" s="60"/>
      <c r="L447" s="160"/>
      <c r="M447" s="60"/>
      <c r="N447" s="60"/>
      <c r="O447" s="60">
        <f t="shared" si="90"/>
        <v>0</v>
      </c>
      <c r="P447" s="60">
        <f t="shared" si="86"/>
        <v>0</v>
      </c>
    </row>
    <row r="448" spans="1:16" s="38" customFormat="1" ht="10.7" customHeight="1" outlineLevel="1" x14ac:dyDescent="0.25">
      <c r="A448" s="124"/>
      <c r="B448" s="142"/>
      <c r="C448" s="115"/>
      <c r="D448" s="115"/>
      <c r="E448" s="115"/>
      <c r="F448" s="115"/>
      <c r="G448" s="60" t="s">
        <v>128</v>
      </c>
      <c r="H448" s="124"/>
      <c r="I448" s="124"/>
      <c r="J448" s="60"/>
      <c r="K448" s="60"/>
      <c r="L448" s="160"/>
      <c r="M448" s="60"/>
      <c r="N448" s="60"/>
      <c r="O448" s="60">
        <f t="shared" si="90"/>
        <v>0</v>
      </c>
      <c r="P448" s="60">
        <f t="shared" si="86"/>
        <v>0</v>
      </c>
    </row>
    <row r="449" spans="1:16" s="38" customFormat="1" ht="10.7" customHeight="1" outlineLevel="1" x14ac:dyDescent="0.25">
      <c r="A449" s="124"/>
      <c r="B449" s="142"/>
      <c r="C449" s="115"/>
      <c r="D449" s="115"/>
      <c r="E449" s="115"/>
      <c r="F449" s="115"/>
      <c r="G449" s="60" t="s">
        <v>129</v>
      </c>
      <c r="H449" s="124"/>
      <c r="I449" s="124"/>
      <c r="J449" s="60"/>
      <c r="K449" s="60"/>
      <c r="L449" s="160"/>
      <c r="M449" s="60"/>
      <c r="N449" s="60"/>
      <c r="O449" s="60">
        <f t="shared" si="90"/>
        <v>0</v>
      </c>
      <c r="P449" s="60">
        <f t="shared" si="86"/>
        <v>0</v>
      </c>
    </row>
    <row r="450" spans="1:16" s="38" customFormat="1" ht="10.7" customHeight="1" outlineLevel="1" x14ac:dyDescent="0.25">
      <c r="A450" s="124"/>
      <c r="B450" s="142"/>
      <c r="C450" s="115"/>
      <c r="D450" s="115"/>
      <c r="E450" s="115"/>
      <c r="F450" s="115"/>
      <c r="G450" s="60" t="s">
        <v>130</v>
      </c>
      <c r="H450" s="124"/>
      <c r="I450" s="124"/>
      <c r="J450" s="60"/>
      <c r="K450" s="60"/>
      <c r="L450" s="160"/>
      <c r="M450" s="60"/>
      <c r="N450" s="60"/>
      <c r="O450" s="60">
        <f t="shared" si="90"/>
        <v>0</v>
      </c>
      <c r="P450" s="60">
        <f t="shared" si="86"/>
        <v>0</v>
      </c>
    </row>
    <row r="451" spans="1:16" s="38" customFormat="1" ht="12" customHeight="1" outlineLevel="1" thickBot="1" x14ac:dyDescent="0.3">
      <c r="A451" s="125"/>
      <c r="B451" s="143"/>
      <c r="C451" s="131"/>
      <c r="D451" s="131"/>
      <c r="E451" s="131"/>
      <c r="F451" s="131"/>
      <c r="G451" s="60" t="s">
        <v>131</v>
      </c>
      <c r="H451" s="134"/>
      <c r="I451" s="134"/>
      <c r="J451" s="60"/>
      <c r="K451" s="60"/>
      <c r="L451" s="160"/>
      <c r="M451" s="60"/>
      <c r="N451" s="60"/>
      <c r="O451" s="60">
        <f t="shared" si="90"/>
        <v>0</v>
      </c>
      <c r="P451" s="60">
        <f t="shared" si="86"/>
        <v>0</v>
      </c>
    </row>
    <row r="452" spans="1:16" s="38" customFormat="1" ht="14.45" customHeight="1" outlineLevel="1" x14ac:dyDescent="0.25">
      <c r="A452" s="140" t="s">
        <v>650</v>
      </c>
      <c r="B452" s="141" t="s">
        <v>651</v>
      </c>
      <c r="C452" s="130">
        <f>SUM(O452:O458)</f>
        <v>0</v>
      </c>
      <c r="D452" s="130">
        <f>SUM(P452:P458)</f>
        <v>0</v>
      </c>
      <c r="E452" s="130">
        <f t="shared" si="88"/>
        <v>0</v>
      </c>
      <c r="F452" s="130"/>
      <c r="G452" s="60" t="s">
        <v>125</v>
      </c>
      <c r="H452" s="123"/>
      <c r="I452" s="123"/>
      <c r="J452" s="60"/>
      <c r="K452" s="60"/>
      <c r="L452" s="160"/>
      <c r="M452" s="60"/>
      <c r="N452" s="60"/>
      <c r="O452" s="60">
        <f>N452*J452*K452*M452</f>
        <v>0</v>
      </c>
      <c r="P452" s="60">
        <f t="shared" si="86"/>
        <v>0</v>
      </c>
    </row>
    <row r="453" spans="1:16" s="38" customFormat="1" ht="11.45" customHeight="1" outlineLevel="1" x14ac:dyDescent="0.25">
      <c r="A453" s="124"/>
      <c r="B453" s="142"/>
      <c r="C453" s="115"/>
      <c r="D453" s="115"/>
      <c r="E453" s="115"/>
      <c r="F453" s="115"/>
      <c r="G453" s="60" t="s">
        <v>126</v>
      </c>
      <c r="H453" s="124"/>
      <c r="I453" s="124"/>
      <c r="J453" s="60"/>
      <c r="K453" s="60"/>
      <c r="L453" s="160"/>
      <c r="M453" s="60"/>
      <c r="N453" s="60"/>
      <c r="O453" s="60">
        <f t="shared" ref="O453:O458" si="91">N453*J453*K453*M453</f>
        <v>0</v>
      </c>
      <c r="P453" s="60">
        <f t="shared" si="86"/>
        <v>0</v>
      </c>
    </row>
    <row r="454" spans="1:16" s="38" customFormat="1" ht="10.7" customHeight="1" outlineLevel="1" x14ac:dyDescent="0.25">
      <c r="A454" s="124"/>
      <c r="B454" s="142"/>
      <c r="C454" s="115"/>
      <c r="D454" s="115"/>
      <c r="E454" s="115"/>
      <c r="F454" s="115"/>
      <c r="G454" s="60" t="s">
        <v>127</v>
      </c>
      <c r="H454" s="124"/>
      <c r="I454" s="124"/>
      <c r="J454" s="60"/>
      <c r="K454" s="60"/>
      <c r="L454" s="160"/>
      <c r="M454" s="60"/>
      <c r="N454" s="60"/>
      <c r="O454" s="60">
        <f t="shared" si="91"/>
        <v>0</v>
      </c>
      <c r="P454" s="60">
        <f t="shared" si="86"/>
        <v>0</v>
      </c>
    </row>
    <row r="455" spans="1:16" s="38" customFormat="1" ht="10.7" customHeight="1" outlineLevel="1" x14ac:dyDescent="0.25">
      <c r="A455" s="124"/>
      <c r="B455" s="142"/>
      <c r="C455" s="115"/>
      <c r="D455" s="115"/>
      <c r="E455" s="115"/>
      <c r="F455" s="115"/>
      <c r="G455" s="60" t="s">
        <v>128</v>
      </c>
      <c r="H455" s="124"/>
      <c r="I455" s="124"/>
      <c r="J455" s="60"/>
      <c r="K455" s="60"/>
      <c r="L455" s="160"/>
      <c r="M455" s="60"/>
      <c r="N455" s="60"/>
      <c r="O455" s="60">
        <f t="shared" si="91"/>
        <v>0</v>
      </c>
      <c r="P455" s="60">
        <f t="shared" si="86"/>
        <v>0</v>
      </c>
    </row>
    <row r="456" spans="1:16" s="38" customFormat="1" ht="10.7" customHeight="1" outlineLevel="1" x14ac:dyDescent="0.25">
      <c r="A456" s="124"/>
      <c r="B456" s="142"/>
      <c r="C456" s="115"/>
      <c r="D456" s="115"/>
      <c r="E456" s="115"/>
      <c r="F456" s="115"/>
      <c r="G456" s="60" t="s">
        <v>129</v>
      </c>
      <c r="H456" s="124"/>
      <c r="I456" s="124"/>
      <c r="J456" s="60"/>
      <c r="K456" s="60"/>
      <c r="L456" s="160"/>
      <c r="M456" s="60"/>
      <c r="N456" s="60"/>
      <c r="O456" s="60">
        <f t="shared" si="91"/>
        <v>0</v>
      </c>
      <c r="P456" s="60">
        <f t="shared" si="86"/>
        <v>0</v>
      </c>
    </row>
    <row r="457" spans="1:16" s="38" customFormat="1" ht="10.7" customHeight="1" outlineLevel="1" x14ac:dyDescent="0.25">
      <c r="A457" s="124"/>
      <c r="B457" s="142"/>
      <c r="C457" s="115"/>
      <c r="D457" s="115"/>
      <c r="E457" s="115"/>
      <c r="F457" s="115"/>
      <c r="G457" s="60" t="s">
        <v>130</v>
      </c>
      <c r="H457" s="124"/>
      <c r="I457" s="124"/>
      <c r="J457" s="60"/>
      <c r="K457" s="60"/>
      <c r="L457" s="160"/>
      <c r="M457" s="60"/>
      <c r="N457" s="60"/>
      <c r="O457" s="60">
        <f t="shared" si="91"/>
        <v>0</v>
      </c>
      <c r="P457" s="60">
        <f t="shared" si="86"/>
        <v>0</v>
      </c>
    </row>
    <row r="458" spans="1:16" s="38" customFormat="1" ht="12" customHeight="1" outlineLevel="1" thickBot="1" x14ac:dyDescent="0.3">
      <c r="A458" s="125"/>
      <c r="B458" s="143"/>
      <c r="C458" s="131"/>
      <c r="D458" s="131"/>
      <c r="E458" s="131"/>
      <c r="F458" s="131"/>
      <c r="G458" s="60" t="s">
        <v>131</v>
      </c>
      <c r="H458" s="134"/>
      <c r="I458" s="134"/>
      <c r="J458" s="60"/>
      <c r="K458" s="60"/>
      <c r="L458" s="160"/>
      <c r="M458" s="60"/>
      <c r="N458" s="60"/>
      <c r="O458" s="60">
        <f t="shared" si="91"/>
        <v>0</v>
      </c>
      <c r="P458" s="60">
        <f t="shared" si="86"/>
        <v>0</v>
      </c>
    </row>
    <row r="459" spans="1:16" s="38" customFormat="1" ht="14.45" customHeight="1" outlineLevel="1" x14ac:dyDescent="0.25">
      <c r="A459" s="140" t="s">
        <v>652</v>
      </c>
      <c r="B459" s="141" t="s">
        <v>653</v>
      </c>
      <c r="C459" s="130">
        <f>SUM(O459:O465)</f>
        <v>0</v>
      </c>
      <c r="D459" s="130">
        <f>SUM(P459:P465)</f>
        <v>0</v>
      </c>
      <c r="E459" s="130">
        <f t="shared" si="88"/>
        <v>0</v>
      </c>
      <c r="F459" s="130"/>
      <c r="G459" s="60" t="s">
        <v>125</v>
      </c>
      <c r="H459" s="123"/>
      <c r="I459" s="123"/>
      <c r="J459" s="60"/>
      <c r="K459" s="60"/>
      <c r="L459" s="160"/>
      <c r="M459" s="60"/>
      <c r="N459" s="60"/>
      <c r="O459" s="60">
        <f>N459*J459*K459*M459</f>
        <v>0</v>
      </c>
      <c r="P459" s="60">
        <f t="shared" si="86"/>
        <v>0</v>
      </c>
    </row>
    <row r="460" spans="1:16" s="38" customFormat="1" ht="11.45" customHeight="1" outlineLevel="1" x14ac:dyDescent="0.25">
      <c r="A460" s="124"/>
      <c r="B460" s="142"/>
      <c r="C460" s="115"/>
      <c r="D460" s="115"/>
      <c r="E460" s="115"/>
      <c r="F460" s="115"/>
      <c r="G460" s="60" t="s">
        <v>126</v>
      </c>
      <c r="H460" s="124"/>
      <c r="I460" s="124"/>
      <c r="J460" s="60"/>
      <c r="K460" s="60"/>
      <c r="L460" s="160"/>
      <c r="M460" s="60"/>
      <c r="N460" s="60"/>
      <c r="O460" s="60">
        <f t="shared" ref="O460:O465" si="92">N460*J460*K460*M460</f>
        <v>0</v>
      </c>
      <c r="P460" s="60">
        <f t="shared" si="86"/>
        <v>0</v>
      </c>
    </row>
    <row r="461" spans="1:16" s="38" customFormat="1" ht="10.7" customHeight="1" outlineLevel="1" x14ac:dyDescent="0.25">
      <c r="A461" s="124"/>
      <c r="B461" s="142"/>
      <c r="C461" s="115"/>
      <c r="D461" s="115"/>
      <c r="E461" s="115"/>
      <c r="F461" s="115"/>
      <c r="G461" s="60" t="s">
        <v>127</v>
      </c>
      <c r="H461" s="124"/>
      <c r="I461" s="124"/>
      <c r="J461" s="60"/>
      <c r="K461" s="60"/>
      <c r="L461" s="160"/>
      <c r="M461" s="60"/>
      <c r="N461" s="60"/>
      <c r="O461" s="60">
        <f t="shared" si="92"/>
        <v>0</v>
      </c>
      <c r="P461" s="60">
        <f t="shared" si="86"/>
        <v>0</v>
      </c>
    </row>
    <row r="462" spans="1:16" s="38" customFormat="1" ht="10.7" customHeight="1" outlineLevel="1" x14ac:dyDescent="0.25">
      <c r="A462" s="124"/>
      <c r="B462" s="142"/>
      <c r="C462" s="115"/>
      <c r="D462" s="115"/>
      <c r="E462" s="115"/>
      <c r="F462" s="115"/>
      <c r="G462" s="60" t="s">
        <v>128</v>
      </c>
      <c r="H462" s="124"/>
      <c r="I462" s="124"/>
      <c r="J462" s="60"/>
      <c r="K462" s="60"/>
      <c r="L462" s="160"/>
      <c r="M462" s="60"/>
      <c r="N462" s="60"/>
      <c r="O462" s="60">
        <f t="shared" si="92"/>
        <v>0</v>
      </c>
      <c r="P462" s="60">
        <f t="shared" si="86"/>
        <v>0</v>
      </c>
    </row>
    <row r="463" spans="1:16" s="38" customFormat="1" ht="10.7" customHeight="1" outlineLevel="1" x14ac:dyDescent="0.25">
      <c r="A463" s="124"/>
      <c r="B463" s="142"/>
      <c r="C463" s="115"/>
      <c r="D463" s="115"/>
      <c r="E463" s="115"/>
      <c r="F463" s="115"/>
      <c r="G463" s="60" t="s">
        <v>129</v>
      </c>
      <c r="H463" s="124"/>
      <c r="I463" s="124"/>
      <c r="J463" s="60"/>
      <c r="K463" s="60"/>
      <c r="L463" s="160"/>
      <c r="M463" s="60"/>
      <c r="N463" s="60"/>
      <c r="O463" s="60">
        <f t="shared" si="92"/>
        <v>0</v>
      </c>
      <c r="P463" s="60">
        <f t="shared" si="86"/>
        <v>0</v>
      </c>
    </row>
    <row r="464" spans="1:16" s="38" customFormat="1" ht="10.7" customHeight="1" outlineLevel="1" x14ac:dyDescent="0.25">
      <c r="A464" s="124"/>
      <c r="B464" s="142"/>
      <c r="C464" s="115"/>
      <c r="D464" s="115"/>
      <c r="E464" s="115"/>
      <c r="F464" s="115"/>
      <c r="G464" s="60" t="s">
        <v>130</v>
      </c>
      <c r="H464" s="124"/>
      <c r="I464" s="124"/>
      <c r="J464" s="60"/>
      <c r="K464" s="60"/>
      <c r="L464" s="160"/>
      <c r="M464" s="60"/>
      <c r="N464" s="60"/>
      <c r="O464" s="60">
        <f t="shared" si="92"/>
        <v>0</v>
      </c>
      <c r="P464" s="60">
        <f t="shared" si="86"/>
        <v>0</v>
      </c>
    </row>
    <row r="465" spans="1:16" s="38" customFormat="1" ht="12" customHeight="1" outlineLevel="1" thickBot="1" x14ac:dyDescent="0.3">
      <c r="A465" s="125"/>
      <c r="B465" s="143"/>
      <c r="C465" s="131"/>
      <c r="D465" s="131"/>
      <c r="E465" s="131"/>
      <c r="F465" s="131"/>
      <c r="G465" s="60" t="s">
        <v>131</v>
      </c>
      <c r="H465" s="134"/>
      <c r="I465" s="134"/>
      <c r="J465" s="60"/>
      <c r="K465" s="60"/>
      <c r="L465" s="160"/>
      <c r="M465" s="60"/>
      <c r="N465" s="60"/>
      <c r="O465" s="60">
        <f t="shared" si="92"/>
        <v>0</v>
      </c>
      <c r="P465" s="60">
        <f t="shared" si="86"/>
        <v>0</v>
      </c>
    </row>
    <row r="466" spans="1:16" s="38" customFormat="1" ht="14.45" customHeight="1" outlineLevel="1" x14ac:dyDescent="0.25">
      <c r="A466" s="140" t="s">
        <v>654</v>
      </c>
      <c r="B466" s="141" t="s">
        <v>655</v>
      </c>
      <c r="C466" s="130">
        <f>SUM(O466:O472)</f>
        <v>0</v>
      </c>
      <c r="D466" s="130">
        <f>SUM(P466:P472)</f>
        <v>0</v>
      </c>
      <c r="E466" s="130">
        <f t="shared" si="88"/>
        <v>0</v>
      </c>
      <c r="F466" s="130"/>
      <c r="G466" s="60" t="s">
        <v>125</v>
      </c>
      <c r="H466" s="123"/>
      <c r="I466" s="123"/>
      <c r="J466" s="60"/>
      <c r="K466" s="60"/>
      <c r="L466" s="160"/>
      <c r="M466" s="60"/>
      <c r="N466" s="60"/>
      <c r="O466" s="60">
        <f>N466*J466*K466*M466</f>
        <v>0</v>
      </c>
      <c r="P466" s="60">
        <f t="shared" si="86"/>
        <v>0</v>
      </c>
    </row>
    <row r="467" spans="1:16" s="38" customFormat="1" ht="11.45" customHeight="1" outlineLevel="1" x14ac:dyDescent="0.25">
      <c r="A467" s="124"/>
      <c r="B467" s="142"/>
      <c r="C467" s="115"/>
      <c r="D467" s="115"/>
      <c r="E467" s="115"/>
      <c r="F467" s="115"/>
      <c r="G467" s="60" t="s">
        <v>126</v>
      </c>
      <c r="H467" s="124"/>
      <c r="I467" s="124"/>
      <c r="J467" s="60"/>
      <c r="K467" s="60"/>
      <c r="L467" s="160"/>
      <c r="M467" s="60"/>
      <c r="N467" s="60"/>
      <c r="O467" s="60">
        <f t="shared" ref="O467:O472" si="93">N467*J467*K467*M467</f>
        <v>0</v>
      </c>
      <c r="P467" s="60">
        <f t="shared" si="86"/>
        <v>0</v>
      </c>
    </row>
    <row r="468" spans="1:16" s="38" customFormat="1" ht="10.7" customHeight="1" outlineLevel="1" x14ac:dyDescent="0.25">
      <c r="A468" s="124"/>
      <c r="B468" s="142"/>
      <c r="C468" s="115"/>
      <c r="D468" s="115"/>
      <c r="E468" s="115"/>
      <c r="F468" s="115"/>
      <c r="G468" s="60" t="s">
        <v>127</v>
      </c>
      <c r="H468" s="124"/>
      <c r="I468" s="124"/>
      <c r="J468" s="60"/>
      <c r="K468" s="60"/>
      <c r="L468" s="160"/>
      <c r="M468" s="60"/>
      <c r="N468" s="60"/>
      <c r="O468" s="60">
        <f t="shared" si="93"/>
        <v>0</v>
      </c>
      <c r="P468" s="60">
        <f t="shared" si="86"/>
        <v>0</v>
      </c>
    </row>
    <row r="469" spans="1:16" s="38" customFormat="1" ht="10.7" customHeight="1" outlineLevel="1" x14ac:dyDescent="0.25">
      <c r="A469" s="124"/>
      <c r="B469" s="142"/>
      <c r="C469" s="115"/>
      <c r="D469" s="115"/>
      <c r="E469" s="115"/>
      <c r="F469" s="115"/>
      <c r="G469" s="60" t="s">
        <v>128</v>
      </c>
      <c r="H469" s="124"/>
      <c r="I469" s="124"/>
      <c r="J469" s="60"/>
      <c r="K469" s="60"/>
      <c r="L469" s="160"/>
      <c r="M469" s="60"/>
      <c r="N469" s="60"/>
      <c r="O469" s="60">
        <f t="shared" si="93"/>
        <v>0</v>
      </c>
      <c r="P469" s="60">
        <f t="shared" si="86"/>
        <v>0</v>
      </c>
    </row>
    <row r="470" spans="1:16" s="38" customFormat="1" ht="10.7" customHeight="1" outlineLevel="1" x14ac:dyDescent="0.25">
      <c r="A470" s="124"/>
      <c r="B470" s="142"/>
      <c r="C470" s="115"/>
      <c r="D470" s="115"/>
      <c r="E470" s="115"/>
      <c r="F470" s="115"/>
      <c r="G470" s="60" t="s">
        <v>129</v>
      </c>
      <c r="H470" s="124"/>
      <c r="I470" s="124"/>
      <c r="J470" s="60"/>
      <c r="K470" s="60"/>
      <c r="L470" s="160"/>
      <c r="M470" s="60"/>
      <c r="N470" s="60"/>
      <c r="O470" s="60">
        <f t="shared" si="93"/>
        <v>0</v>
      </c>
      <c r="P470" s="60">
        <f t="shared" si="86"/>
        <v>0</v>
      </c>
    </row>
    <row r="471" spans="1:16" s="38" customFormat="1" ht="10.7" customHeight="1" outlineLevel="1" x14ac:dyDescent="0.25">
      <c r="A471" s="124"/>
      <c r="B471" s="142"/>
      <c r="C471" s="115"/>
      <c r="D471" s="115"/>
      <c r="E471" s="115"/>
      <c r="F471" s="115"/>
      <c r="G471" s="60" t="s">
        <v>130</v>
      </c>
      <c r="H471" s="124"/>
      <c r="I471" s="124"/>
      <c r="J471" s="60"/>
      <c r="K471" s="60"/>
      <c r="L471" s="160"/>
      <c r="M471" s="60"/>
      <c r="N471" s="60"/>
      <c r="O471" s="60">
        <f t="shared" si="93"/>
        <v>0</v>
      </c>
      <c r="P471" s="60">
        <f t="shared" si="86"/>
        <v>0</v>
      </c>
    </row>
    <row r="472" spans="1:16" s="38" customFormat="1" ht="12" customHeight="1" outlineLevel="1" thickBot="1" x14ac:dyDescent="0.3">
      <c r="A472" s="125"/>
      <c r="B472" s="143"/>
      <c r="C472" s="131"/>
      <c r="D472" s="131"/>
      <c r="E472" s="131"/>
      <c r="F472" s="131"/>
      <c r="G472" s="60" t="s">
        <v>131</v>
      </c>
      <c r="H472" s="134"/>
      <c r="I472" s="134"/>
      <c r="J472" s="60"/>
      <c r="K472" s="60"/>
      <c r="L472" s="160"/>
      <c r="M472" s="60"/>
      <c r="N472" s="60"/>
      <c r="O472" s="60">
        <f t="shared" si="93"/>
        <v>0</v>
      </c>
      <c r="P472" s="60">
        <f t="shared" si="86"/>
        <v>0</v>
      </c>
    </row>
    <row r="473" spans="1:16" s="38" customFormat="1" ht="14.45" customHeight="1" outlineLevel="1" x14ac:dyDescent="0.25">
      <c r="A473" s="140" t="s">
        <v>656</v>
      </c>
      <c r="B473" s="141" t="s">
        <v>657</v>
      </c>
      <c r="C473" s="130">
        <f>SUM(O473:O479)</f>
        <v>0</v>
      </c>
      <c r="D473" s="130">
        <f>SUM(P473:P479)</f>
        <v>0</v>
      </c>
      <c r="E473" s="130">
        <f t="shared" si="88"/>
        <v>0</v>
      </c>
      <c r="F473" s="130"/>
      <c r="G473" s="60" t="s">
        <v>125</v>
      </c>
      <c r="H473" s="123"/>
      <c r="I473" s="123"/>
      <c r="J473" s="60"/>
      <c r="K473" s="60"/>
      <c r="L473" s="160"/>
      <c r="M473" s="60"/>
      <c r="N473" s="60"/>
      <c r="O473" s="60">
        <f>N473*J473*K473*M473</f>
        <v>0</v>
      </c>
      <c r="P473" s="60">
        <f t="shared" si="86"/>
        <v>0</v>
      </c>
    </row>
    <row r="474" spans="1:16" s="38" customFormat="1" ht="11.45" customHeight="1" outlineLevel="1" x14ac:dyDescent="0.25">
      <c r="A474" s="124"/>
      <c r="B474" s="142"/>
      <c r="C474" s="115"/>
      <c r="D474" s="115"/>
      <c r="E474" s="115"/>
      <c r="F474" s="115"/>
      <c r="G474" s="60" t="s">
        <v>126</v>
      </c>
      <c r="H474" s="124"/>
      <c r="I474" s="124"/>
      <c r="J474" s="60"/>
      <c r="K474" s="60"/>
      <c r="L474" s="160"/>
      <c r="M474" s="60"/>
      <c r="N474" s="60"/>
      <c r="O474" s="60">
        <f t="shared" ref="O474:O479" si="94">N474*J474*K474*M474</f>
        <v>0</v>
      </c>
      <c r="P474" s="60">
        <f t="shared" si="86"/>
        <v>0</v>
      </c>
    </row>
    <row r="475" spans="1:16" s="38" customFormat="1" ht="10.7" customHeight="1" outlineLevel="1" x14ac:dyDescent="0.25">
      <c r="A475" s="124"/>
      <c r="B475" s="142"/>
      <c r="C475" s="115"/>
      <c r="D475" s="115"/>
      <c r="E475" s="115"/>
      <c r="F475" s="115"/>
      <c r="G475" s="60" t="s">
        <v>127</v>
      </c>
      <c r="H475" s="124"/>
      <c r="I475" s="124"/>
      <c r="J475" s="60"/>
      <c r="K475" s="60"/>
      <c r="L475" s="160"/>
      <c r="M475" s="60"/>
      <c r="N475" s="60"/>
      <c r="O475" s="60">
        <f t="shared" si="94"/>
        <v>0</v>
      </c>
      <c r="P475" s="60">
        <f t="shared" si="86"/>
        <v>0</v>
      </c>
    </row>
    <row r="476" spans="1:16" s="38" customFormat="1" ht="10.7" customHeight="1" outlineLevel="1" x14ac:dyDescent="0.25">
      <c r="A476" s="124"/>
      <c r="B476" s="142"/>
      <c r="C476" s="115"/>
      <c r="D476" s="115"/>
      <c r="E476" s="115"/>
      <c r="F476" s="115"/>
      <c r="G476" s="60" t="s">
        <v>128</v>
      </c>
      <c r="H476" s="124"/>
      <c r="I476" s="124"/>
      <c r="J476" s="60"/>
      <c r="K476" s="60"/>
      <c r="L476" s="160"/>
      <c r="M476" s="60"/>
      <c r="N476" s="60"/>
      <c r="O476" s="60">
        <f t="shared" si="94"/>
        <v>0</v>
      </c>
      <c r="P476" s="60">
        <f t="shared" si="86"/>
        <v>0</v>
      </c>
    </row>
    <row r="477" spans="1:16" s="38" customFormat="1" ht="10.7" customHeight="1" outlineLevel="1" x14ac:dyDescent="0.25">
      <c r="A477" s="124"/>
      <c r="B477" s="142"/>
      <c r="C477" s="115"/>
      <c r="D477" s="115"/>
      <c r="E477" s="115"/>
      <c r="F477" s="115"/>
      <c r="G477" s="60" t="s">
        <v>129</v>
      </c>
      <c r="H477" s="124"/>
      <c r="I477" s="124"/>
      <c r="J477" s="60"/>
      <c r="K477" s="60"/>
      <c r="L477" s="160"/>
      <c r="M477" s="60"/>
      <c r="N477" s="60"/>
      <c r="O477" s="60">
        <f t="shared" si="94"/>
        <v>0</v>
      </c>
      <c r="P477" s="60">
        <f t="shared" si="86"/>
        <v>0</v>
      </c>
    </row>
    <row r="478" spans="1:16" s="38" customFormat="1" ht="10.7" customHeight="1" outlineLevel="1" x14ac:dyDescent="0.25">
      <c r="A478" s="124"/>
      <c r="B478" s="142"/>
      <c r="C478" s="115"/>
      <c r="D478" s="115"/>
      <c r="E478" s="115"/>
      <c r="F478" s="115"/>
      <c r="G478" s="60" t="s">
        <v>130</v>
      </c>
      <c r="H478" s="124"/>
      <c r="I478" s="124"/>
      <c r="J478" s="60"/>
      <c r="K478" s="60"/>
      <c r="L478" s="160"/>
      <c r="M478" s="60"/>
      <c r="N478" s="60"/>
      <c r="O478" s="60">
        <f t="shared" si="94"/>
        <v>0</v>
      </c>
      <c r="P478" s="60">
        <f t="shared" si="86"/>
        <v>0</v>
      </c>
    </row>
    <row r="479" spans="1:16" s="38" customFormat="1" ht="12" customHeight="1" outlineLevel="1" thickBot="1" x14ac:dyDescent="0.3">
      <c r="A479" s="125"/>
      <c r="B479" s="143"/>
      <c r="C479" s="131"/>
      <c r="D479" s="131"/>
      <c r="E479" s="131"/>
      <c r="F479" s="131"/>
      <c r="G479" s="60" t="s">
        <v>131</v>
      </c>
      <c r="H479" s="134"/>
      <c r="I479" s="134"/>
      <c r="J479" s="60"/>
      <c r="K479" s="60"/>
      <c r="L479" s="160"/>
      <c r="M479" s="60"/>
      <c r="N479" s="60"/>
      <c r="O479" s="60">
        <f t="shared" si="94"/>
        <v>0</v>
      </c>
      <c r="P479" s="60">
        <f t="shared" si="86"/>
        <v>0</v>
      </c>
    </row>
    <row r="480" spans="1:16" s="38" customFormat="1" ht="14.45" customHeight="1" outlineLevel="1" x14ac:dyDescent="0.25">
      <c r="A480" s="140" t="s">
        <v>658</v>
      </c>
      <c r="B480" s="141" t="s">
        <v>659</v>
      </c>
      <c r="C480" s="130">
        <f>SUM(O480:O486)</f>
        <v>0</v>
      </c>
      <c r="D480" s="130">
        <f>SUM(P480:P486)</f>
        <v>0</v>
      </c>
      <c r="E480" s="130">
        <f t="shared" si="88"/>
        <v>0</v>
      </c>
      <c r="F480" s="130"/>
      <c r="G480" s="60" t="s">
        <v>125</v>
      </c>
      <c r="H480" s="123"/>
      <c r="I480" s="123"/>
      <c r="J480" s="60"/>
      <c r="K480" s="60"/>
      <c r="L480" s="160"/>
      <c r="M480" s="60"/>
      <c r="N480" s="60"/>
      <c r="O480" s="60">
        <f>N480*J480*K480*M480</f>
        <v>0</v>
      </c>
      <c r="P480" s="60">
        <f t="shared" si="86"/>
        <v>0</v>
      </c>
    </row>
    <row r="481" spans="1:16" s="38" customFormat="1" ht="11.45" customHeight="1" outlineLevel="1" x14ac:dyDescent="0.25">
      <c r="A481" s="124"/>
      <c r="B481" s="142"/>
      <c r="C481" s="115"/>
      <c r="D481" s="115"/>
      <c r="E481" s="115"/>
      <c r="F481" s="115"/>
      <c r="G481" s="60" t="s">
        <v>126</v>
      </c>
      <c r="H481" s="124"/>
      <c r="I481" s="124"/>
      <c r="J481" s="60"/>
      <c r="K481" s="60"/>
      <c r="L481" s="160"/>
      <c r="M481" s="60"/>
      <c r="N481" s="60"/>
      <c r="O481" s="60">
        <f t="shared" ref="O481:O486" si="95">N481*J481*K481*M481</f>
        <v>0</v>
      </c>
      <c r="P481" s="60">
        <f t="shared" si="86"/>
        <v>0</v>
      </c>
    </row>
    <row r="482" spans="1:16" s="38" customFormat="1" ht="10.7" customHeight="1" outlineLevel="1" x14ac:dyDescent="0.25">
      <c r="A482" s="124"/>
      <c r="B482" s="142"/>
      <c r="C482" s="115"/>
      <c r="D482" s="115"/>
      <c r="E482" s="115"/>
      <c r="F482" s="115"/>
      <c r="G482" s="60" t="s">
        <v>127</v>
      </c>
      <c r="H482" s="124"/>
      <c r="I482" s="124"/>
      <c r="J482" s="60"/>
      <c r="K482" s="60"/>
      <c r="L482" s="160"/>
      <c r="M482" s="60"/>
      <c r="N482" s="60"/>
      <c r="O482" s="60">
        <f t="shared" si="95"/>
        <v>0</v>
      </c>
      <c r="P482" s="60">
        <f t="shared" si="86"/>
        <v>0</v>
      </c>
    </row>
    <row r="483" spans="1:16" s="38" customFormat="1" ht="10.7" customHeight="1" outlineLevel="1" x14ac:dyDescent="0.25">
      <c r="A483" s="124"/>
      <c r="B483" s="142"/>
      <c r="C483" s="115"/>
      <c r="D483" s="115"/>
      <c r="E483" s="115"/>
      <c r="F483" s="115"/>
      <c r="G483" s="60" t="s">
        <v>128</v>
      </c>
      <c r="H483" s="124"/>
      <c r="I483" s="124"/>
      <c r="J483" s="60"/>
      <c r="K483" s="60"/>
      <c r="L483" s="160"/>
      <c r="M483" s="60"/>
      <c r="N483" s="60"/>
      <c r="O483" s="60">
        <f t="shared" si="95"/>
        <v>0</v>
      </c>
      <c r="P483" s="60">
        <f t="shared" si="86"/>
        <v>0</v>
      </c>
    </row>
    <row r="484" spans="1:16" s="38" customFormat="1" ht="10.7" customHeight="1" outlineLevel="1" x14ac:dyDescent="0.25">
      <c r="A484" s="124"/>
      <c r="B484" s="142"/>
      <c r="C484" s="115"/>
      <c r="D484" s="115"/>
      <c r="E484" s="115"/>
      <c r="F484" s="115"/>
      <c r="G484" s="60" t="s">
        <v>129</v>
      </c>
      <c r="H484" s="124"/>
      <c r="I484" s="124"/>
      <c r="J484" s="60"/>
      <c r="K484" s="60"/>
      <c r="L484" s="160"/>
      <c r="M484" s="60"/>
      <c r="N484" s="60"/>
      <c r="O484" s="60">
        <f t="shared" si="95"/>
        <v>0</v>
      </c>
      <c r="P484" s="60">
        <f t="shared" si="86"/>
        <v>0</v>
      </c>
    </row>
    <row r="485" spans="1:16" s="38" customFormat="1" ht="10.7" customHeight="1" outlineLevel="1" x14ac:dyDescent="0.25">
      <c r="A485" s="124"/>
      <c r="B485" s="142"/>
      <c r="C485" s="115"/>
      <c r="D485" s="115"/>
      <c r="E485" s="115"/>
      <c r="F485" s="115"/>
      <c r="G485" s="60" t="s">
        <v>130</v>
      </c>
      <c r="H485" s="124"/>
      <c r="I485" s="124"/>
      <c r="J485" s="60"/>
      <c r="K485" s="60"/>
      <c r="L485" s="160"/>
      <c r="M485" s="60"/>
      <c r="N485" s="60"/>
      <c r="O485" s="60">
        <f t="shared" si="95"/>
        <v>0</v>
      </c>
      <c r="P485" s="60">
        <f t="shared" si="86"/>
        <v>0</v>
      </c>
    </row>
    <row r="486" spans="1:16" s="38" customFormat="1" ht="12" customHeight="1" outlineLevel="1" thickBot="1" x14ac:dyDescent="0.3">
      <c r="A486" s="125"/>
      <c r="B486" s="143"/>
      <c r="C486" s="131"/>
      <c r="D486" s="131"/>
      <c r="E486" s="131"/>
      <c r="F486" s="131"/>
      <c r="G486" s="60" t="s">
        <v>131</v>
      </c>
      <c r="H486" s="134"/>
      <c r="I486" s="134"/>
      <c r="J486" s="60"/>
      <c r="K486" s="60"/>
      <c r="L486" s="160"/>
      <c r="M486" s="60"/>
      <c r="N486" s="60"/>
      <c r="O486" s="60">
        <f t="shared" si="95"/>
        <v>0</v>
      </c>
      <c r="P486" s="60">
        <f t="shared" si="86"/>
        <v>0</v>
      </c>
    </row>
    <row r="487" spans="1:16" s="38" customFormat="1" ht="14.45" customHeight="1" outlineLevel="1" x14ac:dyDescent="0.25">
      <c r="A487" s="140" t="s">
        <v>660</v>
      </c>
      <c r="B487" s="141" t="s">
        <v>661</v>
      </c>
      <c r="C487" s="130">
        <f>SUM(O487:O493)</f>
        <v>0</v>
      </c>
      <c r="D487" s="130">
        <f>SUM(P487:P493)</f>
        <v>0</v>
      </c>
      <c r="E487" s="130">
        <f t="shared" si="88"/>
        <v>0</v>
      </c>
      <c r="F487" s="130"/>
      <c r="G487" s="60" t="s">
        <v>125</v>
      </c>
      <c r="H487" s="123"/>
      <c r="I487" s="123"/>
      <c r="J487" s="60"/>
      <c r="K487" s="60"/>
      <c r="L487" s="160"/>
      <c r="M487" s="60"/>
      <c r="N487" s="60"/>
      <c r="O487" s="60">
        <f>N487*J487*K487*M487</f>
        <v>0</v>
      </c>
      <c r="P487" s="60">
        <f t="shared" si="86"/>
        <v>0</v>
      </c>
    </row>
    <row r="488" spans="1:16" s="38" customFormat="1" ht="11.45" customHeight="1" outlineLevel="1" x14ac:dyDescent="0.25">
      <c r="A488" s="124"/>
      <c r="B488" s="142"/>
      <c r="C488" s="115"/>
      <c r="D488" s="115"/>
      <c r="E488" s="115"/>
      <c r="F488" s="115"/>
      <c r="G488" s="60" t="s">
        <v>126</v>
      </c>
      <c r="H488" s="124"/>
      <c r="I488" s="124"/>
      <c r="J488" s="60"/>
      <c r="K488" s="60"/>
      <c r="L488" s="160"/>
      <c r="M488" s="60"/>
      <c r="N488" s="60"/>
      <c r="O488" s="60">
        <f t="shared" ref="O488:O493" si="96">N488*J488*K488*M488</f>
        <v>0</v>
      </c>
      <c r="P488" s="60">
        <f t="shared" si="86"/>
        <v>0</v>
      </c>
    </row>
    <row r="489" spans="1:16" s="38" customFormat="1" ht="10.7" customHeight="1" outlineLevel="1" x14ac:dyDescent="0.25">
      <c r="A489" s="124"/>
      <c r="B489" s="142"/>
      <c r="C489" s="115"/>
      <c r="D489" s="115"/>
      <c r="E489" s="115"/>
      <c r="F489" s="115"/>
      <c r="G489" s="60" t="s">
        <v>127</v>
      </c>
      <c r="H489" s="124"/>
      <c r="I489" s="124"/>
      <c r="J489" s="60"/>
      <c r="K489" s="60"/>
      <c r="L489" s="160"/>
      <c r="M489" s="60"/>
      <c r="N489" s="60"/>
      <c r="O489" s="60">
        <f t="shared" si="96"/>
        <v>0</v>
      </c>
      <c r="P489" s="60">
        <f t="shared" si="86"/>
        <v>0</v>
      </c>
    </row>
    <row r="490" spans="1:16" s="38" customFormat="1" ht="10.7" customHeight="1" outlineLevel="1" x14ac:dyDescent="0.25">
      <c r="A490" s="124"/>
      <c r="B490" s="142"/>
      <c r="C490" s="115"/>
      <c r="D490" s="115"/>
      <c r="E490" s="115"/>
      <c r="F490" s="115"/>
      <c r="G490" s="60" t="s">
        <v>128</v>
      </c>
      <c r="H490" s="124"/>
      <c r="I490" s="124"/>
      <c r="J490" s="60"/>
      <c r="K490" s="60"/>
      <c r="L490" s="160"/>
      <c r="M490" s="60"/>
      <c r="N490" s="60"/>
      <c r="O490" s="60">
        <f t="shared" si="96"/>
        <v>0</v>
      </c>
      <c r="P490" s="60">
        <f t="shared" si="86"/>
        <v>0</v>
      </c>
    </row>
    <row r="491" spans="1:16" s="38" customFormat="1" ht="10.7" customHeight="1" outlineLevel="1" x14ac:dyDescent="0.25">
      <c r="A491" s="124"/>
      <c r="B491" s="142"/>
      <c r="C491" s="115"/>
      <c r="D491" s="115"/>
      <c r="E491" s="115"/>
      <c r="F491" s="115"/>
      <c r="G491" s="60" t="s">
        <v>129</v>
      </c>
      <c r="H491" s="124"/>
      <c r="I491" s="124"/>
      <c r="J491" s="60"/>
      <c r="K491" s="60"/>
      <c r="L491" s="160"/>
      <c r="M491" s="60"/>
      <c r="N491" s="60"/>
      <c r="O491" s="60">
        <f t="shared" si="96"/>
        <v>0</v>
      </c>
      <c r="P491" s="60">
        <f t="shared" ref="P491:P554" si="97">J491*K491*M491</f>
        <v>0</v>
      </c>
    </row>
    <row r="492" spans="1:16" s="38" customFormat="1" ht="10.7" customHeight="1" outlineLevel="1" x14ac:dyDescent="0.25">
      <c r="A492" s="124"/>
      <c r="B492" s="142"/>
      <c r="C492" s="115"/>
      <c r="D492" s="115"/>
      <c r="E492" s="115"/>
      <c r="F492" s="115"/>
      <c r="G492" s="60" t="s">
        <v>130</v>
      </c>
      <c r="H492" s="124"/>
      <c r="I492" s="124"/>
      <c r="J492" s="60"/>
      <c r="K492" s="60"/>
      <c r="L492" s="160"/>
      <c r="M492" s="60"/>
      <c r="N492" s="60"/>
      <c r="O492" s="60">
        <f t="shared" si="96"/>
        <v>0</v>
      </c>
      <c r="P492" s="60">
        <f t="shared" si="97"/>
        <v>0</v>
      </c>
    </row>
    <row r="493" spans="1:16" s="38" customFormat="1" ht="12" customHeight="1" outlineLevel="1" thickBot="1" x14ac:dyDescent="0.3">
      <c r="A493" s="125"/>
      <c r="B493" s="143"/>
      <c r="C493" s="131"/>
      <c r="D493" s="131"/>
      <c r="E493" s="131"/>
      <c r="F493" s="131"/>
      <c r="G493" s="60" t="s">
        <v>131</v>
      </c>
      <c r="H493" s="134"/>
      <c r="I493" s="134"/>
      <c r="J493" s="60"/>
      <c r="K493" s="60"/>
      <c r="L493" s="160"/>
      <c r="M493" s="60"/>
      <c r="N493" s="60"/>
      <c r="O493" s="60">
        <f t="shared" si="96"/>
        <v>0</v>
      </c>
      <c r="P493" s="60">
        <f t="shared" si="97"/>
        <v>0</v>
      </c>
    </row>
    <row r="494" spans="1:16" s="38" customFormat="1" ht="14.45" customHeight="1" outlineLevel="1" x14ac:dyDescent="0.25">
      <c r="A494" s="140" t="s">
        <v>662</v>
      </c>
      <c r="B494" s="141" t="s">
        <v>663</v>
      </c>
      <c r="C494" s="130">
        <f>SUM(O494:O500)</f>
        <v>0</v>
      </c>
      <c r="D494" s="130">
        <f>SUM(P494:P500)</f>
        <v>0</v>
      </c>
      <c r="E494" s="130">
        <f t="shared" si="88"/>
        <v>0</v>
      </c>
      <c r="F494" s="130"/>
      <c r="G494" s="60" t="s">
        <v>125</v>
      </c>
      <c r="H494" s="123"/>
      <c r="I494" s="123"/>
      <c r="J494" s="60"/>
      <c r="K494" s="60"/>
      <c r="L494" s="160"/>
      <c r="M494" s="60"/>
      <c r="N494" s="60"/>
      <c r="O494" s="60">
        <f>N494*J494*K494*M494</f>
        <v>0</v>
      </c>
      <c r="P494" s="60">
        <f t="shared" si="97"/>
        <v>0</v>
      </c>
    </row>
    <row r="495" spans="1:16" s="38" customFormat="1" ht="11.45" customHeight="1" outlineLevel="1" x14ac:dyDescent="0.25">
      <c r="A495" s="124"/>
      <c r="B495" s="142"/>
      <c r="C495" s="115"/>
      <c r="D495" s="115"/>
      <c r="E495" s="115"/>
      <c r="F495" s="115"/>
      <c r="G495" s="60" t="s">
        <v>126</v>
      </c>
      <c r="H495" s="124"/>
      <c r="I495" s="124"/>
      <c r="J495" s="60"/>
      <c r="K495" s="60"/>
      <c r="L495" s="160"/>
      <c r="M495" s="60"/>
      <c r="N495" s="60"/>
      <c r="O495" s="60">
        <f t="shared" ref="O495:O500" si="98">N495*J495*K495*M495</f>
        <v>0</v>
      </c>
      <c r="P495" s="60">
        <f t="shared" si="97"/>
        <v>0</v>
      </c>
    </row>
    <row r="496" spans="1:16" s="38" customFormat="1" ht="10.7" customHeight="1" outlineLevel="1" x14ac:dyDescent="0.25">
      <c r="A496" s="124"/>
      <c r="B496" s="142"/>
      <c r="C496" s="115"/>
      <c r="D496" s="115"/>
      <c r="E496" s="115"/>
      <c r="F496" s="115"/>
      <c r="G496" s="60" t="s">
        <v>127</v>
      </c>
      <c r="H496" s="124"/>
      <c r="I496" s="124"/>
      <c r="J496" s="60"/>
      <c r="K496" s="60"/>
      <c r="L496" s="160"/>
      <c r="M496" s="60"/>
      <c r="N496" s="60"/>
      <c r="O496" s="60">
        <f t="shared" si="98"/>
        <v>0</v>
      </c>
      <c r="P496" s="60">
        <f t="shared" si="97"/>
        <v>0</v>
      </c>
    </row>
    <row r="497" spans="1:16" s="38" customFormat="1" ht="10.7" customHeight="1" outlineLevel="1" x14ac:dyDescent="0.25">
      <c r="A497" s="124"/>
      <c r="B497" s="142"/>
      <c r="C497" s="115"/>
      <c r="D497" s="115"/>
      <c r="E497" s="115"/>
      <c r="F497" s="115"/>
      <c r="G497" s="60" t="s">
        <v>128</v>
      </c>
      <c r="H497" s="124"/>
      <c r="I497" s="124"/>
      <c r="J497" s="60"/>
      <c r="K497" s="60"/>
      <c r="L497" s="160"/>
      <c r="M497" s="60"/>
      <c r="N497" s="60"/>
      <c r="O497" s="60">
        <f t="shared" si="98"/>
        <v>0</v>
      </c>
      <c r="P497" s="60">
        <f t="shared" si="97"/>
        <v>0</v>
      </c>
    </row>
    <row r="498" spans="1:16" s="38" customFormat="1" ht="10.7" customHeight="1" outlineLevel="1" x14ac:dyDescent="0.25">
      <c r="A498" s="124"/>
      <c r="B498" s="142"/>
      <c r="C498" s="115"/>
      <c r="D498" s="115"/>
      <c r="E498" s="115"/>
      <c r="F498" s="115"/>
      <c r="G498" s="60" t="s">
        <v>129</v>
      </c>
      <c r="H498" s="124"/>
      <c r="I498" s="124"/>
      <c r="J498" s="60"/>
      <c r="K498" s="60"/>
      <c r="L498" s="160"/>
      <c r="M498" s="60"/>
      <c r="N498" s="60"/>
      <c r="O498" s="60">
        <f t="shared" si="98"/>
        <v>0</v>
      </c>
      <c r="P498" s="60">
        <f t="shared" si="97"/>
        <v>0</v>
      </c>
    </row>
    <row r="499" spans="1:16" s="38" customFormat="1" ht="10.7" customHeight="1" outlineLevel="1" x14ac:dyDescent="0.25">
      <c r="A499" s="124"/>
      <c r="B499" s="142"/>
      <c r="C499" s="115"/>
      <c r="D499" s="115"/>
      <c r="E499" s="115"/>
      <c r="F499" s="115"/>
      <c r="G499" s="60" t="s">
        <v>130</v>
      </c>
      <c r="H499" s="124"/>
      <c r="I499" s="124"/>
      <c r="J499" s="60"/>
      <c r="K499" s="60"/>
      <c r="L499" s="160"/>
      <c r="M499" s="60"/>
      <c r="N499" s="60"/>
      <c r="O499" s="60">
        <f t="shared" si="98"/>
        <v>0</v>
      </c>
      <c r="P499" s="60">
        <f t="shared" si="97"/>
        <v>0</v>
      </c>
    </row>
    <row r="500" spans="1:16" s="38" customFormat="1" ht="12" customHeight="1" outlineLevel="1" thickBot="1" x14ac:dyDescent="0.3">
      <c r="A500" s="125"/>
      <c r="B500" s="143"/>
      <c r="C500" s="131"/>
      <c r="D500" s="131"/>
      <c r="E500" s="131"/>
      <c r="F500" s="131"/>
      <c r="G500" s="60" t="s">
        <v>131</v>
      </c>
      <c r="H500" s="134"/>
      <c r="I500" s="134"/>
      <c r="J500" s="60"/>
      <c r="K500" s="60"/>
      <c r="L500" s="160"/>
      <c r="M500" s="60"/>
      <c r="N500" s="60"/>
      <c r="O500" s="60">
        <f t="shared" si="98"/>
        <v>0</v>
      </c>
      <c r="P500" s="60">
        <f t="shared" si="97"/>
        <v>0</v>
      </c>
    </row>
    <row r="501" spans="1:16" s="38" customFormat="1" ht="14.45" customHeight="1" outlineLevel="1" x14ac:dyDescent="0.25">
      <c r="A501" s="140" t="s">
        <v>664</v>
      </c>
      <c r="B501" s="141" t="s">
        <v>665</v>
      </c>
      <c r="C501" s="130">
        <f>SUM(O501:O507)</f>
        <v>0</v>
      </c>
      <c r="D501" s="130">
        <f>SUM(P501:P507)</f>
        <v>0</v>
      </c>
      <c r="E501" s="130">
        <f t="shared" si="88"/>
        <v>0</v>
      </c>
      <c r="F501" s="130"/>
      <c r="G501" s="60" t="s">
        <v>125</v>
      </c>
      <c r="H501" s="123"/>
      <c r="I501" s="123"/>
      <c r="J501" s="60"/>
      <c r="K501" s="60"/>
      <c r="L501" s="160"/>
      <c r="M501" s="60"/>
      <c r="N501" s="60"/>
      <c r="O501" s="60">
        <f>N501*J501*K501*M501</f>
        <v>0</v>
      </c>
      <c r="P501" s="60">
        <f t="shared" si="97"/>
        <v>0</v>
      </c>
    </row>
    <row r="502" spans="1:16" s="38" customFormat="1" ht="11.45" customHeight="1" outlineLevel="1" x14ac:dyDescent="0.25">
      <c r="A502" s="124"/>
      <c r="B502" s="142"/>
      <c r="C502" s="115"/>
      <c r="D502" s="115"/>
      <c r="E502" s="115"/>
      <c r="F502" s="115"/>
      <c r="G502" s="60" t="s">
        <v>126</v>
      </c>
      <c r="H502" s="124"/>
      <c r="I502" s="124"/>
      <c r="J502" s="60"/>
      <c r="K502" s="60"/>
      <c r="L502" s="160"/>
      <c r="M502" s="60"/>
      <c r="N502" s="60"/>
      <c r="O502" s="60">
        <f t="shared" ref="O502:O507" si="99">N502*J502*K502*M502</f>
        <v>0</v>
      </c>
      <c r="P502" s="60">
        <f t="shared" si="97"/>
        <v>0</v>
      </c>
    </row>
    <row r="503" spans="1:16" s="38" customFormat="1" ht="10.7" customHeight="1" outlineLevel="1" x14ac:dyDescent="0.25">
      <c r="A503" s="124"/>
      <c r="B503" s="142"/>
      <c r="C503" s="115"/>
      <c r="D503" s="115"/>
      <c r="E503" s="115"/>
      <c r="F503" s="115"/>
      <c r="G503" s="60" t="s">
        <v>127</v>
      </c>
      <c r="H503" s="124"/>
      <c r="I503" s="124"/>
      <c r="J503" s="60"/>
      <c r="K503" s="60"/>
      <c r="L503" s="160"/>
      <c r="M503" s="60"/>
      <c r="N503" s="60"/>
      <c r="O503" s="60">
        <f t="shared" si="99"/>
        <v>0</v>
      </c>
      <c r="P503" s="60">
        <f t="shared" si="97"/>
        <v>0</v>
      </c>
    </row>
    <row r="504" spans="1:16" s="38" customFormat="1" ht="10.7" customHeight="1" outlineLevel="1" x14ac:dyDescent="0.25">
      <c r="A504" s="124"/>
      <c r="B504" s="142"/>
      <c r="C504" s="115"/>
      <c r="D504" s="115"/>
      <c r="E504" s="115"/>
      <c r="F504" s="115"/>
      <c r="G504" s="60" t="s">
        <v>128</v>
      </c>
      <c r="H504" s="124"/>
      <c r="I504" s="124"/>
      <c r="J504" s="60"/>
      <c r="K504" s="60"/>
      <c r="L504" s="160"/>
      <c r="M504" s="60"/>
      <c r="N504" s="60"/>
      <c r="O504" s="60">
        <f t="shared" si="99"/>
        <v>0</v>
      </c>
      <c r="P504" s="60">
        <f t="shared" si="97"/>
        <v>0</v>
      </c>
    </row>
    <row r="505" spans="1:16" s="38" customFormat="1" ht="10.7" customHeight="1" outlineLevel="1" x14ac:dyDescent="0.25">
      <c r="A505" s="124"/>
      <c r="B505" s="142"/>
      <c r="C505" s="115"/>
      <c r="D505" s="115"/>
      <c r="E505" s="115"/>
      <c r="F505" s="115"/>
      <c r="G505" s="60" t="s">
        <v>129</v>
      </c>
      <c r="H505" s="124"/>
      <c r="I505" s="124"/>
      <c r="J505" s="60"/>
      <c r="K505" s="60"/>
      <c r="L505" s="160"/>
      <c r="M505" s="60"/>
      <c r="N505" s="60"/>
      <c r="O505" s="60">
        <f t="shared" si="99"/>
        <v>0</v>
      </c>
      <c r="P505" s="60">
        <f t="shared" si="97"/>
        <v>0</v>
      </c>
    </row>
    <row r="506" spans="1:16" s="38" customFormat="1" ht="10.7" customHeight="1" outlineLevel="1" x14ac:dyDescent="0.25">
      <c r="A506" s="124"/>
      <c r="B506" s="142"/>
      <c r="C506" s="115"/>
      <c r="D506" s="115"/>
      <c r="E506" s="115"/>
      <c r="F506" s="115"/>
      <c r="G506" s="60" t="s">
        <v>130</v>
      </c>
      <c r="H506" s="124"/>
      <c r="I506" s="124"/>
      <c r="J506" s="60"/>
      <c r="K506" s="60"/>
      <c r="L506" s="160"/>
      <c r="M506" s="60"/>
      <c r="N506" s="60"/>
      <c r="O506" s="60">
        <f t="shared" si="99"/>
        <v>0</v>
      </c>
      <c r="P506" s="60">
        <f t="shared" si="97"/>
        <v>0</v>
      </c>
    </row>
    <row r="507" spans="1:16" s="38" customFormat="1" ht="12" customHeight="1" outlineLevel="1" thickBot="1" x14ac:dyDescent="0.3">
      <c r="A507" s="125"/>
      <c r="B507" s="143"/>
      <c r="C507" s="131"/>
      <c r="D507" s="131"/>
      <c r="E507" s="131"/>
      <c r="F507" s="131"/>
      <c r="G507" s="60" t="s">
        <v>131</v>
      </c>
      <c r="H507" s="134"/>
      <c r="I507" s="134"/>
      <c r="J507" s="60"/>
      <c r="K507" s="60"/>
      <c r="L507" s="160"/>
      <c r="M507" s="60"/>
      <c r="N507" s="60"/>
      <c r="O507" s="60">
        <f t="shared" si="99"/>
        <v>0</v>
      </c>
      <c r="P507" s="60">
        <f t="shared" si="97"/>
        <v>0</v>
      </c>
    </row>
    <row r="508" spans="1:16" s="38" customFormat="1" ht="14.45" customHeight="1" outlineLevel="1" x14ac:dyDescent="0.25">
      <c r="A508" s="140" t="s">
        <v>666</v>
      </c>
      <c r="B508" s="141" t="s">
        <v>667</v>
      </c>
      <c r="C508" s="130">
        <f>SUM(O508:O514)</f>
        <v>0</v>
      </c>
      <c r="D508" s="130">
        <f>SUM(P508:P514)</f>
        <v>0</v>
      </c>
      <c r="E508" s="130">
        <f t="shared" ref="E508:E571" si="100">D508/8</f>
        <v>0</v>
      </c>
      <c r="F508" s="130"/>
      <c r="G508" s="60" t="s">
        <v>125</v>
      </c>
      <c r="H508" s="123"/>
      <c r="I508" s="123"/>
      <c r="J508" s="60"/>
      <c r="K508" s="60"/>
      <c r="L508" s="160"/>
      <c r="M508" s="60"/>
      <c r="N508" s="60"/>
      <c r="O508" s="60">
        <f>N508*J508*K508*M508</f>
        <v>0</v>
      </c>
      <c r="P508" s="60">
        <f t="shared" si="97"/>
        <v>0</v>
      </c>
    </row>
    <row r="509" spans="1:16" s="38" customFormat="1" ht="11.45" customHeight="1" outlineLevel="1" x14ac:dyDescent="0.25">
      <c r="A509" s="124"/>
      <c r="B509" s="142"/>
      <c r="C509" s="115"/>
      <c r="D509" s="115"/>
      <c r="E509" s="115"/>
      <c r="F509" s="115"/>
      <c r="G509" s="60" t="s">
        <v>126</v>
      </c>
      <c r="H509" s="124"/>
      <c r="I509" s="124"/>
      <c r="J509" s="60"/>
      <c r="K509" s="60"/>
      <c r="L509" s="160"/>
      <c r="M509" s="60"/>
      <c r="N509" s="60"/>
      <c r="O509" s="60">
        <f t="shared" ref="O509:O514" si="101">N509*J509*K509*M509</f>
        <v>0</v>
      </c>
      <c r="P509" s="60">
        <f t="shared" si="97"/>
        <v>0</v>
      </c>
    </row>
    <row r="510" spans="1:16" s="38" customFormat="1" ht="10.7" customHeight="1" outlineLevel="1" x14ac:dyDescent="0.25">
      <c r="A510" s="124"/>
      <c r="B510" s="142"/>
      <c r="C510" s="115"/>
      <c r="D510" s="115"/>
      <c r="E510" s="115"/>
      <c r="F510" s="115"/>
      <c r="G510" s="60" t="s">
        <v>127</v>
      </c>
      <c r="H510" s="124"/>
      <c r="I510" s="124"/>
      <c r="J510" s="60"/>
      <c r="K510" s="60"/>
      <c r="L510" s="160"/>
      <c r="M510" s="60"/>
      <c r="N510" s="60"/>
      <c r="O510" s="60">
        <f t="shared" si="101"/>
        <v>0</v>
      </c>
      <c r="P510" s="60">
        <f t="shared" si="97"/>
        <v>0</v>
      </c>
    </row>
    <row r="511" spans="1:16" s="38" customFormat="1" ht="10.7" customHeight="1" outlineLevel="1" x14ac:dyDescent="0.25">
      <c r="A511" s="124"/>
      <c r="B511" s="142"/>
      <c r="C511" s="115"/>
      <c r="D511" s="115"/>
      <c r="E511" s="115"/>
      <c r="F511" s="115"/>
      <c r="G511" s="60" t="s">
        <v>128</v>
      </c>
      <c r="H511" s="124"/>
      <c r="I511" s="124"/>
      <c r="J511" s="60"/>
      <c r="K511" s="60"/>
      <c r="L511" s="160"/>
      <c r="M511" s="60"/>
      <c r="N511" s="60"/>
      <c r="O511" s="60">
        <f t="shared" si="101"/>
        <v>0</v>
      </c>
      <c r="P511" s="60">
        <f t="shared" si="97"/>
        <v>0</v>
      </c>
    </row>
    <row r="512" spans="1:16" s="38" customFormat="1" ht="10.7" customHeight="1" outlineLevel="1" x14ac:dyDescent="0.25">
      <c r="A512" s="124"/>
      <c r="B512" s="142"/>
      <c r="C512" s="115"/>
      <c r="D512" s="115"/>
      <c r="E512" s="115"/>
      <c r="F512" s="115"/>
      <c r="G512" s="60" t="s">
        <v>129</v>
      </c>
      <c r="H512" s="124"/>
      <c r="I512" s="124"/>
      <c r="J512" s="60"/>
      <c r="K512" s="60"/>
      <c r="L512" s="160"/>
      <c r="M512" s="60"/>
      <c r="N512" s="60"/>
      <c r="O512" s="60">
        <f t="shared" si="101"/>
        <v>0</v>
      </c>
      <c r="P512" s="60">
        <f t="shared" si="97"/>
        <v>0</v>
      </c>
    </row>
    <row r="513" spans="1:16" s="38" customFormat="1" ht="10.7" customHeight="1" outlineLevel="1" x14ac:dyDescent="0.25">
      <c r="A513" s="124"/>
      <c r="B513" s="142"/>
      <c r="C513" s="115"/>
      <c r="D513" s="115"/>
      <c r="E513" s="115"/>
      <c r="F513" s="115"/>
      <c r="G513" s="60" t="s">
        <v>130</v>
      </c>
      <c r="H513" s="124"/>
      <c r="I513" s="124"/>
      <c r="J513" s="60"/>
      <c r="K513" s="60"/>
      <c r="L513" s="160"/>
      <c r="M513" s="60"/>
      <c r="N513" s="60"/>
      <c r="O513" s="60">
        <f t="shared" si="101"/>
        <v>0</v>
      </c>
      <c r="P513" s="60">
        <f t="shared" si="97"/>
        <v>0</v>
      </c>
    </row>
    <row r="514" spans="1:16" s="38" customFormat="1" ht="12" customHeight="1" outlineLevel="1" thickBot="1" x14ac:dyDescent="0.3">
      <c r="A514" s="125"/>
      <c r="B514" s="143"/>
      <c r="C514" s="131"/>
      <c r="D514" s="131"/>
      <c r="E514" s="131"/>
      <c r="F514" s="131"/>
      <c r="G514" s="60" t="s">
        <v>131</v>
      </c>
      <c r="H514" s="134"/>
      <c r="I514" s="134"/>
      <c r="J514" s="60"/>
      <c r="K514" s="60"/>
      <c r="L514" s="160"/>
      <c r="M514" s="60"/>
      <c r="N514" s="60"/>
      <c r="O514" s="60">
        <f t="shared" si="101"/>
        <v>0</v>
      </c>
      <c r="P514" s="60">
        <f t="shared" si="97"/>
        <v>0</v>
      </c>
    </row>
    <row r="515" spans="1:16" s="38" customFormat="1" ht="14.45" customHeight="1" outlineLevel="1" x14ac:dyDescent="0.25">
      <c r="A515" s="140" t="s">
        <v>668</v>
      </c>
      <c r="B515" s="141" t="s">
        <v>669</v>
      </c>
      <c r="C515" s="130">
        <f>SUM(O515:O521)</f>
        <v>0</v>
      </c>
      <c r="D515" s="130">
        <f>SUM(P515:P521)</f>
        <v>0</v>
      </c>
      <c r="E515" s="130">
        <f t="shared" si="100"/>
        <v>0</v>
      </c>
      <c r="F515" s="130"/>
      <c r="G515" s="60" t="s">
        <v>125</v>
      </c>
      <c r="H515" s="123"/>
      <c r="I515" s="123"/>
      <c r="J515" s="60"/>
      <c r="K515" s="60"/>
      <c r="L515" s="160"/>
      <c r="M515" s="60"/>
      <c r="N515" s="60"/>
      <c r="O515" s="60">
        <f>N515*J515*K515*M515</f>
        <v>0</v>
      </c>
      <c r="P515" s="60">
        <f t="shared" si="97"/>
        <v>0</v>
      </c>
    </row>
    <row r="516" spans="1:16" s="38" customFormat="1" ht="11.45" customHeight="1" outlineLevel="1" x14ac:dyDescent="0.25">
      <c r="A516" s="124"/>
      <c r="B516" s="142"/>
      <c r="C516" s="115"/>
      <c r="D516" s="115"/>
      <c r="E516" s="115"/>
      <c r="F516" s="115"/>
      <c r="G516" s="60" t="s">
        <v>126</v>
      </c>
      <c r="H516" s="124"/>
      <c r="I516" s="124"/>
      <c r="J516" s="60"/>
      <c r="K516" s="60"/>
      <c r="L516" s="160"/>
      <c r="M516" s="60"/>
      <c r="N516" s="60"/>
      <c r="O516" s="60">
        <f t="shared" ref="O516:O521" si="102">N516*J516*K516*M516</f>
        <v>0</v>
      </c>
      <c r="P516" s="60">
        <f t="shared" si="97"/>
        <v>0</v>
      </c>
    </row>
    <row r="517" spans="1:16" s="38" customFormat="1" ht="10.7" customHeight="1" outlineLevel="1" x14ac:dyDescent="0.25">
      <c r="A517" s="124"/>
      <c r="B517" s="142"/>
      <c r="C517" s="115"/>
      <c r="D517" s="115"/>
      <c r="E517" s="115"/>
      <c r="F517" s="115"/>
      <c r="G517" s="60" t="s">
        <v>127</v>
      </c>
      <c r="H517" s="124"/>
      <c r="I517" s="124"/>
      <c r="J517" s="60"/>
      <c r="K517" s="60"/>
      <c r="L517" s="160"/>
      <c r="M517" s="60"/>
      <c r="N517" s="60"/>
      <c r="O517" s="60">
        <f t="shared" si="102"/>
        <v>0</v>
      </c>
      <c r="P517" s="60">
        <f t="shared" si="97"/>
        <v>0</v>
      </c>
    </row>
    <row r="518" spans="1:16" s="38" customFormat="1" ht="10.7" customHeight="1" outlineLevel="1" x14ac:dyDescent="0.25">
      <c r="A518" s="124"/>
      <c r="B518" s="142"/>
      <c r="C518" s="115"/>
      <c r="D518" s="115"/>
      <c r="E518" s="115"/>
      <c r="F518" s="115"/>
      <c r="G518" s="60" t="s">
        <v>128</v>
      </c>
      <c r="H518" s="124"/>
      <c r="I518" s="124"/>
      <c r="J518" s="60"/>
      <c r="K518" s="60"/>
      <c r="L518" s="160"/>
      <c r="M518" s="60"/>
      <c r="N518" s="60"/>
      <c r="O518" s="60">
        <f t="shared" si="102"/>
        <v>0</v>
      </c>
      <c r="P518" s="60">
        <f t="shared" si="97"/>
        <v>0</v>
      </c>
    </row>
    <row r="519" spans="1:16" s="38" customFormat="1" ht="10.7" customHeight="1" outlineLevel="1" x14ac:dyDescent="0.25">
      <c r="A519" s="124"/>
      <c r="B519" s="142"/>
      <c r="C519" s="115"/>
      <c r="D519" s="115"/>
      <c r="E519" s="115"/>
      <c r="F519" s="115"/>
      <c r="G519" s="60" t="s">
        <v>129</v>
      </c>
      <c r="H519" s="124"/>
      <c r="I519" s="124"/>
      <c r="J519" s="60"/>
      <c r="K519" s="60"/>
      <c r="L519" s="160"/>
      <c r="M519" s="60"/>
      <c r="N519" s="60"/>
      <c r="O519" s="60">
        <f t="shared" si="102"/>
        <v>0</v>
      </c>
      <c r="P519" s="60">
        <f t="shared" si="97"/>
        <v>0</v>
      </c>
    </row>
    <row r="520" spans="1:16" s="38" customFormat="1" ht="10.7" customHeight="1" outlineLevel="1" x14ac:dyDescent="0.25">
      <c r="A520" s="124"/>
      <c r="B520" s="142"/>
      <c r="C520" s="115"/>
      <c r="D520" s="115"/>
      <c r="E520" s="115"/>
      <c r="F520" s="115"/>
      <c r="G520" s="60" t="s">
        <v>130</v>
      </c>
      <c r="H520" s="124"/>
      <c r="I520" s="124"/>
      <c r="J520" s="60"/>
      <c r="K520" s="60"/>
      <c r="L520" s="160"/>
      <c r="M520" s="60"/>
      <c r="N520" s="60"/>
      <c r="O520" s="60">
        <f t="shared" si="102"/>
        <v>0</v>
      </c>
      <c r="P520" s="60">
        <f t="shared" si="97"/>
        <v>0</v>
      </c>
    </row>
    <row r="521" spans="1:16" s="38" customFormat="1" ht="12" customHeight="1" outlineLevel="1" thickBot="1" x14ac:dyDescent="0.3">
      <c r="A521" s="125"/>
      <c r="B521" s="143"/>
      <c r="C521" s="131"/>
      <c r="D521" s="131"/>
      <c r="E521" s="131"/>
      <c r="F521" s="131"/>
      <c r="G521" s="60" t="s">
        <v>131</v>
      </c>
      <c r="H521" s="134"/>
      <c r="I521" s="134"/>
      <c r="J521" s="60"/>
      <c r="K521" s="60"/>
      <c r="L521" s="160"/>
      <c r="M521" s="60"/>
      <c r="N521" s="60"/>
      <c r="O521" s="60">
        <f t="shared" si="102"/>
        <v>0</v>
      </c>
      <c r="P521" s="60">
        <f t="shared" si="97"/>
        <v>0</v>
      </c>
    </row>
    <row r="522" spans="1:16" s="38" customFormat="1" ht="14.45" customHeight="1" outlineLevel="1" x14ac:dyDescent="0.25">
      <c r="A522" s="140" t="s">
        <v>670</v>
      </c>
      <c r="B522" s="141" t="s">
        <v>671</v>
      </c>
      <c r="C522" s="130">
        <f>SUM(O522:O528)</f>
        <v>0</v>
      </c>
      <c r="D522" s="130">
        <f>SUM(P522:P528)</f>
        <v>0</v>
      </c>
      <c r="E522" s="130">
        <f t="shared" si="100"/>
        <v>0</v>
      </c>
      <c r="F522" s="130"/>
      <c r="G522" s="60" t="s">
        <v>125</v>
      </c>
      <c r="H522" s="123"/>
      <c r="I522" s="123"/>
      <c r="J522" s="60"/>
      <c r="K522" s="60"/>
      <c r="L522" s="160"/>
      <c r="M522" s="60"/>
      <c r="N522" s="60"/>
      <c r="O522" s="60">
        <f>N522*J522*K522*M522</f>
        <v>0</v>
      </c>
      <c r="P522" s="60">
        <f t="shared" si="97"/>
        <v>0</v>
      </c>
    </row>
    <row r="523" spans="1:16" s="38" customFormat="1" ht="11.45" customHeight="1" outlineLevel="1" x14ac:dyDescent="0.25">
      <c r="A523" s="124"/>
      <c r="B523" s="142"/>
      <c r="C523" s="115"/>
      <c r="D523" s="115"/>
      <c r="E523" s="115"/>
      <c r="F523" s="115"/>
      <c r="G523" s="60" t="s">
        <v>126</v>
      </c>
      <c r="H523" s="124"/>
      <c r="I523" s="124"/>
      <c r="J523" s="60"/>
      <c r="K523" s="60"/>
      <c r="L523" s="160"/>
      <c r="M523" s="60"/>
      <c r="N523" s="60"/>
      <c r="O523" s="60">
        <f t="shared" ref="O523:O528" si="103">N523*J523*K523*M523</f>
        <v>0</v>
      </c>
      <c r="P523" s="60">
        <f t="shared" si="97"/>
        <v>0</v>
      </c>
    </row>
    <row r="524" spans="1:16" s="38" customFormat="1" ht="10.7" customHeight="1" outlineLevel="1" x14ac:dyDescent="0.25">
      <c r="A524" s="124"/>
      <c r="B524" s="142"/>
      <c r="C524" s="115"/>
      <c r="D524" s="115"/>
      <c r="E524" s="115"/>
      <c r="F524" s="115"/>
      <c r="G524" s="60" t="s">
        <v>127</v>
      </c>
      <c r="H524" s="124"/>
      <c r="I524" s="124"/>
      <c r="J524" s="60"/>
      <c r="K524" s="60"/>
      <c r="L524" s="160"/>
      <c r="M524" s="60"/>
      <c r="N524" s="60"/>
      <c r="O524" s="60">
        <f t="shared" si="103"/>
        <v>0</v>
      </c>
      <c r="P524" s="60">
        <f t="shared" si="97"/>
        <v>0</v>
      </c>
    </row>
    <row r="525" spans="1:16" s="38" customFormat="1" ht="10.7" customHeight="1" outlineLevel="1" x14ac:dyDescent="0.25">
      <c r="A525" s="124"/>
      <c r="B525" s="142"/>
      <c r="C525" s="115"/>
      <c r="D525" s="115"/>
      <c r="E525" s="115"/>
      <c r="F525" s="115"/>
      <c r="G525" s="60" t="s">
        <v>128</v>
      </c>
      <c r="H525" s="124"/>
      <c r="I525" s="124"/>
      <c r="J525" s="60"/>
      <c r="K525" s="60"/>
      <c r="L525" s="160"/>
      <c r="M525" s="60"/>
      <c r="N525" s="60"/>
      <c r="O525" s="60">
        <f t="shared" si="103"/>
        <v>0</v>
      </c>
      <c r="P525" s="60">
        <f t="shared" si="97"/>
        <v>0</v>
      </c>
    </row>
    <row r="526" spans="1:16" s="38" customFormat="1" ht="10.7" customHeight="1" outlineLevel="1" x14ac:dyDescent="0.25">
      <c r="A526" s="124"/>
      <c r="B526" s="142"/>
      <c r="C526" s="115"/>
      <c r="D526" s="115"/>
      <c r="E526" s="115"/>
      <c r="F526" s="115"/>
      <c r="G526" s="60" t="s">
        <v>129</v>
      </c>
      <c r="H526" s="124"/>
      <c r="I526" s="124"/>
      <c r="J526" s="60"/>
      <c r="K526" s="60"/>
      <c r="L526" s="160"/>
      <c r="M526" s="60"/>
      <c r="N526" s="60"/>
      <c r="O526" s="60">
        <f t="shared" si="103"/>
        <v>0</v>
      </c>
      <c r="P526" s="60">
        <f t="shared" si="97"/>
        <v>0</v>
      </c>
    </row>
    <row r="527" spans="1:16" s="38" customFormat="1" ht="10.7" customHeight="1" outlineLevel="1" x14ac:dyDescent="0.25">
      <c r="A527" s="124"/>
      <c r="B527" s="142"/>
      <c r="C527" s="115"/>
      <c r="D527" s="115"/>
      <c r="E527" s="115"/>
      <c r="F527" s="115"/>
      <c r="G527" s="60" t="s">
        <v>130</v>
      </c>
      <c r="H527" s="124"/>
      <c r="I527" s="124"/>
      <c r="J527" s="60"/>
      <c r="K527" s="60"/>
      <c r="L527" s="160"/>
      <c r="M527" s="60"/>
      <c r="N527" s="60"/>
      <c r="O527" s="60">
        <f t="shared" si="103"/>
        <v>0</v>
      </c>
      <c r="P527" s="60">
        <f t="shared" si="97"/>
        <v>0</v>
      </c>
    </row>
    <row r="528" spans="1:16" s="38" customFormat="1" ht="12" customHeight="1" outlineLevel="1" thickBot="1" x14ac:dyDescent="0.3">
      <c r="A528" s="125"/>
      <c r="B528" s="143"/>
      <c r="C528" s="131"/>
      <c r="D528" s="131"/>
      <c r="E528" s="131"/>
      <c r="F528" s="131"/>
      <c r="G528" s="60" t="s">
        <v>131</v>
      </c>
      <c r="H528" s="134"/>
      <c r="I528" s="134"/>
      <c r="J528" s="60"/>
      <c r="K528" s="60"/>
      <c r="L528" s="160"/>
      <c r="M528" s="60"/>
      <c r="N528" s="60"/>
      <c r="O528" s="60">
        <f t="shared" si="103"/>
        <v>0</v>
      </c>
      <c r="P528" s="60">
        <f t="shared" si="97"/>
        <v>0</v>
      </c>
    </row>
    <row r="529" spans="1:16" s="38" customFormat="1" ht="14.45" customHeight="1" outlineLevel="1" x14ac:dyDescent="0.25">
      <c r="A529" s="140" t="s">
        <v>672</v>
      </c>
      <c r="B529" s="141" t="s">
        <v>673</v>
      </c>
      <c r="C529" s="130">
        <f>SUM(O529:O535)</f>
        <v>0</v>
      </c>
      <c r="D529" s="130">
        <f>SUM(P529:P535)</f>
        <v>0</v>
      </c>
      <c r="E529" s="130">
        <f t="shared" si="100"/>
        <v>0</v>
      </c>
      <c r="F529" s="130"/>
      <c r="G529" s="60" t="s">
        <v>125</v>
      </c>
      <c r="H529" s="123"/>
      <c r="I529" s="123"/>
      <c r="J529" s="60"/>
      <c r="K529" s="60"/>
      <c r="L529" s="160"/>
      <c r="M529" s="60"/>
      <c r="N529" s="60"/>
      <c r="O529" s="60">
        <f>N529*J529*K529*M529</f>
        <v>0</v>
      </c>
      <c r="P529" s="60">
        <f t="shared" si="97"/>
        <v>0</v>
      </c>
    </row>
    <row r="530" spans="1:16" s="38" customFormat="1" ht="11.45" customHeight="1" outlineLevel="1" x14ac:dyDescent="0.25">
      <c r="A530" s="124"/>
      <c r="B530" s="142"/>
      <c r="C530" s="115"/>
      <c r="D530" s="115"/>
      <c r="E530" s="115"/>
      <c r="F530" s="115"/>
      <c r="G530" s="60" t="s">
        <v>126</v>
      </c>
      <c r="H530" s="124"/>
      <c r="I530" s="124"/>
      <c r="J530" s="60"/>
      <c r="K530" s="60"/>
      <c r="L530" s="160"/>
      <c r="M530" s="60"/>
      <c r="N530" s="60"/>
      <c r="O530" s="60">
        <f t="shared" ref="O530:O535" si="104">N530*J530*K530*M530</f>
        <v>0</v>
      </c>
      <c r="P530" s="60">
        <f t="shared" si="97"/>
        <v>0</v>
      </c>
    </row>
    <row r="531" spans="1:16" s="38" customFormat="1" ht="10.7" customHeight="1" outlineLevel="1" x14ac:dyDescent="0.25">
      <c r="A531" s="124"/>
      <c r="B531" s="142"/>
      <c r="C531" s="115"/>
      <c r="D531" s="115"/>
      <c r="E531" s="115"/>
      <c r="F531" s="115"/>
      <c r="G531" s="60" t="s">
        <v>127</v>
      </c>
      <c r="H531" s="124"/>
      <c r="I531" s="124"/>
      <c r="J531" s="60"/>
      <c r="K531" s="60"/>
      <c r="L531" s="160"/>
      <c r="M531" s="60"/>
      <c r="N531" s="60"/>
      <c r="O531" s="60">
        <f t="shared" si="104"/>
        <v>0</v>
      </c>
      <c r="P531" s="60">
        <f t="shared" si="97"/>
        <v>0</v>
      </c>
    </row>
    <row r="532" spans="1:16" s="38" customFormat="1" ht="10.7" customHeight="1" outlineLevel="1" x14ac:dyDescent="0.25">
      <c r="A532" s="124"/>
      <c r="B532" s="142"/>
      <c r="C532" s="115"/>
      <c r="D532" s="115"/>
      <c r="E532" s="115"/>
      <c r="F532" s="115"/>
      <c r="G532" s="60" t="s">
        <v>128</v>
      </c>
      <c r="H532" s="124"/>
      <c r="I532" s="124"/>
      <c r="J532" s="60"/>
      <c r="K532" s="60"/>
      <c r="L532" s="160"/>
      <c r="M532" s="60"/>
      <c r="N532" s="60"/>
      <c r="O532" s="60">
        <f t="shared" si="104"/>
        <v>0</v>
      </c>
      <c r="P532" s="60">
        <f t="shared" si="97"/>
        <v>0</v>
      </c>
    </row>
    <row r="533" spans="1:16" s="38" customFormat="1" ht="10.7" customHeight="1" outlineLevel="1" x14ac:dyDescent="0.25">
      <c r="A533" s="124"/>
      <c r="B533" s="142"/>
      <c r="C533" s="115"/>
      <c r="D533" s="115"/>
      <c r="E533" s="115"/>
      <c r="F533" s="115"/>
      <c r="G533" s="60" t="s">
        <v>129</v>
      </c>
      <c r="H533" s="124"/>
      <c r="I533" s="124"/>
      <c r="J533" s="60"/>
      <c r="K533" s="60"/>
      <c r="L533" s="160"/>
      <c r="M533" s="60"/>
      <c r="N533" s="60"/>
      <c r="O533" s="60">
        <f t="shared" si="104"/>
        <v>0</v>
      </c>
      <c r="P533" s="60">
        <f t="shared" si="97"/>
        <v>0</v>
      </c>
    </row>
    <row r="534" spans="1:16" s="38" customFormat="1" ht="10.7" customHeight="1" outlineLevel="1" x14ac:dyDescent="0.25">
      <c r="A534" s="124"/>
      <c r="B534" s="142"/>
      <c r="C534" s="115"/>
      <c r="D534" s="115"/>
      <c r="E534" s="115"/>
      <c r="F534" s="115"/>
      <c r="G534" s="60" t="s">
        <v>130</v>
      </c>
      <c r="H534" s="124"/>
      <c r="I534" s="124"/>
      <c r="J534" s="60"/>
      <c r="K534" s="60"/>
      <c r="L534" s="160"/>
      <c r="M534" s="60"/>
      <c r="N534" s="60"/>
      <c r="O534" s="60">
        <f t="shared" si="104"/>
        <v>0</v>
      </c>
      <c r="P534" s="60">
        <f t="shared" si="97"/>
        <v>0</v>
      </c>
    </row>
    <row r="535" spans="1:16" s="38" customFormat="1" ht="12" customHeight="1" outlineLevel="1" thickBot="1" x14ac:dyDescent="0.3">
      <c r="A535" s="125"/>
      <c r="B535" s="143"/>
      <c r="C535" s="131"/>
      <c r="D535" s="131"/>
      <c r="E535" s="131"/>
      <c r="F535" s="131"/>
      <c r="G535" s="60" t="s">
        <v>131</v>
      </c>
      <c r="H535" s="134"/>
      <c r="I535" s="134"/>
      <c r="J535" s="60"/>
      <c r="K535" s="60"/>
      <c r="L535" s="160"/>
      <c r="M535" s="60"/>
      <c r="N535" s="60"/>
      <c r="O535" s="60">
        <f t="shared" si="104"/>
        <v>0</v>
      </c>
      <c r="P535" s="60">
        <f t="shared" si="97"/>
        <v>0</v>
      </c>
    </row>
    <row r="536" spans="1:16" s="38" customFormat="1" ht="14.45" customHeight="1" outlineLevel="1" x14ac:dyDescent="0.25">
      <c r="A536" s="140" t="s">
        <v>674</v>
      </c>
      <c r="B536" s="141" t="s">
        <v>675</v>
      </c>
      <c r="C536" s="130">
        <f>SUM(O536:O542)</f>
        <v>0</v>
      </c>
      <c r="D536" s="130">
        <f>SUM(P536:P542)</f>
        <v>0</v>
      </c>
      <c r="E536" s="130">
        <f t="shared" si="100"/>
        <v>0</v>
      </c>
      <c r="F536" s="130"/>
      <c r="G536" s="60" t="s">
        <v>125</v>
      </c>
      <c r="H536" s="123"/>
      <c r="I536" s="123"/>
      <c r="J536" s="60"/>
      <c r="K536" s="60"/>
      <c r="L536" s="160"/>
      <c r="M536" s="60"/>
      <c r="N536" s="60"/>
      <c r="O536" s="60">
        <f>N536*J536*K536*M536</f>
        <v>0</v>
      </c>
      <c r="P536" s="60">
        <f t="shared" si="97"/>
        <v>0</v>
      </c>
    </row>
    <row r="537" spans="1:16" s="38" customFormat="1" ht="11.45" customHeight="1" outlineLevel="1" x14ac:dyDescent="0.25">
      <c r="A537" s="124"/>
      <c r="B537" s="142"/>
      <c r="C537" s="115"/>
      <c r="D537" s="115"/>
      <c r="E537" s="115"/>
      <c r="F537" s="115"/>
      <c r="G537" s="60" t="s">
        <v>126</v>
      </c>
      <c r="H537" s="124"/>
      <c r="I537" s="124"/>
      <c r="J537" s="60"/>
      <c r="K537" s="60"/>
      <c r="L537" s="160"/>
      <c r="M537" s="60"/>
      <c r="N537" s="60"/>
      <c r="O537" s="60">
        <f t="shared" ref="O537:O542" si="105">N537*J537*K537*M537</f>
        <v>0</v>
      </c>
      <c r="P537" s="60">
        <f t="shared" si="97"/>
        <v>0</v>
      </c>
    </row>
    <row r="538" spans="1:16" s="38" customFormat="1" ht="10.7" customHeight="1" outlineLevel="1" x14ac:dyDescent="0.25">
      <c r="A538" s="124"/>
      <c r="B538" s="142"/>
      <c r="C538" s="115"/>
      <c r="D538" s="115"/>
      <c r="E538" s="115"/>
      <c r="F538" s="115"/>
      <c r="G538" s="60" t="s">
        <v>127</v>
      </c>
      <c r="H538" s="124"/>
      <c r="I538" s="124"/>
      <c r="J538" s="60"/>
      <c r="K538" s="60"/>
      <c r="L538" s="160"/>
      <c r="M538" s="60"/>
      <c r="N538" s="60"/>
      <c r="O538" s="60">
        <f t="shared" si="105"/>
        <v>0</v>
      </c>
      <c r="P538" s="60">
        <f t="shared" si="97"/>
        <v>0</v>
      </c>
    </row>
    <row r="539" spans="1:16" s="38" customFormat="1" ht="10.7" customHeight="1" outlineLevel="1" x14ac:dyDescent="0.25">
      <c r="A539" s="124"/>
      <c r="B539" s="142"/>
      <c r="C539" s="115"/>
      <c r="D539" s="115"/>
      <c r="E539" s="115"/>
      <c r="F539" s="115"/>
      <c r="G539" s="60" t="s">
        <v>128</v>
      </c>
      <c r="H539" s="124"/>
      <c r="I539" s="124"/>
      <c r="J539" s="60"/>
      <c r="K539" s="60"/>
      <c r="L539" s="160"/>
      <c r="M539" s="60"/>
      <c r="N539" s="60"/>
      <c r="O539" s="60">
        <f t="shared" si="105"/>
        <v>0</v>
      </c>
      <c r="P539" s="60">
        <f t="shared" si="97"/>
        <v>0</v>
      </c>
    </row>
    <row r="540" spans="1:16" s="38" customFormat="1" ht="10.7" customHeight="1" outlineLevel="1" x14ac:dyDescent="0.25">
      <c r="A540" s="124"/>
      <c r="B540" s="142"/>
      <c r="C540" s="115"/>
      <c r="D540" s="115"/>
      <c r="E540" s="115"/>
      <c r="F540" s="115"/>
      <c r="G540" s="60" t="s">
        <v>129</v>
      </c>
      <c r="H540" s="124"/>
      <c r="I540" s="124"/>
      <c r="J540" s="60"/>
      <c r="K540" s="60"/>
      <c r="L540" s="160"/>
      <c r="M540" s="60"/>
      <c r="N540" s="60"/>
      <c r="O540" s="60">
        <f t="shared" si="105"/>
        <v>0</v>
      </c>
      <c r="P540" s="60">
        <f t="shared" si="97"/>
        <v>0</v>
      </c>
    </row>
    <row r="541" spans="1:16" s="38" customFormat="1" ht="10.7" customHeight="1" outlineLevel="1" x14ac:dyDescent="0.25">
      <c r="A541" s="124"/>
      <c r="B541" s="142"/>
      <c r="C541" s="115"/>
      <c r="D541" s="115"/>
      <c r="E541" s="115"/>
      <c r="F541" s="115"/>
      <c r="G541" s="60" t="s">
        <v>130</v>
      </c>
      <c r="H541" s="124"/>
      <c r="I541" s="124"/>
      <c r="J541" s="60"/>
      <c r="K541" s="60"/>
      <c r="L541" s="160"/>
      <c r="M541" s="60"/>
      <c r="N541" s="60"/>
      <c r="O541" s="60">
        <f t="shared" si="105"/>
        <v>0</v>
      </c>
      <c r="P541" s="60">
        <f t="shared" si="97"/>
        <v>0</v>
      </c>
    </row>
    <row r="542" spans="1:16" s="38" customFormat="1" ht="12" customHeight="1" outlineLevel="1" thickBot="1" x14ac:dyDescent="0.3">
      <c r="A542" s="125"/>
      <c r="B542" s="143"/>
      <c r="C542" s="131"/>
      <c r="D542" s="131"/>
      <c r="E542" s="131"/>
      <c r="F542" s="131"/>
      <c r="G542" s="60" t="s">
        <v>131</v>
      </c>
      <c r="H542" s="134"/>
      <c r="I542" s="134"/>
      <c r="J542" s="60"/>
      <c r="K542" s="60"/>
      <c r="L542" s="160"/>
      <c r="M542" s="60"/>
      <c r="N542" s="60"/>
      <c r="O542" s="60">
        <f t="shared" si="105"/>
        <v>0</v>
      </c>
      <c r="P542" s="60">
        <f t="shared" si="97"/>
        <v>0</v>
      </c>
    </row>
    <row r="543" spans="1:16" s="38" customFormat="1" ht="14.45" customHeight="1" outlineLevel="1" x14ac:dyDescent="0.25">
      <c r="A543" s="140" t="s">
        <v>676</v>
      </c>
      <c r="B543" s="141" t="s">
        <v>677</v>
      </c>
      <c r="C543" s="130">
        <f>SUM(O543:O549)</f>
        <v>0</v>
      </c>
      <c r="D543" s="130">
        <f>SUM(P543:P549)</f>
        <v>0</v>
      </c>
      <c r="E543" s="130">
        <f t="shared" si="100"/>
        <v>0</v>
      </c>
      <c r="F543" s="130"/>
      <c r="G543" s="60" t="s">
        <v>125</v>
      </c>
      <c r="H543" s="123"/>
      <c r="I543" s="123"/>
      <c r="J543" s="60"/>
      <c r="K543" s="60"/>
      <c r="L543" s="160"/>
      <c r="M543" s="60"/>
      <c r="N543" s="60"/>
      <c r="O543" s="60">
        <f>N543*J543*K543*M543</f>
        <v>0</v>
      </c>
      <c r="P543" s="60">
        <f t="shared" si="97"/>
        <v>0</v>
      </c>
    </row>
    <row r="544" spans="1:16" s="38" customFormat="1" ht="11.45" customHeight="1" outlineLevel="1" x14ac:dyDescent="0.25">
      <c r="A544" s="124"/>
      <c r="B544" s="142"/>
      <c r="C544" s="115"/>
      <c r="D544" s="115"/>
      <c r="E544" s="115"/>
      <c r="F544" s="115"/>
      <c r="G544" s="60" t="s">
        <v>126</v>
      </c>
      <c r="H544" s="124"/>
      <c r="I544" s="124"/>
      <c r="J544" s="60"/>
      <c r="K544" s="60"/>
      <c r="L544" s="160"/>
      <c r="M544" s="60"/>
      <c r="N544" s="60"/>
      <c r="O544" s="60">
        <f t="shared" ref="O544:O549" si="106">N544*J544*K544*M544</f>
        <v>0</v>
      </c>
      <c r="P544" s="60">
        <f t="shared" si="97"/>
        <v>0</v>
      </c>
    </row>
    <row r="545" spans="1:16" s="38" customFormat="1" ht="10.7" customHeight="1" outlineLevel="1" x14ac:dyDescent="0.25">
      <c r="A545" s="124"/>
      <c r="B545" s="142"/>
      <c r="C545" s="115"/>
      <c r="D545" s="115"/>
      <c r="E545" s="115"/>
      <c r="F545" s="115"/>
      <c r="G545" s="60" t="s">
        <v>127</v>
      </c>
      <c r="H545" s="124"/>
      <c r="I545" s="124"/>
      <c r="J545" s="60"/>
      <c r="K545" s="60"/>
      <c r="L545" s="160"/>
      <c r="M545" s="60"/>
      <c r="N545" s="60"/>
      <c r="O545" s="60">
        <f t="shared" si="106"/>
        <v>0</v>
      </c>
      <c r="P545" s="60">
        <f t="shared" si="97"/>
        <v>0</v>
      </c>
    </row>
    <row r="546" spans="1:16" s="38" customFormat="1" ht="10.7" customHeight="1" outlineLevel="1" x14ac:dyDescent="0.25">
      <c r="A546" s="124"/>
      <c r="B546" s="142"/>
      <c r="C546" s="115"/>
      <c r="D546" s="115"/>
      <c r="E546" s="115"/>
      <c r="F546" s="115"/>
      <c r="G546" s="60" t="s">
        <v>128</v>
      </c>
      <c r="H546" s="124"/>
      <c r="I546" s="124"/>
      <c r="J546" s="60"/>
      <c r="K546" s="60"/>
      <c r="L546" s="160"/>
      <c r="M546" s="60"/>
      <c r="N546" s="60"/>
      <c r="O546" s="60">
        <f t="shared" si="106"/>
        <v>0</v>
      </c>
      <c r="P546" s="60">
        <f t="shared" si="97"/>
        <v>0</v>
      </c>
    </row>
    <row r="547" spans="1:16" s="38" customFormat="1" ht="10.7" customHeight="1" outlineLevel="1" x14ac:dyDescent="0.25">
      <c r="A547" s="124"/>
      <c r="B547" s="142"/>
      <c r="C547" s="115"/>
      <c r="D547" s="115"/>
      <c r="E547" s="115"/>
      <c r="F547" s="115"/>
      <c r="G547" s="60" t="s">
        <v>129</v>
      </c>
      <c r="H547" s="124"/>
      <c r="I547" s="124"/>
      <c r="J547" s="60"/>
      <c r="K547" s="60"/>
      <c r="L547" s="160"/>
      <c r="M547" s="60"/>
      <c r="N547" s="60"/>
      <c r="O547" s="60">
        <f t="shared" si="106"/>
        <v>0</v>
      </c>
      <c r="P547" s="60">
        <f t="shared" si="97"/>
        <v>0</v>
      </c>
    </row>
    <row r="548" spans="1:16" s="38" customFormat="1" ht="10.7" customHeight="1" outlineLevel="1" x14ac:dyDescent="0.25">
      <c r="A548" s="124"/>
      <c r="B548" s="142"/>
      <c r="C548" s="115"/>
      <c r="D548" s="115"/>
      <c r="E548" s="115"/>
      <c r="F548" s="115"/>
      <c r="G548" s="60" t="s">
        <v>130</v>
      </c>
      <c r="H548" s="124"/>
      <c r="I548" s="124"/>
      <c r="J548" s="60"/>
      <c r="K548" s="60"/>
      <c r="L548" s="160"/>
      <c r="M548" s="60"/>
      <c r="N548" s="60"/>
      <c r="O548" s="60">
        <f t="shared" si="106"/>
        <v>0</v>
      </c>
      <c r="P548" s="60">
        <f t="shared" si="97"/>
        <v>0</v>
      </c>
    </row>
    <row r="549" spans="1:16" s="38" customFormat="1" ht="12" customHeight="1" outlineLevel="1" thickBot="1" x14ac:dyDescent="0.3">
      <c r="A549" s="125"/>
      <c r="B549" s="143"/>
      <c r="C549" s="131"/>
      <c r="D549" s="131"/>
      <c r="E549" s="131"/>
      <c r="F549" s="131"/>
      <c r="G549" s="60" t="s">
        <v>131</v>
      </c>
      <c r="H549" s="134"/>
      <c r="I549" s="134"/>
      <c r="J549" s="60"/>
      <c r="K549" s="60"/>
      <c r="L549" s="160"/>
      <c r="M549" s="60"/>
      <c r="N549" s="60"/>
      <c r="O549" s="60">
        <f t="shared" si="106"/>
        <v>0</v>
      </c>
      <c r="P549" s="60">
        <f t="shared" si="97"/>
        <v>0</v>
      </c>
    </row>
    <row r="550" spans="1:16" s="38" customFormat="1" ht="14.45" customHeight="1" outlineLevel="1" x14ac:dyDescent="0.25">
      <c r="A550" s="140" t="s">
        <v>678</v>
      </c>
      <c r="B550" s="141" t="s">
        <v>679</v>
      </c>
      <c r="C550" s="130">
        <f>SUM(O550:O556)</f>
        <v>0</v>
      </c>
      <c r="D550" s="130">
        <f>SUM(P550:P556)</f>
        <v>0</v>
      </c>
      <c r="E550" s="130">
        <f t="shared" si="100"/>
        <v>0</v>
      </c>
      <c r="F550" s="130"/>
      <c r="G550" s="60" t="s">
        <v>125</v>
      </c>
      <c r="H550" s="123"/>
      <c r="I550" s="123"/>
      <c r="J550" s="60"/>
      <c r="K550" s="60"/>
      <c r="L550" s="160"/>
      <c r="M550" s="60"/>
      <c r="N550" s="60"/>
      <c r="O550" s="60">
        <f>N550*J550*K550*M550</f>
        <v>0</v>
      </c>
      <c r="P550" s="60">
        <f t="shared" si="97"/>
        <v>0</v>
      </c>
    </row>
    <row r="551" spans="1:16" s="38" customFormat="1" ht="11.45" customHeight="1" outlineLevel="1" x14ac:dyDescent="0.25">
      <c r="A551" s="124"/>
      <c r="B551" s="142"/>
      <c r="C551" s="115"/>
      <c r="D551" s="115"/>
      <c r="E551" s="115"/>
      <c r="F551" s="115"/>
      <c r="G551" s="60" t="s">
        <v>126</v>
      </c>
      <c r="H551" s="124"/>
      <c r="I551" s="124"/>
      <c r="J551" s="60"/>
      <c r="K551" s="60"/>
      <c r="L551" s="160"/>
      <c r="M551" s="60"/>
      <c r="N551" s="60"/>
      <c r="O551" s="60">
        <f t="shared" ref="O551:O556" si="107">N551*J551*K551*M551</f>
        <v>0</v>
      </c>
      <c r="P551" s="60">
        <f t="shared" si="97"/>
        <v>0</v>
      </c>
    </row>
    <row r="552" spans="1:16" s="38" customFormat="1" ht="10.7" customHeight="1" outlineLevel="1" x14ac:dyDescent="0.25">
      <c r="A552" s="124"/>
      <c r="B552" s="142"/>
      <c r="C552" s="115"/>
      <c r="D552" s="115"/>
      <c r="E552" s="115"/>
      <c r="F552" s="115"/>
      <c r="G552" s="60" t="s">
        <v>127</v>
      </c>
      <c r="H552" s="124"/>
      <c r="I552" s="124"/>
      <c r="J552" s="60"/>
      <c r="K552" s="60"/>
      <c r="L552" s="160"/>
      <c r="M552" s="60"/>
      <c r="N552" s="60"/>
      <c r="O552" s="60">
        <f t="shared" si="107"/>
        <v>0</v>
      </c>
      <c r="P552" s="60">
        <f t="shared" si="97"/>
        <v>0</v>
      </c>
    </row>
    <row r="553" spans="1:16" s="38" customFormat="1" ht="10.7" customHeight="1" outlineLevel="1" x14ac:dyDescent="0.25">
      <c r="A553" s="124"/>
      <c r="B553" s="142"/>
      <c r="C553" s="115"/>
      <c r="D553" s="115"/>
      <c r="E553" s="115"/>
      <c r="F553" s="115"/>
      <c r="G553" s="60" t="s">
        <v>128</v>
      </c>
      <c r="H553" s="124"/>
      <c r="I553" s="124"/>
      <c r="J553" s="60"/>
      <c r="K553" s="60"/>
      <c r="L553" s="160"/>
      <c r="M553" s="60"/>
      <c r="N553" s="60"/>
      <c r="O553" s="60">
        <f t="shared" si="107"/>
        <v>0</v>
      </c>
      <c r="P553" s="60">
        <f t="shared" si="97"/>
        <v>0</v>
      </c>
    </row>
    <row r="554" spans="1:16" s="38" customFormat="1" ht="10.7" customHeight="1" outlineLevel="1" x14ac:dyDescent="0.25">
      <c r="A554" s="124"/>
      <c r="B554" s="142"/>
      <c r="C554" s="115"/>
      <c r="D554" s="115"/>
      <c r="E554" s="115"/>
      <c r="F554" s="115"/>
      <c r="G554" s="60" t="s">
        <v>129</v>
      </c>
      <c r="H554" s="124"/>
      <c r="I554" s="124"/>
      <c r="J554" s="60"/>
      <c r="K554" s="60"/>
      <c r="L554" s="160"/>
      <c r="M554" s="60"/>
      <c r="N554" s="60"/>
      <c r="O554" s="60">
        <f t="shared" si="107"/>
        <v>0</v>
      </c>
      <c r="P554" s="60">
        <f t="shared" si="97"/>
        <v>0</v>
      </c>
    </row>
    <row r="555" spans="1:16" s="38" customFormat="1" ht="10.7" customHeight="1" outlineLevel="1" x14ac:dyDescent="0.25">
      <c r="A555" s="124"/>
      <c r="B555" s="142"/>
      <c r="C555" s="115"/>
      <c r="D555" s="115"/>
      <c r="E555" s="115"/>
      <c r="F555" s="115"/>
      <c r="G555" s="60" t="s">
        <v>130</v>
      </c>
      <c r="H555" s="124"/>
      <c r="I555" s="124"/>
      <c r="J555" s="60"/>
      <c r="K555" s="60"/>
      <c r="L555" s="160"/>
      <c r="M555" s="60"/>
      <c r="N555" s="60"/>
      <c r="O555" s="60">
        <f t="shared" si="107"/>
        <v>0</v>
      </c>
      <c r="P555" s="60">
        <f t="shared" ref="P555:P618" si="108">J555*K555*M555</f>
        <v>0</v>
      </c>
    </row>
    <row r="556" spans="1:16" s="38" customFormat="1" ht="12" customHeight="1" outlineLevel="1" thickBot="1" x14ac:dyDescent="0.3">
      <c r="A556" s="125"/>
      <c r="B556" s="143"/>
      <c r="C556" s="131"/>
      <c r="D556" s="131"/>
      <c r="E556" s="131"/>
      <c r="F556" s="131"/>
      <c r="G556" s="60" t="s">
        <v>131</v>
      </c>
      <c r="H556" s="134"/>
      <c r="I556" s="134"/>
      <c r="J556" s="60"/>
      <c r="K556" s="60"/>
      <c r="L556" s="160"/>
      <c r="M556" s="60"/>
      <c r="N556" s="60"/>
      <c r="O556" s="60">
        <f t="shared" si="107"/>
        <v>0</v>
      </c>
      <c r="P556" s="60">
        <f t="shared" si="108"/>
        <v>0</v>
      </c>
    </row>
    <row r="557" spans="1:16" s="38" customFormat="1" ht="14.45" customHeight="1" outlineLevel="1" x14ac:dyDescent="0.25">
      <c r="A557" s="140" t="s">
        <v>680</v>
      </c>
      <c r="B557" s="141" t="s">
        <v>681</v>
      </c>
      <c r="C557" s="130">
        <f>SUM(O557:O563)</f>
        <v>0</v>
      </c>
      <c r="D557" s="130">
        <f>SUM(P557:P563)</f>
        <v>0</v>
      </c>
      <c r="E557" s="130">
        <f t="shared" si="100"/>
        <v>0</v>
      </c>
      <c r="F557" s="130"/>
      <c r="G557" s="60" t="s">
        <v>125</v>
      </c>
      <c r="H557" s="123"/>
      <c r="I557" s="123"/>
      <c r="J557" s="60"/>
      <c r="K557" s="60"/>
      <c r="L557" s="160"/>
      <c r="M557" s="60"/>
      <c r="N557" s="60"/>
      <c r="O557" s="60">
        <f>N557*J557*K557*M557</f>
        <v>0</v>
      </c>
      <c r="P557" s="60">
        <f t="shared" si="108"/>
        <v>0</v>
      </c>
    </row>
    <row r="558" spans="1:16" s="38" customFormat="1" ht="11.45" customHeight="1" outlineLevel="1" x14ac:dyDescent="0.25">
      <c r="A558" s="124"/>
      <c r="B558" s="142"/>
      <c r="C558" s="115"/>
      <c r="D558" s="115"/>
      <c r="E558" s="115"/>
      <c r="F558" s="115"/>
      <c r="G558" s="60" t="s">
        <v>126</v>
      </c>
      <c r="H558" s="124"/>
      <c r="I558" s="124"/>
      <c r="J558" s="60"/>
      <c r="K558" s="60"/>
      <c r="L558" s="160"/>
      <c r="M558" s="60"/>
      <c r="N558" s="60"/>
      <c r="O558" s="60">
        <f t="shared" ref="O558:O563" si="109">N558*J558*K558*M558</f>
        <v>0</v>
      </c>
      <c r="P558" s="60">
        <f t="shared" si="108"/>
        <v>0</v>
      </c>
    </row>
    <row r="559" spans="1:16" s="38" customFormat="1" ht="10.7" customHeight="1" outlineLevel="1" x14ac:dyDescent="0.25">
      <c r="A559" s="124"/>
      <c r="B559" s="142"/>
      <c r="C559" s="115"/>
      <c r="D559" s="115"/>
      <c r="E559" s="115"/>
      <c r="F559" s="115"/>
      <c r="G559" s="60" t="s">
        <v>127</v>
      </c>
      <c r="H559" s="124"/>
      <c r="I559" s="124"/>
      <c r="J559" s="60"/>
      <c r="K559" s="60"/>
      <c r="L559" s="160"/>
      <c r="M559" s="60"/>
      <c r="N559" s="60"/>
      <c r="O559" s="60">
        <f t="shared" si="109"/>
        <v>0</v>
      </c>
      <c r="P559" s="60">
        <f t="shared" si="108"/>
        <v>0</v>
      </c>
    </row>
    <row r="560" spans="1:16" s="38" customFormat="1" ht="10.7" customHeight="1" outlineLevel="1" x14ac:dyDescent="0.25">
      <c r="A560" s="124"/>
      <c r="B560" s="142"/>
      <c r="C560" s="115"/>
      <c r="D560" s="115"/>
      <c r="E560" s="115"/>
      <c r="F560" s="115"/>
      <c r="G560" s="60" t="s">
        <v>128</v>
      </c>
      <c r="H560" s="124"/>
      <c r="I560" s="124"/>
      <c r="J560" s="60"/>
      <c r="K560" s="60"/>
      <c r="L560" s="160"/>
      <c r="M560" s="60"/>
      <c r="N560" s="60"/>
      <c r="O560" s="60">
        <f t="shared" si="109"/>
        <v>0</v>
      </c>
      <c r="P560" s="60">
        <f t="shared" si="108"/>
        <v>0</v>
      </c>
    </row>
    <row r="561" spans="1:16" s="38" customFormat="1" ht="10.7" customHeight="1" outlineLevel="1" x14ac:dyDescent="0.25">
      <c r="A561" s="124"/>
      <c r="B561" s="142"/>
      <c r="C561" s="115"/>
      <c r="D561" s="115"/>
      <c r="E561" s="115"/>
      <c r="F561" s="115"/>
      <c r="G561" s="60" t="s">
        <v>129</v>
      </c>
      <c r="H561" s="124"/>
      <c r="I561" s="124"/>
      <c r="J561" s="60"/>
      <c r="K561" s="60"/>
      <c r="L561" s="160"/>
      <c r="M561" s="60"/>
      <c r="N561" s="60"/>
      <c r="O561" s="60">
        <f t="shared" si="109"/>
        <v>0</v>
      </c>
      <c r="P561" s="60">
        <f t="shared" si="108"/>
        <v>0</v>
      </c>
    </row>
    <row r="562" spans="1:16" s="38" customFormat="1" ht="10.7" customHeight="1" outlineLevel="1" x14ac:dyDescent="0.25">
      <c r="A562" s="124"/>
      <c r="B562" s="142"/>
      <c r="C562" s="115"/>
      <c r="D562" s="115"/>
      <c r="E562" s="115"/>
      <c r="F562" s="115"/>
      <c r="G562" s="60" t="s">
        <v>130</v>
      </c>
      <c r="H562" s="124"/>
      <c r="I562" s="124"/>
      <c r="J562" s="60"/>
      <c r="K562" s="60"/>
      <c r="L562" s="160"/>
      <c r="M562" s="60"/>
      <c r="N562" s="60"/>
      <c r="O562" s="60">
        <f t="shared" si="109"/>
        <v>0</v>
      </c>
      <c r="P562" s="60">
        <f t="shared" si="108"/>
        <v>0</v>
      </c>
    </row>
    <row r="563" spans="1:16" s="38" customFormat="1" ht="12" customHeight="1" outlineLevel="1" thickBot="1" x14ac:dyDescent="0.3">
      <c r="A563" s="125"/>
      <c r="B563" s="143"/>
      <c r="C563" s="131"/>
      <c r="D563" s="131"/>
      <c r="E563" s="131"/>
      <c r="F563" s="131"/>
      <c r="G563" s="60" t="s">
        <v>131</v>
      </c>
      <c r="H563" s="134"/>
      <c r="I563" s="134"/>
      <c r="J563" s="60"/>
      <c r="K563" s="60"/>
      <c r="L563" s="160"/>
      <c r="M563" s="60"/>
      <c r="N563" s="60"/>
      <c r="O563" s="60">
        <f t="shared" si="109"/>
        <v>0</v>
      </c>
      <c r="P563" s="60">
        <f t="shared" si="108"/>
        <v>0</v>
      </c>
    </row>
    <row r="564" spans="1:16" s="38" customFormat="1" ht="14.45" customHeight="1" outlineLevel="1" x14ac:dyDescent="0.25">
      <c r="A564" s="140" t="s">
        <v>682</v>
      </c>
      <c r="B564" s="141" t="s">
        <v>683</v>
      </c>
      <c r="C564" s="130">
        <f>SUM(O564:O570)</f>
        <v>0</v>
      </c>
      <c r="D564" s="130">
        <f>SUM(P564:P570)</f>
        <v>0</v>
      </c>
      <c r="E564" s="130">
        <f t="shared" si="100"/>
        <v>0</v>
      </c>
      <c r="F564" s="130"/>
      <c r="G564" s="60" t="s">
        <v>125</v>
      </c>
      <c r="H564" s="123"/>
      <c r="I564" s="123"/>
      <c r="J564" s="60"/>
      <c r="K564" s="60"/>
      <c r="L564" s="160"/>
      <c r="M564" s="60"/>
      <c r="N564" s="60"/>
      <c r="O564" s="60">
        <f>N564*J564*K564*M564</f>
        <v>0</v>
      </c>
      <c r="P564" s="60">
        <f t="shared" si="108"/>
        <v>0</v>
      </c>
    </row>
    <row r="565" spans="1:16" s="38" customFormat="1" ht="11.45" customHeight="1" outlineLevel="1" x14ac:dyDescent="0.25">
      <c r="A565" s="124"/>
      <c r="B565" s="142"/>
      <c r="C565" s="115"/>
      <c r="D565" s="115"/>
      <c r="E565" s="115"/>
      <c r="F565" s="115"/>
      <c r="G565" s="60" t="s">
        <v>126</v>
      </c>
      <c r="H565" s="124"/>
      <c r="I565" s="124"/>
      <c r="J565" s="60"/>
      <c r="K565" s="60"/>
      <c r="L565" s="160"/>
      <c r="M565" s="60"/>
      <c r="N565" s="60"/>
      <c r="O565" s="60">
        <f t="shared" ref="O565:O570" si="110">N565*J565*K565*M565</f>
        <v>0</v>
      </c>
      <c r="P565" s="60">
        <f t="shared" si="108"/>
        <v>0</v>
      </c>
    </row>
    <row r="566" spans="1:16" s="38" customFormat="1" ht="10.7" customHeight="1" outlineLevel="1" x14ac:dyDescent="0.25">
      <c r="A566" s="124"/>
      <c r="B566" s="142"/>
      <c r="C566" s="115"/>
      <c r="D566" s="115"/>
      <c r="E566" s="115"/>
      <c r="F566" s="115"/>
      <c r="G566" s="60" t="s">
        <v>127</v>
      </c>
      <c r="H566" s="124"/>
      <c r="I566" s="124"/>
      <c r="J566" s="60"/>
      <c r="K566" s="60"/>
      <c r="L566" s="160"/>
      <c r="M566" s="60"/>
      <c r="N566" s="60"/>
      <c r="O566" s="60">
        <f t="shared" si="110"/>
        <v>0</v>
      </c>
      <c r="P566" s="60">
        <f t="shared" si="108"/>
        <v>0</v>
      </c>
    </row>
    <row r="567" spans="1:16" s="38" customFormat="1" ht="10.7" customHeight="1" outlineLevel="1" x14ac:dyDescent="0.25">
      <c r="A567" s="124"/>
      <c r="B567" s="142"/>
      <c r="C567" s="115"/>
      <c r="D567" s="115"/>
      <c r="E567" s="115"/>
      <c r="F567" s="115"/>
      <c r="G567" s="60" t="s">
        <v>128</v>
      </c>
      <c r="H567" s="124"/>
      <c r="I567" s="124"/>
      <c r="J567" s="60"/>
      <c r="K567" s="60"/>
      <c r="L567" s="160"/>
      <c r="M567" s="60"/>
      <c r="N567" s="60"/>
      <c r="O567" s="60">
        <f t="shared" si="110"/>
        <v>0</v>
      </c>
      <c r="P567" s="60">
        <f t="shared" si="108"/>
        <v>0</v>
      </c>
    </row>
    <row r="568" spans="1:16" s="38" customFormat="1" ht="10.7" customHeight="1" outlineLevel="1" x14ac:dyDescent="0.25">
      <c r="A568" s="124"/>
      <c r="B568" s="142"/>
      <c r="C568" s="115"/>
      <c r="D568" s="115"/>
      <c r="E568" s="115"/>
      <c r="F568" s="115"/>
      <c r="G568" s="60" t="s">
        <v>129</v>
      </c>
      <c r="H568" s="124"/>
      <c r="I568" s="124"/>
      <c r="J568" s="60"/>
      <c r="K568" s="60"/>
      <c r="L568" s="160"/>
      <c r="M568" s="60"/>
      <c r="N568" s="60"/>
      <c r="O568" s="60">
        <f t="shared" si="110"/>
        <v>0</v>
      </c>
      <c r="P568" s="60">
        <f t="shared" si="108"/>
        <v>0</v>
      </c>
    </row>
    <row r="569" spans="1:16" s="38" customFormat="1" ht="10.7" customHeight="1" outlineLevel="1" x14ac:dyDescent="0.25">
      <c r="A569" s="124"/>
      <c r="B569" s="142"/>
      <c r="C569" s="115"/>
      <c r="D569" s="115"/>
      <c r="E569" s="115"/>
      <c r="F569" s="115"/>
      <c r="G569" s="60" t="s">
        <v>130</v>
      </c>
      <c r="H569" s="124"/>
      <c r="I569" s="124"/>
      <c r="J569" s="60"/>
      <c r="K569" s="60"/>
      <c r="L569" s="160"/>
      <c r="M569" s="60"/>
      <c r="N569" s="60"/>
      <c r="O569" s="60">
        <f t="shared" si="110"/>
        <v>0</v>
      </c>
      <c r="P569" s="60">
        <f t="shared" si="108"/>
        <v>0</v>
      </c>
    </row>
    <row r="570" spans="1:16" s="38" customFormat="1" ht="12" customHeight="1" outlineLevel="1" thickBot="1" x14ac:dyDescent="0.3">
      <c r="A570" s="125"/>
      <c r="B570" s="143"/>
      <c r="C570" s="131"/>
      <c r="D570" s="131"/>
      <c r="E570" s="131"/>
      <c r="F570" s="131"/>
      <c r="G570" s="60" t="s">
        <v>131</v>
      </c>
      <c r="H570" s="134"/>
      <c r="I570" s="134"/>
      <c r="J570" s="60"/>
      <c r="K570" s="60"/>
      <c r="L570" s="160"/>
      <c r="M570" s="60"/>
      <c r="N570" s="60"/>
      <c r="O570" s="60">
        <f t="shared" si="110"/>
        <v>0</v>
      </c>
      <c r="P570" s="60">
        <f t="shared" si="108"/>
        <v>0</v>
      </c>
    </row>
    <row r="571" spans="1:16" s="38" customFormat="1" ht="14.45" customHeight="1" outlineLevel="1" x14ac:dyDescent="0.25">
      <c r="A571" s="140" t="s">
        <v>684</v>
      </c>
      <c r="B571" s="141" t="s">
        <v>685</v>
      </c>
      <c r="C571" s="130">
        <f>SUM(O571:O577)</f>
        <v>0</v>
      </c>
      <c r="D571" s="130">
        <f>SUM(P571:P577)</f>
        <v>0</v>
      </c>
      <c r="E571" s="130">
        <f t="shared" si="100"/>
        <v>0</v>
      </c>
      <c r="F571" s="130"/>
      <c r="G571" s="60" t="s">
        <v>125</v>
      </c>
      <c r="H571" s="123"/>
      <c r="I571" s="123"/>
      <c r="J571" s="60"/>
      <c r="K571" s="60"/>
      <c r="L571" s="160"/>
      <c r="M571" s="60"/>
      <c r="N571" s="60"/>
      <c r="O571" s="60">
        <f>N571*J571*K571*M571</f>
        <v>0</v>
      </c>
      <c r="P571" s="60">
        <f t="shared" si="108"/>
        <v>0</v>
      </c>
    </row>
    <row r="572" spans="1:16" s="38" customFormat="1" ht="11.45" customHeight="1" outlineLevel="1" x14ac:dyDescent="0.25">
      <c r="A572" s="124"/>
      <c r="B572" s="142"/>
      <c r="C572" s="115"/>
      <c r="D572" s="115"/>
      <c r="E572" s="115"/>
      <c r="F572" s="115"/>
      <c r="G572" s="60" t="s">
        <v>126</v>
      </c>
      <c r="H572" s="124"/>
      <c r="I572" s="124"/>
      <c r="J572" s="60"/>
      <c r="K572" s="60"/>
      <c r="L572" s="160"/>
      <c r="M572" s="60"/>
      <c r="N572" s="60"/>
      <c r="O572" s="60">
        <f t="shared" ref="O572:O577" si="111">N572*J572*K572*M572</f>
        <v>0</v>
      </c>
      <c r="P572" s="60">
        <f t="shared" si="108"/>
        <v>0</v>
      </c>
    </row>
    <row r="573" spans="1:16" s="38" customFormat="1" ht="10.7" customHeight="1" outlineLevel="1" x14ac:dyDescent="0.25">
      <c r="A573" s="124"/>
      <c r="B573" s="142"/>
      <c r="C573" s="115"/>
      <c r="D573" s="115"/>
      <c r="E573" s="115"/>
      <c r="F573" s="115"/>
      <c r="G573" s="60" t="s">
        <v>127</v>
      </c>
      <c r="H573" s="124"/>
      <c r="I573" s="124"/>
      <c r="J573" s="60"/>
      <c r="K573" s="60"/>
      <c r="L573" s="160"/>
      <c r="M573" s="60"/>
      <c r="N573" s="60"/>
      <c r="O573" s="60">
        <f t="shared" si="111"/>
        <v>0</v>
      </c>
      <c r="P573" s="60">
        <f t="shared" si="108"/>
        <v>0</v>
      </c>
    </row>
    <row r="574" spans="1:16" s="38" customFormat="1" ht="10.7" customHeight="1" outlineLevel="1" x14ac:dyDescent="0.25">
      <c r="A574" s="124"/>
      <c r="B574" s="142"/>
      <c r="C574" s="115"/>
      <c r="D574" s="115"/>
      <c r="E574" s="115"/>
      <c r="F574" s="115"/>
      <c r="G574" s="60" t="s">
        <v>128</v>
      </c>
      <c r="H574" s="124"/>
      <c r="I574" s="124"/>
      <c r="J574" s="60"/>
      <c r="K574" s="60"/>
      <c r="L574" s="160"/>
      <c r="M574" s="60"/>
      <c r="N574" s="60"/>
      <c r="O574" s="60">
        <f t="shared" si="111"/>
        <v>0</v>
      </c>
      <c r="P574" s="60">
        <f t="shared" si="108"/>
        <v>0</v>
      </c>
    </row>
    <row r="575" spans="1:16" s="38" customFormat="1" ht="10.7" customHeight="1" outlineLevel="1" x14ac:dyDescent="0.25">
      <c r="A575" s="124"/>
      <c r="B575" s="142"/>
      <c r="C575" s="115"/>
      <c r="D575" s="115"/>
      <c r="E575" s="115"/>
      <c r="F575" s="115"/>
      <c r="G575" s="60" t="s">
        <v>129</v>
      </c>
      <c r="H575" s="124"/>
      <c r="I575" s="124"/>
      <c r="J575" s="60"/>
      <c r="K575" s="60"/>
      <c r="L575" s="160"/>
      <c r="M575" s="60"/>
      <c r="N575" s="60"/>
      <c r="O575" s="60">
        <f t="shared" si="111"/>
        <v>0</v>
      </c>
      <c r="P575" s="60">
        <f t="shared" si="108"/>
        <v>0</v>
      </c>
    </row>
    <row r="576" spans="1:16" s="38" customFormat="1" ht="10.7" customHeight="1" outlineLevel="1" x14ac:dyDescent="0.25">
      <c r="A576" s="124"/>
      <c r="B576" s="142"/>
      <c r="C576" s="115"/>
      <c r="D576" s="115"/>
      <c r="E576" s="115"/>
      <c r="F576" s="115"/>
      <c r="G576" s="60" t="s">
        <v>130</v>
      </c>
      <c r="H576" s="124"/>
      <c r="I576" s="124"/>
      <c r="J576" s="60"/>
      <c r="K576" s="60"/>
      <c r="L576" s="160"/>
      <c r="M576" s="60"/>
      <c r="N576" s="60"/>
      <c r="O576" s="60">
        <f t="shared" si="111"/>
        <v>0</v>
      </c>
      <c r="P576" s="60">
        <f t="shared" si="108"/>
        <v>0</v>
      </c>
    </row>
    <row r="577" spans="1:16" s="38" customFormat="1" ht="12" customHeight="1" outlineLevel="1" thickBot="1" x14ac:dyDescent="0.3">
      <c r="A577" s="125"/>
      <c r="B577" s="143"/>
      <c r="C577" s="131"/>
      <c r="D577" s="131"/>
      <c r="E577" s="131"/>
      <c r="F577" s="131"/>
      <c r="G577" s="60" t="s">
        <v>131</v>
      </c>
      <c r="H577" s="134"/>
      <c r="I577" s="134"/>
      <c r="J577" s="60"/>
      <c r="K577" s="60"/>
      <c r="L577" s="160"/>
      <c r="M577" s="60"/>
      <c r="N577" s="60"/>
      <c r="O577" s="60">
        <f t="shared" si="111"/>
        <v>0</v>
      </c>
      <c r="P577" s="60">
        <f t="shared" si="108"/>
        <v>0</v>
      </c>
    </row>
    <row r="578" spans="1:16" s="38" customFormat="1" ht="14.45" customHeight="1" outlineLevel="1" x14ac:dyDescent="0.25">
      <c r="A578" s="140" t="s">
        <v>686</v>
      </c>
      <c r="B578" s="141" t="s">
        <v>687</v>
      </c>
      <c r="C578" s="130">
        <f>SUM(O578:O584)</f>
        <v>0</v>
      </c>
      <c r="D578" s="130">
        <f>SUM(P578:P584)</f>
        <v>0</v>
      </c>
      <c r="E578" s="130">
        <f t="shared" ref="E578:E641" si="112">D578/8</f>
        <v>0</v>
      </c>
      <c r="F578" s="130"/>
      <c r="G578" s="60" t="s">
        <v>125</v>
      </c>
      <c r="H578" s="123"/>
      <c r="I578" s="123"/>
      <c r="J578" s="60"/>
      <c r="K578" s="60"/>
      <c r="L578" s="160"/>
      <c r="M578" s="60"/>
      <c r="N578" s="60"/>
      <c r="O578" s="60">
        <f>N578*J578*K578*M578</f>
        <v>0</v>
      </c>
      <c r="P578" s="60">
        <f t="shared" si="108"/>
        <v>0</v>
      </c>
    </row>
    <row r="579" spans="1:16" s="38" customFormat="1" ht="11.45" customHeight="1" outlineLevel="1" x14ac:dyDescent="0.25">
      <c r="A579" s="124"/>
      <c r="B579" s="142"/>
      <c r="C579" s="115"/>
      <c r="D579" s="115"/>
      <c r="E579" s="115"/>
      <c r="F579" s="115"/>
      <c r="G579" s="60" t="s">
        <v>126</v>
      </c>
      <c r="H579" s="124"/>
      <c r="I579" s="124"/>
      <c r="J579" s="60"/>
      <c r="K579" s="60"/>
      <c r="L579" s="160"/>
      <c r="M579" s="60"/>
      <c r="N579" s="60"/>
      <c r="O579" s="60">
        <f t="shared" ref="O579:O584" si="113">N579*J579*K579*M579</f>
        <v>0</v>
      </c>
      <c r="P579" s="60">
        <f t="shared" si="108"/>
        <v>0</v>
      </c>
    </row>
    <row r="580" spans="1:16" s="38" customFormat="1" ht="10.7" customHeight="1" outlineLevel="1" x14ac:dyDescent="0.25">
      <c r="A580" s="124"/>
      <c r="B580" s="142"/>
      <c r="C580" s="115"/>
      <c r="D580" s="115"/>
      <c r="E580" s="115"/>
      <c r="F580" s="115"/>
      <c r="G580" s="60" t="s">
        <v>127</v>
      </c>
      <c r="H580" s="124"/>
      <c r="I580" s="124"/>
      <c r="J580" s="60"/>
      <c r="K580" s="60"/>
      <c r="L580" s="160"/>
      <c r="M580" s="60"/>
      <c r="N580" s="60"/>
      <c r="O580" s="60">
        <f t="shared" si="113"/>
        <v>0</v>
      </c>
      <c r="P580" s="60">
        <f t="shared" si="108"/>
        <v>0</v>
      </c>
    </row>
    <row r="581" spans="1:16" s="38" customFormat="1" ht="10.7" customHeight="1" outlineLevel="1" x14ac:dyDescent="0.25">
      <c r="A581" s="124"/>
      <c r="B581" s="142"/>
      <c r="C581" s="115"/>
      <c r="D581" s="115"/>
      <c r="E581" s="115"/>
      <c r="F581" s="115"/>
      <c r="G581" s="60" t="s">
        <v>128</v>
      </c>
      <c r="H581" s="124"/>
      <c r="I581" s="124"/>
      <c r="J581" s="60"/>
      <c r="K581" s="60"/>
      <c r="L581" s="160"/>
      <c r="M581" s="60"/>
      <c r="N581" s="60"/>
      <c r="O581" s="60">
        <f t="shared" si="113"/>
        <v>0</v>
      </c>
      <c r="P581" s="60">
        <f t="shared" si="108"/>
        <v>0</v>
      </c>
    </row>
    <row r="582" spans="1:16" s="38" customFormat="1" ht="10.7" customHeight="1" outlineLevel="1" x14ac:dyDescent="0.25">
      <c r="A582" s="124"/>
      <c r="B582" s="142"/>
      <c r="C582" s="115"/>
      <c r="D582" s="115"/>
      <c r="E582" s="115"/>
      <c r="F582" s="115"/>
      <c r="G582" s="60" t="s">
        <v>129</v>
      </c>
      <c r="H582" s="124"/>
      <c r="I582" s="124"/>
      <c r="J582" s="60"/>
      <c r="K582" s="60"/>
      <c r="L582" s="160"/>
      <c r="M582" s="60"/>
      <c r="N582" s="60"/>
      <c r="O582" s="60">
        <f t="shared" si="113"/>
        <v>0</v>
      </c>
      <c r="P582" s="60">
        <f t="shared" si="108"/>
        <v>0</v>
      </c>
    </row>
    <row r="583" spans="1:16" s="38" customFormat="1" ht="10.7" customHeight="1" outlineLevel="1" x14ac:dyDescent="0.25">
      <c r="A583" s="124"/>
      <c r="B583" s="142"/>
      <c r="C583" s="115"/>
      <c r="D583" s="115"/>
      <c r="E583" s="115"/>
      <c r="F583" s="115"/>
      <c r="G583" s="60" t="s">
        <v>130</v>
      </c>
      <c r="H583" s="124"/>
      <c r="I583" s="124"/>
      <c r="J583" s="60"/>
      <c r="K583" s="60"/>
      <c r="L583" s="160"/>
      <c r="M583" s="60"/>
      <c r="N583" s="60"/>
      <c r="O583" s="60">
        <f t="shared" si="113"/>
        <v>0</v>
      </c>
      <c r="P583" s="60">
        <f t="shared" si="108"/>
        <v>0</v>
      </c>
    </row>
    <row r="584" spans="1:16" s="38" customFormat="1" ht="12" customHeight="1" outlineLevel="1" thickBot="1" x14ac:dyDescent="0.3">
      <c r="A584" s="125"/>
      <c r="B584" s="143"/>
      <c r="C584" s="131"/>
      <c r="D584" s="131"/>
      <c r="E584" s="131"/>
      <c r="F584" s="131"/>
      <c r="G584" s="60" t="s">
        <v>131</v>
      </c>
      <c r="H584" s="134"/>
      <c r="I584" s="134"/>
      <c r="J584" s="60"/>
      <c r="K584" s="60"/>
      <c r="L584" s="160"/>
      <c r="M584" s="60"/>
      <c r="N584" s="60"/>
      <c r="O584" s="60">
        <f t="shared" si="113"/>
        <v>0</v>
      </c>
      <c r="P584" s="60">
        <f t="shared" si="108"/>
        <v>0</v>
      </c>
    </row>
    <row r="585" spans="1:16" s="38" customFormat="1" ht="14.45" customHeight="1" outlineLevel="1" x14ac:dyDescent="0.25">
      <c r="A585" s="140" t="s">
        <v>688</v>
      </c>
      <c r="B585" s="141" t="s">
        <v>689</v>
      </c>
      <c r="C585" s="130">
        <f>SUM(O585:O591)</f>
        <v>0</v>
      </c>
      <c r="D585" s="130">
        <f>SUM(P585:P591)</f>
        <v>0</v>
      </c>
      <c r="E585" s="130">
        <f t="shared" si="112"/>
        <v>0</v>
      </c>
      <c r="F585" s="130"/>
      <c r="G585" s="60" t="s">
        <v>125</v>
      </c>
      <c r="H585" s="123"/>
      <c r="I585" s="123"/>
      <c r="J585" s="60"/>
      <c r="K585" s="60"/>
      <c r="L585" s="160"/>
      <c r="M585" s="60"/>
      <c r="N585" s="60"/>
      <c r="O585" s="60">
        <f>N585*J585*K585*M585</f>
        <v>0</v>
      </c>
      <c r="P585" s="60">
        <f t="shared" si="108"/>
        <v>0</v>
      </c>
    </row>
    <row r="586" spans="1:16" s="38" customFormat="1" ht="11.45" customHeight="1" outlineLevel="1" x14ac:dyDescent="0.25">
      <c r="A586" s="124"/>
      <c r="B586" s="142"/>
      <c r="C586" s="115"/>
      <c r="D586" s="115"/>
      <c r="E586" s="115"/>
      <c r="F586" s="115"/>
      <c r="G586" s="60" t="s">
        <v>126</v>
      </c>
      <c r="H586" s="124"/>
      <c r="I586" s="124"/>
      <c r="J586" s="60"/>
      <c r="K586" s="60"/>
      <c r="L586" s="160"/>
      <c r="M586" s="60"/>
      <c r="N586" s="60"/>
      <c r="O586" s="60">
        <f t="shared" ref="O586:O591" si="114">N586*J586*K586*M586</f>
        <v>0</v>
      </c>
      <c r="P586" s="60">
        <f t="shared" si="108"/>
        <v>0</v>
      </c>
    </row>
    <row r="587" spans="1:16" s="38" customFormat="1" ht="10.7" customHeight="1" outlineLevel="1" x14ac:dyDescent="0.25">
      <c r="A587" s="124"/>
      <c r="B587" s="142"/>
      <c r="C587" s="115"/>
      <c r="D587" s="115"/>
      <c r="E587" s="115"/>
      <c r="F587" s="115"/>
      <c r="G587" s="60" t="s">
        <v>127</v>
      </c>
      <c r="H587" s="124"/>
      <c r="I587" s="124"/>
      <c r="J587" s="60"/>
      <c r="K587" s="60"/>
      <c r="L587" s="160"/>
      <c r="M587" s="60"/>
      <c r="N587" s="60"/>
      <c r="O587" s="60">
        <f t="shared" si="114"/>
        <v>0</v>
      </c>
      <c r="P587" s="60">
        <f t="shared" si="108"/>
        <v>0</v>
      </c>
    </row>
    <row r="588" spans="1:16" s="38" customFormat="1" ht="10.7" customHeight="1" outlineLevel="1" x14ac:dyDescent="0.25">
      <c r="A588" s="124"/>
      <c r="B588" s="142"/>
      <c r="C588" s="115"/>
      <c r="D588" s="115"/>
      <c r="E588" s="115"/>
      <c r="F588" s="115"/>
      <c r="G588" s="60" t="s">
        <v>128</v>
      </c>
      <c r="H588" s="124"/>
      <c r="I588" s="124"/>
      <c r="J588" s="60"/>
      <c r="K588" s="60"/>
      <c r="L588" s="160"/>
      <c r="M588" s="60"/>
      <c r="N588" s="60"/>
      <c r="O588" s="60">
        <f t="shared" si="114"/>
        <v>0</v>
      </c>
      <c r="P588" s="60">
        <f t="shared" si="108"/>
        <v>0</v>
      </c>
    </row>
    <row r="589" spans="1:16" s="38" customFormat="1" ht="10.7" customHeight="1" outlineLevel="1" x14ac:dyDescent="0.25">
      <c r="A589" s="124"/>
      <c r="B589" s="142"/>
      <c r="C589" s="115"/>
      <c r="D589" s="115"/>
      <c r="E589" s="115"/>
      <c r="F589" s="115"/>
      <c r="G589" s="60" t="s">
        <v>129</v>
      </c>
      <c r="H589" s="124"/>
      <c r="I589" s="124"/>
      <c r="J589" s="60"/>
      <c r="K589" s="60"/>
      <c r="L589" s="160"/>
      <c r="M589" s="60"/>
      <c r="N589" s="60"/>
      <c r="O589" s="60">
        <f t="shared" si="114"/>
        <v>0</v>
      </c>
      <c r="P589" s="60">
        <f t="shared" si="108"/>
        <v>0</v>
      </c>
    </row>
    <row r="590" spans="1:16" s="38" customFormat="1" ht="10.7" customHeight="1" outlineLevel="1" x14ac:dyDescent="0.25">
      <c r="A590" s="124"/>
      <c r="B590" s="142"/>
      <c r="C590" s="115"/>
      <c r="D590" s="115"/>
      <c r="E590" s="115"/>
      <c r="F590" s="115"/>
      <c r="G590" s="60" t="s">
        <v>130</v>
      </c>
      <c r="H590" s="124"/>
      <c r="I590" s="124"/>
      <c r="J590" s="60"/>
      <c r="K590" s="60"/>
      <c r="L590" s="160"/>
      <c r="M590" s="60"/>
      <c r="N590" s="60"/>
      <c r="O590" s="60">
        <f t="shared" si="114"/>
        <v>0</v>
      </c>
      <c r="P590" s="60">
        <f t="shared" si="108"/>
        <v>0</v>
      </c>
    </row>
    <row r="591" spans="1:16" s="38" customFormat="1" ht="12" customHeight="1" outlineLevel="1" thickBot="1" x14ac:dyDescent="0.3">
      <c r="A591" s="125"/>
      <c r="B591" s="143"/>
      <c r="C591" s="131"/>
      <c r="D591" s="131"/>
      <c r="E591" s="131"/>
      <c r="F591" s="131"/>
      <c r="G591" s="60" t="s">
        <v>131</v>
      </c>
      <c r="H591" s="134"/>
      <c r="I591" s="134"/>
      <c r="J591" s="60"/>
      <c r="K591" s="60"/>
      <c r="L591" s="160"/>
      <c r="M591" s="60"/>
      <c r="N591" s="60"/>
      <c r="O591" s="60">
        <f t="shared" si="114"/>
        <v>0</v>
      </c>
      <c r="P591" s="60">
        <f t="shared" si="108"/>
        <v>0</v>
      </c>
    </row>
    <row r="592" spans="1:16" s="38" customFormat="1" ht="14.45" customHeight="1" outlineLevel="1" x14ac:dyDescent="0.25">
      <c r="A592" s="140" t="s">
        <v>690</v>
      </c>
      <c r="B592" s="141" t="s">
        <v>691</v>
      </c>
      <c r="C592" s="130">
        <f>SUM(O592:O598)</f>
        <v>0</v>
      </c>
      <c r="D592" s="130">
        <f>SUM(P592:P598)</f>
        <v>0</v>
      </c>
      <c r="E592" s="130">
        <f t="shared" si="112"/>
        <v>0</v>
      </c>
      <c r="F592" s="130"/>
      <c r="G592" s="60" t="s">
        <v>125</v>
      </c>
      <c r="H592" s="123"/>
      <c r="I592" s="123"/>
      <c r="J592" s="60"/>
      <c r="K592" s="60"/>
      <c r="L592" s="160"/>
      <c r="M592" s="60"/>
      <c r="N592" s="60"/>
      <c r="O592" s="60">
        <f>N592*J592*K592*M592</f>
        <v>0</v>
      </c>
      <c r="P592" s="60">
        <f t="shared" si="108"/>
        <v>0</v>
      </c>
    </row>
    <row r="593" spans="1:16" s="38" customFormat="1" ht="11.45" customHeight="1" outlineLevel="1" x14ac:dyDescent="0.25">
      <c r="A593" s="124"/>
      <c r="B593" s="142"/>
      <c r="C593" s="115"/>
      <c r="D593" s="115"/>
      <c r="E593" s="115"/>
      <c r="F593" s="115"/>
      <c r="G593" s="60" t="s">
        <v>126</v>
      </c>
      <c r="H593" s="124"/>
      <c r="I593" s="124"/>
      <c r="J593" s="60"/>
      <c r="K593" s="60"/>
      <c r="L593" s="160"/>
      <c r="M593" s="60"/>
      <c r="N593" s="60"/>
      <c r="O593" s="60">
        <f t="shared" ref="O593:O598" si="115">N593*J593*K593*M593</f>
        <v>0</v>
      </c>
      <c r="P593" s="60">
        <f t="shared" si="108"/>
        <v>0</v>
      </c>
    </row>
    <row r="594" spans="1:16" s="38" customFormat="1" ht="10.7" customHeight="1" outlineLevel="1" x14ac:dyDescent="0.25">
      <c r="A594" s="124"/>
      <c r="B594" s="142"/>
      <c r="C594" s="115"/>
      <c r="D594" s="115"/>
      <c r="E594" s="115"/>
      <c r="F594" s="115"/>
      <c r="G594" s="60" t="s">
        <v>127</v>
      </c>
      <c r="H594" s="124"/>
      <c r="I594" s="124"/>
      <c r="J594" s="60"/>
      <c r="K594" s="60"/>
      <c r="L594" s="160"/>
      <c r="M594" s="60"/>
      <c r="N594" s="60"/>
      <c r="O594" s="60">
        <f t="shared" si="115"/>
        <v>0</v>
      </c>
      <c r="P594" s="60">
        <f t="shared" si="108"/>
        <v>0</v>
      </c>
    </row>
    <row r="595" spans="1:16" s="38" customFormat="1" ht="10.7" customHeight="1" outlineLevel="1" x14ac:dyDescent="0.25">
      <c r="A595" s="124"/>
      <c r="B595" s="142"/>
      <c r="C595" s="115"/>
      <c r="D595" s="115"/>
      <c r="E595" s="115"/>
      <c r="F595" s="115"/>
      <c r="G595" s="60" t="s">
        <v>128</v>
      </c>
      <c r="H595" s="124"/>
      <c r="I595" s="124"/>
      <c r="J595" s="60"/>
      <c r="K595" s="60"/>
      <c r="L595" s="160"/>
      <c r="M595" s="60"/>
      <c r="N595" s="60"/>
      <c r="O595" s="60">
        <f t="shared" si="115"/>
        <v>0</v>
      </c>
      <c r="P595" s="60">
        <f t="shared" si="108"/>
        <v>0</v>
      </c>
    </row>
    <row r="596" spans="1:16" s="38" customFormat="1" ht="10.7" customHeight="1" outlineLevel="1" x14ac:dyDescent="0.25">
      <c r="A596" s="124"/>
      <c r="B596" s="142"/>
      <c r="C596" s="115"/>
      <c r="D596" s="115"/>
      <c r="E596" s="115"/>
      <c r="F596" s="115"/>
      <c r="G596" s="60" t="s">
        <v>129</v>
      </c>
      <c r="H596" s="124"/>
      <c r="I596" s="124"/>
      <c r="J596" s="60"/>
      <c r="K596" s="60"/>
      <c r="L596" s="160"/>
      <c r="M596" s="60"/>
      <c r="N596" s="60"/>
      <c r="O596" s="60">
        <f t="shared" si="115"/>
        <v>0</v>
      </c>
      <c r="P596" s="60">
        <f t="shared" si="108"/>
        <v>0</v>
      </c>
    </row>
    <row r="597" spans="1:16" s="38" customFormat="1" ht="10.7" customHeight="1" outlineLevel="1" x14ac:dyDescent="0.25">
      <c r="A597" s="124"/>
      <c r="B597" s="142"/>
      <c r="C597" s="115"/>
      <c r="D597" s="115"/>
      <c r="E597" s="115"/>
      <c r="F597" s="115"/>
      <c r="G597" s="60" t="s">
        <v>130</v>
      </c>
      <c r="H597" s="124"/>
      <c r="I597" s="124"/>
      <c r="J597" s="60"/>
      <c r="K597" s="60"/>
      <c r="L597" s="160"/>
      <c r="M597" s="60"/>
      <c r="N597" s="60"/>
      <c r="O597" s="60">
        <f t="shared" si="115"/>
        <v>0</v>
      </c>
      <c r="P597" s="60">
        <f t="shared" si="108"/>
        <v>0</v>
      </c>
    </row>
    <row r="598" spans="1:16" s="38" customFormat="1" ht="12" customHeight="1" outlineLevel="1" thickBot="1" x14ac:dyDescent="0.3">
      <c r="A598" s="125"/>
      <c r="B598" s="143"/>
      <c r="C598" s="131"/>
      <c r="D598" s="131"/>
      <c r="E598" s="131"/>
      <c r="F598" s="131"/>
      <c r="G598" s="60" t="s">
        <v>131</v>
      </c>
      <c r="H598" s="134"/>
      <c r="I598" s="134"/>
      <c r="J598" s="60"/>
      <c r="K598" s="60"/>
      <c r="L598" s="160"/>
      <c r="M598" s="60"/>
      <c r="N598" s="60"/>
      <c r="O598" s="60">
        <f t="shared" si="115"/>
        <v>0</v>
      </c>
      <c r="P598" s="60">
        <f t="shared" si="108"/>
        <v>0</v>
      </c>
    </row>
    <row r="599" spans="1:16" s="38" customFormat="1" ht="14.45" customHeight="1" outlineLevel="1" x14ac:dyDescent="0.25">
      <c r="A599" s="140" t="s">
        <v>692</v>
      </c>
      <c r="B599" s="141" t="s">
        <v>693</v>
      </c>
      <c r="C599" s="130">
        <f>SUM(O599:O605)</f>
        <v>0</v>
      </c>
      <c r="D599" s="130">
        <f>SUM(P599:P605)</f>
        <v>0</v>
      </c>
      <c r="E599" s="130">
        <f t="shared" si="112"/>
        <v>0</v>
      </c>
      <c r="F599" s="130"/>
      <c r="G599" s="60" t="s">
        <v>125</v>
      </c>
      <c r="H599" s="123"/>
      <c r="I599" s="123"/>
      <c r="J599" s="60"/>
      <c r="K599" s="60"/>
      <c r="L599" s="160"/>
      <c r="M599" s="60"/>
      <c r="N599" s="60"/>
      <c r="O599" s="60">
        <f>N599*J599*K599*M599</f>
        <v>0</v>
      </c>
      <c r="P599" s="60">
        <f t="shared" si="108"/>
        <v>0</v>
      </c>
    </row>
    <row r="600" spans="1:16" s="38" customFormat="1" ht="11.45" customHeight="1" outlineLevel="1" x14ac:dyDescent="0.25">
      <c r="A600" s="124"/>
      <c r="B600" s="142"/>
      <c r="C600" s="115"/>
      <c r="D600" s="115"/>
      <c r="E600" s="115"/>
      <c r="F600" s="115"/>
      <c r="G600" s="60" t="s">
        <v>126</v>
      </c>
      <c r="H600" s="124"/>
      <c r="I600" s="124"/>
      <c r="J600" s="60"/>
      <c r="K600" s="60"/>
      <c r="L600" s="160"/>
      <c r="M600" s="60"/>
      <c r="N600" s="60"/>
      <c r="O600" s="60">
        <f t="shared" ref="O600:O605" si="116">N600*J600*K600*M600</f>
        <v>0</v>
      </c>
      <c r="P600" s="60">
        <f t="shared" si="108"/>
        <v>0</v>
      </c>
    </row>
    <row r="601" spans="1:16" s="38" customFormat="1" ht="10.7" customHeight="1" outlineLevel="1" x14ac:dyDescent="0.25">
      <c r="A601" s="124"/>
      <c r="B601" s="142"/>
      <c r="C601" s="115"/>
      <c r="D601" s="115"/>
      <c r="E601" s="115"/>
      <c r="F601" s="115"/>
      <c r="G601" s="60" t="s">
        <v>127</v>
      </c>
      <c r="H601" s="124"/>
      <c r="I601" s="124"/>
      <c r="J601" s="60"/>
      <c r="K601" s="60"/>
      <c r="L601" s="160"/>
      <c r="M601" s="60"/>
      <c r="N601" s="60"/>
      <c r="O601" s="60">
        <f t="shared" si="116"/>
        <v>0</v>
      </c>
      <c r="P601" s="60">
        <f t="shared" si="108"/>
        <v>0</v>
      </c>
    </row>
    <row r="602" spans="1:16" s="38" customFormat="1" ht="10.7" customHeight="1" outlineLevel="1" x14ac:dyDescent="0.25">
      <c r="A602" s="124"/>
      <c r="B602" s="142"/>
      <c r="C602" s="115"/>
      <c r="D602" s="115"/>
      <c r="E602" s="115"/>
      <c r="F602" s="115"/>
      <c r="G602" s="60" t="s">
        <v>128</v>
      </c>
      <c r="H602" s="124"/>
      <c r="I602" s="124"/>
      <c r="J602" s="60"/>
      <c r="K602" s="60"/>
      <c r="L602" s="160"/>
      <c r="M602" s="60"/>
      <c r="N602" s="60"/>
      <c r="O602" s="60">
        <f t="shared" si="116"/>
        <v>0</v>
      </c>
      <c r="P602" s="60">
        <f t="shared" si="108"/>
        <v>0</v>
      </c>
    </row>
    <row r="603" spans="1:16" s="38" customFormat="1" ht="10.7" customHeight="1" outlineLevel="1" x14ac:dyDescent="0.25">
      <c r="A603" s="124"/>
      <c r="B603" s="142"/>
      <c r="C603" s="115"/>
      <c r="D603" s="115"/>
      <c r="E603" s="115"/>
      <c r="F603" s="115"/>
      <c r="G603" s="60" t="s">
        <v>129</v>
      </c>
      <c r="H603" s="124"/>
      <c r="I603" s="124"/>
      <c r="J603" s="60"/>
      <c r="K603" s="60"/>
      <c r="L603" s="160"/>
      <c r="M603" s="60"/>
      <c r="N603" s="60"/>
      <c r="O603" s="60">
        <f t="shared" si="116"/>
        <v>0</v>
      </c>
      <c r="P603" s="60">
        <f t="shared" si="108"/>
        <v>0</v>
      </c>
    </row>
    <row r="604" spans="1:16" s="38" customFormat="1" ht="10.7" customHeight="1" outlineLevel="1" x14ac:dyDescent="0.25">
      <c r="A604" s="124"/>
      <c r="B604" s="142"/>
      <c r="C604" s="115"/>
      <c r="D604" s="115"/>
      <c r="E604" s="115"/>
      <c r="F604" s="115"/>
      <c r="G604" s="60" t="s">
        <v>130</v>
      </c>
      <c r="H604" s="124"/>
      <c r="I604" s="124"/>
      <c r="J604" s="60"/>
      <c r="K604" s="60"/>
      <c r="L604" s="160"/>
      <c r="M604" s="60"/>
      <c r="N604" s="60"/>
      <c r="O604" s="60">
        <f t="shared" si="116"/>
        <v>0</v>
      </c>
      <c r="P604" s="60">
        <f t="shared" si="108"/>
        <v>0</v>
      </c>
    </row>
    <row r="605" spans="1:16" s="38" customFormat="1" ht="12" customHeight="1" outlineLevel="1" thickBot="1" x14ac:dyDescent="0.3">
      <c r="A605" s="125"/>
      <c r="B605" s="143"/>
      <c r="C605" s="131"/>
      <c r="D605" s="131"/>
      <c r="E605" s="131"/>
      <c r="F605" s="131"/>
      <c r="G605" s="60" t="s">
        <v>131</v>
      </c>
      <c r="H605" s="134"/>
      <c r="I605" s="134"/>
      <c r="J605" s="60"/>
      <c r="K605" s="60"/>
      <c r="L605" s="160"/>
      <c r="M605" s="60"/>
      <c r="N605" s="60"/>
      <c r="O605" s="60">
        <f t="shared" si="116"/>
        <v>0</v>
      </c>
      <c r="P605" s="60">
        <f t="shared" si="108"/>
        <v>0</v>
      </c>
    </row>
    <row r="606" spans="1:16" s="38" customFormat="1" ht="14.45" customHeight="1" outlineLevel="1" x14ac:dyDescent="0.25">
      <c r="A606" s="140" t="s">
        <v>694</v>
      </c>
      <c r="B606" s="141" t="s">
        <v>695</v>
      </c>
      <c r="C606" s="130">
        <f>SUM(O606:O612)</f>
        <v>0</v>
      </c>
      <c r="D606" s="130">
        <f>SUM(P606:P612)</f>
        <v>0</v>
      </c>
      <c r="E606" s="130">
        <f t="shared" si="112"/>
        <v>0</v>
      </c>
      <c r="F606" s="130"/>
      <c r="G606" s="60" t="s">
        <v>125</v>
      </c>
      <c r="H606" s="123"/>
      <c r="I606" s="123"/>
      <c r="J606" s="60"/>
      <c r="K606" s="60"/>
      <c r="L606" s="160"/>
      <c r="M606" s="60"/>
      <c r="N606" s="60"/>
      <c r="O606" s="60">
        <f>N606*J606*K606*M606</f>
        <v>0</v>
      </c>
      <c r="P606" s="60">
        <f t="shared" si="108"/>
        <v>0</v>
      </c>
    </row>
    <row r="607" spans="1:16" s="38" customFormat="1" ht="11.45" customHeight="1" outlineLevel="1" x14ac:dyDescent="0.25">
      <c r="A607" s="124"/>
      <c r="B607" s="142"/>
      <c r="C607" s="115"/>
      <c r="D607" s="115"/>
      <c r="E607" s="115"/>
      <c r="F607" s="115"/>
      <c r="G607" s="60" t="s">
        <v>126</v>
      </c>
      <c r="H607" s="124"/>
      <c r="I607" s="124"/>
      <c r="J607" s="60"/>
      <c r="K607" s="60"/>
      <c r="L607" s="160"/>
      <c r="M607" s="60"/>
      <c r="N607" s="60"/>
      <c r="O607" s="60">
        <f t="shared" ref="O607:O612" si="117">N607*J607*K607*M607</f>
        <v>0</v>
      </c>
      <c r="P607" s="60">
        <f t="shared" si="108"/>
        <v>0</v>
      </c>
    </row>
    <row r="608" spans="1:16" s="38" customFormat="1" ht="10.7" customHeight="1" outlineLevel="1" x14ac:dyDescent="0.25">
      <c r="A608" s="124"/>
      <c r="B608" s="142"/>
      <c r="C608" s="115"/>
      <c r="D608" s="115"/>
      <c r="E608" s="115"/>
      <c r="F608" s="115"/>
      <c r="G608" s="60" t="s">
        <v>127</v>
      </c>
      <c r="H608" s="124"/>
      <c r="I608" s="124"/>
      <c r="J608" s="60"/>
      <c r="K608" s="60"/>
      <c r="L608" s="160"/>
      <c r="M608" s="60"/>
      <c r="N608" s="60"/>
      <c r="O608" s="60">
        <f t="shared" si="117"/>
        <v>0</v>
      </c>
      <c r="P608" s="60">
        <f t="shared" si="108"/>
        <v>0</v>
      </c>
    </row>
    <row r="609" spans="1:16" s="38" customFormat="1" ht="10.7" customHeight="1" outlineLevel="1" x14ac:dyDescent="0.25">
      <c r="A609" s="124"/>
      <c r="B609" s="142"/>
      <c r="C609" s="115"/>
      <c r="D609" s="115"/>
      <c r="E609" s="115"/>
      <c r="F609" s="115"/>
      <c r="G609" s="60" t="s">
        <v>128</v>
      </c>
      <c r="H609" s="124"/>
      <c r="I609" s="124"/>
      <c r="J609" s="60"/>
      <c r="K609" s="60"/>
      <c r="L609" s="160"/>
      <c r="M609" s="60"/>
      <c r="N609" s="60"/>
      <c r="O609" s="60">
        <f t="shared" si="117"/>
        <v>0</v>
      </c>
      <c r="P609" s="60">
        <f t="shared" si="108"/>
        <v>0</v>
      </c>
    </row>
    <row r="610" spans="1:16" s="38" customFormat="1" ht="10.7" customHeight="1" outlineLevel="1" x14ac:dyDescent="0.25">
      <c r="A610" s="124"/>
      <c r="B610" s="142"/>
      <c r="C610" s="115"/>
      <c r="D610" s="115"/>
      <c r="E610" s="115"/>
      <c r="F610" s="115"/>
      <c r="G610" s="60" t="s">
        <v>129</v>
      </c>
      <c r="H610" s="124"/>
      <c r="I610" s="124"/>
      <c r="J610" s="60"/>
      <c r="K610" s="60"/>
      <c r="L610" s="160"/>
      <c r="M610" s="60"/>
      <c r="N610" s="60"/>
      <c r="O610" s="60">
        <f t="shared" si="117"/>
        <v>0</v>
      </c>
      <c r="P610" s="60">
        <f t="shared" si="108"/>
        <v>0</v>
      </c>
    </row>
    <row r="611" spans="1:16" s="38" customFormat="1" ht="10.7" customHeight="1" outlineLevel="1" x14ac:dyDescent="0.25">
      <c r="A611" s="124"/>
      <c r="B611" s="142"/>
      <c r="C611" s="115"/>
      <c r="D611" s="115"/>
      <c r="E611" s="115"/>
      <c r="F611" s="115"/>
      <c r="G611" s="60" t="s">
        <v>130</v>
      </c>
      <c r="H611" s="124"/>
      <c r="I611" s="124"/>
      <c r="J611" s="60"/>
      <c r="K611" s="60"/>
      <c r="L611" s="160"/>
      <c r="M611" s="60"/>
      <c r="N611" s="60"/>
      <c r="O611" s="60">
        <f t="shared" si="117"/>
        <v>0</v>
      </c>
      <c r="P611" s="60">
        <f t="shared" si="108"/>
        <v>0</v>
      </c>
    </row>
    <row r="612" spans="1:16" s="38" customFormat="1" ht="12" customHeight="1" outlineLevel="1" thickBot="1" x14ac:dyDescent="0.3">
      <c r="A612" s="125"/>
      <c r="B612" s="143"/>
      <c r="C612" s="131"/>
      <c r="D612" s="131"/>
      <c r="E612" s="131"/>
      <c r="F612" s="131"/>
      <c r="G612" s="60" t="s">
        <v>131</v>
      </c>
      <c r="H612" s="134"/>
      <c r="I612" s="134"/>
      <c r="J612" s="60"/>
      <c r="K612" s="60"/>
      <c r="L612" s="160"/>
      <c r="M612" s="60"/>
      <c r="N612" s="60"/>
      <c r="O612" s="60">
        <f t="shared" si="117"/>
        <v>0</v>
      </c>
      <c r="P612" s="60">
        <f t="shared" si="108"/>
        <v>0</v>
      </c>
    </row>
    <row r="613" spans="1:16" s="38" customFormat="1" ht="14.45" customHeight="1" outlineLevel="1" x14ac:dyDescent="0.25">
      <c r="A613" s="140" t="s">
        <v>696</v>
      </c>
      <c r="B613" s="141" t="s">
        <v>697</v>
      </c>
      <c r="C613" s="130">
        <f>SUM(O613:O619)</f>
        <v>0</v>
      </c>
      <c r="D613" s="130">
        <f>SUM(P613:P619)</f>
        <v>0</v>
      </c>
      <c r="E613" s="130">
        <f t="shared" si="112"/>
        <v>0</v>
      </c>
      <c r="F613" s="130"/>
      <c r="G613" s="60" t="s">
        <v>125</v>
      </c>
      <c r="H613" s="123"/>
      <c r="I613" s="123"/>
      <c r="J613" s="60"/>
      <c r="K613" s="60"/>
      <c r="L613" s="160"/>
      <c r="M613" s="60"/>
      <c r="N613" s="60"/>
      <c r="O613" s="60">
        <f>N613*J613*K613*M613</f>
        <v>0</v>
      </c>
      <c r="P613" s="60">
        <f t="shared" si="108"/>
        <v>0</v>
      </c>
    </row>
    <row r="614" spans="1:16" s="38" customFormat="1" ht="11.45" customHeight="1" outlineLevel="1" x14ac:dyDescent="0.25">
      <c r="A614" s="124"/>
      <c r="B614" s="142"/>
      <c r="C614" s="115"/>
      <c r="D614" s="115"/>
      <c r="E614" s="115"/>
      <c r="F614" s="115"/>
      <c r="G614" s="60" t="s">
        <v>126</v>
      </c>
      <c r="H614" s="124"/>
      <c r="I614" s="124"/>
      <c r="J614" s="60"/>
      <c r="K614" s="60"/>
      <c r="L614" s="160"/>
      <c r="M614" s="60"/>
      <c r="N614" s="60"/>
      <c r="O614" s="60">
        <f t="shared" ref="O614:O619" si="118">N614*J614*K614*M614</f>
        <v>0</v>
      </c>
      <c r="P614" s="60">
        <f t="shared" si="108"/>
        <v>0</v>
      </c>
    </row>
    <row r="615" spans="1:16" s="38" customFormat="1" ht="10.7" customHeight="1" outlineLevel="1" x14ac:dyDescent="0.25">
      <c r="A615" s="124"/>
      <c r="B615" s="142"/>
      <c r="C615" s="115"/>
      <c r="D615" s="115"/>
      <c r="E615" s="115"/>
      <c r="F615" s="115"/>
      <c r="G615" s="60" t="s">
        <v>127</v>
      </c>
      <c r="H615" s="124"/>
      <c r="I615" s="124"/>
      <c r="J615" s="60"/>
      <c r="K615" s="60"/>
      <c r="L615" s="160"/>
      <c r="M615" s="60"/>
      <c r="N615" s="60"/>
      <c r="O615" s="60">
        <f t="shared" si="118"/>
        <v>0</v>
      </c>
      <c r="P615" s="60">
        <f t="shared" si="108"/>
        <v>0</v>
      </c>
    </row>
    <row r="616" spans="1:16" s="38" customFormat="1" ht="10.7" customHeight="1" outlineLevel="1" x14ac:dyDescent="0.25">
      <c r="A616" s="124"/>
      <c r="B616" s="142"/>
      <c r="C616" s="115"/>
      <c r="D616" s="115"/>
      <c r="E616" s="115"/>
      <c r="F616" s="115"/>
      <c r="G616" s="60" t="s">
        <v>128</v>
      </c>
      <c r="H616" s="124"/>
      <c r="I616" s="124"/>
      <c r="J616" s="60"/>
      <c r="K616" s="60"/>
      <c r="L616" s="160"/>
      <c r="M616" s="60"/>
      <c r="N616" s="60"/>
      <c r="O616" s="60">
        <f t="shared" si="118"/>
        <v>0</v>
      </c>
      <c r="P616" s="60">
        <f t="shared" si="108"/>
        <v>0</v>
      </c>
    </row>
    <row r="617" spans="1:16" s="38" customFormat="1" ht="10.7" customHeight="1" outlineLevel="1" x14ac:dyDescent="0.25">
      <c r="A617" s="124"/>
      <c r="B617" s="142"/>
      <c r="C617" s="115"/>
      <c r="D617" s="115"/>
      <c r="E617" s="115"/>
      <c r="F617" s="115"/>
      <c r="G617" s="60" t="s">
        <v>129</v>
      </c>
      <c r="H617" s="124"/>
      <c r="I617" s="124"/>
      <c r="J617" s="60"/>
      <c r="K617" s="60"/>
      <c r="L617" s="160"/>
      <c r="M617" s="60"/>
      <c r="N617" s="60"/>
      <c r="O617" s="60">
        <f t="shared" si="118"/>
        <v>0</v>
      </c>
      <c r="P617" s="60">
        <f t="shared" si="108"/>
        <v>0</v>
      </c>
    </row>
    <row r="618" spans="1:16" s="38" customFormat="1" ht="10.7" customHeight="1" outlineLevel="1" x14ac:dyDescent="0.25">
      <c r="A618" s="124"/>
      <c r="B618" s="142"/>
      <c r="C618" s="115"/>
      <c r="D618" s="115"/>
      <c r="E618" s="115"/>
      <c r="F618" s="115"/>
      <c r="G618" s="60" t="s">
        <v>130</v>
      </c>
      <c r="H618" s="124"/>
      <c r="I618" s="124"/>
      <c r="J618" s="60"/>
      <c r="K618" s="60"/>
      <c r="L618" s="160"/>
      <c r="M618" s="60"/>
      <c r="N618" s="60"/>
      <c r="O618" s="60">
        <f t="shared" si="118"/>
        <v>0</v>
      </c>
      <c r="P618" s="60">
        <f t="shared" si="108"/>
        <v>0</v>
      </c>
    </row>
    <row r="619" spans="1:16" s="38" customFormat="1" ht="12" customHeight="1" outlineLevel="1" thickBot="1" x14ac:dyDescent="0.3">
      <c r="A619" s="125"/>
      <c r="B619" s="143"/>
      <c r="C619" s="131"/>
      <c r="D619" s="131"/>
      <c r="E619" s="131"/>
      <c r="F619" s="131"/>
      <c r="G619" s="60" t="s">
        <v>131</v>
      </c>
      <c r="H619" s="134"/>
      <c r="I619" s="134"/>
      <c r="J619" s="60"/>
      <c r="K619" s="60"/>
      <c r="L619" s="160"/>
      <c r="M619" s="60"/>
      <c r="N619" s="60"/>
      <c r="O619" s="60">
        <f t="shared" si="118"/>
        <v>0</v>
      </c>
      <c r="P619" s="60">
        <f t="shared" ref="P619:P682" si="119">J619*K619*M619</f>
        <v>0</v>
      </c>
    </row>
    <row r="620" spans="1:16" s="38" customFormat="1" ht="14.45" customHeight="1" outlineLevel="1" x14ac:dyDescent="0.25">
      <c r="A620" s="140" t="s">
        <v>698</v>
      </c>
      <c r="B620" s="141" t="s">
        <v>699</v>
      </c>
      <c r="C620" s="130">
        <f>SUM(O620:O626)</f>
        <v>0</v>
      </c>
      <c r="D620" s="130">
        <f>SUM(P620:P626)</f>
        <v>0</v>
      </c>
      <c r="E620" s="130">
        <f t="shared" si="112"/>
        <v>0</v>
      </c>
      <c r="F620" s="130"/>
      <c r="G620" s="60" t="s">
        <v>125</v>
      </c>
      <c r="H620" s="123"/>
      <c r="I620" s="123"/>
      <c r="J620" s="60"/>
      <c r="K620" s="60"/>
      <c r="L620" s="160"/>
      <c r="M620" s="60"/>
      <c r="N620" s="60"/>
      <c r="O620" s="60">
        <f>N620*J620*K620*M620</f>
        <v>0</v>
      </c>
      <c r="P620" s="60">
        <f t="shared" si="119"/>
        <v>0</v>
      </c>
    </row>
    <row r="621" spans="1:16" s="38" customFormat="1" ht="11.45" customHeight="1" outlineLevel="1" x14ac:dyDescent="0.25">
      <c r="A621" s="124"/>
      <c r="B621" s="142"/>
      <c r="C621" s="115"/>
      <c r="D621" s="115"/>
      <c r="E621" s="115"/>
      <c r="F621" s="115"/>
      <c r="G621" s="60" t="s">
        <v>126</v>
      </c>
      <c r="H621" s="124"/>
      <c r="I621" s="124"/>
      <c r="J621" s="60"/>
      <c r="K621" s="60"/>
      <c r="L621" s="160"/>
      <c r="M621" s="60"/>
      <c r="N621" s="60"/>
      <c r="O621" s="60">
        <f t="shared" ref="O621:O626" si="120">N621*J621*K621*M621</f>
        <v>0</v>
      </c>
      <c r="P621" s="60">
        <f t="shared" si="119"/>
        <v>0</v>
      </c>
    </row>
    <row r="622" spans="1:16" s="38" customFormat="1" ht="10.7" customHeight="1" outlineLevel="1" x14ac:dyDescent="0.25">
      <c r="A622" s="124"/>
      <c r="B622" s="142"/>
      <c r="C622" s="115"/>
      <c r="D622" s="115"/>
      <c r="E622" s="115"/>
      <c r="F622" s="115"/>
      <c r="G622" s="60" t="s">
        <v>127</v>
      </c>
      <c r="H622" s="124"/>
      <c r="I622" s="124"/>
      <c r="J622" s="60"/>
      <c r="K622" s="60"/>
      <c r="L622" s="160"/>
      <c r="M622" s="60"/>
      <c r="N622" s="60"/>
      <c r="O622" s="60">
        <f t="shared" si="120"/>
        <v>0</v>
      </c>
      <c r="P622" s="60">
        <f t="shared" si="119"/>
        <v>0</v>
      </c>
    </row>
    <row r="623" spans="1:16" s="38" customFormat="1" ht="10.7" customHeight="1" outlineLevel="1" x14ac:dyDescent="0.25">
      <c r="A623" s="124"/>
      <c r="B623" s="142"/>
      <c r="C623" s="115"/>
      <c r="D623" s="115"/>
      <c r="E623" s="115"/>
      <c r="F623" s="115"/>
      <c r="G623" s="60" t="s">
        <v>128</v>
      </c>
      <c r="H623" s="124"/>
      <c r="I623" s="124"/>
      <c r="J623" s="60"/>
      <c r="K623" s="60"/>
      <c r="L623" s="160"/>
      <c r="M623" s="60"/>
      <c r="N623" s="60"/>
      <c r="O623" s="60">
        <f t="shared" si="120"/>
        <v>0</v>
      </c>
      <c r="P623" s="60">
        <f t="shared" si="119"/>
        <v>0</v>
      </c>
    </row>
    <row r="624" spans="1:16" s="38" customFormat="1" ht="10.7" customHeight="1" outlineLevel="1" x14ac:dyDescent="0.25">
      <c r="A624" s="124"/>
      <c r="B624" s="142"/>
      <c r="C624" s="115"/>
      <c r="D624" s="115"/>
      <c r="E624" s="115"/>
      <c r="F624" s="115"/>
      <c r="G624" s="60" t="s">
        <v>129</v>
      </c>
      <c r="H624" s="124"/>
      <c r="I624" s="124"/>
      <c r="J624" s="60"/>
      <c r="K624" s="60"/>
      <c r="L624" s="160"/>
      <c r="M624" s="60"/>
      <c r="N624" s="60"/>
      <c r="O624" s="60">
        <f t="shared" si="120"/>
        <v>0</v>
      </c>
      <c r="P624" s="60">
        <f t="shared" si="119"/>
        <v>0</v>
      </c>
    </row>
    <row r="625" spans="1:16" s="38" customFormat="1" ht="10.7" customHeight="1" outlineLevel="1" x14ac:dyDescent="0.25">
      <c r="A625" s="124"/>
      <c r="B625" s="142"/>
      <c r="C625" s="115"/>
      <c r="D625" s="115"/>
      <c r="E625" s="115"/>
      <c r="F625" s="115"/>
      <c r="G625" s="60" t="s">
        <v>130</v>
      </c>
      <c r="H625" s="124"/>
      <c r="I625" s="124"/>
      <c r="J625" s="60"/>
      <c r="K625" s="60"/>
      <c r="L625" s="160"/>
      <c r="M625" s="60"/>
      <c r="N625" s="60"/>
      <c r="O625" s="60">
        <f t="shared" si="120"/>
        <v>0</v>
      </c>
      <c r="P625" s="60">
        <f t="shared" si="119"/>
        <v>0</v>
      </c>
    </row>
    <row r="626" spans="1:16" s="38" customFormat="1" ht="12" customHeight="1" outlineLevel="1" thickBot="1" x14ac:dyDescent="0.3">
      <c r="A626" s="125"/>
      <c r="B626" s="143"/>
      <c r="C626" s="131"/>
      <c r="D626" s="131"/>
      <c r="E626" s="131"/>
      <c r="F626" s="131"/>
      <c r="G626" s="60" t="s">
        <v>131</v>
      </c>
      <c r="H626" s="134"/>
      <c r="I626" s="134"/>
      <c r="J626" s="60"/>
      <c r="K626" s="60"/>
      <c r="L626" s="160"/>
      <c r="M626" s="60"/>
      <c r="N626" s="60"/>
      <c r="O626" s="60">
        <f t="shared" si="120"/>
        <v>0</v>
      </c>
      <c r="P626" s="60">
        <f t="shared" si="119"/>
        <v>0</v>
      </c>
    </row>
    <row r="627" spans="1:16" s="38" customFormat="1" ht="14.45" customHeight="1" outlineLevel="1" x14ac:dyDescent="0.25">
      <c r="A627" s="140" t="s">
        <v>700</v>
      </c>
      <c r="B627" s="141" t="s">
        <v>701</v>
      </c>
      <c r="C627" s="130">
        <f>SUM(O627:O633)</f>
        <v>0</v>
      </c>
      <c r="D627" s="130">
        <f>SUM(P627:P633)</f>
        <v>0</v>
      </c>
      <c r="E627" s="130">
        <f t="shared" si="112"/>
        <v>0</v>
      </c>
      <c r="F627" s="130"/>
      <c r="G627" s="60" t="s">
        <v>125</v>
      </c>
      <c r="H627" s="123"/>
      <c r="I627" s="123"/>
      <c r="J627" s="60"/>
      <c r="K627" s="60"/>
      <c r="L627" s="160"/>
      <c r="M627" s="60"/>
      <c r="N627" s="60"/>
      <c r="O627" s="60">
        <f>N627*J627*K627*M627</f>
        <v>0</v>
      </c>
      <c r="P627" s="60">
        <f t="shared" si="119"/>
        <v>0</v>
      </c>
    </row>
    <row r="628" spans="1:16" s="38" customFormat="1" ht="11.45" customHeight="1" outlineLevel="1" x14ac:dyDescent="0.25">
      <c r="A628" s="124"/>
      <c r="B628" s="142"/>
      <c r="C628" s="115"/>
      <c r="D628" s="115"/>
      <c r="E628" s="115"/>
      <c r="F628" s="115"/>
      <c r="G628" s="60" t="s">
        <v>126</v>
      </c>
      <c r="H628" s="124"/>
      <c r="I628" s="124"/>
      <c r="J628" s="60"/>
      <c r="K628" s="60"/>
      <c r="L628" s="160"/>
      <c r="M628" s="60"/>
      <c r="N628" s="60"/>
      <c r="O628" s="60">
        <f t="shared" ref="O628:O633" si="121">N628*J628*K628*M628</f>
        <v>0</v>
      </c>
      <c r="P628" s="60">
        <f t="shared" si="119"/>
        <v>0</v>
      </c>
    </row>
    <row r="629" spans="1:16" s="38" customFormat="1" ht="10.7" customHeight="1" outlineLevel="1" x14ac:dyDescent="0.25">
      <c r="A629" s="124"/>
      <c r="B629" s="142"/>
      <c r="C629" s="115"/>
      <c r="D629" s="115"/>
      <c r="E629" s="115"/>
      <c r="F629" s="115"/>
      <c r="G629" s="60" t="s">
        <v>127</v>
      </c>
      <c r="H629" s="124"/>
      <c r="I629" s="124"/>
      <c r="J629" s="60"/>
      <c r="K629" s="60"/>
      <c r="L629" s="160"/>
      <c r="M629" s="60"/>
      <c r="N629" s="60"/>
      <c r="O629" s="60">
        <f t="shared" si="121"/>
        <v>0</v>
      </c>
      <c r="P629" s="60">
        <f t="shared" si="119"/>
        <v>0</v>
      </c>
    </row>
    <row r="630" spans="1:16" s="38" customFormat="1" ht="10.7" customHeight="1" outlineLevel="1" x14ac:dyDescent="0.25">
      <c r="A630" s="124"/>
      <c r="B630" s="142"/>
      <c r="C630" s="115"/>
      <c r="D630" s="115"/>
      <c r="E630" s="115"/>
      <c r="F630" s="115"/>
      <c r="G630" s="60" t="s">
        <v>128</v>
      </c>
      <c r="H630" s="124"/>
      <c r="I630" s="124"/>
      <c r="J630" s="60"/>
      <c r="K630" s="60"/>
      <c r="L630" s="160"/>
      <c r="M630" s="60"/>
      <c r="N630" s="60"/>
      <c r="O630" s="60">
        <f t="shared" si="121"/>
        <v>0</v>
      </c>
      <c r="P630" s="60">
        <f t="shared" si="119"/>
        <v>0</v>
      </c>
    </row>
    <row r="631" spans="1:16" s="38" customFormat="1" ht="10.7" customHeight="1" outlineLevel="1" x14ac:dyDescent="0.25">
      <c r="A631" s="124"/>
      <c r="B631" s="142"/>
      <c r="C631" s="115"/>
      <c r="D631" s="115"/>
      <c r="E631" s="115"/>
      <c r="F631" s="115"/>
      <c r="G631" s="60" t="s">
        <v>129</v>
      </c>
      <c r="H631" s="124"/>
      <c r="I631" s="124"/>
      <c r="J631" s="60"/>
      <c r="K631" s="60"/>
      <c r="L631" s="160"/>
      <c r="M631" s="60"/>
      <c r="N631" s="60"/>
      <c r="O631" s="60">
        <f t="shared" si="121"/>
        <v>0</v>
      </c>
      <c r="P631" s="60">
        <f t="shared" si="119"/>
        <v>0</v>
      </c>
    </row>
    <row r="632" spans="1:16" s="38" customFormat="1" ht="10.7" customHeight="1" outlineLevel="1" x14ac:dyDescent="0.25">
      <c r="A632" s="124"/>
      <c r="B632" s="142"/>
      <c r="C632" s="115"/>
      <c r="D632" s="115"/>
      <c r="E632" s="115"/>
      <c r="F632" s="115"/>
      <c r="G632" s="60" t="s">
        <v>130</v>
      </c>
      <c r="H632" s="124"/>
      <c r="I632" s="124"/>
      <c r="J632" s="60"/>
      <c r="K632" s="60"/>
      <c r="L632" s="160"/>
      <c r="M632" s="60"/>
      <c r="N632" s="60"/>
      <c r="O632" s="60">
        <f t="shared" si="121"/>
        <v>0</v>
      </c>
      <c r="P632" s="60">
        <f t="shared" si="119"/>
        <v>0</v>
      </c>
    </row>
    <row r="633" spans="1:16" s="38" customFormat="1" ht="12" customHeight="1" outlineLevel="1" thickBot="1" x14ac:dyDescent="0.3">
      <c r="A633" s="125"/>
      <c r="B633" s="143"/>
      <c r="C633" s="131"/>
      <c r="D633" s="131"/>
      <c r="E633" s="131"/>
      <c r="F633" s="131"/>
      <c r="G633" s="60" t="s">
        <v>131</v>
      </c>
      <c r="H633" s="134"/>
      <c r="I633" s="134"/>
      <c r="J633" s="60"/>
      <c r="K633" s="60"/>
      <c r="L633" s="160"/>
      <c r="M633" s="60"/>
      <c r="N633" s="60"/>
      <c r="O633" s="60">
        <f t="shared" si="121"/>
        <v>0</v>
      </c>
      <c r="P633" s="60">
        <f t="shared" si="119"/>
        <v>0</v>
      </c>
    </row>
    <row r="634" spans="1:16" s="38" customFormat="1" ht="14.45" customHeight="1" outlineLevel="1" x14ac:dyDescent="0.25">
      <c r="A634" s="140" t="s">
        <v>702</v>
      </c>
      <c r="B634" s="141" t="s">
        <v>703</v>
      </c>
      <c r="C634" s="130">
        <f>SUM(O634:O640)</f>
        <v>0</v>
      </c>
      <c r="D634" s="130">
        <f>SUM(P634:P640)</f>
        <v>0</v>
      </c>
      <c r="E634" s="130">
        <f t="shared" si="112"/>
        <v>0</v>
      </c>
      <c r="F634" s="130"/>
      <c r="G634" s="60" t="s">
        <v>125</v>
      </c>
      <c r="H634" s="123"/>
      <c r="I634" s="123"/>
      <c r="J634" s="60"/>
      <c r="K634" s="60"/>
      <c r="L634" s="160"/>
      <c r="M634" s="60"/>
      <c r="N634" s="60"/>
      <c r="O634" s="60">
        <f>N634*J634*K634*M634</f>
        <v>0</v>
      </c>
      <c r="P634" s="60">
        <f t="shared" si="119"/>
        <v>0</v>
      </c>
    </row>
    <row r="635" spans="1:16" s="38" customFormat="1" ht="11.45" customHeight="1" outlineLevel="1" x14ac:dyDescent="0.25">
      <c r="A635" s="124"/>
      <c r="B635" s="142"/>
      <c r="C635" s="115"/>
      <c r="D635" s="115"/>
      <c r="E635" s="115"/>
      <c r="F635" s="115"/>
      <c r="G635" s="60" t="s">
        <v>126</v>
      </c>
      <c r="H635" s="124"/>
      <c r="I635" s="124"/>
      <c r="J635" s="60"/>
      <c r="K635" s="60"/>
      <c r="L635" s="160"/>
      <c r="M635" s="60"/>
      <c r="N635" s="60"/>
      <c r="O635" s="60">
        <f t="shared" ref="O635:O640" si="122">N635*J635*K635*M635</f>
        <v>0</v>
      </c>
      <c r="P635" s="60">
        <f t="shared" si="119"/>
        <v>0</v>
      </c>
    </row>
    <row r="636" spans="1:16" s="38" customFormat="1" ht="10.7" customHeight="1" outlineLevel="1" x14ac:dyDescent="0.25">
      <c r="A636" s="124"/>
      <c r="B636" s="142"/>
      <c r="C636" s="115"/>
      <c r="D636" s="115"/>
      <c r="E636" s="115"/>
      <c r="F636" s="115"/>
      <c r="G636" s="60" t="s">
        <v>127</v>
      </c>
      <c r="H636" s="124"/>
      <c r="I636" s="124"/>
      <c r="J636" s="60"/>
      <c r="K636" s="60"/>
      <c r="L636" s="160"/>
      <c r="M636" s="60"/>
      <c r="N636" s="60"/>
      <c r="O636" s="60">
        <f t="shared" si="122"/>
        <v>0</v>
      </c>
      <c r="P636" s="60">
        <f t="shared" si="119"/>
        <v>0</v>
      </c>
    </row>
    <row r="637" spans="1:16" s="38" customFormat="1" ht="10.7" customHeight="1" outlineLevel="1" x14ac:dyDescent="0.25">
      <c r="A637" s="124"/>
      <c r="B637" s="142"/>
      <c r="C637" s="115"/>
      <c r="D637" s="115"/>
      <c r="E637" s="115"/>
      <c r="F637" s="115"/>
      <c r="G637" s="60" t="s">
        <v>128</v>
      </c>
      <c r="H637" s="124"/>
      <c r="I637" s="124"/>
      <c r="J637" s="60"/>
      <c r="K637" s="60"/>
      <c r="L637" s="160"/>
      <c r="M637" s="60"/>
      <c r="N637" s="60"/>
      <c r="O637" s="60">
        <f t="shared" si="122"/>
        <v>0</v>
      </c>
      <c r="P637" s="60">
        <f t="shared" si="119"/>
        <v>0</v>
      </c>
    </row>
    <row r="638" spans="1:16" s="38" customFormat="1" ht="10.7" customHeight="1" outlineLevel="1" x14ac:dyDescent="0.25">
      <c r="A638" s="124"/>
      <c r="B638" s="142"/>
      <c r="C638" s="115"/>
      <c r="D638" s="115"/>
      <c r="E638" s="115"/>
      <c r="F638" s="115"/>
      <c r="G638" s="60" t="s">
        <v>129</v>
      </c>
      <c r="H638" s="124"/>
      <c r="I638" s="124"/>
      <c r="J638" s="60"/>
      <c r="K638" s="60"/>
      <c r="L638" s="160"/>
      <c r="M638" s="60"/>
      <c r="N638" s="60"/>
      <c r="O638" s="60">
        <f t="shared" si="122"/>
        <v>0</v>
      </c>
      <c r="P638" s="60">
        <f t="shared" si="119"/>
        <v>0</v>
      </c>
    </row>
    <row r="639" spans="1:16" s="38" customFormat="1" ht="10.7" customHeight="1" outlineLevel="1" x14ac:dyDescent="0.25">
      <c r="A639" s="124"/>
      <c r="B639" s="142"/>
      <c r="C639" s="115"/>
      <c r="D639" s="115"/>
      <c r="E639" s="115"/>
      <c r="F639" s="115"/>
      <c r="G639" s="60" t="s">
        <v>130</v>
      </c>
      <c r="H639" s="124"/>
      <c r="I639" s="124"/>
      <c r="J639" s="60"/>
      <c r="K639" s="60"/>
      <c r="L639" s="160"/>
      <c r="M639" s="60"/>
      <c r="N639" s="60"/>
      <c r="O639" s="60">
        <f t="shared" si="122"/>
        <v>0</v>
      </c>
      <c r="P639" s="60">
        <f t="shared" si="119"/>
        <v>0</v>
      </c>
    </row>
    <row r="640" spans="1:16" s="38" customFormat="1" ht="12" customHeight="1" outlineLevel="1" thickBot="1" x14ac:dyDescent="0.3">
      <c r="A640" s="125"/>
      <c r="B640" s="143"/>
      <c r="C640" s="131"/>
      <c r="D640" s="131"/>
      <c r="E640" s="131"/>
      <c r="F640" s="131"/>
      <c r="G640" s="60" t="s">
        <v>131</v>
      </c>
      <c r="H640" s="134"/>
      <c r="I640" s="134"/>
      <c r="J640" s="60"/>
      <c r="K640" s="60"/>
      <c r="L640" s="160"/>
      <c r="M640" s="60"/>
      <c r="N640" s="60"/>
      <c r="O640" s="60">
        <f t="shared" si="122"/>
        <v>0</v>
      </c>
      <c r="P640" s="60">
        <f t="shared" si="119"/>
        <v>0</v>
      </c>
    </row>
    <row r="641" spans="1:16" s="38" customFormat="1" ht="14.45" customHeight="1" outlineLevel="1" x14ac:dyDescent="0.25">
      <c r="A641" s="140" t="s">
        <v>704</v>
      </c>
      <c r="B641" s="141" t="s">
        <v>705</v>
      </c>
      <c r="C641" s="130">
        <f>SUM(O641:O647)</f>
        <v>0</v>
      </c>
      <c r="D641" s="130">
        <f>SUM(P641:P647)</f>
        <v>0</v>
      </c>
      <c r="E641" s="130">
        <f t="shared" si="112"/>
        <v>0</v>
      </c>
      <c r="F641" s="130"/>
      <c r="G641" s="60" t="s">
        <v>125</v>
      </c>
      <c r="H641" s="123"/>
      <c r="I641" s="123"/>
      <c r="J641" s="60"/>
      <c r="K641" s="60"/>
      <c r="L641" s="160"/>
      <c r="M641" s="60"/>
      <c r="N641" s="60"/>
      <c r="O641" s="60">
        <f>N641*J641*K641*M641</f>
        <v>0</v>
      </c>
      <c r="P641" s="60">
        <f t="shared" si="119"/>
        <v>0</v>
      </c>
    </row>
    <row r="642" spans="1:16" s="38" customFormat="1" ht="11.45" customHeight="1" outlineLevel="1" x14ac:dyDescent="0.25">
      <c r="A642" s="124"/>
      <c r="B642" s="142"/>
      <c r="C642" s="115"/>
      <c r="D642" s="115"/>
      <c r="E642" s="115"/>
      <c r="F642" s="115"/>
      <c r="G642" s="60" t="s">
        <v>126</v>
      </c>
      <c r="H642" s="124"/>
      <c r="I642" s="124"/>
      <c r="J642" s="60"/>
      <c r="K642" s="60"/>
      <c r="L642" s="160"/>
      <c r="M642" s="60"/>
      <c r="N642" s="60"/>
      <c r="O642" s="60">
        <f t="shared" ref="O642:O647" si="123">N642*J642*K642*M642</f>
        <v>0</v>
      </c>
      <c r="P642" s="60">
        <f t="shared" si="119"/>
        <v>0</v>
      </c>
    </row>
    <row r="643" spans="1:16" s="38" customFormat="1" ht="10.7" customHeight="1" outlineLevel="1" x14ac:dyDescent="0.25">
      <c r="A643" s="124"/>
      <c r="B643" s="142"/>
      <c r="C643" s="115"/>
      <c r="D643" s="115"/>
      <c r="E643" s="115"/>
      <c r="F643" s="115"/>
      <c r="G643" s="60" t="s">
        <v>127</v>
      </c>
      <c r="H643" s="124"/>
      <c r="I643" s="124"/>
      <c r="J643" s="60"/>
      <c r="K643" s="60"/>
      <c r="L643" s="160"/>
      <c r="M643" s="60"/>
      <c r="N643" s="60"/>
      <c r="O643" s="60">
        <f t="shared" si="123"/>
        <v>0</v>
      </c>
      <c r="P643" s="60">
        <f t="shared" si="119"/>
        <v>0</v>
      </c>
    </row>
    <row r="644" spans="1:16" s="38" customFormat="1" ht="10.7" customHeight="1" outlineLevel="1" x14ac:dyDescent="0.25">
      <c r="A644" s="124"/>
      <c r="B644" s="142"/>
      <c r="C644" s="115"/>
      <c r="D644" s="115"/>
      <c r="E644" s="115"/>
      <c r="F644" s="115"/>
      <c r="G644" s="60" t="s">
        <v>128</v>
      </c>
      <c r="H644" s="124"/>
      <c r="I644" s="124"/>
      <c r="J644" s="60"/>
      <c r="K644" s="60"/>
      <c r="L644" s="160"/>
      <c r="M644" s="60"/>
      <c r="N644" s="60"/>
      <c r="O644" s="60">
        <f t="shared" si="123"/>
        <v>0</v>
      </c>
      <c r="P644" s="60">
        <f t="shared" si="119"/>
        <v>0</v>
      </c>
    </row>
    <row r="645" spans="1:16" s="38" customFormat="1" ht="10.7" customHeight="1" outlineLevel="1" x14ac:dyDescent="0.25">
      <c r="A645" s="124"/>
      <c r="B645" s="142"/>
      <c r="C645" s="115"/>
      <c r="D645" s="115"/>
      <c r="E645" s="115"/>
      <c r="F645" s="115"/>
      <c r="G645" s="60" t="s">
        <v>129</v>
      </c>
      <c r="H645" s="124"/>
      <c r="I645" s="124"/>
      <c r="J645" s="60"/>
      <c r="K645" s="60"/>
      <c r="L645" s="160"/>
      <c r="M645" s="60"/>
      <c r="N645" s="60"/>
      <c r="O645" s="60">
        <f t="shared" si="123"/>
        <v>0</v>
      </c>
      <c r="P645" s="60">
        <f t="shared" si="119"/>
        <v>0</v>
      </c>
    </row>
    <row r="646" spans="1:16" s="38" customFormat="1" ht="10.7" customHeight="1" outlineLevel="1" x14ac:dyDescent="0.25">
      <c r="A646" s="124"/>
      <c r="B646" s="142"/>
      <c r="C646" s="115"/>
      <c r="D646" s="115"/>
      <c r="E646" s="115"/>
      <c r="F646" s="115"/>
      <c r="G646" s="60" t="s">
        <v>130</v>
      </c>
      <c r="H646" s="124"/>
      <c r="I646" s="124"/>
      <c r="J646" s="60"/>
      <c r="K646" s="60"/>
      <c r="L646" s="160"/>
      <c r="M646" s="60"/>
      <c r="N646" s="60"/>
      <c r="O646" s="60">
        <f t="shared" si="123"/>
        <v>0</v>
      </c>
      <c r="P646" s="60">
        <f t="shared" si="119"/>
        <v>0</v>
      </c>
    </row>
    <row r="647" spans="1:16" s="38" customFormat="1" ht="12" customHeight="1" outlineLevel="1" thickBot="1" x14ac:dyDescent="0.3">
      <c r="A647" s="125"/>
      <c r="B647" s="143"/>
      <c r="C647" s="131"/>
      <c r="D647" s="131"/>
      <c r="E647" s="131"/>
      <c r="F647" s="131"/>
      <c r="G647" s="60" t="s">
        <v>131</v>
      </c>
      <c r="H647" s="134"/>
      <c r="I647" s="134"/>
      <c r="J647" s="60"/>
      <c r="K647" s="60"/>
      <c r="L647" s="160"/>
      <c r="M647" s="60"/>
      <c r="N647" s="60"/>
      <c r="O647" s="60">
        <f t="shared" si="123"/>
        <v>0</v>
      </c>
      <c r="P647" s="60">
        <f t="shared" si="119"/>
        <v>0</v>
      </c>
    </row>
    <row r="648" spans="1:16" s="38" customFormat="1" ht="14.45" customHeight="1" outlineLevel="1" x14ac:dyDescent="0.25">
      <c r="A648" s="140" t="s">
        <v>706</v>
      </c>
      <c r="B648" s="141" t="s">
        <v>707</v>
      </c>
      <c r="C648" s="130">
        <f>SUM(O648:O654)</f>
        <v>0</v>
      </c>
      <c r="D648" s="130">
        <f>SUM(P648:P654)</f>
        <v>0</v>
      </c>
      <c r="E648" s="130">
        <f t="shared" ref="E648:E711" si="124">D648/8</f>
        <v>0</v>
      </c>
      <c r="F648" s="130"/>
      <c r="G648" s="60" t="s">
        <v>125</v>
      </c>
      <c r="H648" s="123"/>
      <c r="I648" s="123"/>
      <c r="J648" s="60"/>
      <c r="K648" s="60"/>
      <c r="L648" s="160"/>
      <c r="M648" s="60"/>
      <c r="N648" s="60"/>
      <c r="O648" s="60">
        <f>N648*J648*K648*M648</f>
        <v>0</v>
      </c>
      <c r="P648" s="60">
        <f t="shared" si="119"/>
        <v>0</v>
      </c>
    </row>
    <row r="649" spans="1:16" s="38" customFormat="1" ht="11.45" customHeight="1" outlineLevel="1" x14ac:dyDescent="0.25">
      <c r="A649" s="124"/>
      <c r="B649" s="142"/>
      <c r="C649" s="115"/>
      <c r="D649" s="115"/>
      <c r="E649" s="115"/>
      <c r="F649" s="115"/>
      <c r="G649" s="60" t="s">
        <v>126</v>
      </c>
      <c r="H649" s="124"/>
      <c r="I649" s="124"/>
      <c r="J649" s="60"/>
      <c r="K649" s="60"/>
      <c r="L649" s="160"/>
      <c r="M649" s="60"/>
      <c r="N649" s="60"/>
      <c r="O649" s="60">
        <f t="shared" ref="O649:O654" si="125">N649*J649*K649*M649</f>
        <v>0</v>
      </c>
      <c r="P649" s="60">
        <f t="shared" si="119"/>
        <v>0</v>
      </c>
    </row>
    <row r="650" spans="1:16" s="38" customFormat="1" ht="10.7" customHeight="1" outlineLevel="1" x14ac:dyDescent="0.25">
      <c r="A650" s="124"/>
      <c r="B650" s="142"/>
      <c r="C650" s="115"/>
      <c r="D650" s="115"/>
      <c r="E650" s="115"/>
      <c r="F650" s="115"/>
      <c r="G650" s="60" t="s">
        <v>127</v>
      </c>
      <c r="H650" s="124"/>
      <c r="I650" s="124"/>
      <c r="J650" s="60"/>
      <c r="K650" s="60"/>
      <c r="L650" s="160"/>
      <c r="M650" s="60"/>
      <c r="N650" s="60"/>
      <c r="O650" s="60">
        <f t="shared" si="125"/>
        <v>0</v>
      </c>
      <c r="P650" s="60">
        <f t="shared" si="119"/>
        <v>0</v>
      </c>
    </row>
    <row r="651" spans="1:16" s="38" customFormat="1" ht="10.7" customHeight="1" outlineLevel="1" x14ac:dyDescent="0.25">
      <c r="A651" s="124"/>
      <c r="B651" s="142"/>
      <c r="C651" s="115"/>
      <c r="D651" s="115"/>
      <c r="E651" s="115"/>
      <c r="F651" s="115"/>
      <c r="G651" s="60" t="s">
        <v>128</v>
      </c>
      <c r="H651" s="124"/>
      <c r="I651" s="124"/>
      <c r="J651" s="60"/>
      <c r="K651" s="60"/>
      <c r="L651" s="160"/>
      <c r="M651" s="60"/>
      <c r="N651" s="60"/>
      <c r="O651" s="60">
        <f t="shared" si="125"/>
        <v>0</v>
      </c>
      <c r="P651" s="60">
        <f t="shared" si="119"/>
        <v>0</v>
      </c>
    </row>
    <row r="652" spans="1:16" s="38" customFormat="1" ht="10.7" customHeight="1" outlineLevel="1" x14ac:dyDescent="0.25">
      <c r="A652" s="124"/>
      <c r="B652" s="142"/>
      <c r="C652" s="115"/>
      <c r="D652" s="115"/>
      <c r="E652" s="115"/>
      <c r="F652" s="115"/>
      <c r="G652" s="60" t="s">
        <v>129</v>
      </c>
      <c r="H652" s="124"/>
      <c r="I652" s="124"/>
      <c r="J652" s="60"/>
      <c r="K652" s="60"/>
      <c r="L652" s="160"/>
      <c r="M652" s="60"/>
      <c r="N652" s="60"/>
      <c r="O652" s="60">
        <f t="shared" si="125"/>
        <v>0</v>
      </c>
      <c r="P652" s="60">
        <f t="shared" si="119"/>
        <v>0</v>
      </c>
    </row>
    <row r="653" spans="1:16" s="38" customFormat="1" ht="10.7" customHeight="1" outlineLevel="1" x14ac:dyDescent="0.25">
      <c r="A653" s="124"/>
      <c r="B653" s="142"/>
      <c r="C653" s="115"/>
      <c r="D653" s="115"/>
      <c r="E653" s="115"/>
      <c r="F653" s="115"/>
      <c r="G653" s="60" t="s">
        <v>130</v>
      </c>
      <c r="H653" s="124"/>
      <c r="I653" s="124"/>
      <c r="J653" s="60"/>
      <c r="K653" s="60"/>
      <c r="L653" s="160"/>
      <c r="M653" s="60"/>
      <c r="N653" s="60"/>
      <c r="O653" s="60">
        <f t="shared" si="125"/>
        <v>0</v>
      </c>
      <c r="P653" s="60">
        <f t="shared" si="119"/>
        <v>0</v>
      </c>
    </row>
    <row r="654" spans="1:16" s="38" customFormat="1" ht="12" customHeight="1" outlineLevel="1" thickBot="1" x14ac:dyDescent="0.3">
      <c r="A654" s="125"/>
      <c r="B654" s="143"/>
      <c r="C654" s="131"/>
      <c r="D654" s="131"/>
      <c r="E654" s="131"/>
      <c r="F654" s="131"/>
      <c r="G654" s="60" t="s">
        <v>131</v>
      </c>
      <c r="H654" s="134"/>
      <c r="I654" s="134"/>
      <c r="J654" s="60"/>
      <c r="K654" s="60"/>
      <c r="L654" s="160"/>
      <c r="M654" s="60"/>
      <c r="N654" s="60"/>
      <c r="O654" s="60">
        <f t="shared" si="125"/>
        <v>0</v>
      </c>
      <c r="P654" s="60">
        <f t="shared" si="119"/>
        <v>0</v>
      </c>
    </row>
    <row r="655" spans="1:16" s="38" customFormat="1" ht="14.45" customHeight="1" outlineLevel="1" x14ac:dyDescent="0.25">
      <c r="A655" s="140" t="s">
        <v>708</v>
      </c>
      <c r="B655" s="141" t="s">
        <v>709</v>
      </c>
      <c r="C655" s="130">
        <f>SUM(O655:O661)</f>
        <v>0</v>
      </c>
      <c r="D655" s="130">
        <f>SUM(P655:P661)</f>
        <v>0</v>
      </c>
      <c r="E655" s="130">
        <f t="shared" si="124"/>
        <v>0</v>
      </c>
      <c r="F655" s="130"/>
      <c r="G655" s="60" t="s">
        <v>125</v>
      </c>
      <c r="H655" s="123"/>
      <c r="I655" s="123"/>
      <c r="J655" s="60"/>
      <c r="K655" s="60"/>
      <c r="L655" s="160"/>
      <c r="M655" s="60"/>
      <c r="N655" s="60"/>
      <c r="O655" s="60">
        <f>N655*J655*K655*M655</f>
        <v>0</v>
      </c>
      <c r="P655" s="60">
        <f t="shared" si="119"/>
        <v>0</v>
      </c>
    </row>
    <row r="656" spans="1:16" s="38" customFormat="1" ht="11.45" customHeight="1" outlineLevel="1" x14ac:dyDescent="0.25">
      <c r="A656" s="124"/>
      <c r="B656" s="142"/>
      <c r="C656" s="115"/>
      <c r="D656" s="115"/>
      <c r="E656" s="115"/>
      <c r="F656" s="115"/>
      <c r="G656" s="60" t="s">
        <v>126</v>
      </c>
      <c r="H656" s="124"/>
      <c r="I656" s="124"/>
      <c r="J656" s="60"/>
      <c r="K656" s="60"/>
      <c r="L656" s="160"/>
      <c r="M656" s="60"/>
      <c r="N656" s="60"/>
      <c r="O656" s="60">
        <f t="shared" ref="O656:O661" si="126">N656*J656*K656*M656</f>
        <v>0</v>
      </c>
      <c r="P656" s="60">
        <f t="shared" si="119"/>
        <v>0</v>
      </c>
    </row>
    <row r="657" spans="1:16" s="38" customFormat="1" ht="10.7" customHeight="1" outlineLevel="1" x14ac:dyDescent="0.25">
      <c r="A657" s="124"/>
      <c r="B657" s="142"/>
      <c r="C657" s="115"/>
      <c r="D657" s="115"/>
      <c r="E657" s="115"/>
      <c r="F657" s="115"/>
      <c r="G657" s="60" t="s">
        <v>127</v>
      </c>
      <c r="H657" s="124"/>
      <c r="I657" s="124"/>
      <c r="J657" s="60"/>
      <c r="K657" s="60"/>
      <c r="L657" s="160"/>
      <c r="M657" s="60"/>
      <c r="N657" s="60"/>
      <c r="O657" s="60">
        <f t="shared" si="126"/>
        <v>0</v>
      </c>
      <c r="P657" s="60">
        <f t="shared" si="119"/>
        <v>0</v>
      </c>
    </row>
    <row r="658" spans="1:16" s="38" customFormat="1" ht="10.7" customHeight="1" outlineLevel="1" x14ac:dyDescent="0.25">
      <c r="A658" s="124"/>
      <c r="B658" s="142"/>
      <c r="C658" s="115"/>
      <c r="D658" s="115"/>
      <c r="E658" s="115"/>
      <c r="F658" s="115"/>
      <c r="G658" s="60" t="s">
        <v>128</v>
      </c>
      <c r="H658" s="124"/>
      <c r="I658" s="124"/>
      <c r="J658" s="60"/>
      <c r="K658" s="60"/>
      <c r="L658" s="160"/>
      <c r="M658" s="60"/>
      <c r="N658" s="60"/>
      <c r="O658" s="60">
        <f t="shared" si="126"/>
        <v>0</v>
      </c>
      <c r="P658" s="60">
        <f t="shared" si="119"/>
        <v>0</v>
      </c>
    </row>
    <row r="659" spans="1:16" s="38" customFormat="1" ht="10.7" customHeight="1" outlineLevel="1" x14ac:dyDescent="0.25">
      <c r="A659" s="124"/>
      <c r="B659" s="142"/>
      <c r="C659" s="115"/>
      <c r="D659" s="115"/>
      <c r="E659" s="115"/>
      <c r="F659" s="115"/>
      <c r="G659" s="60" t="s">
        <v>129</v>
      </c>
      <c r="H659" s="124"/>
      <c r="I659" s="124"/>
      <c r="J659" s="60"/>
      <c r="K659" s="60"/>
      <c r="L659" s="160"/>
      <c r="M659" s="60"/>
      <c r="N659" s="60"/>
      <c r="O659" s="60">
        <f t="shared" si="126"/>
        <v>0</v>
      </c>
      <c r="P659" s="60">
        <f t="shared" si="119"/>
        <v>0</v>
      </c>
    </row>
    <row r="660" spans="1:16" s="38" customFormat="1" ht="10.7" customHeight="1" outlineLevel="1" x14ac:dyDescent="0.25">
      <c r="A660" s="124"/>
      <c r="B660" s="142"/>
      <c r="C660" s="115"/>
      <c r="D660" s="115"/>
      <c r="E660" s="115"/>
      <c r="F660" s="115"/>
      <c r="G660" s="60" t="s">
        <v>130</v>
      </c>
      <c r="H660" s="124"/>
      <c r="I660" s="124"/>
      <c r="J660" s="60"/>
      <c r="K660" s="60"/>
      <c r="L660" s="160"/>
      <c r="M660" s="60"/>
      <c r="N660" s="60"/>
      <c r="O660" s="60">
        <f t="shared" si="126"/>
        <v>0</v>
      </c>
      <c r="P660" s="60">
        <f t="shared" si="119"/>
        <v>0</v>
      </c>
    </row>
    <row r="661" spans="1:16" s="38" customFormat="1" ht="12" customHeight="1" outlineLevel="1" thickBot="1" x14ac:dyDescent="0.3">
      <c r="A661" s="125"/>
      <c r="B661" s="143"/>
      <c r="C661" s="131"/>
      <c r="D661" s="131"/>
      <c r="E661" s="131"/>
      <c r="F661" s="131"/>
      <c r="G661" s="60" t="s">
        <v>131</v>
      </c>
      <c r="H661" s="134"/>
      <c r="I661" s="134"/>
      <c r="J661" s="60"/>
      <c r="K661" s="60"/>
      <c r="L661" s="160"/>
      <c r="M661" s="60"/>
      <c r="N661" s="60"/>
      <c r="O661" s="60">
        <f t="shared" si="126"/>
        <v>0</v>
      </c>
      <c r="P661" s="60">
        <f t="shared" si="119"/>
        <v>0</v>
      </c>
    </row>
    <row r="662" spans="1:16" s="38" customFormat="1" ht="14.45" customHeight="1" outlineLevel="1" x14ac:dyDescent="0.25">
      <c r="A662" s="140" t="s">
        <v>710</v>
      </c>
      <c r="B662" s="141" t="s">
        <v>711</v>
      </c>
      <c r="C662" s="130">
        <f>SUM(O662:O668)</f>
        <v>0</v>
      </c>
      <c r="D662" s="130">
        <f>SUM(P662:P668)</f>
        <v>0</v>
      </c>
      <c r="E662" s="130">
        <f t="shared" si="124"/>
        <v>0</v>
      </c>
      <c r="F662" s="130"/>
      <c r="G662" s="60" t="s">
        <v>125</v>
      </c>
      <c r="H662" s="123"/>
      <c r="I662" s="123"/>
      <c r="J662" s="60"/>
      <c r="K662" s="60"/>
      <c r="L662" s="160"/>
      <c r="M662" s="60"/>
      <c r="N662" s="60"/>
      <c r="O662" s="60">
        <f>N662*J662*K662*M662</f>
        <v>0</v>
      </c>
      <c r="P662" s="60">
        <f t="shared" si="119"/>
        <v>0</v>
      </c>
    </row>
    <row r="663" spans="1:16" s="38" customFormat="1" ht="11.45" customHeight="1" outlineLevel="1" x14ac:dyDescent="0.25">
      <c r="A663" s="124"/>
      <c r="B663" s="142"/>
      <c r="C663" s="115"/>
      <c r="D663" s="115"/>
      <c r="E663" s="115"/>
      <c r="F663" s="115"/>
      <c r="G663" s="60" t="s">
        <v>126</v>
      </c>
      <c r="H663" s="124"/>
      <c r="I663" s="124"/>
      <c r="J663" s="60"/>
      <c r="K663" s="60"/>
      <c r="L663" s="160"/>
      <c r="M663" s="60"/>
      <c r="N663" s="60"/>
      <c r="O663" s="60">
        <f t="shared" ref="O663:O668" si="127">N663*J663*K663*M663</f>
        <v>0</v>
      </c>
      <c r="P663" s="60">
        <f t="shared" si="119"/>
        <v>0</v>
      </c>
    </row>
    <row r="664" spans="1:16" s="38" customFormat="1" ht="10.7" customHeight="1" outlineLevel="1" x14ac:dyDescent="0.25">
      <c r="A664" s="124"/>
      <c r="B664" s="142"/>
      <c r="C664" s="115"/>
      <c r="D664" s="115"/>
      <c r="E664" s="115"/>
      <c r="F664" s="115"/>
      <c r="G664" s="60" t="s">
        <v>127</v>
      </c>
      <c r="H664" s="124"/>
      <c r="I664" s="124"/>
      <c r="J664" s="60"/>
      <c r="K664" s="60"/>
      <c r="L664" s="160"/>
      <c r="M664" s="60"/>
      <c r="N664" s="60"/>
      <c r="O664" s="60">
        <f t="shared" si="127"/>
        <v>0</v>
      </c>
      <c r="P664" s="60">
        <f t="shared" si="119"/>
        <v>0</v>
      </c>
    </row>
    <row r="665" spans="1:16" s="38" customFormat="1" ht="10.7" customHeight="1" outlineLevel="1" x14ac:dyDescent="0.25">
      <c r="A665" s="124"/>
      <c r="B665" s="142"/>
      <c r="C665" s="115"/>
      <c r="D665" s="115"/>
      <c r="E665" s="115"/>
      <c r="F665" s="115"/>
      <c r="G665" s="60" t="s">
        <v>128</v>
      </c>
      <c r="H665" s="124"/>
      <c r="I665" s="124"/>
      <c r="J665" s="60"/>
      <c r="K665" s="60"/>
      <c r="L665" s="160"/>
      <c r="M665" s="60"/>
      <c r="N665" s="60"/>
      <c r="O665" s="60">
        <f t="shared" si="127"/>
        <v>0</v>
      </c>
      <c r="P665" s="60">
        <f t="shared" si="119"/>
        <v>0</v>
      </c>
    </row>
    <row r="666" spans="1:16" s="38" customFormat="1" ht="10.7" customHeight="1" outlineLevel="1" x14ac:dyDescent="0.25">
      <c r="A666" s="124"/>
      <c r="B666" s="142"/>
      <c r="C666" s="115"/>
      <c r="D666" s="115"/>
      <c r="E666" s="115"/>
      <c r="F666" s="115"/>
      <c r="G666" s="60" t="s">
        <v>129</v>
      </c>
      <c r="H666" s="124"/>
      <c r="I666" s="124"/>
      <c r="J666" s="60"/>
      <c r="K666" s="60"/>
      <c r="L666" s="160"/>
      <c r="M666" s="60"/>
      <c r="N666" s="60"/>
      <c r="O666" s="60">
        <f t="shared" si="127"/>
        <v>0</v>
      </c>
      <c r="P666" s="60">
        <f t="shared" si="119"/>
        <v>0</v>
      </c>
    </row>
    <row r="667" spans="1:16" s="38" customFormat="1" ht="10.7" customHeight="1" outlineLevel="1" x14ac:dyDescent="0.25">
      <c r="A667" s="124"/>
      <c r="B667" s="142"/>
      <c r="C667" s="115"/>
      <c r="D667" s="115"/>
      <c r="E667" s="115"/>
      <c r="F667" s="115"/>
      <c r="G667" s="60" t="s">
        <v>130</v>
      </c>
      <c r="H667" s="124"/>
      <c r="I667" s="124"/>
      <c r="J667" s="60"/>
      <c r="K667" s="60"/>
      <c r="L667" s="160"/>
      <c r="M667" s="60"/>
      <c r="N667" s="60"/>
      <c r="O667" s="60">
        <f t="shared" si="127"/>
        <v>0</v>
      </c>
      <c r="P667" s="60">
        <f t="shared" si="119"/>
        <v>0</v>
      </c>
    </row>
    <row r="668" spans="1:16" s="38" customFormat="1" ht="12" customHeight="1" outlineLevel="1" thickBot="1" x14ac:dyDescent="0.3">
      <c r="A668" s="125"/>
      <c r="B668" s="143"/>
      <c r="C668" s="131"/>
      <c r="D668" s="131"/>
      <c r="E668" s="131"/>
      <c r="F668" s="131"/>
      <c r="G668" s="60" t="s">
        <v>131</v>
      </c>
      <c r="H668" s="134"/>
      <c r="I668" s="134"/>
      <c r="J668" s="60"/>
      <c r="K668" s="60"/>
      <c r="L668" s="160"/>
      <c r="M668" s="60"/>
      <c r="N668" s="60"/>
      <c r="O668" s="60">
        <f t="shared" si="127"/>
        <v>0</v>
      </c>
      <c r="P668" s="60">
        <f t="shared" si="119"/>
        <v>0</v>
      </c>
    </row>
    <row r="669" spans="1:16" s="38" customFormat="1" ht="14.45" customHeight="1" outlineLevel="1" x14ac:dyDescent="0.25">
      <c r="A669" s="140" t="s">
        <v>712</v>
      </c>
      <c r="B669" s="141" t="s">
        <v>713</v>
      </c>
      <c r="C669" s="130">
        <f>SUM(O669:O675)</f>
        <v>0</v>
      </c>
      <c r="D669" s="130">
        <f>SUM(P669:P675)</f>
        <v>0</v>
      </c>
      <c r="E669" s="130">
        <f t="shared" si="124"/>
        <v>0</v>
      </c>
      <c r="F669" s="130"/>
      <c r="G669" s="60" t="s">
        <v>125</v>
      </c>
      <c r="H669" s="123"/>
      <c r="I669" s="123"/>
      <c r="J669" s="60"/>
      <c r="K669" s="60"/>
      <c r="L669" s="160"/>
      <c r="M669" s="60"/>
      <c r="N669" s="60"/>
      <c r="O669" s="60">
        <f>N669*J669*K669*M669</f>
        <v>0</v>
      </c>
      <c r="P669" s="60">
        <f t="shared" si="119"/>
        <v>0</v>
      </c>
    </row>
    <row r="670" spans="1:16" s="38" customFormat="1" ht="11.45" customHeight="1" outlineLevel="1" x14ac:dyDescent="0.25">
      <c r="A670" s="124"/>
      <c r="B670" s="142"/>
      <c r="C670" s="115"/>
      <c r="D670" s="115"/>
      <c r="E670" s="115"/>
      <c r="F670" s="115"/>
      <c r="G670" s="60" t="s">
        <v>126</v>
      </c>
      <c r="H670" s="124"/>
      <c r="I670" s="124"/>
      <c r="J670" s="60"/>
      <c r="K670" s="60"/>
      <c r="L670" s="160"/>
      <c r="M670" s="60"/>
      <c r="N670" s="60"/>
      <c r="O670" s="60">
        <f t="shared" ref="O670:O675" si="128">N670*J670*K670*M670</f>
        <v>0</v>
      </c>
      <c r="P670" s="60">
        <f t="shared" si="119"/>
        <v>0</v>
      </c>
    </row>
    <row r="671" spans="1:16" s="38" customFormat="1" ht="10.7" customHeight="1" outlineLevel="1" x14ac:dyDescent="0.25">
      <c r="A671" s="124"/>
      <c r="B671" s="142"/>
      <c r="C671" s="115"/>
      <c r="D671" s="115"/>
      <c r="E671" s="115"/>
      <c r="F671" s="115"/>
      <c r="G671" s="60" t="s">
        <v>127</v>
      </c>
      <c r="H671" s="124"/>
      <c r="I671" s="124"/>
      <c r="J671" s="60"/>
      <c r="K671" s="60"/>
      <c r="L671" s="160"/>
      <c r="M671" s="60"/>
      <c r="N671" s="60"/>
      <c r="O671" s="60">
        <f t="shared" si="128"/>
        <v>0</v>
      </c>
      <c r="P671" s="60">
        <f t="shared" si="119"/>
        <v>0</v>
      </c>
    </row>
    <row r="672" spans="1:16" s="38" customFormat="1" ht="10.7" customHeight="1" outlineLevel="1" x14ac:dyDescent="0.25">
      <c r="A672" s="124"/>
      <c r="B672" s="142"/>
      <c r="C672" s="115"/>
      <c r="D672" s="115"/>
      <c r="E672" s="115"/>
      <c r="F672" s="115"/>
      <c r="G672" s="60" t="s">
        <v>128</v>
      </c>
      <c r="H672" s="124"/>
      <c r="I672" s="124"/>
      <c r="J672" s="60"/>
      <c r="K672" s="60"/>
      <c r="L672" s="160"/>
      <c r="M672" s="60"/>
      <c r="N672" s="60"/>
      <c r="O672" s="60">
        <f t="shared" si="128"/>
        <v>0</v>
      </c>
      <c r="P672" s="60">
        <f t="shared" si="119"/>
        <v>0</v>
      </c>
    </row>
    <row r="673" spans="1:16" s="38" customFormat="1" ht="10.7" customHeight="1" outlineLevel="1" x14ac:dyDescent="0.25">
      <c r="A673" s="124"/>
      <c r="B673" s="142"/>
      <c r="C673" s="115"/>
      <c r="D673" s="115"/>
      <c r="E673" s="115"/>
      <c r="F673" s="115"/>
      <c r="G673" s="60" t="s">
        <v>129</v>
      </c>
      <c r="H673" s="124"/>
      <c r="I673" s="124"/>
      <c r="J673" s="60"/>
      <c r="K673" s="60"/>
      <c r="L673" s="160"/>
      <c r="M673" s="60"/>
      <c r="N673" s="60"/>
      <c r="O673" s="60">
        <f t="shared" si="128"/>
        <v>0</v>
      </c>
      <c r="P673" s="60">
        <f t="shared" si="119"/>
        <v>0</v>
      </c>
    </row>
    <row r="674" spans="1:16" s="38" customFormat="1" ht="10.7" customHeight="1" outlineLevel="1" x14ac:dyDescent="0.25">
      <c r="A674" s="124"/>
      <c r="B674" s="142"/>
      <c r="C674" s="115"/>
      <c r="D674" s="115"/>
      <c r="E674" s="115"/>
      <c r="F674" s="115"/>
      <c r="G674" s="60" t="s">
        <v>130</v>
      </c>
      <c r="H674" s="124"/>
      <c r="I674" s="124"/>
      <c r="J674" s="60"/>
      <c r="K674" s="60"/>
      <c r="L674" s="160"/>
      <c r="M674" s="60"/>
      <c r="N674" s="60"/>
      <c r="O674" s="60">
        <f t="shared" si="128"/>
        <v>0</v>
      </c>
      <c r="P674" s="60">
        <f t="shared" si="119"/>
        <v>0</v>
      </c>
    </row>
    <row r="675" spans="1:16" s="38" customFormat="1" ht="12" customHeight="1" outlineLevel="1" thickBot="1" x14ac:dyDescent="0.3">
      <c r="A675" s="125"/>
      <c r="B675" s="143"/>
      <c r="C675" s="131"/>
      <c r="D675" s="131"/>
      <c r="E675" s="131"/>
      <c r="F675" s="131"/>
      <c r="G675" s="60" t="s">
        <v>131</v>
      </c>
      <c r="H675" s="134"/>
      <c r="I675" s="134"/>
      <c r="J675" s="60"/>
      <c r="K675" s="60"/>
      <c r="L675" s="160"/>
      <c r="M675" s="60"/>
      <c r="N675" s="60"/>
      <c r="O675" s="60">
        <f t="shared" si="128"/>
        <v>0</v>
      </c>
      <c r="P675" s="60">
        <f t="shared" si="119"/>
        <v>0</v>
      </c>
    </row>
    <row r="676" spans="1:16" s="38" customFormat="1" ht="14.45" customHeight="1" outlineLevel="1" x14ac:dyDescent="0.25">
      <c r="A676" s="140" t="s">
        <v>714</v>
      </c>
      <c r="B676" s="141" t="s">
        <v>715</v>
      </c>
      <c r="C676" s="130">
        <f>SUM(O676:O682)</f>
        <v>0</v>
      </c>
      <c r="D676" s="130">
        <f>SUM(P676:P682)</f>
        <v>0</v>
      </c>
      <c r="E676" s="130">
        <f t="shared" si="124"/>
        <v>0</v>
      </c>
      <c r="F676" s="130"/>
      <c r="G676" s="60" t="s">
        <v>125</v>
      </c>
      <c r="H676" s="123"/>
      <c r="I676" s="123"/>
      <c r="J676" s="60"/>
      <c r="K676" s="60"/>
      <c r="L676" s="160"/>
      <c r="M676" s="60"/>
      <c r="N676" s="60"/>
      <c r="O676" s="60">
        <f>N676*J676*K676*M676</f>
        <v>0</v>
      </c>
      <c r="P676" s="60">
        <f t="shared" si="119"/>
        <v>0</v>
      </c>
    </row>
    <row r="677" spans="1:16" s="38" customFormat="1" ht="11.45" customHeight="1" outlineLevel="1" x14ac:dyDescent="0.25">
      <c r="A677" s="124"/>
      <c r="B677" s="142"/>
      <c r="C677" s="115"/>
      <c r="D677" s="115"/>
      <c r="E677" s="115"/>
      <c r="F677" s="115"/>
      <c r="G677" s="60" t="s">
        <v>126</v>
      </c>
      <c r="H677" s="124"/>
      <c r="I677" s="124"/>
      <c r="J677" s="60"/>
      <c r="K677" s="60"/>
      <c r="L677" s="160"/>
      <c r="M677" s="60"/>
      <c r="N677" s="60"/>
      <c r="O677" s="60">
        <f t="shared" ref="O677:O682" si="129">N677*J677*K677*M677</f>
        <v>0</v>
      </c>
      <c r="P677" s="60">
        <f t="shared" si="119"/>
        <v>0</v>
      </c>
    </row>
    <row r="678" spans="1:16" s="38" customFormat="1" ht="10.7" customHeight="1" outlineLevel="1" x14ac:dyDescent="0.25">
      <c r="A678" s="124"/>
      <c r="B678" s="142"/>
      <c r="C678" s="115"/>
      <c r="D678" s="115"/>
      <c r="E678" s="115"/>
      <c r="F678" s="115"/>
      <c r="G678" s="60" t="s">
        <v>127</v>
      </c>
      <c r="H678" s="124"/>
      <c r="I678" s="124"/>
      <c r="J678" s="60"/>
      <c r="K678" s="60"/>
      <c r="L678" s="160"/>
      <c r="M678" s="60"/>
      <c r="N678" s="60"/>
      <c r="O678" s="60">
        <f t="shared" si="129"/>
        <v>0</v>
      </c>
      <c r="P678" s="60">
        <f t="shared" si="119"/>
        <v>0</v>
      </c>
    </row>
    <row r="679" spans="1:16" s="38" customFormat="1" ht="10.7" customHeight="1" outlineLevel="1" x14ac:dyDescent="0.25">
      <c r="A679" s="124"/>
      <c r="B679" s="142"/>
      <c r="C679" s="115"/>
      <c r="D679" s="115"/>
      <c r="E679" s="115"/>
      <c r="F679" s="115"/>
      <c r="G679" s="60" t="s">
        <v>128</v>
      </c>
      <c r="H679" s="124"/>
      <c r="I679" s="124"/>
      <c r="J679" s="60"/>
      <c r="K679" s="60"/>
      <c r="L679" s="160"/>
      <c r="M679" s="60"/>
      <c r="N679" s="60"/>
      <c r="O679" s="60">
        <f t="shared" si="129"/>
        <v>0</v>
      </c>
      <c r="P679" s="60">
        <f t="shared" si="119"/>
        <v>0</v>
      </c>
    </row>
    <row r="680" spans="1:16" s="38" customFormat="1" ht="10.7" customHeight="1" outlineLevel="1" x14ac:dyDescent="0.25">
      <c r="A680" s="124"/>
      <c r="B680" s="142"/>
      <c r="C680" s="115"/>
      <c r="D680" s="115"/>
      <c r="E680" s="115"/>
      <c r="F680" s="115"/>
      <c r="G680" s="60" t="s">
        <v>129</v>
      </c>
      <c r="H680" s="124"/>
      <c r="I680" s="124"/>
      <c r="J680" s="60"/>
      <c r="K680" s="60"/>
      <c r="L680" s="160"/>
      <c r="M680" s="60"/>
      <c r="N680" s="60"/>
      <c r="O680" s="60">
        <f t="shared" si="129"/>
        <v>0</v>
      </c>
      <c r="P680" s="60">
        <f t="shared" si="119"/>
        <v>0</v>
      </c>
    </row>
    <row r="681" spans="1:16" s="38" customFormat="1" ht="10.7" customHeight="1" outlineLevel="1" x14ac:dyDescent="0.25">
      <c r="A681" s="124"/>
      <c r="B681" s="142"/>
      <c r="C681" s="115"/>
      <c r="D681" s="115"/>
      <c r="E681" s="115"/>
      <c r="F681" s="115"/>
      <c r="G681" s="60" t="s">
        <v>130</v>
      </c>
      <c r="H681" s="124"/>
      <c r="I681" s="124"/>
      <c r="J681" s="60"/>
      <c r="K681" s="60"/>
      <c r="L681" s="160"/>
      <c r="M681" s="60"/>
      <c r="N681" s="60"/>
      <c r="O681" s="60">
        <f t="shared" si="129"/>
        <v>0</v>
      </c>
      <c r="P681" s="60">
        <f t="shared" si="119"/>
        <v>0</v>
      </c>
    </row>
    <row r="682" spans="1:16" s="38" customFormat="1" ht="12" customHeight="1" outlineLevel="1" thickBot="1" x14ac:dyDescent="0.3">
      <c r="A682" s="125"/>
      <c r="B682" s="143"/>
      <c r="C682" s="131"/>
      <c r="D682" s="131"/>
      <c r="E682" s="131"/>
      <c r="F682" s="131"/>
      <c r="G682" s="60" t="s">
        <v>131</v>
      </c>
      <c r="H682" s="134"/>
      <c r="I682" s="134"/>
      <c r="J682" s="60"/>
      <c r="K682" s="60"/>
      <c r="L682" s="160"/>
      <c r="M682" s="60"/>
      <c r="N682" s="60"/>
      <c r="O682" s="60">
        <f t="shared" si="129"/>
        <v>0</v>
      </c>
      <c r="P682" s="60">
        <f t="shared" si="119"/>
        <v>0</v>
      </c>
    </row>
    <row r="683" spans="1:16" s="38" customFormat="1" ht="14.45" customHeight="1" outlineLevel="1" x14ac:dyDescent="0.25">
      <c r="A683" s="140" t="s">
        <v>716</v>
      </c>
      <c r="B683" s="141" t="s">
        <v>717</v>
      </c>
      <c r="C683" s="130">
        <f>SUM(O683:O689)</f>
        <v>0</v>
      </c>
      <c r="D683" s="130">
        <f>SUM(P683:P689)</f>
        <v>0</v>
      </c>
      <c r="E683" s="130">
        <f t="shared" si="124"/>
        <v>0</v>
      </c>
      <c r="F683" s="130"/>
      <c r="G683" s="60" t="s">
        <v>125</v>
      </c>
      <c r="H683" s="123"/>
      <c r="I683" s="123"/>
      <c r="J683" s="60"/>
      <c r="K683" s="60"/>
      <c r="L683" s="160"/>
      <c r="M683" s="60"/>
      <c r="N683" s="60"/>
      <c r="O683" s="60">
        <f>N683*J683*K683*M683</f>
        <v>0</v>
      </c>
      <c r="P683" s="60">
        <f t="shared" ref="P683:P745" si="130">J683*K683*M683</f>
        <v>0</v>
      </c>
    </row>
    <row r="684" spans="1:16" s="38" customFormat="1" ht="11.45" customHeight="1" outlineLevel="1" x14ac:dyDescent="0.25">
      <c r="A684" s="124"/>
      <c r="B684" s="142"/>
      <c r="C684" s="115"/>
      <c r="D684" s="115"/>
      <c r="E684" s="115"/>
      <c r="F684" s="115"/>
      <c r="G684" s="60" t="s">
        <v>126</v>
      </c>
      <c r="H684" s="124"/>
      <c r="I684" s="124"/>
      <c r="J684" s="60"/>
      <c r="K684" s="60"/>
      <c r="L684" s="160"/>
      <c r="M684" s="60"/>
      <c r="N684" s="60"/>
      <c r="O684" s="60">
        <f t="shared" ref="O684:O689" si="131">N684*J684*K684*M684</f>
        <v>0</v>
      </c>
      <c r="P684" s="60">
        <f t="shared" si="130"/>
        <v>0</v>
      </c>
    </row>
    <row r="685" spans="1:16" s="38" customFormat="1" ht="10.7" customHeight="1" outlineLevel="1" x14ac:dyDescent="0.25">
      <c r="A685" s="124"/>
      <c r="B685" s="142"/>
      <c r="C685" s="115"/>
      <c r="D685" s="115"/>
      <c r="E685" s="115"/>
      <c r="F685" s="115"/>
      <c r="G685" s="60" t="s">
        <v>127</v>
      </c>
      <c r="H685" s="124"/>
      <c r="I685" s="124"/>
      <c r="J685" s="60"/>
      <c r="K685" s="60"/>
      <c r="L685" s="160"/>
      <c r="M685" s="60"/>
      <c r="N685" s="60"/>
      <c r="O685" s="60">
        <f t="shared" si="131"/>
        <v>0</v>
      </c>
      <c r="P685" s="60">
        <f t="shared" si="130"/>
        <v>0</v>
      </c>
    </row>
    <row r="686" spans="1:16" s="38" customFormat="1" ht="10.7" customHeight="1" outlineLevel="1" x14ac:dyDescent="0.25">
      <c r="A686" s="124"/>
      <c r="B686" s="142"/>
      <c r="C686" s="115"/>
      <c r="D686" s="115"/>
      <c r="E686" s="115"/>
      <c r="F686" s="115"/>
      <c r="G686" s="60" t="s">
        <v>128</v>
      </c>
      <c r="H686" s="124"/>
      <c r="I686" s="124"/>
      <c r="J686" s="60"/>
      <c r="K686" s="60"/>
      <c r="L686" s="160"/>
      <c r="M686" s="60"/>
      <c r="N686" s="60"/>
      <c r="O686" s="60">
        <f t="shared" si="131"/>
        <v>0</v>
      </c>
      <c r="P686" s="60">
        <f t="shared" si="130"/>
        <v>0</v>
      </c>
    </row>
    <row r="687" spans="1:16" s="38" customFormat="1" ht="10.7" customHeight="1" outlineLevel="1" x14ac:dyDescent="0.25">
      <c r="A687" s="124"/>
      <c r="B687" s="142"/>
      <c r="C687" s="115"/>
      <c r="D687" s="115"/>
      <c r="E687" s="115"/>
      <c r="F687" s="115"/>
      <c r="G687" s="60" t="s">
        <v>129</v>
      </c>
      <c r="H687" s="124"/>
      <c r="I687" s="124"/>
      <c r="J687" s="60"/>
      <c r="K687" s="60"/>
      <c r="L687" s="160"/>
      <c r="M687" s="60"/>
      <c r="N687" s="60"/>
      <c r="O687" s="60">
        <f t="shared" si="131"/>
        <v>0</v>
      </c>
      <c r="P687" s="60">
        <f t="shared" si="130"/>
        <v>0</v>
      </c>
    </row>
    <row r="688" spans="1:16" s="38" customFormat="1" ht="10.7" customHeight="1" outlineLevel="1" x14ac:dyDescent="0.25">
      <c r="A688" s="124"/>
      <c r="B688" s="142"/>
      <c r="C688" s="115"/>
      <c r="D688" s="115"/>
      <c r="E688" s="115"/>
      <c r="F688" s="115"/>
      <c r="G688" s="60" t="s">
        <v>130</v>
      </c>
      <c r="H688" s="124"/>
      <c r="I688" s="124"/>
      <c r="J688" s="60"/>
      <c r="K688" s="60"/>
      <c r="L688" s="160"/>
      <c r="M688" s="60"/>
      <c r="N688" s="60"/>
      <c r="O688" s="60">
        <f t="shared" si="131"/>
        <v>0</v>
      </c>
      <c r="P688" s="60">
        <f t="shared" si="130"/>
        <v>0</v>
      </c>
    </row>
    <row r="689" spans="1:16" s="38" customFormat="1" ht="12" customHeight="1" outlineLevel="1" thickBot="1" x14ac:dyDescent="0.3">
      <c r="A689" s="125"/>
      <c r="B689" s="143"/>
      <c r="C689" s="131"/>
      <c r="D689" s="131"/>
      <c r="E689" s="131"/>
      <c r="F689" s="131"/>
      <c r="G689" s="60" t="s">
        <v>131</v>
      </c>
      <c r="H689" s="134"/>
      <c r="I689" s="134"/>
      <c r="J689" s="60"/>
      <c r="K689" s="60"/>
      <c r="L689" s="160"/>
      <c r="M689" s="60"/>
      <c r="N689" s="60"/>
      <c r="O689" s="60">
        <f t="shared" si="131"/>
        <v>0</v>
      </c>
      <c r="P689" s="60">
        <f t="shared" si="130"/>
        <v>0</v>
      </c>
    </row>
    <row r="690" spans="1:16" s="38" customFormat="1" ht="14.45" customHeight="1" outlineLevel="1" x14ac:dyDescent="0.25">
      <c r="A690" s="140" t="s">
        <v>718</v>
      </c>
      <c r="B690" s="141" t="s">
        <v>719</v>
      </c>
      <c r="C690" s="130">
        <f>SUM(O690:O696)</f>
        <v>0</v>
      </c>
      <c r="D690" s="130">
        <f>SUM(P690:P696)</f>
        <v>0</v>
      </c>
      <c r="E690" s="130">
        <f t="shared" si="124"/>
        <v>0</v>
      </c>
      <c r="F690" s="130"/>
      <c r="G690" s="60" t="s">
        <v>125</v>
      </c>
      <c r="H690" s="123"/>
      <c r="I690" s="123"/>
      <c r="J690" s="60"/>
      <c r="K690" s="60"/>
      <c r="L690" s="160"/>
      <c r="M690" s="60"/>
      <c r="N690" s="60"/>
      <c r="O690" s="60">
        <f>N690*J690*K690*M690</f>
        <v>0</v>
      </c>
      <c r="P690" s="60">
        <f t="shared" si="130"/>
        <v>0</v>
      </c>
    </row>
    <row r="691" spans="1:16" s="38" customFormat="1" ht="11.45" customHeight="1" outlineLevel="1" x14ac:dyDescent="0.25">
      <c r="A691" s="124"/>
      <c r="B691" s="142"/>
      <c r="C691" s="115"/>
      <c r="D691" s="115"/>
      <c r="E691" s="115"/>
      <c r="F691" s="115"/>
      <c r="G691" s="60" t="s">
        <v>126</v>
      </c>
      <c r="H691" s="124"/>
      <c r="I691" s="124"/>
      <c r="J691" s="60"/>
      <c r="K691" s="60"/>
      <c r="L691" s="160"/>
      <c r="M691" s="60"/>
      <c r="N691" s="60"/>
      <c r="O691" s="60">
        <f t="shared" ref="O691:O696" si="132">N691*J691*K691*M691</f>
        <v>0</v>
      </c>
      <c r="P691" s="60">
        <f t="shared" si="130"/>
        <v>0</v>
      </c>
    </row>
    <row r="692" spans="1:16" s="38" customFormat="1" ht="10.7" customHeight="1" outlineLevel="1" x14ac:dyDescent="0.25">
      <c r="A692" s="124"/>
      <c r="B692" s="142"/>
      <c r="C692" s="115"/>
      <c r="D692" s="115"/>
      <c r="E692" s="115"/>
      <c r="F692" s="115"/>
      <c r="G692" s="60" t="s">
        <v>127</v>
      </c>
      <c r="H692" s="124"/>
      <c r="I692" s="124"/>
      <c r="J692" s="60"/>
      <c r="K692" s="60"/>
      <c r="L692" s="160"/>
      <c r="M692" s="60"/>
      <c r="N692" s="60"/>
      <c r="O692" s="60">
        <f t="shared" si="132"/>
        <v>0</v>
      </c>
      <c r="P692" s="60">
        <f t="shared" si="130"/>
        <v>0</v>
      </c>
    </row>
    <row r="693" spans="1:16" s="38" customFormat="1" ht="10.7" customHeight="1" outlineLevel="1" x14ac:dyDescent="0.25">
      <c r="A693" s="124"/>
      <c r="B693" s="142"/>
      <c r="C693" s="115"/>
      <c r="D693" s="115"/>
      <c r="E693" s="115"/>
      <c r="F693" s="115"/>
      <c r="G693" s="60" t="s">
        <v>128</v>
      </c>
      <c r="H693" s="124"/>
      <c r="I693" s="124"/>
      <c r="J693" s="60"/>
      <c r="K693" s="60"/>
      <c r="L693" s="160"/>
      <c r="M693" s="60"/>
      <c r="N693" s="60"/>
      <c r="O693" s="60">
        <f t="shared" si="132"/>
        <v>0</v>
      </c>
      <c r="P693" s="60">
        <f t="shared" si="130"/>
        <v>0</v>
      </c>
    </row>
    <row r="694" spans="1:16" s="38" customFormat="1" ht="10.7" customHeight="1" outlineLevel="1" x14ac:dyDescent="0.25">
      <c r="A694" s="124"/>
      <c r="B694" s="142"/>
      <c r="C694" s="115"/>
      <c r="D694" s="115"/>
      <c r="E694" s="115"/>
      <c r="F694" s="115"/>
      <c r="G694" s="60" t="s">
        <v>129</v>
      </c>
      <c r="H694" s="124"/>
      <c r="I694" s="124"/>
      <c r="J694" s="60"/>
      <c r="K694" s="60"/>
      <c r="L694" s="160"/>
      <c r="M694" s="60"/>
      <c r="N694" s="60"/>
      <c r="O694" s="60">
        <f t="shared" si="132"/>
        <v>0</v>
      </c>
      <c r="P694" s="60">
        <f t="shared" si="130"/>
        <v>0</v>
      </c>
    </row>
    <row r="695" spans="1:16" s="38" customFormat="1" ht="10.7" customHeight="1" outlineLevel="1" x14ac:dyDescent="0.25">
      <c r="A695" s="124"/>
      <c r="B695" s="142"/>
      <c r="C695" s="115"/>
      <c r="D695" s="115"/>
      <c r="E695" s="115"/>
      <c r="F695" s="115"/>
      <c r="G695" s="60" t="s">
        <v>130</v>
      </c>
      <c r="H695" s="124"/>
      <c r="I695" s="124"/>
      <c r="J695" s="60"/>
      <c r="K695" s="60"/>
      <c r="L695" s="160"/>
      <c r="M695" s="60"/>
      <c r="N695" s="60"/>
      <c r="O695" s="60">
        <f t="shared" si="132"/>
        <v>0</v>
      </c>
      <c r="P695" s="60">
        <f t="shared" si="130"/>
        <v>0</v>
      </c>
    </row>
    <row r="696" spans="1:16" s="38" customFormat="1" ht="12" customHeight="1" outlineLevel="1" thickBot="1" x14ac:dyDescent="0.3">
      <c r="A696" s="125"/>
      <c r="B696" s="143"/>
      <c r="C696" s="131"/>
      <c r="D696" s="131"/>
      <c r="E696" s="131"/>
      <c r="F696" s="131"/>
      <c r="G696" s="60" t="s">
        <v>131</v>
      </c>
      <c r="H696" s="134"/>
      <c r="I696" s="134"/>
      <c r="J696" s="60"/>
      <c r="K696" s="60"/>
      <c r="L696" s="160"/>
      <c r="M696" s="60"/>
      <c r="N696" s="60"/>
      <c r="O696" s="60">
        <f t="shared" si="132"/>
        <v>0</v>
      </c>
      <c r="P696" s="60">
        <f t="shared" si="130"/>
        <v>0</v>
      </c>
    </row>
    <row r="697" spans="1:16" s="38" customFormat="1" ht="14.45" customHeight="1" outlineLevel="1" x14ac:dyDescent="0.25">
      <c r="A697" s="140" t="s">
        <v>720</v>
      </c>
      <c r="B697" s="141" t="s">
        <v>721</v>
      </c>
      <c r="C697" s="130">
        <f>SUM(O697:O703)</f>
        <v>0</v>
      </c>
      <c r="D697" s="130">
        <f>SUM(P697:P703)</f>
        <v>0</v>
      </c>
      <c r="E697" s="130">
        <f t="shared" si="124"/>
        <v>0</v>
      </c>
      <c r="F697" s="130"/>
      <c r="G697" s="60" t="s">
        <v>125</v>
      </c>
      <c r="H697" s="123"/>
      <c r="I697" s="123"/>
      <c r="J697" s="60"/>
      <c r="K697" s="60"/>
      <c r="L697" s="160"/>
      <c r="M697" s="60"/>
      <c r="N697" s="60"/>
      <c r="O697" s="60">
        <f>N697*J697*K697*M697</f>
        <v>0</v>
      </c>
      <c r="P697" s="60">
        <f t="shared" si="130"/>
        <v>0</v>
      </c>
    </row>
    <row r="698" spans="1:16" s="38" customFormat="1" ht="11.45" customHeight="1" outlineLevel="1" x14ac:dyDescent="0.25">
      <c r="A698" s="124"/>
      <c r="B698" s="142"/>
      <c r="C698" s="115"/>
      <c r="D698" s="115"/>
      <c r="E698" s="115"/>
      <c r="F698" s="115"/>
      <c r="G698" s="60" t="s">
        <v>126</v>
      </c>
      <c r="H698" s="124"/>
      <c r="I698" s="124"/>
      <c r="J698" s="60"/>
      <c r="K698" s="60"/>
      <c r="L698" s="160"/>
      <c r="M698" s="60"/>
      <c r="N698" s="60"/>
      <c r="O698" s="60">
        <f t="shared" ref="O698:O703" si="133">N698*J698*K698*M698</f>
        <v>0</v>
      </c>
      <c r="P698" s="60">
        <f t="shared" si="130"/>
        <v>0</v>
      </c>
    </row>
    <row r="699" spans="1:16" s="38" customFormat="1" ht="10.7" customHeight="1" outlineLevel="1" x14ac:dyDescent="0.25">
      <c r="A699" s="124"/>
      <c r="B699" s="142"/>
      <c r="C699" s="115"/>
      <c r="D699" s="115"/>
      <c r="E699" s="115"/>
      <c r="F699" s="115"/>
      <c r="G699" s="60" t="s">
        <v>127</v>
      </c>
      <c r="H699" s="124"/>
      <c r="I699" s="124"/>
      <c r="J699" s="60"/>
      <c r="K699" s="60"/>
      <c r="L699" s="160"/>
      <c r="M699" s="60"/>
      <c r="N699" s="60"/>
      <c r="O699" s="60">
        <f t="shared" si="133"/>
        <v>0</v>
      </c>
      <c r="P699" s="60">
        <f t="shared" si="130"/>
        <v>0</v>
      </c>
    </row>
    <row r="700" spans="1:16" s="38" customFormat="1" ht="10.7" customHeight="1" outlineLevel="1" x14ac:dyDescent="0.25">
      <c r="A700" s="124"/>
      <c r="B700" s="142"/>
      <c r="C700" s="115"/>
      <c r="D700" s="115"/>
      <c r="E700" s="115"/>
      <c r="F700" s="115"/>
      <c r="G700" s="60" t="s">
        <v>128</v>
      </c>
      <c r="H700" s="124"/>
      <c r="I700" s="124"/>
      <c r="J700" s="60"/>
      <c r="K700" s="60"/>
      <c r="L700" s="160"/>
      <c r="M700" s="60"/>
      <c r="N700" s="60"/>
      <c r="O700" s="60">
        <f t="shared" si="133"/>
        <v>0</v>
      </c>
      <c r="P700" s="60">
        <f t="shared" si="130"/>
        <v>0</v>
      </c>
    </row>
    <row r="701" spans="1:16" s="38" customFormat="1" ht="10.7" customHeight="1" outlineLevel="1" x14ac:dyDescent="0.25">
      <c r="A701" s="124"/>
      <c r="B701" s="142"/>
      <c r="C701" s="115"/>
      <c r="D701" s="115"/>
      <c r="E701" s="115"/>
      <c r="F701" s="115"/>
      <c r="G701" s="60" t="s">
        <v>129</v>
      </c>
      <c r="H701" s="124"/>
      <c r="I701" s="124"/>
      <c r="J701" s="60"/>
      <c r="K701" s="60"/>
      <c r="L701" s="160"/>
      <c r="M701" s="60"/>
      <c r="N701" s="60"/>
      <c r="O701" s="60">
        <f t="shared" si="133"/>
        <v>0</v>
      </c>
      <c r="P701" s="60">
        <f t="shared" si="130"/>
        <v>0</v>
      </c>
    </row>
    <row r="702" spans="1:16" s="38" customFormat="1" ht="10.7" customHeight="1" outlineLevel="1" x14ac:dyDescent="0.25">
      <c r="A702" s="124"/>
      <c r="B702" s="142"/>
      <c r="C702" s="115"/>
      <c r="D702" s="115"/>
      <c r="E702" s="115"/>
      <c r="F702" s="115"/>
      <c r="G702" s="60" t="s">
        <v>130</v>
      </c>
      <c r="H702" s="124"/>
      <c r="I702" s="124"/>
      <c r="J702" s="60"/>
      <c r="K702" s="60"/>
      <c r="L702" s="160"/>
      <c r="M702" s="60"/>
      <c r="N702" s="60"/>
      <c r="O702" s="60">
        <f t="shared" si="133"/>
        <v>0</v>
      </c>
      <c r="P702" s="60">
        <f t="shared" si="130"/>
        <v>0</v>
      </c>
    </row>
    <row r="703" spans="1:16" s="38" customFormat="1" ht="12" customHeight="1" outlineLevel="1" thickBot="1" x14ac:dyDescent="0.3">
      <c r="A703" s="125"/>
      <c r="B703" s="143"/>
      <c r="C703" s="131"/>
      <c r="D703" s="131"/>
      <c r="E703" s="131"/>
      <c r="F703" s="131"/>
      <c r="G703" s="60" t="s">
        <v>131</v>
      </c>
      <c r="H703" s="134"/>
      <c r="I703" s="134"/>
      <c r="J703" s="60"/>
      <c r="K703" s="60"/>
      <c r="L703" s="160"/>
      <c r="M703" s="60"/>
      <c r="N703" s="60"/>
      <c r="O703" s="60">
        <f t="shared" si="133"/>
        <v>0</v>
      </c>
      <c r="P703" s="60">
        <f t="shared" si="130"/>
        <v>0</v>
      </c>
    </row>
    <row r="704" spans="1:16" s="38" customFormat="1" ht="14.45" customHeight="1" outlineLevel="1" x14ac:dyDescent="0.25">
      <c r="A704" s="140" t="s">
        <v>722</v>
      </c>
      <c r="B704" s="141" t="s">
        <v>723</v>
      </c>
      <c r="C704" s="130">
        <f>SUM(O704:O710)</f>
        <v>0</v>
      </c>
      <c r="D704" s="130">
        <f>SUM(P704:P710)</f>
        <v>0</v>
      </c>
      <c r="E704" s="130">
        <f t="shared" si="124"/>
        <v>0</v>
      </c>
      <c r="F704" s="130"/>
      <c r="G704" s="60" t="s">
        <v>125</v>
      </c>
      <c r="H704" s="123"/>
      <c r="I704" s="123"/>
      <c r="J704" s="60"/>
      <c r="K704" s="60"/>
      <c r="L704" s="160"/>
      <c r="M704" s="60"/>
      <c r="N704" s="60"/>
      <c r="O704" s="60">
        <f>N704*J704*K704*M704</f>
        <v>0</v>
      </c>
      <c r="P704" s="60">
        <f t="shared" si="130"/>
        <v>0</v>
      </c>
    </row>
    <row r="705" spans="1:16" s="38" customFormat="1" ht="11.45" customHeight="1" outlineLevel="1" x14ac:dyDescent="0.25">
      <c r="A705" s="124"/>
      <c r="B705" s="142"/>
      <c r="C705" s="115"/>
      <c r="D705" s="115"/>
      <c r="E705" s="115"/>
      <c r="F705" s="115"/>
      <c r="G705" s="60" t="s">
        <v>126</v>
      </c>
      <c r="H705" s="124"/>
      <c r="I705" s="124"/>
      <c r="J705" s="60"/>
      <c r="K705" s="60"/>
      <c r="L705" s="160"/>
      <c r="M705" s="60"/>
      <c r="N705" s="60"/>
      <c r="O705" s="60">
        <f t="shared" ref="O705:O710" si="134">N705*J705*K705*M705</f>
        <v>0</v>
      </c>
      <c r="P705" s="60">
        <f t="shared" si="130"/>
        <v>0</v>
      </c>
    </row>
    <row r="706" spans="1:16" s="38" customFormat="1" ht="10.7" customHeight="1" outlineLevel="1" x14ac:dyDescent="0.25">
      <c r="A706" s="124"/>
      <c r="B706" s="142"/>
      <c r="C706" s="115"/>
      <c r="D706" s="115"/>
      <c r="E706" s="115"/>
      <c r="F706" s="115"/>
      <c r="G706" s="60" t="s">
        <v>127</v>
      </c>
      <c r="H706" s="124"/>
      <c r="I706" s="124"/>
      <c r="J706" s="60"/>
      <c r="K706" s="60"/>
      <c r="L706" s="160"/>
      <c r="M706" s="60"/>
      <c r="N706" s="60"/>
      <c r="O706" s="60">
        <f t="shared" si="134"/>
        <v>0</v>
      </c>
      <c r="P706" s="60">
        <f t="shared" si="130"/>
        <v>0</v>
      </c>
    </row>
    <row r="707" spans="1:16" s="38" customFormat="1" ht="10.7" customHeight="1" outlineLevel="1" x14ac:dyDescent="0.25">
      <c r="A707" s="124"/>
      <c r="B707" s="142"/>
      <c r="C707" s="115"/>
      <c r="D707" s="115"/>
      <c r="E707" s="115"/>
      <c r="F707" s="115"/>
      <c r="G707" s="60" t="s">
        <v>128</v>
      </c>
      <c r="H707" s="124"/>
      <c r="I707" s="124"/>
      <c r="J707" s="60"/>
      <c r="K707" s="60"/>
      <c r="L707" s="160"/>
      <c r="M707" s="60"/>
      <c r="N707" s="60"/>
      <c r="O707" s="60">
        <f t="shared" si="134"/>
        <v>0</v>
      </c>
      <c r="P707" s="60">
        <f t="shared" si="130"/>
        <v>0</v>
      </c>
    </row>
    <row r="708" spans="1:16" s="38" customFormat="1" ht="10.7" customHeight="1" outlineLevel="1" x14ac:dyDescent="0.25">
      <c r="A708" s="124"/>
      <c r="B708" s="142"/>
      <c r="C708" s="115"/>
      <c r="D708" s="115"/>
      <c r="E708" s="115"/>
      <c r="F708" s="115"/>
      <c r="G708" s="60" t="s">
        <v>129</v>
      </c>
      <c r="H708" s="124"/>
      <c r="I708" s="124"/>
      <c r="J708" s="60"/>
      <c r="K708" s="60"/>
      <c r="L708" s="160"/>
      <c r="M708" s="60"/>
      <c r="N708" s="60"/>
      <c r="O708" s="60">
        <f t="shared" si="134"/>
        <v>0</v>
      </c>
      <c r="P708" s="60">
        <f t="shared" si="130"/>
        <v>0</v>
      </c>
    </row>
    <row r="709" spans="1:16" s="38" customFormat="1" ht="10.7" customHeight="1" outlineLevel="1" x14ac:dyDescent="0.25">
      <c r="A709" s="124"/>
      <c r="B709" s="142"/>
      <c r="C709" s="115"/>
      <c r="D709" s="115"/>
      <c r="E709" s="115"/>
      <c r="F709" s="115"/>
      <c r="G709" s="60" t="s">
        <v>130</v>
      </c>
      <c r="H709" s="124"/>
      <c r="I709" s="124"/>
      <c r="J709" s="60"/>
      <c r="K709" s="60"/>
      <c r="L709" s="160"/>
      <c r="M709" s="60"/>
      <c r="N709" s="60"/>
      <c r="O709" s="60">
        <f t="shared" si="134"/>
        <v>0</v>
      </c>
      <c r="P709" s="60">
        <f t="shared" si="130"/>
        <v>0</v>
      </c>
    </row>
    <row r="710" spans="1:16" s="38" customFormat="1" ht="12" customHeight="1" outlineLevel="1" thickBot="1" x14ac:dyDescent="0.3">
      <c r="A710" s="125"/>
      <c r="B710" s="143"/>
      <c r="C710" s="131"/>
      <c r="D710" s="131"/>
      <c r="E710" s="131"/>
      <c r="F710" s="131"/>
      <c r="G710" s="60" t="s">
        <v>131</v>
      </c>
      <c r="H710" s="134"/>
      <c r="I710" s="134"/>
      <c r="J710" s="60"/>
      <c r="K710" s="60"/>
      <c r="L710" s="160"/>
      <c r="M710" s="60"/>
      <c r="N710" s="60"/>
      <c r="O710" s="60">
        <f t="shared" si="134"/>
        <v>0</v>
      </c>
      <c r="P710" s="60">
        <f t="shared" si="130"/>
        <v>0</v>
      </c>
    </row>
    <row r="711" spans="1:16" s="38" customFormat="1" ht="14.45" customHeight="1" outlineLevel="1" x14ac:dyDescent="0.25">
      <c r="A711" s="140" t="s">
        <v>724</v>
      </c>
      <c r="B711" s="141" t="s">
        <v>725</v>
      </c>
      <c r="C711" s="130">
        <f>SUM(O711:O717)</f>
        <v>0</v>
      </c>
      <c r="D711" s="130">
        <f>SUM(P711:P717)</f>
        <v>0</v>
      </c>
      <c r="E711" s="130">
        <f t="shared" si="124"/>
        <v>0</v>
      </c>
      <c r="F711" s="130"/>
      <c r="G711" s="60" t="s">
        <v>125</v>
      </c>
      <c r="H711" s="123"/>
      <c r="I711" s="123"/>
      <c r="J711" s="60"/>
      <c r="K711" s="60"/>
      <c r="L711" s="160"/>
      <c r="M711" s="60"/>
      <c r="N711" s="60"/>
      <c r="O711" s="60">
        <f>N711*J711*K711*M711</f>
        <v>0</v>
      </c>
      <c r="P711" s="60">
        <f t="shared" si="130"/>
        <v>0</v>
      </c>
    </row>
    <row r="712" spans="1:16" s="38" customFormat="1" ht="11.45" customHeight="1" outlineLevel="1" x14ac:dyDescent="0.25">
      <c r="A712" s="124"/>
      <c r="B712" s="142"/>
      <c r="C712" s="115"/>
      <c r="D712" s="115"/>
      <c r="E712" s="115"/>
      <c r="F712" s="115"/>
      <c r="G712" s="60" t="s">
        <v>126</v>
      </c>
      <c r="H712" s="124"/>
      <c r="I712" s="124"/>
      <c r="J712" s="60"/>
      <c r="K712" s="60"/>
      <c r="L712" s="160"/>
      <c r="M712" s="60"/>
      <c r="N712" s="60"/>
      <c r="O712" s="60">
        <f t="shared" ref="O712:O717" si="135">N712*J712*K712*M712</f>
        <v>0</v>
      </c>
      <c r="P712" s="60">
        <f t="shared" si="130"/>
        <v>0</v>
      </c>
    </row>
    <row r="713" spans="1:16" s="38" customFormat="1" ht="10.7" customHeight="1" outlineLevel="1" x14ac:dyDescent="0.25">
      <c r="A713" s="124"/>
      <c r="B713" s="142"/>
      <c r="C713" s="115"/>
      <c r="D713" s="115"/>
      <c r="E713" s="115"/>
      <c r="F713" s="115"/>
      <c r="G713" s="60" t="s">
        <v>127</v>
      </c>
      <c r="H713" s="124"/>
      <c r="I713" s="124"/>
      <c r="J713" s="60"/>
      <c r="K713" s="60"/>
      <c r="L713" s="160"/>
      <c r="M713" s="60"/>
      <c r="N713" s="60"/>
      <c r="O713" s="60">
        <f t="shared" si="135"/>
        <v>0</v>
      </c>
      <c r="P713" s="60">
        <f t="shared" si="130"/>
        <v>0</v>
      </c>
    </row>
    <row r="714" spans="1:16" s="38" customFormat="1" ht="10.7" customHeight="1" outlineLevel="1" x14ac:dyDescent="0.25">
      <c r="A714" s="124"/>
      <c r="B714" s="142"/>
      <c r="C714" s="115"/>
      <c r="D714" s="115"/>
      <c r="E714" s="115"/>
      <c r="F714" s="115"/>
      <c r="G714" s="60" t="s">
        <v>128</v>
      </c>
      <c r="H714" s="124"/>
      <c r="I714" s="124"/>
      <c r="J714" s="60"/>
      <c r="K714" s="60"/>
      <c r="L714" s="160"/>
      <c r="M714" s="60"/>
      <c r="N714" s="60"/>
      <c r="O714" s="60">
        <f t="shared" si="135"/>
        <v>0</v>
      </c>
      <c r="P714" s="60">
        <f t="shared" si="130"/>
        <v>0</v>
      </c>
    </row>
    <row r="715" spans="1:16" s="38" customFormat="1" ht="10.7" customHeight="1" outlineLevel="1" x14ac:dyDescent="0.25">
      <c r="A715" s="124"/>
      <c r="B715" s="142"/>
      <c r="C715" s="115"/>
      <c r="D715" s="115"/>
      <c r="E715" s="115"/>
      <c r="F715" s="115"/>
      <c r="G715" s="60" t="s">
        <v>129</v>
      </c>
      <c r="H715" s="124"/>
      <c r="I715" s="124"/>
      <c r="J715" s="60"/>
      <c r="K715" s="60"/>
      <c r="L715" s="160"/>
      <c r="M715" s="60"/>
      <c r="N715" s="60"/>
      <c r="O715" s="60">
        <f t="shared" si="135"/>
        <v>0</v>
      </c>
      <c r="P715" s="60">
        <f t="shared" si="130"/>
        <v>0</v>
      </c>
    </row>
    <row r="716" spans="1:16" s="38" customFormat="1" ht="10.7" customHeight="1" outlineLevel="1" x14ac:dyDescent="0.25">
      <c r="A716" s="124"/>
      <c r="B716" s="142"/>
      <c r="C716" s="115"/>
      <c r="D716" s="115"/>
      <c r="E716" s="115"/>
      <c r="F716" s="115"/>
      <c r="G716" s="60" t="s">
        <v>130</v>
      </c>
      <c r="H716" s="124"/>
      <c r="I716" s="124"/>
      <c r="J716" s="60"/>
      <c r="K716" s="60"/>
      <c r="L716" s="160"/>
      <c r="M716" s="60"/>
      <c r="N716" s="60"/>
      <c r="O716" s="60">
        <f t="shared" si="135"/>
        <v>0</v>
      </c>
      <c r="P716" s="60">
        <f t="shared" si="130"/>
        <v>0</v>
      </c>
    </row>
    <row r="717" spans="1:16" s="38" customFormat="1" ht="12" customHeight="1" outlineLevel="1" thickBot="1" x14ac:dyDescent="0.3">
      <c r="A717" s="125"/>
      <c r="B717" s="143"/>
      <c r="C717" s="131"/>
      <c r="D717" s="131"/>
      <c r="E717" s="131"/>
      <c r="F717" s="131"/>
      <c r="G717" s="60" t="s">
        <v>131</v>
      </c>
      <c r="H717" s="134"/>
      <c r="I717" s="134"/>
      <c r="J717" s="60"/>
      <c r="K717" s="60"/>
      <c r="L717" s="160"/>
      <c r="M717" s="60"/>
      <c r="N717" s="60"/>
      <c r="O717" s="60">
        <f t="shared" si="135"/>
        <v>0</v>
      </c>
      <c r="P717" s="60">
        <f t="shared" si="130"/>
        <v>0</v>
      </c>
    </row>
    <row r="718" spans="1:16" s="38" customFormat="1" ht="14.45" customHeight="1" outlineLevel="1" x14ac:dyDescent="0.25">
      <c r="A718" s="140" t="s">
        <v>726</v>
      </c>
      <c r="B718" s="141" t="s">
        <v>727</v>
      </c>
      <c r="C718" s="130">
        <f>SUM(O718:O724)</f>
        <v>0</v>
      </c>
      <c r="D718" s="130">
        <f>SUM(P718:P724)</f>
        <v>0</v>
      </c>
      <c r="E718" s="130">
        <f t="shared" ref="E718:E739" si="136">D718/8</f>
        <v>0</v>
      </c>
      <c r="F718" s="130"/>
      <c r="G718" s="60" t="s">
        <v>125</v>
      </c>
      <c r="H718" s="123"/>
      <c r="I718" s="123"/>
      <c r="J718" s="60"/>
      <c r="K718" s="60"/>
      <c r="L718" s="160"/>
      <c r="M718" s="60"/>
      <c r="N718" s="60"/>
      <c r="O718" s="60">
        <f>N718*J718*K718*M718</f>
        <v>0</v>
      </c>
      <c r="P718" s="60">
        <f t="shared" si="130"/>
        <v>0</v>
      </c>
    </row>
    <row r="719" spans="1:16" s="38" customFormat="1" ht="11.45" customHeight="1" outlineLevel="1" x14ac:dyDescent="0.25">
      <c r="A719" s="124"/>
      <c r="B719" s="142"/>
      <c r="C719" s="115"/>
      <c r="D719" s="115"/>
      <c r="E719" s="115"/>
      <c r="F719" s="115"/>
      <c r="G719" s="60" t="s">
        <v>126</v>
      </c>
      <c r="H719" s="124"/>
      <c r="I719" s="124"/>
      <c r="J719" s="60"/>
      <c r="K719" s="60"/>
      <c r="L719" s="160"/>
      <c r="M719" s="60"/>
      <c r="N719" s="60"/>
      <c r="O719" s="60">
        <f t="shared" ref="O719:O724" si="137">N719*J719*K719*M719</f>
        <v>0</v>
      </c>
      <c r="P719" s="60">
        <f t="shared" si="130"/>
        <v>0</v>
      </c>
    </row>
    <row r="720" spans="1:16" s="38" customFormat="1" ht="10.7" customHeight="1" outlineLevel="1" x14ac:dyDescent="0.25">
      <c r="A720" s="124"/>
      <c r="B720" s="142"/>
      <c r="C720" s="115"/>
      <c r="D720" s="115"/>
      <c r="E720" s="115"/>
      <c r="F720" s="115"/>
      <c r="G720" s="60" t="s">
        <v>127</v>
      </c>
      <c r="H720" s="124"/>
      <c r="I720" s="124"/>
      <c r="J720" s="60"/>
      <c r="K720" s="60"/>
      <c r="L720" s="160"/>
      <c r="M720" s="60"/>
      <c r="N720" s="60"/>
      <c r="O720" s="60">
        <f t="shared" si="137"/>
        <v>0</v>
      </c>
      <c r="P720" s="60">
        <f t="shared" si="130"/>
        <v>0</v>
      </c>
    </row>
    <row r="721" spans="1:16" s="38" customFormat="1" ht="10.7" customHeight="1" outlineLevel="1" x14ac:dyDescent="0.25">
      <c r="A721" s="124"/>
      <c r="B721" s="142"/>
      <c r="C721" s="115"/>
      <c r="D721" s="115"/>
      <c r="E721" s="115"/>
      <c r="F721" s="115"/>
      <c r="G721" s="60" t="s">
        <v>128</v>
      </c>
      <c r="H721" s="124"/>
      <c r="I721" s="124"/>
      <c r="J721" s="60"/>
      <c r="K721" s="60"/>
      <c r="L721" s="160"/>
      <c r="M721" s="60"/>
      <c r="N721" s="60"/>
      <c r="O721" s="60">
        <f t="shared" si="137"/>
        <v>0</v>
      </c>
      <c r="P721" s="60">
        <f t="shared" si="130"/>
        <v>0</v>
      </c>
    </row>
    <row r="722" spans="1:16" s="38" customFormat="1" ht="10.7" customHeight="1" outlineLevel="1" x14ac:dyDescent="0.25">
      <c r="A722" s="124"/>
      <c r="B722" s="142"/>
      <c r="C722" s="115"/>
      <c r="D722" s="115"/>
      <c r="E722" s="115"/>
      <c r="F722" s="115"/>
      <c r="G722" s="60" t="s">
        <v>129</v>
      </c>
      <c r="H722" s="124"/>
      <c r="I722" s="124"/>
      <c r="J722" s="60"/>
      <c r="K722" s="60"/>
      <c r="L722" s="160"/>
      <c r="M722" s="60"/>
      <c r="N722" s="60"/>
      <c r="O722" s="60">
        <f t="shared" si="137"/>
        <v>0</v>
      </c>
      <c r="P722" s="60">
        <f t="shared" si="130"/>
        <v>0</v>
      </c>
    </row>
    <row r="723" spans="1:16" s="38" customFormat="1" ht="10.7" customHeight="1" outlineLevel="1" x14ac:dyDescent="0.25">
      <c r="A723" s="124"/>
      <c r="B723" s="142"/>
      <c r="C723" s="115"/>
      <c r="D723" s="115"/>
      <c r="E723" s="115"/>
      <c r="F723" s="115"/>
      <c r="G723" s="60" t="s">
        <v>130</v>
      </c>
      <c r="H723" s="124"/>
      <c r="I723" s="124"/>
      <c r="J723" s="60"/>
      <c r="K723" s="60"/>
      <c r="L723" s="160"/>
      <c r="M723" s="60"/>
      <c r="N723" s="60"/>
      <c r="O723" s="60">
        <f t="shared" si="137"/>
        <v>0</v>
      </c>
      <c r="P723" s="60">
        <f t="shared" si="130"/>
        <v>0</v>
      </c>
    </row>
    <row r="724" spans="1:16" s="38" customFormat="1" ht="12" customHeight="1" outlineLevel="1" thickBot="1" x14ac:dyDescent="0.3">
      <c r="A724" s="125"/>
      <c r="B724" s="143"/>
      <c r="C724" s="131"/>
      <c r="D724" s="131"/>
      <c r="E724" s="131"/>
      <c r="F724" s="131"/>
      <c r="G724" s="60" t="s">
        <v>131</v>
      </c>
      <c r="H724" s="134"/>
      <c r="I724" s="134"/>
      <c r="J724" s="60"/>
      <c r="K724" s="60"/>
      <c r="L724" s="160"/>
      <c r="M724" s="60"/>
      <c r="N724" s="60"/>
      <c r="O724" s="60">
        <f t="shared" si="137"/>
        <v>0</v>
      </c>
      <c r="P724" s="60">
        <f t="shared" si="130"/>
        <v>0</v>
      </c>
    </row>
    <row r="725" spans="1:16" s="38" customFormat="1" ht="14.45" customHeight="1" outlineLevel="1" x14ac:dyDescent="0.25">
      <c r="A725" s="140" t="s">
        <v>728</v>
      </c>
      <c r="B725" s="141" t="s">
        <v>729</v>
      </c>
      <c r="C725" s="130">
        <f>SUM(O725:O731)</f>
        <v>0</v>
      </c>
      <c r="D725" s="130">
        <f>SUM(P725:P731)</f>
        <v>0</v>
      </c>
      <c r="E725" s="130">
        <f t="shared" si="136"/>
        <v>0</v>
      </c>
      <c r="F725" s="130"/>
      <c r="G725" s="60" t="s">
        <v>125</v>
      </c>
      <c r="H725" s="123"/>
      <c r="I725" s="123"/>
      <c r="J725" s="60"/>
      <c r="K725" s="60"/>
      <c r="L725" s="160"/>
      <c r="M725" s="60"/>
      <c r="N725" s="60"/>
      <c r="O725" s="60">
        <f>N725*J725*K725*M725</f>
        <v>0</v>
      </c>
      <c r="P725" s="60">
        <f t="shared" si="130"/>
        <v>0</v>
      </c>
    </row>
    <row r="726" spans="1:16" s="38" customFormat="1" ht="11.45" customHeight="1" outlineLevel="1" x14ac:dyDescent="0.25">
      <c r="A726" s="124"/>
      <c r="B726" s="142"/>
      <c r="C726" s="115"/>
      <c r="D726" s="115"/>
      <c r="E726" s="115"/>
      <c r="F726" s="115"/>
      <c r="G726" s="60" t="s">
        <v>126</v>
      </c>
      <c r="H726" s="124"/>
      <c r="I726" s="124"/>
      <c r="J726" s="60"/>
      <c r="K726" s="60"/>
      <c r="L726" s="160"/>
      <c r="M726" s="60"/>
      <c r="N726" s="60"/>
      <c r="O726" s="60">
        <f t="shared" ref="O726:O731" si="138">N726*J726*K726*M726</f>
        <v>0</v>
      </c>
      <c r="P726" s="60">
        <f t="shared" si="130"/>
        <v>0</v>
      </c>
    </row>
    <row r="727" spans="1:16" s="38" customFormat="1" ht="10.7" customHeight="1" outlineLevel="1" x14ac:dyDescent="0.25">
      <c r="A727" s="124"/>
      <c r="B727" s="142"/>
      <c r="C727" s="115"/>
      <c r="D727" s="115"/>
      <c r="E727" s="115"/>
      <c r="F727" s="115"/>
      <c r="G727" s="60" t="s">
        <v>127</v>
      </c>
      <c r="H727" s="124"/>
      <c r="I727" s="124"/>
      <c r="J727" s="60"/>
      <c r="K727" s="60"/>
      <c r="L727" s="160"/>
      <c r="M727" s="60"/>
      <c r="N727" s="60"/>
      <c r="O727" s="60">
        <f t="shared" si="138"/>
        <v>0</v>
      </c>
      <c r="P727" s="60">
        <f t="shared" si="130"/>
        <v>0</v>
      </c>
    </row>
    <row r="728" spans="1:16" s="38" customFormat="1" ht="10.7" customHeight="1" outlineLevel="1" x14ac:dyDescent="0.25">
      <c r="A728" s="124"/>
      <c r="B728" s="142"/>
      <c r="C728" s="115"/>
      <c r="D728" s="115"/>
      <c r="E728" s="115"/>
      <c r="F728" s="115"/>
      <c r="G728" s="60" t="s">
        <v>128</v>
      </c>
      <c r="H728" s="124"/>
      <c r="I728" s="124"/>
      <c r="J728" s="60"/>
      <c r="K728" s="60"/>
      <c r="L728" s="160"/>
      <c r="M728" s="60"/>
      <c r="N728" s="60"/>
      <c r="O728" s="60">
        <f t="shared" si="138"/>
        <v>0</v>
      </c>
      <c r="P728" s="60">
        <f t="shared" si="130"/>
        <v>0</v>
      </c>
    </row>
    <row r="729" spans="1:16" s="38" customFormat="1" ht="10.7" customHeight="1" outlineLevel="1" x14ac:dyDescent="0.25">
      <c r="A729" s="124"/>
      <c r="B729" s="142"/>
      <c r="C729" s="115"/>
      <c r="D729" s="115"/>
      <c r="E729" s="115"/>
      <c r="F729" s="115"/>
      <c r="G729" s="60" t="s">
        <v>129</v>
      </c>
      <c r="H729" s="124"/>
      <c r="I729" s="124"/>
      <c r="J729" s="60"/>
      <c r="K729" s="60"/>
      <c r="L729" s="160"/>
      <c r="M729" s="60"/>
      <c r="N729" s="60"/>
      <c r="O729" s="60">
        <f t="shared" si="138"/>
        <v>0</v>
      </c>
      <c r="P729" s="60">
        <f t="shared" si="130"/>
        <v>0</v>
      </c>
    </row>
    <row r="730" spans="1:16" s="38" customFormat="1" ht="10.7" customHeight="1" outlineLevel="1" x14ac:dyDescent="0.25">
      <c r="A730" s="124"/>
      <c r="B730" s="142"/>
      <c r="C730" s="115"/>
      <c r="D730" s="115"/>
      <c r="E730" s="115"/>
      <c r="F730" s="115"/>
      <c r="G730" s="60" t="s">
        <v>130</v>
      </c>
      <c r="H730" s="124"/>
      <c r="I730" s="124"/>
      <c r="J730" s="60"/>
      <c r="K730" s="60"/>
      <c r="L730" s="160"/>
      <c r="M730" s="60"/>
      <c r="N730" s="60"/>
      <c r="O730" s="60">
        <f t="shared" si="138"/>
        <v>0</v>
      </c>
      <c r="P730" s="60">
        <f t="shared" si="130"/>
        <v>0</v>
      </c>
    </row>
    <row r="731" spans="1:16" s="38" customFormat="1" ht="12" customHeight="1" outlineLevel="1" thickBot="1" x14ac:dyDescent="0.3">
      <c r="A731" s="125"/>
      <c r="B731" s="143"/>
      <c r="C731" s="131"/>
      <c r="D731" s="131"/>
      <c r="E731" s="131"/>
      <c r="F731" s="131"/>
      <c r="G731" s="60" t="s">
        <v>131</v>
      </c>
      <c r="H731" s="134"/>
      <c r="I731" s="134"/>
      <c r="J731" s="60"/>
      <c r="K731" s="60"/>
      <c r="L731" s="160"/>
      <c r="M731" s="60"/>
      <c r="N731" s="60"/>
      <c r="O731" s="60">
        <f t="shared" si="138"/>
        <v>0</v>
      </c>
      <c r="P731" s="60">
        <f t="shared" si="130"/>
        <v>0</v>
      </c>
    </row>
    <row r="732" spans="1:16" s="38" customFormat="1" ht="14.45" customHeight="1" outlineLevel="1" x14ac:dyDescent="0.25">
      <c r="A732" s="140" t="s">
        <v>730</v>
      </c>
      <c r="B732" s="141" t="s">
        <v>731</v>
      </c>
      <c r="C732" s="130">
        <f>SUM(O732:O738)</f>
        <v>0</v>
      </c>
      <c r="D732" s="130">
        <f>SUM(P732:P738)</f>
        <v>0</v>
      </c>
      <c r="E732" s="130">
        <f t="shared" si="136"/>
        <v>0</v>
      </c>
      <c r="F732" s="130"/>
      <c r="G732" s="60" t="s">
        <v>125</v>
      </c>
      <c r="H732" s="123"/>
      <c r="I732" s="123"/>
      <c r="J732" s="60"/>
      <c r="K732" s="60"/>
      <c r="L732" s="160"/>
      <c r="M732" s="60"/>
      <c r="N732" s="60"/>
      <c r="O732" s="60">
        <f>N732*J732*K732*M732</f>
        <v>0</v>
      </c>
      <c r="P732" s="60">
        <f t="shared" si="130"/>
        <v>0</v>
      </c>
    </row>
    <row r="733" spans="1:16" s="38" customFormat="1" ht="11.45" customHeight="1" outlineLevel="1" x14ac:dyDescent="0.25">
      <c r="A733" s="124"/>
      <c r="B733" s="142"/>
      <c r="C733" s="115"/>
      <c r="D733" s="115"/>
      <c r="E733" s="115"/>
      <c r="F733" s="115"/>
      <c r="G733" s="60" t="s">
        <v>126</v>
      </c>
      <c r="H733" s="124"/>
      <c r="I733" s="124"/>
      <c r="J733" s="60"/>
      <c r="K733" s="60"/>
      <c r="L733" s="160"/>
      <c r="M733" s="60"/>
      <c r="N733" s="60"/>
      <c r="O733" s="60">
        <f t="shared" ref="O733:O738" si="139">N733*J733*K733*M733</f>
        <v>0</v>
      </c>
      <c r="P733" s="60">
        <f t="shared" si="130"/>
        <v>0</v>
      </c>
    </row>
    <row r="734" spans="1:16" s="38" customFormat="1" ht="10.7" customHeight="1" outlineLevel="1" x14ac:dyDescent="0.25">
      <c r="A734" s="124"/>
      <c r="B734" s="142"/>
      <c r="C734" s="115"/>
      <c r="D734" s="115"/>
      <c r="E734" s="115"/>
      <c r="F734" s="115"/>
      <c r="G734" s="60" t="s">
        <v>127</v>
      </c>
      <c r="H734" s="124"/>
      <c r="I734" s="124"/>
      <c r="J734" s="60"/>
      <c r="K734" s="60"/>
      <c r="L734" s="160"/>
      <c r="M734" s="60"/>
      <c r="N734" s="60"/>
      <c r="O734" s="60">
        <f t="shared" si="139"/>
        <v>0</v>
      </c>
      <c r="P734" s="60">
        <f t="shared" si="130"/>
        <v>0</v>
      </c>
    </row>
    <row r="735" spans="1:16" s="38" customFormat="1" ht="10.7" customHeight="1" outlineLevel="1" x14ac:dyDescent="0.25">
      <c r="A735" s="124"/>
      <c r="B735" s="142"/>
      <c r="C735" s="115"/>
      <c r="D735" s="115"/>
      <c r="E735" s="115"/>
      <c r="F735" s="115"/>
      <c r="G735" s="60" t="s">
        <v>128</v>
      </c>
      <c r="H735" s="124"/>
      <c r="I735" s="124"/>
      <c r="J735" s="60"/>
      <c r="K735" s="60"/>
      <c r="L735" s="160"/>
      <c r="M735" s="60"/>
      <c r="N735" s="60"/>
      <c r="O735" s="60">
        <f t="shared" si="139"/>
        <v>0</v>
      </c>
      <c r="P735" s="60">
        <f t="shared" si="130"/>
        <v>0</v>
      </c>
    </row>
    <row r="736" spans="1:16" s="38" customFormat="1" ht="10.7" customHeight="1" outlineLevel="1" x14ac:dyDescent="0.25">
      <c r="A736" s="124"/>
      <c r="B736" s="142"/>
      <c r="C736" s="115"/>
      <c r="D736" s="115"/>
      <c r="E736" s="115"/>
      <c r="F736" s="115"/>
      <c r="G736" s="60" t="s">
        <v>129</v>
      </c>
      <c r="H736" s="124"/>
      <c r="I736" s="124"/>
      <c r="J736" s="60"/>
      <c r="K736" s="60"/>
      <c r="L736" s="160"/>
      <c r="M736" s="60"/>
      <c r="N736" s="60"/>
      <c r="O736" s="60">
        <f t="shared" si="139"/>
        <v>0</v>
      </c>
      <c r="P736" s="60">
        <f t="shared" si="130"/>
        <v>0</v>
      </c>
    </row>
    <row r="737" spans="1:16" s="38" customFormat="1" ht="10.7" customHeight="1" outlineLevel="1" x14ac:dyDescent="0.25">
      <c r="A737" s="124"/>
      <c r="B737" s="142"/>
      <c r="C737" s="115"/>
      <c r="D737" s="115"/>
      <c r="E737" s="115"/>
      <c r="F737" s="115"/>
      <c r="G737" s="60" t="s">
        <v>130</v>
      </c>
      <c r="H737" s="124"/>
      <c r="I737" s="124"/>
      <c r="J737" s="60"/>
      <c r="K737" s="60"/>
      <c r="L737" s="160"/>
      <c r="M737" s="60"/>
      <c r="N737" s="60"/>
      <c r="O737" s="60">
        <f t="shared" si="139"/>
        <v>0</v>
      </c>
      <c r="P737" s="60">
        <f t="shared" si="130"/>
        <v>0</v>
      </c>
    </row>
    <row r="738" spans="1:16" s="38" customFormat="1" ht="12" customHeight="1" outlineLevel="1" thickBot="1" x14ac:dyDescent="0.3">
      <c r="A738" s="125"/>
      <c r="B738" s="143"/>
      <c r="C738" s="131"/>
      <c r="D738" s="131"/>
      <c r="E738" s="131"/>
      <c r="F738" s="131"/>
      <c r="G738" s="60" t="s">
        <v>131</v>
      </c>
      <c r="H738" s="134"/>
      <c r="I738" s="134"/>
      <c r="J738" s="60"/>
      <c r="K738" s="60"/>
      <c r="L738" s="160"/>
      <c r="M738" s="60"/>
      <c r="N738" s="60"/>
      <c r="O738" s="60">
        <f t="shared" si="139"/>
        <v>0</v>
      </c>
      <c r="P738" s="60">
        <f t="shared" si="130"/>
        <v>0</v>
      </c>
    </row>
    <row r="739" spans="1:16" s="38" customFormat="1" ht="14.45" customHeight="1" outlineLevel="1" x14ac:dyDescent="0.25">
      <c r="A739" s="140" t="s">
        <v>732</v>
      </c>
      <c r="B739" s="141" t="s">
        <v>733</v>
      </c>
      <c r="C739" s="130">
        <f>SUM(O739:O745)</f>
        <v>0</v>
      </c>
      <c r="D739" s="130">
        <f>SUM(P739:P745)</f>
        <v>0</v>
      </c>
      <c r="E739" s="130">
        <f t="shared" si="136"/>
        <v>0</v>
      </c>
      <c r="F739" s="130"/>
      <c r="G739" s="60" t="s">
        <v>125</v>
      </c>
      <c r="H739" s="123"/>
      <c r="I739" s="123"/>
      <c r="J739" s="60"/>
      <c r="K739" s="60"/>
      <c r="L739" s="160"/>
      <c r="M739" s="60"/>
      <c r="N739" s="60"/>
      <c r="O739" s="60">
        <f>N739*J739*K739*M739</f>
        <v>0</v>
      </c>
      <c r="P739" s="60">
        <f t="shared" si="130"/>
        <v>0</v>
      </c>
    </row>
    <row r="740" spans="1:16" s="38" customFormat="1" ht="11.45" customHeight="1" outlineLevel="1" x14ac:dyDescent="0.25">
      <c r="A740" s="124"/>
      <c r="B740" s="142"/>
      <c r="C740" s="115"/>
      <c r="D740" s="115"/>
      <c r="E740" s="115"/>
      <c r="F740" s="115"/>
      <c r="G740" s="60" t="s">
        <v>126</v>
      </c>
      <c r="H740" s="124"/>
      <c r="I740" s="124"/>
      <c r="J740" s="60"/>
      <c r="K740" s="60"/>
      <c r="L740" s="160"/>
      <c r="M740" s="60"/>
      <c r="N740" s="60"/>
      <c r="O740" s="60">
        <f t="shared" ref="O740:O745" si="140">N740*J740*K740*M740</f>
        <v>0</v>
      </c>
      <c r="P740" s="60">
        <f t="shared" si="130"/>
        <v>0</v>
      </c>
    </row>
    <row r="741" spans="1:16" s="38" customFormat="1" ht="10.7" customHeight="1" outlineLevel="1" x14ac:dyDescent="0.25">
      <c r="A741" s="124"/>
      <c r="B741" s="142"/>
      <c r="C741" s="115"/>
      <c r="D741" s="115"/>
      <c r="E741" s="115"/>
      <c r="F741" s="115"/>
      <c r="G741" s="60" t="s">
        <v>127</v>
      </c>
      <c r="H741" s="124"/>
      <c r="I741" s="124"/>
      <c r="J741" s="60"/>
      <c r="K741" s="60"/>
      <c r="L741" s="160"/>
      <c r="M741" s="60"/>
      <c r="N741" s="60"/>
      <c r="O741" s="60">
        <f t="shared" si="140"/>
        <v>0</v>
      </c>
      <c r="P741" s="60">
        <f t="shared" si="130"/>
        <v>0</v>
      </c>
    </row>
    <row r="742" spans="1:16" s="38" customFormat="1" ht="10.7" customHeight="1" outlineLevel="1" x14ac:dyDescent="0.25">
      <c r="A742" s="124"/>
      <c r="B742" s="142"/>
      <c r="C742" s="115"/>
      <c r="D742" s="115"/>
      <c r="E742" s="115"/>
      <c r="F742" s="115"/>
      <c r="G742" s="60" t="s">
        <v>128</v>
      </c>
      <c r="H742" s="124"/>
      <c r="I742" s="124"/>
      <c r="J742" s="60"/>
      <c r="K742" s="60"/>
      <c r="L742" s="160"/>
      <c r="M742" s="60"/>
      <c r="N742" s="60"/>
      <c r="O742" s="60">
        <f t="shared" si="140"/>
        <v>0</v>
      </c>
      <c r="P742" s="60">
        <f t="shared" si="130"/>
        <v>0</v>
      </c>
    </row>
    <row r="743" spans="1:16" s="38" customFormat="1" ht="10.7" customHeight="1" outlineLevel="1" x14ac:dyDescent="0.25">
      <c r="A743" s="124"/>
      <c r="B743" s="142"/>
      <c r="C743" s="115"/>
      <c r="D743" s="115"/>
      <c r="E743" s="115"/>
      <c r="F743" s="115"/>
      <c r="G743" s="60" t="s">
        <v>129</v>
      </c>
      <c r="H743" s="124"/>
      <c r="I743" s="124"/>
      <c r="J743" s="60"/>
      <c r="K743" s="60"/>
      <c r="L743" s="160"/>
      <c r="M743" s="60"/>
      <c r="N743" s="60"/>
      <c r="O743" s="60">
        <f t="shared" si="140"/>
        <v>0</v>
      </c>
      <c r="P743" s="60">
        <f t="shared" si="130"/>
        <v>0</v>
      </c>
    </row>
    <row r="744" spans="1:16" s="38" customFormat="1" ht="10.7" customHeight="1" outlineLevel="1" x14ac:dyDescent="0.25">
      <c r="A744" s="124"/>
      <c r="B744" s="142"/>
      <c r="C744" s="115"/>
      <c r="D744" s="115"/>
      <c r="E744" s="115"/>
      <c r="F744" s="115"/>
      <c r="G744" s="60" t="s">
        <v>130</v>
      </c>
      <c r="H744" s="124"/>
      <c r="I744" s="124"/>
      <c r="J744" s="60"/>
      <c r="K744" s="60"/>
      <c r="L744" s="160"/>
      <c r="M744" s="60"/>
      <c r="N744" s="60"/>
      <c r="O744" s="60">
        <f t="shared" si="140"/>
        <v>0</v>
      </c>
      <c r="P744" s="60">
        <f t="shared" si="130"/>
        <v>0</v>
      </c>
    </row>
    <row r="745" spans="1:16" s="38" customFormat="1" ht="12" customHeight="1" outlineLevel="1" thickBot="1" x14ac:dyDescent="0.3">
      <c r="A745" s="125"/>
      <c r="B745" s="143"/>
      <c r="C745" s="131"/>
      <c r="D745" s="131"/>
      <c r="E745" s="131"/>
      <c r="F745" s="131"/>
      <c r="G745" s="60" t="s">
        <v>131</v>
      </c>
      <c r="H745" s="134"/>
      <c r="I745" s="134"/>
      <c r="J745" s="60"/>
      <c r="K745" s="60"/>
      <c r="L745" s="160"/>
      <c r="M745" s="60"/>
      <c r="N745" s="60"/>
      <c r="O745" s="60">
        <f t="shared" si="140"/>
        <v>0</v>
      </c>
      <c r="P745" s="60">
        <f t="shared" si="130"/>
        <v>0</v>
      </c>
    </row>
    <row r="746" spans="1:16" s="39" customFormat="1" ht="15.75" x14ac:dyDescent="0.25">
      <c r="A746" s="40" t="s">
        <v>257</v>
      </c>
      <c r="B746" s="41" t="s">
        <v>734</v>
      </c>
      <c r="C746" s="42">
        <f>SUM(C747:C1194)</f>
        <v>0</v>
      </c>
      <c r="D746" s="42">
        <f>SUM(D747:D1194)</f>
        <v>0</v>
      </c>
      <c r="E746" s="42">
        <f>SUM(E747:E1194)</f>
        <v>0</v>
      </c>
      <c r="F746" s="57"/>
      <c r="G746" s="57"/>
      <c r="H746" s="57"/>
      <c r="I746" s="57"/>
      <c r="J746" s="57"/>
      <c r="K746" s="57"/>
      <c r="L746" s="161"/>
      <c r="M746" s="57"/>
      <c r="N746" s="57"/>
      <c r="O746" s="57"/>
      <c r="P746" s="43"/>
    </row>
    <row r="747" spans="1:16" s="38" customFormat="1" ht="14.45" customHeight="1" outlineLevel="1" x14ac:dyDescent="0.25">
      <c r="A747" s="140" t="s">
        <v>259</v>
      </c>
      <c r="B747" s="141" t="s">
        <v>735</v>
      </c>
      <c r="C747" s="130">
        <f>SUM(O747:O753)</f>
        <v>0</v>
      </c>
      <c r="D747" s="130">
        <f>SUM(P747:P753)</f>
        <v>0</v>
      </c>
      <c r="E747" s="130">
        <f t="shared" ref="E747:E810" si="141">D747/8</f>
        <v>0</v>
      </c>
      <c r="F747" s="130"/>
      <c r="G747" s="60" t="s">
        <v>125</v>
      </c>
      <c r="H747" s="123"/>
      <c r="I747" s="123"/>
      <c r="J747" s="60"/>
      <c r="K747" s="60"/>
      <c r="L747" s="160"/>
      <c r="M747" s="60"/>
      <c r="N747" s="60"/>
      <c r="O747" s="60">
        <f>N747*J747*K747*M747</f>
        <v>0</v>
      </c>
      <c r="P747" s="60">
        <f>J747*K747*M747</f>
        <v>0</v>
      </c>
    </row>
    <row r="748" spans="1:16" s="38" customFormat="1" ht="11.45" customHeight="1" outlineLevel="1" x14ac:dyDescent="0.25">
      <c r="A748" s="124"/>
      <c r="B748" s="142"/>
      <c r="C748" s="115"/>
      <c r="D748" s="115"/>
      <c r="E748" s="115"/>
      <c r="F748" s="115"/>
      <c r="G748" s="60" t="s">
        <v>126</v>
      </c>
      <c r="H748" s="124"/>
      <c r="I748" s="124"/>
      <c r="J748" s="60"/>
      <c r="K748" s="60"/>
      <c r="L748" s="160"/>
      <c r="M748" s="60"/>
      <c r="N748" s="60"/>
      <c r="O748" s="60">
        <f t="shared" ref="O748:O753" si="142">N748*J748*K748*M748</f>
        <v>0</v>
      </c>
      <c r="P748" s="60">
        <f t="shared" ref="P748:P753" si="143">J748*K748*M748</f>
        <v>0</v>
      </c>
    </row>
    <row r="749" spans="1:16" s="38" customFormat="1" ht="10.7" customHeight="1" outlineLevel="1" x14ac:dyDescent="0.25">
      <c r="A749" s="124"/>
      <c r="B749" s="142"/>
      <c r="C749" s="115"/>
      <c r="D749" s="115"/>
      <c r="E749" s="115"/>
      <c r="F749" s="115"/>
      <c r="G749" s="60" t="s">
        <v>127</v>
      </c>
      <c r="H749" s="124"/>
      <c r="I749" s="124"/>
      <c r="J749" s="60"/>
      <c r="K749" s="60"/>
      <c r="L749" s="160"/>
      <c r="M749" s="60"/>
      <c r="N749" s="60"/>
      <c r="O749" s="60">
        <f t="shared" si="142"/>
        <v>0</v>
      </c>
      <c r="P749" s="60">
        <f t="shared" si="143"/>
        <v>0</v>
      </c>
    </row>
    <row r="750" spans="1:16" s="38" customFormat="1" ht="10.7" customHeight="1" outlineLevel="1" x14ac:dyDescent="0.25">
      <c r="A750" s="124"/>
      <c r="B750" s="142"/>
      <c r="C750" s="115"/>
      <c r="D750" s="115"/>
      <c r="E750" s="115"/>
      <c r="F750" s="115"/>
      <c r="G750" s="60" t="s">
        <v>128</v>
      </c>
      <c r="H750" s="124"/>
      <c r="I750" s="124"/>
      <c r="J750" s="60"/>
      <c r="K750" s="60"/>
      <c r="L750" s="160"/>
      <c r="M750" s="60"/>
      <c r="N750" s="60"/>
      <c r="O750" s="60">
        <f t="shared" si="142"/>
        <v>0</v>
      </c>
      <c r="P750" s="60">
        <f t="shared" si="143"/>
        <v>0</v>
      </c>
    </row>
    <row r="751" spans="1:16" s="38" customFormat="1" ht="10.7" customHeight="1" outlineLevel="1" x14ac:dyDescent="0.25">
      <c r="A751" s="124"/>
      <c r="B751" s="142"/>
      <c r="C751" s="115"/>
      <c r="D751" s="115"/>
      <c r="E751" s="115"/>
      <c r="F751" s="115"/>
      <c r="G751" s="60" t="s">
        <v>129</v>
      </c>
      <c r="H751" s="124"/>
      <c r="I751" s="124"/>
      <c r="J751" s="60"/>
      <c r="K751" s="60"/>
      <c r="L751" s="160"/>
      <c r="M751" s="60"/>
      <c r="N751" s="60"/>
      <c r="O751" s="60">
        <f t="shared" si="142"/>
        <v>0</v>
      </c>
      <c r="P751" s="60">
        <f t="shared" si="143"/>
        <v>0</v>
      </c>
    </row>
    <row r="752" spans="1:16" s="38" customFormat="1" ht="10.7" customHeight="1" outlineLevel="1" x14ac:dyDescent="0.25">
      <c r="A752" s="124"/>
      <c r="B752" s="142"/>
      <c r="C752" s="115"/>
      <c r="D752" s="115"/>
      <c r="E752" s="115"/>
      <c r="F752" s="115"/>
      <c r="G752" s="60" t="s">
        <v>130</v>
      </c>
      <c r="H752" s="124"/>
      <c r="I752" s="124"/>
      <c r="J752" s="60"/>
      <c r="K752" s="60"/>
      <c r="L752" s="160"/>
      <c r="M752" s="60"/>
      <c r="N752" s="60"/>
      <c r="O752" s="60">
        <f t="shared" si="142"/>
        <v>0</v>
      </c>
      <c r="P752" s="60">
        <f t="shared" si="143"/>
        <v>0</v>
      </c>
    </row>
    <row r="753" spans="1:16" s="38" customFormat="1" ht="12" customHeight="1" outlineLevel="1" thickBot="1" x14ac:dyDescent="0.3">
      <c r="A753" s="125"/>
      <c r="B753" s="143"/>
      <c r="C753" s="131"/>
      <c r="D753" s="131"/>
      <c r="E753" s="131"/>
      <c r="F753" s="131"/>
      <c r="G753" s="60" t="s">
        <v>131</v>
      </c>
      <c r="H753" s="134"/>
      <c r="I753" s="134"/>
      <c r="J753" s="60"/>
      <c r="K753" s="60"/>
      <c r="L753" s="160"/>
      <c r="M753" s="60"/>
      <c r="N753" s="60"/>
      <c r="O753" s="60">
        <f t="shared" si="142"/>
        <v>0</v>
      </c>
      <c r="P753" s="60">
        <f t="shared" si="143"/>
        <v>0</v>
      </c>
    </row>
    <row r="754" spans="1:16" s="38" customFormat="1" ht="14.45" customHeight="1" outlineLevel="1" x14ac:dyDescent="0.25">
      <c r="A754" s="140" t="s">
        <v>736</v>
      </c>
      <c r="B754" s="141" t="s">
        <v>737</v>
      </c>
      <c r="C754" s="130">
        <f>SUM(O754:O760)</f>
        <v>0</v>
      </c>
      <c r="D754" s="130">
        <f>SUM(P754:P760)</f>
        <v>0</v>
      </c>
      <c r="E754" s="130">
        <f t="shared" si="141"/>
        <v>0</v>
      </c>
      <c r="F754" s="130"/>
      <c r="G754" s="60" t="s">
        <v>125</v>
      </c>
      <c r="H754" s="123"/>
      <c r="I754" s="123"/>
      <c r="J754" s="60"/>
      <c r="K754" s="60"/>
      <c r="L754" s="160"/>
      <c r="M754" s="60"/>
      <c r="N754" s="60"/>
      <c r="O754" s="60">
        <f>N754*J754*K754*M754</f>
        <v>0</v>
      </c>
      <c r="P754" s="60">
        <f>J754*K754*M754</f>
        <v>0</v>
      </c>
    </row>
    <row r="755" spans="1:16" s="38" customFormat="1" ht="11.45" customHeight="1" outlineLevel="1" x14ac:dyDescent="0.25">
      <c r="A755" s="124"/>
      <c r="B755" s="142"/>
      <c r="C755" s="115"/>
      <c r="D755" s="115"/>
      <c r="E755" s="115"/>
      <c r="F755" s="115"/>
      <c r="G755" s="60" t="s">
        <v>126</v>
      </c>
      <c r="H755" s="124"/>
      <c r="I755" s="124"/>
      <c r="J755" s="60"/>
      <c r="K755" s="60"/>
      <c r="L755" s="160"/>
      <c r="M755" s="60"/>
      <c r="N755" s="60"/>
      <c r="O755" s="60">
        <f t="shared" ref="O755:O760" si="144">N755*J755*K755*M755</f>
        <v>0</v>
      </c>
      <c r="P755" s="60">
        <f t="shared" ref="P755:P760" si="145">J755*K755*M755</f>
        <v>0</v>
      </c>
    </row>
    <row r="756" spans="1:16" s="38" customFormat="1" ht="10.7" customHeight="1" outlineLevel="1" x14ac:dyDescent="0.25">
      <c r="A756" s="124"/>
      <c r="B756" s="142"/>
      <c r="C756" s="115"/>
      <c r="D756" s="115"/>
      <c r="E756" s="115"/>
      <c r="F756" s="115"/>
      <c r="G756" s="60" t="s">
        <v>127</v>
      </c>
      <c r="H756" s="124"/>
      <c r="I756" s="124"/>
      <c r="J756" s="60"/>
      <c r="K756" s="60"/>
      <c r="L756" s="160"/>
      <c r="M756" s="60"/>
      <c r="N756" s="60"/>
      <c r="O756" s="60">
        <f t="shared" si="144"/>
        <v>0</v>
      </c>
      <c r="P756" s="60">
        <f t="shared" si="145"/>
        <v>0</v>
      </c>
    </row>
    <row r="757" spans="1:16" s="38" customFormat="1" ht="10.7" customHeight="1" outlineLevel="1" x14ac:dyDescent="0.25">
      <c r="A757" s="124"/>
      <c r="B757" s="142"/>
      <c r="C757" s="115"/>
      <c r="D757" s="115"/>
      <c r="E757" s="115"/>
      <c r="F757" s="115"/>
      <c r="G757" s="60" t="s">
        <v>128</v>
      </c>
      <c r="H757" s="124"/>
      <c r="I757" s="124"/>
      <c r="J757" s="60"/>
      <c r="K757" s="60"/>
      <c r="L757" s="160"/>
      <c r="M757" s="60"/>
      <c r="N757" s="60"/>
      <c r="O757" s="60">
        <f t="shared" si="144"/>
        <v>0</v>
      </c>
      <c r="P757" s="60">
        <f t="shared" si="145"/>
        <v>0</v>
      </c>
    </row>
    <row r="758" spans="1:16" s="38" customFormat="1" ht="10.7" customHeight="1" outlineLevel="1" x14ac:dyDescent="0.25">
      <c r="A758" s="124"/>
      <c r="B758" s="142"/>
      <c r="C758" s="115"/>
      <c r="D758" s="115"/>
      <c r="E758" s="115"/>
      <c r="F758" s="115"/>
      <c r="G758" s="60" t="s">
        <v>129</v>
      </c>
      <c r="H758" s="124"/>
      <c r="I758" s="124"/>
      <c r="J758" s="60"/>
      <c r="K758" s="60"/>
      <c r="L758" s="160"/>
      <c r="M758" s="60"/>
      <c r="N758" s="60"/>
      <c r="O758" s="60">
        <f t="shared" si="144"/>
        <v>0</v>
      </c>
      <c r="P758" s="60">
        <f t="shared" si="145"/>
        <v>0</v>
      </c>
    </row>
    <row r="759" spans="1:16" s="38" customFormat="1" ht="10.7" customHeight="1" outlineLevel="1" x14ac:dyDescent="0.25">
      <c r="A759" s="124"/>
      <c r="B759" s="142"/>
      <c r="C759" s="115"/>
      <c r="D759" s="115"/>
      <c r="E759" s="115"/>
      <c r="F759" s="115"/>
      <c r="G759" s="60" t="s">
        <v>130</v>
      </c>
      <c r="H759" s="124"/>
      <c r="I759" s="124"/>
      <c r="J759" s="60"/>
      <c r="K759" s="60"/>
      <c r="L759" s="160"/>
      <c r="M759" s="60"/>
      <c r="N759" s="60"/>
      <c r="O759" s="60">
        <f t="shared" si="144"/>
        <v>0</v>
      </c>
      <c r="P759" s="60">
        <f t="shared" si="145"/>
        <v>0</v>
      </c>
    </row>
    <row r="760" spans="1:16" s="38" customFormat="1" ht="12" customHeight="1" outlineLevel="1" thickBot="1" x14ac:dyDescent="0.3">
      <c r="A760" s="125"/>
      <c r="B760" s="143"/>
      <c r="C760" s="131"/>
      <c r="D760" s="131"/>
      <c r="E760" s="131"/>
      <c r="F760" s="131"/>
      <c r="G760" s="60" t="s">
        <v>131</v>
      </c>
      <c r="H760" s="134"/>
      <c r="I760" s="134"/>
      <c r="J760" s="60"/>
      <c r="K760" s="60"/>
      <c r="L760" s="160"/>
      <c r="M760" s="60"/>
      <c r="N760" s="60"/>
      <c r="O760" s="60">
        <f t="shared" si="144"/>
        <v>0</v>
      </c>
      <c r="P760" s="60">
        <f t="shared" si="145"/>
        <v>0</v>
      </c>
    </row>
    <row r="761" spans="1:16" s="38" customFormat="1" ht="14.45" customHeight="1" outlineLevel="1" x14ac:dyDescent="0.25">
      <c r="A761" s="140" t="s">
        <v>738</v>
      </c>
      <c r="B761" s="141" t="s">
        <v>739</v>
      </c>
      <c r="C761" s="130">
        <f>SUM(O761:O767)</f>
        <v>0</v>
      </c>
      <c r="D761" s="130">
        <f>SUM(P761:P767)</f>
        <v>0</v>
      </c>
      <c r="E761" s="130">
        <f t="shared" si="141"/>
        <v>0</v>
      </c>
      <c r="F761" s="130"/>
      <c r="G761" s="60" t="s">
        <v>125</v>
      </c>
      <c r="H761" s="123"/>
      <c r="I761" s="123"/>
      <c r="J761" s="60"/>
      <c r="K761" s="60"/>
      <c r="L761" s="160"/>
      <c r="M761" s="60"/>
      <c r="N761" s="60"/>
      <c r="O761" s="60">
        <f>N761*J761*K761*M761</f>
        <v>0</v>
      </c>
      <c r="P761" s="60">
        <f>J761*K761*M761</f>
        <v>0</v>
      </c>
    </row>
    <row r="762" spans="1:16" s="38" customFormat="1" ht="11.45" customHeight="1" outlineLevel="1" x14ac:dyDescent="0.25">
      <c r="A762" s="124"/>
      <c r="B762" s="142"/>
      <c r="C762" s="115"/>
      <c r="D762" s="115"/>
      <c r="E762" s="115"/>
      <c r="F762" s="115"/>
      <c r="G762" s="60" t="s">
        <v>126</v>
      </c>
      <c r="H762" s="124"/>
      <c r="I762" s="124"/>
      <c r="J762" s="60"/>
      <c r="K762" s="60"/>
      <c r="L762" s="160"/>
      <c r="M762" s="60"/>
      <c r="N762" s="60"/>
      <c r="O762" s="60">
        <f t="shared" ref="O762:O767" si="146">N762*J762*K762*M762</f>
        <v>0</v>
      </c>
      <c r="P762" s="60">
        <f t="shared" ref="P762:P767" si="147">J762*K762*M762</f>
        <v>0</v>
      </c>
    </row>
    <row r="763" spans="1:16" s="38" customFormat="1" ht="10.7" customHeight="1" outlineLevel="1" x14ac:dyDescent="0.25">
      <c r="A763" s="124"/>
      <c r="B763" s="142"/>
      <c r="C763" s="115"/>
      <c r="D763" s="115"/>
      <c r="E763" s="115"/>
      <c r="F763" s="115"/>
      <c r="G763" s="60" t="s">
        <v>127</v>
      </c>
      <c r="H763" s="124"/>
      <c r="I763" s="124"/>
      <c r="J763" s="60"/>
      <c r="K763" s="60"/>
      <c r="L763" s="160"/>
      <c r="M763" s="60"/>
      <c r="N763" s="60"/>
      <c r="O763" s="60">
        <f t="shared" si="146"/>
        <v>0</v>
      </c>
      <c r="P763" s="60">
        <f t="shared" si="147"/>
        <v>0</v>
      </c>
    </row>
    <row r="764" spans="1:16" s="38" customFormat="1" ht="10.7" customHeight="1" outlineLevel="1" x14ac:dyDescent="0.25">
      <c r="A764" s="124"/>
      <c r="B764" s="142"/>
      <c r="C764" s="115"/>
      <c r="D764" s="115"/>
      <c r="E764" s="115"/>
      <c r="F764" s="115"/>
      <c r="G764" s="60" t="s">
        <v>128</v>
      </c>
      <c r="H764" s="124"/>
      <c r="I764" s="124"/>
      <c r="J764" s="60"/>
      <c r="K764" s="60"/>
      <c r="L764" s="160"/>
      <c r="M764" s="60"/>
      <c r="N764" s="60"/>
      <c r="O764" s="60">
        <f t="shared" si="146"/>
        <v>0</v>
      </c>
      <c r="P764" s="60">
        <f t="shared" si="147"/>
        <v>0</v>
      </c>
    </row>
    <row r="765" spans="1:16" s="38" customFormat="1" ht="10.7" customHeight="1" outlineLevel="1" x14ac:dyDescent="0.25">
      <c r="A765" s="124"/>
      <c r="B765" s="142"/>
      <c r="C765" s="115"/>
      <c r="D765" s="115"/>
      <c r="E765" s="115"/>
      <c r="F765" s="115"/>
      <c r="G765" s="60" t="s">
        <v>129</v>
      </c>
      <c r="H765" s="124"/>
      <c r="I765" s="124"/>
      <c r="J765" s="60"/>
      <c r="K765" s="60"/>
      <c r="L765" s="160"/>
      <c r="M765" s="60"/>
      <c r="N765" s="60"/>
      <c r="O765" s="60">
        <f t="shared" si="146"/>
        <v>0</v>
      </c>
      <c r="P765" s="60">
        <f t="shared" si="147"/>
        <v>0</v>
      </c>
    </row>
    <row r="766" spans="1:16" s="38" customFormat="1" ht="10.7" customHeight="1" outlineLevel="1" x14ac:dyDescent="0.25">
      <c r="A766" s="124"/>
      <c r="B766" s="142"/>
      <c r="C766" s="115"/>
      <c r="D766" s="115"/>
      <c r="E766" s="115"/>
      <c r="F766" s="115"/>
      <c r="G766" s="60" t="s">
        <v>130</v>
      </c>
      <c r="H766" s="124"/>
      <c r="I766" s="124"/>
      <c r="J766" s="60"/>
      <c r="K766" s="60"/>
      <c r="L766" s="160"/>
      <c r="M766" s="60"/>
      <c r="N766" s="60"/>
      <c r="O766" s="60">
        <f t="shared" si="146"/>
        <v>0</v>
      </c>
      <c r="P766" s="60">
        <f t="shared" si="147"/>
        <v>0</v>
      </c>
    </row>
    <row r="767" spans="1:16" s="38" customFormat="1" ht="12" customHeight="1" outlineLevel="1" thickBot="1" x14ac:dyDescent="0.3">
      <c r="A767" s="125"/>
      <c r="B767" s="143"/>
      <c r="C767" s="131"/>
      <c r="D767" s="131"/>
      <c r="E767" s="131"/>
      <c r="F767" s="131"/>
      <c r="G767" s="60" t="s">
        <v>131</v>
      </c>
      <c r="H767" s="134"/>
      <c r="I767" s="134"/>
      <c r="J767" s="60"/>
      <c r="K767" s="60"/>
      <c r="L767" s="160"/>
      <c r="M767" s="60"/>
      <c r="N767" s="60"/>
      <c r="O767" s="60">
        <f t="shared" si="146"/>
        <v>0</v>
      </c>
      <c r="P767" s="60">
        <f t="shared" si="147"/>
        <v>0</v>
      </c>
    </row>
    <row r="768" spans="1:16" s="38" customFormat="1" ht="14.45" customHeight="1" outlineLevel="1" x14ac:dyDescent="0.25">
      <c r="A768" s="140" t="s">
        <v>740</v>
      </c>
      <c r="B768" s="141" t="s">
        <v>741</v>
      </c>
      <c r="C768" s="130">
        <f>SUM(O768:O774)</f>
        <v>0</v>
      </c>
      <c r="D768" s="130">
        <f>SUM(P768:P774)</f>
        <v>0</v>
      </c>
      <c r="E768" s="130">
        <f t="shared" si="141"/>
        <v>0</v>
      </c>
      <c r="F768" s="130"/>
      <c r="G768" s="60" t="s">
        <v>125</v>
      </c>
      <c r="H768" s="123"/>
      <c r="I768" s="123"/>
      <c r="J768" s="60"/>
      <c r="K768" s="60"/>
      <c r="L768" s="160"/>
      <c r="M768" s="60"/>
      <c r="N768" s="60"/>
      <c r="O768" s="60">
        <f>N768*J768*K768*M768</f>
        <v>0</v>
      </c>
      <c r="P768" s="60">
        <f>J768*K768*M768</f>
        <v>0</v>
      </c>
    </row>
    <row r="769" spans="1:16" s="38" customFormat="1" ht="11.45" customHeight="1" outlineLevel="1" x14ac:dyDescent="0.25">
      <c r="A769" s="124"/>
      <c r="B769" s="142"/>
      <c r="C769" s="115"/>
      <c r="D769" s="115"/>
      <c r="E769" s="115"/>
      <c r="F769" s="115"/>
      <c r="G769" s="60" t="s">
        <v>126</v>
      </c>
      <c r="H769" s="124"/>
      <c r="I769" s="124"/>
      <c r="J769" s="60"/>
      <c r="K769" s="60"/>
      <c r="L769" s="160"/>
      <c r="M769" s="60"/>
      <c r="N769" s="60"/>
      <c r="O769" s="60">
        <f t="shared" ref="O769:O774" si="148">N769*J769*K769*M769</f>
        <v>0</v>
      </c>
      <c r="P769" s="60">
        <f t="shared" ref="P769:P774" si="149">J769*K769*M769</f>
        <v>0</v>
      </c>
    </row>
    <row r="770" spans="1:16" s="38" customFormat="1" ht="10.7" customHeight="1" outlineLevel="1" x14ac:dyDescent="0.25">
      <c r="A770" s="124"/>
      <c r="B770" s="142"/>
      <c r="C770" s="115"/>
      <c r="D770" s="115"/>
      <c r="E770" s="115"/>
      <c r="F770" s="115"/>
      <c r="G770" s="60" t="s">
        <v>127</v>
      </c>
      <c r="H770" s="124"/>
      <c r="I770" s="124"/>
      <c r="J770" s="60"/>
      <c r="K770" s="60"/>
      <c r="L770" s="160"/>
      <c r="M770" s="60"/>
      <c r="N770" s="60"/>
      <c r="O770" s="60">
        <f t="shared" si="148"/>
        <v>0</v>
      </c>
      <c r="P770" s="60">
        <f t="shared" si="149"/>
        <v>0</v>
      </c>
    </row>
    <row r="771" spans="1:16" s="38" customFormat="1" ht="10.7" customHeight="1" outlineLevel="1" x14ac:dyDescent="0.25">
      <c r="A771" s="124"/>
      <c r="B771" s="142"/>
      <c r="C771" s="115"/>
      <c r="D771" s="115"/>
      <c r="E771" s="115"/>
      <c r="F771" s="115"/>
      <c r="G771" s="60" t="s">
        <v>128</v>
      </c>
      <c r="H771" s="124"/>
      <c r="I771" s="124"/>
      <c r="J771" s="60"/>
      <c r="K771" s="60"/>
      <c r="L771" s="160"/>
      <c r="M771" s="60"/>
      <c r="N771" s="60"/>
      <c r="O771" s="60">
        <f t="shared" si="148"/>
        <v>0</v>
      </c>
      <c r="P771" s="60">
        <f t="shared" si="149"/>
        <v>0</v>
      </c>
    </row>
    <row r="772" spans="1:16" s="38" customFormat="1" ht="10.7" customHeight="1" outlineLevel="1" x14ac:dyDescent="0.25">
      <c r="A772" s="124"/>
      <c r="B772" s="142"/>
      <c r="C772" s="115"/>
      <c r="D772" s="115"/>
      <c r="E772" s="115"/>
      <c r="F772" s="115"/>
      <c r="G772" s="60" t="s">
        <v>129</v>
      </c>
      <c r="H772" s="124"/>
      <c r="I772" s="124"/>
      <c r="J772" s="60"/>
      <c r="K772" s="60"/>
      <c r="L772" s="160"/>
      <c r="M772" s="60"/>
      <c r="N772" s="60"/>
      <c r="O772" s="60">
        <f t="shared" si="148"/>
        <v>0</v>
      </c>
      <c r="P772" s="60">
        <f t="shared" si="149"/>
        <v>0</v>
      </c>
    </row>
    <row r="773" spans="1:16" s="38" customFormat="1" ht="10.7" customHeight="1" outlineLevel="1" x14ac:dyDescent="0.25">
      <c r="A773" s="124"/>
      <c r="B773" s="142"/>
      <c r="C773" s="115"/>
      <c r="D773" s="115"/>
      <c r="E773" s="115"/>
      <c r="F773" s="115"/>
      <c r="G773" s="60" t="s">
        <v>130</v>
      </c>
      <c r="H773" s="124"/>
      <c r="I773" s="124"/>
      <c r="J773" s="60"/>
      <c r="K773" s="60"/>
      <c r="L773" s="160"/>
      <c r="M773" s="60"/>
      <c r="N773" s="60"/>
      <c r="O773" s="60">
        <f t="shared" si="148"/>
        <v>0</v>
      </c>
      <c r="P773" s="60">
        <f t="shared" si="149"/>
        <v>0</v>
      </c>
    </row>
    <row r="774" spans="1:16" s="38" customFormat="1" ht="12" customHeight="1" outlineLevel="1" thickBot="1" x14ac:dyDescent="0.3">
      <c r="A774" s="125"/>
      <c r="B774" s="143"/>
      <c r="C774" s="131"/>
      <c r="D774" s="131"/>
      <c r="E774" s="131"/>
      <c r="F774" s="131"/>
      <c r="G774" s="60" t="s">
        <v>131</v>
      </c>
      <c r="H774" s="134"/>
      <c r="I774" s="134"/>
      <c r="J774" s="60"/>
      <c r="K774" s="60"/>
      <c r="L774" s="160"/>
      <c r="M774" s="60"/>
      <c r="N774" s="60"/>
      <c r="O774" s="60">
        <f t="shared" si="148"/>
        <v>0</v>
      </c>
      <c r="P774" s="60">
        <f t="shared" si="149"/>
        <v>0</v>
      </c>
    </row>
    <row r="775" spans="1:16" s="38" customFormat="1" ht="14.45" customHeight="1" outlineLevel="1" x14ac:dyDescent="0.25">
      <c r="A775" s="140" t="s">
        <v>742</v>
      </c>
      <c r="B775" s="141" t="s">
        <v>743</v>
      </c>
      <c r="C775" s="130">
        <f>SUM(O775:O781)</f>
        <v>0</v>
      </c>
      <c r="D775" s="130">
        <f>SUM(P775:P781)</f>
        <v>0</v>
      </c>
      <c r="E775" s="130">
        <f t="shared" si="141"/>
        <v>0</v>
      </c>
      <c r="F775" s="130"/>
      <c r="G775" s="60" t="s">
        <v>125</v>
      </c>
      <c r="H775" s="123"/>
      <c r="I775" s="123"/>
      <c r="J775" s="60"/>
      <c r="K775" s="60"/>
      <c r="L775" s="160"/>
      <c r="M775" s="60"/>
      <c r="N775" s="60"/>
      <c r="O775" s="60">
        <f>N775*J775*K775*M775</f>
        <v>0</v>
      </c>
      <c r="P775" s="60">
        <f>J775*K775*M775</f>
        <v>0</v>
      </c>
    </row>
    <row r="776" spans="1:16" s="38" customFormat="1" ht="11.45" customHeight="1" outlineLevel="1" x14ac:dyDescent="0.25">
      <c r="A776" s="124"/>
      <c r="B776" s="142"/>
      <c r="C776" s="115"/>
      <c r="D776" s="115"/>
      <c r="E776" s="115"/>
      <c r="F776" s="115"/>
      <c r="G776" s="60" t="s">
        <v>126</v>
      </c>
      <c r="H776" s="124"/>
      <c r="I776" s="124"/>
      <c r="J776" s="60"/>
      <c r="K776" s="60"/>
      <c r="L776" s="160"/>
      <c r="M776" s="60"/>
      <c r="N776" s="60"/>
      <c r="O776" s="60">
        <f t="shared" ref="O776:O781" si="150">N776*J776*K776*M776</f>
        <v>0</v>
      </c>
      <c r="P776" s="60">
        <f t="shared" ref="P776:P781" si="151">J776*K776*M776</f>
        <v>0</v>
      </c>
    </row>
    <row r="777" spans="1:16" s="38" customFormat="1" ht="10.7" customHeight="1" outlineLevel="1" x14ac:dyDescent="0.25">
      <c r="A777" s="124"/>
      <c r="B777" s="142"/>
      <c r="C777" s="115"/>
      <c r="D777" s="115"/>
      <c r="E777" s="115"/>
      <c r="F777" s="115"/>
      <c r="G777" s="60" t="s">
        <v>127</v>
      </c>
      <c r="H777" s="124"/>
      <c r="I777" s="124"/>
      <c r="J777" s="60"/>
      <c r="K777" s="60"/>
      <c r="L777" s="160"/>
      <c r="M777" s="60"/>
      <c r="N777" s="60"/>
      <c r="O777" s="60">
        <f t="shared" si="150"/>
        <v>0</v>
      </c>
      <c r="P777" s="60">
        <f t="shared" si="151"/>
        <v>0</v>
      </c>
    </row>
    <row r="778" spans="1:16" s="38" customFormat="1" ht="10.7" customHeight="1" outlineLevel="1" x14ac:dyDescent="0.25">
      <c r="A778" s="124"/>
      <c r="B778" s="142"/>
      <c r="C778" s="115"/>
      <c r="D778" s="115"/>
      <c r="E778" s="115"/>
      <c r="F778" s="115"/>
      <c r="G778" s="60" t="s">
        <v>128</v>
      </c>
      <c r="H778" s="124"/>
      <c r="I778" s="124"/>
      <c r="J778" s="60"/>
      <c r="K778" s="60"/>
      <c r="L778" s="160"/>
      <c r="M778" s="60"/>
      <c r="N778" s="60"/>
      <c r="O778" s="60">
        <f t="shared" si="150"/>
        <v>0</v>
      </c>
      <c r="P778" s="60">
        <f t="shared" si="151"/>
        <v>0</v>
      </c>
    </row>
    <row r="779" spans="1:16" s="38" customFormat="1" ht="10.7" customHeight="1" outlineLevel="1" x14ac:dyDescent="0.25">
      <c r="A779" s="124"/>
      <c r="B779" s="142"/>
      <c r="C779" s="115"/>
      <c r="D779" s="115"/>
      <c r="E779" s="115"/>
      <c r="F779" s="115"/>
      <c r="G779" s="60" t="s">
        <v>129</v>
      </c>
      <c r="H779" s="124"/>
      <c r="I779" s="124"/>
      <c r="J779" s="60"/>
      <c r="K779" s="60"/>
      <c r="L779" s="160"/>
      <c r="M779" s="60"/>
      <c r="N779" s="60"/>
      <c r="O779" s="60">
        <f t="shared" si="150"/>
        <v>0</v>
      </c>
      <c r="P779" s="60">
        <f t="shared" si="151"/>
        <v>0</v>
      </c>
    </row>
    <row r="780" spans="1:16" s="38" customFormat="1" ht="10.7" customHeight="1" outlineLevel="1" x14ac:dyDescent="0.25">
      <c r="A780" s="124"/>
      <c r="B780" s="142"/>
      <c r="C780" s="115"/>
      <c r="D780" s="115"/>
      <c r="E780" s="115"/>
      <c r="F780" s="115"/>
      <c r="G780" s="60" t="s">
        <v>130</v>
      </c>
      <c r="H780" s="124"/>
      <c r="I780" s="124"/>
      <c r="J780" s="60"/>
      <c r="K780" s="60"/>
      <c r="L780" s="160"/>
      <c r="M780" s="60"/>
      <c r="N780" s="60"/>
      <c r="O780" s="60">
        <f t="shared" si="150"/>
        <v>0</v>
      </c>
      <c r="P780" s="60">
        <f t="shared" si="151"/>
        <v>0</v>
      </c>
    </row>
    <row r="781" spans="1:16" s="38" customFormat="1" ht="12" customHeight="1" outlineLevel="1" thickBot="1" x14ac:dyDescent="0.3">
      <c r="A781" s="125"/>
      <c r="B781" s="143"/>
      <c r="C781" s="131"/>
      <c r="D781" s="131"/>
      <c r="E781" s="131"/>
      <c r="F781" s="131"/>
      <c r="G781" s="60" t="s">
        <v>131</v>
      </c>
      <c r="H781" s="134"/>
      <c r="I781" s="134"/>
      <c r="J781" s="60"/>
      <c r="K781" s="60"/>
      <c r="L781" s="160"/>
      <c r="M781" s="60"/>
      <c r="N781" s="60"/>
      <c r="O781" s="60">
        <f t="shared" si="150"/>
        <v>0</v>
      </c>
      <c r="P781" s="60">
        <f t="shared" si="151"/>
        <v>0</v>
      </c>
    </row>
    <row r="782" spans="1:16" s="38" customFormat="1" ht="14.45" customHeight="1" outlineLevel="1" x14ac:dyDescent="0.25">
      <c r="A782" s="140" t="s">
        <v>744</v>
      </c>
      <c r="B782" s="141" t="s">
        <v>745</v>
      </c>
      <c r="C782" s="130">
        <f>SUM(O782:O788)</f>
        <v>0</v>
      </c>
      <c r="D782" s="130">
        <f>SUM(P782:P788)</f>
        <v>0</v>
      </c>
      <c r="E782" s="130">
        <f t="shared" si="141"/>
        <v>0</v>
      </c>
      <c r="F782" s="130"/>
      <c r="G782" s="60" t="s">
        <v>125</v>
      </c>
      <c r="H782" s="123"/>
      <c r="I782" s="123"/>
      <c r="J782" s="60"/>
      <c r="K782" s="60"/>
      <c r="L782" s="160"/>
      <c r="M782" s="60"/>
      <c r="N782" s="60"/>
      <c r="O782" s="60">
        <f>N782*J782*K782*M782</f>
        <v>0</v>
      </c>
      <c r="P782" s="60">
        <f>J782*K782*M782</f>
        <v>0</v>
      </c>
    </row>
    <row r="783" spans="1:16" s="38" customFormat="1" ht="11.45" customHeight="1" outlineLevel="1" x14ac:dyDescent="0.25">
      <c r="A783" s="124"/>
      <c r="B783" s="142"/>
      <c r="C783" s="115"/>
      <c r="D783" s="115"/>
      <c r="E783" s="115"/>
      <c r="F783" s="115"/>
      <c r="G783" s="60" t="s">
        <v>126</v>
      </c>
      <c r="H783" s="124"/>
      <c r="I783" s="124"/>
      <c r="J783" s="60"/>
      <c r="K783" s="60"/>
      <c r="L783" s="160"/>
      <c r="M783" s="60"/>
      <c r="N783" s="60"/>
      <c r="O783" s="60">
        <f t="shared" ref="O783:O788" si="152">N783*J783*K783*M783</f>
        <v>0</v>
      </c>
      <c r="P783" s="60">
        <f t="shared" ref="P783:P788" si="153">J783*K783*M783</f>
        <v>0</v>
      </c>
    </row>
    <row r="784" spans="1:16" s="38" customFormat="1" ht="10.7" customHeight="1" outlineLevel="1" x14ac:dyDescent="0.25">
      <c r="A784" s="124"/>
      <c r="B784" s="142"/>
      <c r="C784" s="115"/>
      <c r="D784" s="115"/>
      <c r="E784" s="115"/>
      <c r="F784" s="115"/>
      <c r="G784" s="60" t="s">
        <v>127</v>
      </c>
      <c r="H784" s="124"/>
      <c r="I784" s="124"/>
      <c r="J784" s="60"/>
      <c r="K784" s="60"/>
      <c r="L784" s="160"/>
      <c r="M784" s="60"/>
      <c r="N784" s="60"/>
      <c r="O784" s="60">
        <f t="shared" si="152"/>
        <v>0</v>
      </c>
      <c r="P784" s="60">
        <f t="shared" si="153"/>
        <v>0</v>
      </c>
    </row>
    <row r="785" spans="1:16" s="38" customFormat="1" ht="10.7" customHeight="1" outlineLevel="1" x14ac:dyDescent="0.25">
      <c r="A785" s="124"/>
      <c r="B785" s="142"/>
      <c r="C785" s="115"/>
      <c r="D785" s="115"/>
      <c r="E785" s="115"/>
      <c r="F785" s="115"/>
      <c r="G785" s="60" t="s">
        <v>128</v>
      </c>
      <c r="H785" s="124"/>
      <c r="I785" s="124"/>
      <c r="J785" s="60"/>
      <c r="K785" s="60"/>
      <c r="L785" s="160"/>
      <c r="M785" s="60"/>
      <c r="N785" s="60"/>
      <c r="O785" s="60">
        <f t="shared" si="152"/>
        <v>0</v>
      </c>
      <c r="P785" s="60">
        <f t="shared" si="153"/>
        <v>0</v>
      </c>
    </row>
    <row r="786" spans="1:16" s="38" customFormat="1" ht="10.7" customHeight="1" outlineLevel="1" x14ac:dyDescent="0.25">
      <c r="A786" s="124"/>
      <c r="B786" s="142"/>
      <c r="C786" s="115"/>
      <c r="D786" s="115"/>
      <c r="E786" s="115"/>
      <c r="F786" s="115"/>
      <c r="G786" s="60" t="s">
        <v>129</v>
      </c>
      <c r="H786" s="124"/>
      <c r="I786" s="124"/>
      <c r="J786" s="60"/>
      <c r="K786" s="60"/>
      <c r="L786" s="160"/>
      <c r="M786" s="60"/>
      <c r="N786" s="60"/>
      <c r="O786" s="60">
        <f t="shared" si="152"/>
        <v>0</v>
      </c>
      <c r="P786" s="60">
        <f t="shared" si="153"/>
        <v>0</v>
      </c>
    </row>
    <row r="787" spans="1:16" s="38" customFormat="1" ht="10.7" customHeight="1" outlineLevel="1" x14ac:dyDescent="0.25">
      <c r="A787" s="124"/>
      <c r="B787" s="142"/>
      <c r="C787" s="115"/>
      <c r="D787" s="115"/>
      <c r="E787" s="115"/>
      <c r="F787" s="115"/>
      <c r="G787" s="60" t="s">
        <v>130</v>
      </c>
      <c r="H787" s="124"/>
      <c r="I787" s="124"/>
      <c r="J787" s="60"/>
      <c r="K787" s="60"/>
      <c r="L787" s="160"/>
      <c r="M787" s="60"/>
      <c r="N787" s="60"/>
      <c r="O787" s="60">
        <f t="shared" si="152"/>
        <v>0</v>
      </c>
      <c r="P787" s="60">
        <f t="shared" si="153"/>
        <v>0</v>
      </c>
    </row>
    <row r="788" spans="1:16" s="38" customFormat="1" ht="12" customHeight="1" outlineLevel="1" thickBot="1" x14ac:dyDescent="0.3">
      <c r="A788" s="125"/>
      <c r="B788" s="143"/>
      <c r="C788" s="131"/>
      <c r="D788" s="131"/>
      <c r="E788" s="131"/>
      <c r="F788" s="131"/>
      <c r="G788" s="60" t="s">
        <v>131</v>
      </c>
      <c r="H788" s="134"/>
      <c r="I788" s="134"/>
      <c r="J788" s="60"/>
      <c r="K788" s="60"/>
      <c r="L788" s="160"/>
      <c r="M788" s="60"/>
      <c r="N788" s="60"/>
      <c r="O788" s="60">
        <f t="shared" si="152"/>
        <v>0</v>
      </c>
      <c r="P788" s="60">
        <f t="shared" si="153"/>
        <v>0</v>
      </c>
    </row>
    <row r="789" spans="1:16" s="38" customFormat="1" ht="14.45" customHeight="1" outlineLevel="1" x14ac:dyDescent="0.25">
      <c r="A789" s="140" t="s">
        <v>746</v>
      </c>
      <c r="B789" s="141" t="s">
        <v>747</v>
      </c>
      <c r="C789" s="130">
        <f>SUM(O789:O795)</f>
        <v>0</v>
      </c>
      <c r="D789" s="130">
        <f>SUM(P789:P795)</f>
        <v>0</v>
      </c>
      <c r="E789" s="130">
        <f t="shared" si="141"/>
        <v>0</v>
      </c>
      <c r="F789" s="130"/>
      <c r="G789" s="60" t="s">
        <v>125</v>
      </c>
      <c r="H789" s="123"/>
      <c r="I789" s="123"/>
      <c r="J789" s="60"/>
      <c r="K789" s="60"/>
      <c r="L789" s="160"/>
      <c r="M789" s="60"/>
      <c r="N789" s="60"/>
      <c r="O789" s="60">
        <f>N789*J789*K789*M789</f>
        <v>0</v>
      </c>
      <c r="P789" s="60">
        <f>J789*K789*M789</f>
        <v>0</v>
      </c>
    </row>
    <row r="790" spans="1:16" s="38" customFormat="1" ht="11.45" customHeight="1" outlineLevel="1" x14ac:dyDescent="0.25">
      <c r="A790" s="124"/>
      <c r="B790" s="142"/>
      <c r="C790" s="115"/>
      <c r="D790" s="115"/>
      <c r="E790" s="115"/>
      <c r="F790" s="115"/>
      <c r="G790" s="60" t="s">
        <v>126</v>
      </c>
      <c r="H790" s="124"/>
      <c r="I790" s="124"/>
      <c r="J790" s="60"/>
      <c r="K790" s="60"/>
      <c r="L790" s="160"/>
      <c r="M790" s="60"/>
      <c r="N790" s="60"/>
      <c r="O790" s="60">
        <f t="shared" ref="O790:O795" si="154">N790*J790*K790*M790</f>
        <v>0</v>
      </c>
      <c r="P790" s="60">
        <f t="shared" ref="P790:P795" si="155">J790*K790*M790</f>
        <v>0</v>
      </c>
    </row>
    <row r="791" spans="1:16" s="38" customFormat="1" ht="10.7" customHeight="1" outlineLevel="1" x14ac:dyDescent="0.25">
      <c r="A791" s="124"/>
      <c r="B791" s="142"/>
      <c r="C791" s="115"/>
      <c r="D791" s="115"/>
      <c r="E791" s="115"/>
      <c r="F791" s="115"/>
      <c r="G791" s="60" t="s">
        <v>127</v>
      </c>
      <c r="H791" s="124"/>
      <c r="I791" s="124"/>
      <c r="J791" s="60"/>
      <c r="K791" s="60"/>
      <c r="L791" s="160"/>
      <c r="M791" s="60"/>
      <c r="N791" s="60"/>
      <c r="O791" s="60">
        <f t="shared" si="154"/>
        <v>0</v>
      </c>
      <c r="P791" s="60">
        <f t="shared" si="155"/>
        <v>0</v>
      </c>
    </row>
    <row r="792" spans="1:16" s="38" customFormat="1" ht="10.7" customHeight="1" outlineLevel="1" x14ac:dyDescent="0.25">
      <c r="A792" s="124"/>
      <c r="B792" s="142"/>
      <c r="C792" s="115"/>
      <c r="D792" s="115"/>
      <c r="E792" s="115"/>
      <c r="F792" s="115"/>
      <c r="G792" s="60" t="s">
        <v>128</v>
      </c>
      <c r="H792" s="124"/>
      <c r="I792" s="124"/>
      <c r="J792" s="60"/>
      <c r="K792" s="60"/>
      <c r="L792" s="160"/>
      <c r="M792" s="60"/>
      <c r="N792" s="60"/>
      <c r="O792" s="60">
        <f t="shared" si="154"/>
        <v>0</v>
      </c>
      <c r="P792" s="60">
        <f t="shared" si="155"/>
        <v>0</v>
      </c>
    </row>
    <row r="793" spans="1:16" s="38" customFormat="1" ht="10.7" customHeight="1" outlineLevel="1" x14ac:dyDescent="0.25">
      <c r="A793" s="124"/>
      <c r="B793" s="142"/>
      <c r="C793" s="115"/>
      <c r="D793" s="115"/>
      <c r="E793" s="115"/>
      <c r="F793" s="115"/>
      <c r="G793" s="60" t="s">
        <v>129</v>
      </c>
      <c r="H793" s="124"/>
      <c r="I793" s="124"/>
      <c r="J793" s="60"/>
      <c r="K793" s="60"/>
      <c r="L793" s="160"/>
      <c r="M793" s="60"/>
      <c r="N793" s="60"/>
      <c r="O793" s="60">
        <f t="shared" si="154"/>
        <v>0</v>
      </c>
      <c r="P793" s="60">
        <f t="shared" si="155"/>
        <v>0</v>
      </c>
    </row>
    <row r="794" spans="1:16" s="38" customFormat="1" ht="10.7" customHeight="1" outlineLevel="1" x14ac:dyDescent="0.25">
      <c r="A794" s="124"/>
      <c r="B794" s="142"/>
      <c r="C794" s="115"/>
      <c r="D794" s="115"/>
      <c r="E794" s="115"/>
      <c r="F794" s="115"/>
      <c r="G794" s="60" t="s">
        <v>130</v>
      </c>
      <c r="H794" s="124"/>
      <c r="I794" s="124"/>
      <c r="J794" s="60"/>
      <c r="K794" s="60"/>
      <c r="L794" s="160"/>
      <c r="M794" s="60"/>
      <c r="N794" s="60"/>
      <c r="O794" s="60">
        <f t="shared" si="154"/>
        <v>0</v>
      </c>
      <c r="P794" s="60">
        <f t="shared" si="155"/>
        <v>0</v>
      </c>
    </row>
    <row r="795" spans="1:16" s="38" customFormat="1" ht="12" customHeight="1" outlineLevel="1" thickBot="1" x14ac:dyDescent="0.3">
      <c r="A795" s="125"/>
      <c r="B795" s="143"/>
      <c r="C795" s="131"/>
      <c r="D795" s="131"/>
      <c r="E795" s="131"/>
      <c r="F795" s="131"/>
      <c r="G795" s="60" t="s">
        <v>131</v>
      </c>
      <c r="H795" s="134"/>
      <c r="I795" s="134"/>
      <c r="J795" s="60"/>
      <c r="K795" s="60"/>
      <c r="L795" s="160"/>
      <c r="M795" s="60"/>
      <c r="N795" s="60"/>
      <c r="O795" s="60">
        <f t="shared" si="154"/>
        <v>0</v>
      </c>
      <c r="P795" s="60">
        <f t="shared" si="155"/>
        <v>0</v>
      </c>
    </row>
    <row r="796" spans="1:16" s="38" customFormat="1" ht="14.45" customHeight="1" outlineLevel="1" x14ac:dyDescent="0.25">
      <c r="A796" s="140" t="s">
        <v>748</v>
      </c>
      <c r="B796" s="141" t="s">
        <v>749</v>
      </c>
      <c r="C796" s="130">
        <f>SUM(O796:O802)</f>
        <v>0</v>
      </c>
      <c r="D796" s="130">
        <f>SUM(P796:P802)</f>
        <v>0</v>
      </c>
      <c r="E796" s="130">
        <f t="shared" si="141"/>
        <v>0</v>
      </c>
      <c r="F796" s="130"/>
      <c r="G796" s="60" t="s">
        <v>125</v>
      </c>
      <c r="H796" s="123"/>
      <c r="I796" s="123"/>
      <c r="J796" s="60"/>
      <c r="K796" s="60"/>
      <c r="L796" s="160"/>
      <c r="M796" s="60"/>
      <c r="N796" s="60"/>
      <c r="O796" s="60">
        <f>N796*J796*K796*M796</f>
        <v>0</v>
      </c>
      <c r="P796" s="60">
        <f>J796*K796*M796</f>
        <v>0</v>
      </c>
    </row>
    <row r="797" spans="1:16" s="38" customFormat="1" ht="11.45" customHeight="1" outlineLevel="1" x14ac:dyDescent="0.25">
      <c r="A797" s="124"/>
      <c r="B797" s="142"/>
      <c r="C797" s="115"/>
      <c r="D797" s="115"/>
      <c r="E797" s="115"/>
      <c r="F797" s="115"/>
      <c r="G797" s="60" t="s">
        <v>126</v>
      </c>
      <c r="H797" s="124"/>
      <c r="I797" s="124"/>
      <c r="J797" s="60"/>
      <c r="K797" s="60"/>
      <c r="L797" s="160"/>
      <c r="M797" s="60"/>
      <c r="N797" s="60"/>
      <c r="O797" s="60">
        <f t="shared" ref="O797:O802" si="156">N797*J797*K797*M797</f>
        <v>0</v>
      </c>
      <c r="P797" s="60">
        <f t="shared" ref="P797:P802" si="157">J797*K797*M797</f>
        <v>0</v>
      </c>
    </row>
    <row r="798" spans="1:16" s="38" customFormat="1" ht="10.7" customHeight="1" outlineLevel="1" x14ac:dyDescent="0.25">
      <c r="A798" s="124"/>
      <c r="B798" s="142"/>
      <c r="C798" s="115"/>
      <c r="D798" s="115"/>
      <c r="E798" s="115"/>
      <c r="F798" s="115"/>
      <c r="G798" s="60" t="s">
        <v>127</v>
      </c>
      <c r="H798" s="124"/>
      <c r="I798" s="124"/>
      <c r="J798" s="60"/>
      <c r="K798" s="60"/>
      <c r="L798" s="160"/>
      <c r="M798" s="60"/>
      <c r="N798" s="60"/>
      <c r="O798" s="60">
        <f t="shared" si="156"/>
        <v>0</v>
      </c>
      <c r="P798" s="60">
        <f t="shared" si="157"/>
        <v>0</v>
      </c>
    </row>
    <row r="799" spans="1:16" s="38" customFormat="1" ht="10.7" customHeight="1" outlineLevel="1" x14ac:dyDescent="0.25">
      <c r="A799" s="124"/>
      <c r="B799" s="142"/>
      <c r="C799" s="115"/>
      <c r="D799" s="115"/>
      <c r="E799" s="115"/>
      <c r="F799" s="115"/>
      <c r="G799" s="60" t="s">
        <v>128</v>
      </c>
      <c r="H799" s="124"/>
      <c r="I799" s="124"/>
      <c r="J799" s="60"/>
      <c r="K799" s="60"/>
      <c r="L799" s="160"/>
      <c r="M799" s="60"/>
      <c r="N799" s="60"/>
      <c r="O799" s="60">
        <f t="shared" si="156"/>
        <v>0</v>
      </c>
      <c r="P799" s="60">
        <f t="shared" si="157"/>
        <v>0</v>
      </c>
    </row>
    <row r="800" spans="1:16" s="38" customFormat="1" ht="10.7" customHeight="1" outlineLevel="1" x14ac:dyDescent="0.25">
      <c r="A800" s="124"/>
      <c r="B800" s="142"/>
      <c r="C800" s="115"/>
      <c r="D800" s="115"/>
      <c r="E800" s="115"/>
      <c r="F800" s="115"/>
      <c r="G800" s="60" t="s">
        <v>129</v>
      </c>
      <c r="H800" s="124"/>
      <c r="I800" s="124"/>
      <c r="J800" s="60"/>
      <c r="K800" s="60"/>
      <c r="L800" s="160"/>
      <c r="M800" s="60"/>
      <c r="N800" s="60"/>
      <c r="O800" s="60">
        <f t="shared" si="156"/>
        <v>0</v>
      </c>
      <c r="P800" s="60">
        <f t="shared" si="157"/>
        <v>0</v>
      </c>
    </row>
    <row r="801" spans="1:16" s="38" customFormat="1" ht="10.7" customHeight="1" outlineLevel="1" x14ac:dyDescent="0.25">
      <c r="A801" s="124"/>
      <c r="B801" s="142"/>
      <c r="C801" s="115"/>
      <c r="D801" s="115"/>
      <c r="E801" s="115"/>
      <c r="F801" s="115"/>
      <c r="G801" s="60" t="s">
        <v>130</v>
      </c>
      <c r="H801" s="124"/>
      <c r="I801" s="124"/>
      <c r="J801" s="60"/>
      <c r="K801" s="60"/>
      <c r="L801" s="160"/>
      <c r="M801" s="60"/>
      <c r="N801" s="60"/>
      <c r="O801" s="60">
        <f t="shared" si="156"/>
        <v>0</v>
      </c>
      <c r="P801" s="60">
        <f t="shared" si="157"/>
        <v>0</v>
      </c>
    </row>
    <row r="802" spans="1:16" s="38" customFormat="1" ht="12" customHeight="1" outlineLevel="1" thickBot="1" x14ac:dyDescent="0.3">
      <c r="A802" s="125"/>
      <c r="B802" s="143"/>
      <c r="C802" s="131"/>
      <c r="D802" s="131"/>
      <c r="E802" s="131"/>
      <c r="F802" s="131"/>
      <c r="G802" s="60" t="s">
        <v>131</v>
      </c>
      <c r="H802" s="134"/>
      <c r="I802" s="134"/>
      <c r="J802" s="60"/>
      <c r="K802" s="60"/>
      <c r="L802" s="160"/>
      <c r="M802" s="60"/>
      <c r="N802" s="60"/>
      <c r="O802" s="60">
        <f t="shared" si="156"/>
        <v>0</v>
      </c>
      <c r="P802" s="60">
        <f t="shared" si="157"/>
        <v>0</v>
      </c>
    </row>
    <row r="803" spans="1:16" s="38" customFormat="1" ht="14.45" customHeight="1" outlineLevel="1" x14ac:dyDescent="0.25">
      <c r="A803" s="140" t="s">
        <v>750</v>
      </c>
      <c r="B803" s="141" t="s">
        <v>751</v>
      </c>
      <c r="C803" s="130">
        <f>SUM(O803:O809)</f>
        <v>0</v>
      </c>
      <c r="D803" s="130">
        <f>SUM(P803:P809)</f>
        <v>0</v>
      </c>
      <c r="E803" s="130">
        <f t="shared" si="141"/>
        <v>0</v>
      </c>
      <c r="F803" s="130"/>
      <c r="G803" s="60" t="s">
        <v>125</v>
      </c>
      <c r="H803" s="123"/>
      <c r="I803" s="123"/>
      <c r="J803" s="60"/>
      <c r="K803" s="60"/>
      <c r="L803" s="160"/>
      <c r="M803" s="60"/>
      <c r="N803" s="60"/>
      <c r="O803" s="60">
        <f>N803*J803*K803*M803</f>
        <v>0</v>
      </c>
      <c r="P803" s="60">
        <f>J803*K803*M803</f>
        <v>0</v>
      </c>
    </row>
    <row r="804" spans="1:16" s="38" customFormat="1" ht="11.45" customHeight="1" outlineLevel="1" x14ac:dyDescent="0.25">
      <c r="A804" s="124"/>
      <c r="B804" s="142"/>
      <c r="C804" s="115"/>
      <c r="D804" s="115"/>
      <c r="E804" s="115"/>
      <c r="F804" s="115"/>
      <c r="G804" s="60" t="s">
        <v>126</v>
      </c>
      <c r="H804" s="124"/>
      <c r="I804" s="124"/>
      <c r="J804" s="60"/>
      <c r="K804" s="60"/>
      <c r="L804" s="160"/>
      <c r="M804" s="60"/>
      <c r="N804" s="60"/>
      <c r="O804" s="60">
        <f t="shared" ref="O804:O809" si="158">N804*J804*K804*M804</f>
        <v>0</v>
      </c>
      <c r="P804" s="60">
        <f t="shared" ref="P804:P809" si="159">J804*K804*M804</f>
        <v>0</v>
      </c>
    </row>
    <row r="805" spans="1:16" s="38" customFormat="1" ht="10.7" customHeight="1" outlineLevel="1" x14ac:dyDescent="0.25">
      <c r="A805" s="124"/>
      <c r="B805" s="142"/>
      <c r="C805" s="115"/>
      <c r="D805" s="115"/>
      <c r="E805" s="115"/>
      <c r="F805" s="115"/>
      <c r="G805" s="60" t="s">
        <v>127</v>
      </c>
      <c r="H805" s="124"/>
      <c r="I805" s="124"/>
      <c r="J805" s="60"/>
      <c r="K805" s="60"/>
      <c r="L805" s="160"/>
      <c r="M805" s="60"/>
      <c r="N805" s="60"/>
      <c r="O805" s="60">
        <f t="shared" si="158"/>
        <v>0</v>
      </c>
      <c r="P805" s="60">
        <f t="shared" si="159"/>
        <v>0</v>
      </c>
    </row>
    <row r="806" spans="1:16" s="38" customFormat="1" ht="10.7" customHeight="1" outlineLevel="1" x14ac:dyDescent="0.25">
      <c r="A806" s="124"/>
      <c r="B806" s="142"/>
      <c r="C806" s="115"/>
      <c r="D806" s="115"/>
      <c r="E806" s="115"/>
      <c r="F806" s="115"/>
      <c r="G806" s="60" t="s">
        <v>128</v>
      </c>
      <c r="H806" s="124"/>
      <c r="I806" s="124"/>
      <c r="J806" s="60"/>
      <c r="K806" s="60"/>
      <c r="L806" s="160"/>
      <c r="M806" s="60"/>
      <c r="N806" s="60"/>
      <c r="O806" s="60">
        <f t="shared" si="158"/>
        <v>0</v>
      </c>
      <c r="P806" s="60">
        <f t="shared" si="159"/>
        <v>0</v>
      </c>
    </row>
    <row r="807" spans="1:16" s="38" customFormat="1" ht="10.7" customHeight="1" outlineLevel="1" x14ac:dyDescent="0.25">
      <c r="A807" s="124"/>
      <c r="B807" s="142"/>
      <c r="C807" s="115"/>
      <c r="D807" s="115"/>
      <c r="E807" s="115"/>
      <c r="F807" s="115"/>
      <c r="G807" s="60" t="s">
        <v>129</v>
      </c>
      <c r="H807" s="124"/>
      <c r="I807" s="124"/>
      <c r="J807" s="60"/>
      <c r="K807" s="60"/>
      <c r="L807" s="160"/>
      <c r="M807" s="60"/>
      <c r="N807" s="60"/>
      <c r="O807" s="60">
        <f t="shared" si="158"/>
        <v>0</v>
      </c>
      <c r="P807" s="60">
        <f t="shared" si="159"/>
        <v>0</v>
      </c>
    </row>
    <row r="808" spans="1:16" s="38" customFormat="1" ht="10.7" customHeight="1" outlineLevel="1" x14ac:dyDescent="0.25">
      <c r="A808" s="124"/>
      <c r="B808" s="142"/>
      <c r="C808" s="115"/>
      <c r="D808" s="115"/>
      <c r="E808" s="115"/>
      <c r="F808" s="115"/>
      <c r="G808" s="60" t="s">
        <v>130</v>
      </c>
      <c r="H808" s="124"/>
      <c r="I808" s="124"/>
      <c r="J808" s="60"/>
      <c r="K808" s="60"/>
      <c r="L808" s="160"/>
      <c r="M808" s="60"/>
      <c r="N808" s="60"/>
      <c r="O808" s="60">
        <f t="shared" si="158"/>
        <v>0</v>
      </c>
      <c r="P808" s="60">
        <f t="shared" si="159"/>
        <v>0</v>
      </c>
    </row>
    <row r="809" spans="1:16" s="38" customFormat="1" ht="12" customHeight="1" outlineLevel="1" thickBot="1" x14ac:dyDescent="0.3">
      <c r="A809" s="125"/>
      <c r="B809" s="143"/>
      <c r="C809" s="131"/>
      <c r="D809" s="131"/>
      <c r="E809" s="131"/>
      <c r="F809" s="131"/>
      <c r="G809" s="60" t="s">
        <v>131</v>
      </c>
      <c r="H809" s="134"/>
      <c r="I809" s="134"/>
      <c r="J809" s="60"/>
      <c r="K809" s="60"/>
      <c r="L809" s="160"/>
      <c r="M809" s="60"/>
      <c r="N809" s="60"/>
      <c r="O809" s="60">
        <f t="shared" si="158"/>
        <v>0</v>
      </c>
      <c r="P809" s="60">
        <f t="shared" si="159"/>
        <v>0</v>
      </c>
    </row>
    <row r="810" spans="1:16" s="38" customFormat="1" ht="14.45" customHeight="1" outlineLevel="1" x14ac:dyDescent="0.25">
      <c r="A810" s="140" t="s">
        <v>752</v>
      </c>
      <c r="B810" s="141" t="s">
        <v>753</v>
      </c>
      <c r="C810" s="130">
        <f>SUM(O810:O816)</f>
        <v>0</v>
      </c>
      <c r="D810" s="130">
        <f>SUM(P810:P816)</f>
        <v>0</v>
      </c>
      <c r="E810" s="130">
        <f t="shared" si="141"/>
        <v>0</v>
      </c>
      <c r="F810" s="130"/>
      <c r="G810" s="60" t="s">
        <v>125</v>
      </c>
      <c r="H810" s="123"/>
      <c r="I810" s="123"/>
      <c r="J810" s="60"/>
      <c r="K810" s="60"/>
      <c r="L810" s="160"/>
      <c r="M810" s="60"/>
      <c r="N810" s="60"/>
      <c r="O810" s="60">
        <f>N810*J810*K810*M810</f>
        <v>0</v>
      </c>
      <c r="P810" s="60">
        <f>J810*K810*M810</f>
        <v>0</v>
      </c>
    </row>
    <row r="811" spans="1:16" s="38" customFormat="1" ht="11.45" customHeight="1" outlineLevel="1" x14ac:dyDescent="0.25">
      <c r="A811" s="124"/>
      <c r="B811" s="142"/>
      <c r="C811" s="115"/>
      <c r="D811" s="115"/>
      <c r="E811" s="115"/>
      <c r="F811" s="115"/>
      <c r="G811" s="60" t="s">
        <v>126</v>
      </c>
      <c r="H811" s="124"/>
      <c r="I811" s="124"/>
      <c r="J811" s="60"/>
      <c r="K811" s="60"/>
      <c r="L811" s="160"/>
      <c r="M811" s="60"/>
      <c r="N811" s="60"/>
      <c r="O811" s="60">
        <f t="shared" ref="O811:O816" si="160">N811*J811*K811*M811</f>
        <v>0</v>
      </c>
      <c r="P811" s="60">
        <f t="shared" ref="P811:P816" si="161">J811*K811*M811</f>
        <v>0</v>
      </c>
    </row>
    <row r="812" spans="1:16" s="38" customFormat="1" ht="10.7" customHeight="1" outlineLevel="1" x14ac:dyDescent="0.25">
      <c r="A812" s="124"/>
      <c r="B812" s="142"/>
      <c r="C812" s="115"/>
      <c r="D812" s="115"/>
      <c r="E812" s="115"/>
      <c r="F812" s="115"/>
      <c r="G812" s="60" t="s">
        <v>127</v>
      </c>
      <c r="H812" s="124"/>
      <c r="I812" s="124"/>
      <c r="J812" s="60"/>
      <c r="K812" s="60"/>
      <c r="L812" s="160"/>
      <c r="M812" s="60"/>
      <c r="N812" s="60"/>
      <c r="O812" s="60">
        <f t="shared" si="160"/>
        <v>0</v>
      </c>
      <c r="P812" s="60">
        <f t="shared" si="161"/>
        <v>0</v>
      </c>
    </row>
    <row r="813" spans="1:16" s="38" customFormat="1" ht="10.7" customHeight="1" outlineLevel="1" x14ac:dyDescent="0.25">
      <c r="A813" s="124"/>
      <c r="B813" s="142"/>
      <c r="C813" s="115"/>
      <c r="D813" s="115"/>
      <c r="E813" s="115"/>
      <c r="F813" s="115"/>
      <c r="G813" s="60" t="s">
        <v>128</v>
      </c>
      <c r="H813" s="124"/>
      <c r="I813" s="124"/>
      <c r="J813" s="60"/>
      <c r="K813" s="60"/>
      <c r="L813" s="160"/>
      <c r="M813" s="60"/>
      <c r="N813" s="60"/>
      <c r="O813" s="60">
        <f t="shared" si="160"/>
        <v>0</v>
      </c>
      <c r="P813" s="60">
        <f t="shared" si="161"/>
        <v>0</v>
      </c>
    </row>
    <row r="814" spans="1:16" s="38" customFormat="1" ht="10.7" customHeight="1" outlineLevel="1" x14ac:dyDescent="0.25">
      <c r="A814" s="124"/>
      <c r="B814" s="142"/>
      <c r="C814" s="115"/>
      <c r="D814" s="115"/>
      <c r="E814" s="115"/>
      <c r="F814" s="115"/>
      <c r="G814" s="60" t="s">
        <v>129</v>
      </c>
      <c r="H814" s="124"/>
      <c r="I814" s="124"/>
      <c r="J814" s="60"/>
      <c r="K814" s="60"/>
      <c r="L814" s="160"/>
      <c r="M814" s="60"/>
      <c r="N814" s="60"/>
      <c r="O814" s="60">
        <f t="shared" si="160"/>
        <v>0</v>
      </c>
      <c r="P814" s="60">
        <f t="shared" si="161"/>
        <v>0</v>
      </c>
    </row>
    <row r="815" spans="1:16" s="38" customFormat="1" ht="10.7" customHeight="1" outlineLevel="1" x14ac:dyDescent="0.25">
      <c r="A815" s="124"/>
      <c r="B815" s="142"/>
      <c r="C815" s="115"/>
      <c r="D815" s="115"/>
      <c r="E815" s="115"/>
      <c r="F815" s="115"/>
      <c r="G815" s="60" t="s">
        <v>130</v>
      </c>
      <c r="H815" s="124"/>
      <c r="I815" s="124"/>
      <c r="J815" s="60"/>
      <c r="K815" s="60"/>
      <c r="L815" s="160"/>
      <c r="M815" s="60"/>
      <c r="N815" s="60"/>
      <c r="O815" s="60">
        <f t="shared" si="160"/>
        <v>0</v>
      </c>
      <c r="P815" s="60">
        <f t="shared" si="161"/>
        <v>0</v>
      </c>
    </row>
    <row r="816" spans="1:16" s="38" customFormat="1" ht="12" customHeight="1" outlineLevel="1" thickBot="1" x14ac:dyDescent="0.3">
      <c r="A816" s="125"/>
      <c r="B816" s="143"/>
      <c r="C816" s="131"/>
      <c r="D816" s="131"/>
      <c r="E816" s="131"/>
      <c r="F816" s="131"/>
      <c r="G816" s="60" t="s">
        <v>131</v>
      </c>
      <c r="H816" s="134"/>
      <c r="I816" s="134"/>
      <c r="J816" s="60"/>
      <c r="K816" s="60"/>
      <c r="L816" s="160"/>
      <c r="M816" s="60"/>
      <c r="N816" s="60"/>
      <c r="O816" s="60">
        <f t="shared" si="160"/>
        <v>0</v>
      </c>
      <c r="P816" s="60">
        <f t="shared" si="161"/>
        <v>0</v>
      </c>
    </row>
    <row r="817" spans="1:16" s="38" customFormat="1" ht="14.45" customHeight="1" outlineLevel="1" x14ac:dyDescent="0.25">
      <c r="A817" s="140" t="s">
        <v>754</v>
      </c>
      <c r="B817" s="141" t="s">
        <v>755</v>
      </c>
      <c r="C817" s="130">
        <f>SUM(O817:O823)</f>
        <v>0</v>
      </c>
      <c r="D817" s="130">
        <f>SUM(P817:P823)</f>
        <v>0</v>
      </c>
      <c r="E817" s="130">
        <f t="shared" ref="E817:E880" si="162">D817/8</f>
        <v>0</v>
      </c>
      <c r="F817" s="130"/>
      <c r="G817" s="60" t="s">
        <v>125</v>
      </c>
      <c r="H817" s="123"/>
      <c r="I817" s="123"/>
      <c r="J817" s="60"/>
      <c r="K817" s="60"/>
      <c r="L817" s="160"/>
      <c r="M817" s="60"/>
      <c r="N817" s="60"/>
      <c r="O817" s="60">
        <f>N817*J817*K817*M817</f>
        <v>0</v>
      </c>
      <c r="P817" s="60">
        <f>J817*K817*M817</f>
        <v>0</v>
      </c>
    </row>
    <row r="818" spans="1:16" s="38" customFormat="1" ht="11.45" customHeight="1" outlineLevel="1" x14ac:dyDescent="0.25">
      <c r="A818" s="124"/>
      <c r="B818" s="142"/>
      <c r="C818" s="115"/>
      <c r="D818" s="115"/>
      <c r="E818" s="115"/>
      <c r="F818" s="115"/>
      <c r="G818" s="60" t="s">
        <v>126</v>
      </c>
      <c r="H818" s="124"/>
      <c r="I818" s="124"/>
      <c r="J818" s="60"/>
      <c r="K818" s="60"/>
      <c r="L818" s="160"/>
      <c r="M818" s="60"/>
      <c r="N818" s="60"/>
      <c r="O818" s="60">
        <f t="shared" ref="O818:O823" si="163">N818*J818*K818*M818</f>
        <v>0</v>
      </c>
      <c r="P818" s="60">
        <f t="shared" ref="P818:P823" si="164">J818*K818*M818</f>
        <v>0</v>
      </c>
    </row>
    <row r="819" spans="1:16" s="38" customFormat="1" ht="10.7" customHeight="1" outlineLevel="1" x14ac:dyDescent="0.25">
      <c r="A819" s="124"/>
      <c r="B819" s="142"/>
      <c r="C819" s="115"/>
      <c r="D819" s="115"/>
      <c r="E819" s="115"/>
      <c r="F819" s="115"/>
      <c r="G819" s="60" t="s">
        <v>127</v>
      </c>
      <c r="H819" s="124"/>
      <c r="I819" s="124"/>
      <c r="J819" s="60"/>
      <c r="K819" s="60"/>
      <c r="L819" s="160"/>
      <c r="M819" s="60"/>
      <c r="N819" s="60"/>
      <c r="O819" s="60">
        <f t="shared" si="163"/>
        <v>0</v>
      </c>
      <c r="P819" s="60">
        <f t="shared" si="164"/>
        <v>0</v>
      </c>
    </row>
    <row r="820" spans="1:16" s="38" customFormat="1" ht="10.7" customHeight="1" outlineLevel="1" x14ac:dyDescent="0.25">
      <c r="A820" s="124"/>
      <c r="B820" s="142"/>
      <c r="C820" s="115"/>
      <c r="D820" s="115"/>
      <c r="E820" s="115"/>
      <c r="F820" s="115"/>
      <c r="G820" s="60" t="s">
        <v>128</v>
      </c>
      <c r="H820" s="124"/>
      <c r="I820" s="124"/>
      <c r="J820" s="60"/>
      <c r="K820" s="60"/>
      <c r="L820" s="160"/>
      <c r="M820" s="60"/>
      <c r="N820" s="60"/>
      <c r="O820" s="60">
        <f t="shared" si="163"/>
        <v>0</v>
      </c>
      <c r="P820" s="60">
        <f t="shared" si="164"/>
        <v>0</v>
      </c>
    </row>
    <row r="821" spans="1:16" s="38" customFormat="1" ht="10.7" customHeight="1" outlineLevel="1" x14ac:dyDescent="0.25">
      <c r="A821" s="124"/>
      <c r="B821" s="142"/>
      <c r="C821" s="115"/>
      <c r="D821" s="115"/>
      <c r="E821" s="115"/>
      <c r="F821" s="115"/>
      <c r="G821" s="60" t="s">
        <v>129</v>
      </c>
      <c r="H821" s="124"/>
      <c r="I821" s="124"/>
      <c r="J821" s="60"/>
      <c r="K821" s="60"/>
      <c r="L821" s="160"/>
      <c r="M821" s="60"/>
      <c r="N821" s="60"/>
      <c r="O821" s="60">
        <f t="shared" si="163"/>
        <v>0</v>
      </c>
      <c r="P821" s="60">
        <f t="shared" si="164"/>
        <v>0</v>
      </c>
    </row>
    <row r="822" spans="1:16" s="38" customFormat="1" ht="10.7" customHeight="1" outlineLevel="1" x14ac:dyDescent="0.25">
      <c r="A822" s="124"/>
      <c r="B822" s="142"/>
      <c r="C822" s="115"/>
      <c r="D822" s="115"/>
      <c r="E822" s="115"/>
      <c r="F822" s="115"/>
      <c r="G822" s="60" t="s">
        <v>130</v>
      </c>
      <c r="H822" s="124"/>
      <c r="I822" s="124"/>
      <c r="J822" s="60"/>
      <c r="K822" s="60"/>
      <c r="L822" s="160"/>
      <c r="M822" s="60"/>
      <c r="N822" s="60"/>
      <c r="O822" s="60">
        <f t="shared" si="163"/>
        <v>0</v>
      </c>
      <c r="P822" s="60">
        <f t="shared" si="164"/>
        <v>0</v>
      </c>
    </row>
    <row r="823" spans="1:16" s="38" customFormat="1" ht="12" customHeight="1" outlineLevel="1" thickBot="1" x14ac:dyDescent="0.3">
      <c r="A823" s="125"/>
      <c r="B823" s="143"/>
      <c r="C823" s="131"/>
      <c r="D823" s="131"/>
      <c r="E823" s="131"/>
      <c r="F823" s="131"/>
      <c r="G823" s="60" t="s">
        <v>131</v>
      </c>
      <c r="H823" s="134"/>
      <c r="I823" s="134"/>
      <c r="J823" s="60"/>
      <c r="K823" s="60"/>
      <c r="L823" s="160"/>
      <c r="M823" s="60"/>
      <c r="N823" s="60"/>
      <c r="O823" s="60">
        <f t="shared" si="163"/>
        <v>0</v>
      </c>
      <c r="P823" s="60">
        <f t="shared" si="164"/>
        <v>0</v>
      </c>
    </row>
    <row r="824" spans="1:16" s="38" customFormat="1" ht="14.45" customHeight="1" outlineLevel="1" x14ac:dyDescent="0.25">
      <c r="A824" s="140" t="s">
        <v>756</v>
      </c>
      <c r="B824" s="141" t="s">
        <v>757</v>
      </c>
      <c r="C824" s="130">
        <f>SUM(O824:O830)</f>
        <v>0</v>
      </c>
      <c r="D824" s="130">
        <f>SUM(P824:P830)</f>
        <v>0</v>
      </c>
      <c r="E824" s="130">
        <f t="shared" si="162"/>
        <v>0</v>
      </c>
      <c r="F824" s="130"/>
      <c r="G824" s="60" t="s">
        <v>125</v>
      </c>
      <c r="H824" s="123"/>
      <c r="I824" s="123"/>
      <c r="J824" s="60"/>
      <c r="K824" s="60"/>
      <c r="L824" s="160"/>
      <c r="M824" s="60"/>
      <c r="N824" s="60"/>
      <c r="O824" s="60">
        <f>N824*J824*K824*M824</f>
        <v>0</v>
      </c>
      <c r="P824" s="60">
        <f>J824*K824*M824</f>
        <v>0</v>
      </c>
    </row>
    <row r="825" spans="1:16" s="38" customFormat="1" ht="11.45" customHeight="1" outlineLevel="1" x14ac:dyDescent="0.25">
      <c r="A825" s="124"/>
      <c r="B825" s="142"/>
      <c r="C825" s="115"/>
      <c r="D825" s="115"/>
      <c r="E825" s="115"/>
      <c r="F825" s="115"/>
      <c r="G825" s="60" t="s">
        <v>126</v>
      </c>
      <c r="H825" s="124"/>
      <c r="I825" s="124"/>
      <c r="J825" s="60"/>
      <c r="K825" s="60"/>
      <c r="L825" s="160"/>
      <c r="M825" s="60"/>
      <c r="N825" s="60"/>
      <c r="O825" s="60">
        <f t="shared" ref="O825:O830" si="165">N825*J825*K825*M825</f>
        <v>0</v>
      </c>
      <c r="P825" s="60">
        <f t="shared" ref="P825:P830" si="166">J825*K825*M825</f>
        <v>0</v>
      </c>
    </row>
    <row r="826" spans="1:16" s="38" customFormat="1" ht="10.7" customHeight="1" outlineLevel="1" x14ac:dyDescent="0.25">
      <c r="A826" s="124"/>
      <c r="B826" s="142"/>
      <c r="C826" s="115"/>
      <c r="D826" s="115"/>
      <c r="E826" s="115"/>
      <c r="F826" s="115"/>
      <c r="G826" s="60" t="s">
        <v>127</v>
      </c>
      <c r="H826" s="124"/>
      <c r="I826" s="124"/>
      <c r="J826" s="60"/>
      <c r="K826" s="60"/>
      <c r="L826" s="160"/>
      <c r="M826" s="60"/>
      <c r="N826" s="60"/>
      <c r="O826" s="60">
        <f t="shared" si="165"/>
        <v>0</v>
      </c>
      <c r="P826" s="60">
        <f t="shared" si="166"/>
        <v>0</v>
      </c>
    </row>
    <row r="827" spans="1:16" s="38" customFormat="1" ht="10.7" customHeight="1" outlineLevel="1" x14ac:dyDescent="0.25">
      <c r="A827" s="124"/>
      <c r="B827" s="142"/>
      <c r="C827" s="115"/>
      <c r="D827" s="115"/>
      <c r="E827" s="115"/>
      <c r="F827" s="115"/>
      <c r="G827" s="60" t="s">
        <v>128</v>
      </c>
      <c r="H827" s="124"/>
      <c r="I827" s="124"/>
      <c r="J827" s="60"/>
      <c r="K827" s="60"/>
      <c r="L827" s="160"/>
      <c r="M827" s="60"/>
      <c r="N827" s="60"/>
      <c r="O827" s="60">
        <f t="shared" si="165"/>
        <v>0</v>
      </c>
      <c r="P827" s="60">
        <f t="shared" si="166"/>
        <v>0</v>
      </c>
    </row>
    <row r="828" spans="1:16" s="38" customFormat="1" ht="10.7" customHeight="1" outlineLevel="1" x14ac:dyDescent="0.25">
      <c r="A828" s="124"/>
      <c r="B828" s="142"/>
      <c r="C828" s="115"/>
      <c r="D828" s="115"/>
      <c r="E828" s="115"/>
      <c r="F828" s="115"/>
      <c r="G828" s="60" t="s">
        <v>129</v>
      </c>
      <c r="H828" s="124"/>
      <c r="I828" s="124"/>
      <c r="J828" s="60"/>
      <c r="K828" s="60"/>
      <c r="L828" s="160"/>
      <c r="M828" s="60"/>
      <c r="N828" s="60"/>
      <c r="O828" s="60">
        <f t="shared" si="165"/>
        <v>0</v>
      </c>
      <c r="P828" s="60">
        <f t="shared" si="166"/>
        <v>0</v>
      </c>
    </row>
    <row r="829" spans="1:16" s="38" customFormat="1" ht="10.7" customHeight="1" outlineLevel="1" x14ac:dyDescent="0.25">
      <c r="A829" s="124"/>
      <c r="B829" s="142"/>
      <c r="C829" s="115"/>
      <c r="D829" s="115"/>
      <c r="E829" s="115"/>
      <c r="F829" s="115"/>
      <c r="G829" s="60" t="s">
        <v>130</v>
      </c>
      <c r="H829" s="124"/>
      <c r="I829" s="124"/>
      <c r="J829" s="60"/>
      <c r="K829" s="60"/>
      <c r="L829" s="160"/>
      <c r="M829" s="60"/>
      <c r="N829" s="60"/>
      <c r="O829" s="60">
        <f t="shared" si="165"/>
        <v>0</v>
      </c>
      <c r="P829" s="60">
        <f t="shared" si="166"/>
        <v>0</v>
      </c>
    </row>
    <row r="830" spans="1:16" s="38" customFormat="1" ht="12" customHeight="1" outlineLevel="1" thickBot="1" x14ac:dyDescent="0.3">
      <c r="A830" s="125"/>
      <c r="B830" s="143"/>
      <c r="C830" s="131"/>
      <c r="D830" s="131"/>
      <c r="E830" s="131"/>
      <c r="F830" s="131"/>
      <c r="G830" s="60" t="s">
        <v>131</v>
      </c>
      <c r="H830" s="134"/>
      <c r="I830" s="134"/>
      <c r="J830" s="60"/>
      <c r="K830" s="60"/>
      <c r="L830" s="160"/>
      <c r="M830" s="60"/>
      <c r="N830" s="60"/>
      <c r="O830" s="60">
        <f t="shared" si="165"/>
        <v>0</v>
      </c>
      <c r="P830" s="60">
        <f t="shared" si="166"/>
        <v>0</v>
      </c>
    </row>
    <row r="831" spans="1:16" s="38" customFormat="1" ht="14.45" customHeight="1" outlineLevel="1" x14ac:dyDescent="0.25">
      <c r="A831" s="140" t="s">
        <v>758</v>
      </c>
      <c r="B831" s="141" t="s">
        <v>759</v>
      </c>
      <c r="C831" s="130">
        <f>SUM(O831:O837)</f>
        <v>0</v>
      </c>
      <c r="D831" s="130">
        <f>SUM(P831:P837)</f>
        <v>0</v>
      </c>
      <c r="E831" s="130">
        <f t="shared" si="162"/>
        <v>0</v>
      </c>
      <c r="F831" s="130"/>
      <c r="G831" s="60" t="s">
        <v>125</v>
      </c>
      <c r="H831" s="123"/>
      <c r="I831" s="123"/>
      <c r="J831" s="60"/>
      <c r="K831" s="60"/>
      <c r="L831" s="160"/>
      <c r="M831" s="60"/>
      <c r="N831" s="60"/>
      <c r="O831" s="60">
        <f>N831*J831*K831*M831</f>
        <v>0</v>
      </c>
      <c r="P831" s="60">
        <f>J831*K831*M831</f>
        <v>0</v>
      </c>
    </row>
    <row r="832" spans="1:16" s="38" customFormat="1" ht="11.45" customHeight="1" outlineLevel="1" x14ac:dyDescent="0.25">
      <c r="A832" s="124"/>
      <c r="B832" s="142"/>
      <c r="C832" s="115"/>
      <c r="D832" s="115"/>
      <c r="E832" s="115"/>
      <c r="F832" s="115"/>
      <c r="G832" s="60" t="s">
        <v>126</v>
      </c>
      <c r="H832" s="124"/>
      <c r="I832" s="124"/>
      <c r="J832" s="60"/>
      <c r="K832" s="60"/>
      <c r="L832" s="160"/>
      <c r="M832" s="60"/>
      <c r="N832" s="60"/>
      <c r="O832" s="60">
        <f t="shared" ref="O832:O837" si="167">N832*J832*K832*M832</f>
        <v>0</v>
      </c>
      <c r="P832" s="60">
        <f t="shared" ref="P832:P837" si="168">J832*K832*M832</f>
        <v>0</v>
      </c>
    </row>
    <row r="833" spans="1:16" s="38" customFormat="1" ht="10.7" customHeight="1" outlineLevel="1" x14ac:dyDescent="0.25">
      <c r="A833" s="124"/>
      <c r="B833" s="142"/>
      <c r="C833" s="115"/>
      <c r="D833" s="115"/>
      <c r="E833" s="115"/>
      <c r="F833" s="115"/>
      <c r="G833" s="60" t="s">
        <v>127</v>
      </c>
      <c r="H833" s="124"/>
      <c r="I833" s="124"/>
      <c r="J833" s="60"/>
      <c r="K833" s="60"/>
      <c r="L833" s="160"/>
      <c r="M833" s="60"/>
      <c r="N833" s="60"/>
      <c r="O833" s="60">
        <f t="shared" si="167"/>
        <v>0</v>
      </c>
      <c r="P833" s="60">
        <f t="shared" si="168"/>
        <v>0</v>
      </c>
    </row>
    <row r="834" spans="1:16" s="38" customFormat="1" ht="10.7" customHeight="1" outlineLevel="1" x14ac:dyDescent="0.25">
      <c r="A834" s="124"/>
      <c r="B834" s="142"/>
      <c r="C834" s="115"/>
      <c r="D834" s="115"/>
      <c r="E834" s="115"/>
      <c r="F834" s="115"/>
      <c r="G834" s="60" t="s">
        <v>128</v>
      </c>
      <c r="H834" s="124"/>
      <c r="I834" s="124"/>
      <c r="J834" s="60"/>
      <c r="K834" s="60"/>
      <c r="L834" s="160"/>
      <c r="M834" s="60"/>
      <c r="N834" s="60"/>
      <c r="O834" s="60">
        <f t="shared" si="167"/>
        <v>0</v>
      </c>
      <c r="P834" s="60">
        <f t="shared" si="168"/>
        <v>0</v>
      </c>
    </row>
    <row r="835" spans="1:16" s="38" customFormat="1" ht="10.7" customHeight="1" outlineLevel="1" x14ac:dyDescent="0.25">
      <c r="A835" s="124"/>
      <c r="B835" s="142"/>
      <c r="C835" s="115"/>
      <c r="D835" s="115"/>
      <c r="E835" s="115"/>
      <c r="F835" s="115"/>
      <c r="G835" s="60" t="s">
        <v>129</v>
      </c>
      <c r="H835" s="124"/>
      <c r="I835" s="124"/>
      <c r="J835" s="60"/>
      <c r="K835" s="60"/>
      <c r="L835" s="160"/>
      <c r="M835" s="60"/>
      <c r="N835" s="60"/>
      <c r="O835" s="60">
        <f t="shared" si="167"/>
        <v>0</v>
      </c>
      <c r="P835" s="60">
        <f t="shared" si="168"/>
        <v>0</v>
      </c>
    </row>
    <row r="836" spans="1:16" s="38" customFormat="1" ht="10.7" customHeight="1" outlineLevel="1" x14ac:dyDescent="0.25">
      <c r="A836" s="124"/>
      <c r="B836" s="142"/>
      <c r="C836" s="115"/>
      <c r="D836" s="115"/>
      <c r="E836" s="115"/>
      <c r="F836" s="115"/>
      <c r="G836" s="60" t="s">
        <v>130</v>
      </c>
      <c r="H836" s="124"/>
      <c r="I836" s="124"/>
      <c r="J836" s="60"/>
      <c r="K836" s="60"/>
      <c r="L836" s="160"/>
      <c r="M836" s="60"/>
      <c r="N836" s="60"/>
      <c r="O836" s="60">
        <f t="shared" si="167"/>
        <v>0</v>
      </c>
      <c r="P836" s="60">
        <f t="shared" si="168"/>
        <v>0</v>
      </c>
    </row>
    <row r="837" spans="1:16" s="38" customFormat="1" ht="12" customHeight="1" outlineLevel="1" thickBot="1" x14ac:dyDescent="0.3">
      <c r="A837" s="125"/>
      <c r="B837" s="143"/>
      <c r="C837" s="131"/>
      <c r="D837" s="131"/>
      <c r="E837" s="131"/>
      <c r="F837" s="131"/>
      <c r="G837" s="60" t="s">
        <v>131</v>
      </c>
      <c r="H837" s="134"/>
      <c r="I837" s="134"/>
      <c r="J837" s="60"/>
      <c r="K837" s="60"/>
      <c r="L837" s="160"/>
      <c r="M837" s="60"/>
      <c r="N837" s="60"/>
      <c r="O837" s="60">
        <f t="shared" si="167"/>
        <v>0</v>
      </c>
      <c r="P837" s="60">
        <f t="shared" si="168"/>
        <v>0</v>
      </c>
    </row>
    <row r="838" spans="1:16" s="38" customFormat="1" ht="14.45" customHeight="1" outlineLevel="1" x14ac:dyDescent="0.25">
      <c r="A838" s="140" t="s">
        <v>760</v>
      </c>
      <c r="B838" s="141" t="s">
        <v>761</v>
      </c>
      <c r="C838" s="130">
        <f>SUM(O838:O844)</f>
        <v>0</v>
      </c>
      <c r="D838" s="130">
        <f>SUM(P838:P844)</f>
        <v>0</v>
      </c>
      <c r="E838" s="130">
        <f t="shared" si="162"/>
        <v>0</v>
      </c>
      <c r="F838" s="130"/>
      <c r="G838" s="60" t="s">
        <v>125</v>
      </c>
      <c r="H838" s="123"/>
      <c r="I838" s="123"/>
      <c r="J838" s="60"/>
      <c r="K838" s="60"/>
      <c r="L838" s="160"/>
      <c r="M838" s="60"/>
      <c r="N838" s="60"/>
      <c r="O838" s="60">
        <f>N838*J838*K838*M838</f>
        <v>0</v>
      </c>
      <c r="P838" s="60">
        <f>J838*K838*M838</f>
        <v>0</v>
      </c>
    </row>
    <row r="839" spans="1:16" s="38" customFormat="1" ht="11.45" customHeight="1" outlineLevel="1" x14ac:dyDescent="0.25">
      <c r="A839" s="124"/>
      <c r="B839" s="142"/>
      <c r="C839" s="115"/>
      <c r="D839" s="115"/>
      <c r="E839" s="115"/>
      <c r="F839" s="115"/>
      <c r="G839" s="60" t="s">
        <v>126</v>
      </c>
      <c r="H839" s="124"/>
      <c r="I839" s="124"/>
      <c r="J839" s="60"/>
      <c r="K839" s="60"/>
      <c r="L839" s="160"/>
      <c r="M839" s="60"/>
      <c r="N839" s="60"/>
      <c r="O839" s="60">
        <f t="shared" ref="O839:O844" si="169">N839*J839*K839*M839</f>
        <v>0</v>
      </c>
      <c r="P839" s="60">
        <f t="shared" ref="P839:P844" si="170">J839*K839*M839</f>
        <v>0</v>
      </c>
    </row>
    <row r="840" spans="1:16" s="38" customFormat="1" ht="10.7" customHeight="1" outlineLevel="1" x14ac:dyDescent="0.25">
      <c r="A840" s="124"/>
      <c r="B840" s="142"/>
      <c r="C840" s="115"/>
      <c r="D840" s="115"/>
      <c r="E840" s="115"/>
      <c r="F840" s="115"/>
      <c r="G840" s="60" t="s">
        <v>127</v>
      </c>
      <c r="H840" s="124"/>
      <c r="I840" s="124"/>
      <c r="J840" s="60"/>
      <c r="K840" s="60"/>
      <c r="L840" s="160"/>
      <c r="M840" s="60"/>
      <c r="N840" s="60"/>
      <c r="O840" s="60">
        <f t="shared" si="169"/>
        <v>0</v>
      </c>
      <c r="P840" s="60">
        <f t="shared" si="170"/>
        <v>0</v>
      </c>
    </row>
    <row r="841" spans="1:16" s="38" customFormat="1" ht="10.7" customHeight="1" outlineLevel="1" x14ac:dyDescent="0.25">
      <c r="A841" s="124"/>
      <c r="B841" s="142"/>
      <c r="C841" s="115"/>
      <c r="D841" s="115"/>
      <c r="E841" s="115"/>
      <c r="F841" s="115"/>
      <c r="G841" s="60" t="s">
        <v>128</v>
      </c>
      <c r="H841" s="124"/>
      <c r="I841" s="124"/>
      <c r="J841" s="60"/>
      <c r="K841" s="60"/>
      <c r="L841" s="160"/>
      <c r="M841" s="60"/>
      <c r="N841" s="60"/>
      <c r="O841" s="60">
        <f t="shared" si="169"/>
        <v>0</v>
      </c>
      <c r="P841" s="60">
        <f t="shared" si="170"/>
        <v>0</v>
      </c>
    </row>
    <row r="842" spans="1:16" s="38" customFormat="1" ht="10.7" customHeight="1" outlineLevel="1" x14ac:dyDescent="0.25">
      <c r="A842" s="124"/>
      <c r="B842" s="142"/>
      <c r="C842" s="115"/>
      <c r="D842" s="115"/>
      <c r="E842" s="115"/>
      <c r="F842" s="115"/>
      <c r="G842" s="60" t="s">
        <v>129</v>
      </c>
      <c r="H842" s="124"/>
      <c r="I842" s="124"/>
      <c r="J842" s="60"/>
      <c r="K842" s="60"/>
      <c r="L842" s="160"/>
      <c r="M842" s="60"/>
      <c r="N842" s="60"/>
      <c r="O842" s="60">
        <f t="shared" si="169"/>
        <v>0</v>
      </c>
      <c r="P842" s="60">
        <f t="shared" si="170"/>
        <v>0</v>
      </c>
    </row>
    <row r="843" spans="1:16" s="38" customFormat="1" ht="10.7" customHeight="1" outlineLevel="1" x14ac:dyDescent="0.25">
      <c r="A843" s="124"/>
      <c r="B843" s="142"/>
      <c r="C843" s="115"/>
      <c r="D843" s="115"/>
      <c r="E843" s="115"/>
      <c r="F843" s="115"/>
      <c r="G843" s="60" t="s">
        <v>130</v>
      </c>
      <c r="H843" s="124"/>
      <c r="I843" s="124"/>
      <c r="J843" s="60"/>
      <c r="K843" s="60"/>
      <c r="L843" s="160"/>
      <c r="M843" s="60"/>
      <c r="N843" s="60"/>
      <c r="O843" s="60">
        <f t="shared" si="169"/>
        <v>0</v>
      </c>
      <c r="P843" s="60">
        <f t="shared" si="170"/>
        <v>0</v>
      </c>
    </row>
    <row r="844" spans="1:16" s="38" customFormat="1" ht="12" customHeight="1" outlineLevel="1" thickBot="1" x14ac:dyDescent="0.3">
      <c r="A844" s="125"/>
      <c r="B844" s="143"/>
      <c r="C844" s="131"/>
      <c r="D844" s="131"/>
      <c r="E844" s="131"/>
      <c r="F844" s="131"/>
      <c r="G844" s="60" t="s">
        <v>131</v>
      </c>
      <c r="H844" s="134"/>
      <c r="I844" s="134"/>
      <c r="J844" s="60"/>
      <c r="K844" s="60"/>
      <c r="L844" s="160"/>
      <c r="M844" s="60"/>
      <c r="N844" s="60"/>
      <c r="O844" s="60">
        <f t="shared" si="169"/>
        <v>0</v>
      </c>
      <c r="P844" s="60">
        <f t="shared" si="170"/>
        <v>0</v>
      </c>
    </row>
    <row r="845" spans="1:16" s="38" customFormat="1" ht="14.45" customHeight="1" outlineLevel="1" x14ac:dyDescent="0.25">
      <c r="A845" s="140" t="s">
        <v>762</v>
      </c>
      <c r="B845" s="141" t="s">
        <v>763</v>
      </c>
      <c r="C845" s="130">
        <f>SUM(O845:O851)</f>
        <v>0</v>
      </c>
      <c r="D845" s="130">
        <f>SUM(P845:P851)</f>
        <v>0</v>
      </c>
      <c r="E845" s="130">
        <f t="shared" si="162"/>
        <v>0</v>
      </c>
      <c r="F845" s="130"/>
      <c r="G845" s="60" t="s">
        <v>125</v>
      </c>
      <c r="H845" s="123"/>
      <c r="I845" s="123"/>
      <c r="J845" s="60"/>
      <c r="K845" s="60"/>
      <c r="L845" s="160"/>
      <c r="M845" s="60"/>
      <c r="N845" s="60"/>
      <c r="O845" s="60">
        <f>N845*J845*K845*M845</f>
        <v>0</v>
      </c>
      <c r="P845" s="60">
        <f>J845*K845*M845</f>
        <v>0</v>
      </c>
    </row>
    <row r="846" spans="1:16" s="38" customFormat="1" ht="11.45" customHeight="1" outlineLevel="1" x14ac:dyDescent="0.25">
      <c r="A846" s="124"/>
      <c r="B846" s="142"/>
      <c r="C846" s="115"/>
      <c r="D846" s="115"/>
      <c r="E846" s="115"/>
      <c r="F846" s="115"/>
      <c r="G846" s="60" t="s">
        <v>126</v>
      </c>
      <c r="H846" s="124"/>
      <c r="I846" s="124"/>
      <c r="J846" s="60"/>
      <c r="K846" s="60"/>
      <c r="L846" s="160"/>
      <c r="M846" s="60"/>
      <c r="N846" s="60"/>
      <c r="O846" s="60">
        <f t="shared" ref="O846:O851" si="171">N846*J846*K846*M846</f>
        <v>0</v>
      </c>
      <c r="P846" s="60">
        <f t="shared" ref="P846:P851" si="172">J846*K846*M846</f>
        <v>0</v>
      </c>
    </row>
    <row r="847" spans="1:16" s="38" customFormat="1" ht="10.7" customHeight="1" outlineLevel="1" x14ac:dyDescent="0.25">
      <c r="A847" s="124"/>
      <c r="B847" s="142"/>
      <c r="C847" s="115"/>
      <c r="D847" s="115"/>
      <c r="E847" s="115"/>
      <c r="F847" s="115"/>
      <c r="G847" s="60" t="s">
        <v>127</v>
      </c>
      <c r="H847" s="124"/>
      <c r="I847" s="124"/>
      <c r="J847" s="60"/>
      <c r="K847" s="60"/>
      <c r="L847" s="160"/>
      <c r="M847" s="60"/>
      <c r="N847" s="60"/>
      <c r="O847" s="60">
        <f t="shared" si="171"/>
        <v>0</v>
      </c>
      <c r="P847" s="60">
        <f t="shared" si="172"/>
        <v>0</v>
      </c>
    </row>
    <row r="848" spans="1:16" s="38" customFormat="1" ht="10.7" customHeight="1" outlineLevel="1" x14ac:dyDescent="0.25">
      <c r="A848" s="124"/>
      <c r="B848" s="142"/>
      <c r="C848" s="115"/>
      <c r="D848" s="115"/>
      <c r="E848" s="115"/>
      <c r="F848" s="115"/>
      <c r="G848" s="60" t="s">
        <v>128</v>
      </c>
      <c r="H848" s="124"/>
      <c r="I848" s="124"/>
      <c r="J848" s="60"/>
      <c r="K848" s="60"/>
      <c r="L848" s="160"/>
      <c r="M848" s="60"/>
      <c r="N848" s="60"/>
      <c r="O848" s="60">
        <f t="shared" si="171"/>
        <v>0</v>
      </c>
      <c r="P848" s="60">
        <f t="shared" si="172"/>
        <v>0</v>
      </c>
    </row>
    <row r="849" spans="1:16" s="38" customFormat="1" ht="10.7" customHeight="1" outlineLevel="1" x14ac:dyDescent="0.25">
      <c r="A849" s="124"/>
      <c r="B849" s="142"/>
      <c r="C849" s="115"/>
      <c r="D849" s="115"/>
      <c r="E849" s="115"/>
      <c r="F849" s="115"/>
      <c r="G849" s="60" t="s">
        <v>129</v>
      </c>
      <c r="H849" s="124"/>
      <c r="I849" s="124"/>
      <c r="J849" s="60"/>
      <c r="K849" s="60"/>
      <c r="L849" s="160"/>
      <c r="M849" s="60"/>
      <c r="N849" s="60"/>
      <c r="O849" s="60">
        <f t="shared" si="171"/>
        <v>0</v>
      </c>
      <c r="P849" s="60">
        <f t="shared" si="172"/>
        <v>0</v>
      </c>
    </row>
    <row r="850" spans="1:16" s="38" customFormat="1" ht="10.7" customHeight="1" outlineLevel="1" x14ac:dyDescent="0.25">
      <c r="A850" s="124"/>
      <c r="B850" s="142"/>
      <c r="C850" s="115"/>
      <c r="D850" s="115"/>
      <c r="E850" s="115"/>
      <c r="F850" s="115"/>
      <c r="G850" s="60" t="s">
        <v>130</v>
      </c>
      <c r="H850" s="124"/>
      <c r="I850" s="124"/>
      <c r="J850" s="60"/>
      <c r="K850" s="60"/>
      <c r="L850" s="160"/>
      <c r="M850" s="60"/>
      <c r="N850" s="60"/>
      <c r="O850" s="60">
        <f t="shared" si="171"/>
        <v>0</v>
      </c>
      <c r="P850" s="60">
        <f t="shared" si="172"/>
        <v>0</v>
      </c>
    </row>
    <row r="851" spans="1:16" s="38" customFormat="1" ht="12" customHeight="1" outlineLevel="1" thickBot="1" x14ac:dyDescent="0.3">
      <c r="A851" s="125"/>
      <c r="B851" s="143"/>
      <c r="C851" s="131"/>
      <c r="D851" s="131"/>
      <c r="E851" s="131"/>
      <c r="F851" s="131"/>
      <c r="G851" s="60" t="s">
        <v>131</v>
      </c>
      <c r="H851" s="134"/>
      <c r="I851" s="134"/>
      <c r="J851" s="60"/>
      <c r="K851" s="60"/>
      <c r="L851" s="160"/>
      <c r="M851" s="60"/>
      <c r="N851" s="60"/>
      <c r="O851" s="60">
        <f t="shared" si="171"/>
        <v>0</v>
      </c>
      <c r="P851" s="60">
        <f t="shared" si="172"/>
        <v>0</v>
      </c>
    </row>
    <row r="852" spans="1:16" s="38" customFormat="1" ht="14.45" customHeight="1" outlineLevel="1" x14ac:dyDescent="0.25">
      <c r="A852" s="140" t="s">
        <v>764</v>
      </c>
      <c r="B852" s="141" t="s">
        <v>765</v>
      </c>
      <c r="C852" s="130">
        <f>SUM(O852:O858)</f>
        <v>0</v>
      </c>
      <c r="D852" s="130">
        <f>SUM(P852:P858)</f>
        <v>0</v>
      </c>
      <c r="E852" s="130">
        <f t="shared" si="162"/>
        <v>0</v>
      </c>
      <c r="F852" s="130"/>
      <c r="G852" s="60" t="s">
        <v>125</v>
      </c>
      <c r="H852" s="123"/>
      <c r="I852" s="123"/>
      <c r="J852" s="60"/>
      <c r="K852" s="60"/>
      <c r="L852" s="160"/>
      <c r="M852" s="60"/>
      <c r="N852" s="60"/>
      <c r="O852" s="60">
        <f>N852*J852*K852*M852</f>
        <v>0</v>
      </c>
      <c r="P852" s="60">
        <f>J852*K852*M852</f>
        <v>0</v>
      </c>
    </row>
    <row r="853" spans="1:16" s="38" customFormat="1" ht="11.45" customHeight="1" outlineLevel="1" x14ac:dyDescent="0.25">
      <c r="A853" s="124"/>
      <c r="B853" s="142"/>
      <c r="C853" s="115"/>
      <c r="D853" s="115"/>
      <c r="E853" s="115"/>
      <c r="F853" s="115"/>
      <c r="G853" s="60" t="s">
        <v>126</v>
      </c>
      <c r="H853" s="124"/>
      <c r="I853" s="124"/>
      <c r="J853" s="60"/>
      <c r="K853" s="60"/>
      <c r="L853" s="160"/>
      <c r="M853" s="60"/>
      <c r="N853" s="60"/>
      <c r="O853" s="60">
        <f t="shared" ref="O853:O858" si="173">N853*J853*K853*M853</f>
        <v>0</v>
      </c>
      <c r="P853" s="60">
        <f t="shared" ref="P853:P858" si="174">J853*K853*M853</f>
        <v>0</v>
      </c>
    </row>
    <row r="854" spans="1:16" s="38" customFormat="1" ht="10.7" customHeight="1" outlineLevel="1" x14ac:dyDescent="0.25">
      <c r="A854" s="124"/>
      <c r="B854" s="142"/>
      <c r="C854" s="115"/>
      <c r="D854" s="115"/>
      <c r="E854" s="115"/>
      <c r="F854" s="115"/>
      <c r="G854" s="60" t="s">
        <v>127</v>
      </c>
      <c r="H854" s="124"/>
      <c r="I854" s="124"/>
      <c r="J854" s="60"/>
      <c r="K854" s="60"/>
      <c r="L854" s="160"/>
      <c r="M854" s="60"/>
      <c r="N854" s="60"/>
      <c r="O854" s="60">
        <f t="shared" si="173"/>
        <v>0</v>
      </c>
      <c r="P854" s="60">
        <f t="shared" si="174"/>
        <v>0</v>
      </c>
    </row>
    <row r="855" spans="1:16" s="38" customFormat="1" ht="10.7" customHeight="1" outlineLevel="1" x14ac:dyDescent="0.25">
      <c r="A855" s="124"/>
      <c r="B855" s="142"/>
      <c r="C855" s="115"/>
      <c r="D855" s="115"/>
      <c r="E855" s="115"/>
      <c r="F855" s="115"/>
      <c r="G855" s="60" t="s">
        <v>128</v>
      </c>
      <c r="H855" s="124"/>
      <c r="I855" s="124"/>
      <c r="J855" s="60"/>
      <c r="K855" s="60"/>
      <c r="L855" s="160"/>
      <c r="M855" s="60"/>
      <c r="N855" s="60"/>
      <c r="O855" s="60">
        <f t="shared" si="173"/>
        <v>0</v>
      </c>
      <c r="P855" s="60">
        <f t="shared" si="174"/>
        <v>0</v>
      </c>
    </row>
    <row r="856" spans="1:16" s="38" customFormat="1" ht="10.7" customHeight="1" outlineLevel="1" x14ac:dyDescent="0.25">
      <c r="A856" s="124"/>
      <c r="B856" s="142"/>
      <c r="C856" s="115"/>
      <c r="D856" s="115"/>
      <c r="E856" s="115"/>
      <c r="F856" s="115"/>
      <c r="G856" s="60" t="s">
        <v>129</v>
      </c>
      <c r="H856" s="124"/>
      <c r="I856" s="124"/>
      <c r="J856" s="60"/>
      <c r="K856" s="60"/>
      <c r="L856" s="160"/>
      <c r="M856" s="60"/>
      <c r="N856" s="60"/>
      <c r="O856" s="60">
        <f t="shared" si="173"/>
        <v>0</v>
      </c>
      <c r="P856" s="60">
        <f t="shared" si="174"/>
        <v>0</v>
      </c>
    </row>
    <row r="857" spans="1:16" s="38" customFormat="1" ht="10.7" customHeight="1" outlineLevel="1" x14ac:dyDescent="0.25">
      <c r="A857" s="124"/>
      <c r="B857" s="142"/>
      <c r="C857" s="115"/>
      <c r="D857" s="115"/>
      <c r="E857" s="115"/>
      <c r="F857" s="115"/>
      <c r="G857" s="60" t="s">
        <v>130</v>
      </c>
      <c r="H857" s="124"/>
      <c r="I857" s="124"/>
      <c r="J857" s="60"/>
      <c r="K857" s="60"/>
      <c r="L857" s="160"/>
      <c r="M857" s="60"/>
      <c r="N857" s="60"/>
      <c r="O857" s="60">
        <f t="shared" si="173"/>
        <v>0</v>
      </c>
      <c r="P857" s="60">
        <f t="shared" si="174"/>
        <v>0</v>
      </c>
    </row>
    <row r="858" spans="1:16" s="38" customFormat="1" ht="12" customHeight="1" outlineLevel="1" thickBot="1" x14ac:dyDescent="0.3">
      <c r="A858" s="125"/>
      <c r="B858" s="143"/>
      <c r="C858" s="131"/>
      <c r="D858" s="131"/>
      <c r="E858" s="131"/>
      <c r="F858" s="131"/>
      <c r="G858" s="60" t="s">
        <v>131</v>
      </c>
      <c r="H858" s="134"/>
      <c r="I858" s="134"/>
      <c r="J858" s="60"/>
      <c r="K858" s="60"/>
      <c r="L858" s="160"/>
      <c r="M858" s="60"/>
      <c r="N858" s="60"/>
      <c r="O858" s="60">
        <f t="shared" si="173"/>
        <v>0</v>
      </c>
      <c r="P858" s="60">
        <f t="shared" si="174"/>
        <v>0</v>
      </c>
    </row>
    <row r="859" spans="1:16" s="38" customFormat="1" ht="14.45" customHeight="1" outlineLevel="1" x14ac:dyDescent="0.25">
      <c r="A859" s="140" t="s">
        <v>766</v>
      </c>
      <c r="B859" s="141" t="s">
        <v>767</v>
      </c>
      <c r="C859" s="130">
        <f>SUM(O859:O865)</f>
        <v>0</v>
      </c>
      <c r="D859" s="130">
        <f>SUM(P859:P865)</f>
        <v>0</v>
      </c>
      <c r="E859" s="130">
        <f t="shared" si="162"/>
        <v>0</v>
      </c>
      <c r="F859" s="130"/>
      <c r="G859" s="60" t="s">
        <v>125</v>
      </c>
      <c r="H859" s="123"/>
      <c r="I859" s="123"/>
      <c r="J859" s="60"/>
      <c r="K859" s="60"/>
      <c r="L859" s="160"/>
      <c r="M859" s="60"/>
      <c r="N859" s="60"/>
      <c r="O859" s="60">
        <f>N859*J859*K859*M859</f>
        <v>0</v>
      </c>
      <c r="P859" s="60">
        <f>J859*K859*M859</f>
        <v>0</v>
      </c>
    </row>
    <row r="860" spans="1:16" s="38" customFormat="1" ht="11.45" customHeight="1" outlineLevel="1" x14ac:dyDescent="0.25">
      <c r="A860" s="124"/>
      <c r="B860" s="142"/>
      <c r="C860" s="115"/>
      <c r="D860" s="115"/>
      <c r="E860" s="115"/>
      <c r="F860" s="115"/>
      <c r="G860" s="60" t="s">
        <v>126</v>
      </c>
      <c r="H860" s="124"/>
      <c r="I860" s="124"/>
      <c r="J860" s="60"/>
      <c r="K860" s="60"/>
      <c r="L860" s="160"/>
      <c r="M860" s="60"/>
      <c r="N860" s="60"/>
      <c r="O860" s="60">
        <f t="shared" ref="O860:O865" si="175">N860*J860*K860*M860</f>
        <v>0</v>
      </c>
      <c r="P860" s="60">
        <f t="shared" ref="P860:P865" si="176">J860*K860*M860</f>
        <v>0</v>
      </c>
    </row>
    <row r="861" spans="1:16" s="38" customFormat="1" ht="10.7" customHeight="1" outlineLevel="1" x14ac:dyDescent="0.25">
      <c r="A861" s="124"/>
      <c r="B861" s="142"/>
      <c r="C861" s="115"/>
      <c r="D861" s="115"/>
      <c r="E861" s="115"/>
      <c r="F861" s="115"/>
      <c r="G861" s="60" t="s">
        <v>127</v>
      </c>
      <c r="H861" s="124"/>
      <c r="I861" s="124"/>
      <c r="J861" s="60"/>
      <c r="K861" s="60"/>
      <c r="L861" s="160"/>
      <c r="M861" s="60"/>
      <c r="N861" s="60"/>
      <c r="O861" s="60">
        <f t="shared" si="175"/>
        <v>0</v>
      </c>
      <c r="P861" s="60">
        <f t="shared" si="176"/>
        <v>0</v>
      </c>
    </row>
    <row r="862" spans="1:16" s="38" customFormat="1" ht="10.7" customHeight="1" outlineLevel="1" x14ac:dyDescent="0.25">
      <c r="A862" s="124"/>
      <c r="B862" s="142"/>
      <c r="C862" s="115"/>
      <c r="D862" s="115"/>
      <c r="E862" s="115"/>
      <c r="F862" s="115"/>
      <c r="G862" s="60" t="s">
        <v>128</v>
      </c>
      <c r="H862" s="124"/>
      <c r="I862" s="124"/>
      <c r="J862" s="60"/>
      <c r="K862" s="60"/>
      <c r="L862" s="160"/>
      <c r="M862" s="60"/>
      <c r="N862" s="60"/>
      <c r="O862" s="60">
        <f t="shared" si="175"/>
        <v>0</v>
      </c>
      <c r="P862" s="60">
        <f t="shared" si="176"/>
        <v>0</v>
      </c>
    </row>
    <row r="863" spans="1:16" s="38" customFormat="1" ht="10.7" customHeight="1" outlineLevel="1" x14ac:dyDescent="0.25">
      <c r="A863" s="124"/>
      <c r="B863" s="142"/>
      <c r="C863" s="115"/>
      <c r="D863" s="115"/>
      <c r="E863" s="115"/>
      <c r="F863" s="115"/>
      <c r="G863" s="60" t="s">
        <v>129</v>
      </c>
      <c r="H863" s="124"/>
      <c r="I863" s="124"/>
      <c r="J863" s="60"/>
      <c r="K863" s="60"/>
      <c r="L863" s="160"/>
      <c r="M863" s="60"/>
      <c r="N863" s="60"/>
      <c r="O863" s="60">
        <f t="shared" si="175"/>
        <v>0</v>
      </c>
      <c r="P863" s="60">
        <f t="shared" si="176"/>
        <v>0</v>
      </c>
    </row>
    <row r="864" spans="1:16" s="38" customFormat="1" ht="10.7" customHeight="1" outlineLevel="1" x14ac:dyDescent="0.25">
      <c r="A864" s="124"/>
      <c r="B864" s="142"/>
      <c r="C864" s="115"/>
      <c r="D864" s="115"/>
      <c r="E864" s="115"/>
      <c r="F864" s="115"/>
      <c r="G864" s="60" t="s">
        <v>130</v>
      </c>
      <c r="H864" s="124"/>
      <c r="I864" s="124"/>
      <c r="J864" s="60"/>
      <c r="K864" s="60"/>
      <c r="L864" s="160"/>
      <c r="M864" s="60"/>
      <c r="N864" s="60"/>
      <c r="O864" s="60">
        <f t="shared" si="175"/>
        <v>0</v>
      </c>
      <c r="P864" s="60">
        <f t="shared" si="176"/>
        <v>0</v>
      </c>
    </row>
    <row r="865" spans="1:16" s="38" customFormat="1" ht="12" customHeight="1" outlineLevel="1" thickBot="1" x14ac:dyDescent="0.3">
      <c r="A865" s="125"/>
      <c r="B865" s="143"/>
      <c r="C865" s="131"/>
      <c r="D865" s="131"/>
      <c r="E865" s="131"/>
      <c r="F865" s="131"/>
      <c r="G865" s="60" t="s">
        <v>131</v>
      </c>
      <c r="H865" s="134"/>
      <c r="I865" s="134"/>
      <c r="J865" s="60"/>
      <c r="K865" s="60"/>
      <c r="L865" s="160"/>
      <c r="M865" s="60"/>
      <c r="N865" s="60"/>
      <c r="O865" s="60">
        <f t="shared" si="175"/>
        <v>0</v>
      </c>
      <c r="P865" s="60">
        <f t="shared" si="176"/>
        <v>0</v>
      </c>
    </row>
    <row r="866" spans="1:16" s="38" customFormat="1" ht="14.45" customHeight="1" outlineLevel="1" x14ac:dyDescent="0.25">
      <c r="A866" s="140" t="s">
        <v>768</v>
      </c>
      <c r="B866" s="141" t="s">
        <v>769</v>
      </c>
      <c r="C866" s="130">
        <f>SUM(O866:O872)</f>
        <v>0</v>
      </c>
      <c r="D866" s="130">
        <f>SUM(P866:P872)</f>
        <v>0</v>
      </c>
      <c r="E866" s="130">
        <f t="shared" si="162"/>
        <v>0</v>
      </c>
      <c r="F866" s="130"/>
      <c r="G866" s="60" t="s">
        <v>125</v>
      </c>
      <c r="H866" s="123"/>
      <c r="I866" s="123"/>
      <c r="J866" s="60"/>
      <c r="K866" s="60"/>
      <c r="L866" s="160"/>
      <c r="M866" s="60"/>
      <c r="N866" s="60"/>
      <c r="O866" s="60">
        <f>N866*J866*K866*M866</f>
        <v>0</v>
      </c>
      <c r="P866" s="60">
        <f>J866*K866*M866</f>
        <v>0</v>
      </c>
    </row>
    <row r="867" spans="1:16" s="38" customFormat="1" ht="11.45" customHeight="1" outlineLevel="1" x14ac:dyDescent="0.25">
      <c r="A867" s="124"/>
      <c r="B867" s="142"/>
      <c r="C867" s="115"/>
      <c r="D867" s="115"/>
      <c r="E867" s="115"/>
      <c r="F867" s="115"/>
      <c r="G867" s="60" t="s">
        <v>126</v>
      </c>
      <c r="H867" s="124"/>
      <c r="I867" s="124"/>
      <c r="J867" s="60"/>
      <c r="K867" s="60"/>
      <c r="L867" s="160"/>
      <c r="M867" s="60"/>
      <c r="N867" s="60"/>
      <c r="O867" s="60">
        <f t="shared" ref="O867:O872" si="177">N867*J867*K867*M867</f>
        <v>0</v>
      </c>
      <c r="P867" s="60">
        <f t="shared" ref="P867:P872" si="178">J867*K867*M867</f>
        <v>0</v>
      </c>
    </row>
    <row r="868" spans="1:16" s="38" customFormat="1" ht="10.7" customHeight="1" outlineLevel="1" x14ac:dyDescent="0.25">
      <c r="A868" s="124"/>
      <c r="B868" s="142"/>
      <c r="C868" s="115"/>
      <c r="D868" s="115"/>
      <c r="E868" s="115"/>
      <c r="F868" s="115"/>
      <c r="G868" s="60" t="s">
        <v>127</v>
      </c>
      <c r="H868" s="124"/>
      <c r="I868" s="124"/>
      <c r="J868" s="60"/>
      <c r="K868" s="60"/>
      <c r="L868" s="160"/>
      <c r="M868" s="60"/>
      <c r="N868" s="60"/>
      <c r="O868" s="60">
        <f t="shared" si="177"/>
        <v>0</v>
      </c>
      <c r="P868" s="60">
        <f t="shared" si="178"/>
        <v>0</v>
      </c>
    </row>
    <row r="869" spans="1:16" s="38" customFormat="1" ht="10.7" customHeight="1" outlineLevel="1" x14ac:dyDescent="0.25">
      <c r="A869" s="124"/>
      <c r="B869" s="142"/>
      <c r="C869" s="115"/>
      <c r="D869" s="115"/>
      <c r="E869" s="115"/>
      <c r="F869" s="115"/>
      <c r="G869" s="60" t="s">
        <v>128</v>
      </c>
      <c r="H869" s="124"/>
      <c r="I869" s="124"/>
      <c r="J869" s="60"/>
      <c r="K869" s="60"/>
      <c r="L869" s="160"/>
      <c r="M869" s="60"/>
      <c r="N869" s="60"/>
      <c r="O869" s="60">
        <f t="shared" si="177"/>
        <v>0</v>
      </c>
      <c r="P869" s="60">
        <f t="shared" si="178"/>
        <v>0</v>
      </c>
    </row>
    <row r="870" spans="1:16" s="38" customFormat="1" ht="10.7" customHeight="1" outlineLevel="1" x14ac:dyDescent="0.25">
      <c r="A870" s="124"/>
      <c r="B870" s="142"/>
      <c r="C870" s="115"/>
      <c r="D870" s="115"/>
      <c r="E870" s="115"/>
      <c r="F870" s="115"/>
      <c r="G870" s="60" t="s">
        <v>129</v>
      </c>
      <c r="H870" s="124"/>
      <c r="I870" s="124"/>
      <c r="J870" s="60"/>
      <c r="K870" s="60"/>
      <c r="L870" s="160"/>
      <c r="M870" s="60"/>
      <c r="N870" s="60"/>
      <c r="O870" s="60">
        <f t="shared" si="177"/>
        <v>0</v>
      </c>
      <c r="P870" s="60">
        <f t="shared" si="178"/>
        <v>0</v>
      </c>
    </row>
    <row r="871" spans="1:16" s="38" customFormat="1" ht="10.7" customHeight="1" outlineLevel="1" x14ac:dyDescent="0.25">
      <c r="A871" s="124"/>
      <c r="B871" s="142"/>
      <c r="C871" s="115"/>
      <c r="D871" s="115"/>
      <c r="E871" s="115"/>
      <c r="F871" s="115"/>
      <c r="G871" s="60" t="s">
        <v>130</v>
      </c>
      <c r="H871" s="124"/>
      <c r="I871" s="124"/>
      <c r="J871" s="60"/>
      <c r="K871" s="60"/>
      <c r="L871" s="160"/>
      <c r="M871" s="60"/>
      <c r="N871" s="60"/>
      <c r="O871" s="60">
        <f t="shared" si="177"/>
        <v>0</v>
      </c>
      <c r="P871" s="60">
        <f t="shared" si="178"/>
        <v>0</v>
      </c>
    </row>
    <row r="872" spans="1:16" s="38" customFormat="1" ht="12" customHeight="1" outlineLevel="1" thickBot="1" x14ac:dyDescent="0.3">
      <c r="A872" s="125"/>
      <c r="B872" s="143"/>
      <c r="C872" s="131"/>
      <c r="D872" s="131"/>
      <c r="E872" s="131"/>
      <c r="F872" s="131"/>
      <c r="G872" s="60" t="s">
        <v>131</v>
      </c>
      <c r="H872" s="134"/>
      <c r="I872" s="134"/>
      <c r="J872" s="60"/>
      <c r="K872" s="60"/>
      <c r="L872" s="160"/>
      <c r="M872" s="60"/>
      <c r="N872" s="60"/>
      <c r="O872" s="60">
        <f t="shared" si="177"/>
        <v>0</v>
      </c>
      <c r="P872" s="60">
        <f t="shared" si="178"/>
        <v>0</v>
      </c>
    </row>
    <row r="873" spans="1:16" s="38" customFormat="1" ht="14.45" customHeight="1" outlineLevel="1" x14ac:dyDescent="0.25">
      <c r="A873" s="140" t="s">
        <v>770</v>
      </c>
      <c r="B873" s="141" t="s">
        <v>771</v>
      </c>
      <c r="C873" s="130">
        <f>SUM(O873:O879)</f>
        <v>0</v>
      </c>
      <c r="D873" s="130">
        <f>SUM(P873:P879)</f>
        <v>0</v>
      </c>
      <c r="E873" s="130">
        <f t="shared" si="162"/>
        <v>0</v>
      </c>
      <c r="F873" s="130"/>
      <c r="G873" s="60" t="s">
        <v>125</v>
      </c>
      <c r="H873" s="123"/>
      <c r="I873" s="123"/>
      <c r="J873" s="60"/>
      <c r="K873" s="60"/>
      <c r="L873" s="160"/>
      <c r="M873" s="60"/>
      <c r="N873" s="60"/>
      <c r="O873" s="60">
        <f>N873*J873*K873*M873</f>
        <v>0</v>
      </c>
      <c r="P873" s="60">
        <f>J873*K873*M873</f>
        <v>0</v>
      </c>
    </row>
    <row r="874" spans="1:16" s="38" customFormat="1" ht="11.45" customHeight="1" outlineLevel="1" x14ac:dyDescent="0.25">
      <c r="A874" s="124"/>
      <c r="B874" s="142"/>
      <c r="C874" s="115"/>
      <c r="D874" s="115"/>
      <c r="E874" s="115"/>
      <c r="F874" s="115"/>
      <c r="G874" s="60" t="s">
        <v>126</v>
      </c>
      <c r="H874" s="124"/>
      <c r="I874" s="124"/>
      <c r="J874" s="60"/>
      <c r="K874" s="60"/>
      <c r="L874" s="160"/>
      <c r="M874" s="60"/>
      <c r="N874" s="60"/>
      <c r="O874" s="60">
        <f t="shared" ref="O874:O879" si="179">N874*J874*K874*M874</f>
        <v>0</v>
      </c>
      <c r="P874" s="60">
        <f t="shared" ref="P874:P879" si="180">J874*K874*M874</f>
        <v>0</v>
      </c>
    </row>
    <row r="875" spans="1:16" s="38" customFormat="1" ht="10.7" customHeight="1" outlineLevel="1" x14ac:dyDescent="0.25">
      <c r="A875" s="124"/>
      <c r="B875" s="142"/>
      <c r="C875" s="115"/>
      <c r="D875" s="115"/>
      <c r="E875" s="115"/>
      <c r="F875" s="115"/>
      <c r="G875" s="60" t="s">
        <v>127</v>
      </c>
      <c r="H875" s="124"/>
      <c r="I875" s="124"/>
      <c r="J875" s="60"/>
      <c r="K875" s="60"/>
      <c r="L875" s="160"/>
      <c r="M875" s="60"/>
      <c r="N875" s="60"/>
      <c r="O875" s="60">
        <f t="shared" si="179"/>
        <v>0</v>
      </c>
      <c r="P875" s="60">
        <f t="shared" si="180"/>
        <v>0</v>
      </c>
    </row>
    <row r="876" spans="1:16" s="38" customFormat="1" ht="10.7" customHeight="1" outlineLevel="1" x14ac:dyDescent="0.25">
      <c r="A876" s="124"/>
      <c r="B876" s="142"/>
      <c r="C876" s="115"/>
      <c r="D876" s="115"/>
      <c r="E876" s="115"/>
      <c r="F876" s="115"/>
      <c r="G876" s="60" t="s">
        <v>128</v>
      </c>
      <c r="H876" s="124"/>
      <c r="I876" s="124"/>
      <c r="J876" s="60"/>
      <c r="K876" s="60"/>
      <c r="L876" s="160"/>
      <c r="M876" s="60"/>
      <c r="N876" s="60"/>
      <c r="O876" s="60">
        <f t="shared" si="179"/>
        <v>0</v>
      </c>
      <c r="P876" s="60">
        <f t="shared" si="180"/>
        <v>0</v>
      </c>
    </row>
    <row r="877" spans="1:16" s="38" customFormat="1" ht="10.7" customHeight="1" outlineLevel="1" x14ac:dyDescent="0.25">
      <c r="A877" s="124"/>
      <c r="B877" s="142"/>
      <c r="C877" s="115"/>
      <c r="D877" s="115"/>
      <c r="E877" s="115"/>
      <c r="F877" s="115"/>
      <c r="G877" s="60" t="s">
        <v>129</v>
      </c>
      <c r="H877" s="124"/>
      <c r="I877" s="124"/>
      <c r="J877" s="60"/>
      <c r="K877" s="60"/>
      <c r="L877" s="160"/>
      <c r="M877" s="60"/>
      <c r="N877" s="60"/>
      <c r="O877" s="60">
        <f t="shared" si="179"/>
        <v>0</v>
      </c>
      <c r="P877" s="60">
        <f t="shared" si="180"/>
        <v>0</v>
      </c>
    </row>
    <row r="878" spans="1:16" s="38" customFormat="1" ht="10.7" customHeight="1" outlineLevel="1" x14ac:dyDescent="0.25">
      <c r="A878" s="124"/>
      <c r="B878" s="142"/>
      <c r="C878" s="115"/>
      <c r="D878" s="115"/>
      <c r="E878" s="115"/>
      <c r="F878" s="115"/>
      <c r="G878" s="60" t="s">
        <v>130</v>
      </c>
      <c r="H878" s="124"/>
      <c r="I878" s="124"/>
      <c r="J878" s="60"/>
      <c r="K878" s="60"/>
      <c r="L878" s="160"/>
      <c r="M878" s="60"/>
      <c r="N878" s="60"/>
      <c r="O878" s="60">
        <f t="shared" si="179"/>
        <v>0</v>
      </c>
      <c r="P878" s="60">
        <f t="shared" si="180"/>
        <v>0</v>
      </c>
    </row>
    <row r="879" spans="1:16" s="38" customFormat="1" ht="12" customHeight="1" outlineLevel="1" thickBot="1" x14ac:dyDescent="0.3">
      <c r="A879" s="125"/>
      <c r="B879" s="143"/>
      <c r="C879" s="131"/>
      <c r="D879" s="131"/>
      <c r="E879" s="131"/>
      <c r="F879" s="131"/>
      <c r="G879" s="60" t="s">
        <v>131</v>
      </c>
      <c r="H879" s="134"/>
      <c r="I879" s="134"/>
      <c r="J879" s="60"/>
      <c r="K879" s="60"/>
      <c r="L879" s="160"/>
      <c r="M879" s="60"/>
      <c r="N879" s="60"/>
      <c r="O879" s="60">
        <f t="shared" si="179"/>
        <v>0</v>
      </c>
      <c r="P879" s="60">
        <f t="shared" si="180"/>
        <v>0</v>
      </c>
    </row>
    <row r="880" spans="1:16" s="38" customFormat="1" ht="14.45" customHeight="1" outlineLevel="1" x14ac:dyDescent="0.25">
      <c r="A880" s="140" t="s">
        <v>772</v>
      </c>
      <c r="B880" s="141" t="s">
        <v>773</v>
      </c>
      <c r="C880" s="130">
        <f>SUM(O880:O886)</f>
        <v>0</v>
      </c>
      <c r="D880" s="130">
        <f>SUM(P880:P886)</f>
        <v>0</v>
      </c>
      <c r="E880" s="130">
        <f t="shared" si="162"/>
        <v>0</v>
      </c>
      <c r="F880" s="130"/>
      <c r="G880" s="60" t="s">
        <v>125</v>
      </c>
      <c r="H880" s="123"/>
      <c r="I880" s="123"/>
      <c r="J880" s="60"/>
      <c r="K880" s="60"/>
      <c r="L880" s="160"/>
      <c r="M880" s="60"/>
      <c r="N880" s="60"/>
      <c r="O880" s="60">
        <f>N880*J880*K880*M880</f>
        <v>0</v>
      </c>
      <c r="P880" s="60">
        <f>J880*K880*M880</f>
        <v>0</v>
      </c>
    </row>
    <row r="881" spans="1:16" s="38" customFormat="1" ht="11.45" customHeight="1" outlineLevel="1" x14ac:dyDescent="0.25">
      <c r="A881" s="124"/>
      <c r="B881" s="142"/>
      <c r="C881" s="115"/>
      <c r="D881" s="115"/>
      <c r="E881" s="115"/>
      <c r="F881" s="115"/>
      <c r="G881" s="60" t="s">
        <v>126</v>
      </c>
      <c r="H881" s="124"/>
      <c r="I881" s="124"/>
      <c r="J881" s="60"/>
      <c r="K881" s="60"/>
      <c r="L881" s="160"/>
      <c r="M881" s="60"/>
      <c r="N881" s="60"/>
      <c r="O881" s="60">
        <f t="shared" ref="O881:O886" si="181">N881*J881*K881*M881</f>
        <v>0</v>
      </c>
      <c r="P881" s="60">
        <f t="shared" ref="P881:P886" si="182">J881*K881*M881</f>
        <v>0</v>
      </c>
    </row>
    <row r="882" spans="1:16" s="38" customFormat="1" ht="10.7" customHeight="1" outlineLevel="1" x14ac:dyDescent="0.25">
      <c r="A882" s="124"/>
      <c r="B882" s="142"/>
      <c r="C882" s="115"/>
      <c r="D882" s="115"/>
      <c r="E882" s="115"/>
      <c r="F882" s="115"/>
      <c r="G882" s="60" t="s">
        <v>127</v>
      </c>
      <c r="H882" s="124"/>
      <c r="I882" s="124"/>
      <c r="J882" s="60"/>
      <c r="K882" s="60"/>
      <c r="L882" s="160"/>
      <c r="M882" s="60"/>
      <c r="N882" s="60"/>
      <c r="O882" s="60">
        <f t="shared" si="181"/>
        <v>0</v>
      </c>
      <c r="P882" s="60">
        <f t="shared" si="182"/>
        <v>0</v>
      </c>
    </row>
    <row r="883" spans="1:16" s="38" customFormat="1" ht="10.7" customHeight="1" outlineLevel="1" x14ac:dyDescent="0.25">
      <c r="A883" s="124"/>
      <c r="B883" s="142"/>
      <c r="C883" s="115"/>
      <c r="D883" s="115"/>
      <c r="E883" s="115"/>
      <c r="F883" s="115"/>
      <c r="G883" s="60" t="s">
        <v>128</v>
      </c>
      <c r="H883" s="124"/>
      <c r="I883" s="124"/>
      <c r="J883" s="60"/>
      <c r="K883" s="60"/>
      <c r="L883" s="160"/>
      <c r="M883" s="60"/>
      <c r="N883" s="60"/>
      <c r="O883" s="60">
        <f t="shared" si="181"/>
        <v>0</v>
      </c>
      <c r="P883" s="60">
        <f t="shared" si="182"/>
        <v>0</v>
      </c>
    </row>
    <row r="884" spans="1:16" s="38" customFormat="1" ht="10.7" customHeight="1" outlineLevel="1" x14ac:dyDescent="0.25">
      <c r="A884" s="124"/>
      <c r="B884" s="142"/>
      <c r="C884" s="115"/>
      <c r="D884" s="115"/>
      <c r="E884" s="115"/>
      <c r="F884" s="115"/>
      <c r="G884" s="60" t="s">
        <v>129</v>
      </c>
      <c r="H884" s="124"/>
      <c r="I884" s="124"/>
      <c r="J884" s="60"/>
      <c r="K884" s="60"/>
      <c r="L884" s="160"/>
      <c r="M884" s="60"/>
      <c r="N884" s="60"/>
      <c r="O884" s="60">
        <f t="shared" si="181"/>
        <v>0</v>
      </c>
      <c r="P884" s="60">
        <f t="shared" si="182"/>
        <v>0</v>
      </c>
    </row>
    <row r="885" spans="1:16" s="38" customFormat="1" ht="10.7" customHeight="1" outlineLevel="1" x14ac:dyDescent="0.25">
      <c r="A885" s="124"/>
      <c r="B885" s="142"/>
      <c r="C885" s="115"/>
      <c r="D885" s="115"/>
      <c r="E885" s="115"/>
      <c r="F885" s="115"/>
      <c r="G885" s="60" t="s">
        <v>130</v>
      </c>
      <c r="H885" s="124"/>
      <c r="I885" s="124"/>
      <c r="J885" s="60"/>
      <c r="K885" s="60"/>
      <c r="L885" s="160"/>
      <c r="M885" s="60"/>
      <c r="N885" s="60"/>
      <c r="O885" s="60">
        <f t="shared" si="181"/>
        <v>0</v>
      </c>
      <c r="P885" s="60">
        <f t="shared" si="182"/>
        <v>0</v>
      </c>
    </row>
    <row r="886" spans="1:16" s="38" customFormat="1" ht="12" customHeight="1" outlineLevel="1" thickBot="1" x14ac:dyDescent="0.3">
      <c r="A886" s="125"/>
      <c r="B886" s="143"/>
      <c r="C886" s="131"/>
      <c r="D886" s="131"/>
      <c r="E886" s="131"/>
      <c r="F886" s="131"/>
      <c r="G886" s="60" t="s">
        <v>131</v>
      </c>
      <c r="H886" s="134"/>
      <c r="I886" s="134"/>
      <c r="J886" s="60"/>
      <c r="K886" s="60"/>
      <c r="L886" s="160"/>
      <c r="M886" s="60"/>
      <c r="N886" s="60"/>
      <c r="O886" s="60">
        <f t="shared" si="181"/>
        <v>0</v>
      </c>
      <c r="P886" s="60">
        <f t="shared" si="182"/>
        <v>0</v>
      </c>
    </row>
    <row r="887" spans="1:16" s="38" customFormat="1" ht="14.45" customHeight="1" outlineLevel="1" x14ac:dyDescent="0.25">
      <c r="A887" s="140" t="s">
        <v>774</v>
      </c>
      <c r="B887" s="141" t="s">
        <v>775</v>
      </c>
      <c r="C887" s="130">
        <f>SUM(O887:O893)</f>
        <v>0</v>
      </c>
      <c r="D887" s="130">
        <f>SUM(P887:P893)</f>
        <v>0</v>
      </c>
      <c r="E887" s="130">
        <f t="shared" ref="E887:E950" si="183">D887/8</f>
        <v>0</v>
      </c>
      <c r="F887" s="130"/>
      <c r="G887" s="60" t="s">
        <v>125</v>
      </c>
      <c r="H887" s="123"/>
      <c r="I887" s="123"/>
      <c r="J887" s="60"/>
      <c r="K887" s="60"/>
      <c r="L887" s="160"/>
      <c r="M887" s="60"/>
      <c r="N887" s="60"/>
      <c r="O887" s="60">
        <f>N887*J887*K887*M887</f>
        <v>0</v>
      </c>
      <c r="P887" s="60">
        <f>J887*K887*M887</f>
        <v>0</v>
      </c>
    </row>
    <row r="888" spans="1:16" s="38" customFormat="1" ht="11.45" customHeight="1" outlineLevel="1" x14ac:dyDescent="0.25">
      <c r="A888" s="124"/>
      <c r="B888" s="142"/>
      <c r="C888" s="115"/>
      <c r="D888" s="115"/>
      <c r="E888" s="115"/>
      <c r="F888" s="115"/>
      <c r="G888" s="60" t="s">
        <v>126</v>
      </c>
      <c r="H888" s="124"/>
      <c r="I888" s="124"/>
      <c r="J888" s="60"/>
      <c r="K888" s="60"/>
      <c r="L888" s="160"/>
      <c r="M888" s="60"/>
      <c r="N888" s="60"/>
      <c r="O888" s="60">
        <f t="shared" ref="O888:O893" si="184">N888*J888*K888*M888</f>
        <v>0</v>
      </c>
      <c r="P888" s="60">
        <f t="shared" ref="P888:P893" si="185">J888*K888*M888</f>
        <v>0</v>
      </c>
    </row>
    <row r="889" spans="1:16" s="38" customFormat="1" ht="10.7" customHeight="1" outlineLevel="1" x14ac:dyDescent="0.25">
      <c r="A889" s="124"/>
      <c r="B889" s="142"/>
      <c r="C889" s="115"/>
      <c r="D889" s="115"/>
      <c r="E889" s="115"/>
      <c r="F889" s="115"/>
      <c r="G889" s="60" t="s">
        <v>127</v>
      </c>
      <c r="H889" s="124"/>
      <c r="I889" s="124"/>
      <c r="J889" s="60"/>
      <c r="K889" s="60"/>
      <c r="L889" s="160"/>
      <c r="M889" s="60"/>
      <c r="N889" s="60"/>
      <c r="O889" s="60">
        <f t="shared" si="184"/>
        <v>0</v>
      </c>
      <c r="P889" s="60">
        <f t="shared" si="185"/>
        <v>0</v>
      </c>
    </row>
    <row r="890" spans="1:16" s="38" customFormat="1" ht="10.7" customHeight="1" outlineLevel="1" x14ac:dyDescent="0.25">
      <c r="A890" s="124"/>
      <c r="B890" s="142"/>
      <c r="C890" s="115"/>
      <c r="D890" s="115"/>
      <c r="E890" s="115"/>
      <c r="F890" s="115"/>
      <c r="G890" s="60" t="s">
        <v>128</v>
      </c>
      <c r="H890" s="124"/>
      <c r="I890" s="124"/>
      <c r="J890" s="60"/>
      <c r="K890" s="60"/>
      <c r="L890" s="160"/>
      <c r="M890" s="60"/>
      <c r="N890" s="60"/>
      <c r="O890" s="60">
        <f t="shared" si="184"/>
        <v>0</v>
      </c>
      <c r="P890" s="60">
        <f t="shared" si="185"/>
        <v>0</v>
      </c>
    </row>
    <row r="891" spans="1:16" s="38" customFormat="1" ht="10.7" customHeight="1" outlineLevel="1" x14ac:dyDescent="0.25">
      <c r="A891" s="124"/>
      <c r="B891" s="142"/>
      <c r="C891" s="115"/>
      <c r="D891" s="115"/>
      <c r="E891" s="115"/>
      <c r="F891" s="115"/>
      <c r="G891" s="60" t="s">
        <v>129</v>
      </c>
      <c r="H891" s="124"/>
      <c r="I891" s="124"/>
      <c r="J891" s="60"/>
      <c r="K891" s="60"/>
      <c r="L891" s="160"/>
      <c r="M891" s="60"/>
      <c r="N891" s="60"/>
      <c r="O891" s="60">
        <f t="shared" si="184"/>
        <v>0</v>
      </c>
      <c r="P891" s="60">
        <f t="shared" si="185"/>
        <v>0</v>
      </c>
    </row>
    <row r="892" spans="1:16" s="38" customFormat="1" ht="10.7" customHeight="1" outlineLevel="1" x14ac:dyDescent="0.25">
      <c r="A892" s="124"/>
      <c r="B892" s="142"/>
      <c r="C892" s="115"/>
      <c r="D892" s="115"/>
      <c r="E892" s="115"/>
      <c r="F892" s="115"/>
      <c r="G892" s="60" t="s">
        <v>130</v>
      </c>
      <c r="H892" s="124"/>
      <c r="I892" s="124"/>
      <c r="J892" s="60"/>
      <c r="K892" s="60"/>
      <c r="L892" s="160"/>
      <c r="M892" s="60"/>
      <c r="N892" s="60"/>
      <c r="O892" s="60">
        <f t="shared" si="184"/>
        <v>0</v>
      </c>
      <c r="P892" s="60">
        <f t="shared" si="185"/>
        <v>0</v>
      </c>
    </row>
    <row r="893" spans="1:16" s="38" customFormat="1" ht="12" customHeight="1" outlineLevel="1" thickBot="1" x14ac:dyDescent="0.3">
      <c r="A893" s="125"/>
      <c r="B893" s="143"/>
      <c r="C893" s="131"/>
      <c r="D893" s="131"/>
      <c r="E893" s="131"/>
      <c r="F893" s="131"/>
      <c r="G893" s="60" t="s">
        <v>131</v>
      </c>
      <c r="H893" s="134"/>
      <c r="I893" s="134"/>
      <c r="J893" s="60"/>
      <c r="K893" s="60"/>
      <c r="L893" s="160"/>
      <c r="M893" s="60"/>
      <c r="N893" s="60"/>
      <c r="O893" s="60">
        <f t="shared" si="184"/>
        <v>0</v>
      </c>
      <c r="P893" s="60">
        <f t="shared" si="185"/>
        <v>0</v>
      </c>
    </row>
    <row r="894" spans="1:16" s="38" customFormat="1" ht="14.45" customHeight="1" outlineLevel="1" x14ac:dyDescent="0.25">
      <c r="A894" s="140" t="s">
        <v>776</v>
      </c>
      <c r="B894" s="141" t="s">
        <v>777</v>
      </c>
      <c r="C894" s="130">
        <f>SUM(O894:O900)</f>
        <v>0</v>
      </c>
      <c r="D894" s="130">
        <f>SUM(P894:P900)</f>
        <v>0</v>
      </c>
      <c r="E894" s="130">
        <f t="shared" si="183"/>
        <v>0</v>
      </c>
      <c r="F894" s="130"/>
      <c r="G894" s="60" t="s">
        <v>125</v>
      </c>
      <c r="H894" s="123"/>
      <c r="I894" s="123"/>
      <c r="J894" s="60"/>
      <c r="K894" s="60"/>
      <c r="L894" s="160"/>
      <c r="M894" s="60"/>
      <c r="N894" s="60"/>
      <c r="O894" s="60">
        <f>N894*J894*K894*M894</f>
        <v>0</v>
      </c>
      <c r="P894" s="60">
        <f>J894*K894*M894</f>
        <v>0</v>
      </c>
    </row>
    <row r="895" spans="1:16" s="38" customFormat="1" ht="11.45" customHeight="1" outlineLevel="1" x14ac:dyDescent="0.25">
      <c r="A895" s="124"/>
      <c r="B895" s="142"/>
      <c r="C895" s="115"/>
      <c r="D895" s="115"/>
      <c r="E895" s="115"/>
      <c r="F895" s="115"/>
      <c r="G895" s="60" t="s">
        <v>126</v>
      </c>
      <c r="H895" s="124"/>
      <c r="I895" s="124"/>
      <c r="J895" s="60"/>
      <c r="K895" s="60"/>
      <c r="L895" s="160"/>
      <c r="M895" s="60"/>
      <c r="N895" s="60"/>
      <c r="O895" s="60">
        <f t="shared" ref="O895:O900" si="186">N895*J895*K895*M895</f>
        <v>0</v>
      </c>
      <c r="P895" s="60">
        <f t="shared" ref="P895:P900" si="187">J895*K895*M895</f>
        <v>0</v>
      </c>
    </row>
    <row r="896" spans="1:16" s="38" customFormat="1" ht="10.7" customHeight="1" outlineLevel="1" x14ac:dyDescent="0.25">
      <c r="A896" s="124"/>
      <c r="B896" s="142"/>
      <c r="C896" s="115"/>
      <c r="D896" s="115"/>
      <c r="E896" s="115"/>
      <c r="F896" s="115"/>
      <c r="G896" s="60" t="s">
        <v>127</v>
      </c>
      <c r="H896" s="124"/>
      <c r="I896" s="124"/>
      <c r="J896" s="60"/>
      <c r="K896" s="60"/>
      <c r="L896" s="160"/>
      <c r="M896" s="60"/>
      <c r="N896" s="60"/>
      <c r="O896" s="60">
        <f t="shared" si="186"/>
        <v>0</v>
      </c>
      <c r="P896" s="60">
        <f t="shared" si="187"/>
        <v>0</v>
      </c>
    </row>
    <row r="897" spans="1:16" s="38" customFormat="1" ht="10.7" customHeight="1" outlineLevel="1" x14ac:dyDescent="0.25">
      <c r="A897" s="124"/>
      <c r="B897" s="142"/>
      <c r="C897" s="115"/>
      <c r="D897" s="115"/>
      <c r="E897" s="115"/>
      <c r="F897" s="115"/>
      <c r="G897" s="60" t="s">
        <v>128</v>
      </c>
      <c r="H897" s="124"/>
      <c r="I897" s="124"/>
      <c r="J897" s="60"/>
      <c r="K897" s="60"/>
      <c r="L897" s="160"/>
      <c r="M897" s="60"/>
      <c r="N897" s="60"/>
      <c r="O897" s="60">
        <f t="shared" si="186"/>
        <v>0</v>
      </c>
      <c r="P897" s="60">
        <f t="shared" si="187"/>
        <v>0</v>
      </c>
    </row>
    <row r="898" spans="1:16" s="38" customFormat="1" ht="10.7" customHeight="1" outlineLevel="1" x14ac:dyDescent="0.25">
      <c r="A898" s="124"/>
      <c r="B898" s="142"/>
      <c r="C898" s="115"/>
      <c r="D898" s="115"/>
      <c r="E898" s="115"/>
      <c r="F898" s="115"/>
      <c r="G898" s="60" t="s">
        <v>129</v>
      </c>
      <c r="H898" s="124"/>
      <c r="I898" s="124"/>
      <c r="J898" s="60"/>
      <c r="K898" s="60"/>
      <c r="L898" s="160"/>
      <c r="M898" s="60"/>
      <c r="N898" s="60"/>
      <c r="O898" s="60">
        <f t="shared" si="186"/>
        <v>0</v>
      </c>
      <c r="P898" s="60">
        <f t="shared" si="187"/>
        <v>0</v>
      </c>
    </row>
    <row r="899" spans="1:16" s="38" customFormat="1" ht="10.7" customHeight="1" outlineLevel="1" x14ac:dyDescent="0.25">
      <c r="A899" s="124"/>
      <c r="B899" s="142"/>
      <c r="C899" s="115"/>
      <c r="D899" s="115"/>
      <c r="E899" s="115"/>
      <c r="F899" s="115"/>
      <c r="G899" s="60" t="s">
        <v>130</v>
      </c>
      <c r="H899" s="124"/>
      <c r="I899" s="124"/>
      <c r="J899" s="60"/>
      <c r="K899" s="60"/>
      <c r="L899" s="160"/>
      <c r="M899" s="60"/>
      <c r="N899" s="60"/>
      <c r="O899" s="60">
        <f t="shared" si="186"/>
        <v>0</v>
      </c>
      <c r="P899" s="60">
        <f t="shared" si="187"/>
        <v>0</v>
      </c>
    </row>
    <row r="900" spans="1:16" s="38" customFormat="1" ht="12" customHeight="1" outlineLevel="1" thickBot="1" x14ac:dyDescent="0.3">
      <c r="A900" s="125"/>
      <c r="B900" s="143"/>
      <c r="C900" s="131"/>
      <c r="D900" s="131"/>
      <c r="E900" s="131"/>
      <c r="F900" s="131"/>
      <c r="G900" s="60" t="s">
        <v>131</v>
      </c>
      <c r="H900" s="134"/>
      <c r="I900" s="134"/>
      <c r="J900" s="60"/>
      <c r="K900" s="60"/>
      <c r="L900" s="160"/>
      <c r="M900" s="60"/>
      <c r="N900" s="60"/>
      <c r="O900" s="60">
        <f t="shared" si="186"/>
        <v>0</v>
      </c>
      <c r="P900" s="60">
        <f t="shared" si="187"/>
        <v>0</v>
      </c>
    </row>
    <row r="901" spans="1:16" s="38" customFormat="1" ht="14.45" customHeight="1" outlineLevel="1" x14ac:dyDescent="0.25">
      <c r="A901" s="140" t="s">
        <v>778</v>
      </c>
      <c r="B901" s="141" t="s">
        <v>779</v>
      </c>
      <c r="C901" s="130">
        <f>SUM(O901:O907)</f>
        <v>0</v>
      </c>
      <c r="D901" s="130">
        <f>SUM(P901:P907)</f>
        <v>0</v>
      </c>
      <c r="E901" s="130">
        <f t="shared" si="183"/>
        <v>0</v>
      </c>
      <c r="F901" s="130"/>
      <c r="G901" s="60" t="s">
        <v>125</v>
      </c>
      <c r="H901" s="123"/>
      <c r="I901" s="123"/>
      <c r="J901" s="60"/>
      <c r="K901" s="60"/>
      <c r="L901" s="160"/>
      <c r="M901" s="60"/>
      <c r="N901" s="60"/>
      <c r="O901" s="60">
        <f>N901*J901*K901*M901</f>
        <v>0</v>
      </c>
      <c r="P901" s="60">
        <f>J901*K901*M901</f>
        <v>0</v>
      </c>
    </row>
    <row r="902" spans="1:16" s="38" customFormat="1" ht="11.45" customHeight="1" outlineLevel="1" x14ac:dyDescent="0.25">
      <c r="A902" s="124"/>
      <c r="B902" s="142"/>
      <c r="C902" s="115"/>
      <c r="D902" s="115"/>
      <c r="E902" s="115"/>
      <c r="F902" s="115"/>
      <c r="G902" s="60" t="s">
        <v>126</v>
      </c>
      <c r="H902" s="124"/>
      <c r="I902" s="124"/>
      <c r="J902" s="60"/>
      <c r="K902" s="60"/>
      <c r="L902" s="160"/>
      <c r="M902" s="60"/>
      <c r="N902" s="60"/>
      <c r="O902" s="60">
        <f t="shared" ref="O902:O907" si="188">N902*J902*K902*M902</f>
        <v>0</v>
      </c>
      <c r="P902" s="60">
        <f t="shared" ref="P902:P907" si="189">J902*K902*M902</f>
        <v>0</v>
      </c>
    </row>
    <row r="903" spans="1:16" s="38" customFormat="1" ht="10.7" customHeight="1" outlineLevel="1" x14ac:dyDescent="0.25">
      <c r="A903" s="124"/>
      <c r="B903" s="142"/>
      <c r="C903" s="115"/>
      <c r="D903" s="115"/>
      <c r="E903" s="115"/>
      <c r="F903" s="115"/>
      <c r="G903" s="60" t="s">
        <v>127</v>
      </c>
      <c r="H903" s="124"/>
      <c r="I903" s="124"/>
      <c r="J903" s="60"/>
      <c r="K903" s="60"/>
      <c r="L903" s="160"/>
      <c r="M903" s="60"/>
      <c r="N903" s="60"/>
      <c r="O903" s="60">
        <f t="shared" si="188"/>
        <v>0</v>
      </c>
      <c r="P903" s="60">
        <f t="shared" si="189"/>
        <v>0</v>
      </c>
    </row>
    <row r="904" spans="1:16" s="38" customFormat="1" ht="10.7" customHeight="1" outlineLevel="1" x14ac:dyDescent="0.25">
      <c r="A904" s="124"/>
      <c r="B904" s="142"/>
      <c r="C904" s="115"/>
      <c r="D904" s="115"/>
      <c r="E904" s="115"/>
      <c r="F904" s="115"/>
      <c r="G904" s="60" t="s">
        <v>128</v>
      </c>
      <c r="H904" s="124"/>
      <c r="I904" s="124"/>
      <c r="J904" s="60"/>
      <c r="K904" s="60"/>
      <c r="L904" s="160"/>
      <c r="M904" s="60"/>
      <c r="N904" s="60"/>
      <c r="O904" s="60">
        <f t="shared" si="188"/>
        <v>0</v>
      </c>
      <c r="P904" s="60">
        <f t="shared" si="189"/>
        <v>0</v>
      </c>
    </row>
    <row r="905" spans="1:16" s="38" customFormat="1" ht="10.7" customHeight="1" outlineLevel="1" x14ac:dyDescent="0.25">
      <c r="A905" s="124"/>
      <c r="B905" s="142"/>
      <c r="C905" s="115"/>
      <c r="D905" s="115"/>
      <c r="E905" s="115"/>
      <c r="F905" s="115"/>
      <c r="G905" s="60" t="s">
        <v>129</v>
      </c>
      <c r="H905" s="124"/>
      <c r="I905" s="124"/>
      <c r="J905" s="60"/>
      <c r="K905" s="60"/>
      <c r="L905" s="160"/>
      <c r="M905" s="60"/>
      <c r="N905" s="60"/>
      <c r="O905" s="60">
        <f t="shared" si="188"/>
        <v>0</v>
      </c>
      <c r="P905" s="60">
        <f t="shared" si="189"/>
        <v>0</v>
      </c>
    </row>
    <row r="906" spans="1:16" s="38" customFormat="1" ht="10.7" customHeight="1" outlineLevel="1" x14ac:dyDescent="0.25">
      <c r="A906" s="124"/>
      <c r="B906" s="142"/>
      <c r="C906" s="115"/>
      <c r="D906" s="115"/>
      <c r="E906" s="115"/>
      <c r="F906" s="115"/>
      <c r="G906" s="60" t="s">
        <v>130</v>
      </c>
      <c r="H906" s="124"/>
      <c r="I906" s="124"/>
      <c r="J906" s="60"/>
      <c r="K906" s="60"/>
      <c r="L906" s="160"/>
      <c r="M906" s="60"/>
      <c r="N906" s="60"/>
      <c r="O906" s="60">
        <f t="shared" si="188"/>
        <v>0</v>
      </c>
      <c r="P906" s="60">
        <f t="shared" si="189"/>
        <v>0</v>
      </c>
    </row>
    <row r="907" spans="1:16" s="38" customFormat="1" ht="12" customHeight="1" outlineLevel="1" thickBot="1" x14ac:dyDescent="0.3">
      <c r="A907" s="125"/>
      <c r="B907" s="143"/>
      <c r="C907" s="131"/>
      <c r="D907" s="131"/>
      <c r="E907" s="131"/>
      <c r="F907" s="131"/>
      <c r="G907" s="60" t="s">
        <v>131</v>
      </c>
      <c r="H907" s="134"/>
      <c r="I907" s="134"/>
      <c r="J907" s="60"/>
      <c r="K907" s="60"/>
      <c r="L907" s="160"/>
      <c r="M907" s="60"/>
      <c r="N907" s="60"/>
      <c r="O907" s="60">
        <f t="shared" si="188"/>
        <v>0</v>
      </c>
      <c r="P907" s="60">
        <f t="shared" si="189"/>
        <v>0</v>
      </c>
    </row>
    <row r="908" spans="1:16" s="38" customFormat="1" ht="14.45" customHeight="1" outlineLevel="1" x14ac:dyDescent="0.25">
      <c r="A908" s="140" t="s">
        <v>780</v>
      </c>
      <c r="B908" s="141" t="s">
        <v>781</v>
      </c>
      <c r="C908" s="130">
        <f>SUM(O908:O914)</f>
        <v>0</v>
      </c>
      <c r="D908" s="130">
        <f>SUM(P908:P914)</f>
        <v>0</v>
      </c>
      <c r="E908" s="130">
        <f t="shared" si="183"/>
        <v>0</v>
      </c>
      <c r="F908" s="130"/>
      <c r="G908" s="60" t="s">
        <v>125</v>
      </c>
      <c r="H908" s="123"/>
      <c r="I908" s="123"/>
      <c r="J908" s="60"/>
      <c r="K908" s="60"/>
      <c r="L908" s="160"/>
      <c r="M908" s="60"/>
      <c r="N908" s="60"/>
      <c r="O908" s="60">
        <f>N908*J908*K908*M908</f>
        <v>0</v>
      </c>
      <c r="P908" s="60">
        <f>J908*K908*M908</f>
        <v>0</v>
      </c>
    </row>
    <row r="909" spans="1:16" s="38" customFormat="1" ht="11.45" customHeight="1" outlineLevel="1" x14ac:dyDescent="0.25">
      <c r="A909" s="124"/>
      <c r="B909" s="142"/>
      <c r="C909" s="115"/>
      <c r="D909" s="115"/>
      <c r="E909" s="115"/>
      <c r="F909" s="115"/>
      <c r="G909" s="60" t="s">
        <v>126</v>
      </c>
      <c r="H909" s="124"/>
      <c r="I909" s="124"/>
      <c r="J909" s="60"/>
      <c r="K909" s="60"/>
      <c r="L909" s="160"/>
      <c r="M909" s="60"/>
      <c r="N909" s="60"/>
      <c r="O909" s="60">
        <f t="shared" ref="O909:O914" si="190">N909*J909*K909*M909</f>
        <v>0</v>
      </c>
      <c r="P909" s="60">
        <f t="shared" ref="P909:P914" si="191">J909*K909*M909</f>
        <v>0</v>
      </c>
    </row>
    <row r="910" spans="1:16" s="38" customFormat="1" ht="10.7" customHeight="1" outlineLevel="1" x14ac:dyDescent="0.25">
      <c r="A910" s="124"/>
      <c r="B910" s="142"/>
      <c r="C910" s="115"/>
      <c r="D910" s="115"/>
      <c r="E910" s="115"/>
      <c r="F910" s="115"/>
      <c r="G910" s="60" t="s">
        <v>127</v>
      </c>
      <c r="H910" s="124"/>
      <c r="I910" s="124"/>
      <c r="J910" s="60"/>
      <c r="K910" s="60"/>
      <c r="L910" s="160"/>
      <c r="M910" s="60"/>
      <c r="N910" s="60"/>
      <c r="O910" s="60">
        <f t="shared" si="190"/>
        <v>0</v>
      </c>
      <c r="P910" s="60">
        <f t="shared" si="191"/>
        <v>0</v>
      </c>
    </row>
    <row r="911" spans="1:16" s="38" customFormat="1" ht="10.7" customHeight="1" outlineLevel="1" x14ac:dyDescent="0.25">
      <c r="A911" s="124"/>
      <c r="B911" s="142"/>
      <c r="C911" s="115"/>
      <c r="D911" s="115"/>
      <c r="E911" s="115"/>
      <c r="F911" s="115"/>
      <c r="G911" s="60" t="s">
        <v>128</v>
      </c>
      <c r="H911" s="124"/>
      <c r="I911" s="124"/>
      <c r="J911" s="60"/>
      <c r="K911" s="60"/>
      <c r="L911" s="160"/>
      <c r="M911" s="60"/>
      <c r="N911" s="60"/>
      <c r="O911" s="60">
        <f t="shared" si="190"/>
        <v>0</v>
      </c>
      <c r="P911" s="60">
        <f t="shared" si="191"/>
        <v>0</v>
      </c>
    </row>
    <row r="912" spans="1:16" s="38" customFormat="1" ht="10.7" customHeight="1" outlineLevel="1" x14ac:dyDescent="0.25">
      <c r="A912" s="124"/>
      <c r="B912" s="142"/>
      <c r="C912" s="115"/>
      <c r="D912" s="115"/>
      <c r="E912" s="115"/>
      <c r="F912" s="115"/>
      <c r="G912" s="60" t="s">
        <v>129</v>
      </c>
      <c r="H912" s="124"/>
      <c r="I912" s="124"/>
      <c r="J912" s="60"/>
      <c r="K912" s="60"/>
      <c r="L912" s="160"/>
      <c r="M912" s="60"/>
      <c r="N912" s="60"/>
      <c r="O912" s="60">
        <f t="shared" si="190"/>
        <v>0</v>
      </c>
      <c r="P912" s="60">
        <f t="shared" si="191"/>
        <v>0</v>
      </c>
    </row>
    <row r="913" spans="1:16" s="38" customFormat="1" ht="10.7" customHeight="1" outlineLevel="1" x14ac:dyDescent="0.25">
      <c r="A913" s="124"/>
      <c r="B913" s="142"/>
      <c r="C913" s="115"/>
      <c r="D913" s="115"/>
      <c r="E913" s="115"/>
      <c r="F913" s="115"/>
      <c r="G913" s="60" t="s">
        <v>130</v>
      </c>
      <c r="H913" s="124"/>
      <c r="I913" s="124"/>
      <c r="J913" s="60"/>
      <c r="K913" s="60"/>
      <c r="L913" s="160"/>
      <c r="M913" s="60"/>
      <c r="N913" s="60"/>
      <c r="O913" s="60">
        <f t="shared" si="190"/>
        <v>0</v>
      </c>
      <c r="P913" s="60">
        <f t="shared" si="191"/>
        <v>0</v>
      </c>
    </row>
    <row r="914" spans="1:16" s="38" customFormat="1" ht="12" customHeight="1" outlineLevel="1" thickBot="1" x14ac:dyDescent="0.3">
      <c r="A914" s="125"/>
      <c r="B914" s="143"/>
      <c r="C914" s="131"/>
      <c r="D914" s="131"/>
      <c r="E914" s="131"/>
      <c r="F914" s="131"/>
      <c r="G914" s="60" t="s">
        <v>131</v>
      </c>
      <c r="H914" s="134"/>
      <c r="I914" s="134"/>
      <c r="J914" s="60"/>
      <c r="K914" s="60"/>
      <c r="L914" s="160"/>
      <c r="M914" s="60"/>
      <c r="N914" s="60"/>
      <c r="O914" s="60">
        <f t="shared" si="190"/>
        <v>0</v>
      </c>
      <c r="P914" s="60">
        <f t="shared" si="191"/>
        <v>0</v>
      </c>
    </row>
    <row r="915" spans="1:16" s="38" customFormat="1" ht="14.45" customHeight="1" outlineLevel="1" x14ac:dyDescent="0.25">
      <c r="A915" s="140" t="s">
        <v>782</v>
      </c>
      <c r="B915" s="141" t="s">
        <v>783</v>
      </c>
      <c r="C915" s="130">
        <f>SUM(O915:O921)</f>
        <v>0</v>
      </c>
      <c r="D915" s="130">
        <f>SUM(P915:P921)</f>
        <v>0</v>
      </c>
      <c r="E915" s="130">
        <f t="shared" si="183"/>
        <v>0</v>
      </c>
      <c r="F915" s="130"/>
      <c r="G915" s="60" t="s">
        <v>125</v>
      </c>
      <c r="H915" s="123"/>
      <c r="I915" s="123"/>
      <c r="J915" s="60"/>
      <c r="K915" s="60"/>
      <c r="L915" s="160"/>
      <c r="M915" s="60"/>
      <c r="N915" s="60"/>
      <c r="O915" s="60">
        <f>N915*J915*K915*M915</f>
        <v>0</v>
      </c>
      <c r="P915" s="60">
        <f>J915*K915*M915</f>
        <v>0</v>
      </c>
    </row>
    <row r="916" spans="1:16" s="38" customFormat="1" ht="11.45" customHeight="1" outlineLevel="1" x14ac:dyDescent="0.25">
      <c r="A916" s="124"/>
      <c r="B916" s="142"/>
      <c r="C916" s="115"/>
      <c r="D916" s="115"/>
      <c r="E916" s="115"/>
      <c r="F916" s="115"/>
      <c r="G916" s="60" t="s">
        <v>126</v>
      </c>
      <c r="H916" s="124"/>
      <c r="I916" s="124"/>
      <c r="J916" s="60"/>
      <c r="K916" s="60"/>
      <c r="L916" s="160"/>
      <c r="M916" s="60"/>
      <c r="N916" s="60"/>
      <c r="O916" s="60">
        <f t="shared" ref="O916:O921" si="192">N916*J916*K916*M916</f>
        <v>0</v>
      </c>
      <c r="P916" s="60">
        <f t="shared" ref="P916:P921" si="193">J916*K916*M916</f>
        <v>0</v>
      </c>
    </row>
    <row r="917" spans="1:16" s="38" customFormat="1" ht="10.7" customHeight="1" outlineLevel="1" x14ac:dyDescent="0.25">
      <c r="A917" s="124"/>
      <c r="B917" s="142"/>
      <c r="C917" s="115"/>
      <c r="D917" s="115"/>
      <c r="E917" s="115"/>
      <c r="F917" s="115"/>
      <c r="G917" s="60" t="s">
        <v>127</v>
      </c>
      <c r="H917" s="124"/>
      <c r="I917" s="124"/>
      <c r="J917" s="60"/>
      <c r="K917" s="60"/>
      <c r="L917" s="160"/>
      <c r="M917" s="60"/>
      <c r="N917" s="60"/>
      <c r="O917" s="60">
        <f t="shared" si="192"/>
        <v>0</v>
      </c>
      <c r="P917" s="60">
        <f t="shared" si="193"/>
        <v>0</v>
      </c>
    </row>
    <row r="918" spans="1:16" s="38" customFormat="1" ht="10.7" customHeight="1" outlineLevel="1" x14ac:dyDescent="0.25">
      <c r="A918" s="124"/>
      <c r="B918" s="142"/>
      <c r="C918" s="115"/>
      <c r="D918" s="115"/>
      <c r="E918" s="115"/>
      <c r="F918" s="115"/>
      <c r="G918" s="60" t="s">
        <v>128</v>
      </c>
      <c r="H918" s="124"/>
      <c r="I918" s="124"/>
      <c r="J918" s="60"/>
      <c r="K918" s="60"/>
      <c r="L918" s="160"/>
      <c r="M918" s="60"/>
      <c r="N918" s="60"/>
      <c r="O918" s="60">
        <f t="shared" si="192"/>
        <v>0</v>
      </c>
      <c r="P918" s="60">
        <f t="shared" si="193"/>
        <v>0</v>
      </c>
    </row>
    <row r="919" spans="1:16" s="38" customFormat="1" ht="10.7" customHeight="1" outlineLevel="1" x14ac:dyDescent="0.25">
      <c r="A919" s="124"/>
      <c r="B919" s="142"/>
      <c r="C919" s="115"/>
      <c r="D919" s="115"/>
      <c r="E919" s="115"/>
      <c r="F919" s="115"/>
      <c r="G919" s="60" t="s">
        <v>129</v>
      </c>
      <c r="H919" s="124"/>
      <c r="I919" s="124"/>
      <c r="J919" s="60"/>
      <c r="K919" s="60"/>
      <c r="L919" s="160"/>
      <c r="M919" s="60"/>
      <c r="N919" s="60"/>
      <c r="O919" s="60">
        <f t="shared" si="192"/>
        <v>0</v>
      </c>
      <c r="P919" s="60">
        <f t="shared" si="193"/>
        <v>0</v>
      </c>
    </row>
    <row r="920" spans="1:16" s="38" customFormat="1" ht="10.7" customHeight="1" outlineLevel="1" x14ac:dyDescent="0.25">
      <c r="A920" s="124"/>
      <c r="B920" s="142"/>
      <c r="C920" s="115"/>
      <c r="D920" s="115"/>
      <c r="E920" s="115"/>
      <c r="F920" s="115"/>
      <c r="G920" s="60" t="s">
        <v>130</v>
      </c>
      <c r="H920" s="124"/>
      <c r="I920" s="124"/>
      <c r="J920" s="60"/>
      <c r="K920" s="60"/>
      <c r="L920" s="160"/>
      <c r="M920" s="60"/>
      <c r="N920" s="60"/>
      <c r="O920" s="60">
        <f t="shared" si="192"/>
        <v>0</v>
      </c>
      <c r="P920" s="60">
        <f t="shared" si="193"/>
        <v>0</v>
      </c>
    </row>
    <row r="921" spans="1:16" s="38" customFormat="1" ht="12" customHeight="1" outlineLevel="1" thickBot="1" x14ac:dyDescent="0.3">
      <c r="A921" s="125"/>
      <c r="B921" s="143"/>
      <c r="C921" s="131"/>
      <c r="D921" s="131"/>
      <c r="E921" s="131"/>
      <c r="F921" s="131"/>
      <c r="G921" s="60" t="s">
        <v>131</v>
      </c>
      <c r="H921" s="134"/>
      <c r="I921" s="134"/>
      <c r="J921" s="60"/>
      <c r="K921" s="60"/>
      <c r="L921" s="160"/>
      <c r="M921" s="60"/>
      <c r="N921" s="60"/>
      <c r="O921" s="60">
        <f t="shared" si="192"/>
        <v>0</v>
      </c>
      <c r="P921" s="60">
        <f t="shared" si="193"/>
        <v>0</v>
      </c>
    </row>
    <row r="922" spans="1:16" s="38" customFormat="1" ht="14.45" customHeight="1" outlineLevel="1" x14ac:dyDescent="0.25">
      <c r="A922" s="140" t="s">
        <v>784</v>
      </c>
      <c r="B922" s="141" t="s">
        <v>785</v>
      </c>
      <c r="C922" s="130">
        <f>SUM(O922:O928)</f>
        <v>0</v>
      </c>
      <c r="D922" s="130">
        <f>SUM(P922:P928)</f>
        <v>0</v>
      </c>
      <c r="E922" s="130">
        <f t="shared" si="183"/>
        <v>0</v>
      </c>
      <c r="F922" s="130"/>
      <c r="G922" s="60" t="s">
        <v>125</v>
      </c>
      <c r="H922" s="123"/>
      <c r="I922" s="123"/>
      <c r="J922" s="60"/>
      <c r="K922" s="60"/>
      <c r="L922" s="160"/>
      <c r="M922" s="60"/>
      <c r="N922" s="60"/>
      <c r="O922" s="60">
        <f>N922*J922*K922*M922</f>
        <v>0</v>
      </c>
      <c r="P922" s="60">
        <f>J922*K922*M922</f>
        <v>0</v>
      </c>
    </row>
    <row r="923" spans="1:16" s="38" customFormat="1" ht="11.45" customHeight="1" outlineLevel="1" x14ac:dyDescent="0.25">
      <c r="A923" s="124"/>
      <c r="B923" s="142"/>
      <c r="C923" s="115"/>
      <c r="D923" s="115"/>
      <c r="E923" s="115"/>
      <c r="F923" s="115"/>
      <c r="G923" s="60" t="s">
        <v>126</v>
      </c>
      <c r="H923" s="124"/>
      <c r="I923" s="124"/>
      <c r="J923" s="60"/>
      <c r="K923" s="60"/>
      <c r="L923" s="160"/>
      <c r="M923" s="60"/>
      <c r="N923" s="60"/>
      <c r="O923" s="60">
        <f t="shared" ref="O923:O928" si="194">N923*J923*K923*M923</f>
        <v>0</v>
      </c>
      <c r="P923" s="60">
        <f t="shared" ref="P923:P928" si="195">J923*K923*M923</f>
        <v>0</v>
      </c>
    </row>
    <row r="924" spans="1:16" s="38" customFormat="1" ht="10.7" customHeight="1" outlineLevel="1" x14ac:dyDescent="0.25">
      <c r="A924" s="124"/>
      <c r="B924" s="142"/>
      <c r="C924" s="115"/>
      <c r="D924" s="115"/>
      <c r="E924" s="115"/>
      <c r="F924" s="115"/>
      <c r="G924" s="60" t="s">
        <v>127</v>
      </c>
      <c r="H924" s="124"/>
      <c r="I924" s="124"/>
      <c r="J924" s="60"/>
      <c r="K924" s="60"/>
      <c r="L924" s="160"/>
      <c r="M924" s="60"/>
      <c r="N924" s="60"/>
      <c r="O924" s="60">
        <f t="shared" si="194"/>
        <v>0</v>
      </c>
      <c r="P924" s="60">
        <f t="shared" si="195"/>
        <v>0</v>
      </c>
    </row>
    <row r="925" spans="1:16" s="38" customFormat="1" ht="10.7" customHeight="1" outlineLevel="1" x14ac:dyDescent="0.25">
      <c r="A925" s="124"/>
      <c r="B925" s="142"/>
      <c r="C925" s="115"/>
      <c r="D925" s="115"/>
      <c r="E925" s="115"/>
      <c r="F925" s="115"/>
      <c r="G925" s="60" t="s">
        <v>128</v>
      </c>
      <c r="H925" s="124"/>
      <c r="I925" s="124"/>
      <c r="J925" s="60"/>
      <c r="K925" s="60"/>
      <c r="L925" s="160"/>
      <c r="M925" s="60"/>
      <c r="N925" s="60"/>
      <c r="O925" s="60">
        <f t="shared" si="194"/>
        <v>0</v>
      </c>
      <c r="P925" s="60">
        <f t="shared" si="195"/>
        <v>0</v>
      </c>
    </row>
    <row r="926" spans="1:16" s="38" customFormat="1" ht="10.7" customHeight="1" outlineLevel="1" x14ac:dyDescent="0.25">
      <c r="A926" s="124"/>
      <c r="B926" s="142"/>
      <c r="C926" s="115"/>
      <c r="D926" s="115"/>
      <c r="E926" s="115"/>
      <c r="F926" s="115"/>
      <c r="G926" s="60" t="s">
        <v>129</v>
      </c>
      <c r="H926" s="124"/>
      <c r="I926" s="124"/>
      <c r="J926" s="60"/>
      <c r="K926" s="60"/>
      <c r="L926" s="160"/>
      <c r="M926" s="60"/>
      <c r="N926" s="60"/>
      <c r="O926" s="60">
        <f t="shared" si="194"/>
        <v>0</v>
      </c>
      <c r="P926" s="60">
        <f t="shared" si="195"/>
        <v>0</v>
      </c>
    </row>
    <row r="927" spans="1:16" s="38" customFormat="1" ht="10.7" customHeight="1" outlineLevel="1" x14ac:dyDescent="0.25">
      <c r="A927" s="124"/>
      <c r="B927" s="142"/>
      <c r="C927" s="115"/>
      <c r="D927" s="115"/>
      <c r="E927" s="115"/>
      <c r="F927" s="115"/>
      <c r="G927" s="60" t="s">
        <v>130</v>
      </c>
      <c r="H927" s="124"/>
      <c r="I927" s="124"/>
      <c r="J927" s="60"/>
      <c r="K927" s="60"/>
      <c r="L927" s="160"/>
      <c r="M927" s="60"/>
      <c r="N927" s="60"/>
      <c r="O927" s="60">
        <f t="shared" si="194"/>
        <v>0</v>
      </c>
      <c r="P927" s="60">
        <f t="shared" si="195"/>
        <v>0</v>
      </c>
    </row>
    <row r="928" spans="1:16" s="38" customFormat="1" ht="12" customHeight="1" outlineLevel="1" thickBot="1" x14ac:dyDescent="0.3">
      <c r="A928" s="125"/>
      <c r="B928" s="143"/>
      <c r="C928" s="131"/>
      <c r="D928" s="131"/>
      <c r="E928" s="131"/>
      <c r="F928" s="131"/>
      <c r="G928" s="60" t="s">
        <v>131</v>
      </c>
      <c r="H928" s="134"/>
      <c r="I928" s="134"/>
      <c r="J928" s="60"/>
      <c r="K928" s="60"/>
      <c r="L928" s="160"/>
      <c r="M928" s="60"/>
      <c r="N928" s="60"/>
      <c r="O928" s="60">
        <f t="shared" si="194"/>
        <v>0</v>
      </c>
      <c r="P928" s="60">
        <f t="shared" si="195"/>
        <v>0</v>
      </c>
    </row>
    <row r="929" spans="1:16" s="38" customFormat="1" ht="14.45" customHeight="1" outlineLevel="1" x14ac:dyDescent="0.25">
      <c r="A929" s="140" t="s">
        <v>786</v>
      </c>
      <c r="B929" s="141" t="s">
        <v>787</v>
      </c>
      <c r="C929" s="130">
        <f>SUM(O929:O935)</f>
        <v>0</v>
      </c>
      <c r="D929" s="130">
        <f>SUM(P929:P935)</f>
        <v>0</v>
      </c>
      <c r="E929" s="130">
        <f t="shared" si="183"/>
        <v>0</v>
      </c>
      <c r="F929" s="130"/>
      <c r="G929" s="60" t="s">
        <v>125</v>
      </c>
      <c r="H929" s="123"/>
      <c r="I929" s="123"/>
      <c r="J929" s="60"/>
      <c r="K929" s="60"/>
      <c r="L929" s="160"/>
      <c r="M929" s="60"/>
      <c r="N929" s="60"/>
      <c r="O929" s="60">
        <f>N929*J929*K929*M929</f>
        <v>0</v>
      </c>
      <c r="P929" s="60">
        <f>J929*K929*M929</f>
        <v>0</v>
      </c>
    </row>
    <row r="930" spans="1:16" s="38" customFormat="1" ht="11.45" customHeight="1" outlineLevel="1" x14ac:dyDescent="0.25">
      <c r="A930" s="124"/>
      <c r="B930" s="142"/>
      <c r="C930" s="115"/>
      <c r="D930" s="115"/>
      <c r="E930" s="115"/>
      <c r="F930" s="115"/>
      <c r="G930" s="60" t="s">
        <v>126</v>
      </c>
      <c r="H930" s="124"/>
      <c r="I930" s="124"/>
      <c r="J930" s="60"/>
      <c r="K930" s="60"/>
      <c r="L930" s="160"/>
      <c r="M930" s="60"/>
      <c r="N930" s="60"/>
      <c r="O930" s="60">
        <f t="shared" ref="O930:O935" si="196">N930*J930*K930*M930</f>
        <v>0</v>
      </c>
      <c r="P930" s="60">
        <f t="shared" ref="P930:P935" si="197">J930*K930*M930</f>
        <v>0</v>
      </c>
    </row>
    <row r="931" spans="1:16" s="38" customFormat="1" ht="10.7" customHeight="1" outlineLevel="1" x14ac:dyDescent="0.25">
      <c r="A931" s="124"/>
      <c r="B931" s="142"/>
      <c r="C931" s="115"/>
      <c r="D931" s="115"/>
      <c r="E931" s="115"/>
      <c r="F931" s="115"/>
      <c r="G931" s="60" t="s">
        <v>127</v>
      </c>
      <c r="H931" s="124"/>
      <c r="I931" s="124"/>
      <c r="J931" s="60"/>
      <c r="K931" s="60"/>
      <c r="L931" s="160"/>
      <c r="M931" s="60"/>
      <c r="N931" s="60"/>
      <c r="O931" s="60">
        <f t="shared" si="196"/>
        <v>0</v>
      </c>
      <c r="P931" s="60">
        <f t="shared" si="197"/>
        <v>0</v>
      </c>
    </row>
    <row r="932" spans="1:16" s="38" customFormat="1" ht="10.7" customHeight="1" outlineLevel="1" x14ac:dyDescent="0.25">
      <c r="A932" s="124"/>
      <c r="B932" s="142"/>
      <c r="C932" s="115"/>
      <c r="D932" s="115"/>
      <c r="E932" s="115"/>
      <c r="F932" s="115"/>
      <c r="G932" s="60" t="s">
        <v>128</v>
      </c>
      <c r="H932" s="124"/>
      <c r="I932" s="124"/>
      <c r="J932" s="60"/>
      <c r="K932" s="60"/>
      <c r="L932" s="160"/>
      <c r="M932" s="60"/>
      <c r="N932" s="60"/>
      <c r="O932" s="60">
        <f t="shared" si="196"/>
        <v>0</v>
      </c>
      <c r="P932" s="60">
        <f t="shared" si="197"/>
        <v>0</v>
      </c>
    </row>
    <row r="933" spans="1:16" s="38" customFormat="1" ht="10.7" customHeight="1" outlineLevel="1" x14ac:dyDescent="0.25">
      <c r="A933" s="124"/>
      <c r="B933" s="142"/>
      <c r="C933" s="115"/>
      <c r="D933" s="115"/>
      <c r="E933" s="115"/>
      <c r="F933" s="115"/>
      <c r="G933" s="60" t="s">
        <v>129</v>
      </c>
      <c r="H933" s="124"/>
      <c r="I933" s="124"/>
      <c r="J933" s="60"/>
      <c r="K933" s="60"/>
      <c r="L933" s="160"/>
      <c r="M933" s="60"/>
      <c r="N933" s="60"/>
      <c r="O933" s="60">
        <f t="shared" si="196"/>
        <v>0</v>
      </c>
      <c r="P933" s="60">
        <f t="shared" si="197"/>
        <v>0</v>
      </c>
    </row>
    <row r="934" spans="1:16" s="38" customFormat="1" ht="10.7" customHeight="1" outlineLevel="1" x14ac:dyDescent="0.25">
      <c r="A934" s="124"/>
      <c r="B934" s="142"/>
      <c r="C934" s="115"/>
      <c r="D934" s="115"/>
      <c r="E934" s="115"/>
      <c r="F934" s="115"/>
      <c r="G934" s="60" t="s">
        <v>130</v>
      </c>
      <c r="H934" s="124"/>
      <c r="I934" s="124"/>
      <c r="J934" s="60"/>
      <c r="K934" s="60"/>
      <c r="L934" s="160"/>
      <c r="M934" s="60"/>
      <c r="N934" s="60"/>
      <c r="O934" s="60">
        <f t="shared" si="196"/>
        <v>0</v>
      </c>
      <c r="P934" s="60">
        <f t="shared" si="197"/>
        <v>0</v>
      </c>
    </row>
    <row r="935" spans="1:16" s="38" customFormat="1" ht="12" customHeight="1" outlineLevel="1" thickBot="1" x14ac:dyDescent="0.3">
      <c r="A935" s="125"/>
      <c r="B935" s="143"/>
      <c r="C935" s="131"/>
      <c r="D935" s="131"/>
      <c r="E935" s="131"/>
      <c r="F935" s="131"/>
      <c r="G935" s="60" t="s">
        <v>131</v>
      </c>
      <c r="H935" s="134"/>
      <c r="I935" s="134"/>
      <c r="J935" s="60"/>
      <c r="K935" s="60"/>
      <c r="L935" s="160"/>
      <c r="M935" s="60"/>
      <c r="N935" s="60"/>
      <c r="O935" s="60">
        <f t="shared" si="196"/>
        <v>0</v>
      </c>
      <c r="P935" s="60">
        <f t="shared" si="197"/>
        <v>0</v>
      </c>
    </row>
    <row r="936" spans="1:16" s="38" customFormat="1" ht="14.45" customHeight="1" outlineLevel="1" x14ac:dyDescent="0.25">
      <c r="A936" s="140" t="s">
        <v>788</v>
      </c>
      <c r="B936" s="141" t="s">
        <v>789</v>
      </c>
      <c r="C936" s="130">
        <f>SUM(O936:O942)</f>
        <v>0</v>
      </c>
      <c r="D936" s="130">
        <f>SUM(P936:P942)</f>
        <v>0</v>
      </c>
      <c r="E936" s="130">
        <f t="shared" si="183"/>
        <v>0</v>
      </c>
      <c r="F936" s="130"/>
      <c r="G936" s="60" t="s">
        <v>125</v>
      </c>
      <c r="H936" s="123"/>
      <c r="I936" s="123"/>
      <c r="J936" s="60"/>
      <c r="K936" s="60"/>
      <c r="L936" s="160"/>
      <c r="M936" s="60"/>
      <c r="N936" s="60"/>
      <c r="O936" s="60">
        <f>N936*J936*K936*M936</f>
        <v>0</v>
      </c>
      <c r="P936" s="60">
        <f>J936*K936*M936</f>
        <v>0</v>
      </c>
    </row>
    <row r="937" spans="1:16" s="38" customFormat="1" ht="11.45" customHeight="1" outlineLevel="1" x14ac:dyDescent="0.25">
      <c r="A937" s="124"/>
      <c r="B937" s="142"/>
      <c r="C937" s="115"/>
      <c r="D937" s="115"/>
      <c r="E937" s="115"/>
      <c r="F937" s="115"/>
      <c r="G937" s="60" t="s">
        <v>126</v>
      </c>
      <c r="H937" s="124"/>
      <c r="I937" s="124"/>
      <c r="J937" s="60"/>
      <c r="K937" s="60"/>
      <c r="L937" s="160"/>
      <c r="M937" s="60"/>
      <c r="N937" s="60"/>
      <c r="O937" s="60">
        <f t="shared" ref="O937:O942" si="198">N937*J937*K937*M937</f>
        <v>0</v>
      </c>
      <c r="P937" s="60">
        <f t="shared" ref="P937:P942" si="199">J937*K937*M937</f>
        <v>0</v>
      </c>
    </row>
    <row r="938" spans="1:16" s="38" customFormat="1" ht="10.7" customHeight="1" outlineLevel="1" x14ac:dyDescent="0.25">
      <c r="A938" s="124"/>
      <c r="B938" s="142"/>
      <c r="C938" s="115"/>
      <c r="D938" s="115"/>
      <c r="E938" s="115"/>
      <c r="F938" s="115"/>
      <c r="G938" s="60" t="s">
        <v>127</v>
      </c>
      <c r="H938" s="124"/>
      <c r="I938" s="124"/>
      <c r="J938" s="60"/>
      <c r="K938" s="60"/>
      <c r="L938" s="160"/>
      <c r="M938" s="60"/>
      <c r="N938" s="60"/>
      <c r="O938" s="60">
        <f t="shared" si="198"/>
        <v>0</v>
      </c>
      <c r="P938" s="60">
        <f t="shared" si="199"/>
        <v>0</v>
      </c>
    </row>
    <row r="939" spans="1:16" s="38" customFormat="1" ht="10.7" customHeight="1" outlineLevel="1" x14ac:dyDescent="0.25">
      <c r="A939" s="124"/>
      <c r="B939" s="142"/>
      <c r="C939" s="115"/>
      <c r="D939" s="115"/>
      <c r="E939" s="115"/>
      <c r="F939" s="115"/>
      <c r="G939" s="60" t="s">
        <v>128</v>
      </c>
      <c r="H939" s="124"/>
      <c r="I939" s="124"/>
      <c r="J939" s="60"/>
      <c r="K939" s="60"/>
      <c r="L939" s="160"/>
      <c r="M939" s="60"/>
      <c r="N939" s="60"/>
      <c r="O939" s="60">
        <f t="shared" si="198"/>
        <v>0</v>
      </c>
      <c r="P939" s="60">
        <f t="shared" si="199"/>
        <v>0</v>
      </c>
    </row>
    <row r="940" spans="1:16" s="38" customFormat="1" ht="10.7" customHeight="1" outlineLevel="1" x14ac:dyDescent="0.25">
      <c r="A940" s="124"/>
      <c r="B940" s="142"/>
      <c r="C940" s="115"/>
      <c r="D940" s="115"/>
      <c r="E940" s="115"/>
      <c r="F940" s="115"/>
      <c r="G940" s="60" t="s">
        <v>129</v>
      </c>
      <c r="H940" s="124"/>
      <c r="I940" s="124"/>
      <c r="J940" s="60"/>
      <c r="K940" s="60"/>
      <c r="L940" s="160"/>
      <c r="M940" s="60"/>
      <c r="N940" s="60"/>
      <c r="O940" s="60">
        <f t="shared" si="198"/>
        <v>0</v>
      </c>
      <c r="P940" s="60">
        <f t="shared" si="199"/>
        <v>0</v>
      </c>
    </row>
    <row r="941" spans="1:16" s="38" customFormat="1" ht="10.7" customHeight="1" outlineLevel="1" x14ac:dyDescent="0.25">
      <c r="A941" s="124"/>
      <c r="B941" s="142"/>
      <c r="C941" s="115"/>
      <c r="D941" s="115"/>
      <c r="E941" s="115"/>
      <c r="F941" s="115"/>
      <c r="G941" s="60" t="s">
        <v>130</v>
      </c>
      <c r="H941" s="124"/>
      <c r="I941" s="124"/>
      <c r="J941" s="60"/>
      <c r="K941" s="60"/>
      <c r="L941" s="160"/>
      <c r="M941" s="60"/>
      <c r="N941" s="60"/>
      <c r="O941" s="60">
        <f t="shared" si="198"/>
        <v>0</v>
      </c>
      <c r="P941" s="60">
        <f t="shared" si="199"/>
        <v>0</v>
      </c>
    </row>
    <row r="942" spans="1:16" s="38" customFormat="1" ht="12" customHeight="1" outlineLevel="1" thickBot="1" x14ac:dyDescent="0.3">
      <c r="A942" s="125"/>
      <c r="B942" s="143"/>
      <c r="C942" s="131"/>
      <c r="D942" s="131"/>
      <c r="E942" s="131"/>
      <c r="F942" s="131"/>
      <c r="G942" s="60" t="s">
        <v>131</v>
      </c>
      <c r="H942" s="134"/>
      <c r="I942" s="134"/>
      <c r="J942" s="60"/>
      <c r="K942" s="60"/>
      <c r="L942" s="160"/>
      <c r="M942" s="60"/>
      <c r="N942" s="60"/>
      <c r="O942" s="60">
        <f t="shared" si="198"/>
        <v>0</v>
      </c>
      <c r="P942" s="60">
        <f t="shared" si="199"/>
        <v>0</v>
      </c>
    </row>
    <row r="943" spans="1:16" s="38" customFormat="1" ht="14.45" customHeight="1" outlineLevel="1" x14ac:dyDescent="0.25">
      <c r="A943" s="140" t="s">
        <v>790</v>
      </c>
      <c r="B943" s="141" t="s">
        <v>791</v>
      </c>
      <c r="C943" s="130">
        <f>SUM(O943:O949)</f>
        <v>0</v>
      </c>
      <c r="D943" s="130">
        <f>SUM(P943:P949)</f>
        <v>0</v>
      </c>
      <c r="E943" s="130">
        <f t="shared" si="183"/>
        <v>0</v>
      </c>
      <c r="F943" s="130"/>
      <c r="G943" s="60" t="s">
        <v>125</v>
      </c>
      <c r="H943" s="123"/>
      <c r="I943" s="123"/>
      <c r="J943" s="60"/>
      <c r="K943" s="60"/>
      <c r="L943" s="160"/>
      <c r="M943" s="60"/>
      <c r="N943" s="60"/>
      <c r="O943" s="60">
        <f>N943*J943*K943*M943</f>
        <v>0</v>
      </c>
      <c r="P943" s="60">
        <f>J943*K943*M943</f>
        <v>0</v>
      </c>
    </row>
    <row r="944" spans="1:16" s="38" customFormat="1" ht="11.45" customHeight="1" outlineLevel="1" x14ac:dyDescent="0.25">
      <c r="A944" s="124"/>
      <c r="B944" s="142"/>
      <c r="C944" s="115"/>
      <c r="D944" s="115"/>
      <c r="E944" s="115"/>
      <c r="F944" s="115"/>
      <c r="G944" s="60" t="s">
        <v>126</v>
      </c>
      <c r="H944" s="124"/>
      <c r="I944" s="124"/>
      <c r="J944" s="60"/>
      <c r="K944" s="60"/>
      <c r="L944" s="160"/>
      <c r="M944" s="60"/>
      <c r="N944" s="60"/>
      <c r="O944" s="60">
        <f t="shared" ref="O944:O949" si="200">N944*J944*K944*M944</f>
        <v>0</v>
      </c>
      <c r="P944" s="60">
        <f t="shared" ref="P944:P949" si="201">J944*K944*M944</f>
        <v>0</v>
      </c>
    </row>
    <row r="945" spans="1:16" s="38" customFormat="1" ht="10.7" customHeight="1" outlineLevel="1" x14ac:dyDescent="0.25">
      <c r="A945" s="124"/>
      <c r="B945" s="142"/>
      <c r="C945" s="115"/>
      <c r="D945" s="115"/>
      <c r="E945" s="115"/>
      <c r="F945" s="115"/>
      <c r="G945" s="60" t="s">
        <v>127</v>
      </c>
      <c r="H945" s="124"/>
      <c r="I945" s="124"/>
      <c r="J945" s="60"/>
      <c r="K945" s="60"/>
      <c r="L945" s="160"/>
      <c r="M945" s="60"/>
      <c r="N945" s="60"/>
      <c r="O945" s="60">
        <f t="shared" si="200"/>
        <v>0</v>
      </c>
      <c r="P945" s="60">
        <f t="shared" si="201"/>
        <v>0</v>
      </c>
    </row>
    <row r="946" spans="1:16" s="38" customFormat="1" ht="10.7" customHeight="1" outlineLevel="1" x14ac:dyDescent="0.25">
      <c r="A946" s="124"/>
      <c r="B946" s="142"/>
      <c r="C946" s="115"/>
      <c r="D946" s="115"/>
      <c r="E946" s="115"/>
      <c r="F946" s="115"/>
      <c r="G946" s="60" t="s">
        <v>128</v>
      </c>
      <c r="H946" s="124"/>
      <c r="I946" s="124"/>
      <c r="J946" s="60"/>
      <c r="K946" s="60"/>
      <c r="L946" s="160"/>
      <c r="M946" s="60"/>
      <c r="N946" s="60"/>
      <c r="O946" s="60">
        <f t="shared" si="200"/>
        <v>0</v>
      </c>
      <c r="P946" s="60">
        <f t="shared" si="201"/>
        <v>0</v>
      </c>
    </row>
    <row r="947" spans="1:16" s="38" customFormat="1" ht="10.7" customHeight="1" outlineLevel="1" x14ac:dyDescent="0.25">
      <c r="A947" s="124"/>
      <c r="B947" s="142"/>
      <c r="C947" s="115"/>
      <c r="D947" s="115"/>
      <c r="E947" s="115"/>
      <c r="F947" s="115"/>
      <c r="G947" s="60" t="s">
        <v>129</v>
      </c>
      <c r="H947" s="124"/>
      <c r="I947" s="124"/>
      <c r="J947" s="60"/>
      <c r="K947" s="60"/>
      <c r="L947" s="160"/>
      <c r="M947" s="60"/>
      <c r="N947" s="60"/>
      <c r="O947" s="60">
        <f t="shared" si="200"/>
        <v>0</v>
      </c>
      <c r="P947" s="60">
        <f t="shared" si="201"/>
        <v>0</v>
      </c>
    </row>
    <row r="948" spans="1:16" s="38" customFormat="1" ht="10.7" customHeight="1" outlineLevel="1" x14ac:dyDescent="0.25">
      <c r="A948" s="124"/>
      <c r="B948" s="142"/>
      <c r="C948" s="115"/>
      <c r="D948" s="115"/>
      <c r="E948" s="115"/>
      <c r="F948" s="115"/>
      <c r="G948" s="60" t="s">
        <v>130</v>
      </c>
      <c r="H948" s="124"/>
      <c r="I948" s="124"/>
      <c r="J948" s="60"/>
      <c r="K948" s="60"/>
      <c r="L948" s="160"/>
      <c r="M948" s="60"/>
      <c r="N948" s="60"/>
      <c r="O948" s="60">
        <f t="shared" si="200"/>
        <v>0</v>
      </c>
      <c r="P948" s="60">
        <f t="shared" si="201"/>
        <v>0</v>
      </c>
    </row>
    <row r="949" spans="1:16" s="38" customFormat="1" ht="12" customHeight="1" outlineLevel="1" thickBot="1" x14ac:dyDescent="0.3">
      <c r="A949" s="125"/>
      <c r="B949" s="143"/>
      <c r="C949" s="131"/>
      <c r="D949" s="131"/>
      <c r="E949" s="131"/>
      <c r="F949" s="131"/>
      <c r="G949" s="60" t="s">
        <v>131</v>
      </c>
      <c r="H949" s="134"/>
      <c r="I949" s="134"/>
      <c r="J949" s="60"/>
      <c r="K949" s="60"/>
      <c r="L949" s="160"/>
      <c r="M949" s="60"/>
      <c r="N949" s="60"/>
      <c r="O949" s="60">
        <f t="shared" si="200"/>
        <v>0</v>
      </c>
      <c r="P949" s="60">
        <f t="shared" si="201"/>
        <v>0</v>
      </c>
    </row>
    <row r="950" spans="1:16" s="38" customFormat="1" ht="14.45" customHeight="1" outlineLevel="1" x14ac:dyDescent="0.25">
      <c r="A950" s="140" t="s">
        <v>792</v>
      </c>
      <c r="B950" s="141" t="s">
        <v>793</v>
      </c>
      <c r="C950" s="130">
        <f>SUM(O950:O956)</f>
        <v>0</v>
      </c>
      <c r="D950" s="130">
        <f>SUM(P950:P956)</f>
        <v>0</v>
      </c>
      <c r="E950" s="130">
        <f t="shared" si="183"/>
        <v>0</v>
      </c>
      <c r="F950" s="130"/>
      <c r="G950" s="60" t="s">
        <v>125</v>
      </c>
      <c r="H950" s="123"/>
      <c r="I950" s="123"/>
      <c r="J950" s="60"/>
      <c r="K950" s="60"/>
      <c r="L950" s="160"/>
      <c r="M950" s="60"/>
      <c r="N950" s="60"/>
      <c r="O950" s="60">
        <f>N950*J950*K950*M950</f>
        <v>0</v>
      </c>
      <c r="P950" s="60">
        <f>J950*K950*M950</f>
        <v>0</v>
      </c>
    </row>
    <row r="951" spans="1:16" s="38" customFormat="1" ht="11.45" customHeight="1" outlineLevel="1" x14ac:dyDescent="0.25">
      <c r="A951" s="124"/>
      <c r="B951" s="142"/>
      <c r="C951" s="115"/>
      <c r="D951" s="115"/>
      <c r="E951" s="115"/>
      <c r="F951" s="115"/>
      <c r="G951" s="60" t="s">
        <v>126</v>
      </c>
      <c r="H951" s="124"/>
      <c r="I951" s="124"/>
      <c r="J951" s="60"/>
      <c r="K951" s="60"/>
      <c r="L951" s="160"/>
      <c r="M951" s="60"/>
      <c r="N951" s="60"/>
      <c r="O951" s="60">
        <f t="shared" ref="O951:O956" si="202">N951*J951*K951*M951</f>
        <v>0</v>
      </c>
      <c r="P951" s="60">
        <f t="shared" ref="P951:P956" si="203">J951*K951*M951</f>
        <v>0</v>
      </c>
    </row>
    <row r="952" spans="1:16" s="38" customFormat="1" ht="10.7" customHeight="1" outlineLevel="1" x14ac:dyDescent="0.25">
      <c r="A952" s="124"/>
      <c r="B952" s="142"/>
      <c r="C952" s="115"/>
      <c r="D952" s="115"/>
      <c r="E952" s="115"/>
      <c r="F952" s="115"/>
      <c r="G952" s="60" t="s">
        <v>127</v>
      </c>
      <c r="H952" s="124"/>
      <c r="I952" s="124"/>
      <c r="J952" s="60"/>
      <c r="K952" s="60"/>
      <c r="L952" s="160"/>
      <c r="M952" s="60"/>
      <c r="N952" s="60"/>
      <c r="O952" s="60">
        <f t="shared" si="202"/>
        <v>0</v>
      </c>
      <c r="P952" s="60">
        <f t="shared" si="203"/>
        <v>0</v>
      </c>
    </row>
    <row r="953" spans="1:16" s="38" customFormat="1" ht="10.7" customHeight="1" outlineLevel="1" x14ac:dyDescent="0.25">
      <c r="A953" s="124"/>
      <c r="B953" s="142"/>
      <c r="C953" s="115"/>
      <c r="D953" s="115"/>
      <c r="E953" s="115"/>
      <c r="F953" s="115"/>
      <c r="G953" s="60" t="s">
        <v>128</v>
      </c>
      <c r="H953" s="124"/>
      <c r="I953" s="124"/>
      <c r="J953" s="60"/>
      <c r="K953" s="60"/>
      <c r="L953" s="160"/>
      <c r="M953" s="60"/>
      <c r="N953" s="60"/>
      <c r="O953" s="60">
        <f t="shared" si="202"/>
        <v>0</v>
      </c>
      <c r="P953" s="60">
        <f t="shared" si="203"/>
        <v>0</v>
      </c>
    </row>
    <row r="954" spans="1:16" s="38" customFormat="1" ht="10.7" customHeight="1" outlineLevel="1" x14ac:dyDescent="0.25">
      <c r="A954" s="124"/>
      <c r="B954" s="142"/>
      <c r="C954" s="115"/>
      <c r="D954" s="115"/>
      <c r="E954" s="115"/>
      <c r="F954" s="115"/>
      <c r="G954" s="60" t="s">
        <v>129</v>
      </c>
      <c r="H954" s="124"/>
      <c r="I954" s="124"/>
      <c r="J954" s="60"/>
      <c r="K954" s="60"/>
      <c r="L954" s="160"/>
      <c r="M954" s="60"/>
      <c r="N954" s="60"/>
      <c r="O954" s="60">
        <f t="shared" si="202"/>
        <v>0</v>
      </c>
      <c r="P954" s="60">
        <f t="shared" si="203"/>
        <v>0</v>
      </c>
    </row>
    <row r="955" spans="1:16" s="38" customFormat="1" ht="10.7" customHeight="1" outlineLevel="1" x14ac:dyDescent="0.25">
      <c r="A955" s="124"/>
      <c r="B955" s="142"/>
      <c r="C955" s="115"/>
      <c r="D955" s="115"/>
      <c r="E955" s="115"/>
      <c r="F955" s="115"/>
      <c r="G955" s="60" t="s">
        <v>130</v>
      </c>
      <c r="H955" s="124"/>
      <c r="I955" s="124"/>
      <c r="J955" s="60"/>
      <c r="K955" s="60"/>
      <c r="L955" s="160"/>
      <c r="M955" s="60"/>
      <c r="N955" s="60"/>
      <c r="O955" s="60">
        <f t="shared" si="202"/>
        <v>0</v>
      </c>
      <c r="P955" s="60">
        <f t="shared" si="203"/>
        <v>0</v>
      </c>
    </row>
    <row r="956" spans="1:16" s="38" customFormat="1" ht="12" customHeight="1" outlineLevel="1" thickBot="1" x14ac:dyDescent="0.3">
      <c r="A956" s="125"/>
      <c r="B956" s="143"/>
      <c r="C956" s="131"/>
      <c r="D956" s="131"/>
      <c r="E956" s="131"/>
      <c r="F956" s="131"/>
      <c r="G956" s="60" t="s">
        <v>131</v>
      </c>
      <c r="H956" s="134"/>
      <c r="I956" s="134"/>
      <c r="J956" s="60"/>
      <c r="K956" s="60"/>
      <c r="L956" s="160"/>
      <c r="M956" s="60"/>
      <c r="N956" s="60"/>
      <c r="O956" s="60">
        <f t="shared" si="202"/>
        <v>0</v>
      </c>
      <c r="P956" s="60">
        <f t="shared" si="203"/>
        <v>0</v>
      </c>
    </row>
    <row r="957" spans="1:16" s="38" customFormat="1" ht="14.45" customHeight="1" outlineLevel="1" x14ac:dyDescent="0.25">
      <c r="A957" s="140" t="s">
        <v>794</v>
      </c>
      <c r="B957" s="141" t="s">
        <v>795</v>
      </c>
      <c r="C957" s="130">
        <f>SUM(O957:O963)</f>
        <v>0</v>
      </c>
      <c r="D957" s="130">
        <f>SUM(P957:P963)</f>
        <v>0</v>
      </c>
      <c r="E957" s="130">
        <f t="shared" ref="E957:E1020" si="204">D957/8</f>
        <v>0</v>
      </c>
      <c r="F957" s="130"/>
      <c r="G957" s="60" t="s">
        <v>125</v>
      </c>
      <c r="H957" s="123"/>
      <c r="I957" s="123"/>
      <c r="J957" s="60"/>
      <c r="K957" s="60"/>
      <c r="L957" s="160"/>
      <c r="M957" s="60"/>
      <c r="N957" s="60"/>
      <c r="O957" s="60">
        <f>N957*J957*K957*M957</f>
        <v>0</v>
      </c>
      <c r="P957" s="60">
        <f>J957*K957*M957</f>
        <v>0</v>
      </c>
    </row>
    <row r="958" spans="1:16" s="38" customFormat="1" ht="11.45" customHeight="1" outlineLevel="1" x14ac:dyDescent="0.25">
      <c r="A958" s="124"/>
      <c r="B958" s="142"/>
      <c r="C958" s="115"/>
      <c r="D958" s="115"/>
      <c r="E958" s="115"/>
      <c r="F958" s="115"/>
      <c r="G958" s="60" t="s">
        <v>126</v>
      </c>
      <c r="H958" s="124"/>
      <c r="I958" s="124"/>
      <c r="J958" s="60"/>
      <c r="K958" s="60"/>
      <c r="L958" s="160"/>
      <c r="M958" s="60"/>
      <c r="N958" s="60"/>
      <c r="O958" s="60">
        <f t="shared" ref="O958:O963" si="205">N958*J958*K958*M958</f>
        <v>0</v>
      </c>
      <c r="P958" s="60">
        <f t="shared" ref="P958:P963" si="206">J958*K958*M958</f>
        <v>0</v>
      </c>
    </row>
    <row r="959" spans="1:16" s="38" customFormat="1" ht="10.7" customHeight="1" outlineLevel="1" x14ac:dyDescent="0.25">
      <c r="A959" s="124"/>
      <c r="B959" s="142"/>
      <c r="C959" s="115"/>
      <c r="D959" s="115"/>
      <c r="E959" s="115"/>
      <c r="F959" s="115"/>
      <c r="G959" s="60" t="s">
        <v>127</v>
      </c>
      <c r="H959" s="124"/>
      <c r="I959" s="124"/>
      <c r="J959" s="60"/>
      <c r="K959" s="60"/>
      <c r="L959" s="160"/>
      <c r="M959" s="60"/>
      <c r="N959" s="60"/>
      <c r="O959" s="60">
        <f t="shared" si="205"/>
        <v>0</v>
      </c>
      <c r="P959" s="60">
        <f t="shared" si="206"/>
        <v>0</v>
      </c>
    </row>
    <row r="960" spans="1:16" s="38" customFormat="1" ht="10.7" customHeight="1" outlineLevel="1" x14ac:dyDescent="0.25">
      <c r="A960" s="124"/>
      <c r="B960" s="142"/>
      <c r="C960" s="115"/>
      <c r="D960" s="115"/>
      <c r="E960" s="115"/>
      <c r="F960" s="115"/>
      <c r="G960" s="60" t="s">
        <v>128</v>
      </c>
      <c r="H960" s="124"/>
      <c r="I960" s="124"/>
      <c r="J960" s="60"/>
      <c r="K960" s="60"/>
      <c r="L960" s="160"/>
      <c r="M960" s="60"/>
      <c r="N960" s="60"/>
      <c r="O960" s="60">
        <f t="shared" si="205"/>
        <v>0</v>
      </c>
      <c r="P960" s="60">
        <f t="shared" si="206"/>
        <v>0</v>
      </c>
    </row>
    <row r="961" spans="1:16" s="38" customFormat="1" ht="10.7" customHeight="1" outlineLevel="1" x14ac:dyDescent="0.25">
      <c r="A961" s="124"/>
      <c r="B961" s="142"/>
      <c r="C961" s="115"/>
      <c r="D961" s="115"/>
      <c r="E961" s="115"/>
      <c r="F961" s="115"/>
      <c r="G961" s="60" t="s">
        <v>129</v>
      </c>
      <c r="H961" s="124"/>
      <c r="I961" s="124"/>
      <c r="J961" s="60"/>
      <c r="K961" s="60"/>
      <c r="L961" s="160"/>
      <c r="M961" s="60"/>
      <c r="N961" s="60"/>
      <c r="O961" s="60">
        <f t="shared" si="205"/>
        <v>0</v>
      </c>
      <c r="P961" s="60">
        <f t="shared" si="206"/>
        <v>0</v>
      </c>
    </row>
    <row r="962" spans="1:16" s="38" customFormat="1" ht="10.7" customHeight="1" outlineLevel="1" x14ac:dyDescent="0.25">
      <c r="A962" s="124"/>
      <c r="B962" s="142"/>
      <c r="C962" s="115"/>
      <c r="D962" s="115"/>
      <c r="E962" s="115"/>
      <c r="F962" s="115"/>
      <c r="G962" s="60" t="s">
        <v>130</v>
      </c>
      <c r="H962" s="124"/>
      <c r="I962" s="124"/>
      <c r="J962" s="60"/>
      <c r="K962" s="60"/>
      <c r="L962" s="160"/>
      <c r="M962" s="60"/>
      <c r="N962" s="60"/>
      <c r="O962" s="60">
        <f t="shared" si="205"/>
        <v>0</v>
      </c>
      <c r="P962" s="60">
        <f t="shared" si="206"/>
        <v>0</v>
      </c>
    </row>
    <row r="963" spans="1:16" s="38" customFormat="1" ht="12" customHeight="1" outlineLevel="1" thickBot="1" x14ac:dyDescent="0.3">
      <c r="A963" s="125"/>
      <c r="B963" s="143"/>
      <c r="C963" s="131"/>
      <c r="D963" s="131"/>
      <c r="E963" s="131"/>
      <c r="F963" s="131"/>
      <c r="G963" s="60" t="s">
        <v>131</v>
      </c>
      <c r="H963" s="134"/>
      <c r="I963" s="134"/>
      <c r="J963" s="60"/>
      <c r="K963" s="60"/>
      <c r="L963" s="160"/>
      <c r="M963" s="60"/>
      <c r="N963" s="60"/>
      <c r="O963" s="60">
        <f t="shared" si="205"/>
        <v>0</v>
      </c>
      <c r="P963" s="60">
        <f t="shared" si="206"/>
        <v>0</v>
      </c>
    </row>
    <row r="964" spans="1:16" s="38" customFormat="1" ht="14.45" customHeight="1" outlineLevel="1" x14ac:dyDescent="0.25">
      <c r="A964" s="140" t="s">
        <v>796</v>
      </c>
      <c r="B964" s="141" t="s">
        <v>797</v>
      </c>
      <c r="C964" s="130">
        <f>SUM(O964:O970)</f>
        <v>0</v>
      </c>
      <c r="D964" s="130">
        <f>SUM(P964:P970)</f>
        <v>0</v>
      </c>
      <c r="E964" s="130">
        <f t="shared" si="204"/>
        <v>0</v>
      </c>
      <c r="F964" s="130"/>
      <c r="G964" s="60" t="s">
        <v>125</v>
      </c>
      <c r="H964" s="123"/>
      <c r="I964" s="123"/>
      <c r="J964" s="60"/>
      <c r="K964" s="60"/>
      <c r="L964" s="160"/>
      <c r="M964" s="60"/>
      <c r="N964" s="60"/>
      <c r="O964" s="60">
        <f>N964*J964*K964*M964</f>
        <v>0</v>
      </c>
      <c r="P964" s="60">
        <f>J964*K964*M964</f>
        <v>0</v>
      </c>
    </row>
    <row r="965" spans="1:16" s="38" customFormat="1" ht="11.45" customHeight="1" outlineLevel="1" x14ac:dyDescent="0.25">
      <c r="A965" s="124"/>
      <c r="B965" s="142"/>
      <c r="C965" s="115"/>
      <c r="D965" s="115"/>
      <c r="E965" s="115"/>
      <c r="F965" s="115"/>
      <c r="G965" s="60" t="s">
        <v>126</v>
      </c>
      <c r="H965" s="124"/>
      <c r="I965" s="124"/>
      <c r="J965" s="60"/>
      <c r="K965" s="60"/>
      <c r="L965" s="160"/>
      <c r="M965" s="60"/>
      <c r="N965" s="60"/>
      <c r="O965" s="60">
        <f t="shared" ref="O965:O970" si="207">N965*J965*K965*M965</f>
        <v>0</v>
      </c>
      <c r="P965" s="60">
        <f t="shared" ref="P965:P970" si="208">J965*K965*M965</f>
        <v>0</v>
      </c>
    </row>
    <row r="966" spans="1:16" s="38" customFormat="1" ht="10.7" customHeight="1" outlineLevel="1" x14ac:dyDescent="0.25">
      <c r="A966" s="124"/>
      <c r="B966" s="142"/>
      <c r="C966" s="115"/>
      <c r="D966" s="115"/>
      <c r="E966" s="115"/>
      <c r="F966" s="115"/>
      <c r="G966" s="60" t="s">
        <v>127</v>
      </c>
      <c r="H966" s="124"/>
      <c r="I966" s="124"/>
      <c r="J966" s="60"/>
      <c r="K966" s="60"/>
      <c r="L966" s="160"/>
      <c r="M966" s="60"/>
      <c r="N966" s="60"/>
      <c r="O966" s="60">
        <f t="shared" si="207"/>
        <v>0</v>
      </c>
      <c r="P966" s="60">
        <f t="shared" si="208"/>
        <v>0</v>
      </c>
    </row>
    <row r="967" spans="1:16" s="38" customFormat="1" ht="10.7" customHeight="1" outlineLevel="1" x14ac:dyDescent="0.25">
      <c r="A967" s="124"/>
      <c r="B967" s="142"/>
      <c r="C967" s="115"/>
      <c r="D967" s="115"/>
      <c r="E967" s="115"/>
      <c r="F967" s="115"/>
      <c r="G967" s="60" t="s">
        <v>128</v>
      </c>
      <c r="H967" s="124"/>
      <c r="I967" s="124"/>
      <c r="J967" s="60"/>
      <c r="K967" s="60"/>
      <c r="L967" s="160"/>
      <c r="M967" s="60"/>
      <c r="N967" s="60"/>
      <c r="O967" s="60">
        <f t="shared" si="207"/>
        <v>0</v>
      </c>
      <c r="P967" s="60">
        <f t="shared" si="208"/>
        <v>0</v>
      </c>
    </row>
    <row r="968" spans="1:16" s="38" customFormat="1" ht="10.7" customHeight="1" outlineLevel="1" x14ac:dyDescent="0.25">
      <c r="A968" s="124"/>
      <c r="B968" s="142"/>
      <c r="C968" s="115"/>
      <c r="D968" s="115"/>
      <c r="E968" s="115"/>
      <c r="F968" s="115"/>
      <c r="G968" s="60" t="s">
        <v>129</v>
      </c>
      <c r="H968" s="124"/>
      <c r="I968" s="124"/>
      <c r="J968" s="60"/>
      <c r="K968" s="60"/>
      <c r="L968" s="160"/>
      <c r="M968" s="60"/>
      <c r="N968" s="60"/>
      <c r="O968" s="60">
        <f t="shared" si="207"/>
        <v>0</v>
      </c>
      <c r="P968" s="60">
        <f t="shared" si="208"/>
        <v>0</v>
      </c>
    </row>
    <row r="969" spans="1:16" s="38" customFormat="1" ht="10.7" customHeight="1" outlineLevel="1" x14ac:dyDescent="0.25">
      <c r="A969" s="124"/>
      <c r="B969" s="142"/>
      <c r="C969" s="115"/>
      <c r="D969" s="115"/>
      <c r="E969" s="115"/>
      <c r="F969" s="115"/>
      <c r="G969" s="60" t="s">
        <v>130</v>
      </c>
      <c r="H969" s="124"/>
      <c r="I969" s="124"/>
      <c r="J969" s="60"/>
      <c r="K969" s="60"/>
      <c r="L969" s="160"/>
      <c r="M969" s="60"/>
      <c r="N969" s="60"/>
      <c r="O969" s="60">
        <f t="shared" si="207"/>
        <v>0</v>
      </c>
      <c r="P969" s="60">
        <f t="shared" si="208"/>
        <v>0</v>
      </c>
    </row>
    <row r="970" spans="1:16" s="38" customFormat="1" ht="12" customHeight="1" outlineLevel="1" thickBot="1" x14ac:dyDescent="0.3">
      <c r="A970" s="125"/>
      <c r="B970" s="143"/>
      <c r="C970" s="131"/>
      <c r="D970" s="131"/>
      <c r="E970" s="131"/>
      <c r="F970" s="131"/>
      <c r="G970" s="60" t="s">
        <v>131</v>
      </c>
      <c r="H970" s="134"/>
      <c r="I970" s="134"/>
      <c r="J970" s="60"/>
      <c r="K970" s="60"/>
      <c r="L970" s="160"/>
      <c r="M970" s="60"/>
      <c r="N970" s="60"/>
      <c r="O970" s="60">
        <f t="shared" si="207"/>
        <v>0</v>
      </c>
      <c r="P970" s="60">
        <f t="shared" si="208"/>
        <v>0</v>
      </c>
    </row>
    <row r="971" spans="1:16" s="38" customFormat="1" ht="14.45" customHeight="1" outlineLevel="1" x14ac:dyDescent="0.25">
      <c r="A971" s="140" t="s">
        <v>798</v>
      </c>
      <c r="B971" s="141" t="s">
        <v>799</v>
      </c>
      <c r="C971" s="130">
        <f>SUM(O971:O977)</f>
        <v>0</v>
      </c>
      <c r="D971" s="130">
        <f>SUM(P971:P977)</f>
        <v>0</v>
      </c>
      <c r="E971" s="130">
        <f t="shared" si="204"/>
        <v>0</v>
      </c>
      <c r="F971" s="130"/>
      <c r="G971" s="60" t="s">
        <v>125</v>
      </c>
      <c r="H971" s="123"/>
      <c r="I971" s="123"/>
      <c r="J971" s="60"/>
      <c r="K971" s="60"/>
      <c r="L971" s="160"/>
      <c r="M971" s="60"/>
      <c r="N971" s="60"/>
      <c r="O971" s="60">
        <f>N971*J971*K971*M971</f>
        <v>0</v>
      </c>
      <c r="P971" s="60">
        <f>J971*K971*M971</f>
        <v>0</v>
      </c>
    </row>
    <row r="972" spans="1:16" s="38" customFormat="1" ht="11.45" customHeight="1" outlineLevel="1" x14ac:dyDescent="0.25">
      <c r="A972" s="124"/>
      <c r="B972" s="142"/>
      <c r="C972" s="115"/>
      <c r="D972" s="115"/>
      <c r="E972" s="115"/>
      <c r="F972" s="115"/>
      <c r="G972" s="60" t="s">
        <v>126</v>
      </c>
      <c r="H972" s="124"/>
      <c r="I972" s="124"/>
      <c r="J972" s="60"/>
      <c r="K972" s="60"/>
      <c r="L972" s="160"/>
      <c r="M972" s="60"/>
      <c r="N972" s="60"/>
      <c r="O972" s="60">
        <f t="shared" ref="O972:O977" si="209">N972*J972*K972*M972</f>
        <v>0</v>
      </c>
      <c r="P972" s="60">
        <f t="shared" ref="P972:P977" si="210">J972*K972*M972</f>
        <v>0</v>
      </c>
    </row>
    <row r="973" spans="1:16" s="38" customFormat="1" ht="10.7" customHeight="1" outlineLevel="1" x14ac:dyDescent="0.25">
      <c r="A973" s="124"/>
      <c r="B973" s="142"/>
      <c r="C973" s="115"/>
      <c r="D973" s="115"/>
      <c r="E973" s="115"/>
      <c r="F973" s="115"/>
      <c r="G973" s="60" t="s">
        <v>127</v>
      </c>
      <c r="H973" s="124"/>
      <c r="I973" s="124"/>
      <c r="J973" s="60"/>
      <c r="K973" s="60"/>
      <c r="L973" s="160"/>
      <c r="M973" s="60"/>
      <c r="N973" s="60"/>
      <c r="O973" s="60">
        <f t="shared" si="209"/>
        <v>0</v>
      </c>
      <c r="P973" s="60">
        <f t="shared" si="210"/>
        <v>0</v>
      </c>
    </row>
    <row r="974" spans="1:16" s="38" customFormat="1" ht="10.7" customHeight="1" outlineLevel="1" x14ac:dyDescent="0.25">
      <c r="A974" s="124"/>
      <c r="B974" s="142"/>
      <c r="C974" s="115"/>
      <c r="D974" s="115"/>
      <c r="E974" s="115"/>
      <c r="F974" s="115"/>
      <c r="G974" s="60" t="s">
        <v>128</v>
      </c>
      <c r="H974" s="124"/>
      <c r="I974" s="124"/>
      <c r="J974" s="60"/>
      <c r="K974" s="60"/>
      <c r="L974" s="160"/>
      <c r="M974" s="60"/>
      <c r="N974" s="60"/>
      <c r="O974" s="60">
        <f t="shared" si="209"/>
        <v>0</v>
      </c>
      <c r="P974" s="60">
        <f t="shared" si="210"/>
        <v>0</v>
      </c>
    </row>
    <row r="975" spans="1:16" s="38" customFormat="1" ht="10.7" customHeight="1" outlineLevel="1" x14ac:dyDescent="0.25">
      <c r="A975" s="124"/>
      <c r="B975" s="142"/>
      <c r="C975" s="115"/>
      <c r="D975" s="115"/>
      <c r="E975" s="115"/>
      <c r="F975" s="115"/>
      <c r="G975" s="60" t="s">
        <v>129</v>
      </c>
      <c r="H975" s="124"/>
      <c r="I975" s="124"/>
      <c r="J975" s="60"/>
      <c r="K975" s="60"/>
      <c r="L975" s="160"/>
      <c r="M975" s="60"/>
      <c r="N975" s="60"/>
      <c r="O975" s="60">
        <f t="shared" si="209"/>
        <v>0</v>
      </c>
      <c r="P975" s="60">
        <f t="shared" si="210"/>
        <v>0</v>
      </c>
    </row>
    <row r="976" spans="1:16" s="38" customFormat="1" ht="10.7" customHeight="1" outlineLevel="1" x14ac:dyDescent="0.25">
      <c r="A976" s="124"/>
      <c r="B976" s="142"/>
      <c r="C976" s="115"/>
      <c r="D976" s="115"/>
      <c r="E976" s="115"/>
      <c r="F976" s="115"/>
      <c r="G976" s="60" t="s">
        <v>130</v>
      </c>
      <c r="H976" s="124"/>
      <c r="I976" s="124"/>
      <c r="J976" s="60"/>
      <c r="K976" s="60"/>
      <c r="L976" s="160"/>
      <c r="M976" s="60"/>
      <c r="N976" s="60"/>
      <c r="O976" s="60">
        <f t="shared" si="209"/>
        <v>0</v>
      </c>
      <c r="P976" s="60">
        <f t="shared" si="210"/>
        <v>0</v>
      </c>
    </row>
    <row r="977" spans="1:16" s="38" customFormat="1" ht="12" customHeight="1" outlineLevel="1" thickBot="1" x14ac:dyDescent="0.3">
      <c r="A977" s="125"/>
      <c r="B977" s="143"/>
      <c r="C977" s="131"/>
      <c r="D977" s="131"/>
      <c r="E977" s="131"/>
      <c r="F977" s="131"/>
      <c r="G977" s="60" t="s">
        <v>131</v>
      </c>
      <c r="H977" s="134"/>
      <c r="I977" s="134"/>
      <c r="J977" s="60"/>
      <c r="K977" s="60"/>
      <c r="L977" s="160"/>
      <c r="M977" s="60"/>
      <c r="N977" s="60"/>
      <c r="O977" s="60">
        <f t="shared" si="209"/>
        <v>0</v>
      </c>
      <c r="P977" s="60">
        <f t="shared" si="210"/>
        <v>0</v>
      </c>
    </row>
    <row r="978" spans="1:16" s="38" customFormat="1" ht="14.45" customHeight="1" outlineLevel="1" x14ac:dyDescent="0.25">
      <c r="A978" s="140" t="s">
        <v>800</v>
      </c>
      <c r="B978" s="141" t="s">
        <v>801</v>
      </c>
      <c r="C978" s="130">
        <f>SUM(O978:O984)</f>
        <v>0</v>
      </c>
      <c r="D978" s="130">
        <f>SUM(P978:P984)</f>
        <v>0</v>
      </c>
      <c r="E978" s="130">
        <f t="shared" si="204"/>
        <v>0</v>
      </c>
      <c r="F978" s="130"/>
      <c r="G978" s="60" t="s">
        <v>125</v>
      </c>
      <c r="H978" s="123"/>
      <c r="I978" s="123"/>
      <c r="J978" s="60"/>
      <c r="K978" s="60"/>
      <c r="L978" s="160"/>
      <c r="M978" s="60"/>
      <c r="N978" s="60"/>
      <c r="O978" s="60">
        <f>N978*J978*K978*M978</f>
        <v>0</v>
      </c>
      <c r="P978" s="60">
        <f>J978*K978*M978</f>
        <v>0</v>
      </c>
    </row>
    <row r="979" spans="1:16" s="38" customFormat="1" ht="11.45" customHeight="1" outlineLevel="1" x14ac:dyDescent="0.25">
      <c r="A979" s="124"/>
      <c r="B979" s="142"/>
      <c r="C979" s="115"/>
      <c r="D979" s="115"/>
      <c r="E979" s="115"/>
      <c r="F979" s="115"/>
      <c r="G979" s="60" t="s">
        <v>126</v>
      </c>
      <c r="H979" s="124"/>
      <c r="I979" s="124"/>
      <c r="J979" s="60"/>
      <c r="K979" s="60"/>
      <c r="L979" s="160"/>
      <c r="M979" s="60"/>
      <c r="N979" s="60"/>
      <c r="O979" s="60">
        <f t="shared" ref="O979:O984" si="211">N979*J979*K979*M979</f>
        <v>0</v>
      </c>
      <c r="P979" s="60">
        <f t="shared" ref="P979:P984" si="212">J979*K979*M979</f>
        <v>0</v>
      </c>
    </row>
    <row r="980" spans="1:16" s="38" customFormat="1" ht="10.7" customHeight="1" outlineLevel="1" x14ac:dyDescent="0.25">
      <c r="A980" s="124"/>
      <c r="B980" s="142"/>
      <c r="C980" s="115"/>
      <c r="D980" s="115"/>
      <c r="E980" s="115"/>
      <c r="F980" s="115"/>
      <c r="G980" s="60" t="s">
        <v>127</v>
      </c>
      <c r="H980" s="124"/>
      <c r="I980" s="124"/>
      <c r="J980" s="60"/>
      <c r="K980" s="60"/>
      <c r="L980" s="160"/>
      <c r="M980" s="60"/>
      <c r="N980" s="60"/>
      <c r="O980" s="60">
        <f t="shared" si="211"/>
        <v>0</v>
      </c>
      <c r="P980" s="60">
        <f t="shared" si="212"/>
        <v>0</v>
      </c>
    </row>
    <row r="981" spans="1:16" s="38" customFormat="1" ht="10.7" customHeight="1" outlineLevel="1" x14ac:dyDescent="0.25">
      <c r="A981" s="124"/>
      <c r="B981" s="142"/>
      <c r="C981" s="115"/>
      <c r="D981" s="115"/>
      <c r="E981" s="115"/>
      <c r="F981" s="115"/>
      <c r="G981" s="60" t="s">
        <v>128</v>
      </c>
      <c r="H981" s="124"/>
      <c r="I981" s="124"/>
      <c r="J981" s="60"/>
      <c r="K981" s="60"/>
      <c r="L981" s="160"/>
      <c r="M981" s="60"/>
      <c r="N981" s="60"/>
      <c r="O981" s="60">
        <f t="shared" si="211"/>
        <v>0</v>
      </c>
      <c r="P981" s="60">
        <f t="shared" si="212"/>
        <v>0</v>
      </c>
    </row>
    <row r="982" spans="1:16" s="38" customFormat="1" ht="10.7" customHeight="1" outlineLevel="1" x14ac:dyDescent="0.25">
      <c r="A982" s="124"/>
      <c r="B982" s="142"/>
      <c r="C982" s="115"/>
      <c r="D982" s="115"/>
      <c r="E982" s="115"/>
      <c r="F982" s="115"/>
      <c r="G982" s="60" t="s">
        <v>129</v>
      </c>
      <c r="H982" s="124"/>
      <c r="I982" s="124"/>
      <c r="J982" s="60"/>
      <c r="K982" s="60"/>
      <c r="L982" s="160"/>
      <c r="M982" s="60"/>
      <c r="N982" s="60"/>
      <c r="O982" s="60">
        <f t="shared" si="211"/>
        <v>0</v>
      </c>
      <c r="P982" s="60">
        <f t="shared" si="212"/>
        <v>0</v>
      </c>
    </row>
    <row r="983" spans="1:16" s="38" customFormat="1" ht="10.7" customHeight="1" outlineLevel="1" x14ac:dyDescent="0.25">
      <c r="A983" s="124"/>
      <c r="B983" s="142"/>
      <c r="C983" s="115"/>
      <c r="D983" s="115"/>
      <c r="E983" s="115"/>
      <c r="F983" s="115"/>
      <c r="G983" s="60" t="s">
        <v>130</v>
      </c>
      <c r="H983" s="124"/>
      <c r="I983" s="124"/>
      <c r="J983" s="60"/>
      <c r="K983" s="60"/>
      <c r="L983" s="160"/>
      <c r="M983" s="60"/>
      <c r="N983" s="60"/>
      <c r="O983" s="60">
        <f t="shared" si="211"/>
        <v>0</v>
      </c>
      <c r="P983" s="60">
        <f t="shared" si="212"/>
        <v>0</v>
      </c>
    </row>
    <row r="984" spans="1:16" s="38" customFormat="1" ht="12" customHeight="1" outlineLevel="1" thickBot="1" x14ac:dyDescent="0.3">
      <c r="A984" s="125"/>
      <c r="B984" s="143"/>
      <c r="C984" s="131"/>
      <c r="D984" s="131"/>
      <c r="E984" s="131"/>
      <c r="F984" s="131"/>
      <c r="G984" s="60" t="s">
        <v>131</v>
      </c>
      <c r="H984" s="134"/>
      <c r="I984" s="134"/>
      <c r="J984" s="60"/>
      <c r="K984" s="60"/>
      <c r="L984" s="160"/>
      <c r="M984" s="60"/>
      <c r="N984" s="60"/>
      <c r="O984" s="60">
        <f t="shared" si="211"/>
        <v>0</v>
      </c>
      <c r="P984" s="60">
        <f t="shared" si="212"/>
        <v>0</v>
      </c>
    </row>
    <row r="985" spans="1:16" s="38" customFormat="1" ht="14.45" customHeight="1" outlineLevel="1" x14ac:dyDescent="0.25">
      <c r="A985" s="140" t="s">
        <v>802</v>
      </c>
      <c r="B985" s="141" t="s">
        <v>803</v>
      </c>
      <c r="C985" s="130">
        <f>SUM(O985:O991)</f>
        <v>0</v>
      </c>
      <c r="D985" s="130">
        <f>SUM(P985:P991)</f>
        <v>0</v>
      </c>
      <c r="E985" s="130">
        <f t="shared" si="204"/>
        <v>0</v>
      </c>
      <c r="F985" s="130"/>
      <c r="G985" s="60" t="s">
        <v>125</v>
      </c>
      <c r="H985" s="123"/>
      <c r="I985" s="123"/>
      <c r="J985" s="60"/>
      <c r="K985" s="60"/>
      <c r="L985" s="160"/>
      <c r="M985" s="60"/>
      <c r="N985" s="60"/>
      <c r="O985" s="60">
        <f>N985*J985*K985*M985</f>
        <v>0</v>
      </c>
      <c r="P985" s="60">
        <f>J985*K985*M985</f>
        <v>0</v>
      </c>
    </row>
    <row r="986" spans="1:16" s="38" customFormat="1" ht="11.45" customHeight="1" outlineLevel="1" x14ac:dyDescent="0.25">
      <c r="A986" s="124"/>
      <c r="B986" s="142"/>
      <c r="C986" s="115"/>
      <c r="D986" s="115"/>
      <c r="E986" s="115"/>
      <c r="F986" s="115"/>
      <c r="G986" s="60" t="s">
        <v>126</v>
      </c>
      <c r="H986" s="124"/>
      <c r="I986" s="124"/>
      <c r="J986" s="60"/>
      <c r="K986" s="60"/>
      <c r="L986" s="160"/>
      <c r="M986" s="60"/>
      <c r="N986" s="60"/>
      <c r="O986" s="60">
        <f t="shared" ref="O986:O991" si="213">N986*J986*K986*M986</f>
        <v>0</v>
      </c>
      <c r="P986" s="60">
        <f t="shared" ref="P986:P991" si="214">J986*K986*M986</f>
        <v>0</v>
      </c>
    </row>
    <row r="987" spans="1:16" s="38" customFormat="1" ht="10.7" customHeight="1" outlineLevel="1" x14ac:dyDescent="0.25">
      <c r="A987" s="124"/>
      <c r="B987" s="142"/>
      <c r="C987" s="115"/>
      <c r="D987" s="115"/>
      <c r="E987" s="115"/>
      <c r="F987" s="115"/>
      <c r="G987" s="60" t="s">
        <v>127</v>
      </c>
      <c r="H987" s="124"/>
      <c r="I987" s="124"/>
      <c r="J987" s="60"/>
      <c r="K987" s="60"/>
      <c r="L987" s="160"/>
      <c r="M987" s="60"/>
      <c r="N987" s="60"/>
      <c r="O987" s="60">
        <f t="shared" si="213"/>
        <v>0</v>
      </c>
      <c r="P987" s="60">
        <f t="shared" si="214"/>
        <v>0</v>
      </c>
    </row>
    <row r="988" spans="1:16" s="38" customFormat="1" ht="10.7" customHeight="1" outlineLevel="1" x14ac:dyDescent="0.25">
      <c r="A988" s="124"/>
      <c r="B988" s="142"/>
      <c r="C988" s="115"/>
      <c r="D988" s="115"/>
      <c r="E988" s="115"/>
      <c r="F988" s="115"/>
      <c r="G988" s="60" t="s">
        <v>128</v>
      </c>
      <c r="H988" s="124"/>
      <c r="I988" s="124"/>
      <c r="J988" s="60"/>
      <c r="K988" s="60"/>
      <c r="L988" s="160"/>
      <c r="M988" s="60"/>
      <c r="N988" s="60"/>
      <c r="O988" s="60">
        <f t="shared" si="213"/>
        <v>0</v>
      </c>
      <c r="P988" s="60">
        <f t="shared" si="214"/>
        <v>0</v>
      </c>
    </row>
    <row r="989" spans="1:16" s="38" customFormat="1" ht="10.7" customHeight="1" outlineLevel="1" x14ac:dyDescent="0.25">
      <c r="A989" s="124"/>
      <c r="B989" s="142"/>
      <c r="C989" s="115"/>
      <c r="D989" s="115"/>
      <c r="E989" s="115"/>
      <c r="F989" s="115"/>
      <c r="G989" s="60" t="s">
        <v>129</v>
      </c>
      <c r="H989" s="124"/>
      <c r="I989" s="124"/>
      <c r="J989" s="60"/>
      <c r="K989" s="60"/>
      <c r="L989" s="160"/>
      <c r="M989" s="60"/>
      <c r="N989" s="60"/>
      <c r="O989" s="60">
        <f t="shared" si="213"/>
        <v>0</v>
      </c>
      <c r="P989" s="60">
        <f t="shared" si="214"/>
        <v>0</v>
      </c>
    </row>
    <row r="990" spans="1:16" s="38" customFormat="1" ht="10.7" customHeight="1" outlineLevel="1" x14ac:dyDescent="0.25">
      <c r="A990" s="124"/>
      <c r="B990" s="142"/>
      <c r="C990" s="115"/>
      <c r="D990" s="115"/>
      <c r="E990" s="115"/>
      <c r="F990" s="115"/>
      <c r="G990" s="60" t="s">
        <v>130</v>
      </c>
      <c r="H990" s="124"/>
      <c r="I990" s="124"/>
      <c r="J990" s="60"/>
      <c r="K990" s="60"/>
      <c r="L990" s="160"/>
      <c r="M990" s="60"/>
      <c r="N990" s="60"/>
      <c r="O990" s="60">
        <f t="shared" si="213"/>
        <v>0</v>
      </c>
      <c r="P990" s="60">
        <f t="shared" si="214"/>
        <v>0</v>
      </c>
    </row>
    <row r="991" spans="1:16" s="38" customFormat="1" ht="12" customHeight="1" outlineLevel="1" thickBot="1" x14ac:dyDescent="0.3">
      <c r="A991" s="125"/>
      <c r="B991" s="143"/>
      <c r="C991" s="131"/>
      <c r="D991" s="131"/>
      <c r="E991" s="131"/>
      <c r="F991" s="131"/>
      <c r="G991" s="60" t="s">
        <v>131</v>
      </c>
      <c r="H991" s="134"/>
      <c r="I991" s="134"/>
      <c r="J991" s="60"/>
      <c r="K991" s="60"/>
      <c r="L991" s="160"/>
      <c r="M991" s="60"/>
      <c r="N991" s="60"/>
      <c r="O991" s="60">
        <f t="shared" si="213"/>
        <v>0</v>
      </c>
      <c r="P991" s="60">
        <f t="shared" si="214"/>
        <v>0</v>
      </c>
    </row>
    <row r="992" spans="1:16" s="38" customFormat="1" ht="14.45" customHeight="1" outlineLevel="1" x14ac:dyDescent="0.25">
      <c r="A992" s="140" t="s">
        <v>804</v>
      </c>
      <c r="B992" s="141" t="s">
        <v>805</v>
      </c>
      <c r="C992" s="130">
        <f>SUM(O992:O998)</f>
        <v>0</v>
      </c>
      <c r="D992" s="130">
        <f>SUM(P992:P998)</f>
        <v>0</v>
      </c>
      <c r="E992" s="130">
        <f t="shared" si="204"/>
        <v>0</v>
      </c>
      <c r="F992" s="130"/>
      <c r="G992" s="60" t="s">
        <v>125</v>
      </c>
      <c r="H992" s="123"/>
      <c r="I992" s="123"/>
      <c r="J992" s="60"/>
      <c r="K992" s="60"/>
      <c r="L992" s="160"/>
      <c r="M992" s="60"/>
      <c r="N992" s="60"/>
      <c r="O992" s="60">
        <f>N992*J992*K992*M992</f>
        <v>0</v>
      </c>
      <c r="P992" s="60">
        <f>J992*K992*M992</f>
        <v>0</v>
      </c>
    </row>
    <row r="993" spans="1:16" s="38" customFormat="1" ht="11.45" customHeight="1" outlineLevel="1" x14ac:dyDescent="0.25">
      <c r="A993" s="124"/>
      <c r="B993" s="142"/>
      <c r="C993" s="115"/>
      <c r="D993" s="115"/>
      <c r="E993" s="115"/>
      <c r="F993" s="115"/>
      <c r="G993" s="60" t="s">
        <v>126</v>
      </c>
      <c r="H993" s="124"/>
      <c r="I993" s="124"/>
      <c r="J993" s="60"/>
      <c r="K993" s="60"/>
      <c r="L993" s="160"/>
      <c r="M993" s="60"/>
      <c r="N993" s="60"/>
      <c r="O993" s="60">
        <f t="shared" ref="O993:O998" si="215">N993*J993*K993*M993</f>
        <v>0</v>
      </c>
      <c r="P993" s="60">
        <f t="shared" ref="P993:P998" si="216">J993*K993*M993</f>
        <v>0</v>
      </c>
    </row>
    <row r="994" spans="1:16" s="38" customFormat="1" ht="10.7" customHeight="1" outlineLevel="1" x14ac:dyDescent="0.25">
      <c r="A994" s="124"/>
      <c r="B994" s="142"/>
      <c r="C994" s="115"/>
      <c r="D994" s="115"/>
      <c r="E994" s="115"/>
      <c r="F994" s="115"/>
      <c r="G994" s="60" t="s">
        <v>127</v>
      </c>
      <c r="H994" s="124"/>
      <c r="I994" s="124"/>
      <c r="J994" s="60"/>
      <c r="K994" s="60"/>
      <c r="L994" s="160"/>
      <c r="M994" s="60"/>
      <c r="N994" s="60"/>
      <c r="O994" s="60">
        <f t="shared" si="215"/>
        <v>0</v>
      </c>
      <c r="P994" s="60">
        <f t="shared" si="216"/>
        <v>0</v>
      </c>
    </row>
    <row r="995" spans="1:16" s="38" customFormat="1" ht="10.7" customHeight="1" outlineLevel="1" x14ac:dyDescent="0.25">
      <c r="A995" s="124"/>
      <c r="B995" s="142"/>
      <c r="C995" s="115"/>
      <c r="D995" s="115"/>
      <c r="E995" s="115"/>
      <c r="F995" s="115"/>
      <c r="G995" s="60" t="s">
        <v>128</v>
      </c>
      <c r="H995" s="124"/>
      <c r="I995" s="124"/>
      <c r="J995" s="60"/>
      <c r="K995" s="60"/>
      <c r="L995" s="160"/>
      <c r="M995" s="60"/>
      <c r="N995" s="60"/>
      <c r="O995" s="60">
        <f t="shared" si="215"/>
        <v>0</v>
      </c>
      <c r="P995" s="60">
        <f t="shared" si="216"/>
        <v>0</v>
      </c>
    </row>
    <row r="996" spans="1:16" s="38" customFormat="1" ht="10.7" customHeight="1" outlineLevel="1" x14ac:dyDescent="0.25">
      <c r="A996" s="124"/>
      <c r="B996" s="142"/>
      <c r="C996" s="115"/>
      <c r="D996" s="115"/>
      <c r="E996" s="115"/>
      <c r="F996" s="115"/>
      <c r="G996" s="60" t="s">
        <v>129</v>
      </c>
      <c r="H996" s="124"/>
      <c r="I996" s="124"/>
      <c r="J996" s="60"/>
      <c r="K996" s="60"/>
      <c r="L996" s="160"/>
      <c r="M996" s="60"/>
      <c r="N996" s="60"/>
      <c r="O996" s="60">
        <f t="shared" si="215"/>
        <v>0</v>
      </c>
      <c r="P996" s="60">
        <f t="shared" si="216"/>
        <v>0</v>
      </c>
    </row>
    <row r="997" spans="1:16" s="38" customFormat="1" ht="10.7" customHeight="1" outlineLevel="1" x14ac:dyDescent="0.25">
      <c r="A997" s="124"/>
      <c r="B997" s="142"/>
      <c r="C997" s="115"/>
      <c r="D997" s="115"/>
      <c r="E997" s="115"/>
      <c r="F997" s="115"/>
      <c r="G997" s="60" t="s">
        <v>130</v>
      </c>
      <c r="H997" s="124"/>
      <c r="I997" s="124"/>
      <c r="J997" s="60"/>
      <c r="K997" s="60"/>
      <c r="L997" s="160"/>
      <c r="M997" s="60"/>
      <c r="N997" s="60"/>
      <c r="O997" s="60">
        <f t="shared" si="215"/>
        <v>0</v>
      </c>
      <c r="P997" s="60">
        <f t="shared" si="216"/>
        <v>0</v>
      </c>
    </row>
    <row r="998" spans="1:16" s="38" customFormat="1" ht="12" customHeight="1" outlineLevel="1" thickBot="1" x14ac:dyDescent="0.3">
      <c r="A998" s="125"/>
      <c r="B998" s="143"/>
      <c r="C998" s="131"/>
      <c r="D998" s="131"/>
      <c r="E998" s="131"/>
      <c r="F998" s="131"/>
      <c r="G998" s="60" t="s">
        <v>131</v>
      </c>
      <c r="H998" s="134"/>
      <c r="I998" s="134"/>
      <c r="J998" s="60"/>
      <c r="K998" s="60"/>
      <c r="L998" s="160"/>
      <c r="M998" s="60"/>
      <c r="N998" s="60"/>
      <c r="O998" s="60">
        <f t="shared" si="215"/>
        <v>0</v>
      </c>
      <c r="P998" s="60">
        <f t="shared" si="216"/>
        <v>0</v>
      </c>
    </row>
    <row r="999" spans="1:16" s="38" customFormat="1" ht="14.45" customHeight="1" outlineLevel="1" x14ac:dyDescent="0.25">
      <c r="A999" s="140" t="s">
        <v>806</v>
      </c>
      <c r="B999" s="141" t="s">
        <v>807</v>
      </c>
      <c r="C999" s="130">
        <f>SUM(O999:O1005)</f>
        <v>0</v>
      </c>
      <c r="D999" s="130">
        <f>SUM(P999:P1005)</f>
        <v>0</v>
      </c>
      <c r="E999" s="130">
        <f t="shared" si="204"/>
        <v>0</v>
      </c>
      <c r="F999" s="130"/>
      <c r="G999" s="60" t="s">
        <v>125</v>
      </c>
      <c r="H999" s="123"/>
      <c r="I999" s="123"/>
      <c r="J999" s="60"/>
      <c r="K999" s="60"/>
      <c r="L999" s="160"/>
      <c r="M999" s="60"/>
      <c r="N999" s="60"/>
      <c r="O999" s="60">
        <f>N999*J999*K999*M999</f>
        <v>0</v>
      </c>
      <c r="P999" s="60">
        <f>J999*K999*M999</f>
        <v>0</v>
      </c>
    </row>
    <row r="1000" spans="1:16" s="38" customFormat="1" ht="11.45" customHeight="1" outlineLevel="1" x14ac:dyDescent="0.25">
      <c r="A1000" s="124"/>
      <c r="B1000" s="142"/>
      <c r="C1000" s="115"/>
      <c r="D1000" s="115"/>
      <c r="E1000" s="115"/>
      <c r="F1000" s="115"/>
      <c r="G1000" s="60" t="s">
        <v>126</v>
      </c>
      <c r="H1000" s="124"/>
      <c r="I1000" s="124"/>
      <c r="J1000" s="60"/>
      <c r="K1000" s="60"/>
      <c r="L1000" s="160"/>
      <c r="M1000" s="60"/>
      <c r="N1000" s="60"/>
      <c r="O1000" s="60">
        <f t="shared" ref="O1000:O1005" si="217">N1000*J1000*K1000*M1000</f>
        <v>0</v>
      </c>
      <c r="P1000" s="60">
        <f t="shared" ref="P1000:P1005" si="218">J1000*K1000*M1000</f>
        <v>0</v>
      </c>
    </row>
    <row r="1001" spans="1:16" s="38" customFormat="1" ht="10.7" customHeight="1" outlineLevel="1" x14ac:dyDescent="0.25">
      <c r="A1001" s="124"/>
      <c r="B1001" s="142"/>
      <c r="C1001" s="115"/>
      <c r="D1001" s="115"/>
      <c r="E1001" s="115"/>
      <c r="F1001" s="115"/>
      <c r="G1001" s="60" t="s">
        <v>127</v>
      </c>
      <c r="H1001" s="124"/>
      <c r="I1001" s="124"/>
      <c r="J1001" s="60"/>
      <c r="K1001" s="60"/>
      <c r="L1001" s="160"/>
      <c r="M1001" s="60"/>
      <c r="N1001" s="60"/>
      <c r="O1001" s="60">
        <f t="shared" si="217"/>
        <v>0</v>
      </c>
      <c r="P1001" s="60">
        <f t="shared" si="218"/>
        <v>0</v>
      </c>
    </row>
    <row r="1002" spans="1:16" s="38" customFormat="1" ht="10.7" customHeight="1" outlineLevel="1" x14ac:dyDescent="0.25">
      <c r="A1002" s="124"/>
      <c r="B1002" s="142"/>
      <c r="C1002" s="115"/>
      <c r="D1002" s="115"/>
      <c r="E1002" s="115"/>
      <c r="F1002" s="115"/>
      <c r="G1002" s="60" t="s">
        <v>128</v>
      </c>
      <c r="H1002" s="124"/>
      <c r="I1002" s="124"/>
      <c r="J1002" s="60"/>
      <c r="K1002" s="60"/>
      <c r="L1002" s="160"/>
      <c r="M1002" s="60"/>
      <c r="N1002" s="60"/>
      <c r="O1002" s="60">
        <f t="shared" si="217"/>
        <v>0</v>
      </c>
      <c r="P1002" s="60">
        <f t="shared" si="218"/>
        <v>0</v>
      </c>
    </row>
    <row r="1003" spans="1:16" s="38" customFormat="1" ht="10.7" customHeight="1" outlineLevel="1" x14ac:dyDescent="0.25">
      <c r="A1003" s="124"/>
      <c r="B1003" s="142"/>
      <c r="C1003" s="115"/>
      <c r="D1003" s="115"/>
      <c r="E1003" s="115"/>
      <c r="F1003" s="115"/>
      <c r="G1003" s="60" t="s">
        <v>129</v>
      </c>
      <c r="H1003" s="124"/>
      <c r="I1003" s="124"/>
      <c r="J1003" s="60"/>
      <c r="K1003" s="60"/>
      <c r="L1003" s="160"/>
      <c r="M1003" s="60"/>
      <c r="N1003" s="60"/>
      <c r="O1003" s="60">
        <f t="shared" si="217"/>
        <v>0</v>
      </c>
      <c r="P1003" s="60">
        <f t="shared" si="218"/>
        <v>0</v>
      </c>
    </row>
    <row r="1004" spans="1:16" s="38" customFormat="1" ht="10.7" customHeight="1" outlineLevel="1" x14ac:dyDescent="0.25">
      <c r="A1004" s="124"/>
      <c r="B1004" s="142"/>
      <c r="C1004" s="115"/>
      <c r="D1004" s="115"/>
      <c r="E1004" s="115"/>
      <c r="F1004" s="115"/>
      <c r="G1004" s="60" t="s">
        <v>130</v>
      </c>
      <c r="H1004" s="124"/>
      <c r="I1004" s="124"/>
      <c r="J1004" s="60"/>
      <c r="K1004" s="60"/>
      <c r="L1004" s="160"/>
      <c r="M1004" s="60"/>
      <c r="N1004" s="60"/>
      <c r="O1004" s="60">
        <f t="shared" si="217"/>
        <v>0</v>
      </c>
      <c r="P1004" s="60">
        <f t="shared" si="218"/>
        <v>0</v>
      </c>
    </row>
    <row r="1005" spans="1:16" s="38" customFormat="1" ht="12" customHeight="1" outlineLevel="1" thickBot="1" x14ac:dyDescent="0.3">
      <c r="A1005" s="125"/>
      <c r="B1005" s="143"/>
      <c r="C1005" s="131"/>
      <c r="D1005" s="131"/>
      <c r="E1005" s="131"/>
      <c r="F1005" s="131"/>
      <c r="G1005" s="60" t="s">
        <v>131</v>
      </c>
      <c r="H1005" s="134"/>
      <c r="I1005" s="134"/>
      <c r="J1005" s="60"/>
      <c r="K1005" s="60"/>
      <c r="L1005" s="160"/>
      <c r="M1005" s="60"/>
      <c r="N1005" s="60"/>
      <c r="O1005" s="60">
        <f t="shared" si="217"/>
        <v>0</v>
      </c>
      <c r="P1005" s="60">
        <f t="shared" si="218"/>
        <v>0</v>
      </c>
    </row>
    <row r="1006" spans="1:16" s="38" customFormat="1" ht="14.45" customHeight="1" outlineLevel="1" x14ac:dyDescent="0.25">
      <c r="A1006" s="140" t="s">
        <v>808</v>
      </c>
      <c r="B1006" s="141" t="s">
        <v>809</v>
      </c>
      <c r="C1006" s="130">
        <f>SUM(O1006:O1012)</f>
        <v>0</v>
      </c>
      <c r="D1006" s="130">
        <f>SUM(P1006:P1012)</f>
        <v>0</v>
      </c>
      <c r="E1006" s="130">
        <f t="shared" si="204"/>
        <v>0</v>
      </c>
      <c r="F1006" s="130"/>
      <c r="G1006" s="60" t="s">
        <v>125</v>
      </c>
      <c r="H1006" s="123"/>
      <c r="I1006" s="123"/>
      <c r="J1006" s="60"/>
      <c r="K1006" s="60"/>
      <c r="L1006" s="160"/>
      <c r="M1006" s="60"/>
      <c r="N1006" s="60"/>
      <c r="O1006" s="60">
        <f>N1006*J1006*K1006*M1006</f>
        <v>0</v>
      </c>
      <c r="P1006" s="60">
        <f>J1006*K1006*M1006</f>
        <v>0</v>
      </c>
    </row>
    <row r="1007" spans="1:16" s="38" customFormat="1" ht="11.45" customHeight="1" outlineLevel="1" x14ac:dyDescent="0.25">
      <c r="A1007" s="124"/>
      <c r="B1007" s="142"/>
      <c r="C1007" s="115"/>
      <c r="D1007" s="115"/>
      <c r="E1007" s="115"/>
      <c r="F1007" s="115"/>
      <c r="G1007" s="60" t="s">
        <v>126</v>
      </c>
      <c r="H1007" s="124"/>
      <c r="I1007" s="124"/>
      <c r="J1007" s="60"/>
      <c r="K1007" s="60"/>
      <c r="L1007" s="160"/>
      <c r="M1007" s="60"/>
      <c r="N1007" s="60"/>
      <c r="O1007" s="60">
        <f t="shared" ref="O1007:O1012" si="219">N1007*J1007*K1007*M1007</f>
        <v>0</v>
      </c>
      <c r="P1007" s="60">
        <f t="shared" ref="P1007:P1012" si="220">J1007*K1007*M1007</f>
        <v>0</v>
      </c>
    </row>
    <row r="1008" spans="1:16" s="38" customFormat="1" ht="10.7" customHeight="1" outlineLevel="1" x14ac:dyDescent="0.25">
      <c r="A1008" s="124"/>
      <c r="B1008" s="142"/>
      <c r="C1008" s="115"/>
      <c r="D1008" s="115"/>
      <c r="E1008" s="115"/>
      <c r="F1008" s="115"/>
      <c r="G1008" s="60" t="s">
        <v>127</v>
      </c>
      <c r="H1008" s="124"/>
      <c r="I1008" s="124"/>
      <c r="J1008" s="60"/>
      <c r="K1008" s="60"/>
      <c r="L1008" s="160"/>
      <c r="M1008" s="60"/>
      <c r="N1008" s="60"/>
      <c r="O1008" s="60">
        <f t="shared" si="219"/>
        <v>0</v>
      </c>
      <c r="P1008" s="60">
        <f t="shared" si="220"/>
        <v>0</v>
      </c>
    </row>
    <row r="1009" spans="1:16" s="38" customFormat="1" ht="10.7" customHeight="1" outlineLevel="1" x14ac:dyDescent="0.25">
      <c r="A1009" s="124"/>
      <c r="B1009" s="142"/>
      <c r="C1009" s="115"/>
      <c r="D1009" s="115"/>
      <c r="E1009" s="115"/>
      <c r="F1009" s="115"/>
      <c r="G1009" s="60" t="s">
        <v>128</v>
      </c>
      <c r="H1009" s="124"/>
      <c r="I1009" s="124"/>
      <c r="J1009" s="60"/>
      <c r="K1009" s="60"/>
      <c r="L1009" s="160"/>
      <c r="M1009" s="60"/>
      <c r="N1009" s="60"/>
      <c r="O1009" s="60">
        <f t="shared" si="219"/>
        <v>0</v>
      </c>
      <c r="P1009" s="60">
        <f t="shared" si="220"/>
        <v>0</v>
      </c>
    </row>
    <row r="1010" spans="1:16" s="38" customFormat="1" ht="10.7" customHeight="1" outlineLevel="1" x14ac:dyDescent="0.25">
      <c r="A1010" s="124"/>
      <c r="B1010" s="142"/>
      <c r="C1010" s="115"/>
      <c r="D1010" s="115"/>
      <c r="E1010" s="115"/>
      <c r="F1010" s="115"/>
      <c r="G1010" s="60" t="s">
        <v>129</v>
      </c>
      <c r="H1010" s="124"/>
      <c r="I1010" s="124"/>
      <c r="J1010" s="60"/>
      <c r="K1010" s="60"/>
      <c r="L1010" s="160"/>
      <c r="M1010" s="60"/>
      <c r="N1010" s="60"/>
      <c r="O1010" s="60">
        <f t="shared" si="219"/>
        <v>0</v>
      </c>
      <c r="P1010" s="60">
        <f t="shared" si="220"/>
        <v>0</v>
      </c>
    </row>
    <row r="1011" spans="1:16" s="38" customFormat="1" ht="10.7" customHeight="1" outlineLevel="1" x14ac:dyDescent="0.25">
      <c r="A1011" s="124"/>
      <c r="B1011" s="142"/>
      <c r="C1011" s="115"/>
      <c r="D1011" s="115"/>
      <c r="E1011" s="115"/>
      <c r="F1011" s="115"/>
      <c r="G1011" s="60" t="s">
        <v>130</v>
      </c>
      <c r="H1011" s="124"/>
      <c r="I1011" s="124"/>
      <c r="J1011" s="60"/>
      <c r="K1011" s="60"/>
      <c r="L1011" s="160"/>
      <c r="M1011" s="60"/>
      <c r="N1011" s="60"/>
      <c r="O1011" s="60">
        <f t="shared" si="219"/>
        <v>0</v>
      </c>
      <c r="P1011" s="60">
        <f t="shared" si="220"/>
        <v>0</v>
      </c>
    </row>
    <row r="1012" spans="1:16" s="38" customFormat="1" ht="12" customHeight="1" outlineLevel="1" thickBot="1" x14ac:dyDescent="0.3">
      <c r="A1012" s="125"/>
      <c r="B1012" s="143"/>
      <c r="C1012" s="131"/>
      <c r="D1012" s="131"/>
      <c r="E1012" s="131"/>
      <c r="F1012" s="131"/>
      <c r="G1012" s="60" t="s">
        <v>131</v>
      </c>
      <c r="H1012" s="134"/>
      <c r="I1012" s="134"/>
      <c r="J1012" s="60"/>
      <c r="K1012" s="60"/>
      <c r="L1012" s="160"/>
      <c r="M1012" s="60"/>
      <c r="N1012" s="60"/>
      <c r="O1012" s="60">
        <f t="shared" si="219"/>
        <v>0</v>
      </c>
      <c r="P1012" s="60">
        <f t="shared" si="220"/>
        <v>0</v>
      </c>
    </row>
    <row r="1013" spans="1:16" s="38" customFormat="1" ht="14.45" customHeight="1" outlineLevel="1" x14ac:dyDescent="0.25">
      <c r="A1013" s="140" t="s">
        <v>810</v>
      </c>
      <c r="B1013" s="141" t="s">
        <v>811</v>
      </c>
      <c r="C1013" s="130">
        <f>SUM(O1013:O1019)</f>
        <v>0</v>
      </c>
      <c r="D1013" s="130">
        <f>SUM(P1013:P1019)</f>
        <v>0</v>
      </c>
      <c r="E1013" s="130">
        <f t="shared" si="204"/>
        <v>0</v>
      </c>
      <c r="F1013" s="130"/>
      <c r="G1013" s="60" t="s">
        <v>125</v>
      </c>
      <c r="H1013" s="123"/>
      <c r="I1013" s="123"/>
      <c r="J1013" s="60"/>
      <c r="K1013" s="60"/>
      <c r="L1013" s="160"/>
      <c r="M1013" s="60"/>
      <c r="N1013" s="60"/>
      <c r="O1013" s="60">
        <f>N1013*J1013*K1013*M1013</f>
        <v>0</v>
      </c>
      <c r="P1013" s="60">
        <f>J1013*K1013*M1013</f>
        <v>0</v>
      </c>
    </row>
    <row r="1014" spans="1:16" s="38" customFormat="1" ht="11.45" customHeight="1" outlineLevel="1" x14ac:dyDescent="0.25">
      <c r="A1014" s="124"/>
      <c r="B1014" s="142"/>
      <c r="C1014" s="115"/>
      <c r="D1014" s="115"/>
      <c r="E1014" s="115"/>
      <c r="F1014" s="115"/>
      <c r="G1014" s="60" t="s">
        <v>126</v>
      </c>
      <c r="H1014" s="124"/>
      <c r="I1014" s="124"/>
      <c r="J1014" s="60"/>
      <c r="K1014" s="60"/>
      <c r="L1014" s="160"/>
      <c r="M1014" s="60"/>
      <c r="N1014" s="60"/>
      <c r="O1014" s="60">
        <f t="shared" ref="O1014:O1019" si="221">N1014*J1014*K1014*M1014</f>
        <v>0</v>
      </c>
      <c r="P1014" s="60">
        <f t="shared" ref="P1014:P1019" si="222">J1014*K1014*M1014</f>
        <v>0</v>
      </c>
    </row>
    <row r="1015" spans="1:16" s="38" customFormat="1" ht="10.7" customHeight="1" outlineLevel="1" x14ac:dyDescent="0.25">
      <c r="A1015" s="124"/>
      <c r="B1015" s="142"/>
      <c r="C1015" s="115"/>
      <c r="D1015" s="115"/>
      <c r="E1015" s="115"/>
      <c r="F1015" s="115"/>
      <c r="G1015" s="60" t="s">
        <v>127</v>
      </c>
      <c r="H1015" s="124"/>
      <c r="I1015" s="124"/>
      <c r="J1015" s="60"/>
      <c r="K1015" s="60"/>
      <c r="L1015" s="160"/>
      <c r="M1015" s="60"/>
      <c r="N1015" s="60"/>
      <c r="O1015" s="60">
        <f t="shared" si="221"/>
        <v>0</v>
      </c>
      <c r="P1015" s="60">
        <f t="shared" si="222"/>
        <v>0</v>
      </c>
    </row>
    <row r="1016" spans="1:16" s="38" customFormat="1" ht="10.7" customHeight="1" outlineLevel="1" x14ac:dyDescent="0.25">
      <c r="A1016" s="124"/>
      <c r="B1016" s="142"/>
      <c r="C1016" s="115"/>
      <c r="D1016" s="115"/>
      <c r="E1016" s="115"/>
      <c r="F1016" s="115"/>
      <c r="G1016" s="60" t="s">
        <v>128</v>
      </c>
      <c r="H1016" s="124"/>
      <c r="I1016" s="124"/>
      <c r="J1016" s="60"/>
      <c r="K1016" s="60"/>
      <c r="L1016" s="160"/>
      <c r="M1016" s="60"/>
      <c r="N1016" s="60"/>
      <c r="O1016" s="60">
        <f t="shared" si="221"/>
        <v>0</v>
      </c>
      <c r="P1016" s="60">
        <f t="shared" si="222"/>
        <v>0</v>
      </c>
    </row>
    <row r="1017" spans="1:16" s="38" customFormat="1" ht="10.7" customHeight="1" outlineLevel="1" x14ac:dyDescent="0.25">
      <c r="A1017" s="124"/>
      <c r="B1017" s="142"/>
      <c r="C1017" s="115"/>
      <c r="D1017" s="115"/>
      <c r="E1017" s="115"/>
      <c r="F1017" s="115"/>
      <c r="G1017" s="60" t="s">
        <v>129</v>
      </c>
      <c r="H1017" s="124"/>
      <c r="I1017" s="124"/>
      <c r="J1017" s="60"/>
      <c r="K1017" s="60"/>
      <c r="L1017" s="160"/>
      <c r="M1017" s="60"/>
      <c r="N1017" s="60"/>
      <c r="O1017" s="60">
        <f t="shared" si="221"/>
        <v>0</v>
      </c>
      <c r="P1017" s="60">
        <f t="shared" si="222"/>
        <v>0</v>
      </c>
    </row>
    <row r="1018" spans="1:16" s="38" customFormat="1" ht="10.7" customHeight="1" outlineLevel="1" x14ac:dyDescent="0.25">
      <c r="A1018" s="124"/>
      <c r="B1018" s="142"/>
      <c r="C1018" s="115"/>
      <c r="D1018" s="115"/>
      <c r="E1018" s="115"/>
      <c r="F1018" s="115"/>
      <c r="G1018" s="60" t="s">
        <v>130</v>
      </c>
      <c r="H1018" s="124"/>
      <c r="I1018" s="124"/>
      <c r="J1018" s="60"/>
      <c r="K1018" s="60"/>
      <c r="L1018" s="160"/>
      <c r="M1018" s="60"/>
      <c r="N1018" s="60"/>
      <c r="O1018" s="60">
        <f t="shared" si="221"/>
        <v>0</v>
      </c>
      <c r="P1018" s="60">
        <f t="shared" si="222"/>
        <v>0</v>
      </c>
    </row>
    <row r="1019" spans="1:16" s="38" customFormat="1" ht="12" customHeight="1" outlineLevel="1" thickBot="1" x14ac:dyDescent="0.3">
      <c r="A1019" s="125"/>
      <c r="B1019" s="143"/>
      <c r="C1019" s="131"/>
      <c r="D1019" s="131"/>
      <c r="E1019" s="131"/>
      <c r="F1019" s="131"/>
      <c r="G1019" s="60" t="s">
        <v>131</v>
      </c>
      <c r="H1019" s="134"/>
      <c r="I1019" s="134"/>
      <c r="J1019" s="60"/>
      <c r="K1019" s="60"/>
      <c r="L1019" s="160"/>
      <c r="M1019" s="60"/>
      <c r="N1019" s="60"/>
      <c r="O1019" s="60">
        <f t="shared" si="221"/>
        <v>0</v>
      </c>
      <c r="P1019" s="60">
        <f t="shared" si="222"/>
        <v>0</v>
      </c>
    </row>
    <row r="1020" spans="1:16" s="38" customFormat="1" ht="14.45" customHeight="1" outlineLevel="1" x14ac:dyDescent="0.25">
      <c r="A1020" s="140" t="s">
        <v>812</v>
      </c>
      <c r="B1020" s="141" t="s">
        <v>813</v>
      </c>
      <c r="C1020" s="130">
        <f>SUM(O1020:O1026)</f>
        <v>0</v>
      </c>
      <c r="D1020" s="130">
        <f>SUM(P1020:P1026)</f>
        <v>0</v>
      </c>
      <c r="E1020" s="130">
        <f t="shared" si="204"/>
        <v>0</v>
      </c>
      <c r="F1020" s="130"/>
      <c r="G1020" s="60" t="s">
        <v>125</v>
      </c>
      <c r="H1020" s="123"/>
      <c r="I1020" s="123"/>
      <c r="J1020" s="60"/>
      <c r="K1020" s="60"/>
      <c r="L1020" s="160"/>
      <c r="M1020" s="60"/>
      <c r="N1020" s="60"/>
      <c r="O1020" s="60">
        <f>N1020*J1020*K1020*M1020</f>
        <v>0</v>
      </c>
      <c r="P1020" s="60">
        <f>J1020*K1020*M1020</f>
        <v>0</v>
      </c>
    </row>
    <row r="1021" spans="1:16" s="38" customFormat="1" ht="11.45" customHeight="1" outlineLevel="1" x14ac:dyDescent="0.25">
      <c r="A1021" s="124"/>
      <c r="B1021" s="142"/>
      <c r="C1021" s="115"/>
      <c r="D1021" s="115"/>
      <c r="E1021" s="115"/>
      <c r="F1021" s="115"/>
      <c r="G1021" s="60" t="s">
        <v>126</v>
      </c>
      <c r="H1021" s="124"/>
      <c r="I1021" s="124"/>
      <c r="J1021" s="60"/>
      <c r="K1021" s="60"/>
      <c r="L1021" s="160"/>
      <c r="M1021" s="60"/>
      <c r="N1021" s="60"/>
      <c r="O1021" s="60">
        <f t="shared" ref="O1021:O1026" si="223">N1021*J1021*K1021*M1021</f>
        <v>0</v>
      </c>
      <c r="P1021" s="60">
        <f t="shared" ref="P1021:P1026" si="224">J1021*K1021*M1021</f>
        <v>0</v>
      </c>
    </row>
    <row r="1022" spans="1:16" s="38" customFormat="1" ht="10.7" customHeight="1" outlineLevel="1" x14ac:dyDescent="0.25">
      <c r="A1022" s="124"/>
      <c r="B1022" s="142"/>
      <c r="C1022" s="115"/>
      <c r="D1022" s="115"/>
      <c r="E1022" s="115"/>
      <c r="F1022" s="115"/>
      <c r="G1022" s="60" t="s">
        <v>127</v>
      </c>
      <c r="H1022" s="124"/>
      <c r="I1022" s="124"/>
      <c r="J1022" s="60"/>
      <c r="K1022" s="60"/>
      <c r="L1022" s="160"/>
      <c r="M1022" s="60"/>
      <c r="N1022" s="60"/>
      <c r="O1022" s="60">
        <f t="shared" si="223"/>
        <v>0</v>
      </c>
      <c r="P1022" s="60">
        <f t="shared" si="224"/>
        <v>0</v>
      </c>
    </row>
    <row r="1023" spans="1:16" s="38" customFormat="1" ht="10.7" customHeight="1" outlineLevel="1" x14ac:dyDescent="0.25">
      <c r="A1023" s="124"/>
      <c r="B1023" s="142"/>
      <c r="C1023" s="115"/>
      <c r="D1023" s="115"/>
      <c r="E1023" s="115"/>
      <c r="F1023" s="115"/>
      <c r="G1023" s="60" t="s">
        <v>128</v>
      </c>
      <c r="H1023" s="124"/>
      <c r="I1023" s="124"/>
      <c r="J1023" s="60"/>
      <c r="K1023" s="60"/>
      <c r="L1023" s="160"/>
      <c r="M1023" s="60"/>
      <c r="N1023" s="60"/>
      <c r="O1023" s="60">
        <f t="shared" si="223"/>
        <v>0</v>
      </c>
      <c r="P1023" s="60">
        <f t="shared" si="224"/>
        <v>0</v>
      </c>
    </row>
    <row r="1024" spans="1:16" s="38" customFormat="1" ht="10.7" customHeight="1" outlineLevel="1" x14ac:dyDescent="0.25">
      <c r="A1024" s="124"/>
      <c r="B1024" s="142"/>
      <c r="C1024" s="115"/>
      <c r="D1024" s="115"/>
      <c r="E1024" s="115"/>
      <c r="F1024" s="115"/>
      <c r="G1024" s="60" t="s">
        <v>129</v>
      </c>
      <c r="H1024" s="124"/>
      <c r="I1024" s="124"/>
      <c r="J1024" s="60"/>
      <c r="K1024" s="60"/>
      <c r="L1024" s="160"/>
      <c r="M1024" s="60"/>
      <c r="N1024" s="60"/>
      <c r="O1024" s="60">
        <f t="shared" si="223"/>
        <v>0</v>
      </c>
      <c r="P1024" s="60">
        <f t="shared" si="224"/>
        <v>0</v>
      </c>
    </row>
    <row r="1025" spans="1:16" s="38" customFormat="1" ht="10.7" customHeight="1" outlineLevel="1" x14ac:dyDescent="0.25">
      <c r="A1025" s="124"/>
      <c r="B1025" s="142"/>
      <c r="C1025" s="115"/>
      <c r="D1025" s="115"/>
      <c r="E1025" s="115"/>
      <c r="F1025" s="115"/>
      <c r="G1025" s="60" t="s">
        <v>130</v>
      </c>
      <c r="H1025" s="124"/>
      <c r="I1025" s="124"/>
      <c r="J1025" s="60"/>
      <c r="K1025" s="60"/>
      <c r="L1025" s="160"/>
      <c r="M1025" s="60"/>
      <c r="N1025" s="60"/>
      <c r="O1025" s="60">
        <f t="shared" si="223"/>
        <v>0</v>
      </c>
      <c r="P1025" s="60">
        <f t="shared" si="224"/>
        <v>0</v>
      </c>
    </row>
    <row r="1026" spans="1:16" s="38" customFormat="1" ht="12" customHeight="1" outlineLevel="1" thickBot="1" x14ac:dyDescent="0.3">
      <c r="A1026" s="125"/>
      <c r="B1026" s="143"/>
      <c r="C1026" s="131"/>
      <c r="D1026" s="131"/>
      <c r="E1026" s="131"/>
      <c r="F1026" s="131"/>
      <c r="G1026" s="60" t="s">
        <v>131</v>
      </c>
      <c r="H1026" s="134"/>
      <c r="I1026" s="134"/>
      <c r="J1026" s="60"/>
      <c r="K1026" s="60"/>
      <c r="L1026" s="160"/>
      <c r="M1026" s="60"/>
      <c r="N1026" s="60"/>
      <c r="O1026" s="60">
        <f t="shared" si="223"/>
        <v>0</v>
      </c>
      <c r="P1026" s="60">
        <f t="shared" si="224"/>
        <v>0</v>
      </c>
    </row>
    <row r="1027" spans="1:16" s="38" customFormat="1" ht="14.45" customHeight="1" outlineLevel="1" x14ac:dyDescent="0.25">
      <c r="A1027" s="140" t="s">
        <v>814</v>
      </c>
      <c r="B1027" s="141" t="s">
        <v>815</v>
      </c>
      <c r="C1027" s="130">
        <f>SUM(O1027:O1033)</f>
        <v>0</v>
      </c>
      <c r="D1027" s="130">
        <f>SUM(P1027:P1033)</f>
        <v>0</v>
      </c>
      <c r="E1027" s="130">
        <f t="shared" ref="E1027:E1090" si="225">D1027/8</f>
        <v>0</v>
      </c>
      <c r="F1027" s="130"/>
      <c r="G1027" s="60" t="s">
        <v>125</v>
      </c>
      <c r="H1027" s="123"/>
      <c r="I1027" s="123"/>
      <c r="J1027" s="60"/>
      <c r="K1027" s="60"/>
      <c r="L1027" s="160"/>
      <c r="M1027" s="60"/>
      <c r="N1027" s="60"/>
      <c r="O1027" s="60">
        <f>N1027*J1027*K1027*M1027</f>
        <v>0</v>
      </c>
      <c r="P1027" s="60">
        <f>J1027*K1027*M1027</f>
        <v>0</v>
      </c>
    </row>
    <row r="1028" spans="1:16" s="38" customFormat="1" ht="11.45" customHeight="1" outlineLevel="1" x14ac:dyDescent="0.25">
      <c r="A1028" s="124"/>
      <c r="B1028" s="142"/>
      <c r="C1028" s="115"/>
      <c r="D1028" s="115"/>
      <c r="E1028" s="115"/>
      <c r="F1028" s="115"/>
      <c r="G1028" s="60" t="s">
        <v>126</v>
      </c>
      <c r="H1028" s="124"/>
      <c r="I1028" s="124"/>
      <c r="J1028" s="60"/>
      <c r="K1028" s="60"/>
      <c r="L1028" s="160"/>
      <c r="M1028" s="60"/>
      <c r="N1028" s="60"/>
      <c r="O1028" s="60">
        <f t="shared" ref="O1028:O1033" si="226">N1028*J1028*K1028*M1028</f>
        <v>0</v>
      </c>
      <c r="P1028" s="60">
        <f t="shared" ref="P1028:P1033" si="227">J1028*K1028*M1028</f>
        <v>0</v>
      </c>
    </row>
    <row r="1029" spans="1:16" s="38" customFormat="1" ht="10.7" customHeight="1" outlineLevel="1" x14ac:dyDescent="0.25">
      <c r="A1029" s="124"/>
      <c r="B1029" s="142"/>
      <c r="C1029" s="115"/>
      <c r="D1029" s="115"/>
      <c r="E1029" s="115"/>
      <c r="F1029" s="115"/>
      <c r="G1029" s="60" t="s">
        <v>127</v>
      </c>
      <c r="H1029" s="124"/>
      <c r="I1029" s="124"/>
      <c r="J1029" s="60"/>
      <c r="K1029" s="60"/>
      <c r="L1029" s="160"/>
      <c r="M1029" s="60"/>
      <c r="N1029" s="60"/>
      <c r="O1029" s="60">
        <f t="shared" si="226"/>
        <v>0</v>
      </c>
      <c r="P1029" s="60">
        <f t="shared" si="227"/>
        <v>0</v>
      </c>
    </row>
    <row r="1030" spans="1:16" s="38" customFormat="1" ht="10.7" customHeight="1" outlineLevel="1" x14ac:dyDescent="0.25">
      <c r="A1030" s="124"/>
      <c r="B1030" s="142"/>
      <c r="C1030" s="115"/>
      <c r="D1030" s="115"/>
      <c r="E1030" s="115"/>
      <c r="F1030" s="115"/>
      <c r="G1030" s="60" t="s">
        <v>128</v>
      </c>
      <c r="H1030" s="124"/>
      <c r="I1030" s="124"/>
      <c r="J1030" s="60"/>
      <c r="K1030" s="60"/>
      <c r="L1030" s="160"/>
      <c r="M1030" s="60"/>
      <c r="N1030" s="60"/>
      <c r="O1030" s="60">
        <f t="shared" si="226"/>
        <v>0</v>
      </c>
      <c r="P1030" s="60">
        <f t="shared" si="227"/>
        <v>0</v>
      </c>
    </row>
    <row r="1031" spans="1:16" s="38" customFormat="1" ht="10.7" customHeight="1" outlineLevel="1" x14ac:dyDescent="0.25">
      <c r="A1031" s="124"/>
      <c r="B1031" s="142"/>
      <c r="C1031" s="115"/>
      <c r="D1031" s="115"/>
      <c r="E1031" s="115"/>
      <c r="F1031" s="115"/>
      <c r="G1031" s="60" t="s">
        <v>129</v>
      </c>
      <c r="H1031" s="124"/>
      <c r="I1031" s="124"/>
      <c r="J1031" s="60"/>
      <c r="K1031" s="60"/>
      <c r="L1031" s="160"/>
      <c r="M1031" s="60"/>
      <c r="N1031" s="60"/>
      <c r="O1031" s="60">
        <f t="shared" si="226"/>
        <v>0</v>
      </c>
      <c r="P1031" s="60">
        <f t="shared" si="227"/>
        <v>0</v>
      </c>
    </row>
    <row r="1032" spans="1:16" s="38" customFormat="1" ht="10.7" customHeight="1" outlineLevel="1" x14ac:dyDescent="0.25">
      <c r="A1032" s="124"/>
      <c r="B1032" s="142"/>
      <c r="C1032" s="115"/>
      <c r="D1032" s="115"/>
      <c r="E1032" s="115"/>
      <c r="F1032" s="115"/>
      <c r="G1032" s="60" t="s">
        <v>130</v>
      </c>
      <c r="H1032" s="124"/>
      <c r="I1032" s="124"/>
      <c r="J1032" s="60"/>
      <c r="K1032" s="60"/>
      <c r="L1032" s="160"/>
      <c r="M1032" s="60"/>
      <c r="N1032" s="60"/>
      <c r="O1032" s="60">
        <f t="shared" si="226"/>
        <v>0</v>
      </c>
      <c r="P1032" s="60">
        <f t="shared" si="227"/>
        <v>0</v>
      </c>
    </row>
    <row r="1033" spans="1:16" s="38" customFormat="1" ht="12" customHeight="1" outlineLevel="1" thickBot="1" x14ac:dyDescent="0.3">
      <c r="A1033" s="125"/>
      <c r="B1033" s="143"/>
      <c r="C1033" s="131"/>
      <c r="D1033" s="131"/>
      <c r="E1033" s="131"/>
      <c r="F1033" s="131"/>
      <c r="G1033" s="60" t="s">
        <v>131</v>
      </c>
      <c r="H1033" s="134"/>
      <c r="I1033" s="134"/>
      <c r="J1033" s="60"/>
      <c r="K1033" s="60"/>
      <c r="L1033" s="160"/>
      <c r="M1033" s="60"/>
      <c r="N1033" s="60"/>
      <c r="O1033" s="60">
        <f t="shared" si="226"/>
        <v>0</v>
      </c>
      <c r="P1033" s="60">
        <f t="shared" si="227"/>
        <v>0</v>
      </c>
    </row>
    <row r="1034" spans="1:16" s="38" customFormat="1" ht="14.45" customHeight="1" outlineLevel="1" x14ac:dyDescent="0.25">
      <c r="A1034" s="140" t="s">
        <v>816</v>
      </c>
      <c r="B1034" s="141" t="s">
        <v>817</v>
      </c>
      <c r="C1034" s="130">
        <f>SUM(O1034:O1040)</f>
        <v>0</v>
      </c>
      <c r="D1034" s="130">
        <f>SUM(P1034:P1040)</f>
        <v>0</v>
      </c>
      <c r="E1034" s="130">
        <f t="shared" si="225"/>
        <v>0</v>
      </c>
      <c r="F1034" s="130"/>
      <c r="G1034" s="60" t="s">
        <v>125</v>
      </c>
      <c r="H1034" s="123"/>
      <c r="I1034" s="123"/>
      <c r="J1034" s="60"/>
      <c r="K1034" s="60"/>
      <c r="L1034" s="160"/>
      <c r="M1034" s="60"/>
      <c r="N1034" s="60"/>
      <c r="O1034" s="60">
        <f>N1034*J1034*K1034*M1034</f>
        <v>0</v>
      </c>
      <c r="P1034" s="60">
        <f>J1034*K1034*M1034</f>
        <v>0</v>
      </c>
    </row>
    <row r="1035" spans="1:16" s="38" customFormat="1" ht="11.45" customHeight="1" outlineLevel="1" x14ac:dyDescent="0.25">
      <c r="A1035" s="124"/>
      <c r="B1035" s="142"/>
      <c r="C1035" s="115"/>
      <c r="D1035" s="115"/>
      <c r="E1035" s="115"/>
      <c r="F1035" s="115"/>
      <c r="G1035" s="60" t="s">
        <v>126</v>
      </c>
      <c r="H1035" s="124"/>
      <c r="I1035" s="124"/>
      <c r="J1035" s="60"/>
      <c r="K1035" s="60"/>
      <c r="L1035" s="160"/>
      <c r="M1035" s="60"/>
      <c r="N1035" s="60"/>
      <c r="O1035" s="60">
        <f t="shared" ref="O1035:O1040" si="228">N1035*J1035*K1035*M1035</f>
        <v>0</v>
      </c>
      <c r="P1035" s="60">
        <f t="shared" ref="P1035:P1040" si="229">J1035*K1035*M1035</f>
        <v>0</v>
      </c>
    </row>
    <row r="1036" spans="1:16" s="38" customFormat="1" ht="10.7" customHeight="1" outlineLevel="1" x14ac:dyDescent="0.25">
      <c r="A1036" s="124"/>
      <c r="B1036" s="142"/>
      <c r="C1036" s="115"/>
      <c r="D1036" s="115"/>
      <c r="E1036" s="115"/>
      <c r="F1036" s="115"/>
      <c r="G1036" s="60" t="s">
        <v>127</v>
      </c>
      <c r="H1036" s="124"/>
      <c r="I1036" s="124"/>
      <c r="J1036" s="60"/>
      <c r="K1036" s="60"/>
      <c r="L1036" s="160"/>
      <c r="M1036" s="60"/>
      <c r="N1036" s="60"/>
      <c r="O1036" s="60">
        <f t="shared" si="228"/>
        <v>0</v>
      </c>
      <c r="P1036" s="60">
        <f t="shared" si="229"/>
        <v>0</v>
      </c>
    </row>
    <row r="1037" spans="1:16" s="38" customFormat="1" ht="10.7" customHeight="1" outlineLevel="1" x14ac:dyDescent="0.25">
      <c r="A1037" s="124"/>
      <c r="B1037" s="142"/>
      <c r="C1037" s="115"/>
      <c r="D1037" s="115"/>
      <c r="E1037" s="115"/>
      <c r="F1037" s="115"/>
      <c r="G1037" s="60" t="s">
        <v>128</v>
      </c>
      <c r="H1037" s="124"/>
      <c r="I1037" s="124"/>
      <c r="J1037" s="60"/>
      <c r="K1037" s="60"/>
      <c r="L1037" s="160"/>
      <c r="M1037" s="60"/>
      <c r="N1037" s="60"/>
      <c r="O1037" s="60">
        <f t="shared" si="228"/>
        <v>0</v>
      </c>
      <c r="P1037" s="60">
        <f t="shared" si="229"/>
        <v>0</v>
      </c>
    </row>
    <row r="1038" spans="1:16" s="38" customFormat="1" ht="10.7" customHeight="1" outlineLevel="1" x14ac:dyDescent="0.25">
      <c r="A1038" s="124"/>
      <c r="B1038" s="142"/>
      <c r="C1038" s="115"/>
      <c r="D1038" s="115"/>
      <c r="E1038" s="115"/>
      <c r="F1038" s="115"/>
      <c r="G1038" s="60" t="s">
        <v>129</v>
      </c>
      <c r="H1038" s="124"/>
      <c r="I1038" s="124"/>
      <c r="J1038" s="60"/>
      <c r="K1038" s="60"/>
      <c r="L1038" s="160"/>
      <c r="M1038" s="60"/>
      <c r="N1038" s="60"/>
      <c r="O1038" s="60">
        <f t="shared" si="228"/>
        <v>0</v>
      </c>
      <c r="P1038" s="60">
        <f t="shared" si="229"/>
        <v>0</v>
      </c>
    </row>
    <row r="1039" spans="1:16" s="38" customFormat="1" ht="10.7" customHeight="1" outlineLevel="1" x14ac:dyDescent="0.25">
      <c r="A1039" s="124"/>
      <c r="B1039" s="142"/>
      <c r="C1039" s="115"/>
      <c r="D1039" s="115"/>
      <c r="E1039" s="115"/>
      <c r="F1039" s="115"/>
      <c r="G1039" s="60" t="s">
        <v>130</v>
      </c>
      <c r="H1039" s="124"/>
      <c r="I1039" s="124"/>
      <c r="J1039" s="60"/>
      <c r="K1039" s="60"/>
      <c r="L1039" s="160"/>
      <c r="M1039" s="60"/>
      <c r="N1039" s="60"/>
      <c r="O1039" s="60">
        <f t="shared" si="228"/>
        <v>0</v>
      </c>
      <c r="P1039" s="60">
        <f t="shared" si="229"/>
        <v>0</v>
      </c>
    </row>
    <row r="1040" spans="1:16" s="38" customFormat="1" ht="12" customHeight="1" outlineLevel="1" thickBot="1" x14ac:dyDescent="0.3">
      <c r="A1040" s="125"/>
      <c r="B1040" s="143"/>
      <c r="C1040" s="131"/>
      <c r="D1040" s="131"/>
      <c r="E1040" s="131"/>
      <c r="F1040" s="131"/>
      <c r="G1040" s="60" t="s">
        <v>131</v>
      </c>
      <c r="H1040" s="134"/>
      <c r="I1040" s="134"/>
      <c r="J1040" s="60"/>
      <c r="K1040" s="60"/>
      <c r="L1040" s="160"/>
      <c r="M1040" s="60"/>
      <c r="N1040" s="60"/>
      <c r="O1040" s="60">
        <f t="shared" si="228"/>
        <v>0</v>
      </c>
      <c r="P1040" s="60">
        <f t="shared" si="229"/>
        <v>0</v>
      </c>
    </row>
    <row r="1041" spans="1:16" s="38" customFormat="1" ht="14.45" customHeight="1" outlineLevel="1" x14ac:dyDescent="0.25">
      <c r="A1041" s="140" t="s">
        <v>818</v>
      </c>
      <c r="B1041" s="141" t="s">
        <v>819</v>
      </c>
      <c r="C1041" s="130">
        <f>SUM(O1041:O1047)</f>
        <v>0</v>
      </c>
      <c r="D1041" s="130">
        <f>SUM(P1041:P1047)</f>
        <v>0</v>
      </c>
      <c r="E1041" s="130">
        <f t="shared" si="225"/>
        <v>0</v>
      </c>
      <c r="F1041" s="130"/>
      <c r="G1041" s="60" t="s">
        <v>125</v>
      </c>
      <c r="H1041" s="123"/>
      <c r="I1041" s="123"/>
      <c r="J1041" s="60"/>
      <c r="K1041" s="60"/>
      <c r="L1041" s="160"/>
      <c r="M1041" s="60"/>
      <c r="N1041" s="60"/>
      <c r="O1041" s="60">
        <f>N1041*J1041*K1041*M1041</f>
        <v>0</v>
      </c>
      <c r="P1041" s="60">
        <f>J1041*K1041*M1041</f>
        <v>0</v>
      </c>
    </row>
    <row r="1042" spans="1:16" s="38" customFormat="1" ht="11.45" customHeight="1" outlineLevel="1" x14ac:dyDescent="0.25">
      <c r="A1042" s="124"/>
      <c r="B1042" s="142"/>
      <c r="C1042" s="115"/>
      <c r="D1042" s="115"/>
      <c r="E1042" s="115"/>
      <c r="F1042" s="115"/>
      <c r="G1042" s="60" t="s">
        <v>126</v>
      </c>
      <c r="H1042" s="124"/>
      <c r="I1042" s="124"/>
      <c r="J1042" s="60"/>
      <c r="K1042" s="60"/>
      <c r="L1042" s="160"/>
      <c r="M1042" s="60"/>
      <c r="N1042" s="60"/>
      <c r="O1042" s="60">
        <f t="shared" ref="O1042:O1047" si="230">N1042*J1042*K1042*M1042</f>
        <v>0</v>
      </c>
      <c r="P1042" s="60">
        <f t="shared" ref="P1042:P1047" si="231">J1042*K1042*M1042</f>
        <v>0</v>
      </c>
    </row>
    <row r="1043" spans="1:16" s="38" customFormat="1" ht="10.7" customHeight="1" outlineLevel="1" x14ac:dyDescent="0.25">
      <c r="A1043" s="124"/>
      <c r="B1043" s="142"/>
      <c r="C1043" s="115"/>
      <c r="D1043" s="115"/>
      <c r="E1043" s="115"/>
      <c r="F1043" s="115"/>
      <c r="G1043" s="60" t="s">
        <v>127</v>
      </c>
      <c r="H1043" s="124"/>
      <c r="I1043" s="124"/>
      <c r="J1043" s="60"/>
      <c r="K1043" s="60"/>
      <c r="L1043" s="160"/>
      <c r="M1043" s="60"/>
      <c r="N1043" s="60"/>
      <c r="O1043" s="60">
        <f t="shared" si="230"/>
        <v>0</v>
      </c>
      <c r="P1043" s="60">
        <f t="shared" si="231"/>
        <v>0</v>
      </c>
    </row>
    <row r="1044" spans="1:16" s="38" customFormat="1" ht="10.7" customHeight="1" outlineLevel="1" x14ac:dyDescent="0.25">
      <c r="A1044" s="124"/>
      <c r="B1044" s="142"/>
      <c r="C1044" s="115"/>
      <c r="D1044" s="115"/>
      <c r="E1044" s="115"/>
      <c r="F1044" s="115"/>
      <c r="G1044" s="60" t="s">
        <v>128</v>
      </c>
      <c r="H1044" s="124"/>
      <c r="I1044" s="124"/>
      <c r="J1044" s="60"/>
      <c r="K1044" s="60"/>
      <c r="L1044" s="160"/>
      <c r="M1044" s="60"/>
      <c r="N1044" s="60"/>
      <c r="O1044" s="60">
        <f t="shared" si="230"/>
        <v>0</v>
      </c>
      <c r="P1044" s="60">
        <f t="shared" si="231"/>
        <v>0</v>
      </c>
    </row>
    <row r="1045" spans="1:16" s="38" customFormat="1" ht="10.7" customHeight="1" outlineLevel="1" x14ac:dyDescent="0.25">
      <c r="A1045" s="124"/>
      <c r="B1045" s="142"/>
      <c r="C1045" s="115"/>
      <c r="D1045" s="115"/>
      <c r="E1045" s="115"/>
      <c r="F1045" s="115"/>
      <c r="G1045" s="60" t="s">
        <v>129</v>
      </c>
      <c r="H1045" s="124"/>
      <c r="I1045" s="124"/>
      <c r="J1045" s="60"/>
      <c r="K1045" s="60"/>
      <c r="L1045" s="160"/>
      <c r="M1045" s="60"/>
      <c r="N1045" s="60"/>
      <c r="O1045" s="60">
        <f t="shared" si="230"/>
        <v>0</v>
      </c>
      <c r="P1045" s="60">
        <f t="shared" si="231"/>
        <v>0</v>
      </c>
    </row>
    <row r="1046" spans="1:16" s="38" customFormat="1" ht="10.7" customHeight="1" outlineLevel="1" x14ac:dyDescent="0.25">
      <c r="A1046" s="124"/>
      <c r="B1046" s="142"/>
      <c r="C1046" s="115"/>
      <c r="D1046" s="115"/>
      <c r="E1046" s="115"/>
      <c r="F1046" s="115"/>
      <c r="G1046" s="60" t="s">
        <v>130</v>
      </c>
      <c r="H1046" s="124"/>
      <c r="I1046" s="124"/>
      <c r="J1046" s="60"/>
      <c r="K1046" s="60"/>
      <c r="L1046" s="160"/>
      <c r="M1046" s="60"/>
      <c r="N1046" s="60"/>
      <c r="O1046" s="60">
        <f t="shared" si="230"/>
        <v>0</v>
      </c>
      <c r="P1046" s="60">
        <f t="shared" si="231"/>
        <v>0</v>
      </c>
    </row>
    <row r="1047" spans="1:16" s="38" customFormat="1" ht="12" customHeight="1" outlineLevel="1" thickBot="1" x14ac:dyDescent="0.3">
      <c r="A1047" s="125"/>
      <c r="B1047" s="143"/>
      <c r="C1047" s="131"/>
      <c r="D1047" s="131"/>
      <c r="E1047" s="131"/>
      <c r="F1047" s="131"/>
      <c r="G1047" s="60" t="s">
        <v>131</v>
      </c>
      <c r="H1047" s="134"/>
      <c r="I1047" s="134"/>
      <c r="J1047" s="60"/>
      <c r="K1047" s="60"/>
      <c r="L1047" s="160"/>
      <c r="M1047" s="60"/>
      <c r="N1047" s="60"/>
      <c r="O1047" s="60">
        <f t="shared" si="230"/>
        <v>0</v>
      </c>
      <c r="P1047" s="60">
        <f t="shared" si="231"/>
        <v>0</v>
      </c>
    </row>
    <row r="1048" spans="1:16" s="38" customFormat="1" ht="14.45" customHeight="1" outlineLevel="1" x14ac:dyDescent="0.25">
      <c r="A1048" s="140" t="s">
        <v>820</v>
      </c>
      <c r="B1048" s="141" t="s">
        <v>821</v>
      </c>
      <c r="C1048" s="130">
        <f>SUM(O1048:O1054)</f>
        <v>0</v>
      </c>
      <c r="D1048" s="130">
        <f>SUM(P1048:P1054)</f>
        <v>0</v>
      </c>
      <c r="E1048" s="130">
        <f t="shared" si="225"/>
        <v>0</v>
      </c>
      <c r="F1048" s="130"/>
      <c r="G1048" s="60" t="s">
        <v>125</v>
      </c>
      <c r="H1048" s="123"/>
      <c r="I1048" s="123"/>
      <c r="J1048" s="60"/>
      <c r="K1048" s="60"/>
      <c r="L1048" s="160"/>
      <c r="M1048" s="60"/>
      <c r="N1048" s="60"/>
      <c r="O1048" s="60">
        <f>N1048*J1048*K1048*M1048</f>
        <v>0</v>
      </c>
      <c r="P1048" s="60">
        <f>J1048*K1048*M1048</f>
        <v>0</v>
      </c>
    </row>
    <row r="1049" spans="1:16" s="38" customFormat="1" ht="11.45" customHeight="1" outlineLevel="1" x14ac:dyDescent="0.25">
      <c r="A1049" s="124"/>
      <c r="B1049" s="142"/>
      <c r="C1049" s="115"/>
      <c r="D1049" s="115"/>
      <c r="E1049" s="115"/>
      <c r="F1049" s="115"/>
      <c r="G1049" s="60" t="s">
        <v>126</v>
      </c>
      <c r="H1049" s="124"/>
      <c r="I1049" s="124"/>
      <c r="J1049" s="60"/>
      <c r="K1049" s="60"/>
      <c r="L1049" s="160"/>
      <c r="M1049" s="60"/>
      <c r="N1049" s="60"/>
      <c r="O1049" s="60">
        <f t="shared" ref="O1049:O1054" si="232">N1049*J1049*K1049*M1049</f>
        <v>0</v>
      </c>
      <c r="P1049" s="60">
        <f t="shared" ref="P1049:P1054" si="233">J1049*K1049*M1049</f>
        <v>0</v>
      </c>
    </row>
    <row r="1050" spans="1:16" s="38" customFormat="1" ht="10.7" customHeight="1" outlineLevel="1" x14ac:dyDescent="0.25">
      <c r="A1050" s="124"/>
      <c r="B1050" s="142"/>
      <c r="C1050" s="115"/>
      <c r="D1050" s="115"/>
      <c r="E1050" s="115"/>
      <c r="F1050" s="115"/>
      <c r="G1050" s="60" t="s">
        <v>127</v>
      </c>
      <c r="H1050" s="124"/>
      <c r="I1050" s="124"/>
      <c r="J1050" s="60"/>
      <c r="K1050" s="60"/>
      <c r="L1050" s="160"/>
      <c r="M1050" s="60"/>
      <c r="N1050" s="60"/>
      <c r="O1050" s="60">
        <f t="shared" si="232"/>
        <v>0</v>
      </c>
      <c r="P1050" s="60">
        <f t="shared" si="233"/>
        <v>0</v>
      </c>
    </row>
    <row r="1051" spans="1:16" s="38" customFormat="1" ht="10.7" customHeight="1" outlineLevel="1" x14ac:dyDescent="0.25">
      <c r="A1051" s="124"/>
      <c r="B1051" s="142"/>
      <c r="C1051" s="115"/>
      <c r="D1051" s="115"/>
      <c r="E1051" s="115"/>
      <c r="F1051" s="115"/>
      <c r="G1051" s="60" t="s">
        <v>128</v>
      </c>
      <c r="H1051" s="124"/>
      <c r="I1051" s="124"/>
      <c r="J1051" s="60"/>
      <c r="K1051" s="60"/>
      <c r="L1051" s="160"/>
      <c r="M1051" s="60"/>
      <c r="N1051" s="60"/>
      <c r="O1051" s="60">
        <f t="shared" si="232"/>
        <v>0</v>
      </c>
      <c r="P1051" s="60">
        <f t="shared" si="233"/>
        <v>0</v>
      </c>
    </row>
    <row r="1052" spans="1:16" s="38" customFormat="1" ht="10.7" customHeight="1" outlineLevel="1" x14ac:dyDescent="0.25">
      <c r="A1052" s="124"/>
      <c r="B1052" s="142"/>
      <c r="C1052" s="115"/>
      <c r="D1052" s="115"/>
      <c r="E1052" s="115"/>
      <c r="F1052" s="115"/>
      <c r="G1052" s="60" t="s">
        <v>129</v>
      </c>
      <c r="H1052" s="124"/>
      <c r="I1052" s="124"/>
      <c r="J1052" s="60"/>
      <c r="K1052" s="60"/>
      <c r="L1052" s="160"/>
      <c r="M1052" s="60"/>
      <c r="N1052" s="60"/>
      <c r="O1052" s="60">
        <f t="shared" si="232"/>
        <v>0</v>
      </c>
      <c r="P1052" s="60">
        <f t="shared" si="233"/>
        <v>0</v>
      </c>
    </row>
    <row r="1053" spans="1:16" s="38" customFormat="1" ht="10.7" customHeight="1" outlineLevel="1" x14ac:dyDescent="0.25">
      <c r="A1053" s="124"/>
      <c r="B1053" s="142"/>
      <c r="C1053" s="115"/>
      <c r="D1053" s="115"/>
      <c r="E1053" s="115"/>
      <c r="F1053" s="115"/>
      <c r="G1053" s="60" t="s">
        <v>130</v>
      </c>
      <c r="H1053" s="124"/>
      <c r="I1053" s="124"/>
      <c r="J1053" s="60"/>
      <c r="K1053" s="60"/>
      <c r="L1053" s="160"/>
      <c r="M1053" s="60"/>
      <c r="N1053" s="60"/>
      <c r="O1053" s="60">
        <f t="shared" si="232"/>
        <v>0</v>
      </c>
      <c r="P1053" s="60">
        <f t="shared" si="233"/>
        <v>0</v>
      </c>
    </row>
    <row r="1054" spans="1:16" s="38" customFormat="1" ht="12" customHeight="1" outlineLevel="1" thickBot="1" x14ac:dyDescent="0.3">
      <c r="A1054" s="125"/>
      <c r="B1054" s="143"/>
      <c r="C1054" s="131"/>
      <c r="D1054" s="131"/>
      <c r="E1054" s="131"/>
      <c r="F1054" s="131"/>
      <c r="G1054" s="60" t="s">
        <v>131</v>
      </c>
      <c r="H1054" s="134"/>
      <c r="I1054" s="134"/>
      <c r="J1054" s="60"/>
      <c r="K1054" s="60"/>
      <c r="L1054" s="160"/>
      <c r="M1054" s="60"/>
      <c r="N1054" s="60"/>
      <c r="O1054" s="60">
        <f t="shared" si="232"/>
        <v>0</v>
      </c>
      <c r="P1054" s="60">
        <f t="shared" si="233"/>
        <v>0</v>
      </c>
    </row>
    <row r="1055" spans="1:16" s="38" customFormat="1" ht="14.45" customHeight="1" outlineLevel="1" x14ac:dyDescent="0.25">
      <c r="A1055" s="140" t="s">
        <v>822</v>
      </c>
      <c r="B1055" s="141" t="s">
        <v>823</v>
      </c>
      <c r="C1055" s="130">
        <f>SUM(O1055:O1061)</f>
        <v>0</v>
      </c>
      <c r="D1055" s="130">
        <f>SUM(P1055:P1061)</f>
        <v>0</v>
      </c>
      <c r="E1055" s="130">
        <f t="shared" si="225"/>
        <v>0</v>
      </c>
      <c r="F1055" s="130"/>
      <c r="G1055" s="60" t="s">
        <v>125</v>
      </c>
      <c r="H1055" s="123"/>
      <c r="I1055" s="123"/>
      <c r="J1055" s="60"/>
      <c r="K1055" s="60"/>
      <c r="L1055" s="160"/>
      <c r="M1055" s="60"/>
      <c r="N1055" s="60"/>
      <c r="O1055" s="60">
        <f>N1055*J1055*K1055*M1055</f>
        <v>0</v>
      </c>
      <c r="P1055" s="60">
        <f>J1055*K1055*M1055</f>
        <v>0</v>
      </c>
    </row>
    <row r="1056" spans="1:16" s="38" customFormat="1" ht="11.45" customHeight="1" outlineLevel="1" x14ac:dyDescent="0.25">
      <c r="A1056" s="124"/>
      <c r="B1056" s="142"/>
      <c r="C1056" s="115"/>
      <c r="D1056" s="115"/>
      <c r="E1056" s="115"/>
      <c r="F1056" s="115"/>
      <c r="G1056" s="60" t="s">
        <v>126</v>
      </c>
      <c r="H1056" s="124"/>
      <c r="I1056" s="124"/>
      <c r="J1056" s="60"/>
      <c r="K1056" s="60"/>
      <c r="L1056" s="160"/>
      <c r="M1056" s="60"/>
      <c r="N1056" s="60"/>
      <c r="O1056" s="60">
        <f t="shared" ref="O1056:O1061" si="234">N1056*J1056*K1056*M1056</f>
        <v>0</v>
      </c>
      <c r="P1056" s="60">
        <f t="shared" ref="P1056:P1061" si="235">J1056*K1056*M1056</f>
        <v>0</v>
      </c>
    </row>
    <row r="1057" spans="1:16" s="38" customFormat="1" ht="10.7" customHeight="1" outlineLevel="1" x14ac:dyDescent="0.25">
      <c r="A1057" s="124"/>
      <c r="B1057" s="142"/>
      <c r="C1057" s="115"/>
      <c r="D1057" s="115"/>
      <c r="E1057" s="115"/>
      <c r="F1057" s="115"/>
      <c r="G1057" s="60" t="s">
        <v>127</v>
      </c>
      <c r="H1057" s="124"/>
      <c r="I1057" s="124"/>
      <c r="J1057" s="60"/>
      <c r="K1057" s="60"/>
      <c r="L1057" s="160"/>
      <c r="M1057" s="60"/>
      <c r="N1057" s="60"/>
      <c r="O1057" s="60">
        <f t="shared" si="234"/>
        <v>0</v>
      </c>
      <c r="P1057" s="60">
        <f t="shared" si="235"/>
        <v>0</v>
      </c>
    </row>
    <row r="1058" spans="1:16" s="38" customFormat="1" ht="10.7" customHeight="1" outlineLevel="1" x14ac:dyDescent="0.25">
      <c r="A1058" s="124"/>
      <c r="B1058" s="142"/>
      <c r="C1058" s="115"/>
      <c r="D1058" s="115"/>
      <c r="E1058" s="115"/>
      <c r="F1058" s="115"/>
      <c r="G1058" s="60" t="s">
        <v>128</v>
      </c>
      <c r="H1058" s="124"/>
      <c r="I1058" s="124"/>
      <c r="J1058" s="60"/>
      <c r="K1058" s="60"/>
      <c r="L1058" s="160"/>
      <c r="M1058" s="60"/>
      <c r="N1058" s="60"/>
      <c r="O1058" s="60">
        <f t="shared" si="234"/>
        <v>0</v>
      </c>
      <c r="P1058" s="60">
        <f t="shared" si="235"/>
        <v>0</v>
      </c>
    </row>
    <row r="1059" spans="1:16" s="38" customFormat="1" ht="10.7" customHeight="1" outlineLevel="1" x14ac:dyDescent="0.25">
      <c r="A1059" s="124"/>
      <c r="B1059" s="142"/>
      <c r="C1059" s="115"/>
      <c r="D1059" s="115"/>
      <c r="E1059" s="115"/>
      <c r="F1059" s="115"/>
      <c r="G1059" s="60" t="s">
        <v>129</v>
      </c>
      <c r="H1059" s="124"/>
      <c r="I1059" s="124"/>
      <c r="J1059" s="60"/>
      <c r="K1059" s="60"/>
      <c r="L1059" s="160"/>
      <c r="M1059" s="60"/>
      <c r="N1059" s="60"/>
      <c r="O1059" s="60">
        <f t="shared" si="234"/>
        <v>0</v>
      </c>
      <c r="P1059" s="60">
        <f t="shared" si="235"/>
        <v>0</v>
      </c>
    </row>
    <row r="1060" spans="1:16" s="38" customFormat="1" ht="10.7" customHeight="1" outlineLevel="1" x14ac:dyDescent="0.25">
      <c r="A1060" s="124"/>
      <c r="B1060" s="142"/>
      <c r="C1060" s="115"/>
      <c r="D1060" s="115"/>
      <c r="E1060" s="115"/>
      <c r="F1060" s="115"/>
      <c r="G1060" s="60" t="s">
        <v>130</v>
      </c>
      <c r="H1060" s="124"/>
      <c r="I1060" s="124"/>
      <c r="J1060" s="60"/>
      <c r="K1060" s="60"/>
      <c r="L1060" s="160"/>
      <c r="M1060" s="60"/>
      <c r="N1060" s="60"/>
      <c r="O1060" s="60">
        <f t="shared" si="234"/>
        <v>0</v>
      </c>
      <c r="P1060" s="60">
        <f t="shared" si="235"/>
        <v>0</v>
      </c>
    </row>
    <row r="1061" spans="1:16" s="38" customFormat="1" ht="12" customHeight="1" outlineLevel="1" thickBot="1" x14ac:dyDescent="0.3">
      <c r="A1061" s="125"/>
      <c r="B1061" s="143"/>
      <c r="C1061" s="131"/>
      <c r="D1061" s="131"/>
      <c r="E1061" s="131"/>
      <c r="F1061" s="131"/>
      <c r="G1061" s="60" t="s">
        <v>131</v>
      </c>
      <c r="H1061" s="134"/>
      <c r="I1061" s="134"/>
      <c r="J1061" s="60"/>
      <c r="K1061" s="60"/>
      <c r="L1061" s="160"/>
      <c r="M1061" s="60"/>
      <c r="N1061" s="60"/>
      <c r="O1061" s="60">
        <f t="shared" si="234"/>
        <v>0</v>
      </c>
      <c r="P1061" s="60">
        <f t="shared" si="235"/>
        <v>0</v>
      </c>
    </row>
    <row r="1062" spans="1:16" s="38" customFormat="1" ht="14.45" customHeight="1" outlineLevel="1" x14ac:dyDescent="0.25">
      <c r="A1062" s="140" t="s">
        <v>824</v>
      </c>
      <c r="B1062" s="141" t="s">
        <v>825</v>
      </c>
      <c r="C1062" s="130">
        <f>SUM(O1062:O1068)</f>
        <v>0</v>
      </c>
      <c r="D1062" s="130">
        <f>SUM(P1062:P1068)</f>
        <v>0</v>
      </c>
      <c r="E1062" s="130">
        <f t="shared" si="225"/>
        <v>0</v>
      </c>
      <c r="F1062" s="130"/>
      <c r="G1062" s="60" t="s">
        <v>125</v>
      </c>
      <c r="H1062" s="123"/>
      <c r="I1062" s="123"/>
      <c r="J1062" s="60"/>
      <c r="K1062" s="60"/>
      <c r="L1062" s="160"/>
      <c r="M1062" s="60"/>
      <c r="N1062" s="60"/>
      <c r="O1062" s="60">
        <f>N1062*J1062*K1062*M1062</f>
        <v>0</v>
      </c>
      <c r="P1062" s="60">
        <f>J1062*K1062*M1062</f>
        <v>0</v>
      </c>
    </row>
    <row r="1063" spans="1:16" s="38" customFormat="1" ht="11.45" customHeight="1" outlineLevel="1" x14ac:dyDescent="0.25">
      <c r="A1063" s="124"/>
      <c r="B1063" s="142"/>
      <c r="C1063" s="115"/>
      <c r="D1063" s="115"/>
      <c r="E1063" s="115"/>
      <c r="F1063" s="115"/>
      <c r="G1063" s="60" t="s">
        <v>126</v>
      </c>
      <c r="H1063" s="124"/>
      <c r="I1063" s="124"/>
      <c r="J1063" s="60"/>
      <c r="K1063" s="60"/>
      <c r="L1063" s="160"/>
      <c r="M1063" s="60"/>
      <c r="N1063" s="60"/>
      <c r="O1063" s="60">
        <f t="shared" ref="O1063:O1068" si="236">N1063*J1063*K1063*M1063</f>
        <v>0</v>
      </c>
      <c r="P1063" s="60">
        <f t="shared" ref="P1063:P1068" si="237">J1063*K1063*M1063</f>
        <v>0</v>
      </c>
    </row>
    <row r="1064" spans="1:16" s="38" customFormat="1" ht="10.7" customHeight="1" outlineLevel="1" x14ac:dyDescent="0.25">
      <c r="A1064" s="124"/>
      <c r="B1064" s="142"/>
      <c r="C1064" s="115"/>
      <c r="D1064" s="115"/>
      <c r="E1064" s="115"/>
      <c r="F1064" s="115"/>
      <c r="G1064" s="60" t="s">
        <v>127</v>
      </c>
      <c r="H1064" s="124"/>
      <c r="I1064" s="124"/>
      <c r="J1064" s="60"/>
      <c r="K1064" s="60"/>
      <c r="L1064" s="160"/>
      <c r="M1064" s="60"/>
      <c r="N1064" s="60"/>
      <c r="O1064" s="60">
        <f t="shared" si="236"/>
        <v>0</v>
      </c>
      <c r="P1064" s="60">
        <f t="shared" si="237"/>
        <v>0</v>
      </c>
    </row>
    <row r="1065" spans="1:16" s="38" customFormat="1" ht="10.7" customHeight="1" outlineLevel="1" x14ac:dyDescent="0.25">
      <c r="A1065" s="124"/>
      <c r="B1065" s="142"/>
      <c r="C1065" s="115"/>
      <c r="D1065" s="115"/>
      <c r="E1065" s="115"/>
      <c r="F1065" s="115"/>
      <c r="G1065" s="60" t="s">
        <v>128</v>
      </c>
      <c r="H1065" s="124"/>
      <c r="I1065" s="124"/>
      <c r="J1065" s="60"/>
      <c r="K1065" s="60"/>
      <c r="L1065" s="160"/>
      <c r="M1065" s="60"/>
      <c r="N1065" s="60"/>
      <c r="O1065" s="60">
        <f t="shared" si="236"/>
        <v>0</v>
      </c>
      <c r="P1065" s="60">
        <f t="shared" si="237"/>
        <v>0</v>
      </c>
    </row>
    <row r="1066" spans="1:16" s="38" customFormat="1" ht="10.7" customHeight="1" outlineLevel="1" x14ac:dyDescent="0.25">
      <c r="A1066" s="124"/>
      <c r="B1066" s="142"/>
      <c r="C1066" s="115"/>
      <c r="D1066" s="115"/>
      <c r="E1066" s="115"/>
      <c r="F1066" s="115"/>
      <c r="G1066" s="60" t="s">
        <v>129</v>
      </c>
      <c r="H1066" s="124"/>
      <c r="I1066" s="124"/>
      <c r="J1066" s="60"/>
      <c r="K1066" s="60"/>
      <c r="L1066" s="160"/>
      <c r="M1066" s="60"/>
      <c r="N1066" s="60"/>
      <c r="O1066" s="60">
        <f t="shared" si="236"/>
        <v>0</v>
      </c>
      <c r="P1066" s="60">
        <f t="shared" si="237"/>
        <v>0</v>
      </c>
    </row>
    <row r="1067" spans="1:16" s="38" customFormat="1" ht="10.7" customHeight="1" outlineLevel="1" x14ac:dyDescent="0.25">
      <c r="A1067" s="124"/>
      <c r="B1067" s="142"/>
      <c r="C1067" s="115"/>
      <c r="D1067" s="115"/>
      <c r="E1067" s="115"/>
      <c r="F1067" s="115"/>
      <c r="G1067" s="60" t="s">
        <v>130</v>
      </c>
      <c r="H1067" s="124"/>
      <c r="I1067" s="124"/>
      <c r="J1067" s="60"/>
      <c r="K1067" s="60"/>
      <c r="L1067" s="160"/>
      <c r="M1067" s="60"/>
      <c r="N1067" s="60"/>
      <c r="O1067" s="60">
        <f t="shared" si="236"/>
        <v>0</v>
      </c>
      <c r="P1067" s="60">
        <f t="shared" si="237"/>
        <v>0</v>
      </c>
    </row>
    <row r="1068" spans="1:16" s="38" customFormat="1" ht="12" customHeight="1" outlineLevel="1" thickBot="1" x14ac:dyDescent="0.3">
      <c r="A1068" s="125"/>
      <c r="B1068" s="143"/>
      <c r="C1068" s="131"/>
      <c r="D1068" s="131"/>
      <c r="E1068" s="131"/>
      <c r="F1068" s="131"/>
      <c r="G1068" s="60" t="s">
        <v>131</v>
      </c>
      <c r="H1068" s="134"/>
      <c r="I1068" s="134"/>
      <c r="J1068" s="60"/>
      <c r="K1068" s="60"/>
      <c r="L1068" s="160"/>
      <c r="M1068" s="60"/>
      <c r="N1068" s="60"/>
      <c r="O1068" s="60">
        <f t="shared" si="236"/>
        <v>0</v>
      </c>
      <c r="P1068" s="60">
        <f t="shared" si="237"/>
        <v>0</v>
      </c>
    </row>
    <row r="1069" spans="1:16" s="38" customFormat="1" ht="14.45" customHeight="1" outlineLevel="1" x14ac:dyDescent="0.25">
      <c r="A1069" s="140" t="s">
        <v>826</v>
      </c>
      <c r="B1069" s="141" t="s">
        <v>827</v>
      </c>
      <c r="C1069" s="130">
        <f>SUM(O1069:O1075)</f>
        <v>0</v>
      </c>
      <c r="D1069" s="130">
        <f>SUM(P1069:P1075)</f>
        <v>0</v>
      </c>
      <c r="E1069" s="130">
        <f t="shared" si="225"/>
        <v>0</v>
      </c>
      <c r="F1069" s="130"/>
      <c r="G1069" s="60" t="s">
        <v>125</v>
      </c>
      <c r="H1069" s="123"/>
      <c r="I1069" s="123"/>
      <c r="J1069" s="60"/>
      <c r="K1069" s="60"/>
      <c r="L1069" s="160"/>
      <c r="M1069" s="60"/>
      <c r="N1069" s="60"/>
      <c r="O1069" s="60">
        <f>N1069*J1069*K1069*M1069</f>
        <v>0</v>
      </c>
      <c r="P1069" s="60">
        <f>J1069*K1069*M1069</f>
        <v>0</v>
      </c>
    </row>
    <row r="1070" spans="1:16" s="38" customFormat="1" ht="11.45" customHeight="1" outlineLevel="1" x14ac:dyDescent="0.25">
      <c r="A1070" s="124"/>
      <c r="B1070" s="142"/>
      <c r="C1070" s="115"/>
      <c r="D1070" s="115"/>
      <c r="E1070" s="115"/>
      <c r="F1070" s="115"/>
      <c r="G1070" s="60" t="s">
        <v>126</v>
      </c>
      <c r="H1070" s="124"/>
      <c r="I1070" s="124"/>
      <c r="J1070" s="60"/>
      <c r="K1070" s="60"/>
      <c r="L1070" s="160"/>
      <c r="M1070" s="60"/>
      <c r="N1070" s="60"/>
      <c r="O1070" s="60">
        <f t="shared" ref="O1070:O1075" si="238">N1070*J1070*K1070*M1070</f>
        <v>0</v>
      </c>
      <c r="P1070" s="60">
        <f t="shared" ref="P1070:P1075" si="239">J1070*K1070*M1070</f>
        <v>0</v>
      </c>
    </row>
    <row r="1071" spans="1:16" s="38" customFormat="1" ht="10.7" customHeight="1" outlineLevel="1" x14ac:dyDescent="0.25">
      <c r="A1071" s="124"/>
      <c r="B1071" s="142"/>
      <c r="C1071" s="115"/>
      <c r="D1071" s="115"/>
      <c r="E1071" s="115"/>
      <c r="F1071" s="115"/>
      <c r="G1071" s="60" t="s">
        <v>127</v>
      </c>
      <c r="H1071" s="124"/>
      <c r="I1071" s="124"/>
      <c r="J1071" s="60"/>
      <c r="K1071" s="60"/>
      <c r="L1071" s="160"/>
      <c r="M1071" s="60"/>
      <c r="N1071" s="60"/>
      <c r="O1071" s="60">
        <f t="shared" si="238"/>
        <v>0</v>
      </c>
      <c r="P1071" s="60">
        <f t="shared" si="239"/>
        <v>0</v>
      </c>
    </row>
    <row r="1072" spans="1:16" s="38" customFormat="1" ht="10.7" customHeight="1" outlineLevel="1" x14ac:dyDescent="0.25">
      <c r="A1072" s="124"/>
      <c r="B1072" s="142"/>
      <c r="C1072" s="115"/>
      <c r="D1072" s="115"/>
      <c r="E1072" s="115"/>
      <c r="F1072" s="115"/>
      <c r="G1072" s="60" t="s">
        <v>128</v>
      </c>
      <c r="H1072" s="124"/>
      <c r="I1072" s="124"/>
      <c r="J1072" s="60"/>
      <c r="K1072" s="60"/>
      <c r="L1072" s="160"/>
      <c r="M1072" s="60"/>
      <c r="N1072" s="60"/>
      <c r="O1072" s="60">
        <f t="shared" si="238"/>
        <v>0</v>
      </c>
      <c r="P1072" s="60">
        <f t="shared" si="239"/>
        <v>0</v>
      </c>
    </row>
    <row r="1073" spans="1:16" s="38" customFormat="1" ht="10.7" customHeight="1" outlineLevel="1" x14ac:dyDescent="0.25">
      <c r="A1073" s="124"/>
      <c r="B1073" s="142"/>
      <c r="C1073" s="115"/>
      <c r="D1073" s="115"/>
      <c r="E1073" s="115"/>
      <c r="F1073" s="115"/>
      <c r="G1073" s="60" t="s">
        <v>129</v>
      </c>
      <c r="H1073" s="124"/>
      <c r="I1073" s="124"/>
      <c r="J1073" s="60"/>
      <c r="K1073" s="60"/>
      <c r="L1073" s="160"/>
      <c r="M1073" s="60"/>
      <c r="N1073" s="60"/>
      <c r="O1073" s="60">
        <f t="shared" si="238"/>
        <v>0</v>
      </c>
      <c r="P1073" s="60">
        <f t="shared" si="239"/>
        <v>0</v>
      </c>
    </row>
    <row r="1074" spans="1:16" s="38" customFormat="1" ht="10.7" customHeight="1" outlineLevel="1" x14ac:dyDescent="0.25">
      <c r="A1074" s="124"/>
      <c r="B1074" s="142"/>
      <c r="C1074" s="115"/>
      <c r="D1074" s="115"/>
      <c r="E1074" s="115"/>
      <c r="F1074" s="115"/>
      <c r="G1074" s="60" t="s">
        <v>130</v>
      </c>
      <c r="H1074" s="124"/>
      <c r="I1074" s="124"/>
      <c r="J1074" s="60"/>
      <c r="K1074" s="60"/>
      <c r="L1074" s="160"/>
      <c r="M1074" s="60"/>
      <c r="N1074" s="60"/>
      <c r="O1074" s="60">
        <f t="shared" si="238"/>
        <v>0</v>
      </c>
      <c r="P1074" s="60">
        <f t="shared" si="239"/>
        <v>0</v>
      </c>
    </row>
    <row r="1075" spans="1:16" s="38" customFormat="1" ht="12" customHeight="1" outlineLevel="1" thickBot="1" x14ac:dyDescent="0.3">
      <c r="A1075" s="125"/>
      <c r="B1075" s="143"/>
      <c r="C1075" s="131"/>
      <c r="D1075" s="131"/>
      <c r="E1075" s="131"/>
      <c r="F1075" s="131"/>
      <c r="G1075" s="60" t="s">
        <v>131</v>
      </c>
      <c r="H1075" s="134"/>
      <c r="I1075" s="134"/>
      <c r="J1075" s="60"/>
      <c r="K1075" s="60"/>
      <c r="L1075" s="160"/>
      <c r="M1075" s="60"/>
      <c r="N1075" s="60"/>
      <c r="O1075" s="60">
        <f t="shared" si="238"/>
        <v>0</v>
      </c>
      <c r="P1075" s="60">
        <f t="shared" si="239"/>
        <v>0</v>
      </c>
    </row>
    <row r="1076" spans="1:16" s="38" customFormat="1" ht="14.45" customHeight="1" outlineLevel="1" x14ac:dyDescent="0.25">
      <c r="A1076" s="140" t="s">
        <v>828</v>
      </c>
      <c r="B1076" s="141" t="s">
        <v>829</v>
      </c>
      <c r="C1076" s="130">
        <f>SUM(O1076:O1082)</f>
        <v>0</v>
      </c>
      <c r="D1076" s="130">
        <f>SUM(P1076:P1082)</f>
        <v>0</v>
      </c>
      <c r="E1076" s="130">
        <f t="shared" si="225"/>
        <v>0</v>
      </c>
      <c r="F1076" s="130"/>
      <c r="G1076" s="60" t="s">
        <v>125</v>
      </c>
      <c r="H1076" s="123"/>
      <c r="I1076" s="123"/>
      <c r="J1076" s="60"/>
      <c r="K1076" s="60"/>
      <c r="L1076" s="160"/>
      <c r="M1076" s="60"/>
      <c r="N1076" s="60"/>
      <c r="O1076" s="60">
        <f>N1076*J1076*K1076*M1076</f>
        <v>0</v>
      </c>
      <c r="P1076" s="60">
        <f>J1076*K1076*M1076</f>
        <v>0</v>
      </c>
    </row>
    <row r="1077" spans="1:16" s="38" customFormat="1" ht="11.45" customHeight="1" outlineLevel="1" x14ac:dyDescent="0.25">
      <c r="A1077" s="124"/>
      <c r="B1077" s="142"/>
      <c r="C1077" s="115"/>
      <c r="D1077" s="115"/>
      <c r="E1077" s="115"/>
      <c r="F1077" s="115"/>
      <c r="G1077" s="60" t="s">
        <v>126</v>
      </c>
      <c r="H1077" s="124"/>
      <c r="I1077" s="124"/>
      <c r="J1077" s="60"/>
      <c r="K1077" s="60"/>
      <c r="L1077" s="160"/>
      <c r="M1077" s="60"/>
      <c r="N1077" s="60"/>
      <c r="O1077" s="60">
        <f t="shared" ref="O1077:O1082" si="240">N1077*J1077*K1077*M1077</f>
        <v>0</v>
      </c>
      <c r="P1077" s="60">
        <f t="shared" ref="P1077:P1082" si="241">J1077*K1077*M1077</f>
        <v>0</v>
      </c>
    </row>
    <row r="1078" spans="1:16" s="38" customFormat="1" ht="10.7" customHeight="1" outlineLevel="1" x14ac:dyDescent="0.25">
      <c r="A1078" s="124"/>
      <c r="B1078" s="142"/>
      <c r="C1078" s="115"/>
      <c r="D1078" s="115"/>
      <c r="E1078" s="115"/>
      <c r="F1078" s="115"/>
      <c r="G1078" s="60" t="s">
        <v>127</v>
      </c>
      <c r="H1078" s="124"/>
      <c r="I1078" s="124"/>
      <c r="J1078" s="60"/>
      <c r="K1078" s="60"/>
      <c r="L1078" s="160"/>
      <c r="M1078" s="60"/>
      <c r="N1078" s="60"/>
      <c r="O1078" s="60">
        <f t="shared" si="240"/>
        <v>0</v>
      </c>
      <c r="P1078" s="60">
        <f t="shared" si="241"/>
        <v>0</v>
      </c>
    </row>
    <row r="1079" spans="1:16" s="38" customFormat="1" ht="10.7" customHeight="1" outlineLevel="1" x14ac:dyDescent="0.25">
      <c r="A1079" s="124"/>
      <c r="B1079" s="142"/>
      <c r="C1079" s="115"/>
      <c r="D1079" s="115"/>
      <c r="E1079" s="115"/>
      <c r="F1079" s="115"/>
      <c r="G1079" s="60" t="s">
        <v>128</v>
      </c>
      <c r="H1079" s="124"/>
      <c r="I1079" s="124"/>
      <c r="J1079" s="60"/>
      <c r="K1079" s="60"/>
      <c r="L1079" s="160"/>
      <c r="M1079" s="60"/>
      <c r="N1079" s="60"/>
      <c r="O1079" s="60">
        <f t="shared" si="240"/>
        <v>0</v>
      </c>
      <c r="P1079" s="60">
        <f t="shared" si="241"/>
        <v>0</v>
      </c>
    </row>
    <row r="1080" spans="1:16" s="38" customFormat="1" ht="10.7" customHeight="1" outlineLevel="1" x14ac:dyDescent="0.25">
      <c r="A1080" s="124"/>
      <c r="B1080" s="142"/>
      <c r="C1080" s="115"/>
      <c r="D1080" s="115"/>
      <c r="E1080" s="115"/>
      <c r="F1080" s="115"/>
      <c r="G1080" s="60" t="s">
        <v>129</v>
      </c>
      <c r="H1080" s="124"/>
      <c r="I1080" s="124"/>
      <c r="J1080" s="60"/>
      <c r="K1080" s="60"/>
      <c r="L1080" s="160"/>
      <c r="M1080" s="60"/>
      <c r="N1080" s="60"/>
      <c r="O1080" s="60">
        <f t="shared" si="240"/>
        <v>0</v>
      </c>
      <c r="P1080" s="60">
        <f t="shared" si="241"/>
        <v>0</v>
      </c>
    </row>
    <row r="1081" spans="1:16" s="38" customFormat="1" ht="10.7" customHeight="1" outlineLevel="1" x14ac:dyDescent="0.25">
      <c r="A1081" s="124"/>
      <c r="B1081" s="142"/>
      <c r="C1081" s="115"/>
      <c r="D1081" s="115"/>
      <c r="E1081" s="115"/>
      <c r="F1081" s="115"/>
      <c r="G1081" s="60" t="s">
        <v>130</v>
      </c>
      <c r="H1081" s="124"/>
      <c r="I1081" s="124"/>
      <c r="J1081" s="60"/>
      <c r="K1081" s="60"/>
      <c r="L1081" s="160"/>
      <c r="M1081" s="60"/>
      <c r="N1081" s="60"/>
      <c r="O1081" s="60">
        <f t="shared" si="240"/>
        <v>0</v>
      </c>
      <c r="P1081" s="60">
        <f t="shared" si="241"/>
        <v>0</v>
      </c>
    </row>
    <row r="1082" spans="1:16" s="38" customFormat="1" ht="12" customHeight="1" outlineLevel="1" thickBot="1" x14ac:dyDescent="0.3">
      <c r="A1082" s="125"/>
      <c r="B1082" s="143"/>
      <c r="C1082" s="131"/>
      <c r="D1082" s="131"/>
      <c r="E1082" s="131"/>
      <c r="F1082" s="131"/>
      <c r="G1082" s="60" t="s">
        <v>131</v>
      </c>
      <c r="H1082" s="134"/>
      <c r="I1082" s="134"/>
      <c r="J1082" s="60"/>
      <c r="K1082" s="60"/>
      <c r="L1082" s="160"/>
      <c r="M1082" s="60"/>
      <c r="N1082" s="60"/>
      <c r="O1082" s="60">
        <f t="shared" si="240"/>
        <v>0</v>
      </c>
      <c r="P1082" s="60">
        <f t="shared" si="241"/>
        <v>0</v>
      </c>
    </row>
    <row r="1083" spans="1:16" s="38" customFormat="1" ht="14.45" customHeight="1" outlineLevel="1" x14ac:dyDescent="0.25">
      <c r="A1083" s="140" t="s">
        <v>830</v>
      </c>
      <c r="B1083" s="141" t="s">
        <v>831</v>
      </c>
      <c r="C1083" s="130">
        <f>SUM(O1083:O1089)</f>
        <v>0</v>
      </c>
      <c r="D1083" s="130">
        <f>SUM(P1083:P1089)</f>
        <v>0</v>
      </c>
      <c r="E1083" s="130">
        <f t="shared" si="225"/>
        <v>0</v>
      </c>
      <c r="F1083" s="130"/>
      <c r="G1083" s="60" t="s">
        <v>125</v>
      </c>
      <c r="H1083" s="123"/>
      <c r="I1083" s="123"/>
      <c r="J1083" s="60"/>
      <c r="K1083" s="60"/>
      <c r="L1083" s="160"/>
      <c r="M1083" s="60"/>
      <c r="N1083" s="60"/>
      <c r="O1083" s="60">
        <f>N1083*J1083*K1083*M1083</f>
        <v>0</v>
      </c>
      <c r="P1083" s="60">
        <f>J1083*K1083*M1083</f>
        <v>0</v>
      </c>
    </row>
    <row r="1084" spans="1:16" s="38" customFormat="1" ht="11.45" customHeight="1" outlineLevel="1" x14ac:dyDescent="0.25">
      <c r="A1084" s="124"/>
      <c r="B1084" s="142"/>
      <c r="C1084" s="115"/>
      <c r="D1084" s="115"/>
      <c r="E1084" s="115"/>
      <c r="F1084" s="115"/>
      <c r="G1084" s="60" t="s">
        <v>126</v>
      </c>
      <c r="H1084" s="124"/>
      <c r="I1084" s="124"/>
      <c r="J1084" s="60"/>
      <c r="K1084" s="60"/>
      <c r="L1084" s="160"/>
      <c r="M1084" s="60"/>
      <c r="N1084" s="60"/>
      <c r="O1084" s="60">
        <f t="shared" ref="O1084:O1089" si="242">N1084*J1084*K1084*M1084</f>
        <v>0</v>
      </c>
      <c r="P1084" s="60">
        <f t="shared" ref="P1084:P1089" si="243">J1084*K1084*M1084</f>
        <v>0</v>
      </c>
    </row>
    <row r="1085" spans="1:16" s="38" customFormat="1" ht="10.7" customHeight="1" outlineLevel="1" x14ac:dyDescent="0.25">
      <c r="A1085" s="124"/>
      <c r="B1085" s="142"/>
      <c r="C1085" s="115"/>
      <c r="D1085" s="115"/>
      <c r="E1085" s="115"/>
      <c r="F1085" s="115"/>
      <c r="G1085" s="60" t="s">
        <v>127</v>
      </c>
      <c r="H1085" s="124"/>
      <c r="I1085" s="124"/>
      <c r="J1085" s="60"/>
      <c r="K1085" s="60"/>
      <c r="L1085" s="160"/>
      <c r="M1085" s="60"/>
      <c r="N1085" s="60"/>
      <c r="O1085" s="60">
        <f t="shared" si="242"/>
        <v>0</v>
      </c>
      <c r="P1085" s="60">
        <f t="shared" si="243"/>
        <v>0</v>
      </c>
    </row>
    <row r="1086" spans="1:16" s="38" customFormat="1" ht="10.7" customHeight="1" outlineLevel="1" x14ac:dyDescent="0.25">
      <c r="A1086" s="124"/>
      <c r="B1086" s="142"/>
      <c r="C1086" s="115"/>
      <c r="D1086" s="115"/>
      <c r="E1086" s="115"/>
      <c r="F1086" s="115"/>
      <c r="G1086" s="60" t="s">
        <v>128</v>
      </c>
      <c r="H1086" s="124"/>
      <c r="I1086" s="124"/>
      <c r="J1086" s="60"/>
      <c r="K1086" s="60"/>
      <c r="L1086" s="160"/>
      <c r="M1086" s="60"/>
      <c r="N1086" s="60"/>
      <c r="O1086" s="60">
        <f t="shared" si="242"/>
        <v>0</v>
      </c>
      <c r="P1086" s="60">
        <f t="shared" si="243"/>
        <v>0</v>
      </c>
    </row>
    <row r="1087" spans="1:16" s="38" customFormat="1" ht="10.7" customHeight="1" outlineLevel="1" x14ac:dyDescent="0.25">
      <c r="A1087" s="124"/>
      <c r="B1087" s="142"/>
      <c r="C1087" s="115"/>
      <c r="D1087" s="115"/>
      <c r="E1087" s="115"/>
      <c r="F1087" s="115"/>
      <c r="G1087" s="60" t="s">
        <v>129</v>
      </c>
      <c r="H1087" s="124"/>
      <c r="I1087" s="124"/>
      <c r="J1087" s="60"/>
      <c r="K1087" s="60"/>
      <c r="L1087" s="160"/>
      <c r="M1087" s="60"/>
      <c r="N1087" s="60"/>
      <c r="O1087" s="60">
        <f t="shared" si="242"/>
        <v>0</v>
      </c>
      <c r="P1087" s="60">
        <f t="shared" si="243"/>
        <v>0</v>
      </c>
    </row>
    <row r="1088" spans="1:16" s="38" customFormat="1" ht="10.7" customHeight="1" outlineLevel="1" x14ac:dyDescent="0.25">
      <c r="A1088" s="124"/>
      <c r="B1088" s="142"/>
      <c r="C1088" s="115"/>
      <c r="D1088" s="115"/>
      <c r="E1088" s="115"/>
      <c r="F1088" s="115"/>
      <c r="G1088" s="60" t="s">
        <v>130</v>
      </c>
      <c r="H1088" s="124"/>
      <c r="I1088" s="124"/>
      <c r="J1088" s="60"/>
      <c r="K1088" s="60"/>
      <c r="L1088" s="160"/>
      <c r="M1088" s="60"/>
      <c r="N1088" s="60"/>
      <c r="O1088" s="60">
        <f t="shared" si="242"/>
        <v>0</v>
      </c>
      <c r="P1088" s="60">
        <f t="shared" si="243"/>
        <v>0</v>
      </c>
    </row>
    <row r="1089" spans="1:16" s="38" customFormat="1" ht="12" customHeight="1" outlineLevel="1" thickBot="1" x14ac:dyDescent="0.3">
      <c r="A1089" s="125"/>
      <c r="B1089" s="143"/>
      <c r="C1089" s="131"/>
      <c r="D1089" s="131"/>
      <c r="E1089" s="131"/>
      <c r="F1089" s="131"/>
      <c r="G1089" s="60" t="s">
        <v>131</v>
      </c>
      <c r="H1089" s="134"/>
      <c r="I1089" s="134"/>
      <c r="J1089" s="60"/>
      <c r="K1089" s="60"/>
      <c r="L1089" s="160"/>
      <c r="M1089" s="60"/>
      <c r="N1089" s="60"/>
      <c r="O1089" s="60">
        <f t="shared" si="242"/>
        <v>0</v>
      </c>
      <c r="P1089" s="60">
        <f t="shared" si="243"/>
        <v>0</v>
      </c>
    </row>
    <row r="1090" spans="1:16" s="38" customFormat="1" ht="14.45" customHeight="1" outlineLevel="1" x14ac:dyDescent="0.25">
      <c r="A1090" s="140" t="s">
        <v>832</v>
      </c>
      <c r="B1090" s="141" t="s">
        <v>833</v>
      </c>
      <c r="C1090" s="130">
        <f>SUM(O1090:O1096)</f>
        <v>0</v>
      </c>
      <c r="D1090" s="130">
        <f>SUM(P1090:P1096)</f>
        <v>0</v>
      </c>
      <c r="E1090" s="130">
        <f t="shared" si="225"/>
        <v>0</v>
      </c>
      <c r="F1090" s="130"/>
      <c r="G1090" s="60" t="s">
        <v>125</v>
      </c>
      <c r="H1090" s="123"/>
      <c r="I1090" s="123"/>
      <c r="J1090" s="60"/>
      <c r="K1090" s="60"/>
      <c r="L1090" s="160"/>
      <c r="M1090" s="60"/>
      <c r="N1090" s="60"/>
      <c r="O1090" s="60">
        <f>N1090*J1090*K1090*M1090</f>
        <v>0</v>
      </c>
      <c r="P1090" s="60">
        <f>J1090*K1090*M1090</f>
        <v>0</v>
      </c>
    </row>
    <row r="1091" spans="1:16" s="38" customFormat="1" ht="11.45" customHeight="1" outlineLevel="1" x14ac:dyDescent="0.25">
      <c r="A1091" s="124"/>
      <c r="B1091" s="142"/>
      <c r="C1091" s="115"/>
      <c r="D1091" s="115"/>
      <c r="E1091" s="115"/>
      <c r="F1091" s="115"/>
      <c r="G1091" s="60" t="s">
        <v>126</v>
      </c>
      <c r="H1091" s="124"/>
      <c r="I1091" s="124"/>
      <c r="J1091" s="60"/>
      <c r="K1091" s="60"/>
      <c r="L1091" s="160"/>
      <c r="M1091" s="60"/>
      <c r="N1091" s="60"/>
      <c r="O1091" s="60">
        <f t="shared" ref="O1091:O1096" si="244">N1091*J1091*K1091*M1091</f>
        <v>0</v>
      </c>
      <c r="P1091" s="60">
        <f t="shared" ref="P1091:P1096" si="245">J1091*K1091*M1091</f>
        <v>0</v>
      </c>
    </row>
    <row r="1092" spans="1:16" s="38" customFormat="1" ht="10.7" customHeight="1" outlineLevel="1" x14ac:dyDescent="0.25">
      <c r="A1092" s="124"/>
      <c r="B1092" s="142"/>
      <c r="C1092" s="115"/>
      <c r="D1092" s="115"/>
      <c r="E1092" s="115"/>
      <c r="F1092" s="115"/>
      <c r="G1092" s="60" t="s">
        <v>127</v>
      </c>
      <c r="H1092" s="124"/>
      <c r="I1092" s="124"/>
      <c r="J1092" s="60"/>
      <c r="K1092" s="60"/>
      <c r="L1092" s="160"/>
      <c r="M1092" s="60"/>
      <c r="N1092" s="60"/>
      <c r="O1092" s="60">
        <f t="shared" si="244"/>
        <v>0</v>
      </c>
      <c r="P1092" s="60">
        <f t="shared" si="245"/>
        <v>0</v>
      </c>
    </row>
    <row r="1093" spans="1:16" s="38" customFormat="1" ht="10.7" customHeight="1" outlineLevel="1" x14ac:dyDescent="0.25">
      <c r="A1093" s="124"/>
      <c r="B1093" s="142"/>
      <c r="C1093" s="115"/>
      <c r="D1093" s="115"/>
      <c r="E1093" s="115"/>
      <c r="F1093" s="115"/>
      <c r="G1093" s="60" t="s">
        <v>128</v>
      </c>
      <c r="H1093" s="124"/>
      <c r="I1093" s="124"/>
      <c r="J1093" s="60"/>
      <c r="K1093" s="60"/>
      <c r="L1093" s="160"/>
      <c r="M1093" s="60"/>
      <c r="N1093" s="60"/>
      <c r="O1093" s="60">
        <f t="shared" si="244"/>
        <v>0</v>
      </c>
      <c r="P1093" s="60">
        <f t="shared" si="245"/>
        <v>0</v>
      </c>
    </row>
    <row r="1094" spans="1:16" s="38" customFormat="1" ht="10.7" customHeight="1" outlineLevel="1" x14ac:dyDescent="0.25">
      <c r="A1094" s="124"/>
      <c r="B1094" s="142"/>
      <c r="C1094" s="115"/>
      <c r="D1094" s="115"/>
      <c r="E1094" s="115"/>
      <c r="F1094" s="115"/>
      <c r="G1094" s="60" t="s">
        <v>129</v>
      </c>
      <c r="H1094" s="124"/>
      <c r="I1094" s="124"/>
      <c r="J1094" s="60"/>
      <c r="K1094" s="60"/>
      <c r="L1094" s="160"/>
      <c r="M1094" s="60"/>
      <c r="N1094" s="60"/>
      <c r="O1094" s="60">
        <f t="shared" si="244"/>
        <v>0</v>
      </c>
      <c r="P1094" s="60">
        <f t="shared" si="245"/>
        <v>0</v>
      </c>
    </row>
    <row r="1095" spans="1:16" s="38" customFormat="1" ht="10.7" customHeight="1" outlineLevel="1" x14ac:dyDescent="0.25">
      <c r="A1095" s="124"/>
      <c r="B1095" s="142"/>
      <c r="C1095" s="115"/>
      <c r="D1095" s="115"/>
      <c r="E1095" s="115"/>
      <c r="F1095" s="115"/>
      <c r="G1095" s="60" t="s">
        <v>130</v>
      </c>
      <c r="H1095" s="124"/>
      <c r="I1095" s="124"/>
      <c r="J1095" s="60"/>
      <c r="K1095" s="60"/>
      <c r="L1095" s="160"/>
      <c r="M1095" s="60"/>
      <c r="N1095" s="60"/>
      <c r="O1095" s="60">
        <f t="shared" si="244"/>
        <v>0</v>
      </c>
      <c r="P1095" s="60">
        <f t="shared" si="245"/>
        <v>0</v>
      </c>
    </row>
    <row r="1096" spans="1:16" s="38" customFormat="1" ht="12" customHeight="1" outlineLevel="1" thickBot="1" x14ac:dyDescent="0.3">
      <c r="A1096" s="125"/>
      <c r="B1096" s="143"/>
      <c r="C1096" s="131"/>
      <c r="D1096" s="131"/>
      <c r="E1096" s="131"/>
      <c r="F1096" s="131"/>
      <c r="G1096" s="60" t="s">
        <v>131</v>
      </c>
      <c r="H1096" s="134"/>
      <c r="I1096" s="134"/>
      <c r="J1096" s="60"/>
      <c r="K1096" s="60"/>
      <c r="L1096" s="160"/>
      <c r="M1096" s="60"/>
      <c r="N1096" s="60"/>
      <c r="O1096" s="60">
        <f t="shared" si="244"/>
        <v>0</v>
      </c>
      <c r="P1096" s="60">
        <f t="shared" si="245"/>
        <v>0</v>
      </c>
    </row>
    <row r="1097" spans="1:16" s="38" customFormat="1" ht="14.45" customHeight="1" outlineLevel="1" x14ac:dyDescent="0.25">
      <c r="A1097" s="140" t="s">
        <v>834</v>
      </c>
      <c r="B1097" s="141" t="s">
        <v>835</v>
      </c>
      <c r="C1097" s="130">
        <f>SUM(O1097:O1103)</f>
        <v>0</v>
      </c>
      <c r="D1097" s="130">
        <f>SUM(P1097:P1103)</f>
        <v>0</v>
      </c>
      <c r="E1097" s="130">
        <f t="shared" ref="E1097:E1160" si="246">D1097/8</f>
        <v>0</v>
      </c>
      <c r="F1097" s="130"/>
      <c r="G1097" s="60" t="s">
        <v>125</v>
      </c>
      <c r="H1097" s="123"/>
      <c r="I1097" s="123"/>
      <c r="J1097" s="60"/>
      <c r="K1097" s="60"/>
      <c r="L1097" s="160"/>
      <c r="M1097" s="60"/>
      <c r="N1097" s="60"/>
      <c r="O1097" s="60">
        <f>N1097*J1097*K1097*M1097</f>
        <v>0</v>
      </c>
      <c r="P1097" s="60">
        <f>J1097*K1097*M1097</f>
        <v>0</v>
      </c>
    </row>
    <row r="1098" spans="1:16" s="38" customFormat="1" ht="11.45" customHeight="1" outlineLevel="1" x14ac:dyDescent="0.25">
      <c r="A1098" s="124"/>
      <c r="B1098" s="142"/>
      <c r="C1098" s="115"/>
      <c r="D1098" s="115"/>
      <c r="E1098" s="115"/>
      <c r="F1098" s="115"/>
      <c r="G1098" s="60" t="s">
        <v>126</v>
      </c>
      <c r="H1098" s="124"/>
      <c r="I1098" s="124"/>
      <c r="J1098" s="60"/>
      <c r="K1098" s="60"/>
      <c r="L1098" s="160"/>
      <c r="M1098" s="60"/>
      <c r="N1098" s="60"/>
      <c r="O1098" s="60">
        <f t="shared" ref="O1098:O1103" si="247">N1098*J1098*K1098*M1098</f>
        <v>0</v>
      </c>
      <c r="P1098" s="60">
        <f t="shared" ref="P1098:P1103" si="248">J1098*K1098*M1098</f>
        <v>0</v>
      </c>
    </row>
    <row r="1099" spans="1:16" s="38" customFormat="1" ht="10.7" customHeight="1" outlineLevel="1" x14ac:dyDescent="0.25">
      <c r="A1099" s="124"/>
      <c r="B1099" s="142"/>
      <c r="C1099" s="115"/>
      <c r="D1099" s="115"/>
      <c r="E1099" s="115"/>
      <c r="F1099" s="115"/>
      <c r="G1099" s="60" t="s">
        <v>127</v>
      </c>
      <c r="H1099" s="124"/>
      <c r="I1099" s="124"/>
      <c r="J1099" s="60"/>
      <c r="K1099" s="60"/>
      <c r="L1099" s="160"/>
      <c r="M1099" s="60"/>
      <c r="N1099" s="60"/>
      <c r="O1099" s="60">
        <f t="shared" si="247"/>
        <v>0</v>
      </c>
      <c r="P1099" s="60">
        <f t="shared" si="248"/>
        <v>0</v>
      </c>
    </row>
    <row r="1100" spans="1:16" s="38" customFormat="1" ht="10.7" customHeight="1" outlineLevel="1" x14ac:dyDescent="0.25">
      <c r="A1100" s="124"/>
      <c r="B1100" s="142"/>
      <c r="C1100" s="115"/>
      <c r="D1100" s="115"/>
      <c r="E1100" s="115"/>
      <c r="F1100" s="115"/>
      <c r="G1100" s="60" t="s">
        <v>128</v>
      </c>
      <c r="H1100" s="124"/>
      <c r="I1100" s="124"/>
      <c r="J1100" s="60"/>
      <c r="K1100" s="60"/>
      <c r="L1100" s="160"/>
      <c r="M1100" s="60"/>
      <c r="N1100" s="60"/>
      <c r="O1100" s="60">
        <f t="shared" si="247"/>
        <v>0</v>
      </c>
      <c r="P1100" s="60">
        <f t="shared" si="248"/>
        <v>0</v>
      </c>
    </row>
    <row r="1101" spans="1:16" s="38" customFormat="1" ht="10.7" customHeight="1" outlineLevel="1" x14ac:dyDescent="0.25">
      <c r="A1101" s="124"/>
      <c r="B1101" s="142"/>
      <c r="C1101" s="115"/>
      <c r="D1101" s="115"/>
      <c r="E1101" s="115"/>
      <c r="F1101" s="115"/>
      <c r="G1101" s="60" t="s">
        <v>129</v>
      </c>
      <c r="H1101" s="124"/>
      <c r="I1101" s="124"/>
      <c r="J1101" s="60"/>
      <c r="K1101" s="60"/>
      <c r="L1101" s="160"/>
      <c r="M1101" s="60"/>
      <c r="N1101" s="60"/>
      <c r="O1101" s="60">
        <f t="shared" si="247"/>
        <v>0</v>
      </c>
      <c r="P1101" s="60">
        <f t="shared" si="248"/>
        <v>0</v>
      </c>
    </row>
    <row r="1102" spans="1:16" s="38" customFormat="1" ht="10.7" customHeight="1" outlineLevel="1" x14ac:dyDescent="0.25">
      <c r="A1102" s="124"/>
      <c r="B1102" s="142"/>
      <c r="C1102" s="115"/>
      <c r="D1102" s="115"/>
      <c r="E1102" s="115"/>
      <c r="F1102" s="115"/>
      <c r="G1102" s="60" t="s">
        <v>130</v>
      </c>
      <c r="H1102" s="124"/>
      <c r="I1102" s="124"/>
      <c r="J1102" s="60"/>
      <c r="K1102" s="60"/>
      <c r="L1102" s="160"/>
      <c r="M1102" s="60"/>
      <c r="N1102" s="60"/>
      <c r="O1102" s="60">
        <f t="shared" si="247"/>
        <v>0</v>
      </c>
      <c r="P1102" s="60">
        <f t="shared" si="248"/>
        <v>0</v>
      </c>
    </row>
    <row r="1103" spans="1:16" s="38" customFormat="1" ht="12" customHeight="1" outlineLevel="1" thickBot="1" x14ac:dyDescent="0.3">
      <c r="A1103" s="125"/>
      <c r="B1103" s="143"/>
      <c r="C1103" s="131"/>
      <c r="D1103" s="131"/>
      <c r="E1103" s="131"/>
      <c r="F1103" s="131"/>
      <c r="G1103" s="60" t="s">
        <v>131</v>
      </c>
      <c r="H1103" s="134"/>
      <c r="I1103" s="134"/>
      <c r="J1103" s="60"/>
      <c r="K1103" s="60"/>
      <c r="L1103" s="160"/>
      <c r="M1103" s="60"/>
      <c r="N1103" s="60"/>
      <c r="O1103" s="60">
        <f t="shared" si="247"/>
        <v>0</v>
      </c>
      <c r="P1103" s="60">
        <f t="shared" si="248"/>
        <v>0</v>
      </c>
    </row>
    <row r="1104" spans="1:16" s="38" customFormat="1" ht="14.45" customHeight="1" outlineLevel="1" x14ac:dyDescent="0.25">
      <c r="A1104" s="140" t="s">
        <v>836</v>
      </c>
      <c r="B1104" s="141" t="s">
        <v>837</v>
      </c>
      <c r="C1104" s="130">
        <f>SUM(O1104:O1110)</f>
        <v>0</v>
      </c>
      <c r="D1104" s="130">
        <f>SUM(P1104:P1110)</f>
        <v>0</v>
      </c>
      <c r="E1104" s="130">
        <f t="shared" si="246"/>
        <v>0</v>
      </c>
      <c r="F1104" s="130"/>
      <c r="G1104" s="60" t="s">
        <v>125</v>
      </c>
      <c r="H1104" s="123"/>
      <c r="I1104" s="123"/>
      <c r="J1104" s="60"/>
      <c r="K1104" s="60"/>
      <c r="L1104" s="160"/>
      <c r="M1104" s="60"/>
      <c r="N1104" s="60"/>
      <c r="O1104" s="60">
        <f>N1104*J1104*K1104*M1104</f>
        <v>0</v>
      </c>
      <c r="P1104" s="60">
        <f>J1104*K1104*M1104</f>
        <v>0</v>
      </c>
    </row>
    <row r="1105" spans="1:16" s="38" customFormat="1" ht="11.45" customHeight="1" outlineLevel="1" x14ac:dyDescent="0.25">
      <c r="A1105" s="124"/>
      <c r="B1105" s="142"/>
      <c r="C1105" s="115"/>
      <c r="D1105" s="115"/>
      <c r="E1105" s="115"/>
      <c r="F1105" s="115"/>
      <c r="G1105" s="60" t="s">
        <v>126</v>
      </c>
      <c r="H1105" s="124"/>
      <c r="I1105" s="124"/>
      <c r="J1105" s="60"/>
      <c r="K1105" s="60"/>
      <c r="L1105" s="160"/>
      <c r="M1105" s="60"/>
      <c r="N1105" s="60"/>
      <c r="O1105" s="60">
        <f t="shared" ref="O1105:O1110" si="249">N1105*J1105*K1105*M1105</f>
        <v>0</v>
      </c>
      <c r="P1105" s="60">
        <f t="shared" ref="P1105:P1110" si="250">J1105*K1105*M1105</f>
        <v>0</v>
      </c>
    </row>
    <row r="1106" spans="1:16" s="38" customFormat="1" ht="10.7" customHeight="1" outlineLevel="1" x14ac:dyDescent="0.25">
      <c r="A1106" s="124"/>
      <c r="B1106" s="142"/>
      <c r="C1106" s="115"/>
      <c r="D1106" s="115"/>
      <c r="E1106" s="115"/>
      <c r="F1106" s="115"/>
      <c r="G1106" s="60" t="s">
        <v>127</v>
      </c>
      <c r="H1106" s="124"/>
      <c r="I1106" s="124"/>
      <c r="J1106" s="60"/>
      <c r="K1106" s="60"/>
      <c r="L1106" s="160"/>
      <c r="M1106" s="60"/>
      <c r="N1106" s="60"/>
      <c r="O1106" s="60">
        <f t="shared" si="249"/>
        <v>0</v>
      </c>
      <c r="P1106" s="60">
        <f t="shared" si="250"/>
        <v>0</v>
      </c>
    </row>
    <row r="1107" spans="1:16" s="38" customFormat="1" ht="10.7" customHeight="1" outlineLevel="1" x14ac:dyDescent="0.25">
      <c r="A1107" s="124"/>
      <c r="B1107" s="142"/>
      <c r="C1107" s="115"/>
      <c r="D1107" s="115"/>
      <c r="E1107" s="115"/>
      <c r="F1107" s="115"/>
      <c r="G1107" s="60" t="s">
        <v>128</v>
      </c>
      <c r="H1107" s="124"/>
      <c r="I1107" s="124"/>
      <c r="J1107" s="60"/>
      <c r="K1107" s="60"/>
      <c r="L1107" s="160"/>
      <c r="M1107" s="60"/>
      <c r="N1107" s="60"/>
      <c r="O1107" s="60">
        <f t="shared" si="249"/>
        <v>0</v>
      </c>
      <c r="P1107" s="60">
        <f t="shared" si="250"/>
        <v>0</v>
      </c>
    </row>
    <row r="1108" spans="1:16" s="38" customFormat="1" ht="10.7" customHeight="1" outlineLevel="1" x14ac:dyDescent="0.25">
      <c r="A1108" s="124"/>
      <c r="B1108" s="142"/>
      <c r="C1108" s="115"/>
      <c r="D1108" s="115"/>
      <c r="E1108" s="115"/>
      <c r="F1108" s="115"/>
      <c r="G1108" s="60" t="s">
        <v>129</v>
      </c>
      <c r="H1108" s="124"/>
      <c r="I1108" s="124"/>
      <c r="J1108" s="60"/>
      <c r="K1108" s="60"/>
      <c r="L1108" s="160"/>
      <c r="M1108" s="60"/>
      <c r="N1108" s="60"/>
      <c r="O1108" s="60">
        <f t="shared" si="249"/>
        <v>0</v>
      </c>
      <c r="P1108" s="60">
        <f t="shared" si="250"/>
        <v>0</v>
      </c>
    </row>
    <row r="1109" spans="1:16" s="38" customFormat="1" ht="10.7" customHeight="1" outlineLevel="1" x14ac:dyDescent="0.25">
      <c r="A1109" s="124"/>
      <c r="B1109" s="142"/>
      <c r="C1109" s="115"/>
      <c r="D1109" s="115"/>
      <c r="E1109" s="115"/>
      <c r="F1109" s="115"/>
      <c r="G1109" s="60" t="s">
        <v>130</v>
      </c>
      <c r="H1109" s="124"/>
      <c r="I1109" s="124"/>
      <c r="J1109" s="60"/>
      <c r="K1109" s="60"/>
      <c r="L1109" s="160"/>
      <c r="M1109" s="60"/>
      <c r="N1109" s="60"/>
      <c r="O1109" s="60">
        <f t="shared" si="249"/>
        <v>0</v>
      </c>
      <c r="P1109" s="60">
        <f t="shared" si="250"/>
        <v>0</v>
      </c>
    </row>
    <row r="1110" spans="1:16" s="38" customFormat="1" ht="12" customHeight="1" outlineLevel="1" thickBot="1" x14ac:dyDescent="0.3">
      <c r="A1110" s="125"/>
      <c r="B1110" s="143"/>
      <c r="C1110" s="131"/>
      <c r="D1110" s="131"/>
      <c r="E1110" s="131"/>
      <c r="F1110" s="131"/>
      <c r="G1110" s="60" t="s">
        <v>131</v>
      </c>
      <c r="H1110" s="134"/>
      <c r="I1110" s="134"/>
      <c r="J1110" s="60"/>
      <c r="K1110" s="60"/>
      <c r="L1110" s="160"/>
      <c r="M1110" s="60"/>
      <c r="N1110" s="60"/>
      <c r="O1110" s="60">
        <f t="shared" si="249"/>
        <v>0</v>
      </c>
      <c r="P1110" s="60">
        <f t="shared" si="250"/>
        <v>0</v>
      </c>
    </row>
    <row r="1111" spans="1:16" s="38" customFormat="1" ht="14.45" customHeight="1" outlineLevel="1" x14ac:dyDescent="0.25">
      <c r="A1111" s="140" t="s">
        <v>838</v>
      </c>
      <c r="B1111" s="141" t="s">
        <v>839</v>
      </c>
      <c r="C1111" s="130">
        <f>SUM(O1111:O1117)</f>
        <v>0</v>
      </c>
      <c r="D1111" s="130">
        <f>SUM(P1111:P1117)</f>
        <v>0</v>
      </c>
      <c r="E1111" s="130">
        <f t="shared" si="246"/>
        <v>0</v>
      </c>
      <c r="F1111" s="130"/>
      <c r="G1111" s="60" t="s">
        <v>125</v>
      </c>
      <c r="H1111" s="123"/>
      <c r="I1111" s="123"/>
      <c r="J1111" s="60"/>
      <c r="K1111" s="60"/>
      <c r="L1111" s="160"/>
      <c r="M1111" s="60"/>
      <c r="N1111" s="60"/>
      <c r="O1111" s="60">
        <f>N1111*J1111*K1111*M1111</f>
        <v>0</v>
      </c>
      <c r="P1111" s="60">
        <f>J1111*K1111*M1111</f>
        <v>0</v>
      </c>
    </row>
    <row r="1112" spans="1:16" s="38" customFormat="1" ht="11.45" customHeight="1" outlineLevel="1" x14ac:dyDescent="0.25">
      <c r="A1112" s="124"/>
      <c r="B1112" s="142"/>
      <c r="C1112" s="115"/>
      <c r="D1112" s="115"/>
      <c r="E1112" s="115"/>
      <c r="F1112" s="115"/>
      <c r="G1112" s="60" t="s">
        <v>126</v>
      </c>
      <c r="H1112" s="124"/>
      <c r="I1112" s="124"/>
      <c r="J1112" s="60"/>
      <c r="K1112" s="60"/>
      <c r="L1112" s="160"/>
      <c r="M1112" s="60"/>
      <c r="N1112" s="60"/>
      <c r="O1112" s="60">
        <f t="shared" ref="O1112:O1117" si="251">N1112*J1112*K1112*M1112</f>
        <v>0</v>
      </c>
      <c r="P1112" s="60">
        <f t="shared" ref="P1112:P1117" si="252">J1112*K1112*M1112</f>
        <v>0</v>
      </c>
    </row>
    <row r="1113" spans="1:16" s="38" customFormat="1" ht="10.7" customHeight="1" outlineLevel="1" x14ac:dyDescent="0.25">
      <c r="A1113" s="124"/>
      <c r="B1113" s="142"/>
      <c r="C1113" s="115"/>
      <c r="D1113" s="115"/>
      <c r="E1113" s="115"/>
      <c r="F1113" s="115"/>
      <c r="G1113" s="60" t="s">
        <v>127</v>
      </c>
      <c r="H1113" s="124"/>
      <c r="I1113" s="124"/>
      <c r="J1113" s="60"/>
      <c r="K1113" s="60"/>
      <c r="L1113" s="160"/>
      <c r="M1113" s="60"/>
      <c r="N1113" s="60"/>
      <c r="O1113" s="60">
        <f t="shared" si="251"/>
        <v>0</v>
      </c>
      <c r="P1113" s="60">
        <f t="shared" si="252"/>
        <v>0</v>
      </c>
    </row>
    <row r="1114" spans="1:16" s="38" customFormat="1" ht="10.7" customHeight="1" outlineLevel="1" x14ac:dyDescent="0.25">
      <c r="A1114" s="124"/>
      <c r="B1114" s="142"/>
      <c r="C1114" s="115"/>
      <c r="D1114" s="115"/>
      <c r="E1114" s="115"/>
      <c r="F1114" s="115"/>
      <c r="G1114" s="60" t="s">
        <v>128</v>
      </c>
      <c r="H1114" s="124"/>
      <c r="I1114" s="124"/>
      <c r="J1114" s="60"/>
      <c r="K1114" s="60"/>
      <c r="L1114" s="160"/>
      <c r="M1114" s="60"/>
      <c r="N1114" s="60"/>
      <c r="O1114" s="60">
        <f t="shared" si="251"/>
        <v>0</v>
      </c>
      <c r="P1114" s="60">
        <f t="shared" si="252"/>
        <v>0</v>
      </c>
    </row>
    <row r="1115" spans="1:16" s="38" customFormat="1" ht="10.7" customHeight="1" outlineLevel="1" x14ac:dyDescent="0.25">
      <c r="A1115" s="124"/>
      <c r="B1115" s="142"/>
      <c r="C1115" s="115"/>
      <c r="D1115" s="115"/>
      <c r="E1115" s="115"/>
      <c r="F1115" s="115"/>
      <c r="G1115" s="60" t="s">
        <v>129</v>
      </c>
      <c r="H1115" s="124"/>
      <c r="I1115" s="124"/>
      <c r="J1115" s="60"/>
      <c r="K1115" s="60"/>
      <c r="L1115" s="160"/>
      <c r="M1115" s="60"/>
      <c r="N1115" s="60"/>
      <c r="O1115" s="60">
        <f t="shared" si="251"/>
        <v>0</v>
      </c>
      <c r="P1115" s="60">
        <f t="shared" si="252"/>
        <v>0</v>
      </c>
    </row>
    <row r="1116" spans="1:16" s="38" customFormat="1" ht="10.7" customHeight="1" outlineLevel="1" x14ac:dyDescent="0.25">
      <c r="A1116" s="124"/>
      <c r="B1116" s="142"/>
      <c r="C1116" s="115"/>
      <c r="D1116" s="115"/>
      <c r="E1116" s="115"/>
      <c r="F1116" s="115"/>
      <c r="G1116" s="60" t="s">
        <v>130</v>
      </c>
      <c r="H1116" s="124"/>
      <c r="I1116" s="124"/>
      <c r="J1116" s="60"/>
      <c r="K1116" s="60"/>
      <c r="L1116" s="160"/>
      <c r="M1116" s="60"/>
      <c r="N1116" s="60"/>
      <c r="O1116" s="60">
        <f t="shared" si="251"/>
        <v>0</v>
      </c>
      <c r="P1116" s="60">
        <f t="shared" si="252"/>
        <v>0</v>
      </c>
    </row>
    <row r="1117" spans="1:16" s="38" customFormat="1" ht="12" customHeight="1" outlineLevel="1" thickBot="1" x14ac:dyDescent="0.3">
      <c r="A1117" s="125"/>
      <c r="B1117" s="143"/>
      <c r="C1117" s="131"/>
      <c r="D1117" s="131"/>
      <c r="E1117" s="131"/>
      <c r="F1117" s="131"/>
      <c r="G1117" s="60" t="s">
        <v>131</v>
      </c>
      <c r="H1117" s="134"/>
      <c r="I1117" s="134"/>
      <c r="J1117" s="60"/>
      <c r="K1117" s="60"/>
      <c r="L1117" s="160"/>
      <c r="M1117" s="60"/>
      <c r="N1117" s="60"/>
      <c r="O1117" s="60">
        <f t="shared" si="251"/>
        <v>0</v>
      </c>
      <c r="P1117" s="60">
        <f t="shared" si="252"/>
        <v>0</v>
      </c>
    </row>
    <row r="1118" spans="1:16" s="38" customFormat="1" ht="14.45" customHeight="1" outlineLevel="1" x14ac:dyDescent="0.25">
      <c r="A1118" s="140" t="s">
        <v>840</v>
      </c>
      <c r="B1118" s="141" t="s">
        <v>841</v>
      </c>
      <c r="C1118" s="130">
        <f>SUM(O1118:O1124)</f>
        <v>0</v>
      </c>
      <c r="D1118" s="130">
        <f>SUM(P1118:P1124)</f>
        <v>0</v>
      </c>
      <c r="E1118" s="130">
        <f t="shared" si="246"/>
        <v>0</v>
      </c>
      <c r="F1118" s="130"/>
      <c r="G1118" s="60" t="s">
        <v>125</v>
      </c>
      <c r="H1118" s="123"/>
      <c r="I1118" s="123"/>
      <c r="J1118" s="60"/>
      <c r="K1118" s="60"/>
      <c r="L1118" s="160"/>
      <c r="M1118" s="60"/>
      <c r="N1118" s="60"/>
      <c r="O1118" s="60">
        <f>N1118*J1118*K1118*M1118</f>
        <v>0</v>
      </c>
      <c r="P1118" s="60">
        <f>J1118*K1118*M1118</f>
        <v>0</v>
      </c>
    </row>
    <row r="1119" spans="1:16" s="38" customFormat="1" ht="11.45" customHeight="1" outlineLevel="1" x14ac:dyDescent="0.25">
      <c r="A1119" s="124"/>
      <c r="B1119" s="142"/>
      <c r="C1119" s="115"/>
      <c r="D1119" s="115"/>
      <c r="E1119" s="115"/>
      <c r="F1119" s="115"/>
      <c r="G1119" s="60" t="s">
        <v>126</v>
      </c>
      <c r="H1119" s="124"/>
      <c r="I1119" s="124"/>
      <c r="J1119" s="60"/>
      <c r="K1119" s="60"/>
      <c r="L1119" s="160"/>
      <c r="M1119" s="60"/>
      <c r="N1119" s="60"/>
      <c r="O1119" s="60">
        <f t="shared" ref="O1119:O1124" si="253">N1119*J1119*K1119*M1119</f>
        <v>0</v>
      </c>
      <c r="P1119" s="60">
        <f t="shared" ref="P1119:P1124" si="254">J1119*K1119*M1119</f>
        <v>0</v>
      </c>
    </row>
    <row r="1120" spans="1:16" s="38" customFormat="1" ht="10.7" customHeight="1" outlineLevel="1" x14ac:dyDescent="0.25">
      <c r="A1120" s="124"/>
      <c r="B1120" s="142"/>
      <c r="C1120" s="115"/>
      <c r="D1120" s="115"/>
      <c r="E1120" s="115"/>
      <c r="F1120" s="115"/>
      <c r="G1120" s="60" t="s">
        <v>127</v>
      </c>
      <c r="H1120" s="124"/>
      <c r="I1120" s="124"/>
      <c r="J1120" s="60"/>
      <c r="K1120" s="60"/>
      <c r="L1120" s="160"/>
      <c r="M1120" s="60"/>
      <c r="N1120" s="60"/>
      <c r="O1120" s="60">
        <f t="shared" si="253"/>
        <v>0</v>
      </c>
      <c r="P1120" s="60">
        <f t="shared" si="254"/>
        <v>0</v>
      </c>
    </row>
    <row r="1121" spans="1:16" s="38" customFormat="1" ht="10.7" customHeight="1" outlineLevel="1" x14ac:dyDescent="0.25">
      <c r="A1121" s="124"/>
      <c r="B1121" s="142"/>
      <c r="C1121" s="115"/>
      <c r="D1121" s="115"/>
      <c r="E1121" s="115"/>
      <c r="F1121" s="115"/>
      <c r="G1121" s="60" t="s">
        <v>128</v>
      </c>
      <c r="H1121" s="124"/>
      <c r="I1121" s="124"/>
      <c r="J1121" s="60"/>
      <c r="K1121" s="60"/>
      <c r="L1121" s="160"/>
      <c r="M1121" s="60"/>
      <c r="N1121" s="60"/>
      <c r="O1121" s="60">
        <f t="shared" si="253"/>
        <v>0</v>
      </c>
      <c r="P1121" s="60">
        <f t="shared" si="254"/>
        <v>0</v>
      </c>
    </row>
    <row r="1122" spans="1:16" s="38" customFormat="1" ht="10.7" customHeight="1" outlineLevel="1" x14ac:dyDescent="0.25">
      <c r="A1122" s="124"/>
      <c r="B1122" s="142"/>
      <c r="C1122" s="115"/>
      <c r="D1122" s="115"/>
      <c r="E1122" s="115"/>
      <c r="F1122" s="115"/>
      <c r="G1122" s="60" t="s">
        <v>129</v>
      </c>
      <c r="H1122" s="124"/>
      <c r="I1122" s="124"/>
      <c r="J1122" s="60"/>
      <c r="K1122" s="60"/>
      <c r="L1122" s="160"/>
      <c r="M1122" s="60"/>
      <c r="N1122" s="60"/>
      <c r="O1122" s="60">
        <f t="shared" si="253"/>
        <v>0</v>
      </c>
      <c r="P1122" s="60">
        <f t="shared" si="254"/>
        <v>0</v>
      </c>
    </row>
    <row r="1123" spans="1:16" s="38" customFormat="1" ht="10.7" customHeight="1" outlineLevel="1" x14ac:dyDescent="0.25">
      <c r="A1123" s="124"/>
      <c r="B1123" s="142"/>
      <c r="C1123" s="115"/>
      <c r="D1123" s="115"/>
      <c r="E1123" s="115"/>
      <c r="F1123" s="115"/>
      <c r="G1123" s="60" t="s">
        <v>130</v>
      </c>
      <c r="H1123" s="124"/>
      <c r="I1123" s="124"/>
      <c r="J1123" s="60"/>
      <c r="K1123" s="60"/>
      <c r="L1123" s="160"/>
      <c r="M1123" s="60"/>
      <c r="N1123" s="60"/>
      <c r="O1123" s="60">
        <f t="shared" si="253"/>
        <v>0</v>
      </c>
      <c r="P1123" s="60">
        <f t="shared" si="254"/>
        <v>0</v>
      </c>
    </row>
    <row r="1124" spans="1:16" s="38" customFormat="1" ht="12" customHeight="1" outlineLevel="1" thickBot="1" x14ac:dyDescent="0.3">
      <c r="A1124" s="125"/>
      <c r="B1124" s="143"/>
      <c r="C1124" s="131"/>
      <c r="D1124" s="131"/>
      <c r="E1124" s="131"/>
      <c r="F1124" s="131"/>
      <c r="G1124" s="60" t="s">
        <v>131</v>
      </c>
      <c r="H1124" s="134"/>
      <c r="I1124" s="134"/>
      <c r="J1124" s="60"/>
      <c r="K1124" s="60"/>
      <c r="L1124" s="160"/>
      <c r="M1124" s="60"/>
      <c r="N1124" s="60"/>
      <c r="O1124" s="60">
        <f t="shared" si="253"/>
        <v>0</v>
      </c>
      <c r="P1124" s="60">
        <f t="shared" si="254"/>
        <v>0</v>
      </c>
    </row>
    <row r="1125" spans="1:16" s="38" customFormat="1" ht="14.45" customHeight="1" outlineLevel="1" x14ac:dyDescent="0.25">
      <c r="A1125" s="140" t="s">
        <v>842</v>
      </c>
      <c r="B1125" s="141" t="s">
        <v>843</v>
      </c>
      <c r="C1125" s="130">
        <f>SUM(O1125:O1131)</f>
        <v>0</v>
      </c>
      <c r="D1125" s="130">
        <f>SUM(P1125:P1131)</f>
        <v>0</v>
      </c>
      <c r="E1125" s="130">
        <f t="shared" si="246"/>
        <v>0</v>
      </c>
      <c r="F1125" s="130"/>
      <c r="G1125" s="60" t="s">
        <v>125</v>
      </c>
      <c r="H1125" s="123"/>
      <c r="I1125" s="123"/>
      <c r="J1125" s="60"/>
      <c r="K1125" s="60"/>
      <c r="L1125" s="160"/>
      <c r="M1125" s="60"/>
      <c r="N1125" s="60"/>
      <c r="O1125" s="60">
        <f>N1125*J1125*K1125*M1125</f>
        <v>0</v>
      </c>
      <c r="P1125" s="60">
        <f>J1125*K1125*M1125</f>
        <v>0</v>
      </c>
    </row>
    <row r="1126" spans="1:16" s="38" customFormat="1" ht="11.45" customHeight="1" outlineLevel="1" x14ac:dyDescent="0.25">
      <c r="A1126" s="124"/>
      <c r="B1126" s="142"/>
      <c r="C1126" s="115"/>
      <c r="D1126" s="115"/>
      <c r="E1126" s="115"/>
      <c r="F1126" s="115"/>
      <c r="G1126" s="60" t="s">
        <v>126</v>
      </c>
      <c r="H1126" s="124"/>
      <c r="I1126" s="124"/>
      <c r="J1126" s="60"/>
      <c r="K1126" s="60"/>
      <c r="L1126" s="160"/>
      <c r="M1126" s="60"/>
      <c r="N1126" s="60"/>
      <c r="O1126" s="60">
        <f t="shared" ref="O1126:O1131" si="255">N1126*J1126*K1126*M1126</f>
        <v>0</v>
      </c>
      <c r="P1126" s="60">
        <f t="shared" ref="P1126:P1131" si="256">J1126*K1126*M1126</f>
        <v>0</v>
      </c>
    </row>
    <row r="1127" spans="1:16" s="38" customFormat="1" ht="10.7" customHeight="1" outlineLevel="1" x14ac:dyDescent="0.25">
      <c r="A1127" s="124"/>
      <c r="B1127" s="142"/>
      <c r="C1127" s="115"/>
      <c r="D1127" s="115"/>
      <c r="E1127" s="115"/>
      <c r="F1127" s="115"/>
      <c r="G1127" s="60" t="s">
        <v>127</v>
      </c>
      <c r="H1127" s="124"/>
      <c r="I1127" s="124"/>
      <c r="J1127" s="60"/>
      <c r="K1127" s="60"/>
      <c r="L1127" s="160"/>
      <c r="M1127" s="60"/>
      <c r="N1127" s="60"/>
      <c r="O1127" s="60">
        <f t="shared" si="255"/>
        <v>0</v>
      </c>
      <c r="P1127" s="60">
        <f t="shared" si="256"/>
        <v>0</v>
      </c>
    </row>
    <row r="1128" spans="1:16" s="38" customFormat="1" ht="10.7" customHeight="1" outlineLevel="1" x14ac:dyDescent="0.25">
      <c r="A1128" s="124"/>
      <c r="B1128" s="142"/>
      <c r="C1128" s="115"/>
      <c r="D1128" s="115"/>
      <c r="E1128" s="115"/>
      <c r="F1128" s="115"/>
      <c r="G1128" s="60" t="s">
        <v>128</v>
      </c>
      <c r="H1128" s="124"/>
      <c r="I1128" s="124"/>
      <c r="J1128" s="60"/>
      <c r="K1128" s="60"/>
      <c r="L1128" s="160"/>
      <c r="M1128" s="60"/>
      <c r="N1128" s="60"/>
      <c r="O1128" s="60">
        <f t="shared" si="255"/>
        <v>0</v>
      </c>
      <c r="P1128" s="60">
        <f t="shared" si="256"/>
        <v>0</v>
      </c>
    </row>
    <row r="1129" spans="1:16" s="38" customFormat="1" ht="10.7" customHeight="1" outlineLevel="1" x14ac:dyDescent="0.25">
      <c r="A1129" s="124"/>
      <c r="B1129" s="142"/>
      <c r="C1129" s="115"/>
      <c r="D1129" s="115"/>
      <c r="E1129" s="115"/>
      <c r="F1129" s="115"/>
      <c r="G1129" s="60" t="s">
        <v>129</v>
      </c>
      <c r="H1129" s="124"/>
      <c r="I1129" s="124"/>
      <c r="J1129" s="60"/>
      <c r="K1129" s="60"/>
      <c r="L1129" s="160"/>
      <c r="M1129" s="60"/>
      <c r="N1129" s="60"/>
      <c r="O1129" s="60">
        <f t="shared" si="255"/>
        <v>0</v>
      </c>
      <c r="P1129" s="60">
        <f t="shared" si="256"/>
        <v>0</v>
      </c>
    </row>
    <row r="1130" spans="1:16" s="38" customFormat="1" ht="10.7" customHeight="1" outlineLevel="1" x14ac:dyDescent="0.25">
      <c r="A1130" s="124"/>
      <c r="B1130" s="142"/>
      <c r="C1130" s="115"/>
      <c r="D1130" s="115"/>
      <c r="E1130" s="115"/>
      <c r="F1130" s="115"/>
      <c r="G1130" s="60" t="s">
        <v>130</v>
      </c>
      <c r="H1130" s="124"/>
      <c r="I1130" s="124"/>
      <c r="J1130" s="60"/>
      <c r="K1130" s="60"/>
      <c r="L1130" s="160"/>
      <c r="M1130" s="60"/>
      <c r="N1130" s="60"/>
      <c r="O1130" s="60">
        <f t="shared" si="255"/>
        <v>0</v>
      </c>
      <c r="P1130" s="60">
        <f t="shared" si="256"/>
        <v>0</v>
      </c>
    </row>
    <row r="1131" spans="1:16" s="38" customFormat="1" ht="12" customHeight="1" outlineLevel="1" thickBot="1" x14ac:dyDescent="0.3">
      <c r="A1131" s="125"/>
      <c r="B1131" s="143"/>
      <c r="C1131" s="131"/>
      <c r="D1131" s="131"/>
      <c r="E1131" s="131"/>
      <c r="F1131" s="131"/>
      <c r="G1131" s="60" t="s">
        <v>131</v>
      </c>
      <c r="H1131" s="134"/>
      <c r="I1131" s="134"/>
      <c r="J1131" s="60"/>
      <c r="K1131" s="60"/>
      <c r="L1131" s="160"/>
      <c r="M1131" s="60"/>
      <c r="N1131" s="60"/>
      <c r="O1131" s="60">
        <f t="shared" si="255"/>
        <v>0</v>
      </c>
      <c r="P1131" s="60">
        <f t="shared" si="256"/>
        <v>0</v>
      </c>
    </row>
    <row r="1132" spans="1:16" s="38" customFormat="1" ht="14.45" customHeight="1" outlineLevel="1" x14ac:dyDescent="0.25">
      <c r="A1132" s="140" t="s">
        <v>844</v>
      </c>
      <c r="B1132" s="141" t="s">
        <v>845</v>
      </c>
      <c r="C1132" s="130">
        <f>SUM(O1132:O1138)</f>
        <v>0</v>
      </c>
      <c r="D1132" s="130">
        <f>SUM(P1132:P1138)</f>
        <v>0</v>
      </c>
      <c r="E1132" s="130">
        <f t="shared" si="246"/>
        <v>0</v>
      </c>
      <c r="F1132" s="130"/>
      <c r="G1132" s="60" t="s">
        <v>125</v>
      </c>
      <c r="H1132" s="123"/>
      <c r="I1132" s="123"/>
      <c r="J1132" s="60"/>
      <c r="K1132" s="60"/>
      <c r="L1132" s="160"/>
      <c r="M1132" s="60"/>
      <c r="N1132" s="60"/>
      <c r="O1132" s="60">
        <f>N1132*J1132*K1132*M1132</f>
        <v>0</v>
      </c>
      <c r="P1132" s="60">
        <f>J1132*K1132*M1132</f>
        <v>0</v>
      </c>
    </row>
    <row r="1133" spans="1:16" s="38" customFormat="1" ht="11.45" customHeight="1" outlineLevel="1" x14ac:dyDescent="0.25">
      <c r="A1133" s="124"/>
      <c r="B1133" s="142"/>
      <c r="C1133" s="115"/>
      <c r="D1133" s="115"/>
      <c r="E1133" s="115"/>
      <c r="F1133" s="115"/>
      <c r="G1133" s="60" t="s">
        <v>126</v>
      </c>
      <c r="H1133" s="124"/>
      <c r="I1133" s="124"/>
      <c r="J1133" s="60"/>
      <c r="K1133" s="60"/>
      <c r="L1133" s="160"/>
      <c r="M1133" s="60"/>
      <c r="N1133" s="60"/>
      <c r="O1133" s="60">
        <f t="shared" ref="O1133:O1138" si="257">N1133*J1133*K1133*M1133</f>
        <v>0</v>
      </c>
      <c r="P1133" s="60">
        <f t="shared" ref="P1133:P1138" si="258">J1133*K1133*M1133</f>
        <v>0</v>
      </c>
    </row>
    <row r="1134" spans="1:16" s="38" customFormat="1" ht="10.7" customHeight="1" outlineLevel="1" x14ac:dyDescent="0.25">
      <c r="A1134" s="124"/>
      <c r="B1134" s="142"/>
      <c r="C1134" s="115"/>
      <c r="D1134" s="115"/>
      <c r="E1134" s="115"/>
      <c r="F1134" s="115"/>
      <c r="G1134" s="60" t="s">
        <v>127</v>
      </c>
      <c r="H1134" s="124"/>
      <c r="I1134" s="124"/>
      <c r="J1134" s="60"/>
      <c r="K1134" s="60"/>
      <c r="L1134" s="160"/>
      <c r="M1134" s="60"/>
      <c r="N1134" s="60"/>
      <c r="O1134" s="60">
        <f t="shared" si="257"/>
        <v>0</v>
      </c>
      <c r="P1134" s="60">
        <f t="shared" si="258"/>
        <v>0</v>
      </c>
    </row>
    <row r="1135" spans="1:16" s="38" customFormat="1" ht="10.7" customHeight="1" outlineLevel="1" x14ac:dyDescent="0.25">
      <c r="A1135" s="124"/>
      <c r="B1135" s="142"/>
      <c r="C1135" s="115"/>
      <c r="D1135" s="115"/>
      <c r="E1135" s="115"/>
      <c r="F1135" s="115"/>
      <c r="G1135" s="60" t="s">
        <v>128</v>
      </c>
      <c r="H1135" s="124"/>
      <c r="I1135" s="124"/>
      <c r="J1135" s="60"/>
      <c r="K1135" s="60"/>
      <c r="L1135" s="160"/>
      <c r="M1135" s="60"/>
      <c r="N1135" s="60"/>
      <c r="O1135" s="60">
        <f t="shared" si="257"/>
        <v>0</v>
      </c>
      <c r="P1135" s="60">
        <f t="shared" si="258"/>
        <v>0</v>
      </c>
    </row>
    <row r="1136" spans="1:16" s="38" customFormat="1" ht="10.7" customHeight="1" outlineLevel="1" x14ac:dyDescent="0.25">
      <c r="A1136" s="124"/>
      <c r="B1136" s="142"/>
      <c r="C1136" s="115"/>
      <c r="D1136" s="115"/>
      <c r="E1136" s="115"/>
      <c r="F1136" s="115"/>
      <c r="G1136" s="60" t="s">
        <v>129</v>
      </c>
      <c r="H1136" s="124"/>
      <c r="I1136" s="124"/>
      <c r="J1136" s="60"/>
      <c r="K1136" s="60"/>
      <c r="L1136" s="160"/>
      <c r="M1136" s="60"/>
      <c r="N1136" s="60"/>
      <c r="O1136" s="60">
        <f t="shared" si="257"/>
        <v>0</v>
      </c>
      <c r="P1136" s="60">
        <f t="shared" si="258"/>
        <v>0</v>
      </c>
    </row>
    <row r="1137" spans="1:16" s="38" customFormat="1" ht="10.7" customHeight="1" outlineLevel="1" x14ac:dyDescent="0.25">
      <c r="A1137" s="124"/>
      <c r="B1137" s="142"/>
      <c r="C1137" s="115"/>
      <c r="D1137" s="115"/>
      <c r="E1137" s="115"/>
      <c r="F1137" s="115"/>
      <c r="G1137" s="60" t="s">
        <v>130</v>
      </c>
      <c r="H1137" s="124"/>
      <c r="I1137" s="124"/>
      <c r="J1137" s="60"/>
      <c r="K1137" s="60"/>
      <c r="L1137" s="160"/>
      <c r="M1137" s="60"/>
      <c r="N1137" s="60"/>
      <c r="O1137" s="60">
        <f t="shared" si="257"/>
        <v>0</v>
      </c>
      <c r="P1137" s="60">
        <f t="shared" si="258"/>
        <v>0</v>
      </c>
    </row>
    <row r="1138" spans="1:16" s="38" customFormat="1" ht="12" customHeight="1" outlineLevel="1" thickBot="1" x14ac:dyDescent="0.3">
      <c r="A1138" s="125"/>
      <c r="B1138" s="143"/>
      <c r="C1138" s="131"/>
      <c r="D1138" s="131"/>
      <c r="E1138" s="131"/>
      <c r="F1138" s="131"/>
      <c r="G1138" s="60" t="s">
        <v>131</v>
      </c>
      <c r="H1138" s="134"/>
      <c r="I1138" s="134"/>
      <c r="J1138" s="60"/>
      <c r="K1138" s="60"/>
      <c r="L1138" s="160"/>
      <c r="M1138" s="60"/>
      <c r="N1138" s="60"/>
      <c r="O1138" s="60">
        <f t="shared" si="257"/>
        <v>0</v>
      </c>
      <c r="P1138" s="60">
        <f t="shared" si="258"/>
        <v>0</v>
      </c>
    </row>
    <row r="1139" spans="1:16" s="38" customFormat="1" ht="14.45" customHeight="1" outlineLevel="1" x14ac:dyDescent="0.25">
      <c r="A1139" s="140" t="s">
        <v>846</v>
      </c>
      <c r="B1139" s="141" t="s">
        <v>847</v>
      </c>
      <c r="C1139" s="130">
        <f>SUM(O1139:O1145)</f>
        <v>0</v>
      </c>
      <c r="D1139" s="130">
        <f>SUM(P1139:P1145)</f>
        <v>0</v>
      </c>
      <c r="E1139" s="130">
        <f t="shared" si="246"/>
        <v>0</v>
      </c>
      <c r="F1139" s="130"/>
      <c r="G1139" s="60" t="s">
        <v>125</v>
      </c>
      <c r="H1139" s="123"/>
      <c r="I1139" s="123"/>
      <c r="J1139" s="60"/>
      <c r="K1139" s="60"/>
      <c r="L1139" s="160"/>
      <c r="M1139" s="60"/>
      <c r="N1139" s="60"/>
      <c r="O1139" s="60">
        <f>N1139*J1139*K1139*M1139</f>
        <v>0</v>
      </c>
      <c r="P1139" s="60">
        <f>J1139*K1139*M1139</f>
        <v>0</v>
      </c>
    </row>
    <row r="1140" spans="1:16" s="38" customFormat="1" ht="11.45" customHeight="1" outlineLevel="1" x14ac:dyDescent="0.25">
      <c r="A1140" s="124"/>
      <c r="B1140" s="142"/>
      <c r="C1140" s="115"/>
      <c r="D1140" s="115"/>
      <c r="E1140" s="115"/>
      <c r="F1140" s="115"/>
      <c r="G1140" s="60" t="s">
        <v>126</v>
      </c>
      <c r="H1140" s="124"/>
      <c r="I1140" s="124"/>
      <c r="J1140" s="60"/>
      <c r="K1140" s="60"/>
      <c r="L1140" s="160"/>
      <c r="M1140" s="60"/>
      <c r="N1140" s="60"/>
      <c r="O1140" s="60">
        <f t="shared" ref="O1140:O1145" si="259">N1140*J1140*K1140*M1140</f>
        <v>0</v>
      </c>
      <c r="P1140" s="60">
        <f t="shared" ref="P1140:P1145" si="260">J1140*K1140*M1140</f>
        <v>0</v>
      </c>
    </row>
    <row r="1141" spans="1:16" s="38" customFormat="1" ht="10.7" customHeight="1" outlineLevel="1" x14ac:dyDescent="0.25">
      <c r="A1141" s="124"/>
      <c r="B1141" s="142"/>
      <c r="C1141" s="115"/>
      <c r="D1141" s="115"/>
      <c r="E1141" s="115"/>
      <c r="F1141" s="115"/>
      <c r="G1141" s="60" t="s">
        <v>127</v>
      </c>
      <c r="H1141" s="124"/>
      <c r="I1141" s="124"/>
      <c r="J1141" s="60"/>
      <c r="K1141" s="60"/>
      <c r="L1141" s="160"/>
      <c r="M1141" s="60"/>
      <c r="N1141" s="60"/>
      <c r="O1141" s="60">
        <f t="shared" si="259"/>
        <v>0</v>
      </c>
      <c r="P1141" s="60">
        <f t="shared" si="260"/>
        <v>0</v>
      </c>
    </row>
    <row r="1142" spans="1:16" s="38" customFormat="1" ht="10.7" customHeight="1" outlineLevel="1" x14ac:dyDescent="0.25">
      <c r="A1142" s="124"/>
      <c r="B1142" s="142"/>
      <c r="C1142" s="115"/>
      <c r="D1142" s="115"/>
      <c r="E1142" s="115"/>
      <c r="F1142" s="115"/>
      <c r="G1142" s="60" t="s">
        <v>128</v>
      </c>
      <c r="H1142" s="124"/>
      <c r="I1142" s="124"/>
      <c r="J1142" s="60"/>
      <c r="K1142" s="60"/>
      <c r="L1142" s="160"/>
      <c r="M1142" s="60"/>
      <c r="N1142" s="60"/>
      <c r="O1142" s="60">
        <f t="shared" si="259"/>
        <v>0</v>
      </c>
      <c r="P1142" s="60">
        <f t="shared" si="260"/>
        <v>0</v>
      </c>
    </row>
    <row r="1143" spans="1:16" s="38" customFormat="1" ht="10.7" customHeight="1" outlineLevel="1" x14ac:dyDescent="0.25">
      <c r="A1143" s="124"/>
      <c r="B1143" s="142"/>
      <c r="C1143" s="115"/>
      <c r="D1143" s="115"/>
      <c r="E1143" s="115"/>
      <c r="F1143" s="115"/>
      <c r="G1143" s="60" t="s">
        <v>129</v>
      </c>
      <c r="H1143" s="124"/>
      <c r="I1143" s="124"/>
      <c r="J1143" s="60"/>
      <c r="K1143" s="60"/>
      <c r="L1143" s="160"/>
      <c r="M1143" s="60"/>
      <c r="N1143" s="60"/>
      <c r="O1143" s="60">
        <f t="shared" si="259"/>
        <v>0</v>
      </c>
      <c r="P1143" s="60">
        <f t="shared" si="260"/>
        <v>0</v>
      </c>
    </row>
    <row r="1144" spans="1:16" s="38" customFormat="1" ht="10.7" customHeight="1" outlineLevel="1" x14ac:dyDescent="0.25">
      <c r="A1144" s="124"/>
      <c r="B1144" s="142"/>
      <c r="C1144" s="115"/>
      <c r="D1144" s="115"/>
      <c r="E1144" s="115"/>
      <c r="F1144" s="115"/>
      <c r="G1144" s="60" t="s">
        <v>130</v>
      </c>
      <c r="H1144" s="124"/>
      <c r="I1144" s="124"/>
      <c r="J1144" s="60"/>
      <c r="K1144" s="60"/>
      <c r="L1144" s="160"/>
      <c r="M1144" s="60"/>
      <c r="N1144" s="60"/>
      <c r="O1144" s="60">
        <f t="shared" si="259"/>
        <v>0</v>
      </c>
      <c r="P1144" s="60">
        <f t="shared" si="260"/>
        <v>0</v>
      </c>
    </row>
    <row r="1145" spans="1:16" s="38" customFormat="1" ht="12" customHeight="1" outlineLevel="1" thickBot="1" x14ac:dyDescent="0.3">
      <c r="A1145" s="125"/>
      <c r="B1145" s="143"/>
      <c r="C1145" s="131"/>
      <c r="D1145" s="131"/>
      <c r="E1145" s="131"/>
      <c r="F1145" s="131"/>
      <c r="G1145" s="60" t="s">
        <v>131</v>
      </c>
      <c r="H1145" s="134"/>
      <c r="I1145" s="134"/>
      <c r="J1145" s="60"/>
      <c r="K1145" s="60"/>
      <c r="L1145" s="160"/>
      <c r="M1145" s="60"/>
      <c r="N1145" s="60"/>
      <c r="O1145" s="60">
        <f t="shared" si="259"/>
        <v>0</v>
      </c>
      <c r="P1145" s="60">
        <f t="shared" si="260"/>
        <v>0</v>
      </c>
    </row>
    <row r="1146" spans="1:16" s="38" customFormat="1" ht="14.45" customHeight="1" outlineLevel="1" x14ac:dyDescent="0.25">
      <c r="A1146" s="140" t="s">
        <v>848</v>
      </c>
      <c r="B1146" s="141" t="s">
        <v>849</v>
      </c>
      <c r="C1146" s="130">
        <f>SUM(O1146:O1152)</f>
        <v>0</v>
      </c>
      <c r="D1146" s="130">
        <f>SUM(P1146:P1152)</f>
        <v>0</v>
      </c>
      <c r="E1146" s="130">
        <f t="shared" si="246"/>
        <v>0</v>
      </c>
      <c r="F1146" s="130"/>
      <c r="G1146" s="60" t="s">
        <v>125</v>
      </c>
      <c r="H1146" s="123"/>
      <c r="I1146" s="123"/>
      <c r="J1146" s="60"/>
      <c r="K1146" s="60"/>
      <c r="L1146" s="160"/>
      <c r="M1146" s="60"/>
      <c r="N1146" s="60"/>
      <c r="O1146" s="60">
        <f>N1146*J1146*K1146*M1146</f>
        <v>0</v>
      </c>
      <c r="P1146" s="60">
        <f>J1146*K1146*M1146</f>
        <v>0</v>
      </c>
    </row>
    <row r="1147" spans="1:16" s="38" customFormat="1" ht="11.45" customHeight="1" outlineLevel="1" x14ac:dyDescent="0.25">
      <c r="A1147" s="124"/>
      <c r="B1147" s="142"/>
      <c r="C1147" s="115"/>
      <c r="D1147" s="115"/>
      <c r="E1147" s="115"/>
      <c r="F1147" s="115"/>
      <c r="G1147" s="60" t="s">
        <v>126</v>
      </c>
      <c r="H1147" s="124"/>
      <c r="I1147" s="124"/>
      <c r="J1147" s="60"/>
      <c r="K1147" s="60"/>
      <c r="L1147" s="160"/>
      <c r="M1147" s="60"/>
      <c r="N1147" s="60"/>
      <c r="O1147" s="60">
        <f t="shared" ref="O1147:O1152" si="261">N1147*J1147*K1147*M1147</f>
        <v>0</v>
      </c>
      <c r="P1147" s="60">
        <f t="shared" ref="P1147:P1152" si="262">J1147*K1147*M1147</f>
        <v>0</v>
      </c>
    </row>
    <row r="1148" spans="1:16" s="38" customFormat="1" ht="10.7" customHeight="1" outlineLevel="1" x14ac:dyDescent="0.25">
      <c r="A1148" s="124"/>
      <c r="B1148" s="142"/>
      <c r="C1148" s="115"/>
      <c r="D1148" s="115"/>
      <c r="E1148" s="115"/>
      <c r="F1148" s="115"/>
      <c r="G1148" s="60" t="s">
        <v>127</v>
      </c>
      <c r="H1148" s="124"/>
      <c r="I1148" s="124"/>
      <c r="J1148" s="60"/>
      <c r="K1148" s="60"/>
      <c r="L1148" s="160"/>
      <c r="M1148" s="60"/>
      <c r="N1148" s="60"/>
      <c r="O1148" s="60">
        <f t="shared" si="261"/>
        <v>0</v>
      </c>
      <c r="P1148" s="60">
        <f t="shared" si="262"/>
        <v>0</v>
      </c>
    </row>
    <row r="1149" spans="1:16" s="38" customFormat="1" ht="10.7" customHeight="1" outlineLevel="1" x14ac:dyDescent="0.25">
      <c r="A1149" s="124"/>
      <c r="B1149" s="142"/>
      <c r="C1149" s="115"/>
      <c r="D1149" s="115"/>
      <c r="E1149" s="115"/>
      <c r="F1149" s="115"/>
      <c r="G1149" s="60" t="s">
        <v>128</v>
      </c>
      <c r="H1149" s="124"/>
      <c r="I1149" s="124"/>
      <c r="J1149" s="60"/>
      <c r="K1149" s="60"/>
      <c r="L1149" s="160"/>
      <c r="M1149" s="60"/>
      <c r="N1149" s="60"/>
      <c r="O1149" s="60">
        <f t="shared" si="261"/>
        <v>0</v>
      </c>
      <c r="P1149" s="60">
        <f t="shared" si="262"/>
        <v>0</v>
      </c>
    </row>
    <row r="1150" spans="1:16" s="38" customFormat="1" ht="10.7" customHeight="1" outlineLevel="1" x14ac:dyDescent="0.25">
      <c r="A1150" s="124"/>
      <c r="B1150" s="142"/>
      <c r="C1150" s="115"/>
      <c r="D1150" s="115"/>
      <c r="E1150" s="115"/>
      <c r="F1150" s="115"/>
      <c r="G1150" s="60" t="s">
        <v>129</v>
      </c>
      <c r="H1150" s="124"/>
      <c r="I1150" s="124"/>
      <c r="J1150" s="60"/>
      <c r="K1150" s="60"/>
      <c r="L1150" s="160"/>
      <c r="M1150" s="60"/>
      <c r="N1150" s="60"/>
      <c r="O1150" s="60">
        <f t="shared" si="261"/>
        <v>0</v>
      </c>
      <c r="P1150" s="60">
        <f t="shared" si="262"/>
        <v>0</v>
      </c>
    </row>
    <row r="1151" spans="1:16" s="38" customFormat="1" ht="10.7" customHeight="1" outlineLevel="1" x14ac:dyDescent="0.25">
      <c r="A1151" s="124"/>
      <c r="B1151" s="142"/>
      <c r="C1151" s="115"/>
      <c r="D1151" s="115"/>
      <c r="E1151" s="115"/>
      <c r="F1151" s="115"/>
      <c r="G1151" s="60" t="s">
        <v>130</v>
      </c>
      <c r="H1151" s="124"/>
      <c r="I1151" s="124"/>
      <c r="J1151" s="60"/>
      <c r="K1151" s="60"/>
      <c r="L1151" s="160"/>
      <c r="M1151" s="60"/>
      <c r="N1151" s="60"/>
      <c r="O1151" s="60">
        <f t="shared" si="261"/>
        <v>0</v>
      </c>
      <c r="P1151" s="60">
        <f t="shared" si="262"/>
        <v>0</v>
      </c>
    </row>
    <row r="1152" spans="1:16" s="38" customFormat="1" ht="12" customHeight="1" outlineLevel="1" thickBot="1" x14ac:dyDescent="0.3">
      <c r="A1152" s="125"/>
      <c r="B1152" s="143"/>
      <c r="C1152" s="131"/>
      <c r="D1152" s="131"/>
      <c r="E1152" s="131"/>
      <c r="F1152" s="131"/>
      <c r="G1152" s="60" t="s">
        <v>131</v>
      </c>
      <c r="H1152" s="134"/>
      <c r="I1152" s="134"/>
      <c r="J1152" s="60"/>
      <c r="K1152" s="60"/>
      <c r="L1152" s="160"/>
      <c r="M1152" s="60"/>
      <c r="N1152" s="60"/>
      <c r="O1152" s="60">
        <f t="shared" si="261"/>
        <v>0</v>
      </c>
      <c r="P1152" s="60">
        <f t="shared" si="262"/>
        <v>0</v>
      </c>
    </row>
    <row r="1153" spans="1:16" s="38" customFormat="1" ht="14.45" customHeight="1" outlineLevel="1" x14ac:dyDescent="0.25">
      <c r="A1153" s="140" t="s">
        <v>850</v>
      </c>
      <c r="B1153" s="141" t="s">
        <v>851</v>
      </c>
      <c r="C1153" s="130">
        <f>SUM(O1153:O1159)</f>
        <v>0</v>
      </c>
      <c r="D1153" s="130">
        <f>SUM(P1153:P1159)</f>
        <v>0</v>
      </c>
      <c r="E1153" s="130">
        <f t="shared" si="246"/>
        <v>0</v>
      </c>
      <c r="F1153" s="130"/>
      <c r="G1153" s="60" t="s">
        <v>125</v>
      </c>
      <c r="H1153" s="123"/>
      <c r="I1153" s="123"/>
      <c r="J1153" s="60"/>
      <c r="K1153" s="60"/>
      <c r="L1153" s="160"/>
      <c r="M1153" s="60"/>
      <c r="N1153" s="60"/>
      <c r="O1153" s="60">
        <f>N1153*J1153*K1153*M1153</f>
        <v>0</v>
      </c>
      <c r="P1153" s="60">
        <f>J1153*K1153*M1153</f>
        <v>0</v>
      </c>
    </row>
    <row r="1154" spans="1:16" s="38" customFormat="1" ht="11.45" customHeight="1" outlineLevel="1" x14ac:dyDescent="0.25">
      <c r="A1154" s="124"/>
      <c r="B1154" s="142"/>
      <c r="C1154" s="115"/>
      <c r="D1154" s="115"/>
      <c r="E1154" s="115"/>
      <c r="F1154" s="115"/>
      <c r="G1154" s="60" t="s">
        <v>126</v>
      </c>
      <c r="H1154" s="124"/>
      <c r="I1154" s="124"/>
      <c r="J1154" s="60"/>
      <c r="K1154" s="60"/>
      <c r="L1154" s="160"/>
      <c r="M1154" s="60"/>
      <c r="N1154" s="60"/>
      <c r="O1154" s="60">
        <f t="shared" ref="O1154:O1159" si="263">N1154*J1154*K1154*M1154</f>
        <v>0</v>
      </c>
      <c r="P1154" s="60">
        <f t="shared" ref="P1154:P1159" si="264">J1154*K1154*M1154</f>
        <v>0</v>
      </c>
    </row>
    <row r="1155" spans="1:16" s="38" customFormat="1" ht="10.7" customHeight="1" outlineLevel="1" x14ac:dyDescent="0.25">
      <c r="A1155" s="124"/>
      <c r="B1155" s="142"/>
      <c r="C1155" s="115"/>
      <c r="D1155" s="115"/>
      <c r="E1155" s="115"/>
      <c r="F1155" s="115"/>
      <c r="G1155" s="60" t="s">
        <v>127</v>
      </c>
      <c r="H1155" s="124"/>
      <c r="I1155" s="124"/>
      <c r="J1155" s="60"/>
      <c r="K1155" s="60"/>
      <c r="L1155" s="160"/>
      <c r="M1155" s="60"/>
      <c r="N1155" s="60"/>
      <c r="O1155" s="60">
        <f t="shared" si="263"/>
        <v>0</v>
      </c>
      <c r="P1155" s="60">
        <f t="shared" si="264"/>
        <v>0</v>
      </c>
    </row>
    <row r="1156" spans="1:16" s="38" customFormat="1" ht="10.7" customHeight="1" outlineLevel="1" x14ac:dyDescent="0.25">
      <c r="A1156" s="124"/>
      <c r="B1156" s="142"/>
      <c r="C1156" s="115"/>
      <c r="D1156" s="115"/>
      <c r="E1156" s="115"/>
      <c r="F1156" s="115"/>
      <c r="G1156" s="60" t="s">
        <v>128</v>
      </c>
      <c r="H1156" s="124"/>
      <c r="I1156" s="124"/>
      <c r="J1156" s="60"/>
      <c r="K1156" s="60"/>
      <c r="L1156" s="160"/>
      <c r="M1156" s="60"/>
      <c r="N1156" s="60"/>
      <c r="O1156" s="60">
        <f t="shared" si="263"/>
        <v>0</v>
      </c>
      <c r="P1156" s="60">
        <f t="shared" si="264"/>
        <v>0</v>
      </c>
    </row>
    <row r="1157" spans="1:16" s="38" customFormat="1" ht="10.7" customHeight="1" outlineLevel="1" x14ac:dyDescent="0.25">
      <c r="A1157" s="124"/>
      <c r="B1157" s="142"/>
      <c r="C1157" s="115"/>
      <c r="D1157" s="115"/>
      <c r="E1157" s="115"/>
      <c r="F1157" s="115"/>
      <c r="G1157" s="60" t="s">
        <v>129</v>
      </c>
      <c r="H1157" s="124"/>
      <c r="I1157" s="124"/>
      <c r="J1157" s="60"/>
      <c r="K1157" s="60"/>
      <c r="L1157" s="160"/>
      <c r="M1157" s="60"/>
      <c r="N1157" s="60"/>
      <c r="O1157" s="60">
        <f t="shared" si="263"/>
        <v>0</v>
      </c>
      <c r="P1157" s="60">
        <f t="shared" si="264"/>
        <v>0</v>
      </c>
    </row>
    <row r="1158" spans="1:16" s="38" customFormat="1" ht="10.7" customHeight="1" outlineLevel="1" x14ac:dyDescent="0.25">
      <c r="A1158" s="124"/>
      <c r="B1158" s="142"/>
      <c r="C1158" s="115"/>
      <c r="D1158" s="115"/>
      <c r="E1158" s="115"/>
      <c r="F1158" s="115"/>
      <c r="G1158" s="60" t="s">
        <v>130</v>
      </c>
      <c r="H1158" s="124"/>
      <c r="I1158" s="124"/>
      <c r="J1158" s="60"/>
      <c r="K1158" s="60"/>
      <c r="L1158" s="160"/>
      <c r="M1158" s="60"/>
      <c r="N1158" s="60"/>
      <c r="O1158" s="60">
        <f t="shared" si="263"/>
        <v>0</v>
      </c>
      <c r="P1158" s="60">
        <f t="shared" si="264"/>
        <v>0</v>
      </c>
    </row>
    <row r="1159" spans="1:16" s="38" customFormat="1" ht="12" customHeight="1" outlineLevel="1" thickBot="1" x14ac:dyDescent="0.3">
      <c r="A1159" s="125"/>
      <c r="B1159" s="143"/>
      <c r="C1159" s="131"/>
      <c r="D1159" s="131"/>
      <c r="E1159" s="131"/>
      <c r="F1159" s="131"/>
      <c r="G1159" s="60" t="s">
        <v>131</v>
      </c>
      <c r="H1159" s="134"/>
      <c r="I1159" s="134"/>
      <c r="J1159" s="60"/>
      <c r="K1159" s="60"/>
      <c r="L1159" s="160"/>
      <c r="M1159" s="60"/>
      <c r="N1159" s="60"/>
      <c r="O1159" s="60">
        <f t="shared" si="263"/>
        <v>0</v>
      </c>
      <c r="P1159" s="60">
        <f t="shared" si="264"/>
        <v>0</v>
      </c>
    </row>
    <row r="1160" spans="1:16" s="38" customFormat="1" ht="14.45" customHeight="1" outlineLevel="1" x14ac:dyDescent="0.25">
      <c r="A1160" s="140" t="s">
        <v>852</v>
      </c>
      <c r="B1160" s="141" t="s">
        <v>853</v>
      </c>
      <c r="C1160" s="130">
        <f>SUM(O1160:O1166)</f>
        <v>0</v>
      </c>
      <c r="D1160" s="130">
        <f>SUM(P1160:P1166)</f>
        <v>0</v>
      </c>
      <c r="E1160" s="130">
        <f t="shared" si="246"/>
        <v>0</v>
      </c>
      <c r="F1160" s="130"/>
      <c r="G1160" s="60" t="s">
        <v>125</v>
      </c>
      <c r="H1160" s="123"/>
      <c r="I1160" s="123"/>
      <c r="J1160" s="60"/>
      <c r="K1160" s="60"/>
      <c r="L1160" s="160"/>
      <c r="M1160" s="60"/>
      <c r="N1160" s="60"/>
      <c r="O1160" s="60">
        <f>N1160*J1160*K1160*M1160</f>
        <v>0</v>
      </c>
      <c r="P1160" s="60">
        <f>J1160*K1160*M1160</f>
        <v>0</v>
      </c>
    </row>
    <row r="1161" spans="1:16" s="38" customFormat="1" ht="11.45" customHeight="1" outlineLevel="1" x14ac:dyDescent="0.25">
      <c r="A1161" s="124"/>
      <c r="B1161" s="142"/>
      <c r="C1161" s="115"/>
      <c r="D1161" s="115"/>
      <c r="E1161" s="115"/>
      <c r="F1161" s="115"/>
      <c r="G1161" s="60" t="s">
        <v>126</v>
      </c>
      <c r="H1161" s="124"/>
      <c r="I1161" s="124"/>
      <c r="J1161" s="60"/>
      <c r="K1161" s="60"/>
      <c r="L1161" s="160"/>
      <c r="M1161" s="60"/>
      <c r="N1161" s="60"/>
      <c r="O1161" s="60">
        <f t="shared" ref="O1161:O1166" si="265">N1161*J1161*K1161*M1161</f>
        <v>0</v>
      </c>
      <c r="P1161" s="60">
        <f t="shared" ref="P1161:P1166" si="266">J1161*K1161*M1161</f>
        <v>0</v>
      </c>
    </row>
    <row r="1162" spans="1:16" s="38" customFormat="1" ht="10.7" customHeight="1" outlineLevel="1" x14ac:dyDescent="0.25">
      <c r="A1162" s="124"/>
      <c r="B1162" s="142"/>
      <c r="C1162" s="115"/>
      <c r="D1162" s="115"/>
      <c r="E1162" s="115"/>
      <c r="F1162" s="115"/>
      <c r="G1162" s="60" t="s">
        <v>127</v>
      </c>
      <c r="H1162" s="124"/>
      <c r="I1162" s="124"/>
      <c r="J1162" s="60"/>
      <c r="K1162" s="60"/>
      <c r="L1162" s="160"/>
      <c r="M1162" s="60"/>
      <c r="N1162" s="60"/>
      <c r="O1162" s="60">
        <f t="shared" si="265"/>
        <v>0</v>
      </c>
      <c r="P1162" s="60">
        <f t="shared" si="266"/>
        <v>0</v>
      </c>
    </row>
    <row r="1163" spans="1:16" s="38" customFormat="1" ht="10.7" customHeight="1" outlineLevel="1" x14ac:dyDescent="0.25">
      <c r="A1163" s="124"/>
      <c r="B1163" s="142"/>
      <c r="C1163" s="115"/>
      <c r="D1163" s="115"/>
      <c r="E1163" s="115"/>
      <c r="F1163" s="115"/>
      <c r="G1163" s="60" t="s">
        <v>128</v>
      </c>
      <c r="H1163" s="124"/>
      <c r="I1163" s="124"/>
      <c r="J1163" s="60"/>
      <c r="K1163" s="60"/>
      <c r="L1163" s="160"/>
      <c r="M1163" s="60"/>
      <c r="N1163" s="60"/>
      <c r="O1163" s="60">
        <f t="shared" si="265"/>
        <v>0</v>
      </c>
      <c r="P1163" s="60">
        <f t="shared" si="266"/>
        <v>0</v>
      </c>
    </row>
    <row r="1164" spans="1:16" s="38" customFormat="1" ht="10.7" customHeight="1" outlineLevel="1" x14ac:dyDescent="0.25">
      <c r="A1164" s="124"/>
      <c r="B1164" s="142"/>
      <c r="C1164" s="115"/>
      <c r="D1164" s="115"/>
      <c r="E1164" s="115"/>
      <c r="F1164" s="115"/>
      <c r="G1164" s="60" t="s">
        <v>129</v>
      </c>
      <c r="H1164" s="124"/>
      <c r="I1164" s="124"/>
      <c r="J1164" s="60"/>
      <c r="K1164" s="60"/>
      <c r="L1164" s="160"/>
      <c r="M1164" s="60"/>
      <c r="N1164" s="60"/>
      <c r="O1164" s="60">
        <f t="shared" si="265"/>
        <v>0</v>
      </c>
      <c r="P1164" s="60">
        <f t="shared" si="266"/>
        <v>0</v>
      </c>
    </row>
    <row r="1165" spans="1:16" s="38" customFormat="1" ht="10.7" customHeight="1" outlineLevel="1" x14ac:dyDescent="0.25">
      <c r="A1165" s="124"/>
      <c r="B1165" s="142"/>
      <c r="C1165" s="115"/>
      <c r="D1165" s="115"/>
      <c r="E1165" s="115"/>
      <c r="F1165" s="115"/>
      <c r="G1165" s="60" t="s">
        <v>130</v>
      </c>
      <c r="H1165" s="124"/>
      <c r="I1165" s="124"/>
      <c r="J1165" s="60"/>
      <c r="K1165" s="60"/>
      <c r="L1165" s="160"/>
      <c r="M1165" s="60"/>
      <c r="N1165" s="60"/>
      <c r="O1165" s="60">
        <f t="shared" si="265"/>
        <v>0</v>
      </c>
      <c r="P1165" s="60">
        <f t="shared" si="266"/>
        <v>0</v>
      </c>
    </row>
    <row r="1166" spans="1:16" s="38" customFormat="1" ht="12" customHeight="1" outlineLevel="1" thickBot="1" x14ac:dyDescent="0.3">
      <c r="A1166" s="125"/>
      <c r="B1166" s="143"/>
      <c r="C1166" s="131"/>
      <c r="D1166" s="131"/>
      <c r="E1166" s="131"/>
      <c r="F1166" s="131"/>
      <c r="G1166" s="60" t="s">
        <v>131</v>
      </c>
      <c r="H1166" s="134"/>
      <c r="I1166" s="134"/>
      <c r="J1166" s="60"/>
      <c r="K1166" s="60"/>
      <c r="L1166" s="160"/>
      <c r="M1166" s="60"/>
      <c r="N1166" s="60"/>
      <c r="O1166" s="60">
        <f t="shared" si="265"/>
        <v>0</v>
      </c>
      <c r="P1166" s="60">
        <f t="shared" si="266"/>
        <v>0</v>
      </c>
    </row>
    <row r="1167" spans="1:16" s="38" customFormat="1" ht="14.45" customHeight="1" outlineLevel="1" x14ac:dyDescent="0.25">
      <c r="A1167" s="140" t="s">
        <v>854</v>
      </c>
      <c r="B1167" s="141" t="s">
        <v>855</v>
      </c>
      <c r="C1167" s="130">
        <f>SUM(O1167:O1173)</f>
        <v>0</v>
      </c>
      <c r="D1167" s="130">
        <f>SUM(P1167:P1173)</f>
        <v>0</v>
      </c>
      <c r="E1167" s="130">
        <f t="shared" ref="E1167:E1188" si="267">D1167/8</f>
        <v>0</v>
      </c>
      <c r="F1167" s="130"/>
      <c r="G1167" s="60" t="s">
        <v>125</v>
      </c>
      <c r="H1167" s="123"/>
      <c r="I1167" s="123"/>
      <c r="J1167" s="60"/>
      <c r="K1167" s="60"/>
      <c r="L1167" s="160"/>
      <c r="M1167" s="60"/>
      <c r="N1167" s="60"/>
      <c r="O1167" s="60">
        <f>N1167*J1167*K1167*M1167</f>
        <v>0</v>
      </c>
      <c r="P1167" s="60">
        <f>J1167*K1167*M1167</f>
        <v>0</v>
      </c>
    </row>
    <row r="1168" spans="1:16" s="38" customFormat="1" ht="11.45" customHeight="1" outlineLevel="1" x14ac:dyDescent="0.25">
      <c r="A1168" s="124"/>
      <c r="B1168" s="142"/>
      <c r="C1168" s="115"/>
      <c r="D1168" s="115"/>
      <c r="E1168" s="115"/>
      <c r="F1168" s="115"/>
      <c r="G1168" s="60" t="s">
        <v>126</v>
      </c>
      <c r="H1168" s="124"/>
      <c r="I1168" s="124"/>
      <c r="J1168" s="60"/>
      <c r="K1168" s="60"/>
      <c r="L1168" s="160"/>
      <c r="M1168" s="60"/>
      <c r="N1168" s="60"/>
      <c r="O1168" s="60">
        <f t="shared" ref="O1168:O1173" si="268">N1168*J1168*K1168*M1168</f>
        <v>0</v>
      </c>
      <c r="P1168" s="60">
        <f t="shared" ref="P1168:P1173" si="269">J1168*K1168*M1168</f>
        <v>0</v>
      </c>
    </row>
    <row r="1169" spans="1:16" s="38" customFormat="1" ht="10.7" customHeight="1" outlineLevel="1" x14ac:dyDescent="0.25">
      <c r="A1169" s="124"/>
      <c r="B1169" s="142"/>
      <c r="C1169" s="115"/>
      <c r="D1169" s="115"/>
      <c r="E1169" s="115"/>
      <c r="F1169" s="115"/>
      <c r="G1169" s="60" t="s">
        <v>127</v>
      </c>
      <c r="H1169" s="124"/>
      <c r="I1169" s="124"/>
      <c r="J1169" s="60"/>
      <c r="K1169" s="60"/>
      <c r="L1169" s="160"/>
      <c r="M1169" s="60"/>
      <c r="N1169" s="60"/>
      <c r="O1169" s="60">
        <f t="shared" si="268"/>
        <v>0</v>
      </c>
      <c r="P1169" s="60">
        <f t="shared" si="269"/>
        <v>0</v>
      </c>
    </row>
    <row r="1170" spans="1:16" s="38" customFormat="1" ht="10.7" customHeight="1" outlineLevel="1" x14ac:dyDescent="0.25">
      <c r="A1170" s="124"/>
      <c r="B1170" s="142"/>
      <c r="C1170" s="115"/>
      <c r="D1170" s="115"/>
      <c r="E1170" s="115"/>
      <c r="F1170" s="115"/>
      <c r="G1170" s="60" t="s">
        <v>128</v>
      </c>
      <c r="H1170" s="124"/>
      <c r="I1170" s="124"/>
      <c r="J1170" s="60"/>
      <c r="K1170" s="60"/>
      <c r="L1170" s="160"/>
      <c r="M1170" s="60"/>
      <c r="N1170" s="60"/>
      <c r="O1170" s="60">
        <f t="shared" si="268"/>
        <v>0</v>
      </c>
      <c r="P1170" s="60">
        <f t="shared" si="269"/>
        <v>0</v>
      </c>
    </row>
    <row r="1171" spans="1:16" s="38" customFormat="1" ht="10.7" customHeight="1" outlineLevel="1" x14ac:dyDescent="0.25">
      <c r="A1171" s="124"/>
      <c r="B1171" s="142"/>
      <c r="C1171" s="115"/>
      <c r="D1171" s="115"/>
      <c r="E1171" s="115"/>
      <c r="F1171" s="115"/>
      <c r="G1171" s="60" t="s">
        <v>129</v>
      </c>
      <c r="H1171" s="124"/>
      <c r="I1171" s="124"/>
      <c r="J1171" s="60"/>
      <c r="K1171" s="60"/>
      <c r="L1171" s="160"/>
      <c r="M1171" s="60"/>
      <c r="N1171" s="60"/>
      <c r="O1171" s="60">
        <f t="shared" si="268"/>
        <v>0</v>
      </c>
      <c r="P1171" s="60">
        <f t="shared" si="269"/>
        <v>0</v>
      </c>
    </row>
    <row r="1172" spans="1:16" s="38" customFormat="1" ht="10.7" customHeight="1" outlineLevel="1" x14ac:dyDescent="0.25">
      <c r="A1172" s="124"/>
      <c r="B1172" s="142"/>
      <c r="C1172" s="115"/>
      <c r="D1172" s="115"/>
      <c r="E1172" s="115"/>
      <c r="F1172" s="115"/>
      <c r="G1172" s="60" t="s">
        <v>130</v>
      </c>
      <c r="H1172" s="124"/>
      <c r="I1172" s="124"/>
      <c r="J1172" s="60"/>
      <c r="K1172" s="60"/>
      <c r="L1172" s="160"/>
      <c r="M1172" s="60"/>
      <c r="N1172" s="60"/>
      <c r="O1172" s="60">
        <f t="shared" si="268"/>
        <v>0</v>
      </c>
      <c r="P1172" s="60">
        <f t="shared" si="269"/>
        <v>0</v>
      </c>
    </row>
    <row r="1173" spans="1:16" s="38" customFormat="1" ht="12" customHeight="1" outlineLevel="1" thickBot="1" x14ac:dyDescent="0.3">
      <c r="A1173" s="125"/>
      <c r="B1173" s="143"/>
      <c r="C1173" s="131"/>
      <c r="D1173" s="131"/>
      <c r="E1173" s="131"/>
      <c r="F1173" s="131"/>
      <c r="G1173" s="60" t="s">
        <v>131</v>
      </c>
      <c r="H1173" s="134"/>
      <c r="I1173" s="134"/>
      <c r="J1173" s="60"/>
      <c r="K1173" s="60"/>
      <c r="L1173" s="160"/>
      <c r="M1173" s="60"/>
      <c r="N1173" s="60"/>
      <c r="O1173" s="60">
        <f t="shared" si="268"/>
        <v>0</v>
      </c>
      <c r="P1173" s="60">
        <f t="shared" si="269"/>
        <v>0</v>
      </c>
    </row>
    <row r="1174" spans="1:16" s="38" customFormat="1" ht="14.45" customHeight="1" outlineLevel="1" x14ac:dyDescent="0.25">
      <c r="A1174" s="140" t="s">
        <v>856</v>
      </c>
      <c r="B1174" s="141" t="s">
        <v>857</v>
      </c>
      <c r="C1174" s="130">
        <f>SUM(O1174:O1180)</f>
        <v>0</v>
      </c>
      <c r="D1174" s="130">
        <f>SUM(P1174:P1180)</f>
        <v>0</v>
      </c>
      <c r="E1174" s="130">
        <f t="shared" si="267"/>
        <v>0</v>
      </c>
      <c r="F1174" s="130"/>
      <c r="G1174" s="60" t="s">
        <v>125</v>
      </c>
      <c r="H1174" s="123"/>
      <c r="I1174" s="123"/>
      <c r="J1174" s="60"/>
      <c r="K1174" s="60"/>
      <c r="L1174" s="160"/>
      <c r="M1174" s="60"/>
      <c r="N1174" s="60"/>
      <c r="O1174" s="60">
        <f>N1174*J1174*K1174*M1174</f>
        <v>0</v>
      </c>
      <c r="P1174" s="60">
        <f>J1174*K1174*M1174</f>
        <v>0</v>
      </c>
    </row>
    <row r="1175" spans="1:16" s="38" customFormat="1" ht="11.45" customHeight="1" outlineLevel="1" x14ac:dyDescent="0.25">
      <c r="A1175" s="124"/>
      <c r="B1175" s="142"/>
      <c r="C1175" s="115"/>
      <c r="D1175" s="115"/>
      <c r="E1175" s="115"/>
      <c r="F1175" s="115"/>
      <c r="G1175" s="60" t="s">
        <v>126</v>
      </c>
      <c r="H1175" s="124"/>
      <c r="I1175" s="124"/>
      <c r="J1175" s="60"/>
      <c r="K1175" s="60"/>
      <c r="L1175" s="160"/>
      <c r="M1175" s="60"/>
      <c r="N1175" s="60"/>
      <c r="O1175" s="60">
        <f t="shared" ref="O1175:O1180" si="270">N1175*J1175*K1175*M1175</f>
        <v>0</v>
      </c>
      <c r="P1175" s="60">
        <f t="shared" ref="P1175:P1180" si="271">J1175*K1175*M1175</f>
        <v>0</v>
      </c>
    </row>
    <row r="1176" spans="1:16" s="38" customFormat="1" ht="10.7" customHeight="1" outlineLevel="1" x14ac:dyDescent="0.25">
      <c r="A1176" s="124"/>
      <c r="B1176" s="142"/>
      <c r="C1176" s="115"/>
      <c r="D1176" s="115"/>
      <c r="E1176" s="115"/>
      <c r="F1176" s="115"/>
      <c r="G1176" s="60" t="s">
        <v>127</v>
      </c>
      <c r="H1176" s="124"/>
      <c r="I1176" s="124"/>
      <c r="J1176" s="60"/>
      <c r="K1176" s="60"/>
      <c r="L1176" s="160"/>
      <c r="M1176" s="60"/>
      <c r="N1176" s="60"/>
      <c r="O1176" s="60">
        <f t="shared" si="270"/>
        <v>0</v>
      </c>
      <c r="P1176" s="60">
        <f t="shared" si="271"/>
        <v>0</v>
      </c>
    </row>
    <row r="1177" spans="1:16" s="38" customFormat="1" ht="10.7" customHeight="1" outlineLevel="1" x14ac:dyDescent="0.25">
      <c r="A1177" s="124"/>
      <c r="B1177" s="142"/>
      <c r="C1177" s="115"/>
      <c r="D1177" s="115"/>
      <c r="E1177" s="115"/>
      <c r="F1177" s="115"/>
      <c r="G1177" s="60" t="s">
        <v>128</v>
      </c>
      <c r="H1177" s="124"/>
      <c r="I1177" s="124"/>
      <c r="J1177" s="60"/>
      <c r="K1177" s="60"/>
      <c r="L1177" s="160"/>
      <c r="M1177" s="60"/>
      <c r="N1177" s="60"/>
      <c r="O1177" s="60">
        <f t="shared" si="270"/>
        <v>0</v>
      </c>
      <c r="P1177" s="60">
        <f t="shared" si="271"/>
        <v>0</v>
      </c>
    </row>
    <row r="1178" spans="1:16" s="38" customFormat="1" ht="10.7" customHeight="1" outlineLevel="1" x14ac:dyDescent="0.25">
      <c r="A1178" s="124"/>
      <c r="B1178" s="142"/>
      <c r="C1178" s="115"/>
      <c r="D1178" s="115"/>
      <c r="E1178" s="115"/>
      <c r="F1178" s="115"/>
      <c r="G1178" s="60" t="s">
        <v>129</v>
      </c>
      <c r="H1178" s="124"/>
      <c r="I1178" s="124"/>
      <c r="J1178" s="60"/>
      <c r="K1178" s="60"/>
      <c r="L1178" s="160"/>
      <c r="M1178" s="60"/>
      <c r="N1178" s="60"/>
      <c r="O1178" s="60">
        <f t="shared" si="270"/>
        <v>0</v>
      </c>
      <c r="P1178" s="60">
        <f t="shared" si="271"/>
        <v>0</v>
      </c>
    </row>
    <row r="1179" spans="1:16" s="38" customFormat="1" ht="10.7" customHeight="1" outlineLevel="1" x14ac:dyDescent="0.25">
      <c r="A1179" s="124"/>
      <c r="B1179" s="142"/>
      <c r="C1179" s="115"/>
      <c r="D1179" s="115"/>
      <c r="E1179" s="115"/>
      <c r="F1179" s="115"/>
      <c r="G1179" s="60" t="s">
        <v>130</v>
      </c>
      <c r="H1179" s="124"/>
      <c r="I1179" s="124"/>
      <c r="J1179" s="60"/>
      <c r="K1179" s="60"/>
      <c r="L1179" s="160"/>
      <c r="M1179" s="60"/>
      <c r="N1179" s="60"/>
      <c r="O1179" s="60">
        <f t="shared" si="270"/>
        <v>0</v>
      </c>
      <c r="P1179" s="60">
        <f t="shared" si="271"/>
        <v>0</v>
      </c>
    </row>
    <row r="1180" spans="1:16" s="38" customFormat="1" ht="12" customHeight="1" outlineLevel="1" thickBot="1" x14ac:dyDescent="0.3">
      <c r="A1180" s="125"/>
      <c r="B1180" s="143"/>
      <c r="C1180" s="131"/>
      <c r="D1180" s="131"/>
      <c r="E1180" s="131"/>
      <c r="F1180" s="131"/>
      <c r="G1180" s="60" t="s">
        <v>131</v>
      </c>
      <c r="H1180" s="134"/>
      <c r="I1180" s="134"/>
      <c r="J1180" s="60"/>
      <c r="K1180" s="60"/>
      <c r="L1180" s="160"/>
      <c r="M1180" s="60"/>
      <c r="N1180" s="60"/>
      <c r="O1180" s="60">
        <f t="shared" si="270"/>
        <v>0</v>
      </c>
      <c r="P1180" s="60">
        <f t="shared" si="271"/>
        <v>0</v>
      </c>
    </row>
    <row r="1181" spans="1:16" s="38" customFormat="1" ht="14.45" customHeight="1" outlineLevel="1" x14ac:dyDescent="0.25">
      <c r="A1181" s="140" t="s">
        <v>858</v>
      </c>
      <c r="B1181" s="141" t="s">
        <v>859</v>
      </c>
      <c r="C1181" s="130">
        <f>SUM(O1181:O1187)</f>
        <v>0</v>
      </c>
      <c r="D1181" s="130">
        <f>SUM(P1181:P1187)</f>
        <v>0</v>
      </c>
      <c r="E1181" s="130">
        <f t="shared" si="267"/>
        <v>0</v>
      </c>
      <c r="F1181" s="130"/>
      <c r="G1181" s="60" t="s">
        <v>125</v>
      </c>
      <c r="H1181" s="123"/>
      <c r="I1181" s="123"/>
      <c r="J1181" s="60"/>
      <c r="K1181" s="60"/>
      <c r="L1181" s="160"/>
      <c r="M1181" s="60"/>
      <c r="N1181" s="60"/>
      <c r="O1181" s="60">
        <f>N1181*J1181*K1181*M1181</f>
        <v>0</v>
      </c>
      <c r="P1181" s="60">
        <f>J1181*K1181*M1181</f>
        <v>0</v>
      </c>
    </row>
    <row r="1182" spans="1:16" s="38" customFormat="1" ht="11.45" customHeight="1" outlineLevel="1" x14ac:dyDescent="0.25">
      <c r="A1182" s="124"/>
      <c r="B1182" s="142"/>
      <c r="C1182" s="115"/>
      <c r="D1182" s="115"/>
      <c r="E1182" s="115"/>
      <c r="F1182" s="115"/>
      <c r="G1182" s="60" t="s">
        <v>126</v>
      </c>
      <c r="H1182" s="124"/>
      <c r="I1182" s="124"/>
      <c r="J1182" s="60"/>
      <c r="K1182" s="60"/>
      <c r="L1182" s="160"/>
      <c r="M1182" s="60"/>
      <c r="N1182" s="60"/>
      <c r="O1182" s="60">
        <f t="shared" ref="O1182:O1187" si="272">N1182*J1182*K1182*M1182</f>
        <v>0</v>
      </c>
      <c r="P1182" s="60">
        <f t="shared" ref="P1182:P1187" si="273">J1182*K1182*M1182</f>
        <v>0</v>
      </c>
    </row>
    <row r="1183" spans="1:16" s="38" customFormat="1" ht="10.7" customHeight="1" outlineLevel="1" x14ac:dyDescent="0.25">
      <c r="A1183" s="124"/>
      <c r="B1183" s="142"/>
      <c r="C1183" s="115"/>
      <c r="D1183" s="115"/>
      <c r="E1183" s="115"/>
      <c r="F1183" s="115"/>
      <c r="G1183" s="60" t="s">
        <v>127</v>
      </c>
      <c r="H1183" s="124"/>
      <c r="I1183" s="124"/>
      <c r="J1183" s="60"/>
      <c r="K1183" s="60"/>
      <c r="L1183" s="160"/>
      <c r="M1183" s="60"/>
      <c r="N1183" s="60"/>
      <c r="O1183" s="60">
        <f t="shared" si="272"/>
        <v>0</v>
      </c>
      <c r="P1183" s="60">
        <f t="shared" si="273"/>
        <v>0</v>
      </c>
    </row>
    <row r="1184" spans="1:16" s="38" customFormat="1" ht="10.7" customHeight="1" outlineLevel="1" x14ac:dyDescent="0.25">
      <c r="A1184" s="124"/>
      <c r="B1184" s="142"/>
      <c r="C1184" s="115"/>
      <c r="D1184" s="115"/>
      <c r="E1184" s="115"/>
      <c r="F1184" s="115"/>
      <c r="G1184" s="60" t="s">
        <v>128</v>
      </c>
      <c r="H1184" s="124"/>
      <c r="I1184" s="124"/>
      <c r="J1184" s="60"/>
      <c r="K1184" s="60"/>
      <c r="L1184" s="160"/>
      <c r="M1184" s="60"/>
      <c r="N1184" s="60"/>
      <c r="O1184" s="60">
        <f t="shared" si="272"/>
        <v>0</v>
      </c>
      <c r="P1184" s="60">
        <f t="shared" si="273"/>
        <v>0</v>
      </c>
    </row>
    <row r="1185" spans="1:16" s="38" customFormat="1" ht="10.7" customHeight="1" outlineLevel="1" x14ac:dyDescent="0.25">
      <c r="A1185" s="124"/>
      <c r="B1185" s="142"/>
      <c r="C1185" s="115"/>
      <c r="D1185" s="115"/>
      <c r="E1185" s="115"/>
      <c r="F1185" s="115"/>
      <c r="G1185" s="60" t="s">
        <v>129</v>
      </c>
      <c r="H1185" s="124"/>
      <c r="I1185" s="124"/>
      <c r="J1185" s="60"/>
      <c r="K1185" s="60"/>
      <c r="L1185" s="160"/>
      <c r="M1185" s="60"/>
      <c r="N1185" s="60"/>
      <c r="O1185" s="60">
        <f t="shared" si="272"/>
        <v>0</v>
      </c>
      <c r="P1185" s="60">
        <f t="shared" si="273"/>
        <v>0</v>
      </c>
    </row>
    <row r="1186" spans="1:16" s="38" customFormat="1" ht="10.7" customHeight="1" outlineLevel="1" x14ac:dyDescent="0.25">
      <c r="A1186" s="124"/>
      <c r="B1186" s="142"/>
      <c r="C1186" s="115"/>
      <c r="D1186" s="115"/>
      <c r="E1186" s="115"/>
      <c r="F1186" s="115"/>
      <c r="G1186" s="60" t="s">
        <v>130</v>
      </c>
      <c r="H1186" s="124"/>
      <c r="I1186" s="124"/>
      <c r="J1186" s="60"/>
      <c r="K1186" s="60"/>
      <c r="L1186" s="160"/>
      <c r="M1186" s="60"/>
      <c r="N1186" s="60"/>
      <c r="O1186" s="60">
        <f t="shared" si="272"/>
        <v>0</v>
      </c>
      <c r="P1186" s="60">
        <f t="shared" si="273"/>
        <v>0</v>
      </c>
    </row>
    <row r="1187" spans="1:16" s="38" customFormat="1" ht="12" customHeight="1" outlineLevel="1" thickBot="1" x14ac:dyDescent="0.3">
      <c r="A1187" s="125"/>
      <c r="B1187" s="143"/>
      <c r="C1187" s="131"/>
      <c r="D1187" s="131"/>
      <c r="E1187" s="131"/>
      <c r="F1187" s="131"/>
      <c r="G1187" s="60" t="s">
        <v>131</v>
      </c>
      <c r="H1187" s="134"/>
      <c r="I1187" s="134"/>
      <c r="J1187" s="60"/>
      <c r="K1187" s="60"/>
      <c r="L1187" s="160"/>
      <c r="M1187" s="60"/>
      <c r="N1187" s="60"/>
      <c r="O1187" s="60">
        <f t="shared" si="272"/>
        <v>0</v>
      </c>
      <c r="P1187" s="60">
        <f t="shared" si="273"/>
        <v>0</v>
      </c>
    </row>
    <row r="1188" spans="1:16" s="38" customFormat="1" ht="14.45" customHeight="1" outlineLevel="1" x14ac:dyDescent="0.25">
      <c r="A1188" s="140" t="s">
        <v>860</v>
      </c>
      <c r="B1188" s="141" t="s">
        <v>861</v>
      </c>
      <c r="C1188" s="130">
        <f>SUM(O1188:O1194)</f>
        <v>0</v>
      </c>
      <c r="D1188" s="130">
        <f>SUM(P1188:P1194)</f>
        <v>0</v>
      </c>
      <c r="E1188" s="130">
        <f t="shared" si="267"/>
        <v>0</v>
      </c>
      <c r="F1188" s="130"/>
      <c r="G1188" s="60" t="s">
        <v>125</v>
      </c>
      <c r="H1188" s="123"/>
      <c r="I1188" s="123"/>
      <c r="J1188" s="60"/>
      <c r="K1188" s="60"/>
      <c r="L1188" s="160"/>
      <c r="M1188" s="60"/>
      <c r="N1188" s="60"/>
      <c r="O1188" s="60">
        <f>N1188*J1188*K1188*M1188</f>
        <v>0</v>
      </c>
      <c r="P1188" s="60">
        <f>J1188*K1188*M1188</f>
        <v>0</v>
      </c>
    </row>
    <row r="1189" spans="1:16" s="38" customFormat="1" ht="11.45" customHeight="1" outlineLevel="1" x14ac:dyDescent="0.25">
      <c r="A1189" s="124"/>
      <c r="B1189" s="142"/>
      <c r="C1189" s="115"/>
      <c r="D1189" s="115"/>
      <c r="E1189" s="115"/>
      <c r="F1189" s="115"/>
      <c r="G1189" s="60" t="s">
        <v>126</v>
      </c>
      <c r="H1189" s="124"/>
      <c r="I1189" s="124"/>
      <c r="J1189" s="60"/>
      <c r="K1189" s="60"/>
      <c r="L1189" s="160"/>
      <c r="M1189" s="60"/>
      <c r="N1189" s="60"/>
      <c r="O1189" s="60">
        <f t="shared" ref="O1189:O1194" si="274">N1189*J1189*K1189*M1189</f>
        <v>0</v>
      </c>
      <c r="P1189" s="60">
        <f t="shared" ref="P1189:P1194" si="275">J1189*K1189*M1189</f>
        <v>0</v>
      </c>
    </row>
    <row r="1190" spans="1:16" s="38" customFormat="1" ht="10.7" customHeight="1" outlineLevel="1" x14ac:dyDescent="0.25">
      <c r="A1190" s="124"/>
      <c r="B1190" s="142"/>
      <c r="C1190" s="115"/>
      <c r="D1190" s="115"/>
      <c r="E1190" s="115"/>
      <c r="F1190" s="115"/>
      <c r="G1190" s="60" t="s">
        <v>127</v>
      </c>
      <c r="H1190" s="124"/>
      <c r="I1190" s="124"/>
      <c r="J1190" s="60"/>
      <c r="K1190" s="60"/>
      <c r="L1190" s="160"/>
      <c r="M1190" s="60"/>
      <c r="N1190" s="60"/>
      <c r="O1190" s="60">
        <f t="shared" si="274"/>
        <v>0</v>
      </c>
      <c r="P1190" s="60">
        <f t="shared" si="275"/>
        <v>0</v>
      </c>
    </row>
    <row r="1191" spans="1:16" s="38" customFormat="1" ht="10.7" customHeight="1" outlineLevel="1" x14ac:dyDescent="0.25">
      <c r="A1191" s="124"/>
      <c r="B1191" s="142"/>
      <c r="C1191" s="115"/>
      <c r="D1191" s="115"/>
      <c r="E1191" s="115"/>
      <c r="F1191" s="115"/>
      <c r="G1191" s="60" t="s">
        <v>128</v>
      </c>
      <c r="H1191" s="124"/>
      <c r="I1191" s="124"/>
      <c r="J1191" s="60"/>
      <c r="K1191" s="60"/>
      <c r="L1191" s="160"/>
      <c r="M1191" s="60"/>
      <c r="N1191" s="60"/>
      <c r="O1191" s="60">
        <f t="shared" si="274"/>
        <v>0</v>
      </c>
      <c r="P1191" s="60">
        <f t="shared" si="275"/>
        <v>0</v>
      </c>
    </row>
    <row r="1192" spans="1:16" s="38" customFormat="1" ht="10.7" customHeight="1" outlineLevel="1" x14ac:dyDescent="0.25">
      <c r="A1192" s="124"/>
      <c r="B1192" s="142"/>
      <c r="C1192" s="115"/>
      <c r="D1192" s="115"/>
      <c r="E1192" s="115"/>
      <c r="F1192" s="115"/>
      <c r="G1192" s="60" t="s">
        <v>129</v>
      </c>
      <c r="H1192" s="124"/>
      <c r="I1192" s="124"/>
      <c r="J1192" s="60"/>
      <c r="K1192" s="60"/>
      <c r="L1192" s="160"/>
      <c r="M1192" s="60"/>
      <c r="N1192" s="60"/>
      <c r="O1192" s="60">
        <f t="shared" si="274"/>
        <v>0</v>
      </c>
      <c r="P1192" s="60">
        <f t="shared" si="275"/>
        <v>0</v>
      </c>
    </row>
    <row r="1193" spans="1:16" s="38" customFormat="1" ht="10.7" customHeight="1" outlineLevel="1" x14ac:dyDescent="0.25">
      <c r="A1193" s="124"/>
      <c r="B1193" s="142"/>
      <c r="C1193" s="115"/>
      <c r="D1193" s="115"/>
      <c r="E1193" s="115"/>
      <c r="F1193" s="115"/>
      <c r="G1193" s="60" t="s">
        <v>130</v>
      </c>
      <c r="H1193" s="124"/>
      <c r="I1193" s="124"/>
      <c r="J1193" s="60"/>
      <c r="K1193" s="60"/>
      <c r="L1193" s="160"/>
      <c r="M1193" s="60"/>
      <c r="N1193" s="60"/>
      <c r="O1193" s="60">
        <f t="shared" si="274"/>
        <v>0</v>
      </c>
      <c r="P1193" s="60">
        <f t="shared" si="275"/>
        <v>0</v>
      </c>
    </row>
    <row r="1194" spans="1:16" s="38" customFormat="1" ht="12" customHeight="1" outlineLevel="1" thickBot="1" x14ac:dyDescent="0.3">
      <c r="A1194" s="125"/>
      <c r="B1194" s="143"/>
      <c r="C1194" s="131"/>
      <c r="D1194" s="131"/>
      <c r="E1194" s="131"/>
      <c r="F1194" s="131"/>
      <c r="G1194" s="60" t="s">
        <v>131</v>
      </c>
      <c r="H1194" s="134"/>
      <c r="I1194" s="134"/>
      <c r="J1194" s="60"/>
      <c r="K1194" s="60"/>
      <c r="L1194" s="160"/>
      <c r="M1194" s="60"/>
      <c r="N1194" s="60"/>
      <c r="O1194" s="60">
        <f t="shared" si="274"/>
        <v>0</v>
      </c>
      <c r="P1194" s="60">
        <f t="shared" si="275"/>
        <v>0</v>
      </c>
    </row>
    <row r="1195" spans="1:16" s="39" customFormat="1" ht="15.75" x14ac:dyDescent="0.25">
      <c r="A1195" s="40" t="s">
        <v>261</v>
      </c>
      <c r="B1195" s="41" t="s">
        <v>862</v>
      </c>
      <c r="C1195" s="42">
        <f>SUM(C1196)</f>
        <v>0</v>
      </c>
      <c r="D1195" s="42">
        <f>SUM(D1196)</f>
        <v>0</v>
      </c>
      <c r="E1195" s="42">
        <f>SUM(E1196)</f>
        <v>0</v>
      </c>
      <c r="F1195" s="57"/>
      <c r="G1195" s="57"/>
      <c r="H1195" s="57"/>
      <c r="I1195" s="57"/>
      <c r="J1195" s="57"/>
      <c r="K1195" s="57"/>
      <c r="L1195" s="161"/>
      <c r="M1195" s="57"/>
      <c r="N1195" s="57"/>
      <c r="O1195" s="57"/>
      <c r="P1195" s="43"/>
    </row>
    <row r="1196" spans="1:16" s="38" customFormat="1" ht="14.45" customHeight="1" outlineLevel="1" x14ac:dyDescent="0.25">
      <c r="A1196" s="140" t="s">
        <v>263</v>
      </c>
      <c r="B1196" s="141" t="s">
        <v>863</v>
      </c>
      <c r="C1196" s="130">
        <f>SUM(O1196:O1202)</f>
        <v>0</v>
      </c>
      <c r="D1196" s="130">
        <f>SUM(P1196:P1202)</f>
        <v>0</v>
      </c>
      <c r="E1196" s="130">
        <f t="shared" ref="E1196" si="276">D1196/8</f>
        <v>0</v>
      </c>
      <c r="F1196" s="130"/>
      <c r="G1196" s="60" t="s">
        <v>125</v>
      </c>
      <c r="H1196" s="123"/>
      <c r="I1196" s="123"/>
      <c r="J1196" s="60"/>
      <c r="K1196" s="60"/>
      <c r="L1196" s="160"/>
      <c r="M1196" s="60"/>
      <c r="N1196" s="60"/>
      <c r="O1196" s="60">
        <f>N1196*J1196*K1196*M1196</f>
        <v>0</v>
      </c>
      <c r="P1196" s="60">
        <f>J1196*K1196*M1196</f>
        <v>0</v>
      </c>
    </row>
    <row r="1197" spans="1:16" s="38" customFormat="1" ht="11.45" customHeight="1" outlineLevel="1" x14ac:dyDescent="0.25">
      <c r="A1197" s="124"/>
      <c r="B1197" s="142"/>
      <c r="C1197" s="115"/>
      <c r="D1197" s="115"/>
      <c r="E1197" s="115"/>
      <c r="F1197" s="115"/>
      <c r="G1197" s="60" t="s">
        <v>126</v>
      </c>
      <c r="H1197" s="124"/>
      <c r="I1197" s="124"/>
      <c r="J1197" s="60"/>
      <c r="K1197" s="60"/>
      <c r="L1197" s="160"/>
      <c r="M1197" s="60"/>
      <c r="N1197" s="60"/>
      <c r="O1197" s="60">
        <f t="shared" ref="O1197:O1202" si="277">N1197*J1197*K1197*M1197</f>
        <v>0</v>
      </c>
      <c r="P1197" s="60">
        <f t="shared" ref="P1197:P1202" si="278">J1197*K1197*M1197</f>
        <v>0</v>
      </c>
    </row>
    <row r="1198" spans="1:16" s="38" customFormat="1" ht="10.7" customHeight="1" outlineLevel="1" x14ac:dyDescent="0.25">
      <c r="A1198" s="124"/>
      <c r="B1198" s="142"/>
      <c r="C1198" s="115"/>
      <c r="D1198" s="115"/>
      <c r="E1198" s="115"/>
      <c r="F1198" s="115"/>
      <c r="G1198" s="60" t="s">
        <v>127</v>
      </c>
      <c r="H1198" s="124"/>
      <c r="I1198" s="124"/>
      <c r="J1198" s="60"/>
      <c r="K1198" s="60"/>
      <c r="L1198" s="160"/>
      <c r="M1198" s="60"/>
      <c r="N1198" s="60"/>
      <c r="O1198" s="60">
        <f t="shared" si="277"/>
        <v>0</v>
      </c>
      <c r="P1198" s="60">
        <f t="shared" si="278"/>
        <v>0</v>
      </c>
    </row>
    <row r="1199" spans="1:16" s="38" customFormat="1" ht="10.7" customHeight="1" outlineLevel="1" x14ac:dyDescent="0.25">
      <c r="A1199" s="124"/>
      <c r="B1199" s="142"/>
      <c r="C1199" s="115"/>
      <c r="D1199" s="115"/>
      <c r="E1199" s="115"/>
      <c r="F1199" s="115"/>
      <c r="G1199" s="60" t="s">
        <v>128</v>
      </c>
      <c r="H1199" s="124"/>
      <c r="I1199" s="124"/>
      <c r="J1199" s="60"/>
      <c r="K1199" s="60"/>
      <c r="L1199" s="160"/>
      <c r="M1199" s="60"/>
      <c r="N1199" s="60"/>
      <c r="O1199" s="60">
        <f t="shared" si="277"/>
        <v>0</v>
      </c>
      <c r="P1199" s="60">
        <f t="shared" si="278"/>
        <v>0</v>
      </c>
    </row>
    <row r="1200" spans="1:16" s="38" customFormat="1" ht="10.7" customHeight="1" outlineLevel="1" x14ac:dyDescent="0.25">
      <c r="A1200" s="124"/>
      <c r="B1200" s="142"/>
      <c r="C1200" s="115"/>
      <c r="D1200" s="115"/>
      <c r="E1200" s="115"/>
      <c r="F1200" s="115"/>
      <c r="G1200" s="60" t="s">
        <v>129</v>
      </c>
      <c r="H1200" s="124"/>
      <c r="I1200" s="124"/>
      <c r="J1200" s="60"/>
      <c r="K1200" s="60"/>
      <c r="L1200" s="160"/>
      <c r="M1200" s="60"/>
      <c r="N1200" s="60"/>
      <c r="O1200" s="60">
        <f t="shared" si="277"/>
        <v>0</v>
      </c>
      <c r="P1200" s="60">
        <f t="shared" si="278"/>
        <v>0</v>
      </c>
    </row>
    <row r="1201" spans="1:16" s="38" customFormat="1" ht="10.7" customHeight="1" outlineLevel="1" x14ac:dyDescent="0.25">
      <c r="A1201" s="124"/>
      <c r="B1201" s="142"/>
      <c r="C1201" s="115"/>
      <c r="D1201" s="115"/>
      <c r="E1201" s="115"/>
      <c r="F1201" s="115"/>
      <c r="G1201" s="60" t="s">
        <v>130</v>
      </c>
      <c r="H1201" s="124"/>
      <c r="I1201" s="124"/>
      <c r="J1201" s="60"/>
      <c r="K1201" s="60"/>
      <c r="L1201" s="160"/>
      <c r="M1201" s="60"/>
      <c r="N1201" s="60"/>
      <c r="O1201" s="60">
        <f t="shared" si="277"/>
        <v>0</v>
      </c>
      <c r="P1201" s="60">
        <f t="shared" si="278"/>
        <v>0</v>
      </c>
    </row>
    <row r="1202" spans="1:16" s="38" customFormat="1" ht="12" customHeight="1" outlineLevel="1" thickBot="1" x14ac:dyDescent="0.3">
      <c r="A1202" s="125"/>
      <c r="B1202" s="143"/>
      <c r="C1202" s="131"/>
      <c r="D1202" s="131"/>
      <c r="E1202" s="131"/>
      <c r="F1202" s="131"/>
      <c r="G1202" s="60" t="s">
        <v>131</v>
      </c>
      <c r="H1202" s="134"/>
      <c r="I1202" s="134"/>
      <c r="J1202" s="60"/>
      <c r="K1202" s="60"/>
      <c r="L1202" s="160"/>
      <c r="M1202" s="60"/>
      <c r="N1202" s="60"/>
      <c r="O1202" s="60">
        <f t="shared" si="277"/>
        <v>0</v>
      </c>
      <c r="P1202" s="60">
        <f t="shared" si="278"/>
        <v>0</v>
      </c>
    </row>
    <row r="1203" spans="1:16" s="39" customFormat="1" ht="15.75" x14ac:dyDescent="0.25">
      <c r="A1203" s="40" t="s">
        <v>315</v>
      </c>
      <c r="B1203" s="41" t="s">
        <v>253</v>
      </c>
      <c r="C1203" s="42">
        <f>SUM(C1204:C1217)</f>
        <v>0</v>
      </c>
      <c r="D1203" s="42">
        <f>SUM(D1204:D1217)</f>
        <v>0</v>
      </c>
      <c r="E1203" s="42">
        <f>SUM(E1204:E1217)</f>
        <v>0</v>
      </c>
      <c r="F1203" s="57"/>
      <c r="G1203" s="57"/>
      <c r="H1203" s="57"/>
      <c r="I1203" s="57"/>
      <c r="J1203" s="57"/>
      <c r="K1203" s="57"/>
      <c r="L1203" s="161"/>
      <c r="M1203" s="57"/>
      <c r="N1203" s="57"/>
      <c r="O1203" s="57"/>
      <c r="P1203" s="43"/>
    </row>
    <row r="1204" spans="1:16" s="38" customFormat="1" ht="14.45" customHeight="1" outlineLevel="1" x14ac:dyDescent="0.25">
      <c r="A1204" s="140" t="s">
        <v>68</v>
      </c>
      <c r="B1204" s="141" t="s">
        <v>254</v>
      </c>
      <c r="C1204" s="130">
        <f>SUM(O1204:O1210)</f>
        <v>0</v>
      </c>
      <c r="D1204" s="130">
        <f>SUM(P1204:P1210)</f>
        <v>0</v>
      </c>
      <c r="E1204" s="130">
        <f t="shared" ref="E1204:E1211" si="279">D1204/8</f>
        <v>0</v>
      </c>
      <c r="F1204" s="130"/>
      <c r="G1204" s="60" t="s">
        <v>125</v>
      </c>
      <c r="H1204" s="123"/>
      <c r="I1204" s="123"/>
      <c r="J1204" s="60"/>
      <c r="K1204" s="60"/>
      <c r="L1204" s="160"/>
      <c r="M1204" s="60"/>
      <c r="N1204" s="60"/>
      <c r="O1204" s="60">
        <f>N1204*J1204*K1204*M1204</f>
        <v>0</v>
      </c>
      <c r="P1204" s="60">
        <f>J1204*K1204*M1204</f>
        <v>0</v>
      </c>
    </row>
    <row r="1205" spans="1:16" s="38" customFormat="1" ht="11.45" customHeight="1" outlineLevel="1" x14ac:dyDescent="0.25">
      <c r="A1205" s="124"/>
      <c r="B1205" s="142"/>
      <c r="C1205" s="115"/>
      <c r="D1205" s="115"/>
      <c r="E1205" s="115"/>
      <c r="F1205" s="115"/>
      <c r="G1205" s="60" t="s">
        <v>126</v>
      </c>
      <c r="H1205" s="124"/>
      <c r="I1205" s="124"/>
      <c r="J1205" s="60"/>
      <c r="K1205" s="60"/>
      <c r="L1205" s="160"/>
      <c r="M1205" s="60"/>
      <c r="N1205" s="60"/>
      <c r="O1205" s="60">
        <f t="shared" ref="O1205:O1210" si="280">N1205*J1205*K1205*M1205</f>
        <v>0</v>
      </c>
      <c r="P1205" s="60">
        <f t="shared" ref="P1205:P1210" si="281">J1205*K1205*M1205</f>
        <v>0</v>
      </c>
    </row>
    <row r="1206" spans="1:16" s="38" customFormat="1" ht="10.7" customHeight="1" outlineLevel="1" x14ac:dyDescent="0.25">
      <c r="A1206" s="124"/>
      <c r="B1206" s="142"/>
      <c r="C1206" s="115"/>
      <c r="D1206" s="115"/>
      <c r="E1206" s="115"/>
      <c r="F1206" s="115"/>
      <c r="G1206" s="60" t="s">
        <v>127</v>
      </c>
      <c r="H1206" s="124"/>
      <c r="I1206" s="124"/>
      <c r="J1206" s="60"/>
      <c r="K1206" s="60"/>
      <c r="L1206" s="160"/>
      <c r="M1206" s="60"/>
      <c r="N1206" s="60"/>
      <c r="O1206" s="60">
        <f t="shared" si="280"/>
        <v>0</v>
      </c>
      <c r="P1206" s="60">
        <f t="shared" si="281"/>
        <v>0</v>
      </c>
    </row>
    <row r="1207" spans="1:16" s="38" customFormat="1" ht="10.7" customHeight="1" outlineLevel="1" x14ac:dyDescent="0.25">
      <c r="A1207" s="124"/>
      <c r="B1207" s="142"/>
      <c r="C1207" s="115"/>
      <c r="D1207" s="115"/>
      <c r="E1207" s="115"/>
      <c r="F1207" s="115"/>
      <c r="G1207" s="60" t="s">
        <v>128</v>
      </c>
      <c r="H1207" s="124"/>
      <c r="I1207" s="124"/>
      <c r="J1207" s="60"/>
      <c r="K1207" s="60"/>
      <c r="L1207" s="160"/>
      <c r="M1207" s="60"/>
      <c r="N1207" s="60"/>
      <c r="O1207" s="60">
        <f t="shared" si="280"/>
        <v>0</v>
      </c>
      <c r="P1207" s="60">
        <f t="shared" si="281"/>
        <v>0</v>
      </c>
    </row>
    <row r="1208" spans="1:16" s="38" customFormat="1" ht="10.7" customHeight="1" outlineLevel="1" x14ac:dyDescent="0.25">
      <c r="A1208" s="124"/>
      <c r="B1208" s="142"/>
      <c r="C1208" s="115"/>
      <c r="D1208" s="115"/>
      <c r="E1208" s="115"/>
      <c r="F1208" s="115"/>
      <c r="G1208" s="60" t="s">
        <v>129</v>
      </c>
      <c r="H1208" s="124"/>
      <c r="I1208" s="124"/>
      <c r="J1208" s="60"/>
      <c r="K1208" s="60"/>
      <c r="L1208" s="160"/>
      <c r="M1208" s="60"/>
      <c r="N1208" s="60"/>
      <c r="O1208" s="60">
        <f t="shared" si="280"/>
        <v>0</v>
      </c>
      <c r="P1208" s="60">
        <f t="shared" si="281"/>
        <v>0</v>
      </c>
    </row>
    <row r="1209" spans="1:16" s="38" customFormat="1" ht="10.7" customHeight="1" outlineLevel="1" x14ac:dyDescent="0.25">
      <c r="A1209" s="124"/>
      <c r="B1209" s="142"/>
      <c r="C1209" s="115"/>
      <c r="D1209" s="115"/>
      <c r="E1209" s="115"/>
      <c r="F1209" s="115"/>
      <c r="G1209" s="60" t="s">
        <v>130</v>
      </c>
      <c r="H1209" s="124"/>
      <c r="I1209" s="124"/>
      <c r="J1209" s="60"/>
      <c r="K1209" s="60"/>
      <c r="L1209" s="160"/>
      <c r="M1209" s="60"/>
      <c r="N1209" s="60"/>
      <c r="O1209" s="60">
        <f t="shared" si="280"/>
        <v>0</v>
      </c>
      <c r="P1209" s="60">
        <f t="shared" si="281"/>
        <v>0</v>
      </c>
    </row>
    <row r="1210" spans="1:16" s="38" customFormat="1" ht="12" customHeight="1" outlineLevel="1" thickBot="1" x14ac:dyDescent="0.3">
      <c r="A1210" s="125"/>
      <c r="B1210" s="143"/>
      <c r="C1210" s="131"/>
      <c r="D1210" s="131"/>
      <c r="E1210" s="131"/>
      <c r="F1210" s="131"/>
      <c r="G1210" s="60" t="s">
        <v>131</v>
      </c>
      <c r="H1210" s="134"/>
      <c r="I1210" s="134"/>
      <c r="J1210" s="60"/>
      <c r="K1210" s="60"/>
      <c r="L1210" s="160"/>
      <c r="M1210" s="60"/>
      <c r="N1210" s="60"/>
      <c r="O1210" s="60">
        <f t="shared" si="280"/>
        <v>0</v>
      </c>
      <c r="P1210" s="60">
        <f t="shared" si="281"/>
        <v>0</v>
      </c>
    </row>
    <row r="1211" spans="1:16" s="38" customFormat="1" ht="14.45" customHeight="1" outlineLevel="1" x14ac:dyDescent="0.25">
      <c r="A1211" s="140" t="s">
        <v>864</v>
      </c>
      <c r="B1211" s="141" t="s">
        <v>380</v>
      </c>
      <c r="C1211" s="130">
        <f>SUM(O1211:O1217)</f>
        <v>0</v>
      </c>
      <c r="D1211" s="130">
        <f>SUM(P1211:P1217)</f>
        <v>0</v>
      </c>
      <c r="E1211" s="130">
        <f t="shared" si="279"/>
        <v>0</v>
      </c>
      <c r="F1211" s="130"/>
      <c r="G1211" s="60" t="s">
        <v>125</v>
      </c>
      <c r="H1211" s="123"/>
      <c r="I1211" s="123"/>
      <c r="J1211" s="60"/>
      <c r="K1211" s="60"/>
      <c r="L1211" s="160"/>
      <c r="M1211" s="60"/>
      <c r="N1211" s="60"/>
      <c r="O1211" s="60">
        <f>N1211*J1211*K1211*M1211</f>
        <v>0</v>
      </c>
      <c r="P1211" s="60">
        <f>J1211*K1211*M1211</f>
        <v>0</v>
      </c>
    </row>
    <row r="1212" spans="1:16" s="38" customFormat="1" ht="11.45" customHeight="1" outlineLevel="1" x14ac:dyDescent="0.25">
      <c r="A1212" s="124"/>
      <c r="B1212" s="142"/>
      <c r="C1212" s="115"/>
      <c r="D1212" s="115"/>
      <c r="E1212" s="115"/>
      <c r="F1212" s="115"/>
      <c r="G1212" s="60" t="s">
        <v>126</v>
      </c>
      <c r="H1212" s="124"/>
      <c r="I1212" s="124"/>
      <c r="J1212" s="60"/>
      <c r="K1212" s="60"/>
      <c r="L1212" s="160"/>
      <c r="M1212" s="60"/>
      <c r="N1212" s="60"/>
      <c r="O1212" s="60">
        <f t="shared" ref="O1212:O1217" si="282">N1212*J1212*K1212*M1212</f>
        <v>0</v>
      </c>
      <c r="P1212" s="60">
        <f t="shared" ref="P1212:P1217" si="283">J1212*K1212*M1212</f>
        <v>0</v>
      </c>
    </row>
    <row r="1213" spans="1:16" s="38" customFormat="1" ht="10.7" customHeight="1" outlineLevel="1" x14ac:dyDescent="0.25">
      <c r="A1213" s="124"/>
      <c r="B1213" s="142"/>
      <c r="C1213" s="115"/>
      <c r="D1213" s="115"/>
      <c r="E1213" s="115"/>
      <c r="F1213" s="115"/>
      <c r="G1213" s="60" t="s">
        <v>127</v>
      </c>
      <c r="H1213" s="124"/>
      <c r="I1213" s="124"/>
      <c r="J1213" s="60"/>
      <c r="K1213" s="60"/>
      <c r="L1213" s="160"/>
      <c r="M1213" s="60"/>
      <c r="N1213" s="60"/>
      <c r="O1213" s="60">
        <f t="shared" si="282"/>
        <v>0</v>
      </c>
      <c r="P1213" s="60">
        <f t="shared" si="283"/>
        <v>0</v>
      </c>
    </row>
    <row r="1214" spans="1:16" s="38" customFormat="1" ht="10.7" customHeight="1" outlineLevel="1" x14ac:dyDescent="0.25">
      <c r="A1214" s="124"/>
      <c r="B1214" s="142"/>
      <c r="C1214" s="115"/>
      <c r="D1214" s="115"/>
      <c r="E1214" s="115"/>
      <c r="F1214" s="115"/>
      <c r="G1214" s="60" t="s">
        <v>128</v>
      </c>
      <c r="H1214" s="124"/>
      <c r="I1214" s="124"/>
      <c r="J1214" s="60"/>
      <c r="K1214" s="60"/>
      <c r="L1214" s="160"/>
      <c r="M1214" s="60"/>
      <c r="N1214" s="60"/>
      <c r="O1214" s="60">
        <f t="shared" si="282"/>
        <v>0</v>
      </c>
      <c r="P1214" s="60">
        <f t="shared" si="283"/>
        <v>0</v>
      </c>
    </row>
    <row r="1215" spans="1:16" s="38" customFormat="1" ht="10.7" customHeight="1" outlineLevel="1" x14ac:dyDescent="0.25">
      <c r="A1215" s="124"/>
      <c r="B1215" s="142"/>
      <c r="C1215" s="115"/>
      <c r="D1215" s="115"/>
      <c r="E1215" s="115"/>
      <c r="F1215" s="115"/>
      <c r="G1215" s="60" t="s">
        <v>129</v>
      </c>
      <c r="H1215" s="124"/>
      <c r="I1215" s="124"/>
      <c r="J1215" s="60"/>
      <c r="K1215" s="60"/>
      <c r="L1215" s="160"/>
      <c r="M1215" s="60"/>
      <c r="N1215" s="60"/>
      <c r="O1215" s="60">
        <f t="shared" si="282"/>
        <v>0</v>
      </c>
      <c r="P1215" s="60">
        <f t="shared" si="283"/>
        <v>0</v>
      </c>
    </row>
    <row r="1216" spans="1:16" s="38" customFormat="1" ht="10.7" customHeight="1" outlineLevel="1" x14ac:dyDescent="0.25">
      <c r="A1216" s="124"/>
      <c r="B1216" s="142"/>
      <c r="C1216" s="115"/>
      <c r="D1216" s="115"/>
      <c r="E1216" s="115"/>
      <c r="F1216" s="115"/>
      <c r="G1216" s="60" t="s">
        <v>130</v>
      </c>
      <c r="H1216" s="124"/>
      <c r="I1216" s="124"/>
      <c r="J1216" s="60"/>
      <c r="K1216" s="60"/>
      <c r="L1216" s="160"/>
      <c r="M1216" s="60"/>
      <c r="N1216" s="60"/>
      <c r="O1216" s="60">
        <f t="shared" si="282"/>
        <v>0</v>
      </c>
      <c r="P1216" s="60">
        <f t="shared" si="283"/>
        <v>0</v>
      </c>
    </row>
    <row r="1217" spans="1:16" s="38" customFormat="1" ht="12" customHeight="1" outlineLevel="1" thickBot="1" x14ac:dyDescent="0.3">
      <c r="A1217" s="125"/>
      <c r="B1217" s="143"/>
      <c r="C1217" s="131"/>
      <c r="D1217" s="131"/>
      <c r="E1217" s="131"/>
      <c r="F1217" s="131"/>
      <c r="G1217" s="60" t="s">
        <v>131</v>
      </c>
      <c r="H1217" s="134"/>
      <c r="I1217" s="134"/>
      <c r="J1217" s="60"/>
      <c r="K1217" s="60"/>
      <c r="L1217" s="160"/>
      <c r="M1217" s="60"/>
      <c r="N1217" s="60"/>
      <c r="O1217" s="60">
        <f t="shared" si="282"/>
        <v>0</v>
      </c>
      <c r="P1217" s="60">
        <f t="shared" si="283"/>
        <v>0</v>
      </c>
    </row>
    <row r="1218" spans="1:16" s="39" customFormat="1" ht="15.75" x14ac:dyDescent="0.25">
      <c r="A1218" s="40" t="s">
        <v>318</v>
      </c>
      <c r="B1218" s="41" t="s">
        <v>258</v>
      </c>
      <c r="C1218" s="42">
        <f>SUM(C1219)</f>
        <v>0</v>
      </c>
      <c r="D1218" s="42">
        <f>SUM(D1219)</f>
        <v>0</v>
      </c>
      <c r="E1218" s="42">
        <f>SUM(E1219)</f>
        <v>0</v>
      </c>
      <c r="F1218" s="57"/>
      <c r="G1218" s="57"/>
      <c r="H1218" s="57"/>
      <c r="I1218" s="57"/>
      <c r="J1218" s="57"/>
      <c r="K1218" s="57"/>
      <c r="L1218" s="161"/>
      <c r="M1218" s="57"/>
      <c r="N1218" s="57"/>
      <c r="O1218" s="57"/>
      <c r="P1218" s="43"/>
    </row>
    <row r="1219" spans="1:16" s="38" customFormat="1" ht="14.45" customHeight="1" outlineLevel="1" x14ac:dyDescent="0.25">
      <c r="A1219" s="140" t="s">
        <v>320</v>
      </c>
      <c r="B1219" s="141" t="s">
        <v>865</v>
      </c>
      <c r="C1219" s="130">
        <f>SUM(O1219:O1225)</f>
        <v>0</v>
      </c>
      <c r="D1219" s="130">
        <f>SUM(P1219:P1225)</f>
        <v>0</v>
      </c>
      <c r="E1219" s="130">
        <f t="shared" ref="E1219" si="284">D1219/8</f>
        <v>0</v>
      </c>
      <c r="F1219" s="130"/>
      <c r="G1219" s="60" t="s">
        <v>125</v>
      </c>
      <c r="H1219" s="123"/>
      <c r="I1219" s="123"/>
      <c r="J1219" s="60"/>
      <c r="K1219" s="60"/>
      <c r="L1219" s="160"/>
      <c r="M1219" s="60"/>
      <c r="N1219" s="60"/>
      <c r="O1219" s="60">
        <f>N1219*J1219*K1219*M1219</f>
        <v>0</v>
      </c>
      <c r="P1219" s="60">
        <f>J1219*K1219*M1219</f>
        <v>0</v>
      </c>
    </row>
    <row r="1220" spans="1:16" s="38" customFormat="1" ht="11.45" customHeight="1" outlineLevel="1" x14ac:dyDescent="0.25">
      <c r="A1220" s="124"/>
      <c r="B1220" s="142"/>
      <c r="C1220" s="115"/>
      <c r="D1220" s="115"/>
      <c r="E1220" s="115"/>
      <c r="F1220" s="115"/>
      <c r="G1220" s="60" t="s">
        <v>126</v>
      </c>
      <c r="H1220" s="124"/>
      <c r="I1220" s="124"/>
      <c r="J1220" s="60"/>
      <c r="K1220" s="60"/>
      <c r="L1220" s="160"/>
      <c r="M1220" s="60"/>
      <c r="N1220" s="60"/>
      <c r="O1220" s="60">
        <f t="shared" ref="O1220:O1225" si="285">N1220*J1220*K1220*M1220</f>
        <v>0</v>
      </c>
      <c r="P1220" s="60">
        <f t="shared" ref="P1220:P1225" si="286">J1220*K1220*M1220</f>
        <v>0</v>
      </c>
    </row>
    <row r="1221" spans="1:16" s="38" customFormat="1" ht="10.7" customHeight="1" outlineLevel="1" x14ac:dyDescent="0.25">
      <c r="A1221" s="124"/>
      <c r="B1221" s="142"/>
      <c r="C1221" s="115"/>
      <c r="D1221" s="115"/>
      <c r="E1221" s="115"/>
      <c r="F1221" s="115"/>
      <c r="G1221" s="60" t="s">
        <v>127</v>
      </c>
      <c r="H1221" s="124"/>
      <c r="I1221" s="124"/>
      <c r="J1221" s="60"/>
      <c r="K1221" s="60"/>
      <c r="L1221" s="160"/>
      <c r="M1221" s="60"/>
      <c r="N1221" s="60"/>
      <c r="O1221" s="60">
        <f t="shared" si="285"/>
        <v>0</v>
      </c>
      <c r="P1221" s="60">
        <f t="shared" si="286"/>
        <v>0</v>
      </c>
    </row>
    <row r="1222" spans="1:16" s="38" customFormat="1" ht="10.7" customHeight="1" outlineLevel="1" x14ac:dyDescent="0.25">
      <c r="A1222" s="124"/>
      <c r="B1222" s="142"/>
      <c r="C1222" s="115"/>
      <c r="D1222" s="115"/>
      <c r="E1222" s="115"/>
      <c r="F1222" s="115"/>
      <c r="G1222" s="60" t="s">
        <v>128</v>
      </c>
      <c r="H1222" s="124"/>
      <c r="I1222" s="124"/>
      <c r="J1222" s="60"/>
      <c r="K1222" s="60"/>
      <c r="L1222" s="160"/>
      <c r="M1222" s="60"/>
      <c r="N1222" s="60"/>
      <c r="O1222" s="60">
        <f t="shared" si="285"/>
        <v>0</v>
      </c>
      <c r="P1222" s="60">
        <f t="shared" si="286"/>
        <v>0</v>
      </c>
    </row>
    <row r="1223" spans="1:16" s="38" customFormat="1" ht="10.7" customHeight="1" outlineLevel="1" x14ac:dyDescent="0.25">
      <c r="A1223" s="124"/>
      <c r="B1223" s="142"/>
      <c r="C1223" s="115"/>
      <c r="D1223" s="115"/>
      <c r="E1223" s="115"/>
      <c r="F1223" s="115"/>
      <c r="G1223" s="60" t="s">
        <v>129</v>
      </c>
      <c r="H1223" s="124"/>
      <c r="I1223" s="124"/>
      <c r="J1223" s="60"/>
      <c r="K1223" s="60"/>
      <c r="L1223" s="160"/>
      <c r="M1223" s="60"/>
      <c r="N1223" s="60"/>
      <c r="O1223" s="60">
        <f t="shared" si="285"/>
        <v>0</v>
      </c>
      <c r="P1223" s="60">
        <f t="shared" si="286"/>
        <v>0</v>
      </c>
    </row>
    <row r="1224" spans="1:16" s="38" customFormat="1" ht="10.7" customHeight="1" outlineLevel="1" x14ac:dyDescent="0.25">
      <c r="A1224" s="124"/>
      <c r="B1224" s="142"/>
      <c r="C1224" s="115"/>
      <c r="D1224" s="115"/>
      <c r="E1224" s="115"/>
      <c r="F1224" s="115"/>
      <c r="G1224" s="60" t="s">
        <v>130</v>
      </c>
      <c r="H1224" s="124"/>
      <c r="I1224" s="124"/>
      <c r="J1224" s="60"/>
      <c r="K1224" s="60"/>
      <c r="L1224" s="160"/>
      <c r="M1224" s="60"/>
      <c r="N1224" s="60"/>
      <c r="O1224" s="60">
        <f t="shared" si="285"/>
        <v>0</v>
      </c>
      <c r="P1224" s="60">
        <f t="shared" si="286"/>
        <v>0</v>
      </c>
    </row>
    <row r="1225" spans="1:16" s="38" customFormat="1" ht="12" customHeight="1" outlineLevel="1" thickBot="1" x14ac:dyDescent="0.3">
      <c r="A1225" s="125"/>
      <c r="B1225" s="143"/>
      <c r="C1225" s="131"/>
      <c r="D1225" s="131"/>
      <c r="E1225" s="131"/>
      <c r="F1225" s="131"/>
      <c r="G1225" s="60" t="s">
        <v>131</v>
      </c>
      <c r="H1225" s="134"/>
      <c r="I1225" s="134"/>
      <c r="J1225" s="60"/>
      <c r="K1225" s="60"/>
      <c r="L1225" s="160"/>
      <c r="M1225" s="60"/>
      <c r="N1225" s="60"/>
      <c r="O1225" s="60">
        <f t="shared" si="285"/>
        <v>0</v>
      </c>
      <c r="P1225" s="60">
        <f t="shared" si="286"/>
        <v>0</v>
      </c>
    </row>
    <row r="1226" spans="1:16" s="39" customFormat="1" ht="15.75" x14ac:dyDescent="0.25">
      <c r="A1226" s="40" t="s">
        <v>322</v>
      </c>
      <c r="B1226" s="41" t="s">
        <v>262</v>
      </c>
      <c r="C1226" s="42">
        <f>SUM(C1227:C1408)</f>
        <v>0</v>
      </c>
      <c r="D1226" s="42">
        <f>SUM(D1227:D1408)</f>
        <v>0</v>
      </c>
      <c r="E1226" s="42">
        <f>SUM(E1227:E1408)</f>
        <v>0</v>
      </c>
      <c r="F1226" s="42"/>
      <c r="G1226" s="42"/>
      <c r="H1226" s="42"/>
      <c r="I1226" s="42"/>
      <c r="J1226" s="42"/>
      <c r="K1226" s="42"/>
      <c r="L1226" s="163"/>
      <c r="M1226" s="42"/>
      <c r="N1226" s="42"/>
      <c r="O1226" s="42"/>
      <c r="P1226" s="47"/>
    </row>
    <row r="1227" spans="1:16" s="38" customFormat="1" ht="14.45" customHeight="1" outlineLevel="1" x14ac:dyDescent="0.25">
      <c r="A1227" s="140" t="s">
        <v>71</v>
      </c>
      <c r="B1227" s="141" t="s">
        <v>866</v>
      </c>
      <c r="C1227" s="130">
        <f>SUM(O1227:O1233)</f>
        <v>0</v>
      </c>
      <c r="D1227" s="130">
        <f>SUM(P1227:P1233)</f>
        <v>0</v>
      </c>
      <c r="E1227" s="130">
        <f t="shared" ref="E1227:E1290" si="287">D1227/8</f>
        <v>0</v>
      </c>
      <c r="F1227" s="130"/>
      <c r="G1227" s="60" t="s">
        <v>125</v>
      </c>
      <c r="H1227" s="123"/>
      <c r="I1227" s="123"/>
      <c r="J1227" s="60"/>
      <c r="K1227" s="60"/>
      <c r="L1227" s="160"/>
      <c r="M1227" s="60"/>
      <c r="N1227" s="60"/>
      <c r="O1227" s="60">
        <f>N1227*J1227*K1227*M1227</f>
        <v>0</v>
      </c>
      <c r="P1227" s="60">
        <f>J1227*K1227*M1227</f>
        <v>0</v>
      </c>
    </row>
    <row r="1228" spans="1:16" s="38" customFormat="1" ht="11.45" customHeight="1" outlineLevel="1" x14ac:dyDescent="0.25">
      <c r="A1228" s="124"/>
      <c r="B1228" s="142"/>
      <c r="C1228" s="115"/>
      <c r="D1228" s="115"/>
      <c r="E1228" s="115"/>
      <c r="F1228" s="115"/>
      <c r="G1228" s="60" t="s">
        <v>126</v>
      </c>
      <c r="H1228" s="124"/>
      <c r="I1228" s="124"/>
      <c r="J1228" s="60"/>
      <c r="K1228" s="60"/>
      <c r="L1228" s="160"/>
      <c r="M1228" s="60"/>
      <c r="N1228" s="60"/>
      <c r="O1228" s="60">
        <f t="shared" ref="O1228:O1233" si="288">N1228*J1228*K1228*M1228</f>
        <v>0</v>
      </c>
      <c r="P1228" s="60">
        <f t="shared" ref="P1228:P1233" si="289">J1228*K1228*M1228</f>
        <v>0</v>
      </c>
    </row>
    <row r="1229" spans="1:16" s="38" customFormat="1" ht="10.7" customHeight="1" outlineLevel="1" x14ac:dyDescent="0.25">
      <c r="A1229" s="124"/>
      <c r="B1229" s="142"/>
      <c r="C1229" s="115"/>
      <c r="D1229" s="115"/>
      <c r="E1229" s="115"/>
      <c r="F1229" s="115"/>
      <c r="G1229" s="60" t="s">
        <v>127</v>
      </c>
      <c r="H1229" s="124"/>
      <c r="I1229" s="124"/>
      <c r="J1229" s="60"/>
      <c r="K1229" s="60"/>
      <c r="L1229" s="160"/>
      <c r="M1229" s="60"/>
      <c r="N1229" s="60"/>
      <c r="O1229" s="60">
        <f t="shared" si="288"/>
        <v>0</v>
      </c>
      <c r="P1229" s="60">
        <f t="shared" si="289"/>
        <v>0</v>
      </c>
    </row>
    <row r="1230" spans="1:16" s="38" customFormat="1" ht="10.7" customHeight="1" outlineLevel="1" x14ac:dyDescent="0.25">
      <c r="A1230" s="124"/>
      <c r="B1230" s="142"/>
      <c r="C1230" s="115"/>
      <c r="D1230" s="115"/>
      <c r="E1230" s="115"/>
      <c r="F1230" s="115"/>
      <c r="G1230" s="60" t="s">
        <v>128</v>
      </c>
      <c r="H1230" s="124"/>
      <c r="I1230" s="124"/>
      <c r="J1230" s="60"/>
      <c r="K1230" s="60"/>
      <c r="L1230" s="160"/>
      <c r="M1230" s="60"/>
      <c r="N1230" s="60"/>
      <c r="O1230" s="60">
        <f t="shared" si="288"/>
        <v>0</v>
      </c>
      <c r="P1230" s="60">
        <f t="shared" si="289"/>
        <v>0</v>
      </c>
    </row>
    <row r="1231" spans="1:16" s="38" customFormat="1" ht="10.7" customHeight="1" outlineLevel="1" x14ac:dyDescent="0.25">
      <c r="A1231" s="124"/>
      <c r="B1231" s="142"/>
      <c r="C1231" s="115"/>
      <c r="D1231" s="115"/>
      <c r="E1231" s="115"/>
      <c r="F1231" s="115"/>
      <c r="G1231" s="60" t="s">
        <v>129</v>
      </c>
      <c r="H1231" s="124"/>
      <c r="I1231" s="124"/>
      <c r="J1231" s="60"/>
      <c r="K1231" s="60"/>
      <c r="L1231" s="160"/>
      <c r="M1231" s="60"/>
      <c r="N1231" s="60"/>
      <c r="O1231" s="60">
        <f t="shared" si="288"/>
        <v>0</v>
      </c>
      <c r="P1231" s="60">
        <f t="shared" si="289"/>
        <v>0</v>
      </c>
    </row>
    <row r="1232" spans="1:16" s="38" customFormat="1" ht="10.7" customHeight="1" outlineLevel="1" x14ac:dyDescent="0.25">
      <c r="A1232" s="124"/>
      <c r="B1232" s="142"/>
      <c r="C1232" s="115"/>
      <c r="D1232" s="115"/>
      <c r="E1232" s="115"/>
      <c r="F1232" s="115"/>
      <c r="G1232" s="60" t="s">
        <v>130</v>
      </c>
      <c r="H1232" s="124"/>
      <c r="I1232" s="124"/>
      <c r="J1232" s="60"/>
      <c r="K1232" s="60"/>
      <c r="L1232" s="160"/>
      <c r="M1232" s="60"/>
      <c r="N1232" s="60"/>
      <c r="O1232" s="60">
        <f t="shared" si="288"/>
        <v>0</v>
      </c>
      <c r="P1232" s="60">
        <f t="shared" si="289"/>
        <v>0</v>
      </c>
    </row>
    <row r="1233" spans="1:16" s="38" customFormat="1" ht="12" customHeight="1" outlineLevel="1" thickBot="1" x14ac:dyDescent="0.3">
      <c r="A1233" s="125"/>
      <c r="B1233" s="143"/>
      <c r="C1233" s="131"/>
      <c r="D1233" s="131"/>
      <c r="E1233" s="131"/>
      <c r="F1233" s="131"/>
      <c r="G1233" s="60" t="s">
        <v>131</v>
      </c>
      <c r="H1233" s="134"/>
      <c r="I1233" s="134"/>
      <c r="J1233" s="60"/>
      <c r="K1233" s="60"/>
      <c r="L1233" s="160"/>
      <c r="M1233" s="60"/>
      <c r="N1233" s="60"/>
      <c r="O1233" s="60">
        <f t="shared" si="288"/>
        <v>0</v>
      </c>
      <c r="P1233" s="60">
        <f t="shared" si="289"/>
        <v>0</v>
      </c>
    </row>
    <row r="1234" spans="1:16" s="38" customFormat="1" ht="14.45" customHeight="1" outlineLevel="1" x14ac:dyDescent="0.25">
      <c r="A1234" s="140" t="s">
        <v>867</v>
      </c>
      <c r="B1234" s="141" t="s">
        <v>382</v>
      </c>
      <c r="C1234" s="130">
        <f>SUM(O1234:O1240)</f>
        <v>0</v>
      </c>
      <c r="D1234" s="130">
        <f>SUM(P1234:P1240)</f>
        <v>0</v>
      </c>
      <c r="E1234" s="130">
        <f t="shared" si="287"/>
        <v>0</v>
      </c>
      <c r="F1234" s="130"/>
      <c r="G1234" s="60" t="s">
        <v>125</v>
      </c>
      <c r="H1234" s="123"/>
      <c r="I1234" s="123"/>
      <c r="J1234" s="60"/>
      <c r="K1234" s="60"/>
      <c r="L1234" s="160"/>
      <c r="M1234" s="60"/>
      <c r="N1234" s="60"/>
      <c r="O1234" s="60">
        <f>N1234*J1234*K1234*M1234</f>
        <v>0</v>
      </c>
      <c r="P1234" s="60">
        <f>J1234*K1234*M1234</f>
        <v>0</v>
      </c>
    </row>
    <row r="1235" spans="1:16" s="38" customFormat="1" ht="11.45" customHeight="1" outlineLevel="1" x14ac:dyDescent="0.25">
      <c r="A1235" s="124"/>
      <c r="B1235" s="142"/>
      <c r="C1235" s="115"/>
      <c r="D1235" s="115"/>
      <c r="E1235" s="115"/>
      <c r="F1235" s="115"/>
      <c r="G1235" s="60" t="s">
        <v>126</v>
      </c>
      <c r="H1235" s="124"/>
      <c r="I1235" s="124"/>
      <c r="J1235" s="60"/>
      <c r="K1235" s="60"/>
      <c r="L1235" s="160"/>
      <c r="M1235" s="60"/>
      <c r="N1235" s="60"/>
      <c r="O1235" s="60">
        <f t="shared" ref="O1235:O1240" si="290">N1235*J1235*K1235*M1235</f>
        <v>0</v>
      </c>
      <c r="P1235" s="60">
        <f t="shared" ref="P1235:P1240" si="291">J1235*K1235*M1235</f>
        <v>0</v>
      </c>
    </row>
    <row r="1236" spans="1:16" s="38" customFormat="1" ht="10.7" customHeight="1" outlineLevel="1" x14ac:dyDescent="0.25">
      <c r="A1236" s="124"/>
      <c r="B1236" s="142"/>
      <c r="C1236" s="115"/>
      <c r="D1236" s="115"/>
      <c r="E1236" s="115"/>
      <c r="F1236" s="115"/>
      <c r="G1236" s="60" t="s">
        <v>127</v>
      </c>
      <c r="H1236" s="124"/>
      <c r="I1236" s="124"/>
      <c r="J1236" s="60"/>
      <c r="K1236" s="60"/>
      <c r="L1236" s="160"/>
      <c r="M1236" s="60"/>
      <c r="N1236" s="60"/>
      <c r="O1236" s="60">
        <f t="shared" si="290"/>
        <v>0</v>
      </c>
      <c r="P1236" s="60">
        <f t="shared" si="291"/>
        <v>0</v>
      </c>
    </row>
    <row r="1237" spans="1:16" s="38" customFormat="1" ht="10.7" customHeight="1" outlineLevel="1" x14ac:dyDescent="0.25">
      <c r="A1237" s="124"/>
      <c r="B1237" s="142"/>
      <c r="C1237" s="115"/>
      <c r="D1237" s="115"/>
      <c r="E1237" s="115"/>
      <c r="F1237" s="115"/>
      <c r="G1237" s="60" t="s">
        <v>128</v>
      </c>
      <c r="H1237" s="124"/>
      <c r="I1237" s="124"/>
      <c r="J1237" s="60"/>
      <c r="K1237" s="60"/>
      <c r="L1237" s="160"/>
      <c r="M1237" s="60"/>
      <c r="N1237" s="60"/>
      <c r="O1237" s="60">
        <f t="shared" si="290"/>
        <v>0</v>
      </c>
      <c r="P1237" s="60">
        <f t="shared" si="291"/>
        <v>0</v>
      </c>
    </row>
    <row r="1238" spans="1:16" s="38" customFormat="1" ht="10.7" customHeight="1" outlineLevel="1" x14ac:dyDescent="0.25">
      <c r="A1238" s="124"/>
      <c r="B1238" s="142"/>
      <c r="C1238" s="115"/>
      <c r="D1238" s="115"/>
      <c r="E1238" s="115"/>
      <c r="F1238" s="115"/>
      <c r="G1238" s="60" t="s">
        <v>129</v>
      </c>
      <c r="H1238" s="124"/>
      <c r="I1238" s="124"/>
      <c r="J1238" s="60"/>
      <c r="K1238" s="60"/>
      <c r="L1238" s="160"/>
      <c r="M1238" s="60"/>
      <c r="N1238" s="60"/>
      <c r="O1238" s="60">
        <f t="shared" si="290"/>
        <v>0</v>
      </c>
      <c r="P1238" s="60">
        <f t="shared" si="291"/>
        <v>0</v>
      </c>
    </row>
    <row r="1239" spans="1:16" s="38" customFormat="1" ht="10.7" customHeight="1" outlineLevel="1" x14ac:dyDescent="0.25">
      <c r="A1239" s="124"/>
      <c r="B1239" s="142"/>
      <c r="C1239" s="115"/>
      <c r="D1239" s="115"/>
      <c r="E1239" s="115"/>
      <c r="F1239" s="115"/>
      <c r="G1239" s="60" t="s">
        <v>130</v>
      </c>
      <c r="H1239" s="124"/>
      <c r="I1239" s="124"/>
      <c r="J1239" s="60"/>
      <c r="K1239" s="60"/>
      <c r="L1239" s="160"/>
      <c r="M1239" s="60"/>
      <c r="N1239" s="60"/>
      <c r="O1239" s="60">
        <f t="shared" si="290"/>
        <v>0</v>
      </c>
      <c r="P1239" s="60">
        <f t="shared" si="291"/>
        <v>0</v>
      </c>
    </row>
    <row r="1240" spans="1:16" s="38" customFormat="1" ht="12" customHeight="1" outlineLevel="1" thickBot="1" x14ac:dyDescent="0.3">
      <c r="A1240" s="125"/>
      <c r="B1240" s="143"/>
      <c r="C1240" s="131"/>
      <c r="D1240" s="131"/>
      <c r="E1240" s="131"/>
      <c r="F1240" s="131"/>
      <c r="G1240" s="60" t="s">
        <v>131</v>
      </c>
      <c r="H1240" s="134"/>
      <c r="I1240" s="134"/>
      <c r="J1240" s="60"/>
      <c r="K1240" s="60"/>
      <c r="L1240" s="160"/>
      <c r="M1240" s="60"/>
      <c r="N1240" s="60"/>
      <c r="O1240" s="60">
        <f t="shared" si="290"/>
        <v>0</v>
      </c>
      <c r="P1240" s="60">
        <f t="shared" si="291"/>
        <v>0</v>
      </c>
    </row>
    <row r="1241" spans="1:16" s="38" customFormat="1" ht="14.45" customHeight="1" outlineLevel="1" x14ac:dyDescent="0.25">
      <c r="A1241" s="140" t="s">
        <v>868</v>
      </c>
      <c r="B1241" s="141" t="s">
        <v>443</v>
      </c>
      <c r="C1241" s="130">
        <f>SUM(O1241:O1247)</f>
        <v>0</v>
      </c>
      <c r="D1241" s="130">
        <f>SUM(P1241:P1247)</f>
        <v>0</v>
      </c>
      <c r="E1241" s="130">
        <f t="shared" si="287"/>
        <v>0</v>
      </c>
      <c r="F1241" s="130"/>
      <c r="G1241" s="60" t="s">
        <v>125</v>
      </c>
      <c r="H1241" s="123"/>
      <c r="I1241" s="123"/>
      <c r="J1241" s="60"/>
      <c r="K1241" s="60"/>
      <c r="L1241" s="160"/>
      <c r="M1241" s="60"/>
      <c r="N1241" s="60"/>
      <c r="O1241" s="60">
        <f>N1241*J1241*K1241*M1241</f>
        <v>0</v>
      </c>
      <c r="P1241" s="60">
        <f>J1241*K1241*M1241</f>
        <v>0</v>
      </c>
    </row>
    <row r="1242" spans="1:16" s="38" customFormat="1" ht="11.45" customHeight="1" outlineLevel="1" x14ac:dyDescent="0.25">
      <c r="A1242" s="124"/>
      <c r="B1242" s="142"/>
      <c r="C1242" s="115"/>
      <c r="D1242" s="115"/>
      <c r="E1242" s="115"/>
      <c r="F1242" s="115"/>
      <c r="G1242" s="60" t="s">
        <v>126</v>
      </c>
      <c r="H1242" s="124"/>
      <c r="I1242" s="124"/>
      <c r="J1242" s="60"/>
      <c r="K1242" s="60"/>
      <c r="L1242" s="160"/>
      <c r="M1242" s="60"/>
      <c r="N1242" s="60"/>
      <c r="O1242" s="60">
        <f t="shared" ref="O1242:O1247" si="292">N1242*J1242*K1242*M1242</f>
        <v>0</v>
      </c>
      <c r="P1242" s="60">
        <f t="shared" ref="P1242:P1247" si="293">J1242*K1242*M1242</f>
        <v>0</v>
      </c>
    </row>
    <row r="1243" spans="1:16" s="38" customFormat="1" ht="10.7" customHeight="1" outlineLevel="1" x14ac:dyDescent="0.25">
      <c r="A1243" s="124"/>
      <c r="B1243" s="142"/>
      <c r="C1243" s="115"/>
      <c r="D1243" s="115"/>
      <c r="E1243" s="115"/>
      <c r="F1243" s="115"/>
      <c r="G1243" s="60" t="s">
        <v>127</v>
      </c>
      <c r="H1243" s="124"/>
      <c r="I1243" s="124"/>
      <c r="J1243" s="60"/>
      <c r="K1243" s="60"/>
      <c r="L1243" s="160"/>
      <c r="M1243" s="60"/>
      <c r="N1243" s="60"/>
      <c r="O1243" s="60">
        <f t="shared" si="292"/>
        <v>0</v>
      </c>
      <c r="P1243" s="60">
        <f t="shared" si="293"/>
        <v>0</v>
      </c>
    </row>
    <row r="1244" spans="1:16" s="38" customFormat="1" ht="10.7" customHeight="1" outlineLevel="1" x14ac:dyDescent="0.25">
      <c r="A1244" s="124"/>
      <c r="B1244" s="142"/>
      <c r="C1244" s="115"/>
      <c r="D1244" s="115"/>
      <c r="E1244" s="115"/>
      <c r="F1244" s="115"/>
      <c r="G1244" s="60" t="s">
        <v>128</v>
      </c>
      <c r="H1244" s="124"/>
      <c r="I1244" s="124"/>
      <c r="J1244" s="60"/>
      <c r="K1244" s="60"/>
      <c r="L1244" s="160"/>
      <c r="M1244" s="60"/>
      <c r="N1244" s="60"/>
      <c r="O1244" s="60">
        <f t="shared" si="292"/>
        <v>0</v>
      </c>
      <c r="P1244" s="60">
        <f t="shared" si="293"/>
        <v>0</v>
      </c>
    </row>
    <row r="1245" spans="1:16" s="38" customFormat="1" ht="10.7" customHeight="1" outlineLevel="1" x14ac:dyDescent="0.25">
      <c r="A1245" s="124"/>
      <c r="B1245" s="142"/>
      <c r="C1245" s="115"/>
      <c r="D1245" s="115"/>
      <c r="E1245" s="115"/>
      <c r="F1245" s="115"/>
      <c r="G1245" s="60" t="s">
        <v>129</v>
      </c>
      <c r="H1245" s="124"/>
      <c r="I1245" s="124"/>
      <c r="J1245" s="60"/>
      <c r="K1245" s="60"/>
      <c r="L1245" s="160"/>
      <c r="M1245" s="60"/>
      <c r="N1245" s="60"/>
      <c r="O1245" s="60">
        <f t="shared" si="292"/>
        <v>0</v>
      </c>
      <c r="P1245" s="60">
        <f t="shared" si="293"/>
        <v>0</v>
      </c>
    </row>
    <row r="1246" spans="1:16" s="38" customFormat="1" ht="10.7" customHeight="1" outlineLevel="1" x14ac:dyDescent="0.25">
      <c r="A1246" s="124"/>
      <c r="B1246" s="142"/>
      <c r="C1246" s="115"/>
      <c r="D1246" s="115"/>
      <c r="E1246" s="115"/>
      <c r="F1246" s="115"/>
      <c r="G1246" s="60" t="s">
        <v>130</v>
      </c>
      <c r="H1246" s="124"/>
      <c r="I1246" s="124"/>
      <c r="J1246" s="60"/>
      <c r="K1246" s="60"/>
      <c r="L1246" s="160"/>
      <c r="M1246" s="60"/>
      <c r="N1246" s="60"/>
      <c r="O1246" s="60">
        <f t="shared" si="292"/>
        <v>0</v>
      </c>
      <c r="P1246" s="60">
        <f t="shared" si="293"/>
        <v>0</v>
      </c>
    </row>
    <row r="1247" spans="1:16" s="38" customFormat="1" ht="12" customHeight="1" outlineLevel="1" thickBot="1" x14ac:dyDescent="0.3">
      <c r="A1247" s="125"/>
      <c r="B1247" s="143"/>
      <c r="C1247" s="131"/>
      <c r="D1247" s="131"/>
      <c r="E1247" s="131"/>
      <c r="F1247" s="131"/>
      <c r="G1247" s="60" t="s">
        <v>131</v>
      </c>
      <c r="H1247" s="134"/>
      <c r="I1247" s="134"/>
      <c r="J1247" s="60"/>
      <c r="K1247" s="60"/>
      <c r="L1247" s="160"/>
      <c r="M1247" s="60"/>
      <c r="N1247" s="60"/>
      <c r="O1247" s="60">
        <f t="shared" si="292"/>
        <v>0</v>
      </c>
      <c r="P1247" s="60">
        <f t="shared" si="293"/>
        <v>0</v>
      </c>
    </row>
    <row r="1248" spans="1:16" s="38" customFormat="1" ht="14.45" customHeight="1" outlineLevel="1" x14ac:dyDescent="0.25">
      <c r="A1248" s="140" t="s">
        <v>869</v>
      </c>
      <c r="B1248" s="141" t="s">
        <v>870</v>
      </c>
      <c r="C1248" s="130">
        <f>SUM(O1248:O1254)</f>
        <v>0</v>
      </c>
      <c r="D1248" s="130">
        <f>SUM(P1248:P1254)</f>
        <v>0</v>
      </c>
      <c r="E1248" s="130">
        <f t="shared" si="287"/>
        <v>0</v>
      </c>
      <c r="F1248" s="130"/>
      <c r="G1248" s="60" t="s">
        <v>125</v>
      </c>
      <c r="H1248" s="123"/>
      <c r="I1248" s="123"/>
      <c r="J1248" s="60"/>
      <c r="K1248" s="60"/>
      <c r="L1248" s="160"/>
      <c r="M1248" s="60"/>
      <c r="N1248" s="60"/>
      <c r="O1248" s="60">
        <f>N1248*J1248*K1248*M1248</f>
        <v>0</v>
      </c>
      <c r="P1248" s="60">
        <f>J1248*K1248*M1248</f>
        <v>0</v>
      </c>
    </row>
    <row r="1249" spans="1:16" s="38" customFormat="1" ht="11.45" customHeight="1" outlineLevel="1" x14ac:dyDescent="0.25">
      <c r="A1249" s="124"/>
      <c r="B1249" s="142"/>
      <c r="C1249" s="115"/>
      <c r="D1249" s="115"/>
      <c r="E1249" s="115"/>
      <c r="F1249" s="115"/>
      <c r="G1249" s="60" t="s">
        <v>126</v>
      </c>
      <c r="H1249" s="124"/>
      <c r="I1249" s="124"/>
      <c r="J1249" s="60"/>
      <c r="K1249" s="60"/>
      <c r="L1249" s="160"/>
      <c r="M1249" s="60"/>
      <c r="N1249" s="60"/>
      <c r="O1249" s="60">
        <f t="shared" ref="O1249:O1254" si="294">N1249*J1249*K1249*M1249</f>
        <v>0</v>
      </c>
      <c r="P1249" s="60">
        <f t="shared" ref="P1249:P1254" si="295">J1249*K1249*M1249</f>
        <v>0</v>
      </c>
    </row>
    <row r="1250" spans="1:16" s="38" customFormat="1" ht="10.7" customHeight="1" outlineLevel="1" x14ac:dyDescent="0.25">
      <c r="A1250" s="124"/>
      <c r="B1250" s="142"/>
      <c r="C1250" s="115"/>
      <c r="D1250" s="115"/>
      <c r="E1250" s="115"/>
      <c r="F1250" s="115"/>
      <c r="G1250" s="60" t="s">
        <v>127</v>
      </c>
      <c r="H1250" s="124"/>
      <c r="I1250" s="124"/>
      <c r="J1250" s="60"/>
      <c r="K1250" s="60"/>
      <c r="L1250" s="160"/>
      <c r="M1250" s="60"/>
      <c r="N1250" s="60"/>
      <c r="O1250" s="60">
        <f t="shared" si="294"/>
        <v>0</v>
      </c>
      <c r="P1250" s="60">
        <f t="shared" si="295"/>
        <v>0</v>
      </c>
    </row>
    <row r="1251" spans="1:16" s="38" customFormat="1" ht="10.7" customHeight="1" outlineLevel="1" x14ac:dyDescent="0.25">
      <c r="A1251" s="124"/>
      <c r="B1251" s="142"/>
      <c r="C1251" s="115"/>
      <c r="D1251" s="115"/>
      <c r="E1251" s="115"/>
      <c r="F1251" s="115"/>
      <c r="G1251" s="60" t="s">
        <v>128</v>
      </c>
      <c r="H1251" s="124"/>
      <c r="I1251" s="124"/>
      <c r="J1251" s="60"/>
      <c r="K1251" s="60"/>
      <c r="L1251" s="160"/>
      <c r="M1251" s="60"/>
      <c r="N1251" s="60"/>
      <c r="O1251" s="60">
        <f t="shared" si="294"/>
        <v>0</v>
      </c>
      <c r="P1251" s="60">
        <f t="shared" si="295"/>
        <v>0</v>
      </c>
    </row>
    <row r="1252" spans="1:16" s="38" customFormat="1" ht="10.7" customHeight="1" outlineLevel="1" x14ac:dyDescent="0.25">
      <c r="A1252" s="124"/>
      <c r="B1252" s="142"/>
      <c r="C1252" s="115"/>
      <c r="D1252" s="115"/>
      <c r="E1252" s="115"/>
      <c r="F1252" s="115"/>
      <c r="G1252" s="60" t="s">
        <v>129</v>
      </c>
      <c r="H1252" s="124"/>
      <c r="I1252" s="124"/>
      <c r="J1252" s="60"/>
      <c r="K1252" s="60"/>
      <c r="L1252" s="160"/>
      <c r="M1252" s="60"/>
      <c r="N1252" s="60"/>
      <c r="O1252" s="60">
        <f t="shared" si="294"/>
        <v>0</v>
      </c>
      <c r="P1252" s="60">
        <f t="shared" si="295"/>
        <v>0</v>
      </c>
    </row>
    <row r="1253" spans="1:16" s="38" customFormat="1" ht="10.7" customHeight="1" outlineLevel="1" x14ac:dyDescent="0.25">
      <c r="A1253" s="124"/>
      <c r="B1253" s="142"/>
      <c r="C1253" s="115"/>
      <c r="D1253" s="115"/>
      <c r="E1253" s="115"/>
      <c r="F1253" s="115"/>
      <c r="G1253" s="60" t="s">
        <v>130</v>
      </c>
      <c r="H1253" s="124"/>
      <c r="I1253" s="124"/>
      <c r="J1253" s="60"/>
      <c r="K1253" s="60"/>
      <c r="L1253" s="160"/>
      <c r="M1253" s="60"/>
      <c r="N1253" s="60"/>
      <c r="O1253" s="60">
        <f t="shared" si="294"/>
        <v>0</v>
      </c>
      <c r="P1253" s="60">
        <f t="shared" si="295"/>
        <v>0</v>
      </c>
    </row>
    <row r="1254" spans="1:16" s="38" customFormat="1" ht="12" customHeight="1" outlineLevel="1" thickBot="1" x14ac:dyDescent="0.3">
      <c r="A1254" s="125"/>
      <c r="B1254" s="143"/>
      <c r="C1254" s="131"/>
      <c r="D1254" s="131"/>
      <c r="E1254" s="131"/>
      <c r="F1254" s="131"/>
      <c r="G1254" s="60" t="s">
        <v>131</v>
      </c>
      <c r="H1254" s="134"/>
      <c r="I1254" s="134"/>
      <c r="J1254" s="60"/>
      <c r="K1254" s="60"/>
      <c r="L1254" s="160"/>
      <c r="M1254" s="60"/>
      <c r="N1254" s="60"/>
      <c r="O1254" s="60">
        <f t="shared" si="294"/>
        <v>0</v>
      </c>
      <c r="P1254" s="60">
        <f t="shared" si="295"/>
        <v>0</v>
      </c>
    </row>
    <row r="1255" spans="1:16" s="38" customFormat="1" ht="14.45" customHeight="1" outlineLevel="1" x14ac:dyDescent="0.25">
      <c r="A1255" s="140" t="s">
        <v>871</v>
      </c>
      <c r="B1255" s="141" t="s">
        <v>872</v>
      </c>
      <c r="C1255" s="130">
        <f>SUM(O1255:O1261)</f>
        <v>0</v>
      </c>
      <c r="D1255" s="130">
        <f>SUM(P1255:P1261)</f>
        <v>0</v>
      </c>
      <c r="E1255" s="130">
        <f t="shared" si="287"/>
        <v>0</v>
      </c>
      <c r="F1255" s="130"/>
      <c r="G1255" s="60" t="s">
        <v>125</v>
      </c>
      <c r="H1255" s="123"/>
      <c r="I1255" s="123"/>
      <c r="J1255" s="60"/>
      <c r="K1255" s="60"/>
      <c r="L1255" s="160"/>
      <c r="M1255" s="60"/>
      <c r="N1255" s="60"/>
      <c r="O1255" s="60">
        <f>N1255*J1255*K1255*M1255</f>
        <v>0</v>
      </c>
      <c r="P1255" s="60">
        <f>J1255*K1255*M1255</f>
        <v>0</v>
      </c>
    </row>
    <row r="1256" spans="1:16" s="38" customFormat="1" ht="11.45" customHeight="1" outlineLevel="1" x14ac:dyDescent="0.25">
      <c r="A1256" s="124"/>
      <c r="B1256" s="142"/>
      <c r="C1256" s="115"/>
      <c r="D1256" s="115"/>
      <c r="E1256" s="115"/>
      <c r="F1256" s="115"/>
      <c r="G1256" s="60" t="s">
        <v>126</v>
      </c>
      <c r="H1256" s="124"/>
      <c r="I1256" s="124"/>
      <c r="J1256" s="60"/>
      <c r="K1256" s="60"/>
      <c r="L1256" s="160"/>
      <c r="M1256" s="60"/>
      <c r="N1256" s="60"/>
      <c r="O1256" s="60">
        <f t="shared" ref="O1256:O1261" si="296">N1256*J1256*K1256*M1256</f>
        <v>0</v>
      </c>
      <c r="P1256" s="60">
        <f t="shared" ref="P1256:P1261" si="297">J1256*K1256*M1256</f>
        <v>0</v>
      </c>
    </row>
    <row r="1257" spans="1:16" s="38" customFormat="1" ht="10.7" customHeight="1" outlineLevel="1" x14ac:dyDescent="0.25">
      <c r="A1257" s="124"/>
      <c r="B1257" s="142"/>
      <c r="C1257" s="115"/>
      <c r="D1257" s="115"/>
      <c r="E1257" s="115"/>
      <c r="F1257" s="115"/>
      <c r="G1257" s="60" t="s">
        <v>127</v>
      </c>
      <c r="H1257" s="124"/>
      <c r="I1257" s="124"/>
      <c r="J1257" s="60"/>
      <c r="K1257" s="60"/>
      <c r="L1257" s="160"/>
      <c r="M1257" s="60"/>
      <c r="N1257" s="60"/>
      <c r="O1257" s="60">
        <f t="shared" si="296"/>
        <v>0</v>
      </c>
      <c r="P1257" s="60">
        <f t="shared" si="297"/>
        <v>0</v>
      </c>
    </row>
    <row r="1258" spans="1:16" s="38" customFormat="1" ht="10.7" customHeight="1" outlineLevel="1" x14ac:dyDescent="0.25">
      <c r="A1258" s="124"/>
      <c r="B1258" s="142"/>
      <c r="C1258" s="115"/>
      <c r="D1258" s="115"/>
      <c r="E1258" s="115"/>
      <c r="F1258" s="115"/>
      <c r="G1258" s="60" t="s">
        <v>128</v>
      </c>
      <c r="H1258" s="124"/>
      <c r="I1258" s="124"/>
      <c r="J1258" s="60"/>
      <c r="K1258" s="60"/>
      <c r="L1258" s="160"/>
      <c r="M1258" s="60"/>
      <c r="N1258" s="60"/>
      <c r="O1258" s="60">
        <f t="shared" si="296"/>
        <v>0</v>
      </c>
      <c r="P1258" s="60">
        <f t="shared" si="297"/>
        <v>0</v>
      </c>
    </row>
    <row r="1259" spans="1:16" s="38" customFormat="1" ht="10.7" customHeight="1" outlineLevel="1" x14ac:dyDescent="0.25">
      <c r="A1259" s="124"/>
      <c r="B1259" s="142"/>
      <c r="C1259" s="115"/>
      <c r="D1259" s="115"/>
      <c r="E1259" s="115"/>
      <c r="F1259" s="115"/>
      <c r="G1259" s="60" t="s">
        <v>129</v>
      </c>
      <c r="H1259" s="124"/>
      <c r="I1259" s="124"/>
      <c r="J1259" s="60"/>
      <c r="K1259" s="60"/>
      <c r="L1259" s="160"/>
      <c r="M1259" s="60"/>
      <c r="N1259" s="60"/>
      <c r="O1259" s="60">
        <f t="shared" si="296"/>
        <v>0</v>
      </c>
      <c r="P1259" s="60">
        <f t="shared" si="297"/>
        <v>0</v>
      </c>
    </row>
    <row r="1260" spans="1:16" s="38" customFormat="1" ht="10.7" customHeight="1" outlineLevel="1" x14ac:dyDescent="0.25">
      <c r="A1260" s="124"/>
      <c r="B1260" s="142"/>
      <c r="C1260" s="115"/>
      <c r="D1260" s="115"/>
      <c r="E1260" s="115"/>
      <c r="F1260" s="115"/>
      <c r="G1260" s="60" t="s">
        <v>130</v>
      </c>
      <c r="H1260" s="124"/>
      <c r="I1260" s="124"/>
      <c r="J1260" s="60"/>
      <c r="K1260" s="60"/>
      <c r="L1260" s="160"/>
      <c r="M1260" s="60"/>
      <c r="N1260" s="60"/>
      <c r="O1260" s="60">
        <f t="shared" si="296"/>
        <v>0</v>
      </c>
      <c r="P1260" s="60">
        <f t="shared" si="297"/>
        <v>0</v>
      </c>
    </row>
    <row r="1261" spans="1:16" s="38" customFormat="1" ht="12" customHeight="1" outlineLevel="1" thickBot="1" x14ac:dyDescent="0.3">
      <c r="A1261" s="125"/>
      <c r="B1261" s="143"/>
      <c r="C1261" s="131"/>
      <c r="D1261" s="131"/>
      <c r="E1261" s="131"/>
      <c r="F1261" s="131"/>
      <c r="G1261" s="60" t="s">
        <v>131</v>
      </c>
      <c r="H1261" s="134"/>
      <c r="I1261" s="134"/>
      <c r="J1261" s="60"/>
      <c r="K1261" s="60"/>
      <c r="L1261" s="160"/>
      <c r="M1261" s="60"/>
      <c r="N1261" s="60"/>
      <c r="O1261" s="60">
        <f t="shared" si="296"/>
        <v>0</v>
      </c>
      <c r="P1261" s="60">
        <f t="shared" si="297"/>
        <v>0</v>
      </c>
    </row>
    <row r="1262" spans="1:16" s="38" customFormat="1" ht="14.45" customHeight="1" outlineLevel="1" x14ac:dyDescent="0.25">
      <c r="A1262" s="140" t="s">
        <v>873</v>
      </c>
      <c r="B1262" s="141" t="s">
        <v>874</v>
      </c>
      <c r="C1262" s="130">
        <f>SUM(O1262:O1268)</f>
        <v>0</v>
      </c>
      <c r="D1262" s="130">
        <f>SUM(P1262:P1268)</f>
        <v>0</v>
      </c>
      <c r="E1262" s="130">
        <f t="shared" si="287"/>
        <v>0</v>
      </c>
      <c r="F1262" s="130"/>
      <c r="G1262" s="60" t="s">
        <v>125</v>
      </c>
      <c r="H1262" s="123"/>
      <c r="I1262" s="123"/>
      <c r="J1262" s="60"/>
      <c r="K1262" s="60"/>
      <c r="L1262" s="160"/>
      <c r="M1262" s="60"/>
      <c r="N1262" s="60"/>
      <c r="O1262" s="60">
        <f>N1262*J1262*K1262*M1262</f>
        <v>0</v>
      </c>
      <c r="P1262" s="60">
        <f>J1262*K1262*M1262</f>
        <v>0</v>
      </c>
    </row>
    <row r="1263" spans="1:16" s="38" customFormat="1" ht="11.45" customHeight="1" outlineLevel="1" x14ac:dyDescent="0.25">
      <c r="A1263" s="124"/>
      <c r="B1263" s="142"/>
      <c r="C1263" s="115"/>
      <c r="D1263" s="115"/>
      <c r="E1263" s="115"/>
      <c r="F1263" s="115"/>
      <c r="G1263" s="60" t="s">
        <v>126</v>
      </c>
      <c r="H1263" s="124"/>
      <c r="I1263" s="124"/>
      <c r="J1263" s="60"/>
      <c r="K1263" s="60"/>
      <c r="L1263" s="160"/>
      <c r="M1263" s="60"/>
      <c r="N1263" s="60"/>
      <c r="O1263" s="60">
        <f t="shared" ref="O1263:O1268" si="298">N1263*J1263*K1263*M1263</f>
        <v>0</v>
      </c>
      <c r="P1263" s="60">
        <f t="shared" ref="P1263:P1268" si="299">J1263*K1263*M1263</f>
        <v>0</v>
      </c>
    </row>
    <row r="1264" spans="1:16" s="38" customFormat="1" ht="10.7" customHeight="1" outlineLevel="1" x14ac:dyDescent="0.25">
      <c r="A1264" s="124"/>
      <c r="B1264" s="142"/>
      <c r="C1264" s="115"/>
      <c r="D1264" s="115"/>
      <c r="E1264" s="115"/>
      <c r="F1264" s="115"/>
      <c r="G1264" s="60" t="s">
        <v>127</v>
      </c>
      <c r="H1264" s="124"/>
      <c r="I1264" s="124"/>
      <c r="J1264" s="60"/>
      <c r="K1264" s="60"/>
      <c r="L1264" s="160"/>
      <c r="M1264" s="60"/>
      <c r="N1264" s="60"/>
      <c r="O1264" s="60">
        <f t="shared" si="298"/>
        <v>0</v>
      </c>
      <c r="P1264" s="60">
        <f t="shared" si="299"/>
        <v>0</v>
      </c>
    </row>
    <row r="1265" spans="1:16" s="38" customFormat="1" ht="10.7" customHeight="1" outlineLevel="1" x14ac:dyDescent="0.25">
      <c r="A1265" s="124"/>
      <c r="B1265" s="142"/>
      <c r="C1265" s="115"/>
      <c r="D1265" s="115"/>
      <c r="E1265" s="115"/>
      <c r="F1265" s="115"/>
      <c r="G1265" s="60" t="s">
        <v>128</v>
      </c>
      <c r="H1265" s="124"/>
      <c r="I1265" s="124"/>
      <c r="J1265" s="60"/>
      <c r="K1265" s="60"/>
      <c r="L1265" s="160"/>
      <c r="M1265" s="60"/>
      <c r="N1265" s="60"/>
      <c r="O1265" s="60">
        <f t="shared" si="298"/>
        <v>0</v>
      </c>
      <c r="P1265" s="60">
        <f t="shared" si="299"/>
        <v>0</v>
      </c>
    </row>
    <row r="1266" spans="1:16" s="38" customFormat="1" ht="10.7" customHeight="1" outlineLevel="1" x14ac:dyDescent="0.25">
      <c r="A1266" s="124"/>
      <c r="B1266" s="142"/>
      <c r="C1266" s="115"/>
      <c r="D1266" s="115"/>
      <c r="E1266" s="115"/>
      <c r="F1266" s="115"/>
      <c r="G1266" s="60" t="s">
        <v>129</v>
      </c>
      <c r="H1266" s="124"/>
      <c r="I1266" s="124"/>
      <c r="J1266" s="60"/>
      <c r="K1266" s="60"/>
      <c r="L1266" s="160"/>
      <c r="M1266" s="60"/>
      <c r="N1266" s="60"/>
      <c r="O1266" s="60">
        <f t="shared" si="298"/>
        <v>0</v>
      </c>
      <c r="P1266" s="60">
        <f t="shared" si="299"/>
        <v>0</v>
      </c>
    </row>
    <row r="1267" spans="1:16" s="38" customFormat="1" ht="10.7" customHeight="1" outlineLevel="1" x14ac:dyDescent="0.25">
      <c r="A1267" s="124"/>
      <c r="B1267" s="142"/>
      <c r="C1267" s="115"/>
      <c r="D1267" s="115"/>
      <c r="E1267" s="115"/>
      <c r="F1267" s="115"/>
      <c r="G1267" s="60" t="s">
        <v>130</v>
      </c>
      <c r="H1267" s="124"/>
      <c r="I1267" s="124"/>
      <c r="J1267" s="60"/>
      <c r="K1267" s="60"/>
      <c r="L1267" s="160"/>
      <c r="M1267" s="60"/>
      <c r="N1267" s="60"/>
      <c r="O1267" s="60">
        <f t="shared" si="298"/>
        <v>0</v>
      </c>
      <c r="P1267" s="60">
        <f t="shared" si="299"/>
        <v>0</v>
      </c>
    </row>
    <row r="1268" spans="1:16" s="38" customFormat="1" ht="12" customHeight="1" outlineLevel="1" thickBot="1" x14ac:dyDescent="0.3">
      <c r="A1268" s="125"/>
      <c r="B1268" s="143"/>
      <c r="C1268" s="131"/>
      <c r="D1268" s="131"/>
      <c r="E1268" s="131"/>
      <c r="F1268" s="131"/>
      <c r="G1268" s="60" t="s">
        <v>131</v>
      </c>
      <c r="H1268" s="134"/>
      <c r="I1268" s="134"/>
      <c r="J1268" s="60"/>
      <c r="K1268" s="60"/>
      <c r="L1268" s="160"/>
      <c r="M1268" s="60"/>
      <c r="N1268" s="60"/>
      <c r="O1268" s="60">
        <f t="shared" si="298"/>
        <v>0</v>
      </c>
      <c r="P1268" s="60">
        <f t="shared" si="299"/>
        <v>0</v>
      </c>
    </row>
    <row r="1269" spans="1:16" s="38" customFormat="1" ht="14.45" customHeight="1" outlineLevel="1" x14ac:dyDescent="0.25">
      <c r="A1269" s="140" t="s">
        <v>875</v>
      </c>
      <c r="B1269" s="141" t="s">
        <v>282</v>
      </c>
      <c r="C1269" s="130">
        <f>SUM(O1269:O1275)</f>
        <v>0</v>
      </c>
      <c r="D1269" s="130">
        <f>SUM(P1269:P1275)</f>
        <v>0</v>
      </c>
      <c r="E1269" s="130">
        <f t="shared" si="287"/>
        <v>0</v>
      </c>
      <c r="F1269" s="130"/>
      <c r="G1269" s="60" t="s">
        <v>125</v>
      </c>
      <c r="H1269" s="123"/>
      <c r="I1269" s="123"/>
      <c r="J1269" s="60"/>
      <c r="K1269" s="60"/>
      <c r="L1269" s="160"/>
      <c r="M1269" s="60"/>
      <c r="N1269" s="60"/>
      <c r="O1269" s="60">
        <f>N1269*J1269*K1269*M1269</f>
        <v>0</v>
      </c>
      <c r="P1269" s="60">
        <f>J1269*K1269*M1269</f>
        <v>0</v>
      </c>
    </row>
    <row r="1270" spans="1:16" s="38" customFormat="1" ht="11.45" customHeight="1" outlineLevel="1" x14ac:dyDescent="0.25">
      <c r="A1270" s="124"/>
      <c r="B1270" s="142"/>
      <c r="C1270" s="115"/>
      <c r="D1270" s="115"/>
      <c r="E1270" s="115"/>
      <c r="F1270" s="115"/>
      <c r="G1270" s="60" t="s">
        <v>126</v>
      </c>
      <c r="H1270" s="124"/>
      <c r="I1270" s="124"/>
      <c r="J1270" s="60"/>
      <c r="K1270" s="60"/>
      <c r="L1270" s="160"/>
      <c r="M1270" s="60"/>
      <c r="N1270" s="60"/>
      <c r="O1270" s="60">
        <f t="shared" ref="O1270:O1275" si="300">N1270*J1270*K1270*M1270</f>
        <v>0</v>
      </c>
      <c r="P1270" s="60">
        <f t="shared" ref="P1270:P1275" si="301">J1270*K1270*M1270</f>
        <v>0</v>
      </c>
    </row>
    <row r="1271" spans="1:16" s="38" customFormat="1" ht="10.7" customHeight="1" outlineLevel="1" x14ac:dyDescent="0.25">
      <c r="A1271" s="124"/>
      <c r="B1271" s="142"/>
      <c r="C1271" s="115"/>
      <c r="D1271" s="115"/>
      <c r="E1271" s="115"/>
      <c r="F1271" s="115"/>
      <c r="G1271" s="60" t="s">
        <v>127</v>
      </c>
      <c r="H1271" s="124"/>
      <c r="I1271" s="124"/>
      <c r="J1271" s="60"/>
      <c r="K1271" s="60"/>
      <c r="L1271" s="160"/>
      <c r="M1271" s="60"/>
      <c r="N1271" s="60"/>
      <c r="O1271" s="60">
        <f t="shared" si="300"/>
        <v>0</v>
      </c>
      <c r="P1271" s="60">
        <f t="shared" si="301"/>
        <v>0</v>
      </c>
    </row>
    <row r="1272" spans="1:16" s="38" customFormat="1" ht="10.7" customHeight="1" outlineLevel="1" x14ac:dyDescent="0.25">
      <c r="A1272" s="124"/>
      <c r="B1272" s="142"/>
      <c r="C1272" s="115"/>
      <c r="D1272" s="115"/>
      <c r="E1272" s="115"/>
      <c r="F1272" s="115"/>
      <c r="G1272" s="60" t="s">
        <v>128</v>
      </c>
      <c r="H1272" s="124"/>
      <c r="I1272" s="124"/>
      <c r="J1272" s="60"/>
      <c r="K1272" s="60"/>
      <c r="L1272" s="160"/>
      <c r="M1272" s="60"/>
      <c r="N1272" s="60"/>
      <c r="O1272" s="60">
        <f t="shared" si="300"/>
        <v>0</v>
      </c>
      <c r="P1272" s="60">
        <f t="shared" si="301"/>
        <v>0</v>
      </c>
    </row>
    <row r="1273" spans="1:16" s="38" customFormat="1" ht="10.7" customHeight="1" outlineLevel="1" x14ac:dyDescent="0.25">
      <c r="A1273" s="124"/>
      <c r="B1273" s="142"/>
      <c r="C1273" s="115"/>
      <c r="D1273" s="115"/>
      <c r="E1273" s="115"/>
      <c r="F1273" s="115"/>
      <c r="G1273" s="60" t="s">
        <v>129</v>
      </c>
      <c r="H1273" s="124"/>
      <c r="I1273" s="124"/>
      <c r="J1273" s="60"/>
      <c r="K1273" s="60"/>
      <c r="L1273" s="160"/>
      <c r="M1273" s="60"/>
      <c r="N1273" s="60"/>
      <c r="O1273" s="60">
        <f t="shared" si="300"/>
        <v>0</v>
      </c>
      <c r="P1273" s="60">
        <f t="shared" si="301"/>
        <v>0</v>
      </c>
    </row>
    <row r="1274" spans="1:16" s="38" customFormat="1" ht="10.7" customHeight="1" outlineLevel="1" x14ac:dyDescent="0.25">
      <c r="A1274" s="124"/>
      <c r="B1274" s="142"/>
      <c r="C1274" s="115"/>
      <c r="D1274" s="115"/>
      <c r="E1274" s="115"/>
      <c r="F1274" s="115"/>
      <c r="G1274" s="60" t="s">
        <v>130</v>
      </c>
      <c r="H1274" s="124"/>
      <c r="I1274" s="124"/>
      <c r="J1274" s="60"/>
      <c r="K1274" s="60"/>
      <c r="L1274" s="160"/>
      <c r="M1274" s="60"/>
      <c r="N1274" s="60"/>
      <c r="O1274" s="60">
        <f t="shared" si="300"/>
        <v>0</v>
      </c>
      <c r="P1274" s="60">
        <f t="shared" si="301"/>
        <v>0</v>
      </c>
    </row>
    <row r="1275" spans="1:16" s="38" customFormat="1" ht="12" customHeight="1" outlineLevel="1" thickBot="1" x14ac:dyDescent="0.3">
      <c r="A1275" s="125"/>
      <c r="B1275" s="143"/>
      <c r="C1275" s="131"/>
      <c r="D1275" s="131"/>
      <c r="E1275" s="131"/>
      <c r="F1275" s="131"/>
      <c r="G1275" s="60" t="s">
        <v>131</v>
      </c>
      <c r="H1275" s="134"/>
      <c r="I1275" s="134"/>
      <c r="J1275" s="60"/>
      <c r="K1275" s="60"/>
      <c r="L1275" s="160"/>
      <c r="M1275" s="60"/>
      <c r="N1275" s="60"/>
      <c r="O1275" s="60">
        <f t="shared" si="300"/>
        <v>0</v>
      </c>
      <c r="P1275" s="60">
        <f t="shared" si="301"/>
        <v>0</v>
      </c>
    </row>
    <row r="1276" spans="1:16" s="38" customFormat="1" ht="14.45" customHeight="1" outlineLevel="1" x14ac:dyDescent="0.25">
      <c r="A1276" s="140" t="s">
        <v>876</v>
      </c>
      <c r="B1276" s="141" t="s">
        <v>284</v>
      </c>
      <c r="C1276" s="130">
        <f>SUM(O1276:O1282)</f>
        <v>0</v>
      </c>
      <c r="D1276" s="130">
        <f>SUM(P1276:P1282)</f>
        <v>0</v>
      </c>
      <c r="E1276" s="130">
        <f t="shared" si="287"/>
        <v>0</v>
      </c>
      <c r="F1276" s="130"/>
      <c r="G1276" s="60" t="s">
        <v>125</v>
      </c>
      <c r="H1276" s="123"/>
      <c r="I1276" s="123"/>
      <c r="J1276" s="60"/>
      <c r="K1276" s="60"/>
      <c r="L1276" s="160"/>
      <c r="M1276" s="60"/>
      <c r="N1276" s="60"/>
      <c r="O1276" s="60">
        <f>N1276*J1276*K1276*M1276</f>
        <v>0</v>
      </c>
      <c r="P1276" s="60">
        <f>J1276*K1276*M1276</f>
        <v>0</v>
      </c>
    </row>
    <row r="1277" spans="1:16" s="38" customFormat="1" ht="11.45" customHeight="1" outlineLevel="1" x14ac:dyDescent="0.25">
      <c r="A1277" s="124"/>
      <c r="B1277" s="142"/>
      <c r="C1277" s="115"/>
      <c r="D1277" s="115"/>
      <c r="E1277" s="115"/>
      <c r="F1277" s="115"/>
      <c r="G1277" s="60" t="s">
        <v>126</v>
      </c>
      <c r="H1277" s="124"/>
      <c r="I1277" s="124"/>
      <c r="J1277" s="60"/>
      <c r="K1277" s="60"/>
      <c r="L1277" s="160"/>
      <c r="M1277" s="60"/>
      <c r="N1277" s="60"/>
      <c r="O1277" s="60">
        <f t="shared" ref="O1277:O1282" si="302">N1277*J1277*K1277*M1277</f>
        <v>0</v>
      </c>
      <c r="P1277" s="60">
        <f t="shared" ref="P1277:P1282" si="303">J1277*K1277*M1277</f>
        <v>0</v>
      </c>
    </row>
    <row r="1278" spans="1:16" s="38" customFormat="1" ht="10.7" customHeight="1" outlineLevel="1" x14ac:dyDescent="0.25">
      <c r="A1278" s="124"/>
      <c r="B1278" s="142"/>
      <c r="C1278" s="115"/>
      <c r="D1278" s="115"/>
      <c r="E1278" s="115"/>
      <c r="F1278" s="115"/>
      <c r="G1278" s="60" t="s">
        <v>127</v>
      </c>
      <c r="H1278" s="124"/>
      <c r="I1278" s="124"/>
      <c r="J1278" s="60"/>
      <c r="K1278" s="60"/>
      <c r="L1278" s="160"/>
      <c r="M1278" s="60"/>
      <c r="N1278" s="60"/>
      <c r="O1278" s="60">
        <f t="shared" si="302"/>
        <v>0</v>
      </c>
      <c r="P1278" s="60">
        <f t="shared" si="303"/>
        <v>0</v>
      </c>
    </row>
    <row r="1279" spans="1:16" s="38" customFormat="1" ht="10.7" customHeight="1" outlineLevel="1" x14ac:dyDescent="0.25">
      <c r="A1279" s="124"/>
      <c r="B1279" s="142"/>
      <c r="C1279" s="115"/>
      <c r="D1279" s="115"/>
      <c r="E1279" s="115"/>
      <c r="F1279" s="115"/>
      <c r="G1279" s="60" t="s">
        <v>128</v>
      </c>
      <c r="H1279" s="124"/>
      <c r="I1279" s="124"/>
      <c r="J1279" s="60"/>
      <c r="K1279" s="60"/>
      <c r="L1279" s="160"/>
      <c r="M1279" s="60"/>
      <c r="N1279" s="60"/>
      <c r="O1279" s="60">
        <f t="shared" si="302"/>
        <v>0</v>
      </c>
      <c r="P1279" s="60">
        <f t="shared" si="303"/>
        <v>0</v>
      </c>
    </row>
    <row r="1280" spans="1:16" s="38" customFormat="1" ht="10.7" customHeight="1" outlineLevel="1" x14ac:dyDescent="0.25">
      <c r="A1280" s="124"/>
      <c r="B1280" s="142"/>
      <c r="C1280" s="115"/>
      <c r="D1280" s="115"/>
      <c r="E1280" s="115"/>
      <c r="F1280" s="115"/>
      <c r="G1280" s="60" t="s">
        <v>129</v>
      </c>
      <c r="H1280" s="124"/>
      <c r="I1280" s="124"/>
      <c r="J1280" s="60"/>
      <c r="K1280" s="60"/>
      <c r="L1280" s="160"/>
      <c r="M1280" s="60"/>
      <c r="N1280" s="60"/>
      <c r="O1280" s="60">
        <f t="shared" si="302"/>
        <v>0</v>
      </c>
      <c r="P1280" s="60">
        <f t="shared" si="303"/>
        <v>0</v>
      </c>
    </row>
    <row r="1281" spans="1:16" s="38" customFormat="1" ht="10.7" customHeight="1" outlineLevel="1" x14ac:dyDescent="0.25">
      <c r="A1281" s="124"/>
      <c r="B1281" s="142"/>
      <c r="C1281" s="115"/>
      <c r="D1281" s="115"/>
      <c r="E1281" s="115"/>
      <c r="F1281" s="115"/>
      <c r="G1281" s="60" t="s">
        <v>130</v>
      </c>
      <c r="H1281" s="124"/>
      <c r="I1281" s="124"/>
      <c r="J1281" s="60"/>
      <c r="K1281" s="60"/>
      <c r="L1281" s="160"/>
      <c r="M1281" s="60"/>
      <c r="N1281" s="60"/>
      <c r="O1281" s="60">
        <f t="shared" si="302"/>
        <v>0</v>
      </c>
      <c r="P1281" s="60">
        <f t="shared" si="303"/>
        <v>0</v>
      </c>
    </row>
    <row r="1282" spans="1:16" s="38" customFormat="1" ht="12" customHeight="1" outlineLevel="1" thickBot="1" x14ac:dyDescent="0.3">
      <c r="A1282" s="125"/>
      <c r="B1282" s="143"/>
      <c r="C1282" s="131"/>
      <c r="D1282" s="131"/>
      <c r="E1282" s="131"/>
      <c r="F1282" s="131"/>
      <c r="G1282" s="60" t="s">
        <v>131</v>
      </c>
      <c r="H1282" s="134"/>
      <c r="I1282" s="134"/>
      <c r="J1282" s="60"/>
      <c r="K1282" s="60"/>
      <c r="L1282" s="160"/>
      <c r="M1282" s="60"/>
      <c r="N1282" s="60"/>
      <c r="O1282" s="60">
        <f t="shared" si="302"/>
        <v>0</v>
      </c>
      <c r="P1282" s="60">
        <f t="shared" si="303"/>
        <v>0</v>
      </c>
    </row>
    <row r="1283" spans="1:16" s="38" customFormat="1" ht="14.45" customHeight="1" outlineLevel="1" x14ac:dyDescent="0.25">
      <c r="A1283" s="140" t="s">
        <v>877</v>
      </c>
      <c r="B1283" s="141" t="s">
        <v>286</v>
      </c>
      <c r="C1283" s="130">
        <f>SUM(O1283:O1289)</f>
        <v>0</v>
      </c>
      <c r="D1283" s="130">
        <f>SUM(P1283:P1289)</f>
        <v>0</v>
      </c>
      <c r="E1283" s="130">
        <f t="shared" si="287"/>
        <v>0</v>
      </c>
      <c r="F1283" s="130"/>
      <c r="G1283" s="60" t="s">
        <v>125</v>
      </c>
      <c r="H1283" s="123"/>
      <c r="I1283" s="123"/>
      <c r="J1283" s="60"/>
      <c r="K1283" s="60"/>
      <c r="L1283" s="160"/>
      <c r="M1283" s="60"/>
      <c r="N1283" s="60"/>
      <c r="O1283" s="60">
        <f>N1283*J1283*K1283*M1283</f>
        <v>0</v>
      </c>
      <c r="P1283" s="60">
        <f>J1283*K1283*M1283</f>
        <v>0</v>
      </c>
    </row>
    <row r="1284" spans="1:16" s="38" customFormat="1" ht="11.45" customHeight="1" outlineLevel="1" x14ac:dyDescent="0.25">
      <c r="A1284" s="124"/>
      <c r="B1284" s="142"/>
      <c r="C1284" s="115"/>
      <c r="D1284" s="115"/>
      <c r="E1284" s="115"/>
      <c r="F1284" s="115"/>
      <c r="G1284" s="60" t="s">
        <v>126</v>
      </c>
      <c r="H1284" s="124"/>
      <c r="I1284" s="124"/>
      <c r="J1284" s="60"/>
      <c r="K1284" s="60"/>
      <c r="L1284" s="160"/>
      <c r="M1284" s="60"/>
      <c r="N1284" s="60"/>
      <c r="O1284" s="60">
        <f t="shared" ref="O1284:O1289" si="304">N1284*J1284*K1284*M1284</f>
        <v>0</v>
      </c>
      <c r="P1284" s="60">
        <f t="shared" ref="P1284:P1289" si="305">J1284*K1284*M1284</f>
        <v>0</v>
      </c>
    </row>
    <row r="1285" spans="1:16" s="38" customFormat="1" ht="10.7" customHeight="1" outlineLevel="1" x14ac:dyDescent="0.25">
      <c r="A1285" s="124"/>
      <c r="B1285" s="142"/>
      <c r="C1285" s="115"/>
      <c r="D1285" s="115"/>
      <c r="E1285" s="115"/>
      <c r="F1285" s="115"/>
      <c r="G1285" s="60" t="s">
        <v>127</v>
      </c>
      <c r="H1285" s="124"/>
      <c r="I1285" s="124"/>
      <c r="J1285" s="60"/>
      <c r="K1285" s="60"/>
      <c r="L1285" s="160"/>
      <c r="M1285" s="60"/>
      <c r="N1285" s="60"/>
      <c r="O1285" s="60">
        <f t="shared" si="304"/>
        <v>0</v>
      </c>
      <c r="P1285" s="60">
        <f t="shared" si="305"/>
        <v>0</v>
      </c>
    </row>
    <row r="1286" spans="1:16" s="38" customFormat="1" ht="10.7" customHeight="1" outlineLevel="1" x14ac:dyDescent="0.25">
      <c r="A1286" s="124"/>
      <c r="B1286" s="142"/>
      <c r="C1286" s="115"/>
      <c r="D1286" s="115"/>
      <c r="E1286" s="115"/>
      <c r="F1286" s="115"/>
      <c r="G1286" s="60" t="s">
        <v>128</v>
      </c>
      <c r="H1286" s="124"/>
      <c r="I1286" s="124"/>
      <c r="J1286" s="60"/>
      <c r="K1286" s="60"/>
      <c r="L1286" s="160"/>
      <c r="M1286" s="60"/>
      <c r="N1286" s="60"/>
      <c r="O1286" s="60">
        <f t="shared" si="304"/>
        <v>0</v>
      </c>
      <c r="P1286" s="60">
        <f t="shared" si="305"/>
        <v>0</v>
      </c>
    </row>
    <row r="1287" spans="1:16" s="38" customFormat="1" ht="10.7" customHeight="1" outlineLevel="1" x14ac:dyDescent="0.25">
      <c r="A1287" s="124"/>
      <c r="B1287" s="142"/>
      <c r="C1287" s="115"/>
      <c r="D1287" s="115"/>
      <c r="E1287" s="115"/>
      <c r="F1287" s="115"/>
      <c r="G1287" s="60" t="s">
        <v>129</v>
      </c>
      <c r="H1287" s="124"/>
      <c r="I1287" s="124"/>
      <c r="J1287" s="60"/>
      <c r="K1287" s="60"/>
      <c r="L1287" s="160"/>
      <c r="M1287" s="60"/>
      <c r="N1287" s="60"/>
      <c r="O1287" s="60">
        <f t="shared" si="304"/>
        <v>0</v>
      </c>
      <c r="P1287" s="60">
        <f t="shared" si="305"/>
        <v>0</v>
      </c>
    </row>
    <row r="1288" spans="1:16" s="38" customFormat="1" ht="10.7" customHeight="1" outlineLevel="1" x14ac:dyDescent="0.25">
      <c r="A1288" s="124"/>
      <c r="B1288" s="142"/>
      <c r="C1288" s="115"/>
      <c r="D1288" s="115"/>
      <c r="E1288" s="115"/>
      <c r="F1288" s="115"/>
      <c r="G1288" s="60" t="s">
        <v>130</v>
      </c>
      <c r="H1288" s="124"/>
      <c r="I1288" s="124"/>
      <c r="J1288" s="60"/>
      <c r="K1288" s="60"/>
      <c r="L1288" s="160"/>
      <c r="M1288" s="60"/>
      <c r="N1288" s="60"/>
      <c r="O1288" s="60">
        <f t="shared" si="304"/>
        <v>0</v>
      </c>
      <c r="P1288" s="60">
        <f t="shared" si="305"/>
        <v>0</v>
      </c>
    </row>
    <row r="1289" spans="1:16" s="38" customFormat="1" ht="12" customHeight="1" outlineLevel="1" thickBot="1" x14ac:dyDescent="0.3">
      <c r="A1289" s="125"/>
      <c r="B1289" s="143"/>
      <c r="C1289" s="131"/>
      <c r="D1289" s="131"/>
      <c r="E1289" s="131"/>
      <c r="F1289" s="131"/>
      <c r="G1289" s="60" t="s">
        <v>131</v>
      </c>
      <c r="H1289" s="134"/>
      <c r="I1289" s="134"/>
      <c r="J1289" s="60"/>
      <c r="K1289" s="60"/>
      <c r="L1289" s="160"/>
      <c r="M1289" s="60"/>
      <c r="N1289" s="60"/>
      <c r="O1289" s="60">
        <f t="shared" si="304"/>
        <v>0</v>
      </c>
      <c r="P1289" s="60">
        <f t="shared" si="305"/>
        <v>0</v>
      </c>
    </row>
    <row r="1290" spans="1:16" s="38" customFormat="1" ht="14.45" customHeight="1" outlineLevel="1" x14ac:dyDescent="0.25">
      <c r="A1290" s="140" t="s">
        <v>878</v>
      </c>
      <c r="B1290" s="141" t="s">
        <v>462</v>
      </c>
      <c r="C1290" s="130">
        <f>SUM(O1290:O1296)</f>
        <v>0</v>
      </c>
      <c r="D1290" s="130">
        <f>SUM(P1290:P1296)</f>
        <v>0</v>
      </c>
      <c r="E1290" s="130">
        <f t="shared" si="287"/>
        <v>0</v>
      </c>
      <c r="F1290" s="130"/>
      <c r="G1290" s="60" t="s">
        <v>125</v>
      </c>
      <c r="H1290" s="123"/>
      <c r="I1290" s="123"/>
      <c r="J1290" s="60"/>
      <c r="K1290" s="60"/>
      <c r="L1290" s="160"/>
      <c r="M1290" s="60"/>
      <c r="N1290" s="60"/>
      <c r="O1290" s="60">
        <f>N1290*J1290*K1290*M1290</f>
        <v>0</v>
      </c>
      <c r="P1290" s="60">
        <f>J1290*K1290*M1290</f>
        <v>0</v>
      </c>
    </row>
    <row r="1291" spans="1:16" s="38" customFormat="1" ht="11.45" customHeight="1" outlineLevel="1" x14ac:dyDescent="0.25">
      <c r="A1291" s="124"/>
      <c r="B1291" s="142"/>
      <c r="C1291" s="115"/>
      <c r="D1291" s="115"/>
      <c r="E1291" s="115"/>
      <c r="F1291" s="115"/>
      <c r="G1291" s="60" t="s">
        <v>126</v>
      </c>
      <c r="H1291" s="124"/>
      <c r="I1291" s="124"/>
      <c r="J1291" s="60"/>
      <c r="K1291" s="60"/>
      <c r="L1291" s="160"/>
      <c r="M1291" s="60"/>
      <c r="N1291" s="60"/>
      <c r="O1291" s="60">
        <f t="shared" ref="O1291:O1296" si="306">N1291*J1291*K1291*M1291</f>
        <v>0</v>
      </c>
      <c r="P1291" s="60">
        <f t="shared" ref="P1291:P1296" si="307">J1291*K1291*M1291</f>
        <v>0</v>
      </c>
    </row>
    <row r="1292" spans="1:16" s="38" customFormat="1" ht="10.7" customHeight="1" outlineLevel="1" x14ac:dyDescent="0.25">
      <c r="A1292" s="124"/>
      <c r="B1292" s="142"/>
      <c r="C1292" s="115"/>
      <c r="D1292" s="115"/>
      <c r="E1292" s="115"/>
      <c r="F1292" s="115"/>
      <c r="G1292" s="60" t="s">
        <v>127</v>
      </c>
      <c r="H1292" s="124"/>
      <c r="I1292" s="124"/>
      <c r="J1292" s="60"/>
      <c r="K1292" s="60"/>
      <c r="L1292" s="160"/>
      <c r="M1292" s="60"/>
      <c r="N1292" s="60"/>
      <c r="O1292" s="60">
        <f t="shared" si="306"/>
        <v>0</v>
      </c>
      <c r="P1292" s="60">
        <f t="shared" si="307"/>
        <v>0</v>
      </c>
    </row>
    <row r="1293" spans="1:16" s="38" customFormat="1" ht="10.7" customHeight="1" outlineLevel="1" x14ac:dyDescent="0.25">
      <c r="A1293" s="124"/>
      <c r="B1293" s="142"/>
      <c r="C1293" s="115"/>
      <c r="D1293" s="115"/>
      <c r="E1293" s="115"/>
      <c r="F1293" s="115"/>
      <c r="G1293" s="60" t="s">
        <v>128</v>
      </c>
      <c r="H1293" s="124"/>
      <c r="I1293" s="124"/>
      <c r="J1293" s="60"/>
      <c r="K1293" s="60"/>
      <c r="L1293" s="160"/>
      <c r="M1293" s="60"/>
      <c r="N1293" s="60"/>
      <c r="O1293" s="60">
        <f t="shared" si="306"/>
        <v>0</v>
      </c>
      <c r="P1293" s="60">
        <f t="shared" si="307"/>
        <v>0</v>
      </c>
    </row>
    <row r="1294" spans="1:16" s="38" customFormat="1" ht="10.7" customHeight="1" outlineLevel="1" x14ac:dyDescent="0.25">
      <c r="A1294" s="124"/>
      <c r="B1294" s="142"/>
      <c r="C1294" s="115"/>
      <c r="D1294" s="115"/>
      <c r="E1294" s="115"/>
      <c r="F1294" s="115"/>
      <c r="G1294" s="60" t="s">
        <v>129</v>
      </c>
      <c r="H1294" s="124"/>
      <c r="I1294" s="124"/>
      <c r="J1294" s="60"/>
      <c r="K1294" s="60"/>
      <c r="L1294" s="160"/>
      <c r="M1294" s="60"/>
      <c r="N1294" s="60"/>
      <c r="O1294" s="60">
        <f t="shared" si="306"/>
        <v>0</v>
      </c>
      <c r="P1294" s="60">
        <f t="shared" si="307"/>
        <v>0</v>
      </c>
    </row>
    <row r="1295" spans="1:16" s="38" customFormat="1" ht="10.7" customHeight="1" outlineLevel="1" x14ac:dyDescent="0.25">
      <c r="A1295" s="124"/>
      <c r="B1295" s="142"/>
      <c r="C1295" s="115"/>
      <c r="D1295" s="115"/>
      <c r="E1295" s="115"/>
      <c r="F1295" s="115"/>
      <c r="G1295" s="60" t="s">
        <v>130</v>
      </c>
      <c r="H1295" s="124"/>
      <c r="I1295" s="124"/>
      <c r="J1295" s="60"/>
      <c r="K1295" s="60"/>
      <c r="L1295" s="160"/>
      <c r="M1295" s="60"/>
      <c r="N1295" s="60"/>
      <c r="O1295" s="60">
        <f t="shared" si="306"/>
        <v>0</v>
      </c>
      <c r="P1295" s="60">
        <f t="shared" si="307"/>
        <v>0</v>
      </c>
    </row>
    <row r="1296" spans="1:16" s="38" customFormat="1" ht="12" customHeight="1" outlineLevel="1" thickBot="1" x14ac:dyDescent="0.3">
      <c r="A1296" s="125"/>
      <c r="B1296" s="143"/>
      <c r="C1296" s="131"/>
      <c r="D1296" s="131"/>
      <c r="E1296" s="131"/>
      <c r="F1296" s="131"/>
      <c r="G1296" s="60" t="s">
        <v>131</v>
      </c>
      <c r="H1296" s="134"/>
      <c r="I1296" s="134"/>
      <c r="J1296" s="60"/>
      <c r="K1296" s="60"/>
      <c r="L1296" s="160"/>
      <c r="M1296" s="60"/>
      <c r="N1296" s="60"/>
      <c r="O1296" s="60">
        <f t="shared" si="306"/>
        <v>0</v>
      </c>
      <c r="P1296" s="60">
        <f t="shared" si="307"/>
        <v>0</v>
      </c>
    </row>
    <row r="1297" spans="1:16" s="38" customFormat="1" ht="14.45" customHeight="1" outlineLevel="1" x14ac:dyDescent="0.25">
      <c r="A1297" s="140" t="s">
        <v>879</v>
      </c>
      <c r="B1297" s="141" t="s">
        <v>288</v>
      </c>
      <c r="C1297" s="130">
        <f>SUM(O1297:O1303)</f>
        <v>0</v>
      </c>
      <c r="D1297" s="130">
        <f>SUM(P1297:P1303)</f>
        <v>0</v>
      </c>
      <c r="E1297" s="130">
        <f t="shared" ref="E1297:E1360" si="308">D1297/8</f>
        <v>0</v>
      </c>
      <c r="F1297" s="130"/>
      <c r="G1297" s="60" t="s">
        <v>125</v>
      </c>
      <c r="H1297" s="123"/>
      <c r="I1297" s="123"/>
      <c r="J1297" s="60"/>
      <c r="K1297" s="60"/>
      <c r="L1297" s="160"/>
      <c r="M1297" s="60"/>
      <c r="N1297" s="60"/>
      <c r="O1297" s="60">
        <f>N1297*J1297*K1297*M1297</f>
        <v>0</v>
      </c>
      <c r="P1297" s="60">
        <f>J1297*K1297*M1297</f>
        <v>0</v>
      </c>
    </row>
    <row r="1298" spans="1:16" s="38" customFormat="1" ht="11.45" customHeight="1" outlineLevel="1" x14ac:dyDescent="0.25">
      <c r="A1298" s="124"/>
      <c r="B1298" s="142"/>
      <c r="C1298" s="115"/>
      <c r="D1298" s="115"/>
      <c r="E1298" s="115"/>
      <c r="F1298" s="115"/>
      <c r="G1298" s="60" t="s">
        <v>126</v>
      </c>
      <c r="H1298" s="124"/>
      <c r="I1298" s="124"/>
      <c r="J1298" s="60"/>
      <c r="K1298" s="60"/>
      <c r="L1298" s="160"/>
      <c r="M1298" s="60"/>
      <c r="N1298" s="60"/>
      <c r="O1298" s="60">
        <f t="shared" ref="O1298:O1303" si="309">N1298*J1298*K1298*M1298</f>
        <v>0</v>
      </c>
      <c r="P1298" s="60">
        <f t="shared" ref="P1298:P1303" si="310">J1298*K1298*M1298</f>
        <v>0</v>
      </c>
    </row>
    <row r="1299" spans="1:16" s="38" customFormat="1" ht="10.7" customHeight="1" outlineLevel="1" x14ac:dyDescent="0.25">
      <c r="A1299" s="124"/>
      <c r="B1299" s="142"/>
      <c r="C1299" s="115"/>
      <c r="D1299" s="115"/>
      <c r="E1299" s="115"/>
      <c r="F1299" s="115"/>
      <c r="G1299" s="60" t="s">
        <v>127</v>
      </c>
      <c r="H1299" s="124"/>
      <c r="I1299" s="124"/>
      <c r="J1299" s="60"/>
      <c r="K1299" s="60"/>
      <c r="L1299" s="160"/>
      <c r="M1299" s="60"/>
      <c r="N1299" s="60"/>
      <c r="O1299" s="60">
        <f t="shared" si="309"/>
        <v>0</v>
      </c>
      <c r="P1299" s="60">
        <f t="shared" si="310"/>
        <v>0</v>
      </c>
    </row>
    <row r="1300" spans="1:16" s="38" customFormat="1" ht="10.7" customHeight="1" outlineLevel="1" x14ac:dyDescent="0.25">
      <c r="A1300" s="124"/>
      <c r="B1300" s="142"/>
      <c r="C1300" s="115"/>
      <c r="D1300" s="115"/>
      <c r="E1300" s="115"/>
      <c r="F1300" s="115"/>
      <c r="G1300" s="60" t="s">
        <v>128</v>
      </c>
      <c r="H1300" s="124"/>
      <c r="I1300" s="124"/>
      <c r="J1300" s="60"/>
      <c r="K1300" s="60"/>
      <c r="L1300" s="160"/>
      <c r="M1300" s="60"/>
      <c r="N1300" s="60"/>
      <c r="O1300" s="60">
        <f t="shared" si="309"/>
        <v>0</v>
      </c>
      <c r="P1300" s="60">
        <f t="shared" si="310"/>
        <v>0</v>
      </c>
    </row>
    <row r="1301" spans="1:16" s="38" customFormat="1" ht="10.7" customHeight="1" outlineLevel="1" x14ac:dyDescent="0.25">
      <c r="A1301" s="124"/>
      <c r="B1301" s="142"/>
      <c r="C1301" s="115"/>
      <c r="D1301" s="115"/>
      <c r="E1301" s="115"/>
      <c r="F1301" s="115"/>
      <c r="G1301" s="60" t="s">
        <v>129</v>
      </c>
      <c r="H1301" s="124"/>
      <c r="I1301" s="124"/>
      <c r="J1301" s="60"/>
      <c r="K1301" s="60"/>
      <c r="L1301" s="160"/>
      <c r="M1301" s="60"/>
      <c r="N1301" s="60"/>
      <c r="O1301" s="60">
        <f t="shared" si="309"/>
        <v>0</v>
      </c>
      <c r="P1301" s="60">
        <f t="shared" si="310"/>
        <v>0</v>
      </c>
    </row>
    <row r="1302" spans="1:16" s="38" customFormat="1" ht="10.7" customHeight="1" outlineLevel="1" x14ac:dyDescent="0.25">
      <c r="A1302" s="124"/>
      <c r="B1302" s="142"/>
      <c r="C1302" s="115"/>
      <c r="D1302" s="115"/>
      <c r="E1302" s="115"/>
      <c r="F1302" s="115"/>
      <c r="G1302" s="60" t="s">
        <v>130</v>
      </c>
      <c r="H1302" s="124"/>
      <c r="I1302" s="124"/>
      <c r="J1302" s="60"/>
      <c r="K1302" s="60"/>
      <c r="L1302" s="160"/>
      <c r="M1302" s="60"/>
      <c r="N1302" s="60"/>
      <c r="O1302" s="60">
        <f t="shared" si="309"/>
        <v>0</v>
      </c>
      <c r="P1302" s="60">
        <f t="shared" si="310"/>
        <v>0</v>
      </c>
    </row>
    <row r="1303" spans="1:16" s="38" customFormat="1" ht="12" customHeight="1" outlineLevel="1" thickBot="1" x14ac:dyDescent="0.3">
      <c r="A1303" s="125"/>
      <c r="B1303" s="143"/>
      <c r="C1303" s="131"/>
      <c r="D1303" s="131"/>
      <c r="E1303" s="131"/>
      <c r="F1303" s="131"/>
      <c r="G1303" s="60" t="s">
        <v>131</v>
      </c>
      <c r="H1303" s="134"/>
      <c r="I1303" s="134"/>
      <c r="J1303" s="60"/>
      <c r="K1303" s="60"/>
      <c r="L1303" s="160"/>
      <c r="M1303" s="60"/>
      <c r="N1303" s="60"/>
      <c r="O1303" s="60">
        <f t="shared" si="309"/>
        <v>0</v>
      </c>
      <c r="P1303" s="60">
        <f t="shared" si="310"/>
        <v>0</v>
      </c>
    </row>
    <row r="1304" spans="1:16" s="38" customFormat="1" ht="14.45" customHeight="1" outlineLevel="1" x14ac:dyDescent="0.25">
      <c r="A1304" s="140" t="s">
        <v>880</v>
      </c>
      <c r="B1304" s="141" t="s">
        <v>290</v>
      </c>
      <c r="C1304" s="130">
        <f>SUM(O1304:O1310)</f>
        <v>0</v>
      </c>
      <c r="D1304" s="130">
        <f>SUM(P1304:P1310)</f>
        <v>0</v>
      </c>
      <c r="E1304" s="130">
        <f t="shared" si="308"/>
        <v>0</v>
      </c>
      <c r="F1304" s="130"/>
      <c r="G1304" s="60" t="s">
        <v>125</v>
      </c>
      <c r="H1304" s="123"/>
      <c r="I1304" s="123"/>
      <c r="J1304" s="60"/>
      <c r="K1304" s="60"/>
      <c r="L1304" s="160"/>
      <c r="M1304" s="60"/>
      <c r="N1304" s="60"/>
      <c r="O1304" s="60">
        <f>N1304*J1304*K1304*M1304</f>
        <v>0</v>
      </c>
      <c r="P1304" s="60">
        <f>J1304*K1304*M1304</f>
        <v>0</v>
      </c>
    </row>
    <row r="1305" spans="1:16" s="38" customFormat="1" ht="11.45" customHeight="1" outlineLevel="1" x14ac:dyDescent="0.25">
      <c r="A1305" s="124"/>
      <c r="B1305" s="142"/>
      <c r="C1305" s="115"/>
      <c r="D1305" s="115"/>
      <c r="E1305" s="115"/>
      <c r="F1305" s="115"/>
      <c r="G1305" s="60" t="s">
        <v>126</v>
      </c>
      <c r="H1305" s="124"/>
      <c r="I1305" s="124"/>
      <c r="J1305" s="60"/>
      <c r="K1305" s="60"/>
      <c r="L1305" s="160"/>
      <c r="M1305" s="60"/>
      <c r="N1305" s="60"/>
      <c r="O1305" s="60">
        <f t="shared" ref="O1305:O1310" si="311">N1305*J1305*K1305*M1305</f>
        <v>0</v>
      </c>
      <c r="P1305" s="60">
        <f t="shared" ref="P1305:P1310" si="312">J1305*K1305*M1305</f>
        <v>0</v>
      </c>
    </row>
    <row r="1306" spans="1:16" s="38" customFormat="1" ht="10.7" customHeight="1" outlineLevel="1" x14ac:dyDescent="0.25">
      <c r="A1306" s="124"/>
      <c r="B1306" s="142"/>
      <c r="C1306" s="115"/>
      <c r="D1306" s="115"/>
      <c r="E1306" s="115"/>
      <c r="F1306" s="115"/>
      <c r="G1306" s="60" t="s">
        <v>127</v>
      </c>
      <c r="H1306" s="124"/>
      <c r="I1306" s="124"/>
      <c r="J1306" s="60"/>
      <c r="K1306" s="60"/>
      <c r="L1306" s="160"/>
      <c r="M1306" s="60"/>
      <c r="N1306" s="60"/>
      <c r="O1306" s="60">
        <f t="shared" si="311"/>
        <v>0</v>
      </c>
      <c r="P1306" s="60">
        <f t="shared" si="312"/>
        <v>0</v>
      </c>
    </row>
    <row r="1307" spans="1:16" s="38" customFormat="1" ht="10.7" customHeight="1" outlineLevel="1" x14ac:dyDescent="0.25">
      <c r="A1307" s="124"/>
      <c r="B1307" s="142"/>
      <c r="C1307" s="115"/>
      <c r="D1307" s="115"/>
      <c r="E1307" s="115"/>
      <c r="F1307" s="115"/>
      <c r="G1307" s="60" t="s">
        <v>128</v>
      </c>
      <c r="H1307" s="124"/>
      <c r="I1307" s="124"/>
      <c r="J1307" s="60"/>
      <c r="K1307" s="60"/>
      <c r="L1307" s="160"/>
      <c r="M1307" s="60"/>
      <c r="N1307" s="60"/>
      <c r="O1307" s="60">
        <f t="shared" si="311"/>
        <v>0</v>
      </c>
      <c r="P1307" s="60">
        <f t="shared" si="312"/>
        <v>0</v>
      </c>
    </row>
    <row r="1308" spans="1:16" s="38" customFormat="1" ht="10.7" customHeight="1" outlineLevel="1" x14ac:dyDescent="0.25">
      <c r="A1308" s="124"/>
      <c r="B1308" s="142"/>
      <c r="C1308" s="115"/>
      <c r="D1308" s="115"/>
      <c r="E1308" s="115"/>
      <c r="F1308" s="115"/>
      <c r="G1308" s="60" t="s">
        <v>129</v>
      </c>
      <c r="H1308" s="124"/>
      <c r="I1308" s="124"/>
      <c r="J1308" s="60"/>
      <c r="K1308" s="60"/>
      <c r="L1308" s="160"/>
      <c r="M1308" s="60"/>
      <c r="N1308" s="60"/>
      <c r="O1308" s="60">
        <f t="shared" si="311"/>
        <v>0</v>
      </c>
      <c r="P1308" s="60">
        <f t="shared" si="312"/>
        <v>0</v>
      </c>
    </row>
    <row r="1309" spans="1:16" s="38" customFormat="1" ht="10.7" customHeight="1" outlineLevel="1" x14ac:dyDescent="0.25">
      <c r="A1309" s="124"/>
      <c r="B1309" s="142"/>
      <c r="C1309" s="115"/>
      <c r="D1309" s="115"/>
      <c r="E1309" s="115"/>
      <c r="F1309" s="115"/>
      <c r="G1309" s="60" t="s">
        <v>130</v>
      </c>
      <c r="H1309" s="124"/>
      <c r="I1309" s="124"/>
      <c r="J1309" s="60"/>
      <c r="K1309" s="60"/>
      <c r="L1309" s="160"/>
      <c r="M1309" s="60"/>
      <c r="N1309" s="60"/>
      <c r="O1309" s="60">
        <f t="shared" si="311"/>
        <v>0</v>
      </c>
      <c r="P1309" s="60">
        <f t="shared" si="312"/>
        <v>0</v>
      </c>
    </row>
    <row r="1310" spans="1:16" s="38" customFormat="1" ht="12" customHeight="1" outlineLevel="1" thickBot="1" x14ac:dyDescent="0.3">
      <c r="A1310" s="125"/>
      <c r="B1310" s="143"/>
      <c r="C1310" s="131"/>
      <c r="D1310" s="131"/>
      <c r="E1310" s="131"/>
      <c r="F1310" s="131"/>
      <c r="G1310" s="60" t="s">
        <v>131</v>
      </c>
      <c r="H1310" s="134"/>
      <c r="I1310" s="134"/>
      <c r="J1310" s="60"/>
      <c r="K1310" s="60"/>
      <c r="L1310" s="160"/>
      <c r="M1310" s="60"/>
      <c r="N1310" s="60"/>
      <c r="O1310" s="60">
        <f t="shared" si="311"/>
        <v>0</v>
      </c>
      <c r="P1310" s="60">
        <f t="shared" si="312"/>
        <v>0</v>
      </c>
    </row>
    <row r="1311" spans="1:16" s="38" customFormat="1" ht="14.45" customHeight="1" outlineLevel="1" x14ac:dyDescent="0.25">
      <c r="A1311" s="140" t="s">
        <v>881</v>
      </c>
      <c r="B1311" s="141" t="s">
        <v>882</v>
      </c>
      <c r="C1311" s="130">
        <f>SUM(O1311:O1317)</f>
        <v>0</v>
      </c>
      <c r="D1311" s="130">
        <f>SUM(P1311:P1317)</f>
        <v>0</v>
      </c>
      <c r="E1311" s="130">
        <f t="shared" si="308"/>
        <v>0</v>
      </c>
      <c r="F1311" s="130"/>
      <c r="G1311" s="60" t="s">
        <v>125</v>
      </c>
      <c r="H1311" s="123"/>
      <c r="I1311" s="123"/>
      <c r="J1311" s="60"/>
      <c r="K1311" s="60"/>
      <c r="L1311" s="160"/>
      <c r="M1311" s="60"/>
      <c r="N1311" s="60"/>
      <c r="O1311" s="60">
        <f>N1311*J1311*K1311*M1311</f>
        <v>0</v>
      </c>
      <c r="P1311" s="60">
        <f>J1311*K1311*M1311</f>
        <v>0</v>
      </c>
    </row>
    <row r="1312" spans="1:16" s="38" customFormat="1" ht="11.45" customHeight="1" outlineLevel="1" x14ac:dyDescent="0.25">
      <c r="A1312" s="124"/>
      <c r="B1312" s="142"/>
      <c r="C1312" s="115"/>
      <c r="D1312" s="115"/>
      <c r="E1312" s="115"/>
      <c r="F1312" s="115"/>
      <c r="G1312" s="60" t="s">
        <v>126</v>
      </c>
      <c r="H1312" s="124"/>
      <c r="I1312" s="124"/>
      <c r="J1312" s="60"/>
      <c r="K1312" s="60"/>
      <c r="L1312" s="160"/>
      <c r="M1312" s="60"/>
      <c r="N1312" s="60"/>
      <c r="O1312" s="60">
        <f t="shared" ref="O1312:O1317" si="313">N1312*J1312*K1312*M1312</f>
        <v>0</v>
      </c>
      <c r="P1312" s="60">
        <f t="shared" ref="P1312:P1317" si="314">J1312*K1312*M1312</f>
        <v>0</v>
      </c>
    </row>
    <row r="1313" spans="1:16" s="38" customFormat="1" ht="10.7" customHeight="1" outlineLevel="1" x14ac:dyDescent="0.25">
      <c r="A1313" s="124"/>
      <c r="B1313" s="142"/>
      <c r="C1313" s="115"/>
      <c r="D1313" s="115"/>
      <c r="E1313" s="115"/>
      <c r="F1313" s="115"/>
      <c r="G1313" s="60" t="s">
        <v>127</v>
      </c>
      <c r="H1313" s="124"/>
      <c r="I1313" s="124"/>
      <c r="J1313" s="60"/>
      <c r="K1313" s="60"/>
      <c r="L1313" s="160"/>
      <c r="M1313" s="60"/>
      <c r="N1313" s="60"/>
      <c r="O1313" s="60">
        <f t="shared" si="313"/>
        <v>0</v>
      </c>
      <c r="P1313" s="60">
        <f t="shared" si="314"/>
        <v>0</v>
      </c>
    </row>
    <row r="1314" spans="1:16" s="38" customFormat="1" ht="10.7" customHeight="1" outlineLevel="1" x14ac:dyDescent="0.25">
      <c r="A1314" s="124"/>
      <c r="B1314" s="142"/>
      <c r="C1314" s="115"/>
      <c r="D1314" s="115"/>
      <c r="E1314" s="115"/>
      <c r="F1314" s="115"/>
      <c r="G1314" s="60" t="s">
        <v>128</v>
      </c>
      <c r="H1314" s="124"/>
      <c r="I1314" s="124"/>
      <c r="J1314" s="60"/>
      <c r="K1314" s="60"/>
      <c r="L1314" s="160"/>
      <c r="M1314" s="60"/>
      <c r="N1314" s="60"/>
      <c r="O1314" s="60">
        <f t="shared" si="313"/>
        <v>0</v>
      </c>
      <c r="P1314" s="60">
        <f t="shared" si="314"/>
        <v>0</v>
      </c>
    </row>
    <row r="1315" spans="1:16" s="38" customFormat="1" ht="10.7" customHeight="1" outlineLevel="1" x14ac:dyDescent="0.25">
      <c r="A1315" s="124"/>
      <c r="B1315" s="142"/>
      <c r="C1315" s="115"/>
      <c r="D1315" s="115"/>
      <c r="E1315" s="115"/>
      <c r="F1315" s="115"/>
      <c r="G1315" s="60" t="s">
        <v>129</v>
      </c>
      <c r="H1315" s="124"/>
      <c r="I1315" s="124"/>
      <c r="J1315" s="60"/>
      <c r="K1315" s="60"/>
      <c r="L1315" s="160"/>
      <c r="M1315" s="60"/>
      <c r="N1315" s="60"/>
      <c r="O1315" s="60">
        <f t="shared" si="313"/>
        <v>0</v>
      </c>
      <c r="P1315" s="60">
        <f t="shared" si="314"/>
        <v>0</v>
      </c>
    </row>
    <row r="1316" spans="1:16" s="38" customFormat="1" ht="10.7" customHeight="1" outlineLevel="1" x14ac:dyDescent="0.25">
      <c r="A1316" s="124"/>
      <c r="B1316" s="142"/>
      <c r="C1316" s="115"/>
      <c r="D1316" s="115"/>
      <c r="E1316" s="115"/>
      <c r="F1316" s="115"/>
      <c r="G1316" s="60" t="s">
        <v>130</v>
      </c>
      <c r="H1316" s="124"/>
      <c r="I1316" s="124"/>
      <c r="J1316" s="60"/>
      <c r="K1316" s="60"/>
      <c r="L1316" s="160"/>
      <c r="M1316" s="60"/>
      <c r="N1316" s="60"/>
      <c r="O1316" s="60">
        <f t="shared" si="313"/>
        <v>0</v>
      </c>
      <c r="P1316" s="60">
        <f t="shared" si="314"/>
        <v>0</v>
      </c>
    </row>
    <row r="1317" spans="1:16" s="38" customFormat="1" ht="12" customHeight="1" outlineLevel="1" thickBot="1" x14ac:dyDescent="0.3">
      <c r="A1317" s="125"/>
      <c r="B1317" s="143"/>
      <c r="C1317" s="131"/>
      <c r="D1317" s="131"/>
      <c r="E1317" s="131"/>
      <c r="F1317" s="131"/>
      <c r="G1317" s="60" t="s">
        <v>131</v>
      </c>
      <c r="H1317" s="134"/>
      <c r="I1317" s="134"/>
      <c r="J1317" s="60"/>
      <c r="K1317" s="60"/>
      <c r="L1317" s="160"/>
      <c r="M1317" s="60"/>
      <c r="N1317" s="60"/>
      <c r="O1317" s="60">
        <f t="shared" si="313"/>
        <v>0</v>
      </c>
      <c r="P1317" s="60">
        <f t="shared" si="314"/>
        <v>0</v>
      </c>
    </row>
    <row r="1318" spans="1:16" s="38" customFormat="1" ht="14.45" customHeight="1" outlineLevel="1" x14ac:dyDescent="0.25">
      <c r="A1318" s="140" t="s">
        <v>883</v>
      </c>
      <c r="B1318" s="141" t="s">
        <v>294</v>
      </c>
      <c r="C1318" s="130">
        <f>SUM(O1318:O1324)</f>
        <v>0</v>
      </c>
      <c r="D1318" s="130">
        <f>SUM(P1318:P1324)</f>
        <v>0</v>
      </c>
      <c r="E1318" s="130">
        <f t="shared" si="308"/>
        <v>0</v>
      </c>
      <c r="F1318" s="130"/>
      <c r="G1318" s="60" t="s">
        <v>125</v>
      </c>
      <c r="H1318" s="123"/>
      <c r="I1318" s="123"/>
      <c r="J1318" s="60"/>
      <c r="K1318" s="60"/>
      <c r="L1318" s="160"/>
      <c r="M1318" s="60"/>
      <c r="N1318" s="60"/>
      <c r="O1318" s="60">
        <f>N1318*J1318*K1318*M1318</f>
        <v>0</v>
      </c>
      <c r="P1318" s="60">
        <f>J1318*K1318*M1318</f>
        <v>0</v>
      </c>
    </row>
    <row r="1319" spans="1:16" s="38" customFormat="1" ht="11.45" customHeight="1" outlineLevel="1" x14ac:dyDescent="0.25">
      <c r="A1319" s="124"/>
      <c r="B1319" s="142"/>
      <c r="C1319" s="115"/>
      <c r="D1319" s="115"/>
      <c r="E1319" s="115"/>
      <c r="F1319" s="115"/>
      <c r="G1319" s="60" t="s">
        <v>126</v>
      </c>
      <c r="H1319" s="124"/>
      <c r="I1319" s="124"/>
      <c r="J1319" s="60"/>
      <c r="K1319" s="60"/>
      <c r="L1319" s="160"/>
      <c r="M1319" s="60"/>
      <c r="N1319" s="60"/>
      <c r="O1319" s="60">
        <f t="shared" ref="O1319:O1324" si="315">N1319*J1319*K1319*M1319</f>
        <v>0</v>
      </c>
      <c r="P1319" s="60">
        <f t="shared" ref="P1319:P1324" si="316">J1319*K1319*M1319</f>
        <v>0</v>
      </c>
    </row>
    <row r="1320" spans="1:16" s="38" customFormat="1" ht="10.7" customHeight="1" outlineLevel="1" x14ac:dyDescent="0.25">
      <c r="A1320" s="124"/>
      <c r="B1320" s="142"/>
      <c r="C1320" s="115"/>
      <c r="D1320" s="115"/>
      <c r="E1320" s="115"/>
      <c r="F1320" s="115"/>
      <c r="G1320" s="60" t="s">
        <v>127</v>
      </c>
      <c r="H1320" s="124"/>
      <c r="I1320" s="124"/>
      <c r="J1320" s="60"/>
      <c r="K1320" s="60"/>
      <c r="L1320" s="160"/>
      <c r="M1320" s="60"/>
      <c r="N1320" s="60"/>
      <c r="O1320" s="60">
        <f t="shared" si="315"/>
        <v>0</v>
      </c>
      <c r="P1320" s="60">
        <f t="shared" si="316"/>
        <v>0</v>
      </c>
    </row>
    <row r="1321" spans="1:16" s="38" customFormat="1" ht="10.7" customHeight="1" outlineLevel="1" x14ac:dyDescent="0.25">
      <c r="A1321" s="124"/>
      <c r="B1321" s="142"/>
      <c r="C1321" s="115"/>
      <c r="D1321" s="115"/>
      <c r="E1321" s="115"/>
      <c r="F1321" s="115"/>
      <c r="G1321" s="60" t="s">
        <v>128</v>
      </c>
      <c r="H1321" s="124"/>
      <c r="I1321" s="124"/>
      <c r="J1321" s="60"/>
      <c r="K1321" s="60"/>
      <c r="L1321" s="160"/>
      <c r="M1321" s="60"/>
      <c r="N1321" s="60"/>
      <c r="O1321" s="60">
        <f t="shared" si="315"/>
        <v>0</v>
      </c>
      <c r="P1321" s="60">
        <f t="shared" si="316"/>
        <v>0</v>
      </c>
    </row>
    <row r="1322" spans="1:16" s="38" customFormat="1" ht="10.7" customHeight="1" outlineLevel="1" x14ac:dyDescent="0.25">
      <c r="A1322" s="124"/>
      <c r="B1322" s="142"/>
      <c r="C1322" s="115"/>
      <c r="D1322" s="115"/>
      <c r="E1322" s="115"/>
      <c r="F1322" s="115"/>
      <c r="G1322" s="60" t="s">
        <v>129</v>
      </c>
      <c r="H1322" s="124"/>
      <c r="I1322" s="124"/>
      <c r="J1322" s="60"/>
      <c r="K1322" s="60"/>
      <c r="L1322" s="160"/>
      <c r="M1322" s="60"/>
      <c r="N1322" s="60"/>
      <c r="O1322" s="60">
        <f t="shared" si="315"/>
        <v>0</v>
      </c>
      <c r="P1322" s="60">
        <f t="shared" si="316"/>
        <v>0</v>
      </c>
    </row>
    <row r="1323" spans="1:16" s="38" customFormat="1" ht="10.7" customHeight="1" outlineLevel="1" x14ac:dyDescent="0.25">
      <c r="A1323" s="124"/>
      <c r="B1323" s="142"/>
      <c r="C1323" s="115"/>
      <c r="D1323" s="115"/>
      <c r="E1323" s="115"/>
      <c r="F1323" s="115"/>
      <c r="G1323" s="60" t="s">
        <v>130</v>
      </c>
      <c r="H1323" s="124"/>
      <c r="I1323" s="124"/>
      <c r="J1323" s="60"/>
      <c r="K1323" s="60"/>
      <c r="L1323" s="160"/>
      <c r="M1323" s="60"/>
      <c r="N1323" s="60"/>
      <c r="O1323" s="60">
        <f t="shared" si="315"/>
        <v>0</v>
      </c>
      <c r="P1323" s="60">
        <f t="shared" si="316"/>
        <v>0</v>
      </c>
    </row>
    <row r="1324" spans="1:16" s="38" customFormat="1" ht="12" customHeight="1" outlineLevel="1" thickBot="1" x14ac:dyDescent="0.3">
      <c r="A1324" s="125"/>
      <c r="B1324" s="143"/>
      <c r="C1324" s="131"/>
      <c r="D1324" s="131"/>
      <c r="E1324" s="131"/>
      <c r="F1324" s="131"/>
      <c r="G1324" s="60" t="s">
        <v>131</v>
      </c>
      <c r="H1324" s="134"/>
      <c r="I1324" s="134"/>
      <c r="J1324" s="60"/>
      <c r="K1324" s="60"/>
      <c r="L1324" s="160"/>
      <c r="M1324" s="60"/>
      <c r="N1324" s="60"/>
      <c r="O1324" s="60">
        <f t="shared" si="315"/>
        <v>0</v>
      </c>
      <c r="P1324" s="60">
        <f t="shared" si="316"/>
        <v>0</v>
      </c>
    </row>
    <row r="1325" spans="1:16" s="38" customFormat="1" ht="14.45" customHeight="1" outlineLevel="1" x14ac:dyDescent="0.25">
      <c r="A1325" s="140" t="s">
        <v>884</v>
      </c>
      <c r="B1325" s="141" t="s">
        <v>296</v>
      </c>
      <c r="C1325" s="130">
        <f>SUM(O1325:O1331)</f>
        <v>0</v>
      </c>
      <c r="D1325" s="130">
        <f>SUM(P1325:P1331)</f>
        <v>0</v>
      </c>
      <c r="E1325" s="130">
        <f t="shared" si="308"/>
        <v>0</v>
      </c>
      <c r="F1325" s="130"/>
      <c r="G1325" s="60" t="s">
        <v>125</v>
      </c>
      <c r="H1325" s="123"/>
      <c r="I1325" s="123"/>
      <c r="J1325" s="60"/>
      <c r="K1325" s="60"/>
      <c r="L1325" s="160"/>
      <c r="M1325" s="60"/>
      <c r="N1325" s="60"/>
      <c r="O1325" s="60">
        <f>N1325*J1325*K1325*M1325</f>
        <v>0</v>
      </c>
      <c r="P1325" s="60">
        <f>J1325*K1325*M1325</f>
        <v>0</v>
      </c>
    </row>
    <row r="1326" spans="1:16" s="38" customFormat="1" ht="11.45" customHeight="1" outlineLevel="1" x14ac:dyDescent="0.25">
      <c r="A1326" s="124"/>
      <c r="B1326" s="142"/>
      <c r="C1326" s="115"/>
      <c r="D1326" s="115"/>
      <c r="E1326" s="115"/>
      <c r="F1326" s="115"/>
      <c r="G1326" s="60" t="s">
        <v>126</v>
      </c>
      <c r="H1326" s="124"/>
      <c r="I1326" s="124"/>
      <c r="J1326" s="60"/>
      <c r="K1326" s="60"/>
      <c r="L1326" s="160"/>
      <c r="M1326" s="60"/>
      <c r="N1326" s="60"/>
      <c r="O1326" s="60">
        <f t="shared" ref="O1326:O1331" si="317">N1326*J1326*K1326*M1326</f>
        <v>0</v>
      </c>
      <c r="P1326" s="60">
        <f t="shared" ref="P1326:P1331" si="318">J1326*K1326*M1326</f>
        <v>0</v>
      </c>
    </row>
    <row r="1327" spans="1:16" s="38" customFormat="1" ht="10.7" customHeight="1" outlineLevel="1" x14ac:dyDescent="0.25">
      <c r="A1327" s="124"/>
      <c r="B1327" s="142"/>
      <c r="C1327" s="115"/>
      <c r="D1327" s="115"/>
      <c r="E1327" s="115"/>
      <c r="F1327" s="115"/>
      <c r="G1327" s="60" t="s">
        <v>127</v>
      </c>
      <c r="H1327" s="124"/>
      <c r="I1327" s="124"/>
      <c r="J1327" s="60"/>
      <c r="K1327" s="60"/>
      <c r="L1327" s="160"/>
      <c r="M1327" s="60"/>
      <c r="N1327" s="60"/>
      <c r="O1327" s="60">
        <f t="shared" si="317"/>
        <v>0</v>
      </c>
      <c r="P1327" s="60">
        <f t="shared" si="318"/>
        <v>0</v>
      </c>
    </row>
    <row r="1328" spans="1:16" s="38" customFormat="1" ht="10.7" customHeight="1" outlineLevel="1" x14ac:dyDescent="0.25">
      <c r="A1328" s="124"/>
      <c r="B1328" s="142"/>
      <c r="C1328" s="115"/>
      <c r="D1328" s="115"/>
      <c r="E1328" s="115"/>
      <c r="F1328" s="115"/>
      <c r="G1328" s="60" t="s">
        <v>128</v>
      </c>
      <c r="H1328" s="124"/>
      <c r="I1328" s="124"/>
      <c r="J1328" s="60"/>
      <c r="K1328" s="60"/>
      <c r="L1328" s="160"/>
      <c r="M1328" s="60"/>
      <c r="N1328" s="60"/>
      <c r="O1328" s="60">
        <f t="shared" si="317"/>
        <v>0</v>
      </c>
      <c r="P1328" s="60">
        <f t="shared" si="318"/>
        <v>0</v>
      </c>
    </row>
    <row r="1329" spans="1:16" s="38" customFormat="1" ht="10.7" customHeight="1" outlineLevel="1" x14ac:dyDescent="0.25">
      <c r="A1329" s="124"/>
      <c r="B1329" s="142"/>
      <c r="C1329" s="115"/>
      <c r="D1329" s="115"/>
      <c r="E1329" s="115"/>
      <c r="F1329" s="115"/>
      <c r="G1329" s="60" t="s">
        <v>129</v>
      </c>
      <c r="H1329" s="124"/>
      <c r="I1329" s="124"/>
      <c r="J1329" s="60"/>
      <c r="K1329" s="60"/>
      <c r="L1329" s="160"/>
      <c r="M1329" s="60"/>
      <c r="N1329" s="60"/>
      <c r="O1329" s="60">
        <f t="shared" si="317"/>
        <v>0</v>
      </c>
      <c r="P1329" s="60">
        <f t="shared" si="318"/>
        <v>0</v>
      </c>
    </row>
    <row r="1330" spans="1:16" s="38" customFormat="1" ht="10.7" customHeight="1" outlineLevel="1" x14ac:dyDescent="0.25">
      <c r="A1330" s="124"/>
      <c r="B1330" s="142"/>
      <c r="C1330" s="115"/>
      <c r="D1330" s="115"/>
      <c r="E1330" s="115"/>
      <c r="F1330" s="115"/>
      <c r="G1330" s="60" t="s">
        <v>130</v>
      </c>
      <c r="H1330" s="124"/>
      <c r="I1330" s="124"/>
      <c r="J1330" s="60"/>
      <c r="K1330" s="60"/>
      <c r="L1330" s="160"/>
      <c r="M1330" s="60"/>
      <c r="N1330" s="60"/>
      <c r="O1330" s="60">
        <f t="shared" si="317"/>
        <v>0</v>
      </c>
      <c r="P1330" s="60">
        <f t="shared" si="318"/>
        <v>0</v>
      </c>
    </row>
    <row r="1331" spans="1:16" s="38" customFormat="1" ht="12" customHeight="1" outlineLevel="1" thickBot="1" x14ac:dyDescent="0.3">
      <c r="A1331" s="125"/>
      <c r="B1331" s="143"/>
      <c r="C1331" s="131"/>
      <c r="D1331" s="131"/>
      <c r="E1331" s="131"/>
      <c r="F1331" s="131"/>
      <c r="G1331" s="60" t="s">
        <v>131</v>
      </c>
      <c r="H1331" s="134"/>
      <c r="I1331" s="134"/>
      <c r="J1331" s="60"/>
      <c r="K1331" s="60"/>
      <c r="L1331" s="160"/>
      <c r="M1331" s="60"/>
      <c r="N1331" s="60"/>
      <c r="O1331" s="60">
        <f t="shared" si="317"/>
        <v>0</v>
      </c>
      <c r="P1331" s="60">
        <f t="shared" si="318"/>
        <v>0</v>
      </c>
    </row>
    <row r="1332" spans="1:16" s="38" customFormat="1" ht="14.45" customHeight="1" outlineLevel="1" x14ac:dyDescent="0.25">
      <c r="A1332" s="140" t="s">
        <v>885</v>
      </c>
      <c r="B1332" s="141" t="s">
        <v>886</v>
      </c>
      <c r="C1332" s="130">
        <f>SUM(O1332:O1338)</f>
        <v>0</v>
      </c>
      <c r="D1332" s="130">
        <f>SUM(P1332:P1338)</f>
        <v>0</v>
      </c>
      <c r="E1332" s="130">
        <f t="shared" si="308"/>
        <v>0</v>
      </c>
      <c r="F1332" s="130"/>
      <c r="G1332" s="60" t="s">
        <v>125</v>
      </c>
      <c r="H1332" s="123"/>
      <c r="I1332" s="123"/>
      <c r="J1332" s="60"/>
      <c r="K1332" s="60"/>
      <c r="L1332" s="160"/>
      <c r="M1332" s="60"/>
      <c r="N1332" s="60"/>
      <c r="O1332" s="60">
        <f>N1332*J1332*K1332*M1332</f>
        <v>0</v>
      </c>
      <c r="P1332" s="60">
        <f>J1332*K1332*M1332</f>
        <v>0</v>
      </c>
    </row>
    <row r="1333" spans="1:16" s="38" customFormat="1" ht="11.45" customHeight="1" outlineLevel="1" x14ac:dyDescent="0.25">
      <c r="A1333" s="124"/>
      <c r="B1333" s="142"/>
      <c r="C1333" s="115"/>
      <c r="D1333" s="115"/>
      <c r="E1333" s="115"/>
      <c r="F1333" s="115"/>
      <c r="G1333" s="60" t="s">
        <v>126</v>
      </c>
      <c r="H1333" s="124"/>
      <c r="I1333" s="124"/>
      <c r="J1333" s="60"/>
      <c r="K1333" s="60"/>
      <c r="L1333" s="160"/>
      <c r="M1333" s="60"/>
      <c r="N1333" s="60"/>
      <c r="O1333" s="60">
        <f t="shared" ref="O1333:O1338" si="319">N1333*J1333*K1333*M1333</f>
        <v>0</v>
      </c>
      <c r="P1333" s="60">
        <f t="shared" ref="P1333:P1338" si="320">J1333*K1333*M1333</f>
        <v>0</v>
      </c>
    </row>
    <row r="1334" spans="1:16" s="38" customFormat="1" ht="10.7" customHeight="1" outlineLevel="1" x14ac:dyDescent="0.25">
      <c r="A1334" s="124"/>
      <c r="B1334" s="142"/>
      <c r="C1334" s="115"/>
      <c r="D1334" s="115"/>
      <c r="E1334" s="115"/>
      <c r="F1334" s="115"/>
      <c r="G1334" s="60" t="s">
        <v>127</v>
      </c>
      <c r="H1334" s="124"/>
      <c r="I1334" s="124"/>
      <c r="J1334" s="60"/>
      <c r="K1334" s="60"/>
      <c r="L1334" s="160"/>
      <c r="M1334" s="60"/>
      <c r="N1334" s="60"/>
      <c r="O1334" s="60">
        <f t="shared" si="319"/>
        <v>0</v>
      </c>
      <c r="P1334" s="60">
        <f t="shared" si="320"/>
        <v>0</v>
      </c>
    </row>
    <row r="1335" spans="1:16" s="38" customFormat="1" ht="10.7" customHeight="1" outlineLevel="1" x14ac:dyDescent="0.25">
      <c r="A1335" s="124"/>
      <c r="B1335" s="142"/>
      <c r="C1335" s="115"/>
      <c r="D1335" s="115"/>
      <c r="E1335" s="115"/>
      <c r="F1335" s="115"/>
      <c r="G1335" s="60" t="s">
        <v>128</v>
      </c>
      <c r="H1335" s="124"/>
      <c r="I1335" s="124"/>
      <c r="J1335" s="60"/>
      <c r="K1335" s="60"/>
      <c r="L1335" s="160"/>
      <c r="M1335" s="60"/>
      <c r="N1335" s="60"/>
      <c r="O1335" s="60">
        <f t="shared" si="319"/>
        <v>0</v>
      </c>
      <c r="P1335" s="60">
        <f t="shared" si="320"/>
        <v>0</v>
      </c>
    </row>
    <row r="1336" spans="1:16" s="38" customFormat="1" ht="10.7" customHeight="1" outlineLevel="1" x14ac:dyDescent="0.25">
      <c r="A1336" s="124"/>
      <c r="B1336" s="142"/>
      <c r="C1336" s="115"/>
      <c r="D1336" s="115"/>
      <c r="E1336" s="115"/>
      <c r="F1336" s="115"/>
      <c r="G1336" s="60" t="s">
        <v>129</v>
      </c>
      <c r="H1336" s="124"/>
      <c r="I1336" s="124"/>
      <c r="J1336" s="60"/>
      <c r="K1336" s="60"/>
      <c r="L1336" s="160"/>
      <c r="M1336" s="60"/>
      <c r="N1336" s="60"/>
      <c r="O1336" s="60">
        <f t="shared" si="319"/>
        <v>0</v>
      </c>
      <c r="P1336" s="60">
        <f t="shared" si="320"/>
        <v>0</v>
      </c>
    </row>
    <row r="1337" spans="1:16" s="38" customFormat="1" ht="10.7" customHeight="1" outlineLevel="1" x14ac:dyDescent="0.25">
      <c r="A1337" s="124"/>
      <c r="B1337" s="142"/>
      <c r="C1337" s="115"/>
      <c r="D1337" s="115"/>
      <c r="E1337" s="115"/>
      <c r="F1337" s="115"/>
      <c r="G1337" s="60" t="s">
        <v>130</v>
      </c>
      <c r="H1337" s="124"/>
      <c r="I1337" s="124"/>
      <c r="J1337" s="60"/>
      <c r="K1337" s="60"/>
      <c r="L1337" s="160"/>
      <c r="M1337" s="60"/>
      <c r="N1337" s="60"/>
      <c r="O1337" s="60">
        <f t="shared" si="319"/>
        <v>0</v>
      </c>
      <c r="P1337" s="60">
        <f t="shared" si="320"/>
        <v>0</v>
      </c>
    </row>
    <row r="1338" spans="1:16" s="38" customFormat="1" ht="12" customHeight="1" outlineLevel="1" thickBot="1" x14ac:dyDescent="0.3">
      <c r="A1338" s="125"/>
      <c r="B1338" s="143"/>
      <c r="C1338" s="131"/>
      <c r="D1338" s="131"/>
      <c r="E1338" s="131"/>
      <c r="F1338" s="131"/>
      <c r="G1338" s="60" t="s">
        <v>131</v>
      </c>
      <c r="H1338" s="134"/>
      <c r="I1338" s="134"/>
      <c r="J1338" s="60"/>
      <c r="K1338" s="60"/>
      <c r="L1338" s="160"/>
      <c r="M1338" s="60"/>
      <c r="N1338" s="60"/>
      <c r="O1338" s="60">
        <f t="shared" si="319"/>
        <v>0</v>
      </c>
      <c r="P1338" s="60">
        <f t="shared" si="320"/>
        <v>0</v>
      </c>
    </row>
    <row r="1339" spans="1:16" s="38" customFormat="1" ht="14.45" customHeight="1" outlineLevel="1" x14ac:dyDescent="0.25">
      <c r="A1339" s="140" t="s">
        <v>887</v>
      </c>
      <c r="B1339" s="141" t="s">
        <v>888</v>
      </c>
      <c r="C1339" s="130">
        <f>SUM(O1339:O1345)</f>
        <v>0</v>
      </c>
      <c r="D1339" s="130">
        <f>SUM(P1339:P1345)</f>
        <v>0</v>
      </c>
      <c r="E1339" s="130">
        <f t="shared" si="308"/>
        <v>0</v>
      </c>
      <c r="F1339" s="130"/>
      <c r="G1339" s="60" t="s">
        <v>125</v>
      </c>
      <c r="H1339" s="123"/>
      <c r="I1339" s="123"/>
      <c r="J1339" s="60"/>
      <c r="K1339" s="60"/>
      <c r="L1339" s="160"/>
      <c r="M1339" s="60"/>
      <c r="N1339" s="60"/>
      <c r="O1339" s="60">
        <f>N1339*J1339*K1339*M1339</f>
        <v>0</v>
      </c>
      <c r="P1339" s="60">
        <f>J1339*K1339*M1339</f>
        <v>0</v>
      </c>
    </row>
    <row r="1340" spans="1:16" s="38" customFormat="1" ht="11.45" customHeight="1" outlineLevel="1" x14ac:dyDescent="0.25">
      <c r="A1340" s="124"/>
      <c r="B1340" s="142"/>
      <c r="C1340" s="115"/>
      <c r="D1340" s="115"/>
      <c r="E1340" s="115"/>
      <c r="F1340" s="115"/>
      <c r="G1340" s="60" t="s">
        <v>126</v>
      </c>
      <c r="H1340" s="124"/>
      <c r="I1340" s="124"/>
      <c r="J1340" s="60"/>
      <c r="K1340" s="60"/>
      <c r="L1340" s="160"/>
      <c r="M1340" s="60"/>
      <c r="N1340" s="60"/>
      <c r="O1340" s="60">
        <f t="shared" ref="O1340:O1345" si="321">N1340*J1340*K1340*M1340</f>
        <v>0</v>
      </c>
      <c r="P1340" s="60">
        <f t="shared" ref="P1340:P1345" si="322">J1340*K1340*M1340</f>
        <v>0</v>
      </c>
    </row>
    <row r="1341" spans="1:16" s="38" customFormat="1" ht="10.7" customHeight="1" outlineLevel="1" x14ac:dyDescent="0.25">
      <c r="A1341" s="124"/>
      <c r="B1341" s="142"/>
      <c r="C1341" s="115"/>
      <c r="D1341" s="115"/>
      <c r="E1341" s="115"/>
      <c r="F1341" s="115"/>
      <c r="G1341" s="60" t="s">
        <v>127</v>
      </c>
      <c r="H1341" s="124"/>
      <c r="I1341" s="124"/>
      <c r="J1341" s="60"/>
      <c r="K1341" s="60"/>
      <c r="L1341" s="160"/>
      <c r="M1341" s="60"/>
      <c r="N1341" s="60"/>
      <c r="O1341" s="60">
        <f t="shared" si="321"/>
        <v>0</v>
      </c>
      <c r="P1341" s="60">
        <f t="shared" si="322"/>
        <v>0</v>
      </c>
    </row>
    <row r="1342" spans="1:16" s="38" customFormat="1" ht="10.7" customHeight="1" outlineLevel="1" x14ac:dyDescent="0.25">
      <c r="A1342" s="124"/>
      <c r="B1342" s="142"/>
      <c r="C1342" s="115"/>
      <c r="D1342" s="115"/>
      <c r="E1342" s="115"/>
      <c r="F1342" s="115"/>
      <c r="G1342" s="60" t="s">
        <v>128</v>
      </c>
      <c r="H1342" s="124"/>
      <c r="I1342" s="124"/>
      <c r="J1342" s="60"/>
      <c r="K1342" s="60"/>
      <c r="L1342" s="160"/>
      <c r="M1342" s="60"/>
      <c r="N1342" s="60"/>
      <c r="O1342" s="60">
        <f t="shared" si="321"/>
        <v>0</v>
      </c>
      <c r="P1342" s="60">
        <f t="shared" si="322"/>
        <v>0</v>
      </c>
    </row>
    <row r="1343" spans="1:16" s="38" customFormat="1" ht="10.7" customHeight="1" outlineLevel="1" x14ac:dyDescent="0.25">
      <c r="A1343" s="124"/>
      <c r="B1343" s="142"/>
      <c r="C1343" s="115"/>
      <c r="D1343" s="115"/>
      <c r="E1343" s="115"/>
      <c r="F1343" s="115"/>
      <c r="G1343" s="60" t="s">
        <v>129</v>
      </c>
      <c r="H1343" s="124"/>
      <c r="I1343" s="124"/>
      <c r="J1343" s="60"/>
      <c r="K1343" s="60"/>
      <c r="L1343" s="160"/>
      <c r="M1343" s="60"/>
      <c r="N1343" s="60"/>
      <c r="O1343" s="60">
        <f t="shared" si="321"/>
        <v>0</v>
      </c>
      <c r="P1343" s="60">
        <f t="shared" si="322"/>
        <v>0</v>
      </c>
    </row>
    <row r="1344" spans="1:16" s="38" customFormat="1" ht="10.7" customHeight="1" outlineLevel="1" x14ac:dyDescent="0.25">
      <c r="A1344" s="124"/>
      <c r="B1344" s="142"/>
      <c r="C1344" s="115"/>
      <c r="D1344" s="115"/>
      <c r="E1344" s="115"/>
      <c r="F1344" s="115"/>
      <c r="G1344" s="60" t="s">
        <v>130</v>
      </c>
      <c r="H1344" s="124"/>
      <c r="I1344" s="124"/>
      <c r="J1344" s="60"/>
      <c r="K1344" s="60"/>
      <c r="L1344" s="160"/>
      <c r="M1344" s="60"/>
      <c r="N1344" s="60"/>
      <c r="O1344" s="60">
        <f t="shared" si="321"/>
        <v>0</v>
      </c>
      <c r="P1344" s="60">
        <f t="shared" si="322"/>
        <v>0</v>
      </c>
    </row>
    <row r="1345" spans="1:16" s="38" customFormat="1" ht="12" customHeight="1" outlineLevel="1" thickBot="1" x14ac:dyDescent="0.3">
      <c r="A1345" s="125"/>
      <c r="B1345" s="143"/>
      <c r="C1345" s="131"/>
      <c r="D1345" s="131"/>
      <c r="E1345" s="131"/>
      <c r="F1345" s="131"/>
      <c r="G1345" s="60" t="s">
        <v>131</v>
      </c>
      <c r="H1345" s="134"/>
      <c r="I1345" s="134"/>
      <c r="J1345" s="60"/>
      <c r="K1345" s="60"/>
      <c r="L1345" s="160"/>
      <c r="M1345" s="60"/>
      <c r="N1345" s="60"/>
      <c r="O1345" s="60">
        <f t="shared" si="321"/>
        <v>0</v>
      </c>
      <c r="P1345" s="60">
        <f t="shared" si="322"/>
        <v>0</v>
      </c>
    </row>
    <row r="1346" spans="1:16" s="38" customFormat="1" ht="14.45" customHeight="1" outlineLevel="1" x14ac:dyDescent="0.25">
      <c r="A1346" s="140" t="s">
        <v>889</v>
      </c>
      <c r="B1346" s="141" t="s">
        <v>300</v>
      </c>
      <c r="C1346" s="130">
        <f>SUM(O1346:O1352)</f>
        <v>0</v>
      </c>
      <c r="D1346" s="130">
        <f>SUM(P1346:P1352)</f>
        <v>0</v>
      </c>
      <c r="E1346" s="130">
        <f t="shared" si="308"/>
        <v>0</v>
      </c>
      <c r="F1346" s="130"/>
      <c r="G1346" s="60" t="s">
        <v>125</v>
      </c>
      <c r="H1346" s="123"/>
      <c r="I1346" s="123"/>
      <c r="J1346" s="60"/>
      <c r="K1346" s="60"/>
      <c r="L1346" s="160"/>
      <c r="M1346" s="60"/>
      <c r="N1346" s="60"/>
      <c r="O1346" s="60">
        <f>N1346*J1346*K1346*M1346</f>
        <v>0</v>
      </c>
      <c r="P1346" s="60">
        <f>J1346*K1346*M1346</f>
        <v>0</v>
      </c>
    </row>
    <row r="1347" spans="1:16" s="38" customFormat="1" ht="11.45" customHeight="1" outlineLevel="1" x14ac:dyDescent="0.25">
      <c r="A1347" s="124"/>
      <c r="B1347" s="142"/>
      <c r="C1347" s="115"/>
      <c r="D1347" s="115"/>
      <c r="E1347" s="115"/>
      <c r="F1347" s="115"/>
      <c r="G1347" s="60" t="s">
        <v>126</v>
      </c>
      <c r="H1347" s="124"/>
      <c r="I1347" s="124"/>
      <c r="J1347" s="60"/>
      <c r="K1347" s="60"/>
      <c r="L1347" s="160"/>
      <c r="M1347" s="60"/>
      <c r="N1347" s="60"/>
      <c r="O1347" s="60">
        <f t="shared" ref="O1347:O1352" si="323">N1347*J1347*K1347*M1347</f>
        <v>0</v>
      </c>
      <c r="P1347" s="60">
        <f t="shared" ref="P1347:P1352" si="324">J1347*K1347*M1347</f>
        <v>0</v>
      </c>
    </row>
    <row r="1348" spans="1:16" s="38" customFormat="1" ht="10.7" customHeight="1" outlineLevel="1" x14ac:dyDescent="0.25">
      <c r="A1348" s="124"/>
      <c r="B1348" s="142"/>
      <c r="C1348" s="115"/>
      <c r="D1348" s="115"/>
      <c r="E1348" s="115"/>
      <c r="F1348" s="115"/>
      <c r="G1348" s="60" t="s">
        <v>127</v>
      </c>
      <c r="H1348" s="124"/>
      <c r="I1348" s="124"/>
      <c r="J1348" s="60"/>
      <c r="K1348" s="60"/>
      <c r="L1348" s="160"/>
      <c r="M1348" s="60"/>
      <c r="N1348" s="60"/>
      <c r="O1348" s="60">
        <f t="shared" si="323"/>
        <v>0</v>
      </c>
      <c r="P1348" s="60">
        <f t="shared" si="324"/>
        <v>0</v>
      </c>
    </row>
    <row r="1349" spans="1:16" s="38" customFormat="1" ht="10.7" customHeight="1" outlineLevel="1" x14ac:dyDescent="0.25">
      <c r="A1349" s="124"/>
      <c r="B1349" s="142"/>
      <c r="C1349" s="115"/>
      <c r="D1349" s="115"/>
      <c r="E1349" s="115"/>
      <c r="F1349" s="115"/>
      <c r="G1349" s="60" t="s">
        <v>128</v>
      </c>
      <c r="H1349" s="124"/>
      <c r="I1349" s="124"/>
      <c r="J1349" s="60"/>
      <c r="K1349" s="60"/>
      <c r="L1349" s="160"/>
      <c r="M1349" s="60"/>
      <c r="N1349" s="60"/>
      <c r="O1349" s="60">
        <f t="shared" si="323"/>
        <v>0</v>
      </c>
      <c r="P1349" s="60">
        <f t="shared" si="324"/>
        <v>0</v>
      </c>
    </row>
    <row r="1350" spans="1:16" s="38" customFormat="1" ht="10.7" customHeight="1" outlineLevel="1" x14ac:dyDescent="0.25">
      <c r="A1350" s="124"/>
      <c r="B1350" s="142"/>
      <c r="C1350" s="115"/>
      <c r="D1350" s="115"/>
      <c r="E1350" s="115"/>
      <c r="F1350" s="115"/>
      <c r="G1350" s="60" t="s">
        <v>129</v>
      </c>
      <c r="H1350" s="124"/>
      <c r="I1350" s="124"/>
      <c r="J1350" s="60"/>
      <c r="K1350" s="60"/>
      <c r="L1350" s="160"/>
      <c r="M1350" s="60"/>
      <c r="N1350" s="60"/>
      <c r="O1350" s="60">
        <f t="shared" si="323"/>
        <v>0</v>
      </c>
      <c r="P1350" s="60">
        <f t="shared" si="324"/>
        <v>0</v>
      </c>
    </row>
    <row r="1351" spans="1:16" s="38" customFormat="1" ht="10.7" customHeight="1" outlineLevel="1" x14ac:dyDescent="0.25">
      <c r="A1351" s="124"/>
      <c r="B1351" s="142"/>
      <c r="C1351" s="115"/>
      <c r="D1351" s="115"/>
      <c r="E1351" s="115"/>
      <c r="F1351" s="115"/>
      <c r="G1351" s="60" t="s">
        <v>130</v>
      </c>
      <c r="H1351" s="124"/>
      <c r="I1351" s="124"/>
      <c r="J1351" s="60"/>
      <c r="K1351" s="60"/>
      <c r="L1351" s="160"/>
      <c r="M1351" s="60"/>
      <c r="N1351" s="60"/>
      <c r="O1351" s="60">
        <f t="shared" si="323"/>
        <v>0</v>
      </c>
      <c r="P1351" s="60">
        <f t="shared" si="324"/>
        <v>0</v>
      </c>
    </row>
    <row r="1352" spans="1:16" s="38" customFormat="1" ht="12" customHeight="1" outlineLevel="1" thickBot="1" x14ac:dyDescent="0.3">
      <c r="A1352" s="125"/>
      <c r="B1352" s="143"/>
      <c r="C1352" s="131"/>
      <c r="D1352" s="131"/>
      <c r="E1352" s="131"/>
      <c r="F1352" s="131"/>
      <c r="G1352" s="60" t="s">
        <v>131</v>
      </c>
      <c r="H1352" s="134"/>
      <c r="I1352" s="134"/>
      <c r="J1352" s="60"/>
      <c r="K1352" s="60"/>
      <c r="L1352" s="160"/>
      <c r="M1352" s="60"/>
      <c r="N1352" s="60"/>
      <c r="O1352" s="60">
        <f t="shared" si="323"/>
        <v>0</v>
      </c>
      <c r="P1352" s="60">
        <f t="shared" si="324"/>
        <v>0</v>
      </c>
    </row>
    <row r="1353" spans="1:16" s="38" customFormat="1" ht="14.45" customHeight="1" outlineLevel="1" x14ac:dyDescent="0.25">
      <c r="A1353" s="140" t="s">
        <v>890</v>
      </c>
      <c r="B1353" s="141" t="s">
        <v>302</v>
      </c>
      <c r="C1353" s="130">
        <f>SUM(O1353:O1359)</f>
        <v>0</v>
      </c>
      <c r="D1353" s="130">
        <f>SUM(P1353:P1359)</f>
        <v>0</v>
      </c>
      <c r="E1353" s="130">
        <f t="shared" si="308"/>
        <v>0</v>
      </c>
      <c r="F1353" s="130"/>
      <c r="G1353" s="60" t="s">
        <v>125</v>
      </c>
      <c r="H1353" s="123"/>
      <c r="I1353" s="123"/>
      <c r="J1353" s="60"/>
      <c r="K1353" s="60"/>
      <c r="L1353" s="160"/>
      <c r="M1353" s="60"/>
      <c r="N1353" s="60"/>
      <c r="O1353" s="60">
        <f>N1353*J1353*K1353*M1353</f>
        <v>0</v>
      </c>
      <c r="P1353" s="60">
        <f>J1353*K1353*M1353</f>
        <v>0</v>
      </c>
    </row>
    <row r="1354" spans="1:16" s="38" customFormat="1" ht="11.45" customHeight="1" outlineLevel="1" x14ac:dyDescent="0.25">
      <c r="A1354" s="124"/>
      <c r="B1354" s="142"/>
      <c r="C1354" s="115"/>
      <c r="D1354" s="115"/>
      <c r="E1354" s="115"/>
      <c r="F1354" s="115"/>
      <c r="G1354" s="60" t="s">
        <v>126</v>
      </c>
      <c r="H1354" s="124"/>
      <c r="I1354" s="124"/>
      <c r="J1354" s="60"/>
      <c r="K1354" s="60"/>
      <c r="L1354" s="160"/>
      <c r="M1354" s="60"/>
      <c r="N1354" s="60"/>
      <c r="O1354" s="60">
        <f t="shared" ref="O1354:O1359" si="325">N1354*J1354*K1354*M1354</f>
        <v>0</v>
      </c>
      <c r="P1354" s="60">
        <f t="shared" ref="P1354:P1359" si="326">J1354*K1354*M1354</f>
        <v>0</v>
      </c>
    </row>
    <row r="1355" spans="1:16" s="38" customFormat="1" ht="10.7" customHeight="1" outlineLevel="1" x14ac:dyDescent="0.25">
      <c r="A1355" s="124"/>
      <c r="B1355" s="142"/>
      <c r="C1355" s="115"/>
      <c r="D1355" s="115"/>
      <c r="E1355" s="115"/>
      <c r="F1355" s="115"/>
      <c r="G1355" s="60" t="s">
        <v>127</v>
      </c>
      <c r="H1355" s="124"/>
      <c r="I1355" s="124"/>
      <c r="J1355" s="60"/>
      <c r="K1355" s="60"/>
      <c r="L1355" s="160"/>
      <c r="M1355" s="60"/>
      <c r="N1355" s="60"/>
      <c r="O1355" s="60">
        <f t="shared" si="325"/>
        <v>0</v>
      </c>
      <c r="P1355" s="60">
        <f t="shared" si="326"/>
        <v>0</v>
      </c>
    </row>
    <row r="1356" spans="1:16" s="38" customFormat="1" ht="10.7" customHeight="1" outlineLevel="1" x14ac:dyDescent="0.25">
      <c r="A1356" s="124"/>
      <c r="B1356" s="142"/>
      <c r="C1356" s="115"/>
      <c r="D1356" s="115"/>
      <c r="E1356" s="115"/>
      <c r="F1356" s="115"/>
      <c r="G1356" s="60" t="s">
        <v>128</v>
      </c>
      <c r="H1356" s="124"/>
      <c r="I1356" s="124"/>
      <c r="J1356" s="60"/>
      <c r="K1356" s="60"/>
      <c r="L1356" s="160"/>
      <c r="M1356" s="60"/>
      <c r="N1356" s="60"/>
      <c r="O1356" s="60">
        <f t="shared" si="325"/>
        <v>0</v>
      </c>
      <c r="P1356" s="60">
        <f t="shared" si="326"/>
        <v>0</v>
      </c>
    </row>
    <row r="1357" spans="1:16" s="38" customFormat="1" ht="10.7" customHeight="1" outlineLevel="1" x14ac:dyDescent="0.25">
      <c r="A1357" s="124"/>
      <c r="B1357" s="142"/>
      <c r="C1357" s="115"/>
      <c r="D1357" s="115"/>
      <c r="E1357" s="115"/>
      <c r="F1357" s="115"/>
      <c r="G1357" s="60" t="s">
        <v>129</v>
      </c>
      <c r="H1357" s="124"/>
      <c r="I1357" s="124"/>
      <c r="J1357" s="60"/>
      <c r="K1357" s="60"/>
      <c r="L1357" s="160"/>
      <c r="M1357" s="60"/>
      <c r="N1357" s="60"/>
      <c r="O1357" s="60">
        <f t="shared" si="325"/>
        <v>0</v>
      </c>
      <c r="P1357" s="60">
        <f t="shared" si="326"/>
        <v>0</v>
      </c>
    </row>
    <row r="1358" spans="1:16" s="38" customFormat="1" ht="10.7" customHeight="1" outlineLevel="1" x14ac:dyDescent="0.25">
      <c r="A1358" s="124"/>
      <c r="B1358" s="142"/>
      <c r="C1358" s="115"/>
      <c r="D1358" s="115"/>
      <c r="E1358" s="115"/>
      <c r="F1358" s="115"/>
      <c r="G1358" s="60" t="s">
        <v>130</v>
      </c>
      <c r="H1358" s="124"/>
      <c r="I1358" s="124"/>
      <c r="J1358" s="60"/>
      <c r="K1358" s="60"/>
      <c r="L1358" s="160"/>
      <c r="M1358" s="60"/>
      <c r="N1358" s="60"/>
      <c r="O1358" s="60">
        <f t="shared" si="325"/>
        <v>0</v>
      </c>
      <c r="P1358" s="60">
        <f t="shared" si="326"/>
        <v>0</v>
      </c>
    </row>
    <row r="1359" spans="1:16" s="38" customFormat="1" ht="12" customHeight="1" outlineLevel="1" thickBot="1" x14ac:dyDescent="0.3">
      <c r="A1359" s="125"/>
      <c r="B1359" s="143"/>
      <c r="C1359" s="131"/>
      <c r="D1359" s="131"/>
      <c r="E1359" s="131"/>
      <c r="F1359" s="131"/>
      <c r="G1359" s="60" t="s">
        <v>131</v>
      </c>
      <c r="H1359" s="134"/>
      <c r="I1359" s="134"/>
      <c r="J1359" s="60"/>
      <c r="K1359" s="60"/>
      <c r="L1359" s="160"/>
      <c r="M1359" s="60"/>
      <c r="N1359" s="60"/>
      <c r="O1359" s="60">
        <f t="shared" si="325"/>
        <v>0</v>
      </c>
      <c r="P1359" s="60">
        <f t="shared" si="326"/>
        <v>0</v>
      </c>
    </row>
    <row r="1360" spans="1:16" s="38" customFormat="1" ht="14.45" customHeight="1" outlineLevel="1" x14ac:dyDescent="0.25">
      <c r="A1360" s="140" t="s">
        <v>891</v>
      </c>
      <c r="B1360" s="141" t="s">
        <v>304</v>
      </c>
      <c r="C1360" s="130">
        <f>SUM(O1360:O1366)</f>
        <v>0</v>
      </c>
      <c r="D1360" s="130">
        <f>SUM(P1360:P1366)</f>
        <v>0</v>
      </c>
      <c r="E1360" s="130">
        <f t="shared" si="308"/>
        <v>0</v>
      </c>
      <c r="F1360" s="130"/>
      <c r="G1360" s="60" t="s">
        <v>125</v>
      </c>
      <c r="H1360" s="123"/>
      <c r="I1360" s="123"/>
      <c r="J1360" s="60"/>
      <c r="K1360" s="60"/>
      <c r="L1360" s="160"/>
      <c r="M1360" s="60"/>
      <c r="N1360" s="60"/>
      <c r="O1360" s="60">
        <f>N1360*J1360*K1360*M1360</f>
        <v>0</v>
      </c>
      <c r="P1360" s="60">
        <f>J1360*K1360*M1360</f>
        <v>0</v>
      </c>
    </row>
    <row r="1361" spans="1:16" s="38" customFormat="1" ht="11.45" customHeight="1" outlineLevel="1" x14ac:dyDescent="0.25">
      <c r="A1361" s="124"/>
      <c r="B1361" s="142"/>
      <c r="C1361" s="115"/>
      <c r="D1361" s="115"/>
      <c r="E1361" s="115"/>
      <c r="F1361" s="115"/>
      <c r="G1361" s="60" t="s">
        <v>126</v>
      </c>
      <c r="H1361" s="124"/>
      <c r="I1361" s="124"/>
      <c r="J1361" s="60"/>
      <c r="K1361" s="60"/>
      <c r="L1361" s="160"/>
      <c r="M1361" s="60"/>
      <c r="N1361" s="60"/>
      <c r="O1361" s="60">
        <f t="shared" ref="O1361:O1366" si="327">N1361*J1361*K1361*M1361</f>
        <v>0</v>
      </c>
      <c r="P1361" s="60">
        <f t="shared" ref="P1361:P1366" si="328">J1361*K1361*M1361</f>
        <v>0</v>
      </c>
    </row>
    <row r="1362" spans="1:16" s="38" customFormat="1" ht="10.7" customHeight="1" outlineLevel="1" x14ac:dyDescent="0.25">
      <c r="A1362" s="124"/>
      <c r="B1362" s="142"/>
      <c r="C1362" s="115"/>
      <c r="D1362" s="115"/>
      <c r="E1362" s="115"/>
      <c r="F1362" s="115"/>
      <c r="G1362" s="60" t="s">
        <v>127</v>
      </c>
      <c r="H1362" s="124"/>
      <c r="I1362" s="124"/>
      <c r="J1362" s="60"/>
      <c r="K1362" s="60"/>
      <c r="L1362" s="160"/>
      <c r="M1362" s="60"/>
      <c r="N1362" s="60"/>
      <c r="O1362" s="60">
        <f t="shared" si="327"/>
        <v>0</v>
      </c>
      <c r="P1362" s="60">
        <f t="shared" si="328"/>
        <v>0</v>
      </c>
    </row>
    <row r="1363" spans="1:16" s="38" customFormat="1" ht="10.7" customHeight="1" outlineLevel="1" x14ac:dyDescent="0.25">
      <c r="A1363" s="124"/>
      <c r="B1363" s="142"/>
      <c r="C1363" s="115"/>
      <c r="D1363" s="115"/>
      <c r="E1363" s="115"/>
      <c r="F1363" s="115"/>
      <c r="G1363" s="60" t="s">
        <v>128</v>
      </c>
      <c r="H1363" s="124"/>
      <c r="I1363" s="124"/>
      <c r="J1363" s="60"/>
      <c r="K1363" s="60"/>
      <c r="L1363" s="160"/>
      <c r="M1363" s="60"/>
      <c r="N1363" s="60"/>
      <c r="O1363" s="60">
        <f t="shared" si="327"/>
        <v>0</v>
      </c>
      <c r="P1363" s="60">
        <f t="shared" si="328"/>
        <v>0</v>
      </c>
    </row>
    <row r="1364" spans="1:16" s="38" customFormat="1" ht="10.7" customHeight="1" outlineLevel="1" x14ac:dyDescent="0.25">
      <c r="A1364" s="124"/>
      <c r="B1364" s="142"/>
      <c r="C1364" s="115"/>
      <c r="D1364" s="115"/>
      <c r="E1364" s="115"/>
      <c r="F1364" s="115"/>
      <c r="G1364" s="60" t="s">
        <v>129</v>
      </c>
      <c r="H1364" s="124"/>
      <c r="I1364" s="124"/>
      <c r="J1364" s="60"/>
      <c r="K1364" s="60"/>
      <c r="L1364" s="160"/>
      <c r="M1364" s="60"/>
      <c r="N1364" s="60"/>
      <c r="O1364" s="60">
        <f t="shared" si="327"/>
        <v>0</v>
      </c>
      <c r="P1364" s="60">
        <f t="shared" si="328"/>
        <v>0</v>
      </c>
    </row>
    <row r="1365" spans="1:16" s="38" customFormat="1" ht="10.7" customHeight="1" outlineLevel="1" x14ac:dyDescent="0.25">
      <c r="A1365" s="124"/>
      <c r="B1365" s="142"/>
      <c r="C1365" s="115"/>
      <c r="D1365" s="115"/>
      <c r="E1365" s="115"/>
      <c r="F1365" s="115"/>
      <c r="G1365" s="60" t="s">
        <v>130</v>
      </c>
      <c r="H1365" s="124"/>
      <c r="I1365" s="124"/>
      <c r="J1365" s="60"/>
      <c r="K1365" s="60"/>
      <c r="L1365" s="160"/>
      <c r="M1365" s="60"/>
      <c r="N1365" s="60"/>
      <c r="O1365" s="60">
        <f t="shared" si="327"/>
        <v>0</v>
      </c>
      <c r="P1365" s="60">
        <f t="shared" si="328"/>
        <v>0</v>
      </c>
    </row>
    <row r="1366" spans="1:16" s="38" customFormat="1" ht="12" customHeight="1" outlineLevel="1" thickBot="1" x14ac:dyDescent="0.3">
      <c r="A1366" s="125"/>
      <c r="B1366" s="143"/>
      <c r="C1366" s="131"/>
      <c r="D1366" s="131"/>
      <c r="E1366" s="131"/>
      <c r="F1366" s="131"/>
      <c r="G1366" s="60" t="s">
        <v>131</v>
      </c>
      <c r="H1366" s="134"/>
      <c r="I1366" s="134"/>
      <c r="J1366" s="60"/>
      <c r="K1366" s="60"/>
      <c r="L1366" s="160"/>
      <c r="M1366" s="60"/>
      <c r="N1366" s="60"/>
      <c r="O1366" s="60">
        <f t="shared" si="327"/>
        <v>0</v>
      </c>
      <c r="P1366" s="60">
        <f t="shared" si="328"/>
        <v>0</v>
      </c>
    </row>
    <row r="1367" spans="1:16" s="38" customFormat="1" ht="14.45" customHeight="1" outlineLevel="1" x14ac:dyDescent="0.25">
      <c r="A1367" s="140" t="s">
        <v>892</v>
      </c>
      <c r="B1367" s="141" t="s">
        <v>306</v>
      </c>
      <c r="C1367" s="130">
        <f>SUM(O1367:O1373)</f>
        <v>0</v>
      </c>
      <c r="D1367" s="130">
        <f>SUM(P1367:P1373)</f>
        <v>0</v>
      </c>
      <c r="E1367" s="130">
        <f t="shared" ref="E1367:E1402" si="329">D1367/8</f>
        <v>0</v>
      </c>
      <c r="F1367" s="130"/>
      <c r="G1367" s="60" t="s">
        <v>125</v>
      </c>
      <c r="H1367" s="123"/>
      <c r="I1367" s="123"/>
      <c r="J1367" s="60"/>
      <c r="K1367" s="60"/>
      <c r="L1367" s="160"/>
      <c r="M1367" s="60"/>
      <c r="N1367" s="60"/>
      <c r="O1367" s="60">
        <f>N1367*J1367*K1367*M1367</f>
        <v>0</v>
      </c>
      <c r="P1367" s="60">
        <f>J1367*K1367*M1367</f>
        <v>0</v>
      </c>
    </row>
    <row r="1368" spans="1:16" s="38" customFormat="1" ht="11.45" customHeight="1" outlineLevel="1" x14ac:dyDescent="0.25">
      <c r="A1368" s="124"/>
      <c r="B1368" s="142"/>
      <c r="C1368" s="115"/>
      <c r="D1368" s="115"/>
      <c r="E1368" s="115"/>
      <c r="F1368" s="115"/>
      <c r="G1368" s="60" t="s">
        <v>126</v>
      </c>
      <c r="H1368" s="124"/>
      <c r="I1368" s="124"/>
      <c r="J1368" s="60"/>
      <c r="K1368" s="60"/>
      <c r="L1368" s="160"/>
      <c r="M1368" s="60"/>
      <c r="N1368" s="60"/>
      <c r="O1368" s="60">
        <f t="shared" ref="O1368:O1373" si="330">N1368*J1368*K1368*M1368</f>
        <v>0</v>
      </c>
      <c r="P1368" s="60">
        <f t="shared" ref="P1368:P1373" si="331">J1368*K1368*M1368</f>
        <v>0</v>
      </c>
    </row>
    <row r="1369" spans="1:16" s="38" customFormat="1" ht="10.7" customHeight="1" outlineLevel="1" x14ac:dyDescent="0.25">
      <c r="A1369" s="124"/>
      <c r="B1369" s="142"/>
      <c r="C1369" s="115"/>
      <c r="D1369" s="115"/>
      <c r="E1369" s="115"/>
      <c r="F1369" s="115"/>
      <c r="G1369" s="60" t="s">
        <v>127</v>
      </c>
      <c r="H1369" s="124"/>
      <c r="I1369" s="124"/>
      <c r="J1369" s="60"/>
      <c r="K1369" s="60"/>
      <c r="L1369" s="160"/>
      <c r="M1369" s="60"/>
      <c r="N1369" s="60"/>
      <c r="O1369" s="60">
        <f t="shared" si="330"/>
        <v>0</v>
      </c>
      <c r="P1369" s="60">
        <f t="shared" si="331"/>
        <v>0</v>
      </c>
    </row>
    <row r="1370" spans="1:16" s="38" customFormat="1" ht="10.7" customHeight="1" outlineLevel="1" x14ac:dyDescent="0.25">
      <c r="A1370" s="124"/>
      <c r="B1370" s="142"/>
      <c r="C1370" s="115"/>
      <c r="D1370" s="115"/>
      <c r="E1370" s="115"/>
      <c r="F1370" s="115"/>
      <c r="G1370" s="60" t="s">
        <v>128</v>
      </c>
      <c r="H1370" s="124"/>
      <c r="I1370" s="124"/>
      <c r="J1370" s="60"/>
      <c r="K1370" s="60"/>
      <c r="L1370" s="160"/>
      <c r="M1370" s="60"/>
      <c r="N1370" s="60"/>
      <c r="O1370" s="60">
        <f t="shared" si="330"/>
        <v>0</v>
      </c>
      <c r="P1370" s="60">
        <f t="shared" si="331"/>
        <v>0</v>
      </c>
    </row>
    <row r="1371" spans="1:16" s="38" customFormat="1" ht="10.7" customHeight="1" outlineLevel="1" x14ac:dyDescent="0.25">
      <c r="A1371" s="124"/>
      <c r="B1371" s="142"/>
      <c r="C1371" s="115"/>
      <c r="D1371" s="115"/>
      <c r="E1371" s="115"/>
      <c r="F1371" s="115"/>
      <c r="G1371" s="60" t="s">
        <v>129</v>
      </c>
      <c r="H1371" s="124"/>
      <c r="I1371" s="124"/>
      <c r="J1371" s="60"/>
      <c r="K1371" s="60"/>
      <c r="L1371" s="160"/>
      <c r="M1371" s="60"/>
      <c r="N1371" s="60"/>
      <c r="O1371" s="60">
        <f t="shared" si="330"/>
        <v>0</v>
      </c>
      <c r="P1371" s="60">
        <f t="shared" si="331"/>
        <v>0</v>
      </c>
    </row>
    <row r="1372" spans="1:16" s="38" customFormat="1" ht="10.7" customHeight="1" outlineLevel="1" x14ac:dyDescent="0.25">
      <c r="A1372" s="124"/>
      <c r="B1372" s="142"/>
      <c r="C1372" s="115"/>
      <c r="D1372" s="115"/>
      <c r="E1372" s="115"/>
      <c r="F1372" s="115"/>
      <c r="G1372" s="60" t="s">
        <v>130</v>
      </c>
      <c r="H1372" s="124"/>
      <c r="I1372" s="124"/>
      <c r="J1372" s="60"/>
      <c r="K1372" s="60"/>
      <c r="L1372" s="160"/>
      <c r="M1372" s="60"/>
      <c r="N1372" s="60"/>
      <c r="O1372" s="60">
        <f t="shared" si="330"/>
        <v>0</v>
      </c>
      <c r="P1372" s="60">
        <f t="shared" si="331"/>
        <v>0</v>
      </c>
    </row>
    <row r="1373" spans="1:16" s="38" customFormat="1" ht="12" customHeight="1" outlineLevel="1" thickBot="1" x14ac:dyDescent="0.3">
      <c r="A1373" s="125"/>
      <c r="B1373" s="143"/>
      <c r="C1373" s="131"/>
      <c r="D1373" s="131"/>
      <c r="E1373" s="131"/>
      <c r="F1373" s="131"/>
      <c r="G1373" s="60" t="s">
        <v>131</v>
      </c>
      <c r="H1373" s="134"/>
      <c r="I1373" s="134"/>
      <c r="J1373" s="60"/>
      <c r="K1373" s="60"/>
      <c r="L1373" s="160"/>
      <c r="M1373" s="60"/>
      <c r="N1373" s="60"/>
      <c r="O1373" s="60">
        <f t="shared" si="330"/>
        <v>0</v>
      </c>
      <c r="P1373" s="60">
        <f t="shared" si="331"/>
        <v>0</v>
      </c>
    </row>
    <row r="1374" spans="1:16" s="38" customFormat="1" ht="14.45" customHeight="1" outlineLevel="1" x14ac:dyDescent="0.25">
      <c r="A1374" s="140" t="s">
        <v>893</v>
      </c>
      <c r="B1374" s="141" t="s">
        <v>308</v>
      </c>
      <c r="C1374" s="130">
        <f>SUM(O1374:O1380)</f>
        <v>0</v>
      </c>
      <c r="D1374" s="130">
        <f>SUM(P1374:P1380)</f>
        <v>0</v>
      </c>
      <c r="E1374" s="130">
        <f t="shared" si="329"/>
        <v>0</v>
      </c>
      <c r="F1374" s="130"/>
      <c r="G1374" s="60" t="s">
        <v>125</v>
      </c>
      <c r="H1374" s="123"/>
      <c r="I1374" s="123"/>
      <c r="J1374" s="60"/>
      <c r="K1374" s="60"/>
      <c r="L1374" s="160"/>
      <c r="M1374" s="60"/>
      <c r="N1374" s="60"/>
      <c r="O1374" s="60">
        <f>N1374*J1374*K1374*M1374</f>
        <v>0</v>
      </c>
      <c r="P1374" s="60">
        <f>J1374*K1374*M1374</f>
        <v>0</v>
      </c>
    </row>
    <row r="1375" spans="1:16" s="38" customFormat="1" ht="11.45" customHeight="1" outlineLevel="1" x14ac:dyDescent="0.25">
      <c r="A1375" s="124"/>
      <c r="B1375" s="142"/>
      <c r="C1375" s="115"/>
      <c r="D1375" s="115"/>
      <c r="E1375" s="115"/>
      <c r="F1375" s="115"/>
      <c r="G1375" s="60" t="s">
        <v>126</v>
      </c>
      <c r="H1375" s="124"/>
      <c r="I1375" s="124"/>
      <c r="J1375" s="60"/>
      <c r="K1375" s="60"/>
      <c r="L1375" s="160"/>
      <c r="M1375" s="60"/>
      <c r="N1375" s="60"/>
      <c r="O1375" s="60">
        <f t="shared" ref="O1375:O1380" si="332">N1375*J1375*K1375*M1375</f>
        <v>0</v>
      </c>
      <c r="P1375" s="60">
        <f t="shared" ref="P1375:P1380" si="333">J1375*K1375*M1375</f>
        <v>0</v>
      </c>
    </row>
    <row r="1376" spans="1:16" s="38" customFormat="1" ht="10.7" customHeight="1" outlineLevel="1" x14ac:dyDescent="0.25">
      <c r="A1376" s="124"/>
      <c r="B1376" s="142"/>
      <c r="C1376" s="115"/>
      <c r="D1376" s="115"/>
      <c r="E1376" s="115"/>
      <c r="F1376" s="115"/>
      <c r="G1376" s="60" t="s">
        <v>127</v>
      </c>
      <c r="H1376" s="124"/>
      <c r="I1376" s="124"/>
      <c r="J1376" s="60"/>
      <c r="K1376" s="60"/>
      <c r="L1376" s="160"/>
      <c r="M1376" s="60"/>
      <c r="N1376" s="60"/>
      <c r="O1376" s="60">
        <f t="shared" si="332"/>
        <v>0</v>
      </c>
      <c r="P1376" s="60">
        <f t="shared" si="333"/>
        <v>0</v>
      </c>
    </row>
    <row r="1377" spans="1:16" s="38" customFormat="1" ht="10.7" customHeight="1" outlineLevel="1" x14ac:dyDescent="0.25">
      <c r="A1377" s="124"/>
      <c r="B1377" s="142"/>
      <c r="C1377" s="115"/>
      <c r="D1377" s="115"/>
      <c r="E1377" s="115"/>
      <c r="F1377" s="115"/>
      <c r="G1377" s="60" t="s">
        <v>128</v>
      </c>
      <c r="H1377" s="124"/>
      <c r="I1377" s="124"/>
      <c r="J1377" s="60"/>
      <c r="K1377" s="60"/>
      <c r="L1377" s="160"/>
      <c r="M1377" s="60"/>
      <c r="N1377" s="60"/>
      <c r="O1377" s="60">
        <f t="shared" si="332"/>
        <v>0</v>
      </c>
      <c r="P1377" s="60">
        <f t="shared" si="333"/>
        <v>0</v>
      </c>
    </row>
    <row r="1378" spans="1:16" s="38" customFormat="1" ht="10.7" customHeight="1" outlineLevel="1" x14ac:dyDescent="0.25">
      <c r="A1378" s="124"/>
      <c r="B1378" s="142"/>
      <c r="C1378" s="115"/>
      <c r="D1378" s="115"/>
      <c r="E1378" s="115"/>
      <c r="F1378" s="115"/>
      <c r="G1378" s="60" t="s">
        <v>129</v>
      </c>
      <c r="H1378" s="124"/>
      <c r="I1378" s="124"/>
      <c r="J1378" s="60"/>
      <c r="K1378" s="60"/>
      <c r="L1378" s="160"/>
      <c r="M1378" s="60"/>
      <c r="N1378" s="60"/>
      <c r="O1378" s="60">
        <f t="shared" si="332"/>
        <v>0</v>
      </c>
      <c r="P1378" s="60">
        <f t="shared" si="333"/>
        <v>0</v>
      </c>
    </row>
    <row r="1379" spans="1:16" s="38" customFormat="1" ht="10.7" customHeight="1" outlineLevel="1" x14ac:dyDescent="0.25">
      <c r="A1379" s="124"/>
      <c r="B1379" s="142"/>
      <c r="C1379" s="115"/>
      <c r="D1379" s="115"/>
      <c r="E1379" s="115"/>
      <c r="F1379" s="115"/>
      <c r="G1379" s="60" t="s">
        <v>130</v>
      </c>
      <c r="H1379" s="124"/>
      <c r="I1379" s="124"/>
      <c r="J1379" s="60"/>
      <c r="K1379" s="60"/>
      <c r="L1379" s="160"/>
      <c r="M1379" s="60"/>
      <c r="N1379" s="60"/>
      <c r="O1379" s="60">
        <f t="shared" si="332"/>
        <v>0</v>
      </c>
      <c r="P1379" s="60">
        <f t="shared" si="333"/>
        <v>0</v>
      </c>
    </row>
    <row r="1380" spans="1:16" s="38" customFormat="1" ht="12" customHeight="1" outlineLevel="1" thickBot="1" x14ac:dyDescent="0.3">
      <c r="A1380" s="125"/>
      <c r="B1380" s="143"/>
      <c r="C1380" s="131"/>
      <c r="D1380" s="131"/>
      <c r="E1380" s="131"/>
      <c r="F1380" s="131"/>
      <c r="G1380" s="60" t="s">
        <v>131</v>
      </c>
      <c r="H1380" s="134"/>
      <c r="I1380" s="134"/>
      <c r="J1380" s="60"/>
      <c r="K1380" s="60"/>
      <c r="L1380" s="160"/>
      <c r="M1380" s="60"/>
      <c r="N1380" s="60"/>
      <c r="O1380" s="60">
        <f t="shared" si="332"/>
        <v>0</v>
      </c>
      <c r="P1380" s="60">
        <f t="shared" si="333"/>
        <v>0</v>
      </c>
    </row>
    <row r="1381" spans="1:16" s="38" customFormat="1" ht="14.45" customHeight="1" outlineLevel="1" x14ac:dyDescent="0.25">
      <c r="A1381" s="140" t="s">
        <v>894</v>
      </c>
      <c r="B1381" s="141" t="s">
        <v>895</v>
      </c>
      <c r="C1381" s="130">
        <f>SUM(O1381:O1387)</f>
        <v>0</v>
      </c>
      <c r="D1381" s="130">
        <f>SUM(P1381:P1387)</f>
        <v>0</v>
      </c>
      <c r="E1381" s="130">
        <f t="shared" si="329"/>
        <v>0</v>
      </c>
      <c r="F1381" s="130"/>
      <c r="G1381" s="60" t="s">
        <v>125</v>
      </c>
      <c r="H1381" s="123"/>
      <c r="I1381" s="123"/>
      <c r="J1381" s="60"/>
      <c r="K1381" s="60"/>
      <c r="L1381" s="160"/>
      <c r="M1381" s="60"/>
      <c r="N1381" s="60"/>
      <c r="O1381" s="60">
        <f>N1381*J1381*K1381*M1381</f>
        <v>0</v>
      </c>
      <c r="P1381" s="60">
        <f>J1381*K1381*M1381</f>
        <v>0</v>
      </c>
    </row>
    <row r="1382" spans="1:16" s="38" customFormat="1" ht="11.45" customHeight="1" outlineLevel="1" x14ac:dyDescent="0.25">
      <c r="A1382" s="124"/>
      <c r="B1382" s="142"/>
      <c r="C1382" s="115"/>
      <c r="D1382" s="115"/>
      <c r="E1382" s="115"/>
      <c r="F1382" s="115"/>
      <c r="G1382" s="60" t="s">
        <v>126</v>
      </c>
      <c r="H1382" s="124"/>
      <c r="I1382" s="124"/>
      <c r="J1382" s="60"/>
      <c r="K1382" s="60"/>
      <c r="L1382" s="160"/>
      <c r="M1382" s="60"/>
      <c r="N1382" s="60"/>
      <c r="O1382" s="60">
        <f t="shared" ref="O1382:O1387" si="334">N1382*J1382*K1382*M1382</f>
        <v>0</v>
      </c>
      <c r="P1382" s="60">
        <f t="shared" ref="P1382:P1387" si="335">J1382*K1382*M1382</f>
        <v>0</v>
      </c>
    </row>
    <row r="1383" spans="1:16" s="38" customFormat="1" ht="10.7" customHeight="1" outlineLevel="1" x14ac:dyDescent="0.25">
      <c r="A1383" s="124"/>
      <c r="B1383" s="142"/>
      <c r="C1383" s="115"/>
      <c r="D1383" s="115"/>
      <c r="E1383" s="115"/>
      <c r="F1383" s="115"/>
      <c r="G1383" s="60" t="s">
        <v>127</v>
      </c>
      <c r="H1383" s="124"/>
      <c r="I1383" s="124"/>
      <c r="J1383" s="60"/>
      <c r="K1383" s="60"/>
      <c r="L1383" s="160"/>
      <c r="M1383" s="60"/>
      <c r="N1383" s="60"/>
      <c r="O1383" s="60">
        <f t="shared" si="334"/>
        <v>0</v>
      </c>
      <c r="P1383" s="60">
        <f t="shared" si="335"/>
        <v>0</v>
      </c>
    </row>
    <row r="1384" spans="1:16" s="38" customFormat="1" ht="10.7" customHeight="1" outlineLevel="1" x14ac:dyDescent="0.25">
      <c r="A1384" s="124"/>
      <c r="B1384" s="142"/>
      <c r="C1384" s="115"/>
      <c r="D1384" s="115"/>
      <c r="E1384" s="115"/>
      <c r="F1384" s="115"/>
      <c r="G1384" s="60" t="s">
        <v>128</v>
      </c>
      <c r="H1384" s="124"/>
      <c r="I1384" s="124"/>
      <c r="J1384" s="60"/>
      <c r="K1384" s="60"/>
      <c r="L1384" s="160"/>
      <c r="M1384" s="60"/>
      <c r="N1384" s="60"/>
      <c r="O1384" s="60">
        <f t="shared" si="334"/>
        <v>0</v>
      </c>
      <c r="P1384" s="60">
        <f t="shared" si="335"/>
        <v>0</v>
      </c>
    </row>
    <row r="1385" spans="1:16" s="38" customFormat="1" ht="10.7" customHeight="1" outlineLevel="1" x14ac:dyDescent="0.25">
      <c r="A1385" s="124"/>
      <c r="B1385" s="142"/>
      <c r="C1385" s="115"/>
      <c r="D1385" s="115"/>
      <c r="E1385" s="115"/>
      <c r="F1385" s="115"/>
      <c r="G1385" s="60" t="s">
        <v>129</v>
      </c>
      <c r="H1385" s="124"/>
      <c r="I1385" s="124"/>
      <c r="J1385" s="60"/>
      <c r="K1385" s="60"/>
      <c r="L1385" s="160"/>
      <c r="M1385" s="60"/>
      <c r="N1385" s="60"/>
      <c r="O1385" s="60">
        <f t="shared" si="334"/>
        <v>0</v>
      </c>
      <c r="P1385" s="60">
        <f t="shared" si="335"/>
        <v>0</v>
      </c>
    </row>
    <row r="1386" spans="1:16" s="38" customFormat="1" ht="10.7" customHeight="1" outlineLevel="1" x14ac:dyDescent="0.25">
      <c r="A1386" s="124"/>
      <c r="B1386" s="142"/>
      <c r="C1386" s="115"/>
      <c r="D1386" s="115"/>
      <c r="E1386" s="115"/>
      <c r="F1386" s="115"/>
      <c r="G1386" s="60" t="s">
        <v>130</v>
      </c>
      <c r="H1386" s="124"/>
      <c r="I1386" s="124"/>
      <c r="J1386" s="60"/>
      <c r="K1386" s="60"/>
      <c r="L1386" s="160"/>
      <c r="M1386" s="60"/>
      <c r="N1386" s="60"/>
      <c r="O1386" s="60">
        <f t="shared" si="334"/>
        <v>0</v>
      </c>
      <c r="P1386" s="60">
        <f t="shared" si="335"/>
        <v>0</v>
      </c>
    </row>
    <row r="1387" spans="1:16" s="38" customFormat="1" ht="12" customHeight="1" outlineLevel="1" thickBot="1" x14ac:dyDescent="0.3">
      <c r="A1387" s="125"/>
      <c r="B1387" s="143"/>
      <c r="C1387" s="131"/>
      <c r="D1387" s="131"/>
      <c r="E1387" s="131"/>
      <c r="F1387" s="131"/>
      <c r="G1387" s="60" t="s">
        <v>131</v>
      </c>
      <c r="H1387" s="134"/>
      <c r="I1387" s="134"/>
      <c r="J1387" s="60"/>
      <c r="K1387" s="60"/>
      <c r="L1387" s="160"/>
      <c r="M1387" s="60"/>
      <c r="N1387" s="60"/>
      <c r="O1387" s="60">
        <f t="shared" si="334"/>
        <v>0</v>
      </c>
      <c r="P1387" s="60">
        <f t="shared" si="335"/>
        <v>0</v>
      </c>
    </row>
    <row r="1388" spans="1:16" s="38" customFormat="1" ht="14.45" customHeight="1" outlineLevel="1" x14ac:dyDescent="0.25">
      <c r="A1388" s="140" t="s">
        <v>896</v>
      </c>
      <c r="B1388" s="141" t="s">
        <v>897</v>
      </c>
      <c r="C1388" s="130">
        <f>SUM(O1388:O1394)</f>
        <v>0</v>
      </c>
      <c r="D1388" s="130">
        <f>SUM(P1388:P1394)</f>
        <v>0</v>
      </c>
      <c r="E1388" s="130">
        <f t="shared" si="329"/>
        <v>0</v>
      </c>
      <c r="F1388" s="130"/>
      <c r="G1388" s="60" t="s">
        <v>125</v>
      </c>
      <c r="H1388" s="123"/>
      <c r="I1388" s="123"/>
      <c r="J1388" s="60"/>
      <c r="K1388" s="60"/>
      <c r="L1388" s="160"/>
      <c r="M1388" s="60"/>
      <c r="N1388" s="60"/>
      <c r="O1388" s="60">
        <f>N1388*J1388*K1388*M1388</f>
        <v>0</v>
      </c>
      <c r="P1388" s="60">
        <f>J1388*K1388*M1388</f>
        <v>0</v>
      </c>
    </row>
    <row r="1389" spans="1:16" s="38" customFormat="1" ht="11.45" customHeight="1" outlineLevel="1" x14ac:dyDescent="0.25">
      <c r="A1389" s="124"/>
      <c r="B1389" s="142"/>
      <c r="C1389" s="115"/>
      <c r="D1389" s="115"/>
      <c r="E1389" s="115"/>
      <c r="F1389" s="115"/>
      <c r="G1389" s="60" t="s">
        <v>126</v>
      </c>
      <c r="H1389" s="124"/>
      <c r="I1389" s="124"/>
      <c r="J1389" s="60"/>
      <c r="K1389" s="60"/>
      <c r="L1389" s="160"/>
      <c r="M1389" s="60"/>
      <c r="N1389" s="60"/>
      <c r="O1389" s="60">
        <f t="shared" ref="O1389:O1394" si="336">N1389*J1389*K1389*M1389</f>
        <v>0</v>
      </c>
      <c r="P1389" s="60">
        <f t="shared" ref="P1389:P1394" si="337">J1389*K1389*M1389</f>
        <v>0</v>
      </c>
    </row>
    <row r="1390" spans="1:16" s="38" customFormat="1" ht="10.7" customHeight="1" outlineLevel="1" x14ac:dyDescent="0.25">
      <c r="A1390" s="124"/>
      <c r="B1390" s="142"/>
      <c r="C1390" s="115"/>
      <c r="D1390" s="115"/>
      <c r="E1390" s="115"/>
      <c r="F1390" s="115"/>
      <c r="G1390" s="60" t="s">
        <v>127</v>
      </c>
      <c r="H1390" s="124"/>
      <c r="I1390" s="124"/>
      <c r="J1390" s="60"/>
      <c r="K1390" s="60"/>
      <c r="L1390" s="160"/>
      <c r="M1390" s="60"/>
      <c r="N1390" s="60"/>
      <c r="O1390" s="60">
        <f t="shared" si="336"/>
        <v>0</v>
      </c>
      <c r="P1390" s="60">
        <f t="shared" si="337"/>
        <v>0</v>
      </c>
    </row>
    <row r="1391" spans="1:16" s="38" customFormat="1" ht="10.7" customHeight="1" outlineLevel="1" x14ac:dyDescent="0.25">
      <c r="A1391" s="124"/>
      <c r="B1391" s="142"/>
      <c r="C1391" s="115"/>
      <c r="D1391" s="115"/>
      <c r="E1391" s="115"/>
      <c r="F1391" s="115"/>
      <c r="G1391" s="60" t="s">
        <v>128</v>
      </c>
      <c r="H1391" s="124"/>
      <c r="I1391" s="124"/>
      <c r="J1391" s="60"/>
      <c r="K1391" s="60"/>
      <c r="L1391" s="160"/>
      <c r="M1391" s="60"/>
      <c r="N1391" s="60"/>
      <c r="O1391" s="60">
        <f t="shared" si="336"/>
        <v>0</v>
      </c>
      <c r="P1391" s="60">
        <f t="shared" si="337"/>
        <v>0</v>
      </c>
    </row>
    <row r="1392" spans="1:16" s="38" customFormat="1" ht="10.7" customHeight="1" outlineLevel="1" x14ac:dyDescent="0.25">
      <c r="A1392" s="124"/>
      <c r="B1392" s="142"/>
      <c r="C1392" s="115"/>
      <c r="D1392" s="115"/>
      <c r="E1392" s="115"/>
      <c r="F1392" s="115"/>
      <c r="G1392" s="60" t="s">
        <v>129</v>
      </c>
      <c r="H1392" s="124"/>
      <c r="I1392" s="124"/>
      <c r="J1392" s="60"/>
      <c r="K1392" s="60"/>
      <c r="L1392" s="160"/>
      <c r="M1392" s="60"/>
      <c r="N1392" s="60"/>
      <c r="O1392" s="60">
        <f t="shared" si="336"/>
        <v>0</v>
      </c>
      <c r="P1392" s="60">
        <f t="shared" si="337"/>
        <v>0</v>
      </c>
    </row>
    <row r="1393" spans="1:16" s="38" customFormat="1" ht="10.7" customHeight="1" outlineLevel="1" x14ac:dyDescent="0.25">
      <c r="A1393" s="124"/>
      <c r="B1393" s="142"/>
      <c r="C1393" s="115"/>
      <c r="D1393" s="115"/>
      <c r="E1393" s="115"/>
      <c r="F1393" s="115"/>
      <c r="G1393" s="60" t="s">
        <v>130</v>
      </c>
      <c r="H1393" s="124"/>
      <c r="I1393" s="124"/>
      <c r="J1393" s="60"/>
      <c r="K1393" s="60"/>
      <c r="L1393" s="160"/>
      <c r="M1393" s="60"/>
      <c r="N1393" s="60"/>
      <c r="O1393" s="60">
        <f t="shared" si="336"/>
        <v>0</v>
      </c>
      <c r="P1393" s="60">
        <f t="shared" si="337"/>
        <v>0</v>
      </c>
    </row>
    <row r="1394" spans="1:16" s="38" customFormat="1" ht="12" customHeight="1" outlineLevel="1" thickBot="1" x14ac:dyDescent="0.3">
      <c r="A1394" s="125"/>
      <c r="B1394" s="143"/>
      <c r="C1394" s="131"/>
      <c r="D1394" s="131"/>
      <c r="E1394" s="131"/>
      <c r="F1394" s="131"/>
      <c r="G1394" s="60" t="s">
        <v>131</v>
      </c>
      <c r="H1394" s="134"/>
      <c r="I1394" s="134"/>
      <c r="J1394" s="60"/>
      <c r="K1394" s="60"/>
      <c r="L1394" s="160"/>
      <c r="M1394" s="60"/>
      <c r="N1394" s="60"/>
      <c r="O1394" s="60">
        <f t="shared" si="336"/>
        <v>0</v>
      </c>
      <c r="P1394" s="60">
        <f t="shared" si="337"/>
        <v>0</v>
      </c>
    </row>
    <row r="1395" spans="1:16" s="38" customFormat="1" ht="14.45" customHeight="1" outlineLevel="1" x14ac:dyDescent="0.25">
      <c r="A1395" s="140" t="s">
        <v>898</v>
      </c>
      <c r="B1395" s="141" t="s">
        <v>899</v>
      </c>
      <c r="C1395" s="130">
        <f>SUM(O1395:O1401)</f>
        <v>0</v>
      </c>
      <c r="D1395" s="130">
        <f>SUM(P1395:P1401)</f>
        <v>0</v>
      </c>
      <c r="E1395" s="130">
        <f t="shared" si="329"/>
        <v>0</v>
      </c>
      <c r="F1395" s="130"/>
      <c r="G1395" s="60" t="s">
        <v>125</v>
      </c>
      <c r="H1395" s="123"/>
      <c r="I1395" s="123"/>
      <c r="J1395" s="60"/>
      <c r="K1395" s="60"/>
      <c r="L1395" s="160"/>
      <c r="M1395" s="60"/>
      <c r="N1395" s="60"/>
      <c r="O1395" s="60">
        <f>N1395*J1395*K1395*M1395</f>
        <v>0</v>
      </c>
      <c r="P1395" s="60">
        <f>J1395*K1395*M1395</f>
        <v>0</v>
      </c>
    </row>
    <row r="1396" spans="1:16" s="38" customFormat="1" ht="11.45" customHeight="1" outlineLevel="1" x14ac:dyDescent="0.25">
      <c r="A1396" s="124"/>
      <c r="B1396" s="142"/>
      <c r="C1396" s="115"/>
      <c r="D1396" s="115"/>
      <c r="E1396" s="115"/>
      <c r="F1396" s="115"/>
      <c r="G1396" s="60" t="s">
        <v>126</v>
      </c>
      <c r="H1396" s="124"/>
      <c r="I1396" s="124"/>
      <c r="J1396" s="60"/>
      <c r="K1396" s="60"/>
      <c r="L1396" s="160"/>
      <c r="M1396" s="60"/>
      <c r="N1396" s="60"/>
      <c r="O1396" s="60">
        <f t="shared" ref="O1396:O1401" si="338">N1396*J1396*K1396*M1396</f>
        <v>0</v>
      </c>
      <c r="P1396" s="60">
        <f t="shared" ref="P1396:P1401" si="339">J1396*K1396*M1396</f>
        <v>0</v>
      </c>
    </row>
    <row r="1397" spans="1:16" s="38" customFormat="1" ht="10.7" customHeight="1" outlineLevel="1" x14ac:dyDescent="0.25">
      <c r="A1397" s="124"/>
      <c r="B1397" s="142"/>
      <c r="C1397" s="115"/>
      <c r="D1397" s="115"/>
      <c r="E1397" s="115"/>
      <c r="F1397" s="115"/>
      <c r="G1397" s="60" t="s">
        <v>127</v>
      </c>
      <c r="H1397" s="124"/>
      <c r="I1397" s="124"/>
      <c r="J1397" s="60"/>
      <c r="K1397" s="60"/>
      <c r="L1397" s="160"/>
      <c r="M1397" s="60"/>
      <c r="N1397" s="60"/>
      <c r="O1397" s="60">
        <f t="shared" si="338"/>
        <v>0</v>
      </c>
      <c r="P1397" s="60">
        <f t="shared" si="339"/>
        <v>0</v>
      </c>
    </row>
    <row r="1398" spans="1:16" s="38" customFormat="1" ht="10.7" customHeight="1" outlineLevel="1" x14ac:dyDescent="0.25">
      <c r="A1398" s="124"/>
      <c r="B1398" s="142"/>
      <c r="C1398" s="115"/>
      <c r="D1398" s="115"/>
      <c r="E1398" s="115"/>
      <c r="F1398" s="115"/>
      <c r="G1398" s="60" t="s">
        <v>128</v>
      </c>
      <c r="H1398" s="124"/>
      <c r="I1398" s="124"/>
      <c r="J1398" s="60"/>
      <c r="K1398" s="60"/>
      <c r="L1398" s="160"/>
      <c r="M1398" s="60"/>
      <c r="N1398" s="60"/>
      <c r="O1398" s="60">
        <f t="shared" si="338"/>
        <v>0</v>
      </c>
      <c r="P1398" s="60">
        <f t="shared" si="339"/>
        <v>0</v>
      </c>
    </row>
    <row r="1399" spans="1:16" s="38" customFormat="1" ht="10.7" customHeight="1" outlineLevel="1" x14ac:dyDescent="0.25">
      <c r="A1399" s="124"/>
      <c r="B1399" s="142"/>
      <c r="C1399" s="115"/>
      <c r="D1399" s="115"/>
      <c r="E1399" s="115"/>
      <c r="F1399" s="115"/>
      <c r="G1399" s="60" t="s">
        <v>129</v>
      </c>
      <c r="H1399" s="124"/>
      <c r="I1399" s="124"/>
      <c r="J1399" s="60"/>
      <c r="K1399" s="60"/>
      <c r="L1399" s="160"/>
      <c r="M1399" s="60"/>
      <c r="N1399" s="60"/>
      <c r="O1399" s="60">
        <f t="shared" si="338"/>
        <v>0</v>
      </c>
      <c r="P1399" s="60">
        <f t="shared" si="339"/>
        <v>0</v>
      </c>
    </row>
    <row r="1400" spans="1:16" s="38" customFormat="1" ht="10.7" customHeight="1" outlineLevel="1" x14ac:dyDescent="0.25">
      <c r="A1400" s="124"/>
      <c r="B1400" s="142"/>
      <c r="C1400" s="115"/>
      <c r="D1400" s="115"/>
      <c r="E1400" s="115"/>
      <c r="F1400" s="115"/>
      <c r="G1400" s="60" t="s">
        <v>130</v>
      </c>
      <c r="H1400" s="124"/>
      <c r="I1400" s="124"/>
      <c r="J1400" s="60"/>
      <c r="K1400" s="60"/>
      <c r="L1400" s="160"/>
      <c r="M1400" s="60"/>
      <c r="N1400" s="60"/>
      <c r="O1400" s="60">
        <f t="shared" si="338"/>
        <v>0</v>
      </c>
      <c r="P1400" s="60">
        <f t="shared" si="339"/>
        <v>0</v>
      </c>
    </row>
    <row r="1401" spans="1:16" s="38" customFormat="1" ht="12" customHeight="1" outlineLevel="1" thickBot="1" x14ac:dyDescent="0.3">
      <c r="A1401" s="125"/>
      <c r="B1401" s="143"/>
      <c r="C1401" s="131"/>
      <c r="D1401" s="131"/>
      <c r="E1401" s="131"/>
      <c r="F1401" s="131"/>
      <c r="G1401" s="60" t="s">
        <v>131</v>
      </c>
      <c r="H1401" s="134"/>
      <c r="I1401" s="134"/>
      <c r="J1401" s="60"/>
      <c r="K1401" s="60"/>
      <c r="L1401" s="160"/>
      <c r="M1401" s="60"/>
      <c r="N1401" s="60"/>
      <c r="O1401" s="60">
        <f t="shared" si="338"/>
        <v>0</v>
      </c>
      <c r="P1401" s="60">
        <f t="shared" si="339"/>
        <v>0</v>
      </c>
    </row>
    <row r="1402" spans="1:16" s="38" customFormat="1" ht="14.45" customHeight="1" outlineLevel="1" x14ac:dyDescent="0.25">
      <c r="A1402" s="140" t="s">
        <v>900</v>
      </c>
      <c r="B1402" s="141" t="s">
        <v>901</v>
      </c>
      <c r="C1402" s="130">
        <f>SUM(O1402:O1408)</f>
        <v>0</v>
      </c>
      <c r="D1402" s="130">
        <f>SUM(P1402:P1408)</f>
        <v>0</v>
      </c>
      <c r="E1402" s="130">
        <f t="shared" si="329"/>
        <v>0</v>
      </c>
      <c r="F1402" s="130"/>
      <c r="G1402" s="60" t="s">
        <v>125</v>
      </c>
      <c r="H1402" s="123"/>
      <c r="I1402" s="123"/>
      <c r="J1402" s="60"/>
      <c r="K1402" s="60"/>
      <c r="L1402" s="160"/>
      <c r="M1402" s="60"/>
      <c r="N1402" s="60"/>
      <c r="O1402" s="60">
        <f>N1402*J1402*K1402*M1402</f>
        <v>0</v>
      </c>
      <c r="P1402" s="60">
        <f>J1402*K1402*M1402</f>
        <v>0</v>
      </c>
    </row>
    <row r="1403" spans="1:16" s="38" customFormat="1" ht="11.45" customHeight="1" outlineLevel="1" x14ac:dyDescent="0.25">
      <c r="A1403" s="124"/>
      <c r="B1403" s="142"/>
      <c r="C1403" s="115"/>
      <c r="D1403" s="115"/>
      <c r="E1403" s="115"/>
      <c r="F1403" s="115"/>
      <c r="G1403" s="60" t="s">
        <v>126</v>
      </c>
      <c r="H1403" s="124"/>
      <c r="I1403" s="124"/>
      <c r="J1403" s="60"/>
      <c r="K1403" s="60"/>
      <c r="L1403" s="160"/>
      <c r="M1403" s="60"/>
      <c r="N1403" s="60"/>
      <c r="O1403" s="60">
        <f t="shared" ref="O1403:O1408" si="340">N1403*J1403*K1403*M1403</f>
        <v>0</v>
      </c>
      <c r="P1403" s="60">
        <f t="shared" ref="P1403:P1408" si="341">J1403*K1403*M1403</f>
        <v>0</v>
      </c>
    </row>
    <row r="1404" spans="1:16" s="38" customFormat="1" ht="10.7" customHeight="1" outlineLevel="1" x14ac:dyDescent="0.25">
      <c r="A1404" s="124"/>
      <c r="B1404" s="142"/>
      <c r="C1404" s="115"/>
      <c r="D1404" s="115"/>
      <c r="E1404" s="115"/>
      <c r="F1404" s="115"/>
      <c r="G1404" s="60" t="s">
        <v>127</v>
      </c>
      <c r="H1404" s="124"/>
      <c r="I1404" s="124"/>
      <c r="J1404" s="60"/>
      <c r="K1404" s="60"/>
      <c r="L1404" s="160"/>
      <c r="M1404" s="60"/>
      <c r="N1404" s="60"/>
      <c r="O1404" s="60">
        <f t="shared" si="340"/>
        <v>0</v>
      </c>
      <c r="P1404" s="60">
        <f t="shared" si="341"/>
        <v>0</v>
      </c>
    </row>
    <row r="1405" spans="1:16" s="38" customFormat="1" ht="10.7" customHeight="1" outlineLevel="1" x14ac:dyDescent="0.25">
      <c r="A1405" s="124"/>
      <c r="B1405" s="142"/>
      <c r="C1405" s="115"/>
      <c r="D1405" s="115"/>
      <c r="E1405" s="115"/>
      <c r="F1405" s="115"/>
      <c r="G1405" s="60" t="s">
        <v>128</v>
      </c>
      <c r="H1405" s="124"/>
      <c r="I1405" s="124"/>
      <c r="J1405" s="60"/>
      <c r="K1405" s="60"/>
      <c r="L1405" s="160"/>
      <c r="M1405" s="60"/>
      <c r="N1405" s="60"/>
      <c r="O1405" s="60">
        <f t="shared" si="340"/>
        <v>0</v>
      </c>
      <c r="P1405" s="60">
        <f t="shared" si="341"/>
        <v>0</v>
      </c>
    </row>
    <row r="1406" spans="1:16" s="38" customFormat="1" ht="10.7" customHeight="1" outlineLevel="1" x14ac:dyDescent="0.25">
      <c r="A1406" s="124"/>
      <c r="B1406" s="142"/>
      <c r="C1406" s="115"/>
      <c r="D1406" s="115"/>
      <c r="E1406" s="115"/>
      <c r="F1406" s="115"/>
      <c r="G1406" s="60" t="s">
        <v>129</v>
      </c>
      <c r="H1406" s="124"/>
      <c r="I1406" s="124"/>
      <c r="J1406" s="60"/>
      <c r="K1406" s="60"/>
      <c r="L1406" s="160"/>
      <c r="M1406" s="60"/>
      <c r="N1406" s="60"/>
      <c r="O1406" s="60">
        <f t="shared" si="340"/>
        <v>0</v>
      </c>
      <c r="P1406" s="60">
        <f t="shared" si="341"/>
        <v>0</v>
      </c>
    </row>
    <row r="1407" spans="1:16" s="38" customFormat="1" ht="10.7" customHeight="1" outlineLevel="1" x14ac:dyDescent="0.25">
      <c r="A1407" s="124"/>
      <c r="B1407" s="142"/>
      <c r="C1407" s="115"/>
      <c r="D1407" s="115"/>
      <c r="E1407" s="115"/>
      <c r="F1407" s="115"/>
      <c r="G1407" s="60" t="s">
        <v>130</v>
      </c>
      <c r="H1407" s="124"/>
      <c r="I1407" s="124"/>
      <c r="J1407" s="60"/>
      <c r="K1407" s="60"/>
      <c r="L1407" s="160"/>
      <c r="M1407" s="60"/>
      <c r="N1407" s="60"/>
      <c r="O1407" s="60">
        <f t="shared" si="340"/>
        <v>0</v>
      </c>
      <c r="P1407" s="60">
        <f t="shared" si="341"/>
        <v>0</v>
      </c>
    </row>
    <row r="1408" spans="1:16" s="38" customFormat="1" ht="12" customHeight="1" outlineLevel="1" thickBot="1" x14ac:dyDescent="0.3">
      <c r="A1408" s="125"/>
      <c r="B1408" s="143"/>
      <c r="C1408" s="131"/>
      <c r="D1408" s="131"/>
      <c r="E1408" s="131"/>
      <c r="F1408" s="131"/>
      <c r="G1408" s="60" t="s">
        <v>131</v>
      </c>
      <c r="H1408" s="134"/>
      <c r="I1408" s="134"/>
      <c r="J1408" s="60"/>
      <c r="K1408" s="60"/>
      <c r="L1408" s="160"/>
      <c r="M1408" s="60"/>
      <c r="N1408" s="60"/>
      <c r="O1408" s="60">
        <f t="shared" si="340"/>
        <v>0</v>
      </c>
      <c r="P1408" s="60">
        <f t="shared" si="341"/>
        <v>0</v>
      </c>
    </row>
    <row r="1409" spans="1:16" s="39" customFormat="1" ht="15.75" x14ac:dyDescent="0.25">
      <c r="A1409" s="40" t="s">
        <v>325</v>
      </c>
      <c r="B1409" s="41" t="s">
        <v>902</v>
      </c>
      <c r="C1409" s="42">
        <f>SUM(C1410)</f>
        <v>0</v>
      </c>
      <c r="D1409" s="42">
        <f>SUM(D1410)</f>
        <v>0</v>
      </c>
      <c r="E1409" s="42">
        <f>SUM(E1410)</f>
        <v>0</v>
      </c>
      <c r="F1409" s="42"/>
      <c r="G1409" s="42"/>
      <c r="H1409" s="42"/>
      <c r="I1409" s="42"/>
      <c r="J1409" s="42"/>
      <c r="K1409" s="42"/>
      <c r="L1409" s="163"/>
      <c r="M1409" s="42"/>
      <c r="N1409" s="42"/>
      <c r="O1409" s="42"/>
      <c r="P1409" s="47"/>
    </row>
    <row r="1410" spans="1:16" s="38" customFormat="1" ht="14.45" customHeight="1" outlineLevel="1" x14ac:dyDescent="0.25">
      <c r="A1410" s="140" t="s">
        <v>327</v>
      </c>
      <c r="B1410" s="141" t="s">
        <v>903</v>
      </c>
      <c r="C1410" s="130">
        <f>SUM(O1410:O1416)</f>
        <v>0</v>
      </c>
      <c r="D1410" s="130">
        <f>SUM(P1410:P1416)</f>
        <v>0</v>
      </c>
      <c r="E1410" s="130">
        <f t="shared" ref="E1410:E1417" si="342">D1410/8</f>
        <v>0</v>
      </c>
      <c r="F1410" s="130"/>
      <c r="G1410" s="60" t="s">
        <v>125</v>
      </c>
      <c r="H1410" s="123"/>
      <c r="I1410" s="123"/>
      <c r="J1410" s="60"/>
      <c r="K1410" s="60"/>
      <c r="L1410" s="160"/>
      <c r="M1410" s="60"/>
      <c r="N1410" s="60"/>
      <c r="O1410" s="60">
        <f>N1410*J1410*K1410*M1410</f>
        <v>0</v>
      </c>
      <c r="P1410" s="60">
        <f>J1410*K1410*M1410</f>
        <v>0</v>
      </c>
    </row>
    <row r="1411" spans="1:16" s="38" customFormat="1" ht="11.45" customHeight="1" outlineLevel="1" x14ac:dyDescent="0.25">
      <c r="A1411" s="124"/>
      <c r="B1411" s="142"/>
      <c r="C1411" s="115"/>
      <c r="D1411" s="115"/>
      <c r="E1411" s="115"/>
      <c r="F1411" s="115"/>
      <c r="G1411" s="60" t="s">
        <v>126</v>
      </c>
      <c r="H1411" s="124"/>
      <c r="I1411" s="124"/>
      <c r="J1411" s="60"/>
      <c r="K1411" s="60"/>
      <c r="L1411" s="160"/>
      <c r="M1411" s="60"/>
      <c r="N1411" s="60"/>
      <c r="O1411" s="60">
        <f t="shared" ref="O1411:O1416" si="343">N1411*J1411*K1411*M1411</f>
        <v>0</v>
      </c>
      <c r="P1411" s="60">
        <f t="shared" ref="P1411:P1416" si="344">J1411*K1411*M1411</f>
        <v>0</v>
      </c>
    </row>
    <row r="1412" spans="1:16" s="38" customFormat="1" ht="10.7" customHeight="1" outlineLevel="1" x14ac:dyDescent="0.25">
      <c r="A1412" s="124"/>
      <c r="B1412" s="142"/>
      <c r="C1412" s="115"/>
      <c r="D1412" s="115"/>
      <c r="E1412" s="115"/>
      <c r="F1412" s="115"/>
      <c r="G1412" s="60" t="s">
        <v>127</v>
      </c>
      <c r="H1412" s="124"/>
      <c r="I1412" s="124"/>
      <c r="J1412" s="60"/>
      <c r="K1412" s="60"/>
      <c r="L1412" s="160"/>
      <c r="M1412" s="60"/>
      <c r="N1412" s="60"/>
      <c r="O1412" s="60">
        <f t="shared" si="343"/>
        <v>0</v>
      </c>
      <c r="P1412" s="60">
        <f t="shared" si="344"/>
        <v>0</v>
      </c>
    </row>
    <row r="1413" spans="1:16" s="38" customFormat="1" ht="10.7" customHeight="1" outlineLevel="1" x14ac:dyDescent="0.25">
      <c r="A1413" s="124"/>
      <c r="B1413" s="142"/>
      <c r="C1413" s="115"/>
      <c r="D1413" s="115"/>
      <c r="E1413" s="115"/>
      <c r="F1413" s="115"/>
      <c r="G1413" s="60" t="s">
        <v>128</v>
      </c>
      <c r="H1413" s="124"/>
      <c r="I1413" s="124"/>
      <c r="J1413" s="60"/>
      <c r="K1413" s="60"/>
      <c r="L1413" s="160"/>
      <c r="M1413" s="60"/>
      <c r="N1413" s="60"/>
      <c r="O1413" s="60">
        <f t="shared" si="343"/>
        <v>0</v>
      </c>
      <c r="P1413" s="60">
        <f t="shared" si="344"/>
        <v>0</v>
      </c>
    </row>
    <row r="1414" spans="1:16" s="38" customFormat="1" ht="10.7" customHeight="1" outlineLevel="1" x14ac:dyDescent="0.25">
      <c r="A1414" s="124"/>
      <c r="B1414" s="142"/>
      <c r="C1414" s="115"/>
      <c r="D1414" s="115"/>
      <c r="E1414" s="115"/>
      <c r="F1414" s="115"/>
      <c r="G1414" s="60" t="s">
        <v>129</v>
      </c>
      <c r="H1414" s="124"/>
      <c r="I1414" s="124"/>
      <c r="J1414" s="60"/>
      <c r="K1414" s="60"/>
      <c r="L1414" s="160"/>
      <c r="M1414" s="60"/>
      <c r="N1414" s="60"/>
      <c r="O1414" s="60">
        <f t="shared" si="343"/>
        <v>0</v>
      </c>
      <c r="P1414" s="60">
        <f t="shared" si="344"/>
        <v>0</v>
      </c>
    </row>
    <row r="1415" spans="1:16" s="38" customFormat="1" ht="10.7" customHeight="1" outlineLevel="1" x14ac:dyDescent="0.25">
      <c r="A1415" s="124"/>
      <c r="B1415" s="142"/>
      <c r="C1415" s="115"/>
      <c r="D1415" s="115"/>
      <c r="E1415" s="115"/>
      <c r="F1415" s="115"/>
      <c r="G1415" s="60" t="s">
        <v>130</v>
      </c>
      <c r="H1415" s="124"/>
      <c r="I1415" s="124"/>
      <c r="J1415" s="60"/>
      <c r="K1415" s="60"/>
      <c r="L1415" s="160"/>
      <c r="M1415" s="60"/>
      <c r="N1415" s="60"/>
      <c r="O1415" s="60">
        <f t="shared" si="343"/>
        <v>0</v>
      </c>
      <c r="P1415" s="60">
        <f t="shared" si="344"/>
        <v>0</v>
      </c>
    </row>
    <row r="1416" spans="1:16" s="38" customFormat="1" ht="12" customHeight="1" outlineLevel="1" thickBot="1" x14ac:dyDescent="0.3">
      <c r="A1416" s="125"/>
      <c r="B1416" s="143"/>
      <c r="C1416" s="131"/>
      <c r="D1416" s="131"/>
      <c r="E1416" s="131"/>
      <c r="F1416" s="131"/>
      <c r="G1416" s="60" t="s">
        <v>131</v>
      </c>
      <c r="H1416" s="134"/>
      <c r="I1416" s="134"/>
      <c r="J1416" s="60"/>
      <c r="K1416" s="60"/>
      <c r="L1416" s="160"/>
      <c r="M1416" s="60"/>
      <c r="N1416" s="60"/>
      <c r="O1416" s="60">
        <f t="shared" si="343"/>
        <v>0</v>
      </c>
      <c r="P1416" s="60">
        <f t="shared" si="344"/>
        <v>0</v>
      </c>
    </row>
    <row r="1417" spans="1:16" s="38" customFormat="1" ht="14.45" customHeight="1" outlineLevel="1" x14ac:dyDescent="0.25">
      <c r="A1417" s="140" t="s">
        <v>904</v>
      </c>
      <c r="B1417" s="141" t="s">
        <v>905</v>
      </c>
      <c r="C1417" s="130">
        <f>SUM(O1417:O1423)</f>
        <v>0</v>
      </c>
      <c r="D1417" s="130">
        <f>SUM(P1417:P1423)</f>
        <v>0</v>
      </c>
      <c r="E1417" s="130">
        <f t="shared" si="342"/>
        <v>0</v>
      </c>
      <c r="F1417" s="130"/>
      <c r="G1417" s="60" t="s">
        <v>125</v>
      </c>
      <c r="H1417" s="123"/>
      <c r="I1417" s="123"/>
      <c r="J1417" s="60"/>
      <c r="K1417" s="60"/>
      <c r="L1417" s="160"/>
      <c r="M1417" s="60"/>
      <c r="N1417" s="60"/>
      <c r="O1417" s="60">
        <f>N1417*J1417*K1417*M1417</f>
        <v>0</v>
      </c>
      <c r="P1417" s="60">
        <f>J1417*K1417*M1417</f>
        <v>0</v>
      </c>
    </row>
    <row r="1418" spans="1:16" s="38" customFormat="1" ht="11.45" customHeight="1" outlineLevel="1" x14ac:dyDescent="0.25">
      <c r="A1418" s="124"/>
      <c r="B1418" s="142"/>
      <c r="C1418" s="115"/>
      <c r="D1418" s="115"/>
      <c r="E1418" s="115"/>
      <c r="F1418" s="115"/>
      <c r="G1418" s="60" t="s">
        <v>126</v>
      </c>
      <c r="H1418" s="124"/>
      <c r="I1418" s="124"/>
      <c r="J1418" s="60"/>
      <c r="K1418" s="60"/>
      <c r="L1418" s="160"/>
      <c r="M1418" s="60"/>
      <c r="N1418" s="60"/>
      <c r="O1418" s="60">
        <f t="shared" ref="O1418:O1423" si="345">N1418*J1418*K1418*M1418</f>
        <v>0</v>
      </c>
      <c r="P1418" s="60">
        <f t="shared" ref="P1418:P1423" si="346">J1418*K1418*M1418</f>
        <v>0</v>
      </c>
    </row>
    <row r="1419" spans="1:16" s="38" customFormat="1" ht="10.7" customHeight="1" outlineLevel="1" x14ac:dyDescent="0.25">
      <c r="A1419" s="124"/>
      <c r="B1419" s="142"/>
      <c r="C1419" s="115"/>
      <c r="D1419" s="115"/>
      <c r="E1419" s="115"/>
      <c r="F1419" s="115"/>
      <c r="G1419" s="60" t="s">
        <v>127</v>
      </c>
      <c r="H1419" s="124"/>
      <c r="I1419" s="124"/>
      <c r="J1419" s="60"/>
      <c r="K1419" s="60"/>
      <c r="L1419" s="160"/>
      <c r="M1419" s="60"/>
      <c r="N1419" s="60"/>
      <c r="O1419" s="60">
        <f t="shared" si="345"/>
        <v>0</v>
      </c>
      <c r="P1419" s="60">
        <f t="shared" si="346"/>
        <v>0</v>
      </c>
    </row>
    <row r="1420" spans="1:16" s="38" customFormat="1" ht="10.7" customHeight="1" outlineLevel="1" x14ac:dyDescent="0.25">
      <c r="A1420" s="124"/>
      <c r="B1420" s="142"/>
      <c r="C1420" s="115"/>
      <c r="D1420" s="115"/>
      <c r="E1420" s="115"/>
      <c r="F1420" s="115"/>
      <c r="G1420" s="60" t="s">
        <v>128</v>
      </c>
      <c r="H1420" s="124"/>
      <c r="I1420" s="124"/>
      <c r="J1420" s="60"/>
      <c r="K1420" s="60"/>
      <c r="L1420" s="160"/>
      <c r="M1420" s="60"/>
      <c r="N1420" s="60"/>
      <c r="O1420" s="60">
        <f t="shared" si="345"/>
        <v>0</v>
      </c>
      <c r="P1420" s="60">
        <f t="shared" si="346"/>
        <v>0</v>
      </c>
    </row>
    <row r="1421" spans="1:16" s="38" customFormat="1" ht="10.7" customHeight="1" outlineLevel="1" x14ac:dyDescent="0.25">
      <c r="A1421" s="124"/>
      <c r="B1421" s="142"/>
      <c r="C1421" s="115"/>
      <c r="D1421" s="115"/>
      <c r="E1421" s="115"/>
      <c r="F1421" s="115"/>
      <c r="G1421" s="60" t="s">
        <v>129</v>
      </c>
      <c r="H1421" s="124"/>
      <c r="I1421" s="124"/>
      <c r="J1421" s="60"/>
      <c r="K1421" s="60"/>
      <c r="L1421" s="160"/>
      <c r="M1421" s="60"/>
      <c r="N1421" s="60"/>
      <c r="O1421" s="60">
        <f t="shared" si="345"/>
        <v>0</v>
      </c>
      <c r="P1421" s="60">
        <f t="shared" si="346"/>
        <v>0</v>
      </c>
    </row>
    <row r="1422" spans="1:16" s="38" customFormat="1" ht="10.7" customHeight="1" outlineLevel="1" x14ac:dyDescent="0.25">
      <c r="A1422" s="124"/>
      <c r="B1422" s="142"/>
      <c r="C1422" s="115"/>
      <c r="D1422" s="115"/>
      <c r="E1422" s="115"/>
      <c r="F1422" s="115"/>
      <c r="G1422" s="60" t="s">
        <v>130</v>
      </c>
      <c r="H1422" s="124"/>
      <c r="I1422" s="124"/>
      <c r="J1422" s="60"/>
      <c r="K1422" s="60"/>
      <c r="L1422" s="160"/>
      <c r="M1422" s="60"/>
      <c r="N1422" s="60"/>
      <c r="O1422" s="60">
        <f t="shared" si="345"/>
        <v>0</v>
      </c>
      <c r="P1422" s="60">
        <f t="shared" si="346"/>
        <v>0</v>
      </c>
    </row>
    <row r="1423" spans="1:16" s="38" customFormat="1" ht="12" customHeight="1" outlineLevel="1" thickBot="1" x14ac:dyDescent="0.3">
      <c r="A1423" s="125"/>
      <c r="B1423" s="143"/>
      <c r="C1423" s="131"/>
      <c r="D1423" s="131"/>
      <c r="E1423" s="131"/>
      <c r="F1423" s="131"/>
      <c r="G1423" s="60" t="s">
        <v>131</v>
      </c>
      <c r="H1423" s="134"/>
      <c r="I1423" s="134"/>
      <c r="J1423" s="60"/>
      <c r="K1423" s="60"/>
      <c r="L1423" s="160"/>
      <c r="M1423" s="60"/>
      <c r="N1423" s="60"/>
      <c r="O1423" s="60">
        <f t="shared" si="345"/>
        <v>0</v>
      </c>
      <c r="P1423" s="60">
        <f t="shared" si="346"/>
        <v>0</v>
      </c>
    </row>
    <row r="1424" spans="1:16" s="39" customFormat="1" ht="15.75" x14ac:dyDescent="0.25">
      <c r="A1424" s="40" t="s">
        <v>329</v>
      </c>
      <c r="B1424" s="41" t="s">
        <v>906</v>
      </c>
      <c r="C1424" s="42">
        <f>SUM(C1453:C1466)</f>
        <v>0</v>
      </c>
      <c r="D1424" s="42">
        <f>SUM(D1453:D1466)</f>
        <v>0</v>
      </c>
      <c r="E1424" s="42">
        <f>SUM(E1453:E1466)</f>
        <v>0</v>
      </c>
      <c r="F1424" s="42"/>
      <c r="G1424" s="42"/>
      <c r="H1424" s="42"/>
      <c r="I1424" s="42"/>
      <c r="J1424" s="42"/>
      <c r="K1424" s="42"/>
      <c r="L1424" s="163"/>
      <c r="M1424" s="42"/>
      <c r="N1424" s="42"/>
      <c r="O1424" s="42"/>
      <c r="P1424" s="47"/>
    </row>
    <row r="1425" spans="1:16" s="38" customFormat="1" ht="14.45" customHeight="1" outlineLevel="1" x14ac:dyDescent="0.25">
      <c r="A1425" s="140" t="s">
        <v>331</v>
      </c>
      <c r="B1425" s="141" t="s">
        <v>907</v>
      </c>
      <c r="C1425" s="130">
        <f>SUM(O1425:O1431)</f>
        <v>0</v>
      </c>
      <c r="D1425" s="130">
        <f>SUM(P1425:P1431)</f>
        <v>0</v>
      </c>
      <c r="E1425" s="130">
        <f t="shared" ref="E1425:E1467" si="347">D1425/8</f>
        <v>0</v>
      </c>
      <c r="F1425" s="130"/>
      <c r="G1425" s="60" t="s">
        <v>125</v>
      </c>
      <c r="H1425" s="123"/>
      <c r="I1425" s="123"/>
      <c r="J1425" s="60"/>
      <c r="K1425" s="60"/>
      <c r="L1425" s="160"/>
      <c r="M1425" s="60"/>
      <c r="N1425" s="60"/>
      <c r="O1425" s="60">
        <f>N1425*J1425*K1425*M1425</f>
        <v>0</v>
      </c>
      <c r="P1425" s="60">
        <f>J1425*K1425*M1425</f>
        <v>0</v>
      </c>
    </row>
    <row r="1426" spans="1:16" s="38" customFormat="1" ht="11.45" customHeight="1" outlineLevel="1" x14ac:dyDescent="0.25">
      <c r="A1426" s="124"/>
      <c r="B1426" s="142"/>
      <c r="C1426" s="115"/>
      <c r="D1426" s="115"/>
      <c r="E1426" s="115"/>
      <c r="F1426" s="115"/>
      <c r="G1426" s="60" t="s">
        <v>126</v>
      </c>
      <c r="H1426" s="124"/>
      <c r="I1426" s="124"/>
      <c r="J1426" s="60"/>
      <c r="K1426" s="60"/>
      <c r="L1426" s="160"/>
      <c r="M1426" s="60"/>
      <c r="N1426" s="60"/>
      <c r="O1426" s="60">
        <f t="shared" ref="O1426:O1431" si="348">N1426*J1426*K1426*M1426</f>
        <v>0</v>
      </c>
      <c r="P1426" s="60">
        <f t="shared" ref="P1426:P1431" si="349">J1426*K1426*M1426</f>
        <v>0</v>
      </c>
    </row>
    <row r="1427" spans="1:16" s="38" customFormat="1" ht="10.7" customHeight="1" outlineLevel="1" x14ac:dyDescent="0.25">
      <c r="A1427" s="124"/>
      <c r="B1427" s="142"/>
      <c r="C1427" s="115"/>
      <c r="D1427" s="115"/>
      <c r="E1427" s="115"/>
      <c r="F1427" s="115"/>
      <c r="G1427" s="60" t="s">
        <v>127</v>
      </c>
      <c r="H1427" s="124"/>
      <c r="I1427" s="124"/>
      <c r="J1427" s="60"/>
      <c r="K1427" s="60"/>
      <c r="L1427" s="160"/>
      <c r="M1427" s="60"/>
      <c r="N1427" s="60"/>
      <c r="O1427" s="60">
        <f t="shared" si="348"/>
        <v>0</v>
      </c>
      <c r="P1427" s="60">
        <f t="shared" si="349"/>
        <v>0</v>
      </c>
    </row>
    <row r="1428" spans="1:16" s="38" customFormat="1" ht="10.7" customHeight="1" outlineLevel="1" x14ac:dyDescent="0.25">
      <c r="A1428" s="124"/>
      <c r="B1428" s="142"/>
      <c r="C1428" s="115"/>
      <c r="D1428" s="115"/>
      <c r="E1428" s="115"/>
      <c r="F1428" s="115"/>
      <c r="G1428" s="60" t="s">
        <v>128</v>
      </c>
      <c r="H1428" s="124"/>
      <c r="I1428" s="124"/>
      <c r="J1428" s="60"/>
      <c r="K1428" s="60"/>
      <c r="L1428" s="160"/>
      <c r="M1428" s="60"/>
      <c r="N1428" s="60"/>
      <c r="O1428" s="60">
        <f t="shared" si="348"/>
        <v>0</v>
      </c>
      <c r="P1428" s="60">
        <f t="shared" si="349"/>
        <v>0</v>
      </c>
    </row>
    <row r="1429" spans="1:16" s="38" customFormat="1" ht="10.7" customHeight="1" outlineLevel="1" x14ac:dyDescent="0.25">
      <c r="A1429" s="124"/>
      <c r="B1429" s="142"/>
      <c r="C1429" s="115"/>
      <c r="D1429" s="115"/>
      <c r="E1429" s="115"/>
      <c r="F1429" s="115"/>
      <c r="G1429" s="60" t="s">
        <v>129</v>
      </c>
      <c r="H1429" s="124"/>
      <c r="I1429" s="124"/>
      <c r="J1429" s="60"/>
      <c r="K1429" s="60"/>
      <c r="L1429" s="160"/>
      <c r="M1429" s="60"/>
      <c r="N1429" s="60"/>
      <c r="O1429" s="60">
        <f t="shared" si="348"/>
        <v>0</v>
      </c>
      <c r="P1429" s="60">
        <f t="shared" si="349"/>
        <v>0</v>
      </c>
    </row>
    <row r="1430" spans="1:16" s="38" customFormat="1" ht="10.7" customHeight="1" outlineLevel="1" x14ac:dyDescent="0.25">
      <c r="A1430" s="124"/>
      <c r="B1430" s="142"/>
      <c r="C1430" s="115"/>
      <c r="D1430" s="115"/>
      <c r="E1430" s="115"/>
      <c r="F1430" s="115"/>
      <c r="G1430" s="60" t="s">
        <v>130</v>
      </c>
      <c r="H1430" s="124"/>
      <c r="I1430" s="124"/>
      <c r="J1430" s="60"/>
      <c r="K1430" s="60"/>
      <c r="L1430" s="160"/>
      <c r="M1430" s="60"/>
      <c r="N1430" s="60"/>
      <c r="O1430" s="60">
        <f t="shared" si="348"/>
        <v>0</v>
      </c>
      <c r="P1430" s="60">
        <f t="shared" si="349"/>
        <v>0</v>
      </c>
    </row>
    <row r="1431" spans="1:16" s="38" customFormat="1" ht="12" customHeight="1" outlineLevel="1" thickBot="1" x14ac:dyDescent="0.3">
      <c r="A1431" s="125"/>
      <c r="B1431" s="143"/>
      <c r="C1431" s="131"/>
      <c r="D1431" s="131"/>
      <c r="E1431" s="131"/>
      <c r="F1431" s="131"/>
      <c r="G1431" s="60" t="s">
        <v>131</v>
      </c>
      <c r="H1431" s="134"/>
      <c r="I1431" s="134"/>
      <c r="J1431" s="60"/>
      <c r="K1431" s="60"/>
      <c r="L1431" s="160"/>
      <c r="M1431" s="60"/>
      <c r="N1431" s="60"/>
      <c r="O1431" s="60">
        <f t="shared" si="348"/>
        <v>0</v>
      </c>
      <c r="P1431" s="60">
        <f t="shared" si="349"/>
        <v>0</v>
      </c>
    </row>
    <row r="1432" spans="1:16" s="38" customFormat="1" ht="14.45" customHeight="1" outlineLevel="1" x14ac:dyDescent="0.25">
      <c r="A1432" s="140" t="s">
        <v>333</v>
      </c>
      <c r="B1432" s="141" t="s">
        <v>908</v>
      </c>
      <c r="C1432" s="130">
        <f>SUM(O1432:O1438)</f>
        <v>0</v>
      </c>
      <c r="D1432" s="130">
        <f>SUM(P1432:P1438)</f>
        <v>0</v>
      </c>
      <c r="E1432" s="130">
        <f t="shared" si="347"/>
        <v>0</v>
      </c>
      <c r="F1432" s="130"/>
      <c r="G1432" s="60" t="s">
        <v>125</v>
      </c>
      <c r="H1432" s="123"/>
      <c r="I1432" s="123"/>
      <c r="J1432" s="60"/>
      <c r="K1432" s="60"/>
      <c r="L1432" s="160"/>
      <c r="M1432" s="60"/>
      <c r="N1432" s="60"/>
      <c r="O1432" s="60">
        <f>N1432*J1432*K1432*M1432</f>
        <v>0</v>
      </c>
      <c r="P1432" s="60">
        <f>J1432*K1432*M1432</f>
        <v>0</v>
      </c>
    </row>
    <row r="1433" spans="1:16" s="38" customFormat="1" ht="11.45" customHeight="1" outlineLevel="1" x14ac:dyDescent="0.25">
      <c r="A1433" s="124"/>
      <c r="B1433" s="142"/>
      <c r="C1433" s="115"/>
      <c r="D1433" s="115"/>
      <c r="E1433" s="115"/>
      <c r="F1433" s="115"/>
      <c r="G1433" s="60" t="s">
        <v>126</v>
      </c>
      <c r="H1433" s="124"/>
      <c r="I1433" s="124"/>
      <c r="J1433" s="60"/>
      <c r="K1433" s="60"/>
      <c r="L1433" s="160"/>
      <c r="M1433" s="60"/>
      <c r="N1433" s="60"/>
      <c r="O1433" s="60">
        <f t="shared" ref="O1433:O1438" si="350">N1433*J1433*K1433*M1433</f>
        <v>0</v>
      </c>
      <c r="P1433" s="60">
        <f t="shared" ref="P1433:P1438" si="351">J1433*K1433*M1433</f>
        <v>0</v>
      </c>
    </row>
    <row r="1434" spans="1:16" s="38" customFormat="1" ht="10.7" customHeight="1" outlineLevel="1" x14ac:dyDescent="0.25">
      <c r="A1434" s="124"/>
      <c r="B1434" s="142"/>
      <c r="C1434" s="115"/>
      <c r="D1434" s="115"/>
      <c r="E1434" s="115"/>
      <c r="F1434" s="115"/>
      <c r="G1434" s="60" t="s">
        <v>127</v>
      </c>
      <c r="H1434" s="124"/>
      <c r="I1434" s="124"/>
      <c r="J1434" s="60"/>
      <c r="K1434" s="60"/>
      <c r="L1434" s="160"/>
      <c r="M1434" s="60"/>
      <c r="N1434" s="60"/>
      <c r="O1434" s="60">
        <f t="shared" si="350"/>
        <v>0</v>
      </c>
      <c r="P1434" s="60">
        <f t="shared" si="351"/>
        <v>0</v>
      </c>
    </row>
    <row r="1435" spans="1:16" s="38" customFormat="1" ht="10.7" customHeight="1" outlineLevel="1" x14ac:dyDescent="0.25">
      <c r="A1435" s="124"/>
      <c r="B1435" s="142"/>
      <c r="C1435" s="115"/>
      <c r="D1435" s="115"/>
      <c r="E1435" s="115"/>
      <c r="F1435" s="115"/>
      <c r="G1435" s="60" t="s">
        <v>128</v>
      </c>
      <c r="H1435" s="124"/>
      <c r="I1435" s="124"/>
      <c r="J1435" s="60"/>
      <c r="K1435" s="60"/>
      <c r="L1435" s="160"/>
      <c r="M1435" s="60"/>
      <c r="N1435" s="60"/>
      <c r="O1435" s="60">
        <f t="shared" si="350"/>
        <v>0</v>
      </c>
      <c r="P1435" s="60">
        <f t="shared" si="351"/>
        <v>0</v>
      </c>
    </row>
    <row r="1436" spans="1:16" s="38" customFormat="1" ht="10.7" customHeight="1" outlineLevel="1" x14ac:dyDescent="0.25">
      <c r="A1436" s="124"/>
      <c r="B1436" s="142"/>
      <c r="C1436" s="115"/>
      <c r="D1436" s="115"/>
      <c r="E1436" s="115"/>
      <c r="F1436" s="115"/>
      <c r="G1436" s="60" t="s">
        <v>129</v>
      </c>
      <c r="H1436" s="124"/>
      <c r="I1436" s="124"/>
      <c r="J1436" s="60"/>
      <c r="K1436" s="60"/>
      <c r="L1436" s="160"/>
      <c r="M1436" s="60"/>
      <c r="N1436" s="60"/>
      <c r="O1436" s="60">
        <f t="shared" si="350"/>
        <v>0</v>
      </c>
      <c r="P1436" s="60">
        <f t="shared" si="351"/>
        <v>0</v>
      </c>
    </row>
    <row r="1437" spans="1:16" s="38" customFormat="1" ht="10.7" customHeight="1" outlineLevel="1" x14ac:dyDescent="0.25">
      <c r="A1437" s="124"/>
      <c r="B1437" s="142"/>
      <c r="C1437" s="115"/>
      <c r="D1437" s="115"/>
      <c r="E1437" s="115"/>
      <c r="F1437" s="115"/>
      <c r="G1437" s="60" t="s">
        <v>130</v>
      </c>
      <c r="H1437" s="124"/>
      <c r="I1437" s="124"/>
      <c r="J1437" s="60"/>
      <c r="K1437" s="60"/>
      <c r="L1437" s="160"/>
      <c r="M1437" s="60"/>
      <c r="N1437" s="60"/>
      <c r="O1437" s="60">
        <f t="shared" si="350"/>
        <v>0</v>
      </c>
      <c r="P1437" s="60">
        <f t="shared" si="351"/>
        <v>0</v>
      </c>
    </row>
    <row r="1438" spans="1:16" s="38" customFormat="1" ht="12" customHeight="1" outlineLevel="1" thickBot="1" x14ac:dyDescent="0.3">
      <c r="A1438" s="125"/>
      <c r="B1438" s="143"/>
      <c r="C1438" s="131"/>
      <c r="D1438" s="131"/>
      <c r="E1438" s="131"/>
      <c r="F1438" s="131"/>
      <c r="G1438" s="60" t="s">
        <v>131</v>
      </c>
      <c r="H1438" s="134"/>
      <c r="I1438" s="134"/>
      <c r="J1438" s="60"/>
      <c r="K1438" s="60"/>
      <c r="L1438" s="160"/>
      <c r="M1438" s="60"/>
      <c r="N1438" s="60"/>
      <c r="O1438" s="60">
        <f t="shared" si="350"/>
        <v>0</v>
      </c>
      <c r="P1438" s="60">
        <f t="shared" si="351"/>
        <v>0</v>
      </c>
    </row>
    <row r="1439" spans="1:16" s="38" customFormat="1" ht="14.45" customHeight="1" outlineLevel="1" x14ac:dyDescent="0.25">
      <c r="A1439" s="140" t="s">
        <v>909</v>
      </c>
      <c r="B1439" s="141" t="s">
        <v>910</v>
      </c>
      <c r="C1439" s="130">
        <f>SUM(O1439:O1445)</f>
        <v>0</v>
      </c>
      <c r="D1439" s="130">
        <f>SUM(P1439:P1445)</f>
        <v>0</v>
      </c>
      <c r="E1439" s="130">
        <f t="shared" si="347"/>
        <v>0</v>
      </c>
      <c r="F1439" s="130"/>
      <c r="G1439" s="60" t="s">
        <v>125</v>
      </c>
      <c r="H1439" s="123"/>
      <c r="I1439" s="123"/>
      <c r="J1439" s="60"/>
      <c r="K1439" s="60"/>
      <c r="L1439" s="160"/>
      <c r="M1439" s="60"/>
      <c r="N1439" s="60"/>
      <c r="O1439" s="60">
        <f>N1439*J1439*K1439*M1439</f>
        <v>0</v>
      </c>
      <c r="P1439" s="60">
        <f>J1439*K1439*M1439</f>
        <v>0</v>
      </c>
    </row>
    <row r="1440" spans="1:16" s="38" customFormat="1" ht="11.45" customHeight="1" outlineLevel="1" x14ac:dyDescent="0.25">
      <c r="A1440" s="124"/>
      <c r="B1440" s="142"/>
      <c r="C1440" s="115"/>
      <c r="D1440" s="115"/>
      <c r="E1440" s="115"/>
      <c r="F1440" s="115"/>
      <c r="G1440" s="60" t="s">
        <v>126</v>
      </c>
      <c r="H1440" s="124"/>
      <c r="I1440" s="124"/>
      <c r="J1440" s="60"/>
      <c r="K1440" s="60"/>
      <c r="L1440" s="160"/>
      <c r="M1440" s="60"/>
      <c r="N1440" s="60"/>
      <c r="O1440" s="60">
        <f t="shared" ref="O1440:O1445" si="352">N1440*J1440*K1440*M1440</f>
        <v>0</v>
      </c>
      <c r="P1440" s="60">
        <f t="shared" ref="P1440:P1445" si="353">J1440*K1440*M1440</f>
        <v>0</v>
      </c>
    </row>
    <row r="1441" spans="1:16" s="38" customFormat="1" ht="10.7" customHeight="1" outlineLevel="1" x14ac:dyDescent="0.25">
      <c r="A1441" s="124"/>
      <c r="B1441" s="142"/>
      <c r="C1441" s="115"/>
      <c r="D1441" s="115"/>
      <c r="E1441" s="115"/>
      <c r="F1441" s="115"/>
      <c r="G1441" s="60" t="s">
        <v>127</v>
      </c>
      <c r="H1441" s="124"/>
      <c r="I1441" s="124"/>
      <c r="J1441" s="60"/>
      <c r="K1441" s="60"/>
      <c r="L1441" s="160"/>
      <c r="M1441" s="60"/>
      <c r="N1441" s="60"/>
      <c r="O1441" s="60">
        <f t="shared" si="352"/>
        <v>0</v>
      </c>
      <c r="P1441" s="60">
        <f t="shared" si="353"/>
        <v>0</v>
      </c>
    </row>
    <row r="1442" spans="1:16" s="38" customFormat="1" ht="10.7" customHeight="1" outlineLevel="1" x14ac:dyDescent="0.25">
      <c r="A1442" s="124"/>
      <c r="B1442" s="142"/>
      <c r="C1442" s="115"/>
      <c r="D1442" s="115"/>
      <c r="E1442" s="115"/>
      <c r="F1442" s="115"/>
      <c r="G1442" s="60" t="s">
        <v>128</v>
      </c>
      <c r="H1442" s="124"/>
      <c r="I1442" s="124"/>
      <c r="J1442" s="60"/>
      <c r="K1442" s="60"/>
      <c r="L1442" s="160"/>
      <c r="M1442" s="60"/>
      <c r="N1442" s="60"/>
      <c r="O1442" s="60">
        <f t="shared" si="352"/>
        <v>0</v>
      </c>
      <c r="P1442" s="60">
        <f t="shared" si="353"/>
        <v>0</v>
      </c>
    </row>
    <row r="1443" spans="1:16" s="38" customFormat="1" ht="10.7" customHeight="1" outlineLevel="1" x14ac:dyDescent="0.25">
      <c r="A1443" s="124"/>
      <c r="B1443" s="142"/>
      <c r="C1443" s="115"/>
      <c r="D1443" s="115"/>
      <c r="E1443" s="115"/>
      <c r="F1443" s="115"/>
      <c r="G1443" s="60" t="s">
        <v>129</v>
      </c>
      <c r="H1443" s="124"/>
      <c r="I1443" s="124"/>
      <c r="J1443" s="60"/>
      <c r="K1443" s="60"/>
      <c r="L1443" s="160"/>
      <c r="M1443" s="60"/>
      <c r="N1443" s="60"/>
      <c r="O1443" s="60">
        <f t="shared" si="352"/>
        <v>0</v>
      </c>
      <c r="P1443" s="60">
        <f t="shared" si="353"/>
        <v>0</v>
      </c>
    </row>
    <row r="1444" spans="1:16" s="38" customFormat="1" ht="10.7" customHeight="1" outlineLevel="1" x14ac:dyDescent="0.25">
      <c r="A1444" s="124"/>
      <c r="B1444" s="142"/>
      <c r="C1444" s="115"/>
      <c r="D1444" s="115"/>
      <c r="E1444" s="115"/>
      <c r="F1444" s="115"/>
      <c r="G1444" s="60" t="s">
        <v>130</v>
      </c>
      <c r="H1444" s="124"/>
      <c r="I1444" s="124"/>
      <c r="J1444" s="60"/>
      <c r="K1444" s="60"/>
      <c r="L1444" s="160"/>
      <c r="M1444" s="60"/>
      <c r="N1444" s="60"/>
      <c r="O1444" s="60">
        <f t="shared" si="352"/>
        <v>0</v>
      </c>
      <c r="P1444" s="60">
        <f t="shared" si="353"/>
        <v>0</v>
      </c>
    </row>
    <row r="1445" spans="1:16" s="38" customFormat="1" ht="12" customHeight="1" outlineLevel="1" thickBot="1" x14ac:dyDescent="0.3">
      <c r="A1445" s="125"/>
      <c r="B1445" s="143"/>
      <c r="C1445" s="131"/>
      <c r="D1445" s="131"/>
      <c r="E1445" s="131"/>
      <c r="F1445" s="131"/>
      <c r="G1445" s="60" t="s">
        <v>131</v>
      </c>
      <c r="H1445" s="134"/>
      <c r="I1445" s="134"/>
      <c r="J1445" s="60"/>
      <c r="K1445" s="60"/>
      <c r="L1445" s="160"/>
      <c r="M1445" s="60"/>
      <c r="N1445" s="60"/>
      <c r="O1445" s="60">
        <f t="shared" si="352"/>
        <v>0</v>
      </c>
      <c r="P1445" s="60">
        <f t="shared" si="353"/>
        <v>0</v>
      </c>
    </row>
    <row r="1446" spans="1:16" s="38" customFormat="1" ht="14.45" customHeight="1" outlineLevel="1" x14ac:dyDescent="0.25">
      <c r="A1446" s="140" t="s">
        <v>911</v>
      </c>
      <c r="B1446" s="141" t="s">
        <v>912</v>
      </c>
      <c r="C1446" s="130">
        <f>SUM(O1446:O1452)</f>
        <v>0</v>
      </c>
      <c r="D1446" s="130">
        <f>SUM(P1446:P1452)</f>
        <v>0</v>
      </c>
      <c r="E1446" s="130">
        <f t="shared" si="347"/>
        <v>0</v>
      </c>
      <c r="F1446" s="130"/>
      <c r="G1446" s="60" t="s">
        <v>125</v>
      </c>
      <c r="H1446" s="123"/>
      <c r="I1446" s="123"/>
      <c r="J1446" s="60"/>
      <c r="K1446" s="60"/>
      <c r="L1446" s="160"/>
      <c r="M1446" s="60"/>
      <c r="N1446" s="60"/>
      <c r="O1446" s="60">
        <f>N1446*J1446*K1446*M1446</f>
        <v>0</v>
      </c>
      <c r="P1446" s="60">
        <f>J1446*K1446*M1446</f>
        <v>0</v>
      </c>
    </row>
    <row r="1447" spans="1:16" s="38" customFormat="1" ht="11.45" customHeight="1" outlineLevel="1" x14ac:dyDescent="0.25">
      <c r="A1447" s="124"/>
      <c r="B1447" s="142"/>
      <c r="C1447" s="115"/>
      <c r="D1447" s="115"/>
      <c r="E1447" s="115"/>
      <c r="F1447" s="115"/>
      <c r="G1447" s="60" t="s">
        <v>126</v>
      </c>
      <c r="H1447" s="124"/>
      <c r="I1447" s="124"/>
      <c r="J1447" s="60"/>
      <c r="K1447" s="60"/>
      <c r="L1447" s="160"/>
      <c r="M1447" s="60"/>
      <c r="N1447" s="60"/>
      <c r="O1447" s="60">
        <f t="shared" ref="O1447:O1452" si="354">N1447*J1447*K1447*M1447</f>
        <v>0</v>
      </c>
      <c r="P1447" s="60">
        <f t="shared" ref="P1447:P1452" si="355">J1447*K1447*M1447</f>
        <v>0</v>
      </c>
    </row>
    <row r="1448" spans="1:16" s="38" customFormat="1" ht="10.7" customHeight="1" outlineLevel="1" x14ac:dyDescent="0.25">
      <c r="A1448" s="124"/>
      <c r="B1448" s="142"/>
      <c r="C1448" s="115"/>
      <c r="D1448" s="115"/>
      <c r="E1448" s="115"/>
      <c r="F1448" s="115"/>
      <c r="G1448" s="60" t="s">
        <v>127</v>
      </c>
      <c r="H1448" s="124"/>
      <c r="I1448" s="124"/>
      <c r="J1448" s="60"/>
      <c r="K1448" s="60"/>
      <c r="L1448" s="160"/>
      <c r="M1448" s="60"/>
      <c r="N1448" s="60"/>
      <c r="O1448" s="60">
        <f t="shared" si="354"/>
        <v>0</v>
      </c>
      <c r="P1448" s="60">
        <f t="shared" si="355"/>
        <v>0</v>
      </c>
    </row>
    <row r="1449" spans="1:16" s="38" customFormat="1" ht="10.7" customHeight="1" outlineLevel="1" x14ac:dyDescent="0.25">
      <c r="A1449" s="124"/>
      <c r="B1449" s="142"/>
      <c r="C1449" s="115"/>
      <c r="D1449" s="115"/>
      <c r="E1449" s="115"/>
      <c r="F1449" s="115"/>
      <c r="G1449" s="60" t="s">
        <v>128</v>
      </c>
      <c r="H1449" s="124"/>
      <c r="I1449" s="124"/>
      <c r="J1449" s="60"/>
      <c r="K1449" s="60"/>
      <c r="L1449" s="160"/>
      <c r="M1449" s="60"/>
      <c r="N1449" s="60"/>
      <c r="O1449" s="60">
        <f t="shared" si="354"/>
        <v>0</v>
      </c>
      <c r="P1449" s="60">
        <f t="shared" si="355"/>
        <v>0</v>
      </c>
    </row>
    <row r="1450" spans="1:16" s="38" customFormat="1" ht="10.7" customHeight="1" outlineLevel="1" x14ac:dyDescent="0.25">
      <c r="A1450" s="124"/>
      <c r="B1450" s="142"/>
      <c r="C1450" s="115"/>
      <c r="D1450" s="115"/>
      <c r="E1450" s="115"/>
      <c r="F1450" s="115"/>
      <c r="G1450" s="60" t="s">
        <v>129</v>
      </c>
      <c r="H1450" s="124"/>
      <c r="I1450" s="124"/>
      <c r="J1450" s="60"/>
      <c r="K1450" s="60"/>
      <c r="L1450" s="160"/>
      <c r="M1450" s="60"/>
      <c r="N1450" s="60"/>
      <c r="O1450" s="60">
        <f t="shared" si="354"/>
        <v>0</v>
      </c>
      <c r="P1450" s="60">
        <f t="shared" si="355"/>
        <v>0</v>
      </c>
    </row>
    <row r="1451" spans="1:16" s="38" customFormat="1" ht="10.7" customHeight="1" outlineLevel="1" x14ac:dyDescent="0.25">
      <c r="A1451" s="124"/>
      <c r="B1451" s="142"/>
      <c r="C1451" s="115"/>
      <c r="D1451" s="115"/>
      <c r="E1451" s="115"/>
      <c r="F1451" s="115"/>
      <c r="G1451" s="60" t="s">
        <v>130</v>
      </c>
      <c r="H1451" s="124"/>
      <c r="I1451" s="124"/>
      <c r="J1451" s="60"/>
      <c r="K1451" s="60"/>
      <c r="L1451" s="160"/>
      <c r="M1451" s="60"/>
      <c r="N1451" s="60"/>
      <c r="O1451" s="60">
        <f t="shared" si="354"/>
        <v>0</v>
      </c>
      <c r="P1451" s="60">
        <f t="shared" si="355"/>
        <v>0</v>
      </c>
    </row>
    <row r="1452" spans="1:16" s="38" customFormat="1" ht="12" customHeight="1" outlineLevel="1" thickBot="1" x14ac:dyDescent="0.3">
      <c r="A1452" s="125"/>
      <c r="B1452" s="143"/>
      <c r="C1452" s="131"/>
      <c r="D1452" s="131"/>
      <c r="E1452" s="131"/>
      <c r="F1452" s="131"/>
      <c r="G1452" s="60" t="s">
        <v>131</v>
      </c>
      <c r="H1452" s="134"/>
      <c r="I1452" s="134"/>
      <c r="J1452" s="60"/>
      <c r="K1452" s="60"/>
      <c r="L1452" s="160"/>
      <c r="M1452" s="60"/>
      <c r="N1452" s="60"/>
      <c r="O1452" s="60">
        <f t="shared" si="354"/>
        <v>0</v>
      </c>
      <c r="P1452" s="60">
        <f t="shared" si="355"/>
        <v>0</v>
      </c>
    </row>
    <row r="1453" spans="1:16" s="38" customFormat="1" ht="14.45" customHeight="1" outlineLevel="1" x14ac:dyDescent="0.25">
      <c r="A1453" s="140" t="s">
        <v>913</v>
      </c>
      <c r="B1453" s="141" t="s">
        <v>914</v>
      </c>
      <c r="C1453" s="130">
        <f>SUM(O1453:O1459)</f>
        <v>0</v>
      </c>
      <c r="D1453" s="130">
        <f>SUM(P1453:P1459)</f>
        <v>0</v>
      </c>
      <c r="E1453" s="130">
        <f t="shared" si="347"/>
        <v>0</v>
      </c>
      <c r="F1453" s="130"/>
      <c r="G1453" s="60" t="s">
        <v>125</v>
      </c>
      <c r="H1453" s="123"/>
      <c r="I1453" s="123"/>
      <c r="J1453" s="60"/>
      <c r="K1453" s="60"/>
      <c r="L1453" s="160"/>
      <c r="M1453" s="60"/>
      <c r="N1453" s="60"/>
      <c r="O1453" s="60">
        <f>N1453*J1453*K1453*M1453</f>
        <v>0</v>
      </c>
      <c r="P1453" s="60">
        <f>J1453*K1453*M1453</f>
        <v>0</v>
      </c>
    </row>
    <row r="1454" spans="1:16" s="38" customFormat="1" ht="11.45" customHeight="1" outlineLevel="1" x14ac:dyDescent="0.25">
      <c r="A1454" s="124"/>
      <c r="B1454" s="142"/>
      <c r="C1454" s="115"/>
      <c r="D1454" s="115"/>
      <c r="E1454" s="115"/>
      <c r="F1454" s="115"/>
      <c r="G1454" s="60" t="s">
        <v>126</v>
      </c>
      <c r="H1454" s="124"/>
      <c r="I1454" s="124"/>
      <c r="J1454" s="60"/>
      <c r="K1454" s="60"/>
      <c r="L1454" s="160"/>
      <c r="M1454" s="60"/>
      <c r="N1454" s="60"/>
      <c r="O1454" s="60">
        <f t="shared" ref="O1454:O1459" si="356">N1454*J1454*K1454*M1454</f>
        <v>0</v>
      </c>
      <c r="P1454" s="60">
        <f t="shared" ref="P1454:P1459" si="357">J1454*K1454*M1454</f>
        <v>0</v>
      </c>
    </row>
    <row r="1455" spans="1:16" s="38" customFormat="1" ht="10.7" customHeight="1" outlineLevel="1" x14ac:dyDescent="0.25">
      <c r="A1455" s="124"/>
      <c r="B1455" s="142"/>
      <c r="C1455" s="115"/>
      <c r="D1455" s="115"/>
      <c r="E1455" s="115"/>
      <c r="F1455" s="115"/>
      <c r="G1455" s="60" t="s">
        <v>127</v>
      </c>
      <c r="H1455" s="124"/>
      <c r="I1455" s="124"/>
      <c r="J1455" s="60"/>
      <c r="K1455" s="60"/>
      <c r="L1455" s="160"/>
      <c r="M1455" s="60"/>
      <c r="N1455" s="60"/>
      <c r="O1455" s="60">
        <f t="shared" si="356"/>
        <v>0</v>
      </c>
      <c r="P1455" s="60">
        <f t="shared" si="357"/>
        <v>0</v>
      </c>
    </row>
    <row r="1456" spans="1:16" s="38" customFormat="1" ht="10.7" customHeight="1" outlineLevel="1" x14ac:dyDescent="0.25">
      <c r="A1456" s="124"/>
      <c r="B1456" s="142"/>
      <c r="C1456" s="115"/>
      <c r="D1456" s="115"/>
      <c r="E1456" s="115"/>
      <c r="F1456" s="115"/>
      <c r="G1456" s="60" t="s">
        <v>128</v>
      </c>
      <c r="H1456" s="124"/>
      <c r="I1456" s="124"/>
      <c r="J1456" s="60"/>
      <c r="K1456" s="60"/>
      <c r="L1456" s="160"/>
      <c r="M1456" s="60"/>
      <c r="N1456" s="60"/>
      <c r="O1456" s="60">
        <f t="shared" si="356"/>
        <v>0</v>
      </c>
      <c r="P1456" s="60">
        <f t="shared" si="357"/>
        <v>0</v>
      </c>
    </row>
    <row r="1457" spans="1:16" s="38" customFormat="1" ht="10.7" customHeight="1" outlineLevel="1" x14ac:dyDescent="0.25">
      <c r="A1457" s="124"/>
      <c r="B1457" s="142"/>
      <c r="C1457" s="115"/>
      <c r="D1457" s="115"/>
      <c r="E1457" s="115"/>
      <c r="F1457" s="115"/>
      <c r="G1457" s="60" t="s">
        <v>129</v>
      </c>
      <c r="H1457" s="124"/>
      <c r="I1457" s="124"/>
      <c r="J1457" s="60"/>
      <c r="K1457" s="60"/>
      <c r="L1457" s="160"/>
      <c r="M1457" s="60"/>
      <c r="N1457" s="60"/>
      <c r="O1457" s="60">
        <f t="shared" si="356"/>
        <v>0</v>
      </c>
      <c r="P1457" s="60">
        <f t="shared" si="357"/>
        <v>0</v>
      </c>
    </row>
    <row r="1458" spans="1:16" s="38" customFormat="1" ht="10.7" customHeight="1" outlineLevel="1" x14ac:dyDescent="0.25">
      <c r="A1458" s="124"/>
      <c r="B1458" s="142"/>
      <c r="C1458" s="115"/>
      <c r="D1458" s="115"/>
      <c r="E1458" s="115"/>
      <c r="F1458" s="115"/>
      <c r="G1458" s="60" t="s">
        <v>130</v>
      </c>
      <c r="H1458" s="124"/>
      <c r="I1458" s="124"/>
      <c r="J1458" s="60"/>
      <c r="K1458" s="60"/>
      <c r="L1458" s="160"/>
      <c r="M1458" s="60"/>
      <c r="N1458" s="60"/>
      <c r="O1458" s="60">
        <f t="shared" si="356"/>
        <v>0</v>
      </c>
      <c r="P1458" s="60">
        <f t="shared" si="357"/>
        <v>0</v>
      </c>
    </row>
    <row r="1459" spans="1:16" s="38" customFormat="1" ht="12" customHeight="1" outlineLevel="1" thickBot="1" x14ac:dyDescent="0.3">
      <c r="A1459" s="125"/>
      <c r="B1459" s="143"/>
      <c r="C1459" s="131"/>
      <c r="D1459" s="131"/>
      <c r="E1459" s="131"/>
      <c r="F1459" s="131"/>
      <c r="G1459" s="60" t="s">
        <v>131</v>
      </c>
      <c r="H1459" s="134"/>
      <c r="I1459" s="134"/>
      <c r="J1459" s="60"/>
      <c r="K1459" s="60"/>
      <c r="L1459" s="160"/>
      <c r="M1459" s="60"/>
      <c r="N1459" s="60"/>
      <c r="O1459" s="60">
        <f t="shared" si="356"/>
        <v>0</v>
      </c>
      <c r="P1459" s="60">
        <f t="shared" si="357"/>
        <v>0</v>
      </c>
    </row>
    <row r="1460" spans="1:16" s="38" customFormat="1" ht="14.45" customHeight="1" outlineLevel="1" x14ac:dyDescent="0.25">
      <c r="A1460" s="140" t="s">
        <v>915</v>
      </c>
      <c r="B1460" s="141" t="s">
        <v>916</v>
      </c>
      <c r="C1460" s="130">
        <f>SUM(O1460:O1466)</f>
        <v>0</v>
      </c>
      <c r="D1460" s="130">
        <f>SUM(P1460:P1466)</f>
        <v>0</v>
      </c>
      <c r="E1460" s="130">
        <f t="shared" si="347"/>
        <v>0</v>
      </c>
      <c r="F1460" s="130"/>
      <c r="G1460" s="60" t="s">
        <v>125</v>
      </c>
      <c r="H1460" s="123"/>
      <c r="I1460" s="123"/>
      <c r="J1460" s="60"/>
      <c r="K1460" s="60"/>
      <c r="L1460" s="160"/>
      <c r="M1460" s="60"/>
      <c r="N1460" s="60"/>
      <c r="O1460" s="60">
        <f>N1460*J1460*K1460*M1460</f>
        <v>0</v>
      </c>
      <c r="P1460" s="60">
        <f>J1460*K1460*M1460</f>
        <v>0</v>
      </c>
    </row>
    <row r="1461" spans="1:16" s="38" customFormat="1" ht="11.45" customHeight="1" outlineLevel="1" x14ac:dyDescent="0.25">
      <c r="A1461" s="124"/>
      <c r="B1461" s="142"/>
      <c r="C1461" s="115"/>
      <c r="D1461" s="115"/>
      <c r="E1461" s="115"/>
      <c r="F1461" s="115"/>
      <c r="G1461" s="60" t="s">
        <v>126</v>
      </c>
      <c r="H1461" s="124"/>
      <c r="I1461" s="124"/>
      <c r="J1461" s="60"/>
      <c r="K1461" s="60"/>
      <c r="L1461" s="160"/>
      <c r="M1461" s="60"/>
      <c r="N1461" s="60"/>
      <c r="O1461" s="60">
        <f t="shared" ref="O1461:O1466" si="358">N1461*J1461*K1461*M1461</f>
        <v>0</v>
      </c>
      <c r="P1461" s="60">
        <f t="shared" ref="P1461:P1466" si="359">J1461*K1461*M1461</f>
        <v>0</v>
      </c>
    </row>
    <row r="1462" spans="1:16" s="38" customFormat="1" ht="10.7" customHeight="1" outlineLevel="1" x14ac:dyDescent="0.25">
      <c r="A1462" s="124"/>
      <c r="B1462" s="142"/>
      <c r="C1462" s="115"/>
      <c r="D1462" s="115"/>
      <c r="E1462" s="115"/>
      <c r="F1462" s="115"/>
      <c r="G1462" s="60" t="s">
        <v>127</v>
      </c>
      <c r="H1462" s="124"/>
      <c r="I1462" s="124"/>
      <c r="J1462" s="60"/>
      <c r="K1462" s="60"/>
      <c r="L1462" s="160"/>
      <c r="M1462" s="60"/>
      <c r="N1462" s="60"/>
      <c r="O1462" s="60">
        <f t="shared" si="358"/>
        <v>0</v>
      </c>
      <c r="P1462" s="60">
        <f t="shared" si="359"/>
        <v>0</v>
      </c>
    </row>
    <row r="1463" spans="1:16" s="38" customFormat="1" ht="10.7" customHeight="1" outlineLevel="1" x14ac:dyDescent="0.25">
      <c r="A1463" s="124"/>
      <c r="B1463" s="142"/>
      <c r="C1463" s="115"/>
      <c r="D1463" s="115"/>
      <c r="E1463" s="115"/>
      <c r="F1463" s="115"/>
      <c r="G1463" s="60" t="s">
        <v>128</v>
      </c>
      <c r="H1463" s="124"/>
      <c r="I1463" s="124"/>
      <c r="J1463" s="60"/>
      <c r="K1463" s="60"/>
      <c r="L1463" s="160"/>
      <c r="M1463" s="60"/>
      <c r="N1463" s="60"/>
      <c r="O1463" s="60">
        <f t="shared" si="358"/>
        <v>0</v>
      </c>
      <c r="P1463" s="60">
        <f t="shared" si="359"/>
        <v>0</v>
      </c>
    </row>
    <row r="1464" spans="1:16" s="38" customFormat="1" ht="10.7" customHeight="1" outlineLevel="1" x14ac:dyDescent="0.25">
      <c r="A1464" s="124"/>
      <c r="B1464" s="142"/>
      <c r="C1464" s="115"/>
      <c r="D1464" s="115"/>
      <c r="E1464" s="115"/>
      <c r="F1464" s="115"/>
      <c r="G1464" s="60" t="s">
        <v>129</v>
      </c>
      <c r="H1464" s="124"/>
      <c r="I1464" s="124"/>
      <c r="J1464" s="60"/>
      <c r="K1464" s="60"/>
      <c r="L1464" s="160"/>
      <c r="M1464" s="60"/>
      <c r="N1464" s="60"/>
      <c r="O1464" s="60">
        <f t="shared" si="358"/>
        <v>0</v>
      </c>
      <c r="P1464" s="60">
        <f t="shared" si="359"/>
        <v>0</v>
      </c>
    </row>
    <row r="1465" spans="1:16" s="38" customFormat="1" ht="10.7" customHeight="1" outlineLevel="1" x14ac:dyDescent="0.25">
      <c r="A1465" s="124"/>
      <c r="B1465" s="142"/>
      <c r="C1465" s="115"/>
      <c r="D1465" s="115"/>
      <c r="E1465" s="115"/>
      <c r="F1465" s="115"/>
      <c r="G1465" s="60" t="s">
        <v>130</v>
      </c>
      <c r="H1465" s="124"/>
      <c r="I1465" s="124"/>
      <c r="J1465" s="60"/>
      <c r="K1465" s="60"/>
      <c r="L1465" s="160"/>
      <c r="M1465" s="60"/>
      <c r="N1465" s="60"/>
      <c r="O1465" s="60">
        <f t="shared" si="358"/>
        <v>0</v>
      </c>
      <c r="P1465" s="60">
        <f t="shared" si="359"/>
        <v>0</v>
      </c>
    </row>
    <row r="1466" spans="1:16" s="38" customFormat="1" ht="12" customHeight="1" outlineLevel="1" thickBot="1" x14ac:dyDescent="0.3">
      <c r="A1466" s="125"/>
      <c r="B1466" s="143"/>
      <c r="C1466" s="131"/>
      <c r="D1466" s="131"/>
      <c r="E1466" s="131"/>
      <c r="F1466" s="131"/>
      <c r="G1466" s="60" t="s">
        <v>131</v>
      </c>
      <c r="H1466" s="134"/>
      <c r="I1466" s="134"/>
      <c r="J1466" s="60"/>
      <c r="K1466" s="60"/>
      <c r="L1466" s="160"/>
      <c r="M1466" s="60"/>
      <c r="N1466" s="60"/>
      <c r="O1466" s="60">
        <f t="shared" si="358"/>
        <v>0</v>
      </c>
      <c r="P1466" s="60">
        <f t="shared" si="359"/>
        <v>0</v>
      </c>
    </row>
    <row r="1467" spans="1:16" s="38" customFormat="1" ht="14.45" customHeight="1" outlineLevel="1" x14ac:dyDescent="0.25">
      <c r="A1467" s="140" t="s">
        <v>917</v>
      </c>
      <c r="B1467" s="141" t="s">
        <v>918</v>
      </c>
      <c r="C1467" s="130">
        <f>SUM(O1467:O1473)</f>
        <v>0</v>
      </c>
      <c r="D1467" s="130">
        <f>SUM(P1467:P1473)</f>
        <v>0</v>
      </c>
      <c r="E1467" s="130">
        <f t="shared" si="347"/>
        <v>0</v>
      </c>
      <c r="F1467" s="130"/>
      <c r="G1467" s="60" t="s">
        <v>125</v>
      </c>
      <c r="H1467" s="123"/>
      <c r="I1467" s="123"/>
      <c r="J1467" s="60"/>
      <c r="K1467" s="60"/>
      <c r="L1467" s="160"/>
      <c r="M1467" s="60"/>
      <c r="N1467" s="60"/>
      <c r="O1467" s="60">
        <f>N1467*J1467*K1467*M1467</f>
        <v>0</v>
      </c>
      <c r="P1467" s="60">
        <f>J1467*K1467*M1467</f>
        <v>0</v>
      </c>
    </row>
    <row r="1468" spans="1:16" s="38" customFormat="1" ht="11.45" customHeight="1" outlineLevel="1" x14ac:dyDescent="0.25">
      <c r="A1468" s="124"/>
      <c r="B1468" s="142"/>
      <c r="C1468" s="115"/>
      <c r="D1468" s="115"/>
      <c r="E1468" s="115"/>
      <c r="F1468" s="115"/>
      <c r="G1468" s="60" t="s">
        <v>126</v>
      </c>
      <c r="H1468" s="124"/>
      <c r="I1468" s="124"/>
      <c r="J1468" s="60"/>
      <c r="K1468" s="60"/>
      <c r="L1468" s="160"/>
      <c r="M1468" s="60"/>
      <c r="N1468" s="60"/>
      <c r="O1468" s="60">
        <f t="shared" ref="O1468:O1473" si="360">N1468*J1468*K1468*M1468</f>
        <v>0</v>
      </c>
      <c r="P1468" s="60">
        <f t="shared" ref="P1468:P1473" si="361">J1468*K1468*M1468</f>
        <v>0</v>
      </c>
    </row>
    <row r="1469" spans="1:16" s="38" customFormat="1" ht="10.7" customHeight="1" outlineLevel="1" x14ac:dyDescent="0.25">
      <c r="A1469" s="124"/>
      <c r="B1469" s="142"/>
      <c r="C1469" s="115"/>
      <c r="D1469" s="115"/>
      <c r="E1469" s="115"/>
      <c r="F1469" s="115"/>
      <c r="G1469" s="60" t="s">
        <v>127</v>
      </c>
      <c r="H1469" s="124"/>
      <c r="I1469" s="124"/>
      <c r="J1469" s="60"/>
      <c r="K1469" s="60"/>
      <c r="L1469" s="160"/>
      <c r="M1469" s="60"/>
      <c r="N1469" s="60"/>
      <c r="O1469" s="60">
        <f t="shared" si="360"/>
        <v>0</v>
      </c>
      <c r="P1469" s="60">
        <f t="shared" si="361"/>
        <v>0</v>
      </c>
    </row>
    <row r="1470" spans="1:16" s="38" customFormat="1" ht="10.7" customHeight="1" outlineLevel="1" x14ac:dyDescent="0.25">
      <c r="A1470" s="124"/>
      <c r="B1470" s="142"/>
      <c r="C1470" s="115"/>
      <c r="D1470" s="115"/>
      <c r="E1470" s="115"/>
      <c r="F1470" s="115"/>
      <c r="G1470" s="60" t="s">
        <v>128</v>
      </c>
      <c r="H1470" s="124"/>
      <c r="I1470" s="124"/>
      <c r="J1470" s="60"/>
      <c r="K1470" s="60"/>
      <c r="L1470" s="160"/>
      <c r="M1470" s="60"/>
      <c r="N1470" s="60"/>
      <c r="O1470" s="60">
        <f t="shared" si="360"/>
        <v>0</v>
      </c>
      <c r="P1470" s="60">
        <f t="shared" si="361"/>
        <v>0</v>
      </c>
    </row>
    <row r="1471" spans="1:16" s="38" customFormat="1" ht="10.7" customHeight="1" outlineLevel="1" x14ac:dyDescent="0.25">
      <c r="A1471" s="124"/>
      <c r="B1471" s="142"/>
      <c r="C1471" s="115"/>
      <c r="D1471" s="115"/>
      <c r="E1471" s="115"/>
      <c r="F1471" s="115"/>
      <c r="G1471" s="60" t="s">
        <v>129</v>
      </c>
      <c r="H1471" s="124"/>
      <c r="I1471" s="124"/>
      <c r="J1471" s="60"/>
      <c r="K1471" s="60"/>
      <c r="L1471" s="160"/>
      <c r="M1471" s="60"/>
      <c r="N1471" s="60"/>
      <c r="O1471" s="60">
        <f t="shared" si="360"/>
        <v>0</v>
      </c>
      <c r="P1471" s="60">
        <f t="shared" si="361"/>
        <v>0</v>
      </c>
    </row>
    <row r="1472" spans="1:16" s="38" customFormat="1" ht="10.7" customHeight="1" outlineLevel="1" x14ac:dyDescent="0.25">
      <c r="A1472" s="124"/>
      <c r="B1472" s="142"/>
      <c r="C1472" s="115"/>
      <c r="D1472" s="115"/>
      <c r="E1472" s="115"/>
      <c r="F1472" s="115"/>
      <c r="G1472" s="60" t="s">
        <v>130</v>
      </c>
      <c r="H1472" s="124"/>
      <c r="I1472" s="124"/>
      <c r="J1472" s="60"/>
      <c r="K1472" s="60"/>
      <c r="L1472" s="160"/>
      <c r="M1472" s="60"/>
      <c r="N1472" s="60"/>
      <c r="O1472" s="60">
        <f t="shared" si="360"/>
        <v>0</v>
      </c>
      <c r="P1472" s="60">
        <f t="shared" si="361"/>
        <v>0</v>
      </c>
    </row>
    <row r="1473" spans="1:16" s="38" customFormat="1" ht="12" customHeight="1" outlineLevel="1" thickBot="1" x14ac:dyDescent="0.3">
      <c r="A1473" s="125"/>
      <c r="B1473" s="143"/>
      <c r="C1473" s="131"/>
      <c r="D1473" s="131"/>
      <c r="E1473" s="131"/>
      <c r="F1473" s="131"/>
      <c r="G1473" s="60" t="s">
        <v>131</v>
      </c>
      <c r="H1473" s="134"/>
      <c r="I1473" s="134"/>
      <c r="J1473" s="60"/>
      <c r="K1473" s="60"/>
      <c r="L1473" s="160"/>
      <c r="M1473" s="60"/>
      <c r="N1473" s="60"/>
      <c r="O1473" s="60">
        <f t="shared" si="360"/>
        <v>0</v>
      </c>
      <c r="P1473" s="60">
        <f t="shared" si="361"/>
        <v>0</v>
      </c>
    </row>
    <row r="1474" spans="1:16" s="39" customFormat="1" ht="15.75" x14ac:dyDescent="0.25">
      <c r="A1474" s="40" t="s">
        <v>335</v>
      </c>
      <c r="B1474" s="41" t="s">
        <v>316</v>
      </c>
      <c r="C1474" s="42">
        <f>SUM(C1475)</f>
        <v>0</v>
      </c>
      <c r="D1474" s="42">
        <f>SUM(D1475)</f>
        <v>0</v>
      </c>
      <c r="E1474" s="42">
        <f>SUM(E1475)</f>
        <v>0</v>
      </c>
      <c r="F1474" s="42"/>
      <c r="G1474" s="42"/>
      <c r="H1474" s="42"/>
      <c r="I1474" s="42"/>
      <c r="J1474" s="42"/>
      <c r="K1474" s="42"/>
      <c r="L1474" s="163"/>
      <c r="M1474" s="42"/>
      <c r="N1474" s="42"/>
      <c r="O1474" s="42"/>
      <c r="P1474" s="47"/>
    </row>
    <row r="1475" spans="1:16" s="38" customFormat="1" ht="14.45" customHeight="1" outlineLevel="1" x14ac:dyDescent="0.25">
      <c r="A1475" s="140" t="s">
        <v>337</v>
      </c>
      <c r="B1475" s="141" t="s">
        <v>919</v>
      </c>
      <c r="C1475" s="130">
        <f>SUM(O1475:O1481)</f>
        <v>0</v>
      </c>
      <c r="D1475" s="130">
        <f>SUM(P1475:P1481)</f>
        <v>0</v>
      </c>
      <c r="E1475" s="130">
        <f t="shared" ref="E1475" si="362">D1475/8</f>
        <v>0</v>
      </c>
      <c r="F1475" s="130"/>
      <c r="G1475" s="60" t="s">
        <v>125</v>
      </c>
      <c r="H1475" s="123"/>
      <c r="I1475" s="123"/>
      <c r="J1475" s="60"/>
      <c r="K1475" s="60"/>
      <c r="L1475" s="160"/>
      <c r="M1475" s="60"/>
      <c r="N1475" s="60"/>
      <c r="O1475" s="60">
        <f>N1475*J1475*K1475*M1475</f>
        <v>0</v>
      </c>
      <c r="P1475" s="60">
        <f>J1475*K1475*M1475</f>
        <v>0</v>
      </c>
    </row>
    <row r="1476" spans="1:16" s="38" customFormat="1" ht="11.45" customHeight="1" outlineLevel="1" x14ac:dyDescent="0.25">
      <c r="A1476" s="124"/>
      <c r="B1476" s="142"/>
      <c r="C1476" s="115"/>
      <c r="D1476" s="115"/>
      <c r="E1476" s="115"/>
      <c r="F1476" s="115"/>
      <c r="G1476" s="60" t="s">
        <v>126</v>
      </c>
      <c r="H1476" s="124"/>
      <c r="I1476" s="124"/>
      <c r="J1476" s="60"/>
      <c r="K1476" s="60"/>
      <c r="L1476" s="160"/>
      <c r="M1476" s="60"/>
      <c r="N1476" s="60"/>
      <c r="O1476" s="60">
        <f t="shared" ref="O1476:O1481" si="363">N1476*J1476*K1476*M1476</f>
        <v>0</v>
      </c>
      <c r="P1476" s="60">
        <f t="shared" ref="P1476:P1481" si="364">J1476*K1476*M1476</f>
        <v>0</v>
      </c>
    </row>
    <row r="1477" spans="1:16" s="38" customFormat="1" ht="10.7" customHeight="1" outlineLevel="1" x14ac:dyDescent="0.25">
      <c r="A1477" s="124"/>
      <c r="B1477" s="142"/>
      <c r="C1477" s="115"/>
      <c r="D1477" s="115"/>
      <c r="E1477" s="115"/>
      <c r="F1477" s="115"/>
      <c r="G1477" s="60" t="s">
        <v>127</v>
      </c>
      <c r="H1477" s="124"/>
      <c r="I1477" s="124"/>
      <c r="J1477" s="60"/>
      <c r="K1477" s="60"/>
      <c r="L1477" s="160"/>
      <c r="M1477" s="60"/>
      <c r="N1477" s="60"/>
      <c r="O1477" s="60">
        <f t="shared" si="363"/>
        <v>0</v>
      </c>
      <c r="P1477" s="60">
        <f t="shared" si="364"/>
        <v>0</v>
      </c>
    </row>
    <row r="1478" spans="1:16" s="38" customFormat="1" ht="10.7" customHeight="1" outlineLevel="1" x14ac:dyDescent="0.25">
      <c r="A1478" s="124"/>
      <c r="B1478" s="142"/>
      <c r="C1478" s="115"/>
      <c r="D1478" s="115"/>
      <c r="E1478" s="115"/>
      <c r="F1478" s="115"/>
      <c r="G1478" s="60" t="s">
        <v>128</v>
      </c>
      <c r="H1478" s="124"/>
      <c r="I1478" s="124"/>
      <c r="J1478" s="60"/>
      <c r="K1478" s="60"/>
      <c r="L1478" s="160"/>
      <c r="M1478" s="60"/>
      <c r="N1478" s="60"/>
      <c r="O1478" s="60">
        <f t="shared" si="363"/>
        <v>0</v>
      </c>
      <c r="P1478" s="60">
        <f t="shared" si="364"/>
        <v>0</v>
      </c>
    </row>
    <row r="1479" spans="1:16" s="38" customFormat="1" ht="10.7" customHeight="1" outlineLevel="1" x14ac:dyDescent="0.25">
      <c r="A1479" s="124"/>
      <c r="B1479" s="142"/>
      <c r="C1479" s="115"/>
      <c r="D1479" s="115"/>
      <c r="E1479" s="115"/>
      <c r="F1479" s="115"/>
      <c r="G1479" s="60" t="s">
        <v>129</v>
      </c>
      <c r="H1479" s="124"/>
      <c r="I1479" s="124"/>
      <c r="J1479" s="60"/>
      <c r="K1479" s="60"/>
      <c r="L1479" s="160"/>
      <c r="M1479" s="60"/>
      <c r="N1479" s="60"/>
      <c r="O1479" s="60">
        <f t="shared" si="363"/>
        <v>0</v>
      </c>
      <c r="P1479" s="60">
        <f t="shared" si="364"/>
        <v>0</v>
      </c>
    </row>
    <row r="1480" spans="1:16" s="38" customFormat="1" ht="10.7" customHeight="1" outlineLevel="1" x14ac:dyDescent="0.25">
      <c r="A1480" s="124"/>
      <c r="B1480" s="142"/>
      <c r="C1480" s="115"/>
      <c r="D1480" s="115"/>
      <c r="E1480" s="115"/>
      <c r="F1480" s="115"/>
      <c r="G1480" s="60" t="s">
        <v>130</v>
      </c>
      <c r="H1480" s="124"/>
      <c r="I1480" s="124"/>
      <c r="J1480" s="60"/>
      <c r="K1480" s="60"/>
      <c r="L1480" s="160"/>
      <c r="M1480" s="60"/>
      <c r="N1480" s="60"/>
      <c r="O1480" s="60">
        <f t="shared" si="363"/>
        <v>0</v>
      </c>
      <c r="P1480" s="60">
        <f t="shared" si="364"/>
        <v>0</v>
      </c>
    </row>
    <row r="1481" spans="1:16" s="38" customFormat="1" ht="12" customHeight="1" outlineLevel="1" thickBot="1" x14ac:dyDescent="0.3">
      <c r="A1481" s="125"/>
      <c r="B1481" s="143"/>
      <c r="C1481" s="131"/>
      <c r="D1481" s="131"/>
      <c r="E1481" s="131"/>
      <c r="F1481" s="131"/>
      <c r="G1481" s="60" t="s">
        <v>131</v>
      </c>
      <c r="H1481" s="134"/>
      <c r="I1481" s="134"/>
      <c r="J1481" s="60"/>
      <c r="K1481" s="60"/>
      <c r="L1481" s="160"/>
      <c r="M1481" s="60"/>
      <c r="N1481" s="60"/>
      <c r="O1481" s="60">
        <f t="shared" si="363"/>
        <v>0</v>
      </c>
      <c r="P1481" s="60">
        <f t="shared" si="364"/>
        <v>0</v>
      </c>
    </row>
    <row r="1482" spans="1:16" s="39" customFormat="1" ht="15.75" x14ac:dyDescent="0.25">
      <c r="A1482" s="40" t="s">
        <v>920</v>
      </c>
      <c r="B1482" s="41" t="s">
        <v>319</v>
      </c>
      <c r="C1482" s="42">
        <f>SUM(C1483)</f>
        <v>0</v>
      </c>
      <c r="D1482" s="42">
        <f>SUM(D1483)</f>
        <v>0</v>
      </c>
      <c r="E1482" s="42">
        <f>SUM(E1483)</f>
        <v>0</v>
      </c>
      <c r="F1482" s="42"/>
      <c r="G1482" s="42"/>
      <c r="H1482" s="42"/>
      <c r="I1482" s="42"/>
      <c r="J1482" s="42"/>
      <c r="K1482" s="42"/>
      <c r="L1482" s="163"/>
      <c r="M1482" s="42"/>
      <c r="N1482" s="42"/>
      <c r="O1482" s="42"/>
      <c r="P1482" s="47"/>
    </row>
    <row r="1483" spans="1:16" s="38" customFormat="1" ht="14.45" customHeight="1" outlineLevel="1" x14ac:dyDescent="0.25">
      <c r="A1483" s="140" t="s">
        <v>921</v>
      </c>
      <c r="B1483" s="141" t="s">
        <v>384</v>
      </c>
      <c r="C1483" s="130">
        <f>SUM(O1483:O1489)</f>
        <v>0</v>
      </c>
      <c r="D1483" s="130">
        <f>SUM(P1483:P1489)</f>
        <v>0</v>
      </c>
      <c r="E1483" s="130">
        <f t="shared" ref="E1483" si="365">D1483/8</f>
        <v>0</v>
      </c>
      <c r="F1483" s="130"/>
      <c r="G1483" s="60" t="s">
        <v>125</v>
      </c>
      <c r="H1483" s="123"/>
      <c r="I1483" s="123"/>
      <c r="J1483" s="60"/>
      <c r="K1483" s="60"/>
      <c r="L1483" s="160"/>
      <c r="M1483" s="60"/>
      <c r="N1483" s="60"/>
      <c r="O1483" s="60">
        <f>N1483*J1483*K1483*M1483</f>
        <v>0</v>
      </c>
      <c r="P1483" s="60">
        <f>J1483*K1483*M1483</f>
        <v>0</v>
      </c>
    </row>
    <row r="1484" spans="1:16" s="38" customFormat="1" ht="11.45" customHeight="1" outlineLevel="1" x14ac:dyDescent="0.25">
      <c r="A1484" s="124"/>
      <c r="B1484" s="142"/>
      <c r="C1484" s="115"/>
      <c r="D1484" s="115"/>
      <c r="E1484" s="115"/>
      <c r="F1484" s="115"/>
      <c r="G1484" s="60" t="s">
        <v>126</v>
      </c>
      <c r="H1484" s="124"/>
      <c r="I1484" s="124"/>
      <c r="J1484" s="60"/>
      <c r="K1484" s="60"/>
      <c r="L1484" s="160"/>
      <c r="M1484" s="60"/>
      <c r="N1484" s="60"/>
      <c r="O1484" s="60">
        <f t="shared" ref="O1484:O1489" si="366">N1484*J1484*K1484*M1484</f>
        <v>0</v>
      </c>
      <c r="P1484" s="60">
        <f t="shared" ref="P1484:P1489" si="367">J1484*K1484*M1484</f>
        <v>0</v>
      </c>
    </row>
    <row r="1485" spans="1:16" s="38" customFormat="1" ht="10.7" customHeight="1" outlineLevel="1" x14ac:dyDescent="0.25">
      <c r="A1485" s="124"/>
      <c r="B1485" s="142"/>
      <c r="C1485" s="115"/>
      <c r="D1485" s="115"/>
      <c r="E1485" s="115"/>
      <c r="F1485" s="115"/>
      <c r="G1485" s="60" t="s">
        <v>127</v>
      </c>
      <c r="H1485" s="124"/>
      <c r="I1485" s="124"/>
      <c r="J1485" s="60"/>
      <c r="K1485" s="60"/>
      <c r="L1485" s="160"/>
      <c r="M1485" s="60"/>
      <c r="N1485" s="60"/>
      <c r="O1485" s="60">
        <f t="shared" si="366"/>
        <v>0</v>
      </c>
      <c r="P1485" s="60">
        <f t="shared" si="367"/>
        <v>0</v>
      </c>
    </row>
    <row r="1486" spans="1:16" s="38" customFormat="1" ht="10.7" customHeight="1" outlineLevel="1" x14ac:dyDescent="0.25">
      <c r="A1486" s="124"/>
      <c r="B1486" s="142"/>
      <c r="C1486" s="115"/>
      <c r="D1486" s="115"/>
      <c r="E1486" s="115"/>
      <c r="F1486" s="115"/>
      <c r="G1486" s="60" t="s">
        <v>128</v>
      </c>
      <c r="H1486" s="124"/>
      <c r="I1486" s="124"/>
      <c r="J1486" s="60"/>
      <c r="K1486" s="60"/>
      <c r="L1486" s="160"/>
      <c r="M1486" s="60"/>
      <c r="N1486" s="60"/>
      <c r="O1486" s="60">
        <f t="shared" si="366"/>
        <v>0</v>
      </c>
      <c r="P1486" s="60">
        <f t="shared" si="367"/>
        <v>0</v>
      </c>
    </row>
    <row r="1487" spans="1:16" s="38" customFormat="1" ht="10.7" customHeight="1" outlineLevel="1" x14ac:dyDescent="0.25">
      <c r="A1487" s="124"/>
      <c r="B1487" s="142"/>
      <c r="C1487" s="115"/>
      <c r="D1487" s="115"/>
      <c r="E1487" s="115"/>
      <c r="F1487" s="115"/>
      <c r="G1487" s="60" t="s">
        <v>129</v>
      </c>
      <c r="H1487" s="124"/>
      <c r="I1487" s="124"/>
      <c r="J1487" s="60"/>
      <c r="K1487" s="60"/>
      <c r="L1487" s="160"/>
      <c r="M1487" s="60"/>
      <c r="N1487" s="60"/>
      <c r="O1487" s="60">
        <f t="shared" si="366"/>
        <v>0</v>
      </c>
      <c r="P1487" s="60">
        <f t="shared" si="367"/>
        <v>0</v>
      </c>
    </row>
    <row r="1488" spans="1:16" s="38" customFormat="1" ht="10.7" customHeight="1" outlineLevel="1" x14ac:dyDescent="0.25">
      <c r="A1488" s="124"/>
      <c r="B1488" s="142"/>
      <c r="C1488" s="115"/>
      <c r="D1488" s="115"/>
      <c r="E1488" s="115"/>
      <c r="F1488" s="115"/>
      <c r="G1488" s="60" t="s">
        <v>130</v>
      </c>
      <c r="H1488" s="124"/>
      <c r="I1488" s="124"/>
      <c r="J1488" s="60"/>
      <c r="K1488" s="60"/>
      <c r="L1488" s="160"/>
      <c r="M1488" s="60"/>
      <c r="N1488" s="60"/>
      <c r="O1488" s="60">
        <f t="shared" si="366"/>
        <v>0</v>
      </c>
      <c r="P1488" s="60">
        <f t="shared" si="367"/>
        <v>0</v>
      </c>
    </row>
    <row r="1489" spans="1:16" s="38" customFormat="1" ht="12" customHeight="1" outlineLevel="1" thickBot="1" x14ac:dyDescent="0.3">
      <c r="A1489" s="125"/>
      <c r="B1489" s="143"/>
      <c r="C1489" s="131"/>
      <c r="D1489" s="131"/>
      <c r="E1489" s="131"/>
      <c r="F1489" s="131"/>
      <c r="G1489" s="60" t="s">
        <v>131</v>
      </c>
      <c r="H1489" s="134"/>
      <c r="I1489" s="134"/>
      <c r="J1489" s="60"/>
      <c r="K1489" s="60"/>
      <c r="L1489" s="160"/>
      <c r="M1489" s="60"/>
      <c r="N1489" s="60"/>
      <c r="O1489" s="60">
        <f t="shared" si="366"/>
        <v>0</v>
      </c>
      <c r="P1489" s="60">
        <f t="shared" si="367"/>
        <v>0</v>
      </c>
    </row>
    <row r="1490" spans="1:16" s="39" customFormat="1" ht="15.75" x14ac:dyDescent="0.25">
      <c r="A1490" s="40" t="s">
        <v>922</v>
      </c>
      <c r="B1490" s="41" t="s">
        <v>923</v>
      </c>
      <c r="C1490" s="42">
        <f>SUM(C1491)</f>
        <v>0</v>
      </c>
      <c r="D1490" s="42">
        <f>SUM(D1491)</f>
        <v>0</v>
      </c>
      <c r="E1490" s="42">
        <f>SUM(E1491)</f>
        <v>0</v>
      </c>
      <c r="F1490" s="42"/>
      <c r="G1490" s="42"/>
      <c r="H1490" s="42"/>
      <c r="I1490" s="42"/>
      <c r="J1490" s="42"/>
      <c r="K1490" s="42"/>
      <c r="L1490" s="163"/>
      <c r="M1490" s="42"/>
      <c r="N1490" s="42"/>
      <c r="O1490" s="42"/>
      <c r="P1490" s="47"/>
    </row>
    <row r="1491" spans="1:16" s="38" customFormat="1" ht="14.45" customHeight="1" outlineLevel="1" x14ac:dyDescent="0.25">
      <c r="A1491" s="140" t="s">
        <v>924</v>
      </c>
      <c r="B1491" s="141" t="s">
        <v>925</v>
      </c>
      <c r="C1491" s="130">
        <f>SUM(O1491:O1497)</f>
        <v>0</v>
      </c>
      <c r="D1491" s="130">
        <f>SUM(P1491:P1497)</f>
        <v>0</v>
      </c>
      <c r="E1491" s="130">
        <f t="shared" ref="E1491" si="368">D1491/8</f>
        <v>0</v>
      </c>
      <c r="F1491" s="130"/>
      <c r="G1491" s="60" t="s">
        <v>125</v>
      </c>
      <c r="H1491" s="123"/>
      <c r="I1491" s="123"/>
      <c r="J1491" s="60"/>
      <c r="K1491" s="60"/>
      <c r="L1491" s="160"/>
      <c r="M1491" s="60"/>
      <c r="N1491" s="60"/>
      <c r="O1491" s="60">
        <f>N1491*J1491*K1491*M1491</f>
        <v>0</v>
      </c>
      <c r="P1491" s="60">
        <f>J1491*K1491*M1491</f>
        <v>0</v>
      </c>
    </row>
    <row r="1492" spans="1:16" s="38" customFormat="1" ht="11.45" customHeight="1" outlineLevel="1" x14ac:dyDescent="0.25">
      <c r="A1492" s="124"/>
      <c r="B1492" s="142"/>
      <c r="C1492" s="115"/>
      <c r="D1492" s="115"/>
      <c r="E1492" s="115"/>
      <c r="F1492" s="115"/>
      <c r="G1492" s="60" t="s">
        <v>126</v>
      </c>
      <c r="H1492" s="124"/>
      <c r="I1492" s="124"/>
      <c r="J1492" s="60"/>
      <c r="K1492" s="60"/>
      <c r="L1492" s="160"/>
      <c r="M1492" s="60"/>
      <c r="N1492" s="60"/>
      <c r="O1492" s="60">
        <f t="shared" ref="O1492:O1497" si="369">N1492*J1492*K1492*M1492</f>
        <v>0</v>
      </c>
      <c r="P1492" s="60">
        <f t="shared" ref="P1492:P1497" si="370">J1492*K1492*M1492</f>
        <v>0</v>
      </c>
    </row>
    <row r="1493" spans="1:16" s="38" customFormat="1" ht="10.7" customHeight="1" outlineLevel="1" x14ac:dyDescent="0.25">
      <c r="A1493" s="124"/>
      <c r="B1493" s="142"/>
      <c r="C1493" s="115"/>
      <c r="D1493" s="115"/>
      <c r="E1493" s="115"/>
      <c r="F1493" s="115"/>
      <c r="G1493" s="60" t="s">
        <v>127</v>
      </c>
      <c r="H1493" s="124"/>
      <c r="I1493" s="124"/>
      <c r="J1493" s="60"/>
      <c r="K1493" s="60"/>
      <c r="L1493" s="160"/>
      <c r="M1493" s="60"/>
      <c r="N1493" s="60"/>
      <c r="O1493" s="60">
        <f t="shared" si="369"/>
        <v>0</v>
      </c>
      <c r="P1493" s="60">
        <f t="shared" si="370"/>
        <v>0</v>
      </c>
    </row>
    <row r="1494" spans="1:16" s="38" customFormat="1" ht="10.7" customHeight="1" outlineLevel="1" x14ac:dyDescent="0.25">
      <c r="A1494" s="124"/>
      <c r="B1494" s="142"/>
      <c r="C1494" s="115"/>
      <c r="D1494" s="115"/>
      <c r="E1494" s="115"/>
      <c r="F1494" s="115"/>
      <c r="G1494" s="60" t="s">
        <v>128</v>
      </c>
      <c r="H1494" s="124"/>
      <c r="I1494" s="124"/>
      <c r="J1494" s="60"/>
      <c r="K1494" s="60"/>
      <c r="L1494" s="160"/>
      <c r="M1494" s="60"/>
      <c r="N1494" s="60"/>
      <c r="O1494" s="60">
        <f t="shared" si="369"/>
        <v>0</v>
      </c>
      <c r="P1494" s="60">
        <f t="shared" si="370"/>
        <v>0</v>
      </c>
    </row>
    <row r="1495" spans="1:16" s="38" customFormat="1" ht="10.7" customHeight="1" outlineLevel="1" x14ac:dyDescent="0.25">
      <c r="A1495" s="124"/>
      <c r="B1495" s="142"/>
      <c r="C1495" s="115"/>
      <c r="D1495" s="115"/>
      <c r="E1495" s="115"/>
      <c r="F1495" s="115"/>
      <c r="G1495" s="60" t="s">
        <v>129</v>
      </c>
      <c r="H1495" s="124"/>
      <c r="I1495" s="124"/>
      <c r="J1495" s="60"/>
      <c r="K1495" s="60"/>
      <c r="L1495" s="160"/>
      <c r="M1495" s="60"/>
      <c r="N1495" s="60"/>
      <c r="O1495" s="60">
        <f t="shared" si="369"/>
        <v>0</v>
      </c>
      <c r="P1495" s="60">
        <f t="shared" si="370"/>
        <v>0</v>
      </c>
    </row>
    <row r="1496" spans="1:16" s="38" customFormat="1" ht="10.7" customHeight="1" outlineLevel="1" x14ac:dyDescent="0.25">
      <c r="A1496" s="124"/>
      <c r="B1496" s="142"/>
      <c r="C1496" s="115"/>
      <c r="D1496" s="115"/>
      <c r="E1496" s="115"/>
      <c r="F1496" s="115"/>
      <c r="G1496" s="60" t="s">
        <v>130</v>
      </c>
      <c r="H1496" s="124"/>
      <c r="I1496" s="124"/>
      <c r="J1496" s="60"/>
      <c r="K1496" s="60"/>
      <c r="L1496" s="160"/>
      <c r="M1496" s="60"/>
      <c r="N1496" s="60"/>
      <c r="O1496" s="60">
        <f t="shared" si="369"/>
        <v>0</v>
      </c>
      <c r="P1496" s="60">
        <f t="shared" si="370"/>
        <v>0</v>
      </c>
    </row>
    <row r="1497" spans="1:16" s="38" customFormat="1" ht="12" customHeight="1" outlineLevel="1" thickBot="1" x14ac:dyDescent="0.3">
      <c r="A1497" s="125"/>
      <c r="B1497" s="143"/>
      <c r="C1497" s="131"/>
      <c r="D1497" s="131"/>
      <c r="E1497" s="131"/>
      <c r="F1497" s="131"/>
      <c r="G1497" s="60" t="s">
        <v>131</v>
      </c>
      <c r="H1497" s="134"/>
      <c r="I1497" s="134"/>
      <c r="J1497" s="60"/>
      <c r="K1497" s="60"/>
      <c r="L1497" s="160"/>
      <c r="M1497" s="60"/>
      <c r="N1497" s="60"/>
      <c r="O1497" s="60">
        <f t="shared" si="369"/>
        <v>0</v>
      </c>
      <c r="P1497" s="60">
        <f t="shared" si="370"/>
        <v>0</v>
      </c>
    </row>
    <row r="1498" spans="1:16" s="39" customFormat="1" ht="31.5" x14ac:dyDescent="0.25">
      <c r="A1498" s="40" t="s">
        <v>926</v>
      </c>
      <c r="B1498" s="41" t="s">
        <v>323</v>
      </c>
      <c r="C1498" s="42">
        <f>SUM(C1499)</f>
        <v>0</v>
      </c>
      <c r="D1498" s="42">
        <f>SUM(D1499)</f>
        <v>0</v>
      </c>
      <c r="E1498" s="42">
        <f>SUM(E1499)</f>
        <v>0</v>
      </c>
      <c r="F1498" s="42"/>
      <c r="G1498" s="42"/>
      <c r="H1498" s="42"/>
      <c r="I1498" s="42"/>
      <c r="J1498" s="42"/>
      <c r="K1498" s="42"/>
      <c r="L1498" s="163"/>
      <c r="M1498" s="42"/>
      <c r="N1498" s="42"/>
      <c r="O1498" s="42"/>
      <c r="P1498" s="47"/>
    </row>
    <row r="1499" spans="1:16" s="38" customFormat="1" ht="14.45" customHeight="1" outlineLevel="1" x14ac:dyDescent="0.25">
      <c r="A1499" s="140" t="s">
        <v>927</v>
      </c>
      <c r="B1499" s="141" t="s">
        <v>928</v>
      </c>
      <c r="C1499" s="130">
        <f>SUM(O1499:O1505)</f>
        <v>0</v>
      </c>
      <c r="D1499" s="130">
        <f>SUM(P1499:P1505)</f>
        <v>0</v>
      </c>
      <c r="E1499" s="130">
        <f t="shared" ref="E1499" si="371">D1499/8</f>
        <v>0</v>
      </c>
      <c r="F1499" s="130"/>
      <c r="G1499" s="60" t="s">
        <v>125</v>
      </c>
      <c r="H1499" s="123"/>
      <c r="I1499" s="123"/>
      <c r="J1499" s="60"/>
      <c r="K1499" s="60"/>
      <c r="L1499" s="160"/>
      <c r="M1499" s="60"/>
      <c r="N1499" s="60"/>
      <c r="O1499" s="60">
        <f>N1499*J1499*K1499*M1499</f>
        <v>0</v>
      </c>
      <c r="P1499" s="60">
        <f>J1499*K1499*M1499</f>
        <v>0</v>
      </c>
    </row>
    <row r="1500" spans="1:16" s="38" customFormat="1" ht="11.45" customHeight="1" outlineLevel="1" x14ac:dyDescent="0.25">
      <c r="A1500" s="124"/>
      <c r="B1500" s="142"/>
      <c r="C1500" s="115"/>
      <c r="D1500" s="115"/>
      <c r="E1500" s="115"/>
      <c r="F1500" s="115"/>
      <c r="G1500" s="60" t="s">
        <v>126</v>
      </c>
      <c r="H1500" s="124"/>
      <c r="I1500" s="124"/>
      <c r="J1500" s="60"/>
      <c r="K1500" s="60"/>
      <c r="L1500" s="160"/>
      <c r="M1500" s="60"/>
      <c r="N1500" s="60"/>
      <c r="O1500" s="60">
        <f t="shared" ref="O1500:O1505" si="372">N1500*J1500*K1500*M1500</f>
        <v>0</v>
      </c>
      <c r="P1500" s="60">
        <f t="shared" ref="P1500:P1505" si="373">J1500*K1500*M1500</f>
        <v>0</v>
      </c>
    </row>
    <row r="1501" spans="1:16" s="38" customFormat="1" ht="10.7" customHeight="1" outlineLevel="1" x14ac:dyDescent="0.25">
      <c r="A1501" s="124"/>
      <c r="B1501" s="142"/>
      <c r="C1501" s="115"/>
      <c r="D1501" s="115"/>
      <c r="E1501" s="115"/>
      <c r="F1501" s="115"/>
      <c r="G1501" s="60" t="s">
        <v>127</v>
      </c>
      <c r="H1501" s="124"/>
      <c r="I1501" s="124"/>
      <c r="J1501" s="60"/>
      <c r="K1501" s="60"/>
      <c r="L1501" s="160"/>
      <c r="M1501" s="60"/>
      <c r="N1501" s="60"/>
      <c r="O1501" s="60">
        <f t="shared" si="372"/>
        <v>0</v>
      </c>
      <c r="P1501" s="60">
        <f t="shared" si="373"/>
        <v>0</v>
      </c>
    </row>
    <row r="1502" spans="1:16" s="38" customFormat="1" ht="10.7" customHeight="1" outlineLevel="1" x14ac:dyDescent="0.25">
      <c r="A1502" s="124"/>
      <c r="B1502" s="142"/>
      <c r="C1502" s="115"/>
      <c r="D1502" s="115"/>
      <c r="E1502" s="115"/>
      <c r="F1502" s="115"/>
      <c r="G1502" s="60" t="s">
        <v>128</v>
      </c>
      <c r="H1502" s="124"/>
      <c r="I1502" s="124"/>
      <c r="J1502" s="60"/>
      <c r="K1502" s="60"/>
      <c r="L1502" s="160"/>
      <c r="M1502" s="60"/>
      <c r="N1502" s="60"/>
      <c r="O1502" s="60">
        <f t="shared" si="372"/>
        <v>0</v>
      </c>
      <c r="P1502" s="60">
        <f t="shared" si="373"/>
        <v>0</v>
      </c>
    </row>
    <row r="1503" spans="1:16" s="38" customFormat="1" ht="10.7" customHeight="1" outlineLevel="1" x14ac:dyDescent="0.25">
      <c r="A1503" s="124"/>
      <c r="B1503" s="142"/>
      <c r="C1503" s="115"/>
      <c r="D1503" s="115"/>
      <c r="E1503" s="115"/>
      <c r="F1503" s="115"/>
      <c r="G1503" s="60" t="s">
        <v>129</v>
      </c>
      <c r="H1503" s="124"/>
      <c r="I1503" s="124"/>
      <c r="J1503" s="60"/>
      <c r="K1503" s="60"/>
      <c r="L1503" s="160"/>
      <c r="M1503" s="60"/>
      <c r="N1503" s="60"/>
      <c r="O1503" s="60">
        <f t="shared" si="372"/>
        <v>0</v>
      </c>
      <c r="P1503" s="60">
        <f t="shared" si="373"/>
        <v>0</v>
      </c>
    </row>
    <row r="1504" spans="1:16" s="38" customFormat="1" ht="10.7" customHeight="1" outlineLevel="1" x14ac:dyDescent="0.25">
      <c r="A1504" s="124"/>
      <c r="B1504" s="142"/>
      <c r="C1504" s="115"/>
      <c r="D1504" s="115"/>
      <c r="E1504" s="115"/>
      <c r="F1504" s="115"/>
      <c r="G1504" s="60" t="s">
        <v>130</v>
      </c>
      <c r="H1504" s="124"/>
      <c r="I1504" s="124"/>
      <c r="J1504" s="60"/>
      <c r="K1504" s="60"/>
      <c r="L1504" s="160"/>
      <c r="M1504" s="60"/>
      <c r="N1504" s="60"/>
      <c r="O1504" s="60">
        <f t="shared" si="372"/>
        <v>0</v>
      </c>
      <c r="P1504" s="60">
        <f t="shared" si="373"/>
        <v>0</v>
      </c>
    </row>
    <row r="1505" spans="1:16" s="38" customFormat="1" ht="12" customHeight="1" outlineLevel="1" thickBot="1" x14ac:dyDescent="0.3">
      <c r="A1505" s="125"/>
      <c r="B1505" s="143"/>
      <c r="C1505" s="131"/>
      <c r="D1505" s="131"/>
      <c r="E1505" s="131"/>
      <c r="F1505" s="131"/>
      <c r="G1505" s="60" t="s">
        <v>131</v>
      </c>
      <c r="H1505" s="134"/>
      <c r="I1505" s="134"/>
      <c r="J1505" s="60"/>
      <c r="K1505" s="60"/>
      <c r="L1505" s="160"/>
      <c r="M1505" s="60"/>
      <c r="N1505" s="60"/>
      <c r="O1505" s="60">
        <f t="shared" si="372"/>
        <v>0</v>
      </c>
      <c r="P1505" s="60">
        <f t="shared" si="373"/>
        <v>0</v>
      </c>
    </row>
    <row r="1506" spans="1:16" s="39" customFormat="1" ht="15.75" x14ac:dyDescent="0.25">
      <c r="A1506" s="40" t="s">
        <v>929</v>
      </c>
      <c r="B1506" s="41" t="s">
        <v>326</v>
      </c>
      <c r="C1506" s="42">
        <f>SUM(C1507)</f>
        <v>0</v>
      </c>
      <c r="D1506" s="42">
        <f>SUM(D1507)</f>
        <v>0</v>
      </c>
      <c r="E1506" s="42">
        <f>SUM(E1507)</f>
        <v>0</v>
      </c>
      <c r="F1506" s="42"/>
      <c r="G1506" s="42"/>
      <c r="H1506" s="42"/>
      <c r="I1506" s="42"/>
      <c r="J1506" s="42"/>
      <c r="K1506" s="42"/>
      <c r="L1506" s="163"/>
      <c r="M1506" s="42"/>
      <c r="N1506" s="42"/>
      <c r="O1506" s="42"/>
      <c r="P1506" s="47"/>
    </row>
    <row r="1507" spans="1:16" s="38" customFormat="1" ht="14.45" customHeight="1" outlineLevel="1" x14ac:dyDescent="0.25">
      <c r="A1507" s="140" t="s">
        <v>930</v>
      </c>
      <c r="B1507" s="141" t="s">
        <v>328</v>
      </c>
      <c r="C1507" s="130">
        <f>SUM(O1507:O1513)</f>
        <v>0</v>
      </c>
      <c r="D1507" s="130">
        <f>SUM(P1507:P1513)</f>
        <v>0</v>
      </c>
      <c r="E1507" s="130">
        <f t="shared" ref="E1507" si="374">D1507/8</f>
        <v>0</v>
      </c>
      <c r="F1507" s="130"/>
      <c r="G1507" s="60" t="s">
        <v>125</v>
      </c>
      <c r="H1507" s="123"/>
      <c r="I1507" s="123"/>
      <c r="J1507" s="60"/>
      <c r="K1507" s="60"/>
      <c r="L1507" s="160"/>
      <c r="M1507" s="60"/>
      <c r="N1507" s="60"/>
      <c r="O1507" s="60">
        <f>N1507*J1507*K1507*M1507</f>
        <v>0</v>
      </c>
      <c r="P1507" s="60">
        <f>J1507*K1507*M1507</f>
        <v>0</v>
      </c>
    </row>
    <row r="1508" spans="1:16" s="38" customFormat="1" ht="11.45" customHeight="1" outlineLevel="1" x14ac:dyDescent="0.25">
      <c r="A1508" s="124"/>
      <c r="B1508" s="142"/>
      <c r="C1508" s="115"/>
      <c r="D1508" s="115"/>
      <c r="E1508" s="115"/>
      <c r="F1508" s="115"/>
      <c r="G1508" s="60" t="s">
        <v>126</v>
      </c>
      <c r="H1508" s="124"/>
      <c r="I1508" s="124"/>
      <c r="J1508" s="60"/>
      <c r="K1508" s="60"/>
      <c r="L1508" s="160"/>
      <c r="M1508" s="60"/>
      <c r="N1508" s="60"/>
      <c r="O1508" s="60">
        <f t="shared" ref="O1508:O1513" si="375">N1508*J1508*K1508*M1508</f>
        <v>0</v>
      </c>
      <c r="P1508" s="60">
        <f t="shared" ref="P1508:P1513" si="376">J1508*K1508*M1508</f>
        <v>0</v>
      </c>
    </row>
    <row r="1509" spans="1:16" s="38" customFormat="1" ht="10.7" customHeight="1" outlineLevel="1" x14ac:dyDescent="0.25">
      <c r="A1509" s="124"/>
      <c r="B1509" s="142"/>
      <c r="C1509" s="115"/>
      <c r="D1509" s="115"/>
      <c r="E1509" s="115"/>
      <c r="F1509" s="115"/>
      <c r="G1509" s="60" t="s">
        <v>127</v>
      </c>
      <c r="H1509" s="124"/>
      <c r="I1509" s="124"/>
      <c r="J1509" s="60"/>
      <c r="K1509" s="60"/>
      <c r="L1509" s="160"/>
      <c r="M1509" s="60"/>
      <c r="N1509" s="60"/>
      <c r="O1509" s="60">
        <f t="shared" si="375"/>
        <v>0</v>
      </c>
      <c r="P1509" s="60">
        <f t="shared" si="376"/>
        <v>0</v>
      </c>
    </row>
    <row r="1510" spans="1:16" s="38" customFormat="1" ht="10.7" customHeight="1" outlineLevel="1" x14ac:dyDescent="0.25">
      <c r="A1510" s="124"/>
      <c r="B1510" s="142"/>
      <c r="C1510" s="115"/>
      <c r="D1510" s="115"/>
      <c r="E1510" s="115"/>
      <c r="F1510" s="115"/>
      <c r="G1510" s="60" t="s">
        <v>128</v>
      </c>
      <c r="H1510" s="124"/>
      <c r="I1510" s="124"/>
      <c r="J1510" s="60"/>
      <c r="K1510" s="60"/>
      <c r="L1510" s="160"/>
      <c r="M1510" s="60"/>
      <c r="N1510" s="60"/>
      <c r="O1510" s="60">
        <f t="shared" si="375"/>
        <v>0</v>
      </c>
      <c r="P1510" s="60">
        <f t="shared" si="376"/>
        <v>0</v>
      </c>
    </row>
    <row r="1511" spans="1:16" s="38" customFormat="1" ht="10.7" customHeight="1" outlineLevel="1" x14ac:dyDescent="0.25">
      <c r="A1511" s="124"/>
      <c r="B1511" s="142"/>
      <c r="C1511" s="115"/>
      <c r="D1511" s="115"/>
      <c r="E1511" s="115"/>
      <c r="F1511" s="115"/>
      <c r="G1511" s="60" t="s">
        <v>129</v>
      </c>
      <c r="H1511" s="124"/>
      <c r="I1511" s="124"/>
      <c r="J1511" s="60"/>
      <c r="K1511" s="60"/>
      <c r="L1511" s="160"/>
      <c r="M1511" s="60"/>
      <c r="N1511" s="60"/>
      <c r="O1511" s="60">
        <f t="shared" si="375"/>
        <v>0</v>
      </c>
      <c r="P1511" s="60">
        <f t="shared" si="376"/>
        <v>0</v>
      </c>
    </row>
    <row r="1512" spans="1:16" s="38" customFormat="1" ht="10.7" customHeight="1" outlineLevel="1" x14ac:dyDescent="0.25">
      <c r="A1512" s="124"/>
      <c r="B1512" s="142"/>
      <c r="C1512" s="115"/>
      <c r="D1512" s="115"/>
      <c r="E1512" s="115"/>
      <c r="F1512" s="115"/>
      <c r="G1512" s="60" t="s">
        <v>130</v>
      </c>
      <c r="H1512" s="124"/>
      <c r="I1512" s="124"/>
      <c r="J1512" s="60"/>
      <c r="K1512" s="60"/>
      <c r="L1512" s="160"/>
      <c r="M1512" s="60"/>
      <c r="N1512" s="60"/>
      <c r="O1512" s="60">
        <f t="shared" si="375"/>
        <v>0</v>
      </c>
      <c r="P1512" s="60">
        <f t="shared" si="376"/>
        <v>0</v>
      </c>
    </row>
    <row r="1513" spans="1:16" s="38" customFormat="1" ht="12" customHeight="1" outlineLevel="1" thickBot="1" x14ac:dyDescent="0.3">
      <c r="A1513" s="125"/>
      <c r="B1513" s="143"/>
      <c r="C1513" s="131"/>
      <c r="D1513" s="131"/>
      <c r="E1513" s="131"/>
      <c r="F1513" s="131"/>
      <c r="G1513" s="60" t="s">
        <v>131</v>
      </c>
      <c r="H1513" s="134"/>
      <c r="I1513" s="134"/>
      <c r="J1513" s="60"/>
      <c r="K1513" s="60"/>
      <c r="L1513" s="160"/>
      <c r="M1513" s="60"/>
      <c r="N1513" s="60"/>
      <c r="O1513" s="60">
        <f t="shared" si="375"/>
        <v>0</v>
      </c>
      <c r="P1513" s="60">
        <f t="shared" si="376"/>
        <v>0</v>
      </c>
    </row>
    <row r="1514" spans="1:16" s="39" customFormat="1" ht="15.75" x14ac:dyDescent="0.25">
      <c r="A1514" s="40" t="s">
        <v>931</v>
      </c>
      <c r="B1514" s="41" t="s">
        <v>932</v>
      </c>
      <c r="C1514" s="42">
        <f>SUM(C1515:C1535)</f>
        <v>0</v>
      </c>
      <c r="D1514" s="42">
        <f>SUM(D1515:D1535)</f>
        <v>0</v>
      </c>
      <c r="E1514" s="42">
        <f>SUM(E1515:E1535)</f>
        <v>0</v>
      </c>
      <c r="F1514" s="42"/>
      <c r="G1514" s="42"/>
      <c r="H1514" s="42"/>
      <c r="I1514" s="42"/>
      <c r="J1514" s="42"/>
      <c r="K1514" s="42"/>
      <c r="L1514" s="163"/>
      <c r="M1514" s="42"/>
      <c r="N1514" s="42"/>
      <c r="O1514" s="42"/>
      <c r="P1514" s="47"/>
    </row>
    <row r="1515" spans="1:16" s="38" customFormat="1" ht="14.45" customHeight="1" outlineLevel="1" x14ac:dyDescent="0.25">
      <c r="A1515" s="140" t="s">
        <v>933</v>
      </c>
      <c r="B1515" s="141" t="s">
        <v>934</v>
      </c>
      <c r="C1515" s="130">
        <f>SUM(O1515:O1521)</f>
        <v>0</v>
      </c>
      <c r="D1515" s="130">
        <f>SUM(P1515:P1521)</f>
        <v>0</v>
      </c>
      <c r="E1515" s="130">
        <f t="shared" ref="E1515:E1529" si="377">D1515/8</f>
        <v>0</v>
      </c>
      <c r="F1515" s="130"/>
      <c r="G1515" s="60" t="s">
        <v>125</v>
      </c>
      <c r="H1515" s="123"/>
      <c r="I1515" s="123"/>
      <c r="J1515" s="60"/>
      <c r="K1515" s="60"/>
      <c r="L1515" s="160"/>
      <c r="M1515" s="60"/>
      <c r="N1515" s="60"/>
      <c r="O1515" s="60">
        <f>N1515*J1515*K1515*M1515</f>
        <v>0</v>
      </c>
      <c r="P1515" s="60">
        <f>J1515*K1515*M1515</f>
        <v>0</v>
      </c>
    </row>
    <row r="1516" spans="1:16" s="38" customFormat="1" ht="11.45" customHeight="1" outlineLevel="1" x14ac:dyDescent="0.25">
      <c r="A1516" s="124"/>
      <c r="B1516" s="142"/>
      <c r="C1516" s="115"/>
      <c r="D1516" s="115"/>
      <c r="E1516" s="115"/>
      <c r="F1516" s="115"/>
      <c r="G1516" s="60" t="s">
        <v>126</v>
      </c>
      <c r="H1516" s="124"/>
      <c r="I1516" s="124"/>
      <c r="J1516" s="60"/>
      <c r="K1516" s="60"/>
      <c r="L1516" s="160"/>
      <c r="M1516" s="60"/>
      <c r="N1516" s="60"/>
      <c r="O1516" s="60">
        <f t="shared" ref="O1516:O1521" si="378">N1516*J1516*K1516*M1516</f>
        <v>0</v>
      </c>
      <c r="P1516" s="60">
        <f t="shared" ref="P1516:P1521" si="379">J1516*K1516*M1516</f>
        <v>0</v>
      </c>
    </row>
    <row r="1517" spans="1:16" s="38" customFormat="1" ht="10.7" customHeight="1" outlineLevel="1" x14ac:dyDescent="0.25">
      <c r="A1517" s="124"/>
      <c r="B1517" s="142"/>
      <c r="C1517" s="115"/>
      <c r="D1517" s="115"/>
      <c r="E1517" s="115"/>
      <c r="F1517" s="115"/>
      <c r="G1517" s="60" t="s">
        <v>127</v>
      </c>
      <c r="H1517" s="124"/>
      <c r="I1517" s="124"/>
      <c r="J1517" s="60"/>
      <c r="K1517" s="60"/>
      <c r="L1517" s="160"/>
      <c r="M1517" s="60"/>
      <c r="N1517" s="60"/>
      <c r="O1517" s="60">
        <f t="shared" si="378"/>
        <v>0</v>
      </c>
      <c r="P1517" s="60">
        <f t="shared" si="379"/>
        <v>0</v>
      </c>
    </row>
    <row r="1518" spans="1:16" s="38" customFormat="1" ht="10.7" customHeight="1" outlineLevel="1" x14ac:dyDescent="0.25">
      <c r="A1518" s="124"/>
      <c r="B1518" s="142"/>
      <c r="C1518" s="115"/>
      <c r="D1518" s="115"/>
      <c r="E1518" s="115"/>
      <c r="F1518" s="115"/>
      <c r="G1518" s="60" t="s">
        <v>128</v>
      </c>
      <c r="H1518" s="124"/>
      <c r="I1518" s="124"/>
      <c r="J1518" s="60"/>
      <c r="K1518" s="60"/>
      <c r="L1518" s="160"/>
      <c r="M1518" s="60"/>
      <c r="N1518" s="60"/>
      <c r="O1518" s="60">
        <f t="shared" si="378"/>
        <v>0</v>
      </c>
      <c r="P1518" s="60">
        <f t="shared" si="379"/>
        <v>0</v>
      </c>
    </row>
    <row r="1519" spans="1:16" s="38" customFormat="1" ht="10.7" customHeight="1" outlineLevel="1" x14ac:dyDescent="0.25">
      <c r="A1519" s="124"/>
      <c r="B1519" s="142"/>
      <c r="C1519" s="115"/>
      <c r="D1519" s="115"/>
      <c r="E1519" s="115"/>
      <c r="F1519" s="115"/>
      <c r="G1519" s="60" t="s">
        <v>129</v>
      </c>
      <c r="H1519" s="124"/>
      <c r="I1519" s="124"/>
      <c r="J1519" s="60"/>
      <c r="K1519" s="60"/>
      <c r="L1519" s="160"/>
      <c r="M1519" s="60"/>
      <c r="N1519" s="60"/>
      <c r="O1519" s="60">
        <f t="shared" si="378"/>
        <v>0</v>
      </c>
      <c r="P1519" s="60">
        <f t="shared" si="379"/>
        <v>0</v>
      </c>
    </row>
    <row r="1520" spans="1:16" s="38" customFormat="1" ht="10.7" customHeight="1" outlineLevel="1" x14ac:dyDescent="0.25">
      <c r="A1520" s="124"/>
      <c r="B1520" s="142"/>
      <c r="C1520" s="115"/>
      <c r="D1520" s="115"/>
      <c r="E1520" s="115"/>
      <c r="F1520" s="115"/>
      <c r="G1520" s="60" t="s">
        <v>130</v>
      </c>
      <c r="H1520" s="124"/>
      <c r="I1520" s="124"/>
      <c r="J1520" s="60"/>
      <c r="K1520" s="60"/>
      <c r="L1520" s="160"/>
      <c r="M1520" s="60"/>
      <c r="N1520" s="60"/>
      <c r="O1520" s="60">
        <f t="shared" si="378"/>
        <v>0</v>
      </c>
      <c r="P1520" s="60">
        <f t="shared" si="379"/>
        <v>0</v>
      </c>
    </row>
    <row r="1521" spans="1:16" s="38" customFormat="1" ht="12" customHeight="1" outlineLevel="1" thickBot="1" x14ac:dyDescent="0.3">
      <c r="A1521" s="125"/>
      <c r="B1521" s="143"/>
      <c r="C1521" s="131"/>
      <c r="D1521" s="131"/>
      <c r="E1521" s="131"/>
      <c r="F1521" s="131"/>
      <c r="G1521" s="60" t="s">
        <v>131</v>
      </c>
      <c r="H1521" s="134"/>
      <c r="I1521" s="134"/>
      <c r="J1521" s="60"/>
      <c r="K1521" s="60"/>
      <c r="L1521" s="160"/>
      <c r="M1521" s="60"/>
      <c r="N1521" s="60"/>
      <c r="O1521" s="60">
        <f t="shared" si="378"/>
        <v>0</v>
      </c>
      <c r="P1521" s="60">
        <f t="shared" si="379"/>
        <v>0</v>
      </c>
    </row>
    <row r="1522" spans="1:16" s="38" customFormat="1" ht="14.45" customHeight="1" outlineLevel="1" x14ac:dyDescent="0.25">
      <c r="A1522" s="140" t="s">
        <v>935</v>
      </c>
      <c r="B1522" s="141" t="s">
        <v>936</v>
      </c>
      <c r="C1522" s="130">
        <f>SUM(O1522:O1528)</f>
        <v>0</v>
      </c>
      <c r="D1522" s="130">
        <f>SUM(P1522:P1528)</f>
        <v>0</v>
      </c>
      <c r="E1522" s="130">
        <f t="shared" si="377"/>
        <v>0</v>
      </c>
      <c r="F1522" s="130"/>
      <c r="G1522" s="60" t="s">
        <v>125</v>
      </c>
      <c r="H1522" s="123"/>
      <c r="I1522" s="123"/>
      <c r="J1522" s="60"/>
      <c r="K1522" s="60"/>
      <c r="L1522" s="160"/>
      <c r="M1522" s="60"/>
      <c r="N1522" s="60"/>
      <c r="O1522" s="60">
        <f>N1522*J1522*K1522*M1522</f>
        <v>0</v>
      </c>
      <c r="P1522" s="60">
        <f>J1522*K1522*M1522</f>
        <v>0</v>
      </c>
    </row>
    <row r="1523" spans="1:16" s="38" customFormat="1" ht="11.45" customHeight="1" outlineLevel="1" x14ac:dyDescent="0.25">
      <c r="A1523" s="124"/>
      <c r="B1523" s="142"/>
      <c r="C1523" s="115"/>
      <c r="D1523" s="115"/>
      <c r="E1523" s="115"/>
      <c r="F1523" s="115"/>
      <c r="G1523" s="60" t="s">
        <v>126</v>
      </c>
      <c r="H1523" s="124"/>
      <c r="I1523" s="124"/>
      <c r="J1523" s="60"/>
      <c r="K1523" s="60"/>
      <c r="L1523" s="160"/>
      <c r="M1523" s="60"/>
      <c r="N1523" s="60"/>
      <c r="O1523" s="60">
        <f t="shared" ref="O1523:O1528" si="380">N1523*J1523*K1523*M1523</f>
        <v>0</v>
      </c>
      <c r="P1523" s="60">
        <f t="shared" ref="P1523:P1528" si="381">J1523*K1523*M1523</f>
        <v>0</v>
      </c>
    </row>
    <row r="1524" spans="1:16" s="38" customFormat="1" ht="10.7" customHeight="1" outlineLevel="1" x14ac:dyDescent="0.25">
      <c r="A1524" s="124"/>
      <c r="B1524" s="142"/>
      <c r="C1524" s="115"/>
      <c r="D1524" s="115"/>
      <c r="E1524" s="115"/>
      <c r="F1524" s="115"/>
      <c r="G1524" s="60" t="s">
        <v>127</v>
      </c>
      <c r="H1524" s="124"/>
      <c r="I1524" s="124"/>
      <c r="J1524" s="60"/>
      <c r="K1524" s="60"/>
      <c r="L1524" s="160"/>
      <c r="M1524" s="60"/>
      <c r="N1524" s="60"/>
      <c r="O1524" s="60">
        <f t="shared" si="380"/>
        <v>0</v>
      </c>
      <c r="P1524" s="60">
        <f t="shared" si="381"/>
        <v>0</v>
      </c>
    </row>
    <row r="1525" spans="1:16" s="38" customFormat="1" ht="10.7" customHeight="1" outlineLevel="1" x14ac:dyDescent="0.25">
      <c r="A1525" s="124"/>
      <c r="B1525" s="142"/>
      <c r="C1525" s="115"/>
      <c r="D1525" s="115"/>
      <c r="E1525" s="115"/>
      <c r="F1525" s="115"/>
      <c r="G1525" s="60" t="s">
        <v>128</v>
      </c>
      <c r="H1525" s="124"/>
      <c r="I1525" s="124"/>
      <c r="J1525" s="60"/>
      <c r="K1525" s="60"/>
      <c r="L1525" s="160"/>
      <c r="M1525" s="60"/>
      <c r="N1525" s="60"/>
      <c r="O1525" s="60">
        <f t="shared" si="380"/>
        <v>0</v>
      </c>
      <c r="P1525" s="60">
        <f t="shared" si="381"/>
        <v>0</v>
      </c>
    </row>
    <row r="1526" spans="1:16" s="38" customFormat="1" ht="10.7" customHeight="1" outlineLevel="1" x14ac:dyDescent="0.25">
      <c r="A1526" s="124"/>
      <c r="B1526" s="142"/>
      <c r="C1526" s="115"/>
      <c r="D1526" s="115"/>
      <c r="E1526" s="115"/>
      <c r="F1526" s="115"/>
      <c r="G1526" s="60" t="s">
        <v>129</v>
      </c>
      <c r="H1526" s="124"/>
      <c r="I1526" s="124"/>
      <c r="J1526" s="60"/>
      <c r="K1526" s="60"/>
      <c r="L1526" s="160"/>
      <c r="M1526" s="60"/>
      <c r="N1526" s="60"/>
      <c r="O1526" s="60">
        <f t="shared" si="380"/>
        <v>0</v>
      </c>
      <c r="P1526" s="60">
        <f t="shared" si="381"/>
        <v>0</v>
      </c>
    </row>
    <row r="1527" spans="1:16" s="38" customFormat="1" ht="10.7" customHeight="1" outlineLevel="1" x14ac:dyDescent="0.25">
      <c r="A1527" s="124"/>
      <c r="B1527" s="142"/>
      <c r="C1527" s="115"/>
      <c r="D1527" s="115"/>
      <c r="E1527" s="115"/>
      <c r="F1527" s="115"/>
      <c r="G1527" s="60" t="s">
        <v>130</v>
      </c>
      <c r="H1527" s="124"/>
      <c r="I1527" s="124"/>
      <c r="J1527" s="60"/>
      <c r="K1527" s="60"/>
      <c r="L1527" s="160"/>
      <c r="M1527" s="60"/>
      <c r="N1527" s="60"/>
      <c r="O1527" s="60">
        <f t="shared" si="380"/>
        <v>0</v>
      </c>
      <c r="P1527" s="60">
        <f t="shared" si="381"/>
        <v>0</v>
      </c>
    </row>
    <row r="1528" spans="1:16" s="38" customFormat="1" ht="12" customHeight="1" outlineLevel="1" thickBot="1" x14ac:dyDescent="0.3">
      <c r="A1528" s="125"/>
      <c r="B1528" s="143"/>
      <c r="C1528" s="131"/>
      <c r="D1528" s="131"/>
      <c r="E1528" s="131"/>
      <c r="F1528" s="131"/>
      <c r="G1528" s="60" t="s">
        <v>131</v>
      </c>
      <c r="H1528" s="134"/>
      <c r="I1528" s="134"/>
      <c r="J1528" s="60"/>
      <c r="K1528" s="60"/>
      <c r="L1528" s="160"/>
      <c r="M1528" s="60"/>
      <c r="N1528" s="60"/>
      <c r="O1528" s="60">
        <f t="shared" si="380"/>
        <v>0</v>
      </c>
      <c r="P1528" s="60">
        <f t="shared" si="381"/>
        <v>0</v>
      </c>
    </row>
    <row r="1529" spans="1:16" s="38" customFormat="1" ht="14.45" customHeight="1" outlineLevel="1" x14ac:dyDescent="0.25">
      <c r="A1529" s="140" t="s">
        <v>937</v>
      </c>
      <c r="B1529" s="141" t="s">
        <v>938</v>
      </c>
      <c r="C1529" s="130">
        <f>SUM(O1529:O1535)</f>
        <v>0</v>
      </c>
      <c r="D1529" s="130">
        <f>SUM(P1529:P1535)</f>
        <v>0</v>
      </c>
      <c r="E1529" s="130">
        <f t="shared" si="377"/>
        <v>0</v>
      </c>
      <c r="F1529" s="130"/>
      <c r="G1529" s="60" t="s">
        <v>125</v>
      </c>
      <c r="H1529" s="123"/>
      <c r="I1529" s="123"/>
      <c r="J1529" s="60"/>
      <c r="K1529" s="60"/>
      <c r="L1529" s="160"/>
      <c r="M1529" s="60"/>
      <c r="N1529" s="60"/>
      <c r="O1529" s="60">
        <f>N1529*J1529*K1529*M1529</f>
        <v>0</v>
      </c>
      <c r="P1529" s="60">
        <f>J1529*K1529*M1529</f>
        <v>0</v>
      </c>
    </row>
    <row r="1530" spans="1:16" s="38" customFormat="1" ht="11.45" customHeight="1" outlineLevel="1" x14ac:dyDescent="0.25">
      <c r="A1530" s="124"/>
      <c r="B1530" s="142"/>
      <c r="C1530" s="115"/>
      <c r="D1530" s="115"/>
      <c r="E1530" s="115"/>
      <c r="F1530" s="115"/>
      <c r="G1530" s="60" t="s">
        <v>126</v>
      </c>
      <c r="H1530" s="124"/>
      <c r="I1530" s="124"/>
      <c r="J1530" s="60"/>
      <c r="K1530" s="60"/>
      <c r="L1530" s="160"/>
      <c r="M1530" s="60"/>
      <c r="N1530" s="60"/>
      <c r="O1530" s="60">
        <f t="shared" ref="O1530:O1535" si="382">N1530*J1530*K1530*M1530</f>
        <v>0</v>
      </c>
      <c r="P1530" s="60">
        <f t="shared" ref="P1530:P1535" si="383">J1530*K1530*M1530</f>
        <v>0</v>
      </c>
    </row>
    <row r="1531" spans="1:16" s="38" customFormat="1" ht="10.7" customHeight="1" outlineLevel="1" x14ac:dyDescent="0.25">
      <c r="A1531" s="124"/>
      <c r="B1531" s="142"/>
      <c r="C1531" s="115"/>
      <c r="D1531" s="115"/>
      <c r="E1531" s="115"/>
      <c r="F1531" s="115"/>
      <c r="G1531" s="60" t="s">
        <v>127</v>
      </c>
      <c r="H1531" s="124"/>
      <c r="I1531" s="124"/>
      <c r="J1531" s="60"/>
      <c r="K1531" s="60"/>
      <c r="L1531" s="160"/>
      <c r="M1531" s="60"/>
      <c r="N1531" s="60"/>
      <c r="O1531" s="60">
        <f t="shared" si="382"/>
        <v>0</v>
      </c>
      <c r="P1531" s="60">
        <f t="shared" si="383"/>
        <v>0</v>
      </c>
    </row>
    <row r="1532" spans="1:16" s="38" customFormat="1" ht="10.7" customHeight="1" outlineLevel="1" x14ac:dyDescent="0.25">
      <c r="A1532" s="124"/>
      <c r="B1532" s="142"/>
      <c r="C1532" s="115"/>
      <c r="D1532" s="115"/>
      <c r="E1532" s="115"/>
      <c r="F1532" s="115"/>
      <c r="G1532" s="60" t="s">
        <v>128</v>
      </c>
      <c r="H1532" s="124"/>
      <c r="I1532" s="124"/>
      <c r="J1532" s="60"/>
      <c r="K1532" s="60"/>
      <c r="L1532" s="160"/>
      <c r="M1532" s="60"/>
      <c r="N1532" s="60"/>
      <c r="O1532" s="60">
        <f t="shared" si="382"/>
        <v>0</v>
      </c>
      <c r="P1532" s="60">
        <f t="shared" si="383"/>
        <v>0</v>
      </c>
    </row>
    <row r="1533" spans="1:16" s="38" customFormat="1" ht="10.7" customHeight="1" outlineLevel="1" x14ac:dyDescent="0.25">
      <c r="A1533" s="124"/>
      <c r="B1533" s="142"/>
      <c r="C1533" s="115"/>
      <c r="D1533" s="115"/>
      <c r="E1533" s="115"/>
      <c r="F1533" s="115"/>
      <c r="G1533" s="60" t="s">
        <v>129</v>
      </c>
      <c r="H1533" s="124"/>
      <c r="I1533" s="124"/>
      <c r="J1533" s="60"/>
      <c r="K1533" s="60"/>
      <c r="L1533" s="160"/>
      <c r="M1533" s="60"/>
      <c r="N1533" s="60"/>
      <c r="O1533" s="60">
        <f t="shared" si="382"/>
        <v>0</v>
      </c>
      <c r="P1533" s="60">
        <f t="shared" si="383"/>
        <v>0</v>
      </c>
    </row>
    <row r="1534" spans="1:16" s="38" customFormat="1" ht="10.7" customHeight="1" outlineLevel="1" x14ac:dyDescent="0.25">
      <c r="A1534" s="124"/>
      <c r="B1534" s="142"/>
      <c r="C1534" s="115"/>
      <c r="D1534" s="115"/>
      <c r="E1534" s="115"/>
      <c r="F1534" s="115"/>
      <c r="G1534" s="60" t="s">
        <v>130</v>
      </c>
      <c r="H1534" s="124"/>
      <c r="I1534" s="124"/>
      <c r="J1534" s="60"/>
      <c r="K1534" s="60"/>
      <c r="L1534" s="160"/>
      <c r="M1534" s="60"/>
      <c r="N1534" s="60"/>
      <c r="O1534" s="60">
        <f t="shared" si="382"/>
        <v>0</v>
      </c>
      <c r="P1534" s="60">
        <f t="shared" si="383"/>
        <v>0</v>
      </c>
    </row>
    <row r="1535" spans="1:16" s="38" customFormat="1" ht="12" customHeight="1" outlineLevel="1" thickBot="1" x14ac:dyDescent="0.3">
      <c r="A1535" s="125"/>
      <c r="B1535" s="143"/>
      <c r="C1535" s="131"/>
      <c r="D1535" s="131"/>
      <c r="E1535" s="131"/>
      <c r="F1535" s="131"/>
      <c r="G1535" s="60" t="s">
        <v>131</v>
      </c>
      <c r="H1535" s="134"/>
      <c r="I1535" s="134"/>
      <c r="J1535" s="60"/>
      <c r="K1535" s="60"/>
      <c r="L1535" s="160"/>
      <c r="M1535" s="60"/>
      <c r="N1535" s="60"/>
      <c r="O1535" s="60">
        <f t="shared" si="382"/>
        <v>0</v>
      </c>
      <c r="P1535" s="60">
        <f t="shared" si="383"/>
        <v>0</v>
      </c>
    </row>
    <row r="1536" spans="1:16" s="39" customFormat="1" ht="15.75" x14ac:dyDescent="0.25">
      <c r="A1536" s="40" t="s">
        <v>939</v>
      </c>
      <c r="B1536" s="41" t="s">
        <v>330</v>
      </c>
      <c r="C1536" s="42">
        <f>SUM(C1537:C1550)</f>
        <v>0</v>
      </c>
      <c r="D1536" s="42">
        <f>SUM(D1537:D1550)</f>
        <v>0</v>
      </c>
      <c r="E1536" s="42">
        <f>SUM(E1537:E1550)</f>
        <v>0</v>
      </c>
      <c r="F1536" s="42"/>
      <c r="G1536" s="42"/>
      <c r="H1536" s="42"/>
      <c r="I1536" s="42"/>
      <c r="J1536" s="42"/>
      <c r="K1536" s="42"/>
      <c r="L1536" s="163"/>
      <c r="M1536" s="42"/>
      <c r="N1536" s="42"/>
      <c r="O1536" s="42"/>
      <c r="P1536" s="47"/>
    </row>
    <row r="1537" spans="1:16" s="38" customFormat="1" ht="14.45" customHeight="1" outlineLevel="1" x14ac:dyDescent="0.25">
      <c r="A1537" s="140" t="s">
        <v>940</v>
      </c>
      <c r="B1537" s="141" t="s">
        <v>941</v>
      </c>
      <c r="C1537" s="130">
        <f>SUM(O1537:O1543)</f>
        <v>0</v>
      </c>
      <c r="D1537" s="130">
        <f>SUM(P1537:P1543)</f>
        <v>0</v>
      </c>
      <c r="E1537" s="130">
        <f t="shared" ref="E1537:E1544" si="384">D1537/8</f>
        <v>0</v>
      </c>
      <c r="F1537" s="130"/>
      <c r="G1537" s="60" t="s">
        <v>125</v>
      </c>
      <c r="H1537" s="123"/>
      <c r="I1537" s="123"/>
      <c r="J1537" s="60"/>
      <c r="K1537" s="60"/>
      <c r="L1537" s="160"/>
      <c r="M1537" s="60"/>
      <c r="N1537" s="60"/>
      <c r="O1537" s="60">
        <f>N1537*J1537*K1537*M1537</f>
        <v>0</v>
      </c>
      <c r="P1537" s="60">
        <f>J1537*K1537*M1537</f>
        <v>0</v>
      </c>
    </row>
    <row r="1538" spans="1:16" s="38" customFormat="1" ht="11.45" customHeight="1" outlineLevel="1" x14ac:dyDescent="0.25">
      <c r="A1538" s="124"/>
      <c r="B1538" s="142"/>
      <c r="C1538" s="115"/>
      <c r="D1538" s="115"/>
      <c r="E1538" s="115"/>
      <c r="F1538" s="115"/>
      <c r="G1538" s="60" t="s">
        <v>126</v>
      </c>
      <c r="H1538" s="124"/>
      <c r="I1538" s="124"/>
      <c r="J1538" s="60"/>
      <c r="K1538" s="60"/>
      <c r="L1538" s="160"/>
      <c r="M1538" s="60"/>
      <c r="N1538" s="60"/>
      <c r="O1538" s="60">
        <f t="shared" ref="O1538:O1543" si="385">N1538*J1538*K1538*M1538</f>
        <v>0</v>
      </c>
      <c r="P1538" s="60">
        <f t="shared" ref="P1538:P1543" si="386">J1538*K1538*M1538</f>
        <v>0</v>
      </c>
    </row>
    <row r="1539" spans="1:16" s="38" customFormat="1" ht="10.7" customHeight="1" outlineLevel="1" x14ac:dyDescent="0.25">
      <c r="A1539" s="124"/>
      <c r="B1539" s="142"/>
      <c r="C1539" s="115"/>
      <c r="D1539" s="115"/>
      <c r="E1539" s="115"/>
      <c r="F1539" s="115"/>
      <c r="G1539" s="60" t="s">
        <v>127</v>
      </c>
      <c r="H1539" s="124"/>
      <c r="I1539" s="124"/>
      <c r="J1539" s="60"/>
      <c r="K1539" s="60"/>
      <c r="L1539" s="160"/>
      <c r="M1539" s="60"/>
      <c r="N1539" s="60"/>
      <c r="O1539" s="60">
        <f t="shared" si="385"/>
        <v>0</v>
      </c>
      <c r="P1539" s="60">
        <f t="shared" si="386"/>
        <v>0</v>
      </c>
    </row>
    <row r="1540" spans="1:16" s="38" customFormat="1" ht="10.7" customHeight="1" outlineLevel="1" x14ac:dyDescent="0.25">
      <c r="A1540" s="124"/>
      <c r="B1540" s="142"/>
      <c r="C1540" s="115"/>
      <c r="D1540" s="115"/>
      <c r="E1540" s="115"/>
      <c r="F1540" s="115"/>
      <c r="G1540" s="60" t="s">
        <v>128</v>
      </c>
      <c r="H1540" s="124"/>
      <c r="I1540" s="124"/>
      <c r="J1540" s="60"/>
      <c r="K1540" s="60"/>
      <c r="L1540" s="160"/>
      <c r="M1540" s="60"/>
      <c r="N1540" s="60"/>
      <c r="O1540" s="60">
        <f t="shared" si="385"/>
        <v>0</v>
      </c>
      <c r="P1540" s="60">
        <f t="shared" si="386"/>
        <v>0</v>
      </c>
    </row>
    <row r="1541" spans="1:16" s="38" customFormat="1" ht="10.7" customHeight="1" outlineLevel="1" x14ac:dyDescent="0.25">
      <c r="A1541" s="124"/>
      <c r="B1541" s="142"/>
      <c r="C1541" s="115"/>
      <c r="D1541" s="115"/>
      <c r="E1541" s="115"/>
      <c r="F1541" s="115"/>
      <c r="G1541" s="60" t="s">
        <v>129</v>
      </c>
      <c r="H1541" s="124"/>
      <c r="I1541" s="124"/>
      <c r="J1541" s="60"/>
      <c r="K1541" s="60"/>
      <c r="L1541" s="160"/>
      <c r="M1541" s="60"/>
      <c r="N1541" s="60"/>
      <c r="O1541" s="60">
        <f t="shared" si="385"/>
        <v>0</v>
      </c>
      <c r="P1541" s="60">
        <f t="shared" si="386"/>
        <v>0</v>
      </c>
    </row>
    <row r="1542" spans="1:16" s="38" customFormat="1" ht="10.7" customHeight="1" outlineLevel="1" x14ac:dyDescent="0.25">
      <c r="A1542" s="124"/>
      <c r="B1542" s="142"/>
      <c r="C1542" s="115"/>
      <c r="D1542" s="115"/>
      <c r="E1542" s="115"/>
      <c r="F1542" s="115"/>
      <c r="G1542" s="60" t="s">
        <v>130</v>
      </c>
      <c r="H1542" s="124"/>
      <c r="I1542" s="124"/>
      <c r="J1542" s="60"/>
      <c r="K1542" s="60"/>
      <c r="L1542" s="160"/>
      <c r="M1542" s="60"/>
      <c r="N1542" s="60"/>
      <c r="O1542" s="60">
        <f t="shared" si="385"/>
        <v>0</v>
      </c>
      <c r="P1542" s="60">
        <f t="shared" si="386"/>
        <v>0</v>
      </c>
    </row>
    <row r="1543" spans="1:16" s="38" customFormat="1" ht="12" customHeight="1" outlineLevel="1" thickBot="1" x14ac:dyDescent="0.3">
      <c r="A1543" s="125"/>
      <c r="B1543" s="143"/>
      <c r="C1543" s="131"/>
      <c r="D1543" s="131"/>
      <c r="E1543" s="131"/>
      <c r="F1543" s="131"/>
      <c r="G1543" s="60" t="s">
        <v>131</v>
      </c>
      <c r="H1543" s="134"/>
      <c r="I1543" s="134"/>
      <c r="J1543" s="60"/>
      <c r="K1543" s="60"/>
      <c r="L1543" s="160"/>
      <c r="M1543" s="60"/>
      <c r="N1543" s="60"/>
      <c r="O1543" s="60">
        <f t="shared" si="385"/>
        <v>0</v>
      </c>
      <c r="P1543" s="60">
        <f t="shared" si="386"/>
        <v>0</v>
      </c>
    </row>
    <row r="1544" spans="1:16" s="38" customFormat="1" ht="14.45" customHeight="1" outlineLevel="1" x14ac:dyDescent="0.25">
      <c r="A1544" s="140" t="s">
        <v>942</v>
      </c>
      <c r="B1544" s="141" t="s">
        <v>943</v>
      </c>
      <c r="C1544" s="130">
        <f>SUM(O1544:O1550)</f>
        <v>0</v>
      </c>
      <c r="D1544" s="130">
        <f>SUM(P1544:P1550)</f>
        <v>0</v>
      </c>
      <c r="E1544" s="130">
        <f t="shared" si="384"/>
        <v>0</v>
      </c>
      <c r="F1544" s="130"/>
      <c r="G1544" s="60" t="s">
        <v>125</v>
      </c>
      <c r="H1544" s="123"/>
      <c r="I1544" s="123"/>
      <c r="J1544" s="60"/>
      <c r="K1544" s="60"/>
      <c r="L1544" s="160"/>
      <c r="M1544" s="60"/>
      <c r="N1544" s="60"/>
      <c r="O1544" s="60">
        <f>N1544*J1544*K1544*M1544</f>
        <v>0</v>
      </c>
      <c r="P1544" s="60">
        <f>J1544*K1544*M1544</f>
        <v>0</v>
      </c>
    </row>
    <row r="1545" spans="1:16" s="38" customFormat="1" ht="11.45" customHeight="1" outlineLevel="1" x14ac:dyDescent="0.25">
      <c r="A1545" s="124"/>
      <c r="B1545" s="142"/>
      <c r="C1545" s="115"/>
      <c r="D1545" s="115"/>
      <c r="E1545" s="115"/>
      <c r="F1545" s="115"/>
      <c r="G1545" s="60" t="s">
        <v>126</v>
      </c>
      <c r="H1545" s="124"/>
      <c r="I1545" s="124"/>
      <c r="J1545" s="60"/>
      <c r="K1545" s="60"/>
      <c r="L1545" s="160"/>
      <c r="M1545" s="60"/>
      <c r="N1545" s="60"/>
      <c r="O1545" s="60">
        <f t="shared" ref="O1545:O1550" si="387">N1545*J1545*K1545*M1545</f>
        <v>0</v>
      </c>
      <c r="P1545" s="60">
        <f t="shared" ref="P1545:P1550" si="388">J1545*K1545*M1545</f>
        <v>0</v>
      </c>
    </row>
    <row r="1546" spans="1:16" s="38" customFormat="1" ht="10.7" customHeight="1" outlineLevel="1" x14ac:dyDescent="0.25">
      <c r="A1546" s="124"/>
      <c r="B1546" s="142"/>
      <c r="C1546" s="115"/>
      <c r="D1546" s="115"/>
      <c r="E1546" s="115"/>
      <c r="F1546" s="115"/>
      <c r="G1546" s="60" t="s">
        <v>127</v>
      </c>
      <c r="H1546" s="124"/>
      <c r="I1546" s="124"/>
      <c r="J1546" s="60"/>
      <c r="K1546" s="60"/>
      <c r="L1546" s="160"/>
      <c r="M1546" s="60"/>
      <c r="N1546" s="60"/>
      <c r="O1546" s="60">
        <f t="shared" si="387"/>
        <v>0</v>
      </c>
      <c r="P1546" s="60">
        <f t="shared" si="388"/>
        <v>0</v>
      </c>
    </row>
    <row r="1547" spans="1:16" s="38" customFormat="1" ht="10.7" customHeight="1" outlineLevel="1" x14ac:dyDescent="0.25">
      <c r="A1547" s="124"/>
      <c r="B1547" s="142"/>
      <c r="C1547" s="115"/>
      <c r="D1547" s="115"/>
      <c r="E1547" s="115"/>
      <c r="F1547" s="115"/>
      <c r="G1547" s="60" t="s">
        <v>128</v>
      </c>
      <c r="H1547" s="124"/>
      <c r="I1547" s="124"/>
      <c r="J1547" s="60"/>
      <c r="K1547" s="60"/>
      <c r="L1547" s="160"/>
      <c r="M1547" s="60"/>
      <c r="N1547" s="60"/>
      <c r="O1547" s="60">
        <f t="shared" si="387"/>
        <v>0</v>
      </c>
      <c r="P1547" s="60">
        <f t="shared" si="388"/>
        <v>0</v>
      </c>
    </row>
    <row r="1548" spans="1:16" s="38" customFormat="1" ht="10.7" customHeight="1" outlineLevel="1" x14ac:dyDescent="0.25">
      <c r="A1548" s="124"/>
      <c r="B1548" s="142"/>
      <c r="C1548" s="115"/>
      <c r="D1548" s="115"/>
      <c r="E1548" s="115"/>
      <c r="F1548" s="115"/>
      <c r="G1548" s="60" t="s">
        <v>129</v>
      </c>
      <c r="H1548" s="124"/>
      <c r="I1548" s="124"/>
      <c r="J1548" s="60"/>
      <c r="K1548" s="60"/>
      <c r="L1548" s="160"/>
      <c r="M1548" s="60"/>
      <c r="N1548" s="60"/>
      <c r="O1548" s="60">
        <f t="shared" si="387"/>
        <v>0</v>
      </c>
      <c r="P1548" s="60">
        <f t="shared" si="388"/>
        <v>0</v>
      </c>
    </row>
    <row r="1549" spans="1:16" s="38" customFormat="1" ht="10.7" customHeight="1" outlineLevel="1" x14ac:dyDescent="0.25">
      <c r="A1549" s="124"/>
      <c r="B1549" s="142"/>
      <c r="C1549" s="115"/>
      <c r="D1549" s="115"/>
      <c r="E1549" s="115"/>
      <c r="F1549" s="115"/>
      <c r="G1549" s="60" t="s">
        <v>130</v>
      </c>
      <c r="H1549" s="124"/>
      <c r="I1549" s="124"/>
      <c r="J1549" s="60"/>
      <c r="K1549" s="60"/>
      <c r="L1549" s="160"/>
      <c r="M1549" s="60"/>
      <c r="N1549" s="60"/>
      <c r="O1549" s="60">
        <f t="shared" si="387"/>
        <v>0</v>
      </c>
      <c r="P1549" s="60">
        <f t="shared" si="388"/>
        <v>0</v>
      </c>
    </row>
    <row r="1550" spans="1:16" s="38" customFormat="1" ht="12" customHeight="1" outlineLevel="1" thickBot="1" x14ac:dyDescent="0.3">
      <c r="A1550" s="125"/>
      <c r="B1550" s="143"/>
      <c r="C1550" s="131"/>
      <c r="D1550" s="131"/>
      <c r="E1550" s="131"/>
      <c r="F1550" s="131"/>
      <c r="G1550" s="60" t="s">
        <v>131</v>
      </c>
      <c r="H1550" s="134"/>
      <c r="I1550" s="134"/>
      <c r="J1550" s="60"/>
      <c r="K1550" s="60"/>
      <c r="L1550" s="160"/>
      <c r="M1550" s="60"/>
      <c r="N1550" s="60"/>
      <c r="O1550" s="60">
        <f t="shared" si="387"/>
        <v>0</v>
      </c>
      <c r="P1550" s="60">
        <f t="shared" si="388"/>
        <v>0</v>
      </c>
    </row>
    <row r="1551" spans="1:16" s="39" customFormat="1" ht="15.75" x14ac:dyDescent="0.25">
      <c r="A1551" s="40" t="s">
        <v>944</v>
      </c>
      <c r="B1551" s="41" t="s">
        <v>945</v>
      </c>
      <c r="C1551" s="42">
        <f>SUM(C1552)</f>
        <v>0</v>
      </c>
      <c r="D1551" s="42">
        <f>SUM(D1552)</f>
        <v>0</v>
      </c>
      <c r="E1551" s="42">
        <f>SUM(E1552)</f>
        <v>0</v>
      </c>
      <c r="F1551" s="42"/>
      <c r="G1551" s="42"/>
      <c r="H1551" s="42"/>
      <c r="I1551" s="42"/>
      <c r="J1551" s="42"/>
      <c r="K1551" s="42"/>
      <c r="L1551" s="163"/>
      <c r="M1551" s="42"/>
      <c r="N1551" s="42"/>
      <c r="O1551" s="42"/>
      <c r="P1551" s="47"/>
    </row>
    <row r="1552" spans="1:16" s="38" customFormat="1" ht="14.45" customHeight="1" outlineLevel="1" x14ac:dyDescent="0.25">
      <c r="A1552" s="140" t="s">
        <v>946</v>
      </c>
      <c r="B1552" s="141" t="s">
        <v>504</v>
      </c>
      <c r="C1552" s="130">
        <f>SUM(O1552:O1558)</f>
        <v>0</v>
      </c>
      <c r="D1552" s="130">
        <f>SUM(P1552:P1558)</f>
        <v>0</v>
      </c>
      <c r="E1552" s="130">
        <f t="shared" ref="E1552" si="389">D1552/8</f>
        <v>0</v>
      </c>
      <c r="F1552" s="130"/>
      <c r="G1552" s="60" t="s">
        <v>125</v>
      </c>
      <c r="H1552" s="123"/>
      <c r="I1552" s="123"/>
      <c r="J1552" s="60"/>
      <c r="K1552" s="60"/>
      <c r="L1552" s="160"/>
      <c r="M1552" s="60"/>
      <c r="N1552" s="60"/>
      <c r="O1552" s="60">
        <f>N1552*J1552*K1552*M1552</f>
        <v>0</v>
      </c>
      <c r="P1552" s="60">
        <f>J1552*K1552*M1552</f>
        <v>0</v>
      </c>
    </row>
    <row r="1553" spans="1:16" s="38" customFormat="1" ht="11.45" customHeight="1" outlineLevel="1" x14ac:dyDescent="0.25">
      <c r="A1553" s="124"/>
      <c r="B1553" s="142"/>
      <c r="C1553" s="115"/>
      <c r="D1553" s="115"/>
      <c r="E1553" s="115"/>
      <c r="F1553" s="115"/>
      <c r="G1553" s="60" t="s">
        <v>126</v>
      </c>
      <c r="H1553" s="124"/>
      <c r="I1553" s="124"/>
      <c r="J1553" s="60"/>
      <c r="K1553" s="60"/>
      <c r="L1553" s="160"/>
      <c r="M1553" s="60"/>
      <c r="N1553" s="60"/>
      <c r="O1553" s="60">
        <f t="shared" ref="O1553:O1558" si="390">N1553*J1553*K1553*M1553</f>
        <v>0</v>
      </c>
      <c r="P1553" s="60">
        <f t="shared" ref="P1553:P1558" si="391">J1553*K1553*M1553</f>
        <v>0</v>
      </c>
    </row>
    <row r="1554" spans="1:16" s="38" customFormat="1" ht="10.7" customHeight="1" outlineLevel="1" x14ac:dyDescent="0.25">
      <c r="A1554" s="124"/>
      <c r="B1554" s="142"/>
      <c r="C1554" s="115"/>
      <c r="D1554" s="115"/>
      <c r="E1554" s="115"/>
      <c r="F1554" s="115"/>
      <c r="G1554" s="60" t="s">
        <v>127</v>
      </c>
      <c r="H1554" s="124"/>
      <c r="I1554" s="124"/>
      <c r="J1554" s="60"/>
      <c r="K1554" s="60"/>
      <c r="L1554" s="160"/>
      <c r="M1554" s="60"/>
      <c r="N1554" s="60"/>
      <c r="O1554" s="60">
        <f t="shared" si="390"/>
        <v>0</v>
      </c>
      <c r="P1554" s="60">
        <f t="shared" si="391"/>
        <v>0</v>
      </c>
    </row>
    <row r="1555" spans="1:16" s="38" customFormat="1" ht="10.7" customHeight="1" outlineLevel="1" x14ac:dyDescent="0.25">
      <c r="A1555" s="124"/>
      <c r="B1555" s="142"/>
      <c r="C1555" s="115"/>
      <c r="D1555" s="115"/>
      <c r="E1555" s="115"/>
      <c r="F1555" s="115"/>
      <c r="G1555" s="60" t="s">
        <v>128</v>
      </c>
      <c r="H1555" s="124"/>
      <c r="I1555" s="124"/>
      <c r="J1555" s="60"/>
      <c r="K1555" s="60"/>
      <c r="L1555" s="160"/>
      <c r="M1555" s="60"/>
      <c r="N1555" s="60"/>
      <c r="O1555" s="60">
        <f t="shared" si="390"/>
        <v>0</v>
      </c>
      <c r="P1555" s="60">
        <f t="shared" si="391"/>
        <v>0</v>
      </c>
    </row>
    <row r="1556" spans="1:16" s="38" customFormat="1" ht="10.7" customHeight="1" outlineLevel="1" x14ac:dyDescent="0.25">
      <c r="A1556" s="124"/>
      <c r="B1556" s="142"/>
      <c r="C1556" s="115"/>
      <c r="D1556" s="115"/>
      <c r="E1556" s="115"/>
      <c r="F1556" s="115"/>
      <c r="G1556" s="60" t="s">
        <v>129</v>
      </c>
      <c r="H1556" s="124"/>
      <c r="I1556" s="124"/>
      <c r="J1556" s="60"/>
      <c r="K1556" s="60"/>
      <c r="L1556" s="160"/>
      <c r="M1556" s="60"/>
      <c r="N1556" s="60"/>
      <c r="O1556" s="60">
        <f t="shared" si="390"/>
        <v>0</v>
      </c>
      <c r="P1556" s="60">
        <f t="shared" si="391"/>
        <v>0</v>
      </c>
    </row>
    <row r="1557" spans="1:16" s="38" customFormat="1" ht="10.7" customHeight="1" outlineLevel="1" x14ac:dyDescent="0.25">
      <c r="A1557" s="124"/>
      <c r="B1557" s="142"/>
      <c r="C1557" s="115"/>
      <c r="D1557" s="115"/>
      <c r="E1557" s="115"/>
      <c r="F1557" s="115"/>
      <c r="G1557" s="60" t="s">
        <v>130</v>
      </c>
      <c r="H1557" s="124"/>
      <c r="I1557" s="124"/>
      <c r="J1557" s="60"/>
      <c r="K1557" s="60"/>
      <c r="L1557" s="160"/>
      <c r="M1557" s="60"/>
      <c r="N1557" s="60"/>
      <c r="O1557" s="60">
        <f t="shared" si="390"/>
        <v>0</v>
      </c>
      <c r="P1557" s="60">
        <f t="shared" si="391"/>
        <v>0</v>
      </c>
    </row>
    <row r="1558" spans="1:16" s="38" customFormat="1" ht="12" customHeight="1" outlineLevel="1" thickBot="1" x14ac:dyDescent="0.3">
      <c r="A1558" s="125"/>
      <c r="B1558" s="143"/>
      <c r="C1558" s="131"/>
      <c r="D1558" s="131"/>
      <c r="E1558" s="131"/>
      <c r="F1558" s="131"/>
      <c r="G1558" s="60" t="s">
        <v>131</v>
      </c>
      <c r="H1558" s="134"/>
      <c r="I1558" s="134"/>
      <c r="J1558" s="60"/>
      <c r="K1558" s="60"/>
      <c r="L1558" s="160"/>
      <c r="M1558" s="60"/>
      <c r="N1558" s="60"/>
      <c r="O1558" s="60">
        <f t="shared" si="390"/>
        <v>0</v>
      </c>
      <c r="P1558" s="60">
        <f t="shared" si="391"/>
        <v>0</v>
      </c>
    </row>
    <row r="1559" spans="1:16" s="39" customFormat="1" ht="15.75" x14ac:dyDescent="0.25">
      <c r="A1559" s="40" t="s">
        <v>947</v>
      </c>
      <c r="B1559" s="41" t="s">
        <v>948</v>
      </c>
      <c r="C1559" s="42">
        <f>SUM(C1560:C1608)</f>
        <v>0</v>
      </c>
      <c r="D1559" s="42">
        <f>SUM(D1560:D1608)</f>
        <v>0</v>
      </c>
      <c r="E1559" s="42">
        <f>SUM(E1560:E1608)</f>
        <v>0</v>
      </c>
      <c r="F1559" s="42"/>
      <c r="G1559" s="42"/>
      <c r="H1559" s="42"/>
      <c r="I1559" s="42"/>
      <c r="J1559" s="42"/>
      <c r="K1559" s="42"/>
      <c r="L1559" s="163"/>
      <c r="M1559" s="42"/>
      <c r="N1559" s="42"/>
      <c r="O1559" s="42"/>
      <c r="P1559" s="47"/>
    </row>
    <row r="1560" spans="1:16" s="38" customFormat="1" ht="14.45" customHeight="1" outlineLevel="1" x14ac:dyDescent="0.25">
      <c r="A1560" s="140" t="s">
        <v>949</v>
      </c>
      <c r="B1560" s="141" t="s">
        <v>950</v>
      </c>
      <c r="C1560" s="130">
        <f>SUM(O1560:O1566)</f>
        <v>0</v>
      </c>
      <c r="D1560" s="130">
        <f>SUM(P1560:P1566)</f>
        <v>0</v>
      </c>
      <c r="E1560" s="130">
        <f t="shared" ref="E1560:E1602" si="392">D1560/8</f>
        <v>0</v>
      </c>
      <c r="F1560" s="130"/>
      <c r="G1560" s="60" t="s">
        <v>125</v>
      </c>
      <c r="H1560" s="123"/>
      <c r="I1560" s="123"/>
      <c r="J1560" s="60"/>
      <c r="K1560" s="60"/>
      <c r="L1560" s="160"/>
      <c r="M1560" s="60"/>
      <c r="N1560" s="60"/>
      <c r="O1560" s="60">
        <f>N1560*J1560*K1560*M1560</f>
        <v>0</v>
      </c>
      <c r="P1560" s="60">
        <f>J1560*K1560*M1560</f>
        <v>0</v>
      </c>
    </row>
    <row r="1561" spans="1:16" s="38" customFormat="1" ht="11.45" customHeight="1" outlineLevel="1" x14ac:dyDescent="0.25">
      <c r="A1561" s="124"/>
      <c r="B1561" s="142"/>
      <c r="C1561" s="115"/>
      <c r="D1561" s="115"/>
      <c r="E1561" s="115"/>
      <c r="F1561" s="115"/>
      <c r="G1561" s="60" t="s">
        <v>126</v>
      </c>
      <c r="H1561" s="124"/>
      <c r="I1561" s="124"/>
      <c r="J1561" s="60"/>
      <c r="K1561" s="60"/>
      <c r="L1561" s="160"/>
      <c r="M1561" s="60"/>
      <c r="N1561" s="60"/>
      <c r="O1561" s="60">
        <f t="shared" ref="O1561:O1566" si="393">N1561*J1561*K1561*M1561</f>
        <v>0</v>
      </c>
      <c r="P1561" s="60">
        <f t="shared" ref="P1561:P1566" si="394">J1561*K1561*M1561</f>
        <v>0</v>
      </c>
    </row>
    <row r="1562" spans="1:16" s="38" customFormat="1" ht="10.7" customHeight="1" outlineLevel="1" x14ac:dyDescent="0.25">
      <c r="A1562" s="124"/>
      <c r="B1562" s="142"/>
      <c r="C1562" s="115"/>
      <c r="D1562" s="115"/>
      <c r="E1562" s="115"/>
      <c r="F1562" s="115"/>
      <c r="G1562" s="60" t="s">
        <v>127</v>
      </c>
      <c r="H1562" s="124"/>
      <c r="I1562" s="124"/>
      <c r="J1562" s="60"/>
      <c r="K1562" s="60"/>
      <c r="L1562" s="160"/>
      <c r="M1562" s="60"/>
      <c r="N1562" s="60"/>
      <c r="O1562" s="60">
        <f t="shared" si="393"/>
        <v>0</v>
      </c>
      <c r="P1562" s="60">
        <f t="shared" si="394"/>
        <v>0</v>
      </c>
    </row>
    <row r="1563" spans="1:16" s="38" customFormat="1" ht="10.7" customHeight="1" outlineLevel="1" x14ac:dyDescent="0.25">
      <c r="A1563" s="124"/>
      <c r="B1563" s="142"/>
      <c r="C1563" s="115"/>
      <c r="D1563" s="115"/>
      <c r="E1563" s="115"/>
      <c r="F1563" s="115"/>
      <c r="G1563" s="60" t="s">
        <v>128</v>
      </c>
      <c r="H1563" s="124"/>
      <c r="I1563" s="124"/>
      <c r="J1563" s="60"/>
      <c r="K1563" s="60"/>
      <c r="L1563" s="160"/>
      <c r="M1563" s="60"/>
      <c r="N1563" s="60"/>
      <c r="O1563" s="60">
        <f t="shared" si="393"/>
        <v>0</v>
      </c>
      <c r="P1563" s="60">
        <f t="shared" si="394"/>
        <v>0</v>
      </c>
    </row>
    <row r="1564" spans="1:16" s="38" customFormat="1" ht="10.7" customHeight="1" outlineLevel="1" x14ac:dyDescent="0.25">
      <c r="A1564" s="124"/>
      <c r="B1564" s="142"/>
      <c r="C1564" s="115"/>
      <c r="D1564" s="115"/>
      <c r="E1564" s="115"/>
      <c r="F1564" s="115"/>
      <c r="G1564" s="60" t="s">
        <v>129</v>
      </c>
      <c r="H1564" s="124"/>
      <c r="I1564" s="124"/>
      <c r="J1564" s="60"/>
      <c r="K1564" s="60"/>
      <c r="L1564" s="160"/>
      <c r="M1564" s="60"/>
      <c r="N1564" s="60"/>
      <c r="O1564" s="60">
        <f t="shared" si="393"/>
        <v>0</v>
      </c>
      <c r="P1564" s="60">
        <f t="shared" si="394"/>
        <v>0</v>
      </c>
    </row>
    <row r="1565" spans="1:16" s="38" customFormat="1" ht="10.7" customHeight="1" outlineLevel="1" x14ac:dyDescent="0.25">
      <c r="A1565" s="124"/>
      <c r="B1565" s="142"/>
      <c r="C1565" s="115"/>
      <c r="D1565" s="115"/>
      <c r="E1565" s="115"/>
      <c r="F1565" s="115"/>
      <c r="G1565" s="60" t="s">
        <v>130</v>
      </c>
      <c r="H1565" s="124"/>
      <c r="I1565" s="124"/>
      <c r="J1565" s="60"/>
      <c r="K1565" s="60"/>
      <c r="L1565" s="160"/>
      <c r="M1565" s="60"/>
      <c r="N1565" s="60"/>
      <c r="O1565" s="60">
        <f t="shared" si="393"/>
        <v>0</v>
      </c>
      <c r="P1565" s="60">
        <f t="shared" si="394"/>
        <v>0</v>
      </c>
    </row>
    <row r="1566" spans="1:16" s="38" customFormat="1" ht="12" customHeight="1" outlineLevel="1" thickBot="1" x14ac:dyDescent="0.3">
      <c r="A1566" s="125"/>
      <c r="B1566" s="143"/>
      <c r="C1566" s="131"/>
      <c r="D1566" s="131"/>
      <c r="E1566" s="131"/>
      <c r="F1566" s="131"/>
      <c r="G1566" s="60" t="s">
        <v>131</v>
      </c>
      <c r="H1566" s="134"/>
      <c r="I1566" s="134"/>
      <c r="J1566" s="60"/>
      <c r="K1566" s="60"/>
      <c r="L1566" s="160"/>
      <c r="M1566" s="60"/>
      <c r="N1566" s="60"/>
      <c r="O1566" s="60">
        <f t="shared" si="393"/>
        <v>0</v>
      </c>
      <c r="P1566" s="60">
        <f t="shared" si="394"/>
        <v>0</v>
      </c>
    </row>
    <row r="1567" spans="1:16" s="38" customFormat="1" ht="14.45" customHeight="1" outlineLevel="1" x14ac:dyDescent="0.25">
      <c r="A1567" s="140" t="s">
        <v>951</v>
      </c>
      <c r="B1567" s="141" t="s">
        <v>952</v>
      </c>
      <c r="C1567" s="130">
        <f>SUM(O1567:O1573)</f>
        <v>0</v>
      </c>
      <c r="D1567" s="130">
        <f>SUM(P1567:P1573)</f>
        <v>0</v>
      </c>
      <c r="E1567" s="130">
        <f t="shared" si="392"/>
        <v>0</v>
      </c>
      <c r="F1567" s="130"/>
      <c r="G1567" s="60" t="s">
        <v>125</v>
      </c>
      <c r="H1567" s="123"/>
      <c r="I1567" s="123"/>
      <c r="J1567" s="60"/>
      <c r="K1567" s="60"/>
      <c r="L1567" s="160"/>
      <c r="M1567" s="60"/>
      <c r="N1567" s="60"/>
      <c r="O1567" s="60">
        <f>N1567*J1567*K1567*M1567</f>
        <v>0</v>
      </c>
      <c r="P1567" s="60">
        <f>J1567*K1567*M1567</f>
        <v>0</v>
      </c>
    </row>
    <row r="1568" spans="1:16" s="38" customFormat="1" ht="11.45" customHeight="1" outlineLevel="1" x14ac:dyDescent="0.25">
      <c r="A1568" s="124"/>
      <c r="B1568" s="142"/>
      <c r="C1568" s="115"/>
      <c r="D1568" s="115"/>
      <c r="E1568" s="115"/>
      <c r="F1568" s="115"/>
      <c r="G1568" s="60" t="s">
        <v>126</v>
      </c>
      <c r="H1568" s="124"/>
      <c r="I1568" s="124"/>
      <c r="J1568" s="60"/>
      <c r="K1568" s="60"/>
      <c r="L1568" s="160"/>
      <c r="M1568" s="60"/>
      <c r="N1568" s="60"/>
      <c r="O1568" s="60">
        <f t="shared" ref="O1568:O1573" si="395">N1568*J1568*K1568*M1568</f>
        <v>0</v>
      </c>
      <c r="P1568" s="60">
        <f>J1568*K1568*M1568</f>
        <v>0</v>
      </c>
    </row>
    <row r="1569" spans="1:16" s="38" customFormat="1" ht="10.7" customHeight="1" outlineLevel="1" x14ac:dyDescent="0.25">
      <c r="A1569" s="124"/>
      <c r="B1569" s="142"/>
      <c r="C1569" s="115"/>
      <c r="D1569" s="115"/>
      <c r="E1569" s="115"/>
      <c r="F1569" s="115"/>
      <c r="G1569" s="60" t="s">
        <v>127</v>
      </c>
      <c r="H1569" s="124"/>
      <c r="I1569" s="124"/>
      <c r="J1569" s="60"/>
      <c r="K1569" s="60"/>
      <c r="L1569" s="160"/>
      <c r="M1569" s="60"/>
      <c r="N1569" s="60"/>
      <c r="O1569" s="60">
        <f t="shared" si="395"/>
        <v>0</v>
      </c>
      <c r="P1569" s="60">
        <f t="shared" ref="P1569:P1573" si="396">J1569*K1569*M1569</f>
        <v>0</v>
      </c>
    </row>
    <row r="1570" spans="1:16" s="38" customFormat="1" ht="10.7" customHeight="1" outlineLevel="1" x14ac:dyDescent="0.25">
      <c r="A1570" s="124"/>
      <c r="B1570" s="142"/>
      <c r="C1570" s="115"/>
      <c r="D1570" s="115"/>
      <c r="E1570" s="115"/>
      <c r="F1570" s="115"/>
      <c r="G1570" s="60" t="s">
        <v>128</v>
      </c>
      <c r="H1570" s="124"/>
      <c r="I1570" s="124"/>
      <c r="J1570" s="60"/>
      <c r="K1570" s="60"/>
      <c r="L1570" s="160"/>
      <c r="M1570" s="60"/>
      <c r="N1570" s="60"/>
      <c r="O1570" s="60">
        <f t="shared" si="395"/>
        <v>0</v>
      </c>
      <c r="P1570" s="60">
        <f t="shared" si="396"/>
        <v>0</v>
      </c>
    </row>
    <row r="1571" spans="1:16" s="38" customFormat="1" ht="10.7" customHeight="1" outlineLevel="1" x14ac:dyDescent="0.25">
      <c r="A1571" s="124"/>
      <c r="B1571" s="142"/>
      <c r="C1571" s="115"/>
      <c r="D1571" s="115"/>
      <c r="E1571" s="115"/>
      <c r="F1571" s="115"/>
      <c r="G1571" s="60" t="s">
        <v>129</v>
      </c>
      <c r="H1571" s="124"/>
      <c r="I1571" s="124"/>
      <c r="J1571" s="60"/>
      <c r="K1571" s="60"/>
      <c r="L1571" s="160"/>
      <c r="M1571" s="60"/>
      <c r="N1571" s="60"/>
      <c r="O1571" s="60">
        <f t="shared" si="395"/>
        <v>0</v>
      </c>
      <c r="P1571" s="60">
        <f t="shared" si="396"/>
        <v>0</v>
      </c>
    </row>
    <row r="1572" spans="1:16" s="38" customFormat="1" ht="10.7" customHeight="1" outlineLevel="1" x14ac:dyDescent="0.25">
      <c r="A1572" s="124"/>
      <c r="B1572" s="142"/>
      <c r="C1572" s="115"/>
      <c r="D1572" s="115"/>
      <c r="E1572" s="115"/>
      <c r="F1572" s="115"/>
      <c r="G1572" s="60" t="s">
        <v>130</v>
      </c>
      <c r="H1572" s="124"/>
      <c r="I1572" s="124"/>
      <c r="J1572" s="60"/>
      <c r="K1572" s="60"/>
      <c r="L1572" s="160"/>
      <c r="M1572" s="60"/>
      <c r="N1572" s="60"/>
      <c r="O1572" s="60">
        <f t="shared" si="395"/>
        <v>0</v>
      </c>
      <c r="P1572" s="60">
        <f t="shared" si="396"/>
        <v>0</v>
      </c>
    </row>
    <row r="1573" spans="1:16" s="38" customFormat="1" ht="12" customHeight="1" outlineLevel="1" thickBot="1" x14ac:dyDescent="0.3">
      <c r="A1573" s="125"/>
      <c r="B1573" s="143"/>
      <c r="C1573" s="131"/>
      <c r="D1573" s="131"/>
      <c r="E1573" s="131"/>
      <c r="F1573" s="131"/>
      <c r="G1573" s="60" t="s">
        <v>131</v>
      </c>
      <c r="H1573" s="134"/>
      <c r="I1573" s="134"/>
      <c r="J1573" s="60"/>
      <c r="K1573" s="60"/>
      <c r="L1573" s="160"/>
      <c r="M1573" s="60"/>
      <c r="N1573" s="60"/>
      <c r="O1573" s="60">
        <f t="shared" si="395"/>
        <v>0</v>
      </c>
      <c r="P1573" s="60">
        <f t="shared" si="396"/>
        <v>0</v>
      </c>
    </row>
    <row r="1574" spans="1:16" s="38" customFormat="1" ht="14.45" customHeight="1" outlineLevel="1" x14ac:dyDescent="0.25">
      <c r="A1574" s="140" t="s">
        <v>953</v>
      </c>
      <c r="B1574" s="141" t="s">
        <v>954</v>
      </c>
      <c r="C1574" s="130">
        <f>SUM(O1574:O1580)</f>
        <v>0</v>
      </c>
      <c r="D1574" s="130">
        <f>SUM(P1574:P1580)</f>
        <v>0</v>
      </c>
      <c r="E1574" s="130">
        <f t="shared" si="392"/>
        <v>0</v>
      </c>
      <c r="F1574" s="130"/>
      <c r="G1574" s="60" t="s">
        <v>125</v>
      </c>
      <c r="H1574" s="123"/>
      <c r="I1574" s="123"/>
      <c r="J1574" s="60"/>
      <c r="K1574" s="60"/>
      <c r="L1574" s="160"/>
      <c r="M1574" s="60"/>
      <c r="N1574" s="60"/>
      <c r="O1574" s="60">
        <f>N1574*J1574*K1574*M1574</f>
        <v>0</v>
      </c>
      <c r="P1574" s="60">
        <f>J1574*K1574*M1574</f>
        <v>0</v>
      </c>
    </row>
    <row r="1575" spans="1:16" s="38" customFormat="1" ht="11.45" customHeight="1" outlineLevel="1" x14ac:dyDescent="0.25">
      <c r="A1575" s="124"/>
      <c r="B1575" s="142"/>
      <c r="C1575" s="115"/>
      <c r="D1575" s="115"/>
      <c r="E1575" s="115"/>
      <c r="F1575" s="115"/>
      <c r="G1575" s="60" t="s">
        <v>126</v>
      </c>
      <c r="H1575" s="124"/>
      <c r="I1575" s="124"/>
      <c r="J1575" s="60"/>
      <c r="K1575" s="60"/>
      <c r="L1575" s="160"/>
      <c r="M1575" s="60"/>
      <c r="N1575" s="60"/>
      <c r="O1575" s="60">
        <f t="shared" ref="O1575:O1580" si="397">N1575*J1575*K1575*M1575</f>
        <v>0</v>
      </c>
      <c r="P1575" s="60">
        <f t="shared" ref="P1575:P1580" si="398">J1575*K1575*M1575</f>
        <v>0</v>
      </c>
    </row>
    <row r="1576" spans="1:16" s="38" customFormat="1" ht="10.7" customHeight="1" outlineLevel="1" x14ac:dyDescent="0.25">
      <c r="A1576" s="124"/>
      <c r="B1576" s="142"/>
      <c r="C1576" s="115"/>
      <c r="D1576" s="115"/>
      <c r="E1576" s="115"/>
      <c r="F1576" s="115"/>
      <c r="G1576" s="60" t="s">
        <v>127</v>
      </c>
      <c r="H1576" s="124"/>
      <c r="I1576" s="124"/>
      <c r="J1576" s="60"/>
      <c r="K1576" s="60"/>
      <c r="L1576" s="160"/>
      <c r="M1576" s="60"/>
      <c r="N1576" s="60"/>
      <c r="O1576" s="60">
        <f t="shared" si="397"/>
        <v>0</v>
      </c>
      <c r="P1576" s="60">
        <f t="shared" si="398"/>
        <v>0</v>
      </c>
    </row>
    <row r="1577" spans="1:16" s="38" customFormat="1" ht="10.7" customHeight="1" outlineLevel="1" x14ac:dyDescent="0.25">
      <c r="A1577" s="124"/>
      <c r="B1577" s="142"/>
      <c r="C1577" s="115"/>
      <c r="D1577" s="115"/>
      <c r="E1577" s="115"/>
      <c r="F1577" s="115"/>
      <c r="G1577" s="60" t="s">
        <v>128</v>
      </c>
      <c r="H1577" s="124"/>
      <c r="I1577" s="124"/>
      <c r="J1577" s="60"/>
      <c r="K1577" s="60"/>
      <c r="L1577" s="160"/>
      <c r="M1577" s="60"/>
      <c r="N1577" s="60"/>
      <c r="O1577" s="60">
        <f t="shared" si="397"/>
        <v>0</v>
      </c>
      <c r="P1577" s="60">
        <f t="shared" si="398"/>
        <v>0</v>
      </c>
    </row>
    <row r="1578" spans="1:16" s="38" customFormat="1" ht="10.7" customHeight="1" outlineLevel="1" x14ac:dyDescent="0.25">
      <c r="A1578" s="124"/>
      <c r="B1578" s="142"/>
      <c r="C1578" s="115"/>
      <c r="D1578" s="115"/>
      <c r="E1578" s="115"/>
      <c r="F1578" s="115"/>
      <c r="G1578" s="60" t="s">
        <v>129</v>
      </c>
      <c r="H1578" s="124"/>
      <c r="I1578" s="124"/>
      <c r="J1578" s="60"/>
      <c r="K1578" s="60"/>
      <c r="L1578" s="160"/>
      <c r="M1578" s="60"/>
      <c r="N1578" s="60"/>
      <c r="O1578" s="60">
        <f t="shared" si="397"/>
        <v>0</v>
      </c>
      <c r="P1578" s="60">
        <f t="shared" si="398"/>
        <v>0</v>
      </c>
    </row>
    <row r="1579" spans="1:16" s="38" customFormat="1" ht="10.7" customHeight="1" outlineLevel="1" x14ac:dyDescent="0.25">
      <c r="A1579" s="124"/>
      <c r="B1579" s="142"/>
      <c r="C1579" s="115"/>
      <c r="D1579" s="115"/>
      <c r="E1579" s="115"/>
      <c r="F1579" s="115"/>
      <c r="G1579" s="60" t="s">
        <v>130</v>
      </c>
      <c r="H1579" s="124"/>
      <c r="I1579" s="124"/>
      <c r="J1579" s="60"/>
      <c r="K1579" s="60"/>
      <c r="L1579" s="160"/>
      <c r="M1579" s="60"/>
      <c r="N1579" s="60"/>
      <c r="O1579" s="60">
        <f t="shared" si="397"/>
        <v>0</v>
      </c>
      <c r="P1579" s="60">
        <f t="shared" si="398"/>
        <v>0</v>
      </c>
    </row>
    <row r="1580" spans="1:16" s="38" customFormat="1" ht="12" customHeight="1" outlineLevel="1" thickBot="1" x14ac:dyDescent="0.3">
      <c r="A1580" s="125"/>
      <c r="B1580" s="143"/>
      <c r="C1580" s="131"/>
      <c r="D1580" s="131"/>
      <c r="E1580" s="131"/>
      <c r="F1580" s="131"/>
      <c r="G1580" s="60" t="s">
        <v>131</v>
      </c>
      <c r="H1580" s="134"/>
      <c r="I1580" s="134"/>
      <c r="J1580" s="60"/>
      <c r="K1580" s="60"/>
      <c r="L1580" s="160"/>
      <c r="M1580" s="60"/>
      <c r="N1580" s="60"/>
      <c r="O1580" s="60">
        <f t="shared" si="397"/>
        <v>0</v>
      </c>
      <c r="P1580" s="60">
        <f t="shared" si="398"/>
        <v>0</v>
      </c>
    </row>
    <row r="1581" spans="1:16" s="38" customFormat="1" ht="14.45" customHeight="1" outlineLevel="1" x14ac:dyDescent="0.25">
      <c r="A1581" s="140" t="s">
        <v>955</v>
      </c>
      <c r="B1581" s="141" t="s">
        <v>956</v>
      </c>
      <c r="C1581" s="130">
        <f>SUM(O1581:O1587)</f>
        <v>0</v>
      </c>
      <c r="D1581" s="130">
        <f>SUM(P1581:P1587)</f>
        <v>0</v>
      </c>
      <c r="E1581" s="130">
        <f t="shared" si="392"/>
        <v>0</v>
      </c>
      <c r="F1581" s="130"/>
      <c r="G1581" s="60" t="s">
        <v>125</v>
      </c>
      <c r="H1581" s="123"/>
      <c r="I1581" s="123"/>
      <c r="J1581" s="60"/>
      <c r="K1581" s="60"/>
      <c r="L1581" s="160"/>
      <c r="M1581" s="60"/>
      <c r="N1581" s="60"/>
      <c r="O1581" s="60">
        <f>N1581*J1581*K1581*M1581</f>
        <v>0</v>
      </c>
      <c r="P1581" s="60">
        <f>J1581*K1581*M1581</f>
        <v>0</v>
      </c>
    </row>
    <row r="1582" spans="1:16" s="38" customFormat="1" ht="11.45" customHeight="1" outlineLevel="1" x14ac:dyDescent="0.25">
      <c r="A1582" s="124"/>
      <c r="B1582" s="142"/>
      <c r="C1582" s="115"/>
      <c r="D1582" s="115"/>
      <c r="E1582" s="115"/>
      <c r="F1582" s="115"/>
      <c r="G1582" s="60" t="s">
        <v>126</v>
      </c>
      <c r="H1582" s="124"/>
      <c r="I1582" s="124"/>
      <c r="J1582" s="60"/>
      <c r="K1582" s="60"/>
      <c r="L1582" s="160"/>
      <c r="M1582" s="60"/>
      <c r="N1582" s="60"/>
      <c r="O1582" s="60">
        <f t="shared" ref="O1582:O1587" si="399">N1582*J1582*K1582*M1582</f>
        <v>0</v>
      </c>
      <c r="P1582" s="60">
        <f t="shared" ref="P1582:P1587" si="400">J1582*K1582*M1582</f>
        <v>0</v>
      </c>
    </row>
    <row r="1583" spans="1:16" s="38" customFormat="1" ht="10.7" customHeight="1" outlineLevel="1" x14ac:dyDescent="0.25">
      <c r="A1583" s="124"/>
      <c r="B1583" s="142"/>
      <c r="C1583" s="115"/>
      <c r="D1583" s="115"/>
      <c r="E1583" s="115"/>
      <c r="F1583" s="115"/>
      <c r="G1583" s="60" t="s">
        <v>127</v>
      </c>
      <c r="H1583" s="124"/>
      <c r="I1583" s="124"/>
      <c r="J1583" s="60"/>
      <c r="K1583" s="60"/>
      <c r="L1583" s="160"/>
      <c r="M1583" s="60"/>
      <c r="N1583" s="60"/>
      <c r="O1583" s="60">
        <f t="shared" si="399"/>
        <v>0</v>
      </c>
      <c r="P1583" s="60">
        <f t="shared" si="400"/>
        <v>0</v>
      </c>
    </row>
    <row r="1584" spans="1:16" s="38" customFormat="1" ht="10.7" customHeight="1" outlineLevel="1" x14ac:dyDescent="0.25">
      <c r="A1584" s="124"/>
      <c r="B1584" s="142"/>
      <c r="C1584" s="115"/>
      <c r="D1584" s="115"/>
      <c r="E1584" s="115"/>
      <c r="F1584" s="115"/>
      <c r="G1584" s="60" t="s">
        <v>128</v>
      </c>
      <c r="H1584" s="124"/>
      <c r="I1584" s="124"/>
      <c r="J1584" s="60"/>
      <c r="K1584" s="60"/>
      <c r="L1584" s="160"/>
      <c r="M1584" s="60"/>
      <c r="N1584" s="60"/>
      <c r="O1584" s="60">
        <f t="shared" si="399"/>
        <v>0</v>
      </c>
      <c r="P1584" s="60">
        <f t="shared" si="400"/>
        <v>0</v>
      </c>
    </row>
    <row r="1585" spans="1:16" s="38" customFormat="1" ht="10.7" customHeight="1" outlineLevel="1" x14ac:dyDescent="0.25">
      <c r="A1585" s="124"/>
      <c r="B1585" s="142"/>
      <c r="C1585" s="115"/>
      <c r="D1585" s="115"/>
      <c r="E1585" s="115"/>
      <c r="F1585" s="115"/>
      <c r="G1585" s="60" t="s">
        <v>129</v>
      </c>
      <c r="H1585" s="124"/>
      <c r="I1585" s="124"/>
      <c r="J1585" s="60"/>
      <c r="K1585" s="60"/>
      <c r="L1585" s="160"/>
      <c r="M1585" s="60"/>
      <c r="N1585" s="60"/>
      <c r="O1585" s="60">
        <f t="shared" si="399"/>
        <v>0</v>
      </c>
      <c r="P1585" s="60">
        <f t="shared" si="400"/>
        <v>0</v>
      </c>
    </row>
    <row r="1586" spans="1:16" s="38" customFormat="1" ht="10.7" customHeight="1" outlineLevel="1" x14ac:dyDescent="0.25">
      <c r="A1586" s="124"/>
      <c r="B1586" s="142"/>
      <c r="C1586" s="115"/>
      <c r="D1586" s="115"/>
      <c r="E1586" s="115"/>
      <c r="F1586" s="115"/>
      <c r="G1586" s="60" t="s">
        <v>130</v>
      </c>
      <c r="H1586" s="124"/>
      <c r="I1586" s="124"/>
      <c r="J1586" s="60"/>
      <c r="K1586" s="60"/>
      <c r="L1586" s="160"/>
      <c r="M1586" s="60"/>
      <c r="N1586" s="60"/>
      <c r="O1586" s="60">
        <f t="shared" si="399"/>
        <v>0</v>
      </c>
      <c r="P1586" s="60">
        <f t="shared" si="400"/>
        <v>0</v>
      </c>
    </row>
    <row r="1587" spans="1:16" s="38" customFormat="1" ht="12" customHeight="1" outlineLevel="1" thickBot="1" x14ac:dyDescent="0.3">
      <c r="A1587" s="125"/>
      <c r="B1587" s="143"/>
      <c r="C1587" s="131"/>
      <c r="D1587" s="131"/>
      <c r="E1587" s="131"/>
      <c r="F1587" s="131"/>
      <c r="G1587" s="60" t="s">
        <v>131</v>
      </c>
      <c r="H1587" s="134"/>
      <c r="I1587" s="134"/>
      <c r="J1587" s="60"/>
      <c r="K1587" s="60"/>
      <c r="L1587" s="160"/>
      <c r="M1587" s="60"/>
      <c r="N1587" s="60"/>
      <c r="O1587" s="60">
        <f t="shared" si="399"/>
        <v>0</v>
      </c>
      <c r="P1587" s="60">
        <f t="shared" si="400"/>
        <v>0</v>
      </c>
    </row>
    <row r="1588" spans="1:16" s="38" customFormat="1" ht="14.45" customHeight="1" outlineLevel="1" x14ac:dyDescent="0.25">
      <c r="A1588" s="140" t="s">
        <v>957</v>
      </c>
      <c r="B1588" s="141" t="s">
        <v>958</v>
      </c>
      <c r="C1588" s="130">
        <f>SUM(O1588:O1594)</f>
        <v>0</v>
      </c>
      <c r="D1588" s="130">
        <f>SUM(P1588:P1594)</f>
        <v>0</v>
      </c>
      <c r="E1588" s="130">
        <f t="shared" si="392"/>
        <v>0</v>
      </c>
      <c r="F1588" s="130"/>
      <c r="G1588" s="60" t="s">
        <v>125</v>
      </c>
      <c r="H1588" s="123"/>
      <c r="I1588" s="123"/>
      <c r="J1588" s="60"/>
      <c r="K1588" s="60"/>
      <c r="L1588" s="160"/>
      <c r="M1588" s="60"/>
      <c r="N1588" s="60"/>
      <c r="O1588" s="60">
        <f>N1588*J1588*K1588*M1588</f>
        <v>0</v>
      </c>
      <c r="P1588" s="60">
        <f>J1588*K1588*M1588</f>
        <v>0</v>
      </c>
    </row>
    <row r="1589" spans="1:16" s="38" customFormat="1" ht="11.45" customHeight="1" outlineLevel="1" x14ac:dyDescent="0.25">
      <c r="A1589" s="124"/>
      <c r="B1589" s="142"/>
      <c r="C1589" s="115"/>
      <c r="D1589" s="115"/>
      <c r="E1589" s="115"/>
      <c r="F1589" s="115"/>
      <c r="G1589" s="60" t="s">
        <v>126</v>
      </c>
      <c r="H1589" s="124"/>
      <c r="I1589" s="124"/>
      <c r="J1589" s="60"/>
      <c r="K1589" s="60"/>
      <c r="L1589" s="160"/>
      <c r="M1589" s="60"/>
      <c r="N1589" s="60"/>
      <c r="O1589" s="60">
        <f t="shared" ref="O1589:O1594" si="401">N1589*J1589*K1589*M1589</f>
        <v>0</v>
      </c>
      <c r="P1589" s="60">
        <f t="shared" ref="P1589:P1594" si="402">J1589*K1589*M1589</f>
        <v>0</v>
      </c>
    </row>
    <row r="1590" spans="1:16" s="38" customFormat="1" ht="10.7" customHeight="1" outlineLevel="1" x14ac:dyDescent="0.25">
      <c r="A1590" s="124"/>
      <c r="B1590" s="142"/>
      <c r="C1590" s="115"/>
      <c r="D1590" s="115"/>
      <c r="E1590" s="115"/>
      <c r="F1590" s="115"/>
      <c r="G1590" s="60" t="s">
        <v>127</v>
      </c>
      <c r="H1590" s="124"/>
      <c r="I1590" s="124"/>
      <c r="J1590" s="60"/>
      <c r="K1590" s="60"/>
      <c r="L1590" s="160"/>
      <c r="M1590" s="60"/>
      <c r="N1590" s="60"/>
      <c r="O1590" s="60">
        <f t="shared" si="401"/>
        <v>0</v>
      </c>
      <c r="P1590" s="60">
        <f t="shared" si="402"/>
        <v>0</v>
      </c>
    </row>
    <row r="1591" spans="1:16" s="38" customFormat="1" ht="10.7" customHeight="1" outlineLevel="1" x14ac:dyDescent="0.25">
      <c r="A1591" s="124"/>
      <c r="B1591" s="142"/>
      <c r="C1591" s="115"/>
      <c r="D1591" s="115"/>
      <c r="E1591" s="115"/>
      <c r="F1591" s="115"/>
      <c r="G1591" s="60" t="s">
        <v>128</v>
      </c>
      <c r="H1591" s="124"/>
      <c r="I1591" s="124"/>
      <c r="J1591" s="60"/>
      <c r="K1591" s="60"/>
      <c r="L1591" s="160"/>
      <c r="M1591" s="60"/>
      <c r="N1591" s="60"/>
      <c r="O1591" s="60">
        <f t="shared" si="401"/>
        <v>0</v>
      </c>
      <c r="P1591" s="60">
        <f t="shared" si="402"/>
        <v>0</v>
      </c>
    </row>
    <row r="1592" spans="1:16" s="38" customFormat="1" ht="10.7" customHeight="1" outlineLevel="1" x14ac:dyDescent="0.25">
      <c r="A1592" s="124"/>
      <c r="B1592" s="142"/>
      <c r="C1592" s="115"/>
      <c r="D1592" s="115"/>
      <c r="E1592" s="115"/>
      <c r="F1592" s="115"/>
      <c r="G1592" s="60" t="s">
        <v>129</v>
      </c>
      <c r="H1592" s="124"/>
      <c r="I1592" s="124"/>
      <c r="J1592" s="60"/>
      <c r="K1592" s="60"/>
      <c r="L1592" s="160"/>
      <c r="M1592" s="60"/>
      <c r="N1592" s="60"/>
      <c r="O1592" s="60">
        <f t="shared" si="401"/>
        <v>0</v>
      </c>
      <c r="P1592" s="60">
        <f t="shared" si="402"/>
        <v>0</v>
      </c>
    </row>
    <row r="1593" spans="1:16" s="38" customFormat="1" ht="10.7" customHeight="1" outlineLevel="1" x14ac:dyDescent="0.25">
      <c r="A1593" s="124"/>
      <c r="B1593" s="142"/>
      <c r="C1593" s="115"/>
      <c r="D1593" s="115"/>
      <c r="E1593" s="115"/>
      <c r="F1593" s="115"/>
      <c r="G1593" s="60" t="s">
        <v>130</v>
      </c>
      <c r="H1593" s="124"/>
      <c r="I1593" s="124"/>
      <c r="J1593" s="60"/>
      <c r="K1593" s="60"/>
      <c r="L1593" s="160"/>
      <c r="M1593" s="60"/>
      <c r="N1593" s="60"/>
      <c r="O1593" s="60">
        <f t="shared" si="401"/>
        <v>0</v>
      </c>
      <c r="P1593" s="60">
        <f t="shared" si="402"/>
        <v>0</v>
      </c>
    </row>
    <row r="1594" spans="1:16" s="38" customFormat="1" ht="12" customHeight="1" outlineLevel="1" thickBot="1" x14ac:dyDescent="0.3">
      <c r="A1594" s="125"/>
      <c r="B1594" s="143"/>
      <c r="C1594" s="131"/>
      <c r="D1594" s="131"/>
      <c r="E1594" s="131"/>
      <c r="F1594" s="131"/>
      <c r="G1594" s="60" t="s">
        <v>131</v>
      </c>
      <c r="H1594" s="134"/>
      <c r="I1594" s="134"/>
      <c r="J1594" s="60"/>
      <c r="K1594" s="60"/>
      <c r="L1594" s="160"/>
      <c r="M1594" s="60"/>
      <c r="N1594" s="60"/>
      <c r="O1594" s="60">
        <f t="shared" si="401"/>
        <v>0</v>
      </c>
      <c r="P1594" s="60">
        <f t="shared" si="402"/>
        <v>0</v>
      </c>
    </row>
    <row r="1595" spans="1:16" s="38" customFormat="1" ht="14.45" customHeight="1" outlineLevel="1" x14ac:dyDescent="0.25">
      <c r="A1595" s="140" t="s">
        <v>959</v>
      </c>
      <c r="B1595" s="141" t="s">
        <v>960</v>
      </c>
      <c r="C1595" s="130">
        <f>SUM(O1595:O1601)</f>
        <v>0</v>
      </c>
      <c r="D1595" s="130">
        <f>SUM(P1595:P1601)</f>
        <v>0</v>
      </c>
      <c r="E1595" s="130">
        <f t="shared" si="392"/>
        <v>0</v>
      </c>
      <c r="F1595" s="130"/>
      <c r="G1595" s="60" t="s">
        <v>125</v>
      </c>
      <c r="H1595" s="123"/>
      <c r="I1595" s="123"/>
      <c r="J1595" s="60"/>
      <c r="K1595" s="60"/>
      <c r="L1595" s="160"/>
      <c r="M1595" s="60"/>
      <c r="N1595" s="60"/>
      <c r="O1595" s="60">
        <f>N1595*J1595*K1595*M1595</f>
        <v>0</v>
      </c>
      <c r="P1595" s="60">
        <f>J1595*K1595*M1595</f>
        <v>0</v>
      </c>
    </row>
    <row r="1596" spans="1:16" s="38" customFormat="1" ht="11.45" customHeight="1" outlineLevel="1" x14ac:dyDescent="0.25">
      <c r="A1596" s="124"/>
      <c r="B1596" s="142"/>
      <c r="C1596" s="115"/>
      <c r="D1596" s="115"/>
      <c r="E1596" s="115"/>
      <c r="F1596" s="115"/>
      <c r="G1596" s="60" t="s">
        <v>126</v>
      </c>
      <c r="H1596" s="124"/>
      <c r="I1596" s="124"/>
      <c r="J1596" s="60"/>
      <c r="K1596" s="60"/>
      <c r="L1596" s="160"/>
      <c r="M1596" s="60"/>
      <c r="N1596" s="60"/>
      <c r="O1596" s="60">
        <f t="shared" ref="O1596:O1601" si="403">N1596*J1596*K1596*M1596</f>
        <v>0</v>
      </c>
      <c r="P1596" s="60">
        <f t="shared" ref="P1596:P1601" si="404">J1596*K1596*M1596</f>
        <v>0</v>
      </c>
    </row>
    <row r="1597" spans="1:16" s="38" customFormat="1" ht="10.7" customHeight="1" outlineLevel="1" x14ac:dyDescent="0.25">
      <c r="A1597" s="124"/>
      <c r="B1597" s="142"/>
      <c r="C1597" s="115"/>
      <c r="D1597" s="115"/>
      <c r="E1597" s="115"/>
      <c r="F1597" s="115"/>
      <c r="G1597" s="60" t="s">
        <v>127</v>
      </c>
      <c r="H1597" s="124"/>
      <c r="I1597" s="124"/>
      <c r="J1597" s="60"/>
      <c r="K1597" s="60"/>
      <c r="L1597" s="160"/>
      <c r="M1597" s="60"/>
      <c r="N1597" s="60"/>
      <c r="O1597" s="60">
        <f t="shared" si="403"/>
        <v>0</v>
      </c>
      <c r="P1597" s="60">
        <f t="shared" si="404"/>
        <v>0</v>
      </c>
    </row>
    <row r="1598" spans="1:16" s="38" customFormat="1" ht="10.7" customHeight="1" outlineLevel="1" x14ac:dyDescent="0.25">
      <c r="A1598" s="124"/>
      <c r="B1598" s="142"/>
      <c r="C1598" s="115"/>
      <c r="D1598" s="115"/>
      <c r="E1598" s="115"/>
      <c r="F1598" s="115"/>
      <c r="G1598" s="60" t="s">
        <v>128</v>
      </c>
      <c r="H1598" s="124"/>
      <c r="I1598" s="124"/>
      <c r="J1598" s="60"/>
      <c r="K1598" s="60"/>
      <c r="L1598" s="160"/>
      <c r="M1598" s="60"/>
      <c r="N1598" s="60"/>
      <c r="O1598" s="60">
        <f t="shared" si="403"/>
        <v>0</v>
      </c>
      <c r="P1598" s="60">
        <f t="shared" si="404"/>
        <v>0</v>
      </c>
    </row>
    <row r="1599" spans="1:16" s="38" customFormat="1" ht="10.7" customHeight="1" outlineLevel="1" x14ac:dyDescent="0.25">
      <c r="A1599" s="124"/>
      <c r="B1599" s="142"/>
      <c r="C1599" s="115"/>
      <c r="D1599" s="115"/>
      <c r="E1599" s="115"/>
      <c r="F1599" s="115"/>
      <c r="G1599" s="60" t="s">
        <v>129</v>
      </c>
      <c r="H1599" s="124"/>
      <c r="I1599" s="124"/>
      <c r="J1599" s="60"/>
      <c r="K1599" s="60"/>
      <c r="L1599" s="160"/>
      <c r="M1599" s="60"/>
      <c r="N1599" s="60"/>
      <c r="O1599" s="60">
        <f t="shared" si="403"/>
        <v>0</v>
      </c>
      <c r="P1599" s="60">
        <f t="shared" si="404"/>
        <v>0</v>
      </c>
    </row>
    <row r="1600" spans="1:16" s="38" customFormat="1" ht="10.7" customHeight="1" outlineLevel="1" x14ac:dyDescent="0.25">
      <c r="A1600" s="124"/>
      <c r="B1600" s="142"/>
      <c r="C1600" s="115"/>
      <c r="D1600" s="115"/>
      <c r="E1600" s="115"/>
      <c r="F1600" s="115"/>
      <c r="G1600" s="60" t="s">
        <v>130</v>
      </c>
      <c r="H1600" s="124"/>
      <c r="I1600" s="124"/>
      <c r="J1600" s="60"/>
      <c r="K1600" s="60"/>
      <c r="L1600" s="160"/>
      <c r="M1600" s="60"/>
      <c r="N1600" s="60"/>
      <c r="O1600" s="60">
        <f t="shared" si="403"/>
        <v>0</v>
      </c>
      <c r="P1600" s="60">
        <f t="shared" si="404"/>
        <v>0</v>
      </c>
    </row>
    <row r="1601" spans="1:16" s="38" customFormat="1" ht="12" customHeight="1" outlineLevel="1" thickBot="1" x14ac:dyDescent="0.3">
      <c r="A1601" s="125"/>
      <c r="B1601" s="143"/>
      <c r="C1601" s="131"/>
      <c r="D1601" s="131"/>
      <c r="E1601" s="131"/>
      <c r="F1601" s="131"/>
      <c r="G1601" s="60" t="s">
        <v>131</v>
      </c>
      <c r="H1601" s="134"/>
      <c r="I1601" s="134"/>
      <c r="J1601" s="60"/>
      <c r="K1601" s="60"/>
      <c r="L1601" s="160"/>
      <c r="M1601" s="60"/>
      <c r="N1601" s="60"/>
      <c r="O1601" s="60">
        <f t="shared" si="403"/>
        <v>0</v>
      </c>
      <c r="P1601" s="60">
        <f t="shared" si="404"/>
        <v>0</v>
      </c>
    </row>
    <row r="1602" spans="1:16" s="38" customFormat="1" ht="14.45" customHeight="1" outlineLevel="1" x14ac:dyDescent="0.25">
      <c r="A1602" s="140" t="s">
        <v>961</v>
      </c>
      <c r="B1602" s="141" t="s">
        <v>962</v>
      </c>
      <c r="C1602" s="130">
        <f>SUM(O1602:O1608)</f>
        <v>0</v>
      </c>
      <c r="D1602" s="130">
        <f>SUM(P1602:P1608)</f>
        <v>0</v>
      </c>
      <c r="E1602" s="130">
        <f t="shared" si="392"/>
        <v>0</v>
      </c>
      <c r="F1602" s="130"/>
      <c r="G1602" s="60" t="s">
        <v>125</v>
      </c>
      <c r="H1602" s="123"/>
      <c r="I1602" s="123"/>
      <c r="J1602" s="60"/>
      <c r="K1602" s="60"/>
      <c r="L1602" s="160"/>
      <c r="M1602" s="60"/>
      <c r="N1602" s="60"/>
      <c r="O1602" s="60">
        <f>N1602*J1602*K1602*M1602</f>
        <v>0</v>
      </c>
      <c r="P1602" s="60">
        <f>J1602*K1602*M1602</f>
        <v>0</v>
      </c>
    </row>
    <row r="1603" spans="1:16" s="38" customFormat="1" ht="11.45" customHeight="1" outlineLevel="1" x14ac:dyDescent="0.25">
      <c r="A1603" s="124"/>
      <c r="B1603" s="142"/>
      <c r="C1603" s="115"/>
      <c r="D1603" s="115"/>
      <c r="E1603" s="115"/>
      <c r="F1603" s="115"/>
      <c r="G1603" s="60" t="s">
        <v>126</v>
      </c>
      <c r="H1603" s="124"/>
      <c r="I1603" s="124"/>
      <c r="J1603" s="60"/>
      <c r="K1603" s="60"/>
      <c r="L1603" s="160"/>
      <c r="M1603" s="60"/>
      <c r="N1603" s="60"/>
      <c r="O1603" s="60">
        <f t="shared" ref="O1603:O1608" si="405">N1603*J1603*K1603*M1603</f>
        <v>0</v>
      </c>
      <c r="P1603" s="60">
        <f t="shared" ref="P1603:P1608" si="406">J1603*K1603*M1603</f>
        <v>0</v>
      </c>
    </row>
    <row r="1604" spans="1:16" s="38" customFormat="1" ht="10.7" customHeight="1" outlineLevel="1" x14ac:dyDescent="0.25">
      <c r="A1604" s="124"/>
      <c r="B1604" s="142"/>
      <c r="C1604" s="115"/>
      <c r="D1604" s="115"/>
      <c r="E1604" s="115"/>
      <c r="F1604" s="115"/>
      <c r="G1604" s="60" t="s">
        <v>127</v>
      </c>
      <c r="H1604" s="124"/>
      <c r="I1604" s="124"/>
      <c r="J1604" s="60"/>
      <c r="K1604" s="60"/>
      <c r="L1604" s="160"/>
      <c r="M1604" s="60"/>
      <c r="N1604" s="60"/>
      <c r="O1604" s="60">
        <f t="shared" si="405"/>
        <v>0</v>
      </c>
      <c r="P1604" s="60">
        <f t="shared" si="406"/>
        <v>0</v>
      </c>
    </row>
    <row r="1605" spans="1:16" s="38" customFormat="1" ht="10.7" customHeight="1" outlineLevel="1" x14ac:dyDescent="0.25">
      <c r="A1605" s="124"/>
      <c r="B1605" s="142"/>
      <c r="C1605" s="115"/>
      <c r="D1605" s="115"/>
      <c r="E1605" s="115"/>
      <c r="F1605" s="115"/>
      <c r="G1605" s="60" t="s">
        <v>128</v>
      </c>
      <c r="H1605" s="124"/>
      <c r="I1605" s="124"/>
      <c r="J1605" s="60"/>
      <c r="K1605" s="60"/>
      <c r="L1605" s="160"/>
      <c r="M1605" s="60"/>
      <c r="N1605" s="60"/>
      <c r="O1605" s="60">
        <f t="shared" si="405"/>
        <v>0</v>
      </c>
      <c r="P1605" s="60">
        <f t="shared" si="406"/>
        <v>0</v>
      </c>
    </row>
    <row r="1606" spans="1:16" s="38" customFormat="1" ht="10.7" customHeight="1" outlineLevel="1" x14ac:dyDescent="0.25">
      <c r="A1606" s="124"/>
      <c r="B1606" s="142"/>
      <c r="C1606" s="115"/>
      <c r="D1606" s="115"/>
      <c r="E1606" s="115"/>
      <c r="F1606" s="115"/>
      <c r="G1606" s="60" t="s">
        <v>129</v>
      </c>
      <c r="H1606" s="124"/>
      <c r="I1606" s="124"/>
      <c r="J1606" s="60"/>
      <c r="K1606" s="60"/>
      <c r="L1606" s="160"/>
      <c r="M1606" s="60"/>
      <c r="N1606" s="60"/>
      <c r="O1606" s="60">
        <f t="shared" si="405"/>
        <v>0</v>
      </c>
      <c r="P1606" s="60">
        <f t="shared" si="406"/>
        <v>0</v>
      </c>
    </row>
    <row r="1607" spans="1:16" s="38" customFormat="1" ht="10.7" customHeight="1" outlineLevel="1" x14ac:dyDescent="0.25">
      <c r="A1607" s="124"/>
      <c r="B1607" s="142"/>
      <c r="C1607" s="115"/>
      <c r="D1607" s="115"/>
      <c r="E1607" s="115"/>
      <c r="F1607" s="115"/>
      <c r="G1607" s="60" t="s">
        <v>130</v>
      </c>
      <c r="H1607" s="124"/>
      <c r="I1607" s="124"/>
      <c r="J1607" s="60"/>
      <c r="K1607" s="60"/>
      <c r="L1607" s="160"/>
      <c r="M1607" s="60"/>
      <c r="N1607" s="60"/>
      <c r="O1607" s="60">
        <f t="shared" si="405"/>
        <v>0</v>
      </c>
      <c r="P1607" s="60">
        <f t="shared" si="406"/>
        <v>0</v>
      </c>
    </row>
    <row r="1608" spans="1:16" s="38" customFormat="1" ht="12" customHeight="1" outlineLevel="1" thickBot="1" x14ac:dyDescent="0.3">
      <c r="A1608" s="125"/>
      <c r="B1608" s="143"/>
      <c r="C1608" s="131"/>
      <c r="D1608" s="131"/>
      <c r="E1608" s="131"/>
      <c r="F1608" s="131"/>
      <c r="G1608" s="60" t="s">
        <v>131</v>
      </c>
      <c r="H1608" s="134"/>
      <c r="I1608" s="134"/>
      <c r="J1608" s="60"/>
      <c r="K1608" s="60"/>
      <c r="L1608" s="160"/>
      <c r="M1608" s="60"/>
      <c r="N1608" s="60"/>
      <c r="O1608" s="60">
        <f t="shared" si="405"/>
        <v>0</v>
      </c>
      <c r="P1608" s="60">
        <f t="shared" si="406"/>
        <v>0</v>
      </c>
    </row>
    <row r="1609" spans="1:16" ht="19.5" thickBot="1" x14ac:dyDescent="0.35">
      <c r="A1609" s="144" t="s">
        <v>963</v>
      </c>
      <c r="B1609" s="145"/>
      <c r="C1609" s="49">
        <f>C10+C74+C181+C245+C260+C282+C297+C746+C1195+C1203+C1218+C1226+C1409+C1424+C1474+C1482+C1490+C1498+C1506+C1514+C1536+C1551+C1559</f>
        <v>0</v>
      </c>
      <c r="D1609" s="62">
        <f>D10+D74+D181+D245+D260+D282+D297+D746+D1195+D1203+D1218+D1226+D1409+D1424+D1474+D1482+D1490+D1498+D1506+D1514+D1536+D1551+D1559</f>
        <v>0</v>
      </c>
      <c r="E1609" s="62">
        <f>E10+E74+E181+E245+E260+E282+E297+E746+E1195+E1203+E1218+E1226+E1409+E1424+E1474+E1482+E1490+E1498+E1506+E1514+E1536+E1551+E1559</f>
        <v>0</v>
      </c>
      <c r="F1609" s="59"/>
      <c r="G1609" s="59"/>
      <c r="H1609" s="59"/>
      <c r="I1609" s="59"/>
      <c r="J1609" s="59"/>
      <c r="K1609" s="59"/>
      <c r="L1609" s="164"/>
      <c r="M1609" s="59"/>
      <c r="N1609" s="59"/>
      <c r="O1609" s="59"/>
      <c r="P1609" s="60"/>
    </row>
  </sheetData>
  <mergeCells count="1820">
    <mergeCell ref="I739:I745"/>
    <mergeCell ref="A739:A745"/>
    <mergeCell ref="B739:B745"/>
    <mergeCell ref="C739:C745"/>
    <mergeCell ref="D739:D745"/>
    <mergeCell ref="F739:F745"/>
    <mergeCell ref="H739:H745"/>
    <mergeCell ref="I732:I738"/>
    <mergeCell ref="A732:A738"/>
    <mergeCell ref="B732:B738"/>
    <mergeCell ref="C732:C738"/>
    <mergeCell ref="D732:D738"/>
    <mergeCell ref="F732:F738"/>
    <mergeCell ref="H732:H738"/>
    <mergeCell ref="I725:I731"/>
    <mergeCell ref="A725:A731"/>
    <mergeCell ref="B725:B731"/>
    <mergeCell ref="C725:C731"/>
    <mergeCell ref="D725:D731"/>
    <mergeCell ref="F725:F731"/>
    <mergeCell ref="H725:H731"/>
    <mergeCell ref="E725:E731"/>
    <mergeCell ref="E732:E738"/>
    <mergeCell ref="E739:E745"/>
    <mergeCell ref="I718:I724"/>
    <mergeCell ref="A718:A724"/>
    <mergeCell ref="B718:B724"/>
    <mergeCell ref="C718:C724"/>
    <mergeCell ref="D718:D724"/>
    <mergeCell ref="F718:F724"/>
    <mergeCell ref="H718:H724"/>
    <mergeCell ref="I711:I717"/>
    <mergeCell ref="A711:A717"/>
    <mergeCell ref="B711:B717"/>
    <mergeCell ref="C711:C717"/>
    <mergeCell ref="D711:D717"/>
    <mergeCell ref="F711:F717"/>
    <mergeCell ref="H711:H717"/>
    <mergeCell ref="I704:I710"/>
    <mergeCell ref="A704:A710"/>
    <mergeCell ref="B704:B710"/>
    <mergeCell ref="C704:C710"/>
    <mergeCell ref="D704:D710"/>
    <mergeCell ref="F704:F710"/>
    <mergeCell ref="H704:H710"/>
    <mergeCell ref="E704:E710"/>
    <mergeCell ref="E711:E717"/>
    <mergeCell ref="E718:E724"/>
    <mergeCell ref="I697:I703"/>
    <mergeCell ref="A697:A703"/>
    <mergeCell ref="B697:B703"/>
    <mergeCell ref="C697:C703"/>
    <mergeCell ref="D697:D703"/>
    <mergeCell ref="F697:F703"/>
    <mergeCell ref="H697:H703"/>
    <mergeCell ref="I690:I696"/>
    <mergeCell ref="A690:A696"/>
    <mergeCell ref="B690:B696"/>
    <mergeCell ref="C690:C696"/>
    <mergeCell ref="D690:D696"/>
    <mergeCell ref="F690:F696"/>
    <mergeCell ref="H690:H696"/>
    <mergeCell ref="I683:I689"/>
    <mergeCell ref="A683:A689"/>
    <mergeCell ref="B683:B689"/>
    <mergeCell ref="C683:C689"/>
    <mergeCell ref="D683:D689"/>
    <mergeCell ref="F683:F689"/>
    <mergeCell ref="H683:H689"/>
    <mergeCell ref="E683:E689"/>
    <mergeCell ref="E690:E696"/>
    <mergeCell ref="E697:E703"/>
    <mergeCell ref="I676:I682"/>
    <mergeCell ref="A676:A682"/>
    <mergeCell ref="B676:B682"/>
    <mergeCell ref="C676:C682"/>
    <mergeCell ref="D676:D682"/>
    <mergeCell ref="F676:F682"/>
    <mergeCell ref="H676:H682"/>
    <mergeCell ref="I669:I675"/>
    <mergeCell ref="A669:A675"/>
    <mergeCell ref="B669:B675"/>
    <mergeCell ref="C669:C675"/>
    <mergeCell ref="D669:D675"/>
    <mergeCell ref="F669:F675"/>
    <mergeCell ref="H669:H675"/>
    <mergeCell ref="I662:I668"/>
    <mergeCell ref="A662:A668"/>
    <mergeCell ref="B662:B668"/>
    <mergeCell ref="C662:C668"/>
    <mergeCell ref="D662:D668"/>
    <mergeCell ref="F662:F668"/>
    <mergeCell ref="H662:H668"/>
    <mergeCell ref="E662:E668"/>
    <mergeCell ref="E669:E675"/>
    <mergeCell ref="E676:E682"/>
    <mergeCell ref="I655:I661"/>
    <mergeCell ref="A655:A661"/>
    <mergeCell ref="B655:B661"/>
    <mergeCell ref="C655:C661"/>
    <mergeCell ref="D655:D661"/>
    <mergeCell ref="F655:F661"/>
    <mergeCell ref="H655:H661"/>
    <mergeCell ref="I648:I654"/>
    <mergeCell ref="A648:A654"/>
    <mergeCell ref="B648:B654"/>
    <mergeCell ref="C648:C654"/>
    <mergeCell ref="D648:D654"/>
    <mergeCell ref="F648:F654"/>
    <mergeCell ref="H648:H654"/>
    <mergeCell ref="I641:I647"/>
    <mergeCell ref="A641:A647"/>
    <mergeCell ref="B641:B647"/>
    <mergeCell ref="C641:C647"/>
    <mergeCell ref="D641:D647"/>
    <mergeCell ref="F641:F647"/>
    <mergeCell ref="H641:H647"/>
    <mergeCell ref="E641:E647"/>
    <mergeCell ref="E648:E654"/>
    <mergeCell ref="E655:E661"/>
    <mergeCell ref="I634:I640"/>
    <mergeCell ref="A634:A640"/>
    <mergeCell ref="B634:B640"/>
    <mergeCell ref="C634:C640"/>
    <mergeCell ref="D634:D640"/>
    <mergeCell ref="F634:F640"/>
    <mergeCell ref="H634:H640"/>
    <mergeCell ref="I627:I633"/>
    <mergeCell ref="A627:A633"/>
    <mergeCell ref="B627:B633"/>
    <mergeCell ref="C627:C633"/>
    <mergeCell ref="D627:D633"/>
    <mergeCell ref="F627:F633"/>
    <mergeCell ref="H627:H633"/>
    <mergeCell ref="I620:I626"/>
    <mergeCell ref="A620:A626"/>
    <mergeCell ref="B620:B626"/>
    <mergeCell ref="C620:C626"/>
    <mergeCell ref="D620:D626"/>
    <mergeCell ref="F620:F626"/>
    <mergeCell ref="H620:H626"/>
    <mergeCell ref="E620:E626"/>
    <mergeCell ref="E627:E633"/>
    <mergeCell ref="E634:E640"/>
    <mergeCell ref="I613:I619"/>
    <mergeCell ref="A613:A619"/>
    <mergeCell ref="B613:B619"/>
    <mergeCell ref="C613:C619"/>
    <mergeCell ref="D613:D619"/>
    <mergeCell ref="F613:F619"/>
    <mergeCell ref="H613:H619"/>
    <mergeCell ref="I606:I612"/>
    <mergeCell ref="A606:A612"/>
    <mergeCell ref="B606:B612"/>
    <mergeCell ref="C606:C612"/>
    <mergeCell ref="D606:D612"/>
    <mergeCell ref="F606:F612"/>
    <mergeCell ref="H606:H612"/>
    <mergeCell ref="I599:I605"/>
    <mergeCell ref="A599:A605"/>
    <mergeCell ref="B599:B605"/>
    <mergeCell ref="C599:C605"/>
    <mergeCell ref="D599:D605"/>
    <mergeCell ref="F599:F605"/>
    <mergeCell ref="H599:H605"/>
    <mergeCell ref="E599:E605"/>
    <mergeCell ref="E606:E612"/>
    <mergeCell ref="E613:E619"/>
    <mergeCell ref="I592:I598"/>
    <mergeCell ref="A592:A598"/>
    <mergeCell ref="B592:B598"/>
    <mergeCell ref="C592:C598"/>
    <mergeCell ref="D592:D598"/>
    <mergeCell ref="F592:F598"/>
    <mergeCell ref="H592:H598"/>
    <mergeCell ref="I585:I591"/>
    <mergeCell ref="A585:A591"/>
    <mergeCell ref="B585:B591"/>
    <mergeCell ref="C585:C591"/>
    <mergeCell ref="D585:D591"/>
    <mergeCell ref="F585:F591"/>
    <mergeCell ref="H585:H591"/>
    <mergeCell ref="I578:I584"/>
    <mergeCell ref="A578:A584"/>
    <mergeCell ref="B578:B584"/>
    <mergeCell ref="C578:C584"/>
    <mergeCell ref="D578:D584"/>
    <mergeCell ref="F578:F584"/>
    <mergeCell ref="H578:H584"/>
    <mergeCell ref="E578:E584"/>
    <mergeCell ref="E585:E591"/>
    <mergeCell ref="E592:E598"/>
    <mergeCell ref="I571:I577"/>
    <mergeCell ref="A571:A577"/>
    <mergeCell ref="B571:B577"/>
    <mergeCell ref="C571:C577"/>
    <mergeCell ref="D571:D577"/>
    <mergeCell ref="F571:F577"/>
    <mergeCell ref="H571:H577"/>
    <mergeCell ref="I564:I570"/>
    <mergeCell ref="A564:A570"/>
    <mergeCell ref="B564:B570"/>
    <mergeCell ref="C564:C570"/>
    <mergeCell ref="D564:D570"/>
    <mergeCell ref="F564:F570"/>
    <mergeCell ref="H564:H570"/>
    <mergeCell ref="I557:I563"/>
    <mergeCell ref="A557:A563"/>
    <mergeCell ref="B557:B563"/>
    <mergeCell ref="C557:C563"/>
    <mergeCell ref="D557:D563"/>
    <mergeCell ref="F557:F563"/>
    <mergeCell ref="H557:H563"/>
    <mergeCell ref="E557:E563"/>
    <mergeCell ref="E564:E570"/>
    <mergeCell ref="E571:E577"/>
    <mergeCell ref="I550:I556"/>
    <mergeCell ref="A550:A556"/>
    <mergeCell ref="B550:B556"/>
    <mergeCell ref="C550:C556"/>
    <mergeCell ref="D550:D556"/>
    <mergeCell ref="F550:F556"/>
    <mergeCell ref="H550:H556"/>
    <mergeCell ref="I543:I549"/>
    <mergeCell ref="A543:A549"/>
    <mergeCell ref="B543:B549"/>
    <mergeCell ref="C543:C549"/>
    <mergeCell ref="D543:D549"/>
    <mergeCell ref="F543:F549"/>
    <mergeCell ref="H543:H549"/>
    <mergeCell ref="I536:I542"/>
    <mergeCell ref="A536:A542"/>
    <mergeCell ref="B536:B542"/>
    <mergeCell ref="C536:C542"/>
    <mergeCell ref="D536:D542"/>
    <mergeCell ref="F536:F542"/>
    <mergeCell ref="H536:H542"/>
    <mergeCell ref="E536:E542"/>
    <mergeCell ref="E543:E549"/>
    <mergeCell ref="E550:E556"/>
    <mergeCell ref="I529:I535"/>
    <mergeCell ref="A529:A535"/>
    <mergeCell ref="B529:B535"/>
    <mergeCell ref="C529:C535"/>
    <mergeCell ref="D529:D535"/>
    <mergeCell ref="F529:F535"/>
    <mergeCell ref="H529:H535"/>
    <mergeCell ref="I522:I528"/>
    <mergeCell ref="A522:A528"/>
    <mergeCell ref="B522:B528"/>
    <mergeCell ref="C522:C528"/>
    <mergeCell ref="D522:D528"/>
    <mergeCell ref="F522:F528"/>
    <mergeCell ref="H522:H528"/>
    <mergeCell ref="I515:I521"/>
    <mergeCell ref="A515:A521"/>
    <mergeCell ref="B515:B521"/>
    <mergeCell ref="C515:C521"/>
    <mergeCell ref="D515:D521"/>
    <mergeCell ref="F515:F521"/>
    <mergeCell ref="H515:H521"/>
    <mergeCell ref="E515:E521"/>
    <mergeCell ref="E522:E528"/>
    <mergeCell ref="E529:E535"/>
    <mergeCell ref="I508:I514"/>
    <mergeCell ref="A508:A514"/>
    <mergeCell ref="B508:B514"/>
    <mergeCell ref="C508:C514"/>
    <mergeCell ref="D508:D514"/>
    <mergeCell ref="F508:F514"/>
    <mergeCell ref="H508:H514"/>
    <mergeCell ref="I501:I507"/>
    <mergeCell ref="A501:A507"/>
    <mergeCell ref="B501:B507"/>
    <mergeCell ref="C501:C507"/>
    <mergeCell ref="D501:D507"/>
    <mergeCell ref="F501:F507"/>
    <mergeCell ref="H501:H507"/>
    <mergeCell ref="I494:I500"/>
    <mergeCell ref="A494:A500"/>
    <mergeCell ref="B494:B500"/>
    <mergeCell ref="C494:C500"/>
    <mergeCell ref="D494:D500"/>
    <mergeCell ref="F494:F500"/>
    <mergeCell ref="H494:H500"/>
    <mergeCell ref="E494:E500"/>
    <mergeCell ref="E501:E507"/>
    <mergeCell ref="E508:E514"/>
    <mergeCell ref="I487:I493"/>
    <mergeCell ref="A487:A493"/>
    <mergeCell ref="B487:B493"/>
    <mergeCell ref="C487:C493"/>
    <mergeCell ref="D487:D493"/>
    <mergeCell ref="F487:F493"/>
    <mergeCell ref="H487:H493"/>
    <mergeCell ref="I480:I486"/>
    <mergeCell ref="A480:A486"/>
    <mergeCell ref="B480:B486"/>
    <mergeCell ref="C480:C486"/>
    <mergeCell ref="D480:D486"/>
    <mergeCell ref="F480:F486"/>
    <mergeCell ref="H480:H486"/>
    <mergeCell ref="I473:I479"/>
    <mergeCell ref="A473:A479"/>
    <mergeCell ref="B473:B479"/>
    <mergeCell ref="C473:C479"/>
    <mergeCell ref="D473:D479"/>
    <mergeCell ref="F473:F479"/>
    <mergeCell ref="H473:H479"/>
    <mergeCell ref="E473:E479"/>
    <mergeCell ref="E480:E486"/>
    <mergeCell ref="E487:E493"/>
    <mergeCell ref="I466:I472"/>
    <mergeCell ref="A466:A472"/>
    <mergeCell ref="B466:B472"/>
    <mergeCell ref="C466:C472"/>
    <mergeCell ref="D466:D472"/>
    <mergeCell ref="F466:F472"/>
    <mergeCell ref="H466:H472"/>
    <mergeCell ref="I459:I465"/>
    <mergeCell ref="A459:A465"/>
    <mergeCell ref="B459:B465"/>
    <mergeCell ref="C459:C465"/>
    <mergeCell ref="D459:D465"/>
    <mergeCell ref="F459:F465"/>
    <mergeCell ref="H459:H465"/>
    <mergeCell ref="I452:I458"/>
    <mergeCell ref="A452:A458"/>
    <mergeCell ref="B452:B458"/>
    <mergeCell ref="C452:C458"/>
    <mergeCell ref="D452:D458"/>
    <mergeCell ref="F452:F458"/>
    <mergeCell ref="H452:H458"/>
    <mergeCell ref="E452:E458"/>
    <mergeCell ref="E459:E465"/>
    <mergeCell ref="E466:E472"/>
    <mergeCell ref="I445:I451"/>
    <mergeCell ref="A445:A451"/>
    <mergeCell ref="B445:B451"/>
    <mergeCell ref="C445:C451"/>
    <mergeCell ref="D445:D451"/>
    <mergeCell ref="F445:F451"/>
    <mergeCell ref="H445:H451"/>
    <mergeCell ref="I438:I444"/>
    <mergeCell ref="A438:A444"/>
    <mergeCell ref="B438:B444"/>
    <mergeCell ref="C438:C444"/>
    <mergeCell ref="D438:D444"/>
    <mergeCell ref="F438:F444"/>
    <mergeCell ref="H438:H444"/>
    <mergeCell ref="I431:I437"/>
    <mergeCell ref="A431:A437"/>
    <mergeCell ref="B431:B437"/>
    <mergeCell ref="C431:C437"/>
    <mergeCell ref="D431:D437"/>
    <mergeCell ref="F431:F437"/>
    <mergeCell ref="H431:H437"/>
    <mergeCell ref="E431:E437"/>
    <mergeCell ref="E438:E444"/>
    <mergeCell ref="E445:E451"/>
    <mergeCell ref="I424:I430"/>
    <mergeCell ref="A424:A430"/>
    <mergeCell ref="B424:B430"/>
    <mergeCell ref="C424:C430"/>
    <mergeCell ref="D424:D430"/>
    <mergeCell ref="F424:F430"/>
    <mergeCell ref="H424:H430"/>
    <mergeCell ref="I417:I423"/>
    <mergeCell ref="A417:A423"/>
    <mergeCell ref="B417:B423"/>
    <mergeCell ref="C417:C423"/>
    <mergeCell ref="D417:D423"/>
    <mergeCell ref="F417:F423"/>
    <mergeCell ref="H417:H423"/>
    <mergeCell ref="I410:I416"/>
    <mergeCell ref="A410:A416"/>
    <mergeCell ref="B410:B416"/>
    <mergeCell ref="C410:C416"/>
    <mergeCell ref="D410:D416"/>
    <mergeCell ref="F410:F416"/>
    <mergeCell ref="H410:H416"/>
    <mergeCell ref="E410:E416"/>
    <mergeCell ref="E417:E423"/>
    <mergeCell ref="E424:E430"/>
    <mergeCell ref="I403:I409"/>
    <mergeCell ref="A403:A409"/>
    <mergeCell ref="B403:B409"/>
    <mergeCell ref="C403:C409"/>
    <mergeCell ref="D403:D409"/>
    <mergeCell ref="F403:F409"/>
    <mergeCell ref="H403:H409"/>
    <mergeCell ref="I396:I402"/>
    <mergeCell ref="A396:A402"/>
    <mergeCell ref="B396:B402"/>
    <mergeCell ref="C396:C402"/>
    <mergeCell ref="D396:D402"/>
    <mergeCell ref="F396:F402"/>
    <mergeCell ref="H396:H402"/>
    <mergeCell ref="I389:I395"/>
    <mergeCell ref="A389:A395"/>
    <mergeCell ref="B389:B395"/>
    <mergeCell ref="C389:C395"/>
    <mergeCell ref="D389:D395"/>
    <mergeCell ref="F389:F395"/>
    <mergeCell ref="H389:H395"/>
    <mergeCell ref="E389:E395"/>
    <mergeCell ref="E396:E402"/>
    <mergeCell ref="E403:E409"/>
    <mergeCell ref="I382:I388"/>
    <mergeCell ref="A382:A388"/>
    <mergeCell ref="B382:B388"/>
    <mergeCell ref="C382:C388"/>
    <mergeCell ref="D382:D388"/>
    <mergeCell ref="F382:F388"/>
    <mergeCell ref="H382:H388"/>
    <mergeCell ref="I375:I381"/>
    <mergeCell ref="A375:A381"/>
    <mergeCell ref="B375:B381"/>
    <mergeCell ref="C375:C381"/>
    <mergeCell ref="D375:D381"/>
    <mergeCell ref="F375:F381"/>
    <mergeCell ref="H375:H381"/>
    <mergeCell ref="I368:I374"/>
    <mergeCell ref="A368:A374"/>
    <mergeCell ref="B368:B374"/>
    <mergeCell ref="C368:C374"/>
    <mergeCell ref="D368:D374"/>
    <mergeCell ref="F368:F374"/>
    <mergeCell ref="H368:H374"/>
    <mergeCell ref="E368:E374"/>
    <mergeCell ref="E375:E381"/>
    <mergeCell ref="E382:E388"/>
    <mergeCell ref="I361:I367"/>
    <mergeCell ref="A361:A367"/>
    <mergeCell ref="B361:B367"/>
    <mergeCell ref="C361:C367"/>
    <mergeCell ref="D361:D367"/>
    <mergeCell ref="F361:F367"/>
    <mergeCell ref="H361:H367"/>
    <mergeCell ref="I354:I360"/>
    <mergeCell ref="A354:A360"/>
    <mergeCell ref="B354:B360"/>
    <mergeCell ref="C354:C360"/>
    <mergeCell ref="D354:D360"/>
    <mergeCell ref="F354:F360"/>
    <mergeCell ref="H354:H360"/>
    <mergeCell ref="I347:I353"/>
    <mergeCell ref="A347:A353"/>
    <mergeCell ref="B347:B353"/>
    <mergeCell ref="C347:C353"/>
    <mergeCell ref="D347:D353"/>
    <mergeCell ref="F347:F353"/>
    <mergeCell ref="H347:H353"/>
    <mergeCell ref="E347:E353"/>
    <mergeCell ref="E354:E360"/>
    <mergeCell ref="E361:E367"/>
    <mergeCell ref="I340:I346"/>
    <mergeCell ref="A340:A346"/>
    <mergeCell ref="B340:B346"/>
    <mergeCell ref="C340:C346"/>
    <mergeCell ref="D340:D346"/>
    <mergeCell ref="F340:F346"/>
    <mergeCell ref="H340:H346"/>
    <mergeCell ref="I333:I339"/>
    <mergeCell ref="A333:A339"/>
    <mergeCell ref="B333:B339"/>
    <mergeCell ref="C333:C339"/>
    <mergeCell ref="D333:D339"/>
    <mergeCell ref="F333:F339"/>
    <mergeCell ref="H333:H339"/>
    <mergeCell ref="I326:I332"/>
    <mergeCell ref="A326:A332"/>
    <mergeCell ref="B326:B332"/>
    <mergeCell ref="C326:C332"/>
    <mergeCell ref="D326:D332"/>
    <mergeCell ref="F326:F332"/>
    <mergeCell ref="H326:H332"/>
    <mergeCell ref="E340:E346"/>
    <mergeCell ref="I319:I325"/>
    <mergeCell ref="A319:A325"/>
    <mergeCell ref="B319:B325"/>
    <mergeCell ref="C319:C325"/>
    <mergeCell ref="D319:D325"/>
    <mergeCell ref="F319:F325"/>
    <mergeCell ref="H319:H325"/>
    <mergeCell ref="I312:I318"/>
    <mergeCell ref="A312:A318"/>
    <mergeCell ref="B312:B318"/>
    <mergeCell ref="C312:C318"/>
    <mergeCell ref="D312:D318"/>
    <mergeCell ref="F312:F318"/>
    <mergeCell ref="H312:H318"/>
    <mergeCell ref="H305:H311"/>
    <mergeCell ref="I305:I311"/>
    <mergeCell ref="A305:A311"/>
    <mergeCell ref="B305:B311"/>
    <mergeCell ref="C305:C311"/>
    <mergeCell ref="D305:D311"/>
    <mergeCell ref="F305:F311"/>
    <mergeCell ref="I1188:I1194"/>
    <mergeCell ref="A298:A304"/>
    <mergeCell ref="B298:B304"/>
    <mergeCell ref="C298:C304"/>
    <mergeCell ref="D298:D304"/>
    <mergeCell ref="F298:F304"/>
    <mergeCell ref="H298:H304"/>
    <mergeCell ref="I298:I304"/>
    <mergeCell ref="A1188:A1194"/>
    <mergeCell ref="B1188:B1194"/>
    <mergeCell ref="C1188:C1194"/>
    <mergeCell ref="D1188:D1194"/>
    <mergeCell ref="F1188:F1194"/>
    <mergeCell ref="H1188:H1194"/>
    <mergeCell ref="I1181:I1187"/>
    <mergeCell ref="A1181:A1187"/>
    <mergeCell ref="B1181:B1187"/>
    <mergeCell ref="C1181:C1187"/>
    <mergeCell ref="D1181:D1187"/>
    <mergeCell ref="F1181:F1187"/>
    <mergeCell ref="H1181:H1187"/>
    <mergeCell ref="I1174:I1180"/>
    <mergeCell ref="A1174:A1180"/>
    <mergeCell ref="B1174:B1180"/>
    <mergeCell ref="C1174:C1180"/>
    <mergeCell ref="D1174:D1180"/>
    <mergeCell ref="F1174:F1180"/>
    <mergeCell ref="H1174:H1180"/>
    <mergeCell ref="I1167:I1173"/>
    <mergeCell ref="A1167:A1173"/>
    <mergeCell ref="B1167:B1173"/>
    <mergeCell ref="C1167:C1173"/>
    <mergeCell ref="D1167:D1173"/>
    <mergeCell ref="F1167:F1173"/>
    <mergeCell ref="H1167:H1173"/>
    <mergeCell ref="I1160:I1166"/>
    <mergeCell ref="A1160:A1166"/>
    <mergeCell ref="B1160:B1166"/>
    <mergeCell ref="C1160:C1166"/>
    <mergeCell ref="D1160:D1166"/>
    <mergeCell ref="F1160:F1166"/>
    <mergeCell ref="H1160:H1166"/>
    <mergeCell ref="I1153:I1159"/>
    <mergeCell ref="A1153:A1159"/>
    <mergeCell ref="B1153:B1159"/>
    <mergeCell ref="C1153:C1159"/>
    <mergeCell ref="D1153:D1159"/>
    <mergeCell ref="F1153:F1159"/>
    <mergeCell ref="H1153:H1159"/>
    <mergeCell ref="E1153:E1159"/>
    <mergeCell ref="E1160:E1166"/>
    <mergeCell ref="E1167:E1173"/>
    <mergeCell ref="I1146:I1152"/>
    <mergeCell ref="A1146:A1152"/>
    <mergeCell ref="B1146:B1152"/>
    <mergeCell ref="C1146:C1152"/>
    <mergeCell ref="D1146:D1152"/>
    <mergeCell ref="F1146:F1152"/>
    <mergeCell ref="H1146:H1152"/>
    <mergeCell ref="I1139:I1145"/>
    <mergeCell ref="A1139:A1145"/>
    <mergeCell ref="B1139:B1145"/>
    <mergeCell ref="C1139:C1145"/>
    <mergeCell ref="D1139:D1145"/>
    <mergeCell ref="F1139:F1145"/>
    <mergeCell ref="H1139:H1145"/>
    <mergeCell ref="I1132:I1138"/>
    <mergeCell ref="A1132:A1138"/>
    <mergeCell ref="B1132:B1138"/>
    <mergeCell ref="C1132:C1138"/>
    <mergeCell ref="D1132:D1138"/>
    <mergeCell ref="F1132:F1138"/>
    <mergeCell ref="H1132:H1138"/>
    <mergeCell ref="E1132:E1138"/>
    <mergeCell ref="E1139:E1145"/>
    <mergeCell ref="E1146:E1152"/>
    <mergeCell ref="I1125:I1131"/>
    <mergeCell ref="A1125:A1131"/>
    <mergeCell ref="B1125:B1131"/>
    <mergeCell ref="C1125:C1131"/>
    <mergeCell ref="D1125:D1131"/>
    <mergeCell ref="F1125:F1131"/>
    <mergeCell ref="H1125:H1131"/>
    <mergeCell ref="I1118:I1124"/>
    <mergeCell ref="A1118:A1124"/>
    <mergeCell ref="B1118:B1124"/>
    <mergeCell ref="C1118:C1124"/>
    <mergeCell ref="D1118:D1124"/>
    <mergeCell ref="F1118:F1124"/>
    <mergeCell ref="H1118:H1124"/>
    <mergeCell ref="I1111:I1117"/>
    <mergeCell ref="A1111:A1117"/>
    <mergeCell ref="B1111:B1117"/>
    <mergeCell ref="C1111:C1117"/>
    <mergeCell ref="D1111:D1117"/>
    <mergeCell ref="F1111:F1117"/>
    <mergeCell ref="H1111:H1117"/>
    <mergeCell ref="E1111:E1117"/>
    <mergeCell ref="E1118:E1124"/>
    <mergeCell ref="E1125:E1131"/>
    <mergeCell ref="I1104:I1110"/>
    <mergeCell ref="A1104:A1110"/>
    <mergeCell ref="B1104:B1110"/>
    <mergeCell ref="C1104:C1110"/>
    <mergeCell ref="D1104:D1110"/>
    <mergeCell ref="F1104:F1110"/>
    <mergeCell ref="H1104:H1110"/>
    <mergeCell ref="I1097:I1103"/>
    <mergeCell ref="A1097:A1103"/>
    <mergeCell ref="B1097:B1103"/>
    <mergeCell ref="C1097:C1103"/>
    <mergeCell ref="D1097:D1103"/>
    <mergeCell ref="F1097:F1103"/>
    <mergeCell ref="H1097:H1103"/>
    <mergeCell ref="I1090:I1096"/>
    <mergeCell ref="A1090:A1096"/>
    <mergeCell ref="B1090:B1096"/>
    <mergeCell ref="C1090:C1096"/>
    <mergeCell ref="D1090:D1096"/>
    <mergeCell ref="F1090:F1096"/>
    <mergeCell ref="H1090:H1096"/>
    <mergeCell ref="E1090:E1096"/>
    <mergeCell ref="E1097:E1103"/>
    <mergeCell ref="E1104:E1110"/>
    <mergeCell ref="I1083:I1089"/>
    <mergeCell ref="A1083:A1089"/>
    <mergeCell ref="B1083:B1089"/>
    <mergeCell ref="C1083:C1089"/>
    <mergeCell ref="D1083:D1089"/>
    <mergeCell ref="F1083:F1089"/>
    <mergeCell ref="H1083:H1089"/>
    <mergeCell ref="I1076:I1082"/>
    <mergeCell ref="A1076:A1082"/>
    <mergeCell ref="B1076:B1082"/>
    <mergeCell ref="C1076:C1082"/>
    <mergeCell ref="D1076:D1082"/>
    <mergeCell ref="F1076:F1082"/>
    <mergeCell ref="H1076:H1082"/>
    <mergeCell ref="I1069:I1075"/>
    <mergeCell ref="A1069:A1075"/>
    <mergeCell ref="B1069:B1075"/>
    <mergeCell ref="C1069:C1075"/>
    <mergeCell ref="D1069:D1075"/>
    <mergeCell ref="F1069:F1075"/>
    <mergeCell ref="H1069:H1075"/>
    <mergeCell ref="E1069:E1075"/>
    <mergeCell ref="E1076:E1082"/>
    <mergeCell ref="E1083:E1089"/>
    <mergeCell ref="I1062:I1068"/>
    <mergeCell ref="A1062:A1068"/>
    <mergeCell ref="B1062:B1068"/>
    <mergeCell ref="C1062:C1068"/>
    <mergeCell ref="D1062:D1068"/>
    <mergeCell ref="F1062:F1068"/>
    <mergeCell ref="H1062:H1068"/>
    <mergeCell ref="I1055:I1061"/>
    <mergeCell ref="A1055:A1061"/>
    <mergeCell ref="B1055:B1061"/>
    <mergeCell ref="C1055:C1061"/>
    <mergeCell ref="D1055:D1061"/>
    <mergeCell ref="F1055:F1061"/>
    <mergeCell ref="H1055:H1061"/>
    <mergeCell ref="I1048:I1054"/>
    <mergeCell ref="A1048:A1054"/>
    <mergeCell ref="B1048:B1054"/>
    <mergeCell ref="C1048:C1054"/>
    <mergeCell ref="D1048:D1054"/>
    <mergeCell ref="F1048:F1054"/>
    <mergeCell ref="H1048:H1054"/>
    <mergeCell ref="E1048:E1054"/>
    <mergeCell ref="E1055:E1061"/>
    <mergeCell ref="E1062:E1068"/>
    <mergeCell ref="I1041:I1047"/>
    <mergeCell ref="A1041:A1047"/>
    <mergeCell ref="B1041:B1047"/>
    <mergeCell ref="C1041:C1047"/>
    <mergeCell ref="D1041:D1047"/>
    <mergeCell ref="F1041:F1047"/>
    <mergeCell ref="H1041:H1047"/>
    <mergeCell ref="I1034:I1040"/>
    <mergeCell ref="A1034:A1040"/>
    <mergeCell ref="B1034:B1040"/>
    <mergeCell ref="C1034:C1040"/>
    <mergeCell ref="D1034:D1040"/>
    <mergeCell ref="F1034:F1040"/>
    <mergeCell ref="H1034:H1040"/>
    <mergeCell ref="I1027:I1033"/>
    <mergeCell ref="A1027:A1033"/>
    <mergeCell ref="B1027:B1033"/>
    <mergeCell ref="C1027:C1033"/>
    <mergeCell ref="D1027:D1033"/>
    <mergeCell ref="F1027:F1033"/>
    <mergeCell ref="H1027:H1033"/>
    <mergeCell ref="E1027:E1033"/>
    <mergeCell ref="E1034:E1040"/>
    <mergeCell ref="E1041:E1047"/>
    <mergeCell ref="I1020:I1026"/>
    <mergeCell ref="A1020:A1026"/>
    <mergeCell ref="B1020:B1026"/>
    <mergeCell ref="C1020:C1026"/>
    <mergeCell ref="D1020:D1026"/>
    <mergeCell ref="F1020:F1026"/>
    <mergeCell ref="H1020:H1026"/>
    <mergeCell ref="I1013:I1019"/>
    <mergeCell ref="A1013:A1019"/>
    <mergeCell ref="B1013:B1019"/>
    <mergeCell ref="C1013:C1019"/>
    <mergeCell ref="D1013:D1019"/>
    <mergeCell ref="F1013:F1019"/>
    <mergeCell ref="H1013:H1019"/>
    <mergeCell ref="I1006:I1012"/>
    <mergeCell ref="A1006:A1012"/>
    <mergeCell ref="B1006:B1012"/>
    <mergeCell ref="C1006:C1012"/>
    <mergeCell ref="D1006:D1012"/>
    <mergeCell ref="F1006:F1012"/>
    <mergeCell ref="H1006:H1012"/>
    <mergeCell ref="E1006:E1012"/>
    <mergeCell ref="E1013:E1019"/>
    <mergeCell ref="E1020:E1026"/>
    <mergeCell ref="I999:I1005"/>
    <mergeCell ref="A999:A1005"/>
    <mergeCell ref="B999:B1005"/>
    <mergeCell ref="C999:C1005"/>
    <mergeCell ref="D999:D1005"/>
    <mergeCell ref="F999:F1005"/>
    <mergeCell ref="H999:H1005"/>
    <mergeCell ref="I992:I998"/>
    <mergeCell ref="A992:A998"/>
    <mergeCell ref="B992:B998"/>
    <mergeCell ref="C992:C998"/>
    <mergeCell ref="D992:D998"/>
    <mergeCell ref="F992:F998"/>
    <mergeCell ref="H992:H998"/>
    <mergeCell ref="I985:I991"/>
    <mergeCell ref="A985:A991"/>
    <mergeCell ref="B985:B991"/>
    <mergeCell ref="C985:C991"/>
    <mergeCell ref="D985:D991"/>
    <mergeCell ref="F985:F991"/>
    <mergeCell ref="H985:H991"/>
    <mergeCell ref="E985:E991"/>
    <mergeCell ref="E992:E998"/>
    <mergeCell ref="E999:E1005"/>
    <mergeCell ref="I978:I984"/>
    <mergeCell ref="A978:A984"/>
    <mergeCell ref="B978:B984"/>
    <mergeCell ref="C978:C984"/>
    <mergeCell ref="D978:D984"/>
    <mergeCell ref="F978:F984"/>
    <mergeCell ref="H978:H984"/>
    <mergeCell ref="I971:I977"/>
    <mergeCell ref="A971:A977"/>
    <mergeCell ref="B971:B977"/>
    <mergeCell ref="C971:C977"/>
    <mergeCell ref="D971:D977"/>
    <mergeCell ref="F971:F977"/>
    <mergeCell ref="H971:H977"/>
    <mergeCell ref="I964:I970"/>
    <mergeCell ref="A964:A970"/>
    <mergeCell ref="B964:B970"/>
    <mergeCell ref="C964:C970"/>
    <mergeCell ref="D964:D970"/>
    <mergeCell ref="F964:F970"/>
    <mergeCell ref="H964:H970"/>
    <mergeCell ref="E964:E970"/>
    <mergeCell ref="E971:E977"/>
    <mergeCell ref="E978:E984"/>
    <mergeCell ref="I957:I963"/>
    <mergeCell ref="A957:A963"/>
    <mergeCell ref="B957:B963"/>
    <mergeCell ref="C957:C963"/>
    <mergeCell ref="D957:D963"/>
    <mergeCell ref="F957:F963"/>
    <mergeCell ref="H957:H963"/>
    <mergeCell ref="I950:I956"/>
    <mergeCell ref="A950:A956"/>
    <mergeCell ref="B950:B956"/>
    <mergeCell ref="C950:C956"/>
    <mergeCell ref="D950:D956"/>
    <mergeCell ref="F950:F956"/>
    <mergeCell ref="H950:H956"/>
    <mergeCell ref="I943:I949"/>
    <mergeCell ref="A943:A949"/>
    <mergeCell ref="B943:B949"/>
    <mergeCell ref="C943:C949"/>
    <mergeCell ref="D943:D949"/>
    <mergeCell ref="F943:F949"/>
    <mergeCell ref="H943:H949"/>
    <mergeCell ref="E943:E949"/>
    <mergeCell ref="E950:E956"/>
    <mergeCell ref="E957:E963"/>
    <mergeCell ref="I936:I942"/>
    <mergeCell ref="A936:A942"/>
    <mergeCell ref="B936:B942"/>
    <mergeCell ref="C936:C942"/>
    <mergeCell ref="D936:D942"/>
    <mergeCell ref="F936:F942"/>
    <mergeCell ref="H936:H942"/>
    <mergeCell ref="I929:I935"/>
    <mergeCell ref="A929:A935"/>
    <mergeCell ref="B929:B935"/>
    <mergeCell ref="C929:C935"/>
    <mergeCell ref="D929:D935"/>
    <mergeCell ref="F929:F935"/>
    <mergeCell ref="H929:H935"/>
    <mergeCell ref="I922:I928"/>
    <mergeCell ref="A922:A928"/>
    <mergeCell ref="B922:B928"/>
    <mergeCell ref="C922:C928"/>
    <mergeCell ref="D922:D928"/>
    <mergeCell ref="F922:F928"/>
    <mergeCell ref="H922:H928"/>
    <mergeCell ref="E922:E928"/>
    <mergeCell ref="E929:E935"/>
    <mergeCell ref="E936:E942"/>
    <mergeCell ref="I915:I921"/>
    <mergeCell ref="A915:A921"/>
    <mergeCell ref="B915:B921"/>
    <mergeCell ref="C915:C921"/>
    <mergeCell ref="D915:D921"/>
    <mergeCell ref="F915:F921"/>
    <mergeCell ref="H915:H921"/>
    <mergeCell ref="I908:I914"/>
    <mergeCell ref="A908:A914"/>
    <mergeCell ref="B908:B914"/>
    <mergeCell ref="C908:C914"/>
    <mergeCell ref="D908:D914"/>
    <mergeCell ref="F908:F914"/>
    <mergeCell ref="H908:H914"/>
    <mergeCell ref="I901:I907"/>
    <mergeCell ref="A901:A907"/>
    <mergeCell ref="B901:B907"/>
    <mergeCell ref="C901:C907"/>
    <mergeCell ref="D901:D907"/>
    <mergeCell ref="F901:F907"/>
    <mergeCell ref="H901:H907"/>
    <mergeCell ref="E901:E907"/>
    <mergeCell ref="E908:E914"/>
    <mergeCell ref="E915:E921"/>
    <mergeCell ref="I894:I900"/>
    <mergeCell ref="A894:A900"/>
    <mergeCell ref="B894:B900"/>
    <mergeCell ref="C894:C900"/>
    <mergeCell ref="D894:D900"/>
    <mergeCell ref="F894:F900"/>
    <mergeCell ref="H894:H900"/>
    <mergeCell ref="I887:I893"/>
    <mergeCell ref="A887:A893"/>
    <mergeCell ref="B887:B893"/>
    <mergeCell ref="C887:C893"/>
    <mergeCell ref="D887:D893"/>
    <mergeCell ref="F887:F893"/>
    <mergeCell ref="H887:H893"/>
    <mergeCell ref="I880:I886"/>
    <mergeCell ref="A880:A886"/>
    <mergeCell ref="B880:B886"/>
    <mergeCell ref="C880:C886"/>
    <mergeCell ref="D880:D886"/>
    <mergeCell ref="F880:F886"/>
    <mergeCell ref="H880:H886"/>
    <mergeCell ref="E880:E886"/>
    <mergeCell ref="E887:E893"/>
    <mergeCell ref="E894:E900"/>
    <mergeCell ref="I873:I879"/>
    <mergeCell ref="A873:A879"/>
    <mergeCell ref="B873:B879"/>
    <mergeCell ref="C873:C879"/>
    <mergeCell ref="D873:D879"/>
    <mergeCell ref="F873:F879"/>
    <mergeCell ref="H873:H879"/>
    <mergeCell ref="I866:I872"/>
    <mergeCell ref="A866:A872"/>
    <mergeCell ref="B866:B872"/>
    <mergeCell ref="C866:C872"/>
    <mergeCell ref="D866:D872"/>
    <mergeCell ref="F866:F872"/>
    <mergeCell ref="H866:H872"/>
    <mergeCell ref="I859:I865"/>
    <mergeCell ref="A859:A865"/>
    <mergeCell ref="B859:B865"/>
    <mergeCell ref="C859:C865"/>
    <mergeCell ref="D859:D865"/>
    <mergeCell ref="F859:F865"/>
    <mergeCell ref="H859:H865"/>
    <mergeCell ref="E866:E872"/>
    <mergeCell ref="E873:E879"/>
    <mergeCell ref="I852:I858"/>
    <mergeCell ref="A852:A858"/>
    <mergeCell ref="B852:B858"/>
    <mergeCell ref="C852:C858"/>
    <mergeCell ref="D852:D858"/>
    <mergeCell ref="F852:F858"/>
    <mergeCell ref="H852:H858"/>
    <mergeCell ref="I845:I851"/>
    <mergeCell ref="A845:A851"/>
    <mergeCell ref="B845:B851"/>
    <mergeCell ref="C845:C851"/>
    <mergeCell ref="D845:D851"/>
    <mergeCell ref="F845:F851"/>
    <mergeCell ref="H845:H851"/>
    <mergeCell ref="I838:I844"/>
    <mergeCell ref="A838:A844"/>
    <mergeCell ref="B838:B844"/>
    <mergeCell ref="C838:C844"/>
    <mergeCell ref="D838:D844"/>
    <mergeCell ref="F838:F844"/>
    <mergeCell ref="H838:H844"/>
    <mergeCell ref="I831:I837"/>
    <mergeCell ref="A831:A837"/>
    <mergeCell ref="B831:B837"/>
    <mergeCell ref="C831:C837"/>
    <mergeCell ref="D831:D837"/>
    <mergeCell ref="F831:F837"/>
    <mergeCell ref="H831:H837"/>
    <mergeCell ref="I824:I830"/>
    <mergeCell ref="A824:A830"/>
    <mergeCell ref="B824:B830"/>
    <mergeCell ref="C824:C830"/>
    <mergeCell ref="D824:D830"/>
    <mergeCell ref="F824:F830"/>
    <mergeCell ref="H824:H830"/>
    <mergeCell ref="I817:I823"/>
    <mergeCell ref="A817:A823"/>
    <mergeCell ref="B817:B823"/>
    <mergeCell ref="C817:C823"/>
    <mergeCell ref="D817:D823"/>
    <mergeCell ref="F817:F823"/>
    <mergeCell ref="H817:H823"/>
    <mergeCell ref="I810:I816"/>
    <mergeCell ref="A810:A816"/>
    <mergeCell ref="B810:B816"/>
    <mergeCell ref="C810:C816"/>
    <mergeCell ref="D810:D816"/>
    <mergeCell ref="F810:F816"/>
    <mergeCell ref="H810:H816"/>
    <mergeCell ref="I803:I809"/>
    <mergeCell ref="A803:A809"/>
    <mergeCell ref="B803:B809"/>
    <mergeCell ref="C803:C809"/>
    <mergeCell ref="D803:D809"/>
    <mergeCell ref="F803:F809"/>
    <mergeCell ref="H803:H809"/>
    <mergeCell ref="I796:I802"/>
    <mergeCell ref="A796:A802"/>
    <mergeCell ref="B796:B802"/>
    <mergeCell ref="C796:C802"/>
    <mergeCell ref="D796:D802"/>
    <mergeCell ref="F796:F802"/>
    <mergeCell ref="H796:H802"/>
    <mergeCell ref="I789:I795"/>
    <mergeCell ref="A789:A795"/>
    <mergeCell ref="B789:B795"/>
    <mergeCell ref="C789:C795"/>
    <mergeCell ref="D789:D795"/>
    <mergeCell ref="F789:F795"/>
    <mergeCell ref="H789:H795"/>
    <mergeCell ref="I782:I788"/>
    <mergeCell ref="A782:A788"/>
    <mergeCell ref="B782:B788"/>
    <mergeCell ref="C782:C788"/>
    <mergeCell ref="D782:D788"/>
    <mergeCell ref="F782:F788"/>
    <mergeCell ref="H782:H788"/>
    <mergeCell ref="I775:I781"/>
    <mergeCell ref="A775:A781"/>
    <mergeCell ref="B775:B781"/>
    <mergeCell ref="C775:C781"/>
    <mergeCell ref="D775:D781"/>
    <mergeCell ref="F775:F781"/>
    <mergeCell ref="H775:H781"/>
    <mergeCell ref="I768:I774"/>
    <mergeCell ref="A768:A774"/>
    <mergeCell ref="B768:B774"/>
    <mergeCell ref="C768:C774"/>
    <mergeCell ref="D768:D774"/>
    <mergeCell ref="F768:F774"/>
    <mergeCell ref="H768:H774"/>
    <mergeCell ref="I761:I767"/>
    <mergeCell ref="A761:A767"/>
    <mergeCell ref="B761:B767"/>
    <mergeCell ref="C761:C767"/>
    <mergeCell ref="D761:D767"/>
    <mergeCell ref="F761:F767"/>
    <mergeCell ref="H761:H767"/>
    <mergeCell ref="I754:I760"/>
    <mergeCell ref="A754:A760"/>
    <mergeCell ref="B754:B760"/>
    <mergeCell ref="C754:C760"/>
    <mergeCell ref="D754:D760"/>
    <mergeCell ref="F754:F760"/>
    <mergeCell ref="H754:H760"/>
    <mergeCell ref="I747:I753"/>
    <mergeCell ref="A747:A753"/>
    <mergeCell ref="B747:B753"/>
    <mergeCell ref="C747:C753"/>
    <mergeCell ref="D747:D753"/>
    <mergeCell ref="F747:F753"/>
    <mergeCell ref="H747:H753"/>
    <mergeCell ref="I1219:I1225"/>
    <mergeCell ref="A1507:A1513"/>
    <mergeCell ref="B1507:B1513"/>
    <mergeCell ref="C1507:C1513"/>
    <mergeCell ref="D1507:D1513"/>
    <mergeCell ref="F1507:F1513"/>
    <mergeCell ref="H1507:H1513"/>
    <mergeCell ref="I1507:I1513"/>
    <mergeCell ref="A1219:A1225"/>
    <mergeCell ref="B1219:B1225"/>
    <mergeCell ref="C1219:C1225"/>
    <mergeCell ref="D1219:D1225"/>
    <mergeCell ref="F1219:F1225"/>
    <mergeCell ref="H1219:H1225"/>
    <mergeCell ref="H1204:H1210"/>
    <mergeCell ref="I1204:I1210"/>
    <mergeCell ref="A1211:A1217"/>
    <mergeCell ref="B1211:B1217"/>
    <mergeCell ref="C1211:C1217"/>
    <mergeCell ref="D1211:D1217"/>
    <mergeCell ref="F1211:F1217"/>
    <mergeCell ref="H1211:H1217"/>
    <mergeCell ref="I1211:I1217"/>
    <mergeCell ref="C1196:C1202"/>
    <mergeCell ref="D1196:D1202"/>
    <mergeCell ref="F1196:F1202"/>
    <mergeCell ref="H1196:H1202"/>
    <mergeCell ref="I1196:I1202"/>
    <mergeCell ref="A1204:A1210"/>
    <mergeCell ref="B1204:B1210"/>
    <mergeCell ref="C1204:C1210"/>
    <mergeCell ref="D1204:D1210"/>
    <mergeCell ref="F1204:F1210"/>
    <mergeCell ref="I268:I274"/>
    <mergeCell ref="A1499:A1505"/>
    <mergeCell ref="B1499:B1505"/>
    <mergeCell ref="C1499:C1505"/>
    <mergeCell ref="D1499:D1505"/>
    <mergeCell ref="F1499:F1505"/>
    <mergeCell ref="H1499:H1505"/>
    <mergeCell ref="I1499:I1505"/>
    <mergeCell ref="A1196:A1202"/>
    <mergeCell ref="B1196:B1202"/>
    <mergeCell ref="A268:A274"/>
    <mergeCell ref="B268:B274"/>
    <mergeCell ref="C268:C274"/>
    <mergeCell ref="D268:D274"/>
    <mergeCell ref="F268:F274"/>
    <mergeCell ref="H268:H274"/>
    <mergeCell ref="A290:A296"/>
    <mergeCell ref="B290:B296"/>
    <mergeCell ref="C290:C296"/>
    <mergeCell ref="D290:D296"/>
    <mergeCell ref="F290:F296"/>
    <mergeCell ref="H290:H296"/>
    <mergeCell ref="I290:I296"/>
    <mergeCell ref="I1483:I1489"/>
    <mergeCell ref="A261:A267"/>
    <mergeCell ref="B261:B267"/>
    <mergeCell ref="C261:C267"/>
    <mergeCell ref="D261:D267"/>
    <mergeCell ref="F261:F267"/>
    <mergeCell ref="H261:H267"/>
    <mergeCell ref="I261:I267"/>
    <mergeCell ref="C210:C216"/>
    <mergeCell ref="D210:D216"/>
    <mergeCell ref="F210:F216"/>
    <mergeCell ref="H210:H216"/>
    <mergeCell ref="I210:I216"/>
    <mergeCell ref="A238:A244"/>
    <mergeCell ref="B238:B244"/>
    <mergeCell ref="C238:C244"/>
    <mergeCell ref="D238:D244"/>
    <mergeCell ref="F238:F244"/>
    <mergeCell ref="I217:I223"/>
    <mergeCell ref="A224:A230"/>
    <mergeCell ref="B224:B230"/>
    <mergeCell ref="C224:C230"/>
    <mergeCell ref="D224:D230"/>
    <mergeCell ref="F224:F230"/>
    <mergeCell ref="H224:H230"/>
    <mergeCell ref="I224:I230"/>
    <mergeCell ref="A217:A223"/>
    <mergeCell ref="B217:B223"/>
    <mergeCell ref="C217:C223"/>
    <mergeCell ref="D217:D223"/>
    <mergeCell ref="F217:F223"/>
    <mergeCell ref="B253:B259"/>
    <mergeCell ref="C253:C259"/>
    <mergeCell ref="C1515:C1521"/>
    <mergeCell ref="D1515:D1521"/>
    <mergeCell ref="A1491:A1497"/>
    <mergeCell ref="B1491:B1497"/>
    <mergeCell ref="C1491:C1497"/>
    <mergeCell ref="D1491:D1497"/>
    <mergeCell ref="F1491:F1497"/>
    <mergeCell ref="H1491:H1497"/>
    <mergeCell ref="I1491:I1497"/>
    <mergeCell ref="A1483:A1489"/>
    <mergeCell ref="B1483:B1489"/>
    <mergeCell ref="C1483:C1489"/>
    <mergeCell ref="D1483:D1489"/>
    <mergeCell ref="F1483:F1489"/>
    <mergeCell ref="H1483:H1489"/>
    <mergeCell ref="I1453:I1459"/>
    <mergeCell ref="A1475:A1481"/>
    <mergeCell ref="B1475:B1481"/>
    <mergeCell ref="C1475:C1481"/>
    <mergeCell ref="D1475:D1481"/>
    <mergeCell ref="F1475:F1481"/>
    <mergeCell ref="H1475:H1481"/>
    <mergeCell ref="I1475:I1481"/>
    <mergeCell ref="A1453:A1459"/>
    <mergeCell ref="B1453:B1459"/>
    <mergeCell ref="C1453:C1459"/>
    <mergeCell ref="D1453:D1459"/>
    <mergeCell ref="F1453:F1459"/>
    <mergeCell ref="H1453:H1459"/>
    <mergeCell ref="F1460:F1466"/>
    <mergeCell ref="H1460:H1466"/>
    <mergeCell ref="I1460:I1466"/>
    <mergeCell ref="F1515:F1521"/>
    <mergeCell ref="H1515:H1521"/>
    <mergeCell ref="F60:F66"/>
    <mergeCell ref="H60:H66"/>
    <mergeCell ref="I60:I66"/>
    <mergeCell ref="A1410:A1416"/>
    <mergeCell ref="B1410:B1416"/>
    <mergeCell ref="C1410:C1416"/>
    <mergeCell ref="D1410:D1416"/>
    <mergeCell ref="F1410:F1416"/>
    <mergeCell ref="H1410:H1416"/>
    <mergeCell ref="I1410:I1416"/>
    <mergeCell ref="A1609:B1609"/>
    <mergeCell ref="A53:A59"/>
    <mergeCell ref="B53:B59"/>
    <mergeCell ref="C53:C59"/>
    <mergeCell ref="D53:D59"/>
    <mergeCell ref="F53:F59"/>
    <mergeCell ref="A60:A66"/>
    <mergeCell ref="B60:B66"/>
    <mergeCell ref="C60:C66"/>
    <mergeCell ref="D60:D66"/>
    <mergeCell ref="I1515:I1521"/>
    <mergeCell ref="A1522:A1528"/>
    <mergeCell ref="B1522:B1528"/>
    <mergeCell ref="C1522:C1528"/>
    <mergeCell ref="D1522:D1528"/>
    <mergeCell ref="F1522:F1528"/>
    <mergeCell ref="H1522:H1528"/>
    <mergeCell ref="I1522:I1528"/>
    <mergeCell ref="A1515:A1521"/>
    <mergeCell ref="B1515:B1521"/>
    <mergeCell ref="I1381:I1387"/>
    <mergeCell ref="A1381:A1387"/>
    <mergeCell ref="B1381:B1387"/>
    <mergeCell ref="C1381:C1387"/>
    <mergeCell ref="D1381:D1387"/>
    <mergeCell ref="F1381:F1387"/>
    <mergeCell ref="H1381:H1387"/>
    <mergeCell ref="I1367:I1373"/>
    <mergeCell ref="A1374:A1380"/>
    <mergeCell ref="B1374:B1380"/>
    <mergeCell ref="C1374:C1380"/>
    <mergeCell ref="D1374:D1380"/>
    <mergeCell ref="F1374:F1380"/>
    <mergeCell ref="H1374:H1380"/>
    <mergeCell ref="I1374:I1380"/>
    <mergeCell ref="A1367:A1373"/>
    <mergeCell ref="B1367:B1373"/>
    <mergeCell ref="C1367:C1373"/>
    <mergeCell ref="D1367:D1373"/>
    <mergeCell ref="F1367:F1373"/>
    <mergeCell ref="H1367:H1373"/>
    <mergeCell ref="I1346:I1352"/>
    <mergeCell ref="A1346:A1352"/>
    <mergeCell ref="B1346:B1352"/>
    <mergeCell ref="C1346:C1352"/>
    <mergeCell ref="D1346:D1352"/>
    <mergeCell ref="F1346:F1352"/>
    <mergeCell ref="H1346:H1352"/>
    <mergeCell ref="A1360:A1366"/>
    <mergeCell ref="B1360:B1366"/>
    <mergeCell ref="C1360:C1366"/>
    <mergeCell ref="D1360:D1366"/>
    <mergeCell ref="F1360:F1366"/>
    <mergeCell ref="H1360:H1366"/>
    <mergeCell ref="I1360:I1366"/>
    <mergeCell ref="I1552:I1558"/>
    <mergeCell ref="A1353:A1359"/>
    <mergeCell ref="B1353:B1359"/>
    <mergeCell ref="C1353:C1359"/>
    <mergeCell ref="D1353:D1359"/>
    <mergeCell ref="F1353:F1359"/>
    <mergeCell ref="H1353:H1359"/>
    <mergeCell ref="I1353:I1359"/>
    <mergeCell ref="A1552:A1558"/>
    <mergeCell ref="B1552:B1558"/>
    <mergeCell ref="C1552:C1558"/>
    <mergeCell ref="D1552:D1558"/>
    <mergeCell ref="F1552:F1558"/>
    <mergeCell ref="H1552:H1558"/>
    <mergeCell ref="A1460:A1466"/>
    <mergeCell ref="B1460:B1466"/>
    <mergeCell ref="C1460:C1466"/>
    <mergeCell ref="D1460:D1466"/>
    <mergeCell ref="I1318:I1324"/>
    <mergeCell ref="A1325:A1331"/>
    <mergeCell ref="B1325:B1331"/>
    <mergeCell ref="C1325:C1331"/>
    <mergeCell ref="D1325:D1331"/>
    <mergeCell ref="F1325:F1331"/>
    <mergeCell ref="H1325:H1331"/>
    <mergeCell ref="I1325:I1331"/>
    <mergeCell ref="A1318:A1324"/>
    <mergeCell ref="B1318:B1324"/>
    <mergeCell ref="C1318:C1324"/>
    <mergeCell ref="D1318:D1324"/>
    <mergeCell ref="F1318:F1324"/>
    <mergeCell ref="H1318:H1324"/>
    <mergeCell ref="A1339:A1345"/>
    <mergeCell ref="B1339:B1345"/>
    <mergeCell ref="C1339:C1345"/>
    <mergeCell ref="D1339:D1345"/>
    <mergeCell ref="F1339:F1345"/>
    <mergeCell ref="H1339:H1345"/>
    <mergeCell ref="I1339:I1345"/>
    <mergeCell ref="A1332:A1338"/>
    <mergeCell ref="B1332:B1338"/>
    <mergeCell ref="C1332:C1338"/>
    <mergeCell ref="D1332:D1338"/>
    <mergeCell ref="F1332:F1338"/>
    <mergeCell ref="H1332:H1338"/>
    <mergeCell ref="I1332:I1338"/>
    <mergeCell ref="E1318:E1324"/>
    <mergeCell ref="E1325:E1331"/>
    <mergeCell ref="E1332:E1338"/>
    <mergeCell ref="E1339:E1345"/>
    <mergeCell ref="I1297:I1303"/>
    <mergeCell ref="A1304:A1310"/>
    <mergeCell ref="B1304:B1310"/>
    <mergeCell ref="C1304:C1310"/>
    <mergeCell ref="D1304:D1310"/>
    <mergeCell ref="F1304:F1310"/>
    <mergeCell ref="H1304:H1310"/>
    <mergeCell ref="I1304:I1310"/>
    <mergeCell ref="A1297:A1303"/>
    <mergeCell ref="B1297:B1303"/>
    <mergeCell ref="C1297:C1303"/>
    <mergeCell ref="D1297:D1303"/>
    <mergeCell ref="F1297:F1303"/>
    <mergeCell ref="H1297:H1303"/>
    <mergeCell ref="A1311:A1317"/>
    <mergeCell ref="B1311:B1317"/>
    <mergeCell ref="C1311:C1317"/>
    <mergeCell ref="D1311:D1317"/>
    <mergeCell ref="F1311:F1317"/>
    <mergeCell ref="H1311:H1317"/>
    <mergeCell ref="I1311:I1317"/>
    <mergeCell ref="E1297:E1303"/>
    <mergeCell ref="E1304:E1310"/>
    <mergeCell ref="E1311:E1317"/>
    <mergeCell ref="I1269:I1275"/>
    <mergeCell ref="A1269:A1275"/>
    <mergeCell ref="B1269:B1275"/>
    <mergeCell ref="C1269:C1275"/>
    <mergeCell ref="D1269:D1275"/>
    <mergeCell ref="F1269:F1275"/>
    <mergeCell ref="H1269:H1275"/>
    <mergeCell ref="I1290:I1296"/>
    <mergeCell ref="A1290:A1296"/>
    <mergeCell ref="B1290:B1296"/>
    <mergeCell ref="C1290:C1296"/>
    <mergeCell ref="D1290:D1296"/>
    <mergeCell ref="F1290:F1296"/>
    <mergeCell ref="H1290:H1296"/>
    <mergeCell ref="I1276:I1282"/>
    <mergeCell ref="A1283:A1289"/>
    <mergeCell ref="B1283:B1289"/>
    <mergeCell ref="C1283:C1289"/>
    <mergeCell ref="D1283:D1289"/>
    <mergeCell ref="F1283:F1289"/>
    <mergeCell ref="H1283:H1289"/>
    <mergeCell ref="I1283:I1289"/>
    <mergeCell ref="A1276:A1282"/>
    <mergeCell ref="B1276:B1282"/>
    <mergeCell ref="C1276:C1282"/>
    <mergeCell ref="D1276:D1282"/>
    <mergeCell ref="F1276:F1282"/>
    <mergeCell ref="H1276:H1282"/>
    <mergeCell ref="I1227:I1233"/>
    <mergeCell ref="A246:A252"/>
    <mergeCell ref="B246:B252"/>
    <mergeCell ref="C246:C252"/>
    <mergeCell ref="I1255:I1261"/>
    <mergeCell ref="A1262:A1268"/>
    <mergeCell ref="B1262:B1268"/>
    <mergeCell ref="C1262:C1268"/>
    <mergeCell ref="D1262:D1268"/>
    <mergeCell ref="F1262:F1268"/>
    <mergeCell ref="H1262:H1268"/>
    <mergeCell ref="I1262:I1268"/>
    <mergeCell ref="A1255:A1261"/>
    <mergeCell ref="B1255:B1261"/>
    <mergeCell ref="C1255:C1261"/>
    <mergeCell ref="D1255:D1261"/>
    <mergeCell ref="F1255:F1261"/>
    <mergeCell ref="H1255:H1261"/>
    <mergeCell ref="I1241:I1247"/>
    <mergeCell ref="A1248:A1254"/>
    <mergeCell ref="B1248:B1254"/>
    <mergeCell ref="C1248:C1254"/>
    <mergeCell ref="D1248:D1254"/>
    <mergeCell ref="F1248:F1254"/>
    <mergeCell ref="H1248:H1254"/>
    <mergeCell ref="I1248:I1254"/>
    <mergeCell ref="A1241:A1247"/>
    <mergeCell ref="B1241:B1247"/>
    <mergeCell ref="C1241:C1247"/>
    <mergeCell ref="D1241:D1247"/>
    <mergeCell ref="F1241:F1247"/>
    <mergeCell ref="H1241:H1247"/>
    <mergeCell ref="I182:I188"/>
    <mergeCell ref="A189:A195"/>
    <mergeCell ref="B189:B195"/>
    <mergeCell ref="C189:C195"/>
    <mergeCell ref="D189:D195"/>
    <mergeCell ref="F189:F195"/>
    <mergeCell ref="H189:H195"/>
    <mergeCell ref="I189:I195"/>
    <mergeCell ref="A182:A188"/>
    <mergeCell ref="B182:B188"/>
    <mergeCell ref="C182:C188"/>
    <mergeCell ref="D182:D188"/>
    <mergeCell ref="F182:F188"/>
    <mergeCell ref="H182:H188"/>
    <mergeCell ref="A210:A216"/>
    <mergeCell ref="B210:B216"/>
    <mergeCell ref="I1234:I1240"/>
    <mergeCell ref="A275:A281"/>
    <mergeCell ref="B275:B281"/>
    <mergeCell ref="C275:C281"/>
    <mergeCell ref="D275:D281"/>
    <mergeCell ref="F275:F281"/>
    <mergeCell ref="H275:H281"/>
    <mergeCell ref="I275:I281"/>
    <mergeCell ref="A1234:A1240"/>
    <mergeCell ref="B1234:B1240"/>
    <mergeCell ref="C1234:C1240"/>
    <mergeCell ref="D1234:D1240"/>
    <mergeCell ref="F1234:F1240"/>
    <mergeCell ref="H1234:H1240"/>
    <mergeCell ref="I231:I237"/>
    <mergeCell ref="A231:A237"/>
    <mergeCell ref="D253:D259"/>
    <mergeCell ref="F253:F259"/>
    <mergeCell ref="H253:H259"/>
    <mergeCell ref="I253:I259"/>
    <mergeCell ref="H217:H223"/>
    <mergeCell ref="I196:I202"/>
    <mergeCell ref="A203:A209"/>
    <mergeCell ref="B203:B209"/>
    <mergeCell ref="C203:C209"/>
    <mergeCell ref="D203:D209"/>
    <mergeCell ref="F203:F209"/>
    <mergeCell ref="H203:H209"/>
    <mergeCell ref="I203:I209"/>
    <mergeCell ref="A196:A202"/>
    <mergeCell ref="B196:B202"/>
    <mergeCell ref="C196:C202"/>
    <mergeCell ref="D196:D202"/>
    <mergeCell ref="F196:F202"/>
    <mergeCell ref="H196:H202"/>
    <mergeCell ref="B231:B237"/>
    <mergeCell ref="C231:C237"/>
    <mergeCell ref="D231:D237"/>
    <mergeCell ref="F231:F237"/>
    <mergeCell ref="H231:H237"/>
    <mergeCell ref="H238:H244"/>
    <mergeCell ref="I238:I244"/>
    <mergeCell ref="D246:D252"/>
    <mergeCell ref="F246:F252"/>
    <mergeCell ref="H246:H252"/>
    <mergeCell ref="I246:I252"/>
    <mergeCell ref="A253:A259"/>
    <mergeCell ref="I167:I173"/>
    <mergeCell ref="A174:A180"/>
    <mergeCell ref="B174:B180"/>
    <mergeCell ref="C174:C180"/>
    <mergeCell ref="D174:D180"/>
    <mergeCell ref="F174:F180"/>
    <mergeCell ref="H174:H180"/>
    <mergeCell ref="I174:I180"/>
    <mergeCell ref="A167:A173"/>
    <mergeCell ref="B167:B173"/>
    <mergeCell ref="C167:C173"/>
    <mergeCell ref="D167:D173"/>
    <mergeCell ref="F167:F173"/>
    <mergeCell ref="H167:H173"/>
    <mergeCell ref="I153:I159"/>
    <mergeCell ref="A160:A166"/>
    <mergeCell ref="B160:B166"/>
    <mergeCell ref="C160:C166"/>
    <mergeCell ref="D160:D166"/>
    <mergeCell ref="F160:F166"/>
    <mergeCell ref="H160:H166"/>
    <mergeCell ref="I160:I166"/>
    <mergeCell ref="A153:A159"/>
    <mergeCell ref="B153:B159"/>
    <mergeCell ref="C153:C159"/>
    <mergeCell ref="D153:D159"/>
    <mergeCell ref="F153:F159"/>
    <mergeCell ref="H153:H159"/>
    <mergeCell ref="E167:E173"/>
    <mergeCell ref="E174:E180"/>
    <mergeCell ref="I146:I152"/>
    <mergeCell ref="A146:A152"/>
    <mergeCell ref="B146:B152"/>
    <mergeCell ref="C146:C152"/>
    <mergeCell ref="D146:D152"/>
    <mergeCell ref="F146:F152"/>
    <mergeCell ref="H146:H152"/>
    <mergeCell ref="I132:I138"/>
    <mergeCell ref="A139:A145"/>
    <mergeCell ref="B139:B145"/>
    <mergeCell ref="C139:C145"/>
    <mergeCell ref="D139:D145"/>
    <mergeCell ref="F139:F145"/>
    <mergeCell ref="H139:H145"/>
    <mergeCell ref="I139:I145"/>
    <mergeCell ref="A132:A138"/>
    <mergeCell ref="B132:B138"/>
    <mergeCell ref="C132:C138"/>
    <mergeCell ref="D132:D138"/>
    <mergeCell ref="F132:F138"/>
    <mergeCell ref="H132:H138"/>
    <mergeCell ref="I118:I124"/>
    <mergeCell ref="A125:A131"/>
    <mergeCell ref="B125:B131"/>
    <mergeCell ref="C125:C131"/>
    <mergeCell ref="D125:D131"/>
    <mergeCell ref="F125:F131"/>
    <mergeCell ref="H125:H131"/>
    <mergeCell ref="I125:I131"/>
    <mergeCell ref="A118:A124"/>
    <mergeCell ref="B118:B124"/>
    <mergeCell ref="C118:C124"/>
    <mergeCell ref="D118:D124"/>
    <mergeCell ref="F118:F124"/>
    <mergeCell ref="H118:H124"/>
    <mergeCell ref="I104:I110"/>
    <mergeCell ref="A111:A117"/>
    <mergeCell ref="B111:B117"/>
    <mergeCell ref="C111:C117"/>
    <mergeCell ref="D111:D117"/>
    <mergeCell ref="F111:F117"/>
    <mergeCell ref="H111:H117"/>
    <mergeCell ref="I111:I117"/>
    <mergeCell ref="A104:A110"/>
    <mergeCell ref="B104:B110"/>
    <mergeCell ref="C104:C110"/>
    <mergeCell ref="D104:D110"/>
    <mergeCell ref="F104:F110"/>
    <mergeCell ref="H104:H110"/>
    <mergeCell ref="I89:I95"/>
    <mergeCell ref="A96:A102"/>
    <mergeCell ref="B96:B102"/>
    <mergeCell ref="C96:C102"/>
    <mergeCell ref="D96:D102"/>
    <mergeCell ref="F96:F102"/>
    <mergeCell ref="H96:H102"/>
    <mergeCell ref="I96:I102"/>
    <mergeCell ref="A89:A95"/>
    <mergeCell ref="B89:B95"/>
    <mergeCell ref="C89:C95"/>
    <mergeCell ref="D89:D95"/>
    <mergeCell ref="F89:F95"/>
    <mergeCell ref="H89:H95"/>
    <mergeCell ref="I75:I81"/>
    <mergeCell ref="A82:A88"/>
    <mergeCell ref="B82:B88"/>
    <mergeCell ref="C82:C88"/>
    <mergeCell ref="D82:D88"/>
    <mergeCell ref="F82:F88"/>
    <mergeCell ref="H82:H88"/>
    <mergeCell ref="I82:I88"/>
    <mergeCell ref="A75:A81"/>
    <mergeCell ref="B75:B81"/>
    <mergeCell ref="C75:C81"/>
    <mergeCell ref="D75:D81"/>
    <mergeCell ref="F75:F81"/>
    <mergeCell ref="H75:H81"/>
    <mergeCell ref="I46:I52"/>
    <mergeCell ref="A67:A73"/>
    <mergeCell ref="B67:B73"/>
    <mergeCell ref="C67:C73"/>
    <mergeCell ref="D67:D73"/>
    <mergeCell ref="F67:F73"/>
    <mergeCell ref="H67:H73"/>
    <mergeCell ref="I67:I73"/>
    <mergeCell ref="H53:H59"/>
    <mergeCell ref="I53:I59"/>
    <mergeCell ref="A46:A52"/>
    <mergeCell ref="B46:B52"/>
    <mergeCell ref="C46:C52"/>
    <mergeCell ref="D46:D52"/>
    <mergeCell ref="F46:F52"/>
    <mergeCell ref="H46:H52"/>
    <mergeCell ref="I32:I38"/>
    <mergeCell ref="A39:A45"/>
    <mergeCell ref="B39:B45"/>
    <mergeCell ref="C39:C45"/>
    <mergeCell ref="D39:D45"/>
    <mergeCell ref="F39:F45"/>
    <mergeCell ref="H39:H45"/>
    <mergeCell ref="I39:I45"/>
    <mergeCell ref="A32:A38"/>
    <mergeCell ref="B32:B38"/>
    <mergeCell ref="C32:C38"/>
    <mergeCell ref="D32:D38"/>
    <mergeCell ref="F32:F38"/>
    <mergeCell ref="H32:H38"/>
    <mergeCell ref="E32:E38"/>
    <mergeCell ref="E39:E45"/>
    <mergeCell ref="A25:A31"/>
    <mergeCell ref="B25:B31"/>
    <mergeCell ref="C25:C31"/>
    <mergeCell ref="D25:D31"/>
    <mergeCell ref="F25:F31"/>
    <mergeCell ref="H25:H31"/>
    <mergeCell ref="I25:I31"/>
    <mergeCell ref="A18:A24"/>
    <mergeCell ref="B18:B24"/>
    <mergeCell ref="C18:C24"/>
    <mergeCell ref="D18:D24"/>
    <mergeCell ref="F18:F24"/>
    <mergeCell ref="H18:H24"/>
    <mergeCell ref="A9:P9"/>
    <mergeCell ref="A11:A17"/>
    <mergeCell ref="B11:B17"/>
    <mergeCell ref="C11:C17"/>
    <mergeCell ref="D11:D17"/>
    <mergeCell ref="F11:F17"/>
    <mergeCell ref="H11:H17"/>
    <mergeCell ref="I11:I17"/>
    <mergeCell ref="E25:E31"/>
    <mergeCell ref="J7:J8"/>
    <mergeCell ref="K7:K8"/>
    <mergeCell ref="M7:M8"/>
    <mergeCell ref="N7:N8"/>
    <mergeCell ref="O7:O8"/>
    <mergeCell ref="P7:P8"/>
    <mergeCell ref="A2:P3"/>
    <mergeCell ref="C4:P4"/>
    <mergeCell ref="A5:A8"/>
    <mergeCell ref="B5:B8"/>
    <mergeCell ref="C5:C8"/>
    <mergeCell ref="D5:D8"/>
    <mergeCell ref="F5:F8"/>
    <mergeCell ref="G5:P6"/>
    <mergeCell ref="G7:G8"/>
    <mergeCell ref="H7:I7"/>
    <mergeCell ref="I18:I24"/>
    <mergeCell ref="E5:E8"/>
    <mergeCell ref="E11:E17"/>
    <mergeCell ref="E18:E24"/>
    <mergeCell ref="L7:L8"/>
    <mergeCell ref="A1537:A1543"/>
    <mergeCell ref="B1537:B1543"/>
    <mergeCell ref="C1537:C1543"/>
    <mergeCell ref="D1537:D1543"/>
    <mergeCell ref="F1537:F1543"/>
    <mergeCell ref="H1537:H1543"/>
    <mergeCell ref="I1537:I1543"/>
    <mergeCell ref="A1529:A1535"/>
    <mergeCell ref="B1529:B1535"/>
    <mergeCell ref="C1529:C1535"/>
    <mergeCell ref="D1529:D1535"/>
    <mergeCell ref="F1529:F1535"/>
    <mergeCell ref="H1529:H1535"/>
    <mergeCell ref="I1529:I1535"/>
    <mergeCell ref="A1544:A1550"/>
    <mergeCell ref="B1544:B1550"/>
    <mergeCell ref="C1544:C1550"/>
    <mergeCell ref="D1544:D1550"/>
    <mergeCell ref="F1544:F1550"/>
    <mergeCell ref="H1544:H1550"/>
    <mergeCell ref="I1544:I1550"/>
    <mergeCell ref="A283:A289"/>
    <mergeCell ref="B283:B289"/>
    <mergeCell ref="C283:C289"/>
    <mergeCell ref="D283:D289"/>
    <mergeCell ref="F283:F289"/>
    <mergeCell ref="H283:H289"/>
    <mergeCell ref="I283:I289"/>
    <mergeCell ref="A1417:A1423"/>
    <mergeCell ref="B1417:B1423"/>
    <mergeCell ref="C1417:C1423"/>
    <mergeCell ref="D1417:D1423"/>
    <mergeCell ref="F1417:F1423"/>
    <mergeCell ref="H1417:H1423"/>
    <mergeCell ref="I1417:I1423"/>
    <mergeCell ref="A1388:A1394"/>
    <mergeCell ref="B1388:B1394"/>
    <mergeCell ref="C1388:C1394"/>
    <mergeCell ref="D1388:D1394"/>
    <mergeCell ref="F1388:F1394"/>
    <mergeCell ref="H1388:H1394"/>
    <mergeCell ref="I1388:I1394"/>
    <mergeCell ref="A1227:A1233"/>
    <mergeCell ref="B1227:B1233"/>
    <mergeCell ref="C1227:C1233"/>
    <mergeCell ref="D1227:D1233"/>
    <mergeCell ref="F1227:F1233"/>
    <mergeCell ref="H1227:H1233"/>
    <mergeCell ref="E305:E311"/>
    <mergeCell ref="E312:E318"/>
    <mergeCell ref="E319:E325"/>
    <mergeCell ref="E326:E332"/>
    <mergeCell ref="E333:E339"/>
    <mergeCell ref="F1425:F1431"/>
    <mergeCell ref="H1425:H1431"/>
    <mergeCell ref="I1425:I1431"/>
    <mergeCell ref="A1432:A1438"/>
    <mergeCell ref="B1432:B1438"/>
    <mergeCell ref="C1432:C1438"/>
    <mergeCell ref="D1432:D1438"/>
    <mergeCell ref="F1432:F1438"/>
    <mergeCell ref="H1432:H1438"/>
    <mergeCell ref="I1432:I1438"/>
    <mergeCell ref="A1439:A1445"/>
    <mergeCell ref="B1439:B1445"/>
    <mergeCell ref="C1439:C1445"/>
    <mergeCell ref="D1439:D1445"/>
    <mergeCell ref="F1439:F1445"/>
    <mergeCell ref="H1439:H1445"/>
    <mergeCell ref="I1439:I1445"/>
    <mergeCell ref="A1446:A1452"/>
    <mergeCell ref="B1446:B1452"/>
    <mergeCell ref="C1446:C1452"/>
    <mergeCell ref="D1446:D1452"/>
    <mergeCell ref="F1446:F1452"/>
    <mergeCell ref="H1446:H1452"/>
    <mergeCell ref="I1446:I1452"/>
    <mergeCell ref="A1467:A1473"/>
    <mergeCell ref="B1467:B1473"/>
    <mergeCell ref="C1467:C1473"/>
    <mergeCell ref="D1467:D1473"/>
    <mergeCell ref="F1467:F1473"/>
    <mergeCell ref="H1467:H1473"/>
    <mergeCell ref="I1467:I1473"/>
    <mergeCell ref="A1395:A1401"/>
    <mergeCell ref="B1395:B1401"/>
    <mergeCell ref="C1395:C1401"/>
    <mergeCell ref="D1395:D1401"/>
    <mergeCell ref="F1395:F1401"/>
    <mergeCell ref="H1395:H1401"/>
    <mergeCell ref="I1395:I1401"/>
    <mergeCell ref="A1402:A1408"/>
    <mergeCell ref="B1402:B1408"/>
    <mergeCell ref="C1402:C1408"/>
    <mergeCell ref="D1402:D1408"/>
    <mergeCell ref="F1402:F1408"/>
    <mergeCell ref="H1402:H1408"/>
    <mergeCell ref="I1402:I1408"/>
    <mergeCell ref="A1425:A1431"/>
    <mergeCell ref="B1425:B1431"/>
    <mergeCell ref="C1425:C1431"/>
    <mergeCell ref="D1425:D1431"/>
    <mergeCell ref="A1567:A1573"/>
    <mergeCell ref="B1567:B1573"/>
    <mergeCell ref="C1567:C1573"/>
    <mergeCell ref="D1567:D1573"/>
    <mergeCell ref="F1567:F1573"/>
    <mergeCell ref="H1567:H1573"/>
    <mergeCell ref="I1567:I1573"/>
    <mergeCell ref="A1560:A1566"/>
    <mergeCell ref="B1560:B1566"/>
    <mergeCell ref="C1560:C1566"/>
    <mergeCell ref="D1560:D1566"/>
    <mergeCell ref="F1560:F1566"/>
    <mergeCell ref="H1560:H1566"/>
    <mergeCell ref="I1560:I1566"/>
    <mergeCell ref="A1574:A1580"/>
    <mergeCell ref="B1574:B1580"/>
    <mergeCell ref="C1574:C1580"/>
    <mergeCell ref="D1574:D1580"/>
    <mergeCell ref="F1574:F1580"/>
    <mergeCell ref="H1574:H1580"/>
    <mergeCell ref="I1574:I1580"/>
    <mergeCell ref="A1602:A1608"/>
    <mergeCell ref="B1602:B1608"/>
    <mergeCell ref="C1602:C1608"/>
    <mergeCell ref="D1602:D1608"/>
    <mergeCell ref="F1602:F1608"/>
    <mergeCell ref="H1602:H1608"/>
    <mergeCell ref="I1602:I1608"/>
    <mergeCell ref="A1581:A1587"/>
    <mergeCell ref="B1581:B1587"/>
    <mergeCell ref="C1581:C1587"/>
    <mergeCell ref="D1581:D1587"/>
    <mergeCell ref="F1581:F1587"/>
    <mergeCell ref="H1581:H1587"/>
    <mergeCell ref="I1581:I1587"/>
    <mergeCell ref="A1588:A1594"/>
    <mergeCell ref="B1588:B1594"/>
    <mergeCell ref="C1588:C1594"/>
    <mergeCell ref="D1588:D1594"/>
    <mergeCell ref="F1588:F1594"/>
    <mergeCell ref="H1588:H1594"/>
    <mergeCell ref="I1588:I1594"/>
    <mergeCell ref="A1595:A1601"/>
    <mergeCell ref="B1595:B1601"/>
    <mergeCell ref="C1595:C1601"/>
    <mergeCell ref="D1595:D1601"/>
    <mergeCell ref="F1595:F1601"/>
    <mergeCell ref="H1595:H1601"/>
    <mergeCell ref="I1595:I1601"/>
    <mergeCell ref="E1595:E1601"/>
    <mergeCell ref="E1602:E1608"/>
    <mergeCell ref="E46:E52"/>
    <mergeCell ref="E53:E59"/>
    <mergeCell ref="E60:E66"/>
    <mergeCell ref="E67:E73"/>
    <mergeCell ref="E75:E81"/>
    <mergeCell ref="E82:E88"/>
    <mergeCell ref="E89:E95"/>
    <mergeCell ref="E96:E102"/>
    <mergeCell ref="E104:E110"/>
    <mergeCell ref="E111:E117"/>
    <mergeCell ref="E118:E124"/>
    <mergeCell ref="E125:E131"/>
    <mergeCell ref="E132:E138"/>
    <mergeCell ref="E139:E145"/>
    <mergeCell ref="E146:E152"/>
    <mergeCell ref="E153:E159"/>
    <mergeCell ref="E160:E166"/>
    <mergeCell ref="E182:E188"/>
    <mergeCell ref="E189:E195"/>
    <mergeCell ref="E196:E202"/>
    <mergeCell ref="E203:E209"/>
    <mergeCell ref="E210:E216"/>
    <mergeCell ref="E217:E223"/>
    <mergeCell ref="E224:E230"/>
    <mergeCell ref="E231:E237"/>
    <mergeCell ref="E238:E244"/>
    <mergeCell ref="E246:E252"/>
    <mergeCell ref="E253:E259"/>
    <mergeCell ref="E261:E267"/>
    <mergeCell ref="E268:E274"/>
    <mergeCell ref="E275:E281"/>
    <mergeCell ref="E283:E289"/>
    <mergeCell ref="E290:E296"/>
    <mergeCell ref="E298:E304"/>
    <mergeCell ref="E747:E753"/>
    <mergeCell ref="E754:E760"/>
    <mergeCell ref="E761:E767"/>
    <mergeCell ref="E768:E774"/>
    <mergeCell ref="E775:E781"/>
    <mergeCell ref="E782:E788"/>
    <mergeCell ref="E789:E795"/>
    <mergeCell ref="E796:E802"/>
    <mergeCell ref="E803:E809"/>
    <mergeCell ref="E810:E816"/>
    <mergeCell ref="E817:E823"/>
    <mergeCell ref="E824:E830"/>
    <mergeCell ref="E831:E837"/>
    <mergeCell ref="E838:E844"/>
    <mergeCell ref="E845:E851"/>
    <mergeCell ref="E852:E858"/>
    <mergeCell ref="E859:E865"/>
    <mergeCell ref="E1174:E1180"/>
    <mergeCell ref="E1181:E1187"/>
    <mergeCell ref="E1188:E1194"/>
    <mergeCell ref="E1196:E1202"/>
    <mergeCell ref="E1204:E1210"/>
    <mergeCell ref="E1211:E1217"/>
    <mergeCell ref="E1219:E1225"/>
    <mergeCell ref="E1227:E1233"/>
    <mergeCell ref="E1234:E1240"/>
    <mergeCell ref="E1241:E1247"/>
    <mergeCell ref="E1248:E1254"/>
    <mergeCell ref="E1255:E1261"/>
    <mergeCell ref="E1262:E1268"/>
    <mergeCell ref="E1269:E1275"/>
    <mergeCell ref="E1276:E1282"/>
    <mergeCell ref="E1283:E1289"/>
    <mergeCell ref="E1290:E1296"/>
    <mergeCell ref="E1346:E1352"/>
    <mergeCell ref="E1353:E1359"/>
    <mergeCell ref="E1360:E1366"/>
    <mergeCell ref="E1367:E1373"/>
    <mergeCell ref="E1374:E1380"/>
    <mergeCell ref="E1381:E1387"/>
    <mergeCell ref="E1388:E1394"/>
    <mergeCell ref="E1395:E1401"/>
    <mergeCell ref="E1402:E1408"/>
    <mergeCell ref="E1410:E1416"/>
    <mergeCell ref="E1417:E1423"/>
    <mergeCell ref="E1425:E1431"/>
    <mergeCell ref="E1432:E1438"/>
    <mergeCell ref="E1439:E1445"/>
    <mergeCell ref="E1446:E1452"/>
    <mergeCell ref="E1453:E1459"/>
    <mergeCell ref="E1460:E1466"/>
    <mergeCell ref="E1467:E1473"/>
    <mergeCell ref="E1475:E1481"/>
    <mergeCell ref="E1483:E1489"/>
    <mergeCell ref="E1491:E1497"/>
    <mergeCell ref="E1499:E1505"/>
    <mergeCell ref="E1507:E1513"/>
    <mergeCell ref="E1515:E1521"/>
    <mergeCell ref="E1522:E1528"/>
    <mergeCell ref="E1529:E1535"/>
    <mergeCell ref="E1537:E1543"/>
    <mergeCell ref="E1544:E1550"/>
    <mergeCell ref="E1552:E1558"/>
    <mergeCell ref="E1560:E1566"/>
    <mergeCell ref="E1567:E1573"/>
    <mergeCell ref="E1574:E1580"/>
    <mergeCell ref="E1581:E1587"/>
    <mergeCell ref="E1588:E159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09"/>
  <sheetViews>
    <sheetView zoomScale="60" zoomScaleNormal="60" workbookViewId="0">
      <selection activeCell="R3" sqref="R3"/>
    </sheetView>
  </sheetViews>
  <sheetFormatPr defaultColWidth="9.140625" defaultRowHeight="15" outlineLevelRow="1" x14ac:dyDescent="0.25"/>
  <cols>
    <col min="1" max="1" width="8.42578125" style="22" customWidth="1"/>
    <col min="2" max="2" width="100.5703125" style="21" customWidth="1"/>
    <col min="3" max="3" width="14.85546875" style="21" customWidth="1"/>
    <col min="4" max="5" width="12.42578125" style="21" customWidth="1"/>
    <col min="6" max="6" width="14.42578125" style="21" customWidth="1"/>
    <col min="7" max="7" width="13.140625" style="21" customWidth="1"/>
    <col min="8" max="8" width="10.85546875" style="21" customWidth="1"/>
    <col min="9" max="9" width="9.85546875" style="21" customWidth="1"/>
    <col min="10" max="12" width="5" style="21" customWidth="1"/>
    <col min="13" max="14" width="11.140625" style="21" customWidth="1"/>
    <col min="15" max="15" width="12.140625" style="21" customWidth="1"/>
    <col min="16" max="16" width="17.42578125" style="21" customWidth="1"/>
    <col min="17" max="16384" width="9.140625" style="21"/>
  </cols>
  <sheetData>
    <row r="1" spans="1:15" ht="55.35" customHeight="1" x14ac:dyDescent="0.25">
      <c r="A1" s="23" t="s">
        <v>0</v>
      </c>
      <c r="B1" s="19"/>
      <c r="C1" s="20" t="s">
        <v>1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5" ht="15" customHeight="1" x14ac:dyDescent="0.25">
      <c r="A2" s="107" t="s">
        <v>978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</row>
    <row r="3" spans="1:15" ht="36" customHeight="1" thickBot="1" x14ac:dyDescent="0.3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</row>
    <row r="4" spans="1:15" ht="13.7" customHeight="1" thickBot="1" x14ac:dyDescent="0.3">
      <c r="A4" s="55"/>
      <c r="B4" s="55"/>
      <c r="C4" s="109" t="s">
        <v>106</v>
      </c>
      <c r="D4" s="110"/>
      <c r="E4" s="110"/>
      <c r="F4" s="111"/>
      <c r="G4" s="111"/>
      <c r="H4" s="111"/>
      <c r="I4" s="111"/>
      <c r="J4" s="111"/>
      <c r="K4" s="111"/>
      <c r="L4" s="111"/>
      <c r="M4" s="111"/>
      <c r="N4" s="111"/>
      <c r="O4" s="112"/>
    </row>
    <row r="5" spans="1:15" s="38" customFormat="1" ht="19.5" customHeight="1" x14ac:dyDescent="0.25">
      <c r="A5" s="113" t="s">
        <v>3</v>
      </c>
      <c r="B5" s="113" t="s">
        <v>4</v>
      </c>
      <c r="C5" s="113" t="s">
        <v>53</v>
      </c>
      <c r="D5" s="113" t="s">
        <v>107</v>
      </c>
      <c r="E5" s="113" t="s">
        <v>108</v>
      </c>
      <c r="F5" s="113" t="s">
        <v>109</v>
      </c>
      <c r="G5" s="117" t="s">
        <v>110</v>
      </c>
      <c r="H5" s="118"/>
      <c r="I5" s="118"/>
      <c r="J5" s="118"/>
      <c r="K5" s="118"/>
      <c r="L5" s="118"/>
      <c r="M5" s="118"/>
      <c r="N5" s="118"/>
      <c r="O5" s="119"/>
    </row>
    <row r="6" spans="1:15" s="38" customFormat="1" ht="19.5" customHeight="1" thickBot="1" x14ac:dyDescent="0.3">
      <c r="A6" s="114"/>
      <c r="B6" s="114"/>
      <c r="C6" s="114"/>
      <c r="D6" s="115"/>
      <c r="E6" s="115"/>
      <c r="F6" s="116"/>
      <c r="G6" s="120"/>
      <c r="H6" s="121"/>
      <c r="I6" s="121"/>
      <c r="J6" s="121"/>
      <c r="K6" s="121"/>
      <c r="L6" s="121"/>
      <c r="M6" s="121"/>
      <c r="N6" s="121"/>
      <c r="O6" s="122"/>
    </row>
    <row r="7" spans="1:15" s="38" customFormat="1" ht="25.35" customHeight="1" thickBot="1" x14ac:dyDescent="0.3">
      <c r="A7" s="115"/>
      <c r="B7" s="115"/>
      <c r="C7" s="115"/>
      <c r="D7" s="115"/>
      <c r="E7" s="115"/>
      <c r="F7" s="115"/>
      <c r="G7" s="100" t="s">
        <v>111</v>
      </c>
      <c r="H7" s="105" t="s">
        <v>112</v>
      </c>
      <c r="I7" s="106"/>
      <c r="J7" s="100" t="s">
        <v>113</v>
      </c>
      <c r="K7" s="100" t="s">
        <v>114</v>
      </c>
      <c r="L7" s="100" t="s">
        <v>115</v>
      </c>
      <c r="M7" s="100" t="s">
        <v>116</v>
      </c>
      <c r="N7" s="100" t="s">
        <v>117</v>
      </c>
      <c r="O7" s="100" t="s">
        <v>118</v>
      </c>
    </row>
    <row r="8" spans="1:15" s="38" customFormat="1" ht="19.5" customHeight="1" thickBot="1" x14ac:dyDescent="0.3">
      <c r="A8" s="101"/>
      <c r="B8" s="101"/>
      <c r="C8" s="101"/>
      <c r="D8" s="101"/>
      <c r="E8" s="101"/>
      <c r="F8" s="101"/>
      <c r="G8" s="101"/>
      <c r="H8" s="61" t="s">
        <v>119</v>
      </c>
      <c r="I8" s="61" t="s">
        <v>120</v>
      </c>
      <c r="J8" s="101"/>
      <c r="K8" s="101"/>
      <c r="L8" s="101"/>
      <c r="M8" s="101"/>
      <c r="N8" s="101"/>
      <c r="O8" s="101"/>
    </row>
    <row r="9" spans="1:15" s="38" customFormat="1" ht="19.5" customHeight="1" thickBot="1" x14ac:dyDescent="0.3">
      <c r="A9" s="102" t="s">
        <v>341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4"/>
    </row>
    <row r="10" spans="1:15" s="39" customFormat="1" ht="15.75" x14ac:dyDescent="0.25">
      <c r="A10" s="37" t="s">
        <v>8</v>
      </c>
      <c r="B10" s="34" t="s">
        <v>122</v>
      </c>
      <c r="C10" s="35">
        <f>SUM(C11:C73)</f>
        <v>0</v>
      </c>
      <c r="D10" s="35">
        <f>SUM(D11:D73)</f>
        <v>0</v>
      </c>
      <c r="E10" s="35">
        <f>SUM(E11:E73)</f>
        <v>0</v>
      </c>
      <c r="F10" s="56"/>
      <c r="G10" s="56"/>
      <c r="H10" s="56"/>
      <c r="I10" s="56"/>
      <c r="J10" s="56"/>
      <c r="K10" s="56"/>
      <c r="L10" s="56"/>
      <c r="M10" s="56"/>
      <c r="N10" s="56"/>
      <c r="O10" s="36"/>
    </row>
    <row r="11" spans="1:15" s="38" customFormat="1" ht="14.45" customHeight="1" outlineLevel="1" x14ac:dyDescent="0.25">
      <c r="A11" s="140" t="s">
        <v>123</v>
      </c>
      <c r="B11" s="141" t="s">
        <v>342</v>
      </c>
      <c r="C11" s="130">
        <f>SUM(N11:N17)</f>
        <v>0</v>
      </c>
      <c r="D11" s="130">
        <f>SUM(O11:O17)</f>
        <v>0</v>
      </c>
      <c r="E11" s="130">
        <f>D11/8</f>
        <v>0</v>
      </c>
      <c r="F11" s="130"/>
      <c r="G11" s="60" t="s">
        <v>125</v>
      </c>
      <c r="H11" s="123"/>
      <c r="I11" s="123"/>
      <c r="J11" s="60"/>
      <c r="K11" s="60"/>
      <c r="L11" s="60"/>
      <c r="M11" s="60"/>
      <c r="N11" s="60">
        <f>M11*J11*K11*L11</f>
        <v>0</v>
      </c>
      <c r="O11" s="60">
        <f>J11*K11*L11</f>
        <v>0</v>
      </c>
    </row>
    <row r="12" spans="1:15" s="38" customFormat="1" ht="11.45" customHeight="1" outlineLevel="1" x14ac:dyDescent="0.25">
      <c r="A12" s="124"/>
      <c r="B12" s="128"/>
      <c r="C12" s="115"/>
      <c r="D12" s="115"/>
      <c r="E12" s="115"/>
      <c r="F12" s="115"/>
      <c r="G12" s="60" t="s">
        <v>126</v>
      </c>
      <c r="H12" s="124"/>
      <c r="I12" s="124"/>
      <c r="J12" s="60"/>
      <c r="K12" s="60"/>
      <c r="L12" s="60"/>
      <c r="M12" s="60"/>
      <c r="N12" s="60">
        <f t="shared" ref="N12:N17" si="0">M12*J12*K12*L12</f>
        <v>0</v>
      </c>
      <c r="O12" s="60">
        <f t="shared" ref="O12:O17" si="1">J12*K12*L12</f>
        <v>0</v>
      </c>
    </row>
    <row r="13" spans="1:15" s="38" customFormat="1" ht="10.7" customHeight="1" outlineLevel="1" x14ac:dyDescent="0.25">
      <c r="A13" s="124"/>
      <c r="B13" s="128"/>
      <c r="C13" s="115"/>
      <c r="D13" s="115"/>
      <c r="E13" s="115"/>
      <c r="F13" s="115"/>
      <c r="G13" s="60" t="s">
        <v>127</v>
      </c>
      <c r="H13" s="124"/>
      <c r="I13" s="124"/>
      <c r="J13" s="60"/>
      <c r="K13" s="60"/>
      <c r="L13" s="60"/>
      <c r="M13" s="60"/>
      <c r="N13" s="60">
        <f t="shared" si="0"/>
        <v>0</v>
      </c>
      <c r="O13" s="60">
        <f t="shared" si="1"/>
        <v>0</v>
      </c>
    </row>
    <row r="14" spans="1:15" s="38" customFormat="1" ht="10.7" customHeight="1" outlineLevel="1" x14ac:dyDescent="0.25">
      <c r="A14" s="124"/>
      <c r="B14" s="128"/>
      <c r="C14" s="115"/>
      <c r="D14" s="115"/>
      <c r="E14" s="115"/>
      <c r="F14" s="115"/>
      <c r="G14" s="60" t="s">
        <v>128</v>
      </c>
      <c r="H14" s="124"/>
      <c r="I14" s="124"/>
      <c r="J14" s="60"/>
      <c r="K14" s="60"/>
      <c r="L14" s="60"/>
      <c r="M14" s="60"/>
      <c r="N14" s="60">
        <f t="shared" si="0"/>
        <v>0</v>
      </c>
      <c r="O14" s="60">
        <f t="shared" si="1"/>
        <v>0</v>
      </c>
    </row>
    <row r="15" spans="1:15" s="38" customFormat="1" ht="10.7" customHeight="1" outlineLevel="1" x14ac:dyDescent="0.25">
      <c r="A15" s="124"/>
      <c r="B15" s="128"/>
      <c r="C15" s="115"/>
      <c r="D15" s="115"/>
      <c r="E15" s="115"/>
      <c r="F15" s="115"/>
      <c r="G15" s="60" t="s">
        <v>129</v>
      </c>
      <c r="H15" s="124"/>
      <c r="I15" s="124"/>
      <c r="J15" s="60"/>
      <c r="K15" s="60"/>
      <c r="L15" s="60"/>
      <c r="M15" s="60"/>
      <c r="N15" s="60">
        <f t="shared" si="0"/>
        <v>0</v>
      </c>
      <c r="O15" s="60">
        <f t="shared" si="1"/>
        <v>0</v>
      </c>
    </row>
    <row r="16" spans="1:15" s="38" customFormat="1" ht="10.7" customHeight="1" outlineLevel="1" x14ac:dyDescent="0.25">
      <c r="A16" s="124"/>
      <c r="B16" s="128"/>
      <c r="C16" s="115"/>
      <c r="D16" s="115"/>
      <c r="E16" s="115"/>
      <c r="F16" s="115"/>
      <c r="G16" s="60" t="s">
        <v>130</v>
      </c>
      <c r="H16" s="124"/>
      <c r="I16" s="124"/>
      <c r="J16" s="60"/>
      <c r="K16" s="60"/>
      <c r="L16" s="60"/>
      <c r="M16" s="60"/>
      <c r="N16" s="60">
        <f t="shared" si="0"/>
        <v>0</v>
      </c>
      <c r="O16" s="60">
        <f t="shared" si="1"/>
        <v>0</v>
      </c>
    </row>
    <row r="17" spans="1:15" s="38" customFormat="1" ht="12" customHeight="1" outlineLevel="1" x14ac:dyDescent="0.25">
      <c r="A17" s="125"/>
      <c r="B17" s="129"/>
      <c r="C17" s="131"/>
      <c r="D17" s="131"/>
      <c r="E17" s="131"/>
      <c r="F17" s="131"/>
      <c r="G17" s="60" t="s">
        <v>131</v>
      </c>
      <c r="H17" s="125"/>
      <c r="I17" s="125"/>
      <c r="J17" s="60"/>
      <c r="K17" s="60"/>
      <c r="L17" s="60"/>
      <c r="M17" s="60"/>
      <c r="N17" s="60">
        <f t="shared" si="0"/>
        <v>0</v>
      </c>
      <c r="O17" s="60">
        <f t="shared" si="1"/>
        <v>0</v>
      </c>
    </row>
    <row r="18" spans="1:15" s="38" customFormat="1" ht="14.45" customHeight="1" outlineLevel="1" x14ac:dyDescent="0.25">
      <c r="A18" s="140" t="s">
        <v>132</v>
      </c>
      <c r="B18" s="141" t="s">
        <v>597</v>
      </c>
      <c r="C18" s="130">
        <f>SUM(N18:N24)</f>
        <v>0</v>
      </c>
      <c r="D18" s="130">
        <f>SUM(O18:O24)</f>
        <v>0</v>
      </c>
      <c r="E18" s="130">
        <f t="shared" ref="E18" si="2">D18/8</f>
        <v>0</v>
      </c>
      <c r="F18" s="130"/>
      <c r="G18" s="60" t="s">
        <v>125</v>
      </c>
      <c r="H18" s="123"/>
      <c r="I18" s="123"/>
      <c r="J18" s="60"/>
      <c r="K18" s="60"/>
      <c r="L18" s="60"/>
      <c r="M18" s="60"/>
      <c r="N18" s="60">
        <f>M18*J18*K18*L18</f>
        <v>0</v>
      </c>
      <c r="O18" s="60">
        <f>J18*K18*L18</f>
        <v>0</v>
      </c>
    </row>
    <row r="19" spans="1:15" s="38" customFormat="1" ht="11.45" customHeight="1" outlineLevel="1" x14ac:dyDescent="0.25">
      <c r="A19" s="124"/>
      <c r="B19" s="128"/>
      <c r="C19" s="115"/>
      <c r="D19" s="115"/>
      <c r="E19" s="115"/>
      <c r="F19" s="115"/>
      <c r="G19" s="60" t="s">
        <v>126</v>
      </c>
      <c r="H19" s="124"/>
      <c r="I19" s="124"/>
      <c r="J19" s="60"/>
      <c r="K19" s="60"/>
      <c r="L19" s="60"/>
      <c r="M19" s="60"/>
      <c r="N19" s="60">
        <f t="shared" ref="N19:N24" si="3">M19*J19*K19*L19</f>
        <v>0</v>
      </c>
      <c r="O19" s="60">
        <f t="shared" ref="O19:O24" si="4">J19*K19*L19</f>
        <v>0</v>
      </c>
    </row>
    <row r="20" spans="1:15" s="38" customFormat="1" ht="10.7" customHeight="1" outlineLevel="1" x14ac:dyDescent="0.25">
      <c r="A20" s="124"/>
      <c r="B20" s="128"/>
      <c r="C20" s="115"/>
      <c r="D20" s="115"/>
      <c r="E20" s="115"/>
      <c r="F20" s="115"/>
      <c r="G20" s="60" t="s">
        <v>127</v>
      </c>
      <c r="H20" s="124"/>
      <c r="I20" s="124"/>
      <c r="J20" s="60"/>
      <c r="K20" s="60"/>
      <c r="L20" s="60"/>
      <c r="M20" s="60"/>
      <c r="N20" s="60">
        <f t="shared" si="3"/>
        <v>0</v>
      </c>
      <c r="O20" s="60">
        <f t="shared" si="4"/>
        <v>0</v>
      </c>
    </row>
    <row r="21" spans="1:15" s="38" customFormat="1" ht="10.7" customHeight="1" outlineLevel="1" x14ac:dyDescent="0.25">
      <c r="A21" s="124"/>
      <c r="B21" s="128"/>
      <c r="C21" s="115"/>
      <c r="D21" s="115"/>
      <c r="E21" s="115"/>
      <c r="F21" s="115"/>
      <c r="G21" s="60" t="s">
        <v>128</v>
      </c>
      <c r="H21" s="124"/>
      <c r="I21" s="124"/>
      <c r="J21" s="60"/>
      <c r="K21" s="60"/>
      <c r="L21" s="60"/>
      <c r="M21" s="60"/>
      <c r="N21" s="60">
        <f t="shared" si="3"/>
        <v>0</v>
      </c>
      <c r="O21" s="60">
        <f t="shared" si="4"/>
        <v>0</v>
      </c>
    </row>
    <row r="22" spans="1:15" s="38" customFormat="1" ht="10.7" customHeight="1" outlineLevel="1" x14ac:dyDescent="0.25">
      <c r="A22" s="124"/>
      <c r="B22" s="128"/>
      <c r="C22" s="115"/>
      <c r="D22" s="115"/>
      <c r="E22" s="115"/>
      <c r="F22" s="115"/>
      <c r="G22" s="60" t="s">
        <v>129</v>
      </c>
      <c r="H22" s="124"/>
      <c r="I22" s="124"/>
      <c r="J22" s="60"/>
      <c r="K22" s="60"/>
      <c r="L22" s="60"/>
      <c r="M22" s="60"/>
      <c r="N22" s="60">
        <f t="shared" si="3"/>
        <v>0</v>
      </c>
      <c r="O22" s="60">
        <f t="shared" si="4"/>
        <v>0</v>
      </c>
    </row>
    <row r="23" spans="1:15" s="38" customFormat="1" ht="10.7" customHeight="1" outlineLevel="1" x14ac:dyDescent="0.25">
      <c r="A23" s="124"/>
      <c r="B23" s="128"/>
      <c r="C23" s="115"/>
      <c r="D23" s="115"/>
      <c r="E23" s="115"/>
      <c r="F23" s="115"/>
      <c r="G23" s="60" t="s">
        <v>130</v>
      </c>
      <c r="H23" s="124"/>
      <c r="I23" s="124"/>
      <c r="J23" s="60"/>
      <c r="K23" s="60"/>
      <c r="L23" s="60"/>
      <c r="M23" s="60"/>
      <c r="N23" s="60">
        <f t="shared" si="3"/>
        <v>0</v>
      </c>
      <c r="O23" s="60">
        <f t="shared" si="4"/>
        <v>0</v>
      </c>
    </row>
    <row r="24" spans="1:15" s="38" customFormat="1" ht="12" customHeight="1" outlineLevel="1" x14ac:dyDescent="0.25">
      <c r="A24" s="125"/>
      <c r="B24" s="129"/>
      <c r="C24" s="131"/>
      <c r="D24" s="131"/>
      <c r="E24" s="131"/>
      <c r="F24" s="131"/>
      <c r="G24" s="60" t="s">
        <v>131</v>
      </c>
      <c r="H24" s="125"/>
      <c r="I24" s="125"/>
      <c r="J24" s="60"/>
      <c r="K24" s="60"/>
      <c r="L24" s="60"/>
      <c r="M24" s="60"/>
      <c r="N24" s="60">
        <f t="shared" si="3"/>
        <v>0</v>
      </c>
      <c r="O24" s="60">
        <f t="shared" si="4"/>
        <v>0</v>
      </c>
    </row>
    <row r="25" spans="1:15" s="38" customFormat="1" ht="14.45" customHeight="1" outlineLevel="1" x14ac:dyDescent="0.25">
      <c r="A25" s="140" t="s">
        <v>134</v>
      </c>
      <c r="B25" s="141" t="s">
        <v>388</v>
      </c>
      <c r="C25" s="130">
        <f>SUM(N25:N31)</f>
        <v>0</v>
      </c>
      <c r="D25" s="130">
        <f>SUM(O25:O31)</f>
        <v>0</v>
      </c>
      <c r="E25" s="130">
        <f t="shared" ref="E25" si="5">D25/8</f>
        <v>0</v>
      </c>
      <c r="F25" s="130"/>
      <c r="G25" s="60" t="s">
        <v>125</v>
      </c>
      <c r="H25" s="123"/>
      <c r="I25" s="123"/>
      <c r="J25" s="60"/>
      <c r="K25" s="60"/>
      <c r="L25" s="60"/>
      <c r="M25" s="60"/>
      <c r="N25" s="60">
        <f>M25*J25*K25*L25</f>
        <v>0</v>
      </c>
      <c r="O25" s="60">
        <f>J25*K25*L25</f>
        <v>0</v>
      </c>
    </row>
    <row r="26" spans="1:15" s="38" customFormat="1" ht="11.45" customHeight="1" outlineLevel="1" x14ac:dyDescent="0.25">
      <c r="A26" s="124"/>
      <c r="B26" s="128"/>
      <c r="C26" s="115"/>
      <c r="D26" s="115"/>
      <c r="E26" s="115"/>
      <c r="F26" s="115"/>
      <c r="G26" s="60" t="s">
        <v>126</v>
      </c>
      <c r="H26" s="124"/>
      <c r="I26" s="124"/>
      <c r="J26" s="60"/>
      <c r="K26" s="60"/>
      <c r="L26" s="60"/>
      <c r="M26" s="60"/>
      <c r="N26" s="60">
        <f t="shared" ref="N26:N31" si="6">M26*J26*K26*L26</f>
        <v>0</v>
      </c>
      <c r="O26" s="60">
        <f t="shared" ref="O26:O31" si="7">J26*K26*L26</f>
        <v>0</v>
      </c>
    </row>
    <row r="27" spans="1:15" s="38" customFormat="1" ht="10.7" customHeight="1" outlineLevel="1" x14ac:dyDescent="0.25">
      <c r="A27" s="124"/>
      <c r="B27" s="128"/>
      <c r="C27" s="115"/>
      <c r="D27" s="115"/>
      <c r="E27" s="115"/>
      <c r="F27" s="115"/>
      <c r="G27" s="60" t="s">
        <v>127</v>
      </c>
      <c r="H27" s="124"/>
      <c r="I27" s="124"/>
      <c r="J27" s="60"/>
      <c r="K27" s="60"/>
      <c r="L27" s="60"/>
      <c r="M27" s="60"/>
      <c r="N27" s="60">
        <f t="shared" si="6"/>
        <v>0</v>
      </c>
      <c r="O27" s="60">
        <f t="shared" si="7"/>
        <v>0</v>
      </c>
    </row>
    <row r="28" spans="1:15" s="38" customFormat="1" ht="10.7" customHeight="1" outlineLevel="1" x14ac:dyDescent="0.25">
      <c r="A28" s="124"/>
      <c r="B28" s="128"/>
      <c r="C28" s="115"/>
      <c r="D28" s="115"/>
      <c r="E28" s="115"/>
      <c r="F28" s="115"/>
      <c r="G28" s="60" t="s">
        <v>128</v>
      </c>
      <c r="H28" s="124"/>
      <c r="I28" s="124"/>
      <c r="J28" s="60"/>
      <c r="K28" s="60"/>
      <c r="L28" s="60"/>
      <c r="M28" s="60"/>
      <c r="N28" s="60">
        <f t="shared" si="6"/>
        <v>0</v>
      </c>
      <c r="O28" s="60">
        <f t="shared" si="7"/>
        <v>0</v>
      </c>
    </row>
    <row r="29" spans="1:15" s="38" customFormat="1" ht="10.7" customHeight="1" outlineLevel="1" x14ac:dyDescent="0.25">
      <c r="A29" s="124"/>
      <c r="B29" s="128"/>
      <c r="C29" s="115"/>
      <c r="D29" s="115"/>
      <c r="E29" s="115"/>
      <c r="F29" s="115"/>
      <c r="G29" s="60" t="s">
        <v>129</v>
      </c>
      <c r="H29" s="124"/>
      <c r="I29" s="124"/>
      <c r="J29" s="60"/>
      <c r="K29" s="60"/>
      <c r="L29" s="60"/>
      <c r="M29" s="60"/>
      <c r="N29" s="60">
        <f t="shared" si="6"/>
        <v>0</v>
      </c>
      <c r="O29" s="60">
        <f t="shared" si="7"/>
        <v>0</v>
      </c>
    </row>
    <row r="30" spans="1:15" s="38" customFormat="1" ht="10.7" customHeight="1" outlineLevel="1" x14ac:dyDescent="0.25">
      <c r="A30" s="124"/>
      <c r="B30" s="128"/>
      <c r="C30" s="115"/>
      <c r="D30" s="115"/>
      <c r="E30" s="115"/>
      <c r="F30" s="115"/>
      <c r="G30" s="60" t="s">
        <v>130</v>
      </c>
      <c r="H30" s="124"/>
      <c r="I30" s="124"/>
      <c r="J30" s="60"/>
      <c r="K30" s="60"/>
      <c r="L30" s="60"/>
      <c r="M30" s="60"/>
      <c r="N30" s="60">
        <f t="shared" si="6"/>
        <v>0</v>
      </c>
      <c r="O30" s="60">
        <f t="shared" si="7"/>
        <v>0</v>
      </c>
    </row>
    <row r="31" spans="1:15" s="38" customFormat="1" ht="12" customHeight="1" outlineLevel="1" x14ac:dyDescent="0.25">
      <c r="A31" s="125"/>
      <c r="B31" s="129"/>
      <c r="C31" s="131"/>
      <c r="D31" s="131"/>
      <c r="E31" s="131"/>
      <c r="F31" s="131"/>
      <c r="G31" s="60" t="s">
        <v>131</v>
      </c>
      <c r="H31" s="125"/>
      <c r="I31" s="125"/>
      <c r="J31" s="60"/>
      <c r="K31" s="60"/>
      <c r="L31" s="60"/>
      <c r="M31" s="60"/>
      <c r="N31" s="60">
        <f t="shared" si="6"/>
        <v>0</v>
      </c>
      <c r="O31" s="60">
        <f t="shared" si="7"/>
        <v>0</v>
      </c>
    </row>
    <row r="32" spans="1:15" s="38" customFormat="1" ht="14.45" customHeight="1" outlineLevel="1" x14ac:dyDescent="0.25">
      <c r="A32" s="140" t="s">
        <v>136</v>
      </c>
      <c r="B32" s="141" t="s">
        <v>389</v>
      </c>
      <c r="C32" s="130">
        <f>SUM(N32:N38)</f>
        <v>0</v>
      </c>
      <c r="D32" s="130">
        <f>SUM(O32:O38)</f>
        <v>0</v>
      </c>
      <c r="E32" s="130">
        <f t="shared" ref="E32" si="8">D32/8</f>
        <v>0</v>
      </c>
      <c r="F32" s="130"/>
      <c r="G32" s="60" t="s">
        <v>125</v>
      </c>
      <c r="H32" s="123"/>
      <c r="I32" s="123"/>
      <c r="J32" s="60"/>
      <c r="K32" s="60"/>
      <c r="L32" s="60"/>
      <c r="M32" s="60"/>
      <c r="N32" s="60">
        <f>M32*J32*K32*L32</f>
        <v>0</v>
      </c>
      <c r="O32" s="60">
        <f>J32*K32*L32</f>
        <v>0</v>
      </c>
    </row>
    <row r="33" spans="1:15" s="38" customFormat="1" ht="11.45" customHeight="1" outlineLevel="1" x14ac:dyDescent="0.25">
      <c r="A33" s="124"/>
      <c r="B33" s="128"/>
      <c r="C33" s="115"/>
      <c r="D33" s="115"/>
      <c r="E33" s="115"/>
      <c r="F33" s="115"/>
      <c r="G33" s="60" t="s">
        <v>126</v>
      </c>
      <c r="H33" s="124"/>
      <c r="I33" s="124"/>
      <c r="J33" s="60"/>
      <c r="K33" s="60"/>
      <c r="L33" s="60"/>
      <c r="M33" s="60"/>
      <c r="N33" s="60">
        <f t="shared" ref="N33:N38" si="9">M33*J33*K33*L33</f>
        <v>0</v>
      </c>
      <c r="O33" s="60">
        <f t="shared" ref="O33:O38" si="10">J33*K33*L33</f>
        <v>0</v>
      </c>
    </row>
    <row r="34" spans="1:15" s="38" customFormat="1" ht="10.7" customHeight="1" outlineLevel="1" x14ac:dyDescent="0.25">
      <c r="A34" s="124"/>
      <c r="B34" s="128"/>
      <c r="C34" s="115"/>
      <c r="D34" s="115"/>
      <c r="E34" s="115"/>
      <c r="F34" s="115"/>
      <c r="G34" s="60" t="s">
        <v>127</v>
      </c>
      <c r="H34" s="124"/>
      <c r="I34" s="124"/>
      <c r="J34" s="60"/>
      <c r="K34" s="60"/>
      <c r="L34" s="60"/>
      <c r="M34" s="60"/>
      <c r="N34" s="60">
        <f t="shared" si="9"/>
        <v>0</v>
      </c>
      <c r="O34" s="60">
        <f t="shared" si="10"/>
        <v>0</v>
      </c>
    </row>
    <row r="35" spans="1:15" s="38" customFormat="1" ht="10.7" customHeight="1" outlineLevel="1" x14ac:dyDescent="0.25">
      <c r="A35" s="124"/>
      <c r="B35" s="128"/>
      <c r="C35" s="115"/>
      <c r="D35" s="115"/>
      <c r="E35" s="115"/>
      <c r="F35" s="115"/>
      <c r="G35" s="60" t="s">
        <v>128</v>
      </c>
      <c r="H35" s="124"/>
      <c r="I35" s="124"/>
      <c r="J35" s="60"/>
      <c r="K35" s="60"/>
      <c r="L35" s="60"/>
      <c r="M35" s="60"/>
      <c r="N35" s="60">
        <f t="shared" si="9"/>
        <v>0</v>
      </c>
      <c r="O35" s="60">
        <f t="shared" si="10"/>
        <v>0</v>
      </c>
    </row>
    <row r="36" spans="1:15" s="38" customFormat="1" ht="10.7" customHeight="1" outlineLevel="1" x14ac:dyDescent="0.25">
      <c r="A36" s="124"/>
      <c r="B36" s="128"/>
      <c r="C36" s="115"/>
      <c r="D36" s="115"/>
      <c r="E36" s="115"/>
      <c r="F36" s="115"/>
      <c r="G36" s="60" t="s">
        <v>129</v>
      </c>
      <c r="H36" s="124"/>
      <c r="I36" s="124"/>
      <c r="J36" s="60"/>
      <c r="K36" s="60"/>
      <c r="L36" s="60"/>
      <c r="M36" s="60"/>
      <c r="N36" s="60">
        <f t="shared" si="9"/>
        <v>0</v>
      </c>
      <c r="O36" s="60">
        <f t="shared" si="10"/>
        <v>0</v>
      </c>
    </row>
    <row r="37" spans="1:15" s="38" customFormat="1" ht="10.7" customHeight="1" outlineLevel="1" x14ac:dyDescent="0.25">
      <c r="A37" s="124"/>
      <c r="B37" s="128"/>
      <c r="C37" s="115"/>
      <c r="D37" s="115"/>
      <c r="E37" s="115"/>
      <c r="F37" s="115"/>
      <c r="G37" s="60" t="s">
        <v>130</v>
      </c>
      <c r="H37" s="124"/>
      <c r="I37" s="124"/>
      <c r="J37" s="60"/>
      <c r="K37" s="60"/>
      <c r="L37" s="60"/>
      <c r="M37" s="60"/>
      <c r="N37" s="60">
        <f t="shared" si="9"/>
        <v>0</v>
      </c>
      <c r="O37" s="60">
        <f t="shared" si="10"/>
        <v>0</v>
      </c>
    </row>
    <row r="38" spans="1:15" s="38" customFormat="1" ht="12" customHeight="1" outlineLevel="1" x14ac:dyDescent="0.25">
      <c r="A38" s="125"/>
      <c r="B38" s="129"/>
      <c r="C38" s="131"/>
      <c r="D38" s="131"/>
      <c r="E38" s="131"/>
      <c r="F38" s="131"/>
      <c r="G38" s="60" t="s">
        <v>131</v>
      </c>
      <c r="H38" s="125"/>
      <c r="I38" s="125"/>
      <c r="J38" s="60"/>
      <c r="K38" s="60"/>
      <c r="L38" s="60"/>
      <c r="M38" s="60"/>
      <c r="N38" s="60">
        <f t="shared" si="9"/>
        <v>0</v>
      </c>
      <c r="O38" s="60">
        <f t="shared" si="10"/>
        <v>0</v>
      </c>
    </row>
    <row r="39" spans="1:15" s="38" customFormat="1" ht="14.45" customHeight="1" outlineLevel="1" x14ac:dyDescent="0.25">
      <c r="A39" s="140" t="s">
        <v>138</v>
      </c>
      <c r="B39" s="141" t="s">
        <v>390</v>
      </c>
      <c r="C39" s="130">
        <f>SUM(N39:N45)</f>
        <v>0</v>
      </c>
      <c r="D39" s="130">
        <f>SUM(O39:O45)</f>
        <v>0</v>
      </c>
      <c r="E39" s="130">
        <f t="shared" ref="E39" si="11">D39/8</f>
        <v>0</v>
      </c>
      <c r="F39" s="130"/>
      <c r="G39" s="60" t="s">
        <v>125</v>
      </c>
      <c r="H39" s="123"/>
      <c r="I39" s="123"/>
      <c r="J39" s="60"/>
      <c r="K39" s="60"/>
      <c r="L39" s="60"/>
      <c r="M39" s="60"/>
      <c r="N39" s="60">
        <f>M39*J39*K39*L39</f>
        <v>0</v>
      </c>
      <c r="O39" s="60">
        <f>J39*K39*L39</f>
        <v>0</v>
      </c>
    </row>
    <row r="40" spans="1:15" s="38" customFormat="1" ht="11.45" customHeight="1" outlineLevel="1" x14ac:dyDescent="0.25">
      <c r="A40" s="124"/>
      <c r="B40" s="128"/>
      <c r="C40" s="115"/>
      <c r="D40" s="115"/>
      <c r="E40" s="115"/>
      <c r="F40" s="115"/>
      <c r="G40" s="60" t="s">
        <v>126</v>
      </c>
      <c r="H40" s="124"/>
      <c r="I40" s="124"/>
      <c r="J40" s="60"/>
      <c r="K40" s="60"/>
      <c r="L40" s="60"/>
      <c r="M40" s="60"/>
      <c r="N40" s="60">
        <f t="shared" ref="N40:N45" si="12">M40*J40*K40*L40</f>
        <v>0</v>
      </c>
      <c r="O40" s="60">
        <f t="shared" ref="O40:O45" si="13">J40*K40*L40</f>
        <v>0</v>
      </c>
    </row>
    <row r="41" spans="1:15" s="38" customFormat="1" ht="10.7" customHeight="1" outlineLevel="1" x14ac:dyDescent="0.25">
      <c r="A41" s="124"/>
      <c r="B41" s="128"/>
      <c r="C41" s="115"/>
      <c r="D41" s="115"/>
      <c r="E41" s="115"/>
      <c r="F41" s="115"/>
      <c r="G41" s="60" t="s">
        <v>127</v>
      </c>
      <c r="H41" s="124"/>
      <c r="I41" s="124"/>
      <c r="J41" s="60"/>
      <c r="K41" s="60"/>
      <c r="L41" s="60"/>
      <c r="M41" s="60"/>
      <c r="N41" s="60">
        <f t="shared" si="12"/>
        <v>0</v>
      </c>
      <c r="O41" s="60">
        <f t="shared" si="13"/>
        <v>0</v>
      </c>
    </row>
    <row r="42" spans="1:15" s="38" customFormat="1" ht="10.7" customHeight="1" outlineLevel="1" x14ac:dyDescent="0.25">
      <c r="A42" s="124"/>
      <c r="B42" s="128"/>
      <c r="C42" s="115"/>
      <c r="D42" s="115"/>
      <c r="E42" s="115"/>
      <c r="F42" s="115"/>
      <c r="G42" s="60" t="s">
        <v>128</v>
      </c>
      <c r="H42" s="124"/>
      <c r="I42" s="124"/>
      <c r="J42" s="60"/>
      <c r="K42" s="60"/>
      <c r="L42" s="60"/>
      <c r="M42" s="60"/>
      <c r="N42" s="60">
        <f t="shared" si="12"/>
        <v>0</v>
      </c>
      <c r="O42" s="60">
        <f t="shared" si="13"/>
        <v>0</v>
      </c>
    </row>
    <row r="43" spans="1:15" s="38" customFormat="1" ht="10.7" customHeight="1" outlineLevel="1" x14ac:dyDescent="0.25">
      <c r="A43" s="124"/>
      <c r="B43" s="128"/>
      <c r="C43" s="115"/>
      <c r="D43" s="115"/>
      <c r="E43" s="115"/>
      <c r="F43" s="115"/>
      <c r="G43" s="60" t="s">
        <v>129</v>
      </c>
      <c r="H43" s="124"/>
      <c r="I43" s="124"/>
      <c r="J43" s="60"/>
      <c r="K43" s="60"/>
      <c r="L43" s="60"/>
      <c r="M43" s="60"/>
      <c r="N43" s="60">
        <f t="shared" si="12"/>
        <v>0</v>
      </c>
      <c r="O43" s="60">
        <f t="shared" si="13"/>
        <v>0</v>
      </c>
    </row>
    <row r="44" spans="1:15" s="38" customFormat="1" ht="10.7" customHeight="1" outlineLevel="1" x14ac:dyDescent="0.25">
      <c r="A44" s="124"/>
      <c r="B44" s="128"/>
      <c r="C44" s="115"/>
      <c r="D44" s="115"/>
      <c r="E44" s="115"/>
      <c r="F44" s="115"/>
      <c r="G44" s="60" t="s">
        <v>130</v>
      </c>
      <c r="H44" s="124"/>
      <c r="I44" s="124"/>
      <c r="J44" s="60"/>
      <c r="K44" s="60"/>
      <c r="L44" s="60"/>
      <c r="M44" s="60"/>
      <c r="N44" s="60">
        <f t="shared" si="12"/>
        <v>0</v>
      </c>
      <c r="O44" s="60">
        <f t="shared" si="13"/>
        <v>0</v>
      </c>
    </row>
    <row r="45" spans="1:15" s="38" customFormat="1" ht="12" customHeight="1" outlineLevel="1" x14ac:dyDescent="0.25">
      <c r="A45" s="125"/>
      <c r="B45" s="129"/>
      <c r="C45" s="131"/>
      <c r="D45" s="131"/>
      <c r="E45" s="131"/>
      <c r="F45" s="131"/>
      <c r="G45" s="60" t="s">
        <v>131</v>
      </c>
      <c r="H45" s="125"/>
      <c r="I45" s="125"/>
      <c r="J45" s="60"/>
      <c r="K45" s="60"/>
      <c r="L45" s="60"/>
      <c r="M45" s="60"/>
      <c r="N45" s="60">
        <f t="shared" si="12"/>
        <v>0</v>
      </c>
      <c r="O45" s="60">
        <f t="shared" si="13"/>
        <v>0</v>
      </c>
    </row>
    <row r="46" spans="1:15" s="38" customFormat="1" ht="14.45" customHeight="1" outlineLevel="1" x14ac:dyDescent="0.25">
      <c r="A46" s="140" t="s">
        <v>140</v>
      </c>
      <c r="B46" s="141" t="s">
        <v>391</v>
      </c>
      <c r="C46" s="130">
        <f>SUM(N46:N52)</f>
        <v>0</v>
      </c>
      <c r="D46" s="130">
        <f>SUM(O46:O52)</f>
        <v>0</v>
      </c>
      <c r="E46" s="130">
        <f t="shared" ref="E46" si="14">D46/8</f>
        <v>0</v>
      </c>
      <c r="F46" s="130"/>
      <c r="G46" s="60" t="s">
        <v>125</v>
      </c>
      <c r="H46" s="123"/>
      <c r="I46" s="123"/>
      <c r="J46" s="60"/>
      <c r="K46" s="60"/>
      <c r="L46" s="60"/>
      <c r="M46" s="60"/>
      <c r="N46" s="60">
        <f>M46*J46*K46*L46</f>
        <v>0</v>
      </c>
      <c r="O46" s="60">
        <f>J46*K46*L46</f>
        <v>0</v>
      </c>
    </row>
    <row r="47" spans="1:15" s="38" customFormat="1" ht="11.45" customHeight="1" outlineLevel="1" x14ac:dyDescent="0.25">
      <c r="A47" s="124"/>
      <c r="B47" s="128"/>
      <c r="C47" s="115"/>
      <c r="D47" s="115"/>
      <c r="E47" s="115"/>
      <c r="F47" s="115"/>
      <c r="G47" s="60" t="s">
        <v>126</v>
      </c>
      <c r="H47" s="124"/>
      <c r="I47" s="124"/>
      <c r="J47" s="60"/>
      <c r="K47" s="60"/>
      <c r="L47" s="60"/>
      <c r="M47" s="60"/>
      <c r="N47" s="60">
        <f t="shared" ref="N47:N52" si="15">M47*J47*K47*L47</f>
        <v>0</v>
      </c>
      <c r="O47" s="60">
        <f t="shared" ref="O47:O52" si="16">J47*K47*L47</f>
        <v>0</v>
      </c>
    </row>
    <row r="48" spans="1:15" s="38" customFormat="1" ht="10.7" customHeight="1" outlineLevel="1" x14ac:dyDescent="0.25">
      <c r="A48" s="124"/>
      <c r="B48" s="128"/>
      <c r="C48" s="115"/>
      <c r="D48" s="115"/>
      <c r="E48" s="115"/>
      <c r="F48" s="115"/>
      <c r="G48" s="60" t="s">
        <v>127</v>
      </c>
      <c r="H48" s="124"/>
      <c r="I48" s="124"/>
      <c r="J48" s="60"/>
      <c r="K48" s="60"/>
      <c r="L48" s="60"/>
      <c r="M48" s="60"/>
      <c r="N48" s="60">
        <f t="shared" si="15"/>
        <v>0</v>
      </c>
      <c r="O48" s="60">
        <f t="shared" si="16"/>
        <v>0</v>
      </c>
    </row>
    <row r="49" spans="1:15" s="38" customFormat="1" ht="10.7" customHeight="1" outlineLevel="1" x14ac:dyDescent="0.25">
      <c r="A49" s="124"/>
      <c r="B49" s="128"/>
      <c r="C49" s="115"/>
      <c r="D49" s="115"/>
      <c r="E49" s="115"/>
      <c r="F49" s="115"/>
      <c r="G49" s="60" t="s">
        <v>128</v>
      </c>
      <c r="H49" s="124"/>
      <c r="I49" s="124"/>
      <c r="J49" s="60"/>
      <c r="K49" s="60"/>
      <c r="L49" s="60"/>
      <c r="M49" s="60"/>
      <c r="N49" s="60">
        <f t="shared" si="15"/>
        <v>0</v>
      </c>
      <c r="O49" s="60">
        <f t="shared" si="16"/>
        <v>0</v>
      </c>
    </row>
    <row r="50" spans="1:15" s="38" customFormat="1" ht="10.7" customHeight="1" outlineLevel="1" x14ac:dyDescent="0.25">
      <c r="A50" s="124"/>
      <c r="B50" s="128"/>
      <c r="C50" s="115"/>
      <c r="D50" s="115"/>
      <c r="E50" s="115"/>
      <c r="F50" s="115"/>
      <c r="G50" s="60" t="s">
        <v>129</v>
      </c>
      <c r="H50" s="124"/>
      <c r="I50" s="124"/>
      <c r="J50" s="60"/>
      <c r="K50" s="60"/>
      <c r="L50" s="60"/>
      <c r="M50" s="60"/>
      <c r="N50" s="60">
        <f t="shared" si="15"/>
        <v>0</v>
      </c>
      <c r="O50" s="60">
        <f t="shared" si="16"/>
        <v>0</v>
      </c>
    </row>
    <row r="51" spans="1:15" s="38" customFormat="1" ht="10.7" customHeight="1" outlineLevel="1" x14ac:dyDescent="0.25">
      <c r="A51" s="124"/>
      <c r="B51" s="128"/>
      <c r="C51" s="115"/>
      <c r="D51" s="115"/>
      <c r="E51" s="115"/>
      <c r="F51" s="115"/>
      <c r="G51" s="60" t="s">
        <v>130</v>
      </c>
      <c r="H51" s="124"/>
      <c r="I51" s="124"/>
      <c r="J51" s="60"/>
      <c r="K51" s="60"/>
      <c r="L51" s="60"/>
      <c r="M51" s="60"/>
      <c r="N51" s="60">
        <f t="shared" si="15"/>
        <v>0</v>
      </c>
      <c r="O51" s="60">
        <f t="shared" si="16"/>
        <v>0</v>
      </c>
    </row>
    <row r="52" spans="1:15" s="38" customFormat="1" ht="12" customHeight="1" outlineLevel="1" x14ac:dyDescent="0.25">
      <c r="A52" s="125"/>
      <c r="B52" s="129"/>
      <c r="C52" s="131"/>
      <c r="D52" s="131"/>
      <c r="E52" s="131"/>
      <c r="F52" s="131"/>
      <c r="G52" s="60" t="s">
        <v>131</v>
      </c>
      <c r="H52" s="125"/>
      <c r="I52" s="125"/>
      <c r="J52" s="60"/>
      <c r="K52" s="60"/>
      <c r="L52" s="60"/>
      <c r="M52" s="60"/>
      <c r="N52" s="60">
        <f t="shared" si="15"/>
        <v>0</v>
      </c>
      <c r="O52" s="60">
        <f t="shared" si="16"/>
        <v>0</v>
      </c>
    </row>
    <row r="53" spans="1:15" s="38" customFormat="1" ht="14.45" customHeight="1" outlineLevel="1" x14ac:dyDescent="0.25">
      <c r="A53" s="140" t="s">
        <v>348</v>
      </c>
      <c r="B53" s="141" t="s">
        <v>598</v>
      </c>
      <c r="C53" s="130">
        <f>SUM(N53:N59)</f>
        <v>0</v>
      </c>
      <c r="D53" s="130">
        <f>SUM(O53:O59)</f>
        <v>0</v>
      </c>
      <c r="E53" s="130">
        <f t="shared" ref="E53" si="17">D53/8</f>
        <v>0</v>
      </c>
      <c r="F53" s="130"/>
      <c r="G53" s="60" t="s">
        <v>125</v>
      </c>
      <c r="H53" s="123"/>
      <c r="I53" s="123"/>
      <c r="J53" s="60"/>
      <c r="K53" s="60"/>
      <c r="L53" s="60"/>
      <c r="M53" s="60"/>
      <c r="N53" s="60">
        <f>M53*J53*K53*L53</f>
        <v>0</v>
      </c>
      <c r="O53" s="60">
        <f>J53*K53*L53</f>
        <v>0</v>
      </c>
    </row>
    <row r="54" spans="1:15" s="38" customFormat="1" ht="11.45" customHeight="1" outlineLevel="1" x14ac:dyDescent="0.25">
      <c r="A54" s="124"/>
      <c r="B54" s="128"/>
      <c r="C54" s="115"/>
      <c r="D54" s="115"/>
      <c r="E54" s="115"/>
      <c r="F54" s="115"/>
      <c r="G54" s="60" t="s">
        <v>126</v>
      </c>
      <c r="H54" s="124"/>
      <c r="I54" s="124"/>
      <c r="J54" s="60"/>
      <c r="K54" s="60"/>
      <c r="L54" s="60"/>
      <c r="M54" s="60"/>
      <c r="N54" s="60">
        <f t="shared" ref="N54:N59" si="18">M54*J54*K54*L54</f>
        <v>0</v>
      </c>
      <c r="O54" s="60">
        <f t="shared" ref="O54:O59" si="19">J54*K54*L54</f>
        <v>0</v>
      </c>
    </row>
    <row r="55" spans="1:15" s="38" customFormat="1" ht="10.7" customHeight="1" outlineLevel="1" x14ac:dyDescent="0.25">
      <c r="A55" s="124"/>
      <c r="B55" s="128"/>
      <c r="C55" s="115"/>
      <c r="D55" s="115"/>
      <c r="E55" s="115"/>
      <c r="F55" s="115"/>
      <c r="G55" s="60" t="s">
        <v>127</v>
      </c>
      <c r="H55" s="124"/>
      <c r="I55" s="124"/>
      <c r="J55" s="60"/>
      <c r="K55" s="60"/>
      <c r="L55" s="60"/>
      <c r="M55" s="60"/>
      <c r="N55" s="60">
        <f t="shared" si="18"/>
        <v>0</v>
      </c>
      <c r="O55" s="60">
        <f t="shared" si="19"/>
        <v>0</v>
      </c>
    </row>
    <row r="56" spans="1:15" s="38" customFormat="1" ht="10.7" customHeight="1" outlineLevel="1" x14ac:dyDescent="0.25">
      <c r="A56" s="124"/>
      <c r="B56" s="128"/>
      <c r="C56" s="115"/>
      <c r="D56" s="115"/>
      <c r="E56" s="115"/>
      <c r="F56" s="115"/>
      <c r="G56" s="60" t="s">
        <v>128</v>
      </c>
      <c r="H56" s="124"/>
      <c r="I56" s="124"/>
      <c r="J56" s="60"/>
      <c r="K56" s="60"/>
      <c r="L56" s="60"/>
      <c r="M56" s="60"/>
      <c r="N56" s="60">
        <f t="shared" si="18"/>
        <v>0</v>
      </c>
      <c r="O56" s="60">
        <f t="shared" si="19"/>
        <v>0</v>
      </c>
    </row>
    <row r="57" spans="1:15" s="38" customFormat="1" ht="10.7" customHeight="1" outlineLevel="1" x14ac:dyDescent="0.25">
      <c r="A57" s="124"/>
      <c r="B57" s="128"/>
      <c r="C57" s="115"/>
      <c r="D57" s="115"/>
      <c r="E57" s="115"/>
      <c r="F57" s="115"/>
      <c r="G57" s="60" t="s">
        <v>129</v>
      </c>
      <c r="H57" s="124"/>
      <c r="I57" s="124"/>
      <c r="J57" s="60"/>
      <c r="K57" s="60"/>
      <c r="L57" s="60"/>
      <c r="M57" s="60"/>
      <c r="N57" s="60">
        <f t="shared" si="18"/>
        <v>0</v>
      </c>
      <c r="O57" s="60">
        <f t="shared" si="19"/>
        <v>0</v>
      </c>
    </row>
    <row r="58" spans="1:15" s="38" customFormat="1" ht="10.7" customHeight="1" outlineLevel="1" x14ac:dyDescent="0.25">
      <c r="A58" s="124"/>
      <c r="B58" s="128"/>
      <c r="C58" s="115"/>
      <c r="D58" s="115"/>
      <c r="E58" s="115"/>
      <c r="F58" s="115"/>
      <c r="G58" s="60" t="s">
        <v>130</v>
      </c>
      <c r="H58" s="124"/>
      <c r="I58" s="124"/>
      <c r="J58" s="60"/>
      <c r="K58" s="60"/>
      <c r="L58" s="60"/>
      <c r="M58" s="60"/>
      <c r="N58" s="60">
        <f t="shared" si="18"/>
        <v>0</v>
      </c>
      <c r="O58" s="60">
        <f t="shared" si="19"/>
        <v>0</v>
      </c>
    </row>
    <row r="59" spans="1:15" s="38" customFormat="1" ht="12" customHeight="1" outlineLevel="1" thickBot="1" x14ac:dyDescent="0.3">
      <c r="A59" s="125"/>
      <c r="B59" s="129"/>
      <c r="C59" s="131"/>
      <c r="D59" s="131"/>
      <c r="E59" s="131"/>
      <c r="F59" s="131"/>
      <c r="G59" s="60" t="s">
        <v>131</v>
      </c>
      <c r="H59" s="134"/>
      <c r="I59" s="134"/>
      <c r="J59" s="60"/>
      <c r="K59" s="60"/>
      <c r="L59" s="60"/>
      <c r="M59" s="60"/>
      <c r="N59" s="60">
        <f t="shared" si="18"/>
        <v>0</v>
      </c>
      <c r="O59" s="60">
        <f t="shared" si="19"/>
        <v>0</v>
      </c>
    </row>
    <row r="60" spans="1:15" s="38" customFormat="1" ht="14.45" customHeight="1" outlineLevel="1" x14ac:dyDescent="0.25">
      <c r="A60" s="140" t="s">
        <v>143</v>
      </c>
      <c r="B60" s="141" t="s">
        <v>599</v>
      </c>
      <c r="C60" s="130">
        <f>SUM(N60:N66)</f>
        <v>0</v>
      </c>
      <c r="D60" s="130">
        <f>SUM(O60:O66)</f>
        <v>0</v>
      </c>
      <c r="E60" s="130">
        <f t="shared" ref="E60" si="20">D60/8</f>
        <v>0</v>
      </c>
      <c r="F60" s="130"/>
      <c r="G60" s="60" t="s">
        <v>125</v>
      </c>
      <c r="H60" s="123"/>
      <c r="I60" s="123"/>
      <c r="J60" s="60"/>
      <c r="K60" s="60"/>
      <c r="L60" s="60"/>
      <c r="M60" s="60"/>
      <c r="N60" s="60">
        <f>M60*J60*K60*L60</f>
        <v>0</v>
      </c>
      <c r="O60" s="60">
        <f>J60*K60*L60</f>
        <v>0</v>
      </c>
    </row>
    <row r="61" spans="1:15" s="38" customFormat="1" ht="11.45" customHeight="1" outlineLevel="1" x14ac:dyDescent="0.25">
      <c r="A61" s="124"/>
      <c r="B61" s="128"/>
      <c r="C61" s="115"/>
      <c r="D61" s="115"/>
      <c r="E61" s="115"/>
      <c r="F61" s="115"/>
      <c r="G61" s="60" t="s">
        <v>126</v>
      </c>
      <c r="H61" s="124"/>
      <c r="I61" s="124"/>
      <c r="J61" s="60"/>
      <c r="K61" s="60"/>
      <c r="L61" s="60"/>
      <c r="M61" s="60"/>
      <c r="N61" s="60">
        <f t="shared" ref="N61:N66" si="21">M61*J61*K61*L61</f>
        <v>0</v>
      </c>
      <c r="O61" s="60">
        <f t="shared" ref="O61:O66" si="22">J61*K61*L61</f>
        <v>0</v>
      </c>
    </row>
    <row r="62" spans="1:15" s="38" customFormat="1" ht="10.7" customHeight="1" outlineLevel="1" x14ac:dyDescent="0.25">
      <c r="A62" s="124"/>
      <c r="B62" s="128"/>
      <c r="C62" s="115"/>
      <c r="D62" s="115"/>
      <c r="E62" s="115"/>
      <c r="F62" s="115"/>
      <c r="G62" s="60" t="s">
        <v>127</v>
      </c>
      <c r="H62" s="124"/>
      <c r="I62" s="124"/>
      <c r="J62" s="60"/>
      <c r="K62" s="60"/>
      <c r="L62" s="60"/>
      <c r="M62" s="60"/>
      <c r="N62" s="60">
        <f t="shared" si="21"/>
        <v>0</v>
      </c>
      <c r="O62" s="60">
        <f t="shared" si="22"/>
        <v>0</v>
      </c>
    </row>
    <row r="63" spans="1:15" s="38" customFormat="1" ht="10.7" customHeight="1" outlineLevel="1" x14ac:dyDescent="0.25">
      <c r="A63" s="124"/>
      <c r="B63" s="128"/>
      <c r="C63" s="115"/>
      <c r="D63" s="115"/>
      <c r="E63" s="115"/>
      <c r="F63" s="115"/>
      <c r="G63" s="60" t="s">
        <v>128</v>
      </c>
      <c r="H63" s="124"/>
      <c r="I63" s="124"/>
      <c r="J63" s="60"/>
      <c r="K63" s="60"/>
      <c r="L63" s="60"/>
      <c r="M63" s="60"/>
      <c r="N63" s="60">
        <f t="shared" si="21"/>
        <v>0</v>
      </c>
      <c r="O63" s="60">
        <f t="shared" si="22"/>
        <v>0</v>
      </c>
    </row>
    <row r="64" spans="1:15" s="38" customFormat="1" ht="10.7" customHeight="1" outlineLevel="1" x14ac:dyDescent="0.25">
      <c r="A64" s="124"/>
      <c r="B64" s="128"/>
      <c r="C64" s="115"/>
      <c r="D64" s="115"/>
      <c r="E64" s="115"/>
      <c r="F64" s="115"/>
      <c r="G64" s="60" t="s">
        <v>129</v>
      </c>
      <c r="H64" s="124"/>
      <c r="I64" s="124"/>
      <c r="J64" s="60"/>
      <c r="K64" s="60"/>
      <c r="L64" s="60"/>
      <c r="M64" s="60"/>
      <c r="N64" s="60">
        <f t="shared" si="21"/>
        <v>0</v>
      </c>
      <c r="O64" s="60">
        <f t="shared" si="22"/>
        <v>0</v>
      </c>
    </row>
    <row r="65" spans="1:15" s="38" customFormat="1" ht="10.7" customHeight="1" outlineLevel="1" x14ac:dyDescent="0.25">
      <c r="A65" s="124"/>
      <c r="B65" s="128"/>
      <c r="C65" s="115"/>
      <c r="D65" s="115"/>
      <c r="E65" s="115"/>
      <c r="F65" s="115"/>
      <c r="G65" s="60" t="s">
        <v>130</v>
      </c>
      <c r="H65" s="124"/>
      <c r="I65" s="124"/>
      <c r="J65" s="60"/>
      <c r="K65" s="60"/>
      <c r="L65" s="60"/>
      <c r="M65" s="60"/>
      <c r="N65" s="60">
        <f t="shared" si="21"/>
        <v>0</v>
      </c>
      <c r="O65" s="60">
        <f t="shared" si="22"/>
        <v>0</v>
      </c>
    </row>
    <row r="66" spans="1:15" s="38" customFormat="1" ht="12" customHeight="1" outlineLevel="1" thickBot="1" x14ac:dyDescent="0.3">
      <c r="A66" s="125"/>
      <c r="B66" s="129"/>
      <c r="C66" s="131"/>
      <c r="D66" s="131"/>
      <c r="E66" s="131"/>
      <c r="F66" s="131"/>
      <c r="G66" s="60" t="s">
        <v>131</v>
      </c>
      <c r="H66" s="134"/>
      <c r="I66" s="134"/>
      <c r="J66" s="60"/>
      <c r="K66" s="60"/>
      <c r="L66" s="60"/>
      <c r="M66" s="60"/>
      <c r="N66" s="60">
        <f t="shared" si="21"/>
        <v>0</v>
      </c>
      <c r="O66" s="60">
        <f t="shared" si="22"/>
        <v>0</v>
      </c>
    </row>
    <row r="67" spans="1:15" s="38" customFormat="1" ht="14.45" customHeight="1" outlineLevel="1" x14ac:dyDescent="0.25">
      <c r="A67" s="140" t="s">
        <v>600</v>
      </c>
      <c r="B67" s="141" t="s">
        <v>144</v>
      </c>
      <c r="C67" s="130">
        <f>SUM(N67:N73)</f>
        <v>0</v>
      </c>
      <c r="D67" s="130">
        <f>SUM(O67:O73)</f>
        <v>0</v>
      </c>
      <c r="E67" s="130">
        <f t="shared" ref="E67" si="23">D67/8</f>
        <v>0</v>
      </c>
      <c r="F67" s="130"/>
      <c r="G67" s="60" t="s">
        <v>125</v>
      </c>
      <c r="H67" s="123"/>
      <c r="I67" s="123"/>
      <c r="J67" s="60"/>
      <c r="K67" s="60"/>
      <c r="L67" s="60"/>
      <c r="M67" s="60"/>
      <c r="N67" s="60">
        <f>M67*J67*K67*L67</f>
        <v>0</v>
      </c>
      <c r="O67" s="60">
        <f>J67*K67*L67</f>
        <v>0</v>
      </c>
    </row>
    <row r="68" spans="1:15" s="38" customFormat="1" ht="11.45" customHeight="1" outlineLevel="1" x14ac:dyDescent="0.25">
      <c r="A68" s="124"/>
      <c r="B68" s="128"/>
      <c r="C68" s="115"/>
      <c r="D68" s="115"/>
      <c r="E68" s="115"/>
      <c r="F68" s="115"/>
      <c r="G68" s="60" t="s">
        <v>126</v>
      </c>
      <c r="H68" s="124"/>
      <c r="I68" s="124"/>
      <c r="J68" s="60"/>
      <c r="K68" s="60"/>
      <c r="L68" s="60"/>
      <c r="M68" s="60"/>
      <c r="N68" s="60">
        <f t="shared" ref="N68:N73" si="24">M68*J68*K68*L68</f>
        <v>0</v>
      </c>
      <c r="O68" s="60">
        <f t="shared" ref="O68:O73" si="25">J68*K68*L68</f>
        <v>0</v>
      </c>
    </row>
    <row r="69" spans="1:15" s="38" customFormat="1" ht="10.7" customHeight="1" outlineLevel="1" x14ac:dyDescent="0.25">
      <c r="A69" s="124"/>
      <c r="B69" s="128"/>
      <c r="C69" s="115"/>
      <c r="D69" s="115"/>
      <c r="E69" s="115"/>
      <c r="F69" s="115"/>
      <c r="G69" s="60" t="s">
        <v>127</v>
      </c>
      <c r="H69" s="124"/>
      <c r="I69" s="124"/>
      <c r="J69" s="60"/>
      <c r="K69" s="60"/>
      <c r="L69" s="60"/>
      <c r="M69" s="60"/>
      <c r="N69" s="60">
        <f t="shared" si="24"/>
        <v>0</v>
      </c>
      <c r="O69" s="60">
        <f t="shared" si="25"/>
        <v>0</v>
      </c>
    </row>
    <row r="70" spans="1:15" s="38" customFormat="1" ht="10.7" customHeight="1" outlineLevel="1" x14ac:dyDescent="0.25">
      <c r="A70" s="124"/>
      <c r="B70" s="128"/>
      <c r="C70" s="115"/>
      <c r="D70" s="115"/>
      <c r="E70" s="115"/>
      <c r="F70" s="115"/>
      <c r="G70" s="60" t="s">
        <v>128</v>
      </c>
      <c r="H70" s="124"/>
      <c r="I70" s="124"/>
      <c r="J70" s="60"/>
      <c r="K70" s="60"/>
      <c r="L70" s="60"/>
      <c r="M70" s="60"/>
      <c r="N70" s="60">
        <f t="shared" si="24"/>
        <v>0</v>
      </c>
      <c r="O70" s="60">
        <f t="shared" si="25"/>
        <v>0</v>
      </c>
    </row>
    <row r="71" spans="1:15" s="38" customFormat="1" ht="10.7" customHeight="1" outlineLevel="1" x14ac:dyDescent="0.25">
      <c r="A71" s="124"/>
      <c r="B71" s="128"/>
      <c r="C71" s="115"/>
      <c r="D71" s="115"/>
      <c r="E71" s="115"/>
      <c r="F71" s="115"/>
      <c r="G71" s="60" t="s">
        <v>129</v>
      </c>
      <c r="H71" s="124"/>
      <c r="I71" s="124"/>
      <c r="J71" s="60"/>
      <c r="K71" s="60"/>
      <c r="L71" s="60"/>
      <c r="M71" s="60"/>
      <c r="N71" s="60">
        <f t="shared" si="24"/>
        <v>0</v>
      </c>
      <c r="O71" s="60">
        <f t="shared" si="25"/>
        <v>0</v>
      </c>
    </row>
    <row r="72" spans="1:15" s="38" customFormat="1" ht="10.7" customHeight="1" outlineLevel="1" x14ac:dyDescent="0.25">
      <c r="A72" s="124"/>
      <c r="B72" s="128"/>
      <c r="C72" s="115"/>
      <c r="D72" s="115"/>
      <c r="E72" s="115"/>
      <c r="F72" s="115"/>
      <c r="G72" s="60" t="s">
        <v>130</v>
      </c>
      <c r="H72" s="124"/>
      <c r="I72" s="124"/>
      <c r="J72" s="60"/>
      <c r="K72" s="60"/>
      <c r="L72" s="60"/>
      <c r="M72" s="60"/>
      <c r="N72" s="60">
        <f t="shared" si="24"/>
        <v>0</v>
      </c>
      <c r="O72" s="60">
        <f t="shared" si="25"/>
        <v>0</v>
      </c>
    </row>
    <row r="73" spans="1:15" s="38" customFormat="1" ht="12" customHeight="1" outlineLevel="1" thickBot="1" x14ac:dyDescent="0.3">
      <c r="A73" s="125"/>
      <c r="B73" s="129"/>
      <c r="C73" s="131"/>
      <c r="D73" s="131"/>
      <c r="E73" s="131"/>
      <c r="F73" s="131"/>
      <c r="G73" s="60" t="s">
        <v>131</v>
      </c>
      <c r="H73" s="134"/>
      <c r="I73" s="134"/>
      <c r="J73" s="60"/>
      <c r="K73" s="60"/>
      <c r="L73" s="60"/>
      <c r="M73" s="60"/>
      <c r="N73" s="60">
        <f t="shared" si="24"/>
        <v>0</v>
      </c>
      <c r="O73" s="60">
        <f t="shared" si="25"/>
        <v>0</v>
      </c>
    </row>
    <row r="74" spans="1:15" s="39" customFormat="1" ht="15.75" x14ac:dyDescent="0.25">
      <c r="A74" s="40" t="s">
        <v>10</v>
      </c>
      <c r="B74" s="41" t="s">
        <v>601</v>
      </c>
      <c r="C74" s="42">
        <f>SUM(C75:C102,C103)</f>
        <v>0</v>
      </c>
      <c r="D74" s="42">
        <f>SUM(D75:D102,D103)</f>
        <v>0</v>
      </c>
      <c r="E74" s="42">
        <f>SUM(E75:E102,E103)</f>
        <v>0</v>
      </c>
      <c r="F74" s="57"/>
      <c r="G74" s="57"/>
      <c r="H74" s="57"/>
      <c r="I74" s="57"/>
      <c r="J74" s="57"/>
      <c r="K74" s="57"/>
      <c r="L74" s="57"/>
      <c r="M74" s="57"/>
      <c r="N74" s="57"/>
      <c r="O74" s="43"/>
    </row>
    <row r="75" spans="1:15" s="38" customFormat="1" ht="14.45" customHeight="1" outlineLevel="1" x14ac:dyDescent="0.25">
      <c r="A75" s="140" t="s">
        <v>146</v>
      </c>
      <c r="B75" s="141" t="s">
        <v>393</v>
      </c>
      <c r="C75" s="130">
        <f>SUM(N75:N81)</f>
        <v>0</v>
      </c>
      <c r="D75" s="130">
        <f>SUM(O75:O81)</f>
        <v>0</v>
      </c>
      <c r="E75" s="130">
        <f t="shared" ref="E75:E96" si="26">D75/8</f>
        <v>0</v>
      </c>
      <c r="F75" s="130"/>
      <c r="G75" s="60" t="s">
        <v>125</v>
      </c>
      <c r="H75" s="123"/>
      <c r="I75" s="123"/>
      <c r="J75" s="60"/>
      <c r="K75" s="60"/>
      <c r="L75" s="60"/>
      <c r="M75" s="60"/>
      <c r="N75" s="60">
        <f>M75*J75*K75*L75</f>
        <v>0</v>
      </c>
      <c r="O75" s="60">
        <f>J75*K75*L75</f>
        <v>0</v>
      </c>
    </row>
    <row r="76" spans="1:15" s="38" customFormat="1" ht="11.45" customHeight="1" outlineLevel="1" x14ac:dyDescent="0.25">
      <c r="A76" s="146"/>
      <c r="B76" s="142"/>
      <c r="C76" s="148"/>
      <c r="D76" s="148"/>
      <c r="E76" s="148"/>
      <c r="F76" s="148"/>
      <c r="G76" s="60" t="s">
        <v>126</v>
      </c>
      <c r="H76" s="151"/>
      <c r="I76" s="151"/>
      <c r="J76" s="60"/>
      <c r="K76" s="60"/>
      <c r="L76" s="60"/>
      <c r="M76" s="60"/>
      <c r="N76" s="60">
        <f t="shared" ref="N76:N81" si="27">M76*J76*K76*L76</f>
        <v>0</v>
      </c>
      <c r="O76" s="60">
        <f t="shared" ref="O76:O81" si="28">J76*K76*L76</f>
        <v>0</v>
      </c>
    </row>
    <row r="77" spans="1:15" s="38" customFormat="1" ht="10.7" customHeight="1" outlineLevel="1" x14ac:dyDescent="0.25">
      <c r="A77" s="146"/>
      <c r="B77" s="142"/>
      <c r="C77" s="148"/>
      <c r="D77" s="148"/>
      <c r="E77" s="148"/>
      <c r="F77" s="148"/>
      <c r="G77" s="60" t="s">
        <v>127</v>
      </c>
      <c r="H77" s="151"/>
      <c r="I77" s="151"/>
      <c r="J77" s="60"/>
      <c r="K77" s="60"/>
      <c r="L77" s="60"/>
      <c r="M77" s="60"/>
      <c r="N77" s="60">
        <f t="shared" si="27"/>
        <v>0</v>
      </c>
      <c r="O77" s="60">
        <f t="shared" si="28"/>
        <v>0</v>
      </c>
    </row>
    <row r="78" spans="1:15" s="38" customFormat="1" ht="10.7" customHeight="1" outlineLevel="1" x14ac:dyDescent="0.25">
      <c r="A78" s="146"/>
      <c r="B78" s="142"/>
      <c r="C78" s="148"/>
      <c r="D78" s="148"/>
      <c r="E78" s="148"/>
      <c r="F78" s="148"/>
      <c r="G78" s="60" t="s">
        <v>128</v>
      </c>
      <c r="H78" s="151"/>
      <c r="I78" s="151"/>
      <c r="J78" s="60"/>
      <c r="K78" s="60"/>
      <c r="L78" s="60"/>
      <c r="M78" s="60"/>
      <c r="N78" s="60">
        <f t="shared" si="27"/>
        <v>0</v>
      </c>
      <c r="O78" s="60">
        <f t="shared" si="28"/>
        <v>0</v>
      </c>
    </row>
    <row r="79" spans="1:15" s="38" customFormat="1" ht="10.7" customHeight="1" outlineLevel="1" x14ac:dyDescent="0.25">
      <c r="A79" s="146"/>
      <c r="B79" s="142"/>
      <c r="C79" s="148"/>
      <c r="D79" s="148"/>
      <c r="E79" s="148"/>
      <c r="F79" s="148"/>
      <c r="G79" s="60" t="s">
        <v>129</v>
      </c>
      <c r="H79" s="151"/>
      <c r="I79" s="151"/>
      <c r="J79" s="60"/>
      <c r="K79" s="60"/>
      <c r="L79" s="60"/>
      <c r="M79" s="60"/>
      <c r="N79" s="60">
        <f t="shared" si="27"/>
        <v>0</v>
      </c>
      <c r="O79" s="60">
        <f t="shared" si="28"/>
        <v>0</v>
      </c>
    </row>
    <row r="80" spans="1:15" s="38" customFormat="1" ht="10.7" customHeight="1" outlineLevel="1" x14ac:dyDescent="0.25">
      <c r="A80" s="146"/>
      <c r="B80" s="142"/>
      <c r="C80" s="148"/>
      <c r="D80" s="148"/>
      <c r="E80" s="148"/>
      <c r="F80" s="148"/>
      <c r="G80" s="60" t="s">
        <v>130</v>
      </c>
      <c r="H80" s="151"/>
      <c r="I80" s="151"/>
      <c r="J80" s="60"/>
      <c r="K80" s="60"/>
      <c r="L80" s="60"/>
      <c r="M80" s="60"/>
      <c r="N80" s="60">
        <f t="shared" si="27"/>
        <v>0</v>
      </c>
      <c r="O80" s="60">
        <f t="shared" si="28"/>
        <v>0</v>
      </c>
    </row>
    <row r="81" spans="1:15" s="38" customFormat="1" ht="12" customHeight="1" outlineLevel="1" thickBot="1" x14ac:dyDescent="0.3">
      <c r="A81" s="147"/>
      <c r="B81" s="143"/>
      <c r="C81" s="149"/>
      <c r="D81" s="149"/>
      <c r="E81" s="149"/>
      <c r="F81" s="149"/>
      <c r="G81" s="60" t="s">
        <v>131</v>
      </c>
      <c r="H81" s="152"/>
      <c r="I81" s="152"/>
      <c r="J81" s="60"/>
      <c r="K81" s="60"/>
      <c r="L81" s="60"/>
      <c r="M81" s="60"/>
      <c r="N81" s="60">
        <f t="shared" si="27"/>
        <v>0</v>
      </c>
      <c r="O81" s="60">
        <f t="shared" si="28"/>
        <v>0</v>
      </c>
    </row>
    <row r="82" spans="1:15" s="38" customFormat="1" ht="14.45" customHeight="1" outlineLevel="1" x14ac:dyDescent="0.25">
      <c r="A82" s="140" t="s">
        <v>148</v>
      </c>
      <c r="B82" s="141" t="s">
        <v>394</v>
      </c>
      <c r="C82" s="130">
        <f>SUM(N82:N88)</f>
        <v>0</v>
      </c>
      <c r="D82" s="130">
        <f>SUM(O82:O88)</f>
        <v>0</v>
      </c>
      <c r="E82" s="130">
        <f t="shared" si="26"/>
        <v>0</v>
      </c>
      <c r="F82" s="130"/>
      <c r="G82" s="60" t="s">
        <v>125</v>
      </c>
      <c r="H82" s="150"/>
      <c r="I82" s="150"/>
      <c r="J82" s="60"/>
      <c r="K82" s="60"/>
      <c r="L82" s="60"/>
      <c r="M82" s="60"/>
      <c r="N82" s="60">
        <f>M82*J82*K82*L82</f>
        <v>0</v>
      </c>
      <c r="O82" s="60">
        <f>J82*K82*L82</f>
        <v>0</v>
      </c>
    </row>
    <row r="83" spans="1:15" s="38" customFormat="1" ht="11.45" customHeight="1" outlineLevel="1" x14ac:dyDescent="0.25">
      <c r="A83" s="146"/>
      <c r="B83" s="142"/>
      <c r="C83" s="148"/>
      <c r="D83" s="148"/>
      <c r="E83" s="148"/>
      <c r="F83" s="148"/>
      <c r="G83" s="60" t="s">
        <v>126</v>
      </c>
      <c r="H83" s="151"/>
      <c r="I83" s="151"/>
      <c r="J83" s="60"/>
      <c r="K83" s="60"/>
      <c r="L83" s="60"/>
      <c r="M83" s="60"/>
      <c r="N83" s="60">
        <f t="shared" ref="N83:N88" si="29">M83*J83*K83*L83</f>
        <v>0</v>
      </c>
      <c r="O83" s="60">
        <f t="shared" ref="O83:O88" si="30">J83*K83*L83</f>
        <v>0</v>
      </c>
    </row>
    <row r="84" spans="1:15" s="38" customFormat="1" ht="10.7" customHeight="1" outlineLevel="1" x14ac:dyDescent="0.25">
      <c r="A84" s="146"/>
      <c r="B84" s="142"/>
      <c r="C84" s="148"/>
      <c r="D84" s="148"/>
      <c r="E84" s="148"/>
      <c r="F84" s="148"/>
      <c r="G84" s="60" t="s">
        <v>127</v>
      </c>
      <c r="H84" s="151"/>
      <c r="I84" s="151"/>
      <c r="J84" s="60"/>
      <c r="K84" s="60"/>
      <c r="L84" s="60"/>
      <c r="M84" s="60"/>
      <c r="N84" s="60">
        <f t="shared" si="29"/>
        <v>0</v>
      </c>
      <c r="O84" s="60">
        <f t="shared" si="30"/>
        <v>0</v>
      </c>
    </row>
    <row r="85" spans="1:15" s="38" customFormat="1" ht="10.7" customHeight="1" outlineLevel="1" x14ac:dyDescent="0.25">
      <c r="A85" s="146"/>
      <c r="B85" s="142"/>
      <c r="C85" s="148"/>
      <c r="D85" s="148"/>
      <c r="E85" s="148"/>
      <c r="F85" s="148"/>
      <c r="G85" s="60" t="s">
        <v>128</v>
      </c>
      <c r="H85" s="151"/>
      <c r="I85" s="151"/>
      <c r="J85" s="60"/>
      <c r="K85" s="60"/>
      <c r="L85" s="60"/>
      <c r="M85" s="60"/>
      <c r="N85" s="60">
        <f t="shared" si="29"/>
        <v>0</v>
      </c>
      <c r="O85" s="60">
        <f t="shared" si="30"/>
        <v>0</v>
      </c>
    </row>
    <row r="86" spans="1:15" s="38" customFormat="1" ht="10.7" customHeight="1" outlineLevel="1" x14ac:dyDescent="0.25">
      <c r="A86" s="146"/>
      <c r="B86" s="142"/>
      <c r="C86" s="148"/>
      <c r="D86" s="148"/>
      <c r="E86" s="148"/>
      <c r="F86" s="148"/>
      <c r="G86" s="60" t="s">
        <v>129</v>
      </c>
      <c r="H86" s="151"/>
      <c r="I86" s="151"/>
      <c r="J86" s="60"/>
      <c r="K86" s="60"/>
      <c r="L86" s="60"/>
      <c r="M86" s="60"/>
      <c r="N86" s="60">
        <f t="shared" si="29"/>
        <v>0</v>
      </c>
      <c r="O86" s="60">
        <f t="shared" si="30"/>
        <v>0</v>
      </c>
    </row>
    <row r="87" spans="1:15" s="38" customFormat="1" ht="10.7" customHeight="1" outlineLevel="1" x14ac:dyDescent="0.25">
      <c r="A87" s="146"/>
      <c r="B87" s="142"/>
      <c r="C87" s="148"/>
      <c r="D87" s="148"/>
      <c r="E87" s="148"/>
      <c r="F87" s="148"/>
      <c r="G87" s="60" t="s">
        <v>130</v>
      </c>
      <c r="H87" s="151"/>
      <c r="I87" s="151"/>
      <c r="J87" s="60"/>
      <c r="K87" s="60"/>
      <c r="L87" s="60"/>
      <c r="M87" s="60"/>
      <c r="N87" s="60">
        <f t="shared" si="29"/>
        <v>0</v>
      </c>
      <c r="O87" s="60">
        <f t="shared" si="30"/>
        <v>0</v>
      </c>
    </row>
    <row r="88" spans="1:15" s="38" customFormat="1" ht="12" customHeight="1" outlineLevel="1" thickBot="1" x14ac:dyDescent="0.3">
      <c r="A88" s="147"/>
      <c r="B88" s="143"/>
      <c r="C88" s="149"/>
      <c r="D88" s="149"/>
      <c r="E88" s="149"/>
      <c r="F88" s="149"/>
      <c r="G88" s="60" t="s">
        <v>131</v>
      </c>
      <c r="H88" s="152"/>
      <c r="I88" s="152"/>
      <c r="J88" s="60"/>
      <c r="K88" s="60"/>
      <c r="L88" s="60"/>
      <c r="M88" s="60"/>
      <c r="N88" s="60">
        <f t="shared" si="29"/>
        <v>0</v>
      </c>
      <c r="O88" s="60">
        <f t="shared" si="30"/>
        <v>0</v>
      </c>
    </row>
    <row r="89" spans="1:15" s="38" customFormat="1" ht="14.45" customHeight="1" outlineLevel="1" x14ac:dyDescent="0.25">
      <c r="A89" s="140" t="s">
        <v>150</v>
      </c>
      <c r="B89" s="141" t="s">
        <v>395</v>
      </c>
      <c r="C89" s="130">
        <f>SUM(N89:N95)</f>
        <v>0</v>
      </c>
      <c r="D89" s="130">
        <f>SUM(O89:O95)</f>
        <v>0</v>
      </c>
      <c r="E89" s="130">
        <f t="shared" si="26"/>
        <v>0</v>
      </c>
      <c r="F89" s="130"/>
      <c r="G89" s="60" t="s">
        <v>125</v>
      </c>
      <c r="H89" s="150"/>
      <c r="I89" s="150"/>
      <c r="J89" s="60"/>
      <c r="K89" s="60"/>
      <c r="L89" s="60"/>
      <c r="M89" s="60"/>
      <c r="N89" s="60">
        <f>M89*J89*K89*L89</f>
        <v>0</v>
      </c>
      <c r="O89" s="60">
        <f>J89*K89*L89</f>
        <v>0</v>
      </c>
    </row>
    <row r="90" spans="1:15" s="38" customFormat="1" ht="11.45" customHeight="1" outlineLevel="1" x14ac:dyDescent="0.25">
      <c r="A90" s="146"/>
      <c r="B90" s="142"/>
      <c r="C90" s="148"/>
      <c r="D90" s="148"/>
      <c r="E90" s="148"/>
      <c r="F90" s="148"/>
      <c r="G90" s="60" t="s">
        <v>126</v>
      </c>
      <c r="H90" s="151"/>
      <c r="I90" s="151"/>
      <c r="J90" s="60"/>
      <c r="K90" s="60"/>
      <c r="L90" s="60"/>
      <c r="M90" s="60"/>
      <c r="N90" s="60">
        <f t="shared" ref="N90:N95" si="31">M90*J90*K90*L90</f>
        <v>0</v>
      </c>
      <c r="O90" s="60">
        <f t="shared" ref="O90:O95" si="32">J90*K90*L90</f>
        <v>0</v>
      </c>
    </row>
    <row r="91" spans="1:15" s="38" customFormat="1" ht="10.7" customHeight="1" outlineLevel="1" x14ac:dyDescent="0.25">
      <c r="A91" s="146"/>
      <c r="B91" s="142"/>
      <c r="C91" s="148"/>
      <c r="D91" s="148"/>
      <c r="E91" s="148"/>
      <c r="F91" s="148"/>
      <c r="G91" s="60" t="s">
        <v>127</v>
      </c>
      <c r="H91" s="151"/>
      <c r="I91" s="151"/>
      <c r="J91" s="60"/>
      <c r="K91" s="60"/>
      <c r="L91" s="60"/>
      <c r="M91" s="60"/>
      <c r="N91" s="60">
        <f t="shared" si="31"/>
        <v>0</v>
      </c>
      <c r="O91" s="60">
        <f t="shared" si="32"/>
        <v>0</v>
      </c>
    </row>
    <row r="92" spans="1:15" s="38" customFormat="1" ht="10.7" customHeight="1" outlineLevel="1" x14ac:dyDescent="0.25">
      <c r="A92" s="146"/>
      <c r="B92" s="142"/>
      <c r="C92" s="148"/>
      <c r="D92" s="148"/>
      <c r="E92" s="148"/>
      <c r="F92" s="148"/>
      <c r="G92" s="60" t="s">
        <v>128</v>
      </c>
      <c r="H92" s="151"/>
      <c r="I92" s="151"/>
      <c r="J92" s="60"/>
      <c r="K92" s="60"/>
      <c r="L92" s="60"/>
      <c r="M92" s="60"/>
      <c r="N92" s="60">
        <f t="shared" si="31"/>
        <v>0</v>
      </c>
      <c r="O92" s="60">
        <f t="shared" si="32"/>
        <v>0</v>
      </c>
    </row>
    <row r="93" spans="1:15" s="38" customFormat="1" ht="10.7" customHeight="1" outlineLevel="1" x14ac:dyDescent="0.25">
      <c r="A93" s="146"/>
      <c r="B93" s="142"/>
      <c r="C93" s="148"/>
      <c r="D93" s="148"/>
      <c r="E93" s="148"/>
      <c r="F93" s="148"/>
      <c r="G93" s="60" t="s">
        <v>129</v>
      </c>
      <c r="H93" s="151"/>
      <c r="I93" s="151"/>
      <c r="J93" s="60"/>
      <c r="K93" s="60"/>
      <c r="L93" s="60"/>
      <c r="M93" s="60"/>
      <c r="N93" s="60">
        <f t="shared" si="31"/>
        <v>0</v>
      </c>
      <c r="O93" s="60">
        <f t="shared" si="32"/>
        <v>0</v>
      </c>
    </row>
    <row r="94" spans="1:15" s="38" customFormat="1" ht="10.7" customHeight="1" outlineLevel="1" x14ac:dyDescent="0.25">
      <c r="A94" s="146"/>
      <c r="B94" s="142"/>
      <c r="C94" s="148"/>
      <c r="D94" s="148"/>
      <c r="E94" s="148"/>
      <c r="F94" s="148"/>
      <c r="G94" s="60" t="s">
        <v>130</v>
      </c>
      <c r="H94" s="151"/>
      <c r="I94" s="151"/>
      <c r="J94" s="60"/>
      <c r="K94" s="60"/>
      <c r="L94" s="60"/>
      <c r="M94" s="60"/>
      <c r="N94" s="60">
        <f t="shared" si="31"/>
        <v>0</v>
      </c>
      <c r="O94" s="60">
        <f t="shared" si="32"/>
        <v>0</v>
      </c>
    </row>
    <row r="95" spans="1:15" s="38" customFormat="1" ht="12" customHeight="1" outlineLevel="1" thickBot="1" x14ac:dyDescent="0.3">
      <c r="A95" s="147"/>
      <c r="B95" s="143"/>
      <c r="C95" s="149"/>
      <c r="D95" s="149"/>
      <c r="E95" s="149"/>
      <c r="F95" s="149"/>
      <c r="G95" s="60" t="s">
        <v>131</v>
      </c>
      <c r="H95" s="152"/>
      <c r="I95" s="152"/>
      <c r="J95" s="60"/>
      <c r="K95" s="60"/>
      <c r="L95" s="60"/>
      <c r="M95" s="60"/>
      <c r="N95" s="60">
        <f t="shared" si="31"/>
        <v>0</v>
      </c>
      <c r="O95" s="60">
        <f t="shared" si="32"/>
        <v>0</v>
      </c>
    </row>
    <row r="96" spans="1:15" s="38" customFormat="1" ht="14.45" customHeight="1" outlineLevel="1" x14ac:dyDescent="0.25">
      <c r="A96" s="140" t="s">
        <v>152</v>
      </c>
      <c r="B96" s="141" t="s">
        <v>396</v>
      </c>
      <c r="C96" s="130">
        <f>SUM(N96:N102)</f>
        <v>0</v>
      </c>
      <c r="D96" s="130">
        <f>SUM(O96:O102)</f>
        <v>0</v>
      </c>
      <c r="E96" s="130">
        <f t="shared" si="26"/>
        <v>0</v>
      </c>
      <c r="F96" s="130"/>
      <c r="G96" s="60" t="s">
        <v>125</v>
      </c>
      <c r="H96" s="150"/>
      <c r="I96" s="150"/>
      <c r="J96" s="60"/>
      <c r="K96" s="60"/>
      <c r="L96" s="60"/>
      <c r="M96" s="60"/>
      <c r="N96" s="60">
        <f>M96*J96*K96*L96</f>
        <v>0</v>
      </c>
      <c r="O96" s="60">
        <f>J96*K96*L96</f>
        <v>0</v>
      </c>
    </row>
    <row r="97" spans="1:15" s="38" customFormat="1" ht="11.45" customHeight="1" outlineLevel="1" x14ac:dyDescent="0.25">
      <c r="A97" s="146"/>
      <c r="B97" s="142"/>
      <c r="C97" s="148"/>
      <c r="D97" s="148"/>
      <c r="E97" s="148"/>
      <c r="F97" s="148"/>
      <c r="G97" s="60" t="s">
        <v>126</v>
      </c>
      <c r="H97" s="151"/>
      <c r="I97" s="151"/>
      <c r="J97" s="60"/>
      <c r="K97" s="60"/>
      <c r="L97" s="60"/>
      <c r="M97" s="60"/>
      <c r="N97" s="60">
        <f t="shared" ref="N97:N102" si="33">M97*J97*K97*L97</f>
        <v>0</v>
      </c>
      <c r="O97" s="60">
        <f t="shared" ref="O97:O102" si="34">J97*K97*L97</f>
        <v>0</v>
      </c>
    </row>
    <row r="98" spans="1:15" s="38" customFormat="1" ht="10.7" customHeight="1" outlineLevel="1" x14ac:dyDescent="0.25">
      <c r="A98" s="146"/>
      <c r="B98" s="142"/>
      <c r="C98" s="148"/>
      <c r="D98" s="148"/>
      <c r="E98" s="148"/>
      <c r="F98" s="148"/>
      <c r="G98" s="60" t="s">
        <v>127</v>
      </c>
      <c r="H98" s="151"/>
      <c r="I98" s="151"/>
      <c r="J98" s="60"/>
      <c r="K98" s="60"/>
      <c r="L98" s="60"/>
      <c r="M98" s="60"/>
      <c r="N98" s="60">
        <f t="shared" si="33"/>
        <v>0</v>
      </c>
      <c r="O98" s="60">
        <f t="shared" si="34"/>
        <v>0</v>
      </c>
    </row>
    <row r="99" spans="1:15" s="38" customFormat="1" ht="10.7" customHeight="1" outlineLevel="1" x14ac:dyDescent="0.25">
      <c r="A99" s="146"/>
      <c r="B99" s="142"/>
      <c r="C99" s="148"/>
      <c r="D99" s="148"/>
      <c r="E99" s="148"/>
      <c r="F99" s="148"/>
      <c r="G99" s="60" t="s">
        <v>128</v>
      </c>
      <c r="H99" s="151"/>
      <c r="I99" s="151"/>
      <c r="J99" s="60"/>
      <c r="K99" s="60"/>
      <c r="L99" s="60"/>
      <c r="M99" s="60"/>
      <c r="N99" s="60">
        <f t="shared" si="33"/>
        <v>0</v>
      </c>
      <c r="O99" s="60">
        <f t="shared" si="34"/>
        <v>0</v>
      </c>
    </row>
    <row r="100" spans="1:15" s="38" customFormat="1" ht="10.7" customHeight="1" outlineLevel="1" x14ac:dyDescent="0.25">
      <c r="A100" s="146"/>
      <c r="B100" s="142"/>
      <c r="C100" s="148"/>
      <c r="D100" s="148"/>
      <c r="E100" s="148"/>
      <c r="F100" s="148"/>
      <c r="G100" s="60" t="s">
        <v>129</v>
      </c>
      <c r="H100" s="151"/>
      <c r="I100" s="151"/>
      <c r="J100" s="60"/>
      <c r="K100" s="60"/>
      <c r="L100" s="60"/>
      <c r="M100" s="60"/>
      <c r="N100" s="60">
        <f t="shared" si="33"/>
        <v>0</v>
      </c>
      <c r="O100" s="60">
        <f t="shared" si="34"/>
        <v>0</v>
      </c>
    </row>
    <row r="101" spans="1:15" s="38" customFormat="1" ht="10.7" customHeight="1" outlineLevel="1" x14ac:dyDescent="0.25">
      <c r="A101" s="146"/>
      <c r="B101" s="142"/>
      <c r="C101" s="148"/>
      <c r="D101" s="148"/>
      <c r="E101" s="148"/>
      <c r="F101" s="148"/>
      <c r="G101" s="60" t="s">
        <v>130</v>
      </c>
      <c r="H101" s="151"/>
      <c r="I101" s="151"/>
      <c r="J101" s="60"/>
      <c r="K101" s="60"/>
      <c r="L101" s="60"/>
      <c r="M101" s="60"/>
      <c r="N101" s="60">
        <f t="shared" si="33"/>
        <v>0</v>
      </c>
      <c r="O101" s="60">
        <f t="shared" si="34"/>
        <v>0</v>
      </c>
    </row>
    <row r="102" spans="1:15" s="38" customFormat="1" ht="12" customHeight="1" outlineLevel="1" thickBot="1" x14ac:dyDescent="0.3">
      <c r="A102" s="147"/>
      <c r="B102" s="143"/>
      <c r="C102" s="149"/>
      <c r="D102" s="149"/>
      <c r="E102" s="149"/>
      <c r="F102" s="149"/>
      <c r="G102" s="60" t="s">
        <v>131</v>
      </c>
      <c r="H102" s="152"/>
      <c r="I102" s="152"/>
      <c r="J102" s="60"/>
      <c r="K102" s="60"/>
      <c r="L102" s="60"/>
      <c r="M102" s="60"/>
      <c r="N102" s="60">
        <f t="shared" si="33"/>
        <v>0</v>
      </c>
      <c r="O102" s="60">
        <f t="shared" si="34"/>
        <v>0</v>
      </c>
    </row>
    <row r="103" spans="1:15" s="38" customFormat="1" ht="30" outlineLevel="1" x14ac:dyDescent="0.25">
      <c r="A103" s="44" t="s">
        <v>355</v>
      </c>
      <c r="B103" s="52" t="s">
        <v>397</v>
      </c>
      <c r="C103" s="45">
        <f>SUM(C104:C180)</f>
        <v>0</v>
      </c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60"/>
    </row>
    <row r="104" spans="1:15" s="38" customFormat="1" ht="14.45" customHeight="1" outlineLevel="1" x14ac:dyDescent="0.25">
      <c r="A104" s="140" t="s">
        <v>398</v>
      </c>
      <c r="B104" s="141" t="s">
        <v>399</v>
      </c>
      <c r="C104" s="130">
        <f>SUM(N104:N110)</f>
        <v>0</v>
      </c>
      <c r="D104" s="130">
        <f>SUM(O104:O110)</f>
        <v>0</v>
      </c>
      <c r="E104" s="130">
        <f t="shared" ref="E104:E167" si="35">D104/8</f>
        <v>0</v>
      </c>
      <c r="F104" s="130"/>
      <c r="G104" s="60" t="s">
        <v>125</v>
      </c>
      <c r="H104" s="123"/>
      <c r="I104" s="123"/>
      <c r="J104" s="60"/>
      <c r="K104" s="60"/>
      <c r="L104" s="60"/>
      <c r="M104" s="60"/>
      <c r="N104" s="60">
        <f>M104*J104*K104*L104</f>
        <v>0</v>
      </c>
      <c r="O104" s="60">
        <f>J104*K104*L104</f>
        <v>0</v>
      </c>
    </row>
    <row r="105" spans="1:15" s="38" customFormat="1" ht="11.45" customHeight="1" outlineLevel="1" x14ac:dyDescent="0.25">
      <c r="A105" s="146"/>
      <c r="B105" s="142"/>
      <c r="C105" s="148"/>
      <c r="D105" s="148"/>
      <c r="E105" s="148"/>
      <c r="F105" s="148"/>
      <c r="G105" s="60" t="s">
        <v>126</v>
      </c>
      <c r="H105" s="151"/>
      <c r="I105" s="151"/>
      <c r="J105" s="60"/>
      <c r="K105" s="60"/>
      <c r="L105" s="60"/>
      <c r="M105" s="60"/>
      <c r="N105" s="60">
        <f t="shared" ref="N105:N110" si="36">M105*J105*K105*L105</f>
        <v>0</v>
      </c>
      <c r="O105" s="60">
        <f t="shared" ref="O105:O110" si="37">J105*K105*L105</f>
        <v>0</v>
      </c>
    </row>
    <row r="106" spans="1:15" s="38" customFormat="1" ht="10.7" customHeight="1" outlineLevel="1" x14ac:dyDescent="0.25">
      <c r="A106" s="146"/>
      <c r="B106" s="142"/>
      <c r="C106" s="148"/>
      <c r="D106" s="148"/>
      <c r="E106" s="148"/>
      <c r="F106" s="148"/>
      <c r="G106" s="60" t="s">
        <v>127</v>
      </c>
      <c r="H106" s="151"/>
      <c r="I106" s="151"/>
      <c r="J106" s="60"/>
      <c r="K106" s="60"/>
      <c r="L106" s="60"/>
      <c r="M106" s="60"/>
      <c r="N106" s="60">
        <f t="shared" si="36"/>
        <v>0</v>
      </c>
      <c r="O106" s="60">
        <f t="shared" si="37"/>
        <v>0</v>
      </c>
    </row>
    <row r="107" spans="1:15" s="38" customFormat="1" ht="10.7" customHeight="1" outlineLevel="1" x14ac:dyDescent="0.25">
      <c r="A107" s="146"/>
      <c r="B107" s="142"/>
      <c r="C107" s="148"/>
      <c r="D107" s="148"/>
      <c r="E107" s="148"/>
      <c r="F107" s="148"/>
      <c r="G107" s="60" t="s">
        <v>128</v>
      </c>
      <c r="H107" s="151"/>
      <c r="I107" s="151"/>
      <c r="J107" s="60"/>
      <c r="K107" s="60"/>
      <c r="L107" s="60"/>
      <c r="M107" s="60"/>
      <c r="N107" s="60">
        <f t="shared" si="36"/>
        <v>0</v>
      </c>
      <c r="O107" s="60">
        <f t="shared" si="37"/>
        <v>0</v>
      </c>
    </row>
    <row r="108" spans="1:15" s="38" customFormat="1" ht="10.7" customHeight="1" outlineLevel="1" x14ac:dyDescent="0.25">
      <c r="A108" s="146"/>
      <c r="B108" s="142"/>
      <c r="C108" s="148"/>
      <c r="D108" s="148"/>
      <c r="E108" s="148"/>
      <c r="F108" s="148"/>
      <c r="G108" s="60" t="s">
        <v>129</v>
      </c>
      <c r="H108" s="151"/>
      <c r="I108" s="151"/>
      <c r="J108" s="60"/>
      <c r="K108" s="60"/>
      <c r="L108" s="60"/>
      <c r="M108" s="60"/>
      <c r="N108" s="60">
        <f t="shared" si="36"/>
        <v>0</v>
      </c>
      <c r="O108" s="60">
        <f t="shared" si="37"/>
        <v>0</v>
      </c>
    </row>
    <row r="109" spans="1:15" s="38" customFormat="1" ht="10.7" customHeight="1" outlineLevel="1" x14ac:dyDescent="0.25">
      <c r="A109" s="146"/>
      <c r="B109" s="142"/>
      <c r="C109" s="148"/>
      <c r="D109" s="148"/>
      <c r="E109" s="148"/>
      <c r="F109" s="148"/>
      <c r="G109" s="60" t="s">
        <v>130</v>
      </c>
      <c r="H109" s="151"/>
      <c r="I109" s="151"/>
      <c r="J109" s="60"/>
      <c r="K109" s="60"/>
      <c r="L109" s="60"/>
      <c r="M109" s="60"/>
      <c r="N109" s="60">
        <f t="shared" si="36"/>
        <v>0</v>
      </c>
      <c r="O109" s="60">
        <f t="shared" si="37"/>
        <v>0</v>
      </c>
    </row>
    <row r="110" spans="1:15" s="38" customFormat="1" ht="12" customHeight="1" outlineLevel="1" thickBot="1" x14ac:dyDescent="0.3">
      <c r="A110" s="147"/>
      <c r="B110" s="143"/>
      <c r="C110" s="149"/>
      <c r="D110" s="149"/>
      <c r="E110" s="149"/>
      <c r="F110" s="149"/>
      <c r="G110" s="60" t="s">
        <v>131</v>
      </c>
      <c r="H110" s="152"/>
      <c r="I110" s="152"/>
      <c r="J110" s="60"/>
      <c r="K110" s="60"/>
      <c r="L110" s="60"/>
      <c r="M110" s="60"/>
      <c r="N110" s="60">
        <f t="shared" si="36"/>
        <v>0</v>
      </c>
      <c r="O110" s="60">
        <f t="shared" si="37"/>
        <v>0</v>
      </c>
    </row>
    <row r="111" spans="1:15" s="38" customFormat="1" ht="14.45" customHeight="1" outlineLevel="1" x14ac:dyDescent="0.25">
      <c r="A111" s="140" t="s">
        <v>400</v>
      </c>
      <c r="B111" s="141" t="s">
        <v>401</v>
      </c>
      <c r="C111" s="130">
        <f>SUM(N111:N117)</f>
        <v>0</v>
      </c>
      <c r="D111" s="130">
        <f>SUM(O111:O117)</f>
        <v>0</v>
      </c>
      <c r="E111" s="130">
        <f t="shared" si="35"/>
        <v>0</v>
      </c>
      <c r="F111" s="130"/>
      <c r="G111" s="60" t="s">
        <v>125</v>
      </c>
      <c r="H111" s="150"/>
      <c r="I111" s="150"/>
      <c r="J111" s="60"/>
      <c r="K111" s="60"/>
      <c r="L111" s="60"/>
      <c r="M111" s="60"/>
      <c r="N111" s="60">
        <f>M111*J111*K111*L111</f>
        <v>0</v>
      </c>
      <c r="O111" s="60">
        <f>J111*K111*L111</f>
        <v>0</v>
      </c>
    </row>
    <row r="112" spans="1:15" s="38" customFormat="1" ht="11.45" customHeight="1" outlineLevel="1" x14ac:dyDescent="0.25">
      <c r="A112" s="146"/>
      <c r="B112" s="142"/>
      <c r="C112" s="148"/>
      <c r="D112" s="148"/>
      <c r="E112" s="148"/>
      <c r="F112" s="148"/>
      <c r="G112" s="60" t="s">
        <v>126</v>
      </c>
      <c r="H112" s="151"/>
      <c r="I112" s="151"/>
      <c r="J112" s="60"/>
      <c r="K112" s="60"/>
      <c r="L112" s="60"/>
      <c r="M112" s="60"/>
      <c r="N112" s="60">
        <f t="shared" ref="N112:N117" si="38">M112*J112*K112*L112</f>
        <v>0</v>
      </c>
      <c r="O112" s="60">
        <f t="shared" ref="O112:O117" si="39">J112*K112*L112</f>
        <v>0</v>
      </c>
    </row>
    <row r="113" spans="1:15" s="38" customFormat="1" ht="10.7" customHeight="1" outlineLevel="1" x14ac:dyDescent="0.25">
      <c r="A113" s="146"/>
      <c r="B113" s="142"/>
      <c r="C113" s="148"/>
      <c r="D113" s="148"/>
      <c r="E113" s="148"/>
      <c r="F113" s="148"/>
      <c r="G113" s="60" t="s">
        <v>127</v>
      </c>
      <c r="H113" s="151"/>
      <c r="I113" s="151"/>
      <c r="J113" s="60"/>
      <c r="K113" s="60"/>
      <c r="L113" s="60"/>
      <c r="M113" s="60"/>
      <c r="N113" s="60">
        <f t="shared" si="38"/>
        <v>0</v>
      </c>
      <c r="O113" s="60">
        <f t="shared" si="39"/>
        <v>0</v>
      </c>
    </row>
    <row r="114" spans="1:15" s="38" customFormat="1" ht="10.7" customHeight="1" outlineLevel="1" x14ac:dyDescent="0.25">
      <c r="A114" s="146"/>
      <c r="B114" s="142"/>
      <c r="C114" s="148"/>
      <c r="D114" s="148"/>
      <c r="E114" s="148"/>
      <c r="F114" s="148"/>
      <c r="G114" s="60" t="s">
        <v>128</v>
      </c>
      <c r="H114" s="151"/>
      <c r="I114" s="151"/>
      <c r="J114" s="60"/>
      <c r="K114" s="60"/>
      <c r="L114" s="60"/>
      <c r="M114" s="60"/>
      <c r="N114" s="60">
        <f t="shared" si="38"/>
        <v>0</v>
      </c>
      <c r="O114" s="60">
        <f t="shared" si="39"/>
        <v>0</v>
      </c>
    </row>
    <row r="115" spans="1:15" s="38" customFormat="1" ht="10.7" customHeight="1" outlineLevel="1" x14ac:dyDescent="0.25">
      <c r="A115" s="146"/>
      <c r="B115" s="142"/>
      <c r="C115" s="148"/>
      <c r="D115" s="148"/>
      <c r="E115" s="148"/>
      <c r="F115" s="148"/>
      <c r="G115" s="60" t="s">
        <v>129</v>
      </c>
      <c r="H115" s="151"/>
      <c r="I115" s="151"/>
      <c r="J115" s="60"/>
      <c r="K115" s="60"/>
      <c r="L115" s="60"/>
      <c r="M115" s="60"/>
      <c r="N115" s="60">
        <f t="shared" si="38"/>
        <v>0</v>
      </c>
      <c r="O115" s="60">
        <f t="shared" si="39"/>
        <v>0</v>
      </c>
    </row>
    <row r="116" spans="1:15" s="38" customFormat="1" ht="10.7" customHeight="1" outlineLevel="1" x14ac:dyDescent="0.25">
      <c r="A116" s="146"/>
      <c r="B116" s="142"/>
      <c r="C116" s="148"/>
      <c r="D116" s="148"/>
      <c r="E116" s="148"/>
      <c r="F116" s="148"/>
      <c r="G116" s="60" t="s">
        <v>130</v>
      </c>
      <c r="H116" s="151"/>
      <c r="I116" s="151"/>
      <c r="J116" s="60"/>
      <c r="K116" s="60"/>
      <c r="L116" s="60"/>
      <c r="M116" s="60"/>
      <c r="N116" s="60">
        <f t="shared" si="38"/>
        <v>0</v>
      </c>
      <c r="O116" s="60">
        <f t="shared" si="39"/>
        <v>0</v>
      </c>
    </row>
    <row r="117" spans="1:15" s="38" customFormat="1" ht="12" customHeight="1" outlineLevel="1" thickBot="1" x14ac:dyDescent="0.3">
      <c r="A117" s="147"/>
      <c r="B117" s="143"/>
      <c r="C117" s="149"/>
      <c r="D117" s="149"/>
      <c r="E117" s="149"/>
      <c r="F117" s="149"/>
      <c r="G117" s="60" t="s">
        <v>131</v>
      </c>
      <c r="H117" s="152"/>
      <c r="I117" s="152"/>
      <c r="J117" s="60"/>
      <c r="K117" s="60"/>
      <c r="L117" s="60"/>
      <c r="M117" s="60"/>
      <c r="N117" s="60">
        <f t="shared" si="38"/>
        <v>0</v>
      </c>
      <c r="O117" s="60">
        <f t="shared" si="39"/>
        <v>0</v>
      </c>
    </row>
    <row r="118" spans="1:15" s="38" customFormat="1" ht="14.45" customHeight="1" outlineLevel="1" x14ac:dyDescent="0.25">
      <c r="A118" s="140" t="s">
        <v>402</v>
      </c>
      <c r="B118" s="141" t="s">
        <v>403</v>
      </c>
      <c r="C118" s="130">
        <f>SUM(N118:N124)</f>
        <v>0</v>
      </c>
      <c r="D118" s="130">
        <f>SUM(O118:O124)</f>
        <v>0</v>
      </c>
      <c r="E118" s="130">
        <f t="shared" si="35"/>
        <v>0</v>
      </c>
      <c r="F118" s="130"/>
      <c r="G118" s="60" t="s">
        <v>125</v>
      </c>
      <c r="H118" s="150"/>
      <c r="I118" s="150"/>
      <c r="J118" s="60"/>
      <c r="K118" s="60"/>
      <c r="L118" s="60"/>
      <c r="M118" s="60"/>
      <c r="N118" s="60">
        <f>M118*J118*K118*L118</f>
        <v>0</v>
      </c>
      <c r="O118" s="60">
        <f>J118*K118*L118</f>
        <v>0</v>
      </c>
    </row>
    <row r="119" spans="1:15" s="38" customFormat="1" ht="11.45" customHeight="1" outlineLevel="1" x14ac:dyDescent="0.25">
      <c r="A119" s="146"/>
      <c r="B119" s="142"/>
      <c r="C119" s="148"/>
      <c r="D119" s="148"/>
      <c r="E119" s="148"/>
      <c r="F119" s="148"/>
      <c r="G119" s="60" t="s">
        <v>126</v>
      </c>
      <c r="H119" s="151"/>
      <c r="I119" s="151"/>
      <c r="J119" s="60"/>
      <c r="K119" s="60"/>
      <c r="L119" s="60"/>
      <c r="M119" s="60"/>
      <c r="N119" s="60">
        <f t="shared" ref="N119:N124" si="40">M119*J119*K119*L119</f>
        <v>0</v>
      </c>
      <c r="O119" s="60">
        <f t="shared" ref="O119:O124" si="41">J119*K119*L119</f>
        <v>0</v>
      </c>
    </row>
    <row r="120" spans="1:15" s="38" customFormat="1" ht="10.7" customHeight="1" outlineLevel="1" x14ac:dyDescent="0.25">
      <c r="A120" s="146"/>
      <c r="B120" s="142"/>
      <c r="C120" s="148"/>
      <c r="D120" s="148"/>
      <c r="E120" s="148"/>
      <c r="F120" s="148"/>
      <c r="G120" s="60" t="s">
        <v>127</v>
      </c>
      <c r="H120" s="151"/>
      <c r="I120" s="151"/>
      <c r="J120" s="60"/>
      <c r="K120" s="60"/>
      <c r="L120" s="60"/>
      <c r="M120" s="60"/>
      <c r="N120" s="60">
        <f t="shared" si="40"/>
        <v>0</v>
      </c>
      <c r="O120" s="60">
        <f t="shared" si="41"/>
        <v>0</v>
      </c>
    </row>
    <row r="121" spans="1:15" s="38" customFormat="1" ht="10.7" customHeight="1" outlineLevel="1" x14ac:dyDescent="0.25">
      <c r="A121" s="146"/>
      <c r="B121" s="142"/>
      <c r="C121" s="148"/>
      <c r="D121" s="148"/>
      <c r="E121" s="148"/>
      <c r="F121" s="148"/>
      <c r="G121" s="60" t="s">
        <v>128</v>
      </c>
      <c r="H121" s="151"/>
      <c r="I121" s="151"/>
      <c r="J121" s="60"/>
      <c r="K121" s="60"/>
      <c r="L121" s="60"/>
      <c r="M121" s="60"/>
      <c r="N121" s="60">
        <f t="shared" si="40"/>
        <v>0</v>
      </c>
      <c r="O121" s="60">
        <f t="shared" si="41"/>
        <v>0</v>
      </c>
    </row>
    <row r="122" spans="1:15" s="38" customFormat="1" ht="10.7" customHeight="1" outlineLevel="1" x14ac:dyDescent="0.25">
      <c r="A122" s="146"/>
      <c r="B122" s="142"/>
      <c r="C122" s="148"/>
      <c r="D122" s="148"/>
      <c r="E122" s="148"/>
      <c r="F122" s="148"/>
      <c r="G122" s="60" t="s">
        <v>129</v>
      </c>
      <c r="H122" s="151"/>
      <c r="I122" s="151"/>
      <c r="J122" s="60"/>
      <c r="K122" s="60"/>
      <c r="L122" s="60"/>
      <c r="M122" s="60"/>
      <c r="N122" s="60">
        <f t="shared" si="40"/>
        <v>0</v>
      </c>
      <c r="O122" s="60">
        <f t="shared" si="41"/>
        <v>0</v>
      </c>
    </row>
    <row r="123" spans="1:15" s="38" customFormat="1" ht="10.7" customHeight="1" outlineLevel="1" x14ac:dyDescent="0.25">
      <c r="A123" s="146"/>
      <c r="B123" s="142"/>
      <c r="C123" s="148"/>
      <c r="D123" s="148"/>
      <c r="E123" s="148"/>
      <c r="F123" s="148"/>
      <c r="G123" s="60" t="s">
        <v>130</v>
      </c>
      <c r="H123" s="151"/>
      <c r="I123" s="151"/>
      <c r="J123" s="60"/>
      <c r="K123" s="60"/>
      <c r="L123" s="60"/>
      <c r="M123" s="60"/>
      <c r="N123" s="60">
        <f t="shared" si="40"/>
        <v>0</v>
      </c>
      <c r="O123" s="60">
        <f t="shared" si="41"/>
        <v>0</v>
      </c>
    </row>
    <row r="124" spans="1:15" s="38" customFormat="1" ht="12" customHeight="1" outlineLevel="1" thickBot="1" x14ac:dyDescent="0.3">
      <c r="A124" s="147"/>
      <c r="B124" s="143"/>
      <c r="C124" s="149"/>
      <c r="D124" s="149"/>
      <c r="E124" s="149"/>
      <c r="F124" s="149"/>
      <c r="G124" s="60" t="s">
        <v>131</v>
      </c>
      <c r="H124" s="152"/>
      <c r="I124" s="152"/>
      <c r="J124" s="60"/>
      <c r="K124" s="60"/>
      <c r="L124" s="60"/>
      <c r="M124" s="60"/>
      <c r="N124" s="60">
        <f t="shared" si="40"/>
        <v>0</v>
      </c>
      <c r="O124" s="60">
        <f t="shared" si="41"/>
        <v>0</v>
      </c>
    </row>
    <row r="125" spans="1:15" s="38" customFormat="1" ht="14.45" customHeight="1" outlineLevel="1" x14ac:dyDescent="0.25">
      <c r="A125" s="140" t="s">
        <v>404</v>
      </c>
      <c r="B125" s="141" t="s">
        <v>405</v>
      </c>
      <c r="C125" s="130">
        <f>SUM(N125:N131)</f>
        <v>0</v>
      </c>
      <c r="D125" s="130">
        <f>SUM(O125:O131)</f>
        <v>0</v>
      </c>
      <c r="E125" s="130">
        <f t="shared" si="35"/>
        <v>0</v>
      </c>
      <c r="F125" s="130"/>
      <c r="G125" s="60" t="s">
        <v>125</v>
      </c>
      <c r="H125" s="150"/>
      <c r="I125" s="150"/>
      <c r="J125" s="60"/>
      <c r="K125" s="60"/>
      <c r="L125" s="60"/>
      <c r="M125" s="60"/>
      <c r="N125" s="60">
        <f>M125*J125*K125*L125</f>
        <v>0</v>
      </c>
      <c r="O125" s="60">
        <f>J125*K125*L125</f>
        <v>0</v>
      </c>
    </row>
    <row r="126" spans="1:15" s="38" customFormat="1" ht="11.45" customHeight="1" outlineLevel="1" x14ac:dyDescent="0.25">
      <c r="A126" s="146"/>
      <c r="B126" s="142"/>
      <c r="C126" s="148"/>
      <c r="D126" s="148"/>
      <c r="E126" s="148"/>
      <c r="F126" s="148"/>
      <c r="G126" s="60" t="s">
        <v>126</v>
      </c>
      <c r="H126" s="151"/>
      <c r="I126" s="151"/>
      <c r="J126" s="60"/>
      <c r="K126" s="60"/>
      <c r="L126" s="60"/>
      <c r="M126" s="60"/>
      <c r="N126" s="60">
        <f t="shared" ref="N126:N131" si="42">M126*J126*K126*L126</f>
        <v>0</v>
      </c>
      <c r="O126" s="60">
        <f t="shared" ref="O126:O131" si="43">J126*K126*L126</f>
        <v>0</v>
      </c>
    </row>
    <row r="127" spans="1:15" s="38" customFormat="1" ht="10.7" customHeight="1" outlineLevel="1" x14ac:dyDescent="0.25">
      <c r="A127" s="146"/>
      <c r="B127" s="142"/>
      <c r="C127" s="148"/>
      <c r="D127" s="148"/>
      <c r="E127" s="148"/>
      <c r="F127" s="148"/>
      <c r="G127" s="60" t="s">
        <v>127</v>
      </c>
      <c r="H127" s="151"/>
      <c r="I127" s="151"/>
      <c r="J127" s="60"/>
      <c r="K127" s="60"/>
      <c r="L127" s="60"/>
      <c r="M127" s="60"/>
      <c r="N127" s="60">
        <f t="shared" si="42"/>
        <v>0</v>
      </c>
      <c r="O127" s="60">
        <f t="shared" si="43"/>
        <v>0</v>
      </c>
    </row>
    <row r="128" spans="1:15" s="38" customFormat="1" ht="10.7" customHeight="1" outlineLevel="1" x14ac:dyDescent="0.25">
      <c r="A128" s="146"/>
      <c r="B128" s="142"/>
      <c r="C128" s="148"/>
      <c r="D128" s="148"/>
      <c r="E128" s="148"/>
      <c r="F128" s="148"/>
      <c r="G128" s="60" t="s">
        <v>128</v>
      </c>
      <c r="H128" s="151"/>
      <c r="I128" s="151"/>
      <c r="J128" s="60"/>
      <c r="K128" s="60"/>
      <c r="L128" s="60"/>
      <c r="M128" s="60"/>
      <c r="N128" s="60">
        <f t="shared" si="42"/>
        <v>0</v>
      </c>
      <c r="O128" s="60">
        <f t="shared" si="43"/>
        <v>0</v>
      </c>
    </row>
    <row r="129" spans="1:15" s="38" customFormat="1" ht="10.7" customHeight="1" outlineLevel="1" x14ac:dyDescent="0.25">
      <c r="A129" s="146"/>
      <c r="B129" s="142"/>
      <c r="C129" s="148"/>
      <c r="D129" s="148"/>
      <c r="E129" s="148"/>
      <c r="F129" s="148"/>
      <c r="G129" s="60" t="s">
        <v>129</v>
      </c>
      <c r="H129" s="151"/>
      <c r="I129" s="151"/>
      <c r="J129" s="60"/>
      <c r="K129" s="60"/>
      <c r="L129" s="60"/>
      <c r="M129" s="60"/>
      <c r="N129" s="60">
        <f t="shared" si="42"/>
        <v>0</v>
      </c>
      <c r="O129" s="60">
        <f t="shared" si="43"/>
        <v>0</v>
      </c>
    </row>
    <row r="130" spans="1:15" s="38" customFormat="1" ht="10.7" customHeight="1" outlineLevel="1" x14ac:dyDescent="0.25">
      <c r="A130" s="146"/>
      <c r="B130" s="142"/>
      <c r="C130" s="148"/>
      <c r="D130" s="148"/>
      <c r="E130" s="148"/>
      <c r="F130" s="148"/>
      <c r="G130" s="60" t="s">
        <v>130</v>
      </c>
      <c r="H130" s="151"/>
      <c r="I130" s="151"/>
      <c r="J130" s="60"/>
      <c r="K130" s="60"/>
      <c r="L130" s="60"/>
      <c r="M130" s="60"/>
      <c r="N130" s="60">
        <f t="shared" si="42"/>
        <v>0</v>
      </c>
      <c r="O130" s="60">
        <f t="shared" si="43"/>
        <v>0</v>
      </c>
    </row>
    <row r="131" spans="1:15" s="38" customFormat="1" ht="12" customHeight="1" outlineLevel="1" thickBot="1" x14ac:dyDescent="0.3">
      <c r="A131" s="147"/>
      <c r="B131" s="143"/>
      <c r="C131" s="149"/>
      <c r="D131" s="149"/>
      <c r="E131" s="149"/>
      <c r="F131" s="149"/>
      <c r="G131" s="60" t="s">
        <v>131</v>
      </c>
      <c r="H131" s="152"/>
      <c r="I131" s="152"/>
      <c r="J131" s="60"/>
      <c r="K131" s="60"/>
      <c r="L131" s="60"/>
      <c r="M131" s="60"/>
      <c r="N131" s="60">
        <f t="shared" si="42"/>
        <v>0</v>
      </c>
      <c r="O131" s="60">
        <f t="shared" si="43"/>
        <v>0</v>
      </c>
    </row>
    <row r="132" spans="1:15" s="38" customFormat="1" ht="14.45" customHeight="1" outlineLevel="1" x14ac:dyDescent="0.25">
      <c r="A132" s="140" t="s">
        <v>406</v>
      </c>
      <c r="B132" s="141" t="s">
        <v>407</v>
      </c>
      <c r="C132" s="130">
        <f>SUM(N132:N138)</f>
        <v>0</v>
      </c>
      <c r="D132" s="130">
        <f>SUM(O132:O138)</f>
        <v>0</v>
      </c>
      <c r="E132" s="130">
        <f t="shared" si="35"/>
        <v>0</v>
      </c>
      <c r="F132" s="130"/>
      <c r="G132" s="60" t="s">
        <v>125</v>
      </c>
      <c r="H132" s="150"/>
      <c r="I132" s="150"/>
      <c r="J132" s="60"/>
      <c r="K132" s="60"/>
      <c r="L132" s="60"/>
      <c r="M132" s="60"/>
      <c r="N132" s="60">
        <f>M132*J132*K132*L132</f>
        <v>0</v>
      </c>
      <c r="O132" s="60">
        <f>J132*K132*L132</f>
        <v>0</v>
      </c>
    </row>
    <row r="133" spans="1:15" s="38" customFormat="1" ht="11.45" customHeight="1" outlineLevel="1" x14ac:dyDescent="0.25">
      <c r="A133" s="146"/>
      <c r="B133" s="142"/>
      <c r="C133" s="148"/>
      <c r="D133" s="148"/>
      <c r="E133" s="148"/>
      <c r="F133" s="148"/>
      <c r="G133" s="60" t="s">
        <v>126</v>
      </c>
      <c r="H133" s="151"/>
      <c r="I133" s="151"/>
      <c r="J133" s="60"/>
      <c r="K133" s="60"/>
      <c r="L133" s="60"/>
      <c r="M133" s="60"/>
      <c r="N133" s="60">
        <f t="shared" ref="N133:N138" si="44">M133*J133*K133*L133</f>
        <v>0</v>
      </c>
      <c r="O133" s="60">
        <f t="shared" ref="O133:O138" si="45">J133*K133*L133</f>
        <v>0</v>
      </c>
    </row>
    <row r="134" spans="1:15" s="38" customFormat="1" ht="10.7" customHeight="1" outlineLevel="1" x14ac:dyDescent="0.25">
      <c r="A134" s="146"/>
      <c r="B134" s="142"/>
      <c r="C134" s="148"/>
      <c r="D134" s="148"/>
      <c r="E134" s="148"/>
      <c r="F134" s="148"/>
      <c r="G134" s="60" t="s">
        <v>127</v>
      </c>
      <c r="H134" s="151"/>
      <c r="I134" s="151"/>
      <c r="J134" s="60"/>
      <c r="K134" s="60"/>
      <c r="L134" s="60"/>
      <c r="M134" s="60"/>
      <c r="N134" s="60">
        <f t="shared" si="44"/>
        <v>0</v>
      </c>
      <c r="O134" s="60">
        <f t="shared" si="45"/>
        <v>0</v>
      </c>
    </row>
    <row r="135" spans="1:15" s="38" customFormat="1" ht="10.7" customHeight="1" outlineLevel="1" x14ac:dyDescent="0.25">
      <c r="A135" s="146"/>
      <c r="B135" s="142"/>
      <c r="C135" s="148"/>
      <c r="D135" s="148"/>
      <c r="E135" s="148"/>
      <c r="F135" s="148"/>
      <c r="G135" s="60" t="s">
        <v>128</v>
      </c>
      <c r="H135" s="151"/>
      <c r="I135" s="151"/>
      <c r="J135" s="60"/>
      <c r="K135" s="60"/>
      <c r="L135" s="60"/>
      <c r="M135" s="60"/>
      <c r="N135" s="60">
        <f t="shared" si="44"/>
        <v>0</v>
      </c>
      <c r="O135" s="60">
        <f t="shared" si="45"/>
        <v>0</v>
      </c>
    </row>
    <row r="136" spans="1:15" s="38" customFormat="1" ht="10.7" customHeight="1" outlineLevel="1" x14ac:dyDescent="0.25">
      <c r="A136" s="146"/>
      <c r="B136" s="142"/>
      <c r="C136" s="148"/>
      <c r="D136" s="148"/>
      <c r="E136" s="148"/>
      <c r="F136" s="148"/>
      <c r="G136" s="60" t="s">
        <v>129</v>
      </c>
      <c r="H136" s="151"/>
      <c r="I136" s="151"/>
      <c r="J136" s="60"/>
      <c r="K136" s="60"/>
      <c r="L136" s="60"/>
      <c r="M136" s="60"/>
      <c r="N136" s="60">
        <f t="shared" si="44"/>
        <v>0</v>
      </c>
      <c r="O136" s="60">
        <f t="shared" si="45"/>
        <v>0</v>
      </c>
    </row>
    <row r="137" spans="1:15" s="38" customFormat="1" ht="10.7" customHeight="1" outlineLevel="1" x14ac:dyDescent="0.25">
      <c r="A137" s="146"/>
      <c r="B137" s="142"/>
      <c r="C137" s="148"/>
      <c r="D137" s="148"/>
      <c r="E137" s="148"/>
      <c r="F137" s="148"/>
      <c r="G137" s="60" t="s">
        <v>130</v>
      </c>
      <c r="H137" s="151"/>
      <c r="I137" s="151"/>
      <c r="J137" s="60"/>
      <c r="K137" s="60"/>
      <c r="L137" s="60"/>
      <c r="M137" s="60"/>
      <c r="N137" s="60">
        <f t="shared" si="44"/>
        <v>0</v>
      </c>
      <c r="O137" s="60">
        <f t="shared" si="45"/>
        <v>0</v>
      </c>
    </row>
    <row r="138" spans="1:15" s="38" customFormat="1" ht="12" customHeight="1" outlineLevel="1" thickBot="1" x14ac:dyDescent="0.3">
      <c r="A138" s="147"/>
      <c r="B138" s="143"/>
      <c r="C138" s="149"/>
      <c r="D138" s="149"/>
      <c r="E138" s="149"/>
      <c r="F138" s="149"/>
      <c r="G138" s="60" t="s">
        <v>131</v>
      </c>
      <c r="H138" s="152"/>
      <c r="I138" s="152"/>
      <c r="J138" s="60"/>
      <c r="K138" s="60"/>
      <c r="L138" s="60"/>
      <c r="M138" s="60"/>
      <c r="N138" s="60">
        <f t="shared" si="44"/>
        <v>0</v>
      </c>
      <c r="O138" s="60">
        <f t="shared" si="45"/>
        <v>0</v>
      </c>
    </row>
    <row r="139" spans="1:15" s="38" customFormat="1" ht="14.45" customHeight="1" outlineLevel="1" x14ac:dyDescent="0.25">
      <c r="A139" s="140" t="s">
        <v>408</v>
      </c>
      <c r="B139" s="141" t="s">
        <v>409</v>
      </c>
      <c r="C139" s="130">
        <f>SUM(N139:N145)</f>
        <v>0</v>
      </c>
      <c r="D139" s="130">
        <f>SUM(O139:O145)</f>
        <v>0</v>
      </c>
      <c r="E139" s="130">
        <f t="shared" si="35"/>
        <v>0</v>
      </c>
      <c r="F139" s="130"/>
      <c r="G139" s="60" t="s">
        <v>125</v>
      </c>
      <c r="H139" s="150"/>
      <c r="I139" s="150"/>
      <c r="J139" s="60"/>
      <c r="K139" s="60"/>
      <c r="L139" s="60"/>
      <c r="M139" s="60"/>
      <c r="N139" s="60">
        <f>M139*J139*K139*L139</f>
        <v>0</v>
      </c>
      <c r="O139" s="60">
        <f>J139*K139*L139</f>
        <v>0</v>
      </c>
    </row>
    <row r="140" spans="1:15" s="38" customFormat="1" ht="11.45" customHeight="1" outlineLevel="1" x14ac:dyDescent="0.25">
      <c r="A140" s="146"/>
      <c r="B140" s="142"/>
      <c r="C140" s="148"/>
      <c r="D140" s="148"/>
      <c r="E140" s="148"/>
      <c r="F140" s="148"/>
      <c r="G140" s="60" t="s">
        <v>126</v>
      </c>
      <c r="H140" s="151"/>
      <c r="I140" s="151"/>
      <c r="J140" s="60"/>
      <c r="K140" s="60"/>
      <c r="L140" s="60"/>
      <c r="M140" s="60"/>
      <c r="N140" s="60">
        <f t="shared" ref="N140:N145" si="46">M140*J140*K140*L140</f>
        <v>0</v>
      </c>
      <c r="O140" s="60">
        <f t="shared" ref="O140:O145" si="47">J140*K140*L140</f>
        <v>0</v>
      </c>
    </row>
    <row r="141" spans="1:15" s="38" customFormat="1" ht="10.7" customHeight="1" outlineLevel="1" x14ac:dyDescent="0.25">
      <c r="A141" s="146"/>
      <c r="B141" s="142"/>
      <c r="C141" s="148"/>
      <c r="D141" s="148"/>
      <c r="E141" s="148"/>
      <c r="F141" s="148"/>
      <c r="G141" s="60" t="s">
        <v>127</v>
      </c>
      <c r="H141" s="151"/>
      <c r="I141" s="151"/>
      <c r="J141" s="60"/>
      <c r="K141" s="60"/>
      <c r="L141" s="60"/>
      <c r="M141" s="60"/>
      <c r="N141" s="60">
        <f t="shared" si="46"/>
        <v>0</v>
      </c>
      <c r="O141" s="60">
        <f t="shared" si="47"/>
        <v>0</v>
      </c>
    </row>
    <row r="142" spans="1:15" s="38" customFormat="1" ht="10.7" customHeight="1" outlineLevel="1" x14ac:dyDescent="0.25">
      <c r="A142" s="146"/>
      <c r="B142" s="142"/>
      <c r="C142" s="148"/>
      <c r="D142" s="148"/>
      <c r="E142" s="148"/>
      <c r="F142" s="148"/>
      <c r="G142" s="60" t="s">
        <v>128</v>
      </c>
      <c r="H142" s="151"/>
      <c r="I142" s="151"/>
      <c r="J142" s="60"/>
      <c r="K142" s="60"/>
      <c r="L142" s="60"/>
      <c r="M142" s="60"/>
      <c r="N142" s="60">
        <f t="shared" si="46"/>
        <v>0</v>
      </c>
      <c r="O142" s="60">
        <f t="shared" si="47"/>
        <v>0</v>
      </c>
    </row>
    <row r="143" spans="1:15" s="38" customFormat="1" ht="10.7" customHeight="1" outlineLevel="1" x14ac:dyDescent="0.25">
      <c r="A143" s="146"/>
      <c r="B143" s="142"/>
      <c r="C143" s="148"/>
      <c r="D143" s="148"/>
      <c r="E143" s="148"/>
      <c r="F143" s="148"/>
      <c r="G143" s="60" t="s">
        <v>129</v>
      </c>
      <c r="H143" s="151"/>
      <c r="I143" s="151"/>
      <c r="J143" s="60"/>
      <c r="K143" s="60"/>
      <c r="L143" s="60"/>
      <c r="M143" s="60"/>
      <c r="N143" s="60">
        <f t="shared" si="46"/>
        <v>0</v>
      </c>
      <c r="O143" s="60">
        <f t="shared" si="47"/>
        <v>0</v>
      </c>
    </row>
    <row r="144" spans="1:15" s="38" customFormat="1" ht="10.7" customHeight="1" outlineLevel="1" x14ac:dyDescent="0.25">
      <c r="A144" s="146"/>
      <c r="B144" s="142"/>
      <c r="C144" s="148"/>
      <c r="D144" s="148"/>
      <c r="E144" s="148"/>
      <c r="F144" s="148"/>
      <c r="G144" s="60" t="s">
        <v>130</v>
      </c>
      <c r="H144" s="151"/>
      <c r="I144" s="151"/>
      <c r="J144" s="60"/>
      <c r="K144" s="60"/>
      <c r="L144" s="60"/>
      <c r="M144" s="60"/>
      <c r="N144" s="60">
        <f t="shared" si="46"/>
        <v>0</v>
      </c>
      <c r="O144" s="60">
        <f t="shared" si="47"/>
        <v>0</v>
      </c>
    </row>
    <row r="145" spans="1:15" s="38" customFormat="1" ht="12" customHeight="1" outlineLevel="1" thickBot="1" x14ac:dyDescent="0.3">
      <c r="A145" s="147"/>
      <c r="B145" s="143"/>
      <c r="C145" s="149"/>
      <c r="D145" s="149"/>
      <c r="E145" s="149"/>
      <c r="F145" s="149"/>
      <c r="G145" s="60" t="s">
        <v>131</v>
      </c>
      <c r="H145" s="152"/>
      <c r="I145" s="152"/>
      <c r="J145" s="60"/>
      <c r="K145" s="60"/>
      <c r="L145" s="60"/>
      <c r="M145" s="60"/>
      <c r="N145" s="60">
        <f t="shared" si="46"/>
        <v>0</v>
      </c>
      <c r="O145" s="60">
        <f t="shared" si="47"/>
        <v>0</v>
      </c>
    </row>
    <row r="146" spans="1:15" s="38" customFormat="1" ht="14.45" customHeight="1" outlineLevel="1" x14ac:dyDescent="0.25">
      <c r="A146" s="140" t="s">
        <v>410</v>
      </c>
      <c r="B146" s="141" t="s">
        <v>411</v>
      </c>
      <c r="C146" s="130">
        <f>SUM(N146:N152)</f>
        <v>0</v>
      </c>
      <c r="D146" s="130">
        <f>SUM(O146:O152)</f>
        <v>0</v>
      </c>
      <c r="E146" s="130">
        <f t="shared" si="35"/>
        <v>0</v>
      </c>
      <c r="F146" s="130"/>
      <c r="G146" s="60" t="s">
        <v>125</v>
      </c>
      <c r="H146" s="150"/>
      <c r="I146" s="150"/>
      <c r="J146" s="60"/>
      <c r="K146" s="60"/>
      <c r="L146" s="60"/>
      <c r="M146" s="60"/>
      <c r="N146" s="60">
        <f>M146*J146*K146*L146</f>
        <v>0</v>
      </c>
      <c r="O146" s="60">
        <f>J146*K146*L146</f>
        <v>0</v>
      </c>
    </row>
    <row r="147" spans="1:15" s="38" customFormat="1" ht="11.45" customHeight="1" outlineLevel="1" x14ac:dyDescent="0.25">
      <c r="A147" s="146"/>
      <c r="B147" s="142"/>
      <c r="C147" s="148"/>
      <c r="D147" s="148"/>
      <c r="E147" s="148"/>
      <c r="F147" s="148"/>
      <c r="G147" s="60" t="s">
        <v>126</v>
      </c>
      <c r="H147" s="151"/>
      <c r="I147" s="151"/>
      <c r="J147" s="60"/>
      <c r="K147" s="60"/>
      <c r="L147" s="60"/>
      <c r="M147" s="60"/>
      <c r="N147" s="60">
        <f t="shared" ref="N147:N152" si="48">M147*J147*K147*L147</f>
        <v>0</v>
      </c>
      <c r="O147" s="60">
        <f t="shared" ref="O147:O152" si="49">J147*K147*L147</f>
        <v>0</v>
      </c>
    </row>
    <row r="148" spans="1:15" s="38" customFormat="1" ht="10.7" customHeight="1" outlineLevel="1" x14ac:dyDescent="0.25">
      <c r="A148" s="146"/>
      <c r="B148" s="142"/>
      <c r="C148" s="148"/>
      <c r="D148" s="148"/>
      <c r="E148" s="148"/>
      <c r="F148" s="148"/>
      <c r="G148" s="60" t="s">
        <v>127</v>
      </c>
      <c r="H148" s="151"/>
      <c r="I148" s="151"/>
      <c r="J148" s="60"/>
      <c r="K148" s="60"/>
      <c r="L148" s="60"/>
      <c r="M148" s="60"/>
      <c r="N148" s="60">
        <f t="shared" si="48"/>
        <v>0</v>
      </c>
      <c r="O148" s="60">
        <f t="shared" si="49"/>
        <v>0</v>
      </c>
    </row>
    <row r="149" spans="1:15" s="38" customFormat="1" ht="10.7" customHeight="1" outlineLevel="1" x14ac:dyDescent="0.25">
      <c r="A149" s="146"/>
      <c r="B149" s="142"/>
      <c r="C149" s="148"/>
      <c r="D149" s="148"/>
      <c r="E149" s="148"/>
      <c r="F149" s="148"/>
      <c r="G149" s="60" t="s">
        <v>128</v>
      </c>
      <c r="H149" s="151"/>
      <c r="I149" s="151"/>
      <c r="J149" s="60"/>
      <c r="K149" s="60"/>
      <c r="L149" s="60"/>
      <c r="M149" s="60"/>
      <c r="N149" s="60">
        <f t="shared" si="48"/>
        <v>0</v>
      </c>
      <c r="O149" s="60">
        <f t="shared" si="49"/>
        <v>0</v>
      </c>
    </row>
    <row r="150" spans="1:15" s="38" customFormat="1" ht="10.7" customHeight="1" outlineLevel="1" x14ac:dyDescent="0.25">
      <c r="A150" s="146"/>
      <c r="B150" s="142"/>
      <c r="C150" s="148"/>
      <c r="D150" s="148"/>
      <c r="E150" s="148"/>
      <c r="F150" s="148"/>
      <c r="G150" s="60" t="s">
        <v>129</v>
      </c>
      <c r="H150" s="151"/>
      <c r="I150" s="151"/>
      <c r="J150" s="60"/>
      <c r="K150" s="60"/>
      <c r="L150" s="60"/>
      <c r="M150" s="60"/>
      <c r="N150" s="60">
        <f t="shared" si="48"/>
        <v>0</v>
      </c>
      <c r="O150" s="60">
        <f t="shared" si="49"/>
        <v>0</v>
      </c>
    </row>
    <row r="151" spans="1:15" s="38" customFormat="1" ht="10.7" customHeight="1" outlineLevel="1" x14ac:dyDescent="0.25">
      <c r="A151" s="146"/>
      <c r="B151" s="142"/>
      <c r="C151" s="148"/>
      <c r="D151" s="148"/>
      <c r="E151" s="148"/>
      <c r="F151" s="148"/>
      <c r="G151" s="60" t="s">
        <v>130</v>
      </c>
      <c r="H151" s="151"/>
      <c r="I151" s="151"/>
      <c r="J151" s="60"/>
      <c r="K151" s="60"/>
      <c r="L151" s="60"/>
      <c r="M151" s="60"/>
      <c r="N151" s="60">
        <f t="shared" si="48"/>
        <v>0</v>
      </c>
      <c r="O151" s="60">
        <f t="shared" si="49"/>
        <v>0</v>
      </c>
    </row>
    <row r="152" spans="1:15" s="38" customFormat="1" ht="12" customHeight="1" outlineLevel="1" thickBot="1" x14ac:dyDescent="0.3">
      <c r="A152" s="147"/>
      <c r="B152" s="143"/>
      <c r="C152" s="149"/>
      <c r="D152" s="149"/>
      <c r="E152" s="149"/>
      <c r="F152" s="149"/>
      <c r="G152" s="60" t="s">
        <v>131</v>
      </c>
      <c r="H152" s="152"/>
      <c r="I152" s="152"/>
      <c r="J152" s="60"/>
      <c r="K152" s="60"/>
      <c r="L152" s="60"/>
      <c r="M152" s="60"/>
      <c r="N152" s="60">
        <f t="shared" si="48"/>
        <v>0</v>
      </c>
      <c r="O152" s="60">
        <f t="shared" si="49"/>
        <v>0</v>
      </c>
    </row>
    <row r="153" spans="1:15" s="38" customFormat="1" ht="14.45" customHeight="1" outlineLevel="1" x14ac:dyDescent="0.25">
      <c r="A153" s="140" t="s">
        <v>156</v>
      </c>
      <c r="B153" s="141" t="s">
        <v>533</v>
      </c>
      <c r="C153" s="130">
        <f>SUM(N153:N159)</f>
        <v>0</v>
      </c>
      <c r="D153" s="130">
        <f>SUM(O153:O159)</f>
        <v>0</v>
      </c>
      <c r="E153" s="130">
        <f t="shared" si="35"/>
        <v>0</v>
      </c>
      <c r="F153" s="130"/>
      <c r="G153" s="60" t="s">
        <v>125</v>
      </c>
      <c r="H153" s="150"/>
      <c r="I153" s="150"/>
      <c r="J153" s="60"/>
      <c r="K153" s="60"/>
      <c r="L153" s="60"/>
      <c r="M153" s="60"/>
      <c r="N153" s="60">
        <f>M153*J153*K153*L153</f>
        <v>0</v>
      </c>
      <c r="O153" s="60">
        <f>J153*K153*L153</f>
        <v>0</v>
      </c>
    </row>
    <row r="154" spans="1:15" s="38" customFormat="1" ht="11.45" customHeight="1" outlineLevel="1" x14ac:dyDescent="0.25">
      <c r="A154" s="146"/>
      <c r="B154" s="142"/>
      <c r="C154" s="148"/>
      <c r="D154" s="148"/>
      <c r="E154" s="148"/>
      <c r="F154" s="148"/>
      <c r="G154" s="60" t="s">
        <v>126</v>
      </c>
      <c r="H154" s="151"/>
      <c r="I154" s="151"/>
      <c r="J154" s="60"/>
      <c r="K154" s="60"/>
      <c r="L154" s="60"/>
      <c r="M154" s="60"/>
      <c r="N154" s="60">
        <f t="shared" ref="N154:N159" si="50">M154*J154*K154*L154</f>
        <v>0</v>
      </c>
      <c r="O154" s="60">
        <f t="shared" ref="O154:O159" si="51">J154*K154*L154</f>
        <v>0</v>
      </c>
    </row>
    <row r="155" spans="1:15" s="38" customFormat="1" ht="10.7" customHeight="1" outlineLevel="1" x14ac:dyDescent="0.25">
      <c r="A155" s="146"/>
      <c r="B155" s="142"/>
      <c r="C155" s="148"/>
      <c r="D155" s="148"/>
      <c r="E155" s="148"/>
      <c r="F155" s="148"/>
      <c r="G155" s="60" t="s">
        <v>127</v>
      </c>
      <c r="H155" s="151"/>
      <c r="I155" s="151"/>
      <c r="J155" s="60"/>
      <c r="K155" s="60"/>
      <c r="L155" s="60"/>
      <c r="M155" s="60"/>
      <c r="N155" s="60">
        <f t="shared" si="50"/>
        <v>0</v>
      </c>
      <c r="O155" s="60">
        <f t="shared" si="51"/>
        <v>0</v>
      </c>
    </row>
    <row r="156" spans="1:15" s="38" customFormat="1" ht="10.7" customHeight="1" outlineLevel="1" x14ac:dyDescent="0.25">
      <c r="A156" s="146"/>
      <c r="B156" s="142"/>
      <c r="C156" s="148"/>
      <c r="D156" s="148"/>
      <c r="E156" s="148"/>
      <c r="F156" s="148"/>
      <c r="G156" s="60" t="s">
        <v>128</v>
      </c>
      <c r="H156" s="151"/>
      <c r="I156" s="151"/>
      <c r="J156" s="60"/>
      <c r="K156" s="60"/>
      <c r="L156" s="60"/>
      <c r="M156" s="60"/>
      <c r="N156" s="60">
        <f t="shared" si="50"/>
        <v>0</v>
      </c>
      <c r="O156" s="60">
        <f t="shared" si="51"/>
        <v>0</v>
      </c>
    </row>
    <row r="157" spans="1:15" s="38" customFormat="1" ht="10.7" customHeight="1" outlineLevel="1" x14ac:dyDescent="0.25">
      <c r="A157" s="146"/>
      <c r="B157" s="142"/>
      <c r="C157" s="148"/>
      <c r="D157" s="148"/>
      <c r="E157" s="148"/>
      <c r="F157" s="148"/>
      <c r="G157" s="60" t="s">
        <v>129</v>
      </c>
      <c r="H157" s="151"/>
      <c r="I157" s="151"/>
      <c r="J157" s="60"/>
      <c r="K157" s="60"/>
      <c r="L157" s="60"/>
      <c r="M157" s="60"/>
      <c r="N157" s="60">
        <f t="shared" si="50"/>
        <v>0</v>
      </c>
      <c r="O157" s="60">
        <f t="shared" si="51"/>
        <v>0</v>
      </c>
    </row>
    <row r="158" spans="1:15" s="38" customFormat="1" ht="10.7" customHeight="1" outlineLevel="1" x14ac:dyDescent="0.25">
      <c r="A158" s="146"/>
      <c r="B158" s="142"/>
      <c r="C158" s="148"/>
      <c r="D158" s="148"/>
      <c r="E158" s="148"/>
      <c r="F158" s="148"/>
      <c r="G158" s="60" t="s">
        <v>130</v>
      </c>
      <c r="H158" s="151"/>
      <c r="I158" s="151"/>
      <c r="J158" s="60"/>
      <c r="K158" s="60"/>
      <c r="L158" s="60"/>
      <c r="M158" s="60"/>
      <c r="N158" s="60">
        <f t="shared" si="50"/>
        <v>0</v>
      </c>
      <c r="O158" s="60">
        <f t="shared" si="51"/>
        <v>0</v>
      </c>
    </row>
    <row r="159" spans="1:15" s="38" customFormat="1" ht="12" customHeight="1" outlineLevel="1" thickBot="1" x14ac:dyDescent="0.3">
      <c r="A159" s="147"/>
      <c r="B159" s="143"/>
      <c r="C159" s="149"/>
      <c r="D159" s="149"/>
      <c r="E159" s="149"/>
      <c r="F159" s="149"/>
      <c r="G159" s="60" t="s">
        <v>131</v>
      </c>
      <c r="H159" s="152"/>
      <c r="I159" s="152"/>
      <c r="J159" s="60"/>
      <c r="K159" s="60"/>
      <c r="L159" s="60"/>
      <c r="M159" s="60"/>
      <c r="N159" s="60">
        <f t="shared" si="50"/>
        <v>0</v>
      </c>
      <c r="O159" s="60">
        <f t="shared" si="51"/>
        <v>0</v>
      </c>
    </row>
    <row r="160" spans="1:15" s="38" customFormat="1" ht="14.45" customHeight="1" outlineLevel="1" x14ac:dyDescent="0.25">
      <c r="A160" s="140" t="s">
        <v>158</v>
      </c>
      <c r="B160" s="141" t="s">
        <v>534</v>
      </c>
      <c r="C160" s="130">
        <f>SUM(N160:N166)</f>
        <v>0</v>
      </c>
      <c r="D160" s="130">
        <f>SUM(O160:O166)</f>
        <v>0</v>
      </c>
      <c r="E160" s="130">
        <f t="shared" si="35"/>
        <v>0</v>
      </c>
      <c r="F160" s="130"/>
      <c r="G160" s="60" t="s">
        <v>125</v>
      </c>
      <c r="H160" s="150"/>
      <c r="I160" s="150"/>
      <c r="J160" s="60"/>
      <c r="K160" s="60"/>
      <c r="L160" s="60"/>
      <c r="M160" s="60"/>
      <c r="N160" s="60">
        <f>M160*J160*K160*L160</f>
        <v>0</v>
      </c>
      <c r="O160" s="60">
        <f>J160*K160*L160</f>
        <v>0</v>
      </c>
    </row>
    <row r="161" spans="1:15" s="38" customFormat="1" ht="11.45" customHeight="1" outlineLevel="1" x14ac:dyDescent="0.25">
      <c r="A161" s="146"/>
      <c r="B161" s="142"/>
      <c r="C161" s="148"/>
      <c r="D161" s="148"/>
      <c r="E161" s="148"/>
      <c r="F161" s="148"/>
      <c r="G161" s="60" t="s">
        <v>126</v>
      </c>
      <c r="H161" s="151"/>
      <c r="I161" s="151"/>
      <c r="J161" s="60"/>
      <c r="K161" s="60"/>
      <c r="L161" s="60"/>
      <c r="M161" s="60"/>
      <c r="N161" s="60">
        <f t="shared" ref="N161:N166" si="52">M161*J161*K161*L161</f>
        <v>0</v>
      </c>
      <c r="O161" s="60">
        <f t="shared" ref="O161:O166" si="53">J161*K161*L161</f>
        <v>0</v>
      </c>
    </row>
    <row r="162" spans="1:15" s="38" customFormat="1" ht="10.7" customHeight="1" outlineLevel="1" x14ac:dyDescent="0.25">
      <c r="A162" s="146"/>
      <c r="B162" s="142"/>
      <c r="C162" s="148"/>
      <c r="D162" s="148"/>
      <c r="E162" s="148"/>
      <c r="F162" s="148"/>
      <c r="G162" s="60" t="s">
        <v>127</v>
      </c>
      <c r="H162" s="151"/>
      <c r="I162" s="151"/>
      <c r="J162" s="60"/>
      <c r="K162" s="60"/>
      <c r="L162" s="60"/>
      <c r="M162" s="60"/>
      <c r="N162" s="60">
        <f t="shared" si="52"/>
        <v>0</v>
      </c>
      <c r="O162" s="60">
        <f t="shared" si="53"/>
        <v>0</v>
      </c>
    </row>
    <row r="163" spans="1:15" s="38" customFormat="1" ht="10.7" customHeight="1" outlineLevel="1" x14ac:dyDescent="0.25">
      <c r="A163" s="146"/>
      <c r="B163" s="142"/>
      <c r="C163" s="148"/>
      <c r="D163" s="148"/>
      <c r="E163" s="148"/>
      <c r="F163" s="148"/>
      <c r="G163" s="60" t="s">
        <v>128</v>
      </c>
      <c r="H163" s="151"/>
      <c r="I163" s="151"/>
      <c r="J163" s="60"/>
      <c r="K163" s="60"/>
      <c r="L163" s="60"/>
      <c r="M163" s="60"/>
      <c r="N163" s="60">
        <f t="shared" si="52"/>
        <v>0</v>
      </c>
      <c r="O163" s="60">
        <f t="shared" si="53"/>
        <v>0</v>
      </c>
    </row>
    <row r="164" spans="1:15" s="38" customFormat="1" ht="10.7" customHeight="1" outlineLevel="1" x14ac:dyDescent="0.25">
      <c r="A164" s="146"/>
      <c r="B164" s="142"/>
      <c r="C164" s="148"/>
      <c r="D164" s="148"/>
      <c r="E164" s="148"/>
      <c r="F164" s="148"/>
      <c r="G164" s="60" t="s">
        <v>129</v>
      </c>
      <c r="H164" s="151"/>
      <c r="I164" s="151"/>
      <c r="J164" s="60"/>
      <c r="K164" s="60"/>
      <c r="L164" s="60"/>
      <c r="M164" s="60"/>
      <c r="N164" s="60">
        <f t="shared" si="52"/>
        <v>0</v>
      </c>
      <c r="O164" s="60">
        <f t="shared" si="53"/>
        <v>0</v>
      </c>
    </row>
    <row r="165" spans="1:15" s="38" customFormat="1" ht="10.7" customHeight="1" outlineLevel="1" x14ac:dyDescent="0.25">
      <c r="A165" s="146"/>
      <c r="B165" s="142"/>
      <c r="C165" s="148"/>
      <c r="D165" s="148"/>
      <c r="E165" s="148"/>
      <c r="F165" s="148"/>
      <c r="G165" s="60" t="s">
        <v>130</v>
      </c>
      <c r="H165" s="151"/>
      <c r="I165" s="151"/>
      <c r="J165" s="60"/>
      <c r="K165" s="60"/>
      <c r="L165" s="60"/>
      <c r="M165" s="60"/>
      <c r="N165" s="60">
        <f t="shared" si="52"/>
        <v>0</v>
      </c>
      <c r="O165" s="60">
        <f t="shared" si="53"/>
        <v>0</v>
      </c>
    </row>
    <row r="166" spans="1:15" s="38" customFormat="1" ht="12" customHeight="1" outlineLevel="1" thickBot="1" x14ac:dyDescent="0.3">
      <c r="A166" s="147"/>
      <c r="B166" s="143"/>
      <c r="C166" s="149"/>
      <c r="D166" s="149"/>
      <c r="E166" s="149"/>
      <c r="F166" s="149"/>
      <c r="G166" s="60" t="s">
        <v>131</v>
      </c>
      <c r="H166" s="152"/>
      <c r="I166" s="152"/>
      <c r="J166" s="60"/>
      <c r="K166" s="60"/>
      <c r="L166" s="60"/>
      <c r="M166" s="60"/>
      <c r="N166" s="60">
        <f t="shared" si="52"/>
        <v>0</v>
      </c>
      <c r="O166" s="60">
        <f t="shared" si="53"/>
        <v>0</v>
      </c>
    </row>
    <row r="167" spans="1:15" s="38" customFormat="1" ht="14.45" customHeight="1" outlineLevel="1" x14ac:dyDescent="0.25">
      <c r="A167" s="140" t="s">
        <v>160</v>
      </c>
      <c r="B167" s="141" t="s">
        <v>535</v>
      </c>
      <c r="C167" s="130">
        <f>SUM(N167:N173)</f>
        <v>0</v>
      </c>
      <c r="D167" s="130">
        <f>SUM(O167:O173)</f>
        <v>0</v>
      </c>
      <c r="E167" s="130">
        <f t="shared" si="35"/>
        <v>0</v>
      </c>
      <c r="F167" s="130"/>
      <c r="G167" s="60" t="s">
        <v>125</v>
      </c>
      <c r="H167" s="150"/>
      <c r="I167" s="150"/>
      <c r="J167" s="60"/>
      <c r="K167" s="60"/>
      <c r="L167" s="60"/>
      <c r="M167" s="60"/>
      <c r="N167" s="60">
        <f>M167*J167*K167*L167</f>
        <v>0</v>
      </c>
      <c r="O167" s="60">
        <f>J167*K167*L167</f>
        <v>0</v>
      </c>
    </row>
    <row r="168" spans="1:15" s="38" customFormat="1" ht="11.45" customHeight="1" outlineLevel="1" x14ac:dyDescent="0.25">
      <c r="A168" s="146"/>
      <c r="B168" s="142"/>
      <c r="C168" s="148"/>
      <c r="D168" s="148"/>
      <c r="E168" s="148"/>
      <c r="F168" s="148"/>
      <c r="G168" s="60" t="s">
        <v>126</v>
      </c>
      <c r="H168" s="151"/>
      <c r="I168" s="151"/>
      <c r="J168" s="60"/>
      <c r="K168" s="60"/>
      <c r="L168" s="60"/>
      <c r="M168" s="60"/>
      <c r="N168" s="60">
        <f t="shared" ref="N168:N173" si="54">M168*J168*K168*L168</f>
        <v>0</v>
      </c>
      <c r="O168" s="60">
        <f t="shared" ref="O168:O173" si="55">J168*K168*L168</f>
        <v>0</v>
      </c>
    </row>
    <row r="169" spans="1:15" s="38" customFormat="1" ht="10.7" customHeight="1" outlineLevel="1" x14ac:dyDescent="0.25">
      <c r="A169" s="146"/>
      <c r="B169" s="142"/>
      <c r="C169" s="148"/>
      <c r="D169" s="148"/>
      <c r="E169" s="148"/>
      <c r="F169" s="148"/>
      <c r="G169" s="60" t="s">
        <v>127</v>
      </c>
      <c r="H169" s="151"/>
      <c r="I169" s="151"/>
      <c r="J169" s="60"/>
      <c r="K169" s="60"/>
      <c r="L169" s="60"/>
      <c r="M169" s="60"/>
      <c r="N169" s="60">
        <f t="shared" si="54"/>
        <v>0</v>
      </c>
      <c r="O169" s="60">
        <f t="shared" si="55"/>
        <v>0</v>
      </c>
    </row>
    <row r="170" spans="1:15" s="38" customFormat="1" ht="10.7" customHeight="1" outlineLevel="1" x14ac:dyDescent="0.25">
      <c r="A170" s="146"/>
      <c r="B170" s="142"/>
      <c r="C170" s="148"/>
      <c r="D170" s="148"/>
      <c r="E170" s="148"/>
      <c r="F170" s="148"/>
      <c r="G170" s="60" t="s">
        <v>128</v>
      </c>
      <c r="H170" s="151"/>
      <c r="I170" s="151"/>
      <c r="J170" s="60"/>
      <c r="K170" s="60"/>
      <c r="L170" s="60"/>
      <c r="M170" s="60"/>
      <c r="N170" s="60">
        <f t="shared" si="54"/>
        <v>0</v>
      </c>
      <c r="O170" s="60">
        <f t="shared" si="55"/>
        <v>0</v>
      </c>
    </row>
    <row r="171" spans="1:15" s="38" customFormat="1" ht="10.7" customHeight="1" outlineLevel="1" x14ac:dyDescent="0.25">
      <c r="A171" s="146"/>
      <c r="B171" s="142"/>
      <c r="C171" s="148"/>
      <c r="D171" s="148"/>
      <c r="E171" s="148"/>
      <c r="F171" s="148"/>
      <c r="G171" s="60" t="s">
        <v>129</v>
      </c>
      <c r="H171" s="151"/>
      <c r="I171" s="151"/>
      <c r="J171" s="60"/>
      <c r="K171" s="60"/>
      <c r="L171" s="60"/>
      <c r="M171" s="60"/>
      <c r="N171" s="60">
        <f t="shared" si="54"/>
        <v>0</v>
      </c>
      <c r="O171" s="60">
        <f t="shared" si="55"/>
        <v>0</v>
      </c>
    </row>
    <row r="172" spans="1:15" s="38" customFormat="1" ht="10.7" customHeight="1" outlineLevel="1" x14ac:dyDescent="0.25">
      <c r="A172" s="146"/>
      <c r="B172" s="142"/>
      <c r="C172" s="148"/>
      <c r="D172" s="148"/>
      <c r="E172" s="148"/>
      <c r="F172" s="148"/>
      <c r="G172" s="60" t="s">
        <v>130</v>
      </c>
      <c r="H172" s="151"/>
      <c r="I172" s="151"/>
      <c r="J172" s="60"/>
      <c r="K172" s="60"/>
      <c r="L172" s="60"/>
      <c r="M172" s="60"/>
      <c r="N172" s="60">
        <f t="shared" si="54"/>
        <v>0</v>
      </c>
      <c r="O172" s="60">
        <f t="shared" si="55"/>
        <v>0</v>
      </c>
    </row>
    <row r="173" spans="1:15" s="38" customFormat="1" ht="12" customHeight="1" outlineLevel="1" thickBot="1" x14ac:dyDescent="0.3">
      <c r="A173" s="147"/>
      <c r="B173" s="143"/>
      <c r="C173" s="149"/>
      <c r="D173" s="149"/>
      <c r="E173" s="149"/>
      <c r="F173" s="149"/>
      <c r="G173" s="60" t="s">
        <v>131</v>
      </c>
      <c r="H173" s="152"/>
      <c r="I173" s="152"/>
      <c r="J173" s="60"/>
      <c r="K173" s="60"/>
      <c r="L173" s="60"/>
      <c r="M173" s="60"/>
      <c r="N173" s="60">
        <f t="shared" si="54"/>
        <v>0</v>
      </c>
      <c r="O173" s="60">
        <f t="shared" si="55"/>
        <v>0</v>
      </c>
    </row>
    <row r="174" spans="1:15" s="38" customFormat="1" ht="14.45" customHeight="1" outlineLevel="1" x14ac:dyDescent="0.25">
      <c r="A174" s="140" t="s">
        <v>162</v>
      </c>
      <c r="B174" s="141" t="s">
        <v>536</v>
      </c>
      <c r="C174" s="130">
        <f>SUM(N174:N180)</f>
        <v>0</v>
      </c>
      <c r="D174" s="130">
        <f>SUM(O174:O180)</f>
        <v>0</v>
      </c>
      <c r="E174" s="130">
        <f t="shared" ref="E174" si="56">D174/8</f>
        <v>0</v>
      </c>
      <c r="F174" s="130"/>
      <c r="G174" s="60" t="s">
        <v>125</v>
      </c>
      <c r="H174" s="150"/>
      <c r="I174" s="150"/>
      <c r="J174" s="60"/>
      <c r="K174" s="60"/>
      <c r="L174" s="60"/>
      <c r="M174" s="60"/>
      <c r="N174" s="60">
        <f>M174*J174*K174*L174</f>
        <v>0</v>
      </c>
      <c r="O174" s="60">
        <f>J174*K174*L174</f>
        <v>0</v>
      </c>
    </row>
    <row r="175" spans="1:15" s="38" customFormat="1" ht="11.45" customHeight="1" outlineLevel="1" x14ac:dyDescent="0.25">
      <c r="A175" s="146"/>
      <c r="B175" s="142"/>
      <c r="C175" s="148"/>
      <c r="D175" s="148"/>
      <c r="E175" s="148"/>
      <c r="F175" s="148"/>
      <c r="G175" s="60" t="s">
        <v>126</v>
      </c>
      <c r="H175" s="151"/>
      <c r="I175" s="151"/>
      <c r="J175" s="60"/>
      <c r="K175" s="60"/>
      <c r="L175" s="60"/>
      <c r="M175" s="60"/>
      <c r="N175" s="60">
        <f t="shared" ref="N175:N180" si="57">M175*J175*K175*L175</f>
        <v>0</v>
      </c>
      <c r="O175" s="60">
        <f t="shared" ref="O175:O180" si="58">J175*K175*L175</f>
        <v>0</v>
      </c>
    </row>
    <row r="176" spans="1:15" s="38" customFormat="1" ht="10.7" customHeight="1" outlineLevel="1" x14ac:dyDescent="0.25">
      <c r="A176" s="146"/>
      <c r="B176" s="142"/>
      <c r="C176" s="148"/>
      <c r="D176" s="148"/>
      <c r="E176" s="148"/>
      <c r="F176" s="148"/>
      <c r="G176" s="60" t="s">
        <v>127</v>
      </c>
      <c r="H176" s="151"/>
      <c r="I176" s="151"/>
      <c r="J176" s="60"/>
      <c r="K176" s="60"/>
      <c r="L176" s="60"/>
      <c r="M176" s="60"/>
      <c r="N176" s="60">
        <f t="shared" si="57"/>
        <v>0</v>
      </c>
      <c r="O176" s="60">
        <f t="shared" si="58"/>
        <v>0</v>
      </c>
    </row>
    <row r="177" spans="1:15" s="38" customFormat="1" ht="10.7" customHeight="1" outlineLevel="1" x14ac:dyDescent="0.25">
      <c r="A177" s="146"/>
      <c r="B177" s="142"/>
      <c r="C177" s="148"/>
      <c r="D177" s="148"/>
      <c r="E177" s="148"/>
      <c r="F177" s="148"/>
      <c r="G177" s="60" t="s">
        <v>128</v>
      </c>
      <c r="H177" s="151"/>
      <c r="I177" s="151"/>
      <c r="J177" s="60"/>
      <c r="K177" s="60"/>
      <c r="L177" s="60"/>
      <c r="M177" s="60"/>
      <c r="N177" s="60">
        <f t="shared" si="57"/>
        <v>0</v>
      </c>
      <c r="O177" s="60">
        <f t="shared" si="58"/>
        <v>0</v>
      </c>
    </row>
    <row r="178" spans="1:15" s="38" customFormat="1" ht="10.7" customHeight="1" outlineLevel="1" x14ac:dyDescent="0.25">
      <c r="A178" s="146"/>
      <c r="B178" s="142"/>
      <c r="C178" s="148"/>
      <c r="D178" s="148"/>
      <c r="E178" s="148"/>
      <c r="F178" s="148"/>
      <c r="G178" s="60" t="s">
        <v>129</v>
      </c>
      <c r="H178" s="151"/>
      <c r="I178" s="151"/>
      <c r="J178" s="60"/>
      <c r="K178" s="60"/>
      <c r="L178" s="60"/>
      <c r="M178" s="60"/>
      <c r="N178" s="60">
        <f t="shared" si="57"/>
        <v>0</v>
      </c>
      <c r="O178" s="60">
        <f t="shared" si="58"/>
        <v>0</v>
      </c>
    </row>
    <row r="179" spans="1:15" s="38" customFormat="1" ht="10.7" customHeight="1" outlineLevel="1" x14ac:dyDescent="0.25">
      <c r="A179" s="146"/>
      <c r="B179" s="142"/>
      <c r="C179" s="148"/>
      <c r="D179" s="148"/>
      <c r="E179" s="148"/>
      <c r="F179" s="148"/>
      <c r="G179" s="60" t="s">
        <v>130</v>
      </c>
      <c r="H179" s="151"/>
      <c r="I179" s="151"/>
      <c r="J179" s="60"/>
      <c r="K179" s="60"/>
      <c r="L179" s="60"/>
      <c r="M179" s="60"/>
      <c r="N179" s="60">
        <f t="shared" si="57"/>
        <v>0</v>
      </c>
      <c r="O179" s="60">
        <f t="shared" si="58"/>
        <v>0</v>
      </c>
    </row>
    <row r="180" spans="1:15" s="38" customFormat="1" ht="12" customHeight="1" outlineLevel="1" thickBot="1" x14ac:dyDescent="0.3">
      <c r="A180" s="147"/>
      <c r="B180" s="143"/>
      <c r="C180" s="149"/>
      <c r="D180" s="149"/>
      <c r="E180" s="153"/>
      <c r="F180" s="153"/>
      <c r="G180" s="60" t="s">
        <v>131</v>
      </c>
      <c r="H180" s="152"/>
      <c r="I180" s="152"/>
      <c r="J180" s="60"/>
      <c r="K180" s="60"/>
      <c r="L180" s="60"/>
      <c r="M180" s="60"/>
      <c r="N180" s="60">
        <f t="shared" si="57"/>
        <v>0</v>
      </c>
      <c r="O180" s="60">
        <f t="shared" si="58"/>
        <v>0</v>
      </c>
    </row>
    <row r="181" spans="1:15" s="39" customFormat="1" ht="15.75" x14ac:dyDescent="0.25">
      <c r="A181" s="40" t="s">
        <v>26</v>
      </c>
      <c r="B181" s="41" t="s">
        <v>145</v>
      </c>
      <c r="C181" s="42">
        <f>SUM(C182:C244)</f>
        <v>0</v>
      </c>
      <c r="D181" s="42">
        <f>SUM(D182:D244)</f>
        <v>0</v>
      </c>
      <c r="E181" s="42">
        <f>SUM(E182:E244)</f>
        <v>0</v>
      </c>
      <c r="F181" s="57"/>
      <c r="G181" s="57"/>
      <c r="H181" s="57"/>
      <c r="I181" s="57"/>
      <c r="J181" s="57"/>
      <c r="K181" s="57"/>
      <c r="L181" s="57"/>
      <c r="M181" s="57"/>
      <c r="N181" s="57"/>
      <c r="O181" s="43"/>
    </row>
    <row r="182" spans="1:15" s="38" customFormat="1" ht="14.45" customHeight="1" outlineLevel="1" x14ac:dyDescent="0.25">
      <c r="A182" s="140" t="s">
        <v>165</v>
      </c>
      <c r="B182" s="141" t="s">
        <v>539</v>
      </c>
      <c r="C182" s="130">
        <f>SUM(N182:N188)</f>
        <v>0</v>
      </c>
      <c r="D182" s="130">
        <f>SUM(O182:O188)</f>
        <v>0</v>
      </c>
      <c r="E182" s="130">
        <f t="shared" ref="E182:E238" si="59">D182/8</f>
        <v>0</v>
      </c>
      <c r="F182" s="130"/>
      <c r="G182" s="60" t="s">
        <v>125</v>
      </c>
      <c r="H182" s="123"/>
      <c r="I182" s="123"/>
      <c r="J182" s="60"/>
      <c r="K182" s="60"/>
      <c r="L182" s="60"/>
      <c r="M182" s="60"/>
      <c r="N182" s="60">
        <f>M182*J182*K182*L182</f>
        <v>0</v>
      </c>
      <c r="O182" s="60">
        <f>J182*K182*L182</f>
        <v>0</v>
      </c>
    </row>
    <row r="183" spans="1:15" s="38" customFormat="1" ht="11.45" customHeight="1" outlineLevel="1" x14ac:dyDescent="0.25">
      <c r="A183" s="146"/>
      <c r="B183" s="142"/>
      <c r="C183" s="115"/>
      <c r="D183" s="115"/>
      <c r="E183" s="115"/>
      <c r="F183" s="115"/>
      <c r="G183" s="60" t="s">
        <v>126</v>
      </c>
      <c r="H183" s="124"/>
      <c r="I183" s="124"/>
      <c r="J183" s="60"/>
      <c r="K183" s="60"/>
      <c r="L183" s="60"/>
      <c r="M183" s="60"/>
      <c r="N183" s="60">
        <f t="shared" ref="N183:N188" si="60">M183*J183*K183*L183</f>
        <v>0</v>
      </c>
      <c r="O183" s="60">
        <f t="shared" ref="O183:O188" si="61">J183*K183*L183</f>
        <v>0</v>
      </c>
    </row>
    <row r="184" spans="1:15" s="38" customFormat="1" ht="10.7" customHeight="1" outlineLevel="1" x14ac:dyDescent="0.25">
      <c r="A184" s="146"/>
      <c r="B184" s="142"/>
      <c r="C184" s="115"/>
      <c r="D184" s="115"/>
      <c r="E184" s="115"/>
      <c r="F184" s="115"/>
      <c r="G184" s="60" t="s">
        <v>127</v>
      </c>
      <c r="H184" s="124"/>
      <c r="I184" s="124"/>
      <c r="J184" s="60"/>
      <c r="K184" s="60"/>
      <c r="L184" s="60"/>
      <c r="M184" s="60"/>
      <c r="N184" s="60">
        <f t="shared" si="60"/>
        <v>0</v>
      </c>
      <c r="O184" s="60">
        <f t="shared" si="61"/>
        <v>0</v>
      </c>
    </row>
    <row r="185" spans="1:15" s="38" customFormat="1" ht="10.7" customHeight="1" outlineLevel="1" x14ac:dyDescent="0.25">
      <c r="A185" s="146"/>
      <c r="B185" s="142"/>
      <c r="C185" s="115"/>
      <c r="D185" s="115"/>
      <c r="E185" s="115"/>
      <c r="F185" s="115"/>
      <c r="G185" s="60" t="s">
        <v>128</v>
      </c>
      <c r="H185" s="124"/>
      <c r="I185" s="124"/>
      <c r="J185" s="60"/>
      <c r="K185" s="60"/>
      <c r="L185" s="60"/>
      <c r="M185" s="60"/>
      <c r="N185" s="60">
        <f t="shared" si="60"/>
        <v>0</v>
      </c>
      <c r="O185" s="60">
        <f t="shared" si="61"/>
        <v>0</v>
      </c>
    </row>
    <row r="186" spans="1:15" s="38" customFormat="1" ht="10.7" customHeight="1" outlineLevel="1" x14ac:dyDescent="0.25">
      <c r="A186" s="146"/>
      <c r="B186" s="142"/>
      <c r="C186" s="115"/>
      <c r="D186" s="115"/>
      <c r="E186" s="115"/>
      <c r="F186" s="115"/>
      <c r="G186" s="60" t="s">
        <v>129</v>
      </c>
      <c r="H186" s="124"/>
      <c r="I186" s="124"/>
      <c r="J186" s="60"/>
      <c r="K186" s="60"/>
      <c r="L186" s="60"/>
      <c r="M186" s="60"/>
      <c r="N186" s="60">
        <f t="shared" si="60"/>
        <v>0</v>
      </c>
      <c r="O186" s="60">
        <f t="shared" si="61"/>
        <v>0</v>
      </c>
    </row>
    <row r="187" spans="1:15" s="38" customFormat="1" ht="10.7" customHeight="1" outlineLevel="1" x14ac:dyDescent="0.25">
      <c r="A187" s="146"/>
      <c r="B187" s="142"/>
      <c r="C187" s="115"/>
      <c r="D187" s="115"/>
      <c r="E187" s="115"/>
      <c r="F187" s="115"/>
      <c r="G187" s="60" t="s">
        <v>130</v>
      </c>
      <c r="H187" s="124"/>
      <c r="I187" s="124"/>
      <c r="J187" s="60"/>
      <c r="K187" s="60"/>
      <c r="L187" s="60"/>
      <c r="M187" s="60"/>
      <c r="N187" s="60">
        <f t="shared" si="60"/>
        <v>0</v>
      </c>
      <c r="O187" s="60">
        <f t="shared" si="61"/>
        <v>0</v>
      </c>
    </row>
    <row r="188" spans="1:15" s="38" customFormat="1" ht="12" customHeight="1" outlineLevel="1" thickBot="1" x14ac:dyDescent="0.3">
      <c r="A188" s="147"/>
      <c r="B188" s="143"/>
      <c r="C188" s="131"/>
      <c r="D188" s="131"/>
      <c r="E188" s="131"/>
      <c r="F188" s="131"/>
      <c r="G188" s="60" t="s">
        <v>131</v>
      </c>
      <c r="H188" s="134"/>
      <c r="I188" s="134"/>
      <c r="J188" s="60"/>
      <c r="K188" s="60"/>
      <c r="L188" s="60"/>
      <c r="M188" s="60"/>
      <c r="N188" s="60">
        <f t="shared" si="60"/>
        <v>0</v>
      </c>
      <c r="O188" s="60">
        <f t="shared" si="61"/>
        <v>0</v>
      </c>
    </row>
    <row r="189" spans="1:15" s="38" customFormat="1" ht="14.45" customHeight="1" outlineLevel="1" x14ac:dyDescent="0.25">
      <c r="A189" s="140" t="s">
        <v>167</v>
      </c>
      <c r="B189" s="141" t="s">
        <v>540</v>
      </c>
      <c r="C189" s="130">
        <f>SUM(N189:N195)</f>
        <v>0</v>
      </c>
      <c r="D189" s="130">
        <f>SUM(O189:O195)</f>
        <v>0</v>
      </c>
      <c r="E189" s="130">
        <f t="shared" si="59"/>
        <v>0</v>
      </c>
      <c r="F189" s="130"/>
      <c r="G189" s="60" t="s">
        <v>125</v>
      </c>
      <c r="H189" s="123"/>
      <c r="I189" s="123"/>
      <c r="J189" s="60"/>
      <c r="K189" s="60"/>
      <c r="L189" s="60"/>
      <c r="M189" s="60"/>
      <c r="N189" s="60">
        <f>M189*J189*K189*L189</f>
        <v>0</v>
      </c>
      <c r="O189" s="60">
        <f>J189*K189*L189</f>
        <v>0</v>
      </c>
    </row>
    <row r="190" spans="1:15" s="38" customFormat="1" ht="11.45" customHeight="1" outlineLevel="1" x14ac:dyDescent="0.25">
      <c r="A190" s="146"/>
      <c r="B190" s="142"/>
      <c r="C190" s="115"/>
      <c r="D190" s="115"/>
      <c r="E190" s="115"/>
      <c r="F190" s="115"/>
      <c r="G190" s="60" t="s">
        <v>126</v>
      </c>
      <c r="H190" s="124"/>
      <c r="I190" s="124"/>
      <c r="J190" s="60"/>
      <c r="K190" s="60"/>
      <c r="L190" s="60"/>
      <c r="M190" s="60"/>
      <c r="N190" s="60">
        <f t="shared" ref="N190:N195" si="62">M190*J190*K190*L190</f>
        <v>0</v>
      </c>
      <c r="O190" s="60">
        <f t="shared" ref="O190:O195" si="63">J190*K190*L190</f>
        <v>0</v>
      </c>
    </row>
    <row r="191" spans="1:15" s="38" customFormat="1" ht="10.7" customHeight="1" outlineLevel="1" x14ac:dyDescent="0.25">
      <c r="A191" s="146"/>
      <c r="B191" s="142"/>
      <c r="C191" s="115"/>
      <c r="D191" s="115"/>
      <c r="E191" s="115"/>
      <c r="F191" s="115"/>
      <c r="G191" s="60" t="s">
        <v>127</v>
      </c>
      <c r="H191" s="124"/>
      <c r="I191" s="124"/>
      <c r="J191" s="60"/>
      <c r="K191" s="60"/>
      <c r="L191" s="60"/>
      <c r="M191" s="60"/>
      <c r="N191" s="60">
        <f t="shared" si="62"/>
        <v>0</v>
      </c>
      <c r="O191" s="60">
        <f t="shared" si="63"/>
        <v>0</v>
      </c>
    </row>
    <row r="192" spans="1:15" s="38" customFormat="1" ht="10.7" customHeight="1" outlineLevel="1" x14ac:dyDescent="0.25">
      <c r="A192" s="146"/>
      <c r="B192" s="142"/>
      <c r="C192" s="115"/>
      <c r="D192" s="115"/>
      <c r="E192" s="115"/>
      <c r="F192" s="115"/>
      <c r="G192" s="60" t="s">
        <v>128</v>
      </c>
      <c r="H192" s="124"/>
      <c r="I192" s="124"/>
      <c r="J192" s="60"/>
      <c r="K192" s="60"/>
      <c r="L192" s="60"/>
      <c r="M192" s="60"/>
      <c r="N192" s="60">
        <f t="shared" si="62"/>
        <v>0</v>
      </c>
      <c r="O192" s="60">
        <f t="shared" si="63"/>
        <v>0</v>
      </c>
    </row>
    <row r="193" spans="1:15" s="38" customFormat="1" ht="10.7" customHeight="1" outlineLevel="1" x14ac:dyDescent="0.25">
      <c r="A193" s="146"/>
      <c r="B193" s="142"/>
      <c r="C193" s="115"/>
      <c r="D193" s="115"/>
      <c r="E193" s="115"/>
      <c r="F193" s="115"/>
      <c r="G193" s="60" t="s">
        <v>129</v>
      </c>
      <c r="H193" s="124"/>
      <c r="I193" s="124"/>
      <c r="J193" s="60"/>
      <c r="K193" s="60"/>
      <c r="L193" s="60"/>
      <c r="M193" s="60"/>
      <c r="N193" s="60">
        <f t="shared" si="62"/>
        <v>0</v>
      </c>
      <c r="O193" s="60">
        <f t="shared" si="63"/>
        <v>0</v>
      </c>
    </row>
    <row r="194" spans="1:15" s="38" customFormat="1" ht="10.7" customHeight="1" outlineLevel="1" x14ac:dyDescent="0.25">
      <c r="A194" s="146"/>
      <c r="B194" s="142"/>
      <c r="C194" s="115"/>
      <c r="D194" s="115"/>
      <c r="E194" s="115"/>
      <c r="F194" s="115"/>
      <c r="G194" s="60" t="s">
        <v>130</v>
      </c>
      <c r="H194" s="124"/>
      <c r="I194" s="124"/>
      <c r="J194" s="60"/>
      <c r="K194" s="60"/>
      <c r="L194" s="60"/>
      <c r="M194" s="60"/>
      <c r="N194" s="60">
        <f t="shared" si="62"/>
        <v>0</v>
      </c>
      <c r="O194" s="60">
        <f t="shared" si="63"/>
        <v>0</v>
      </c>
    </row>
    <row r="195" spans="1:15" s="38" customFormat="1" ht="12" customHeight="1" outlineLevel="1" thickBot="1" x14ac:dyDescent="0.3">
      <c r="A195" s="147"/>
      <c r="B195" s="143"/>
      <c r="C195" s="131"/>
      <c r="D195" s="131"/>
      <c r="E195" s="131"/>
      <c r="F195" s="131"/>
      <c r="G195" s="60" t="s">
        <v>131</v>
      </c>
      <c r="H195" s="134"/>
      <c r="I195" s="134"/>
      <c r="J195" s="60"/>
      <c r="K195" s="60"/>
      <c r="L195" s="60"/>
      <c r="M195" s="60"/>
      <c r="N195" s="60">
        <f t="shared" si="62"/>
        <v>0</v>
      </c>
      <c r="O195" s="60">
        <f t="shared" si="63"/>
        <v>0</v>
      </c>
    </row>
    <row r="196" spans="1:15" s="38" customFormat="1" ht="14.45" customHeight="1" outlineLevel="1" x14ac:dyDescent="0.25">
      <c r="A196" s="140" t="s">
        <v>169</v>
      </c>
      <c r="B196" s="141" t="s">
        <v>541</v>
      </c>
      <c r="C196" s="130">
        <f>SUM(N196:N202)</f>
        <v>0</v>
      </c>
      <c r="D196" s="130">
        <f>SUM(O196:O202)</f>
        <v>0</v>
      </c>
      <c r="E196" s="130">
        <f t="shared" si="59"/>
        <v>0</v>
      </c>
      <c r="F196" s="130"/>
      <c r="G196" s="60" t="s">
        <v>125</v>
      </c>
      <c r="H196" s="123"/>
      <c r="I196" s="123"/>
      <c r="J196" s="60"/>
      <c r="K196" s="60"/>
      <c r="L196" s="60"/>
      <c r="M196" s="60"/>
      <c r="N196" s="60">
        <f>M196*J196*K196*L196</f>
        <v>0</v>
      </c>
      <c r="O196" s="60">
        <f>J196*K196*L196</f>
        <v>0</v>
      </c>
    </row>
    <row r="197" spans="1:15" s="38" customFormat="1" ht="11.45" customHeight="1" outlineLevel="1" x14ac:dyDescent="0.25">
      <c r="A197" s="146"/>
      <c r="B197" s="142"/>
      <c r="C197" s="115"/>
      <c r="D197" s="115"/>
      <c r="E197" s="115"/>
      <c r="F197" s="115"/>
      <c r="G197" s="60" t="s">
        <v>126</v>
      </c>
      <c r="H197" s="124"/>
      <c r="I197" s="124"/>
      <c r="J197" s="60"/>
      <c r="K197" s="60"/>
      <c r="L197" s="60"/>
      <c r="M197" s="60"/>
      <c r="N197" s="60">
        <f t="shared" ref="N197:N202" si="64">M197*J197*K197*L197</f>
        <v>0</v>
      </c>
      <c r="O197" s="60">
        <f t="shared" ref="O197:O202" si="65">J197*K197*L197</f>
        <v>0</v>
      </c>
    </row>
    <row r="198" spans="1:15" s="38" customFormat="1" ht="10.7" customHeight="1" outlineLevel="1" x14ac:dyDescent="0.25">
      <c r="A198" s="146"/>
      <c r="B198" s="142"/>
      <c r="C198" s="115"/>
      <c r="D198" s="115"/>
      <c r="E198" s="115"/>
      <c r="F198" s="115"/>
      <c r="G198" s="60" t="s">
        <v>127</v>
      </c>
      <c r="H198" s="124"/>
      <c r="I198" s="124"/>
      <c r="J198" s="60"/>
      <c r="K198" s="60"/>
      <c r="L198" s="60"/>
      <c r="M198" s="60"/>
      <c r="N198" s="60">
        <f t="shared" si="64"/>
        <v>0</v>
      </c>
      <c r="O198" s="60">
        <f t="shared" si="65"/>
        <v>0</v>
      </c>
    </row>
    <row r="199" spans="1:15" s="38" customFormat="1" ht="10.7" customHeight="1" outlineLevel="1" x14ac:dyDescent="0.25">
      <c r="A199" s="146"/>
      <c r="B199" s="142"/>
      <c r="C199" s="115"/>
      <c r="D199" s="115"/>
      <c r="E199" s="115"/>
      <c r="F199" s="115"/>
      <c r="G199" s="60" t="s">
        <v>128</v>
      </c>
      <c r="H199" s="124"/>
      <c r="I199" s="124"/>
      <c r="J199" s="60"/>
      <c r="K199" s="60"/>
      <c r="L199" s="60"/>
      <c r="M199" s="60"/>
      <c r="N199" s="60">
        <f t="shared" si="64"/>
        <v>0</v>
      </c>
      <c r="O199" s="60">
        <f t="shared" si="65"/>
        <v>0</v>
      </c>
    </row>
    <row r="200" spans="1:15" s="38" customFormat="1" ht="10.7" customHeight="1" outlineLevel="1" x14ac:dyDescent="0.25">
      <c r="A200" s="146"/>
      <c r="B200" s="142"/>
      <c r="C200" s="115"/>
      <c r="D200" s="115"/>
      <c r="E200" s="115"/>
      <c r="F200" s="115"/>
      <c r="G200" s="60" t="s">
        <v>129</v>
      </c>
      <c r="H200" s="124"/>
      <c r="I200" s="124"/>
      <c r="J200" s="60"/>
      <c r="K200" s="60"/>
      <c r="L200" s="60"/>
      <c r="M200" s="60"/>
      <c r="N200" s="60">
        <f t="shared" si="64"/>
        <v>0</v>
      </c>
      <c r="O200" s="60">
        <f t="shared" si="65"/>
        <v>0</v>
      </c>
    </row>
    <row r="201" spans="1:15" s="38" customFormat="1" ht="10.7" customHeight="1" outlineLevel="1" x14ac:dyDescent="0.25">
      <c r="A201" s="146"/>
      <c r="B201" s="142"/>
      <c r="C201" s="115"/>
      <c r="D201" s="115"/>
      <c r="E201" s="115"/>
      <c r="F201" s="115"/>
      <c r="G201" s="60" t="s">
        <v>130</v>
      </c>
      <c r="H201" s="124"/>
      <c r="I201" s="124"/>
      <c r="J201" s="60"/>
      <c r="K201" s="60"/>
      <c r="L201" s="60"/>
      <c r="M201" s="60"/>
      <c r="N201" s="60">
        <f t="shared" si="64"/>
        <v>0</v>
      </c>
      <c r="O201" s="60">
        <f t="shared" si="65"/>
        <v>0</v>
      </c>
    </row>
    <row r="202" spans="1:15" s="38" customFormat="1" ht="12" customHeight="1" outlineLevel="1" thickBot="1" x14ac:dyDescent="0.3">
      <c r="A202" s="147"/>
      <c r="B202" s="143"/>
      <c r="C202" s="131"/>
      <c r="D202" s="131"/>
      <c r="E202" s="131"/>
      <c r="F202" s="131"/>
      <c r="G202" s="60" t="s">
        <v>131</v>
      </c>
      <c r="H202" s="134"/>
      <c r="I202" s="134"/>
      <c r="J202" s="60"/>
      <c r="K202" s="60"/>
      <c r="L202" s="60"/>
      <c r="M202" s="60"/>
      <c r="N202" s="60">
        <f t="shared" si="64"/>
        <v>0</v>
      </c>
      <c r="O202" s="60">
        <f t="shared" si="65"/>
        <v>0</v>
      </c>
    </row>
    <row r="203" spans="1:15" s="38" customFormat="1" ht="14.45" customHeight="1" outlineLevel="1" x14ac:dyDescent="0.25">
      <c r="A203" s="140" t="s">
        <v>436</v>
      </c>
      <c r="B203" s="141" t="s">
        <v>542</v>
      </c>
      <c r="C203" s="130">
        <f>SUM(N203:N209)</f>
        <v>0</v>
      </c>
      <c r="D203" s="130">
        <f>SUM(O203:O209)</f>
        <v>0</v>
      </c>
      <c r="E203" s="130">
        <f t="shared" si="59"/>
        <v>0</v>
      </c>
      <c r="F203" s="130"/>
      <c r="G203" s="60" t="s">
        <v>125</v>
      </c>
      <c r="H203" s="123"/>
      <c r="I203" s="123"/>
      <c r="J203" s="60"/>
      <c r="K203" s="60"/>
      <c r="L203" s="60"/>
      <c r="M203" s="60"/>
      <c r="N203" s="60">
        <f>M203*J203*K203*L203</f>
        <v>0</v>
      </c>
      <c r="O203" s="60">
        <f>J203*K203*L203</f>
        <v>0</v>
      </c>
    </row>
    <row r="204" spans="1:15" s="38" customFormat="1" ht="11.45" customHeight="1" outlineLevel="1" x14ac:dyDescent="0.25">
      <c r="A204" s="146"/>
      <c r="B204" s="142"/>
      <c r="C204" s="115"/>
      <c r="D204" s="115"/>
      <c r="E204" s="115"/>
      <c r="F204" s="115"/>
      <c r="G204" s="60" t="s">
        <v>126</v>
      </c>
      <c r="H204" s="124"/>
      <c r="I204" s="124"/>
      <c r="J204" s="60"/>
      <c r="K204" s="60"/>
      <c r="L204" s="60"/>
      <c r="M204" s="60"/>
      <c r="N204" s="60">
        <f t="shared" ref="N204:N209" si="66">M204*J204*K204*L204</f>
        <v>0</v>
      </c>
      <c r="O204" s="60">
        <f t="shared" ref="O204:O209" si="67">J204*K204*L204</f>
        <v>0</v>
      </c>
    </row>
    <row r="205" spans="1:15" s="38" customFormat="1" ht="10.7" customHeight="1" outlineLevel="1" x14ac:dyDescent="0.25">
      <c r="A205" s="146"/>
      <c r="B205" s="142"/>
      <c r="C205" s="115"/>
      <c r="D205" s="115"/>
      <c r="E205" s="115"/>
      <c r="F205" s="115"/>
      <c r="G205" s="60" t="s">
        <v>127</v>
      </c>
      <c r="H205" s="124"/>
      <c r="I205" s="124"/>
      <c r="J205" s="60"/>
      <c r="K205" s="60"/>
      <c r="L205" s="60"/>
      <c r="M205" s="60"/>
      <c r="N205" s="60">
        <f t="shared" si="66"/>
        <v>0</v>
      </c>
      <c r="O205" s="60">
        <f t="shared" si="67"/>
        <v>0</v>
      </c>
    </row>
    <row r="206" spans="1:15" s="38" customFormat="1" ht="10.7" customHeight="1" outlineLevel="1" x14ac:dyDescent="0.25">
      <c r="A206" s="146"/>
      <c r="B206" s="142"/>
      <c r="C206" s="115"/>
      <c r="D206" s="115"/>
      <c r="E206" s="115"/>
      <c r="F206" s="115"/>
      <c r="G206" s="60" t="s">
        <v>128</v>
      </c>
      <c r="H206" s="124"/>
      <c r="I206" s="124"/>
      <c r="J206" s="60"/>
      <c r="K206" s="60"/>
      <c r="L206" s="60"/>
      <c r="M206" s="60"/>
      <c r="N206" s="60">
        <f t="shared" si="66"/>
        <v>0</v>
      </c>
      <c r="O206" s="60">
        <f t="shared" si="67"/>
        <v>0</v>
      </c>
    </row>
    <row r="207" spans="1:15" s="38" customFormat="1" ht="10.7" customHeight="1" outlineLevel="1" x14ac:dyDescent="0.25">
      <c r="A207" s="146"/>
      <c r="B207" s="142"/>
      <c r="C207" s="115"/>
      <c r="D207" s="115"/>
      <c r="E207" s="115"/>
      <c r="F207" s="115"/>
      <c r="G207" s="60" t="s">
        <v>129</v>
      </c>
      <c r="H207" s="124"/>
      <c r="I207" s="124"/>
      <c r="J207" s="60"/>
      <c r="K207" s="60"/>
      <c r="L207" s="60"/>
      <c r="M207" s="60"/>
      <c r="N207" s="60">
        <f t="shared" si="66"/>
        <v>0</v>
      </c>
      <c r="O207" s="60">
        <f t="shared" si="67"/>
        <v>0</v>
      </c>
    </row>
    <row r="208" spans="1:15" s="38" customFormat="1" ht="10.7" customHeight="1" outlineLevel="1" x14ac:dyDescent="0.25">
      <c r="A208" s="146"/>
      <c r="B208" s="142"/>
      <c r="C208" s="115"/>
      <c r="D208" s="115"/>
      <c r="E208" s="115"/>
      <c r="F208" s="115"/>
      <c r="G208" s="60" t="s">
        <v>130</v>
      </c>
      <c r="H208" s="124"/>
      <c r="I208" s="124"/>
      <c r="J208" s="60"/>
      <c r="K208" s="60"/>
      <c r="L208" s="60"/>
      <c r="M208" s="60"/>
      <c r="N208" s="60">
        <f t="shared" si="66"/>
        <v>0</v>
      </c>
      <c r="O208" s="60">
        <f t="shared" si="67"/>
        <v>0</v>
      </c>
    </row>
    <row r="209" spans="1:15" s="38" customFormat="1" ht="12" customHeight="1" outlineLevel="1" thickBot="1" x14ac:dyDescent="0.3">
      <c r="A209" s="147"/>
      <c r="B209" s="143"/>
      <c r="C209" s="131"/>
      <c r="D209" s="131"/>
      <c r="E209" s="131"/>
      <c r="F209" s="131"/>
      <c r="G209" s="60" t="s">
        <v>131</v>
      </c>
      <c r="H209" s="134"/>
      <c r="I209" s="134"/>
      <c r="J209" s="60"/>
      <c r="K209" s="60"/>
      <c r="L209" s="60"/>
      <c r="M209" s="60"/>
      <c r="N209" s="60">
        <f t="shared" si="66"/>
        <v>0</v>
      </c>
      <c r="O209" s="60">
        <f t="shared" si="67"/>
        <v>0</v>
      </c>
    </row>
    <row r="210" spans="1:15" s="38" customFormat="1" ht="14.45" customHeight="1" outlineLevel="1" x14ac:dyDescent="0.25">
      <c r="A210" s="140" t="s">
        <v>438</v>
      </c>
      <c r="B210" s="141" t="s">
        <v>543</v>
      </c>
      <c r="C210" s="130">
        <f>SUM(N210:N216)</f>
        <v>0</v>
      </c>
      <c r="D210" s="130">
        <f>SUM(O210:O216)</f>
        <v>0</v>
      </c>
      <c r="E210" s="130">
        <f t="shared" si="59"/>
        <v>0</v>
      </c>
      <c r="F210" s="130"/>
      <c r="G210" s="60" t="s">
        <v>125</v>
      </c>
      <c r="H210" s="123"/>
      <c r="I210" s="123"/>
      <c r="J210" s="60"/>
      <c r="K210" s="60"/>
      <c r="L210" s="60"/>
      <c r="M210" s="60"/>
      <c r="N210" s="60">
        <f>M210*J210*K210*L210</f>
        <v>0</v>
      </c>
      <c r="O210" s="60">
        <f>J210*K210*L210</f>
        <v>0</v>
      </c>
    </row>
    <row r="211" spans="1:15" s="38" customFormat="1" ht="11.45" customHeight="1" outlineLevel="1" x14ac:dyDescent="0.25">
      <c r="A211" s="146"/>
      <c r="B211" s="142"/>
      <c r="C211" s="115"/>
      <c r="D211" s="115"/>
      <c r="E211" s="115"/>
      <c r="F211" s="115"/>
      <c r="G211" s="60" t="s">
        <v>126</v>
      </c>
      <c r="H211" s="124"/>
      <c r="I211" s="124"/>
      <c r="J211" s="60"/>
      <c r="K211" s="60"/>
      <c r="L211" s="60"/>
      <c r="M211" s="60"/>
      <c r="N211" s="60">
        <f t="shared" ref="N211:N216" si="68">M211*J211*K211*L211</f>
        <v>0</v>
      </c>
      <c r="O211" s="60">
        <f t="shared" ref="O211:O216" si="69">J211*K211*L211</f>
        <v>0</v>
      </c>
    </row>
    <row r="212" spans="1:15" s="38" customFormat="1" ht="10.7" customHeight="1" outlineLevel="1" x14ac:dyDescent="0.25">
      <c r="A212" s="146"/>
      <c r="B212" s="142"/>
      <c r="C212" s="115"/>
      <c r="D212" s="115"/>
      <c r="E212" s="115"/>
      <c r="F212" s="115"/>
      <c r="G212" s="60" t="s">
        <v>127</v>
      </c>
      <c r="H212" s="124"/>
      <c r="I212" s="124"/>
      <c r="J212" s="60"/>
      <c r="K212" s="60"/>
      <c r="L212" s="60"/>
      <c r="M212" s="60"/>
      <c r="N212" s="60">
        <f t="shared" si="68"/>
        <v>0</v>
      </c>
      <c r="O212" s="60">
        <f t="shared" si="69"/>
        <v>0</v>
      </c>
    </row>
    <row r="213" spans="1:15" s="38" customFormat="1" ht="10.7" customHeight="1" outlineLevel="1" x14ac:dyDescent="0.25">
      <c r="A213" s="146"/>
      <c r="B213" s="142"/>
      <c r="C213" s="115"/>
      <c r="D213" s="115"/>
      <c r="E213" s="115"/>
      <c r="F213" s="115"/>
      <c r="G213" s="60" t="s">
        <v>128</v>
      </c>
      <c r="H213" s="124"/>
      <c r="I213" s="124"/>
      <c r="J213" s="60"/>
      <c r="K213" s="60"/>
      <c r="L213" s="60"/>
      <c r="M213" s="60"/>
      <c r="N213" s="60">
        <f t="shared" si="68"/>
        <v>0</v>
      </c>
      <c r="O213" s="60">
        <f t="shared" si="69"/>
        <v>0</v>
      </c>
    </row>
    <row r="214" spans="1:15" s="38" customFormat="1" ht="10.7" customHeight="1" outlineLevel="1" x14ac:dyDescent="0.25">
      <c r="A214" s="146"/>
      <c r="B214" s="142"/>
      <c r="C214" s="115"/>
      <c r="D214" s="115"/>
      <c r="E214" s="115"/>
      <c r="F214" s="115"/>
      <c r="G214" s="60" t="s">
        <v>129</v>
      </c>
      <c r="H214" s="124"/>
      <c r="I214" s="124"/>
      <c r="J214" s="60"/>
      <c r="K214" s="60"/>
      <c r="L214" s="60"/>
      <c r="M214" s="60"/>
      <c r="N214" s="60">
        <f t="shared" si="68"/>
        <v>0</v>
      </c>
      <c r="O214" s="60">
        <f t="shared" si="69"/>
        <v>0</v>
      </c>
    </row>
    <row r="215" spans="1:15" s="38" customFormat="1" ht="10.7" customHeight="1" outlineLevel="1" x14ac:dyDescent="0.25">
      <c r="A215" s="146"/>
      <c r="B215" s="142"/>
      <c r="C215" s="115"/>
      <c r="D215" s="115"/>
      <c r="E215" s="115"/>
      <c r="F215" s="115"/>
      <c r="G215" s="60" t="s">
        <v>130</v>
      </c>
      <c r="H215" s="124"/>
      <c r="I215" s="124"/>
      <c r="J215" s="60"/>
      <c r="K215" s="60"/>
      <c r="L215" s="60"/>
      <c r="M215" s="60"/>
      <c r="N215" s="60">
        <f t="shared" si="68"/>
        <v>0</v>
      </c>
      <c r="O215" s="60">
        <f t="shared" si="69"/>
        <v>0</v>
      </c>
    </row>
    <row r="216" spans="1:15" s="38" customFormat="1" ht="12" customHeight="1" outlineLevel="1" thickBot="1" x14ac:dyDescent="0.3">
      <c r="A216" s="147"/>
      <c r="B216" s="143"/>
      <c r="C216" s="131"/>
      <c r="D216" s="131"/>
      <c r="E216" s="131"/>
      <c r="F216" s="131"/>
      <c r="G216" s="60" t="s">
        <v>131</v>
      </c>
      <c r="H216" s="134"/>
      <c r="I216" s="134"/>
      <c r="J216" s="60"/>
      <c r="K216" s="60"/>
      <c r="L216" s="60"/>
      <c r="M216" s="60"/>
      <c r="N216" s="60">
        <f t="shared" si="68"/>
        <v>0</v>
      </c>
      <c r="O216" s="60">
        <f t="shared" si="69"/>
        <v>0</v>
      </c>
    </row>
    <row r="217" spans="1:15" s="38" customFormat="1" ht="14.45" customHeight="1" outlineLevel="1" x14ac:dyDescent="0.25">
      <c r="A217" s="140" t="s">
        <v>440</v>
      </c>
      <c r="B217" s="141" t="s">
        <v>602</v>
      </c>
      <c r="C217" s="130">
        <f>SUM(N217:N223)</f>
        <v>0</v>
      </c>
      <c r="D217" s="130">
        <f>SUM(O217:O223)</f>
        <v>0</v>
      </c>
      <c r="E217" s="130">
        <f t="shared" si="59"/>
        <v>0</v>
      </c>
      <c r="F217" s="130"/>
      <c r="G217" s="60" t="s">
        <v>125</v>
      </c>
      <c r="H217" s="123"/>
      <c r="I217" s="123"/>
      <c r="J217" s="60"/>
      <c r="K217" s="60"/>
      <c r="L217" s="60"/>
      <c r="M217" s="60"/>
      <c r="N217" s="60">
        <f>M217*J217*K217*L217</f>
        <v>0</v>
      </c>
      <c r="O217" s="60">
        <f>J217*K217*L217</f>
        <v>0</v>
      </c>
    </row>
    <row r="218" spans="1:15" s="38" customFormat="1" ht="11.45" customHeight="1" outlineLevel="1" x14ac:dyDescent="0.25">
      <c r="A218" s="146"/>
      <c r="B218" s="142"/>
      <c r="C218" s="115"/>
      <c r="D218" s="115"/>
      <c r="E218" s="115"/>
      <c r="F218" s="115"/>
      <c r="G218" s="60" t="s">
        <v>126</v>
      </c>
      <c r="H218" s="124"/>
      <c r="I218" s="124"/>
      <c r="J218" s="60"/>
      <c r="K218" s="60"/>
      <c r="L218" s="60"/>
      <c r="M218" s="60"/>
      <c r="N218" s="60">
        <f t="shared" ref="N218:N223" si="70">M218*J218*K218*L218</f>
        <v>0</v>
      </c>
      <c r="O218" s="60">
        <f t="shared" ref="O218:O223" si="71">J218*K218*L218</f>
        <v>0</v>
      </c>
    </row>
    <row r="219" spans="1:15" s="38" customFormat="1" ht="10.7" customHeight="1" outlineLevel="1" x14ac:dyDescent="0.25">
      <c r="A219" s="146"/>
      <c r="B219" s="142"/>
      <c r="C219" s="115"/>
      <c r="D219" s="115"/>
      <c r="E219" s="115"/>
      <c r="F219" s="115"/>
      <c r="G219" s="60" t="s">
        <v>127</v>
      </c>
      <c r="H219" s="124"/>
      <c r="I219" s="124"/>
      <c r="J219" s="60"/>
      <c r="K219" s="60"/>
      <c r="L219" s="60"/>
      <c r="M219" s="60"/>
      <c r="N219" s="60">
        <f t="shared" si="70"/>
        <v>0</v>
      </c>
      <c r="O219" s="60">
        <f t="shared" si="71"/>
        <v>0</v>
      </c>
    </row>
    <row r="220" spans="1:15" s="38" customFormat="1" ht="10.7" customHeight="1" outlineLevel="1" x14ac:dyDescent="0.25">
      <c r="A220" s="146"/>
      <c r="B220" s="142"/>
      <c r="C220" s="115"/>
      <c r="D220" s="115"/>
      <c r="E220" s="115"/>
      <c r="F220" s="115"/>
      <c r="G220" s="60" t="s">
        <v>128</v>
      </c>
      <c r="H220" s="124"/>
      <c r="I220" s="124"/>
      <c r="J220" s="60"/>
      <c r="K220" s="60"/>
      <c r="L220" s="60"/>
      <c r="M220" s="60"/>
      <c r="N220" s="60">
        <f t="shared" si="70"/>
        <v>0</v>
      </c>
      <c r="O220" s="60">
        <f t="shared" si="71"/>
        <v>0</v>
      </c>
    </row>
    <row r="221" spans="1:15" s="38" customFormat="1" ht="10.7" customHeight="1" outlineLevel="1" x14ac:dyDescent="0.25">
      <c r="A221" s="146"/>
      <c r="B221" s="142"/>
      <c r="C221" s="115"/>
      <c r="D221" s="115"/>
      <c r="E221" s="115"/>
      <c r="F221" s="115"/>
      <c r="G221" s="60" t="s">
        <v>129</v>
      </c>
      <c r="H221" s="124"/>
      <c r="I221" s="124"/>
      <c r="J221" s="60"/>
      <c r="K221" s="60"/>
      <c r="L221" s="60"/>
      <c r="M221" s="60"/>
      <c r="N221" s="60">
        <f t="shared" si="70"/>
        <v>0</v>
      </c>
      <c r="O221" s="60">
        <f t="shared" si="71"/>
        <v>0</v>
      </c>
    </row>
    <row r="222" spans="1:15" s="38" customFormat="1" ht="10.7" customHeight="1" outlineLevel="1" x14ac:dyDescent="0.25">
      <c r="A222" s="146"/>
      <c r="B222" s="142"/>
      <c r="C222" s="115"/>
      <c r="D222" s="115"/>
      <c r="E222" s="115"/>
      <c r="F222" s="115"/>
      <c r="G222" s="60" t="s">
        <v>130</v>
      </c>
      <c r="H222" s="124"/>
      <c r="I222" s="124"/>
      <c r="J222" s="60"/>
      <c r="K222" s="60"/>
      <c r="L222" s="60"/>
      <c r="M222" s="60"/>
      <c r="N222" s="60">
        <f t="shared" si="70"/>
        <v>0</v>
      </c>
      <c r="O222" s="60">
        <f t="shared" si="71"/>
        <v>0</v>
      </c>
    </row>
    <row r="223" spans="1:15" s="38" customFormat="1" ht="12" customHeight="1" outlineLevel="1" thickBot="1" x14ac:dyDescent="0.3">
      <c r="A223" s="147"/>
      <c r="B223" s="143"/>
      <c r="C223" s="131"/>
      <c r="D223" s="131"/>
      <c r="E223" s="131"/>
      <c r="F223" s="131"/>
      <c r="G223" s="60" t="s">
        <v>131</v>
      </c>
      <c r="H223" s="134"/>
      <c r="I223" s="134"/>
      <c r="J223" s="60"/>
      <c r="K223" s="60"/>
      <c r="L223" s="60"/>
      <c r="M223" s="60"/>
      <c r="N223" s="60">
        <f t="shared" si="70"/>
        <v>0</v>
      </c>
      <c r="O223" s="60">
        <f t="shared" si="71"/>
        <v>0</v>
      </c>
    </row>
    <row r="224" spans="1:15" s="38" customFormat="1" ht="14.45" customHeight="1" outlineLevel="1" x14ac:dyDescent="0.25">
      <c r="A224" s="140" t="s">
        <v>442</v>
      </c>
      <c r="B224" s="141" t="s">
        <v>545</v>
      </c>
      <c r="C224" s="130">
        <f>SUM(N224:N230)</f>
        <v>0</v>
      </c>
      <c r="D224" s="130">
        <f>SUM(O224:O230)</f>
        <v>0</v>
      </c>
      <c r="E224" s="130">
        <f t="shared" si="59"/>
        <v>0</v>
      </c>
      <c r="F224" s="130"/>
      <c r="G224" s="60" t="s">
        <v>125</v>
      </c>
      <c r="H224" s="123"/>
      <c r="I224" s="123"/>
      <c r="J224" s="60"/>
      <c r="K224" s="60"/>
      <c r="L224" s="60"/>
      <c r="M224" s="60"/>
      <c r="N224" s="60">
        <f>M224*J224*K224*L224</f>
        <v>0</v>
      </c>
      <c r="O224" s="60">
        <f>J224*K224*L224</f>
        <v>0</v>
      </c>
    </row>
    <row r="225" spans="1:15" s="38" customFormat="1" ht="11.45" customHeight="1" outlineLevel="1" x14ac:dyDescent="0.25">
      <c r="A225" s="146"/>
      <c r="B225" s="142"/>
      <c r="C225" s="115"/>
      <c r="D225" s="115"/>
      <c r="E225" s="115"/>
      <c r="F225" s="115"/>
      <c r="G225" s="60" t="s">
        <v>126</v>
      </c>
      <c r="H225" s="124"/>
      <c r="I225" s="124"/>
      <c r="J225" s="60"/>
      <c r="K225" s="60"/>
      <c r="L225" s="60"/>
      <c r="M225" s="60"/>
      <c r="N225" s="60">
        <f t="shared" ref="N225:N230" si="72">M225*J225*K225*L225</f>
        <v>0</v>
      </c>
      <c r="O225" s="60">
        <f t="shared" ref="O225:O230" si="73">J225*K225*L225</f>
        <v>0</v>
      </c>
    </row>
    <row r="226" spans="1:15" s="38" customFormat="1" ht="10.7" customHeight="1" outlineLevel="1" x14ac:dyDescent="0.25">
      <c r="A226" s="146"/>
      <c r="B226" s="142"/>
      <c r="C226" s="115"/>
      <c r="D226" s="115"/>
      <c r="E226" s="115"/>
      <c r="F226" s="115"/>
      <c r="G226" s="60" t="s">
        <v>127</v>
      </c>
      <c r="H226" s="124"/>
      <c r="I226" s="124"/>
      <c r="J226" s="60"/>
      <c r="K226" s="60"/>
      <c r="L226" s="60"/>
      <c r="M226" s="60"/>
      <c r="N226" s="60">
        <f t="shared" si="72"/>
        <v>0</v>
      </c>
      <c r="O226" s="60">
        <f t="shared" si="73"/>
        <v>0</v>
      </c>
    </row>
    <row r="227" spans="1:15" s="38" customFormat="1" ht="10.7" customHeight="1" outlineLevel="1" x14ac:dyDescent="0.25">
      <c r="A227" s="146"/>
      <c r="B227" s="142"/>
      <c r="C227" s="115"/>
      <c r="D227" s="115"/>
      <c r="E227" s="115"/>
      <c r="F227" s="115"/>
      <c r="G227" s="60" t="s">
        <v>128</v>
      </c>
      <c r="H227" s="124"/>
      <c r="I227" s="124"/>
      <c r="J227" s="60"/>
      <c r="K227" s="60"/>
      <c r="L227" s="60"/>
      <c r="M227" s="60"/>
      <c r="N227" s="60">
        <f t="shared" si="72"/>
        <v>0</v>
      </c>
      <c r="O227" s="60">
        <f t="shared" si="73"/>
        <v>0</v>
      </c>
    </row>
    <row r="228" spans="1:15" s="38" customFormat="1" ht="10.7" customHeight="1" outlineLevel="1" x14ac:dyDescent="0.25">
      <c r="A228" s="146"/>
      <c r="B228" s="142"/>
      <c r="C228" s="115"/>
      <c r="D228" s="115"/>
      <c r="E228" s="115"/>
      <c r="F228" s="115"/>
      <c r="G228" s="60" t="s">
        <v>129</v>
      </c>
      <c r="H228" s="124"/>
      <c r="I228" s="124"/>
      <c r="J228" s="60"/>
      <c r="K228" s="60"/>
      <c r="L228" s="60"/>
      <c r="M228" s="60"/>
      <c r="N228" s="60">
        <f t="shared" si="72"/>
        <v>0</v>
      </c>
      <c r="O228" s="60">
        <f t="shared" si="73"/>
        <v>0</v>
      </c>
    </row>
    <row r="229" spans="1:15" s="38" customFormat="1" ht="10.7" customHeight="1" outlineLevel="1" x14ac:dyDescent="0.25">
      <c r="A229" s="146"/>
      <c r="B229" s="142"/>
      <c r="C229" s="115"/>
      <c r="D229" s="115"/>
      <c r="E229" s="115"/>
      <c r="F229" s="115"/>
      <c r="G229" s="60" t="s">
        <v>130</v>
      </c>
      <c r="H229" s="124"/>
      <c r="I229" s="124"/>
      <c r="J229" s="60"/>
      <c r="K229" s="60"/>
      <c r="L229" s="60"/>
      <c r="M229" s="60"/>
      <c r="N229" s="60">
        <f t="shared" si="72"/>
        <v>0</v>
      </c>
      <c r="O229" s="60">
        <f t="shared" si="73"/>
        <v>0</v>
      </c>
    </row>
    <row r="230" spans="1:15" s="38" customFormat="1" ht="12" customHeight="1" outlineLevel="1" thickBot="1" x14ac:dyDescent="0.3">
      <c r="A230" s="147"/>
      <c r="B230" s="143"/>
      <c r="C230" s="131"/>
      <c r="D230" s="131"/>
      <c r="E230" s="131"/>
      <c r="F230" s="131"/>
      <c r="G230" s="60" t="s">
        <v>131</v>
      </c>
      <c r="H230" s="134"/>
      <c r="I230" s="134"/>
      <c r="J230" s="60"/>
      <c r="K230" s="60"/>
      <c r="L230" s="60"/>
      <c r="M230" s="60"/>
      <c r="N230" s="60">
        <f t="shared" si="72"/>
        <v>0</v>
      </c>
      <c r="O230" s="60">
        <f t="shared" si="73"/>
        <v>0</v>
      </c>
    </row>
    <row r="231" spans="1:15" s="38" customFormat="1" ht="14.45" customHeight="1" outlineLevel="1" x14ac:dyDescent="0.25">
      <c r="A231" s="140" t="s">
        <v>444</v>
      </c>
      <c r="B231" s="141" t="s">
        <v>546</v>
      </c>
      <c r="C231" s="130">
        <f>SUM(N231:N237)</f>
        <v>0</v>
      </c>
      <c r="D231" s="130">
        <f>SUM(O231:O237)</f>
        <v>0</v>
      </c>
      <c r="E231" s="130">
        <f t="shared" si="59"/>
        <v>0</v>
      </c>
      <c r="F231" s="130"/>
      <c r="G231" s="60" t="s">
        <v>125</v>
      </c>
      <c r="H231" s="123"/>
      <c r="I231" s="123"/>
      <c r="J231" s="60"/>
      <c r="K231" s="60"/>
      <c r="L231" s="60"/>
      <c r="M231" s="60"/>
      <c r="N231" s="60">
        <f>M231*J231*K231*L231</f>
        <v>0</v>
      </c>
      <c r="O231" s="60">
        <f>J231*K231*L231</f>
        <v>0</v>
      </c>
    </row>
    <row r="232" spans="1:15" s="38" customFormat="1" ht="11.45" customHeight="1" outlineLevel="1" x14ac:dyDescent="0.25">
      <c r="A232" s="146"/>
      <c r="B232" s="142"/>
      <c r="C232" s="115"/>
      <c r="D232" s="115"/>
      <c r="E232" s="115"/>
      <c r="F232" s="115"/>
      <c r="G232" s="60" t="s">
        <v>126</v>
      </c>
      <c r="H232" s="124"/>
      <c r="I232" s="124"/>
      <c r="J232" s="60"/>
      <c r="K232" s="60"/>
      <c r="L232" s="60"/>
      <c r="M232" s="60"/>
      <c r="N232" s="60">
        <f t="shared" ref="N232:N237" si="74">M232*J232*K232*L232</f>
        <v>0</v>
      </c>
      <c r="O232" s="60">
        <f t="shared" ref="O232:O237" si="75">J232*K232*L232</f>
        <v>0</v>
      </c>
    </row>
    <row r="233" spans="1:15" s="38" customFormat="1" ht="10.7" customHeight="1" outlineLevel="1" x14ac:dyDescent="0.25">
      <c r="A233" s="146"/>
      <c r="B233" s="142"/>
      <c r="C233" s="115"/>
      <c r="D233" s="115"/>
      <c r="E233" s="115"/>
      <c r="F233" s="115"/>
      <c r="G233" s="60" t="s">
        <v>127</v>
      </c>
      <c r="H233" s="124"/>
      <c r="I233" s="124"/>
      <c r="J233" s="60"/>
      <c r="K233" s="60"/>
      <c r="L233" s="60"/>
      <c r="M233" s="60"/>
      <c r="N233" s="60">
        <f t="shared" si="74"/>
        <v>0</v>
      </c>
      <c r="O233" s="60">
        <f t="shared" si="75"/>
        <v>0</v>
      </c>
    </row>
    <row r="234" spans="1:15" s="38" customFormat="1" ht="10.7" customHeight="1" outlineLevel="1" x14ac:dyDescent="0.25">
      <c r="A234" s="146"/>
      <c r="B234" s="142"/>
      <c r="C234" s="115"/>
      <c r="D234" s="115"/>
      <c r="E234" s="115"/>
      <c r="F234" s="115"/>
      <c r="G234" s="60" t="s">
        <v>128</v>
      </c>
      <c r="H234" s="124"/>
      <c r="I234" s="124"/>
      <c r="J234" s="60"/>
      <c r="K234" s="60"/>
      <c r="L234" s="60"/>
      <c r="M234" s="60"/>
      <c r="N234" s="60">
        <f t="shared" si="74"/>
        <v>0</v>
      </c>
      <c r="O234" s="60">
        <f t="shared" si="75"/>
        <v>0</v>
      </c>
    </row>
    <row r="235" spans="1:15" s="38" customFormat="1" ht="10.7" customHeight="1" outlineLevel="1" x14ac:dyDescent="0.25">
      <c r="A235" s="146"/>
      <c r="B235" s="142"/>
      <c r="C235" s="115"/>
      <c r="D235" s="115"/>
      <c r="E235" s="115"/>
      <c r="F235" s="115"/>
      <c r="G235" s="60" t="s">
        <v>129</v>
      </c>
      <c r="H235" s="124"/>
      <c r="I235" s="124"/>
      <c r="J235" s="60"/>
      <c r="K235" s="60"/>
      <c r="L235" s="60"/>
      <c r="M235" s="60"/>
      <c r="N235" s="60">
        <f t="shared" si="74"/>
        <v>0</v>
      </c>
      <c r="O235" s="60">
        <f t="shared" si="75"/>
        <v>0</v>
      </c>
    </row>
    <row r="236" spans="1:15" s="38" customFormat="1" ht="10.7" customHeight="1" outlineLevel="1" x14ac:dyDescent="0.25">
      <c r="A236" s="146"/>
      <c r="B236" s="142"/>
      <c r="C236" s="115"/>
      <c r="D236" s="115"/>
      <c r="E236" s="115"/>
      <c r="F236" s="115"/>
      <c r="G236" s="60" t="s">
        <v>130</v>
      </c>
      <c r="H236" s="124"/>
      <c r="I236" s="124"/>
      <c r="J236" s="60"/>
      <c r="K236" s="60"/>
      <c r="L236" s="60"/>
      <c r="M236" s="60"/>
      <c r="N236" s="60">
        <f t="shared" si="74"/>
        <v>0</v>
      </c>
      <c r="O236" s="60">
        <f t="shared" si="75"/>
        <v>0</v>
      </c>
    </row>
    <row r="237" spans="1:15" s="38" customFormat="1" ht="12" customHeight="1" outlineLevel="1" thickBot="1" x14ac:dyDescent="0.3">
      <c r="A237" s="147"/>
      <c r="B237" s="143"/>
      <c r="C237" s="131"/>
      <c r="D237" s="131"/>
      <c r="E237" s="131"/>
      <c r="F237" s="131"/>
      <c r="G237" s="60" t="s">
        <v>131</v>
      </c>
      <c r="H237" s="134"/>
      <c r="I237" s="134"/>
      <c r="J237" s="60"/>
      <c r="K237" s="60"/>
      <c r="L237" s="60"/>
      <c r="M237" s="60"/>
      <c r="N237" s="60">
        <f t="shared" si="74"/>
        <v>0</v>
      </c>
      <c r="O237" s="60">
        <f t="shared" si="75"/>
        <v>0</v>
      </c>
    </row>
    <row r="238" spans="1:15" s="38" customFormat="1" ht="14.45" customHeight="1" outlineLevel="1" x14ac:dyDescent="0.25">
      <c r="A238" s="140" t="s">
        <v>446</v>
      </c>
      <c r="B238" s="141" t="s">
        <v>547</v>
      </c>
      <c r="C238" s="130">
        <f>SUM(N238:N244)</f>
        <v>0</v>
      </c>
      <c r="D238" s="130">
        <f>SUM(O238:O244)</f>
        <v>0</v>
      </c>
      <c r="E238" s="130">
        <f t="shared" si="59"/>
        <v>0</v>
      </c>
      <c r="F238" s="130"/>
      <c r="G238" s="60" t="s">
        <v>125</v>
      </c>
      <c r="H238" s="123"/>
      <c r="I238" s="123"/>
      <c r="J238" s="60"/>
      <c r="K238" s="60"/>
      <c r="L238" s="60"/>
      <c r="M238" s="60"/>
      <c r="N238" s="60">
        <f>M238*J238*K238*L238</f>
        <v>0</v>
      </c>
      <c r="O238" s="60">
        <f>J238*K238*L238</f>
        <v>0</v>
      </c>
    </row>
    <row r="239" spans="1:15" s="38" customFormat="1" ht="11.45" customHeight="1" outlineLevel="1" x14ac:dyDescent="0.25">
      <c r="A239" s="146"/>
      <c r="B239" s="142"/>
      <c r="C239" s="115"/>
      <c r="D239" s="115"/>
      <c r="E239" s="115"/>
      <c r="F239" s="115"/>
      <c r="G239" s="60" t="s">
        <v>126</v>
      </c>
      <c r="H239" s="124"/>
      <c r="I239" s="124"/>
      <c r="J239" s="60"/>
      <c r="K239" s="60"/>
      <c r="L239" s="60"/>
      <c r="M239" s="60"/>
      <c r="N239" s="60">
        <f t="shared" ref="N239:N244" si="76">M239*J239*K239*L239</f>
        <v>0</v>
      </c>
      <c r="O239" s="60">
        <f t="shared" ref="O239:O244" si="77">J239*K239*L239</f>
        <v>0</v>
      </c>
    </row>
    <row r="240" spans="1:15" s="38" customFormat="1" ht="10.7" customHeight="1" outlineLevel="1" x14ac:dyDescent="0.25">
      <c r="A240" s="146"/>
      <c r="B240" s="142"/>
      <c r="C240" s="115"/>
      <c r="D240" s="115"/>
      <c r="E240" s="115"/>
      <c r="F240" s="115"/>
      <c r="G240" s="60" t="s">
        <v>127</v>
      </c>
      <c r="H240" s="124"/>
      <c r="I240" s="124"/>
      <c r="J240" s="60"/>
      <c r="K240" s="60"/>
      <c r="L240" s="60"/>
      <c r="M240" s="60"/>
      <c r="N240" s="60">
        <f t="shared" si="76"/>
        <v>0</v>
      </c>
      <c r="O240" s="60">
        <f t="shared" si="77"/>
        <v>0</v>
      </c>
    </row>
    <row r="241" spans="1:15" s="38" customFormat="1" ht="10.7" customHeight="1" outlineLevel="1" x14ac:dyDescent="0.25">
      <c r="A241" s="146"/>
      <c r="B241" s="142"/>
      <c r="C241" s="115"/>
      <c r="D241" s="115"/>
      <c r="E241" s="115"/>
      <c r="F241" s="115"/>
      <c r="G241" s="60" t="s">
        <v>128</v>
      </c>
      <c r="H241" s="124"/>
      <c r="I241" s="124"/>
      <c r="J241" s="60"/>
      <c r="K241" s="60"/>
      <c r="L241" s="60"/>
      <c r="M241" s="60"/>
      <c r="N241" s="60">
        <f t="shared" si="76"/>
        <v>0</v>
      </c>
      <c r="O241" s="60">
        <f t="shared" si="77"/>
        <v>0</v>
      </c>
    </row>
    <row r="242" spans="1:15" s="38" customFormat="1" ht="10.7" customHeight="1" outlineLevel="1" x14ac:dyDescent="0.25">
      <c r="A242" s="146"/>
      <c r="B242" s="142"/>
      <c r="C242" s="115"/>
      <c r="D242" s="115"/>
      <c r="E242" s="115"/>
      <c r="F242" s="115"/>
      <c r="G242" s="60" t="s">
        <v>129</v>
      </c>
      <c r="H242" s="124"/>
      <c r="I242" s="124"/>
      <c r="J242" s="60"/>
      <c r="K242" s="60"/>
      <c r="L242" s="60"/>
      <c r="M242" s="60"/>
      <c r="N242" s="60">
        <f t="shared" si="76"/>
        <v>0</v>
      </c>
      <c r="O242" s="60">
        <f t="shared" si="77"/>
        <v>0</v>
      </c>
    </row>
    <row r="243" spans="1:15" s="38" customFormat="1" ht="10.7" customHeight="1" outlineLevel="1" x14ac:dyDescent="0.25">
      <c r="A243" s="146"/>
      <c r="B243" s="142"/>
      <c r="C243" s="115"/>
      <c r="D243" s="115"/>
      <c r="E243" s="115"/>
      <c r="F243" s="115"/>
      <c r="G243" s="60" t="s">
        <v>130</v>
      </c>
      <c r="H243" s="124"/>
      <c r="I243" s="124"/>
      <c r="J243" s="60"/>
      <c r="K243" s="60"/>
      <c r="L243" s="60"/>
      <c r="M243" s="60"/>
      <c r="N243" s="60">
        <f t="shared" si="76"/>
        <v>0</v>
      </c>
      <c r="O243" s="60">
        <f t="shared" si="77"/>
        <v>0</v>
      </c>
    </row>
    <row r="244" spans="1:15" s="38" customFormat="1" ht="12" customHeight="1" outlineLevel="1" thickBot="1" x14ac:dyDescent="0.3">
      <c r="A244" s="155"/>
      <c r="B244" s="143"/>
      <c r="C244" s="131"/>
      <c r="D244" s="131"/>
      <c r="E244" s="131"/>
      <c r="F244" s="131"/>
      <c r="G244" s="60" t="s">
        <v>131</v>
      </c>
      <c r="H244" s="134"/>
      <c r="I244" s="134"/>
      <c r="J244" s="60"/>
      <c r="K244" s="60"/>
      <c r="L244" s="60"/>
      <c r="M244" s="60"/>
      <c r="N244" s="60">
        <f t="shared" si="76"/>
        <v>0</v>
      </c>
      <c r="O244" s="60">
        <f t="shared" si="77"/>
        <v>0</v>
      </c>
    </row>
    <row r="245" spans="1:15" s="39" customFormat="1" ht="15.75" x14ac:dyDescent="0.25">
      <c r="A245" s="40" t="s">
        <v>40</v>
      </c>
      <c r="B245" s="41" t="s">
        <v>377</v>
      </c>
      <c r="C245" s="42">
        <f>SUM(C246:C259)</f>
        <v>0</v>
      </c>
      <c r="D245" s="42">
        <f>SUM(D246:D259)</f>
        <v>0</v>
      </c>
      <c r="E245" s="42">
        <f>SUM(E246:E259)</f>
        <v>0</v>
      </c>
      <c r="F245" s="57"/>
      <c r="G245" s="57"/>
      <c r="H245" s="57"/>
      <c r="I245" s="57"/>
      <c r="J245" s="57"/>
      <c r="K245" s="57"/>
      <c r="L245" s="57"/>
      <c r="M245" s="57"/>
      <c r="N245" s="57"/>
      <c r="O245" s="43"/>
    </row>
    <row r="246" spans="1:15" s="38" customFormat="1" ht="14.45" customHeight="1" outlineLevel="1" x14ac:dyDescent="0.25">
      <c r="A246" s="140" t="s">
        <v>172</v>
      </c>
      <c r="B246" s="141" t="s">
        <v>166</v>
      </c>
      <c r="C246" s="130">
        <f>SUM(N246:N252)</f>
        <v>0</v>
      </c>
      <c r="D246" s="130">
        <f>SUM(O246:O252)</f>
        <v>0</v>
      </c>
      <c r="E246" s="130">
        <f t="shared" ref="E246:E253" si="78">D246/8</f>
        <v>0</v>
      </c>
      <c r="F246" s="130"/>
      <c r="G246" s="60" t="s">
        <v>125</v>
      </c>
      <c r="H246" s="123"/>
      <c r="I246" s="123"/>
      <c r="J246" s="60"/>
      <c r="K246" s="60"/>
      <c r="L246" s="60"/>
      <c r="M246" s="60"/>
      <c r="N246" s="60">
        <f>M246*J246*K246*L246</f>
        <v>0</v>
      </c>
      <c r="O246" s="60">
        <f>J246*K246*L246</f>
        <v>0</v>
      </c>
    </row>
    <row r="247" spans="1:15" s="38" customFormat="1" ht="11.45" customHeight="1" outlineLevel="1" x14ac:dyDescent="0.25">
      <c r="A247" s="124"/>
      <c r="B247" s="142"/>
      <c r="C247" s="115"/>
      <c r="D247" s="115"/>
      <c r="E247" s="115"/>
      <c r="F247" s="115"/>
      <c r="G247" s="60" t="s">
        <v>126</v>
      </c>
      <c r="H247" s="124"/>
      <c r="I247" s="124"/>
      <c r="J247" s="60"/>
      <c r="K247" s="60"/>
      <c r="L247" s="60"/>
      <c r="M247" s="60"/>
      <c r="N247" s="60">
        <f t="shared" ref="N247:N252" si="79">M247*J247*K247*L247</f>
        <v>0</v>
      </c>
      <c r="O247" s="60">
        <f t="shared" ref="O247:O252" si="80">J247*K247*L247</f>
        <v>0</v>
      </c>
    </row>
    <row r="248" spans="1:15" s="38" customFormat="1" ht="10.7" customHeight="1" outlineLevel="1" x14ac:dyDescent="0.25">
      <c r="A248" s="124"/>
      <c r="B248" s="142"/>
      <c r="C248" s="115"/>
      <c r="D248" s="115"/>
      <c r="E248" s="115"/>
      <c r="F248" s="115"/>
      <c r="G248" s="60" t="s">
        <v>127</v>
      </c>
      <c r="H248" s="124"/>
      <c r="I248" s="124"/>
      <c r="J248" s="60"/>
      <c r="K248" s="60"/>
      <c r="L248" s="60"/>
      <c r="M248" s="60"/>
      <c r="N248" s="60">
        <f t="shared" si="79"/>
        <v>0</v>
      </c>
      <c r="O248" s="60">
        <f t="shared" si="80"/>
        <v>0</v>
      </c>
    </row>
    <row r="249" spans="1:15" s="38" customFormat="1" ht="10.7" customHeight="1" outlineLevel="1" x14ac:dyDescent="0.25">
      <c r="A249" s="124"/>
      <c r="B249" s="142"/>
      <c r="C249" s="115"/>
      <c r="D249" s="115"/>
      <c r="E249" s="115"/>
      <c r="F249" s="115"/>
      <c r="G249" s="60" t="s">
        <v>128</v>
      </c>
      <c r="H249" s="124"/>
      <c r="I249" s="124"/>
      <c r="J249" s="60"/>
      <c r="K249" s="60"/>
      <c r="L249" s="60"/>
      <c r="M249" s="60"/>
      <c r="N249" s="60">
        <f t="shared" si="79"/>
        <v>0</v>
      </c>
      <c r="O249" s="60">
        <f t="shared" si="80"/>
        <v>0</v>
      </c>
    </row>
    <row r="250" spans="1:15" s="38" customFormat="1" ht="10.7" customHeight="1" outlineLevel="1" x14ac:dyDescent="0.25">
      <c r="A250" s="124"/>
      <c r="B250" s="142"/>
      <c r="C250" s="115"/>
      <c r="D250" s="115"/>
      <c r="E250" s="115"/>
      <c r="F250" s="115"/>
      <c r="G250" s="60" t="s">
        <v>129</v>
      </c>
      <c r="H250" s="124"/>
      <c r="I250" s="124"/>
      <c r="J250" s="60"/>
      <c r="K250" s="60"/>
      <c r="L250" s="60"/>
      <c r="M250" s="60"/>
      <c r="N250" s="60">
        <f t="shared" si="79"/>
        <v>0</v>
      </c>
      <c r="O250" s="60">
        <f t="shared" si="80"/>
        <v>0</v>
      </c>
    </row>
    <row r="251" spans="1:15" s="38" customFormat="1" ht="10.7" customHeight="1" outlineLevel="1" x14ac:dyDescent="0.25">
      <c r="A251" s="124"/>
      <c r="B251" s="142"/>
      <c r="C251" s="115"/>
      <c r="D251" s="115"/>
      <c r="E251" s="115"/>
      <c r="F251" s="115"/>
      <c r="G251" s="60" t="s">
        <v>130</v>
      </c>
      <c r="H251" s="124"/>
      <c r="I251" s="124"/>
      <c r="J251" s="60"/>
      <c r="K251" s="60"/>
      <c r="L251" s="60"/>
      <c r="M251" s="60"/>
      <c r="N251" s="60">
        <f t="shared" si="79"/>
        <v>0</v>
      </c>
      <c r="O251" s="60">
        <f t="shared" si="80"/>
        <v>0</v>
      </c>
    </row>
    <row r="252" spans="1:15" s="38" customFormat="1" ht="12" customHeight="1" outlineLevel="1" thickBot="1" x14ac:dyDescent="0.3">
      <c r="A252" s="125"/>
      <c r="B252" s="143"/>
      <c r="C252" s="131"/>
      <c r="D252" s="131"/>
      <c r="E252" s="131"/>
      <c r="F252" s="131"/>
      <c r="G252" s="60" t="s">
        <v>131</v>
      </c>
      <c r="H252" s="134"/>
      <c r="I252" s="134"/>
      <c r="J252" s="60"/>
      <c r="K252" s="60"/>
      <c r="L252" s="60"/>
      <c r="M252" s="60"/>
      <c r="N252" s="60">
        <f t="shared" si="79"/>
        <v>0</v>
      </c>
      <c r="O252" s="60">
        <f t="shared" si="80"/>
        <v>0</v>
      </c>
    </row>
    <row r="253" spans="1:15" s="38" customFormat="1" ht="14.45" customHeight="1" outlineLevel="1" x14ac:dyDescent="0.25">
      <c r="A253" s="140" t="s">
        <v>174</v>
      </c>
      <c r="B253" s="141" t="s">
        <v>168</v>
      </c>
      <c r="C253" s="130">
        <f>SUM(N253:N259)</f>
        <v>0</v>
      </c>
      <c r="D253" s="130">
        <f>SUM(O253:O259)</f>
        <v>0</v>
      </c>
      <c r="E253" s="130">
        <f t="shared" si="78"/>
        <v>0</v>
      </c>
      <c r="F253" s="130"/>
      <c r="G253" s="60" t="s">
        <v>125</v>
      </c>
      <c r="H253" s="123"/>
      <c r="I253" s="123"/>
      <c r="J253" s="60"/>
      <c r="K253" s="60"/>
      <c r="L253" s="60"/>
      <c r="M253" s="60"/>
      <c r="N253" s="60">
        <f>M253*J253*K253*L253</f>
        <v>0</v>
      </c>
      <c r="O253" s="60">
        <f>J253*K253*L253</f>
        <v>0</v>
      </c>
    </row>
    <row r="254" spans="1:15" s="38" customFormat="1" ht="11.45" customHeight="1" outlineLevel="1" x14ac:dyDescent="0.25">
      <c r="A254" s="124"/>
      <c r="B254" s="142"/>
      <c r="C254" s="115"/>
      <c r="D254" s="115"/>
      <c r="E254" s="115"/>
      <c r="F254" s="115"/>
      <c r="G254" s="60" t="s">
        <v>126</v>
      </c>
      <c r="H254" s="124"/>
      <c r="I254" s="124"/>
      <c r="J254" s="60"/>
      <c r="K254" s="60"/>
      <c r="L254" s="60"/>
      <c r="M254" s="60"/>
      <c r="N254" s="60">
        <f t="shared" ref="N254:N259" si="81">M254*J254*K254*L254</f>
        <v>0</v>
      </c>
      <c r="O254" s="60">
        <f t="shared" ref="O254:O259" si="82">J254*K254*L254</f>
        <v>0</v>
      </c>
    </row>
    <row r="255" spans="1:15" s="38" customFormat="1" ht="10.7" customHeight="1" outlineLevel="1" x14ac:dyDescent="0.25">
      <c r="A255" s="124"/>
      <c r="B255" s="142"/>
      <c r="C255" s="115"/>
      <c r="D255" s="115"/>
      <c r="E255" s="115"/>
      <c r="F255" s="115"/>
      <c r="G255" s="60" t="s">
        <v>127</v>
      </c>
      <c r="H255" s="124"/>
      <c r="I255" s="124"/>
      <c r="J255" s="60"/>
      <c r="K255" s="60"/>
      <c r="L255" s="60"/>
      <c r="M255" s="60"/>
      <c r="N255" s="60">
        <f t="shared" si="81"/>
        <v>0</v>
      </c>
      <c r="O255" s="60">
        <f t="shared" si="82"/>
        <v>0</v>
      </c>
    </row>
    <row r="256" spans="1:15" s="38" customFormat="1" ht="10.7" customHeight="1" outlineLevel="1" x14ac:dyDescent="0.25">
      <c r="A256" s="124"/>
      <c r="B256" s="142"/>
      <c r="C256" s="115"/>
      <c r="D256" s="115"/>
      <c r="E256" s="115"/>
      <c r="F256" s="115"/>
      <c r="G256" s="60" t="s">
        <v>128</v>
      </c>
      <c r="H256" s="124"/>
      <c r="I256" s="124"/>
      <c r="J256" s="60"/>
      <c r="K256" s="60"/>
      <c r="L256" s="60"/>
      <c r="M256" s="60"/>
      <c r="N256" s="60">
        <f t="shared" si="81"/>
        <v>0</v>
      </c>
      <c r="O256" s="60">
        <f t="shared" si="82"/>
        <v>0</v>
      </c>
    </row>
    <row r="257" spans="1:15" s="38" customFormat="1" ht="10.7" customHeight="1" outlineLevel="1" x14ac:dyDescent="0.25">
      <c r="A257" s="124"/>
      <c r="B257" s="142"/>
      <c r="C257" s="115"/>
      <c r="D257" s="115"/>
      <c r="E257" s="115"/>
      <c r="F257" s="115"/>
      <c r="G257" s="60" t="s">
        <v>129</v>
      </c>
      <c r="H257" s="124"/>
      <c r="I257" s="124"/>
      <c r="J257" s="60"/>
      <c r="K257" s="60"/>
      <c r="L257" s="60"/>
      <c r="M257" s="60"/>
      <c r="N257" s="60">
        <f t="shared" si="81"/>
        <v>0</v>
      </c>
      <c r="O257" s="60">
        <f t="shared" si="82"/>
        <v>0</v>
      </c>
    </row>
    <row r="258" spans="1:15" s="38" customFormat="1" ht="10.7" customHeight="1" outlineLevel="1" x14ac:dyDescent="0.25">
      <c r="A258" s="124"/>
      <c r="B258" s="142"/>
      <c r="C258" s="115"/>
      <c r="D258" s="115"/>
      <c r="E258" s="115"/>
      <c r="F258" s="115"/>
      <c r="G258" s="60" t="s">
        <v>130</v>
      </c>
      <c r="H258" s="124"/>
      <c r="I258" s="124"/>
      <c r="J258" s="60"/>
      <c r="K258" s="60"/>
      <c r="L258" s="60"/>
      <c r="M258" s="60"/>
      <c r="N258" s="60">
        <f t="shared" si="81"/>
        <v>0</v>
      </c>
      <c r="O258" s="60">
        <f t="shared" si="82"/>
        <v>0</v>
      </c>
    </row>
    <row r="259" spans="1:15" s="38" customFormat="1" ht="12" customHeight="1" outlineLevel="1" thickBot="1" x14ac:dyDescent="0.3">
      <c r="A259" s="125"/>
      <c r="B259" s="143"/>
      <c r="C259" s="131"/>
      <c r="D259" s="131"/>
      <c r="E259" s="131"/>
      <c r="F259" s="131"/>
      <c r="G259" s="60" t="s">
        <v>131</v>
      </c>
      <c r="H259" s="134"/>
      <c r="I259" s="134"/>
      <c r="J259" s="60"/>
      <c r="K259" s="60"/>
      <c r="L259" s="60"/>
      <c r="M259" s="60"/>
      <c r="N259" s="60">
        <f t="shared" si="81"/>
        <v>0</v>
      </c>
      <c r="O259" s="60">
        <f t="shared" si="82"/>
        <v>0</v>
      </c>
    </row>
    <row r="260" spans="1:15" s="39" customFormat="1" ht="15.75" x14ac:dyDescent="0.25">
      <c r="A260" s="40" t="s">
        <v>42</v>
      </c>
      <c r="B260" s="41" t="s">
        <v>171</v>
      </c>
      <c r="C260" s="42">
        <f>SUM(C261:C281)</f>
        <v>0</v>
      </c>
      <c r="D260" s="42">
        <f>SUM(D261:D281)</f>
        <v>0</v>
      </c>
      <c r="E260" s="42">
        <f>SUM(E261:E281)</f>
        <v>0</v>
      </c>
      <c r="F260" s="57"/>
      <c r="G260" s="57"/>
      <c r="H260" s="57"/>
      <c r="I260" s="57"/>
      <c r="J260" s="57"/>
      <c r="K260" s="57"/>
      <c r="L260" s="57"/>
      <c r="M260" s="57"/>
      <c r="N260" s="57"/>
      <c r="O260" s="43"/>
    </row>
    <row r="261" spans="1:15" s="38" customFormat="1" ht="14.45" customHeight="1" outlineLevel="1" x14ac:dyDescent="0.25">
      <c r="A261" s="140" t="s">
        <v>177</v>
      </c>
      <c r="B261" s="141" t="s">
        <v>603</v>
      </c>
      <c r="C261" s="130">
        <f>SUM(N261:N267)</f>
        <v>0</v>
      </c>
      <c r="D261" s="130">
        <f>SUM(O261:O267)</f>
        <v>0</v>
      </c>
      <c r="E261" s="130">
        <f t="shared" ref="E261:E275" si="83">D261/8</f>
        <v>0</v>
      </c>
      <c r="F261" s="130"/>
      <c r="G261" s="60" t="s">
        <v>125</v>
      </c>
      <c r="H261" s="123"/>
      <c r="I261" s="123"/>
      <c r="J261" s="60"/>
      <c r="K261" s="60"/>
      <c r="L261" s="60"/>
      <c r="M261" s="60"/>
      <c r="N261" s="60">
        <f>M261*J261*K261*L261</f>
        <v>0</v>
      </c>
      <c r="O261" s="60">
        <f>J261*K261*L261</f>
        <v>0</v>
      </c>
    </row>
    <row r="262" spans="1:15" s="38" customFormat="1" ht="11.45" customHeight="1" outlineLevel="1" x14ac:dyDescent="0.25">
      <c r="A262" s="124"/>
      <c r="B262" s="142"/>
      <c r="C262" s="115"/>
      <c r="D262" s="115"/>
      <c r="E262" s="115"/>
      <c r="F262" s="115"/>
      <c r="G262" s="60" t="s">
        <v>126</v>
      </c>
      <c r="H262" s="124"/>
      <c r="I262" s="124"/>
      <c r="J262" s="60"/>
      <c r="K262" s="60"/>
      <c r="L262" s="60"/>
      <c r="M262" s="60"/>
      <c r="N262" s="60">
        <f t="shared" ref="N262:N267" si="84">M262*J262*K262*L262</f>
        <v>0</v>
      </c>
      <c r="O262" s="60">
        <f t="shared" ref="O262:O267" si="85">J262*K262*L262</f>
        <v>0</v>
      </c>
    </row>
    <row r="263" spans="1:15" s="38" customFormat="1" ht="10.7" customHeight="1" outlineLevel="1" x14ac:dyDescent="0.25">
      <c r="A263" s="124"/>
      <c r="B263" s="142"/>
      <c r="C263" s="115"/>
      <c r="D263" s="115"/>
      <c r="E263" s="115"/>
      <c r="F263" s="115"/>
      <c r="G263" s="60" t="s">
        <v>127</v>
      </c>
      <c r="H263" s="124"/>
      <c r="I263" s="124"/>
      <c r="J263" s="60"/>
      <c r="K263" s="60"/>
      <c r="L263" s="60"/>
      <c r="M263" s="60"/>
      <c r="N263" s="60">
        <f t="shared" si="84"/>
        <v>0</v>
      </c>
      <c r="O263" s="60">
        <f t="shared" si="85"/>
        <v>0</v>
      </c>
    </row>
    <row r="264" spans="1:15" s="38" customFormat="1" ht="10.7" customHeight="1" outlineLevel="1" x14ac:dyDescent="0.25">
      <c r="A264" s="124"/>
      <c r="B264" s="142"/>
      <c r="C264" s="115"/>
      <c r="D264" s="115"/>
      <c r="E264" s="115"/>
      <c r="F264" s="115"/>
      <c r="G264" s="60" t="s">
        <v>128</v>
      </c>
      <c r="H264" s="124"/>
      <c r="I264" s="124"/>
      <c r="J264" s="60"/>
      <c r="K264" s="60"/>
      <c r="L264" s="60"/>
      <c r="M264" s="60"/>
      <c r="N264" s="60">
        <f t="shared" si="84"/>
        <v>0</v>
      </c>
      <c r="O264" s="60">
        <f t="shared" si="85"/>
        <v>0</v>
      </c>
    </row>
    <row r="265" spans="1:15" s="38" customFormat="1" ht="10.7" customHeight="1" outlineLevel="1" x14ac:dyDescent="0.25">
      <c r="A265" s="124"/>
      <c r="B265" s="142"/>
      <c r="C265" s="115"/>
      <c r="D265" s="115"/>
      <c r="E265" s="115"/>
      <c r="F265" s="115"/>
      <c r="G265" s="60" t="s">
        <v>129</v>
      </c>
      <c r="H265" s="124"/>
      <c r="I265" s="124"/>
      <c r="J265" s="60"/>
      <c r="K265" s="60"/>
      <c r="L265" s="60"/>
      <c r="M265" s="60"/>
      <c r="N265" s="60">
        <f t="shared" si="84"/>
        <v>0</v>
      </c>
      <c r="O265" s="60">
        <f t="shared" si="85"/>
        <v>0</v>
      </c>
    </row>
    <row r="266" spans="1:15" s="38" customFormat="1" ht="10.7" customHeight="1" outlineLevel="1" x14ac:dyDescent="0.25">
      <c r="A266" s="124"/>
      <c r="B266" s="142"/>
      <c r="C266" s="115"/>
      <c r="D266" s="115"/>
      <c r="E266" s="115"/>
      <c r="F266" s="115"/>
      <c r="G266" s="60" t="s">
        <v>130</v>
      </c>
      <c r="H266" s="124"/>
      <c r="I266" s="124"/>
      <c r="J266" s="60"/>
      <c r="K266" s="60"/>
      <c r="L266" s="60"/>
      <c r="M266" s="60"/>
      <c r="N266" s="60">
        <f t="shared" si="84"/>
        <v>0</v>
      </c>
      <c r="O266" s="60">
        <f t="shared" si="85"/>
        <v>0</v>
      </c>
    </row>
    <row r="267" spans="1:15" s="38" customFormat="1" ht="12" customHeight="1" outlineLevel="1" thickBot="1" x14ac:dyDescent="0.3">
      <c r="A267" s="125"/>
      <c r="B267" s="143"/>
      <c r="C267" s="131"/>
      <c r="D267" s="131"/>
      <c r="E267" s="131"/>
      <c r="F267" s="131"/>
      <c r="G267" s="60" t="s">
        <v>131</v>
      </c>
      <c r="H267" s="134"/>
      <c r="I267" s="134"/>
      <c r="J267" s="60"/>
      <c r="K267" s="60"/>
      <c r="L267" s="60"/>
      <c r="M267" s="60"/>
      <c r="N267" s="60">
        <f t="shared" si="84"/>
        <v>0</v>
      </c>
      <c r="O267" s="60">
        <f t="shared" si="85"/>
        <v>0</v>
      </c>
    </row>
    <row r="268" spans="1:15" s="38" customFormat="1" ht="14.45" customHeight="1" outlineLevel="1" x14ac:dyDescent="0.25">
      <c r="A268" s="140" t="s">
        <v>179</v>
      </c>
      <c r="B268" s="141" t="s">
        <v>604</v>
      </c>
      <c r="C268" s="130">
        <f>SUM(N268:N274)</f>
        <v>0</v>
      </c>
      <c r="D268" s="130">
        <f>SUM(O268:O274)</f>
        <v>0</v>
      </c>
      <c r="E268" s="130">
        <f t="shared" si="83"/>
        <v>0</v>
      </c>
      <c r="F268" s="130"/>
      <c r="G268" s="60" t="s">
        <v>125</v>
      </c>
      <c r="H268" s="123"/>
      <c r="I268" s="123"/>
      <c r="J268" s="60"/>
      <c r="K268" s="60"/>
      <c r="L268" s="60"/>
      <c r="M268" s="60"/>
      <c r="N268" s="60">
        <f>M268*J268*K268*L268</f>
        <v>0</v>
      </c>
      <c r="O268" s="60">
        <f>J268*K268*L268</f>
        <v>0</v>
      </c>
    </row>
    <row r="269" spans="1:15" s="38" customFormat="1" ht="11.45" customHeight="1" outlineLevel="1" x14ac:dyDescent="0.25">
      <c r="A269" s="124"/>
      <c r="B269" s="142"/>
      <c r="C269" s="115"/>
      <c r="D269" s="115"/>
      <c r="E269" s="115"/>
      <c r="F269" s="115"/>
      <c r="G269" s="60" t="s">
        <v>126</v>
      </c>
      <c r="H269" s="124"/>
      <c r="I269" s="124"/>
      <c r="J269" s="60"/>
      <c r="K269" s="60"/>
      <c r="L269" s="60"/>
      <c r="M269" s="60"/>
      <c r="N269" s="60">
        <f t="shared" ref="N269:N274" si="86">M269*J269*K269*L269</f>
        <v>0</v>
      </c>
      <c r="O269" s="60">
        <f t="shared" ref="O269:O274" si="87">J269*K269*L269</f>
        <v>0</v>
      </c>
    </row>
    <row r="270" spans="1:15" s="38" customFormat="1" ht="10.7" customHeight="1" outlineLevel="1" x14ac:dyDescent="0.25">
      <c r="A270" s="124"/>
      <c r="B270" s="142"/>
      <c r="C270" s="115"/>
      <c r="D270" s="115"/>
      <c r="E270" s="115"/>
      <c r="F270" s="115"/>
      <c r="G270" s="60" t="s">
        <v>127</v>
      </c>
      <c r="H270" s="124"/>
      <c r="I270" s="124"/>
      <c r="J270" s="60"/>
      <c r="K270" s="60"/>
      <c r="L270" s="60"/>
      <c r="M270" s="60"/>
      <c r="N270" s="60">
        <f t="shared" si="86"/>
        <v>0</v>
      </c>
      <c r="O270" s="60">
        <f t="shared" si="87"/>
        <v>0</v>
      </c>
    </row>
    <row r="271" spans="1:15" s="38" customFormat="1" ht="10.7" customHeight="1" outlineLevel="1" x14ac:dyDescent="0.25">
      <c r="A271" s="124"/>
      <c r="B271" s="142"/>
      <c r="C271" s="115"/>
      <c r="D271" s="115"/>
      <c r="E271" s="115"/>
      <c r="F271" s="115"/>
      <c r="G271" s="60" t="s">
        <v>128</v>
      </c>
      <c r="H271" s="124"/>
      <c r="I271" s="124"/>
      <c r="J271" s="60"/>
      <c r="K271" s="60"/>
      <c r="L271" s="60"/>
      <c r="M271" s="60"/>
      <c r="N271" s="60">
        <f t="shared" si="86"/>
        <v>0</v>
      </c>
      <c r="O271" s="60">
        <f t="shared" si="87"/>
        <v>0</v>
      </c>
    </row>
    <row r="272" spans="1:15" s="38" customFormat="1" ht="10.7" customHeight="1" outlineLevel="1" x14ac:dyDescent="0.25">
      <c r="A272" s="124"/>
      <c r="B272" s="142"/>
      <c r="C272" s="115"/>
      <c r="D272" s="115"/>
      <c r="E272" s="115"/>
      <c r="F272" s="115"/>
      <c r="G272" s="60" t="s">
        <v>129</v>
      </c>
      <c r="H272" s="124"/>
      <c r="I272" s="124"/>
      <c r="J272" s="60"/>
      <c r="K272" s="60"/>
      <c r="L272" s="60"/>
      <c r="M272" s="60"/>
      <c r="N272" s="60">
        <f t="shared" si="86"/>
        <v>0</v>
      </c>
      <c r="O272" s="60">
        <f t="shared" si="87"/>
        <v>0</v>
      </c>
    </row>
    <row r="273" spans="1:15" s="38" customFormat="1" ht="10.7" customHeight="1" outlineLevel="1" x14ac:dyDescent="0.25">
      <c r="A273" s="124"/>
      <c r="B273" s="142"/>
      <c r="C273" s="115"/>
      <c r="D273" s="115"/>
      <c r="E273" s="115"/>
      <c r="F273" s="115"/>
      <c r="G273" s="60" t="s">
        <v>130</v>
      </c>
      <c r="H273" s="124"/>
      <c r="I273" s="124"/>
      <c r="J273" s="60"/>
      <c r="K273" s="60"/>
      <c r="L273" s="60"/>
      <c r="M273" s="60"/>
      <c r="N273" s="60">
        <f t="shared" si="86"/>
        <v>0</v>
      </c>
      <c r="O273" s="60">
        <f t="shared" si="87"/>
        <v>0</v>
      </c>
    </row>
    <row r="274" spans="1:15" s="38" customFormat="1" ht="12" customHeight="1" outlineLevel="1" thickBot="1" x14ac:dyDescent="0.3">
      <c r="A274" s="125"/>
      <c r="B274" s="143"/>
      <c r="C274" s="131"/>
      <c r="D274" s="131"/>
      <c r="E274" s="131"/>
      <c r="F274" s="131"/>
      <c r="G274" s="60" t="s">
        <v>131</v>
      </c>
      <c r="H274" s="134"/>
      <c r="I274" s="134"/>
      <c r="J274" s="60"/>
      <c r="K274" s="60"/>
      <c r="L274" s="60"/>
      <c r="M274" s="60"/>
      <c r="N274" s="60">
        <f t="shared" si="86"/>
        <v>0</v>
      </c>
      <c r="O274" s="60">
        <f t="shared" si="87"/>
        <v>0</v>
      </c>
    </row>
    <row r="275" spans="1:15" s="38" customFormat="1" ht="14.45" customHeight="1" outlineLevel="1" x14ac:dyDescent="0.25">
      <c r="A275" s="140" t="s">
        <v>605</v>
      </c>
      <c r="B275" s="141" t="s">
        <v>606</v>
      </c>
      <c r="C275" s="130">
        <f>SUM(N275:N281)</f>
        <v>0</v>
      </c>
      <c r="D275" s="130">
        <f>SUM(O275:O281)</f>
        <v>0</v>
      </c>
      <c r="E275" s="130">
        <f t="shared" si="83"/>
        <v>0</v>
      </c>
      <c r="F275" s="130"/>
      <c r="G275" s="60" t="s">
        <v>125</v>
      </c>
      <c r="H275" s="123"/>
      <c r="I275" s="123"/>
      <c r="J275" s="60"/>
      <c r="K275" s="60"/>
      <c r="L275" s="60"/>
      <c r="M275" s="60"/>
      <c r="N275" s="60">
        <f>M275*J275*K275*L275</f>
        <v>0</v>
      </c>
      <c r="O275" s="60">
        <f>J275*K275*L275</f>
        <v>0</v>
      </c>
    </row>
    <row r="276" spans="1:15" s="38" customFormat="1" ht="11.45" customHeight="1" outlineLevel="1" x14ac:dyDescent="0.25">
      <c r="A276" s="124"/>
      <c r="B276" s="142"/>
      <c r="C276" s="115"/>
      <c r="D276" s="115"/>
      <c r="E276" s="115"/>
      <c r="F276" s="115"/>
      <c r="G276" s="60" t="s">
        <v>126</v>
      </c>
      <c r="H276" s="124"/>
      <c r="I276" s="124"/>
      <c r="J276" s="60"/>
      <c r="K276" s="60"/>
      <c r="L276" s="60"/>
      <c r="M276" s="60"/>
      <c r="N276" s="60">
        <f t="shared" ref="N276:N281" si="88">M276*J276*K276*L276</f>
        <v>0</v>
      </c>
      <c r="O276" s="60">
        <f t="shared" ref="O276:O281" si="89">J276*K276*L276</f>
        <v>0</v>
      </c>
    </row>
    <row r="277" spans="1:15" s="38" customFormat="1" ht="10.7" customHeight="1" outlineLevel="1" x14ac:dyDescent="0.25">
      <c r="A277" s="124"/>
      <c r="B277" s="142"/>
      <c r="C277" s="115"/>
      <c r="D277" s="115"/>
      <c r="E277" s="115"/>
      <c r="F277" s="115"/>
      <c r="G277" s="60" t="s">
        <v>127</v>
      </c>
      <c r="H277" s="124"/>
      <c r="I277" s="124"/>
      <c r="J277" s="60"/>
      <c r="K277" s="60"/>
      <c r="L277" s="60"/>
      <c r="M277" s="60"/>
      <c r="N277" s="60">
        <f t="shared" si="88"/>
        <v>0</v>
      </c>
      <c r="O277" s="60">
        <f t="shared" si="89"/>
        <v>0</v>
      </c>
    </row>
    <row r="278" spans="1:15" s="38" customFormat="1" ht="10.7" customHeight="1" outlineLevel="1" x14ac:dyDescent="0.25">
      <c r="A278" s="124"/>
      <c r="B278" s="142"/>
      <c r="C278" s="115"/>
      <c r="D278" s="115"/>
      <c r="E278" s="115"/>
      <c r="F278" s="115"/>
      <c r="G278" s="60" t="s">
        <v>128</v>
      </c>
      <c r="H278" s="124"/>
      <c r="I278" s="124"/>
      <c r="J278" s="60"/>
      <c r="K278" s="60"/>
      <c r="L278" s="60"/>
      <c r="M278" s="60"/>
      <c r="N278" s="60">
        <f t="shared" si="88"/>
        <v>0</v>
      </c>
      <c r="O278" s="60">
        <f t="shared" si="89"/>
        <v>0</v>
      </c>
    </row>
    <row r="279" spans="1:15" s="38" customFormat="1" ht="10.7" customHeight="1" outlineLevel="1" x14ac:dyDescent="0.25">
      <c r="A279" s="124"/>
      <c r="B279" s="142"/>
      <c r="C279" s="115"/>
      <c r="D279" s="115"/>
      <c r="E279" s="115"/>
      <c r="F279" s="115"/>
      <c r="G279" s="60" t="s">
        <v>129</v>
      </c>
      <c r="H279" s="124"/>
      <c r="I279" s="124"/>
      <c r="J279" s="60"/>
      <c r="K279" s="60"/>
      <c r="L279" s="60"/>
      <c r="M279" s="60"/>
      <c r="N279" s="60">
        <f t="shared" si="88"/>
        <v>0</v>
      </c>
      <c r="O279" s="60">
        <f t="shared" si="89"/>
        <v>0</v>
      </c>
    </row>
    <row r="280" spans="1:15" s="38" customFormat="1" ht="10.7" customHeight="1" outlineLevel="1" x14ac:dyDescent="0.25">
      <c r="A280" s="124"/>
      <c r="B280" s="142"/>
      <c r="C280" s="115"/>
      <c r="D280" s="115"/>
      <c r="E280" s="115"/>
      <c r="F280" s="115"/>
      <c r="G280" s="60" t="s">
        <v>130</v>
      </c>
      <c r="H280" s="124"/>
      <c r="I280" s="124"/>
      <c r="J280" s="60"/>
      <c r="K280" s="60"/>
      <c r="L280" s="60"/>
      <c r="M280" s="60"/>
      <c r="N280" s="60">
        <f t="shared" si="88"/>
        <v>0</v>
      </c>
      <c r="O280" s="60">
        <f t="shared" si="89"/>
        <v>0</v>
      </c>
    </row>
    <row r="281" spans="1:15" s="38" customFormat="1" ht="12" customHeight="1" outlineLevel="1" thickBot="1" x14ac:dyDescent="0.3">
      <c r="A281" s="125"/>
      <c r="B281" s="143"/>
      <c r="C281" s="131"/>
      <c r="D281" s="131"/>
      <c r="E281" s="131"/>
      <c r="F281" s="131"/>
      <c r="G281" s="60" t="s">
        <v>131</v>
      </c>
      <c r="H281" s="134"/>
      <c r="I281" s="134"/>
      <c r="J281" s="60"/>
      <c r="K281" s="60"/>
      <c r="L281" s="60"/>
      <c r="M281" s="60"/>
      <c r="N281" s="60">
        <f t="shared" si="88"/>
        <v>0</v>
      </c>
      <c r="O281" s="60">
        <f t="shared" si="89"/>
        <v>0</v>
      </c>
    </row>
    <row r="282" spans="1:15" s="39" customFormat="1" ht="15.75" x14ac:dyDescent="0.25">
      <c r="A282" s="40" t="s">
        <v>44</v>
      </c>
      <c r="B282" s="41" t="s">
        <v>176</v>
      </c>
      <c r="C282" s="42">
        <f>SUM(C283:C296)</f>
        <v>0</v>
      </c>
      <c r="D282" s="42">
        <f>SUM(D283:D296)</f>
        <v>0</v>
      </c>
      <c r="E282" s="42">
        <f>SUM(E283:E296)</f>
        <v>0</v>
      </c>
      <c r="F282" s="57"/>
      <c r="G282" s="57"/>
      <c r="H282" s="57"/>
      <c r="I282" s="57"/>
      <c r="J282" s="57"/>
      <c r="K282" s="57"/>
      <c r="L282" s="57"/>
      <c r="M282" s="57"/>
      <c r="N282" s="57"/>
      <c r="O282" s="43"/>
    </row>
    <row r="283" spans="1:15" s="38" customFormat="1" ht="14.45" customHeight="1" outlineLevel="1" x14ac:dyDescent="0.25">
      <c r="A283" s="140" t="s">
        <v>182</v>
      </c>
      <c r="B283" s="141" t="s">
        <v>378</v>
      </c>
      <c r="C283" s="130">
        <f>SUM(N283:N289)</f>
        <v>0</v>
      </c>
      <c r="D283" s="130">
        <f>SUM(O283:O289)</f>
        <v>0</v>
      </c>
      <c r="E283" s="130">
        <f t="shared" ref="E283:E290" si="90">D283/8</f>
        <v>0</v>
      </c>
      <c r="F283" s="130"/>
      <c r="G283" s="60" t="s">
        <v>125</v>
      </c>
      <c r="H283" s="123"/>
      <c r="I283" s="123"/>
      <c r="J283" s="60"/>
      <c r="K283" s="60"/>
      <c r="L283" s="60"/>
      <c r="M283" s="60"/>
      <c r="N283" s="60">
        <f>M283*J283*K283*L283</f>
        <v>0</v>
      </c>
      <c r="O283" s="60">
        <f>J283*K283*L283</f>
        <v>0</v>
      </c>
    </row>
    <row r="284" spans="1:15" s="38" customFormat="1" ht="11.45" customHeight="1" outlineLevel="1" x14ac:dyDescent="0.25">
      <c r="A284" s="124"/>
      <c r="B284" s="142"/>
      <c r="C284" s="115"/>
      <c r="D284" s="115"/>
      <c r="E284" s="115"/>
      <c r="F284" s="115"/>
      <c r="G284" s="60" t="s">
        <v>126</v>
      </c>
      <c r="H284" s="124"/>
      <c r="I284" s="124"/>
      <c r="J284" s="60"/>
      <c r="K284" s="60"/>
      <c r="L284" s="60"/>
      <c r="M284" s="60"/>
      <c r="N284" s="60">
        <f t="shared" ref="N284:N289" si="91">M284*J284*K284*L284</f>
        <v>0</v>
      </c>
      <c r="O284" s="60">
        <f t="shared" ref="O284:O289" si="92">J284*K284*L284</f>
        <v>0</v>
      </c>
    </row>
    <row r="285" spans="1:15" s="38" customFormat="1" ht="10.7" customHeight="1" outlineLevel="1" x14ac:dyDescent="0.25">
      <c r="A285" s="124"/>
      <c r="B285" s="142"/>
      <c r="C285" s="115"/>
      <c r="D285" s="115"/>
      <c r="E285" s="115"/>
      <c r="F285" s="115"/>
      <c r="G285" s="60" t="s">
        <v>127</v>
      </c>
      <c r="H285" s="124"/>
      <c r="I285" s="124"/>
      <c r="J285" s="60"/>
      <c r="K285" s="60"/>
      <c r="L285" s="60"/>
      <c r="M285" s="60"/>
      <c r="N285" s="60">
        <f t="shared" si="91"/>
        <v>0</v>
      </c>
      <c r="O285" s="60">
        <f t="shared" si="92"/>
        <v>0</v>
      </c>
    </row>
    <row r="286" spans="1:15" s="38" customFormat="1" ht="10.7" customHeight="1" outlineLevel="1" x14ac:dyDescent="0.25">
      <c r="A286" s="124"/>
      <c r="B286" s="142"/>
      <c r="C286" s="115"/>
      <c r="D286" s="115"/>
      <c r="E286" s="115"/>
      <c r="F286" s="115"/>
      <c r="G286" s="60" t="s">
        <v>128</v>
      </c>
      <c r="H286" s="124"/>
      <c r="I286" s="124"/>
      <c r="J286" s="60"/>
      <c r="K286" s="60"/>
      <c r="L286" s="60"/>
      <c r="M286" s="60"/>
      <c r="N286" s="60">
        <f t="shared" si="91"/>
        <v>0</v>
      </c>
      <c r="O286" s="60">
        <f t="shared" si="92"/>
        <v>0</v>
      </c>
    </row>
    <row r="287" spans="1:15" s="38" customFormat="1" ht="10.7" customHeight="1" outlineLevel="1" x14ac:dyDescent="0.25">
      <c r="A287" s="124"/>
      <c r="B287" s="142"/>
      <c r="C287" s="115"/>
      <c r="D287" s="115"/>
      <c r="E287" s="115"/>
      <c r="F287" s="115"/>
      <c r="G287" s="60" t="s">
        <v>129</v>
      </c>
      <c r="H287" s="124"/>
      <c r="I287" s="124"/>
      <c r="J287" s="60"/>
      <c r="K287" s="60"/>
      <c r="L287" s="60"/>
      <c r="M287" s="60"/>
      <c r="N287" s="60">
        <f t="shared" si="91"/>
        <v>0</v>
      </c>
      <c r="O287" s="60">
        <f t="shared" si="92"/>
        <v>0</v>
      </c>
    </row>
    <row r="288" spans="1:15" s="38" customFormat="1" ht="10.7" customHeight="1" outlineLevel="1" x14ac:dyDescent="0.25">
      <c r="A288" s="124"/>
      <c r="B288" s="142"/>
      <c r="C288" s="115"/>
      <c r="D288" s="115"/>
      <c r="E288" s="115"/>
      <c r="F288" s="115"/>
      <c r="G288" s="60" t="s">
        <v>130</v>
      </c>
      <c r="H288" s="124"/>
      <c r="I288" s="124"/>
      <c r="J288" s="60"/>
      <c r="K288" s="60"/>
      <c r="L288" s="60"/>
      <c r="M288" s="60"/>
      <c r="N288" s="60">
        <f t="shared" si="91"/>
        <v>0</v>
      </c>
      <c r="O288" s="60">
        <f t="shared" si="92"/>
        <v>0</v>
      </c>
    </row>
    <row r="289" spans="1:15" s="38" customFormat="1" ht="12" customHeight="1" outlineLevel="1" thickBot="1" x14ac:dyDescent="0.3">
      <c r="A289" s="125"/>
      <c r="B289" s="143"/>
      <c r="C289" s="131"/>
      <c r="D289" s="131"/>
      <c r="E289" s="131"/>
      <c r="F289" s="131"/>
      <c r="G289" s="60" t="s">
        <v>131</v>
      </c>
      <c r="H289" s="134"/>
      <c r="I289" s="134"/>
      <c r="J289" s="60"/>
      <c r="K289" s="60"/>
      <c r="L289" s="60"/>
      <c r="M289" s="60"/>
      <c r="N289" s="60">
        <f t="shared" si="91"/>
        <v>0</v>
      </c>
      <c r="O289" s="60">
        <f t="shared" si="92"/>
        <v>0</v>
      </c>
    </row>
    <row r="290" spans="1:15" s="38" customFormat="1" ht="14.45" customHeight="1" outlineLevel="1" x14ac:dyDescent="0.25">
      <c r="A290" s="140" t="s">
        <v>184</v>
      </c>
      <c r="B290" s="141" t="s">
        <v>379</v>
      </c>
      <c r="C290" s="130">
        <f>SUM(N290:N296)</f>
        <v>0</v>
      </c>
      <c r="D290" s="130">
        <f>SUM(O290:O296)</f>
        <v>0</v>
      </c>
      <c r="E290" s="130">
        <f t="shared" si="90"/>
        <v>0</v>
      </c>
      <c r="F290" s="130"/>
      <c r="G290" s="60" t="s">
        <v>125</v>
      </c>
      <c r="H290" s="123"/>
      <c r="I290" s="123"/>
      <c r="J290" s="60"/>
      <c r="K290" s="60"/>
      <c r="L290" s="60"/>
      <c r="M290" s="60"/>
      <c r="N290" s="60">
        <f>M290*J290*K290*L290</f>
        <v>0</v>
      </c>
      <c r="O290" s="60">
        <f>J290*K290*L290</f>
        <v>0</v>
      </c>
    </row>
    <row r="291" spans="1:15" s="38" customFormat="1" ht="11.45" customHeight="1" outlineLevel="1" x14ac:dyDescent="0.25">
      <c r="A291" s="124"/>
      <c r="B291" s="142"/>
      <c r="C291" s="115"/>
      <c r="D291" s="115"/>
      <c r="E291" s="115"/>
      <c r="F291" s="115"/>
      <c r="G291" s="60" t="s">
        <v>126</v>
      </c>
      <c r="H291" s="124"/>
      <c r="I291" s="124"/>
      <c r="J291" s="60"/>
      <c r="K291" s="60"/>
      <c r="L291" s="60"/>
      <c r="M291" s="60"/>
      <c r="N291" s="60">
        <f t="shared" ref="N291:N296" si="93">M291*J291*K291*L291</f>
        <v>0</v>
      </c>
      <c r="O291" s="60">
        <f t="shared" ref="O291:O296" si="94">J291*K291*L291</f>
        <v>0</v>
      </c>
    </row>
    <row r="292" spans="1:15" s="38" customFormat="1" ht="10.7" customHeight="1" outlineLevel="1" x14ac:dyDescent="0.25">
      <c r="A292" s="124"/>
      <c r="B292" s="142"/>
      <c r="C292" s="115"/>
      <c r="D292" s="115"/>
      <c r="E292" s="115"/>
      <c r="F292" s="115"/>
      <c r="G292" s="60" t="s">
        <v>127</v>
      </c>
      <c r="H292" s="124"/>
      <c r="I292" s="124"/>
      <c r="J292" s="60"/>
      <c r="K292" s="60"/>
      <c r="L292" s="60"/>
      <c r="M292" s="60"/>
      <c r="N292" s="60">
        <f t="shared" si="93"/>
        <v>0</v>
      </c>
      <c r="O292" s="60">
        <f t="shared" si="94"/>
        <v>0</v>
      </c>
    </row>
    <row r="293" spans="1:15" s="38" customFormat="1" ht="10.7" customHeight="1" outlineLevel="1" x14ac:dyDescent="0.25">
      <c r="A293" s="124"/>
      <c r="B293" s="142"/>
      <c r="C293" s="115"/>
      <c r="D293" s="115"/>
      <c r="E293" s="115"/>
      <c r="F293" s="115"/>
      <c r="G293" s="60" t="s">
        <v>128</v>
      </c>
      <c r="H293" s="124"/>
      <c r="I293" s="124"/>
      <c r="J293" s="60"/>
      <c r="K293" s="60"/>
      <c r="L293" s="60"/>
      <c r="M293" s="60"/>
      <c r="N293" s="60">
        <f t="shared" si="93"/>
        <v>0</v>
      </c>
      <c r="O293" s="60">
        <f t="shared" si="94"/>
        <v>0</v>
      </c>
    </row>
    <row r="294" spans="1:15" s="38" customFormat="1" ht="10.7" customHeight="1" outlineLevel="1" x14ac:dyDescent="0.25">
      <c r="A294" s="124"/>
      <c r="B294" s="142"/>
      <c r="C294" s="115"/>
      <c r="D294" s="115"/>
      <c r="E294" s="115"/>
      <c r="F294" s="115"/>
      <c r="G294" s="60" t="s">
        <v>129</v>
      </c>
      <c r="H294" s="124"/>
      <c r="I294" s="124"/>
      <c r="J294" s="60"/>
      <c r="K294" s="60"/>
      <c r="L294" s="60"/>
      <c r="M294" s="60"/>
      <c r="N294" s="60">
        <f t="shared" si="93"/>
        <v>0</v>
      </c>
      <c r="O294" s="60">
        <f t="shared" si="94"/>
        <v>0</v>
      </c>
    </row>
    <row r="295" spans="1:15" s="38" customFormat="1" ht="10.7" customHeight="1" outlineLevel="1" x14ac:dyDescent="0.25">
      <c r="A295" s="124"/>
      <c r="B295" s="142"/>
      <c r="C295" s="115"/>
      <c r="D295" s="115"/>
      <c r="E295" s="115"/>
      <c r="F295" s="115"/>
      <c r="G295" s="60" t="s">
        <v>130</v>
      </c>
      <c r="H295" s="124"/>
      <c r="I295" s="124"/>
      <c r="J295" s="60"/>
      <c r="K295" s="60"/>
      <c r="L295" s="60"/>
      <c r="M295" s="60"/>
      <c r="N295" s="60">
        <f t="shared" si="93"/>
        <v>0</v>
      </c>
      <c r="O295" s="60">
        <f t="shared" si="94"/>
        <v>0</v>
      </c>
    </row>
    <row r="296" spans="1:15" s="38" customFormat="1" ht="12" customHeight="1" outlineLevel="1" thickBot="1" x14ac:dyDescent="0.3">
      <c r="A296" s="125"/>
      <c r="B296" s="143"/>
      <c r="C296" s="131"/>
      <c r="D296" s="131"/>
      <c r="E296" s="131"/>
      <c r="F296" s="131"/>
      <c r="G296" s="60" t="s">
        <v>131</v>
      </c>
      <c r="H296" s="134"/>
      <c r="I296" s="134"/>
      <c r="J296" s="60"/>
      <c r="K296" s="60"/>
      <c r="L296" s="60"/>
      <c r="M296" s="60"/>
      <c r="N296" s="60">
        <f t="shared" si="93"/>
        <v>0</v>
      </c>
      <c r="O296" s="60">
        <f t="shared" si="94"/>
        <v>0</v>
      </c>
    </row>
    <row r="297" spans="1:15" s="39" customFormat="1" ht="15.75" x14ac:dyDescent="0.25">
      <c r="A297" s="40" t="s">
        <v>252</v>
      </c>
      <c r="B297" s="41" t="s">
        <v>607</v>
      </c>
      <c r="C297" s="42">
        <f>SUM(C298:C745)</f>
        <v>0</v>
      </c>
      <c r="D297" s="42">
        <f>SUM(D298:D745)</f>
        <v>0</v>
      </c>
      <c r="E297" s="42">
        <f>SUM(E298:E745)</f>
        <v>0</v>
      </c>
      <c r="F297" s="57"/>
      <c r="G297" s="57"/>
      <c r="H297" s="57"/>
      <c r="I297" s="57"/>
      <c r="J297" s="57"/>
      <c r="K297" s="57"/>
      <c r="L297" s="57"/>
      <c r="M297" s="57"/>
      <c r="N297" s="57"/>
      <c r="O297" s="43"/>
    </row>
    <row r="298" spans="1:15" s="38" customFormat="1" ht="14.45" customHeight="1" outlineLevel="1" x14ac:dyDescent="0.25">
      <c r="A298" s="140" t="s">
        <v>81</v>
      </c>
      <c r="B298" s="141" t="s">
        <v>608</v>
      </c>
      <c r="C298" s="130">
        <f>SUM(N298:N304)</f>
        <v>0</v>
      </c>
      <c r="D298" s="130">
        <f>SUM(O298:O304)</f>
        <v>0</v>
      </c>
      <c r="E298" s="130">
        <f t="shared" ref="E298:E361" si="95">D298/8</f>
        <v>0</v>
      </c>
      <c r="F298" s="130"/>
      <c r="G298" s="60" t="s">
        <v>125</v>
      </c>
      <c r="H298" s="123"/>
      <c r="I298" s="123"/>
      <c r="J298" s="60"/>
      <c r="K298" s="60"/>
      <c r="L298" s="60"/>
      <c r="M298" s="60"/>
      <c r="N298" s="60">
        <f>M298*J298*K298*L298</f>
        <v>0</v>
      </c>
      <c r="O298" s="60">
        <f>J298*K298*L298</f>
        <v>0</v>
      </c>
    </row>
    <row r="299" spans="1:15" s="38" customFormat="1" ht="11.45" customHeight="1" outlineLevel="1" x14ac:dyDescent="0.25">
      <c r="A299" s="124"/>
      <c r="B299" s="142"/>
      <c r="C299" s="115"/>
      <c r="D299" s="115"/>
      <c r="E299" s="115"/>
      <c r="F299" s="115"/>
      <c r="G299" s="60" t="s">
        <v>126</v>
      </c>
      <c r="H299" s="124"/>
      <c r="I299" s="124"/>
      <c r="J299" s="60"/>
      <c r="K299" s="60"/>
      <c r="L299" s="60"/>
      <c r="M299" s="60"/>
      <c r="N299" s="60">
        <f t="shared" ref="N299:N304" si="96">M299*J299*K299*L299</f>
        <v>0</v>
      </c>
      <c r="O299" s="60">
        <f t="shared" ref="O299:O304" si="97">J299*K299*L299</f>
        <v>0</v>
      </c>
    </row>
    <row r="300" spans="1:15" s="38" customFormat="1" ht="10.7" customHeight="1" outlineLevel="1" x14ac:dyDescent="0.25">
      <c r="A300" s="124"/>
      <c r="B300" s="142"/>
      <c r="C300" s="115"/>
      <c r="D300" s="115"/>
      <c r="E300" s="115"/>
      <c r="F300" s="115"/>
      <c r="G300" s="60" t="s">
        <v>127</v>
      </c>
      <c r="H300" s="124"/>
      <c r="I300" s="124"/>
      <c r="J300" s="60"/>
      <c r="K300" s="60"/>
      <c r="L300" s="60"/>
      <c r="M300" s="60"/>
      <c r="N300" s="60">
        <f t="shared" si="96"/>
        <v>0</v>
      </c>
      <c r="O300" s="60">
        <f t="shared" si="97"/>
        <v>0</v>
      </c>
    </row>
    <row r="301" spans="1:15" s="38" customFormat="1" ht="10.7" customHeight="1" outlineLevel="1" x14ac:dyDescent="0.25">
      <c r="A301" s="124"/>
      <c r="B301" s="142"/>
      <c r="C301" s="115"/>
      <c r="D301" s="115"/>
      <c r="E301" s="115"/>
      <c r="F301" s="115"/>
      <c r="G301" s="60" t="s">
        <v>128</v>
      </c>
      <c r="H301" s="124"/>
      <c r="I301" s="124"/>
      <c r="J301" s="60"/>
      <c r="K301" s="60"/>
      <c r="L301" s="60"/>
      <c r="M301" s="60"/>
      <c r="N301" s="60">
        <f t="shared" si="96"/>
        <v>0</v>
      </c>
      <c r="O301" s="60">
        <f t="shared" si="97"/>
        <v>0</v>
      </c>
    </row>
    <row r="302" spans="1:15" s="38" customFormat="1" ht="10.7" customHeight="1" outlineLevel="1" x14ac:dyDescent="0.25">
      <c r="A302" s="124"/>
      <c r="B302" s="142"/>
      <c r="C302" s="115"/>
      <c r="D302" s="115"/>
      <c r="E302" s="115"/>
      <c r="F302" s="115"/>
      <c r="G302" s="60" t="s">
        <v>129</v>
      </c>
      <c r="H302" s="124"/>
      <c r="I302" s="124"/>
      <c r="J302" s="60"/>
      <c r="K302" s="60"/>
      <c r="L302" s="60"/>
      <c r="M302" s="60"/>
      <c r="N302" s="60">
        <f t="shared" si="96"/>
        <v>0</v>
      </c>
      <c r="O302" s="60">
        <f t="shared" si="97"/>
        <v>0</v>
      </c>
    </row>
    <row r="303" spans="1:15" s="38" customFormat="1" ht="10.7" customHeight="1" outlineLevel="1" x14ac:dyDescent="0.25">
      <c r="A303" s="124"/>
      <c r="B303" s="142"/>
      <c r="C303" s="115"/>
      <c r="D303" s="115"/>
      <c r="E303" s="115"/>
      <c r="F303" s="115"/>
      <c r="G303" s="60" t="s">
        <v>130</v>
      </c>
      <c r="H303" s="124"/>
      <c r="I303" s="124"/>
      <c r="J303" s="60"/>
      <c r="K303" s="60"/>
      <c r="L303" s="60"/>
      <c r="M303" s="60"/>
      <c r="N303" s="60">
        <f t="shared" si="96"/>
        <v>0</v>
      </c>
      <c r="O303" s="60">
        <f t="shared" si="97"/>
        <v>0</v>
      </c>
    </row>
    <row r="304" spans="1:15" s="38" customFormat="1" ht="12" customHeight="1" outlineLevel="1" thickBot="1" x14ac:dyDescent="0.3">
      <c r="A304" s="125"/>
      <c r="B304" s="143"/>
      <c r="C304" s="131"/>
      <c r="D304" s="131"/>
      <c r="E304" s="131"/>
      <c r="F304" s="131"/>
      <c r="G304" s="60" t="s">
        <v>131</v>
      </c>
      <c r="H304" s="134"/>
      <c r="I304" s="134"/>
      <c r="J304" s="60"/>
      <c r="K304" s="60"/>
      <c r="L304" s="60"/>
      <c r="M304" s="60"/>
      <c r="N304" s="60">
        <f t="shared" si="96"/>
        <v>0</v>
      </c>
      <c r="O304" s="60">
        <f t="shared" si="97"/>
        <v>0</v>
      </c>
    </row>
    <row r="305" spans="1:15" s="38" customFormat="1" ht="14.45" customHeight="1" outlineLevel="1" x14ac:dyDescent="0.25">
      <c r="A305" s="140" t="s">
        <v>255</v>
      </c>
      <c r="B305" s="141" t="s">
        <v>609</v>
      </c>
      <c r="C305" s="130">
        <f>SUM(N305:N311)</f>
        <v>0</v>
      </c>
      <c r="D305" s="130">
        <f>SUM(O305:O311)</f>
        <v>0</v>
      </c>
      <c r="E305" s="130">
        <f t="shared" si="95"/>
        <v>0</v>
      </c>
      <c r="F305" s="130"/>
      <c r="G305" s="60" t="s">
        <v>125</v>
      </c>
      <c r="H305" s="123"/>
      <c r="I305" s="123"/>
      <c r="J305" s="60"/>
      <c r="K305" s="60"/>
      <c r="L305" s="60"/>
      <c r="M305" s="60"/>
      <c r="N305" s="60">
        <f>M305*J305*K305*L305</f>
        <v>0</v>
      </c>
      <c r="O305" s="60">
        <f>J305*K305*L305</f>
        <v>0</v>
      </c>
    </row>
    <row r="306" spans="1:15" s="38" customFormat="1" ht="11.45" customHeight="1" outlineLevel="1" x14ac:dyDescent="0.25">
      <c r="A306" s="124"/>
      <c r="B306" s="142"/>
      <c r="C306" s="115"/>
      <c r="D306" s="115"/>
      <c r="E306" s="115"/>
      <c r="F306" s="115"/>
      <c r="G306" s="60" t="s">
        <v>126</v>
      </c>
      <c r="H306" s="124"/>
      <c r="I306" s="124"/>
      <c r="J306" s="60"/>
      <c r="K306" s="60"/>
      <c r="L306" s="60"/>
      <c r="M306" s="60"/>
      <c r="N306" s="60">
        <f t="shared" ref="N306:N311" si="98">M306*J306*K306*L306</f>
        <v>0</v>
      </c>
      <c r="O306" s="60">
        <f t="shared" ref="O306:O311" si="99">J306*K306*L306</f>
        <v>0</v>
      </c>
    </row>
    <row r="307" spans="1:15" s="38" customFormat="1" ht="10.7" customHeight="1" outlineLevel="1" x14ac:dyDescent="0.25">
      <c r="A307" s="124"/>
      <c r="B307" s="142"/>
      <c r="C307" s="115"/>
      <c r="D307" s="115"/>
      <c r="E307" s="115"/>
      <c r="F307" s="115"/>
      <c r="G307" s="60" t="s">
        <v>127</v>
      </c>
      <c r="H307" s="124"/>
      <c r="I307" s="124"/>
      <c r="J307" s="60"/>
      <c r="K307" s="60"/>
      <c r="L307" s="60"/>
      <c r="M307" s="60"/>
      <c r="N307" s="60">
        <f t="shared" si="98"/>
        <v>0</v>
      </c>
      <c r="O307" s="60">
        <f t="shared" si="99"/>
        <v>0</v>
      </c>
    </row>
    <row r="308" spans="1:15" s="38" customFormat="1" ht="10.7" customHeight="1" outlineLevel="1" x14ac:dyDescent="0.25">
      <c r="A308" s="124"/>
      <c r="B308" s="142"/>
      <c r="C308" s="115"/>
      <c r="D308" s="115"/>
      <c r="E308" s="115"/>
      <c r="F308" s="115"/>
      <c r="G308" s="60" t="s">
        <v>128</v>
      </c>
      <c r="H308" s="124"/>
      <c r="I308" s="124"/>
      <c r="J308" s="60"/>
      <c r="K308" s="60"/>
      <c r="L308" s="60"/>
      <c r="M308" s="60"/>
      <c r="N308" s="60">
        <f t="shared" si="98"/>
        <v>0</v>
      </c>
      <c r="O308" s="60">
        <f t="shared" si="99"/>
        <v>0</v>
      </c>
    </row>
    <row r="309" spans="1:15" s="38" customFormat="1" ht="10.7" customHeight="1" outlineLevel="1" x14ac:dyDescent="0.25">
      <c r="A309" s="124"/>
      <c r="B309" s="142"/>
      <c r="C309" s="115"/>
      <c r="D309" s="115"/>
      <c r="E309" s="115"/>
      <c r="F309" s="115"/>
      <c r="G309" s="60" t="s">
        <v>129</v>
      </c>
      <c r="H309" s="124"/>
      <c r="I309" s="124"/>
      <c r="J309" s="60"/>
      <c r="K309" s="60"/>
      <c r="L309" s="60"/>
      <c r="M309" s="60"/>
      <c r="N309" s="60">
        <f t="shared" si="98"/>
        <v>0</v>
      </c>
      <c r="O309" s="60">
        <f t="shared" si="99"/>
        <v>0</v>
      </c>
    </row>
    <row r="310" spans="1:15" s="38" customFormat="1" ht="10.7" customHeight="1" outlineLevel="1" x14ac:dyDescent="0.25">
      <c r="A310" s="124"/>
      <c r="B310" s="142"/>
      <c r="C310" s="115"/>
      <c r="D310" s="115"/>
      <c r="E310" s="115"/>
      <c r="F310" s="115"/>
      <c r="G310" s="60" t="s">
        <v>130</v>
      </c>
      <c r="H310" s="124"/>
      <c r="I310" s="124"/>
      <c r="J310" s="60"/>
      <c r="K310" s="60"/>
      <c r="L310" s="60"/>
      <c r="M310" s="60"/>
      <c r="N310" s="60">
        <f t="shared" si="98"/>
        <v>0</v>
      </c>
      <c r="O310" s="60">
        <f t="shared" si="99"/>
        <v>0</v>
      </c>
    </row>
    <row r="311" spans="1:15" s="38" customFormat="1" ht="12" customHeight="1" outlineLevel="1" thickBot="1" x14ac:dyDescent="0.3">
      <c r="A311" s="125"/>
      <c r="B311" s="143"/>
      <c r="C311" s="131"/>
      <c r="D311" s="131"/>
      <c r="E311" s="131"/>
      <c r="F311" s="131"/>
      <c r="G311" s="60" t="s">
        <v>131</v>
      </c>
      <c r="H311" s="134"/>
      <c r="I311" s="134"/>
      <c r="J311" s="60"/>
      <c r="K311" s="60"/>
      <c r="L311" s="60"/>
      <c r="M311" s="60"/>
      <c r="N311" s="60">
        <f t="shared" si="98"/>
        <v>0</v>
      </c>
      <c r="O311" s="60">
        <f t="shared" si="99"/>
        <v>0</v>
      </c>
    </row>
    <row r="312" spans="1:15" s="38" customFormat="1" ht="14.45" customHeight="1" outlineLevel="1" x14ac:dyDescent="0.25">
      <c r="A312" s="140" t="s">
        <v>610</v>
      </c>
      <c r="B312" s="141" t="s">
        <v>611</v>
      </c>
      <c r="C312" s="130">
        <f>SUM(N312:N318)</f>
        <v>0</v>
      </c>
      <c r="D312" s="130">
        <f>SUM(O312:O318)</f>
        <v>0</v>
      </c>
      <c r="E312" s="130">
        <f t="shared" si="95"/>
        <v>0</v>
      </c>
      <c r="F312" s="130"/>
      <c r="G312" s="60" t="s">
        <v>125</v>
      </c>
      <c r="H312" s="123"/>
      <c r="I312" s="123"/>
      <c r="J312" s="60"/>
      <c r="K312" s="60"/>
      <c r="L312" s="60"/>
      <c r="M312" s="60"/>
      <c r="N312" s="60">
        <f>M312*J312*K312*L312</f>
        <v>0</v>
      </c>
      <c r="O312" s="60">
        <f>J312*K312*L312</f>
        <v>0</v>
      </c>
    </row>
    <row r="313" spans="1:15" s="38" customFormat="1" ht="11.45" customHeight="1" outlineLevel="1" x14ac:dyDescent="0.25">
      <c r="A313" s="124"/>
      <c r="B313" s="142"/>
      <c r="C313" s="115"/>
      <c r="D313" s="115"/>
      <c r="E313" s="115"/>
      <c r="F313" s="115"/>
      <c r="G313" s="60" t="s">
        <v>126</v>
      </c>
      <c r="H313" s="124"/>
      <c r="I313" s="124"/>
      <c r="J313" s="60"/>
      <c r="K313" s="60"/>
      <c r="L313" s="60"/>
      <c r="M313" s="60"/>
      <c r="N313" s="60">
        <f t="shared" ref="N313:N318" si="100">M313*J313*K313*L313</f>
        <v>0</v>
      </c>
      <c r="O313" s="60">
        <f t="shared" ref="O313:O318" si="101">J313*K313*L313</f>
        <v>0</v>
      </c>
    </row>
    <row r="314" spans="1:15" s="38" customFormat="1" ht="10.7" customHeight="1" outlineLevel="1" x14ac:dyDescent="0.25">
      <c r="A314" s="124"/>
      <c r="B314" s="142"/>
      <c r="C314" s="115"/>
      <c r="D314" s="115"/>
      <c r="E314" s="115"/>
      <c r="F314" s="115"/>
      <c r="G314" s="60" t="s">
        <v>127</v>
      </c>
      <c r="H314" s="124"/>
      <c r="I314" s="124"/>
      <c r="J314" s="60"/>
      <c r="K314" s="60"/>
      <c r="L314" s="60"/>
      <c r="M314" s="60"/>
      <c r="N314" s="60">
        <f t="shared" si="100"/>
        <v>0</v>
      </c>
      <c r="O314" s="60">
        <f t="shared" si="101"/>
        <v>0</v>
      </c>
    </row>
    <row r="315" spans="1:15" s="38" customFormat="1" ht="10.7" customHeight="1" outlineLevel="1" x14ac:dyDescent="0.25">
      <c r="A315" s="124"/>
      <c r="B315" s="142"/>
      <c r="C315" s="115"/>
      <c r="D315" s="115"/>
      <c r="E315" s="115"/>
      <c r="F315" s="115"/>
      <c r="G315" s="60" t="s">
        <v>128</v>
      </c>
      <c r="H315" s="124"/>
      <c r="I315" s="124"/>
      <c r="J315" s="60"/>
      <c r="K315" s="60"/>
      <c r="L315" s="60"/>
      <c r="M315" s="60"/>
      <c r="N315" s="60">
        <f t="shared" si="100"/>
        <v>0</v>
      </c>
      <c r="O315" s="60">
        <f t="shared" si="101"/>
        <v>0</v>
      </c>
    </row>
    <row r="316" spans="1:15" s="38" customFormat="1" ht="10.7" customHeight="1" outlineLevel="1" x14ac:dyDescent="0.25">
      <c r="A316" s="124"/>
      <c r="B316" s="142"/>
      <c r="C316" s="115"/>
      <c r="D316" s="115"/>
      <c r="E316" s="115"/>
      <c r="F316" s="115"/>
      <c r="G316" s="60" t="s">
        <v>129</v>
      </c>
      <c r="H316" s="124"/>
      <c r="I316" s="124"/>
      <c r="J316" s="60"/>
      <c r="K316" s="60"/>
      <c r="L316" s="60"/>
      <c r="M316" s="60"/>
      <c r="N316" s="60">
        <f t="shared" si="100"/>
        <v>0</v>
      </c>
      <c r="O316" s="60">
        <f t="shared" si="101"/>
        <v>0</v>
      </c>
    </row>
    <row r="317" spans="1:15" s="38" customFormat="1" ht="10.7" customHeight="1" outlineLevel="1" x14ac:dyDescent="0.25">
      <c r="A317" s="124"/>
      <c r="B317" s="142"/>
      <c r="C317" s="115"/>
      <c r="D317" s="115"/>
      <c r="E317" s="115"/>
      <c r="F317" s="115"/>
      <c r="G317" s="60" t="s">
        <v>130</v>
      </c>
      <c r="H317" s="124"/>
      <c r="I317" s="124"/>
      <c r="J317" s="60"/>
      <c r="K317" s="60"/>
      <c r="L317" s="60"/>
      <c r="M317" s="60"/>
      <c r="N317" s="60">
        <f t="shared" si="100"/>
        <v>0</v>
      </c>
      <c r="O317" s="60">
        <f t="shared" si="101"/>
        <v>0</v>
      </c>
    </row>
    <row r="318" spans="1:15" s="38" customFormat="1" ht="12" customHeight="1" outlineLevel="1" thickBot="1" x14ac:dyDescent="0.3">
      <c r="A318" s="125"/>
      <c r="B318" s="143"/>
      <c r="C318" s="131"/>
      <c r="D318" s="131"/>
      <c r="E318" s="131"/>
      <c r="F318" s="131"/>
      <c r="G318" s="60" t="s">
        <v>131</v>
      </c>
      <c r="H318" s="134"/>
      <c r="I318" s="134"/>
      <c r="J318" s="60"/>
      <c r="K318" s="60"/>
      <c r="L318" s="60"/>
      <c r="M318" s="60"/>
      <c r="N318" s="60">
        <f t="shared" si="100"/>
        <v>0</v>
      </c>
      <c r="O318" s="60">
        <f t="shared" si="101"/>
        <v>0</v>
      </c>
    </row>
    <row r="319" spans="1:15" s="38" customFormat="1" ht="14.45" customHeight="1" outlineLevel="1" x14ac:dyDescent="0.25">
      <c r="A319" s="140" t="s">
        <v>612</v>
      </c>
      <c r="B319" s="141" t="s">
        <v>613</v>
      </c>
      <c r="C319" s="130">
        <f>SUM(N319:N325)</f>
        <v>0</v>
      </c>
      <c r="D319" s="130">
        <f>SUM(O319:O325)</f>
        <v>0</v>
      </c>
      <c r="E319" s="130">
        <f t="shared" si="95"/>
        <v>0</v>
      </c>
      <c r="F319" s="130"/>
      <c r="G319" s="60" t="s">
        <v>125</v>
      </c>
      <c r="H319" s="123"/>
      <c r="I319" s="123"/>
      <c r="J319" s="60"/>
      <c r="K319" s="60"/>
      <c r="L319" s="60"/>
      <c r="M319" s="60"/>
      <c r="N319" s="60">
        <f>M319*J319*K319*L319</f>
        <v>0</v>
      </c>
      <c r="O319" s="60">
        <f>J319*K319*L319</f>
        <v>0</v>
      </c>
    </row>
    <row r="320" spans="1:15" s="38" customFormat="1" ht="11.45" customHeight="1" outlineLevel="1" x14ac:dyDescent="0.25">
      <c r="A320" s="124"/>
      <c r="B320" s="142"/>
      <c r="C320" s="115"/>
      <c r="D320" s="115"/>
      <c r="E320" s="115"/>
      <c r="F320" s="115"/>
      <c r="G320" s="60" t="s">
        <v>126</v>
      </c>
      <c r="H320" s="124"/>
      <c r="I320" s="124"/>
      <c r="J320" s="60"/>
      <c r="K320" s="60"/>
      <c r="L320" s="60"/>
      <c r="M320" s="60"/>
      <c r="N320" s="60">
        <f t="shared" ref="N320:N325" si="102">M320*J320*K320*L320</f>
        <v>0</v>
      </c>
      <c r="O320" s="60">
        <f t="shared" ref="O320:O325" si="103">J320*K320*L320</f>
        <v>0</v>
      </c>
    </row>
    <row r="321" spans="1:15" s="38" customFormat="1" ht="10.7" customHeight="1" outlineLevel="1" x14ac:dyDescent="0.25">
      <c r="A321" s="124"/>
      <c r="B321" s="142"/>
      <c r="C321" s="115"/>
      <c r="D321" s="115"/>
      <c r="E321" s="115"/>
      <c r="F321" s="115"/>
      <c r="G321" s="60" t="s">
        <v>127</v>
      </c>
      <c r="H321" s="124"/>
      <c r="I321" s="124"/>
      <c r="J321" s="60"/>
      <c r="K321" s="60"/>
      <c r="L321" s="60"/>
      <c r="M321" s="60"/>
      <c r="N321" s="60">
        <f t="shared" si="102"/>
        <v>0</v>
      </c>
      <c r="O321" s="60">
        <f t="shared" si="103"/>
        <v>0</v>
      </c>
    </row>
    <row r="322" spans="1:15" s="38" customFormat="1" ht="10.7" customHeight="1" outlineLevel="1" x14ac:dyDescent="0.25">
      <c r="A322" s="124"/>
      <c r="B322" s="142"/>
      <c r="C322" s="115"/>
      <c r="D322" s="115"/>
      <c r="E322" s="115"/>
      <c r="F322" s="115"/>
      <c r="G322" s="60" t="s">
        <v>128</v>
      </c>
      <c r="H322" s="124"/>
      <c r="I322" s="124"/>
      <c r="J322" s="60"/>
      <c r="K322" s="60"/>
      <c r="L322" s="60"/>
      <c r="M322" s="60"/>
      <c r="N322" s="60">
        <f t="shared" si="102"/>
        <v>0</v>
      </c>
      <c r="O322" s="60">
        <f t="shared" si="103"/>
        <v>0</v>
      </c>
    </row>
    <row r="323" spans="1:15" s="38" customFormat="1" ht="10.7" customHeight="1" outlineLevel="1" x14ac:dyDescent="0.25">
      <c r="A323" s="124"/>
      <c r="B323" s="142"/>
      <c r="C323" s="115"/>
      <c r="D323" s="115"/>
      <c r="E323" s="115"/>
      <c r="F323" s="115"/>
      <c r="G323" s="60" t="s">
        <v>129</v>
      </c>
      <c r="H323" s="124"/>
      <c r="I323" s="124"/>
      <c r="J323" s="60"/>
      <c r="K323" s="60"/>
      <c r="L323" s="60"/>
      <c r="M323" s="60"/>
      <c r="N323" s="60">
        <f t="shared" si="102"/>
        <v>0</v>
      </c>
      <c r="O323" s="60">
        <f t="shared" si="103"/>
        <v>0</v>
      </c>
    </row>
    <row r="324" spans="1:15" s="38" customFormat="1" ht="10.7" customHeight="1" outlineLevel="1" x14ac:dyDescent="0.25">
      <c r="A324" s="124"/>
      <c r="B324" s="142"/>
      <c r="C324" s="115"/>
      <c r="D324" s="115"/>
      <c r="E324" s="115"/>
      <c r="F324" s="115"/>
      <c r="G324" s="60" t="s">
        <v>130</v>
      </c>
      <c r="H324" s="124"/>
      <c r="I324" s="124"/>
      <c r="J324" s="60"/>
      <c r="K324" s="60"/>
      <c r="L324" s="60"/>
      <c r="M324" s="60"/>
      <c r="N324" s="60">
        <f t="shared" si="102"/>
        <v>0</v>
      </c>
      <c r="O324" s="60">
        <f t="shared" si="103"/>
        <v>0</v>
      </c>
    </row>
    <row r="325" spans="1:15" s="38" customFormat="1" ht="12" customHeight="1" outlineLevel="1" thickBot="1" x14ac:dyDescent="0.3">
      <c r="A325" s="125"/>
      <c r="B325" s="143"/>
      <c r="C325" s="131"/>
      <c r="D325" s="131"/>
      <c r="E325" s="131"/>
      <c r="F325" s="131"/>
      <c r="G325" s="60" t="s">
        <v>131</v>
      </c>
      <c r="H325" s="134"/>
      <c r="I325" s="134"/>
      <c r="J325" s="60"/>
      <c r="K325" s="60"/>
      <c r="L325" s="60"/>
      <c r="M325" s="60"/>
      <c r="N325" s="60">
        <f t="shared" si="102"/>
        <v>0</v>
      </c>
      <c r="O325" s="60">
        <f t="shared" si="103"/>
        <v>0</v>
      </c>
    </row>
    <row r="326" spans="1:15" s="38" customFormat="1" ht="14.45" customHeight="1" outlineLevel="1" x14ac:dyDescent="0.25">
      <c r="A326" s="140" t="s">
        <v>614</v>
      </c>
      <c r="B326" s="141" t="s">
        <v>615</v>
      </c>
      <c r="C326" s="130">
        <f>SUM(N326:N332)</f>
        <v>0</v>
      </c>
      <c r="D326" s="130">
        <f>SUM(O326:O332)</f>
        <v>0</v>
      </c>
      <c r="E326" s="130">
        <f t="shared" si="95"/>
        <v>0</v>
      </c>
      <c r="F326" s="130"/>
      <c r="G326" s="60" t="s">
        <v>125</v>
      </c>
      <c r="H326" s="123"/>
      <c r="I326" s="123"/>
      <c r="J326" s="60"/>
      <c r="K326" s="60"/>
      <c r="L326" s="60"/>
      <c r="M326" s="60"/>
      <c r="N326" s="60">
        <f>M326*J326*K326*L326</f>
        <v>0</v>
      </c>
      <c r="O326" s="60">
        <f>J326*K326*L326</f>
        <v>0</v>
      </c>
    </row>
    <row r="327" spans="1:15" s="38" customFormat="1" ht="11.45" customHeight="1" outlineLevel="1" x14ac:dyDescent="0.25">
      <c r="A327" s="124"/>
      <c r="B327" s="142"/>
      <c r="C327" s="115"/>
      <c r="D327" s="115"/>
      <c r="E327" s="115"/>
      <c r="F327" s="115"/>
      <c r="G327" s="60" t="s">
        <v>126</v>
      </c>
      <c r="H327" s="124"/>
      <c r="I327" s="124"/>
      <c r="J327" s="60"/>
      <c r="K327" s="60"/>
      <c r="L327" s="60"/>
      <c r="M327" s="60"/>
      <c r="N327" s="60">
        <f t="shared" ref="N327:N332" si="104">M327*J327*K327*L327</f>
        <v>0</v>
      </c>
      <c r="O327" s="60">
        <f t="shared" ref="O327:O332" si="105">J327*K327*L327</f>
        <v>0</v>
      </c>
    </row>
    <row r="328" spans="1:15" s="38" customFormat="1" ht="10.7" customHeight="1" outlineLevel="1" x14ac:dyDescent="0.25">
      <c r="A328" s="124"/>
      <c r="B328" s="142"/>
      <c r="C328" s="115"/>
      <c r="D328" s="115"/>
      <c r="E328" s="115"/>
      <c r="F328" s="115"/>
      <c r="G328" s="60" t="s">
        <v>127</v>
      </c>
      <c r="H328" s="124"/>
      <c r="I328" s="124"/>
      <c r="J328" s="60"/>
      <c r="K328" s="60"/>
      <c r="L328" s="60"/>
      <c r="M328" s="60"/>
      <c r="N328" s="60">
        <f t="shared" si="104"/>
        <v>0</v>
      </c>
      <c r="O328" s="60">
        <f t="shared" si="105"/>
        <v>0</v>
      </c>
    </row>
    <row r="329" spans="1:15" s="38" customFormat="1" ht="10.7" customHeight="1" outlineLevel="1" x14ac:dyDescent="0.25">
      <c r="A329" s="124"/>
      <c r="B329" s="142"/>
      <c r="C329" s="115"/>
      <c r="D329" s="115"/>
      <c r="E329" s="115"/>
      <c r="F329" s="115"/>
      <c r="G329" s="60" t="s">
        <v>128</v>
      </c>
      <c r="H329" s="124"/>
      <c r="I329" s="124"/>
      <c r="J329" s="60"/>
      <c r="K329" s="60"/>
      <c r="L329" s="60"/>
      <c r="M329" s="60"/>
      <c r="N329" s="60">
        <f t="shared" si="104"/>
        <v>0</v>
      </c>
      <c r="O329" s="60">
        <f t="shared" si="105"/>
        <v>0</v>
      </c>
    </row>
    <row r="330" spans="1:15" s="38" customFormat="1" ht="10.7" customHeight="1" outlineLevel="1" x14ac:dyDescent="0.25">
      <c r="A330" s="124"/>
      <c r="B330" s="142"/>
      <c r="C330" s="115"/>
      <c r="D330" s="115"/>
      <c r="E330" s="115"/>
      <c r="F330" s="115"/>
      <c r="G330" s="60" t="s">
        <v>129</v>
      </c>
      <c r="H330" s="124"/>
      <c r="I330" s="124"/>
      <c r="J330" s="60"/>
      <c r="K330" s="60"/>
      <c r="L330" s="60"/>
      <c r="M330" s="60"/>
      <c r="N330" s="60">
        <f t="shared" si="104"/>
        <v>0</v>
      </c>
      <c r="O330" s="60">
        <f t="shared" si="105"/>
        <v>0</v>
      </c>
    </row>
    <row r="331" spans="1:15" s="38" customFormat="1" ht="10.7" customHeight="1" outlineLevel="1" x14ac:dyDescent="0.25">
      <c r="A331" s="124"/>
      <c r="B331" s="142"/>
      <c r="C331" s="115"/>
      <c r="D331" s="115"/>
      <c r="E331" s="115"/>
      <c r="F331" s="115"/>
      <c r="G331" s="60" t="s">
        <v>130</v>
      </c>
      <c r="H331" s="124"/>
      <c r="I331" s="124"/>
      <c r="J331" s="60"/>
      <c r="K331" s="60"/>
      <c r="L331" s="60"/>
      <c r="M331" s="60"/>
      <c r="N331" s="60">
        <f t="shared" si="104"/>
        <v>0</v>
      </c>
      <c r="O331" s="60">
        <f t="shared" si="105"/>
        <v>0</v>
      </c>
    </row>
    <row r="332" spans="1:15" s="38" customFormat="1" ht="12" customHeight="1" outlineLevel="1" thickBot="1" x14ac:dyDescent="0.3">
      <c r="A332" s="125"/>
      <c r="B332" s="143"/>
      <c r="C332" s="131"/>
      <c r="D332" s="131"/>
      <c r="E332" s="131"/>
      <c r="F332" s="131"/>
      <c r="G332" s="60" t="s">
        <v>131</v>
      </c>
      <c r="H332" s="134"/>
      <c r="I332" s="134"/>
      <c r="J332" s="60"/>
      <c r="K332" s="60"/>
      <c r="L332" s="60"/>
      <c r="M332" s="60"/>
      <c r="N332" s="60">
        <f t="shared" si="104"/>
        <v>0</v>
      </c>
      <c r="O332" s="60">
        <f t="shared" si="105"/>
        <v>0</v>
      </c>
    </row>
    <row r="333" spans="1:15" s="38" customFormat="1" ht="14.45" customHeight="1" outlineLevel="1" x14ac:dyDescent="0.25">
      <c r="A333" s="140" t="s">
        <v>616</v>
      </c>
      <c r="B333" s="141" t="s">
        <v>617</v>
      </c>
      <c r="C333" s="130">
        <f>SUM(N333:N339)</f>
        <v>0</v>
      </c>
      <c r="D333" s="130">
        <f>SUM(O333:O339)</f>
        <v>0</v>
      </c>
      <c r="E333" s="130">
        <f t="shared" si="95"/>
        <v>0</v>
      </c>
      <c r="F333" s="130"/>
      <c r="G333" s="60" t="s">
        <v>125</v>
      </c>
      <c r="H333" s="123"/>
      <c r="I333" s="123"/>
      <c r="J333" s="60"/>
      <c r="K333" s="60"/>
      <c r="L333" s="60"/>
      <c r="M333" s="60"/>
      <c r="N333" s="60">
        <f>M333*J333*K333*L333</f>
        <v>0</v>
      </c>
      <c r="O333" s="60">
        <f>J333*K333*L333</f>
        <v>0</v>
      </c>
    </row>
    <row r="334" spans="1:15" s="38" customFormat="1" ht="11.45" customHeight="1" outlineLevel="1" x14ac:dyDescent="0.25">
      <c r="A334" s="124"/>
      <c r="B334" s="142"/>
      <c r="C334" s="115"/>
      <c r="D334" s="115"/>
      <c r="E334" s="115"/>
      <c r="F334" s="115"/>
      <c r="G334" s="60" t="s">
        <v>126</v>
      </c>
      <c r="H334" s="124"/>
      <c r="I334" s="124"/>
      <c r="J334" s="60"/>
      <c r="K334" s="60"/>
      <c r="L334" s="60"/>
      <c r="M334" s="60"/>
      <c r="N334" s="60">
        <f t="shared" ref="N334:N339" si="106">M334*J334*K334*L334</f>
        <v>0</v>
      </c>
      <c r="O334" s="60">
        <f t="shared" ref="O334:O339" si="107">J334*K334*L334</f>
        <v>0</v>
      </c>
    </row>
    <row r="335" spans="1:15" s="38" customFormat="1" ht="10.7" customHeight="1" outlineLevel="1" x14ac:dyDescent="0.25">
      <c r="A335" s="124"/>
      <c r="B335" s="142"/>
      <c r="C335" s="115"/>
      <c r="D335" s="115"/>
      <c r="E335" s="115"/>
      <c r="F335" s="115"/>
      <c r="G335" s="60" t="s">
        <v>127</v>
      </c>
      <c r="H335" s="124"/>
      <c r="I335" s="124"/>
      <c r="J335" s="60"/>
      <c r="K335" s="60"/>
      <c r="L335" s="60"/>
      <c r="M335" s="60"/>
      <c r="N335" s="60">
        <f t="shared" si="106"/>
        <v>0</v>
      </c>
      <c r="O335" s="60">
        <f t="shared" si="107"/>
        <v>0</v>
      </c>
    </row>
    <row r="336" spans="1:15" s="38" customFormat="1" ht="10.7" customHeight="1" outlineLevel="1" x14ac:dyDescent="0.25">
      <c r="A336" s="124"/>
      <c r="B336" s="142"/>
      <c r="C336" s="115"/>
      <c r="D336" s="115"/>
      <c r="E336" s="115"/>
      <c r="F336" s="115"/>
      <c r="G336" s="60" t="s">
        <v>128</v>
      </c>
      <c r="H336" s="124"/>
      <c r="I336" s="124"/>
      <c r="J336" s="60"/>
      <c r="K336" s="60"/>
      <c r="L336" s="60"/>
      <c r="M336" s="60"/>
      <c r="N336" s="60">
        <f t="shared" si="106"/>
        <v>0</v>
      </c>
      <c r="O336" s="60">
        <f t="shared" si="107"/>
        <v>0</v>
      </c>
    </row>
    <row r="337" spans="1:15" s="38" customFormat="1" ht="10.7" customHeight="1" outlineLevel="1" x14ac:dyDescent="0.25">
      <c r="A337" s="124"/>
      <c r="B337" s="142"/>
      <c r="C337" s="115"/>
      <c r="D337" s="115"/>
      <c r="E337" s="115"/>
      <c r="F337" s="115"/>
      <c r="G337" s="60" t="s">
        <v>129</v>
      </c>
      <c r="H337" s="124"/>
      <c r="I337" s="124"/>
      <c r="J337" s="60"/>
      <c r="K337" s="60"/>
      <c r="L337" s="60"/>
      <c r="M337" s="60"/>
      <c r="N337" s="60">
        <f t="shared" si="106"/>
        <v>0</v>
      </c>
      <c r="O337" s="60">
        <f t="shared" si="107"/>
        <v>0</v>
      </c>
    </row>
    <row r="338" spans="1:15" s="38" customFormat="1" ht="10.7" customHeight="1" outlineLevel="1" x14ac:dyDescent="0.25">
      <c r="A338" s="124"/>
      <c r="B338" s="142"/>
      <c r="C338" s="115"/>
      <c r="D338" s="115"/>
      <c r="E338" s="115"/>
      <c r="F338" s="115"/>
      <c r="G338" s="60" t="s">
        <v>130</v>
      </c>
      <c r="H338" s="124"/>
      <c r="I338" s="124"/>
      <c r="J338" s="60"/>
      <c r="K338" s="60"/>
      <c r="L338" s="60"/>
      <c r="M338" s="60"/>
      <c r="N338" s="60">
        <f t="shared" si="106"/>
        <v>0</v>
      </c>
      <c r="O338" s="60">
        <f t="shared" si="107"/>
        <v>0</v>
      </c>
    </row>
    <row r="339" spans="1:15" s="38" customFormat="1" ht="12" customHeight="1" outlineLevel="1" thickBot="1" x14ac:dyDescent="0.3">
      <c r="A339" s="125"/>
      <c r="B339" s="143"/>
      <c r="C339" s="131"/>
      <c r="D339" s="131"/>
      <c r="E339" s="131"/>
      <c r="F339" s="131"/>
      <c r="G339" s="60" t="s">
        <v>131</v>
      </c>
      <c r="H339" s="134"/>
      <c r="I339" s="134"/>
      <c r="J339" s="60"/>
      <c r="K339" s="60"/>
      <c r="L339" s="60"/>
      <c r="M339" s="60"/>
      <c r="N339" s="60">
        <f t="shared" si="106"/>
        <v>0</v>
      </c>
      <c r="O339" s="60">
        <f t="shared" si="107"/>
        <v>0</v>
      </c>
    </row>
    <row r="340" spans="1:15" s="38" customFormat="1" ht="14.45" customHeight="1" outlineLevel="1" x14ac:dyDescent="0.25">
      <c r="A340" s="140" t="s">
        <v>618</v>
      </c>
      <c r="B340" s="141" t="s">
        <v>619</v>
      </c>
      <c r="C340" s="130">
        <f>SUM(N340:N346)</f>
        <v>0</v>
      </c>
      <c r="D340" s="130">
        <f>SUM(O340:O346)</f>
        <v>0</v>
      </c>
      <c r="E340" s="130">
        <f t="shared" si="95"/>
        <v>0</v>
      </c>
      <c r="F340" s="130"/>
      <c r="G340" s="60" t="s">
        <v>125</v>
      </c>
      <c r="H340" s="123"/>
      <c r="I340" s="123"/>
      <c r="J340" s="60"/>
      <c r="K340" s="60"/>
      <c r="L340" s="60"/>
      <c r="M340" s="60"/>
      <c r="N340" s="60">
        <f>M340*J340*K340*L340</f>
        <v>0</v>
      </c>
      <c r="O340" s="60">
        <f>J340*K340*L340</f>
        <v>0</v>
      </c>
    </row>
    <row r="341" spans="1:15" s="38" customFormat="1" ht="11.45" customHeight="1" outlineLevel="1" x14ac:dyDescent="0.25">
      <c r="A341" s="124"/>
      <c r="B341" s="142"/>
      <c r="C341" s="115"/>
      <c r="D341" s="115"/>
      <c r="E341" s="115"/>
      <c r="F341" s="115"/>
      <c r="G341" s="60" t="s">
        <v>126</v>
      </c>
      <c r="H341" s="124"/>
      <c r="I341" s="124"/>
      <c r="J341" s="60"/>
      <c r="K341" s="60"/>
      <c r="L341" s="60"/>
      <c r="M341" s="60"/>
      <c r="N341" s="60">
        <f t="shared" ref="N341:N346" si="108">M341*J341*K341*L341</f>
        <v>0</v>
      </c>
      <c r="O341" s="60">
        <f t="shared" ref="O341:O346" si="109">J341*K341*L341</f>
        <v>0</v>
      </c>
    </row>
    <row r="342" spans="1:15" s="38" customFormat="1" ht="10.7" customHeight="1" outlineLevel="1" x14ac:dyDescent="0.25">
      <c r="A342" s="124"/>
      <c r="B342" s="142"/>
      <c r="C342" s="115"/>
      <c r="D342" s="115"/>
      <c r="E342" s="115"/>
      <c r="F342" s="115"/>
      <c r="G342" s="60" t="s">
        <v>127</v>
      </c>
      <c r="H342" s="124"/>
      <c r="I342" s="124"/>
      <c r="J342" s="60"/>
      <c r="K342" s="60"/>
      <c r="L342" s="60"/>
      <c r="M342" s="60"/>
      <c r="N342" s="60">
        <f t="shared" si="108"/>
        <v>0</v>
      </c>
      <c r="O342" s="60">
        <f t="shared" si="109"/>
        <v>0</v>
      </c>
    </row>
    <row r="343" spans="1:15" s="38" customFormat="1" ht="10.7" customHeight="1" outlineLevel="1" x14ac:dyDescent="0.25">
      <c r="A343" s="124"/>
      <c r="B343" s="142"/>
      <c r="C343" s="115"/>
      <c r="D343" s="115"/>
      <c r="E343" s="115"/>
      <c r="F343" s="115"/>
      <c r="G343" s="60" t="s">
        <v>128</v>
      </c>
      <c r="H343" s="124"/>
      <c r="I343" s="124"/>
      <c r="J343" s="60"/>
      <c r="K343" s="60"/>
      <c r="L343" s="60"/>
      <c r="M343" s="60"/>
      <c r="N343" s="60">
        <f t="shared" si="108"/>
        <v>0</v>
      </c>
      <c r="O343" s="60">
        <f t="shared" si="109"/>
        <v>0</v>
      </c>
    </row>
    <row r="344" spans="1:15" s="38" customFormat="1" ht="10.7" customHeight="1" outlineLevel="1" x14ac:dyDescent="0.25">
      <c r="A344" s="124"/>
      <c r="B344" s="142"/>
      <c r="C344" s="115"/>
      <c r="D344" s="115"/>
      <c r="E344" s="115"/>
      <c r="F344" s="115"/>
      <c r="G344" s="60" t="s">
        <v>129</v>
      </c>
      <c r="H344" s="124"/>
      <c r="I344" s="124"/>
      <c r="J344" s="60"/>
      <c r="K344" s="60"/>
      <c r="L344" s="60"/>
      <c r="M344" s="60"/>
      <c r="N344" s="60">
        <f t="shared" si="108"/>
        <v>0</v>
      </c>
      <c r="O344" s="60">
        <f t="shared" si="109"/>
        <v>0</v>
      </c>
    </row>
    <row r="345" spans="1:15" s="38" customFormat="1" ht="10.7" customHeight="1" outlineLevel="1" x14ac:dyDescent="0.25">
      <c r="A345" s="124"/>
      <c r="B345" s="142"/>
      <c r="C345" s="115"/>
      <c r="D345" s="115"/>
      <c r="E345" s="115"/>
      <c r="F345" s="115"/>
      <c r="G345" s="60" t="s">
        <v>130</v>
      </c>
      <c r="H345" s="124"/>
      <c r="I345" s="124"/>
      <c r="J345" s="60"/>
      <c r="K345" s="60"/>
      <c r="L345" s="60"/>
      <c r="M345" s="60"/>
      <c r="N345" s="60">
        <f t="shared" si="108"/>
        <v>0</v>
      </c>
      <c r="O345" s="60">
        <f t="shared" si="109"/>
        <v>0</v>
      </c>
    </row>
    <row r="346" spans="1:15" s="38" customFormat="1" ht="12" customHeight="1" outlineLevel="1" thickBot="1" x14ac:dyDescent="0.3">
      <c r="A346" s="125"/>
      <c r="B346" s="143"/>
      <c r="C346" s="131"/>
      <c r="D346" s="131"/>
      <c r="E346" s="131"/>
      <c r="F346" s="131"/>
      <c r="G346" s="60" t="s">
        <v>131</v>
      </c>
      <c r="H346" s="134"/>
      <c r="I346" s="134"/>
      <c r="J346" s="60"/>
      <c r="K346" s="60"/>
      <c r="L346" s="60"/>
      <c r="M346" s="60"/>
      <c r="N346" s="60">
        <f t="shared" si="108"/>
        <v>0</v>
      </c>
      <c r="O346" s="60">
        <f t="shared" si="109"/>
        <v>0</v>
      </c>
    </row>
    <row r="347" spans="1:15" s="38" customFormat="1" ht="14.45" customHeight="1" outlineLevel="1" x14ac:dyDescent="0.25">
      <c r="A347" s="140" t="s">
        <v>620</v>
      </c>
      <c r="B347" s="141" t="s">
        <v>621</v>
      </c>
      <c r="C347" s="130">
        <f>SUM(N347:N353)</f>
        <v>0</v>
      </c>
      <c r="D347" s="130">
        <f>SUM(O347:O353)</f>
        <v>0</v>
      </c>
      <c r="E347" s="130">
        <f t="shared" si="95"/>
        <v>0</v>
      </c>
      <c r="F347" s="130"/>
      <c r="G347" s="60" t="s">
        <v>125</v>
      </c>
      <c r="H347" s="123"/>
      <c r="I347" s="123"/>
      <c r="J347" s="60"/>
      <c r="K347" s="60"/>
      <c r="L347" s="60"/>
      <c r="M347" s="60"/>
      <c r="N347" s="60">
        <f>M347*J347*K347*L347</f>
        <v>0</v>
      </c>
      <c r="O347" s="60">
        <f>J347*K347*L347</f>
        <v>0</v>
      </c>
    </row>
    <row r="348" spans="1:15" s="38" customFormat="1" ht="11.45" customHeight="1" outlineLevel="1" x14ac:dyDescent="0.25">
      <c r="A348" s="124"/>
      <c r="B348" s="142"/>
      <c r="C348" s="115"/>
      <c r="D348" s="115"/>
      <c r="E348" s="115"/>
      <c r="F348" s="115"/>
      <c r="G348" s="60" t="s">
        <v>126</v>
      </c>
      <c r="H348" s="124"/>
      <c r="I348" s="124"/>
      <c r="J348" s="60"/>
      <c r="K348" s="60"/>
      <c r="L348" s="60"/>
      <c r="M348" s="60"/>
      <c r="N348" s="60">
        <f t="shared" ref="N348:N353" si="110">M348*J348*K348*L348</f>
        <v>0</v>
      </c>
      <c r="O348" s="60">
        <f t="shared" ref="O348:O353" si="111">J348*K348*L348</f>
        <v>0</v>
      </c>
    </row>
    <row r="349" spans="1:15" s="38" customFormat="1" ht="10.7" customHeight="1" outlineLevel="1" x14ac:dyDescent="0.25">
      <c r="A349" s="124"/>
      <c r="B349" s="142"/>
      <c r="C349" s="115"/>
      <c r="D349" s="115"/>
      <c r="E349" s="115"/>
      <c r="F349" s="115"/>
      <c r="G349" s="60" t="s">
        <v>127</v>
      </c>
      <c r="H349" s="124"/>
      <c r="I349" s="124"/>
      <c r="J349" s="60"/>
      <c r="K349" s="60"/>
      <c r="L349" s="60"/>
      <c r="M349" s="60"/>
      <c r="N349" s="60">
        <f t="shared" si="110"/>
        <v>0</v>
      </c>
      <c r="O349" s="60">
        <f t="shared" si="111"/>
        <v>0</v>
      </c>
    </row>
    <row r="350" spans="1:15" s="38" customFormat="1" ht="10.7" customHeight="1" outlineLevel="1" x14ac:dyDescent="0.25">
      <c r="A350" s="124"/>
      <c r="B350" s="142"/>
      <c r="C350" s="115"/>
      <c r="D350" s="115"/>
      <c r="E350" s="115"/>
      <c r="F350" s="115"/>
      <c r="G350" s="60" t="s">
        <v>128</v>
      </c>
      <c r="H350" s="124"/>
      <c r="I350" s="124"/>
      <c r="J350" s="60"/>
      <c r="K350" s="60"/>
      <c r="L350" s="60"/>
      <c r="M350" s="60"/>
      <c r="N350" s="60">
        <f t="shared" si="110"/>
        <v>0</v>
      </c>
      <c r="O350" s="60">
        <f t="shared" si="111"/>
        <v>0</v>
      </c>
    </row>
    <row r="351" spans="1:15" s="38" customFormat="1" ht="10.7" customHeight="1" outlineLevel="1" x14ac:dyDescent="0.25">
      <c r="A351" s="124"/>
      <c r="B351" s="142"/>
      <c r="C351" s="115"/>
      <c r="D351" s="115"/>
      <c r="E351" s="115"/>
      <c r="F351" s="115"/>
      <c r="G351" s="60" t="s">
        <v>129</v>
      </c>
      <c r="H351" s="124"/>
      <c r="I351" s="124"/>
      <c r="J351" s="60"/>
      <c r="K351" s="60"/>
      <c r="L351" s="60"/>
      <c r="M351" s="60"/>
      <c r="N351" s="60">
        <f t="shared" si="110"/>
        <v>0</v>
      </c>
      <c r="O351" s="60">
        <f t="shared" si="111"/>
        <v>0</v>
      </c>
    </row>
    <row r="352" spans="1:15" s="38" customFormat="1" ht="10.7" customHeight="1" outlineLevel="1" x14ac:dyDescent="0.25">
      <c r="A352" s="124"/>
      <c r="B352" s="142"/>
      <c r="C352" s="115"/>
      <c r="D352" s="115"/>
      <c r="E352" s="115"/>
      <c r="F352" s="115"/>
      <c r="G352" s="60" t="s">
        <v>130</v>
      </c>
      <c r="H352" s="124"/>
      <c r="I352" s="124"/>
      <c r="J352" s="60"/>
      <c r="K352" s="60"/>
      <c r="L352" s="60"/>
      <c r="M352" s="60"/>
      <c r="N352" s="60">
        <f t="shared" si="110"/>
        <v>0</v>
      </c>
      <c r="O352" s="60">
        <f t="shared" si="111"/>
        <v>0</v>
      </c>
    </row>
    <row r="353" spans="1:15" s="38" customFormat="1" ht="12" customHeight="1" outlineLevel="1" thickBot="1" x14ac:dyDescent="0.3">
      <c r="A353" s="125"/>
      <c r="B353" s="143"/>
      <c r="C353" s="131"/>
      <c r="D353" s="131"/>
      <c r="E353" s="131"/>
      <c r="F353" s="131"/>
      <c r="G353" s="60" t="s">
        <v>131</v>
      </c>
      <c r="H353" s="134"/>
      <c r="I353" s="134"/>
      <c r="J353" s="60"/>
      <c r="K353" s="60"/>
      <c r="L353" s="60"/>
      <c r="M353" s="60"/>
      <c r="N353" s="60">
        <f t="shared" si="110"/>
        <v>0</v>
      </c>
      <c r="O353" s="60">
        <f t="shared" si="111"/>
        <v>0</v>
      </c>
    </row>
    <row r="354" spans="1:15" s="38" customFormat="1" ht="14.45" customHeight="1" outlineLevel="1" x14ac:dyDescent="0.25">
      <c r="A354" s="140" t="s">
        <v>622</v>
      </c>
      <c r="B354" s="141" t="s">
        <v>623</v>
      </c>
      <c r="C354" s="130">
        <f>SUM(N354:N360)</f>
        <v>0</v>
      </c>
      <c r="D354" s="130">
        <f>SUM(O354:O360)</f>
        <v>0</v>
      </c>
      <c r="E354" s="130">
        <f t="shared" si="95"/>
        <v>0</v>
      </c>
      <c r="F354" s="130"/>
      <c r="G354" s="60" t="s">
        <v>125</v>
      </c>
      <c r="H354" s="123"/>
      <c r="I354" s="123"/>
      <c r="J354" s="60"/>
      <c r="K354" s="60"/>
      <c r="L354" s="60"/>
      <c r="M354" s="60"/>
      <c r="N354" s="60">
        <f>M354*J354*K354*L354</f>
        <v>0</v>
      </c>
      <c r="O354" s="60">
        <f>J354*K354*L354</f>
        <v>0</v>
      </c>
    </row>
    <row r="355" spans="1:15" s="38" customFormat="1" ht="11.45" customHeight="1" outlineLevel="1" x14ac:dyDescent="0.25">
      <c r="A355" s="124"/>
      <c r="B355" s="142"/>
      <c r="C355" s="115"/>
      <c r="D355" s="115"/>
      <c r="E355" s="115"/>
      <c r="F355" s="115"/>
      <c r="G355" s="60" t="s">
        <v>126</v>
      </c>
      <c r="H355" s="124"/>
      <c r="I355" s="124"/>
      <c r="J355" s="60"/>
      <c r="K355" s="60"/>
      <c r="L355" s="60"/>
      <c r="M355" s="60"/>
      <c r="N355" s="60">
        <f t="shared" ref="N355:N360" si="112">M355*J355*K355*L355</f>
        <v>0</v>
      </c>
      <c r="O355" s="60">
        <f t="shared" ref="O355:O360" si="113">J355*K355*L355</f>
        <v>0</v>
      </c>
    </row>
    <row r="356" spans="1:15" s="38" customFormat="1" ht="10.7" customHeight="1" outlineLevel="1" x14ac:dyDescent="0.25">
      <c r="A356" s="124"/>
      <c r="B356" s="142"/>
      <c r="C356" s="115"/>
      <c r="D356" s="115"/>
      <c r="E356" s="115"/>
      <c r="F356" s="115"/>
      <c r="G356" s="60" t="s">
        <v>127</v>
      </c>
      <c r="H356" s="124"/>
      <c r="I356" s="124"/>
      <c r="J356" s="60"/>
      <c r="K356" s="60"/>
      <c r="L356" s="60"/>
      <c r="M356" s="60"/>
      <c r="N356" s="60">
        <f t="shared" si="112"/>
        <v>0</v>
      </c>
      <c r="O356" s="60">
        <f t="shared" si="113"/>
        <v>0</v>
      </c>
    </row>
    <row r="357" spans="1:15" s="38" customFormat="1" ht="10.7" customHeight="1" outlineLevel="1" x14ac:dyDescent="0.25">
      <c r="A357" s="124"/>
      <c r="B357" s="142"/>
      <c r="C357" s="115"/>
      <c r="D357" s="115"/>
      <c r="E357" s="115"/>
      <c r="F357" s="115"/>
      <c r="G357" s="60" t="s">
        <v>128</v>
      </c>
      <c r="H357" s="124"/>
      <c r="I357" s="124"/>
      <c r="J357" s="60"/>
      <c r="K357" s="60"/>
      <c r="L357" s="60"/>
      <c r="M357" s="60"/>
      <c r="N357" s="60">
        <f t="shared" si="112"/>
        <v>0</v>
      </c>
      <c r="O357" s="60">
        <f t="shared" si="113"/>
        <v>0</v>
      </c>
    </row>
    <row r="358" spans="1:15" s="38" customFormat="1" ht="10.7" customHeight="1" outlineLevel="1" x14ac:dyDescent="0.25">
      <c r="A358" s="124"/>
      <c r="B358" s="142"/>
      <c r="C358" s="115"/>
      <c r="D358" s="115"/>
      <c r="E358" s="115"/>
      <c r="F358" s="115"/>
      <c r="G358" s="60" t="s">
        <v>129</v>
      </c>
      <c r="H358" s="124"/>
      <c r="I358" s="124"/>
      <c r="J358" s="60"/>
      <c r="K358" s="60"/>
      <c r="L358" s="60"/>
      <c r="M358" s="60"/>
      <c r="N358" s="60">
        <f t="shared" si="112"/>
        <v>0</v>
      </c>
      <c r="O358" s="60">
        <f t="shared" si="113"/>
        <v>0</v>
      </c>
    </row>
    <row r="359" spans="1:15" s="38" customFormat="1" ht="10.7" customHeight="1" outlineLevel="1" x14ac:dyDescent="0.25">
      <c r="A359" s="124"/>
      <c r="B359" s="142"/>
      <c r="C359" s="115"/>
      <c r="D359" s="115"/>
      <c r="E359" s="115"/>
      <c r="F359" s="115"/>
      <c r="G359" s="60" t="s">
        <v>130</v>
      </c>
      <c r="H359" s="124"/>
      <c r="I359" s="124"/>
      <c r="J359" s="60"/>
      <c r="K359" s="60"/>
      <c r="L359" s="60"/>
      <c r="M359" s="60"/>
      <c r="N359" s="60">
        <f t="shared" si="112"/>
        <v>0</v>
      </c>
      <c r="O359" s="60">
        <f t="shared" si="113"/>
        <v>0</v>
      </c>
    </row>
    <row r="360" spans="1:15" s="38" customFormat="1" ht="12" customHeight="1" outlineLevel="1" thickBot="1" x14ac:dyDescent="0.3">
      <c r="A360" s="125"/>
      <c r="B360" s="143"/>
      <c r="C360" s="131"/>
      <c r="D360" s="131"/>
      <c r="E360" s="131"/>
      <c r="F360" s="131"/>
      <c r="G360" s="60" t="s">
        <v>131</v>
      </c>
      <c r="H360" s="134"/>
      <c r="I360" s="134"/>
      <c r="J360" s="60"/>
      <c r="K360" s="60"/>
      <c r="L360" s="60"/>
      <c r="M360" s="60"/>
      <c r="N360" s="60">
        <f t="shared" si="112"/>
        <v>0</v>
      </c>
      <c r="O360" s="60">
        <f t="shared" si="113"/>
        <v>0</v>
      </c>
    </row>
    <row r="361" spans="1:15" s="38" customFormat="1" ht="14.45" customHeight="1" outlineLevel="1" x14ac:dyDescent="0.25">
      <c r="A361" s="140" t="s">
        <v>624</v>
      </c>
      <c r="B361" s="141" t="s">
        <v>625</v>
      </c>
      <c r="C361" s="130">
        <f>SUM(N361:N367)</f>
        <v>0</v>
      </c>
      <c r="D361" s="130">
        <f>SUM(O361:O367)</f>
        <v>0</v>
      </c>
      <c r="E361" s="130">
        <f t="shared" si="95"/>
        <v>0</v>
      </c>
      <c r="F361" s="130"/>
      <c r="G361" s="60" t="s">
        <v>125</v>
      </c>
      <c r="H361" s="123"/>
      <c r="I361" s="123"/>
      <c r="J361" s="60"/>
      <c r="K361" s="60"/>
      <c r="L361" s="60"/>
      <c r="M361" s="60"/>
      <c r="N361" s="60">
        <f>M361*J361*K361*L361</f>
        <v>0</v>
      </c>
      <c r="O361" s="60">
        <f>J361*K361*L361</f>
        <v>0</v>
      </c>
    </row>
    <row r="362" spans="1:15" s="38" customFormat="1" ht="11.45" customHeight="1" outlineLevel="1" x14ac:dyDescent="0.25">
      <c r="A362" s="124"/>
      <c r="B362" s="142"/>
      <c r="C362" s="115"/>
      <c r="D362" s="115"/>
      <c r="E362" s="115"/>
      <c r="F362" s="115"/>
      <c r="G362" s="60" t="s">
        <v>126</v>
      </c>
      <c r="H362" s="124"/>
      <c r="I362" s="124"/>
      <c r="J362" s="60"/>
      <c r="K362" s="60"/>
      <c r="L362" s="60"/>
      <c r="M362" s="60"/>
      <c r="N362" s="60">
        <f t="shared" ref="N362:N367" si="114">M362*J362*K362*L362</f>
        <v>0</v>
      </c>
      <c r="O362" s="60">
        <f t="shared" ref="O362:O367" si="115">J362*K362*L362</f>
        <v>0</v>
      </c>
    </row>
    <row r="363" spans="1:15" s="38" customFormat="1" ht="10.7" customHeight="1" outlineLevel="1" x14ac:dyDescent="0.25">
      <c r="A363" s="124"/>
      <c r="B363" s="142"/>
      <c r="C363" s="115"/>
      <c r="D363" s="115"/>
      <c r="E363" s="115"/>
      <c r="F363" s="115"/>
      <c r="G363" s="60" t="s">
        <v>127</v>
      </c>
      <c r="H363" s="124"/>
      <c r="I363" s="124"/>
      <c r="J363" s="60"/>
      <c r="K363" s="60"/>
      <c r="L363" s="60"/>
      <c r="M363" s="60"/>
      <c r="N363" s="60">
        <f t="shared" si="114"/>
        <v>0</v>
      </c>
      <c r="O363" s="60">
        <f t="shared" si="115"/>
        <v>0</v>
      </c>
    </row>
    <row r="364" spans="1:15" s="38" customFormat="1" ht="10.7" customHeight="1" outlineLevel="1" x14ac:dyDescent="0.25">
      <c r="A364" s="124"/>
      <c r="B364" s="142"/>
      <c r="C364" s="115"/>
      <c r="D364" s="115"/>
      <c r="E364" s="115"/>
      <c r="F364" s="115"/>
      <c r="G364" s="60" t="s">
        <v>128</v>
      </c>
      <c r="H364" s="124"/>
      <c r="I364" s="124"/>
      <c r="J364" s="60"/>
      <c r="K364" s="60"/>
      <c r="L364" s="60"/>
      <c r="M364" s="60"/>
      <c r="N364" s="60">
        <f t="shared" si="114"/>
        <v>0</v>
      </c>
      <c r="O364" s="60">
        <f t="shared" si="115"/>
        <v>0</v>
      </c>
    </row>
    <row r="365" spans="1:15" s="38" customFormat="1" ht="10.7" customHeight="1" outlineLevel="1" x14ac:dyDescent="0.25">
      <c r="A365" s="124"/>
      <c r="B365" s="142"/>
      <c r="C365" s="115"/>
      <c r="D365" s="115"/>
      <c r="E365" s="115"/>
      <c r="F365" s="115"/>
      <c r="G365" s="60" t="s">
        <v>129</v>
      </c>
      <c r="H365" s="124"/>
      <c r="I365" s="124"/>
      <c r="J365" s="60"/>
      <c r="K365" s="60"/>
      <c r="L365" s="60"/>
      <c r="M365" s="60"/>
      <c r="N365" s="60">
        <f t="shared" si="114"/>
        <v>0</v>
      </c>
      <c r="O365" s="60">
        <f t="shared" si="115"/>
        <v>0</v>
      </c>
    </row>
    <row r="366" spans="1:15" s="38" customFormat="1" ht="10.7" customHeight="1" outlineLevel="1" x14ac:dyDescent="0.25">
      <c r="A366" s="124"/>
      <c r="B366" s="142"/>
      <c r="C366" s="115"/>
      <c r="D366" s="115"/>
      <c r="E366" s="115"/>
      <c r="F366" s="115"/>
      <c r="G366" s="60" t="s">
        <v>130</v>
      </c>
      <c r="H366" s="124"/>
      <c r="I366" s="124"/>
      <c r="J366" s="60"/>
      <c r="K366" s="60"/>
      <c r="L366" s="60"/>
      <c r="M366" s="60"/>
      <c r="N366" s="60">
        <f t="shared" si="114"/>
        <v>0</v>
      </c>
      <c r="O366" s="60">
        <f t="shared" si="115"/>
        <v>0</v>
      </c>
    </row>
    <row r="367" spans="1:15" s="38" customFormat="1" ht="12" customHeight="1" outlineLevel="1" thickBot="1" x14ac:dyDescent="0.3">
      <c r="A367" s="125"/>
      <c r="B367" s="143"/>
      <c r="C367" s="131"/>
      <c r="D367" s="131"/>
      <c r="E367" s="131"/>
      <c r="F367" s="131"/>
      <c r="G367" s="60" t="s">
        <v>131</v>
      </c>
      <c r="H367" s="134"/>
      <c r="I367" s="134"/>
      <c r="J367" s="60"/>
      <c r="K367" s="60"/>
      <c r="L367" s="60"/>
      <c r="M367" s="60"/>
      <c r="N367" s="60">
        <f t="shared" si="114"/>
        <v>0</v>
      </c>
      <c r="O367" s="60">
        <f t="shared" si="115"/>
        <v>0</v>
      </c>
    </row>
    <row r="368" spans="1:15" s="38" customFormat="1" ht="14.45" customHeight="1" outlineLevel="1" x14ac:dyDescent="0.25">
      <c r="A368" s="140" t="s">
        <v>626</v>
      </c>
      <c r="B368" s="141" t="s">
        <v>627</v>
      </c>
      <c r="C368" s="130">
        <f>SUM(N368:N374)</f>
        <v>0</v>
      </c>
      <c r="D368" s="130">
        <f>SUM(O368:O374)</f>
        <v>0</v>
      </c>
      <c r="E368" s="130">
        <f t="shared" ref="E368:E431" si="116">D368/8</f>
        <v>0</v>
      </c>
      <c r="F368" s="130"/>
      <c r="G368" s="60" t="s">
        <v>125</v>
      </c>
      <c r="H368" s="123"/>
      <c r="I368" s="123"/>
      <c r="J368" s="60"/>
      <c r="K368" s="60"/>
      <c r="L368" s="60"/>
      <c r="M368" s="60"/>
      <c r="N368" s="60">
        <f>M368*J368*K368*L368</f>
        <v>0</v>
      </c>
      <c r="O368" s="60">
        <f>J368*K368*L368</f>
        <v>0</v>
      </c>
    </row>
    <row r="369" spans="1:15" s="38" customFormat="1" ht="11.45" customHeight="1" outlineLevel="1" x14ac:dyDescent="0.25">
      <c r="A369" s="124"/>
      <c r="B369" s="142"/>
      <c r="C369" s="115"/>
      <c r="D369" s="115"/>
      <c r="E369" s="115"/>
      <c r="F369" s="115"/>
      <c r="G369" s="60" t="s">
        <v>126</v>
      </c>
      <c r="H369" s="124"/>
      <c r="I369" s="124"/>
      <c r="J369" s="60"/>
      <c r="K369" s="60"/>
      <c r="L369" s="60"/>
      <c r="M369" s="60"/>
      <c r="N369" s="60">
        <f t="shared" ref="N369:N374" si="117">M369*J369*K369*L369</f>
        <v>0</v>
      </c>
      <c r="O369" s="60">
        <f t="shared" ref="O369:O374" si="118">J369*K369*L369</f>
        <v>0</v>
      </c>
    </row>
    <row r="370" spans="1:15" s="38" customFormat="1" ht="10.7" customHeight="1" outlineLevel="1" x14ac:dyDescent="0.25">
      <c r="A370" s="124"/>
      <c r="B370" s="142"/>
      <c r="C370" s="115"/>
      <c r="D370" s="115"/>
      <c r="E370" s="115"/>
      <c r="F370" s="115"/>
      <c r="G370" s="60" t="s">
        <v>127</v>
      </c>
      <c r="H370" s="124"/>
      <c r="I370" s="124"/>
      <c r="J370" s="60"/>
      <c r="K370" s="60"/>
      <c r="L370" s="60"/>
      <c r="M370" s="60"/>
      <c r="N370" s="60">
        <f t="shared" si="117"/>
        <v>0</v>
      </c>
      <c r="O370" s="60">
        <f t="shared" si="118"/>
        <v>0</v>
      </c>
    </row>
    <row r="371" spans="1:15" s="38" customFormat="1" ht="10.7" customHeight="1" outlineLevel="1" x14ac:dyDescent="0.25">
      <c r="A371" s="124"/>
      <c r="B371" s="142"/>
      <c r="C371" s="115"/>
      <c r="D371" s="115"/>
      <c r="E371" s="115"/>
      <c r="F371" s="115"/>
      <c r="G371" s="60" t="s">
        <v>128</v>
      </c>
      <c r="H371" s="124"/>
      <c r="I371" s="124"/>
      <c r="J371" s="60"/>
      <c r="K371" s="60"/>
      <c r="L371" s="60"/>
      <c r="M371" s="60"/>
      <c r="N371" s="60">
        <f t="shared" si="117"/>
        <v>0</v>
      </c>
      <c r="O371" s="60">
        <f t="shared" si="118"/>
        <v>0</v>
      </c>
    </row>
    <row r="372" spans="1:15" s="38" customFormat="1" ht="10.7" customHeight="1" outlineLevel="1" x14ac:dyDescent="0.25">
      <c r="A372" s="124"/>
      <c r="B372" s="142"/>
      <c r="C372" s="115"/>
      <c r="D372" s="115"/>
      <c r="E372" s="115"/>
      <c r="F372" s="115"/>
      <c r="G372" s="60" t="s">
        <v>129</v>
      </c>
      <c r="H372" s="124"/>
      <c r="I372" s="124"/>
      <c r="J372" s="60"/>
      <c r="K372" s="60"/>
      <c r="L372" s="60"/>
      <c r="M372" s="60"/>
      <c r="N372" s="60">
        <f t="shared" si="117"/>
        <v>0</v>
      </c>
      <c r="O372" s="60">
        <f t="shared" si="118"/>
        <v>0</v>
      </c>
    </row>
    <row r="373" spans="1:15" s="38" customFormat="1" ht="10.7" customHeight="1" outlineLevel="1" x14ac:dyDescent="0.25">
      <c r="A373" s="124"/>
      <c r="B373" s="142"/>
      <c r="C373" s="115"/>
      <c r="D373" s="115"/>
      <c r="E373" s="115"/>
      <c r="F373" s="115"/>
      <c r="G373" s="60" t="s">
        <v>130</v>
      </c>
      <c r="H373" s="124"/>
      <c r="I373" s="124"/>
      <c r="J373" s="60"/>
      <c r="K373" s="60"/>
      <c r="L373" s="60"/>
      <c r="M373" s="60"/>
      <c r="N373" s="60">
        <f t="shared" si="117"/>
        <v>0</v>
      </c>
      <c r="O373" s="60">
        <f t="shared" si="118"/>
        <v>0</v>
      </c>
    </row>
    <row r="374" spans="1:15" s="38" customFormat="1" ht="12" customHeight="1" outlineLevel="1" thickBot="1" x14ac:dyDescent="0.3">
      <c r="A374" s="125"/>
      <c r="B374" s="143"/>
      <c r="C374" s="131"/>
      <c r="D374" s="131"/>
      <c r="E374" s="131"/>
      <c r="F374" s="131"/>
      <c r="G374" s="60" t="s">
        <v>131</v>
      </c>
      <c r="H374" s="134"/>
      <c r="I374" s="134"/>
      <c r="J374" s="60"/>
      <c r="K374" s="60"/>
      <c r="L374" s="60"/>
      <c r="M374" s="60"/>
      <c r="N374" s="60">
        <f t="shared" si="117"/>
        <v>0</v>
      </c>
      <c r="O374" s="60">
        <f t="shared" si="118"/>
        <v>0</v>
      </c>
    </row>
    <row r="375" spans="1:15" s="38" customFormat="1" ht="14.45" customHeight="1" outlineLevel="1" x14ac:dyDescent="0.25">
      <c r="A375" s="140" t="s">
        <v>628</v>
      </c>
      <c r="B375" s="141" t="s">
        <v>629</v>
      </c>
      <c r="C375" s="130">
        <f>SUM(N375:N381)</f>
        <v>0</v>
      </c>
      <c r="D375" s="130">
        <f>SUM(O375:O381)</f>
        <v>0</v>
      </c>
      <c r="E375" s="130">
        <f t="shared" si="116"/>
        <v>0</v>
      </c>
      <c r="F375" s="130"/>
      <c r="G375" s="60" t="s">
        <v>125</v>
      </c>
      <c r="H375" s="123"/>
      <c r="I375" s="123"/>
      <c r="J375" s="60"/>
      <c r="K375" s="60"/>
      <c r="L375" s="60"/>
      <c r="M375" s="60"/>
      <c r="N375" s="60">
        <f>M375*J375*K375*L375</f>
        <v>0</v>
      </c>
      <c r="O375" s="60">
        <f>J375*K375*L375</f>
        <v>0</v>
      </c>
    </row>
    <row r="376" spans="1:15" s="38" customFormat="1" ht="11.45" customHeight="1" outlineLevel="1" x14ac:dyDescent="0.25">
      <c r="A376" s="124"/>
      <c r="B376" s="142"/>
      <c r="C376" s="115"/>
      <c r="D376" s="115"/>
      <c r="E376" s="115"/>
      <c r="F376" s="115"/>
      <c r="G376" s="60" t="s">
        <v>126</v>
      </c>
      <c r="H376" s="124"/>
      <c r="I376" s="124"/>
      <c r="J376" s="60"/>
      <c r="K376" s="60"/>
      <c r="L376" s="60"/>
      <c r="M376" s="60"/>
      <c r="N376" s="60">
        <f t="shared" ref="N376:N381" si="119">M376*J376*K376*L376</f>
        <v>0</v>
      </c>
      <c r="O376" s="60">
        <f t="shared" ref="O376:O381" si="120">J376*K376*L376</f>
        <v>0</v>
      </c>
    </row>
    <row r="377" spans="1:15" s="38" customFormat="1" ht="10.7" customHeight="1" outlineLevel="1" x14ac:dyDescent="0.25">
      <c r="A377" s="124"/>
      <c r="B377" s="142"/>
      <c r="C377" s="115"/>
      <c r="D377" s="115"/>
      <c r="E377" s="115"/>
      <c r="F377" s="115"/>
      <c r="G377" s="60" t="s">
        <v>127</v>
      </c>
      <c r="H377" s="124"/>
      <c r="I377" s="124"/>
      <c r="J377" s="60"/>
      <c r="K377" s="60"/>
      <c r="L377" s="60"/>
      <c r="M377" s="60"/>
      <c r="N377" s="60">
        <f t="shared" si="119"/>
        <v>0</v>
      </c>
      <c r="O377" s="60">
        <f t="shared" si="120"/>
        <v>0</v>
      </c>
    </row>
    <row r="378" spans="1:15" s="38" customFormat="1" ht="10.7" customHeight="1" outlineLevel="1" x14ac:dyDescent="0.25">
      <c r="A378" s="124"/>
      <c r="B378" s="142"/>
      <c r="C378" s="115"/>
      <c r="D378" s="115"/>
      <c r="E378" s="115"/>
      <c r="F378" s="115"/>
      <c r="G378" s="60" t="s">
        <v>128</v>
      </c>
      <c r="H378" s="124"/>
      <c r="I378" s="124"/>
      <c r="J378" s="60"/>
      <c r="K378" s="60"/>
      <c r="L378" s="60"/>
      <c r="M378" s="60"/>
      <c r="N378" s="60">
        <f t="shared" si="119"/>
        <v>0</v>
      </c>
      <c r="O378" s="60">
        <f t="shared" si="120"/>
        <v>0</v>
      </c>
    </row>
    <row r="379" spans="1:15" s="38" customFormat="1" ht="10.7" customHeight="1" outlineLevel="1" x14ac:dyDescent="0.25">
      <c r="A379" s="124"/>
      <c r="B379" s="142"/>
      <c r="C379" s="115"/>
      <c r="D379" s="115"/>
      <c r="E379" s="115"/>
      <c r="F379" s="115"/>
      <c r="G379" s="60" t="s">
        <v>129</v>
      </c>
      <c r="H379" s="124"/>
      <c r="I379" s="124"/>
      <c r="J379" s="60"/>
      <c r="K379" s="60"/>
      <c r="L379" s="60"/>
      <c r="M379" s="60"/>
      <c r="N379" s="60">
        <f t="shared" si="119"/>
        <v>0</v>
      </c>
      <c r="O379" s="60">
        <f t="shared" si="120"/>
        <v>0</v>
      </c>
    </row>
    <row r="380" spans="1:15" s="38" customFormat="1" ht="10.7" customHeight="1" outlineLevel="1" x14ac:dyDescent="0.25">
      <c r="A380" s="124"/>
      <c r="B380" s="142"/>
      <c r="C380" s="115"/>
      <c r="D380" s="115"/>
      <c r="E380" s="115"/>
      <c r="F380" s="115"/>
      <c r="G380" s="60" t="s">
        <v>130</v>
      </c>
      <c r="H380" s="124"/>
      <c r="I380" s="124"/>
      <c r="J380" s="60"/>
      <c r="K380" s="60"/>
      <c r="L380" s="60"/>
      <c r="M380" s="60"/>
      <c r="N380" s="60">
        <f t="shared" si="119"/>
        <v>0</v>
      </c>
      <c r="O380" s="60">
        <f t="shared" si="120"/>
        <v>0</v>
      </c>
    </row>
    <row r="381" spans="1:15" s="38" customFormat="1" ht="12" customHeight="1" outlineLevel="1" thickBot="1" x14ac:dyDescent="0.3">
      <c r="A381" s="125"/>
      <c r="B381" s="143"/>
      <c r="C381" s="131"/>
      <c r="D381" s="131"/>
      <c r="E381" s="131"/>
      <c r="F381" s="131"/>
      <c r="G381" s="60" t="s">
        <v>131</v>
      </c>
      <c r="H381" s="134"/>
      <c r="I381" s="134"/>
      <c r="J381" s="60"/>
      <c r="K381" s="60"/>
      <c r="L381" s="60"/>
      <c r="M381" s="60"/>
      <c r="N381" s="60">
        <f t="shared" si="119"/>
        <v>0</v>
      </c>
      <c r="O381" s="60">
        <f t="shared" si="120"/>
        <v>0</v>
      </c>
    </row>
    <row r="382" spans="1:15" s="38" customFormat="1" ht="14.45" customHeight="1" outlineLevel="1" x14ac:dyDescent="0.25">
      <c r="A382" s="140" t="s">
        <v>630</v>
      </c>
      <c r="B382" s="141" t="s">
        <v>631</v>
      </c>
      <c r="C382" s="130">
        <f>SUM(N382:N388)</f>
        <v>0</v>
      </c>
      <c r="D382" s="130">
        <f>SUM(O382:O388)</f>
        <v>0</v>
      </c>
      <c r="E382" s="130">
        <f t="shared" si="116"/>
        <v>0</v>
      </c>
      <c r="F382" s="130"/>
      <c r="G382" s="60" t="s">
        <v>125</v>
      </c>
      <c r="H382" s="123"/>
      <c r="I382" s="123"/>
      <c r="J382" s="60"/>
      <c r="K382" s="60"/>
      <c r="L382" s="60"/>
      <c r="M382" s="60"/>
      <c r="N382" s="60">
        <f>M382*J382*K382*L382</f>
        <v>0</v>
      </c>
      <c r="O382" s="60">
        <f>J382*K382*L382</f>
        <v>0</v>
      </c>
    </row>
    <row r="383" spans="1:15" s="38" customFormat="1" ht="11.45" customHeight="1" outlineLevel="1" x14ac:dyDescent="0.25">
      <c r="A383" s="124"/>
      <c r="B383" s="142"/>
      <c r="C383" s="115"/>
      <c r="D383" s="115"/>
      <c r="E383" s="115"/>
      <c r="F383" s="115"/>
      <c r="G383" s="60" t="s">
        <v>126</v>
      </c>
      <c r="H383" s="124"/>
      <c r="I383" s="124"/>
      <c r="J383" s="60"/>
      <c r="K383" s="60"/>
      <c r="L383" s="60"/>
      <c r="M383" s="60"/>
      <c r="N383" s="60">
        <f t="shared" ref="N383:N388" si="121">M383*J383*K383*L383</f>
        <v>0</v>
      </c>
      <c r="O383" s="60">
        <f t="shared" ref="O383:O388" si="122">J383*K383*L383</f>
        <v>0</v>
      </c>
    </row>
    <row r="384" spans="1:15" s="38" customFormat="1" ht="10.7" customHeight="1" outlineLevel="1" x14ac:dyDescent="0.25">
      <c r="A384" s="124"/>
      <c r="B384" s="142"/>
      <c r="C384" s="115"/>
      <c r="D384" s="115"/>
      <c r="E384" s="115"/>
      <c r="F384" s="115"/>
      <c r="G384" s="60" t="s">
        <v>127</v>
      </c>
      <c r="H384" s="124"/>
      <c r="I384" s="124"/>
      <c r="J384" s="60"/>
      <c r="K384" s="60"/>
      <c r="L384" s="60"/>
      <c r="M384" s="60"/>
      <c r="N384" s="60">
        <f t="shared" si="121"/>
        <v>0</v>
      </c>
      <c r="O384" s="60">
        <f t="shared" si="122"/>
        <v>0</v>
      </c>
    </row>
    <row r="385" spans="1:15" s="38" customFormat="1" ht="10.7" customHeight="1" outlineLevel="1" x14ac:dyDescent="0.25">
      <c r="A385" s="124"/>
      <c r="B385" s="142"/>
      <c r="C385" s="115"/>
      <c r="D385" s="115"/>
      <c r="E385" s="115"/>
      <c r="F385" s="115"/>
      <c r="G385" s="60" t="s">
        <v>128</v>
      </c>
      <c r="H385" s="124"/>
      <c r="I385" s="124"/>
      <c r="J385" s="60"/>
      <c r="K385" s="60"/>
      <c r="L385" s="60"/>
      <c r="M385" s="60"/>
      <c r="N385" s="60">
        <f t="shared" si="121"/>
        <v>0</v>
      </c>
      <c r="O385" s="60">
        <f t="shared" si="122"/>
        <v>0</v>
      </c>
    </row>
    <row r="386" spans="1:15" s="38" customFormat="1" ht="10.7" customHeight="1" outlineLevel="1" x14ac:dyDescent="0.25">
      <c r="A386" s="124"/>
      <c r="B386" s="142"/>
      <c r="C386" s="115"/>
      <c r="D386" s="115"/>
      <c r="E386" s="115"/>
      <c r="F386" s="115"/>
      <c r="G386" s="60" t="s">
        <v>129</v>
      </c>
      <c r="H386" s="124"/>
      <c r="I386" s="124"/>
      <c r="J386" s="60"/>
      <c r="K386" s="60"/>
      <c r="L386" s="60"/>
      <c r="M386" s="60"/>
      <c r="N386" s="60">
        <f t="shared" si="121"/>
        <v>0</v>
      </c>
      <c r="O386" s="60">
        <f t="shared" si="122"/>
        <v>0</v>
      </c>
    </row>
    <row r="387" spans="1:15" s="38" customFormat="1" ht="10.7" customHeight="1" outlineLevel="1" x14ac:dyDescent="0.25">
      <c r="A387" s="124"/>
      <c r="B387" s="142"/>
      <c r="C387" s="115"/>
      <c r="D387" s="115"/>
      <c r="E387" s="115"/>
      <c r="F387" s="115"/>
      <c r="G387" s="60" t="s">
        <v>130</v>
      </c>
      <c r="H387" s="124"/>
      <c r="I387" s="124"/>
      <c r="J387" s="60"/>
      <c r="K387" s="60"/>
      <c r="L387" s="60"/>
      <c r="M387" s="60"/>
      <c r="N387" s="60">
        <f t="shared" si="121"/>
        <v>0</v>
      </c>
      <c r="O387" s="60">
        <f t="shared" si="122"/>
        <v>0</v>
      </c>
    </row>
    <row r="388" spans="1:15" s="38" customFormat="1" ht="12" customHeight="1" outlineLevel="1" thickBot="1" x14ac:dyDescent="0.3">
      <c r="A388" s="125"/>
      <c r="B388" s="143"/>
      <c r="C388" s="131"/>
      <c r="D388" s="131"/>
      <c r="E388" s="131"/>
      <c r="F388" s="131"/>
      <c r="G388" s="60" t="s">
        <v>131</v>
      </c>
      <c r="H388" s="134"/>
      <c r="I388" s="134"/>
      <c r="J388" s="60"/>
      <c r="K388" s="60"/>
      <c r="L388" s="60"/>
      <c r="M388" s="60"/>
      <c r="N388" s="60">
        <f t="shared" si="121"/>
        <v>0</v>
      </c>
      <c r="O388" s="60">
        <f t="shared" si="122"/>
        <v>0</v>
      </c>
    </row>
    <row r="389" spans="1:15" s="38" customFormat="1" ht="14.45" customHeight="1" outlineLevel="1" x14ac:dyDescent="0.25">
      <c r="A389" s="140" t="s">
        <v>632</v>
      </c>
      <c r="B389" s="141" t="s">
        <v>633</v>
      </c>
      <c r="C389" s="130">
        <f>SUM(N389:N395)</f>
        <v>0</v>
      </c>
      <c r="D389" s="130">
        <f>SUM(O389:O395)</f>
        <v>0</v>
      </c>
      <c r="E389" s="130">
        <f t="shared" si="116"/>
        <v>0</v>
      </c>
      <c r="F389" s="130"/>
      <c r="G389" s="60" t="s">
        <v>125</v>
      </c>
      <c r="H389" s="123"/>
      <c r="I389" s="123"/>
      <c r="J389" s="60"/>
      <c r="K389" s="60"/>
      <c r="L389" s="60"/>
      <c r="M389" s="60"/>
      <c r="N389" s="60">
        <f>M389*J389*K389*L389</f>
        <v>0</v>
      </c>
      <c r="O389" s="60">
        <f>J389*K389*L389</f>
        <v>0</v>
      </c>
    </row>
    <row r="390" spans="1:15" s="38" customFormat="1" ht="11.45" customHeight="1" outlineLevel="1" x14ac:dyDescent="0.25">
      <c r="A390" s="124"/>
      <c r="B390" s="142"/>
      <c r="C390" s="115"/>
      <c r="D390" s="115"/>
      <c r="E390" s="115"/>
      <c r="F390" s="115"/>
      <c r="G390" s="60" t="s">
        <v>126</v>
      </c>
      <c r="H390" s="124"/>
      <c r="I390" s="124"/>
      <c r="J390" s="60"/>
      <c r="K390" s="60"/>
      <c r="L390" s="60"/>
      <c r="M390" s="60"/>
      <c r="N390" s="60">
        <f t="shared" ref="N390:N395" si="123">M390*J390*K390*L390</f>
        <v>0</v>
      </c>
      <c r="O390" s="60">
        <f t="shared" ref="O390:O395" si="124">J390*K390*L390</f>
        <v>0</v>
      </c>
    </row>
    <row r="391" spans="1:15" s="38" customFormat="1" ht="10.7" customHeight="1" outlineLevel="1" x14ac:dyDescent="0.25">
      <c r="A391" s="124"/>
      <c r="B391" s="142"/>
      <c r="C391" s="115"/>
      <c r="D391" s="115"/>
      <c r="E391" s="115"/>
      <c r="F391" s="115"/>
      <c r="G391" s="60" t="s">
        <v>127</v>
      </c>
      <c r="H391" s="124"/>
      <c r="I391" s="124"/>
      <c r="J391" s="60"/>
      <c r="K391" s="60"/>
      <c r="L391" s="60"/>
      <c r="M391" s="60"/>
      <c r="N391" s="60">
        <f t="shared" si="123"/>
        <v>0</v>
      </c>
      <c r="O391" s="60">
        <f t="shared" si="124"/>
        <v>0</v>
      </c>
    </row>
    <row r="392" spans="1:15" s="38" customFormat="1" ht="10.7" customHeight="1" outlineLevel="1" x14ac:dyDescent="0.25">
      <c r="A392" s="124"/>
      <c r="B392" s="142"/>
      <c r="C392" s="115"/>
      <c r="D392" s="115"/>
      <c r="E392" s="115"/>
      <c r="F392" s="115"/>
      <c r="G392" s="60" t="s">
        <v>128</v>
      </c>
      <c r="H392" s="124"/>
      <c r="I392" s="124"/>
      <c r="J392" s="60"/>
      <c r="K392" s="60"/>
      <c r="L392" s="60"/>
      <c r="M392" s="60"/>
      <c r="N392" s="60">
        <f t="shared" si="123"/>
        <v>0</v>
      </c>
      <c r="O392" s="60">
        <f t="shared" si="124"/>
        <v>0</v>
      </c>
    </row>
    <row r="393" spans="1:15" s="38" customFormat="1" ht="10.7" customHeight="1" outlineLevel="1" x14ac:dyDescent="0.25">
      <c r="A393" s="124"/>
      <c r="B393" s="142"/>
      <c r="C393" s="115"/>
      <c r="D393" s="115"/>
      <c r="E393" s="115"/>
      <c r="F393" s="115"/>
      <c r="G393" s="60" t="s">
        <v>129</v>
      </c>
      <c r="H393" s="124"/>
      <c r="I393" s="124"/>
      <c r="J393" s="60"/>
      <c r="K393" s="60"/>
      <c r="L393" s="60"/>
      <c r="M393" s="60"/>
      <c r="N393" s="60">
        <f t="shared" si="123"/>
        <v>0</v>
      </c>
      <c r="O393" s="60">
        <f t="shared" si="124"/>
        <v>0</v>
      </c>
    </row>
    <row r="394" spans="1:15" s="38" customFormat="1" ht="10.7" customHeight="1" outlineLevel="1" x14ac:dyDescent="0.25">
      <c r="A394" s="124"/>
      <c r="B394" s="142"/>
      <c r="C394" s="115"/>
      <c r="D394" s="115"/>
      <c r="E394" s="115"/>
      <c r="F394" s="115"/>
      <c r="G394" s="60" t="s">
        <v>130</v>
      </c>
      <c r="H394" s="124"/>
      <c r="I394" s="124"/>
      <c r="J394" s="60"/>
      <c r="K394" s="60"/>
      <c r="L394" s="60"/>
      <c r="M394" s="60"/>
      <c r="N394" s="60">
        <f t="shared" si="123"/>
        <v>0</v>
      </c>
      <c r="O394" s="60">
        <f t="shared" si="124"/>
        <v>0</v>
      </c>
    </row>
    <row r="395" spans="1:15" s="38" customFormat="1" ht="12" customHeight="1" outlineLevel="1" thickBot="1" x14ac:dyDescent="0.3">
      <c r="A395" s="125"/>
      <c r="B395" s="143"/>
      <c r="C395" s="131"/>
      <c r="D395" s="131"/>
      <c r="E395" s="131"/>
      <c r="F395" s="131"/>
      <c r="G395" s="60" t="s">
        <v>131</v>
      </c>
      <c r="H395" s="134"/>
      <c r="I395" s="134"/>
      <c r="J395" s="60"/>
      <c r="K395" s="60"/>
      <c r="L395" s="60"/>
      <c r="M395" s="60"/>
      <c r="N395" s="60">
        <f t="shared" si="123"/>
        <v>0</v>
      </c>
      <c r="O395" s="60">
        <f t="shared" si="124"/>
        <v>0</v>
      </c>
    </row>
    <row r="396" spans="1:15" s="38" customFormat="1" ht="14.45" customHeight="1" outlineLevel="1" x14ac:dyDescent="0.25">
      <c r="A396" s="140" t="s">
        <v>634</v>
      </c>
      <c r="B396" s="141" t="s">
        <v>635</v>
      </c>
      <c r="C396" s="130">
        <f>SUM(N396:N402)</f>
        <v>0</v>
      </c>
      <c r="D396" s="130">
        <f>SUM(O396:O402)</f>
        <v>0</v>
      </c>
      <c r="E396" s="130">
        <f t="shared" si="116"/>
        <v>0</v>
      </c>
      <c r="F396" s="130"/>
      <c r="G396" s="60" t="s">
        <v>125</v>
      </c>
      <c r="H396" s="123"/>
      <c r="I396" s="123"/>
      <c r="J396" s="60"/>
      <c r="K396" s="60"/>
      <c r="L396" s="60"/>
      <c r="M396" s="60"/>
      <c r="N396" s="60">
        <f>M396*J396*K396*L396</f>
        <v>0</v>
      </c>
      <c r="O396" s="60">
        <f>J396*K396*L396</f>
        <v>0</v>
      </c>
    </row>
    <row r="397" spans="1:15" s="38" customFormat="1" ht="11.45" customHeight="1" outlineLevel="1" x14ac:dyDescent="0.25">
      <c r="A397" s="124"/>
      <c r="B397" s="142"/>
      <c r="C397" s="115"/>
      <c r="D397" s="115"/>
      <c r="E397" s="115"/>
      <c r="F397" s="115"/>
      <c r="G397" s="60" t="s">
        <v>126</v>
      </c>
      <c r="H397" s="124"/>
      <c r="I397" s="124"/>
      <c r="J397" s="60"/>
      <c r="K397" s="60"/>
      <c r="L397" s="60"/>
      <c r="M397" s="60"/>
      <c r="N397" s="60">
        <f t="shared" ref="N397:N402" si="125">M397*J397*K397*L397</f>
        <v>0</v>
      </c>
      <c r="O397" s="60">
        <f t="shared" ref="O397:O402" si="126">J397*K397*L397</f>
        <v>0</v>
      </c>
    </row>
    <row r="398" spans="1:15" s="38" customFormat="1" ht="10.7" customHeight="1" outlineLevel="1" x14ac:dyDescent="0.25">
      <c r="A398" s="124"/>
      <c r="B398" s="142"/>
      <c r="C398" s="115"/>
      <c r="D398" s="115"/>
      <c r="E398" s="115"/>
      <c r="F398" s="115"/>
      <c r="G398" s="60" t="s">
        <v>127</v>
      </c>
      <c r="H398" s="124"/>
      <c r="I398" s="124"/>
      <c r="J398" s="60"/>
      <c r="K398" s="60"/>
      <c r="L398" s="60"/>
      <c r="M398" s="60"/>
      <c r="N398" s="60">
        <f t="shared" si="125"/>
        <v>0</v>
      </c>
      <c r="O398" s="60">
        <f t="shared" si="126"/>
        <v>0</v>
      </c>
    </row>
    <row r="399" spans="1:15" s="38" customFormat="1" ht="10.7" customHeight="1" outlineLevel="1" x14ac:dyDescent="0.25">
      <c r="A399" s="124"/>
      <c r="B399" s="142"/>
      <c r="C399" s="115"/>
      <c r="D399" s="115"/>
      <c r="E399" s="115"/>
      <c r="F399" s="115"/>
      <c r="G399" s="60" t="s">
        <v>128</v>
      </c>
      <c r="H399" s="124"/>
      <c r="I399" s="124"/>
      <c r="J399" s="60"/>
      <c r="K399" s="60"/>
      <c r="L399" s="60"/>
      <c r="M399" s="60"/>
      <c r="N399" s="60">
        <f t="shared" si="125"/>
        <v>0</v>
      </c>
      <c r="O399" s="60">
        <f t="shared" si="126"/>
        <v>0</v>
      </c>
    </row>
    <row r="400" spans="1:15" s="38" customFormat="1" ht="10.7" customHeight="1" outlineLevel="1" x14ac:dyDescent="0.25">
      <c r="A400" s="124"/>
      <c r="B400" s="142"/>
      <c r="C400" s="115"/>
      <c r="D400" s="115"/>
      <c r="E400" s="115"/>
      <c r="F400" s="115"/>
      <c r="G400" s="60" t="s">
        <v>129</v>
      </c>
      <c r="H400" s="124"/>
      <c r="I400" s="124"/>
      <c r="J400" s="60"/>
      <c r="K400" s="60"/>
      <c r="L400" s="60"/>
      <c r="M400" s="60"/>
      <c r="N400" s="60">
        <f t="shared" si="125"/>
        <v>0</v>
      </c>
      <c r="O400" s="60">
        <f t="shared" si="126"/>
        <v>0</v>
      </c>
    </row>
    <row r="401" spans="1:15" s="38" customFormat="1" ht="10.7" customHeight="1" outlineLevel="1" x14ac:dyDescent="0.25">
      <c r="A401" s="124"/>
      <c r="B401" s="142"/>
      <c r="C401" s="115"/>
      <c r="D401" s="115"/>
      <c r="E401" s="115"/>
      <c r="F401" s="115"/>
      <c r="G401" s="60" t="s">
        <v>130</v>
      </c>
      <c r="H401" s="124"/>
      <c r="I401" s="124"/>
      <c r="J401" s="60"/>
      <c r="K401" s="60"/>
      <c r="L401" s="60"/>
      <c r="M401" s="60"/>
      <c r="N401" s="60">
        <f t="shared" si="125"/>
        <v>0</v>
      </c>
      <c r="O401" s="60">
        <f t="shared" si="126"/>
        <v>0</v>
      </c>
    </row>
    <row r="402" spans="1:15" s="38" customFormat="1" ht="12" customHeight="1" outlineLevel="1" thickBot="1" x14ac:dyDescent="0.3">
      <c r="A402" s="125"/>
      <c r="B402" s="143"/>
      <c r="C402" s="131"/>
      <c r="D402" s="131"/>
      <c r="E402" s="131"/>
      <c r="F402" s="131"/>
      <c r="G402" s="60" t="s">
        <v>131</v>
      </c>
      <c r="H402" s="134"/>
      <c r="I402" s="134"/>
      <c r="J402" s="60"/>
      <c r="K402" s="60"/>
      <c r="L402" s="60"/>
      <c r="M402" s="60"/>
      <c r="N402" s="60">
        <f t="shared" si="125"/>
        <v>0</v>
      </c>
      <c r="O402" s="60">
        <f t="shared" si="126"/>
        <v>0</v>
      </c>
    </row>
    <row r="403" spans="1:15" s="38" customFormat="1" ht="14.45" customHeight="1" outlineLevel="1" x14ac:dyDescent="0.25">
      <c r="A403" s="140" t="s">
        <v>636</v>
      </c>
      <c r="B403" s="141" t="s">
        <v>637</v>
      </c>
      <c r="C403" s="130">
        <f>SUM(N403:N409)</f>
        <v>0</v>
      </c>
      <c r="D403" s="130">
        <f>SUM(O403:O409)</f>
        <v>0</v>
      </c>
      <c r="E403" s="130">
        <f t="shared" si="116"/>
        <v>0</v>
      </c>
      <c r="F403" s="130"/>
      <c r="G403" s="60" t="s">
        <v>125</v>
      </c>
      <c r="H403" s="123"/>
      <c r="I403" s="123"/>
      <c r="J403" s="60"/>
      <c r="K403" s="60"/>
      <c r="L403" s="60"/>
      <c r="M403" s="60"/>
      <c r="N403" s="60">
        <f>M403*J403*K403*L403</f>
        <v>0</v>
      </c>
      <c r="O403" s="60">
        <f>J403*K403*L403</f>
        <v>0</v>
      </c>
    </row>
    <row r="404" spans="1:15" s="38" customFormat="1" ht="11.45" customHeight="1" outlineLevel="1" x14ac:dyDescent="0.25">
      <c r="A404" s="124"/>
      <c r="B404" s="142"/>
      <c r="C404" s="115"/>
      <c r="D404" s="115"/>
      <c r="E404" s="115"/>
      <c r="F404" s="115"/>
      <c r="G404" s="60" t="s">
        <v>126</v>
      </c>
      <c r="H404" s="124"/>
      <c r="I404" s="124"/>
      <c r="J404" s="60"/>
      <c r="K404" s="60"/>
      <c r="L404" s="60"/>
      <c r="M404" s="60"/>
      <c r="N404" s="60">
        <f t="shared" ref="N404:N409" si="127">M404*J404*K404*L404</f>
        <v>0</v>
      </c>
      <c r="O404" s="60">
        <f t="shared" ref="O404:O409" si="128">J404*K404*L404</f>
        <v>0</v>
      </c>
    </row>
    <row r="405" spans="1:15" s="38" customFormat="1" ht="10.7" customHeight="1" outlineLevel="1" x14ac:dyDescent="0.25">
      <c r="A405" s="124"/>
      <c r="B405" s="142"/>
      <c r="C405" s="115"/>
      <c r="D405" s="115"/>
      <c r="E405" s="115"/>
      <c r="F405" s="115"/>
      <c r="G405" s="60" t="s">
        <v>127</v>
      </c>
      <c r="H405" s="124"/>
      <c r="I405" s="124"/>
      <c r="J405" s="60"/>
      <c r="K405" s="60"/>
      <c r="L405" s="60"/>
      <c r="M405" s="60"/>
      <c r="N405" s="60">
        <f t="shared" si="127"/>
        <v>0</v>
      </c>
      <c r="O405" s="60">
        <f t="shared" si="128"/>
        <v>0</v>
      </c>
    </row>
    <row r="406" spans="1:15" s="38" customFormat="1" ht="10.7" customHeight="1" outlineLevel="1" x14ac:dyDescent="0.25">
      <c r="A406" s="124"/>
      <c r="B406" s="142"/>
      <c r="C406" s="115"/>
      <c r="D406" s="115"/>
      <c r="E406" s="115"/>
      <c r="F406" s="115"/>
      <c r="G406" s="60" t="s">
        <v>128</v>
      </c>
      <c r="H406" s="124"/>
      <c r="I406" s="124"/>
      <c r="J406" s="60"/>
      <c r="K406" s="60"/>
      <c r="L406" s="60"/>
      <c r="M406" s="60"/>
      <c r="N406" s="60">
        <f t="shared" si="127"/>
        <v>0</v>
      </c>
      <c r="O406" s="60">
        <f t="shared" si="128"/>
        <v>0</v>
      </c>
    </row>
    <row r="407" spans="1:15" s="38" customFormat="1" ht="10.7" customHeight="1" outlineLevel="1" x14ac:dyDescent="0.25">
      <c r="A407" s="124"/>
      <c r="B407" s="142"/>
      <c r="C407" s="115"/>
      <c r="D407" s="115"/>
      <c r="E407" s="115"/>
      <c r="F407" s="115"/>
      <c r="G407" s="60" t="s">
        <v>129</v>
      </c>
      <c r="H407" s="124"/>
      <c r="I407" s="124"/>
      <c r="J407" s="60"/>
      <c r="K407" s="60"/>
      <c r="L407" s="60"/>
      <c r="M407" s="60"/>
      <c r="N407" s="60">
        <f t="shared" si="127"/>
        <v>0</v>
      </c>
      <c r="O407" s="60">
        <f t="shared" si="128"/>
        <v>0</v>
      </c>
    </row>
    <row r="408" spans="1:15" s="38" customFormat="1" ht="10.7" customHeight="1" outlineLevel="1" x14ac:dyDescent="0.25">
      <c r="A408" s="124"/>
      <c r="B408" s="142"/>
      <c r="C408" s="115"/>
      <c r="D408" s="115"/>
      <c r="E408" s="115"/>
      <c r="F408" s="115"/>
      <c r="G408" s="60" t="s">
        <v>130</v>
      </c>
      <c r="H408" s="124"/>
      <c r="I408" s="124"/>
      <c r="J408" s="60"/>
      <c r="K408" s="60"/>
      <c r="L408" s="60"/>
      <c r="M408" s="60"/>
      <c r="N408" s="60">
        <f t="shared" si="127"/>
        <v>0</v>
      </c>
      <c r="O408" s="60">
        <f t="shared" si="128"/>
        <v>0</v>
      </c>
    </row>
    <row r="409" spans="1:15" s="38" customFormat="1" ht="12" customHeight="1" outlineLevel="1" thickBot="1" x14ac:dyDescent="0.3">
      <c r="A409" s="125"/>
      <c r="B409" s="143"/>
      <c r="C409" s="131"/>
      <c r="D409" s="131"/>
      <c r="E409" s="131"/>
      <c r="F409" s="131"/>
      <c r="G409" s="60" t="s">
        <v>131</v>
      </c>
      <c r="H409" s="134"/>
      <c r="I409" s="134"/>
      <c r="J409" s="60"/>
      <c r="K409" s="60"/>
      <c r="L409" s="60"/>
      <c r="M409" s="60"/>
      <c r="N409" s="60">
        <f t="shared" si="127"/>
        <v>0</v>
      </c>
      <c r="O409" s="60">
        <f t="shared" si="128"/>
        <v>0</v>
      </c>
    </row>
    <row r="410" spans="1:15" s="38" customFormat="1" ht="14.45" customHeight="1" outlineLevel="1" x14ac:dyDescent="0.25">
      <c r="A410" s="140" t="s">
        <v>638</v>
      </c>
      <c r="B410" s="141" t="s">
        <v>639</v>
      </c>
      <c r="C410" s="130">
        <f>SUM(N410:N416)</f>
        <v>0</v>
      </c>
      <c r="D410" s="130">
        <f>SUM(O410:O416)</f>
        <v>0</v>
      </c>
      <c r="E410" s="130">
        <f t="shared" si="116"/>
        <v>0</v>
      </c>
      <c r="F410" s="130"/>
      <c r="G410" s="60" t="s">
        <v>125</v>
      </c>
      <c r="H410" s="123"/>
      <c r="I410" s="123"/>
      <c r="J410" s="60"/>
      <c r="K410" s="60"/>
      <c r="L410" s="60"/>
      <c r="M410" s="60"/>
      <c r="N410" s="60">
        <f>M410*J410*K410*L410</f>
        <v>0</v>
      </c>
      <c r="O410" s="60">
        <f>J410*K410*L410</f>
        <v>0</v>
      </c>
    </row>
    <row r="411" spans="1:15" s="38" customFormat="1" ht="11.45" customHeight="1" outlineLevel="1" x14ac:dyDescent="0.25">
      <c r="A411" s="124"/>
      <c r="B411" s="142"/>
      <c r="C411" s="115"/>
      <c r="D411" s="115"/>
      <c r="E411" s="115"/>
      <c r="F411" s="115"/>
      <c r="G411" s="60" t="s">
        <v>126</v>
      </c>
      <c r="H411" s="124"/>
      <c r="I411" s="124"/>
      <c r="J411" s="60"/>
      <c r="K411" s="60"/>
      <c r="L411" s="60"/>
      <c r="M411" s="60"/>
      <c r="N411" s="60">
        <f t="shared" ref="N411:N416" si="129">M411*J411*K411*L411</f>
        <v>0</v>
      </c>
      <c r="O411" s="60">
        <f t="shared" ref="O411:O416" si="130">J411*K411*L411</f>
        <v>0</v>
      </c>
    </row>
    <row r="412" spans="1:15" s="38" customFormat="1" ht="10.7" customHeight="1" outlineLevel="1" x14ac:dyDescent="0.25">
      <c r="A412" s="124"/>
      <c r="B412" s="142"/>
      <c r="C412" s="115"/>
      <c r="D412" s="115"/>
      <c r="E412" s="115"/>
      <c r="F412" s="115"/>
      <c r="G412" s="60" t="s">
        <v>127</v>
      </c>
      <c r="H412" s="124"/>
      <c r="I412" s="124"/>
      <c r="J412" s="60"/>
      <c r="K412" s="60"/>
      <c r="L412" s="60"/>
      <c r="M412" s="60"/>
      <c r="N412" s="60">
        <f t="shared" si="129"/>
        <v>0</v>
      </c>
      <c r="O412" s="60">
        <f t="shared" si="130"/>
        <v>0</v>
      </c>
    </row>
    <row r="413" spans="1:15" s="38" customFormat="1" ht="10.7" customHeight="1" outlineLevel="1" x14ac:dyDescent="0.25">
      <c r="A413" s="124"/>
      <c r="B413" s="142"/>
      <c r="C413" s="115"/>
      <c r="D413" s="115"/>
      <c r="E413" s="115"/>
      <c r="F413" s="115"/>
      <c r="G413" s="60" t="s">
        <v>128</v>
      </c>
      <c r="H413" s="124"/>
      <c r="I413" s="124"/>
      <c r="J413" s="60"/>
      <c r="K413" s="60"/>
      <c r="L413" s="60"/>
      <c r="M413" s="60"/>
      <c r="N413" s="60">
        <f t="shared" si="129"/>
        <v>0</v>
      </c>
      <c r="O413" s="60">
        <f t="shared" si="130"/>
        <v>0</v>
      </c>
    </row>
    <row r="414" spans="1:15" s="38" customFormat="1" ht="10.7" customHeight="1" outlineLevel="1" x14ac:dyDescent="0.25">
      <c r="A414" s="124"/>
      <c r="B414" s="142"/>
      <c r="C414" s="115"/>
      <c r="D414" s="115"/>
      <c r="E414" s="115"/>
      <c r="F414" s="115"/>
      <c r="G414" s="60" t="s">
        <v>129</v>
      </c>
      <c r="H414" s="124"/>
      <c r="I414" s="124"/>
      <c r="J414" s="60"/>
      <c r="K414" s="60"/>
      <c r="L414" s="60"/>
      <c r="M414" s="60"/>
      <c r="N414" s="60">
        <f t="shared" si="129"/>
        <v>0</v>
      </c>
      <c r="O414" s="60">
        <f t="shared" si="130"/>
        <v>0</v>
      </c>
    </row>
    <row r="415" spans="1:15" s="38" customFormat="1" ht="10.7" customHeight="1" outlineLevel="1" x14ac:dyDescent="0.25">
      <c r="A415" s="124"/>
      <c r="B415" s="142"/>
      <c r="C415" s="115"/>
      <c r="D415" s="115"/>
      <c r="E415" s="115"/>
      <c r="F415" s="115"/>
      <c r="G415" s="60" t="s">
        <v>130</v>
      </c>
      <c r="H415" s="124"/>
      <c r="I415" s="124"/>
      <c r="J415" s="60"/>
      <c r="K415" s="60"/>
      <c r="L415" s="60"/>
      <c r="M415" s="60"/>
      <c r="N415" s="60">
        <f t="shared" si="129"/>
        <v>0</v>
      </c>
      <c r="O415" s="60">
        <f t="shared" si="130"/>
        <v>0</v>
      </c>
    </row>
    <row r="416" spans="1:15" s="38" customFormat="1" ht="12" customHeight="1" outlineLevel="1" thickBot="1" x14ac:dyDescent="0.3">
      <c r="A416" s="125"/>
      <c r="B416" s="143"/>
      <c r="C416" s="131"/>
      <c r="D416" s="131"/>
      <c r="E416" s="131"/>
      <c r="F416" s="131"/>
      <c r="G416" s="60" t="s">
        <v>131</v>
      </c>
      <c r="H416" s="134"/>
      <c r="I416" s="134"/>
      <c r="J416" s="60"/>
      <c r="K416" s="60"/>
      <c r="L416" s="60"/>
      <c r="M416" s="60"/>
      <c r="N416" s="60">
        <f t="shared" si="129"/>
        <v>0</v>
      </c>
      <c r="O416" s="60">
        <f t="shared" si="130"/>
        <v>0</v>
      </c>
    </row>
    <row r="417" spans="1:15" s="38" customFormat="1" ht="14.45" customHeight="1" outlineLevel="1" x14ac:dyDescent="0.25">
      <c r="A417" s="140" t="s">
        <v>640</v>
      </c>
      <c r="B417" s="141" t="s">
        <v>641</v>
      </c>
      <c r="C417" s="130">
        <f>SUM(N417:N423)</f>
        <v>0</v>
      </c>
      <c r="D417" s="130">
        <f>SUM(O417:O423)</f>
        <v>0</v>
      </c>
      <c r="E417" s="130">
        <f t="shared" si="116"/>
        <v>0</v>
      </c>
      <c r="F417" s="130"/>
      <c r="G417" s="60" t="s">
        <v>125</v>
      </c>
      <c r="H417" s="123"/>
      <c r="I417" s="123"/>
      <c r="J417" s="60"/>
      <c r="K417" s="60"/>
      <c r="L417" s="60"/>
      <c r="M417" s="60"/>
      <c r="N417" s="60">
        <f>M417*J417*K417*L417</f>
        <v>0</v>
      </c>
      <c r="O417" s="60">
        <f>J417*K417*L417</f>
        <v>0</v>
      </c>
    </row>
    <row r="418" spans="1:15" s="38" customFormat="1" ht="11.45" customHeight="1" outlineLevel="1" x14ac:dyDescent="0.25">
      <c r="A418" s="124"/>
      <c r="B418" s="142"/>
      <c r="C418" s="115"/>
      <c r="D418" s="115"/>
      <c r="E418" s="115"/>
      <c r="F418" s="115"/>
      <c r="G418" s="60" t="s">
        <v>126</v>
      </c>
      <c r="H418" s="124"/>
      <c r="I418" s="124"/>
      <c r="J418" s="60"/>
      <c r="K418" s="60"/>
      <c r="L418" s="60"/>
      <c r="M418" s="60"/>
      <c r="N418" s="60">
        <f t="shared" ref="N418:N423" si="131">M418*J418*K418*L418</f>
        <v>0</v>
      </c>
      <c r="O418" s="60">
        <f t="shared" ref="O418:O423" si="132">J418*K418*L418</f>
        <v>0</v>
      </c>
    </row>
    <row r="419" spans="1:15" s="38" customFormat="1" ht="10.7" customHeight="1" outlineLevel="1" x14ac:dyDescent="0.25">
      <c r="A419" s="124"/>
      <c r="B419" s="142"/>
      <c r="C419" s="115"/>
      <c r="D419" s="115"/>
      <c r="E419" s="115"/>
      <c r="F419" s="115"/>
      <c r="G419" s="60" t="s">
        <v>127</v>
      </c>
      <c r="H419" s="124"/>
      <c r="I419" s="124"/>
      <c r="J419" s="60"/>
      <c r="K419" s="60"/>
      <c r="L419" s="60"/>
      <c r="M419" s="60"/>
      <c r="N419" s="60">
        <f t="shared" si="131"/>
        <v>0</v>
      </c>
      <c r="O419" s="60">
        <f t="shared" si="132"/>
        <v>0</v>
      </c>
    </row>
    <row r="420" spans="1:15" s="38" customFormat="1" ht="10.7" customHeight="1" outlineLevel="1" x14ac:dyDescent="0.25">
      <c r="A420" s="124"/>
      <c r="B420" s="142"/>
      <c r="C420" s="115"/>
      <c r="D420" s="115"/>
      <c r="E420" s="115"/>
      <c r="F420" s="115"/>
      <c r="G420" s="60" t="s">
        <v>128</v>
      </c>
      <c r="H420" s="124"/>
      <c r="I420" s="124"/>
      <c r="J420" s="60"/>
      <c r="K420" s="60"/>
      <c r="L420" s="60"/>
      <c r="M420" s="60"/>
      <c r="N420" s="60">
        <f t="shared" si="131"/>
        <v>0</v>
      </c>
      <c r="O420" s="60">
        <f t="shared" si="132"/>
        <v>0</v>
      </c>
    </row>
    <row r="421" spans="1:15" s="38" customFormat="1" ht="10.7" customHeight="1" outlineLevel="1" x14ac:dyDescent="0.25">
      <c r="A421" s="124"/>
      <c r="B421" s="142"/>
      <c r="C421" s="115"/>
      <c r="D421" s="115"/>
      <c r="E421" s="115"/>
      <c r="F421" s="115"/>
      <c r="G421" s="60" t="s">
        <v>129</v>
      </c>
      <c r="H421" s="124"/>
      <c r="I421" s="124"/>
      <c r="J421" s="60"/>
      <c r="K421" s="60"/>
      <c r="L421" s="60"/>
      <c r="M421" s="60"/>
      <c r="N421" s="60">
        <f t="shared" si="131"/>
        <v>0</v>
      </c>
      <c r="O421" s="60">
        <f t="shared" si="132"/>
        <v>0</v>
      </c>
    </row>
    <row r="422" spans="1:15" s="38" customFormat="1" ht="10.7" customHeight="1" outlineLevel="1" x14ac:dyDescent="0.25">
      <c r="A422" s="124"/>
      <c r="B422" s="142"/>
      <c r="C422" s="115"/>
      <c r="D422" s="115"/>
      <c r="E422" s="115"/>
      <c r="F422" s="115"/>
      <c r="G422" s="60" t="s">
        <v>130</v>
      </c>
      <c r="H422" s="124"/>
      <c r="I422" s="124"/>
      <c r="J422" s="60"/>
      <c r="K422" s="60"/>
      <c r="L422" s="60"/>
      <c r="M422" s="60"/>
      <c r="N422" s="60">
        <f t="shared" si="131"/>
        <v>0</v>
      </c>
      <c r="O422" s="60">
        <f t="shared" si="132"/>
        <v>0</v>
      </c>
    </row>
    <row r="423" spans="1:15" s="38" customFormat="1" ht="12" customHeight="1" outlineLevel="1" thickBot="1" x14ac:dyDescent="0.3">
      <c r="A423" s="125"/>
      <c r="B423" s="143"/>
      <c r="C423" s="131"/>
      <c r="D423" s="131"/>
      <c r="E423" s="131"/>
      <c r="F423" s="131"/>
      <c r="G423" s="60" t="s">
        <v>131</v>
      </c>
      <c r="H423" s="134"/>
      <c r="I423" s="134"/>
      <c r="J423" s="60"/>
      <c r="K423" s="60"/>
      <c r="L423" s="60"/>
      <c r="M423" s="60"/>
      <c r="N423" s="60">
        <f t="shared" si="131"/>
        <v>0</v>
      </c>
      <c r="O423" s="60">
        <f t="shared" si="132"/>
        <v>0</v>
      </c>
    </row>
    <row r="424" spans="1:15" s="38" customFormat="1" ht="14.45" customHeight="1" outlineLevel="1" x14ac:dyDescent="0.25">
      <c r="A424" s="140" t="s">
        <v>642</v>
      </c>
      <c r="B424" s="141" t="s">
        <v>643</v>
      </c>
      <c r="C424" s="130">
        <f>SUM(N424:N430)</f>
        <v>0</v>
      </c>
      <c r="D424" s="130">
        <f>SUM(O424:O430)</f>
        <v>0</v>
      </c>
      <c r="E424" s="130">
        <f t="shared" si="116"/>
        <v>0</v>
      </c>
      <c r="F424" s="130"/>
      <c r="G424" s="60" t="s">
        <v>125</v>
      </c>
      <c r="H424" s="123"/>
      <c r="I424" s="123"/>
      <c r="J424" s="60"/>
      <c r="K424" s="60"/>
      <c r="L424" s="60"/>
      <c r="M424" s="60"/>
      <c r="N424" s="60">
        <f>M424*J424*K424*L424</f>
        <v>0</v>
      </c>
      <c r="O424" s="60">
        <f>J424*K424*L424</f>
        <v>0</v>
      </c>
    </row>
    <row r="425" spans="1:15" s="38" customFormat="1" ht="11.45" customHeight="1" outlineLevel="1" x14ac:dyDescent="0.25">
      <c r="A425" s="124"/>
      <c r="B425" s="142"/>
      <c r="C425" s="115"/>
      <c r="D425" s="115"/>
      <c r="E425" s="115"/>
      <c r="F425" s="115"/>
      <c r="G425" s="60" t="s">
        <v>126</v>
      </c>
      <c r="H425" s="124"/>
      <c r="I425" s="124"/>
      <c r="J425" s="60"/>
      <c r="K425" s="60"/>
      <c r="L425" s="60"/>
      <c r="M425" s="60"/>
      <c r="N425" s="60">
        <f t="shared" ref="N425:N430" si="133">M425*J425*K425*L425</f>
        <v>0</v>
      </c>
      <c r="O425" s="60">
        <f t="shared" ref="O425:O430" si="134">J425*K425*L425</f>
        <v>0</v>
      </c>
    </row>
    <row r="426" spans="1:15" s="38" customFormat="1" ht="10.7" customHeight="1" outlineLevel="1" x14ac:dyDescent="0.25">
      <c r="A426" s="124"/>
      <c r="B426" s="142"/>
      <c r="C426" s="115"/>
      <c r="D426" s="115"/>
      <c r="E426" s="115"/>
      <c r="F426" s="115"/>
      <c r="G426" s="60" t="s">
        <v>127</v>
      </c>
      <c r="H426" s="124"/>
      <c r="I426" s="124"/>
      <c r="J426" s="60"/>
      <c r="K426" s="60"/>
      <c r="L426" s="60"/>
      <c r="M426" s="60"/>
      <c r="N426" s="60">
        <f t="shared" si="133"/>
        <v>0</v>
      </c>
      <c r="O426" s="60">
        <f t="shared" si="134"/>
        <v>0</v>
      </c>
    </row>
    <row r="427" spans="1:15" s="38" customFormat="1" ht="10.7" customHeight="1" outlineLevel="1" x14ac:dyDescent="0.25">
      <c r="A427" s="124"/>
      <c r="B427" s="142"/>
      <c r="C427" s="115"/>
      <c r="D427" s="115"/>
      <c r="E427" s="115"/>
      <c r="F427" s="115"/>
      <c r="G427" s="60" t="s">
        <v>128</v>
      </c>
      <c r="H427" s="124"/>
      <c r="I427" s="124"/>
      <c r="J427" s="60"/>
      <c r="K427" s="60"/>
      <c r="L427" s="60"/>
      <c r="M427" s="60"/>
      <c r="N427" s="60">
        <f t="shared" si="133"/>
        <v>0</v>
      </c>
      <c r="O427" s="60">
        <f t="shared" si="134"/>
        <v>0</v>
      </c>
    </row>
    <row r="428" spans="1:15" s="38" customFormat="1" ht="10.7" customHeight="1" outlineLevel="1" x14ac:dyDescent="0.25">
      <c r="A428" s="124"/>
      <c r="B428" s="142"/>
      <c r="C428" s="115"/>
      <c r="D428" s="115"/>
      <c r="E428" s="115"/>
      <c r="F428" s="115"/>
      <c r="G428" s="60" t="s">
        <v>129</v>
      </c>
      <c r="H428" s="124"/>
      <c r="I428" s="124"/>
      <c r="J428" s="60"/>
      <c r="K428" s="60"/>
      <c r="L428" s="60"/>
      <c r="M428" s="60"/>
      <c r="N428" s="60">
        <f t="shared" si="133"/>
        <v>0</v>
      </c>
      <c r="O428" s="60">
        <f t="shared" si="134"/>
        <v>0</v>
      </c>
    </row>
    <row r="429" spans="1:15" s="38" customFormat="1" ht="10.7" customHeight="1" outlineLevel="1" x14ac:dyDescent="0.25">
      <c r="A429" s="124"/>
      <c r="B429" s="142"/>
      <c r="C429" s="115"/>
      <c r="D429" s="115"/>
      <c r="E429" s="115"/>
      <c r="F429" s="115"/>
      <c r="G429" s="60" t="s">
        <v>130</v>
      </c>
      <c r="H429" s="124"/>
      <c r="I429" s="124"/>
      <c r="J429" s="60"/>
      <c r="K429" s="60"/>
      <c r="L429" s="60"/>
      <c r="M429" s="60"/>
      <c r="N429" s="60">
        <f t="shared" si="133"/>
        <v>0</v>
      </c>
      <c r="O429" s="60">
        <f t="shared" si="134"/>
        <v>0</v>
      </c>
    </row>
    <row r="430" spans="1:15" s="38" customFormat="1" ht="12" customHeight="1" outlineLevel="1" thickBot="1" x14ac:dyDescent="0.3">
      <c r="A430" s="125"/>
      <c r="B430" s="143"/>
      <c r="C430" s="131"/>
      <c r="D430" s="131"/>
      <c r="E430" s="131"/>
      <c r="F430" s="131"/>
      <c r="G430" s="60" t="s">
        <v>131</v>
      </c>
      <c r="H430" s="134"/>
      <c r="I430" s="134"/>
      <c r="J430" s="60"/>
      <c r="K430" s="60"/>
      <c r="L430" s="60"/>
      <c r="M430" s="60"/>
      <c r="N430" s="60">
        <f t="shared" si="133"/>
        <v>0</v>
      </c>
      <c r="O430" s="60">
        <f t="shared" si="134"/>
        <v>0</v>
      </c>
    </row>
    <row r="431" spans="1:15" s="38" customFormat="1" ht="14.45" customHeight="1" outlineLevel="1" x14ac:dyDescent="0.25">
      <c r="A431" s="140" t="s">
        <v>644</v>
      </c>
      <c r="B431" s="141" t="s">
        <v>645</v>
      </c>
      <c r="C431" s="130">
        <f>SUM(N431:N437)</f>
        <v>0</v>
      </c>
      <c r="D431" s="130">
        <f>SUM(O431:O437)</f>
        <v>0</v>
      </c>
      <c r="E431" s="130">
        <f t="shared" si="116"/>
        <v>0</v>
      </c>
      <c r="F431" s="130"/>
      <c r="G431" s="60" t="s">
        <v>125</v>
      </c>
      <c r="H431" s="123"/>
      <c r="I431" s="123"/>
      <c r="J431" s="60"/>
      <c r="K431" s="60"/>
      <c r="L431" s="60"/>
      <c r="M431" s="60"/>
      <c r="N431" s="60">
        <f>M431*J431*K431*L431</f>
        <v>0</v>
      </c>
      <c r="O431" s="60">
        <f>J431*K431*L431</f>
        <v>0</v>
      </c>
    </row>
    <row r="432" spans="1:15" s="38" customFormat="1" ht="11.45" customHeight="1" outlineLevel="1" x14ac:dyDescent="0.25">
      <c r="A432" s="124"/>
      <c r="B432" s="142"/>
      <c r="C432" s="115"/>
      <c r="D432" s="115"/>
      <c r="E432" s="115"/>
      <c r="F432" s="115"/>
      <c r="G432" s="60" t="s">
        <v>126</v>
      </c>
      <c r="H432" s="124"/>
      <c r="I432" s="124"/>
      <c r="J432" s="60"/>
      <c r="K432" s="60"/>
      <c r="L432" s="60"/>
      <c r="M432" s="60"/>
      <c r="N432" s="60">
        <f t="shared" ref="N432:N437" si="135">M432*J432*K432*L432</f>
        <v>0</v>
      </c>
      <c r="O432" s="60">
        <f t="shared" ref="O432:O437" si="136">J432*K432*L432</f>
        <v>0</v>
      </c>
    </row>
    <row r="433" spans="1:15" s="38" customFormat="1" ht="10.7" customHeight="1" outlineLevel="1" x14ac:dyDescent="0.25">
      <c r="A433" s="124"/>
      <c r="B433" s="142"/>
      <c r="C433" s="115"/>
      <c r="D433" s="115"/>
      <c r="E433" s="115"/>
      <c r="F433" s="115"/>
      <c r="G433" s="60" t="s">
        <v>127</v>
      </c>
      <c r="H433" s="124"/>
      <c r="I433" s="124"/>
      <c r="J433" s="60"/>
      <c r="K433" s="60"/>
      <c r="L433" s="60"/>
      <c r="M433" s="60"/>
      <c r="N433" s="60">
        <f t="shared" si="135"/>
        <v>0</v>
      </c>
      <c r="O433" s="60">
        <f t="shared" si="136"/>
        <v>0</v>
      </c>
    </row>
    <row r="434" spans="1:15" s="38" customFormat="1" ht="10.7" customHeight="1" outlineLevel="1" x14ac:dyDescent="0.25">
      <c r="A434" s="124"/>
      <c r="B434" s="142"/>
      <c r="C434" s="115"/>
      <c r="D434" s="115"/>
      <c r="E434" s="115"/>
      <c r="F434" s="115"/>
      <c r="G434" s="60" t="s">
        <v>128</v>
      </c>
      <c r="H434" s="124"/>
      <c r="I434" s="124"/>
      <c r="J434" s="60"/>
      <c r="K434" s="60"/>
      <c r="L434" s="60"/>
      <c r="M434" s="60"/>
      <c r="N434" s="60">
        <f t="shared" si="135"/>
        <v>0</v>
      </c>
      <c r="O434" s="60">
        <f t="shared" si="136"/>
        <v>0</v>
      </c>
    </row>
    <row r="435" spans="1:15" s="38" customFormat="1" ht="10.7" customHeight="1" outlineLevel="1" x14ac:dyDescent="0.25">
      <c r="A435" s="124"/>
      <c r="B435" s="142"/>
      <c r="C435" s="115"/>
      <c r="D435" s="115"/>
      <c r="E435" s="115"/>
      <c r="F435" s="115"/>
      <c r="G435" s="60" t="s">
        <v>129</v>
      </c>
      <c r="H435" s="124"/>
      <c r="I435" s="124"/>
      <c r="J435" s="60"/>
      <c r="K435" s="60"/>
      <c r="L435" s="60"/>
      <c r="M435" s="60"/>
      <c r="N435" s="60">
        <f t="shared" si="135"/>
        <v>0</v>
      </c>
      <c r="O435" s="60">
        <f t="shared" si="136"/>
        <v>0</v>
      </c>
    </row>
    <row r="436" spans="1:15" s="38" customFormat="1" ht="10.7" customHeight="1" outlineLevel="1" x14ac:dyDescent="0.25">
      <c r="A436" s="124"/>
      <c r="B436" s="142"/>
      <c r="C436" s="115"/>
      <c r="D436" s="115"/>
      <c r="E436" s="115"/>
      <c r="F436" s="115"/>
      <c r="G436" s="60" t="s">
        <v>130</v>
      </c>
      <c r="H436" s="124"/>
      <c r="I436" s="124"/>
      <c r="J436" s="60"/>
      <c r="K436" s="60"/>
      <c r="L436" s="60"/>
      <c r="M436" s="60"/>
      <c r="N436" s="60">
        <f t="shared" si="135"/>
        <v>0</v>
      </c>
      <c r="O436" s="60">
        <f t="shared" si="136"/>
        <v>0</v>
      </c>
    </row>
    <row r="437" spans="1:15" s="38" customFormat="1" ht="12" customHeight="1" outlineLevel="1" thickBot="1" x14ac:dyDescent="0.3">
      <c r="A437" s="125"/>
      <c r="B437" s="143"/>
      <c r="C437" s="131"/>
      <c r="D437" s="131"/>
      <c r="E437" s="131"/>
      <c r="F437" s="131"/>
      <c r="G437" s="60" t="s">
        <v>131</v>
      </c>
      <c r="H437" s="134"/>
      <c r="I437" s="134"/>
      <c r="J437" s="60"/>
      <c r="K437" s="60"/>
      <c r="L437" s="60"/>
      <c r="M437" s="60"/>
      <c r="N437" s="60">
        <f t="shared" si="135"/>
        <v>0</v>
      </c>
      <c r="O437" s="60">
        <f t="shared" si="136"/>
        <v>0</v>
      </c>
    </row>
    <row r="438" spans="1:15" s="38" customFormat="1" ht="14.45" customHeight="1" outlineLevel="1" x14ac:dyDescent="0.25">
      <c r="A438" s="140" t="s">
        <v>646</v>
      </c>
      <c r="B438" s="141" t="s">
        <v>647</v>
      </c>
      <c r="C438" s="130">
        <f>SUM(N438:N444)</f>
        <v>0</v>
      </c>
      <c r="D438" s="130">
        <f>SUM(O438:O444)</f>
        <v>0</v>
      </c>
      <c r="E438" s="130">
        <f t="shared" ref="E438:E501" si="137">D438/8</f>
        <v>0</v>
      </c>
      <c r="F438" s="130"/>
      <c r="G438" s="60" t="s">
        <v>125</v>
      </c>
      <c r="H438" s="123"/>
      <c r="I438" s="123"/>
      <c r="J438" s="60"/>
      <c r="K438" s="60"/>
      <c r="L438" s="60"/>
      <c r="M438" s="60"/>
      <c r="N438" s="60">
        <f>M438*J438*K438*L438</f>
        <v>0</v>
      </c>
      <c r="O438" s="60">
        <f>J438*K438*L438</f>
        <v>0</v>
      </c>
    </row>
    <row r="439" spans="1:15" s="38" customFormat="1" ht="11.45" customHeight="1" outlineLevel="1" x14ac:dyDescent="0.25">
      <c r="A439" s="124"/>
      <c r="B439" s="142"/>
      <c r="C439" s="115"/>
      <c r="D439" s="115"/>
      <c r="E439" s="115"/>
      <c r="F439" s="115"/>
      <c r="G439" s="60" t="s">
        <v>126</v>
      </c>
      <c r="H439" s="124"/>
      <c r="I439" s="124"/>
      <c r="J439" s="60"/>
      <c r="K439" s="60"/>
      <c r="L439" s="60"/>
      <c r="M439" s="60"/>
      <c r="N439" s="60">
        <f t="shared" ref="N439:N444" si="138">M439*J439*K439*L439</f>
        <v>0</v>
      </c>
      <c r="O439" s="60">
        <f t="shared" ref="O439:O444" si="139">J439*K439*L439</f>
        <v>0</v>
      </c>
    </row>
    <row r="440" spans="1:15" s="38" customFormat="1" ht="10.7" customHeight="1" outlineLevel="1" x14ac:dyDescent="0.25">
      <c r="A440" s="124"/>
      <c r="B440" s="142"/>
      <c r="C440" s="115"/>
      <c r="D440" s="115"/>
      <c r="E440" s="115"/>
      <c r="F440" s="115"/>
      <c r="G440" s="60" t="s">
        <v>127</v>
      </c>
      <c r="H440" s="124"/>
      <c r="I440" s="124"/>
      <c r="J440" s="60"/>
      <c r="K440" s="60"/>
      <c r="L440" s="60"/>
      <c r="M440" s="60"/>
      <c r="N440" s="60">
        <f t="shared" si="138"/>
        <v>0</v>
      </c>
      <c r="O440" s="60">
        <f t="shared" si="139"/>
        <v>0</v>
      </c>
    </row>
    <row r="441" spans="1:15" s="38" customFormat="1" ht="10.7" customHeight="1" outlineLevel="1" x14ac:dyDescent="0.25">
      <c r="A441" s="124"/>
      <c r="B441" s="142"/>
      <c r="C441" s="115"/>
      <c r="D441" s="115"/>
      <c r="E441" s="115"/>
      <c r="F441" s="115"/>
      <c r="G441" s="60" t="s">
        <v>128</v>
      </c>
      <c r="H441" s="124"/>
      <c r="I441" s="124"/>
      <c r="J441" s="60"/>
      <c r="K441" s="60"/>
      <c r="L441" s="60"/>
      <c r="M441" s="60"/>
      <c r="N441" s="60">
        <f t="shared" si="138"/>
        <v>0</v>
      </c>
      <c r="O441" s="60">
        <f t="shared" si="139"/>
        <v>0</v>
      </c>
    </row>
    <row r="442" spans="1:15" s="38" customFormat="1" ht="10.7" customHeight="1" outlineLevel="1" x14ac:dyDescent="0.25">
      <c r="A442" s="124"/>
      <c r="B442" s="142"/>
      <c r="C442" s="115"/>
      <c r="D442" s="115"/>
      <c r="E442" s="115"/>
      <c r="F442" s="115"/>
      <c r="G442" s="60" t="s">
        <v>129</v>
      </c>
      <c r="H442" s="124"/>
      <c r="I442" s="124"/>
      <c r="J442" s="60"/>
      <c r="K442" s="60"/>
      <c r="L442" s="60"/>
      <c r="M442" s="60"/>
      <c r="N442" s="60">
        <f t="shared" si="138"/>
        <v>0</v>
      </c>
      <c r="O442" s="60">
        <f t="shared" si="139"/>
        <v>0</v>
      </c>
    </row>
    <row r="443" spans="1:15" s="38" customFormat="1" ht="10.7" customHeight="1" outlineLevel="1" x14ac:dyDescent="0.25">
      <c r="A443" s="124"/>
      <c r="B443" s="142"/>
      <c r="C443" s="115"/>
      <c r="D443" s="115"/>
      <c r="E443" s="115"/>
      <c r="F443" s="115"/>
      <c r="G443" s="60" t="s">
        <v>130</v>
      </c>
      <c r="H443" s="124"/>
      <c r="I443" s="124"/>
      <c r="J443" s="60"/>
      <c r="K443" s="60"/>
      <c r="L443" s="60"/>
      <c r="M443" s="60"/>
      <c r="N443" s="60">
        <f t="shared" si="138"/>
        <v>0</v>
      </c>
      <c r="O443" s="60">
        <f t="shared" si="139"/>
        <v>0</v>
      </c>
    </row>
    <row r="444" spans="1:15" s="38" customFormat="1" ht="12" customHeight="1" outlineLevel="1" thickBot="1" x14ac:dyDescent="0.3">
      <c r="A444" s="125"/>
      <c r="B444" s="143"/>
      <c r="C444" s="131"/>
      <c r="D444" s="131"/>
      <c r="E444" s="131"/>
      <c r="F444" s="131"/>
      <c r="G444" s="60" t="s">
        <v>131</v>
      </c>
      <c r="H444" s="134"/>
      <c r="I444" s="134"/>
      <c r="J444" s="60"/>
      <c r="K444" s="60"/>
      <c r="L444" s="60"/>
      <c r="M444" s="60"/>
      <c r="N444" s="60">
        <f t="shared" si="138"/>
        <v>0</v>
      </c>
      <c r="O444" s="60">
        <f t="shared" si="139"/>
        <v>0</v>
      </c>
    </row>
    <row r="445" spans="1:15" s="38" customFormat="1" ht="14.45" customHeight="1" outlineLevel="1" x14ac:dyDescent="0.25">
      <c r="A445" s="140" t="s">
        <v>648</v>
      </c>
      <c r="B445" s="141" t="s">
        <v>649</v>
      </c>
      <c r="C445" s="130">
        <f>SUM(N445:N451)</f>
        <v>0</v>
      </c>
      <c r="D445" s="130">
        <f>SUM(O445:O451)</f>
        <v>0</v>
      </c>
      <c r="E445" s="130">
        <f t="shared" si="137"/>
        <v>0</v>
      </c>
      <c r="F445" s="130"/>
      <c r="G445" s="60" t="s">
        <v>125</v>
      </c>
      <c r="H445" s="123"/>
      <c r="I445" s="123"/>
      <c r="J445" s="60"/>
      <c r="K445" s="60"/>
      <c r="L445" s="60"/>
      <c r="M445" s="60"/>
      <c r="N445" s="60">
        <f>M445*J445*K445*L445</f>
        <v>0</v>
      </c>
      <c r="O445" s="60">
        <f>J445*K445*L445</f>
        <v>0</v>
      </c>
    </row>
    <row r="446" spans="1:15" s="38" customFormat="1" ht="11.45" customHeight="1" outlineLevel="1" x14ac:dyDescent="0.25">
      <c r="A446" s="124"/>
      <c r="B446" s="142"/>
      <c r="C446" s="115"/>
      <c r="D446" s="115"/>
      <c r="E446" s="115"/>
      <c r="F446" s="115"/>
      <c r="G446" s="60" t="s">
        <v>126</v>
      </c>
      <c r="H446" s="124"/>
      <c r="I446" s="124"/>
      <c r="J446" s="60"/>
      <c r="K446" s="60"/>
      <c r="L446" s="60"/>
      <c r="M446" s="60"/>
      <c r="N446" s="60">
        <f t="shared" ref="N446:N451" si="140">M446*J446*K446*L446</f>
        <v>0</v>
      </c>
      <c r="O446" s="60">
        <f t="shared" ref="O446:O451" si="141">J446*K446*L446</f>
        <v>0</v>
      </c>
    </row>
    <row r="447" spans="1:15" s="38" customFormat="1" ht="10.7" customHeight="1" outlineLevel="1" x14ac:dyDescent="0.25">
      <c r="A447" s="124"/>
      <c r="B447" s="142"/>
      <c r="C447" s="115"/>
      <c r="D447" s="115"/>
      <c r="E447" s="115"/>
      <c r="F447" s="115"/>
      <c r="G447" s="60" t="s">
        <v>127</v>
      </c>
      <c r="H447" s="124"/>
      <c r="I447" s="124"/>
      <c r="J447" s="60"/>
      <c r="K447" s="60"/>
      <c r="L447" s="60"/>
      <c r="M447" s="60"/>
      <c r="N447" s="60">
        <f t="shared" si="140"/>
        <v>0</v>
      </c>
      <c r="O447" s="60">
        <f t="shared" si="141"/>
        <v>0</v>
      </c>
    </row>
    <row r="448" spans="1:15" s="38" customFormat="1" ht="10.7" customHeight="1" outlineLevel="1" x14ac:dyDescent="0.25">
      <c r="A448" s="124"/>
      <c r="B448" s="142"/>
      <c r="C448" s="115"/>
      <c r="D448" s="115"/>
      <c r="E448" s="115"/>
      <c r="F448" s="115"/>
      <c r="G448" s="60" t="s">
        <v>128</v>
      </c>
      <c r="H448" s="124"/>
      <c r="I448" s="124"/>
      <c r="J448" s="60"/>
      <c r="K448" s="60"/>
      <c r="L448" s="60"/>
      <c r="M448" s="60"/>
      <c r="N448" s="60">
        <f t="shared" si="140"/>
        <v>0</v>
      </c>
      <c r="O448" s="60">
        <f t="shared" si="141"/>
        <v>0</v>
      </c>
    </row>
    <row r="449" spans="1:15" s="38" customFormat="1" ht="10.7" customHeight="1" outlineLevel="1" x14ac:dyDescent="0.25">
      <c r="A449" s="124"/>
      <c r="B449" s="142"/>
      <c r="C449" s="115"/>
      <c r="D449" s="115"/>
      <c r="E449" s="115"/>
      <c r="F449" s="115"/>
      <c r="G449" s="60" t="s">
        <v>129</v>
      </c>
      <c r="H449" s="124"/>
      <c r="I449" s="124"/>
      <c r="J449" s="60"/>
      <c r="K449" s="60"/>
      <c r="L449" s="60"/>
      <c r="M449" s="60"/>
      <c r="N449" s="60">
        <f t="shared" si="140"/>
        <v>0</v>
      </c>
      <c r="O449" s="60">
        <f t="shared" si="141"/>
        <v>0</v>
      </c>
    </row>
    <row r="450" spans="1:15" s="38" customFormat="1" ht="10.7" customHeight="1" outlineLevel="1" x14ac:dyDescent="0.25">
      <c r="A450" s="124"/>
      <c r="B450" s="142"/>
      <c r="C450" s="115"/>
      <c r="D450" s="115"/>
      <c r="E450" s="115"/>
      <c r="F450" s="115"/>
      <c r="G450" s="60" t="s">
        <v>130</v>
      </c>
      <c r="H450" s="124"/>
      <c r="I450" s="124"/>
      <c r="J450" s="60"/>
      <c r="K450" s="60"/>
      <c r="L450" s="60"/>
      <c r="M450" s="60"/>
      <c r="N450" s="60">
        <f t="shared" si="140"/>
        <v>0</v>
      </c>
      <c r="O450" s="60">
        <f t="shared" si="141"/>
        <v>0</v>
      </c>
    </row>
    <row r="451" spans="1:15" s="38" customFormat="1" ht="12" customHeight="1" outlineLevel="1" thickBot="1" x14ac:dyDescent="0.3">
      <c r="A451" s="125"/>
      <c r="B451" s="143"/>
      <c r="C451" s="131"/>
      <c r="D451" s="131"/>
      <c r="E451" s="131"/>
      <c r="F451" s="131"/>
      <c r="G451" s="60" t="s">
        <v>131</v>
      </c>
      <c r="H451" s="134"/>
      <c r="I451" s="134"/>
      <c r="J451" s="60"/>
      <c r="K451" s="60"/>
      <c r="L451" s="60"/>
      <c r="M451" s="60"/>
      <c r="N451" s="60">
        <f t="shared" si="140"/>
        <v>0</v>
      </c>
      <c r="O451" s="60">
        <f t="shared" si="141"/>
        <v>0</v>
      </c>
    </row>
    <row r="452" spans="1:15" s="38" customFormat="1" ht="14.45" customHeight="1" outlineLevel="1" x14ac:dyDescent="0.25">
      <c r="A452" s="140" t="s">
        <v>650</v>
      </c>
      <c r="B452" s="141" t="s">
        <v>651</v>
      </c>
      <c r="C452" s="130">
        <f>SUM(N452:N458)</f>
        <v>0</v>
      </c>
      <c r="D452" s="130">
        <f>SUM(O452:O458)</f>
        <v>0</v>
      </c>
      <c r="E452" s="130">
        <f t="shared" si="137"/>
        <v>0</v>
      </c>
      <c r="F452" s="130"/>
      <c r="G452" s="60" t="s">
        <v>125</v>
      </c>
      <c r="H452" s="123"/>
      <c r="I452" s="123"/>
      <c r="J452" s="60"/>
      <c r="K452" s="60"/>
      <c r="L452" s="60"/>
      <c r="M452" s="60"/>
      <c r="N452" s="60">
        <f>M452*J452*K452*L452</f>
        <v>0</v>
      </c>
      <c r="O452" s="60">
        <f>J452*K452*L452</f>
        <v>0</v>
      </c>
    </row>
    <row r="453" spans="1:15" s="38" customFormat="1" ht="11.45" customHeight="1" outlineLevel="1" x14ac:dyDescent="0.25">
      <c r="A453" s="124"/>
      <c r="B453" s="142"/>
      <c r="C453" s="115"/>
      <c r="D453" s="115"/>
      <c r="E453" s="115"/>
      <c r="F453" s="115"/>
      <c r="G453" s="60" t="s">
        <v>126</v>
      </c>
      <c r="H453" s="124"/>
      <c r="I453" s="124"/>
      <c r="J453" s="60"/>
      <c r="K453" s="60"/>
      <c r="L453" s="60"/>
      <c r="M453" s="60"/>
      <c r="N453" s="60">
        <f t="shared" ref="N453:N458" si="142">M453*J453*K453*L453</f>
        <v>0</v>
      </c>
      <c r="O453" s="60">
        <f t="shared" ref="O453:O458" si="143">J453*K453*L453</f>
        <v>0</v>
      </c>
    </row>
    <row r="454" spans="1:15" s="38" customFormat="1" ht="10.7" customHeight="1" outlineLevel="1" x14ac:dyDescent="0.25">
      <c r="A454" s="124"/>
      <c r="B454" s="142"/>
      <c r="C454" s="115"/>
      <c r="D454" s="115"/>
      <c r="E454" s="115"/>
      <c r="F454" s="115"/>
      <c r="G454" s="60" t="s">
        <v>127</v>
      </c>
      <c r="H454" s="124"/>
      <c r="I454" s="124"/>
      <c r="J454" s="60"/>
      <c r="K454" s="60"/>
      <c r="L454" s="60"/>
      <c r="M454" s="60"/>
      <c r="N454" s="60">
        <f t="shared" si="142"/>
        <v>0</v>
      </c>
      <c r="O454" s="60">
        <f t="shared" si="143"/>
        <v>0</v>
      </c>
    </row>
    <row r="455" spans="1:15" s="38" customFormat="1" ht="10.7" customHeight="1" outlineLevel="1" x14ac:dyDescent="0.25">
      <c r="A455" s="124"/>
      <c r="B455" s="142"/>
      <c r="C455" s="115"/>
      <c r="D455" s="115"/>
      <c r="E455" s="115"/>
      <c r="F455" s="115"/>
      <c r="G455" s="60" t="s">
        <v>128</v>
      </c>
      <c r="H455" s="124"/>
      <c r="I455" s="124"/>
      <c r="J455" s="60"/>
      <c r="K455" s="60"/>
      <c r="L455" s="60"/>
      <c r="M455" s="60"/>
      <c r="N455" s="60">
        <f t="shared" si="142"/>
        <v>0</v>
      </c>
      <c r="O455" s="60">
        <f t="shared" si="143"/>
        <v>0</v>
      </c>
    </row>
    <row r="456" spans="1:15" s="38" customFormat="1" ht="10.7" customHeight="1" outlineLevel="1" x14ac:dyDescent="0.25">
      <c r="A456" s="124"/>
      <c r="B456" s="142"/>
      <c r="C456" s="115"/>
      <c r="D456" s="115"/>
      <c r="E456" s="115"/>
      <c r="F456" s="115"/>
      <c r="G456" s="60" t="s">
        <v>129</v>
      </c>
      <c r="H456" s="124"/>
      <c r="I456" s="124"/>
      <c r="J456" s="60"/>
      <c r="K456" s="60"/>
      <c r="L456" s="60"/>
      <c r="M456" s="60"/>
      <c r="N456" s="60">
        <f t="shared" si="142"/>
        <v>0</v>
      </c>
      <c r="O456" s="60">
        <f t="shared" si="143"/>
        <v>0</v>
      </c>
    </row>
    <row r="457" spans="1:15" s="38" customFormat="1" ht="10.7" customHeight="1" outlineLevel="1" x14ac:dyDescent="0.25">
      <c r="A457" s="124"/>
      <c r="B457" s="142"/>
      <c r="C457" s="115"/>
      <c r="D457" s="115"/>
      <c r="E457" s="115"/>
      <c r="F457" s="115"/>
      <c r="G457" s="60" t="s">
        <v>130</v>
      </c>
      <c r="H457" s="124"/>
      <c r="I457" s="124"/>
      <c r="J457" s="60"/>
      <c r="K457" s="60"/>
      <c r="L457" s="60"/>
      <c r="M457" s="60"/>
      <c r="N457" s="60">
        <f t="shared" si="142"/>
        <v>0</v>
      </c>
      <c r="O457" s="60">
        <f t="shared" si="143"/>
        <v>0</v>
      </c>
    </row>
    <row r="458" spans="1:15" s="38" customFormat="1" ht="12" customHeight="1" outlineLevel="1" thickBot="1" x14ac:dyDescent="0.3">
      <c r="A458" s="125"/>
      <c r="B458" s="143"/>
      <c r="C458" s="131"/>
      <c r="D458" s="131"/>
      <c r="E458" s="131"/>
      <c r="F458" s="131"/>
      <c r="G458" s="60" t="s">
        <v>131</v>
      </c>
      <c r="H458" s="134"/>
      <c r="I458" s="134"/>
      <c r="J458" s="60"/>
      <c r="K458" s="60"/>
      <c r="L458" s="60"/>
      <c r="M458" s="60"/>
      <c r="N458" s="60">
        <f t="shared" si="142"/>
        <v>0</v>
      </c>
      <c r="O458" s="60">
        <f t="shared" si="143"/>
        <v>0</v>
      </c>
    </row>
    <row r="459" spans="1:15" s="38" customFormat="1" ht="14.45" customHeight="1" outlineLevel="1" x14ac:dyDescent="0.25">
      <c r="A459" s="140" t="s">
        <v>652</v>
      </c>
      <c r="B459" s="141" t="s">
        <v>653</v>
      </c>
      <c r="C459" s="130">
        <f>SUM(N459:N465)</f>
        <v>0</v>
      </c>
      <c r="D459" s="130">
        <f>SUM(O459:O465)</f>
        <v>0</v>
      </c>
      <c r="E459" s="130">
        <f t="shared" si="137"/>
        <v>0</v>
      </c>
      <c r="F459" s="130"/>
      <c r="G459" s="60" t="s">
        <v>125</v>
      </c>
      <c r="H459" s="123"/>
      <c r="I459" s="123"/>
      <c r="J459" s="60"/>
      <c r="K459" s="60"/>
      <c r="L459" s="60"/>
      <c r="M459" s="60"/>
      <c r="N459" s="60">
        <f>M459*J459*K459*L459</f>
        <v>0</v>
      </c>
      <c r="O459" s="60">
        <f>J459*K459*L459</f>
        <v>0</v>
      </c>
    </row>
    <row r="460" spans="1:15" s="38" customFormat="1" ht="11.45" customHeight="1" outlineLevel="1" x14ac:dyDescent="0.25">
      <c r="A460" s="124"/>
      <c r="B460" s="142"/>
      <c r="C460" s="115"/>
      <c r="D460" s="115"/>
      <c r="E460" s="115"/>
      <c r="F460" s="115"/>
      <c r="G460" s="60" t="s">
        <v>126</v>
      </c>
      <c r="H460" s="124"/>
      <c r="I460" s="124"/>
      <c r="J460" s="60"/>
      <c r="K460" s="60"/>
      <c r="L460" s="60"/>
      <c r="M460" s="60"/>
      <c r="N460" s="60">
        <f t="shared" ref="N460:N465" si="144">M460*J460*K460*L460</f>
        <v>0</v>
      </c>
      <c r="O460" s="60">
        <f t="shared" ref="O460:O465" si="145">J460*K460*L460</f>
        <v>0</v>
      </c>
    </row>
    <row r="461" spans="1:15" s="38" customFormat="1" ht="10.7" customHeight="1" outlineLevel="1" x14ac:dyDescent="0.25">
      <c r="A461" s="124"/>
      <c r="B461" s="142"/>
      <c r="C461" s="115"/>
      <c r="D461" s="115"/>
      <c r="E461" s="115"/>
      <c r="F461" s="115"/>
      <c r="G461" s="60" t="s">
        <v>127</v>
      </c>
      <c r="H461" s="124"/>
      <c r="I461" s="124"/>
      <c r="J461" s="60"/>
      <c r="K461" s="60"/>
      <c r="L461" s="60"/>
      <c r="M461" s="60"/>
      <c r="N461" s="60">
        <f t="shared" si="144"/>
        <v>0</v>
      </c>
      <c r="O461" s="60">
        <f t="shared" si="145"/>
        <v>0</v>
      </c>
    </row>
    <row r="462" spans="1:15" s="38" customFormat="1" ht="10.7" customHeight="1" outlineLevel="1" x14ac:dyDescent="0.25">
      <c r="A462" s="124"/>
      <c r="B462" s="142"/>
      <c r="C462" s="115"/>
      <c r="D462" s="115"/>
      <c r="E462" s="115"/>
      <c r="F462" s="115"/>
      <c r="G462" s="60" t="s">
        <v>128</v>
      </c>
      <c r="H462" s="124"/>
      <c r="I462" s="124"/>
      <c r="J462" s="60"/>
      <c r="K462" s="60"/>
      <c r="L462" s="60"/>
      <c r="M462" s="60"/>
      <c r="N462" s="60">
        <f t="shared" si="144"/>
        <v>0</v>
      </c>
      <c r="O462" s="60">
        <f t="shared" si="145"/>
        <v>0</v>
      </c>
    </row>
    <row r="463" spans="1:15" s="38" customFormat="1" ht="10.7" customHeight="1" outlineLevel="1" x14ac:dyDescent="0.25">
      <c r="A463" s="124"/>
      <c r="B463" s="142"/>
      <c r="C463" s="115"/>
      <c r="D463" s="115"/>
      <c r="E463" s="115"/>
      <c r="F463" s="115"/>
      <c r="G463" s="60" t="s">
        <v>129</v>
      </c>
      <c r="H463" s="124"/>
      <c r="I463" s="124"/>
      <c r="J463" s="60"/>
      <c r="K463" s="60"/>
      <c r="L463" s="60"/>
      <c r="M463" s="60"/>
      <c r="N463" s="60">
        <f t="shared" si="144"/>
        <v>0</v>
      </c>
      <c r="O463" s="60">
        <f t="shared" si="145"/>
        <v>0</v>
      </c>
    </row>
    <row r="464" spans="1:15" s="38" customFormat="1" ht="10.7" customHeight="1" outlineLevel="1" x14ac:dyDescent="0.25">
      <c r="A464" s="124"/>
      <c r="B464" s="142"/>
      <c r="C464" s="115"/>
      <c r="D464" s="115"/>
      <c r="E464" s="115"/>
      <c r="F464" s="115"/>
      <c r="G464" s="60" t="s">
        <v>130</v>
      </c>
      <c r="H464" s="124"/>
      <c r="I464" s="124"/>
      <c r="J464" s="60"/>
      <c r="K464" s="60"/>
      <c r="L464" s="60"/>
      <c r="M464" s="60"/>
      <c r="N464" s="60">
        <f t="shared" si="144"/>
        <v>0</v>
      </c>
      <c r="O464" s="60">
        <f t="shared" si="145"/>
        <v>0</v>
      </c>
    </row>
    <row r="465" spans="1:15" s="38" customFormat="1" ht="12" customHeight="1" outlineLevel="1" thickBot="1" x14ac:dyDescent="0.3">
      <c r="A465" s="125"/>
      <c r="B465" s="143"/>
      <c r="C465" s="131"/>
      <c r="D465" s="131"/>
      <c r="E465" s="131"/>
      <c r="F465" s="131"/>
      <c r="G465" s="60" t="s">
        <v>131</v>
      </c>
      <c r="H465" s="134"/>
      <c r="I465" s="134"/>
      <c r="J465" s="60"/>
      <c r="K465" s="60"/>
      <c r="L465" s="60"/>
      <c r="M465" s="60"/>
      <c r="N465" s="60">
        <f t="shared" si="144"/>
        <v>0</v>
      </c>
      <c r="O465" s="60">
        <f t="shared" si="145"/>
        <v>0</v>
      </c>
    </row>
    <row r="466" spans="1:15" s="38" customFormat="1" ht="14.45" customHeight="1" outlineLevel="1" x14ac:dyDescent="0.25">
      <c r="A466" s="140" t="s">
        <v>654</v>
      </c>
      <c r="B466" s="141" t="s">
        <v>655</v>
      </c>
      <c r="C466" s="130">
        <f>SUM(N466:N472)</f>
        <v>0</v>
      </c>
      <c r="D466" s="130">
        <f>SUM(O466:O472)</f>
        <v>0</v>
      </c>
      <c r="E466" s="130">
        <f t="shared" si="137"/>
        <v>0</v>
      </c>
      <c r="F466" s="130"/>
      <c r="G466" s="60" t="s">
        <v>125</v>
      </c>
      <c r="H466" s="123"/>
      <c r="I466" s="123"/>
      <c r="J466" s="60"/>
      <c r="K466" s="60"/>
      <c r="L466" s="60"/>
      <c r="M466" s="60"/>
      <c r="N466" s="60">
        <f>M466*J466*K466*L466</f>
        <v>0</v>
      </c>
      <c r="O466" s="60">
        <f>J466*K466*L466</f>
        <v>0</v>
      </c>
    </row>
    <row r="467" spans="1:15" s="38" customFormat="1" ht="11.45" customHeight="1" outlineLevel="1" x14ac:dyDescent="0.25">
      <c r="A467" s="124"/>
      <c r="B467" s="142"/>
      <c r="C467" s="115"/>
      <c r="D467" s="115"/>
      <c r="E467" s="115"/>
      <c r="F467" s="115"/>
      <c r="G467" s="60" t="s">
        <v>126</v>
      </c>
      <c r="H467" s="124"/>
      <c r="I467" s="124"/>
      <c r="J467" s="60"/>
      <c r="K467" s="60"/>
      <c r="L467" s="60"/>
      <c r="M467" s="60"/>
      <c r="N467" s="60">
        <f t="shared" ref="N467:N472" si="146">M467*J467*K467*L467</f>
        <v>0</v>
      </c>
      <c r="O467" s="60">
        <f t="shared" ref="O467:O472" si="147">J467*K467*L467</f>
        <v>0</v>
      </c>
    </row>
    <row r="468" spans="1:15" s="38" customFormat="1" ht="10.7" customHeight="1" outlineLevel="1" x14ac:dyDescent="0.25">
      <c r="A468" s="124"/>
      <c r="B468" s="142"/>
      <c r="C468" s="115"/>
      <c r="D468" s="115"/>
      <c r="E468" s="115"/>
      <c r="F468" s="115"/>
      <c r="G468" s="60" t="s">
        <v>127</v>
      </c>
      <c r="H468" s="124"/>
      <c r="I468" s="124"/>
      <c r="J468" s="60"/>
      <c r="K468" s="60"/>
      <c r="L468" s="60"/>
      <c r="M468" s="60"/>
      <c r="N468" s="60">
        <f t="shared" si="146"/>
        <v>0</v>
      </c>
      <c r="O468" s="60">
        <f t="shared" si="147"/>
        <v>0</v>
      </c>
    </row>
    <row r="469" spans="1:15" s="38" customFormat="1" ht="10.7" customHeight="1" outlineLevel="1" x14ac:dyDescent="0.25">
      <c r="A469" s="124"/>
      <c r="B469" s="142"/>
      <c r="C469" s="115"/>
      <c r="D469" s="115"/>
      <c r="E469" s="115"/>
      <c r="F469" s="115"/>
      <c r="G469" s="60" t="s">
        <v>128</v>
      </c>
      <c r="H469" s="124"/>
      <c r="I469" s="124"/>
      <c r="J469" s="60"/>
      <c r="K469" s="60"/>
      <c r="L469" s="60"/>
      <c r="M469" s="60"/>
      <c r="N469" s="60">
        <f t="shared" si="146"/>
        <v>0</v>
      </c>
      <c r="O469" s="60">
        <f t="shared" si="147"/>
        <v>0</v>
      </c>
    </row>
    <row r="470" spans="1:15" s="38" customFormat="1" ht="10.7" customHeight="1" outlineLevel="1" x14ac:dyDescent="0.25">
      <c r="A470" s="124"/>
      <c r="B470" s="142"/>
      <c r="C470" s="115"/>
      <c r="D470" s="115"/>
      <c r="E470" s="115"/>
      <c r="F470" s="115"/>
      <c r="G470" s="60" t="s">
        <v>129</v>
      </c>
      <c r="H470" s="124"/>
      <c r="I470" s="124"/>
      <c r="J470" s="60"/>
      <c r="K470" s="60"/>
      <c r="L470" s="60"/>
      <c r="M470" s="60"/>
      <c r="N470" s="60">
        <f t="shared" si="146"/>
        <v>0</v>
      </c>
      <c r="O470" s="60">
        <f t="shared" si="147"/>
        <v>0</v>
      </c>
    </row>
    <row r="471" spans="1:15" s="38" customFormat="1" ht="10.7" customHeight="1" outlineLevel="1" x14ac:dyDescent="0.25">
      <c r="A471" s="124"/>
      <c r="B471" s="142"/>
      <c r="C471" s="115"/>
      <c r="D471" s="115"/>
      <c r="E471" s="115"/>
      <c r="F471" s="115"/>
      <c r="G471" s="60" t="s">
        <v>130</v>
      </c>
      <c r="H471" s="124"/>
      <c r="I471" s="124"/>
      <c r="J471" s="60"/>
      <c r="K471" s="60"/>
      <c r="L471" s="60"/>
      <c r="M471" s="60"/>
      <c r="N471" s="60">
        <f t="shared" si="146"/>
        <v>0</v>
      </c>
      <c r="O471" s="60">
        <f t="shared" si="147"/>
        <v>0</v>
      </c>
    </row>
    <row r="472" spans="1:15" s="38" customFormat="1" ht="12" customHeight="1" outlineLevel="1" thickBot="1" x14ac:dyDescent="0.3">
      <c r="A472" s="125"/>
      <c r="B472" s="143"/>
      <c r="C472" s="131"/>
      <c r="D472" s="131"/>
      <c r="E472" s="131"/>
      <c r="F472" s="131"/>
      <c r="G472" s="60" t="s">
        <v>131</v>
      </c>
      <c r="H472" s="134"/>
      <c r="I472" s="134"/>
      <c r="J472" s="60"/>
      <c r="K472" s="60"/>
      <c r="L472" s="60"/>
      <c r="M472" s="60"/>
      <c r="N472" s="60">
        <f t="shared" si="146"/>
        <v>0</v>
      </c>
      <c r="O472" s="60">
        <f t="shared" si="147"/>
        <v>0</v>
      </c>
    </row>
    <row r="473" spans="1:15" s="38" customFormat="1" ht="14.45" customHeight="1" outlineLevel="1" x14ac:dyDescent="0.25">
      <c r="A473" s="140" t="s">
        <v>656</v>
      </c>
      <c r="B473" s="141" t="s">
        <v>657</v>
      </c>
      <c r="C473" s="130">
        <f>SUM(N473:N479)</f>
        <v>0</v>
      </c>
      <c r="D473" s="130">
        <f>SUM(O473:O479)</f>
        <v>0</v>
      </c>
      <c r="E473" s="130">
        <f t="shared" si="137"/>
        <v>0</v>
      </c>
      <c r="F473" s="130"/>
      <c r="G473" s="60" t="s">
        <v>125</v>
      </c>
      <c r="H473" s="123"/>
      <c r="I473" s="123"/>
      <c r="J473" s="60"/>
      <c r="K473" s="60"/>
      <c r="L473" s="60"/>
      <c r="M473" s="60"/>
      <c r="N473" s="60">
        <f>M473*J473*K473*L473</f>
        <v>0</v>
      </c>
      <c r="O473" s="60">
        <f>J473*K473*L473</f>
        <v>0</v>
      </c>
    </row>
    <row r="474" spans="1:15" s="38" customFormat="1" ht="11.45" customHeight="1" outlineLevel="1" x14ac:dyDescent="0.25">
      <c r="A474" s="124"/>
      <c r="B474" s="142"/>
      <c r="C474" s="115"/>
      <c r="D474" s="115"/>
      <c r="E474" s="115"/>
      <c r="F474" s="115"/>
      <c r="G474" s="60" t="s">
        <v>126</v>
      </c>
      <c r="H474" s="124"/>
      <c r="I474" s="124"/>
      <c r="J474" s="60"/>
      <c r="K474" s="60"/>
      <c r="L474" s="60"/>
      <c r="M474" s="60"/>
      <c r="N474" s="60">
        <f t="shared" ref="N474:N479" si="148">M474*J474*K474*L474</f>
        <v>0</v>
      </c>
      <c r="O474" s="60">
        <f t="shared" ref="O474:O479" si="149">J474*K474*L474</f>
        <v>0</v>
      </c>
    </row>
    <row r="475" spans="1:15" s="38" customFormat="1" ht="10.7" customHeight="1" outlineLevel="1" x14ac:dyDescent="0.25">
      <c r="A475" s="124"/>
      <c r="B475" s="142"/>
      <c r="C475" s="115"/>
      <c r="D475" s="115"/>
      <c r="E475" s="115"/>
      <c r="F475" s="115"/>
      <c r="G475" s="60" t="s">
        <v>127</v>
      </c>
      <c r="H475" s="124"/>
      <c r="I475" s="124"/>
      <c r="J475" s="60"/>
      <c r="K475" s="60"/>
      <c r="L475" s="60"/>
      <c r="M475" s="60"/>
      <c r="N475" s="60">
        <f t="shared" si="148"/>
        <v>0</v>
      </c>
      <c r="O475" s="60">
        <f t="shared" si="149"/>
        <v>0</v>
      </c>
    </row>
    <row r="476" spans="1:15" s="38" customFormat="1" ht="10.7" customHeight="1" outlineLevel="1" x14ac:dyDescent="0.25">
      <c r="A476" s="124"/>
      <c r="B476" s="142"/>
      <c r="C476" s="115"/>
      <c r="D476" s="115"/>
      <c r="E476" s="115"/>
      <c r="F476" s="115"/>
      <c r="G476" s="60" t="s">
        <v>128</v>
      </c>
      <c r="H476" s="124"/>
      <c r="I476" s="124"/>
      <c r="J476" s="60"/>
      <c r="K476" s="60"/>
      <c r="L476" s="60"/>
      <c r="M476" s="60"/>
      <c r="N476" s="60">
        <f t="shared" si="148"/>
        <v>0</v>
      </c>
      <c r="O476" s="60">
        <f t="shared" si="149"/>
        <v>0</v>
      </c>
    </row>
    <row r="477" spans="1:15" s="38" customFormat="1" ht="10.7" customHeight="1" outlineLevel="1" x14ac:dyDescent="0.25">
      <c r="A477" s="124"/>
      <c r="B477" s="142"/>
      <c r="C477" s="115"/>
      <c r="D477" s="115"/>
      <c r="E477" s="115"/>
      <c r="F477" s="115"/>
      <c r="G477" s="60" t="s">
        <v>129</v>
      </c>
      <c r="H477" s="124"/>
      <c r="I477" s="124"/>
      <c r="J477" s="60"/>
      <c r="K477" s="60"/>
      <c r="L477" s="60"/>
      <c r="M477" s="60"/>
      <c r="N477" s="60">
        <f t="shared" si="148"/>
        <v>0</v>
      </c>
      <c r="O477" s="60">
        <f t="shared" si="149"/>
        <v>0</v>
      </c>
    </row>
    <row r="478" spans="1:15" s="38" customFormat="1" ht="10.7" customHeight="1" outlineLevel="1" x14ac:dyDescent="0.25">
      <c r="A478" s="124"/>
      <c r="B478" s="142"/>
      <c r="C478" s="115"/>
      <c r="D478" s="115"/>
      <c r="E478" s="115"/>
      <c r="F478" s="115"/>
      <c r="G478" s="60" t="s">
        <v>130</v>
      </c>
      <c r="H478" s="124"/>
      <c r="I478" s="124"/>
      <c r="J478" s="60"/>
      <c r="K478" s="60"/>
      <c r="L478" s="60"/>
      <c r="M478" s="60"/>
      <c r="N478" s="60">
        <f t="shared" si="148"/>
        <v>0</v>
      </c>
      <c r="O478" s="60">
        <f t="shared" si="149"/>
        <v>0</v>
      </c>
    </row>
    <row r="479" spans="1:15" s="38" customFormat="1" ht="12" customHeight="1" outlineLevel="1" thickBot="1" x14ac:dyDescent="0.3">
      <c r="A479" s="125"/>
      <c r="B479" s="143"/>
      <c r="C479" s="131"/>
      <c r="D479" s="131"/>
      <c r="E479" s="131"/>
      <c r="F479" s="131"/>
      <c r="G479" s="60" t="s">
        <v>131</v>
      </c>
      <c r="H479" s="134"/>
      <c r="I479" s="134"/>
      <c r="J479" s="60"/>
      <c r="K479" s="60"/>
      <c r="L479" s="60"/>
      <c r="M479" s="60"/>
      <c r="N479" s="60">
        <f t="shared" si="148"/>
        <v>0</v>
      </c>
      <c r="O479" s="60">
        <f t="shared" si="149"/>
        <v>0</v>
      </c>
    </row>
    <row r="480" spans="1:15" s="38" customFormat="1" ht="14.45" customHeight="1" outlineLevel="1" x14ac:dyDescent="0.25">
      <c r="A480" s="140" t="s">
        <v>658</v>
      </c>
      <c r="B480" s="141" t="s">
        <v>659</v>
      </c>
      <c r="C480" s="130">
        <f>SUM(N480:N486)</f>
        <v>0</v>
      </c>
      <c r="D480" s="130">
        <f>SUM(O480:O486)</f>
        <v>0</v>
      </c>
      <c r="E480" s="130">
        <f t="shared" si="137"/>
        <v>0</v>
      </c>
      <c r="F480" s="130"/>
      <c r="G480" s="60" t="s">
        <v>125</v>
      </c>
      <c r="H480" s="123"/>
      <c r="I480" s="123"/>
      <c r="J480" s="60"/>
      <c r="K480" s="60"/>
      <c r="L480" s="60"/>
      <c r="M480" s="60"/>
      <c r="N480" s="60">
        <f>M480*J480*K480*L480</f>
        <v>0</v>
      </c>
      <c r="O480" s="60">
        <f>J480*K480*L480</f>
        <v>0</v>
      </c>
    </row>
    <row r="481" spans="1:15" s="38" customFormat="1" ht="11.45" customHeight="1" outlineLevel="1" x14ac:dyDescent="0.25">
      <c r="A481" s="124"/>
      <c r="B481" s="142"/>
      <c r="C481" s="115"/>
      <c r="D481" s="115"/>
      <c r="E481" s="115"/>
      <c r="F481" s="115"/>
      <c r="G481" s="60" t="s">
        <v>126</v>
      </c>
      <c r="H481" s="124"/>
      <c r="I481" s="124"/>
      <c r="J481" s="60"/>
      <c r="K481" s="60"/>
      <c r="L481" s="60"/>
      <c r="M481" s="60"/>
      <c r="N481" s="60">
        <f t="shared" ref="N481:N486" si="150">M481*J481*K481*L481</f>
        <v>0</v>
      </c>
      <c r="O481" s="60">
        <f t="shared" ref="O481:O486" si="151">J481*K481*L481</f>
        <v>0</v>
      </c>
    </row>
    <row r="482" spans="1:15" s="38" customFormat="1" ht="10.7" customHeight="1" outlineLevel="1" x14ac:dyDescent="0.25">
      <c r="A482" s="124"/>
      <c r="B482" s="142"/>
      <c r="C482" s="115"/>
      <c r="D482" s="115"/>
      <c r="E482" s="115"/>
      <c r="F482" s="115"/>
      <c r="G482" s="60" t="s">
        <v>127</v>
      </c>
      <c r="H482" s="124"/>
      <c r="I482" s="124"/>
      <c r="J482" s="60"/>
      <c r="K482" s="60"/>
      <c r="L482" s="60"/>
      <c r="M482" s="60"/>
      <c r="N482" s="60">
        <f t="shared" si="150"/>
        <v>0</v>
      </c>
      <c r="O482" s="60">
        <f t="shared" si="151"/>
        <v>0</v>
      </c>
    </row>
    <row r="483" spans="1:15" s="38" customFormat="1" ht="10.7" customHeight="1" outlineLevel="1" x14ac:dyDescent="0.25">
      <c r="A483" s="124"/>
      <c r="B483" s="142"/>
      <c r="C483" s="115"/>
      <c r="D483" s="115"/>
      <c r="E483" s="115"/>
      <c r="F483" s="115"/>
      <c r="G483" s="60" t="s">
        <v>128</v>
      </c>
      <c r="H483" s="124"/>
      <c r="I483" s="124"/>
      <c r="J483" s="60"/>
      <c r="K483" s="60"/>
      <c r="L483" s="60"/>
      <c r="M483" s="60"/>
      <c r="N483" s="60">
        <f t="shared" si="150"/>
        <v>0</v>
      </c>
      <c r="O483" s="60">
        <f t="shared" si="151"/>
        <v>0</v>
      </c>
    </row>
    <row r="484" spans="1:15" s="38" customFormat="1" ht="10.7" customHeight="1" outlineLevel="1" x14ac:dyDescent="0.25">
      <c r="A484" s="124"/>
      <c r="B484" s="142"/>
      <c r="C484" s="115"/>
      <c r="D484" s="115"/>
      <c r="E484" s="115"/>
      <c r="F484" s="115"/>
      <c r="G484" s="60" t="s">
        <v>129</v>
      </c>
      <c r="H484" s="124"/>
      <c r="I484" s="124"/>
      <c r="J484" s="60"/>
      <c r="K484" s="60"/>
      <c r="L484" s="60"/>
      <c r="M484" s="60"/>
      <c r="N484" s="60">
        <f t="shared" si="150"/>
        <v>0</v>
      </c>
      <c r="O484" s="60">
        <f t="shared" si="151"/>
        <v>0</v>
      </c>
    </row>
    <row r="485" spans="1:15" s="38" customFormat="1" ht="10.7" customHeight="1" outlineLevel="1" x14ac:dyDescent="0.25">
      <c r="A485" s="124"/>
      <c r="B485" s="142"/>
      <c r="C485" s="115"/>
      <c r="D485" s="115"/>
      <c r="E485" s="115"/>
      <c r="F485" s="115"/>
      <c r="G485" s="60" t="s">
        <v>130</v>
      </c>
      <c r="H485" s="124"/>
      <c r="I485" s="124"/>
      <c r="J485" s="60"/>
      <c r="K485" s="60"/>
      <c r="L485" s="60"/>
      <c r="M485" s="60"/>
      <c r="N485" s="60">
        <f t="shared" si="150"/>
        <v>0</v>
      </c>
      <c r="O485" s="60">
        <f t="shared" si="151"/>
        <v>0</v>
      </c>
    </row>
    <row r="486" spans="1:15" s="38" customFormat="1" ht="12" customHeight="1" outlineLevel="1" thickBot="1" x14ac:dyDescent="0.3">
      <c r="A486" s="125"/>
      <c r="B486" s="143"/>
      <c r="C486" s="131"/>
      <c r="D486" s="131"/>
      <c r="E486" s="131"/>
      <c r="F486" s="131"/>
      <c r="G486" s="60" t="s">
        <v>131</v>
      </c>
      <c r="H486" s="134"/>
      <c r="I486" s="134"/>
      <c r="J486" s="60"/>
      <c r="K486" s="60"/>
      <c r="L486" s="60"/>
      <c r="M486" s="60"/>
      <c r="N486" s="60">
        <f t="shared" si="150"/>
        <v>0</v>
      </c>
      <c r="O486" s="60">
        <f t="shared" si="151"/>
        <v>0</v>
      </c>
    </row>
    <row r="487" spans="1:15" s="38" customFormat="1" ht="14.45" customHeight="1" outlineLevel="1" x14ac:dyDescent="0.25">
      <c r="A487" s="140" t="s">
        <v>660</v>
      </c>
      <c r="B487" s="141" t="s">
        <v>661</v>
      </c>
      <c r="C487" s="130">
        <f>SUM(N487:N493)</f>
        <v>0</v>
      </c>
      <c r="D487" s="130">
        <f>SUM(O487:O493)</f>
        <v>0</v>
      </c>
      <c r="E487" s="130">
        <f t="shared" si="137"/>
        <v>0</v>
      </c>
      <c r="F487" s="130"/>
      <c r="G487" s="60" t="s">
        <v>125</v>
      </c>
      <c r="H487" s="123"/>
      <c r="I487" s="123"/>
      <c r="J487" s="60"/>
      <c r="K487" s="60"/>
      <c r="L487" s="60"/>
      <c r="M487" s="60"/>
      <c r="N487" s="60">
        <f>M487*J487*K487*L487</f>
        <v>0</v>
      </c>
      <c r="O487" s="60">
        <f>J487*K487*L487</f>
        <v>0</v>
      </c>
    </row>
    <row r="488" spans="1:15" s="38" customFormat="1" ht="11.45" customHeight="1" outlineLevel="1" x14ac:dyDescent="0.25">
      <c r="A488" s="124"/>
      <c r="B488" s="142"/>
      <c r="C488" s="115"/>
      <c r="D488" s="115"/>
      <c r="E488" s="115"/>
      <c r="F488" s="115"/>
      <c r="G488" s="60" t="s">
        <v>126</v>
      </c>
      <c r="H488" s="124"/>
      <c r="I488" s="124"/>
      <c r="J488" s="60"/>
      <c r="K488" s="60"/>
      <c r="L488" s="60"/>
      <c r="M488" s="60"/>
      <c r="N488" s="60">
        <f t="shared" ref="N488:N493" si="152">M488*J488*K488*L488</f>
        <v>0</v>
      </c>
      <c r="O488" s="60">
        <f t="shared" ref="O488:O493" si="153">J488*K488*L488</f>
        <v>0</v>
      </c>
    </row>
    <row r="489" spans="1:15" s="38" customFormat="1" ht="10.7" customHeight="1" outlineLevel="1" x14ac:dyDescent="0.25">
      <c r="A489" s="124"/>
      <c r="B489" s="142"/>
      <c r="C489" s="115"/>
      <c r="D489" s="115"/>
      <c r="E489" s="115"/>
      <c r="F489" s="115"/>
      <c r="G489" s="60" t="s">
        <v>127</v>
      </c>
      <c r="H489" s="124"/>
      <c r="I489" s="124"/>
      <c r="J489" s="60"/>
      <c r="K489" s="60"/>
      <c r="L489" s="60"/>
      <c r="M489" s="60"/>
      <c r="N489" s="60">
        <f t="shared" si="152"/>
        <v>0</v>
      </c>
      <c r="O489" s="60">
        <f t="shared" si="153"/>
        <v>0</v>
      </c>
    </row>
    <row r="490" spans="1:15" s="38" customFormat="1" ht="10.7" customHeight="1" outlineLevel="1" x14ac:dyDescent="0.25">
      <c r="A490" s="124"/>
      <c r="B490" s="142"/>
      <c r="C490" s="115"/>
      <c r="D490" s="115"/>
      <c r="E490" s="115"/>
      <c r="F490" s="115"/>
      <c r="G490" s="60" t="s">
        <v>128</v>
      </c>
      <c r="H490" s="124"/>
      <c r="I490" s="124"/>
      <c r="J490" s="60"/>
      <c r="K490" s="60"/>
      <c r="L490" s="60"/>
      <c r="M490" s="60"/>
      <c r="N490" s="60">
        <f t="shared" si="152"/>
        <v>0</v>
      </c>
      <c r="O490" s="60">
        <f t="shared" si="153"/>
        <v>0</v>
      </c>
    </row>
    <row r="491" spans="1:15" s="38" customFormat="1" ht="10.7" customHeight="1" outlineLevel="1" x14ac:dyDescent="0.25">
      <c r="A491" s="124"/>
      <c r="B491" s="142"/>
      <c r="C491" s="115"/>
      <c r="D491" s="115"/>
      <c r="E491" s="115"/>
      <c r="F491" s="115"/>
      <c r="G491" s="60" t="s">
        <v>129</v>
      </c>
      <c r="H491" s="124"/>
      <c r="I491" s="124"/>
      <c r="J491" s="60"/>
      <c r="K491" s="60"/>
      <c r="L491" s="60"/>
      <c r="M491" s="60"/>
      <c r="N491" s="60">
        <f t="shared" si="152"/>
        <v>0</v>
      </c>
      <c r="O491" s="60">
        <f t="shared" si="153"/>
        <v>0</v>
      </c>
    </row>
    <row r="492" spans="1:15" s="38" customFormat="1" ht="10.7" customHeight="1" outlineLevel="1" x14ac:dyDescent="0.25">
      <c r="A492" s="124"/>
      <c r="B492" s="142"/>
      <c r="C492" s="115"/>
      <c r="D492" s="115"/>
      <c r="E492" s="115"/>
      <c r="F492" s="115"/>
      <c r="G492" s="60" t="s">
        <v>130</v>
      </c>
      <c r="H492" s="124"/>
      <c r="I492" s="124"/>
      <c r="J492" s="60"/>
      <c r="K492" s="60"/>
      <c r="L492" s="60"/>
      <c r="M492" s="60"/>
      <c r="N492" s="60">
        <f t="shared" si="152"/>
        <v>0</v>
      </c>
      <c r="O492" s="60">
        <f t="shared" si="153"/>
        <v>0</v>
      </c>
    </row>
    <row r="493" spans="1:15" s="38" customFormat="1" ht="12" customHeight="1" outlineLevel="1" thickBot="1" x14ac:dyDescent="0.3">
      <c r="A493" s="125"/>
      <c r="B493" s="143"/>
      <c r="C493" s="131"/>
      <c r="D493" s="131"/>
      <c r="E493" s="131"/>
      <c r="F493" s="131"/>
      <c r="G493" s="60" t="s">
        <v>131</v>
      </c>
      <c r="H493" s="134"/>
      <c r="I493" s="134"/>
      <c r="J493" s="60"/>
      <c r="K493" s="60"/>
      <c r="L493" s="60"/>
      <c r="M493" s="60"/>
      <c r="N493" s="60">
        <f t="shared" si="152"/>
        <v>0</v>
      </c>
      <c r="O493" s="60">
        <f t="shared" si="153"/>
        <v>0</v>
      </c>
    </row>
    <row r="494" spans="1:15" s="38" customFormat="1" ht="14.45" customHeight="1" outlineLevel="1" x14ac:dyDescent="0.25">
      <c r="A494" s="140" t="s">
        <v>662</v>
      </c>
      <c r="B494" s="141" t="s">
        <v>663</v>
      </c>
      <c r="C494" s="130">
        <f>SUM(N494:N500)</f>
        <v>0</v>
      </c>
      <c r="D494" s="130">
        <f>SUM(O494:O500)</f>
        <v>0</v>
      </c>
      <c r="E494" s="130">
        <f t="shared" si="137"/>
        <v>0</v>
      </c>
      <c r="F494" s="130"/>
      <c r="G494" s="60" t="s">
        <v>125</v>
      </c>
      <c r="H494" s="123"/>
      <c r="I494" s="123"/>
      <c r="J494" s="60"/>
      <c r="K494" s="60"/>
      <c r="L494" s="60"/>
      <c r="M494" s="60"/>
      <c r="N494" s="60">
        <f>M494*J494*K494*L494</f>
        <v>0</v>
      </c>
      <c r="O494" s="60">
        <f>J494*K494*L494</f>
        <v>0</v>
      </c>
    </row>
    <row r="495" spans="1:15" s="38" customFormat="1" ht="11.45" customHeight="1" outlineLevel="1" x14ac:dyDescent="0.25">
      <c r="A495" s="124"/>
      <c r="B495" s="142"/>
      <c r="C495" s="115"/>
      <c r="D495" s="115"/>
      <c r="E495" s="115"/>
      <c r="F495" s="115"/>
      <c r="G495" s="60" t="s">
        <v>126</v>
      </c>
      <c r="H495" s="124"/>
      <c r="I495" s="124"/>
      <c r="J495" s="60"/>
      <c r="K495" s="60"/>
      <c r="L495" s="60"/>
      <c r="M495" s="60"/>
      <c r="N495" s="60">
        <f t="shared" ref="N495:N500" si="154">M495*J495*K495*L495</f>
        <v>0</v>
      </c>
      <c r="O495" s="60">
        <f t="shared" ref="O495:O500" si="155">J495*K495*L495</f>
        <v>0</v>
      </c>
    </row>
    <row r="496" spans="1:15" s="38" customFormat="1" ht="10.7" customHeight="1" outlineLevel="1" x14ac:dyDescent="0.25">
      <c r="A496" s="124"/>
      <c r="B496" s="142"/>
      <c r="C496" s="115"/>
      <c r="D496" s="115"/>
      <c r="E496" s="115"/>
      <c r="F496" s="115"/>
      <c r="G496" s="60" t="s">
        <v>127</v>
      </c>
      <c r="H496" s="124"/>
      <c r="I496" s="124"/>
      <c r="J496" s="60"/>
      <c r="K496" s="60"/>
      <c r="L496" s="60"/>
      <c r="M496" s="60"/>
      <c r="N496" s="60">
        <f t="shared" si="154"/>
        <v>0</v>
      </c>
      <c r="O496" s="60">
        <f t="shared" si="155"/>
        <v>0</v>
      </c>
    </row>
    <row r="497" spans="1:15" s="38" customFormat="1" ht="10.7" customHeight="1" outlineLevel="1" x14ac:dyDescent="0.25">
      <c r="A497" s="124"/>
      <c r="B497" s="142"/>
      <c r="C497" s="115"/>
      <c r="D497" s="115"/>
      <c r="E497" s="115"/>
      <c r="F497" s="115"/>
      <c r="G497" s="60" t="s">
        <v>128</v>
      </c>
      <c r="H497" s="124"/>
      <c r="I497" s="124"/>
      <c r="J497" s="60"/>
      <c r="K497" s="60"/>
      <c r="L497" s="60"/>
      <c r="M497" s="60"/>
      <c r="N497" s="60">
        <f t="shared" si="154"/>
        <v>0</v>
      </c>
      <c r="O497" s="60">
        <f t="shared" si="155"/>
        <v>0</v>
      </c>
    </row>
    <row r="498" spans="1:15" s="38" customFormat="1" ht="10.7" customHeight="1" outlineLevel="1" x14ac:dyDescent="0.25">
      <c r="A498" s="124"/>
      <c r="B498" s="142"/>
      <c r="C498" s="115"/>
      <c r="D498" s="115"/>
      <c r="E498" s="115"/>
      <c r="F498" s="115"/>
      <c r="G498" s="60" t="s">
        <v>129</v>
      </c>
      <c r="H498" s="124"/>
      <c r="I498" s="124"/>
      <c r="J498" s="60"/>
      <c r="K498" s="60"/>
      <c r="L498" s="60"/>
      <c r="M498" s="60"/>
      <c r="N498" s="60">
        <f t="shared" si="154"/>
        <v>0</v>
      </c>
      <c r="O498" s="60">
        <f t="shared" si="155"/>
        <v>0</v>
      </c>
    </row>
    <row r="499" spans="1:15" s="38" customFormat="1" ht="10.7" customHeight="1" outlineLevel="1" x14ac:dyDescent="0.25">
      <c r="A499" s="124"/>
      <c r="B499" s="142"/>
      <c r="C499" s="115"/>
      <c r="D499" s="115"/>
      <c r="E499" s="115"/>
      <c r="F499" s="115"/>
      <c r="G499" s="60" t="s">
        <v>130</v>
      </c>
      <c r="H499" s="124"/>
      <c r="I499" s="124"/>
      <c r="J499" s="60"/>
      <c r="K499" s="60"/>
      <c r="L499" s="60"/>
      <c r="M499" s="60"/>
      <c r="N499" s="60">
        <f t="shared" si="154"/>
        <v>0</v>
      </c>
      <c r="O499" s="60">
        <f t="shared" si="155"/>
        <v>0</v>
      </c>
    </row>
    <row r="500" spans="1:15" s="38" customFormat="1" ht="12" customHeight="1" outlineLevel="1" thickBot="1" x14ac:dyDescent="0.3">
      <c r="A500" s="125"/>
      <c r="B500" s="143"/>
      <c r="C500" s="131"/>
      <c r="D500" s="131"/>
      <c r="E500" s="131"/>
      <c r="F500" s="131"/>
      <c r="G500" s="60" t="s">
        <v>131</v>
      </c>
      <c r="H500" s="134"/>
      <c r="I500" s="134"/>
      <c r="J500" s="60"/>
      <c r="K500" s="60"/>
      <c r="L500" s="60"/>
      <c r="M500" s="60"/>
      <c r="N500" s="60">
        <f t="shared" si="154"/>
        <v>0</v>
      </c>
      <c r="O500" s="60">
        <f t="shared" si="155"/>
        <v>0</v>
      </c>
    </row>
    <row r="501" spans="1:15" s="38" customFormat="1" ht="14.45" customHeight="1" outlineLevel="1" x14ac:dyDescent="0.25">
      <c r="A501" s="140" t="s">
        <v>664</v>
      </c>
      <c r="B501" s="141" t="s">
        <v>665</v>
      </c>
      <c r="C501" s="130">
        <f>SUM(N501:N507)</f>
        <v>0</v>
      </c>
      <c r="D501" s="130">
        <f>SUM(O501:O507)</f>
        <v>0</v>
      </c>
      <c r="E501" s="130">
        <f t="shared" si="137"/>
        <v>0</v>
      </c>
      <c r="F501" s="130"/>
      <c r="G501" s="60" t="s">
        <v>125</v>
      </c>
      <c r="H501" s="123"/>
      <c r="I501" s="123"/>
      <c r="J501" s="60"/>
      <c r="K501" s="60"/>
      <c r="L501" s="60"/>
      <c r="M501" s="60"/>
      <c r="N501" s="60">
        <f>M501*J501*K501*L501</f>
        <v>0</v>
      </c>
      <c r="O501" s="60">
        <f>J501*K501*L501</f>
        <v>0</v>
      </c>
    </row>
    <row r="502" spans="1:15" s="38" customFormat="1" ht="11.45" customHeight="1" outlineLevel="1" x14ac:dyDescent="0.25">
      <c r="A502" s="124"/>
      <c r="B502" s="142"/>
      <c r="C502" s="115"/>
      <c r="D502" s="115"/>
      <c r="E502" s="115"/>
      <c r="F502" s="115"/>
      <c r="G502" s="60" t="s">
        <v>126</v>
      </c>
      <c r="H502" s="124"/>
      <c r="I502" s="124"/>
      <c r="J502" s="60"/>
      <c r="K502" s="60"/>
      <c r="L502" s="60"/>
      <c r="M502" s="60"/>
      <c r="N502" s="60">
        <f t="shared" ref="N502:N507" si="156">M502*J502*K502*L502</f>
        <v>0</v>
      </c>
      <c r="O502" s="60">
        <f t="shared" ref="O502:O507" si="157">J502*K502*L502</f>
        <v>0</v>
      </c>
    </row>
    <row r="503" spans="1:15" s="38" customFormat="1" ht="10.7" customHeight="1" outlineLevel="1" x14ac:dyDescent="0.25">
      <c r="A503" s="124"/>
      <c r="B503" s="142"/>
      <c r="C503" s="115"/>
      <c r="D503" s="115"/>
      <c r="E503" s="115"/>
      <c r="F503" s="115"/>
      <c r="G503" s="60" t="s">
        <v>127</v>
      </c>
      <c r="H503" s="124"/>
      <c r="I503" s="124"/>
      <c r="J503" s="60"/>
      <c r="K503" s="60"/>
      <c r="L503" s="60"/>
      <c r="M503" s="60"/>
      <c r="N503" s="60">
        <f t="shared" si="156"/>
        <v>0</v>
      </c>
      <c r="O503" s="60">
        <f t="shared" si="157"/>
        <v>0</v>
      </c>
    </row>
    <row r="504" spans="1:15" s="38" customFormat="1" ht="10.7" customHeight="1" outlineLevel="1" x14ac:dyDescent="0.25">
      <c r="A504" s="124"/>
      <c r="B504" s="142"/>
      <c r="C504" s="115"/>
      <c r="D504" s="115"/>
      <c r="E504" s="115"/>
      <c r="F504" s="115"/>
      <c r="G504" s="60" t="s">
        <v>128</v>
      </c>
      <c r="H504" s="124"/>
      <c r="I504" s="124"/>
      <c r="J504" s="60"/>
      <c r="K504" s="60"/>
      <c r="L504" s="60"/>
      <c r="M504" s="60"/>
      <c r="N504" s="60">
        <f t="shared" si="156"/>
        <v>0</v>
      </c>
      <c r="O504" s="60">
        <f t="shared" si="157"/>
        <v>0</v>
      </c>
    </row>
    <row r="505" spans="1:15" s="38" customFormat="1" ht="10.7" customHeight="1" outlineLevel="1" x14ac:dyDescent="0.25">
      <c r="A505" s="124"/>
      <c r="B505" s="142"/>
      <c r="C505" s="115"/>
      <c r="D505" s="115"/>
      <c r="E505" s="115"/>
      <c r="F505" s="115"/>
      <c r="G505" s="60" t="s">
        <v>129</v>
      </c>
      <c r="H505" s="124"/>
      <c r="I505" s="124"/>
      <c r="J505" s="60"/>
      <c r="K505" s="60"/>
      <c r="L505" s="60"/>
      <c r="M505" s="60"/>
      <c r="N505" s="60">
        <f t="shared" si="156"/>
        <v>0</v>
      </c>
      <c r="O505" s="60">
        <f t="shared" si="157"/>
        <v>0</v>
      </c>
    </row>
    <row r="506" spans="1:15" s="38" customFormat="1" ht="10.7" customHeight="1" outlineLevel="1" x14ac:dyDescent="0.25">
      <c r="A506" s="124"/>
      <c r="B506" s="142"/>
      <c r="C506" s="115"/>
      <c r="D506" s="115"/>
      <c r="E506" s="115"/>
      <c r="F506" s="115"/>
      <c r="G506" s="60" t="s">
        <v>130</v>
      </c>
      <c r="H506" s="124"/>
      <c r="I506" s="124"/>
      <c r="J506" s="60"/>
      <c r="K506" s="60"/>
      <c r="L506" s="60"/>
      <c r="M506" s="60"/>
      <c r="N506" s="60">
        <f t="shared" si="156"/>
        <v>0</v>
      </c>
      <c r="O506" s="60">
        <f t="shared" si="157"/>
        <v>0</v>
      </c>
    </row>
    <row r="507" spans="1:15" s="38" customFormat="1" ht="12" customHeight="1" outlineLevel="1" thickBot="1" x14ac:dyDescent="0.3">
      <c r="A507" s="125"/>
      <c r="B507" s="143"/>
      <c r="C507" s="131"/>
      <c r="D507" s="131"/>
      <c r="E507" s="131"/>
      <c r="F507" s="131"/>
      <c r="G507" s="60" t="s">
        <v>131</v>
      </c>
      <c r="H507" s="134"/>
      <c r="I507" s="134"/>
      <c r="J507" s="60"/>
      <c r="K507" s="60"/>
      <c r="L507" s="60"/>
      <c r="M507" s="60"/>
      <c r="N507" s="60">
        <f t="shared" si="156"/>
        <v>0</v>
      </c>
      <c r="O507" s="60">
        <f t="shared" si="157"/>
        <v>0</v>
      </c>
    </row>
    <row r="508" spans="1:15" s="38" customFormat="1" ht="14.45" customHeight="1" outlineLevel="1" x14ac:dyDescent="0.25">
      <c r="A508" s="140" t="s">
        <v>666</v>
      </c>
      <c r="B508" s="141" t="s">
        <v>667</v>
      </c>
      <c r="C508" s="130">
        <f>SUM(N508:N514)</f>
        <v>0</v>
      </c>
      <c r="D508" s="130">
        <f>SUM(O508:O514)</f>
        <v>0</v>
      </c>
      <c r="E508" s="130">
        <f t="shared" ref="E508:E571" si="158">D508/8</f>
        <v>0</v>
      </c>
      <c r="F508" s="130"/>
      <c r="G508" s="60" t="s">
        <v>125</v>
      </c>
      <c r="H508" s="123"/>
      <c r="I508" s="123"/>
      <c r="J508" s="60"/>
      <c r="K508" s="60"/>
      <c r="L508" s="60"/>
      <c r="M508" s="60"/>
      <c r="N508" s="60">
        <f>M508*J508*K508*L508</f>
        <v>0</v>
      </c>
      <c r="O508" s="60">
        <f>J508*K508*L508</f>
        <v>0</v>
      </c>
    </row>
    <row r="509" spans="1:15" s="38" customFormat="1" ht="11.45" customHeight="1" outlineLevel="1" x14ac:dyDescent="0.25">
      <c r="A509" s="124"/>
      <c r="B509" s="142"/>
      <c r="C509" s="115"/>
      <c r="D509" s="115"/>
      <c r="E509" s="115"/>
      <c r="F509" s="115"/>
      <c r="G509" s="60" t="s">
        <v>126</v>
      </c>
      <c r="H509" s="124"/>
      <c r="I509" s="124"/>
      <c r="J509" s="60"/>
      <c r="K509" s="60"/>
      <c r="L509" s="60"/>
      <c r="M509" s="60"/>
      <c r="N509" s="60">
        <f t="shared" ref="N509:N514" si="159">M509*J509*K509*L509</f>
        <v>0</v>
      </c>
      <c r="O509" s="60">
        <f t="shared" ref="O509:O514" si="160">J509*K509*L509</f>
        <v>0</v>
      </c>
    </row>
    <row r="510" spans="1:15" s="38" customFormat="1" ht="10.7" customHeight="1" outlineLevel="1" x14ac:dyDescent="0.25">
      <c r="A510" s="124"/>
      <c r="B510" s="142"/>
      <c r="C510" s="115"/>
      <c r="D510" s="115"/>
      <c r="E510" s="115"/>
      <c r="F510" s="115"/>
      <c r="G510" s="60" t="s">
        <v>127</v>
      </c>
      <c r="H510" s="124"/>
      <c r="I510" s="124"/>
      <c r="J510" s="60"/>
      <c r="K510" s="60"/>
      <c r="L510" s="60"/>
      <c r="M510" s="60"/>
      <c r="N510" s="60">
        <f t="shared" si="159"/>
        <v>0</v>
      </c>
      <c r="O510" s="60">
        <f t="shared" si="160"/>
        <v>0</v>
      </c>
    </row>
    <row r="511" spans="1:15" s="38" customFormat="1" ht="10.7" customHeight="1" outlineLevel="1" x14ac:dyDescent="0.25">
      <c r="A511" s="124"/>
      <c r="B511" s="142"/>
      <c r="C511" s="115"/>
      <c r="D511" s="115"/>
      <c r="E511" s="115"/>
      <c r="F511" s="115"/>
      <c r="G511" s="60" t="s">
        <v>128</v>
      </c>
      <c r="H511" s="124"/>
      <c r="I511" s="124"/>
      <c r="J511" s="60"/>
      <c r="K511" s="60"/>
      <c r="L511" s="60"/>
      <c r="M511" s="60"/>
      <c r="N511" s="60">
        <f t="shared" si="159"/>
        <v>0</v>
      </c>
      <c r="O511" s="60">
        <f t="shared" si="160"/>
        <v>0</v>
      </c>
    </row>
    <row r="512" spans="1:15" s="38" customFormat="1" ht="10.7" customHeight="1" outlineLevel="1" x14ac:dyDescent="0.25">
      <c r="A512" s="124"/>
      <c r="B512" s="142"/>
      <c r="C512" s="115"/>
      <c r="D512" s="115"/>
      <c r="E512" s="115"/>
      <c r="F512" s="115"/>
      <c r="G512" s="60" t="s">
        <v>129</v>
      </c>
      <c r="H512" s="124"/>
      <c r="I512" s="124"/>
      <c r="J512" s="60"/>
      <c r="K512" s="60"/>
      <c r="L512" s="60"/>
      <c r="M512" s="60"/>
      <c r="N512" s="60">
        <f t="shared" si="159"/>
        <v>0</v>
      </c>
      <c r="O512" s="60">
        <f t="shared" si="160"/>
        <v>0</v>
      </c>
    </row>
    <row r="513" spans="1:15" s="38" customFormat="1" ht="10.7" customHeight="1" outlineLevel="1" x14ac:dyDescent="0.25">
      <c r="A513" s="124"/>
      <c r="B513" s="142"/>
      <c r="C513" s="115"/>
      <c r="D513" s="115"/>
      <c r="E513" s="115"/>
      <c r="F513" s="115"/>
      <c r="G513" s="60" t="s">
        <v>130</v>
      </c>
      <c r="H513" s="124"/>
      <c r="I513" s="124"/>
      <c r="J513" s="60"/>
      <c r="K513" s="60"/>
      <c r="L513" s="60"/>
      <c r="M513" s="60"/>
      <c r="N513" s="60">
        <f t="shared" si="159"/>
        <v>0</v>
      </c>
      <c r="O513" s="60">
        <f t="shared" si="160"/>
        <v>0</v>
      </c>
    </row>
    <row r="514" spans="1:15" s="38" customFormat="1" ht="12" customHeight="1" outlineLevel="1" thickBot="1" x14ac:dyDescent="0.3">
      <c r="A514" s="125"/>
      <c r="B514" s="143"/>
      <c r="C514" s="131"/>
      <c r="D514" s="131"/>
      <c r="E514" s="131"/>
      <c r="F514" s="131"/>
      <c r="G514" s="60" t="s">
        <v>131</v>
      </c>
      <c r="H514" s="134"/>
      <c r="I514" s="134"/>
      <c r="J514" s="60"/>
      <c r="K514" s="60"/>
      <c r="L514" s="60"/>
      <c r="M514" s="60"/>
      <c r="N514" s="60">
        <f t="shared" si="159"/>
        <v>0</v>
      </c>
      <c r="O514" s="60">
        <f t="shared" si="160"/>
        <v>0</v>
      </c>
    </row>
    <row r="515" spans="1:15" s="38" customFormat="1" ht="14.45" customHeight="1" outlineLevel="1" x14ac:dyDescent="0.25">
      <c r="A515" s="140" t="s">
        <v>668</v>
      </c>
      <c r="B515" s="141" t="s">
        <v>669</v>
      </c>
      <c r="C515" s="130">
        <f>SUM(N515:N521)</f>
        <v>0</v>
      </c>
      <c r="D515" s="130">
        <f>SUM(O515:O521)</f>
        <v>0</v>
      </c>
      <c r="E515" s="130">
        <f t="shared" si="158"/>
        <v>0</v>
      </c>
      <c r="F515" s="130"/>
      <c r="G515" s="60" t="s">
        <v>125</v>
      </c>
      <c r="H515" s="123"/>
      <c r="I515" s="123"/>
      <c r="J515" s="60"/>
      <c r="K515" s="60"/>
      <c r="L515" s="60"/>
      <c r="M515" s="60"/>
      <c r="N515" s="60">
        <f>M515*J515*K515*L515</f>
        <v>0</v>
      </c>
      <c r="O515" s="60">
        <f>J515*K515*L515</f>
        <v>0</v>
      </c>
    </row>
    <row r="516" spans="1:15" s="38" customFormat="1" ht="11.45" customHeight="1" outlineLevel="1" x14ac:dyDescent="0.25">
      <c r="A516" s="124"/>
      <c r="B516" s="142"/>
      <c r="C516" s="115"/>
      <c r="D516" s="115"/>
      <c r="E516" s="115"/>
      <c r="F516" s="115"/>
      <c r="G516" s="60" t="s">
        <v>126</v>
      </c>
      <c r="H516" s="124"/>
      <c r="I516" s="124"/>
      <c r="J516" s="60"/>
      <c r="K516" s="60"/>
      <c r="L516" s="60"/>
      <c r="M516" s="60"/>
      <c r="N516" s="60">
        <f t="shared" ref="N516:N521" si="161">M516*J516*K516*L516</f>
        <v>0</v>
      </c>
      <c r="O516" s="60">
        <f t="shared" ref="O516:O521" si="162">J516*K516*L516</f>
        <v>0</v>
      </c>
    </row>
    <row r="517" spans="1:15" s="38" customFormat="1" ht="10.7" customHeight="1" outlineLevel="1" x14ac:dyDescent="0.25">
      <c r="A517" s="124"/>
      <c r="B517" s="142"/>
      <c r="C517" s="115"/>
      <c r="D517" s="115"/>
      <c r="E517" s="115"/>
      <c r="F517" s="115"/>
      <c r="G517" s="60" t="s">
        <v>127</v>
      </c>
      <c r="H517" s="124"/>
      <c r="I517" s="124"/>
      <c r="J517" s="60"/>
      <c r="K517" s="60"/>
      <c r="L517" s="60"/>
      <c r="M517" s="60"/>
      <c r="N517" s="60">
        <f t="shared" si="161"/>
        <v>0</v>
      </c>
      <c r="O517" s="60">
        <f t="shared" si="162"/>
        <v>0</v>
      </c>
    </row>
    <row r="518" spans="1:15" s="38" customFormat="1" ht="10.7" customHeight="1" outlineLevel="1" x14ac:dyDescent="0.25">
      <c r="A518" s="124"/>
      <c r="B518" s="142"/>
      <c r="C518" s="115"/>
      <c r="D518" s="115"/>
      <c r="E518" s="115"/>
      <c r="F518" s="115"/>
      <c r="G518" s="60" t="s">
        <v>128</v>
      </c>
      <c r="H518" s="124"/>
      <c r="I518" s="124"/>
      <c r="J518" s="60"/>
      <c r="K518" s="60"/>
      <c r="L518" s="60"/>
      <c r="M518" s="60"/>
      <c r="N518" s="60">
        <f t="shared" si="161"/>
        <v>0</v>
      </c>
      <c r="O518" s="60">
        <f t="shared" si="162"/>
        <v>0</v>
      </c>
    </row>
    <row r="519" spans="1:15" s="38" customFormat="1" ht="10.7" customHeight="1" outlineLevel="1" x14ac:dyDescent="0.25">
      <c r="A519" s="124"/>
      <c r="B519" s="142"/>
      <c r="C519" s="115"/>
      <c r="D519" s="115"/>
      <c r="E519" s="115"/>
      <c r="F519" s="115"/>
      <c r="G519" s="60" t="s">
        <v>129</v>
      </c>
      <c r="H519" s="124"/>
      <c r="I519" s="124"/>
      <c r="J519" s="60"/>
      <c r="K519" s="60"/>
      <c r="L519" s="60"/>
      <c r="M519" s="60"/>
      <c r="N519" s="60">
        <f t="shared" si="161"/>
        <v>0</v>
      </c>
      <c r="O519" s="60">
        <f t="shared" si="162"/>
        <v>0</v>
      </c>
    </row>
    <row r="520" spans="1:15" s="38" customFormat="1" ht="10.7" customHeight="1" outlineLevel="1" x14ac:dyDescent="0.25">
      <c r="A520" s="124"/>
      <c r="B520" s="142"/>
      <c r="C520" s="115"/>
      <c r="D520" s="115"/>
      <c r="E520" s="115"/>
      <c r="F520" s="115"/>
      <c r="G520" s="60" t="s">
        <v>130</v>
      </c>
      <c r="H520" s="124"/>
      <c r="I520" s="124"/>
      <c r="J520" s="60"/>
      <c r="K520" s="60"/>
      <c r="L520" s="60"/>
      <c r="M520" s="60"/>
      <c r="N520" s="60">
        <f t="shared" si="161"/>
        <v>0</v>
      </c>
      <c r="O520" s="60">
        <f t="shared" si="162"/>
        <v>0</v>
      </c>
    </row>
    <row r="521" spans="1:15" s="38" customFormat="1" ht="12" customHeight="1" outlineLevel="1" thickBot="1" x14ac:dyDescent="0.3">
      <c r="A521" s="125"/>
      <c r="B521" s="143"/>
      <c r="C521" s="131"/>
      <c r="D521" s="131"/>
      <c r="E521" s="131"/>
      <c r="F521" s="131"/>
      <c r="G521" s="60" t="s">
        <v>131</v>
      </c>
      <c r="H521" s="134"/>
      <c r="I521" s="134"/>
      <c r="J521" s="60"/>
      <c r="K521" s="60"/>
      <c r="L521" s="60"/>
      <c r="M521" s="60"/>
      <c r="N521" s="60">
        <f t="shared" si="161"/>
        <v>0</v>
      </c>
      <c r="O521" s="60">
        <f t="shared" si="162"/>
        <v>0</v>
      </c>
    </row>
    <row r="522" spans="1:15" s="38" customFormat="1" ht="14.45" customHeight="1" outlineLevel="1" x14ac:dyDescent="0.25">
      <c r="A522" s="140" t="s">
        <v>670</v>
      </c>
      <c r="B522" s="141" t="s">
        <v>671</v>
      </c>
      <c r="C522" s="130">
        <f>SUM(N522:N528)</f>
        <v>0</v>
      </c>
      <c r="D522" s="130">
        <f>SUM(O522:O528)</f>
        <v>0</v>
      </c>
      <c r="E522" s="130">
        <f t="shared" si="158"/>
        <v>0</v>
      </c>
      <c r="F522" s="130"/>
      <c r="G522" s="60" t="s">
        <v>125</v>
      </c>
      <c r="H522" s="123"/>
      <c r="I522" s="123"/>
      <c r="J522" s="60"/>
      <c r="K522" s="60"/>
      <c r="L522" s="60"/>
      <c r="M522" s="60"/>
      <c r="N522" s="60">
        <f>M522*J522*K522*L522</f>
        <v>0</v>
      </c>
      <c r="O522" s="60">
        <f>J522*K522*L522</f>
        <v>0</v>
      </c>
    </row>
    <row r="523" spans="1:15" s="38" customFormat="1" ht="11.45" customHeight="1" outlineLevel="1" x14ac:dyDescent="0.25">
      <c r="A523" s="124"/>
      <c r="B523" s="142"/>
      <c r="C523" s="115"/>
      <c r="D523" s="115"/>
      <c r="E523" s="115"/>
      <c r="F523" s="115"/>
      <c r="G523" s="60" t="s">
        <v>126</v>
      </c>
      <c r="H523" s="124"/>
      <c r="I523" s="124"/>
      <c r="J523" s="60"/>
      <c r="K523" s="60"/>
      <c r="L523" s="60"/>
      <c r="M523" s="60"/>
      <c r="N523" s="60">
        <f t="shared" ref="N523:N528" si="163">M523*J523*K523*L523</f>
        <v>0</v>
      </c>
      <c r="O523" s="60">
        <f t="shared" ref="O523:O528" si="164">J523*K523*L523</f>
        <v>0</v>
      </c>
    </row>
    <row r="524" spans="1:15" s="38" customFormat="1" ht="10.7" customHeight="1" outlineLevel="1" x14ac:dyDescent="0.25">
      <c r="A524" s="124"/>
      <c r="B524" s="142"/>
      <c r="C524" s="115"/>
      <c r="D524" s="115"/>
      <c r="E524" s="115"/>
      <c r="F524" s="115"/>
      <c r="G524" s="60" t="s">
        <v>127</v>
      </c>
      <c r="H524" s="124"/>
      <c r="I524" s="124"/>
      <c r="J524" s="60"/>
      <c r="K524" s="60"/>
      <c r="L524" s="60"/>
      <c r="M524" s="60"/>
      <c r="N524" s="60">
        <f t="shared" si="163"/>
        <v>0</v>
      </c>
      <c r="O524" s="60">
        <f t="shared" si="164"/>
        <v>0</v>
      </c>
    </row>
    <row r="525" spans="1:15" s="38" customFormat="1" ht="10.7" customHeight="1" outlineLevel="1" x14ac:dyDescent="0.25">
      <c r="A525" s="124"/>
      <c r="B525" s="142"/>
      <c r="C525" s="115"/>
      <c r="D525" s="115"/>
      <c r="E525" s="115"/>
      <c r="F525" s="115"/>
      <c r="G525" s="60" t="s">
        <v>128</v>
      </c>
      <c r="H525" s="124"/>
      <c r="I525" s="124"/>
      <c r="J525" s="60"/>
      <c r="K525" s="60"/>
      <c r="L525" s="60"/>
      <c r="M525" s="60"/>
      <c r="N525" s="60">
        <f t="shared" si="163"/>
        <v>0</v>
      </c>
      <c r="O525" s="60">
        <f t="shared" si="164"/>
        <v>0</v>
      </c>
    </row>
    <row r="526" spans="1:15" s="38" customFormat="1" ht="10.7" customHeight="1" outlineLevel="1" x14ac:dyDescent="0.25">
      <c r="A526" s="124"/>
      <c r="B526" s="142"/>
      <c r="C526" s="115"/>
      <c r="D526" s="115"/>
      <c r="E526" s="115"/>
      <c r="F526" s="115"/>
      <c r="G526" s="60" t="s">
        <v>129</v>
      </c>
      <c r="H526" s="124"/>
      <c r="I526" s="124"/>
      <c r="J526" s="60"/>
      <c r="K526" s="60"/>
      <c r="L526" s="60"/>
      <c r="M526" s="60"/>
      <c r="N526" s="60">
        <f t="shared" si="163"/>
        <v>0</v>
      </c>
      <c r="O526" s="60">
        <f t="shared" si="164"/>
        <v>0</v>
      </c>
    </row>
    <row r="527" spans="1:15" s="38" customFormat="1" ht="10.7" customHeight="1" outlineLevel="1" x14ac:dyDescent="0.25">
      <c r="A527" s="124"/>
      <c r="B527" s="142"/>
      <c r="C527" s="115"/>
      <c r="D527" s="115"/>
      <c r="E527" s="115"/>
      <c r="F527" s="115"/>
      <c r="G527" s="60" t="s">
        <v>130</v>
      </c>
      <c r="H527" s="124"/>
      <c r="I527" s="124"/>
      <c r="J527" s="60"/>
      <c r="K527" s="60"/>
      <c r="L527" s="60"/>
      <c r="M527" s="60"/>
      <c r="N527" s="60">
        <f t="shared" si="163"/>
        <v>0</v>
      </c>
      <c r="O527" s="60">
        <f t="shared" si="164"/>
        <v>0</v>
      </c>
    </row>
    <row r="528" spans="1:15" s="38" customFormat="1" ht="12" customHeight="1" outlineLevel="1" thickBot="1" x14ac:dyDescent="0.3">
      <c r="A528" s="125"/>
      <c r="B528" s="143"/>
      <c r="C528" s="131"/>
      <c r="D528" s="131"/>
      <c r="E528" s="131"/>
      <c r="F528" s="131"/>
      <c r="G528" s="60" t="s">
        <v>131</v>
      </c>
      <c r="H528" s="134"/>
      <c r="I528" s="134"/>
      <c r="J528" s="60"/>
      <c r="K528" s="60"/>
      <c r="L528" s="60"/>
      <c r="M528" s="60"/>
      <c r="N528" s="60">
        <f t="shared" si="163"/>
        <v>0</v>
      </c>
      <c r="O528" s="60">
        <f t="shared" si="164"/>
        <v>0</v>
      </c>
    </row>
    <row r="529" spans="1:15" s="38" customFormat="1" ht="14.45" customHeight="1" outlineLevel="1" x14ac:dyDescent="0.25">
      <c r="A529" s="140" t="s">
        <v>672</v>
      </c>
      <c r="B529" s="141" t="s">
        <v>673</v>
      </c>
      <c r="C529" s="130">
        <f>SUM(N529:N535)</f>
        <v>0</v>
      </c>
      <c r="D529" s="130">
        <f>SUM(O529:O535)</f>
        <v>0</v>
      </c>
      <c r="E529" s="130">
        <f t="shared" si="158"/>
        <v>0</v>
      </c>
      <c r="F529" s="130"/>
      <c r="G529" s="60" t="s">
        <v>125</v>
      </c>
      <c r="H529" s="123"/>
      <c r="I529" s="123"/>
      <c r="J529" s="60"/>
      <c r="K529" s="60"/>
      <c r="L529" s="60"/>
      <c r="M529" s="60"/>
      <c r="N529" s="60">
        <f>M529*J529*K529*L529</f>
        <v>0</v>
      </c>
      <c r="O529" s="60">
        <f>J529*K529*L529</f>
        <v>0</v>
      </c>
    </row>
    <row r="530" spans="1:15" s="38" customFormat="1" ht="11.45" customHeight="1" outlineLevel="1" x14ac:dyDescent="0.25">
      <c r="A530" s="124"/>
      <c r="B530" s="142"/>
      <c r="C530" s="115"/>
      <c r="D530" s="115"/>
      <c r="E530" s="115"/>
      <c r="F530" s="115"/>
      <c r="G530" s="60" t="s">
        <v>126</v>
      </c>
      <c r="H530" s="124"/>
      <c r="I530" s="124"/>
      <c r="J530" s="60"/>
      <c r="K530" s="60"/>
      <c r="L530" s="60"/>
      <c r="M530" s="60"/>
      <c r="N530" s="60">
        <f t="shared" ref="N530:N535" si="165">M530*J530*K530*L530</f>
        <v>0</v>
      </c>
      <c r="O530" s="60">
        <f t="shared" ref="O530:O535" si="166">J530*K530*L530</f>
        <v>0</v>
      </c>
    </row>
    <row r="531" spans="1:15" s="38" customFormat="1" ht="10.7" customHeight="1" outlineLevel="1" x14ac:dyDescent="0.25">
      <c r="A531" s="124"/>
      <c r="B531" s="142"/>
      <c r="C531" s="115"/>
      <c r="D531" s="115"/>
      <c r="E531" s="115"/>
      <c r="F531" s="115"/>
      <c r="G531" s="60" t="s">
        <v>127</v>
      </c>
      <c r="H531" s="124"/>
      <c r="I531" s="124"/>
      <c r="J531" s="60"/>
      <c r="K531" s="60"/>
      <c r="L531" s="60"/>
      <c r="M531" s="60"/>
      <c r="N531" s="60">
        <f t="shared" si="165"/>
        <v>0</v>
      </c>
      <c r="O531" s="60">
        <f t="shared" si="166"/>
        <v>0</v>
      </c>
    </row>
    <row r="532" spans="1:15" s="38" customFormat="1" ht="10.7" customHeight="1" outlineLevel="1" x14ac:dyDescent="0.25">
      <c r="A532" s="124"/>
      <c r="B532" s="142"/>
      <c r="C532" s="115"/>
      <c r="D532" s="115"/>
      <c r="E532" s="115"/>
      <c r="F532" s="115"/>
      <c r="G532" s="60" t="s">
        <v>128</v>
      </c>
      <c r="H532" s="124"/>
      <c r="I532" s="124"/>
      <c r="J532" s="60"/>
      <c r="K532" s="60"/>
      <c r="L532" s="60"/>
      <c r="M532" s="60"/>
      <c r="N532" s="60">
        <f t="shared" si="165"/>
        <v>0</v>
      </c>
      <c r="O532" s="60">
        <f t="shared" si="166"/>
        <v>0</v>
      </c>
    </row>
    <row r="533" spans="1:15" s="38" customFormat="1" ht="10.7" customHeight="1" outlineLevel="1" x14ac:dyDescent="0.25">
      <c r="A533" s="124"/>
      <c r="B533" s="142"/>
      <c r="C533" s="115"/>
      <c r="D533" s="115"/>
      <c r="E533" s="115"/>
      <c r="F533" s="115"/>
      <c r="G533" s="60" t="s">
        <v>129</v>
      </c>
      <c r="H533" s="124"/>
      <c r="I533" s="124"/>
      <c r="J533" s="60"/>
      <c r="K533" s="60"/>
      <c r="L533" s="60"/>
      <c r="M533" s="60"/>
      <c r="N533" s="60">
        <f t="shared" si="165"/>
        <v>0</v>
      </c>
      <c r="O533" s="60">
        <f t="shared" si="166"/>
        <v>0</v>
      </c>
    </row>
    <row r="534" spans="1:15" s="38" customFormat="1" ht="10.7" customHeight="1" outlineLevel="1" x14ac:dyDescent="0.25">
      <c r="A534" s="124"/>
      <c r="B534" s="142"/>
      <c r="C534" s="115"/>
      <c r="D534" s="115"/>
      <c r="E534" s="115"/>
      <c r="F534" s="115"/>
      <c r="G534" s="60" t="s">
        <v>130</v>
      </c>
      <c r="H534" s="124"/>
      <c r="I534" s="124"/>
      <c r="J534" s="60"/>
      <c r="K534" s="60"/>
      <c r="L534" s="60"/>
      <c r="M534" s="60"/>
      <c r="N534" s="60">
        <f t="shared" si="165"/>
        <v>0</v>
      </c>
      <c r="O534" s="60">
        <f t="shared" si="166"/>
        <v>0</v>
      </c>
    </row>
    <row r="535" spans="1:15" s="38" customFormat="1" ht="12" customHeight="1" outlineLevel="1" thickBot="1" x14ac:dyDescent="0.3">
      <c r="A535" s="125"/>
      <c r="B535" s="143"/>
      <c r="C535" s="131"/>
      <c r="D535" s="131"/>
      <c r="E535" s="131"/>
      <c r="F535" s="131"/>
      <c r="G535" s="60" t="s">
        <v>131</v>
      </c>
      <c r="H535" s="134"/>
      <c r="I535" s="134"/>
      <c r="J535" s="60"/>
      <c r="K535" s="60"/>
      <c r="L535" s="60"/>
      <c r="M535" s="60"/>
      <c r="N535" s="60">
        <f t="shared" si="165"/>
        <v>0</v>
      </c>
      <c r="O535" s="60">
        <f t="shared" si="166"/>
        <v>0</v>
      </c>
    </row>
    <row r="536" spans="1:15" s="38" customFormat="1" ht="14.45" customHeight="1" outlineLevel="1" x14ac:dyDescent="0.25">
      <c r="A536" s="140" t="s">
        <v>674</v>
      </c>
      <c r="B536" s="141" t="s">
        <v>675</v>
      </c>
      <c r="C536" s="130">
        <f>SUM(N536:N542)</f>
        <v>0</v>
      </c>
      <c r="D536" s="130">
        <f>SUM(O536:O542)</f>
        <v>0</v>
      </c>
      <c r="E536" s="130">
        <f t="shared" si="158"/>
        <v>0</v>
      </c>
      <c r="F536" s="130"/>
      <c r="G536" s="60" t="s">
        <v>125</v>
      </c>
      <c r="H536" s="123"/>
      <c r="I536" s="123"/>
      <c r="J536" s="60"/>
      <c r="K536" s="60"/>
      <c r="L536" s="60"/>
      <c r="M536" s="60"/>
      <c r="N536" s="60">
        <f>M536*J536*K536*L536</f>
        <v>0</v>
      </c>
      <c r="O536" s="60">
        <f>J536*K536*L536</f>
        <v>0</v>
      </c>
    </row>
    <row r="537" spans="1:15" s="38" customFormat="1" ht="11.45" customHeight="1" outlineLevel="1" x14ac:dyDescent="0.25">
      <c r="A537" s="124"/>
      <c r="B537" s="142"/>
      <c r="C537" s="115"/>
      <c r="D537" s="115"/>
      <c r="E537" s="115"/>
      <c r="F537" s="115"/>
      <c r="G537" s="60" t="s">
        <v>126</v>
      </c>
      <c r="H537" s="124"/>
      <c r="I537" s="124"/>
      <c r="J537" s="60"/>
      <c r="K537" s="60"/>
      <c r="L537" s="60"/>
      <c r="M537" s="60"/>
      <c r="N537" s="60">
        <f t="shared" ref="N537:N542" si="167">M537*J537*K537*L537</f>
        <v>0</v>
      </c>
      <c r="O537" s="60">
        <f t="shared" ref="O537:O542" si="168">J537*K537*L537</f>
        <v>0</v>
      </c>
    </row>
    <row r="538" spans="1:15" s="38" customFormat="1" ht="10.7" customHeight="1" outlineLevel="1" x14ac:dyDescent="0.25">
      <c r="A538" s="124"/>
      <c r="B538" s="142"/>
      <c r="C538" s="115"/>
      <c r="D538" s="115"/>
      <c r="E538" s="115"/>
      <c r="F538" s="115"/>
      <c r="G538" s="60" t="s">
        <v>127</v>
      </c>
      <c r="H538" s="124"/>
      <c r="I538" s="124"/>
      <c r="J538" s="60"/>
      <c r="K538" s="60"/>
      <c r="L538" s="60"/>
      <c r="M538" s="60"/>
      <c r="N538" s="60">
        <f t="shared" si="167"/>
        <v>0</v>
      </c>
      <c r="O538" s="60">
        <f t="shared" si="168"/>
        <v>0</v>
      </c>
    </row>
    <row r="539" spans="1:15" s="38" customFormat="1" ht="10.7" customHeight="1" outlineLevel="1" x14ac:dyDescent="0.25">
      <c r="A539" s="124"/>
      <c r="B539" s="142"/>
      <c r="C539" s="115"/>
      <c r="D539" s="115"/>
      <c r="E539" s="115"/>
      <c r="F539" s="115"/>
      <c r="G539" s="60" t="s">
        <v>128</v>
      </c>
      <c r="H539" s="124"/>
      <c r="I539" s="124"/>
      <c r="J539" s="60"/>
      <c r="K539" s="60"/>
      <c r="L539" s="60"/>
      <c r="M539" s="60"/>
      <c r="N539" s="60">
        <f t="shared" si="167"/>
        <v>0</v>
      </c>
      <c r="O539" s="60">
        <f t="shared" si="168"/>
        <v>0</v>
      </c>
    </row>
    <row r="540" spans="1:15" s="38" customFormat="1" ht="10.7" customHeight="1" outlineLevel="1" x14ac:dyDescent="0.25">
      <c r="A540" s="124"/>
      <c r="B540" s="142"/>
      <c r="C540" s="115"/>
      <c r="D540" s="115"/>
      <c r="E540" s="115"/>
      <c r="F540" s="115"/>
      <c r="G540" s="60" t="s">
        <v>129</v>
      </c>
      <c r="H540" s="124"/>
      <c r="I540" s="124"/>
      <c r="J540" s="60"/>
      <c r="K540" s="60"/>
      <c r="L540" s="60"/>
      <c r="M540" s="60"/>
      <c r="N540" s="60">
        <f t="shared" si="167"/>
        <v>0</v>
      </c>
      <c r="O540" s="60">
        <f t="shared" si="168"/>
        <v>0</v>
      </c>
    </row>
    <row r="541" spans="1:15" s="38" customFormat="1" ht="10.7" customHeight="1" outlineLevel="1" x14ac:dyDescent="0.25">
      <c r="A541" s="124"/>
      <c r="B541" s="142"/>
      <c r="C541" s="115"/>
      <c r="D541" s="115"/>
      <c r="E541" s="115"/>
      <c r="F541" s="115"/>
      <c r="G541" s="60" t="s">
        <v>130</v>
      </c>
      <c r="H541" s="124"/>
      <c r="I541" s="124"/>
      <c r="J541" s="60"/>
      <c r="K541" s="60"/>
      <c r="L541" s="60"/>
      <c r="M541" s="60"/>
      <c r="N541" s="60">
        <f t="shared" si="167"/>
        <v>0</v>
      </c>
      <c r="O541" s="60">
        <f t="shared" si="168"/>
        <v>0</v>
      </c>
    </row>
    <row r="542" spans="1:15" s="38" customFormat="1" ht="12" customHeight="1" outlineLevel="1" thickBot="1" x14ac:dyDescent="0.3">
      <c r="A542" s="125"/>
      <c r="B542" s="143"/>
      <c r="C542" s="131"/>
      <c r="D542" s="131"/>
      <c r="E542" s="131"/>
      <c r="F542" s="131"/>
      <c r="G542" s="60" t="s">
        <v>131</v>
      </c>
      <c r="H542" s="134"/>
      <c r="I542" s="134"/>
      <c r="J542" s="60"/>
      <c r="K542" s="60"/>
      <c r="L542" s="60"/>
      <c r="M542" s="60"/>
      <c r="N542" s="60">
        <f t="shared" si="167"/>
        <v>0</v>
      </c>
      <c r="O542" s="60">
        <f t="shared" si="168"/>
        <v>0</v>
      </c>
    </row>
    <row r="543" spans="1:15" s="38" customFormat="1" ht="14.45" customHeight="1" outlineLevel="1" x14ac:dyDescent="0.25">
      <c r="A543" s="140" t="s">
        <v>676</v>
      </c>
      <c r="B543" s="141" t="s">
        <v>677</v>
      </c>
      <c r="C543" s="130">
        <f>SUM(N543:N549)</f>
        <v>0</v>
      </c>
      <c r="D543" s="130">
        <f>SUM(O543:O549)</f>
        <v>0</v>
      </c>
      <c r="E543" s="130">
        <f t="shared" si="158"/>
        <v>0</v>
      </c>
      <c r="F543" s="130"/>
      <c r="G543" s="60" t="s">
        <v>125</v>
      </c>
      <c r="H543" s="123"/>
      <c r="I543" s="123"/>
      <c r="J543" s="60"/>
      <c r="K543" s="60"/>
      <c r="L543" s="60"/>
      <c r="M543" s="60"/>
      <c r="N543" s="60">
        <f>M543*J543*K543*L543</f>
        <v>0</v>
      </c>
      <c r="O543" s="60">
        <f>J543*K543*L543</f>
        <v>0</v>
      </c>
    </row>
    <row r="544" spans="1:15" s="38" customFormat="1" ht="11.45" customHeight="1" outlineLevel="1" x14ac:dyDescent="0.25">
      <c r="A544" s="124"/>
      <c r="B544" s="142"/>
      <c r="C544" s="115"/>
      <c r="D544" s="115"/>
      <c r="E544" s="115"/>
      <c r="F544" s="115"/>
      <c r="G544" s="60" t="s">
        <v>126</v>
      </c>
      <c r="H544" s="124"/>
      <c r="I544" s="124"/>
      <c r="J544" s="60"/>
      <c r="K544" s="60"/>
      <c r="L544" s="60"/>
      <c r="M544" s="60"/>
      <c r="N544" s="60">
        <f t="shared" ref="N544:N549" si="169">M544*J544*K544*L544</f>
        <v>0</v>
      </c>
      <c r="O544" s="60">
        <f t="shared" ref="O544:O549" si="170">J544*K544*L544</f>
        <v>0</v>
      </c>
    </row>
    <row r="545" spans="1:15" s="38" customFormat="1" ht="10.7" customHeight="1" outlineLevel="1" x14ac:dyDescent="0.25">
      <c r="A545" s="124"/>
      <c r="B545" s="142"/>
      <c r="C545" s="115"/>
      <c r="D545" s="115"/>
      <c r="E545" s="115"/>
      <c r="F545" s="115"/>
      <c r="G545" s="60" t="s">
        <v>127</v>
      </c>
      <c r="H545" s="124"/>
      <c r="I545" s="124"/>
      <c r="J545" s="60"/>
      <c r="K545" s="60"/>
      <c r="L545" s="60"/>
      <c r="M545" s="60"/>
      <c r="N545" s="60">
        <f t="shared" si="169"/>
        <v>0</v>
      </c>
      <c r="O545" s="60">
        <f t="shared" si="170"/>
        <v>0</v>
      </c>
    </row>
    <row r="546" spans="1:15" s="38" customFormat="1" ht="10.7" customHeight="1" outlineLevel="1" x14ac:dyDescent="0.25">
      <c r="A546" s="124"/>
      <c r="B546" s="142"/>
      <c r="C546" s="115"/>
      <c r="D546" s="115"/>
      <c r="E546" s="115"/>
      <c r="F546" s="115"/>
      <c r="G546" s="60" t="s">
        <v>128</v>
      </c>
      <c r="H546" s="124"/>
      <c r="I546" s="124"/>
      <c r="J546" s="60"/>
      <c r="K546" s="60"/>
      <c r="L546" s="60"/>
      <c r="M546" s="60"/>
      <c r="N546" s="60">
        <f t="shared" si="169"/>
        <v>0</v>
      </c>
      <c r="O546" s="60">
        <f t="shared" si="170"/>
        <v>0</v>
      </c>
    </row>
    <row r="547" spans="1:15" s="38" customFormat="1" ht="10.7" customHeight="1" outlineLevel="1" x14ac:dyDescent="0.25">
      <c r="A547" s="124"/>
      <c r="B547" s="142"/>
      <c r="C547" s="115"/>
      <c r="D547" s="115"/>
      <c r="E547" s="115"/>
      <c r="F547" s="115"/>
      <c r="G547" s="60" t="s">
        <v>129</v>
      </c>
      <c r="H547" s="124"/>
      <c r="I547" s="124"/>
      <c r="J547" s="60"/>
      <c r="K547" s="60"/>
      <c r="L547" s="60"/>
      <c r="M547" s="60"/>
      <c r="N547" s="60">
        <f t="shared" si="169"/>
        <v>0</v>
      </c>
      <c r="O547" s="60">
        <f t="shared" si="170"/>
        <v>0</v>
      </c>
    </row>
    <row r="548" spans="1:15" s="38" customFormat="1" ht="10.7" customHeight="1" outlineLevel="1" x14ac:dyDescent="0.25">
      <c r="A548" s="124"/>
      <c r="B548" s="142"/>
      <c r="C548" s="115"/>
      <c r="D548" s="115"/>
      <c r="E548" s="115"/>
      <c r="F548" s="115"/>
      <c r="G548" s="60" t="s">
        <v>130</v>
      </c>
      <c r="H548" s="124"/>
      <c r="I548" s="124"/>
      <c r="J548" s="60"/>
      <c r="K548" s="60"/>
      <c r="L548" s="60"/>
      <c r="M548" s="60"/>
      <c r="N548" s="60">
        <f t="shared" si="169"/>
        <v>0</v>
      </c>
      <c r="O548" s="60">
        <f t="shared" si="170"/>
        <v>0</v>
      </c>
    </row>
    <row r="549" spans="1:15" s="38" customFormat="1" ht="12" customHeight="1" outlineLevel="1" thickBot="1" x14ac:dyDescent="0.3">
      <c r="A549" s="125"/>
      <c r="B549" s="143"/>
      <c r="C549" s="131"/>
      <c r="D549" s="131"/>
      <c r="E549" s="131"/>
      <c r="F549" s="131"/>
      <c r="G549" s="60" t="s">
        <v>131</v>
      </c>
      <c r="H549" s="134"/>
      <c r="I549" s="134"/>
      <c r="J549" s="60"/>
      <c r="K549" s="60"/>
      <c r="L549" s="60"/>
      <c r="M549" s="60"/>
      <c r="N549" s="60">
        <f t="shared" si="169"/>
        <v>0</v>
      </c>
      <c r="O549" s="60">
        <f t="shared" si="170"/>
        <v>0</v>
      </c>
    </row>
    <row r="550" spans="1:15" s="38" customFormat="1" ht="14.45" customHeight="1" outlineLevel="1" x14ac:dyDescent="0.25">
      <c r="A550" s="140" t="s">
        <v>678</v>
      </c>
      <c r="B550" s="141" t="s">
        <v>679</v>
      </c>
      <c r="C550" s="130">
        <f>SUM(N550:N556)</f>
        <v>0</v>
      </c>
      <c r="D550" s="130">
        <f>SUM(O550:O556)</f>
        <v>0</v>
      </c>
      <c r="E550" s="130">
        <f t="shared" si="158"/>
        <v>0</v>
      </c>
      <c r="F550" s="130"/>
      <c r="G550" s="60" t="s">
        <v>125</v>
      </c>
      <c r="H550" s="123"/>
      <c r="I550" s="123"/>
      <c r="J550" s="60"/>
      <c r="K550" s="60"/>
      <c r="L550" s="60"/>
      <c r="M550" s="60"/>
      <c r="N550" s="60">
        <f>M550*J550*K550*L550</f>
        <v>0</v>
      </c>
      <c r="O550" s="60">
        <f>J550*K550*L550</f>
        <v>0</v>
      </c>
    </row>
    <row r="551" spans="1:15" s="38" customFormat="1" ht="11.45" customHeight="1" outlineLevel="1" x14ac:dyDescent="0.25">
      <c r="A551" s="124"/>
      <c r="B551" s="142"/>
      <c r="C551" s="115"/>
      <c r="D551" s="115"/>
      <c r="E551" s="115"/>
      <c r="F551" s="115"/>
      <c r="G551" s="60" t="s">
        <v>126</v>
      </c>
      <c r="H551" s="124"/>
      <c r="I551" s="124"/>
      <c r="J551" s="60"/>
      <c r="K551" s="60"/>
      <c r="L551" s="60"/>
      <c r="M551" s="60"/>
      <c r="N551" s="60">
        <f t="shared" ref="N551:N556" si="171">M551*J551*K551*L551</f>
        <v>0</v>
      </c>
      <c r="O551" s="60">
        <f t="shared" ref="O551:O556" si="172">J551*K551*L551</f>
        <v>0</v>
      </c>
    </row>
    <row r="552" spans="1:15" s="38" customFormat="1" ht="10.7" customHeight="1" outlineLevel="1" x14ac:dyDescent="0.25">
      <c r="A552" s="124"/>
      <c r="B552" s="142"/>
      <c r="C552" s="115"/>
      <c r="D552" s="115"/>
      <c r="E552" s="115"/>
      <c r="F552" s="115"/>
      <c r="G552" s="60" t="s">
        <v>127</v>
      </c>
      <c r="H552" s="124"/>
      <c r="I552" s="124"/>
      <c r="J552" s="60"/>
      <c r="K552" s="60"/>
      <c r="L552" s="60"/>
      <c r="M552" s="60"/>
      <c r="N552" s="60">
        <f t="shared" si="171"/>
        <v>0</v>
      </c>
      <c r="O552" s="60">
        <f t="shared" si="172"/>
        <v>0</v>
      </c>
    </row>
    <row r="553" spans="1:15" s="38" customFormat="1" ht="10.7" customHeight="1" outlineLevel="1" x14ac:dyDescent="0.25">
      <c r="A553" s="124"/>
      <c r="B553" s="142"/>
      <c r="C553" s="115"/>
      <c r="D553" s="115"/>
      <c r="E553" s="115"/>
      <c r="F553" s="115"/>
      <c r="G553" s="60" t="s">
        <v>128</v>
      </c>
      <c r="H553" s="124"/>
      <c r="I553" s="124"/>
      <c r="J553" s="60"/>
      <c r="K553" s="60"/>
      <c r="L553" s="60"/>
      <c r="M553" s="60"/>
      <c r="N553" s="60">
        <f t="shared" si="171"/>
        <v>0</v>
      </c>
      <c r="O553" s="60">
        <f t="shared" si="172"/>
        <v>0</v>
      </c>
    </row>
    <row r="554" spans="1:15" s="38" customFormat="1" ht="10.7" customHeight="1" outlineLevel="1" x14ac:dyDescent="0.25">
      <c r="A554" s="124"/>
      <c r="B554" s="142"/>
      <c r="C554" s="115"/>
      <c r="D554" s="115"/>
      <c r="E554" s="115"/>
      <c r="F554" s="115"/>
      <c r="G554" s="60" t="s">
        <v>129</v>
      </c>
      <c r="H554" s="124"/>
      <c r="I554" s="124"/>
      <c r="J554" s="60"/>
      <c r="K554" s="60"/>
      <c r="L554" s="60"/>
      <c r="M554" s="60"/>
      <c r="N554" s="60">
        <f t="shared" si="171"/>
        <v>0</v>
      </c>
      <c r="O554" s="60">
        <f t="shared" si="172"/>
        <v>0</v>
      </c>
    </row>
    <row r="555" spans="1:15" s="38" customFormat="1" ht="10.7" customHeight="1" outlineLevel="1" x14ac:dyDescent="0.25">
      <c r="A555" s="124"/>
      <c r="B555" s="142"/>
      <c r="C555" s="115"/>
      <c r="D555" s="115"/>
      <c r="E555" s="115"/>
      <c r="F555" s="115"/>
      <c r="G555" s="60" t="s">
        <v>130</v>
      </c>
      <c r="H555" s="124"/>
      <c r="I555" s="124"/>
      <c r="J555" s="60"/>
      <c r="K555" s="60"/>
      <c r="L555" s="60"/>
      <c r="M555" s="60"/>
      <c r="N555" s="60">
        <f t="shared" si="171"/>
        <v>0</v>
      </c>
      <c r="O555" s="60">
        <f t="shared" si="172"/>
        <v>0</v>
      </c>
    </row>
    <row r="556" spans="1:15" s="38" customFormat="1" ht="12" customHeight="1" outlineLevel="1" thickBot="1" x14ac:dyDescent="0.3">
      <c r="A556" s="125"/>
      <c r="B556" s="143"/>
      <c r="C556" s="131"/>
      <c r="D556" s="131"/>
      <c r="E556" s="131"/>
      <c r="F556" s="131"/>
      <c r="G556" s="60" t="s">
        <v>131</v>
      </c>
      <c r="H556" s="134"/>
      <c r="I556" s="134"/>
      <c r="J556" s="60"/>
      <c r="K556" s="60"/>
      <c r="L556" s="60"/>
      <c r="M556" s="60"/>
      <c r="N556" s="60">
        <f t="shared" si="171"/>
        <v>0</v>
      </c>
      <c r="O556" s="60">
        <f t="shared" si="172"/>
        <v>0</v>
      </c>
    </row>
    <row r="557" spans="1:15" s="38" customFormat="1" ht="14.45" customHeight="1" outlineLevel="1" x14ac:dyDescent="0.25">
      <c r="A557" s="140" t="s">
        <v>680</v>
      </c>
      <c r="B557" s="141" t="s">
        <v>681</v>
      </c>
      <c r="C557" s="130">
        <f>SUM(N557:N563)</f>
        <v>0</v>
      </c>
      <c r="D557" s="130">
        <f>SUM(O557:O563)</f>
        <v>0</v>
      </c>
      <c r="E557" s="130">
        <f t="shared" si="158"/>
        <v>0</v>
      </c>
      <c r="F557" s="130"/>
      <c r="G557" s="60" t="s">
        <v>125</v>
      </c>
      <c r="H557" s="123"/>
      <c r="I557" s="123"/>
      <c r="J557" s="60"/>
      <c r="K557" s="60"/>
      <c r="L557" s="60"/>
      <c r="M557" s="60"/>
      <c r="N557" s="60">
        <f>M557*J557*K557*L557</f>
        <v>0</v>
      </c>
      <c r="O557" s="60">
        <f>J557*K557*L557</f>
        <v>0</v>
      </c>
    </row>
    <row r="558" spans="1:15" s="38" customFormat="1" ht="11.45" customHeight="1" outlineLevel="1" x14ac:dyDescent="0.25">
      <c r="A558" s="124"/>
      <c r="B558" s="142"/>
      <c r="C558" s="115"/>
      <c r="D558" s="115"/>
      <c r="E558" s="115"/>
      <c r="F558" s="115"/>
      <c r="G558" s="60" t="s">
        <v>126</v>
      </c>
      <c r="H558" s="124"/>
      <c r="I558" s="124"/>
      <c r="J558" s="60"/>
      <c r="K558" s="60"/>
      <c r="L558" s="60"/>
      <c r="M558" s="60"/>
      <c r="N558" s="60">
        <f t="shared" ref="N558:N563" si="173">M558*J558*K558*L558</f>
        <v>0</v>
      </c>
      <c r="O558" s="60">
        <f t="shared" ref="O558:O563" si="174">J558*K558*L558</f>
        <v>0</v>
      </c>
    </row>
    <row r="559" spans="1:15" s="38" customFormat="1" ht="10.7" customHeight="1" outlineLevel="1" x14ac:dyDescent="0.25">
      <c r="A559" s="124"/>
      <c r="B559" s="142"/>
      <c r="C559" s="115"/>
      <c r="D559" s="115"/>
      <c r="E559" s="115"/>
      <c r="F559" s="115"/>
      <c r="G559" s="60" t="s">
        <v>127</v>
      </c>
      <c r="H559" s="124"/>
      <c r="I559" s="124"/>
      <c r="J559" s="60"/>
      <c r="K559" s="60"/>
      <c r="L559" s="60"/>
      <c r="M559" s="60"/>
      <c r="N559" s="60">
        <f t="shared" si="173"/>
        <v>0</v>
      </c>
      <c r="O559" s="60">
        <f t="shared" si="174"/>
        <v>0</v>
      </c>
    </row>
    <row r="560" spans="1:15" s="38" customFormat="1" ht="10.7" customHeight="1" outlineLevel="1" x14ac:dyDescent="0.25">
      <c r="A560" s="124"/>
      <c r="B560" s="142"/>
      <c r="C560" s="115"/>
      <c r="D560" s="115"/>
      <c r="E560" s="115"/>
      <c r="F560" s="115"/>
      <c r="G560" s="60" t="s">
        <v>128</v>
      </c>
      <c r="H560" s="124"/>
      <c r="I560" s="124"/>
      <c r="J560" s="60"/>
      <c r="K560" s="60"/>
      <c r="L560" s="60"/>
      <c r="M560" s="60"/>
      <c r="N560" s="60">
        <f t="shared" si="173"/>
        <v>0</v>
      </c>
      <c r="O560" s="60">
        <f t="shared" si="174"/>
        <v>0</v>
      </c>
    </row>
    <row r="561" spans="1:15" s="38" customFormat="1" ht="10.7" customHeight="1" outlineLevel="1" x14ac:dyDescent="0.25">
      <c r="A561" s="124"/>
      <c r="B561" s="142"/>
      <c r="C561" s="115"/>
      <c r="D561" s="115"/>
      <c r="E561" s="115"/>
      <c r="F561" s="115"/>
      <c r="G561" s="60" t="s">
        <v>129</v>
      </c>
      <c r="H561" s="124"/>
      <c r="I561" s="124"/>
      <c r="J561" s="60"/>
      <c r="K561" s="60"/>
      <c r="L561" s="60"/>
      <c r="M561" s="60"/>
      <c r="N561" s="60">
        <f t="shared" si="173"/>
        <v>0</v>
      </c>
      <c r="O561" s="60">
        <f t="shared" si="174"/>
        <v>0</v>
      </c>
    </row>
    <row r="562" spans="1:15" s="38" customFormat="1" ht="10.7" customHeight="1" outlineLevel="1" x14ac:dyDescent="0.25">
      <c r="A562" s="124"/>
      <c r="B562" s="142"/>
      <c r="C562" s="115"/>
      <c r="D562" s="115"/>
      <c r="E562" s="115"/>
      <c r="F562" s="115"/>
      <c r="G562" s="60" t="s">
        <v>130</v>
      </c>
      <c r="H562" s="124"/>
      <c r="I562" s="124"/>
      <c r="J562" s="60"/>
      <c r="K562" s="60"/>
      <c r="L562" s="60"/>
      <c r="M562" s="60"/>
      <c r="N562" s="60">
        <f t="shared" si="173"/>
        <v>0</v>
      </c>
      <c r="O562" s="60">
        <f t="shared" si="174"/>
        <v>0</v>
      </c>
    </row>
    <row r="563" spans="1:15" s="38" customFormat="1" ht="12" customHeight="1" outlineLevel="1" thickBot="1" x14ac:dyDescent="0.3">
      <c r="A563" s="125"/>
      <c r="B563" s="143"/>
      <c r="C563" s="131"/>
      <c r="D563" s="131"/>
      <c r="E563" s="131"/>
      <c r="F563" s="131"/>
      <c r="G563" s="60" t="s">
        <v>131</v>
      </c>
      <c r="H563" s="134"/>
      <c r="I563" s="134"/>
      <c r="J563" s="60"/>
      <c r="K563" s="60"/>
      <c r="L563" s="60"/>
      <c r="M563" s="60"/>
      <c r="N563" s="60">
        <f t="shared" si="173"/>
        <v>0</v>
      </c>
      <c r="O563" s="60">
        <f t="shared" si="174"/>
        <v>0</v>
      </c>
    </row>
    <row r="564" spans="1:15" s="38" customFormat="1" ht="14.45" customHeight="1" outlineLevel="1" x14ac:dyDescent="0.25">
      <c r="A564" s="140" t="s">
        <v>682</v>
      </c>
      <c r="B564" s="141" t="s">
        <v>683</v>
      </c>
      <c r="C564" s="130">
        <f>SUM(N564:N570)</f>
        <v>0</v>
      </c>
      <c r="D564" s="130">
        <f>SUM(O564:O570)</f>
        <v>0</v>
      </c>
      <c r="E564" s="130">
        <f t="shared" si="158"/>
        <v>0</v>
      </c>
      <c r="F564" s="130"/>
      <c r="G564" s="60" t="s">
        <v>125</v>
      </c>
      <c r="H564" s="123"/>
      <c r="I564" s="123"/>
      <c r="J564" s="60"/>
      <c r="K564" s="60"/>
      <c r="L564" s="60"/>
      <c r="M564" s="60"/>
      <c r="N564" s="60">
        <f>M564*J564*K564*L564</f>
        <v>0</v>
      </c>
      <c r="O564" s="60">
        <f>J564*K564*L564</f>
        <v>0</v>
      </c>
    </row>
    <row r="565" spans="1:15" s="38" customFormat="1" ht="11.45" customHeight="1" outlineLevel="1" x14ac:dyDescent="0.25">
      <c r="A565" s="124"/>
      <c r="B565" s="142"/>
      <c r="C565" s="115"/>
      <c r="D565" s="115"/>
      <c r="E565" s="115"/>
      <c r="F565" s="115"/>
      <c r="G565" s="60" t="s">
        <v>126</v>
      </c>
      <c r="H565" s="124"/>
      <c r="I565" s="124"/>
      <c r="J565" s="60"/>
      <c r="K565" s="60"/>
      <c r="L565" s="60"/>
      <c r="M565" s="60"/>
      <c r="N565" s="60">
        <f t="shared" ref="N565:N570" si="175">M565*J565*K565*L565</f>
        <v>0</v>
      </c>
      <c r="O565" s="60">
        <f t="shared" ref="O565:O570" si="176">J565*K565*L565</f>
        <v>0</v>
      </c>
    </row>
    <row r="566" spans="1:15" s="38" customFormat="1" ht="10.7" customHeight="1" outlineLevel="1" x14ac:dyDescent="0.25">
      <c r="A566" s="124"/>
      <c r="B566" s="142"/>
      <c r="C566" s="115"/>
      <c r="D566" s="115"/>
      <c r="E566" s="115"/>
      <c r="F566" s="115"/>
      <c r="G566" s="60" t="s">
        <v>127</v>
      </c>
      <c r="H566" s="124"/>
      <c r="I566" s="124"/>
      <c r="J566" s="60"/>
      <c r="K566" s="60"/>
      <c r="L566" s="60"/>
      <c r="M566" s="60"/>
      <c r="N566" s="60">
        <f t="shared" si="175"/>
        <v>0</v>
      </c>
      <c r="O566" s="60">
        <f t="shared" si="176"/>
        <v>0</v>
      </c>
    </row>
    <row r="567" spans="1:15" s="38" customFormat="1" ht="10.7" customHeight="1" outlineLevel="1" x14ac:dyDescent="0.25">
      <c r="A567" s="124"/>
      <c r="B567" s="142"/>
      <c r="C567" s="115"/>
      <c r="D567" s="115"/>
      <c r="E567" s="115"/>
      <c r="F567" s="115"/>
      <c r="G567" s="60" t="s">
        <v>128</v>
      </c>
      <c r="H567" s="124"/>
      <c r="I567" s="124"/>
      <c r="J567" s="60"/>
      <c r="K567" s="60"/>
      <c r="L567" s="60"/>
      <c r="M567" s="60"/>
      <c r="N567" s="60">
        <f t="shared" si="175"/>
        <v>0</v>
      </c>
      <c r="O567" s="60">
        <f t="shared" si="176"/>
        <v>0</v>
      </c>
    </row>
    <row r="568" spans="1:15" s="38" customFormat="1" ht="10.7" customHeight="1" outlineLevel="1" x14ac:dyDescent="0.25">
      <c r="A568" s="124"/>
      <c r="B568" s="142"/>
      <c r="C568" s="115"/>
      <c r="D568" s="115"/>
      <c r="E568" s="115"/>
      <c r="F568" s="115"/>
      <c r="G568" s="60" t="s">
        <v>129</v>
      </c>
      <c r="H568" s="124"/>
      <c r="I568" s="124"/>
      <c r="J568" s="60"/>
      <c r="K568" s="60"/>
      <c r="L568" s="60"/>
      <c r="M568" s="60"/>
      <c r="N568" s="60">
        <f t="shared" si="175"/>
        <v>0</v>
      </c>
      <c r="O568" s="60">
        <f t="shared" si="176"/>
        <v>0</v>
      </c>
    </row>
    <row r="569" spans="1:15" s="38" customFormat="1" ht="10.7" customHeight="1" outlineLevel="1" x14ac:dyDescent="0.25">
      <c r="A569" s="124"/>
      <c r="B569" s="142"/>
      <c r="C569" s="115"/>
      <c r="D569" s="115"/>
      <c r="E569" s="115"/>
      <c r="F569" s="115"/>
      <c r="G569" s="60" t="s">
        <v>130</v>
      </c>
      <c r="H569" s="124"/>
      <c r="I569" s="124"/>
      <c r="J569" s="60"/>
      <c r="K569" s="60"/>
      <c r="L569" s="60"/>
      <c r="M569" s="60"/>
      <c r="N569" s="60">
        <f t="shared" si="175"/>
        <v>0</v>
      </c>
      <c r="O569" s="60">
        <f t="shared" si="176"/>
        <v>0</v>
      </c>
    </row>
    <row r="570" spans="1:15" s="38" customFormat="1" ht="12" customHeight="1" outlineLevel="1" thickBot="1" x14ac:dyDescent="0.3">
      <c r="A570" s="125"/>
      <c r="B570" s="143"/>
      <c r="C570" s="131"/>
      <c r="D570" s="131"/>
      <c r="E570" s="131"/>
      <c r="F570" s="131"/>
      <c r="G570" s="60" t="s">
        <v>131</v>
      </c>
      <c r="H570" s="134"/>
      <c r="I570" s="134"/>
      <c r="J570" s="60"/>
      <c r="K570" s="60"/>
      <c r="L570" s="60"/>
      <c r="M570" s="60"/>
      <c r="N570" s="60">
        <f t="shared" si="175"/>
        <v>0</v>
      </c>
      <c r="O570" s="60">
        <f t="shared" si="176"/>
        <v>0</v>
      </c>
    </row>
    <row r="571" spans="1:15" s="38" customFormat="1" ht="14.45" customHeight="1" outlineLevel="1" x14ac:dyDescent="0.25">
      <c r="A571" s="140" t="s">
        <v>684</v>
      </c>
      <c r="B571" s="141" t="s">
        <v>685</v>
      </c>
      <c r="C571" s="130">
        <f>SUM(N571:N577)</f>
        <v>0</v>
      </c>
      <c r="D571" s="130">
        <f>SUM(O571:O577)</f>
        <v>0</v>
      </c>
      <c r="E571" s="130">
        <f t="shared" si="158"/>
        <v>0</v>
      </c>
      <c r="F571" s="130"/>
      <c r="G571" s="60" t="s">
        <v>125</v>
      </c>
      <c r="H571" s="123"/>
      <c r="I571" s="123"/>
      <c r="J571" s="60"/>
      <c r="K571" s="60"/>
      <c r="L571" s="60"/>
      <c r="M571" s="60"/>
      <c r="N571" s="60">
        <f>M571*J571*K571*L571</f>
        <v>0</v>
      </c>
      <c r="O571" s="60">
        <f>J571*K571*L571</f>
        <v>0</v>
      </c>
    </row>
    <row r="572" spans="1:15" s="38" customFormat="1" ht="11.45" customHeight="1" outlineLevel="1" x14ac:dyDescent="0.25">
      <c r="A572" s="124"/>
      <c r="B572" s="142"/>
      <c r="C572" s="115"/>
      <c r="D572" s="115"/>
      <c r="E572" s="115"/>
      <c r="F572" s="115"/>
      <c r="G572" s="60" t="s">
        <v>126</v>
      </c>
      <c r="H572" s="124"/>
      <c r="I572" s="124"/>
      <c r="J572" s="60"/>
      <c r="K572" s="60"/>
      <c r="L572" s="60"/>
      <c r="M572" s="60"/>
      <c r="N572" s="60">
        <f t="shared" ref="N572:N577" si="177">M572*J572*K572*L572</f>
        <v>0</v>
      </c>
      <c r="O572" s="60">
        <f t="shared" ref="O572:O577" si="178">J572*K572*L572</f>
        <v>0</v>
      </c>
    </row>
    <row r="573" spans="1:15" s="38" customFormat="1" ht="10.7" customHeight="1" outlineLevel="1" x14ac:dyDescent="0.25">
      <c r="A573" s="124"/>
      <c r="B573" s="142"/>
      <c r="C573" s="115"/>
      <c r="D573" s="115"/>
      <c r="E573" s="115"/>
      <c r="F573" s="115"/>
      <c r="G573" s="60" t="s">
        <v>127</v>
      </c>
      <c r="H573" s="124"/>
      <c r="I573" s="124"/>
      <c r="J573" s="60"/>
      <c r="K573" s="60"/>
      <c r="L573" s="60"/>
      <c r="M573" s="60"/>
      <c r="N573" s="60">
        <f t="shared" si="177"/>
        <v>0</v>
      </c>
      <c r="O573" s="60">
        <f t="shared" si="178"/>
        <v>0</v>
      </c>
    </row>
    <row r="574" spans="1:15" s="38" customFormat="1" ht="10.7" customHeight="1" outlineLevel="1" x14ac:dyDescent="0.25">
      <c r="A574" s="124"/>
      <c r="B574" s="142"/>
      <c r="C574" s="115"/>
      <c r="D574" s="115"/>
      <c r="E574" s="115"/>
      <c r="F574" s="115"/>
      <c r="G574" s="60" t="s">
        <v>128</v>
      </c>
      <c r="H574" s="124"/>
      <c r="I574" s="124"/>
      <c r="J574" s="60"/>
      <c r="K574" s="60"/>
      <c r="L574" s="60"/>
      <c r="M574" s="60"/>
      <c r="N574" s="60">
        <f t="shared" si="177"/>
        <v>0</v>
      </c>
      <c r="O574" s="60">
        <f t="shared" si="178"/>
        <v>0</v>
      </c>
    </row>
    <row r="575" spans="1:15" s="38" customFormat="1" ht="10.7" customHeight="1" outlineLevel="1" x14ac:dyDescent="0.25">
      <c r="A575" s="124"/>
      <c r="B575" s="142"/>
      <c r="C575" s="115"/>
      <c r="D575" s="115"/>
      <c r="E575" s="115"/>
      <c r="F575" s="115"/>
      <c r="G575" s="60" t="s">
        <v>129</v>
      </c>
      <c r="H575" s="124"/>
      <c r="I575" s="124"/>
      <c r="J575" s="60"/>
      <c r="K575" s="60"/>
      <c r="L575" s="60"/>
      <c r="M575" s="60"/>
      <c r="N575" s="60">
        <f t="shared" si="177"/>
        <v>0</v>
      </c>
      <c r="O575" s="60">
        <f t="shared" si="178"/>
        <v>0</v>
      </c>
    </row>
    <row r="576" spans="1:15" s="38" customFormat="1" ht="10.7" customHeight="1" outlineLevel="1" x14ac:dyDescent="0.25">
      <c r="A576" s="124"/>
      <c r="B576" s="142"/>
      <c r="C576" s="115"/>
      <c r="D576" s="115"/>
      <c r="E576" s="115"/>
      <c r="F576" s="115"/>
      <c r="G576" s="60" t="s">
        <v>130</v>
      </c>
      <c r="H576" s="124"/>
      <c r="I576" s="124"/>
      <c r="J576" s="60"/>
      <c r="K576" s="60"/>
      <c r="L576" s="60"/>
      <c r="M576" s="60"/>
      <c r="N576" s="60">
        <f t="shared" si="177"/>
        <v>0</v>
      </c>
      <c r="O576" s="60">
        <f t="shared" si="178"/>
        <v>0</v>
      </c>
    </row>
    <row r="577" spans="1:15" s="38" customFormat="1" ht="12" customHeight="1" outlineLevel="1" thickBot="1" x14ac:dyDescent="0.3">
      <c r="A577" s="125"/>
      <c r="B577" s="143"/>
      <c r="C577" s="131"/>
      <c r="D577" s="131"/>
      <c r="E577" s="131"/>
      <c r="F577" s="131"/>
      <c r="G577" s="60" t="s">
        <v>131</v>
      </c>
      <c r="H577" s="134"/>
      <c r="I577" s="134"/>
      <c r="J577" s="60"/>
      <c r="K577" s="60"/>
      <c r="L577" s="60"/>
      <c r="M577" s="60"/>
      <c r="N577" s="60">
        <f t="shared" si="177"/>
        <v>0</v>
      </c>
      <c r="O577" s="60">
        <f t="shared" si="178"/>
        <v>0</v>
      </c>
    </row>
    <row r="578" spans="1:15" s="38" customFormat="1" ht="14.45" customHeight="1" outlineLevel="1" x14ac:dyDescent="0.25">
      <c r="A578" s="140" t="s">
        <v>686</v>
      </c>
      <c r="B578" s="141" t="s">
        <v>687</v>
      </c>
      <c r="C578" s="130">
        <f>SUM(N578:N584)</f>
        <v>0</v>
      </c>
      <c r="D578" s="130">
        <f>SUM(O578:O584)</f>
        <v>0</v>
      </c>
      <c r="E578" s="130">
        <f t="shared" ref="E578:E641" si="179">D578/8</f>
        <v>0</v>
      </c>
      <c r="F578" s="130"/>
      <c r="G578" s="60" t="s">
        <v>125</v>
      </c>
      <c r="H578" s="123"/>
      <c r="I578" s="123"/>
      <c r="J578" s="60"/>
      <c r="K578" s="60"/>
      <c r="L578" s="60"/>
      <c r="M578" s="60"/>
      <c r="N578" s="60">
        <f>M578*J578*K578*L578</f>
        <v>0</v>
      </c>
      <c r="O578" s="60">
        <f>J578*K578*L578</f>
        <v>0</v>
      </c>
    </row>
    <row r="579" spans="1:15" s="38" customFormat="1" ht="11.45" customHeight="1" outlineLevel="1" x14ac:dyDescent="0.25">
      <c r="A579" s="124"/>
      <c r="B579" s="142"/>
      <c r="C579" s="115"/>
      <c r="D579" s="115"/>
      <c r="E579" s="115"/>
      <c r="F579" s="115"/>
      <c r="G579" s="60" t="s">
        <v>126</v>
      </c>
      <c r="H579" s="124"/>
      <c r="I579" s="124"/>
      <c r="J579" s="60"/>
      <c r="K579" s="60"/>
      <c r="L579" s="60"/>
      <c r="M579" s="60"/>
      <c r="N579" s="60">
        <f t="shared" ref="N579:N584" si="180">M579*J579*K579*L579</f>
        <v>0</v>
      </c>
      <c r="O579" s="60">
        <f t="shared" ref="O579:O584" si="181">J579*K579*L579</f>
        <v>0</v>
      </c>
    </row>
    <row r="580" spans="1:15" s="38" customFormat="1" ht="10.7" customHeight="1" outlineLevel="1" x14ac:dyDescent="0.25">
      <c r="A580" s="124"/>
      <c r="B580" s="142"/>
      <c r="C580" s="115"/>
      <c r="D580" s="115"/>
      <c r="E580" s="115"/>
      <c r="F580" s="115"/>
      <c r="G580" s="60" t="s">
        <v>127</v>
      </c>
      <c r="H580" s="124"/>
      <c r="I580" s="124"/>
      <c r="J580" s="60"/>
      <c r="K580" s="60"/>
      <c r="L580" s="60"/>
      <c r="M580" s="60"/>
      <c r="N580" s="60">
        <f t="shared" si="180"/>
        <v>0</v>
      </c>
      <c r="O580" s="60">
        <f t="shared" si="181"/>
        <v>0</v>
      </c>
    </row>
    <row r="581" spans="1:15" s="38" customFormat="1" ht="10.7" customHeight="1" outlineLevel="1" x14ac:dyDescent="0.25">
      <c r="A581" s="124"/>
      <c r="B581" s="142"/>
      <c r="C581" s="115"/>
      <c r="D581" s="115"/>
      <c r="E581" s="115"/>
      <c r="F581" s="115"/>
      <c r="G581" s="60" t="s">
        <v>128</v>
      </c>
      <c r="H581" s="124"/>
      <c r="I581" s="124"/>
      <c r="J581" s="60"/>
      <c r="K581" s="60"/>
      <c r="L581" s="60"/>
      <c r="M581" s="60"/>
      <c r="N581" s="60">
        <f t="shared" si="180"/>
        <v>0</v>
      </c>
      <c r="O581" s="60">
        <f t="shared" si="181"/>
        <v>0</v>
      </c>
    </row>
    <row r="582" spans="1:15" s="38" customFormat="1" ht="10.7" customHeight="1" outlineLevel="1" x14ac:dyDescent="0.25">
      <c r="A582" s="124"/>
      <c r="B582" s="142"/>
      <c r="C582" s="115"/>
      <c r="D582" s="115"/>
      <c r="E582" s="115"/>
      <c r="F582" s="115"/>
      <c r="G582" s="60" t="s">
        <v>129</v>
      </c>
      <c r="H582" s="124"/>
      <c r="I582" s="124"/>
      <c r="J582" s="60"/>
      <c r="K582" s="60"/>
      <c r="L582" s="60"/>
      <c r="M582" s="60"/>
      <c r="N582" s="60">
        <f t="shared" si="180"/>
        <v>0</v>
      </c>
      <c r="O582" s="60">
        <f t="shared" si="181"/>
        <v>0</v>
      </c>
    </row>
    <row r="583" spans="1:15" s="38" customFormat="1" ht="10.7" customHeight="1" outlineLevel="1" x14ac:dyDescent="0.25">
      <c r="A583" s="124"/>
      <c r="B583" s="142"/>
      <c r="C583" s="115"/>
      <c r="D583" s="115"/>
      <c r="E583" s="115"/>
      <c r="F583" s="115"/>
      <c r="G583" s="60" t="s">
        <v>130</v>
      </c>
      <c r="H583" s="124"/>
      <c r="I583" s="124"/>
      <c r="J583" s="60"/>
      <c r="K583" s="60"/>
      <c r="L583" s="60"/>
      <c r="M583" s="60"/>
      <c r="N583" s="60">
        <f t="shared" si="180"/>
        <v>0</v>
      </c>
      <c r="O583" s="60">
        <f t="shared" si="181"/>
        <v>0</v>
      </c>
    </row>
    <row r="584" spans="1:15" s="38" customFormat="1" ht="12" customHeight="1" outlineLevel="1" thickBot="1" x14ac:dyDescent="0.3">
      <c r="A584" s="125"/>
      <c r="B584" s="143"/>
      <c r="C584" s="131"/>
      <c r="D584" s="131"/>
      <c r="E584" s="131"/>
      <c r="F584" s="131"/>
      <c r="G584" s="60" t="s">
        <v>131</v>
      </c>
      <c r="H584" s="134"/>
      <c r="I584" s="134"/>
      <c r="J584" s="60"/>
      <c r="K584" s="60"/>
      <c r="L584" s="60"/>
      <c r="M584" s="60"/>
      <c r="N584" s="60">
        <f t="shared" si="180"/>
        <v>0</v>
      </c>
      <c r="O584" s="60">
        <f t="shared" si="181"/>
        <v>0</v>
      </c>
    </row>
    <row r="585" spans="1:15" s="38" customFormat="1" ht="14.45" customHeight="1" outlineLevel="1" x14ac:dyDescent="0.25">
      <c r="A585" s="140" t="s">
        <v>688</v>
      </c>
      <c r="B585" s="141" t="s">
        <v>689</v>
      </c>
      <c r="C585" s="130">
        <f>SUM(N585:N591)</f>
        <v>0</v>
      </c>
      <c r="D585" s="130">
        <f>SUM(O585:O591)</f>
        <v>0</v>
      </c>
      <c r="E585" s="130">
        <f t="shared" si="179"/>
        <v>0</v>
      </c>
      <c r="F585" s="130"/>
      <c r="G585" s="60" t="s">
        <v>125</v>
      </c>
      <c r="H585" s="123"/>
      <c r="I585" s="123"/>
      <c r="J585" s="60"/>
      <c r="K585" s="60"/>
      <c r="L585" s="60"/>
      <c r="M585" s="60"/>
      <c r="N585" s="60">
        <f>M585*J585*K585*L585</f>
        <v>0</v>
      </c>
      <c r="O585" s="60">
        <f>J585*K585*L585</f>
        <v>0</v>
      </c>
    </row>
    <row r="586" spans="1:15" s="38" customFormat="1" ht="11.45" customHeight="1" outlineLevel="1" x14ac:dyDescent="0.25">
      <c r="A586" s="124"/>
      <c r="B586" s="142"/>
      <c r="C586" s="115"/>
      <c r="D586" s="115"/>
      <c r="E586" s="115"/>
      <c r="F586" s="115"/>
      <c r="G586" s="60" t="s">
        <v>126</v>
      </c>
      <c r="H586" s="124"/>
      <c r="I586" s="124"/>
      <c r="J586" s="60"/>
      <c r="K586" s="60"/>
      <c r="L586" s="60"/>
      <c r="M586" s="60"/>
      <c r="N586" s="60">
        <f t="shared" ref="N586:N591" si="182">M586*J586*K586*L586</f>
        <v>0</v>
      </c>
      <c r="O586" s="60">
        <f t="shared" ref="O586:O591" si="183">J586*K586*L586</f>
        <v>0</v>
      </c>
    </row>
    <row r="587" spans="1:15" s="38" customFormat="1" ht="10.7" customHeight="1" outlineLevel="1" x14ac:dyDescent="0.25">
      <c r="A587" s="124"/>
      <c r="B587" s="142"/>
      <c r="C587" s="115"/>
      <c r="D587" s="115"/>
      <c r="E587" s="115"/>
      <c r="F587" s="115"/>
      <c r="G587" s="60" t="s">
        <v>127</v>
      </c>
      <c r="H587" s="124"/>
      <c r="I587" s="124"/>
      <c r="J587" s="60"/>
      <c r="K587" s="60"/>
      <c r="L587" s="60"/>
      <c r="M587" s="60"/>
      <c r="N587" s="60">
        <f t="shared" si="182"/>
        <v>0</v>
      </c>
      <c r="O587" s="60">
        <f t="shared" si="183"/>
        <v>0</v>
      </c>
    </row>
    <row r="588" spans="1:15" s="38" customFormat="1" ht="10.7" customHeight="1" outlineLevel="1" x14ac:dyDescent="0.25">
      <c r="A588" s="124"/>
      <c r="B588" s="142"/>
      <c r="C588" s="115"/>
      <c r="D588" s="115"/>
      <c r="E588" s="115"/>
      <c r="F588" s="115"/>
      <c r="G588" s="60" t="s">
        <v>128</v>
      </c>
      <c r="H588" s="124"/>
      <c r="I588" s="124"/>
      <c r="J588" s="60"/>
      <c r="K588" s="60"/>
      <c r="L588" s="60"/>
      <c r="M588" s="60"/>
      <c r="N588" s="60">
        <f t="shared" si="182"/>
        <v>0</v>
      </c>
      <c r="O588" s="60">
        <f t="shared" si="183"/>
        <v>0</v>
      </c>
    </row>
    <row r="589" spans="1:15" s="38" customFormat="1" ht="10.7" customHeight="1" outlineLevel="1" x14ac:dyDescent="0.25">
      <c r="A589" s="124"/>
      <c r="B589" s="142"/>
      <c r="C589" s="115"/>
      <c r="D589" s="115"/>
      <c r="E589" s="115"/>
      <c r="F589" s="115"/>
      <c r="G589" s="60" t="s">
        <v>129</v>
      </c>
      <c r="H589" s="124"/>
      <c r="I589" s="124"/>
      <c r="J589" s="60"/>
      <c r="K589" s="60"/>
      <c r="L589" s="60"/>
      <c r="M589" s="60"/>
      <c r="N589" s="60">
        <f t="shared" si="182"/>
        <v>0</v>
      </c>
      <c r="O589" s="60">
        <f t="shared" si="183"/>
        <v>0</v>
      </c>
    </row>
    <row r="590" spans="1:15" s="38" customFormat="1" ht="10.7" customHeight="1" outlineLevel="1" x14ac:dyDescent="0.25">
      <c r="A590" s="124"/>
      <c r="B590" s="142"/>
      <c r="C590" s="115"/>
      <c r="D590" s="115"/>
      <c r="E590" s="115"/>
      <c r="F590" s="115"/>
      <c r="G590" s="60" t="s">
        <v>130</v>
      </c>
      <c r="H590" s="124"/>
      <c r="I590" s="124"/>
      <c r="J590" s="60"/>
      <c r="K590" s="60"/>
      <c r="L590" s="60"/>
      <c r="M590" s="60"/>
      <c r="N590" s="60">
        <f t="shared" si="182"/>
        <v>0</v>
      </c>
      <c r="O590" s="60">
        <f t="shared" si="183"/>
        <v>0</v>
      </c>
    </row>
    <row r="591" spans="1:15" s="38" customFormat="1" ht="12" customHeight="1" outlineLevel="1" thickBot="1" x14ac:dyDescent="0.3">
      <c r="A591" s="125"/>
      <c r="B591" s="143"/>
      <c r="C591" s="131"/>
      <c r="D591" s="131"/>
      <c r="E591" s="131"/>
      <c r="F591" s="131"/>
      <c r="G591" s="60" t="s">
        <v>131</v>
      </c>
      <c r="H591" s="134"/>
      <c r="I591" s="134"/>
      <c r="J591" s="60"/>
      <c r="K591" s="60"/>
      <c r="L591" s="60"/>
      <c r="M591" s="60"/>
      <c r="N591" s="60">
        <f t="shared" si="182"/>
        <v>0</v>
      </c>
      <c r="O591" s="60">
        <f t="shared" si="183"/>
        <v>0</v>
      </c>
    </row>
    <row r="592" spans="1:15" s="38" customFormat="1" ht="14.45" customHeight="1" outlineLevel="1" x14ac:dyDescent="0.25">
      <c r="A592" s="140" t="s">
        <v>690</v>
      </c>
      <c r="B592" s="141" t="s">
        <v>691</v>
      </c>
      <c r="C592" s="130">
        <f>SUM(N592:N598)</f>
        <v>0</v>
      </c>
      <c r="D592" s="130">
        <f>SUM(O592:O598)</f>
        <v>0</v>
      </c>
      <c r="E592" s="130">
        <f t="shared" si="179"/>
        <v>0</v>
      </c>
      <c r="F592" s="130"/>
      <c r="G592" s="60" t="s">
        <v>125</v>
      </c>
      <c r="H592" s="123"/>
      <c r="I592" s="123"/>
      <c r="J592" s="60"/>
      <c r="K592" s="60"/>
      <c r="L592" s="60"/>
      <c r="M592" s="60"/>
      <c r="N592" s="60">
        <f>M592*J592*K592*L592</f>
        <v>0</v>
      </c>
      <c r="O592" s="60">
        <f>J592*K592*L592</f>
        <v>0</v>
      </c>
    </row>
    <row r="593" spans="1:15" s="38" customFormat="1" ht="11.45" customHeight="1" outlineLevel="1" x14ac:dyDescent="0.25">
      <c r="A593" s="124"/>
      <c r="B593" s="142"/>
      <c r="C593" s="115"/>
      <c r="D593" s="115"/>
      <c r="E593" s="115"/>
      <c r="F593" s="115"/>
      <c r="G593" s="60" t="s">
        <v>126</v>
      </c>
      <c r="H593" s="124"/>
      <c r="I593" s="124"/>
      <c r="J593" s="60"/>
      <c r="K593" s="60"/>
      <c r="L593" s="60"/>
      <c r="M593" s="60"/>
      <c r="N593" s="60">
        <f t="shared" ref="N593:N598" si="184">M593*J593*K593*L593</f>
        <v>0</v>
      </c>
      <c r="O593" s="60">
        <f t="shared" ref="O593:O598" si="185">J593*K593*L593</f>
        <v>0</v>
      </c>
    </row>
    <row r="594" spans="1:15" s="38" customFormat="1" ht="10.7" customHeight="1" outlineLevel="1" x14ac:dyDescent="0.25">
      <c r="A594" s="124"/>
      <c r="B594" s="142"/>
      <c r="C594" s="115"/>
      <c r="D594" s="115"/>
      <c r="E594" s="115"/>
      <c r="F594" s="115"/>
      <c r="G594" s="60" t="s">
        <v>127</v>
      </c>
      <c r="H594" s="124"/>
      <c r="I594" s="124"/>
      <c r="J594" s="60"/>
      <c r="K594" s="60"/>
      <c r="L594" s="60"/>
      <c r="M594" s="60"/>
      <c r="N594" s="60">
        <f t="shared" si="184"/>
        <v>0</v>
      </c>
      <c r="O594" s="60">
        <f t="shared" si="185"/>
        <v>0</v>
      </c>
    </row>
    <row r="595" spans="1:15" s="38" customFormat="1" ht="10.7" customHeight="1" outlineLevel="1" x14ac:dyDescent="0.25">
      <c r="A595" s="124"/>
      <c r="B595" s="142"/>
      <c r="C595" s="115"/>
      <c r="D595" s="115"/>
      <c r="E595" s="115"/>
      <c r="F595" s="115"/>
      <c r="G595" s="60" t="s">
        <v>128</v>
      </c>
      <c r="H595" s="124"/>
      <c r="I595" s="124"/>
      <c r="J595" s="60"/>
      <c r="K595" s="60"/>
      <c r="L595" s="60"/>
      <c r="M595" s="60"/>
      <c r="N595" s="60">
        <f t="shared" si="184"/>
        <v>0</v>
      </c>
      <c r="O595" s="60">
        <f t="shared" si="185"/>
        <v>0</v>
      </c>
    </row>
    <row r="596" spans="1:15" s="38" customFormat="1" ht="10.7" customHeight="1" outlineLevel="1" x14ac:dyDescent="0.25">
      <c r="A596" s="124"/>
      <c r="B596" s="142"/>
      <c r="C596" s="115"/>
      <c r="D596" s="115"/>
      <c r="E596" s="115"/>
      <c r="F596" s="115"/>
      <c r="G596" s="60" t="s">
        <v>129</v>
      </c>
      <c r="H596" s="124"/>
      <c r="I596" s="124"/>
      <c r="J596" s="60"/>
      <c r="K596" s="60"/>
      <c r="L596" s="60"/>
      <c r="M596" s="60"/>
      <c r="N596" s="60">
        <f t="shared" si="184"/>
        <v>0</v>
      </c>
      <c r="O596" s="60">
        <f t="shared" si="185"/>
        <v>0</v>
      </c>
    </row>
    <row r="597" spans="1:15" s="38" customFormat="1" ht="10.7" customHeight="1" outlineLevel="1" x14ac:dyDescent="0.25">
      <c r="A597" s="124"/>
      <c r="B597" s="142"/>
      <c r="C597" s="115"/>
      <c r="D597" s="115"/>
      <c r="E597" s="115"/>
      <c r="F597" s="115"/>
      <c r="G597" s="60" t="s">
        <v>130</v>
      </c>
      <c r="H597" s="124"/>
      <c r="I597" s="124"/>
      <c r="J597" s="60"/>
      <c r="K597" s="60"/>
      <c r="L597" s="60"/>
      <c r="M597" s="60"/>
      <c r="N597" s="60">
        <f t="shared" si="184"/>
        <v>0</v>
      </c>
      <c r="O597" s="60">
        <f t="shared" si="185"/>
        <v>0</v>
      </c>
    </row>
    <row r="598" spans="1:15" s="38" customFormat="1" ht="12" customHeight="1" outlineLevel="1" thickBot="1" x14ac:dyDescent="0.3">
      <c r="A598" s="125"/>
      <c r="B598" s="143"/>
      <c r="C598" s="131"/>
      <c r="D598" s="131"/>
      <c r="E598" s="131"/>
      <c r="F598" s="131"/>
      <c r="G598" s="60" t="s">
        <v>131</v>
      </c>
      <c r="H598" s="134"/>
      <c r="I598" s="134"/>
      <c r="J598" s="60"/>
      <c r="K598" s="60"/>
      <c r="L598" s="60"/>
      <c r="M598" s="60"/>
      <c r="N598" s="60">
        <f t="shared" si="184"/>
        <v>0</v>
      </c>
      <c r="O598" s="60">
        <f t="shared" si="185"/>
        <v>0</v>
      </c>
    </row>
    <row r="599" spans="1:15" s="38" customFormat="1" ht="14.45" customHeight="1" outlineLevel="1" x14ac:dyDescent="0.25">
      <c r="A599" s="140" t="s">
        <v>692</v>
      </c>
      <c r="B599" s="141" t="s">
        <v>693</v>
      </c>
      <c r="C599" s="130">
        <f>SUM(N599:N605)</f>
        <v>0</v>
      </c>
      <c r="D599" s="130">
        <f>SUM(O599:O605)</f>
        <v>0</v>
      </c>
      <c r="E599" s="130">
        <f t="shared" si="179"/>
        <v>0</v>
      </c>
      <c r="F599" s="130"/>
      <c r="G599" s="60" t="s">
        <v>125</v>
      </c>
      <c r="H599" s="123"/>
      <c r="I599" s="123"/>
      <c r="J599" s="60"/>
      <c r="K599" s="60"/>
      <c r="L599" s="60"/>
      <c r="M599" s="60"/>
      <c r="N599" s="60">
        <f>M599*J599*K599*L599</f>
        <v>0</v>
      </c>
      <c r="O599" s="60">
        <f>J599*K599*L599</f>
        <v>0</v>
      </c>
    </row>
    <row r="600" spans="1:15" s="38" customFormat="1" ht="11.45" customHeight="1" outlineLevel="1" x14ac:dyDescent="0.25">
      <c r="A600" s="124"/>
      <c r="B600" s="142"/>
      <c r="C600" s="115"/>
      <c r="D600" s="115"/>
      <c r="E600" s="115"/>
      <c r="F600" s="115"/>
      <c r="G600" s="60" t="s">
        <v>126</v>
      </c>
      <c r="H600" s="124"/>
      <c r="I600" s="124"/>
      <c r="J600" s="60"/>
      <c r="K600" s="60"/>
      <c r="L600" s="60"/>
      <c r="M600" s="60"/>
      <c r="N600" s="60">
        <f t="shared" ref="N600:N605" si="186">M600*J600*K600*L600</f>
        <v>0</v>
      </c>
      <c r="O600" s="60">
        <f t="shared" ref="O600:O605" si="187">J600*K600*L600</f>
        <v>0</v>
      </c>
    </row>
    <row r="601" spans="1:15" s="38" customFormat="1" ht="10.7" customHeight="1" outlineLevel="1" x14ac:dyDescent="0.25">
      <c r="A601" s="124"/>
      <c r="B601" s="142"/>
      <c r="C601" s="115"/>
      <c r="D601" s="115"/>
      <c r="E601" s="115"/>
      <c r="F601" s="115"/>
      <c r="G601" s="60" t="s">
        <v>127</v>
      </c>
      <c r="H601" s="124"/>
      <c r="I601" s="124"/>
      <c r="J601" s="60"/>
      <c r="K601" s="60"/>
      <c r="L601" s="60"/>
      <c r="M601" s="60"/>
      <c r="N601" s="60">
        <f t="shared" si="186"/>
        <v>0</v>
      </c>
      <c r="O601" s="60">
        <f t="shared" si="187"/>
        <v>0</v>
      </c>
    </row>
    <row r="602" spans="1:15" s="38" customFormat="1" ht="10.7" customHeight="1" outlineLevel="1" x14ac:dyDescent="0.25">
      <c r="A602" s="124"/>
      <c r="B602" s="142"/>
      <c r="C602" s="115"/>
      <c r="D602" s="115"/>
      <c r="E602" s="115"/>
      <c r="F602" s="115"/>
      <c r="G602" s="60" t="s">
        <v>128</v>
      </c>
      <c r="H602" s="124"/>
      <c r="I602" s="124"/>
      <c r="J602" s="60"/>
      <c r="K602" s="60"/>
      <c r="L602" s="60"/>
      <c r="M602" s="60"/>
      <c r="N602" s="60">
        <f t="shared" si="186"/>
        <v>0</v>
      </c>
      <c r="O602" s="60">
        <f t="shared" si="187"/>
        <v>0</v>
      </c>
    </row>
    <row r="603" spans="1:15" s="38" customFormat="1" ht="10.7" customHeight="1" outlineLevel="1" x14ac:dyDescent="0.25">
      <c r="A603" s="124"/>
      <c r="B603" s="142"/>
      <c r="C603" s="115"/>
      <c r="D603" s="115"/>
      <c r="E603" s="115"/>
      <c r="F603" s="115"/>
      <c r="G603" s="60" t="s">
        <v>129</v>
      </c>
      <c r="H603" s="124"/>
      <c r="I603" s="124"/>
      <c r="J603" s="60"/>
      <c r="K603" s="60"/>
      <c r="L603" s="60"/>
      <c r="M603" s="60"/>
      <c r="N603" s="60">
        <f t="shared" si="186"/>
        <v>0</v>
      </c>
      <c r="O603" s="60">
        <f t="shared" si="187"/>
        <v>0</v>
      </c>
    </row>
    <row r="604" spans="1:15" s="38" customFormat="1" ht="10.7" customHeight="1" outlineLevel="1" x14ac:dyDescent="0.25">
      <c r="A604" s="124"/>
      <c r="B604" s="142"/>
      <c r="C604" s="115"/>
      <c r="D604" s="115"/>
      <c r="E604" s="115"/>
      <c r="F604" s="115"/>
      <c r="G604" s="60" t="s">
        <v>130</v>
      </c>
      <c r="H604" s="124"/>
      <c r="I604" s="124"/>
      <c r="J604" s="60"/>
      <c r="K604" s="60"/>
      <c r="L604" s="60"/>
      <c r="M604" s="60"/>
      <c r="N604" s="60">
        <f t="shared" si="186"/>
        <v>0</v>
      </c>
      <c r="O604" s="60">
        <f t="shared" si="187"/>
        <v>0</v>
      </c>
    </row>
    <row r="605" spans="1:15" s="38" customFormat="1" ht="12" customHeight="1" outlineLevel="1" thickBot="1" x14ac:dyDescent="0.3">
      <c r="A605" s="125"/>
      <c r="B605" s="143"/>
      <c r="C605" s="131"/>
      <c r="D605" s="131"/>
      <c r="E605" s="131"/>
      <c r="F605" s="131"/>
      <c r="G605" s="60" t="s">
        <v>131</v>
      </c>
      <c r="H605" s="134"/>
      <c r="I605" s="134"/>
      <c r="J605" s="60"/>
      <c r="K605" s="60"/>
      <c r="L605" s="60"/>
      <c r="M605" s="60"/>
      <c r="N605" s="60">
        <f t="shared" si="186"/>
        <v>0</v>
      </c>
      <c r="O605" s="60">
        <f t="shared" si="187"/>
        <v>0</v>
      </c>
    </row>
    <row r="606" spans="1:15" s="38" customFormat="1" ht="14.45" customHeight="1" outlineLevel="1" x14ac:dyDescent="0.25">
      <c r="A606" s="140" t="s">
        <v>694</v>
      </c>
      <c r="B606" s="141" t="s">
        <v>695</v>
      </c>
      <c r="C606" s="130">
        <f>SUM(N606:N612)</f>
        <v>0</v>
      </c>
      <c r="D606" s="130">
        <f>SUM(O606:O612)</f>
        <v>0</v>
      </c>
      <c r="E606" s="130">
        <f t="shared" si="179"/>
        <v>0</v>
      </c>
      <c r="F606" s="130"/>
      <c r="G606" s="60" t="s">
        <v>125</v>
      </c>
      <c r="H606" s="123"/>
      <c r="I606" s="123"/>
      <c r="J606" s="60"/>
      <c r="K606" s="60"/>
      <c r="L606" s="60"/>
      <c r="M606" s="60"/>
      <c r="N606" s="60">
        <f>M606*J606*K606*L606</f>
        <v>0</v>
      </c>
      <c r="O606" s="60">
        <f>J606*K606*L606</f>
        <v>0</v>
      </c>
    </row>
    <row r="607" spans="1:15" s="38" customFormat="1" ht="11.45" customHeight="1" outlineLevel="1" x14ac:dyDescent="0.25">
      <c r="A607" s="124"/>
      <c r="B607" s="142"/>
      <c r="C607" s="115"/>
      <c r="D607" s="115"/>
      <c r="E607" s="115"/>
      <c r="F607" s="115"/>
      <c r="G607" s="60" t="s">
        <v>126</v>
      </c>
      <c r="H607" s="124"/>
      <c r="I607" s="124"/>
      <c r="J607" s="60"/>
      <c r="K607" s="60"/>
      <c r="L607" s="60"/>
      <c r="M607" s="60"/>
      <c r="N607" s="60">
        <f t="shared" ref="N607:N612" si="188">M607*J607*K607*L607</f>
        <v>0</v>
      </c>
      <c r="O607" s="60">
        <f t="shared" ref="O607:O612" si="189">J607*K607*L607</f>
        <v>0</v>
      </c>
    </row>
    <row r="608" spans="1:15" s="38" customFormat="1" ht="10.7" customHeight="1" outlineLevel="1" x14ac:dyDescent="0.25">
      <c r="A608" s="124"/>
      <c r="B608" s="142"/>
      <c r="C608" s="115"/>
      <c r="D608" s="115"/>
      <c r="E608" s="115"/>
      <c r="F608" s="115"/>
      <c r="G608" s="60" t="s">
        <v>127</v>
      </c>
      <c r="H608" s="124"/>
      <c r="I608" s="124"/>
      <c r="J608" s="60"/>
      <c r="K608" s="60"/>
      <c r="L608" s="60"/>
      <c r="M608" s="60"/>
      <c r="N608" s="60">
        <f t="shared" si="188"/>
        <v>0</v>
      </c>
      <c r="O608" s="60">
        <f t="shared" si="189"/>
        <v>0</v>
      </c>
    </row>
    <row r="609" spans="1:15" s="38" customFormat="1" ht="10.7" customHeight="1" outlineLevel="1" x14ac:dyDescent="0.25">
      <c r="A609" s="124"/>
      <c r="B609" s="142"/>
      <c r="C609" s="115"/>
      <c r="D609" s="115"/>
      <c r="E609" s="115"/>
      <c r="F609" s="115"/>
      <c r="G609" s="60" t="s">
        <v>128</v>
      </c>
      <c r="H609" s="124"/>
      <c r="I609" s="124"/>
      <c r="J609" s="60"/>
      <c r="K609" s="60"/>
      <c r="L609" s="60"/>
      <c r="M609" s="60"/>
      <c r="N609" s="60">
        <f t="shared" si="188"/>
        <v>0</v>
      </c>
      <c r="O609" s="60">
        <f t="shared" si="189"/>
        <v>0</v>
      </c>
    </row>
    <row r="610" spans="1:15" s="38" customFormat="1" ht="10.7" customHeight="1" outlineLevel="1" x14ac:dyDescent="0.25">
      <c r="A610" s="124"/>
      <c r="B610" s="142"/>
      <c r="C610" s="115"/>
      <c r="D610" s="115"/>
      <c r="E610" s="115"/>
      <c r="F610" s="115"/>
      <c r="G610" s="60" t="s">
        <v>129</v>
      </c>
      <c r="H610" s="124"/>
      <c r="I610" s="124"/>
      <c r="J610" s="60"/>
      <c r="K610" s="60"/>
      <c r="L610" s="60"/>
      <c r="M610" s="60"/>
      <c r="N610" s="60">
        <f t="shared" si="188"/>
        <v>0</v>
      </c>
      <c r="O610" s="60">
        <f t="shared" si="189"/>
        <v>0</v>
      </c>
    </row>
    <row r="611" spans="1:15" s="38" customFormat="1" ht="10.7" customHeight="1" outlineLevel="1" x14ac:dyDescent="0.25">
      <c r="A611" s="124"/>
      <c r="B611" s="142"/>
      <c r="C611" s="115"/>
      <c r="D611" s="115"/>
      <c r="E611" s="115"/>
      <c r="F611" s="115"/>
      <c r="G611" s="60" t="s">
        <v>130</v>
      </c>
      <c r="H611" s="124"/>
      <c r="I611" s="124"/>
      <c r="J611" s="60"/>
      <c r="K611" s="60"/>
      <c r="L611" s="60"/>
      <c r="M611" s="60"/>
      <c r="N611" s="60">
        <f t="shared" si="188"/>
        <v>0</v>
      </c>
      <c r="O611" s="60">
        <f t="shared" si="189"/>
        <v>0</v>
      </c>
    </row>
    <row r="612" spans="1:15" s="38" customFormat="1" ht="12" customHeight="1" outlineLevel="1" thickBot="1" x14ac:dyDescent="0.3">
      <c r="A612" s="125"/>
      <c r="B612" s="143"/>
      <c r="C612" s="131"/>
      <c r="D612" s="131"/>
      <c r="E612" s="131"/>
      <c r="F612" s="131"/>
      <c r="G612" s="60" t="s">
        <v>131</v>
      </c>
      <c r="H612" s="134"/>
      <c r="I612" s="134"/>
      <c r="J612" s="60"/>
      <c r="K612" s="60"/>
      <c r="L612" s="60"/>
      <c r="M612" s="60"/>
      <c r="N612" s="60">
        <f t="shared" si="188"/>
        <v>0</v>
      </c>
      <c r="O612" s="60">
        <f t="shared" si="189"/>
        <v>0</v>
      </c>
    </row>
    <row r="613" spans="1:15" s="38" customFormat="1" ht="14.45" customHeight="1" outlineLevel="1" x14ac:dyDescent="0.25">
      <c r="A613" s="140" t="s">
        <v>696</v>
      </c>
      <c r="B613" s="141" t="s">
        <v>697</v>
      </c>
      <c r="C613" s="130">
        <f>SUM(N613:N619)</f>
        <v>0</v>
      </c>
      <c r="D613" s="130">
        <f>SUM(O613:O619)</f>
        <v>0</v>
      </c>
      <c r="E613" s="130">
        <f t="shared" si="179"/>
        <v>0</v>
      </c>
      <c r="F613" s="130"/>
      <c r="G613" s="60" t="s">
        <v>125</v>
      </c>
      <c r="H613" s="123"/>
      <c r="I613" s="123"/>
      <c r="J613" s="60"/>
      <c r="K613" s="60"/>
      <c r="L613" s="60"/>
      <c r="M613" s="60"/>
      <c r="N613" s="60">
        <f>M613*J613*K613*L613</f>
        <v>0</v>
      </c>
      <c r="O613" s="60">
        <f>J613*K613*L613</f>
        <v>0</v>
      </c>
    </row>
    <row r="614" spans="1:15" s="38" customFormat="1" ht="11.45" customHeight="1" outlineLevel="1" x14ac:dyDescent="0.25">
      <c r="A614" s="124"/>
      <c r="B614" s="142"/>
      <c r="C614" s="115"/>
      <c r="D614" s="115"/>
      <c r="E614" s="115"/>
      <c r="F614" s="115"/>
      <c r="G614" s="60" t="s">
        <v>126</v>
      </c>
      <c r="H614" s="124"/>
      <c r="I614" s="124"/>
      <c r="J614" s="60"/>
      <c r="K614" s="60"/>
      <c r="L614" s="60"/>
      <c r="M614" s="60"/>
      <c r="N614" s="60">
        <f t="shared" ref="N614:N619" si="190">M614*J614*K614*L614</f>
        <v>0</v>
      </c>
      <c r="O614" s="60">
        <f t="shared" ref="O614:O619" si="191">J614*K614*L614</f>
        <v>0</v>
      </c>
    </row>
    <row r="615" spans="1:15" s="38" customFormat="1" ht="10.7" customHeight="1" outlineLevel="1" x14ac:dyDescent="0.25">
      <c r="A615" s="124"/>
      <c r="B615" s="142"/>
      <c r="C615" s="115"/>
      <c r="D615" s="115"/>
      <c r="E615" s="115"/>
      <c r="F615" s="115"/>
      <c r="G615" s="60" t="s">
        <v>127</v>
      </c>
      <c r="H615" s="124"/>
      <c r="I615" s="124"/>
      <c r="J615" s="60"/>
      <c r="K615" s="60"/>
      <c r="L615" s="60"/>
      <c r="M615" s="60"/>
      <c r="N615" s="60">
        <f t="shared" si="190"/>
        <v>0</v>
      </c>
      <c r="O615" s="60">
        <f t="shared" si="191"/>
        <v>0</v>
      </c>
    </row>
    <row r="616" spans="1:15" s="38" customFormat="1" ht="10.7" customHeight="1" outlineLevel="1" x14ac:dyDescent="0.25">
      <c r="A616" s="124"/>
      <c r="B616" s="142"/>
      <c r="C616" s="115"/>
      <c r="D616" s="115"/>
      <c r="E616" s="115"/>
      <c r="F616" s="115"/>
      <c r="G616" s="60" t="s">
        <v>128</v>
      </c>
      <c r="H616" s="124"/>
      <c r="I616" s="124"/>
      <c r="J616" s="60"/>
      <c r="K616" s="60"/>
      <c r="L616" s="60"/>
      <c r="M616" s="60"/>
      <c r="N616" s="60">
        <f t="shared" si="190"/>
        <v>0</v>
      </c>
      <c r="O616" s="60">
        <f t="shared" si="191"/>
        <v>0</v>
      </c>
    </row>
    <row r="617" spans="1:15" s="38" customFormat="1" ht="10.7" customHeight="1" outlineLevel="1" x14ac:dyDescent="0.25">
      <c r="A617" s="124"/>
      <c r="B617" s="142"/>
      <c r="C617" s="115"/>
      <c r="D617" s="115"/>
      <c r="E617" s="115"/>
      <c r="F617" s="115"/>
      <c r="G617" s="60" t="s">
        <v>129</v>
      </c>
      <c r="H617" s="124"/>
      <c r="I617" s="124"/>
      <c r="J617" s="60"/>
      <c r="K617" s="60"/>
      <c r="L617" s="60"/>
      <c r="M617" s="60"/>
      <c r="N617" s="60">
        <f t="shared" si="190"/>
        <v>0</v>
      </c>
      <c r="O617" s="60">
        <f t="shared" si="191"/>
        <v>0</v>
      </c>
    </row>
    <row r="618" spans="1:15" s="38" customFormat="1" ht="10.7" customHeight="1" outlineLevel="1" x14ac:dyDescent="0.25">
      <c r="A618" s="124"/>
      <c r="B618" s="142"/>
      <c r="C618" s="115"/>
      <c r="D618" s="115"/>
      <c r="E618" s="115"/>
      <c r="F618" s="115"/>
      <c r="G618" s="60" t="s">
        <v>130</v>
      </c>
      <c r="H618" s="124"/>
      <c r="I618" s="124"/>
      <c r="J618" s="60"/>
      <c r="K618" s="60"/>
      <c r="L618" s="60"/>
      <c r="M618" s="60"/>
      <c r="N618" s="60">
        <f t="shared" si="190"/>
        <v>0</v>
      </c>
      <c r="O618" s="60">
        <f t="shared" si="191"/>
        <v>0</v>
      </c>
    </row>
    <row r="619" spans="1:15" s="38" customFormat="1" ht="12" customHeight="1" outlineLevel="1" thickBot="1" x14ac:dyDescent="0.3">
      <c r="A619" s="125"/>
      <c r="B619" s="143"/>
      <c r="C619" s="131"/>
      <c r="D619" s="131"/>
      <c r="E619" s="131"/>
      <c r="F619" s="131"/>
      <c r="G619" s="60" t="s">
        <v>131</v>
      </c>
      <c r="H619" s="134"/>
      <c r="I619" s="134"/>
      <c r="J619" s="60"/>
      <c r="K619" s="60"/>
      <c r="L619" s="60"/>
      <c r="M619" s="60"/>
      <c r="N619" s="60">
        <f t="shared" si="190"/>
        <v>0</v>
      </c>
      <c r="O619" s="60">
        <f t="shared" si="191"/>
        <v>0</v>
      </c>
    </row>
    <row r="620" spans="1:15" s="38" customFormat="1" ht="14.45" customHeight="1" outlineLevel="1" x14ac:dyDescent="0.25">
      <c r="A620" s="140" t="s">
        <v>698</v>
      </c>
      <c r="B620" s="141" t="s">
        <v>699</v>
      </c>
      <c r="C620" s="130">
        <f>SUM(N620:N626)</f>
        <v>0</v>
      </c>
      <c r="D620" s="130">
        <f>SUM(O620:O626)</f>
        <v>0</v>
      </c>
      <c r="E620" s="130">
        <f t="shared" si="179"/>
        <v>0</v>
      </c>
      <c r="F620" s="130"/>
      <c r="G620" s="60" t="s">
        <v>125</v>
      </c>
      <c r="H620" s="123"/>
      <c r="I620" s="123"/>
      <c r="J620" s="60"/>
      <c r="K620" s="60"/>
      <c r="L620" s="60"/>
      <c r="M620" s="60"/>
      <c r="N620" s="60">
        <f>M620*J620*K620*L620</f>
        <v>0</v>
      </c>
      <c r="O620" s="60">
        <f>J620*K620*L620</f>
        <v>0</v>
      </c>
    </row>
    <row r="621" spans="1:15" s="38" customFormat="1" ht="11.45" customHeight="1" outlineLevel="1" x14ac:dyDescent="0.25">
      <c r="A621" s="124"/>
      <c r="B621" s="142"/>
      <c r="C621" s="115"/>
      <c r="D621" s="115"/>
      <c r="E621" s="115"/>
      <c r="F621" s="115"/>
      <c r="G621" s="60" t="s">
        <v>126</v>
      </c>
      <c r="H621" s="124"/>
      <c r="I621" s="124"/>
      <c r="J621" s="60"/>
      <c r="K621" s="60"/>
      <c r="L621" s="60"/>
      <c r="M621" s="60"/>
      <c r="N621" s="60">
        <f t="shared" ref="N621:N626" si="192">M621*J621*K621*L621</f>
        <v>0</v>
      </c>
      <c r="O621" s="60">
        <f t="shared" ref="O621:O626" si="193">J621*K621*L621</f>
        <v>0</v>
      </c>
    </row>
    <row r="622" spans="1:15" s="38" customFormat="1" ht="10.7" customHeight="1" outlineLevel="1" x14ac:dyDescent="0.25">
      <c r="A622" s="124"/>
      <c r="B622" s="142"/>
      <c r="C622" s="115"/>
      <c r="D622" s="115"/>
      <c r="E622" s="115"/>
      <c r="F622" s="115"/>
      <c r="G622" s="60" t="s">
        <v>127</v>
      </c>
      <c r="H622" s="124"/>
      <c r="I622" s="124"/>
      <c r="J622" s="60"/>
      <c r="K622" s="60"/>
      <c r="L622" s="60"/>
      <c r="M622" s="60"/>
      <c r="N622" s="60">
        <f t="shared" si="192"/>
        <v>0</v>
      </c>
      <c r="O622" s="60">
        <f t="shared" si="193"/>
        <v>0</v>
      </c>
    </row>
    <row r="623" spans="1:15" s="38" customFormat="1" ht="10.7" customHeight="1" outlineLevel="1" x14ac:dyDescent="0.25">
      <c r="A623" s="124"/>
      <c r="B623" s="142"/>
      <c r="C623" s="115"/>
      <c r="D623" s="115"/>
      <c r="E623" s="115"/>
      <c r="F623" s="115"/>
      <c r="G623" s="60" t="s">
        <v>128</v>
      </c>
      <c r="H623" s="124"/>
      <c r="I623" s="124"/>
      <c r="J623" s="60"/>
      <c r="K623" s="60"/>
      <c r="L623" s="60"/>
      <c r="M623" s="60"/>
      <c r="N623" s="60">
        <f t="shared" si="192"/>
        <v>0</v>
      </c>
      <c r="O623" s="60">
        <f t="shared" si="193"/>
        <v>0</v>
      </c>
    </row>
    <row r="624" spans="1:15" s="38" customFormat="1" ht="10.7" customHeight="1" outlineLevel="1" x14ac:dyDescent="0.25">
      <c r="A624" s="124"/>
      <c r="B624" s="142"/>
      <c r="C624" s="115"/>
      <c r="D624" s="115"/>
      <c r="E624" s="115"/>
      <c r="F624" s="115"/>
      <c r="G624" s="60" t="s">
        <v>129</v>
      </c>
      <c r="H624" s="124"/>
      <c r="I624" s="124"/>
      <c r="J624" s="60"/>
      <c r="K624" s="60"/>
      <c r="L624" s="60"/>
      <c r="M624" s="60"/>
      <c r="N624" s="60">
        <f t="shared" si="192"/>
        <v>0</v>
      </c>
      <c r="O624" s="60">
        <f t="shared" si="193"/>
        <v>0</v>
      </c>
    </row>
    <row r="625" spans="1:15" s="38" customFormat="1" ht="10.7" customHeight="1" outlineLevel="1" x14ac:dyDescent="0.25">
      <c r="A625" s="124"/>
      <c r="B625" s="142"/>
      <c r="C625" s="115"/>
      <c r="D625" s="115"/>
      <c r="E625" s="115"/>
      <c r="F625" s="115"/>
      <c r="G625" s="60" t="s">
        <v>130</v>
      </c>
      <c r="H625" s="124"/>
      <c r="I625" s="124"/>
      <c r="J625" s="60"/>
      <c r="K625" s="60"/>
      <c r="L625" s="60"/>
      <c r="M625" s="60"/>
      <c r="N625" s="60">
        <f t="shared" si="192"/>
        <v>0</v>
      </c>
      <c r="O625" s="60">
        <f t="shared" si="193"/>
        <v>0</v>
      </c>
    </row>
    <row r="626" spans="1:15" s="38" customFormat="1" ht="12" customHeight="1" outlineLevel="1" thickBot="1" x14ac:dyDescent="0.3">
      <c r="A626" s="125"/>
      <c r="B626" s="143"/>
      <c r="C626" s="131"/>
      <c r="D626" s="131"/>
      <c r="E626" s="131"/>
      <c r="F626" s="131"/>
      <c r="G626" s="60" t="s">
        <v>131</v>
      </c>
      <c r="H626" s="134"/>
      <c r="I626" s="134"/>
      <c r="J626" s="60"/>
      <c r="K626" s="60"/>
      <c r="L626" s="60"/>
      <c r="M626" s="60"/>
      <c r="N626" s="60">
        <f t="shared" si="192"/>
        <v>0</v>
      </c>
      <c r="O626" s="60">
        <f t="shared" si="193"/>
        <v>0</v>
      </c>
    </row>
    <row r="627" spans="1:15" s="38" customFormat="1" ht="14.45" customHeight="1" outlineLevel="1" x14ac:dyDescent="0.25">
      <c r="A627" s="140" t="s">
        <v>700</v>
      </c>
      <c r="B627" s="141" t="s">
        <v>701</v>
      </c>
      <c r="C627" s="130">
        <f>SUM(N627:N633)</f>
        <v>0</v>
      </c>
      <c r="D627" s="130">
        <f>SUM(O627:O633)</f>
        <v>0</v>
      </c>
      <c r="E627" s="130">
        <f t="shared" si="179"/>
        <v>0</v>
      </c>
      <c r="F627" s="130"/>
      <c r="G627" s="60" t="s">
        <v>125</v>
      </c>
      <c r="H627" s="123"/>
      <c r="I627" s="123"/>
      <c r="J627" s="60"/>
      <c r="K627" s="60"/>
      <c r="L627" s="60"/>
      <c r="M627" s="60"/>
      <c r="N627" s="60">
        <f>M627*J627*K627*L627</f>
        <v>0</v>
      </c>
      <c r="O627" s="60">
        <f>J627*K627*L627</f>
        <v>0</v>
      </c>
    </row>
    <row r="628" spans="1:15" s="38" customFormat="1" ht="11.45" customHeight="1" outlineLevel="1" x14ac:dyDescent="0.25">
      <c r="A628" s="124"/>
      <c r="B628" s="142"/>
      <c r="C628" s="115"/>
      <c r="D628" s="115"/>
      <c r="E628" s="115"/>
      <c r="F628" s="115"/>
      <c r="G628" s="60" t="s">
        <v>126</v>
      </c>
      <c r="H628" s="124"/>
      <c r="I628" s="124"/>
      <c r="J628" s="60"/>
      <c r="K628" s="60"/>
      <c r="L628" s="60"/>
      <c r="M628" s="60"/>
      <c r="N628" s="60">
        <f t="shared" ref="N628:N633" si="194">M628*J628*K628*L628</f>
        <v>0</v>
      </c>
      <c r="O628" s="60">
        <f t="shared" ref="O628:O633" si="195">J628*K628*L628</f>
        <v>0</v>
      </c>
    </row>
    <row r="629" spans="1:15" s="38" customFormat="1" ht="10.7" customHeight="1" outlineLevel="1" x14ac:dyDescent="0.25">
      <c r="A629" s="124"/>
      <c r="B629" s="142"/>
      <c r="C629" s="115"/>
      <c r="D629" s="115"/>
      <c r="E629" s="115"/>
      <c r="F629" s="115"/>
      <c r="G629" s="60" t="s">
        <v>127</v>
      </c>
      <c r="H629" s="124"/>
      <c r="I629" s="124"/>
      <c r="J629" s="60"/>
      <c r="K629" s="60"/>
      <c r="L629" s="60"/>
      <c r="M629" s="60"/>
      <c r="N629" s="60">
        <f t="shared" si="194"/>
        <v>0</v>
      </c>
      <c r="O629" s="60">
        <f t="shared" si="195"/>
        <v>0</v>
      </c>
    </row>
    <row r="630" spans="1:15" s="38" customFormat="1" ht="10.7" customHeight="1" outlineLevel="1" x14ac:dyDescent="0.25">
      <c r="A630" s="124"/>
      <c r="B630" s="142"/>
      <c r="C630" s="115"/>
      <c r="D630" s="115"/>
      <c r="E630" s="115"/>
      <c r="F630" s="115"/>
      <c r="G630" s="60" t="s">
        <v>128</v>
      </c>
      <c r="H630" s="124"/>
      <c r="I630" s="124"/>
      <c r="J630" s="60"/>
      <c r="K630" s="60"/>
      <c r="L630" s="60"/>
      <c r="M630" s="60"/>
      <c r="N630" s="60">
        <f t="shared" si="194"/>
        <v>0</v>
      </c>
      <c r="O630" s="60">
        <f t="shared" si="195"/>
        <v>0</v>
      </c>
    </row>
    <row r="631" spans="1:15" s="38" customFormat="1" ht="10.7" customHeight="1" outlineLevel="1" x14ac:dyDescent="0.25">
      <c r="A631" s="124"/>
      <c r="B631" s="142"/>
      <c r="C631" s="115"/>
      <c r="D631" s="115"/>
      <c r="E631" s="115"/>
      <c r="F631" s="115"/>
      <c r="G631" s="60" t="s">
        <v>129</v>
      </c>
      <c r="H631" s="124"/>
      <c r="I631" s="124"/>
      <c r="J631" s="60"/>
      <c r="K631" s="60"/>
      <c r="L631" s="60"/>
      <c r="M631" s="60"/>
      <c r="N631" s="60">
        <f t="shared" si="194"/>
        <v>0</v>
      </c>
      <c r="O631" s="60">
        <f t="shared" si="195"/>
        <v>0</v>
      </c>
    </row>
    <row r="632" spans="1:15" s="38" customFormat="1" ht="10.7" customHeight="1" outlineLevel="1" x14ac:dyDescent="0.25">
      <c r="A632" s="124"/>
      <c r="B632" s="142"/>
      <c r="C632" s="115"/>
      <c r="D632" s="115"/>
      <c r="E632" s="115"/>
      <c r="F632" s="115"/>
      <c r="G632" s="60" t="s">
        <v>130</v>
      </c>
      <c r="H632" s="124"/>
      <c r="I632" s="124"/>
      <c r="J632" s="60"/>
      <c r="K632" s="60"/>
      <c r="L632" s="60"/>
      <c r="M632" s="60"/>
      <c r="N632" s="60">
        <f t="shared" si="194"/>
        <v>0</v>
      </c>
      <c r="O632" s="60">
        <f t="shared" si="195"/>
        <v>0</v>
      </c>
    </row>
    <row r="633" spans="1:15" s="38" customFormat="1" ht="12" customHeight="1" outlineLevel="1" thickBot="1" x14ac:dyDescent="0.3">
      <c r="A633" s="125"/>
      <c r="B633" s="143"/>
      <c r="C633" s="131"/>
      <c r="D633" s="131"/>
      <c r="E633" s="131"/>
      <c r="F633" s="131"/>
      <c r="G633" s="60" t="s">
        <v>131</v>
      </c>
      <c r="H633" s="134"/>
      <c r="I633" s="134"/>
      <c r="J633" s="60"/>
      <c r="K633" s="60"/>
      <c r="L633" s="60"/>
      <c r="M633" s="60"/>
      <c r="N633" s="60">
        <f t="shared" si="194"/>
        <v>0</v>
      </c>
      <c r="O633" s="60">
        <f t="shared" si="195"/>
        <v>0</v>
      </c>
    </row>
    <row r="634" spans="1:15" s="38" customFormat="1" ht="14.45" customHeight="1" outlineLevel="1" x14ac:dyDescent="0.25">
      <c r="A634" s="140" t="s">
        <v>702</v>
      </c>
      <c r="B634" s="141" t="s">
        <v>703</v>
      </c>
      <c r="C634" s="130">
        <f>SUM(N634:N640)</f>
        <v>0</v>
      </c>
      <c r="D634" s="130">
        <f>SUM(O634:O640)</f>
        <v>0</v>
      </c>
      <c r="E634" s="130">
        <f t="shared" si="179"/>
        <v>0</v>
      </c>
      <c r="F634" s="130"/>
      <c r="G634" s="60" t="s">
        <v>125</v>
      </c>
      <c r="H634" s="123"/>
      <c r="I634" s="123"/>
      <c r="J634" s="60"/>
      <c r="K634" s="60"/>
      <c r="L634" s="60"/>
      <c r="M634" s="60"/>
      <c r="N634" s="60">
        <f>M634*J634*K634*L634</f>
        <v>0</v>
      </c>
      <c r="O634" s="60">
        <f>J634*K634*L634</f>
        <v>0</v>
      </c>
    </row>
    <row r="635" spans="1:15" s="38" customFormat="1" ht="11.45" customHeight="1" outlineLevel="1" x14ac:dyDescent="0.25">
      <c r="A635" s="124"/>
      <c r="B635" s="142"/>
      <c r="C635" s="115"/>
      <c r="D635" s="115"/>
      <c r="E635" s="115"/>
      <c r="F635" s="115"/>
      <c r="G635" s="60" t="s">
        <v>126</v>
      </c>
      <c r="H635" s="124"/>
      <c r="I635" s="124"/>
      <c r="J635" s="60"/>
      <c r="K635" s="60"/>
      <c r="L635" s="60"/>
      <c r="M635" s="60"/>
      <c r="N635" s="60">
        <f t="shared" ref="N635:N640" si="196">M635*J635*K635*L635</f>
        <v>0</v>
      </c>
      <c r="O635" s="60">
        <f t="shared" ref="O635:O640" si="197">J635*K635*L635</f>
        <v>0</v>
      </c>
    </row>
    <row r="636" spans="1:15" s="38" customFormat="1" ht="10.7" customHeight="1" outlineLevel="1" x14ac:dyDescent="0.25">
      <c r="A636" s="124"/>
      <c r="B636" s="142"/>
      <c r="C636" s="115"/>
      <c r="D636" s="115"/>
      <c r="E636" s="115"/>
      <c r="F636" s="115"/>
      <c r="G636" s="60" t="s">
        <v>127</v>
      </c>
      <c r="H636" s="124"/>
      <c r="I636" s="124"/>
      <c r="J636" s="60"/>
      <c r="K636" s="60"/>
      <c r="L636" s="60"/>
      <c r="M636" s="60"/>
      <c r="N636" s="60">
        <f t="shared" si="196"/>
        <v>0</v>
      </c>
      <c r="O636" s="60">
        <f t="shared" si="197"/>
        <v>0</v>
      </c>
    </row>
    <row r="637" spans="1:15" s="38" customFormat="1" ht="10.7" customHeight="1" outlineLevel="1" x14ac:dyDescent="0.25">
      <c r="A637" s="124"/>
      <c r="B637" s="142"/>
      <c r="C637" s="115"/>
      <c r="D637" s="115"/>
      <c r="E637" s="115"/>
      <c r="F637" s="115"/>
      <c r="G637" s="60" t="s">
        <v>128</v>
      </c>
      <c r="H637" s="124"/>
      <c r="I637" s="124"/>
      <c r="J637" s="60"/>
      <c r="K637" s="60"/>
      <c r="L637" s="60"/>
      <c r="M637" s="60"/>
      <c r="N637" s="60">
        <f t="shared" si="196"/>
        <v>0</v>
      </c>
      <c r="O637" s="60">
        <f t="shared" si="197"/>
        <v>0</v>
      </c>
    </row>
    <row r="638" spans="1:15" s="38" customFormat="1" ht="10.7" customHeight="1" outlineLevel="1" x14ac:dyDescent="0.25">
      <c r="A638" s="124"/>
      <c r="B638" s="142"/>
      <c r="C638" s="115"/>
      <c r="D638" s="115"/>
      <c r="E638" s="115"/>
      <c r="F638" s="115"/>
      <c r="G638" s="60" t="s">
        <v>129</v>
      </c>
      <c r="H638" s="124"/>
      <c r="I638" s="124"/>
      <c r="J638" s="60"/>
      <c r="K638" s="60"/>
      <c r="L638" s="60"/>
      <c r="M638" s="60"/>
      <c r="N638" s="60">
        <f t="shared" si="196"/>
        <v>0</v>
      </c>
      <c r="O638" s="60">
        <f t="shared" si="197"/>
        <v>0</v>
      </c>
    </row>
    <row r="639" spans="1:15" s="38" customFormat="1" ht="10.7" customHeight="1" outlineLevel="1" x14ac:dyDescent="0.25">
      <c r="A639" s="124"/>
      <c r="B639" s="142"/>
      <c r="C639" s="115"/>
      <c r="D639" s="115"/>
      <c r="E639" s="115"/>
      <c r="F639" s="115"/>
      <c r="G639" s="60" t="s">
        <v>130</v>
      </c>
      <c r="H639" s="124"/>
      <c r="I639" s="124"/>
      <c r="J639" s="60"/>
      <c r="K639" s="60"/>
      <c r="L639" s="60"/>
      <c r="M639" s="60"/>
      <c r="N639" s="60">
        <f t="shared" si="196"/>
        <v>0</v>
      </c>
      <c r="O639" s="60">
        <f t="shared" si="197"/>
        <v>0</v>
      </c>
    </row>
    <row r="640" spans="1:15" s="38" customFormat="1" ht="12" customHeight="1" outlineLevel="1" thickBot="1" x14ac:dyDescent="0.3">
      <c r="A640" s="125"/>
      <c r="B640" s="143"/>
      <c r="C640" s="131"/>
      <c r="D640" s="131"/>
      <c r="E640" s="131"/>
      <c r="F640" s="131"/>
      <c r="G640" s="60" t="s">
        <v>131</v>
      </c>
      <c r="H640" s="134"/>
      <c r="I640" s="134"/>
      <c r="J640" s="60"/>
      <c r="K640" s="60"/>
      <c r="L640" s="60"/>
      <c r="M640" s="60"/>
      <c r="N640" s="60">
        <f t="shared" si="196"/>
        <v>0</v>
      </c>
      <c r="O640" s="60">
        <f t="shared" si="197"/>
        <v>0</v>
      </c>
    </row>
    <row r="641" spans="1:15" s="38" customFormat="1" ht="14.45" customHeight="1" outlineLevel="1" x14ac:dyDescent="0.25">
      <c r="A641" s="140" t="s">
        <v>704</v>
      </c>
      <c r="B641" s="141" t="s">
        <v>705</v>
      </c>
      <c r="C641" s="130">
        <f>SUM(N641:N647)</f>
        <v>0</v>
      </c>
      <c r="D641" s="130">
        <f>SUM(O641:O647)</f>
        <v>0</v>
      </c>
      <c r="E641" s="130">
        <f t="shared" si="179"/>
        <v>0</v>
      </c>
      <c r="F641" s="130"/>
      <c r="G641" s="60" t="s">
        <v>125</v>
      </c>
      <c r="H641" s="123"/>
      <c r="I641" s="123"/>
      <c r="J641" s="60"/>
      <c r="K641" s="60"/>
      <c r="L641" s="60"/>
      <c r="M641" s="60"/>
      <c r="N641" s="60">
        <f>M641*J641*K641*L641</f>
        <v>0</v>
      </c>
      <c r="O641" s="60">
        <f>J641*K641*L641</f>
        <v>0</v>
      </c>
    </row>
    <row r="642" spans="1:15" s="38" customFormat="1" ht="11.45" customHeight="1" outlineLevel="1" x14ac:dyDescent="0.25">
      <c r="A642" s="124"/>
      <c r="B642" s="142"/>
      <c r="C642" s="115"/>
      <c r="D642" s="115"/>
      <c r="E642" s="115"/>
      <c r="F642" s="115"/>
      <c r="G642" s="60" t="s">
        <v>126</v>
      </c>
      <c r="H642" s="124"/>
      <c r="I642" s="124"/>
      <c r="J642" s="60"/>
      <c r="K642" s="60"/>
      <c r="L642" s="60"/>
      <c r="M642" s="60"/>
      <c r="N642" s="60">
        <f t="shared" ref="N642:N647" si="198">M642*J642*K642*L642</f>
        <v>0</v>
      </c>
      <c r="O642" s="60">
        <f t="shared" ref="O642:O647" si="199">J642*K642*L642</f>
        <v>0</v>
      </c>
    </row>
    <row r="643" spans="1:15" s="38" customFormat="1" ht="10.7" customHeight="1" outlineLevel="1" x14ac:dyDescent="0.25">
      <c r="A643" s="124"/>
      <c r="B643" s="142"/>
      <c r="C643" s="115"/>
      <c r="D643" s="115"/>
      <c r="E643" s="115"/>
      <c r="F643" s="115"/>
      <c r="G643" s="60" t="s">
        <v>127</v>
      </c>
      <c r="H643" s="124"/>
      <c r="I643" s="124"/>
      <c r="J643" s="60"/>
      <c r="K643" s="60"/>
      <c r="L643" s="60"/>
      <c r="M643" s="60"/>
      <c r="N643" s="60">
        <f t="shared" si="198"/>
        <v>0</v>
      </c>
      <c r="O643" s="60">
        <f t="shared" si="199"/>
        <v>0</v>
      </c>
    </row>
    <row r="644" spans="1:15" s="38" customFormat="1" ht="10.7" customHeight="1" outlineLevel="1" x14ac:dyDescent="0.25">
      <c r="A644" s="124"/>
      <c r="B644" s="142"/>
      <c r="C644" s="115"/>
      <c r="D644" s="115"/>
      <c r="E644" s="115"/>
      <c r="F644" s="115"/>
      <c r="G644" s="60" t="s">
        <v>128</v>
      </c>
      <c r="H644" s="124"/>
      <c r="I644" s="124"/>
      <c r="J644" s="60"/>
      <c r="K644" s="60"/>
      <c r="L644" s="60"/>
      <c r="M644" s="60"/>
      <c r="N644" s="60">
        <f t="shared" si="198"/>
        <v>0</v>
      </c>
      <c r="O644" s="60">
        <f t="shared" si="199"/>
        <v>0</v>
      </c>
    </row>
    <row r="645" spans="1:15" s="38" customFormat="1" ht="10.7" customHeight="1" outlineLevel="1" x14ac:dyDescent="0.25">
      <c r="A645" s="124"/>
      <c r="B645" s="142"/>
      <c r="C645" s="115"/>
      <c r="D645" s="115"/>
      <c r="E645" s="115"/>
      <c r="F645" s="115"/>
      <c r="G645" s="60" t="s">
        <v>129</v>
      </c>
      <c r="H645" s="124"/>
      <c r="I645" s="124"/>
      <c r="J645" s="60"/>
      <c r="K645" s="60"/>
      <c r="L645" s="60"/>
      <c r="M645" s="60"/>
      <c r="N645" s="60">
        <f t="shared" si="198"/>
        <v>0</v>
      </c>
      <c r="O645" s="60">
        <f t="shared" si="199"/>
        <v>0</v>
      </c>
    </row>
    <row r="646" spans="1:15" s="38" customFormat="1" ht="10.7" customHeight="1" outlineLevel="1" x14ac:dyDescent="0.25">
      <c r="A646" s="124"/>
      <c r="B646" s="142"/>
      <c r="C646" s="115"/>
      <c r="D646" s="115"/>
      <c r="E646" s="115"/>
      <c r="F646" s="115"/>
      <c r="G646" s="60" t="s">
        <v>130</v>
      </c>
      <c r="H646" s="124"/>
      <c r="I646" s="124"/>
      <c r="J646" s="60"/>
      <c r="K646" s="60"/>
      <c r="L646" s="60"/>
      <c r="M646" s="60"/>
      <c r="N646" s="60">
        <f t="shared" si="198"/>
        <v>0</v>
      </c>
      <c r="O646" s="60">
        <f t="shared" si="199"/>
        <v>0</v>
      </c>
    </row>
    <row r="647" spans="1:15" s="38" customFormat="1" ht="12" customHeight="1" outlineLevel="1" thickBot="1" x14ac:dyDescent="0.3">
      <c r="A647" s="125"/>
      <c r="B647" s="143"/>
      <c r="C647" s="131"/>
      <c r="D647" s="131"/>
      <c r="E647" s="131"/>
      <c r="F647" s="131"/>
      <c r="G647" s="60" t="s">
        <v>131</v>
      </c>
      <c r="H647" s="134"/>
      <c r="I647" s="134"/>
      <c r="J647" s="60"/>
      <c r="K647" s="60"/>
      <c r="L647" s="60"/>
      <c r="M647" s="60"/>
      <c r="N647" s="60">
        <f t="shared" si="198"/>
        <v>0</v>
      </c>
      <c r="O647" s="60">
        <f t="shared" si="199"/>
        <v>0</v>
      </c>
    </row>
    <row r="648" spans="1:15" s="38" customFormat="1" ht="14.45" customHeight="1" outlineLevel="1" x14ac:dyDescent="0.25">
      <c r="A648" s="140" t="s">
        <v>706</v>
      </c>
      <c r="B648" s="141" t="s">
        <v>707</v>
      </c>
      <c r="C648" s="130">
        <f>SUM(N648:N654)</f>
        <v>0</v>
      </c>
      <c r="D648" s="130">
        <f>SUM(O648:O654)</f>
        <v>0</v>
      </c>
      <c r="E648" s="130">
        <f t="shared" ref="E648:E711" si="200">D648/8</f>
        <v>0</v>
      </c>
      <c r="F648" s="130"/>
      <c r="G648" s="60" t="s">
        <v>125</v>
      </c>
      <c r="H648" s="123"/>
      <c r="I648" s="123"/>
      <c r="J648" s="60"/>
      <c r="K648" s="60"/>
      <c r="L648" s="60"/>
      <c r="M648" s="60"/>
      <c r="N648" s="60">
        <f>M648*J648*K648*L648</f>
        <v>0</v>
      </c>
      <c r="O648" s="60">
        <f>J648*K648*L648</f>
        <v>0</v>
      </c>
    </row>
    <row r="649" spans="1:15" s="38" customFormat="1" ht="11.45" customHeight="1" outlineLevel="1" x14ac:dyDescent="0.25">
      <c r="A649" s="124"/>
      <c r="B649" s="142"/>
      <c r="C649" s="115"/>
      <c r="D649" s="115"/>
      <c r="E649" s="115"/>
      <c r="F649" s="115"/>
      <c r="G649" s="60" t="s">
        <v>126</v>
      </c>
      <c r="H649" s="124"/>
      <c r="I649" s="124"/>
      <c r="J649" s="60"/>
      <c r="K649" s="60"/>
      <c r="L649" s="60"/>
      <c r="M649" s="60"/>
      <c r="N649" s="60">
        <f t="shared" ref="N649:N654" si="201">M649*J649*K649*L649</f>
        <v>0</v>
      </c>
      <c r="O649" s="60">
        <f t="shared" ref="O649:O654" si="202">J649*K649*L649</f>
        <v>0</v>
      </c>
    </row>
    <row r="650" spans="1:15" s="38" customFormat="1" ht="10.7" customHeight="1" outlineLevel="1" x14ac:dyDescent="0.25">
      <c r="A650" s="124"/>
      <c r="B650" s="142"/>
      <c r="C650" s="115"/>
      <c r="D650" s="115"/>
      <c r="E650" s="115"/>
      <c r="F650" s="115"/>
      <c r="G650" s="60" t="s">
        <v>127</v>
      </c>
      <c r="H650" s="124"/>
      <c r="I650" s="124"/>
      <c r="J650" s="60"/>
      <c r="K650" s="60"/>
      <c r="L650" s="60"/>
      <c r="M650" s="60"/>
      <c r="N650" s="60">
        <f t="shared" si="201"/>
        <v>0</v>
      </c>
      <c r="O650" s="60">
        <f t="shared" si="202"/>
        <v>0</v>
      </c>
    </row>
    <row r="651" spans="1:15" s="38" customFormat="1" ht="10.7" customHeight="1" outlineLevel="1" x14ac:dyDescent="0.25">
      <c r="A651" s="124"/>
      <c r="B651" s="142"/>
      <c r="C651" s="115"/>
      <c r="D651" s="115"/>
      <c r="E651" s="115"/>
      <c r="F651" s="115"/>
      <c r="G651" s="60" t="s">
        <v>128</v>
      </c>
      <c r="H651" s="124"/>
      <c r="I651" s="124"/>
      <c r="J651" s="60"/>
      <c r="K651" s="60"/>
      <c r="L651" s="60"/>
      <c r="M651" s="60"/>
      <c r="N651" s="60">
        <f t="shared" si="201"/>
        <v>0</v>
      </c>
      <c r="O651" s="60">
        <f t="shared" si="202"/>
        <v>0</v>
      </c>
    </row>
    <row r="652" spans="1:15" s="38" customFormat="1" ht="10.7" customHeight="1" outlineLevel="1" x14ac:dyDescent="0.25">
      <c r="A652" s="124"/>
      <c r="B652" s="142"/>
      <c r="C652" s="115"/>
      <c r="D652" s="115"/>
      <c r="E652" s="115"/>
      <c r="F652" s="115"/>
      <c r="G652" s="60" t="s">
        <v>129</v>
      </c>
      <c r="H652" s="124"/>
      <c r="I652" s="124"/>
      <c r="J652" s="60"/>
      <c r="K652" s="60"/>
      <c r="L652" s="60"/>
      <c r="M652" s="60"/>
      <c r="N652" s="60">
        <f t="shared" si="201"/>
        <v>0</v>
      </c>
      <c r="O652" s="60">
        <f t="shared" si="202"/>
        <v>0</v>
      </c>
    </row>
    <row r="653" spans="1:15" s="38" customFormat="1" ht="10.7" customHeight="1" outlineLevel="1" x14ac:dyDescent="0.25">
      <c r="A653" s="124"/>
      <c r="B653" s="142"/>
      <c r="C653" s="115"/>
      <c r="D653" s="115"/>
      <c r="E653" s="115"/>
      <c r="F653" s="115"/>
      <c r="G653" s="60" t="s">
        <v>130</v>
      </c>
      <c r="H653" s="124"/>
      <c r="I653" s="124"/>
      <c r="J653" s="60"/>
      <c r="K653" s="60"/>
      <c r="L653" s="60"/>
      <c r="M653" s="60"/>
      <c r="N653" s="60">
        <f t="shared" si="201"/>
        <v>0</v>
      </c>
      <c r="O653" s="60">
        <f t="shared" si="202"/>
        <v>0</v>
      </c>
    </row>
    <row r="654" spans="1:15" s="38" customFormat="1" ht="12" customHeight="1" outlineLevel="1" thickBot="1" x14ac:dyDescent="0.3">
      <c r="A654" s="125"/>
      <c r="B654" s="143"/>
      <c r="C654" s="131"/>
      <c r="D654" s="131"/>
      <c r="E654" s="131"/>
      <c r="F654" s="131"/>
      <c r="G654" s="60" t="s">
        <v>131</v>
      </c>
      <c r="H654" s="134"/>
      <c r="I654" s="134"/>
      <c r="J654" s="60"/>
      <c r="K654" s="60"/>
      <c r="L654" s="60"/>
      <c r="M654" s="60"/>
      <c r="N654" s="60">
        <f t="shared" si="201"/>
        <v>0</v>
      </c>
      <c r="O654" s="60">
        <f t="shared" si="202"/>
        <v>0</v>
      </c>
    </row>
    <row r="655" spans="1:15" s="38" customFormat="1" ht="14.45" customHeight="1" outlineLevel="1" x14ac:dyDescent="0.25">
      <c r="A655" s="140" t="s">
        <v>708</v>
      </c>
      <c r="B655" s="141" t="s">
        <v>709</v>
      </c>
      <c r="C655" s="130">
        <f>SUM(N655:N661)</f>
        <v>0</v>
      </c>
      <c r="D655" s="130">
        <f>SUM(O655:O661)</f>
        <v>0</v>
      </c>
      <c r="E655" s="130">
        <f t="shared" si="200"/>
        <v>0</v>
      </c>
      <c r="F655" s="130"/>
      <c r="G655" s="60" t="s">
        <v>125</v>
      </c>
      <c r="H655" s="123"/>
      <c r="I655" s="123"/>
      <c r="J655" s="60"/>
      <c r="K655" s="60"/>
      <c r="L655" s="60"/>
      <c r="M655" s="60"/>
      <c r="N655" s="60">
        <f>M655*J655*K655*L655</f>
        <v>0</v>
      </c>
      <c r="O655" s="60">
        <f>J655*K655*L655</f>
        <v>0</v>
      </c>
    </row>
    <row r="656" spans="1:15" s="38" customFormat="1" ht="11.45" customHeight="1" outlineLevel="1" x14ac:dyDescent="0.25">
      <c r="A656" s="124"/>
      <c r="B656" s="142"/>
      <c r="C656" s="115"/>
      <c r="D656" s="115"/>
      <c r="E656" s="115"/>
      <c r="F656" s="115"/>
      <c r="G656" s="60" t="s">
        <v>126</v>
      </c>
      <c r="H656" s="124"/>
      <c r="I656" s="124"/>
      <c r="J656" s="60"/>
      <c r="K656" s="60"/>
      <c r="L656" s="60"/>
      <c r="M656" s="60"/>
      <c r="N656" s="60">
        <f t="shared" ref="N656:N661" si="203">M656*J656*K656*L656</f>
        <v>0</v>
      </c>
      <c r="O656" s="60">
        <f t="shared" ref="O656:O661" si="204">J656*K656*L656</f>
        <v>0</v>
      </c>
    </row>
    <row r="657" spans="1:15" s="38" customFormat="1" ht="10.7" customHeight="1" outlineLevel="1" x14ac:dyDescent="0.25">
      <c r="A657" s="124"/>
      <c r="B657" s="142"/>
      <c r="C657" s="115"/>
      <c r="D657" s="115"/>
      <c r="E657" s="115"/>
      <c r="F657" s="115"/>
      <c r="G657" s="60" t="s">
        <v>127</v>
      </c>
      <c r="H657" s="124"/>
      <c r="I657" s="124"/>
      <c r="J657" s="60"/>
      <c r="K657" s="60"/>
      <c r="L657" s="60"/>
      <c r="M657" s="60"/>
      <c r="N657" s="60">
        <f t="shared" si="203"/>
        <v>0</v>
      </c>
      <c r="O657" s="60">
        <f t="shared" si="204"/>
        <v>0</v>
      </c>
    </row>
    <row r="658" spans="1:15" s="38" customFormat="1" ht="10.7" customHeight="1" outlineLevel="1" x14ac:dyDescent="0.25">
      <c r="A658" s="124"/>
      <c r="B658" s="142"/>
      <c r="C658" s="115"/>
      <c r="D658" s="115"/>
      <c r="E658" s="115"/>
      <c r="F658" s="115"/>
      <c r="G658" s="60" t="s">
        <v>128</v>
      </c>
      <c r="H658" s="124"/>
      <c r="I658" s="124"/>
      <c r="J658" s="60"/>
      <c r="K658" s="60"/>
      <c r="L658" s="60"/>
      <c r="M658" s="60"/>
      <c r="N658" s="60">
        <f t="shared" si="203"/>
        <v>0</v>
      </c>
      <c r="O658" s="60">
        <f t="shared" si="204"/>
        <v>0</v>
      </c>
    </row>
    <row r="659" spans="1:15" s="38" customFormat="1" ht="10.7" customHeight="1" outlineLevel="1" x14ac:dyDescent="0.25">
      <c r="A659" s="124"/>
      <c r="B659" s="142"/>
      <c r="C659" s="115"/>
      <c r="D659" s="115"/>
      <c r="E659" s="115"/>
      <c r="F659" s="115"/>
      <c r="G659" s="60" t="s">
        <v>129</v>
      </c>
      <c r="H659" s="124"/>
      <c r="I659" s="124"/>
      <c r="J659" s="60"/>
      <c r="K659" s="60"/>
      <c r="L659" s="60"/>
      <c r="M659" s="60"/>
      <c r="N659" s="60">
        <f t="shared" si="203"/>
        <v>0</v>
      </c>
      <c r="O659" s="60">
        <f t="shared" si="204"/>
        <v>0</v>
      </c>
    </row>
    <row r="660" spans="1:15" s="38" customFormat="1" ht="10.7" customHeight="1" outlineLevel="1" x14ac:dyDescent="0.25">
      <c r="A660" s="124"/>
      <c r="B660" s="142"/>
      <c r="C660" s="115"/>
      <c r="D660" s="115"/>
      <c r="E660" s="115"/>
      <c r="F660" s="115"/>
      <c r="G660" s="60" t="s">
        <v>130</v>
      </c>
      <c r="H660" s="124"/>
      <c r="I660" s="124"/>
      <c r="J660" s="60"/>
      <c r="K660" s="60"/>
      <c r="L660" s="60"/>
      <c r="M660" s="60"/>
      <c r="N660" s="60">
        <f t="shared" si="203"/>
        <v>0</v>
      </c>
      <c r="O660" s="60">
        <f t="shared" si="204"/>
        <v>0</v>
      </c>
    </row>
    <row r="661" spans="1:15" s="38" customFormat="1" ht="12" customHeight="1" outlineLevel="1" thickBot="1" x14ac:dyDescent="0.3">
      <c r="A661" s="125"/>
      <c r="B661" s="143"/>
      <c r="C661" s="131"/>
      <c r="D661" s="131"/>
      <c r="E661" s="131"/>
      <c r="F661" s="131"/>
      <c r="G661" s="60" t="s">
        <v>131</v>
      </c>
      <c r="H661" s="134"/>
      <c r="I661" s="134"/>
      <c r="J661" s="60"/>
      <c r="K661" s="60"/>
      <c r="L661" s="60"/>
      <c r="M661" s="60"/>
      <c r="N661" s="60">
        <f t="shared" si="203"/>
        <v>0</v>
      </c>
      <c r="O661" s="60">
        <f t="shared" si="204"/>
        <v>0</v>
      </c>
    </row>
    <row r="662" spans="1:15" s="38" customFormat="1" ht="14.45" customHeight="1" outlineLevel="1" x14ac:dyDescent="0.25">
      <c r="A662" s="140" t="s">
        <v>710</v>
      </c>
      <c r="B662" s="141" t="s">
        <v>711</v>
      </c>
      <c r="C662" s="130">
        <f>SUM(N662:N668)</f>
        <v>0</v>
      </c>
      <c r="D662" s="130">
        <f>SUM(O662:O668)</f>
        <v>0</v>
      </c>
      <c r="E662" s="130">
        <f t="shared" si="200"/>
        <v>0</v>
      </c>
      <c r="F662" s="130"/>
      <c r="G662" s="60" t="s">
        <v>125</v>
      </c>
      <c r="H662" s="123"/>
      <c r="I662" s="123"/>
      <c r="J662" s="60"/>
      <c r="K662" s="60"/>
      <c r="L662" s="60"/>
      <c r="M662" s="60"/>
      <c r="N662" s="60">
        <f>M662*J662*K662*L662</f>
        <v>0</v>
      </c>
      <c r="O662" s="60">
        <f>J662*K662*L662</f>
        <v>0</v>
      </c>
    </row>
    <row r="663" spans="1:15" s="38" customFormat="1" ht="11.45" customHeight="1" outlineLevel="1" x14ac:dyDescent="0.25">
      <c r="A663" s="124"/>
      <c r="B663" s="142"/>
      <c r="C663" s="115"/>
      <c r="D663" s="115"/>
      <c r="E663" s="115"/>
      <c r="F663" s="115"/>
      <c r="G663" s="60" t="s">
        <v>126</v>
      </c>
      <c r="H663" s="124"/>
      <c r="I663" s="124"/>
      <c r="J663" s="60"/>
      <c r="K663" s="60"/>
      <c r="L663" s="60"/>
      <c r="M663" s="60"/>
      <c r="N663" s="60">
        <f t="shared" ref="N663:N668" si="205">M663*J663*K663*L663</f>
        <v>0</v>
      </c>
      <c r="O663" s="60">
        <f t="shared" ref="O663:O668" si="206">J663*K663*L663</f>
        <v>0</v>
      </c>
    </row>
    <row r="664" spans="1:15" s="38" customFormat="1" ht="10.7" customHeight="1" outlineLevel="1" x14ac:dyDescent="0.25">
      <c r="A664" s="124"/>
      <c r="B664" s="142"/>
      <c r="C664" s="115"/>
      <c r="D664" s="115"/>
      <c r="E664" s="115"/>
      <c r="F664" s="115"/>
      <c r="G664" s="60" t="s">
        <v>127</v>
      </c>
      <c r="H664" s="124"/>
      <c r="I664" s="124"/>
      <c r="J664" s="60"/>
      <c r="K664" s="60"/>
      <c r="L664" s="60"/>
      <c r="M664" s="60"/>
      <c r="N664" s="60">
        <f t="shared" si="205"/>
        <v>0</v>
      </c>
      <c r="O664" s="60">
        <f t="shared" si="206"/>
        <v>0</v>
      </c>
    </row>
    <row r="665" spans="1:15" s="38" customFormat="1" ht="10.7" customHeight="1" outlineLevel="1" x14ac:dyDescent="0.25">
      <c r="A665" s="124"/>
      <c r="B665" s="142"/>
      <c r="C665" s="115"/>
      <c r="D665" s="115"/>
      <c r="E665" s="115"/>
      <c r="F665" s="115"/>
      <c r="G665" s="60" t="s">
        <v>128</v>
      </c>
      <c r="H665" s="124"/>
      <c r="I665" s="124"/>
      <c r="J665" s="60"/>
      <c r="K665" s="60"/>
      <c r="L665" s="60"/>
      <c r="M665" s="60"/>
      <c r="N665" s="60">
        <f t="shared" si="205"/>
        <v>0</v>
      </c>
      <c r="O665" s="60">
        <f t="shared" si="206"/>
        <v>0</v>
      </c>
    </row>
    <row r="666" spans="1:15" s="38" customFormat="1" ht="10.7" customHeight="1" outlineLevel="1" x14ac:dyDescent="0.25">
      <c r="A666" s="124"/>
      <c r="B666" s="142"/>
      <c r="C666" s="115"/>
      <c r="D666" s="115"/>
      <c r="E666" s="115"/>
      <c r="F666" s="115"/>
      <c r="G666" s="60" t="s">
        <v>129</v>
      </c>
      <c r="H666" s="124"/>
      <c r="I666" s="124"/>
      <c r="J666" s="60"/>
      <c r="K666" s="60"/>
      <c r="L666" s="60"/>
      <c r="M666" s="60"/>
      <c r="N666" s="60">
        <f t="shared" si="205"/>
        <v>0</v>
      </c>
      <c r="O666" s="60">
        <f t="shared" si="206"/>
        <v>0</v>
      </c>
    </row>
    <row r="667" spans="1:15" s="38" customFormat="1" ht="10.7" customHeight="1" outlineLevel="1" x14ac:dyDescent="0.25">
      <c r="A667" s="124"/>
      <c r="B667" s="142"/>
      <c r="C667" s="115"/>
      <c r="D667" s="115"/>
      <c r="E667" s="115"/>
      <c r="F667" s="115"/>
      <c r="G667" s="60" t="s">
        <v>130</v>
      </c>
      <c r="H667" s="124"/>
      <c r="I667" s="124"/>
      <c r="J667" s="60"/>
      <c r="K667" s="60"/>
      <c r="L667" s="60"/>
      <c r="M667" s="60"/>
      <c r="N667" s="60">
        <f t="shared" si="205"/>
        <v>0</v>
      </c>
      <c r="O667" s="60">
        <f t="shared" si="206"/>
        <v>0</v>
      </c>
    </row>
    <row r="668" spans="1:15" s="38" customFormat="1" ht="12" customHeight="1" outlineLevel="1" thickBot="1" x14ac:dyDescent="0.3">
      <c r="A668" s="125"/>
      <c r="B668" s="143"/>
      <c r="C668" s="131"/>
      <c r="D668" s="131"/>
      <c r="E668" s="131"/>
      <c r="F668" s="131"/>
      <c r="G668" s="60" t="s">
        <v>131</v>
      </c>
      <c r="H668" s="134"/>
      <c r="I668" s="134"/>
      <c r="J668" s="60"/>
      <c r="K668" s="60"/>
      <c r="L668" s="60"/>
      <c r="M668" s="60"/>
      <c r="N668" s="60">
        <f t="shared" si="205"/>
        <v>0</v>
      </c>
      <c r="O668" s="60">
        <f t="shared" si="206"/>
        <v>0</v>
      </c>
    </row>
    <row r="669" spans="1:15" s="38" customFormat="1" ht="14.45" customHeight="1" outlineLevel="1" x14ac:dyDescent="0.25">
      <c r="A669" s="140" t="s">
        <v>712</v>
      </c>
      <c r="B669" s="141" t="s">
        <v>713</v>
      </c>
      <c r="C669" s="130">
        <f>SUM(N669:N675)</f>
        <v>0</v>
      </c>
      <c r="D669" s="130">
        <f>SUM(O669:O675)</f>
        <v>0</v>
      </c>
      <c r="E669" s="130">
        <f t="shared" si="200"/>
        <v>0</v>
      </c>
      <c r="F669" s="130"/>
      <c r="G669" s="60" t="s">
        <v>125</v>
      </c>
      <c r="H669" s="123"/>
      <c r="I669" s="123"/>
      <c r="J669" s="60"/>
      <c r="K669" s="60"/>
      <c r="L669" s="60"/>
      <c r="M669" s="60"/>
      <c r="N669" s="60">
        <f>M669*J669*K669*L669</f>
        <v>0</v>
      </c>
      <c r="O669" s="60">
        <f>J669*K669*L669</f>
        <v>0</v>
      </c>
    </row>
    <row r="670" spans="1:15" s="38" customFormat="1" ht="11.45" customHeight="1" outlineLevel="1" x14ac:dyDescent="0.25">
      <c r="A670" s="124"/>
      <c r="B670" s="142"/>
      <c r="C670" s="115"/>
      <c r="D670" s="115"/>
      <c r="E670" s="115"/>
      <c r="F670" s="115"/>
      <c r="G670" s="60" t="s">
        <v>126</v>
      </c>
      <c r="H670" s="124"/>
      <c r="I670" s="124"/>
      <c r="J670" s="60"/>
      <c r="K670" s="60"/>
      <c r="L670" s="60"/>
      <c r="M670" s="60"/>
      <c r="N670" s="60">
        <f t="shared" ref="N670:N675" si="207">M670*J670*K670*L670</f>
        <v>0</v>
      </c>
      <c r="O670" s="60">
        <f t="shared" ref="O670:O675" si="208">J670*K670*L670</f>
        <v>0</v>
      </c>
    </row>
    <row r="671" spans="1:15" s="38" customFormat="1" ht="10.7" customHeight="1" outlineLevel="1" x14ac:dyDescent="0.25">
      <c r="A671" s="124"/>
      <c r="B671" s="142"/>
      <c r="C671" s="115"/>
      <c r="D671" s="115"/>
      <c r="E671" s="115"/>
      <c r="F671" s="115"/>
      <c r="G671" s="60" t="s">
        <v>127</v>
      </c>
      <c r="H671" s="124"/>
      <c r="I671" s="124"/>
      <c r="J671" s="60"/>
      <c r="K671" s="60"/>
      <c r="L671" s="60"/>
      <c r="M671" s="60"/>
      <c r="N671" s="60">
        <f t="shared" si="207"/>
        <v>0</v>
      </c>
      <c r="O671" s="60">
        <f t="shared" si="208"/>
        <v>0</v>
      </c>
    </row>
    <row r="672" spans="1:15" s="38" customFormat="1" ht="10.7" customHeight="1" outlineLevel="1" x14ac:dyDescent="0.25">
      <c r="A672" s="124"/>
      <c r="B672" s="142"/>
      <c r="C672" s="115"/>
      <c r="D672" s="115"/>
      <c r="E672" s="115"/>
      <c r="F672" s="115"/>
      <c r="G672" s="60" t="s">
        <v>128</v>
      </c>
      <c r="H672" s="124"/>
      <c r="I672" s="124"/>
      <c r="J672" s="60"/>
      <c r="K672" s="60"/>
      <c r="L672" s="60"/>
      <c r="M672" s="60"/>
      <c r="N672" s="60">
        <f t="shared" si="207"/>
        <v>0</v>
      </c>
      <c r="O672" s="60">
        <f t="shared" si="208"/>
        <v>0</v>
      </c>
    </row>
    <row r="673" spans="1:15" s="38" customFormat="1" ht="10.7" customHeight="1" outlineLevel="1" x14ac:dyDescent="0.25">
      <c r="A673" s="124"/>
      <c r="B673" s="142"/>
      <c r="C673" s="115"/>
      <c r="D673" s="115"/>
      <c r="E673" s="115"/>
      <c r="F673" s="115"/>
      <c r="G673" s="60" t="s">
        <v>129</v>
      </c>
      <c r="H673" s="124"/>
      <c r="I673" s="124"/>
      <c r="J673" s="60"/>
      <c r="K673" s="60"/>
      <c r="L673" s="60"/>
      <c r="M673" s="60"/>
      <c r="N673" s="60">
        <f t="shared" si="207"/>
        <v>0</v>
      </c>
      <c r="O673" s="60">
        <f t="shared" si="208"/>
        <v>0</v>
      </c>
    </row>
    <row r="674" spans="1:15" s="38" customFormat="1" ht="10.7" customHeight="1" outlineLevel="1" x14ac:dyDescent="0.25">
      <c r="A674" s="124"/>
      <c r="B674" s="142"/>
      <c r="C674" s="115"/>
      <c r="D674" s="115"/>
      <c r="E674" s="115"/>
      <c r="F674" s="115"/>
      <c r="G674" s="60" t="s">
        <v>130</v>
      </c>
      <c r="H674" s="124"/>
      <c r="I674" s="124"/>
      <c r="J674" s="60"/>
      <c r="K674" s="60"/>
      <c r="L674" s="60"/>
      <c r="M674" s="60"/>
      <c r="N674" s="60">
        <f t="shared" si="207"/>
        <v>0</v>
      </c>
      <c r="O674" s="60">
        <f t="shared" si="208"/>
        <v>0</v>
      </c>
    </row>
    <row r="675" spans="1:15" s="38" customFormat="1" ht="12" customHeight="1" outlineLevel="1" thickBot="1" x14ac:dyDescent="0.3">
      <c r="A675" s="125"/>
      <c r="B675" s="143"/>
      <c r="C675" s="131"/>
      <c r="D675" s="131"/>
      <c r="E675" s="131"/>
      <c r="F675" s="131"/>
      <c r="G675" s="60" t="s">
        <v>131</v>
      </c>
      <c r="H675" s="134"/>
      <c r="I675" s="134"/>
      <c r="J675" s="60"/>
      <c r="K675" s="60"/>
      <c r="L675" s="60"/>
      <c r="M675" s="60"/>
      <c r="N675" s="60">
        <f t="shared" si="207"/>
        <v>0</v>
      </c>
      <c r="O675" s="60">
        <f t="shared" si="208"/>
        <v>0</v>
      </c>
    </row>
    <row r="676" spans="1:15" s="38" customFormat="1" ht="14.45" customHeight="1" outlineLevel="1" x14ac:dyDescent="0.25">
      <c r="A676" s="140" t="s">
        <v>714</v>
      </c>
      <c r="B676" s="141" t="s">
        <v>715</v>
      </c>
      <c r="C676" s="130">
        <f>SUM(N676:N682)</f>
        <v>0</v>
      </c>
      <c r="D676" s="130">
        <f>SUM(O676:O682)</f>
        <v>0</v>
      </c>
      <c r="E676" s="130">
        <f t="shared" si="200"/>
        <v>0</v>
      </c>
      <c r="F676" s="130"/>
      <c r="G676" s="60" t="s">
        <v>125</v>
      </c>
      <c r="H676" s="123"/>
      <c r="I676" s="123"/>
      <c r="J676" s="60"/>
      <c r="K676" s="60"/>
      <c r="L676" s="60"/>
      <c r="M676" s="60"/>
      <c r="N676" s="60">
        <f>M676*J676*K676*L676</f>
        <v>0</v>
      </c>
      <c r="O676" s="60">
        <f>J676*K676*L676</f>
        <v>0</v>
      </c>
    </row>
    <row r="677" spans="1:15" s="38" customFormat="1" ht="11.45" customHeight="1" outlineLevel="1" x14ac:dyDescent="0.25">
      <c r="A677" s="124"/>
      <c r="B677" s="142"/>
      <c r="C677" s="115"/>
      <c r="D677" s="115"/>
      <c r="E677" s="115"/>
      <c r="F677" s="115"/>
      <c r="G677" s="60" t="s">
        <v>126</v>
      </c>
      <c r="H677" s="124"/>
      <c r="I677" s="124"/>
      <c r="J677" s="60"/>
      <c r="K677" s="60"/>
      <c r="L677" s="60"/>
      <c r="M677" s="60"/>
      <c r="N677" s="60">
        <f t="shared" ref="N677:N682" si="209">M677*J677*K677*L677</f>
        <v>0</v>
      </c>
      <c r="O677" s="60">
        <f t="shared" ref="O677:O682" si="210">J677*K677*L677</f>
        <v>0</v>
      </c>
    </row>
    <row r="678" spans="1:15" s="38" customFormat="1" ht="10.7" customHeight="1" outlineLevel="1" x14ac:dyDescent="0.25">
      <c r="A678" s="124"/>
      <c r="B678" s="142"/>
      <c r="C678" s="115"/>
      <c r="D678" s="115"/>
      <c r="E678" s="115"/>
      <c r="F678" s="115"/>
      <c r="G678" s="60" t="s">
        <v>127</v>
      </c>
      <c r="H678" s="124"/>
      <c r="I678" s="124"/>
      <c r="J678" s="60"/>
      <c r="K678" s="60"/>
      <c r="L678" s="60"/>
      <c r="M678" s="60"/>
      <c r="N678" s="60">
        <f t="shared" si="209"/>
        <v>0</v>
      </c>
      <c r="O678" s="60">
        <f t="shared" si="210"/>
        <v>0</v>
      </c>
    </row>
    <row r="679" spans="1:15" s="38" customFormat="1" ht="10.7" customHeight="1" outlineLevel="1" x14ac:dyDescent="0.25">
      <c r="A679" s="124"/>
      <c r="B679" s="142"/>
      <c r="C679" s="115"/>
      <c r="D679" s="115"/>
      <c r="E679" s="115"/>
      <c r="F679" s="115"/>
      <c r="G679" s="60" t="s">
        <v>128</v>
      </c>
      <c r="H679" s="124"/>
      <c r="I679" s="124"/>
      <c r="J679" s="60"/>
      <c r="K679" s="60"/>
      <c r="L679" s="60"/>
      <c r="M679" s="60"/>
      <c r="N679" s="60">
        <f t="shared" si="209"/>
        <v>0</v>
      </c>
      <c r="O679" s="60">
        <f t="shared" si="210"/>
        <v>0</v>
      </c>
    </row>
    <row r="680" spans="1:15" s="38" customFormat="1" ht="10.7" customHeight="1" outlineLevel="1" x14ac:dyDescent="0.25">
      <c r="A680" s="124"/>
      <c r="B680" s="142"/>
      <c r="C680" s="115"/>
      <c r="D680" s="115"/>
      <c r="E680" s="115"/>
      <c r="F680" s="115"/>
      <c r="G680" s="60" t="s">
        <v>129</v>
      </c>
      <c r="H680" s="124"/>
      <c r="I680" s="124"/>
      <c r="J680" s="60"/>
      <c r="K680" s="60"/>
      <c r="L680" s="60"/>
      <c r="M680" s="60"/>
      <c r="N680" s="60">
        <f t="shared" si="209"/>
        <v>0</v>
      </c>
      <c r="O680" s="60">
        <f t="shared" si="210"/>
        <v>0</v>
      </c>
    </row>
    <row r="681" spans="1:15" s="38" customFormat="1" ht="10.7" customHeight="1" outlineLevel="1" x14ac:dyDescent="0.25">
      <c r="A681" s="124"/>
      <c r="B681" s="142"/>
      <c r="C681" s="115"/>
      <c r="D681" s="115"/>
      <c r="E681" s="115"/>
      <c r="F681" s="115"/>
      <c r="G681" s="60" t="s">
        <v>130</v>
      </c>
      <c r="H681" s="124"/>
      <c r="I681" s="124"/>
      <c r="J681" s="60"/>
      <c r="K681" s="60"/>
      <c r="L681" s="60"/>
      <c r="M681" s="60"/>
      <c r="N681" s="60">
        <f t="shared" si="209"/>
        <v>0</v>
      </c>
      <c r="O681" s="60">
        <f t="shared" si="210"/>
        <v>0</v>
      </c>
    </row>
    <row r="682" spans="1:15" s="38" customFormat="1" ht="12" customHeight="1" outlineLevel="1" thickBot="1" x14ac:dyDescent="0.3">
      <c r="A682" s="125"/>
      <c r="B682" s="143"/>
      <c r="C682" s="131"/>
      <c r="D682" s="131"/>
      <c r="E682" s="131"/>
      <c r="F682" s="131"/>
      <c r="G682" s="60" t="s">
        <v>131</v>
      </c>
      <c r="H682" s="134"/>
      <c r="I682" s="134"/>
      <c r="J682" s="60"/>
      <c r="K682" s="60"/>
      <c r="L682" s="60"/>
      <c r="M682" s="60"/>
      <c r="N682" s="60">
        <f t="shared" si="209"/>
        <v>0</v>
      </c>
      <c r="O682" s="60">
        <f t="shared" si="210"/>
        <v>0</v>
      </c>
    </row>
    <row r="683" spans="1:15" s="38" customFormat="1" ht="14.45" customHeight="1" outlineLevel="1" x14ac:dyDescent="0.25">
      <c r="A683" s="140" t="s">
        <v>716</v>
      </c>
      <c r="B683" s="141" t="s">
        <v>717</v>
      </c>
      <c r="C683" s="130">
        <f>SUM(N683:N689)</f>
        <v>0</v>
      </c>
      <c r="D683" s="130">
        <f>SUM(O683:O689)</f>
        <v>0</v>
      </c>
      <c r="E683" s="130">
        <f t="shared" si="200"/>
        <v>0</v>
      </c>
      <c r="F683" s="130"/>
      <c r="G683" s="60" t="s">
        <v>125</v>
      </c>
      <c r="H683" s="123"/>
      <c r="I683" s="123"/>
      <c r="J683" s="60"/>
      <c r="K683" s="60"/>
      <c r="L683" s="60"/>
      <c r="M683" s="60"/>
      <c r="N683" s="60">
        <f>M683*J683*K683*L683</f>
        <v>0</v>
      </c>
      <c r="O683" s="60">
        <f>J683*K683*L683</f>
        <v>0</v>
      </c>
    </row>
    <row r="684" spans="1:15" s="38" customFormat="1" ht="11.45" customHeight="1" outlineLevel="1" x14ac:dyDescent="0.25">
      <c r="A684" s="124"/>
      <c r="B684" s="142"/>
      <c r="C684" s="115"/>
      <c r="D684" s="115"/>
      <c r="E684" s="115"/>
      <c r="F684" s="115"/>
      <c r="G684" s="60" t="s">
        <v>126</v>
      </c>
      <c r="H684" s="124"/>
      <c r="I684" s="124"/>
      <c r="J684" s="60"/>
      <c r="K684" s="60"/>
      <c r="L684" s="60"/>
      <c r="M684" s="60"/>
      <c r="N684" s="60">
        <f t="shared" ref="N684:N689" si="211">M684*J684*K684*L684</f>
        <v>0</v>
      </c>
      <c r="O684" s="60">
        <f t="shared" ref="O684:O689" si="212">J684*K684*L684</f>
        <v>0</v>
      </c>
    </row>
    <row r="685" spans="1:15" s="38" customFormat="1" ht="10.7" customHeight="1" outlineLevel="1" x14ac:dyDescent="0.25">
      <c r="A685" s="124"/>
      <c r="B685" s="142"/>
      <c r="C685" s="115"/>
      <c r="D685" s="115"/>
      <c r="E685" s="115"/>
      <c r="F685" s="115"/>
      <c r="G685" s="60" t="s">
        <v>127</v>
      </c>
      <c r="H685" s="124"/>
      <c r="I685" s="124"/>
      <c r="J685" s="60"/>
      <c r="K685" s="60"/>
      <c r="L685" s="60"/>
      <c r="M685" s="60"/>
      <c r="N685" s="60">
        <f t="shared" si="211"/>
        <v>0</v>
      </c>
      <c r="O685" s="60">
        <f t="shared" si="212"/>
        <v>0</v>
      </c>
    </row>
    <row r="686" spans="1:15" s="38" customFormat="1" ht="10.7" customHeight="1" outlineLevel="1" x14ac:dyDescent="0.25">
      <c r="A686" s="124"/>
      <c r="B686" s="142"/>
      <c r="C686" s="115"/>
      <c r="D686" s="115"/>
      <c r="E686" s="115"/>
      <c r="F686" s="115"/>
      <c r="G686" s="60" t="s">
        <v>128</v>
      </c>
      <c r="H686" s="124"/>
      <c r="I686" s="124"/>
      <c r="J686" s="60"/>
      <c r="K686" s="60"/>
      <c r="L686" s="60"/>
      <c r="M686" s="60"/>
      <c r="N686" s="60">
        <f t="shared" si="211"/>
        <v>0</v>
      </c>
      <c r="O686" s="60">
        <f t="shared" si="212"/>
        <v>0</v>
      </c>
    </row>
    <row r="687" spans="1:15" s="38" customFormat="1" ht="10.7" customHeight="1" outlineLevel="1" x14ac:dyDescent="0.25">
      <c r="A687" s="124"/>
      <c r="B687" s="142"/>
      <c r="C687" s="115"/>
      <c r="D687" s="115"/>
      <c r="E687" s="115"/>
      <c r="F687" s="115"/>
      <c r="G687" s="60" t="s">
        <v>129</v>
      </c>
      <c r="H687" s="124"/>
      <c r="I687" s="124"/>
      <c r="J687" s="60"/>
      <c r="K687" s="60"/>
      <c r="L687" s="60"/>
      <c r="M687" s="60"/>
      <c r="N687" s="60">
        <f t="shared" si="211"/>
        <v>0</v>
      </c>
      <c r="O687" s="60">
        <f t="shared" si="212"/>
        <v>0</v>
      </c>
    </row>
    <row r="688" spans="1:15" s="38" customFormat="1" ht="10.7" customHeight="1" outlineLevel="1" x14ac:dyDescent="0.25">
      <c r="A688" s="124"/>
      <c r="B688" s="142"/>
      <c r="C688" s="115"/>
      <c r="D688" s="115"/>
      <c r="E688" s="115"/>
      <c r="F688" s="115"/>
      <c r="G688" s="60" t="s">
        <v>130</v>
      </c>
      <c r="H688" s="124"/>
      <c r="I688" s="124"/>
      <c r="J688" s="60"/>
      <c r="K688" s="60"/>
      <c r="L688" s="60"/>
      <c r="M688" s="60"/>
      <c r="N688" s="60">
        <f t="shared" si="211"/>
        <v>0</v>
      </c>
      <c r="O688" s="60">
        <f t="shared" si="212"/>
        <v>0</v>
      </c>
    </row>
    <row r="689" spans="1:15" s="38" customFormat="1" ht="12" customHeight="1" outlineLevel="1" thickBot="1" x14ac:dyDescent="0.3">
      <c r="A689" s="125"/>
      <c r="B689" s="143"/>
      <c r="C689" s="131"/>
      <c r="D689" s="131"/>
      <c r="E689" s="131"/>
      <c r="F689" s="131"/>
      <c r="G689" s="60" t="s">
        <v>131</v>
      </c>
      <c r="H689" s="134"/>
      <c r="I689" s="134"/>
      <c r="J689" s="60"/>
      <c r="K689" s="60"/>
      <c r="L689" s="60"/>
      <c r="M689" s="60"/>
      <c r="N689" s="60">
        <f t="shared" si="211"/>
        <v>0</v>
      </c>
      <c r="O689" s="60">
        <f t="shared" si="212"/>
        <v>0</v>
      </c>
    </row>
    <row r="690" spans="1:15" s="38" customFormat="1" ht="14.45" customHeight="1" outlineLevel="1" x14ac:dyDescent="0.25">
      <c r="A690" s="140" t="s">
        <v>718</v>
      </c>
      <c r="B690" s="141" t="s">
        <v>719</v>
      </c>
      <c r="C690" s="130">
        <f>SUM(N690:N696)</f>
        <v>0</v>
      </c>
      <c r="D690" s="130">
        <f>SUM(O690:O696)</f>
        <v>0</v>
      </c>
      <c r="E690" s="130">
        <f t="shared" si="200"/>
        <v>0</v>
      </c>
      <c r="F690" s="130"/>
      <c r="G690" s="60" t="s">
        <v>125</v>
      </c>
      <c r="H690" s="123"/>
      <c r="I690" s="123"/>
      <c r="J690" s="60"/>
      <c r="K690" s="60"/>
      <c r="L690" s="60"/>
      <c r="M690" s="60"/>
      <c r="N690" s="60">
        <f>M690*J690*K690*L690</f>
        <v>0</v>
      </c>
      <c r="O690" s="60">
        <f>J690*K690*L690</f>
        <v>0</v>
      </c>
    </row>
    <row r="691" spans="1:15" s="38" customFormat="1" ht="11.45" customHeight="1" outlineLevel="1" x14ac:dyDescent="0.25">
      <c r="A691" s="124"/>
      <c r="B691" s="142"/>
      <c r="C691" s="115"/>
      <c r="D691" s="115"/>
      <c r="E691" s="115"/>
      <c r="F691" s="115"/>
      <c r="G691" s="60" t="s">
        <v>126</v>
      </c>
      <c r="H691" s="124"/>
      <c r="I691" s="124"/>
      <c r="J691" s="60"/>
      <c r="K691" s="60"/>
      <c r="L691" s="60"/>
      <c r="M691" s="60"/>
      <c r="N691" s="60">
        <f t="shared" ref="N691:N696" si="213">M691*J691*K691*L691</f>
        <v>0</v>
      </c>
      <c r="O691" s="60">
        <f t="shared" ref="O691:O696" si="214">J691*K691*L691</f>
        <v>0</v>
      </c>
    </row>
    <row r="692" spans="1:15" s="38" customFormat="1" ht="10.7" customHeight="1" outlineLevel="1" x14ac:dyDescent="0.25">
      <c r="A692" s="124"/>
      <c r="B692" s="142"/>
      <c r="C692" s="115"/>
      <c r="D692" s="115"/>
      <c r="E692" s="115"/>
      <c r="F692" s="115"/>
      <c r="G692" s="60" t="s">
        <v>127</v>
      </c>
      <c r="H692" s="124"/>
      <c r="I692" s="124"/>
      <c r="J692" s="60"/>
      <c r="K692" s="60"/>
      <c r="L692" s="60"/>
      <c r="M692" s="60"/>
      <c r="N692" s="60">
        <f t="shared" si="213"/>
        <v>0</v>
      </c>
      <c r="O692" s="60">
        <f t="shared" si="214"/>
        <v>0</v>
      </c>
    </row>
    <row r="693" spans="1:15" s="38" customFormat="1" ht="10.7" customHeight="1" outlineLevel="1" x14ac:dyDescent="0.25">
      <c r="A693" s="124"/>
      <c r="B693" s="142"/>
      <c r="C693" s="115"/>
      <c r="D693" s="115"/>
      <c r="E693" s="115"/>
      <c r="F693" s="115"/>
      <c r="G693" s="60" t="s">
        <v>128</v>
      </c>
      <c r="H693" s="124"/>
      <c r="I693" s="124"/>
      <c r="J693" s="60"/>
      <c r="K693" s="60"/>
      <c r="L693" s="60"/>
      <c r="M693" s="60"/>
      <c r="N693" s="60">
        <f t="shared" si="213"/>
        <v>0</v>
      </c>
      <c r="O693" s="60">
        <f t="shared" si="214"/>
        <v>0</v>
      </c>
    </row>
    <row r="694" spans="1:15" s="38" customFormat="1" ht="10.7" customHeight="1" outlineLevel="1" x14ac:dyDescent="0.25">
      <c r="A694" s="124"/>
      <c r="B694" s="142"/>
      <c r="C694" s="115"/>
      <c r="D694" s="115"/>
      <c r="E694" s="115"/>
      <c r="F694" s="115"/>
      <c r="G694" s="60" t="s">
        <v>129</v>
      </c>
      <c r="H694" s="124"/>
      <c r="I694" s="124"/>
      <c r="J694" s="60"/>
      <c r="K694" s="60"/>
      <c r="L694" s="60"/>
      <c r="M694" s="60"/>
      <c r="N694" s="60">
        <f t="shared" si="213"/>
        <v>0</v>
      </c>
      <c r="O694" s="60">
        <f t="shared" si="214"/>
        <v>0</v>
      </c>
    </row>
    <row r="695" spans="1:15" s="38" customFormat="1" ht="10.7" customHeight="1" outlineLevel="1" x14ac:dyDescent="0.25">
      <c r="A695" s="124"/>
      <c r="B695" s="142"/>
      <c r="C695" s="115"/>
      <c r="D695" s="115"/>
      <c r="E695" s="115"/>
      <c r="F695" s="115"/>
      <c r="G695" s="60" t="s">
        <v>130</v>
      </c>
      <c r="H695" s="124"/>
      <c r="I695" s="124"/>
      <c r="J695" s="60"/>
      <c r="K695" s="60"/>
      <c r="L695" s="60"/>
      <c r="M695" s="60"/>
      <c r="N695" s="60">
        <f t="shared" si="213"/>
        <v>0</v>
      </c>
      <c r="O695" s="60">
        <f t="shared" si="214"/>
        <v>0</v>
      </c>
    </row>
    <row r="696" spans="1:15" s="38" customFormat="1" ht="12" customHeight="1" outlineLevel="1" thickBot="1" x14ac:dyDescent="0.3">
      <c r="A696" s="125"/>
      <c r="B696" s="143"/>
      <c r="C696" s="131"/>
      <c r="D696" s="131"/>
      <c r="E696" s="131"/>
      <c r="F696" s="131"/>
      <c r="G696" s="60" t="s">
        <v>131</v>
      </c>
      <c r="H696" s="134"/>
      <c r="I696" s="134"/>
      <c r="J696" s="60"/>
      <c r="K696" s="60"/>
      <c r="L696" s="60"/>
      <c r="M696" s="60"/>
      <c r="N696" s="60">
        <f t="shared" si="213"/>
        <v>0</v>
      </c>
      <c r="O696" s="60">
        <f t="shared" si="214"/>
        <v>0</v>
      </c>
    </row>
    <row r="697" spans="1:15" s="38" customFormat="1" ht="14.45" customHeight="1" outlineLevel="1" x14ac:dyDescent="0.25">
      <c r="A697" s="140" t="s">
        <v>720</v>
      </c>
      <c r="B697" s="141" t="s">
        <v>721</v>
      </c>
      <c r="C697" s="130">
        <f>SUM(N697:N703)</f>
        <v>0</v>
      </c>
      <c r="D697" s="130">
        <f>SUM(O697:O703)</f>
        <v>0</v>
      </c>
      <c r="E697" s="130">
        <f t="shared" si="200"/>
        <v>0</v>
      </c>
      <c r="F697" s="130"/>
      <c r="G697" s="60" t="s">
        <v>125</v>
      </c>
      <c r="H697" s="123"/>
      <c r="I697" s="123"/>
      <c r="J697" s="60"/>
      <c r="K697" s="60"/>
      <c r="L697" s="60"/>
      <c r="M697" s="60"/>
      <c r="N697" s="60">
        <f>M697*J697*K697*L697</f>
        <v>0</v>
      </c>
      <c r="O697" s="60">
        <f>J697*K697*L697</f>
        <v>0</v>
      </c>
    </row>
    <row r="698" spans="1:15" s="38" customFormat="1" ht="11.45" customHeight="1" outlineLevel="1" x14ac:dyDescent="0.25">
      <c r="A698" s="124"/>
      <c r="B698" s="142"/>
      <c r="C698" s="115"/>
      <c r="D698" s="115"/>
      <c r="E698" s="115"/>
      <c r="F698" s="115"/>
      <c r="G698" s="60" t="s">
        <v>126</v>
      </c>
      <c r="H698" s="124"/>
      <c r="I698" s="124"/>
      <c r="J698" s="60"/>
      <c r="K698" s="60"/>
      <c r="L698" s="60"/>
      <c r="M698" s="60"/>
      <c r="N698" s="60">
        <f t="shared" ref="N698:N703" si="215">M698*J698*K698*L698</f>
        <v>0</v>
      </c>
      <c r="O698" s="60">
        <f t="shared" ref="O698:O703" si="216">J698*K698*L698</f>
        <v>0</v>
      </c>
    </row>
    <row r="699" spans="1:15" s="38" customFormat="1" ht="10.7" customHeight="1" outlineLevel="1" x14ac:dyDescent="0.25">
      <c r="A699" s="124"/>
      <c r="B699" s="142"/>
      <c r="C699" s="115"/>
      <c r="D699" s="115"/>
      <c r="E699" s="115"/>
      <c r="F699" s="115"/>
      <c r="G699" s="60" t="s">
        <v>127</v>
      </c>
      <c r="H699" s="124"/>
      <c r="I699" s="124"/>
      <c r="J699" s="60"/>
      <c r="K699" s="60"/>
      <c r="L699" s="60"/>
      <c r="M699" s="60"/>
      <c r="N699" s="60">
        <f t="shared" si="215"/>
        <v>0</v>
      </c>
      <c r="O699" s="60">
        <f t="shared" si="216"/>
        <v>0</v>
      </c>
    </row>
    <row r="700" spans="1:15" s="38" customFormat="1" ht="10.7" customHeight="1" outlineLevel="1" x14ac:dyDescent="0.25">
      <c r="A700" s="124"/>
      <c r="B700" s="142"/>
      <c r="C700" s="115"/>
      <c r="D700" s="115"/>
      <c r="E700" s="115"/>
      <c r="F700" s="115"/>
      <c r="G700" s="60" t="s">
        <v>128</v>
      </c>
      <c r="H700" s="124"/>
      <c r="I700" s="124"/>
      <c r="J700" s="60"/>
      <c r="K700" s="60"/>
      <c r="L700" s="60"/>
      <c r="M700" s="60"/>
      <c r="N700" s="60">
        <f t="shared" si="215"/>
        <v>0</v>
      </c>
      <c r="O700" s="60">
        <f t="shared" si="216"/>
        <v>0</v>
      </c>
    </row>
    <row r="701" spans="1:15" s="38" customFormat="1" ht="10.7" customHeight="1" outlineLevel="1" x14ac:dyDescent="0.25">
      <c r="A701" s="124"/>
      <c r="B701" s="142"/>
      <c r="C701" s="115"/>
      <c r="D701" s="115"/>
      <c r="E701" s="115"/>
      <c r="F701" s="115"/>
      <c r="G701" s="60" t="s">
        <v>129</v>
      </c>
      <c r="H701" s="124"/>
      <c r="I701" s="124"/>
      <c r="J701" s="60"/>
      <c r="K701" s="60"/>
      <c r="L701" s="60"/>
      <c r="M701" s="60"/>
      <c r="N701" s="60">
        <f t="shared" si="215"/>
        <v>0</v>
      </c>
      <c r="O701" s="60">
        <f t="shared" si="216"/>
        <v>0</v>
      </c>
    </row>
    <row r="702" spans="1:15" s="38" customFormat="1" ht="10.7" customHeight="1" outlineLevel="1" x14ac:dyDescent="0.25">
      <c r="A702" s="124"/>
      <c r="B702" s="142"/>
      <c r="C702" s="115"/>
      <c r="D702" s="115"/>
      <c r="E702" s="115"/>
      <c r="F702" s="115"/>
      <c r="G702" s="60" t="s">
        <v>130</v>
      </c>
      <c r="H702" s="124"/>
      <c r="I702" s="124"/>
      <c r="J702" s="60"/>
      <c r="K702" s="60"/>
      <c r="L702" s="60"/>
      <c r="M702" s="60"/>
      <c r="N702" s="60">
        <f t="shared" si="215"/>
        <v>0</v>
      </c>
      <c r="O702" s="60">
        <f t="shared" si="216"/>
        <v>0</v>
      </c>
    </row>
    <row r="703" spans="1:15" s="38" customFormat="1" ht="12" customHeight="1" outlineLevel="1" thickBot="1" x14ac:dyDescent="0.3">
      <c r="A703" s="125"/>
      <c r="B703" s="143"/>
      <c r="C703" s="131"/>
      <c r="D703" s="131"/>
      <c r="E703" s="131"/>
      <c r="F703" s="131"/>
      <c r="G703" s="60" t="s">
        <v>131</v>
      </c>
      <c r="H703" s="134"/>
      <c r="I703" s="134"/>
      <c r="J703" s="60"/>
      <c r="K703" s="60"/>
      <c r="L703" s="60"/>
      <c r="M703" s="60"/>
      <c r="N703" s="60">
        <f t="shared" si="215"/>
        <v>0</v>
      </c>
      <c r="O703" s="60">
        <f t="shared" si="216"/>
        <v>0</v>
      </c>
    </row>
    <row r="704" spans="1:15" s="38" customFormat="1" ht="14.45" customHeight="1" outlineLevel="1" x14ac:dyDescent="0.25">
      <c r="A704" s="140" t="s">
        <v>722</v>
      </c>
      <c r="B704" s="141" t="s">
        <v>723</v>
      </c>
      <c r="C704" s="130">
        <f>SUM(N704:N710)</f>
        <v>0</v>
      </c>
      <c r="D704" s="130">
        <f>SUM(O704:O710)</f>
        <v>0</v>
      </c>
      <c r="E704" s="130">
        <f t="shared" si="200"/>
        <v>0</v>
      </c>
      <c r="F704" s="130"/>
      <c r="G704" s="60" t="s">
        <v>125</v>
      </c>
      <c r="H704" s="123"/>
      <c r="I704" s="123"/>
      <c r="J704" s="60"/>
      <c r="K704" s="60"/>
      <c r="L704" s="60"/>
      <c r="M704" s="60"/>
      <c r="N704" s="60">
        <f>M704*J704*K704*L704</f>
        <v>0</v>
      </c>
      <c r="O704" s="60">
        <f>J704*K704*L704</f>
        <v>0</v>
      </c>
    </row>
    <row r="705" spans="1:15" s="38" customFormat="1" ht="11.45" customHeight="1" outlineLevel="1" x14ac:dyDescent="0.25">
      <c r="A705" s="124"/>
      <c r="B705" s="142"/>
      <c r="C705" s="115"/>
      <c r="D705" s="115"/>
      <c r="E705" s="115"/>
      <c r="F705" s="115"/>
      <c r="G705" s="60" t="s">
        <v>126</v>
      </c>
      <c r="H705" s="124"/>
      <c r="I705" s="124"/>
      <c r="J705" s="60"/>
      <c r="K705" s="60"/>
      <c r="L705" s="60"/>
      <c r="M705" s="60"/>
      <c r="N705" s="60">
        <f t="shared" ref="N705:N710" si="217">M705*J705*K705*L705</f>
        <v>0</v>
      </c>
      <c r="O705" s="60">
        <f t="shared" ref="O705:O710" si="218">J705*K705*L705</f>
        <v>0</v>
      </c>
    </row>
    <row r="706" spans="1:15" s="38" customFormat="1" ht="10.7" customHeight="1" outlineLevel="1" x14ac:dyDescent="0.25">
      <c r="A706" s="124"/>
      <c r="B706" s="142"/>
      <c r="C706" s="115"/>
      <c r="D706" s="115"/>
      <c r="E706" s="115"/>
      <c r="F706" s="115"/>
      <c r="G706" s="60" t="s">
        <v>127</v>
      </c>
      <c r="H706" s="124"/>
      <c r="I706" s="124"/>
      <c r="J706" s="60"/>
      <c r="K706" s="60"/>
      <c r="L706" s="60"/>
      <c r="M706" s="60"/>
      <c r="N706" s="60">
        <f t="shared" si="217"/>
        <v>0</v>
      </c>
      <c r="O706" s="60">
        <f t="shared" si="218"/>
        <v>0</v>
      </c>
    </row>
    <row r="707" spans="1:15" s="38" customFormat="1" ht="10.7" customHeight="1" outlineLevel="1" x14ac:dyDescent="0.25">
      <c r="A707" s="124"/>
      <c r="B707" s="142"/>
      <c r="C707" s="115"/>
      <c r="D707" s="115"/>
      <c r="E707" s="115"/>
      <c r="F707" s="115"/>
      <c r="G707" s="60" t="s">
        <v>128</v>
      </c>
      <c r="H707" s="124"/>
      <c r="I707" s="124"/>
      <c r="J707" s="60"/>
      <c r="K707" s="60"/>
      <c r="L707" s="60"/>
      <c r="M707" s="60"/>
      <c r="N707" s="60">
        <f t="shared" si="217"/>
        <v>0</v>
      </c>
      <c r="O707" s="60">
        <f t="shared" si="218"/>
        <v>0</v>
      </c>
    </row>
    <row r="708" spans="1:15" s="38" customFormat="1" ht="10.7" customHeight="1" outlineLevel="1" x14ac:dyDescent="0.25">
      <c r="A708" s="124"/>
      <c r="B708" s="142"/>
      <c r="C708" s="115"/>
      <c r="D708" s="115"/>
      <c r="E708" s="115"/>
      <c r="F708" s="115"/>
      <c r="G708" s="60" t="s">
        <v>129</v>
      </c>
      <c r="H708" s="124"/>
      <c r="I708" s="124"/>
      <c r="J708" s="60"/>
      <c r="K708" s="60"/>
      <c r="L708" s="60"/>
      <c r="M708" s="60"/>
      <c r="N708" s="60">
        <f t="shared" si="217"/>
        <v>0</v>
      </c>
      <c r="O708" s="60">
        <f t="shared" si="218"/>
        <v>0</v>
      </c>
    </row>
    <row r="709" spans="1:15" s="38" customFormat="1" ht="10.7" customHeight="1" outlineLevel="1" x14ac:dyDescent="0.25">
      <c r="A709" s="124"/>
      <c r="B709" s="142"/>
      <c r="C709" s="115"/>
      <c r="D709" s="115"/>
      <c r="E709" s="115"/>
      <c r="F709" s="115"/>
      <c r="G709" s="60" t="s">
        <v>130</v>
      </c>
      <c r="H709" s="124"/>
      <c r="I709" s="124"/>
      <c r="J709" s="60"/>
      <c r="K709" s="60"/>
      <c r="L709" s="60"/>
      <c r="M709" s="60"/>
      <c r="N709" s="60">
        <f t="shared" si="217"/>
        <v>0</v>
      </c>
      <c r="O709" s="60">
        <f t="shared" si="218"/>
        <v>0</v>
      </c>
    </row>
    <row r="710" spans="1:15" s="38" customFormat="1" ht="12" customHeight="1" outlineLevel="1" thickBot="1" x14ac:dyDescent="0.3">
      <c r="A710" s="125"/>
      <c r="B710" s="143"/>
      <c r="C710" s="131"/>
      <c r="D710" s="131"/>
      <c r="E710" s="131"/>
      <c r="F710" s="131"/>
      <c r="G710" s="60" t="s">
        <v>131</v>
      </c>
      <c r="H710" s="134"/>
      <c r="I710" s="134"/>
      <c r="J710" s="60"/>
      <c r="K710" s="60"/>
      <c r="L710" s="60"/>
      <c r="M710" s="60"/>
      <c r="N710" s="60">
        <f t="shared" si="217"/>
        <v>0</v>
      </c>
      <c r="O710" s="60">
        <f t="shared" si="218"/>
        <v>0</v>
      </c>
    </row>
    <row r="711" spans="1:15" s="38" customFormat="1" ht="14.45" customHeight="1" outlineLevel="1" x14ac:dyDescent="0.25">
      <c r="A711" s="140" t="s">
        <v>724</v>
      </c>
      <c r="B711" s="141" t="s">
        <v>725</v>
      </c>
      <c r="C711" s="130">
        <f>SUM(N711:N717)</f>
        <v>0</v>
      </c>
      <c r="D711" s="130">
        <f>SUM(O711:O717)</f>
        <v>0</v>
      </c>
      <c r="E711" s="130">
        <f t="shared" si="200"/>
        <v>0</v>
      </c>
      <c r="F711" s="130"/>
      <c r="G711" s="60" t="s">
        <v>125</v>
      </c>
      <c r="H711" s="123"/>
      <c r="I711" s="123"/>
      <c r="J711" s="60"/>
      <c r="K711" s="60"/>
      <c r="L711" s="60"/>
      <c r="M711" s="60"/>
      <c r="N711" s="60">
        <f>M711*J711*K711*L711</f>
        <v>0</v>
      </c>
      <c r="O711" s="60">
        <f>J711*K711*L711</f>
        <v>0</v>
      </c>
    </row>
    <row r="712" spans="1:15" s="38" customFormat="1" ht="11.45" customHeight="1" outlineLevel="1" x14ac:dyDescent="0.25">
      <c r="A712" s="124"/>
      <c r="B712" s="142"/>
      <c r="C712" s="115"/>
      <c r="D712" s="115"/>
      <c r="E712" s="115"/>
      <c r="F712" s="115"/>
      <c r="G712" s="60" t="s">
        <v>126</v>
      </c>
      <c r="H712" s="124"/>
      <c r="I712" s="124"/>
      <c r="J712" s="60"/>
      <c r="K712" s="60"/>
      <c r="L712" s="60"/>
      <c r="M712" s="60"/>
      <c r="N712" s="60">
        <f t="shared" ref="N712:N717" si="219">M712*J712*K712*L712</f>
        <v>0</v>
      </c>
      <c r="O712" s="60">
        <f t="shared" ref="O712:O717" si="220">J712*K712*L712</f>
        <v>0</v>
      </c>
    </row>
    <row r="713" spans="1:15" s="38" customFormat="1" ht="10.7" customHeight="1" outlineLevel="1" x14ac:dyDescent="0.25">
      <c r="A713" s="124"/>
      <c r="B713" s="142"/>
      <c r="C713" s="115"/>
      <c r="D713" s="115"/>
      <c r="E713" s="115"/>
      <c r="F713" s="115"/>
      <c r="G713" s="60" t="s">
        <v>127</v>
      </c>
      <c r="H713" s="124"/>
      <c r="I713" s="124"/>
      <c r="J713" s="60"/>
      <c r="K713" s="60"/>
      <c r="L713" s="60"/>
      <c r="M713" s="60"/>
      <c r="N713" s="60">
        <f t="shared" si="219"/>
        <v>0</v>
      </c>
      <c r="O713" s="60">
        <f t="shared" si="220"/>
        <v>0</v>
      </c>
    </row>
    <row r="714" spans="1:15" s="38" customFormat="1" ht="10.7" customHeight="1" outlineLevel="1" x14ac:dyDescent="0.25">
      <c r="A714" s="124"/>
      <c r="B714" s="142"/>
      <c r="C714" s="115"/>
      <c r="D714" s="115"/>
      <c r="E714" s="115"/>
      <c r="F714" s="115"/>
      <c r="G714" s="60" t="s">
        <v>128</v>
      </c>
      <c r="H714" s="124"/>
      <c r="I714" s="124"/>
      <c r="J714" s="60"/>
      <c r="K714" s="60"/>
      <c r="L714" s="60"/>
      <c r="M714" s="60"/>
      <c r="N714" s="60">
        <f t="shared" si="219"/>
        <v>0</v>
      </c>
      <c r="O714" s="60">
        <f t="shared" si="220"/>
        <v>0</v>
      </c>
    </row>
    <row r="715" spans="1:15" s="38" customFormat="1" ht="10.7" customHeight="1" outlineLevel="1" x14ac:dyDescent="0.25">
      <c r="A715" s="124"/>
      <c r="B715" s="142"/>
      <c r="C715" s="115"/>
      <c r="D715" s="115"/>
      <c r="E715" s="115"/>
      <c r="F715" s="115"/>
      <c r="G715" s="60" t="s">
        <v>129</v>
      </c>
      <c r="H715" s="124"/>
      <c r="I715" s="124"/>
      <c r="J715" s="60"/>
      <c r="K715" s="60"/>
      <c r="L715" s="60"/>
      <c r="M715" s="60"/>
      <c r="N715" s="60">
        <f t="shared" si="219"/>
        <v>0</v>
      </c>
      <c r="O715" s="60">
        <f t="shared" si="220"/>
        <v>0</v>
      </c>
    </row>
    <row r="716" spans="1:15" s="38" customFormat="1" ht="10.7" customHeight="1" outlineLevel="1" x14ac:dyDescent="0.25">
      <c r="A716" s="124"/>
      <c r="B716" s="142"/>
      <c r="C716" s="115"/>
      <c r="D716" s="115"/>
      <c r="E716" s="115"/>
      <c r="F716" s="115"/>
      <c r="G716" s="60" t="s">
        <v>130</v>
      </c>
      <c r="H716" s="124"/>
      <c r="I716" s="124"/>
      <c r="J716" s="60"/>
      <c r="K716" s="60"/>
      <c r="L716" s="60"/>
      <c r="M716" s="60"/>
      <c r="N716" s="60">
        <f t="shared" si="219"/>
        <v>0</v>
      </c>
      <c r="O716" s="60">
        <f t="shared" si="220"/>
        <v>0</v>
      </c>
    </row>
    <row r="717" spans="1:15" s="38" customFormat="1" ht="12" customHeight="1" outlineLevel="1" thickBot="1" x14ac:dyDescent="0.3">
      <c r="A717" s="125"/>
      <c r="B717" s="143"/>
      <c r="C717" s="131"/>
      <c r="D717" s="131"/>
      <c r="E717" s="131"/>
      <c r="F717" s="131"/>
      <c r="G717" s="60" t="s">
        <v>131</v>
      </c>
      <c r="H717" s="134"/>
      <c r="I717" s="134"/>
      <c r="J717" s="60"/>
      <c r="K717" s="60"/>
      <c r="L717" s="60"/>
      <c r="M717" s="60"/>
      <c r="N717" s="60">
        <f t="shared" si="219"/>
        <v>0</v>
      </c>
      <c r="O717" s="60">
        <f t="shared" si="220"/>
        <v>0</v>
      </c>
    </row>
    <row r="718" spans="1:15" s="38" customFormat="1" ht="14.45" customHeight="1" outlineLevel="1" x14ac:dyDescent="0.25">
      <c r="A718" s="140" t="s">
        <v>726</v>
      </c>
      <c r="B718" s="141" t="s">
        <v>727</v>
      </c>
      <c r="C718" s="130">
        <f>SUM(N718:N724)</f>
        <v>0</v>
      </c>
      <c r="D718" s="130">
        <f>SUM(O718:O724)</f>
        <v>0</v>
      </c>
      <c r="E718" s="130">
        <f t="shared" ref="E718:E739" si="221">D718/8</f>
        <v>0</v>
      </c>
      <c r="F718" s="130"/>
      <c r="G718" s="60" t="s">
        <v>125</v>
      </c>
      <c r="H718" s="123"/>
      <c r="I718" s="123"/>
      <c r="J718" s="60"/>
      <c r="K718" s="60"/>
      <c r="L718" s="60"/>
      <c r="M718" s="60"/>
      <c r="N718" s="60">
        <f>M718*J718*K718*L718</f>
        <v>0</v>
      </c>
      <c r="O718" s="60">
        <f>J718*K718*L718</f>
        <v>0</v>
      </c>
    </row>
    <row r="719" spans="1:15" s="38" customFormat="1" ht="11.45" customHeight="1" outlineLevel="1" x14ac:dyDescent="0.25">
      <c r="A719" s="124"/>
      <c r="B719" s="142"/>
      <c r="C719" s="115"/>
      <c r="D719" s="115"/>
      <c r="E719" s="115"/>
      <c r="F719" s="115"/>
      <c r="G719" s="60" t="s">
        <v>126</v>
      </c>
      <c r="H719" s="124"/>
      <c r="I719" s="124"/>
      <c r="J719" s="60"/>
      <c r="K719" s="60"/>
      <c r="L719" s="60"/>
      <c r="M719" s="60"/>
      <c r="N719" s="60">
        <f t="shared" ref="N719:N724" si="222">M719*J719*K719*L719</f>
        <v>0</v>
      </c>
      <c r="O719" s="60">
        <f t="shared" ref="O719:O724" si="223">J719*K719*L719</f>
        <v>0</v>
      </c>
    </row>
    <row r="720" spans="1:15" s="38" customFormat="1" ht="10.7" customHeight="1" outlineLevel="1" x14ac:dyDescent="0.25">
      <c r="A720" s="124"/>
      <c r="B720" s="142"/>
      <c r="C720" s="115"/>
      <c r="D720" s="115"/>
      <c r="E720" s="115"/>
      <c r="F720" s="115"/>
      <c r="G720" s="60" t="s">
        <v>127</v>
      </c>
      <c r="H720" s="124"/>
      <c r="I720" s="124"/>
      <c r="J720" s="60"/>
      <c r="K720" s="60"/>
      <c r="L720" s="60"/>
      <c r="M720" s="60"/>
      <c r="N720" s="60">
        <f t="shared" si="222"/>
        <v>0</v>
      </c>
      <c r="O720" s="60">
        <f t="shared" si="223"/>
        <v>0</v>
      </c>
    </row>
    <row r="721" spans="1:15" s="38" customFormat="1" ht="10.7" customHeight="1" outlineLevel="1" x14ac:dyDescent="0.25">
      <c r="A721" s="124"/>
      <c r="B721" s="142"/>
      <c r="C721" s="115"/>
      <c r="D721" s="115"/>
      <c r="E721" s="115"/>
      <c r="F721" s="115"/>
      <c r="G721" s="60" t="s">
        <v>128</v>
      </c>
      <c r="H721" s="124"/>
      <c r="I721" s="124"/>
      <c r="J721" s="60"/>
      <c r="K721" s="60"/>
      <c r="L721" s="60"/>
      <c r="M721" s="60"/>
      <c r="N721" s="60">
        <f t="shared" si="222"/>
        <v>0</v>
      </c>
      <c r="O721" s="60">
        <f t="shared" si="223"/>
        <v>0</v>
      </c>
    </row>
    <row r="722" spans="1:15" s="38" customFormat="1" ht="10.7" customHeight="1" outlineLevel="1" x14ac:dyDescent="0.25">
      <c r="A722" s="124"/>
      <c r="B722" s="142"/>
      <c r="C722" s="115"/>
      <c r="D722" s="115"/>
      <c r="E722" s="115"/>
      <c r="F722" s="115"/>
      <c r="G722" s="60" t="s">
        <v>129</v>
      </c>
      <c r="H722" s="124"/>
      <c r="I722" s="124"/>
      <c r="J722" s="60"/>
      <c r="K722" s="60"/>
      <c r="L722" s="60"/>
      <c r="M722" s="60"/>
      <c r="N722" s="60">
        <f t="shared" si="222"/>
        <v>0</v>
      </c>
      <c r="O722" s="60">
        <f t="shared" si="223"/>
        <v>0</v>
      </c>
    </row>
    <row r="723" spans="1:15" s="38" customFormat="1" ht="10.7" customHeight="1" outlineLevel="1" x14ac:dyDescent="0.25">
      <c r="A723" s="124"/>
      <c r="B723" s="142"/>
      <c r="C723" s="115"/>
      <c r="D723" s="115"/>
      <c r="E723" s="115"/>
      <c r="F723" s="115"/>
      <c r="G723" s="60" t="s">
        <v>130</v>
      </c>
      <c r="H723" s="124"/>
      <c r="I723" s="124"/>
      <c r="J723" s="60"/>
      <c r="K723" s="60"/>
      <c r="L723" s="60"/>
      <c r="M723" s="60"/>
      <c r="N723" s="60">
        <f t="shared" si="222"/>
        <v>0</v>
      </c>
      <c r="O723" s="60">
        <f t="shared" si="223"/>
        <v>0</v>
      </c>
    </row>
    <row r="724" spans="1:15" s="38" customFormat="1" ht="12" customHeight="1" outlineLevel="1" thickBot="1" x14ac:dyDescent="0.3">
      <c r="A724" s="125"/>
      <c r="B724" s="143"/>
      <c r="C724" s="131"/>
      <c r="D724" s="131"/>
      <c r="E724" s="131"/>
      <c r="F724" s="131"/>
      <c r="G724" s="60" t="s">
        <v>131</v>
      </c>
      <c r="H724" s="134"/>
      <c r="I724" s="134"/>
      <c r="J724" s="60"/>
      <c r="K724" s="60"/>
      <c r="L724" s="60"/>
      <c r="M724" s="60"/>
      <c r="N724" s="60">
        <f t="shared" si="222"/>
        <v>0</v>
      </c>
      <c r="O724" s="60">
        <f t="shared" si="223"/>
        <v>0</v>
      </c>
    </row>
    <row r="725" spans="1:15" s="38" customFormat="1" ht="14.45" customHeight="1" outlineLevel="1" x14ac:dyDescent="0.25">
      <c r="A725" s="140" t="s">
        <v>728</v>
      </c>
      <c r="B725" s="141" t="s">
        <v>729</v>
      </c>
      <c r="C725" s="130">
        <f>SUM(N725:N731)</f>
        <v>0</v>
      </c>
      <c r="D725" s="130">
        <f>SUM(O725:O731)</f>
        <v>0</v>
      </c>
      <c r="E725" s="130">
        <f t="shared" si="221"/>
        <v>0</v>
      </c>
      <c r="F725" s="130"/>
      <c r="G725" s="60" t="s">
        <v>125</v>
      </c>
      <c r="H725" s="123"/>
      <c r="I725" s="123"/>
      <c r="J725" s="60"/>
      <c r="K725" s="60"/>
      <c r="L725" s="60"/>
      <c r="M725" s="60"/>
      <c r="N725" s="60">
        <f>M725*J725*K725*L725</f>
        <v>0</v>
      </c>
      <c r="O725" s="60">
        <f>J725*K725*L725</f>
        <v>0</v>
      </c>
    </row>
    <row r="726" spans="1:15" s="38" customFormat="1" ht="11.45" customHeight="1" outlineLevel="1" x14ac:dyDescent="0.25">
      <c r="A726" s="124"/>
      <c r="B726" s="142"/>
      <c r="C726" s="115"/>
      <c r="D726" s="115"/>
      <c r="E726" s="115"/>
      <c r="F726" s="115"/>
      <c r="G726" s="60" t="s">
        <v>126</v>
      </c>
      <c r="H726" s="124"/>
      <c r="I726" s="124"/>
      <c r="J726" s="60"/>
      <c r="K726" s="60"/>
      <c r="L726" s="60"/>
      <c r="M726" s="60"/>
      <c r="N726" s="60">
        <f t="shared" ref="N726:N731" si="224">M726*J726*K726*L726</f>
        <v>0</v>
      </c>
      <c r="O726" s="60">
        <f t="shared" ref="O726:O731" si="225">J726*K726*L726</f>
        <v>0</v>
      </c>
    </row>
    <row r="727" spans="1:15" s="38" customFormat="1" ht="10.7" customHeight="1" outlineLevel="1" x14ac:dyDescent="0.25">
      <c r="A727" s="124"/>
      <c r="B727" s="142"/>
      <c r="C727" s="115"/>
      <c r="D727" s="115"/>
      <c r="E727" s="115"/>
      <c r="F727" s="115"/>
      <c r="G727" s="60" t="s">
        <v>127</v>
      </c>
      <c r="H727" s="124"/>
      <c r="I727" s="124"/>
      <c r="J727" s="60"/>
      <c r="K727" s="60"/>
      <c r="L727" s="60"/>
      <c r="M727" s="60"/>
      <c r="N727" s="60">
        <f t="shared" si="224"/>
        <v>0</v>
      </c>
      <c r="O727" s="60">
        <f t="shared" si="225"/>
        <v>0</v>
      </c>
    </row>
    <row r="728" spans="1:15" s="38" customFormat="1" ht="10.7" customHeight="1" outlineLevel="1" x14ac:dyDescent="0.25">
      <c r="A728" s="124"/>
      <c r="B728" s="142"/>
      <c r="C728" s="115"/>
      <c r="D728" s="115"/>
      <c r="E728" s="115"/>
      <c r="F728" s="115"/>
      <c r="G728" s="60" t="s">
        <v>128</v>
      </c>
      <c r="H728" s="124"/>
      <c r="I728" s="124"/>
      <c r="J728" s="60"/>
      <c r="K728" s="60"/>
      <c r="L728" s="60"/>
      <c r="M728" s="60"/>
      <c r="N728" s="60">
        <f t="shared" si="224"/>
        <v>0</v>
      </c>
      <c r="O728" s="60">
        <f t="shared" si="225"/>
        <v>0</v>
      </c>
    </row>
    <row r="729" spans="1:15" s="38" customFormat="1" ht="10.7" customHeight="1" outlineLevel="1" x14ac:dyDescent="0.25">
      <c r="A729" s="124"/>
      <c r="B729" s="142"/>
      <c r="C729" s="115"/>
      <c r="D729" s="115"/>
      <c r="E729" s="115"/>
      <c r="F729" s="115"/>
      <c r="G729" s="60" t="s">
        <v>129</v>
      </c>
      <c r="H729" s="124"/>
      <c r="I729" s="124"/>
      <c r="J729" s="60"/>
      <c r="K729" s="60"/>
      <c r="L729" s="60"/>
      <c r="M729" s="60"/>
      <c r="N729" s="60">
        <f t="shared" si="224"/>
        <v>0</v>
      </c>
      <c r="O729" s="60">
        <f t="shared" si="225"/>
        <v>0</v>
      </c>
    </row>
    <row r="730" spans="1:15" s="38" customFormat="1" ht="10.7" customHeight="1" outlineLevel="1" x14ac:dyDescent="0.25">
      <c r="A730" s="124"/>
      <c r="B730" s="142"/>
      <c r="C730" s="115"/>
      <c r="D730" s="115"/>
      <c r="E730" s="115"/>
      <c r="F730" s="115"/>
      <c r="G730" s="60" t="s">
        <v>130</v>
      </c>
      <c r="H730" s="124"/>
      <c r="I730" s="124"/>
      <c r="J730" s="60"/>
      <c r="K730" s="60"/>
      <c r="L730" s="60"/>
      <c r="M730" s="60"/>
      <c r="N730" s="60">
        <f t="shared" si="224"/>
        <v>0</v>
      </c>
      <c r="O730" s="60">
        <f t="shared" si="225"/>
        <v>0</v>
      </c>
    </row>
    <row r="731" spans="1:15" s="38" customFormat="1" ht="12" customHeight="1" outlineLevel="1" thickBot="1" x14ac:dyDescent="0.3">
      <c r="A731" s="125"/>
      <c r="B731" s="143"/>
      <c r="C731" s="131"/>
      <c r="D731" s="131"/>
      <c r="E731" s="131"/>
      <c r="F731" s="131"/>
      <c r="G731" s="60" t="s">
        <v>131</v>
      </c>
      <c r="H731" s="134"/>
      <c r="I731" s="134"/>
      <c r="J731" s="60"/>
      <c r="K731" s="60"/>
      <c r="L731" s="60"/>
      <c r="M731" s="60"/>
      <c r="N731" s="60">
        <f t="shared" si="224"/>
        <v>0</v>
      </c>
      <c r="O731" s="60">
        <f t="shared" si="225"/>
        <v>0</v>
      </c>
    </row>
    <row r="732" spans="1:15" s="38" customFormat="1" ht="14.45" customHeight="1" outlineLevel="1" x14ac:dyDescent="0.25">
      <c r="A732" s="140" t="s">
        <v>730</v>
      </c>
      <c r="B732" s="141" t="s">
        <v>731</v>
      </c>
      <c r="C732" s="130">
        <f>SUM(N732:N738)</f>
        <v>0</v>
      </c>
      <c r="D732" s="130">
        <f>SUM(O732:O738)</f>
        <v>0</v>
      </c>
      <c r="E732" s="130">
        <f t="shared" si="221"/>
        <v>0</v>
      </c>
      <c r="F732" s="130"/>
      <c r="G732" s="60" t="s">
        <v>125</v>
      </c>
      <c r="H732" s="123"/>
      <c r="I732" s="123"/>
      <c r="J732" s="60"/>
      <c r="K732" s="60"/>
      <c r="L732" s="60"/>
      <c r="M732" s="60"/>
      <c r="N732" s="60">
        <f>M732*J732*K732*L732</f>
        <v>0</v>
      </c>
      <c r="O732" s="60">
        <f>J732*K732*L732</f>
        <v>0</v>
      </c>
    </row>
    <row r="733" spans="1:15" s="38" customFormat="1" ht="11.45" customHeight="1" outlineLevel="1" x14ac:dyDescent="0.25">
      <c r="A733" s="124"/>
      <c r="B733" s="142"/>
      <c r="C733" s="115"/>
      <c r="D733" s="115"/>
      <c r="E733" s="115"/>
      <c r="F733" s="115"/>
      <c r="G733" s="60" t="s">
        <v>126</v>
      </c>
      <c r="H733" s="124"/>
      <c r="I733" s="124"/>
      <c r="J733" s="60"/>
      <c r="K733" s="60"/>
      <c r="L733" s="60"/>
      <c r="M733" s="60"/>
      <c r="N733" s="60">
        <f t="shared" ref="N733:N738" si="226">M733*J733*K733*L733</f>
        <v>0</v>
      </c>
      <c r="O733" s="60">
        <f t="shared" ref="O733:O738" si="227">J733*K733*L733</f>
        <v>0</v>
      </c>
    </row>
    <row r="734" spans="1:15" s="38" customFormat="1" ht="10.7" customHeight="1" outlineLevel="1" x14ac:dyDescent="0.25">
      <c r="A734" s="124"/>
      <c r="B734" s="142"/>
      <c r="C734" s="115"/>
      <c r="D734" s="115"/>
      <c r="E734" s="115"/>
      <c r="F734" s="115"/>
      <c r="G734" s="60" t="s">
        <v>127</v>
      </c>
      <c r="H734" s="124"/>
      <c r="I734" s="124"/>
      <c r="J734" s="60"/>
      <c r="K734" s="60"/>
      <c r="L734" s="60"/>
      <c r="M734" s="60"/>
      <c r="N734" s="60">
        <f t="shared" si="226"/>
        <v>0</v>
      </c>
      <c r="O734" s="60">
        <f t="shared" si="227"/>
        <v>0</v>
      </c>
    </row>
    <row r="735" spans="1:15" s="38" customFormat="1" ht="10.7" customHeight="1" outlineLevel="1" x14ac:dyDescent="0.25">
      <c r="A735" s="124"/>
      <c r="B735" s="142"/>
      <c r="C735" s="115"/>
      <c r="D735" s="115"/>
      <c r="E735" s="115"/>
      <c r="F735" s="115"/>
      <c r="G735" s="60" t="s">
        <v>128</v>
      </c>
      <c r="H735" s="124"/>
      <c r="I735" s="124"/>
      <c r="J735" s="60"/>
      <c r="K735" s="60"/>
      <c r="L735" s="60"/>
      <c r="M735" s="60"/>
      <c r="N735" s="60">
        <f t="shared" si="226"/>
        <v>0</v>
      </c>
      <c r="O735" s="60">
        <f t="shared" si="227"/>
        <v>0</v>
      </c>
    </row>
    <row r="736" spans="1:15" s="38" customFormat="1" ht="10.7" customHeight="1" outlineLevel="1" x14ac:dyDescent="0.25">
      <c r="A736" s="124"/>
      <c r="B736" s="142"/>
      <c r="C736" s="115"/>
      <c r="D736" s="115"/>
      <c r="E736" s="115"/>
      <c r="F736" s="115"/>
      <c r="G736" s="60" t="s">
        <v>129</v>
      </c>
      <c r="H736" s="124"/>
      <c r="I736" s="124"/>
      <c r="J736" s="60"/>
      <c r="K736" s="60"/>
      <c r="L736" s="60"/>
      <c r="M736" s="60"/>
      <c r="N736" s="60">
        <f t="shared" si="226"/>
        <v>0</v>
      </c>
      <c r="O736" s="60">
        <f t="shared" si="227"/>
        <v>0</v>
      </c>
    </row>
    <row r="737" spans="1:15" s="38" customFormat="1" ht="10.7" customHeight="1" outlineLevel="1" x14ac:dyDescent="0.25">
      <c r="A737" s="124"/>
      <c r="B737" s="142"/>
      <c r="C737" s="115"/>
      <c r="D737" s="115"/>
      <c r="E737" s="115"/>
      <c r="F737" s="115"/>
      <c r="G737" s="60" t="s">
        <v>130</v>
      </c>
      <c r="H737" s="124"/>
      <c r="I737" s="124"/>
      <c r="J737" s="60"/>
      <c r="K737" s="60"/>
      <c r="L737" s="60"/>
      <c r="M737" s="60"/>
      <c r="N737" s="60">
        <f t="shared" si="226"/>
        <v>0</v>
      </c>
      <c r="O737" s="60">
        <f t="shared" si="227"/>
        <v>0</v>
      </c>
    </row>
    <row r="738" spans="1:15" s="38" customFormat="1" ht="12" customHeight="1" outlineLevel="1" thickBot="1" x14ac:dyDescent="0.3">
      <c r="A738" s="125"/>
      <c r="B738" s="143"/>
      <c r="C738" s="131"/>
      <c r="D738" s="131"/>
      <c r="E738" s="131"/>
      <c r="F738" s="131"/>
      <c r="G738" s="60" t="s">
        <v>131</v>
      </c>
      <c r="H738" s="134"/>
      <c r="I738" s="134"/>
      <c r="J738" s="60"/>
      <c r="K738" s="60"/>
      <c r="L738" s="60"/>
      <c r="M738" s="60"/>
      <c r="N738" s="60">
        <f t="shared" si="226"/>
        <v>0</v>
      </c>
      <c r="O738" s="60">
        <f t="shared" si="227"/>
        <v>0</v>
      </c>
    </row>
    <row r="739" spans="1:15" s="38" customFormat="1" ht="14.45" customHeight="1" outlineLevel="1" x14ac:dyDescent="0.25">
      <c r="A739" s="140" t="s">
        <v>732</v>
      </c>
      <c r="B739" s="141" t="s">
        <v>733</v>
      </c>
      <c r="C739" s="130">
        <f>SUM(N739:N745)</f>
        <v>0</v>
      </c>
      <c r="D739" s="130">
        <f>SUM(O739:O745)</f>
        <v>0</v>
      </c>
      <c r="E739" s="130">
        <f t="shared" si="221"/>
        <v>0</v>
      </c>
      <c r="F739" s="130"/>
      <c r="G739" s="60" t="s">
        <v>125</v>
      </c>
      <c r="H739" s="123"/>
      <c r="I739" s="123"/>
      <c r="J739" s="60"/>
      <c r="K739" s="60"/>
      <c r="L739" s="60"/>
      <c r="M739" s="60"/>
      <c r="N739" s="60">
        <f>M739*J739*K739*L739</f>
        <v>0</v>
      </c>
      <c r="O739" s="60">
        <f>J739*K739*L739</f>
        <v>0</v>
      </c>
    </row>
    <row r="740" spans="1:15" s="38" customFormat="1" ht="11.45" customHeight="1" outlineLevel="1" x14ac:dyDescent="0.25">
      <c r="A740" s="124"/>
      <c r="B740" s="142"/>
      <c r="C740" s="115"/>
      <c r="D740" s="115"/>
      <c r="E740" s="115"/>
      <c r="F740" s="115"/>
      <c r="G740" s="60" t="s">
        <v>126</v>
      </c>
      <c r="H740" s="124"/>
      <c r="I740" s="124"/>
      <c r="J740" s="60"/>
      <c r="K740" s="60"/>
      <c r="L740" s="60"/>
      <c r="M740" s="60"/>
      <c r="N740" s="60">
        <f t="shared" ref="N740:N745" si="228">M740*J740*K740*L740</f>
        <v>0</v>
      </c>
      <c r="O740" s="60">
        <f t="shared" ref="O740:O745" si="229">J740*K740*L740</f>
        <v>0</v>
      </c>
    </row>
    <row r="741" spans="1:15" s="38" customFormat="1" ht="10.7" customHeight="1" outlineLevel="1" x14ac:dyDescent="0.25">
      <c r="A741" s="124"/>
      <c r="B741" s="142"/>
      <c r="C741" s="115"/>
      <c r="D741" s="115"/>
      <c r="E741" s="115"/>
      <c r="F741" s="115"/>
      <c r="G741" s="60" t="s">
        <v>127</v>
      </c>
      <c r="H741" s="124"/>
      <c r="I741" s="124"/>
      <c r="J741" s="60"/>
      <c r="K741" s="60"/>
      <c r="L741" s="60"/>
      <c r="M741" s="60"/>
      <c r="N741" s="60">
        <f t="shared" si="228"/>
        <v>0</v>
      </c>
      <c r="O741" s="60">
        <f t="shared" si="229"/>
        <v>0</v>
      </c>
    </row>
    <row r="742" spans="1:15" s="38" customFormat="1" ht="10.7" customHeight="1" outlineLevel="1" x14ac:dyDescent="0.25">
      <c r="A742" s="124"/>
      <c r="B742" s="142"/>
      <c r="C742" s="115"/>
      <c r="D742" s="115"/>
      <c r="E742" s="115"/>
      <c r="F742" s="115"/>
      <c r="G742" s="60" t="s">
        <v>128</v>
      </c>
      <c r="H742" s="124"/>
      <c r="I742" s="124"/>
      <c r="J742" s="60"/>
      <c r="K742" s="60"/>
      <c r="L742" s="60"/>
      <c r="M742" s="60"/>
      <c r="N742" s="60">
        <f t="shared" si="228"/>
        <v>0</v>
      </c>
      <c r="O742" s="60">
        <f t="shared" si="229"/>
        <v>0</v>
      </c>
    </row>
    <row r="743" spans="1:15" s="38" customFormat="1" ht="10.7" customHeight="1" outlineLevel="1" x14ac:dyDescent="0.25">
      <c r="A743" s="124"/>
      <c r="B743" s="142"/>
      <c r="C743" s="115"/>
      <c r="D743" s="115"/>
      <c r="E743" s="115"/>
      <c r="F743" s="115"/>
      <c r="G743" s="60" t="s">
        <v>129</v>
      </c>
      <c r="H743" s="124"/>
      <c r="I743" s="124"/>
      <c r="J743" s="60"/>
      <c r="K743" s="60"/>
      <c r="L743" s="60"/>
      <c r="M743" s="60"/>
      <c r="N743" s="60">
        <f t="shared" si="228"/>
        <v>0</v>
      </c>
      <c r="O743" s="60">
        <f t="shared" si="229"/>
        <v>0</v>
      </c>
    </row>
    <row r="744" spans="1:15" s="38" customFormat="1" ht="10.7" customHeight="1" outlineLevel="1" x14ac:dyDescent="0.25">
      <c r="A744" s="124"/>
      <c r="B744" s="142"/>
      <c r="C744" s="115"/>
      <c r="D744" s="115"/>
      <c r="E744" s="115"/>
      <c r="F744" s="115"/>
      <c r="G744" s="60" t="s">
        <v>130</v>
      </c>
      <c r="H744" s="124"/>
      <c r="I744" s="124"/>
      <c r="J744" s="60"/>
      <c r="K744" s="60"/>
      <c r="L744" s="60"/>
      <c r="M744" s="60"/>
      <c r="N744" s="60">
        <f t="shared" si="228"/>
        <v>0</v>
      </c>
      <c r="O744" s="60">
        <f t="shared" si="229"/>
        <v>0</v>
      </c>
    </row>
    <row r="745" spans="1:15" s="38" customFormat="1" ht="12" customHeight="1" outlineLevel="1" thickBot="1" x14ac:dyDescent="0.3">
      <c r="A745" s="125"/>
      <c r="B745" s="143"/>
      <c r="C745" s="131"/>
      <c r="D745" s="131"/>
      <c r="E745" s="131"/>
      <c r="F745" s="131"/>
      <c r="G745" s="60" t="s">
        <v>131</v>
      </c>
      <c r="H745" s="134"/>
      <c r="I745" s="134"/>
      <c r="J745" s="60"/>
      <c r="K745" s="60"/>
      <c r="L745" s="60"/>
      <c r="M745" s="60"/>
      <c r="N745" s="60">
        <f t="shared" si="228"/>
        <v>0</v>
      </c>
      <c r="O745" s="60">
        <f t="shared" si="229"/>
        <v>0</v>
      </c>
    </row>
    <row r="746" spans="1:15" s="39" customFormat="1" ht="15.75" x14ac:dyDescent="0.25">
      <c r="A746" s="40" t="s">
        <v>257</v>
      </c>
      <c r="B746" s="41" t="s">
        <v>734</v>
      </c>
      <c r="C746" s="42">
        <f>SUM(C747:C1194)</f>
        <v>0</v>
      </c>
      <c r="D746" s="42">
        <f>SUM(D747:D1194)</f>
        <v>0</v>
      </c>
      <c r="E746" s="42">
        <f>SUM(E747:E1194)</f>
        <v>0</v>
      </c>
      <c r="F746" s="57"/>
      <c r="G746" s="57"/>
      <c r="H746" s="57"/>
      <c r="I746" s="57"/>
      <c r="J746" s="57"/>
      <c r="K746" s="57"/>
      <c r="L746" s="57"/>
      <c r="M746" s="57"/>
      <c r="N746" s="57"/>
      <c r="O746" s="43"/>
    </row>
    <row r="747" spans="1:15" s="38" customFormat="1" ht="14.45" customHeight="1" outlineLevel="1" x14ac:dyDescent="0.25">
      <c r="A747" s="140" t="s">
        <v>259</v>
      </c>
      <c r="B747" s="141" t="s">
        <v>735</v>
      </c>
      <c r="C747" s="130">
        <f>SUM(N747:N753)</f>
        <v>0</v>
      </c>
      <c r="D747" s="130">
        <f>SUM(O747:O753)</f>
        <v>0</v>
      </c>
      <c r="E747" s="130">
        <f t="shared" ref="E747:E810" si="230">D747/8</f>
        <v>0</v>
      </c>
      <c r="F747" s="130"/>
      <c r="G747" s="60" t="s">
        <v>125</v>
      </c>
      <c r="H747" s="123"/>
      <c r="I747" s="123"/>
      <c r="J747" s="60"/>
      <c r="K747" s="60"/>
      <c r="L747" s="60"/>
      <c r="M747" s="60"/>
      <c r="N747" s="60">
        <f>M747*J747*K747*L747</f>
        <v>0</v>
      </c>
      <c r="O747" s="60">
        <f>J747*K747*L747</f>
        <v>0</v>
      </c>
    </row>
    <row r="748" spans="1:15" s="38" customFormat="1" ht="11.45" customHeight="1" outlineLevel="1" x14ac:dyDescent="0.25">
      <c r="A748" s="124"/>
      <c r="B748" s="142"/>
      <c r="C748" s="115"/>
      <c r="D748" s="115"/>
      <c r="E748" s="115"/>
      <c r="F748" s="115"/>
      <c r="G748" s="60" t="s">
        <v>126</v>
      </c>
      <c r="H748" s="124"/>
      <c r="I748" s="124"/>
      <c r="J748" s="60"/>
      <c r="K748" s="60"/>
      <c r="L748" s="60"/>
      <c r="M748" s="60"/>
      <c r="N748" s="60">
        <f t="shared" ref="N748:N753" si="231">M748*J748*K748*L748</f>
        <v>0</v>
      </c>
      <c r="O748" s="60">
        <f t="shared" ref="O748:O753" si="232">J748*K748*L748</f>
        <v>0</v>
      </c>
    </row>
    <row r="749" spans="1:15" s="38" customFormat="1" ht="10.7" customHeight="1" outlineLevel="1" x14ac:dyDescent="0.25">
      <c r="A749" s="124"/>
      <c r="B749" s="142"/>
      <c r="C749" s="115"/>
      <c r="D749" s="115"/>
      <c r="E749" s="115"/>
      <c r="F749" s="115"/>
      <c r="G749" s="60" t="s">
        <v>127</v>
      </c>
      <c r="H749" s="124"/>
      <c r="I749" s="124"/>
      <c r="J749" s="60"/>
      <c r="K749" s="60"/>
      <c r="L749" s="60"/>
      <c r="M749" s="60"/>
      <c r="N749" s="60">
        <f t="shared" si="231"/>
        <v>0</v>
      </c>
      <c r="O749" s="60">
        <f t="shared" si="232"/>
        <v>0</v>
      </c>
    </row>
    <row r="750" spans="1:15" s="38" customFormat="1" ht="10.7" customHeight="1" outlineLevel="1" x14ac:dyDescent="0.25">
      <c r="A750" s="124"/>
      <c r="B750" s="142"/>
      <c r="C750" s="115"/>
      <c r="D750" s="115"/>
      <c r="E750" s="115"/>
      <c r="F750" s="115"/>
      <c r="G750" s="60" t="s">
        <v>128</v>
      </c>
      <c r="H750" s="124"/>
      <c r="I750" s="124"/>
      <c r="J750" s="60"/>
      <c r="K750" s="60"/>
      <c r="L750" s="60"/>
      <c r="M750" s="60"/>
      <c r="N750" s="60">
        <f t="shared" si="231"/>
        <v>0</v>
      </c>
      <c r="O750" s="60">
        <f t="shared" si="232"/>
        <v>0</v>
      </c>
    </row>
    <row r="751" spans="1:15" s="38" customFormat="1" ht="10.7" customHeight="1" outlineLevel="1" x14ac:dyDescent="0.25">
      <c r="A751" s="124"/>
      <c r="B751" s="142"/>
      <c r="C751" s="115"/>
      <c r="D751" s="115"/>
      <c r="E751" s="115"/>
      <c r="F751" s="115"/>
      <c r="G751" s="60" t="s">
        <v>129</v>
      </c>
      <c r="H751" s="124"/>
      <c r="I751" s="124"/>
      <c r="J751" s="60"/>
      <c r="K751" s="60"/>
      <c r="L751" s="60"/>
      <c r="M751" s="60"/>
      <c r="N751" s="60">
        <f t="shared" si="231"/>
        <v>0</v>
      </c>
      <c r="O751" s="60">
        <f t="shared" si="232"/>
        <v>0</v>
      </c>
    </row>
    <row r="752" spans="1:15" s="38" customFormat="1" ht="10.7" customHeight="1" outlineLevel="1" x14ac:dyDescent="0.25">
      <c r="A752" s="124"/>
      <c r="B752" s="142"/>
      <c r="C752" s="115"/>
      <c r="D752" s="115"/>
      <c r="E752" s="115"/>
      <c r="F752" s="115"/>
      <c r="G752" s="60" t="s">
        <v>130</v>
      </c>
      <c r="H752" s="124"/>
      <c r="I752" s="124"/>
      <c r="J752" s="60"/>
      <c r="K752" s="60"/>
      <c r="L752" s="60"/>
      <c r="M752" s="60"/>
      <c r="N752" s="60">
        <f t="shared" si="231"/>
        <v>0</v>
      </c>
      <c r="O752" s="60">
        <f t="shared" si="232"/>
        <v>0</v>
      </c>
    </row>
    <row r="753" spans="1:15" s="38" customFormat="1" ht="12" customHeight="1" outlineLevel="1" thickBot="1" x14ac:dyDescent="0.3">
      <c r="A753" s="125"/>
      <c r="B753" s="143"/>
      <c r="C753" s="131"/>
      <c r="D753" s="131"/>
      <c r="E753" s="131"/>
      <c r="F753" s="131"/>
      <c r="G753" s="60" t="s">
        <v>131</v>
      </c>
      <c r="H753" s="134"/>
      <c r="I753" s="134"/>
      <c r="J753" s="60"/>
      <c r="K753" s="60"/>
      <c r="L753" s="60"/>
      <c r="M753" s="60"/>
      <c r="N753" s="60">
        <f t="shared" si="231"/>
        <v>0</v>
      </c>
      <c r="O753" s="60">
        <f t="shared" si="232"/>
        <v>0</v>
      </c>
    </row>
    <row r="754" spans="1:15" s="38" customFormat="1" ht="14.45" customHeight="1" outlineLevel="1" x14ac:dyDescent="0.25">
      <c r="A754" s="140" t="s">
        <v>736</v>
      </c>
      <c r="B754" s="141" t="s">
        <v>737</v>
      </c>
      <c r="C754" s="130">
        <f>SUM(N754:N760)</f>
        <v>0</v>
      </c>
      <c r="D754" s="130">
        <f>SUM(O754:O760)</f>
        <v>0</v>
      </c>
      <c r="E754" s="130">
        <f t="shared" si="230"/>
        <v>0</v>
      </c>
      <c r="F754" s="130"/>
      <c r="G754" s="60" t="s">
        <v>125</v>
      </c>
      <c r="H754" s="123"/>
      <c r="I754" s="123"/>
      <c r="J754" s="60"/>
      <c r="K754" s="60"/>
      <c r="L754" s="60"/>
      <c r="M754" s="60"/>
      <c r="N754" s="60">
        <f>M754*J754*K754*L754</f>
        <v>0</v>
      </c>
      <c r="O754" s="60">
        <f>J754*K754*L754</f>
        <v>0</v>
      </c>
    </row>
    <row r="755" spans="1:15" s="38" customFormat="1" ht="11.45" customHeight="1" outlineLevel="1" x14ac:dyDescent="0.25">
      <c r="A755" s="124"/>
      <c r="B755" s="142"/>
      <c r="C755" s="115"/>
      <c r="D755" s="115"/>
      <c r="E755" s="115"/>
      <c r="F755" s="115"/>
      <c r="G755" s="60" t="s">
        <v>126</v>
      </c>
      <c r="H755" s="124"/>
      <c r="I755" s="124"/>
      <c r="J755" s="60"/>
      <c r="K755" s="60"/>
      <c r="L755" s="60"/>
      <c r="M755" s="60"/>
      <c r="N755" s="60">
        <f t="shared" ref="N755:N760" si="233">M755*J755*K755*L755</f>
        <v>0</v>
      </c>
      <c r="O755" s="60">
        <f t="shared" ref="O755:O760" si="234">J755*K755*L755</f>
        <v>0</v>
      </c>
    </row>
    <row r="756" spans="1:15" s="38" customFormat="1" ht="10.7" customHeight="1" outlineLevel="1" x14ac:dyDescent="0.25">
      <c r="A756" s="124"/>
      <c r="B756" s="142"/>
      <c r="C756" s="115"/>
      <c r="D756" s="115"/>
      <c r="E756" s="115"/>
      <c r="F756" s="115"/>
      <c r="G756" s="60" t="s">
        <v>127</v>
      </c>
      <c r="H756" s="124"/>
      <c r="I756" s="124"/>
      <c r="J756" s="60"/>
      <c r="K756" s="60"/>
      <c r="L756" s="60"/>
      <c r="M756" s="60"/>
      <c r="N756" s="60">
        <f t="shared" si="233"/>
        <v>0</v>
      </c>
      <c r="O756" s="60">
        <f t="shared" si="234"/>
        <v>0</v>
      </c>
    </row>
    <row r="757" spans="1:15" s="38" customFormat="1" ht="10.7" customHeight="1" outlineLevel="1" x14ac:dyDescent="0.25">
      <c r="A757" s="124"/>
      <c r="B757" s="142"/>
      <c r="C757" s="115"/>
      <c r="D757" s="115"/>
      <c r="E757" s="115"/>
      <c r="F757" s="115"/>
      <c r="G757" s="60" t="s">
        <v>128</v>
      </c>
      <c r="H757" s="124"/>
      <c r="I757" s="124"/>
      <c r="J757" s="60"/>
      <c r="K757" s="60"/>
      <c r="L757" s="60"/>
      <c r="M757" s="60"/>
      <c r="N757" s="60">
        <f t="shared" si="233"/>
        <v>0</v>
      </c>
      <c r="O757" s="60">
        <f t="shared" si="234"/>
        <v>0</v>
      </c>
    </row>
    <row r="758" spans="1:15" s="38" customFormat="1" ht="10.7" customHeight="1" outlineLevel="1" x14ac:dyDescent="0.25">
      <c r="A758" s="124"/>
      <c r="B758" s="142"/>
      <c r="C758" s="115"/>
      <c r="D758" s="115"/>
      <c r="E758" s="115"/>
      <c r="F758" s="115"/>
      <c r="G758" s="60" t="s">
        <v>129</v>
      </c>
      <c r="H758" s="124"/>
      <c r="I758" s="124"/>
      <c r="J758" s="60"/>
      <c r="K758" s="60"/>
      <c r="L758" s="60"/>
      <c r="M758" s="60"/>
      <c r="N758" s="60">
        <f t="shared" si="233"/>
        <v>0</v>
      </c>
      <c r="O758" s="60">
        <f t="shared" si="234"/>
        <v>0</v>
      </c>
    </row>
    <row r="759" spans="1:15" s="38" customFormat="1" ht="10.7" customHeight="1" outlineLevel="1" x14ac:dyDescent="0.25">
      <c r="A759" s="124"/>
      <c r="B759" s="142"/>
      <c r="C759" s="115"/>
      <c r="D759" s="115"/>
      <c r="E759" s="115"/>
      <c r="F759" s="115"/>
      <c r="G759" s="60" t="s">
        <v>130</v>
      </c>
      <c r="H759" s="124"/>
      <c r="I759" s="124"/>
      <c r="J759" s="60"/>
      <c r="K759" s="60"/>
      <c r="L759" s="60"/>
      <c r="M759" s="60"/>
      <c r="N759" s="60">
        <f t="shared" si="233"/>
        <v>0</v>
      </c>
      <c r="O759" s="60">
        <f t="shared" si="234"/>
        <v>0</v>
      </c>
    </row>
    <row r="760" spans="1:15" s="38" customFormat="1" ht="12" customHeight="1" outlineLevel="1" thickBot="1" x14ac:dyDescent="0.3">
      <c r="A760" s="125"/>
      <c r="B760" s="143"/>
      <c r="C760" s="131"/>
      <c r="D760" s="131"/>
      <c r="E760" s="131"/>
      <c r="F760" s="131"/>
      <c r="G760" s="60" t="s">
        <v>131</v>
      </c>
      <c r="H760" s="134"/>
      <c r="I760" s="134"/>
      <c r="J760" s="60"/>
      <c r="K760" s="60"/>
      <c r="L760" s="60"/>
      <c r="M760" s="60"/>
      <c r="N760" s="60">
        <f t="shared" si="233"/>
        <v>0</v>
      </c>
      <c r="O760" s="60">
        <f t="shared" si="234"/>
        <v>0</v>
      </c>
    </row>
    <row r="761" spans="1:15" s="38" customFormat="1" ht="14.45" customHeight="1" outlineLevel="1" x14ac:dyDescent="0.25">
      <c r="A761" s="140" t="s">
        <v>738</v>
      </c>
      <c r="B761" s="141" t="s">
        <v>739</v>
      </c>
      <c r="C761" s="130">
        <f>SUM(N761:N767)</f>
        <v>0</v>
      </c>
      <c r="D761" s="130">
        <f>SUM(O761:O767)</f>
        <v>0</v>
      </c>
      <c r="E761" s="130">
        <f t="shared" si="230"/>
        <v>0</v>
      </c>
      <c r="F761" s="130"/>
      <c r="G761" s="60" t="s">
        <v>125</v>
      </c>
      <c r="H761" s="123"/>
      <c r="I761" s="123"/>
      <c r="J761" s="60"/>
      <c r="K761" s="60"/>
      <c r="L761" s="60"/>
      <c r="M761" s="60"/>
      <c r="N761" s="60">
        <f>M761*J761*K761*L761</f>
        <v>0</v>
      </c>
      <c r="O761" s="60">
        <f>J761*K761*L761</f>
        <v>0</v>
      </c>
    </row>
    <row r="762" spans="1:15" s="38" customFormat="1" ht="11.45" customHeight="1" outlineLevel="1" x14ac:dyDescent="0.25">
      <c r="A762" s="124"/>
      <c r="B762" s="142"/>
      <c r="C762" s="115"/>
      <c r="D762" s="115"/>
      <c r="E762" s="115"/>
      <c r="F762" s="115"/>
      <c r="G762" s="60" t="s">
        <v>126</v>
      </c>
      <c r="H762" s="124"/>
      <c r="I762" s="124"/>
      <c r="J762" s="60"/>
      <c r="K762" s="60"/>
      <c r="L762" s="60"/>
      <c r="M762" s="60"/>
      <c r="N762" s="60">
        <f t="shared" ref="N762:N767" si="235">M762*J762*K762*L762</f>
        <v>0</v>
      </c>
      <c r="O762" s="60">
        <f t="shared" ref="O762:O767" si="236">J762*K762*L762</f>
        <v>0</v>
      </c>
    </row>
    <row r="763" spans="1:15" s="38" customFormat="1" ht="10.7" customHeight="1" outlineLevel="1" x14ac:dyDescent="0.25">
      <c r="A763" s="124"/>
      <c r="B763" s="142"/>
      <c r="C763" s="115"/>
      <c r="D763" s="115"/>
      <c r="E763" s="115"/>
      <c r="F763" s="115"/>
      <c r="G763" s="60" t="s">
        <v>127</v>
      </c>
      <c r="H763" s="124"/>
      <c r="I763" s="124"/>
      <c r="J763" s="60"/>
      <c r="K763" s="60"/>
      <c r="L763" s="60"/>
      <c r="M763" s="60"/>
      <c r="N763" s="60">
        <f t="shared" si="235"/>
        <v>0</v>
      </c>
      <c r="O763" s="60">
        <f t="shared" si="236"/>
        <v>0</v>
      </c>
    </row>
    <row r="764" spans="1:15" s="38" customFormat="1" ht="10.7" customHeight="1" outlineLevel="1" x14ac:dyDescent="0.25">
      <c r="A764" s="124"/>
      <c r="B764" s="142"/>
      <c r="C764" s="115"/>
      <c r="D764" s="115"/>
      <c r="E764" s="115"/>
      <c r="F764" s="115"/>
      <c r="G764" s="60" t="s">
        <v>128</v>
      </c>
      <c r="H764" s="124"/>
      <c r="I764" s="124"/>
      <c r="J764" s="60"/>
      <c r="K764" s="60"/>
      <c r="L764" s="60"/>
      <c r="M764" s="60"/>
      <c r="N764" s="60">
        <f t="shared" si="235"/>
        <v>0</v>
      </c>
      <c r="O764" s="60">
        <f t="shared" si="236"/>
        <v>0</v>
      </c>
    </row>
    <row r="765" spans="1:15" s="38" customFormat="1" ht="10.7" customHeight="1" outlineLevel="1" x14ac:dyDescent="0.25">
      <c r="A765" s="124"/>
      <c r="B765" s="142"/>
      <c r="C765" s="115"/>
      <c r="D765" s="115"/>
      <c r="E765" s="115"/>
      <c r="F765" s="115"/>
      <c r="G765" s="60" t="s">
        <v>129</v>
      </c>
      <c r="H765" s="124"/>
      <c r="I765" s="124"/>
      <c r="J765" s="60"/>
      <c r="K765" s="60"/>
      <c r="L765" s="60"/>
      <c r="M765" s="60"/>
      <c r="N765" s="60">
        <f t="shared" si="235"/>
        <v>0</v>
      </c>
      <c r="O765" s="60">
        <f t="shared" si="236"/>
        <v>0</v>
      </c>
    </row>
    <row r="766" spans="1:15" s="38" customFormat="1" ht="10.7" customHeight="1" outlineLevel="1" x14ac:dyDescent="0.25">
      <c r="A766" s="124"/>
      <c r="B766" s="142"/>
      <c r="C766" s="115"/>
      <c r="D766" s="115"/>
      <c r="E766" s="115"/>
      <c r="F766" s="115"/>
      <c r="G766" s="60" t="s">
        <v>130</v>
      </c>
      <c r="H766" s="124"/>
      <c r="I766" s="124"/>
      <c r="J766" s="60"/>
      <c r="K766" s="60"/>
      <c r="L766" s="60"/>
      <c r="M766" s="60"/>
      <c r="N766" s="60">
        <f t="shared" si="235"/>
        <v>0</v>
      </c>
      <c r="O766" s="60">
        <f t="shared" si="236"/>
        <v>0</v>
      </c>
    </row>
    <row r="767" spans="1:15" s="38" customFormat="1" ht="12" customHeight="1" outlineLevel="1" thickBot="1" x14ac:dyDescent="0.3">
      <c r="A767" s="125"/>
      <c r="B767" s="143"/>
      <c r="C767" s="131"/>
      <c r="D767" s="131"/>
      <c r="E767" s="131"/>
      <c r="F767" s="131"/>
      <c r="G767" s="60" t="s">
        <v>131</v>
      </c>
      <c r="H767" s="134"/>
      <c r="I767" s="134"/>
      <c r="J767" s="60"/>
      <c r="K767" s="60"/>
      <c r="L767" s="60"/>
      <c r="M767" s="60"/>
      <c r="N767" s="60">
        <f t="shared" si="235"/>
        <v>0</v>
      </c>
      <c r="O767" s="60">
        <f t="shared" si="236"/>
        <v>0</v>
      </c>
    </row>
    <row r="768" spans="1:15" s="38" customFormat="1" ht="14.45" customHeight="1" outlineLevel="1" x14ac:dyDescent="0.25">
      <c r="A768" s="140" t="s">
        <v>740</v>
      </c>
      <c r="B768" s="141" t="s">
        <v>741</v>
      </c>
      <c r="C768" s="130">
        <f>SUM(N768:N774)</f>
        <v>0</v>
      </c>
      <c r="D768" s="130">
        <f>SUM(O768:O774)</f>
        <v>0</v>
      </c>
      <c r="E768" s="130">
        <f t="shared" si="230"/>
        <v>0</v>
      </c>
      <c r="F768" s="130"/>
      <c r="G768" s="60" t="s">
        <v>125</v>
      </c>
      <c r="H768" s="123"/>
      <c r="I768" s="123"/>
      <c r="J768" s="60"/>
      <c r="K768" s="60"/>
      <c r="L768" s="60"/>
      <c r="M768" s="60"/>
      <c r="N768" s="60">
        <f>M768*J768*K768*L768</f>
        <v>0</v>
      </c>
      <c r="O768" s="60">
        <f>J768*K768*L768</f>
        <v>0</v>
      </c>
    </row>
    <row r="769" spans="1:15" s="38" customFormat="1" ht="11.45" customHeight="1" outlineLevel="1" x14ac:dyDescent="0.25">
      <c r="A769" s="124"/>
      <c r="B769" s="142"/>
      <c r="C769" s="115"/>
      <c r="D769" s="115"/>
      <c r="E769" s="115"/>
      <c r="F769" s="115"/>
      <c r="G769" s="60" t="s">
        <v>126</v>
      </c>
      <c r="H769" s="124"/>
      <c r="I769" s="124"/>
      <c r="J769" s="60"/>
      <c r="K769" s="60"/>
      <c r="L769" s="60"/>
      <c r="M769" s="60"/>
      <c r="N769" s="60">
        <f t="shared" ref="N769:N774" si="237">M769*J769*K769*L769</f>
        <v>0</v>
      </c>
      <c r="O769" s="60">
        <f t="shared" ref="O769:O774" si="238">J769*K769*L769</f>
        <v>0</v>
      </c>
    </row>
    <row r="770" spans="1:15" s="38" customFormat="1" ht="10.7" customHeight="1" outlineLevel="1" x14ac:dyDescent="0.25">
      <c r="A770" s="124"/>
      <c r="B770" s="142"/>
      <c r="C770" s="115"/>
      <c r="D770" s="115"/>
      <c r="E770" s="115"/>
      <c r="F770" s="115"/>
      <c r="G770" s="60" t="s">
        <v>127</v>
      </c>
      <c r="H770" s="124"/>
      <c r="I770" s="124"/>
      <c r="J770" s="60"/>
      <c r="K770" s="60"/>
      <c r="L770" s="60"/>
      <c r="M770" s="60"/>
      <c r="N770" s="60">
        <f t="shared" si="237"/>
        <v>0</v>
      </c>
      <c r="O770" s="60">
        <f t="shared" si="238"/>
        <v>0</v>
      </c>
    </row>
    <row r="771" spans="1:15" s="38" customFormat="1" ht="10.7" customHeight="1" outlineLevel="1" x14ac:dyDescent="0.25">
      <c r="A771" s="124"/>
      <c r="B771" s="142"/>
      <c r="C771" s="115"/>
      <c r="D771" s="115"/>
      <c r="E771" s="115"/>
      <c r="F771" s="115"/>
      <c r="G771" s="60" t="s">
        <v>128</v>
      </c>
      <c r="H771" s="124"/>
      <c r="I771" s="124"/>
      <c r="J771" s="60"/>
      <c r="K771" s="60"/>
      <c r="L771" s="60"/>
      <c r="M771" s="60"/>
      <c r="N771" s="60">
        <f t="shared" si="237"/>
        <v>0</v>
      </c>
      <c r="O771" s="60">
        <f t="shared" si="238"/>
        <v>0</v>
      </c>
    </row>
    <row r="772" spans="1:15" s="38" customFormat="1" ht="10.7" customHeight="1" outlineLevel="1" x14ac:dyDescent="0.25">
      <c r="A772" s="124"/>
      <c r="B772" s="142"/>
      <c r="C772" s="115"/>
      <c r="D772" s="115"/>
      <c r="E772" s="115"/>
      <c r="F772" s="115"/>
      <c r="G772" s="60" t="s">
        <v>129</v>
      </c>
      <c r="H772" s="124"/>
      <c r="I772" s="124"/>
      <c r="J772" s="60"/>
      <c r="K772" s="60"/>
      <c r="L772" s="60"/>
      <c r="M772" s="60"/>
      <c r="N772" s="60">
        <f t="shared" si="237"/>
        <v>0</v>
      </c>
      <c r="O772" s="60">
        <f t="shared" si="238"/>
        <v>0</v>
      </c>
    </row>
    <row r="773" spans="1:15" s="38" customFormat="1" ht="10.7" customHeight="1" outlineLevel="1" x14ac:dyDescent="0.25">
      <c r="A773" s="124"/>
      <c r="B773" s="142"/>
      <c r="C773" s="115"/>
      <c r="D773" s="115"/>
      <c r="E773" s="115"/>
      <c r="F773" s="115"/>
      <c r="G773" s="60" t="s">
        <v>130</v>
      </c>
      <c r="H773" s="124"/>
      <c r="I773" s="124"/>
      <c r="J773" s="60"/>
      <c r="K773" s="60"/>
      <c r="L773" s="60"/>
      <c r="M773" s="60"/>
      <c r="N773" s="60">
        <f t="shared" si="237"/>
        <v>0</v>
      </c>
      <c r="O773" s="60">
        <f t="shared" si="238"/>
        <v>0</v>
      </c>
    </row>
    <row r="774" spans="1:15" s="38" customFormat="1" ht="12" customHeight="1" outlineLevel="1" thickBot="1" x14ac:dyDescent="0.3">
      <c r="A774" s="125"/>
      <c r="B774" s="143"/>
      <c r="C774" s="131"/>
      <c r="D774" s="131"/>
      <c r="E774" s="131"/>
      <c r="F774" s="131"/>
      <c r="G774" s="60" t="s">
        <v>131</v>
      </c>
      <c r="H774" s="134"/>
      <c r="I774" s="134"/>
      <c r="J774" s="60"/>
      <c r="K774" s="60"/>
      <c r="L774" s="60"/>
      <c r="M774" s="60"/>
      <c r="N774" s="60">
        <f t="shared" si="237"/>
        <v>0</v>
      </c>
      <c r="O774" s="60">
        <f t="shared" si="238"/>
        <v>0</v>
      </c>
    </row>
    <row r="775" spans="1:15" s="38" customFormat="1" ht="14.45" customHeight="1" outlineLevel="1" x14ac:dyDescent="0.25">
      <c r="A775" s="140" t="s">
        <v>742</v>
      </c>
      <c r="B775" s="141" t="s">
        <v>743</v>
      </c>
      <c r="C775" s="130">
        <f>SUM(N775:N781)</f>
        <v>0</v>
      </c>
      <c r="D775" s="130">
        <f>SUM(O775:O781)</f>
        <v>0</v>
      </c>
      <c r="E775" s="130">
        <f t="shared" si="230"/>
        <v>0</v>
      </c>
      <c r="F775" s="130"/>
      <c r="G775" s="60" t="s">
        <v>125</v>
      </c>
      <c r="H775" s="123"/>
      <c r="I775" s="123"/>
      <c r="J775" s="60"/>
      <c r="K775" s="60"/>
      <c r="L775" s="60"/>
      <c r="M775" s="60"/>
      <c r="N775" s="60">
        <f>M775*J775*K775*L775</f>
        <v>0</v>
      </c>
      <c r="O775" s="60">
        <f>J775*K775*L775</f>
        <v>0</v>
      </c>
    </row>
    <row r="776" spans="1:15" s="38" customFormat="1" ht="11.45" customHeight="1" outlineLevel="1" x14ac:dyDescent="0.25">
      <c r="A776" s="124"/>
      <c r="B776" s="142"/>
      <c r="C776" s="115"/>
      <c r="D776" s="115"/>
      <c r="E776" s="115"/>
      <c r="F776" s="115"/>
      <c r="G776" s="60" t="s">
        <v>126</v>
      </c>
      <c r="H776" s="124"/>
      <c r="I776" s="124"/>
      <c r="J776" s="60"/>
      <c r="K776" s="60"/>
      <c r="L776" s="60"/>
      <c r="M776" s="60"/>
      <c r="N776" s="60">
        <f t="shared" ref="N776:N781" si="239">M776*J776*K776*L776</f>
        <v>0</v>
      </c>
      <c r="O776" s="60">
        <f t="shared" ref="O776:O781" si="240">J776*K776*L776</f>
        <v>0</v>
      </c>
    </row>
    <row r="777" spans="1:15" s="38" customFormat="1" ht="10.7" customHeight="1" outlineLevel="1" x14ac:dyDescent="0.25">
      <c r="A777" s="124"/>
      <c r="B777" s="142"/>
      <c r="C777" s="115"/>
      <c r="D777" s="115"/>
      <c r="E777" s="115"/>
      <c r="F777" s="115"/>
      <c r="G777" s="60" t="s">
        <v>127</v>
      </c>
      <c r="H777" s="124"/>
      <c r="I777" s="124"/>
      <c r="J777" s="60"/>
      <c r="K777" s="60"/>
      <c r="L777" s="60"/>
      <c r="M777" s="60"/>
      <c r="N777" s="60">
        <f t="shared" si="239"/>
        <v>0</v>
      </c>
      <c r="O777" s="60">
        <f t="shared" si="240"/>
        <v>0</v>
      </c>
    </row>
    <row r="778" spans="1:15" s="38" customFormat="1" ht="10.7" customHeight="1" outlineLevel="1" x14ac:dyDescent="0.25">
      <c r="A778" s="124"/>
      <c r="B778" s="142"/>
      <c r="C778" s="115"/>
      <c r="D778" s="115"/>
      <c r="E778" s="115"/>
      <c r="F778" s="115"/>
      <c r="G778" s="60" t="s">
        <v>128</v>
      </c>
      <c r="H778" s="124"/>
      <c r="I778" s="124"/>
      <c r="J778" s="60"/>
      <c r="K778" s="60"/>
      <c r="L778" s="60"/>
      <c r="M778" s="60"/>
      <c r="N778" s="60">
        <f t="shared" si="239"/>
        <v>0</v>
      </c>
      <c r="O778" s="60">
        <f t="shared" si="240"/>
        <v>0</v>
      </c>
    </row>
    <row r="779" spans="1:15" s="38" customFormat="1" ht="10.7" customHeight="1" outlineLevel="1" x14ac:dyDescent="0.25">
      <c r="A779" s="124"/>
      <c r="B779" s="142"/>
      <c r="C779" s="115"/>
      <c r="D779" s="115"/>
      <c r="E779" s="115"/>
      <c r="F779" s="115"/>
      <c r="G779" s="60" t="s">
        <v>129</v>
      </c>
      <c r="H779" s="124"/>
      <c r="I779" s="124"/>
      <c r="J779" s="60"/>
      <c r="K779" s="60"/>
      <c r="L779" s="60"/>
      <c r="M779" s="60"/>
      <c r="N779" s="60">
        <f t="shared" si="239"/>
        <v>0</v>
      </c>
      <c r="O779" s="60">
        <f t="shared" si="240"/>
        <v>0</v>
      </c>
    </row>
    <row r="780" spans="1:15" s="38" customFormat="1" ht="10.7" customHeight="1" outlineLevel="1" x14ac:dyDescent="0.25">
      <c r="A780" s="124"/>
      <c r="B780" s="142"/>
      <c r="C780" s="115"/>
      <c r="D780" s="115"/>
      <c r="E780" s="115"/>
      <c r="F780" s="115"/>
      <c r="G780" s="60" t="s">
        <v>130</v>
      </c>
      <c r="H780" s="124"/>
      <c r="I780" s="124"/>
      <c r="J780" s="60"/>
      <c r="K780" s="60"/>
      <c r="L780" s="60"/>
      <c r="M780" s="60"/>
      <c r="N780" s="60">
        <f t="shared" si="239"/>
        <v>0</v>
      </c>
      <c r="O780" s="60">
        <f t="shared" si="240"/>
        <v>0</v>
      </c>
    </row>
    <row r="781" spans="1:15" s="38" customFormat="1" ht="12" customHeight="1" outlineLevel="1" thickBot="1" x14ac:dyDescent="0.3">
      <c r="A781" s="125"/>
      <c r="B781" s="143"/>
      <c r="C781" s="131"/>
      <c r="D781" s="131"/>
      <c r="E781" s="131"/>
      <c r="F781" s="131"/>
      <c r="G781" s="60" t="s">
        <v>131</v>
      </c>
      <c r="H781" s="134"/>
      <c r="I781" s="134"/>
      <c r="J781" s="60"/>
      <c r="K781" s="60"/>
      <c r="L781" s="60"/>
      <c r="M781" s="60"/>
      <c r="N781" s="60">
        <f t="shared" si="239"/>
        <v>0</v>
      </c>
      <c r="O781" s="60">
        <f t="shared" si="240"/>
        <v>0</v>
      </c>
    </row>
    <row r="782" spans="1:15" s="38" customFormat="1" ht="14.45" customHeight="1" outlineLevel="1" x14ac:dyDescent="0.25">
      <c r="A782" s="140" t="s">
        <v>744</v>
      </c>
      <c r="B782" s="141" t="s">
        <v>745</v>
      </c>
      <c r="C782" s="130">
        <f>SUM(N782:N788)</f>
        <v>0</v>
      </c>
      <c r="D782" s="130">
        <f>SUM(O782:O788)</f>
        <v>0</v>
      </c>
      <c r="E782" s="130">
        <f t="shared" si="230"/>
        <v>0</v>
      </c>
      <c r="F782" s="130"/>
      <c r="G782" s="60" t="s">
        <v>125</v>
      </c>
      <c r="H782" s="123"/>
      <c r="I782" s="123"/>
      <c r="J782" s="60"/>
      <c r="K782" s="60"/>
      <c r="L782" s="60"/>
      <c r="M782" s="60"/>
      <c r="N782" s="60">
        <f>M782*J782*K782*L782</f>
        <v>0</v>
      </c>
      <c r="O782" s="60">
        <f>J782*K782*L782</f>
        <v>0</v>
      </c>
    </row>
    <row r="783" spans="1:15" s="38" customFormat="1" ht="11.45" customHeight="1" outlineLevel="1" x14ac:dyDescent="0.25">
      <c r="A783" s="124"/>
      <c r="B783" s="142"/>
      <c r="C783" s="115"/>
      <c r="D783" s="115"/>
      <c r="E783" s="115"/>
      <c r="F783" s="115"/>
      <c r="G783" s="60" t="s">
        <v>126</v>
      </c>
      <c r="H783" s="124"/>
      <c r="I783" s="124"/>
      <c r="J783" s="60"/>
      <c r="K783" s="60"/>
      <c r="L783" s="60"/>
      <c r="M783" s="60"/>
      <c r="N783" s="60">
        <f t="shared" ref="N783:N788" si="241">M783*J783*K783*L783</f>
        <v>0</v>
      </c>
      <c r="O783" s="60">
        <f t="shared" ref="O783:O788" si="242">J783*K783*L783</f>
        <v>0</v>
      </c>
    </row>
    <row r="784" spans="1:15" s="38" customFormat="1" ht="10.7" customHeight="1" outlineLevel="1" x14ac:dyDescent="0.25">
      <c r="A784" s="124"/>
      <c r="B784" s="142"/>
      <c r="C784" s="115"/>
      <c r="D784" s="115"/>
      <c r="E784" s="115"/>
      <c r="F784" s="115"/>
      <c r="G784" s="60" t="s">
        <v>127</v>
      </c>
      <c r="H784" s="124"/>
      <c r="I784" s="124"/>
      <c r="J784" s="60"/>
      <c r="K784" s="60"/>
      <c r="L784" s="60"/>
      <c r="M784" s="60"/>
      <c r="N784" s="60">
        <f t="shared" si="241"/>
        <v>0</v>
      </c>
      <c r="O784" s="60">
        <f t="shared" si="242"/>
        <v>0</v>
      </c>
    </row>
    <row r="785" spans="1:15" s="38" customFormat="1" ht="10.7" customHeight="1" outlineLevel="1" x14ac:dyDescent="0.25">
      <c r="A785" s="124"/>
      <c r="B785" s="142"/>
      <c r="C785" s="115"/>
      <c r="D785" s="115"/>
      <c r="E785" s="115"/>
      <c r="F785" s="115"/>
      <c r="G785" s="60" t="s">
        <v>128</v>
      </c>
      <c r="H785" s="124"/>
      <c r="I785" s="124"/>
      <c r="J785" s="60"/>
      <c r="K785" s="60"/>
      <c r="L785" s="60"/>
      <c r="M785" s="60"/>
      <c r="N785" s="60">
        <f t="shared" si="241"/>
        <v>0</v>
      </c>
      <c r="O785" s="60">
        <f t="shared" si="242"/>
        <v>0</v>
      </c>
    </row>
    <row r="786" spans="1:15" s="38" customFormat="1" ht="10.7" customHeight="1" outlineLevel="1" x14ac:dyDescent="0.25">
      <c r="A786" s="124"/>
      <c r="B786" s="142"/>
      <c r="C786" s="115"/>
      <c r="D786" s="115"/>
      <c r="E786" s="115"/>
      <c r="F786" s="115"/>
      <c r="G786" s="60" t="s">
        <v>129</v>
      </c>
      <c r="H786" s="124"/>
      <c r="I786" s="124"/>
      <c r="J786" s="60"/>
      <c r="K786" s="60"/>
      <c r="L786" s="60"/>
      <c r="M786" s="60"/>
      <c r="N786" s="60">
        <f t="shared" si="241"/>
        <v>0</v>
      </c>
      <c r="O786" s="60">
        <f t="shared" si="242"/>
        <v>0</v>
      </c>
    </row>
    <row r="787" spans="1:15" s="38" customFormat="1" ht="10.7" customHeight="1" outlineLevel="1" x14ac:dyDescent="0.25">
      <c r="A787" s="124"/>
      <c r="B787" s="142"/>
      <c r="C787" s="115"/>
      <c r="D787" s="115"/>
      <c r="E787" s="115"/>
      <c r="F787" s="115"/>
      <c r="G787" s="60" t="s">
        <v>130</v>
      </c>
      <c r="H787" s="124"/>
      <c r="I787" s="124"/>
      <c r="J787" s="60"/>
      <c r="K787" s="60"/>
      <c r="L787" s="60"/>
      <c r="M787" s="60"/>
      <c r="N787" s="60">
        <f t="shared" si="241"/>
        <v>0</v>
      </c>
      <c r="O787" s="60">
        <f t="shared" si="242"/>
        <v>0</v>
      </c>
    </row>
    <row r="788" spans="1:15" s="38" customFormat="1" ht="12" customHeight="1" outlineLevel="1" thickBot="1" x14ac:dyDescent="0.3">
      <c r="A788" s="125"/>
      <c r="B788" s="143"/>
      <c r="C788" s="131"/>
      <c r="D788" s="131"/>
      <c r="E788" s="131"/>
      <c r="F788" s="131"/>
      <c r="G788" s="60" t="s">
        <v>131</v>
      </c>
      <c r="H788" s="134"/>
      <c r="I788" s="134"/>
      <c r="J788" s="60"/>
      <c r="K788" s="60"/>
      <c r="L788" s="60"/>
      <c r="M788" s="60"/>
      <c r="N788" s="60">
        <f t="shared" si="241"/>
        <v>0</v>
      </c>
      <c r="O788" s="60">
        <f t="shared" si="242"/>
        <v>0</v>
      </c>
    </row>
    <row r="789" spans="1:15" s="38" customFormat="1" ht="14.45" customHeight="1" outlineLevel="1" x14ac:dyDescent="0.25">
      <c r="A789" s="140" t="s">
        <v>746</v>
      </c>
      <c r="B789" s="141" t="s">
        <v>747</v>
      </c>
      <c r="C789" s="130">
        <f>SUM(N789:N795)</f>
        <v>0</v>
      </c>
      <c r="D789" s="130">
        <f>SUM(O789:O795)</f>
        <v>0</v>
      </c>
      <c r="E789" s="130">
        <f t="shared" si="230"/>
        <v>0</v>
      </c>
      <c r="F789" s="130"/>
      <c r="G789" s="60" t="s">
        <v>125</v>
      </c>
      <c r="H789" s="123"/>
      <c r="I789" s="123"/>
      <c r="J789" s="60"/>
      <c r="K789" s="60"/>
      <c r="L789" s="60"/>
      <c r="M789" s="60"/>
      <c r="N789" s="60">
        <f>M789*J789*K789*L789</f>
        <v>0</v>
      </c>
      <c r="O789" s="60">
        <f>J789*K789*L789</f>
        <v>0</v>
      </c>
    </row>
    <row r="790" spans="1:15" s="38" customFormat="1" ht="11.45" customHeight="1" outlineLevel="1" x14ac:dyDescent="0.25">
      <c r="A790" s="124"/>
      <c r="B790" s="142"/>
      <c r="C790" s="115"/>
      <c r="D790" s="115"/>
      <c r="E790" s="115"/>
      <c r="F790" s="115"/>
      <c r="G790" s="60" t="s">
        <v>126</v>
      </c>
      <c r="H790" s="124"/>
      <c r="I790" s="124"/>
      <c r="J790" s="60"/>
      <c r="K790" s="60"/>
      <c r="L790" s="60"/>
      <c r="M790" s="60"/>
      <c r="N790" s="60">
        <f t="shared" ref="N790:N795" si="243">M790*J790*K790*L790</f>
        <v>0</v>
      </c>
      <c r="O790" s="60">
        <f t="shared" ref="O790:O795" si="244">J790*K790*L790</f>
        <v>0</v>
      </c>
    </row>
    <row r="791" spans="1:15" s="38" customFormat="1" ht="10.7" customHeight="1" outlineLevel="1" x14ac:dyDescent="0.25">
      <c r="A791" s="124"/>
      <c r="B791" s="142"/>
      <c r="C791" s="115"/>
      <c r="D791" s="115"/>
      <c r="E791" s="115"/>
      <c r="F791" s="115"/>
      <c r="G791" s="60" t="s">
        <v>127</v>
      </c>
      <c r="H791" s="124"/>
      <c r="I791" s="124"/>
      <c r="J791" s="60"/>
      <c r="K791" s="60"/>
      <c r="L791" s="60"/>
      <c r="M791" s="60"/>
      <c r="N791" s="60">
        <f t="shared" si="243"/>
        <v>0</v>
      </c>
      <c r="O791" s="60">
        <f t="shared" si="244"/>
        <v>0</v>
      </c>
    </row>
    <row r="792" spans="1:15" s="38" customFormat="1" ht="10.7" customHeight="1" outlineLevel="1" x14ac:dyDescent="0.25">
      <c r="A792" s="124"/>
      <c r="B792" s="142"/>
      <c r="C792" s="115"/>
      <c r="D792" s="115"/>
      <c r="E792" s="115"/>
      <c r="F792" s="115"/>
      <c r="G792" s="60" t="s">
        <v>128</v>
      </c>
      <c r="H792" s="124"/>
      <c r="I792" s="124"/>
      <c r="J792" s="60"/>
      <c r="K792" s="60"/>
      <c r="L792" s="60"/>
      <c r="M792" s="60"/>
      <c r="N792" s="60">
        <f t="shared" si="243"/>
        <v>0</v>
      </c>
      <c r="O792" s="60">
        <f t="shared" si="244"/>
        <v>0</v>
      </c>
    </row>
    <row r="793" spans="1:15" s="38" customFormat="1" ht="10.7" customHeight="1" outlineLevel="1" x14ac:dyDescent="0.25">
      <c r="A793" s="124"/>
      <c r="B793" s="142"/>
      <c r="C793" s="115"/>
      <c r="D793" s="115"/>
      <c r="E793" s="115"/>
      <c r="F793" s="115"/>
      <c r="G793" s="60" t="s">
        <v>129</v>
      </c>
      <c r="H793" s="124"/>
      <c r="I793" s="124"/>
      <c r="J793" s="60"/>
      <c r="K793" s="60"/>
      <c r="L793" s="60"/>
      <c r="M793" s="60"/>
      <c r="N793" s="60">
        <f t="shared" si="243"/>
        <v>0</v>
      </c>
      <c r="O793" s="60">
        <f t="shared" si="244"/>
        <v>0</v>
      </c>
    </row>
    <row r="794" spans="1:15" s="38" customFormat="1" ht="10.7" customHeight="1" outlineLevel="1" x14ac:dyDescent="0.25">
      <c r="A794" s="124"/>
      <c r="B794" s="142"/>
      <c r="C794" s="115"/>
      <c r="D794" s="115"/>
      <c r="E794" s="115"/>
      <c r="F794" s="115"/>
      <c r="G794" s="60" t="s">
        <v>130</v>
      </c>
      <c r="H794" s="124"/>
      <c r="I794" s="124"/>
      <c r="J794" s="60"/>
      <c r="K794" s="60"/>
      <c r="L794" s="60"/>
      <c r="M794" s="60"/>
      <c r="N794" s="60">
        <f t="shared" si="243"/>
        <v>0</v>
      </c>
      <c r="O794" s="60">
        <f t="shared" si="244"/>
        <v>0</v>
      </c>
    </row>
    <row r="795" spans="1:15" s="38" customFormat="1" ht="12" customHeight="1" outlineLevel="1" thickBot="1" x14ac:dyDescent="0.3">
      <c r="A795" s="125"/>
      <c r="B795" s="143"/>
      <c r="C795" s="131"/>
      <c r="D795" s="131"/>
      <c r="E795" s="131"/>
      <c r="F795" s="131"/>
      <c r="G795" s="60" t="s">
        <v>131</v>
      </c>
      <c r="H795" s="134"/>
      <c r="I795" s="134"/>
      <c r="J795" s="60"/>
      <c r="K795" s="60"/>
      <c r="L795" s="60"/>
      <c r="M795" s="60"/>
      <c r="N795" s="60">
        <f t="shared" si="243"/>
        <v>0</v>
      </c>
      <c r="O795" s="60">
        <f t="shared" si="244"/>
        <v>0</v>
      </c>
    </row>
    <row r="796" spans="1:15" s="38" customFormat="1" ht="14.45" customHeight="1" outlineLevel="1" x14ac:dyDescent="0.25">
      <c r="A796" s="140" t="s">
        <v>748</v>
      </c>
      <c r="B796" s="141" t="s">
        <v>749</v>
      </c>
      <c r="C796" s="130">
        <f>SUM(N796:N802)</f>
        <v>0</v>
      </c>
      <c r="D796" s="130">
        <f>SUM(O796:O802)</f>
        <v>0</v>
      </c>
      <c r="E796" s="130">
        <f t="shared" si="230"/>
        <v>0</v>
      </c>
      <c r="F796" s="130"/>
      <c r="G796" s="60" t="s">
        <v>125</v>
      </c>
      <c r="H796" s="123"/>
      <c r="I796" s="123"/>
      <c r="J796" s="60"/>
      <c r="K796" s="60"/>
      <c r="L796" s="60"/>
      <c r="M796" s="60"/>
      <c r="N796" s="60">
        <f>M796*J796*K796*L796</f>
        <v>0</v>
      </c>
      <c r="O796" s="60">
        <f>J796*K796*L796</f>
        <v>0</v>
      </c>
    </row>
    <row r="797" spans="1:15" s="38" customFormat="1" ht="11.45" customHeight="1" outlineLevel="1" x14ac:dyDescent="0.25">
      <c r="A797" s="124"/>
      <c r="B797" s="142"/>
      <c r="C797" s="115"/>
      <c r="D797" s="115"/>
      <c r="E797" s="115"/>
      <c r="F797" s="115"/>
      <c r="G797" s="60" t="s">
        <v>126</v>
      </c>
      <c r="H797" s="124"/>
      <c r="I797" s="124"/>
      <c r="J797" s="60"/>
      <c r="K797" s="60"/>
      <c r="L797" s="60"/>
      <c r="M797" s="60"/>
      <c r="N797" s="60">
        <f t="shared" ref="N797:N802" si="245">M797*J797*K797*L797</f>
        <v>0</v>
      </c>
      <c r="O797" s="60">
        <f t="shared" ref="O797:O802" si="246">J797*K797*L797</f>
        <v>0</v>
      </c>
    </row>
    <row r="798" spans="1:15" s="38" customFormat="1" ht="10.7" customHeight="1" outlineLevel="1" x14ac:dyDescent="0.25">
      <c r="A798" s="124"/>
      <c r="B798" s="142"/>
      <c r="C798" s="115"/>
      <c r="D798" s="115"/>
      <c r="E798" s="115"/>
      <c r="F798" s="115"/>
      <c r="G798" s="60" t="s">
        <v>127</v>
      </c>
      <c r="H798" s="124"/>
      <c r="I798" s="124"/>
      <c r="J798" s="60"/>
      <c r="K798" s="60"/>
      <c r="L798" s="60"/>
      <c r="M798" s="60"/>
      <c r="N798" s="60">
        <f t="shared" si="245"/>
        <v>0</v>
      </c>
      <c r="O798" s="60">
        <f t="shared" si="246"/>
        <v>0</v>
      </c>
    </row>
    <row r="799" spans="1:15" s="38" customFormat="1" ht="10.7" customHeight="1" outlineLevel="1" x14ac:dyDescent="0.25">
      <c r="A799" s="124"/>
      <c r="B799" s="142"/>
      <c r="C799" s="115"/>
      <c r="D799" s="115"/>
      <c r="E799" s="115"/>
      <c r="F799" s="115"/>
      <c r="G799" s="60" t="s">
        <v>128</v>
      </c>
      <c r="H799" s="124"/>
      <c r="I799" s="124"/>
      <c r="J799" s="60"/>
      <c r="K799" s="60"/>
      <c r="L799" s="60"/>
      <c r="M799" s="60"/>
      <c r="N799" s="60">
        <f t="shared" si="245"/>
        <v>0</v>
      </c>
      <c r="O799" s="60">
        <f t="shared" si="246"/>
        <v>0</v>
      </c>
    </row>
    <row r="800" spans="1:15" s="38" customFormat="1" ht="10.7" customHeight="1" outlineLevel="1" x14ac:dyDescent="0.25">
      <c r="A800" s="124"/>
      <c r="B800" s="142"/>
      <c r="C800" s="115"/>
      <c r="D800" s="115"/>
      <c r="E800" s="115"/>
      <c r="F800" s="115"/>
      <c r="G800" s="60" t="s">
        <v>129</v>
      </c>
      <c r="H800" s="124"/>
      <c r="I800" s="124"/>
      <c r="J800" s="60"/>
      <c r="K800" s="60"/>
      <c r="L800" s="60"/>
      <c r="M800" s="60"/>
      <c r="N800" s="60">
        <f t="shared" si="245"/>
        <v>0</v>
      </c>
      <c r="O800" s="60">
        <f t="shared" si="246"/>
        <v>0</v>
      </c>
    </row>
    <row r="801" spans="1:15" s="38" customFormat="1" ht="10.7" customHeight="1" outlineLevel="1" x14ac:dyDescent="0.25">
      <c r="A801" s="124"/>
      <c r="B801" s="142"/>
      <c r="C801" s="115"/>
      <c r="D801" s="115"/>
      <c r="E801" s="115"/>
      <c r="F801" s="115"/>
      <c r="G801" s="60" t="s">
        <v>130</v>
      </c>
      <c r="H801" s="124"/>
      <c r="I801" s="124"/>
      <c r="J801" s="60"/>
      <c r="K801" s="60"/>
      <c r="L801" s="60"/>
      <c r="M801" s="60"/>
      <c r="N801" s="60">
        <f t="shared" si="245"/>
        <v>0</v>
      </c>
      <c r="O801" s="60">
        <f t="shared" si="246"/>
        <v>0</v>
      </c>
    </row>
    <row r="802" spans="1:15" s="38" customFormat="1" ht="12" customHeight="1" outlineLevel="1" thickBot="1" x14ac:dyDescent="0.3">
      <c r="A802" s="125"/>
      <c r="B802" s="143"/>
      <c r="C802" s="131"/>
      <c r="D802" s="131"/>
      <c r="E802" s="131"/>
      <c r="F802" s="131"/>
      <c r="G802" s="60" t="s">
        <v>131</v>
      </c>
      <c r="H802" s="134"/>
      <c r="I802" s="134"/>
      <c r="J802" s="60"/>
      <c r="K802" s="60"/>
      <c r="L802" s="60"/>
      <c r="M802" s="60"/>
      <c r="N802" s="60">
        <f t="shared" si="245"/>
        <v>0</v>
      </c>
      <c r="O802" s="60">
        <f t="shared" si="246"/>
        <v>0</v>
      </c>
    </row>
    <row r="803" spans="1:15" s="38" customFormat="1" ht="14.45" customHeight="1" outlineLevel="1" x14ac:dyDescent="0.25">
      <c r="A803" s="140" t="s">
        <v>750</v>
      </c>
      <c r="B803" s="141" t="s">
        <v>751</v>
      </c>
      <c r="C803" s="130">
        <f>SUM(N803:N809)</f>
        <v>0</v>
      </c>
      <c r="D803" s="130">
        <f>SUM(O803:O809)</f>
        <v>0</v>
      </c>
      <c r="E803" s="130">
        <f t="shared" si="230"/>
        <v>0</v>
      </c>
      <c r="F803" s="130"/>
      <c r="G803" s="60" t="s">
        <v>125</v>
      </c>
      <c r="H803" s="123"/>
      <c r="I803" s="123"/>
      <c r="J803" s="60"/>
      <c r="K803" s="60"/>
      <c r="L803" s="60"/>
      <c r="M803" s="60"/>
      <c r="N803" s="60">
        <f>M803*J803*K803*L803</f>
        <v>0</v>
      </c>
      <c r="O803" s="60">
        <f>J803*K803*L803</f>
        <v>0</v>
      </c>
    </row>
    <row r="804" spans="1:15" s="38" customFormat="1" ht="11.45" customHeight="1" outlineLevel="1" x14ac:dyDescent="0.25">
      <c r="A804" s="124"/>
      <c r="B804" s="142"/>
      <c r="C804" s="115"/>
      <c r="D804" s="115"/>
      <c r="E804" s="115"/>
      <c r="F804" s="115"/>
      <c r="G804" s="60" t="s">
        <v>126</v>
      </c>
      <c r="H804" s="124"/>
      <c r="I804" s="124"/>
      <c r="J804" s="60"/>
      <c r="K804" s="60"/>
      <c r="L804" s="60"/>
      <c r="M804" s="60"/>
      <c r="N804" s="60">
        <f t="shared" ref="N804:N809" si="247">M804*J804*K804*L804</f>
        <v>0</v>
      </c>
      <c r="O804" s="60">
        <f t="shared" ref="O804:O809" si="248">J804*K804*L804</f>
        <v>0</v>
      </c>
    </row>
    <row r="805" spans="1:15" s="38" customFormat="1" ht="10.7" customHeight="1" outlineLevel="1" x14ac:dyDescent="0.25">
      <c r="A805" s="124"/>
      <c r="B805" s="142"/>
      <c r="C805" s="115"/>
      <c r="D805" s="115"/>
      <c r="E805" s="115"/>
      <c r="F805" s="115"/>
      <c r="G805" s="60" t="s">
        <v>127</v>
      </c>
      <c r="H805" s="124"/>
      <c r="I805" s="124"/>
      <c r="J805" s="60"/>
      <c r="K805" s="60"/>
      <c r="L805" s="60"/>
      <c r="M805" s="60"/>
      <c r="N805" s="60">
        <f t="shared" si="247"/>
        <v>0</v>
      </c>
      <c r="O805" s="60">
        <f t="shared" si="248"/>
        <v>0</v>
      </c>
    </row>
    <row r="806" spans="1:15" s="38" customFormat="1" ht="10.7" customHeight="1" outlineLevel="1" x14ac:dyDescent="0.25">
      <c r="A806" s="124"/>
      <c r="B806" s="142"/>
      <c r="C806" s="115"/>
      <c r="D806" s="115"/>
      <c r="E806" s="115"/>
      <c r="F806" s="115"/>
      <c r="G806" s="60" t="s">
        <v>128</v>
      </c>
      <c r="H806" s="124"/>
      <c r="I806" s="124"/>
      <c r="J806" s="60"/>
      <c r="K806" s="60"/>
      <c r="L806" s="60"/>
      <c r="M806" s="60"/>
      <c r="N806" s="60">
        <f t="shared" si="247"/>
        <v>0</v>
      </c>
      <c r="O806" s="60">
        <f t="shared" si="248"/>
        <v>0</v>
      </c>
    </row>
    <row r="807" spans="1:15" s="38" customFormat="1" ht="10.7" customHeight="1" outlineLevel="1" x14ac:dyDescent="0.25">
      <c r="A807" s="124"/>
      <c r="B807" s="142"/>
      <c r="C807" s="115"/>
      <c r="D807" s="115"/>
      <c r="E807" s="115"/>
      <c r="F807" s="115"/>
      <c r="G807" s="60" t="s">
        <v>129</v>
      </c>
      <c r="H807" s="124"/>
      <c r="I807" s="124"/>
      <c r="J807" s="60"/>
      <c r="K807" s="60"/>
      <c r="L807" s="60"/>
      <c r="M807" s="60"/>
      <c r="N807" s="60">
        <f t="shared" si="247"/>
        <v>0</v>
      </c>
      <c r="O807" s="60">
        <f t="shared" si="248"/>
        <v>0</v>
      </c>
    </row>
    <row r="808" spans="1:15" s="38" customFormat="1" ht="10.7" customHeight="1" outlineLevel="1" x14ac:dyDescent="0.25">
      <c r="A808" s="124"/>
      <c r="B808" s="142"/>
      <c r="C808" s="115"/>
      <c r="D808" s="115"/>
      <c r="E808" s="115"/>
      <c r="F808" s="115"/>
      <c r="G808" s="60" t="s">
        <v>130</v>
      </c>
      <c r="H808" s="124"/>
      <c r="I808" s="124"/>
      <c r="J808" s="60"/>
      <c r="K808" s="60"/>
      <c r="L808" s="60"/>
      <c r="M808" s="60"/>
      <c r="N808" s="60">
        <f t="shared" si="247"/>
        <v>0</v>
      </c>
      <c r="O808" s="60">
        <f t="shared" si="248"/>
        <v>0</v>
      </c>
    </row>
    <row r="809" spans="1:15" s="38" customFormat="1" ht="12" customHeight="1" outlineLevel="1" thickBot="1" x14ac:dyDescent="0.3">
      <c r="A809" s="125"/>
      <c r="B809" s="143"/>
      <c r="C809" s="131"/>
      <c r="D809" s="131"/>
      <c r="E809" s="131"/>
      <c r="F809" s="131"/>
      <c r="G809" s="60" t="s">
        <v>131</v>
      </c>
      <c r="H809" s="134"/>
      <c r="I809" s="134"/>
      <c r="J809" s="60"/>
      <c r="K809" s="60"/>
      <c r="L809" s="60"/>
      <c r="M809" s="60"/>
      <c r="N809" s="60">
        <f t="shared" si="247"/>
        <v>0</v>
      </c>
      <c r="O809" s="60">
        <f t="shared" si="248"/>
        <v>0</v>
      </c>
    </row>
    <row r="810" spans="1:15" s="38" customFormat="1" ht="14.45" customHeight="1" outlineLevel="1" x14ac:dyDescent="0.25">
      <c r="A810" s="140" t="s">
        <v>752</v>
      </c>
      <c r="B810" s="141" t="s">
        <v>753</v>
      </c>
      <c r="C810" s="130">
        <f>SUM(N810:N816)</f>
        <v>0</v>
      </c>
      <c r="D810" s="130">
        <f>SUM(O810:O816)</f>
        <v>0</v>
      </c>
      <c r="E810" s="130">
        <f t="shared" si="230"/>
        <v>0</v>
      </c>
      <c r="F810" s="130"/>
      <c r="G810" s="60" t="s">
        <v>125</v>
      </c>
      <c r="H810" s="123"/>
      <c r="I810" s="123"/>
      <c r="J810" s="60"/>
      <c r="K810" s="60"/>
      <c r="L810" s="60"/>
      <c r="M810" s="60"/>
      <c r="N810" s="60">
        <f>M810*J810*K810*L810</f>
        <v>0</v>
      </c>
      <c r="O810" s="60">
        <f>J810*K810*L810</f>
        <v>0</v>
      </c>
    </row>
    <row r="811" spans="1:15" s="38" customFormat="1" ht="11.45" customHeight="1" outlineLevel="1" x14ac:dyDescent="0.25">
      <c r="A811" s="124"/>
      <c r="B811" s="142"/>
      <c r="C811" s="115"/>
      <c r="D811" s="115"/>
      <c r="E811" s="115"/>
      <c r="F811" s="115"/>
      <c r="G811" s="60" t="s">
        <v>126</v>
      </c>
      <c r="H811" s="124"/>
      <c r="I811" s="124"/>
      <c r="J811" s="60"/>
      <c r="K811" s="60"/>
      <c r="L811" s="60"/>
      <c r="M811" s="60"/>
      <c r="N811" s="60">
        <f t="shared" ref="N811:N816" si="249">M811*J811*K811*L811</f>
        <v>0</v>
      </c>
      <c r="O811" s="60">
        <f t="shared" ref="O811:O816" si="250">J811*K811*L811</f>
        <v>0</v>
      </c>
    </row>
    <row r="812" spans="1:15" s="38" customFormat="1" ht="10.7" customHeight="1" outlineLevel="1" x14ac:dyDescent="0.25">
      <c r="A812" s="124"/>
      <c r="B812" s="142"/>
      <c r="C812" s="115"/>
      <c r="D812" s="115"/>
      <c r="E812" s="115"/>
      <c r="F812" s="115"/>
      <c r="G812" s="60" t="s">
        <v>127</v>
      </c>
      <c r="H812" s="124"/>
      <c r="I812" s="124"/>
      <c r="J812" s="60"/>
      <c r="K812" s="60"/>
      <c r="L812" s="60"/>
      <c r="M812" s="60"/>
      <c r="N812" s="60">
        <f t="shared" si="249"/>
        <v>0</v>
      </c>
      <c r="O812" s="60">
        <f t="shared" si="250"/>
        <v>0</v>
      </c>
    </row>
    <row r="813" spans="1:15" s="38" customFormat="1" ht="10.7" customHeight="1" outlineLevel="1" x14ac:dyDescent="0.25">
      <c r="A813" s="124"/>
      <c r="B813" s="142"/>
      <c r="C813" s="115"/>
      <c r="D813" s="115"/>
      <c r="E813" s="115"/>
      <c r="F813" s="115"/>
      <c r="G813" s="60" t="s">
        <v>128</v>
      </c>
      <c r="H813" s="124"/>
      <c r="I813" s="124"/>
      <c r="J813" s="60"/>
      <c r="K813" s="60"/>
      <c r="L813" s="60"/>
      <c r="M813" s="60"/>
      <c r="N813" s="60">
        <f t="shared" si="249"/>
        <v>0</v>
      </c>
      <c r="O813" s="60">
        <f t="shared" si="250"/>
        <v>0</v>
      </c>
    </row>
    <row r="814" spans="1:15" s="38" customFormat="1" ht="10.7" customHeight="1" outlineLevel="1" x14ac:dyDescent="0.25">
      <c r="A814" s="124"/>
      <c r="B814" s="142"/>
      <c r="C814" s="115"/>
      <c r="D814" s="115"/>
      <c r="E814" s="115"/>
      <c r="F814" s="115"/>
      <c r="G814" s="60" t="s">
        <v>129</v>
      </c>
      <c r="H814" s="124"/>
      <c r="I814" s="124"/>
      <c r="J814" s="60"/>
      <c r="K814" s="60"/>
      <c r="L814" s="60"/>
      <c r="M814" s="60"/>
      <c r="N814" s="60">
        <f t="shared" si="249"/>
        <v>0</v>
      </c>
      <c r="O814" s="60">
        <f t="shared" si="250"/>
        <v>0</v>
      </c>
    </row>
    <row r="815" spans="1:15" s="38" customFormat="1" ht="10.7" customHeight="1" outlineLevel="1" x14ac:dyDescent="0.25">
      <c r="A815" s="124"/>
      <c r="B815" s="142"/>
      <c r="C815" s="115"/>
      <c r="D815" s="115"/>
      <c r="E815" s="115"/>
      <c r="F815" s="115"/>
      <c r="G815" s="60" t="s">
        <v>130</v>
      </c>
      <c r="H815" s="124"/>
      <c r="I815" s="124"/>
      <c r="J815" s="60"/>
      <c r="K815" s="60"/>
      <c r="L815" s="60"/>
      <c r="M815" s="60"/>
      <c r="N815" s="60">
        <f t="shared" si="249"/>
        <v>0</v>
      </c>
      <c r="O815" s="60">
        <f t="shared" si="250"/>
        <v>0</v>
      </c>
    </row>
    <row r="816" spans="1:15" s="38" customFormat="1" ht="12" customHeight="1" outlineLevel="1" thickBot="1" x14ac:dyDescent="0.3">
      <c r="A816" s="125"/>
      <c r="B816" s="143"/>
      <c r="C816" s="131"/>
      <c r="D816" s="131"/>
      <c r="E816" s="131"/>
      <c r="F816" s="131"/>
      <c r="G816" s="60" t="s">
        <v>131</v>
      </c>
      <c r="H816" s="134"/>
      <c r="I816" s="134"/>
      <c r="J816" s="60"/>
      <c r="K816" s="60"/>
      <c r="L816" s="60"/>
      <c r="M816" s="60"/>
      <c r="N816" s="60">
        <f t="shared" si="249"/>
        <v>0</v>
      </c>
      <c r="O816" s="60">
        <f t="shared" si="250"/>
        <v>0</v>
      </c>
    </row>
    <row r="817" spans="1:15" s="38" customFormat="1" ht="14.45" customHeight="1" outlineLevel="1" x14ac:dyDescent="0.25">
      <c r="A817" s="140" t="s">
        <v>754</v>
      </c>
      <c r="B817" s="141" t="s">
        <v>755</v>
      </c>
      <c r="C817" s="130">
        <f>SUM(N817:N823)</f>
        <v>0</v>
      </c>
      <c r="D817" s="130">
        <f>SUM(O817:O823)</f>
        <v>0</v>
      </c>
      <c r="E817" s="130">
        <f t="shared" ref="E817:E880" si="251">D817/8</f>
        <v>0</v>
      </c>
      <c r="F817" s="130"/>
      <c r="G817" s="60" t="s">
        <v>125</v>
      </c>
      <c r="H817" s="123"/>
      <c r="I817" s="123"/>
      <c r="J817" s="60"/>
      <c r="K817" s="60"/>
      <c r="L817" s="60"/>
      <c r="M817" s="60"/>
      <c r="N817" s="60">
        <f>M817*J817*K817*L817</f>
        <v>0</v>
      </c>
      <c r="O817" s="60">
        <f>J817*K817*L817</f>
        <v>0</v>
      </c>
    </row>
    <row r="818" spans="1:15" s="38" customFormat="1" ht="11.45" customHeight="1" outlineLevel="1" x14ac:dyDescent="0.25">
      <c r="A818" s="124"/>
      <c r="B818" s="142"/>
      <c r="C818" s="115"/>
      <c r="D818" s="115"/>
      <c r="E818" s="115"/>
      <c r="F818" s="115"/>
      <c r="G818" s="60" t="s">
        <v>126</v>
      </c>
      <c r="H818" s="124"/>
      <c r="I818" s="124"/>
      <c r="J818" s="60"/>
      <c r="K818" s="60"/>
      <c r="L818" s="60"/>
      <c r="M818" s="60"/>
      <c r="N818" s="60">
        <f t="shared" ref="N818:N823" si="252">M818*J818*K818*L818</f>
        <v>0</v>
      </c>
      <c r="O818" s="60">
        <f t="shared" ref="O818:O823" si="253">J818*K818*L818</f>
        <v>0</v>
      </c>
    </row>
    <row r="819" spans="1:15" s="38" customFormat="1" ht="10.7" customHeight="1" outlineLevel="1" x14ac:dyDescent="0.25">
      <c r="A819" s="124"/>
      <c r="B819" s="142"/>
      <c r="C819" s="115"/>
      <c r="D819" s="115"/>
      <c r="E819" s="115"/>
      <c r="F819" s="115"/>
      <c r="G819" s="60" t="s">
        <v>127</v>
      </c>
      <c r="H819" s="124"/>
      <c r="I819" s="124"/>
      <c r="J819" s="60"/>
      <c r="K819" s="60"/>
      <c r="L819" s="60"/>
      <c r="M819" s="60"/>
      <c r="N819" s="60">
        <f t="shared" si="252"/>
        <v>0</v>
      </c>
      <c r="O819" s="60">
        <f t="shared" si="253"/>
        <v>0</v>
      </c>
    </row>
    <row r="820" spans="1:15" s="38" customFormat="1" ht="10.7" customHeight="1" outlineLevel="1" x14ac:dyDescent="0.25">
      <c r="A820" s="124"/>
      <c r="B820" s="142"/>
      <c r="C820" s="115"/>
      <c r="D820" s="115"/>
      <c r="E820" s="115"/>
      <c r="F820" s="115"/>
      <c r="G820" s="60" t="s">
        <v>128</v>
      </c>
      <c r="H820" s="124"/>
      <c r="I820" s="124"/>
      <c r="J820" s="60"/>
      <c r="K820" s="60"/>
      <c r="L820" s="60"/>
      <c r="M820" s="60"/>
      <c r="N820" s="60">
        <f t="shared" si="252"/>
        <v>0</v>
      </c>
      <c r="O820" s="60">
        <f t="shared" si="253"/>
        <v>0</v>
      </c>
    </row>
    <row r="821" spans="1:15" s="38" customFormat="1" ht="10.7" customHeight="1" outlineLevel="1" x14ac:dyDescent="0.25">
      <c r="A821" s="124"/>
      <c r="B821" s="142"/>
      <c r="C821" s="115"/>
      <c r="D821" s="115"/>
      <c r="E821" s="115"/>
      <c r="F821" s="115"/>
      <c r="G821" s="60" t="s">
        <v>129</v>
      </c>
      <c r="H821" s="124"/>
      <c r="I821" s="124"/>
      <c r="J821" s="60"/>
      <c r="K821" s="60"/>
      <c r="L821" s="60"/>
      <c r="M821" s="60"/>
      <c r="N821" s="60">
        <f t="shared" si="252"/>
        <v>0</v>
      </c>
      <c r="O821" s="60">
        <f t="shared" si="253"/>
        <v>0</v>
      </c>
    </row>
    <row r="822" spans="1:15" s="38" customFormat="1" ht="10.7" customHeight="1" outlineLevel="1" x14ac:dyDescent="0.25">
      <c r="A822" s="124"/>
      <c r="B822" s="142"/>
      <c r="C822" s="115"/>
      <c r="D822" s="115"/>
      <c r="E822" s="115"/>
      <c r="F822" s="115"/>
      <c r="G822" s="60" t="s">
        <v>130</v>
      </c>
      <c r="H822" s="124"/>
      <c r="I822" s="124"/>
      <c r="J822" s="60"/>
      <c r="K822" s="60"/>
      <c r="L822" s="60"/>
      <c r="M822" s="60"/>
      <c r="N822" s="60">
        <f t="shared" si="252"/>
        <v>0</v>
      </c>
      <c r="O822" s="60">
        <f t="shared" si="253"/>
        <v>0</v>
      </c>
    </row>
    <row r="823" spans="1:15" s="38" customFormat="1" ht="12" customHeight="1" outlineLevel="1" thickBot="1" x14ac:dyDescent="0.3">
      <c r="A823" s="125"/>
      <c r="B823" s="143"/>
      <c r="C823" s="131"/>
      <c r="D823" s="131"/>
      <c r="E823" s="131"/>
      <c r="F823" s="131"/>
      <c r="G823" s="60" t="s">
        <v>131</v>
      </c>
      <c r="H823" s="134"/>
      <c r="I823" s="134"/>
      <c r="J823" s="60"/>
      <c r="K823" s="60"/>
      <c r="L823" s="60"/>
      <c r="M823" s="60"/>
      <c r="N823" s="60">
        <f t="shared" si="252"/>
        <v>0</v>
      </c>
      <c r="O823" s="60">
        <f t="shared" si="253"/>
        <v>0</v>
      </c>
    </row>
    <row r="824" spans="1:15" s="38" customFormat="1" ht="14.45" customHeight="1" outlineLevel="1" x14ac:dyDescent="0.25">
      <c r="A824" s="140" t="s">
        <v>756</v>
      </c>
      <c r="B824" s="141" t="s">
        <v>757</v>
      </c>
      <c r="C824" s="130">
        <f>SUM(N824:N830)</f>
        <v>0</v>
      </c>
      <c r="D824" s="130">
        <f>SUM(O824:O830)</f>
        <v>0</v>
      </c>
      <c r="E824" s="130">
        <f t="shared" si="251"/>
        <v>0</v>
      </c>
      <c r="F824" s="130"/>
      <c r="G824" s="60" t="s">
        <v>125</v>
      </c>
      <c r="H824" s="123"/>
      <c r="I824" s="123"/>
      <c r="J824" s="60"/>
      <c r="K824" s="60"/>
      <c r="L824" s="60"/>
      <c r="M824" s="60"/>
      <c r="N824" s="60">
        <f>M824*J824*K824*L824</f>
        <v>0</v>
      </c>
      <c r="O824" s="60">
        <f>J824*K824*L824</f>
        <v>0</v>
      </c>
    </row>
    <row r="825" spans="1:15" s="38" customFormat="1" ht="11.45" customHeight="1" outlineLevel="1" x14ac:dyDescent="0.25">
      <c r="A825" s="124"/>
      <c r="B825" s="142"/>
      <c r="C825" s="115"/>
      <c r="D825" s="115"/>
      <c r="E825" s="115"/>
      <c r="F825" s="115"/>
      <c r="G825" s="60" t="s">
        <v>126</v>
      </c>
      <c r="H825" s="124"/>
      <c r="I825" s="124"/>
      <c r="J825" s="60"/>
      <c r="K825" s="60"/>
      <c r="L825" s="60"/>
      <c r="M825" s="60"/>
      <c r="N825" s="60">
        <f t="shared" ref="N825:N830" si="254">M825*J825*K825*L825</f>
        <v>0</v>
      </c>
      <c r="O825" s="60">
        <f t="shared" ref="O825:O830" si="255">J825*K825*L825</f>
        <v>0</v>
      </c>
    </row>
    <row r="826" spans="1:15" s="38" customFormat="1" ht="10.7" customHeight="1" outlineLevel="1" x14ac:dyDescent="0.25">
      <c r="A826" s="124"/>
      <c r="B826" s="142"/>
      <c r="C826" s="115"/>
      <c r="D826" s="115"/>
      <c r="E826" s="115"/>
      <c r="F826" s="115"/>
      <c r="G826" s="60" t="s">
        <v>127</v>
      </c>
      <c r="H826" s="124"/>
      <c r="I826" s="124"/>
      <c r="J826" s="60"/>
      <c r="K826" s="60"/>
      <c r="L826" s="60"/>
      <c r="M826" s="60"/>
      <c r="N826" s="60">
        <f t="shared" si="254"/>
        <v>0</v>
      </c>
      <c r="O826" s="60">
        <f t="shared" si="255"/>
        <v>0</v>
      </c>
    </row>
    <row r="827" spans="1:15" s="38" customFormat="1" ht="10.7" customHeight="1" outlineLevel="1" x14ac:dyDescent="0.25">
      <c r="A827" s="124"/>
      <c r="B827" s="142"/>
      <c r="C827" s="115"/>
      <c r="D827" s="115"/>
      <c r="E827" s="115"/>
      <c r="F827" s="115"/>
      <c r="G827" s="60" t="s">
        <v>128</v>
      </c>
      <c r="H827" s="124"/>
      <c r="I827" s="124"/>
      <c r="J827" s="60"/>
      <c r="K827" s="60"/>
      <c r="L827" s="60"/>
      <c r="M827" s="60"/>
      <c r="N827" s="60">
        <f t="shared" si="254"/>
        <v>0</v>
      </c>
      <c r="O827" s="60">
        <f t="shared" si="255"/>
        <v>0</v>
      </c>
    </row>
    <row r="828" spans="1:15" s="38" customFormat="1" ht="10.7" customHeight="1" outlineLevel="1" x14ac:dyDescent="0.25">
      <c r="A828" s="124"/>
      <c r="B828" s="142"/>
      <c r="C828" s="115"/>
      <c r="D828" s="115"/>
      <c r="E828" s="115"/>
      <c r="F828" s="115"/>
      <c r="G828" s="60" t="s">
        <v>129</v>
      </c>
      <c r="H828" s="124"/>
      <c r="I828" s="124"/>
      <c r="J828" s="60"/>
      <c r="K828" s="60"/>
      <c r="L828" s="60"/>
      <c r="M828" s="60"/>
      <c r="N828" s="60">
        <f t="shared" si="254"/>
        <v>0</v>
      </c>
      <c r="O828" s="60">
        <f t="shared" si="255"/>
        <v>0</v>
      </c>
    </row>
    <row r="829" spans="1:15" s="38" customFormat="1" ht="10.7" customHeight="1" outlineLevel="1" x14ac:dyDescent="0.25">
      <c r="A829" s="124"/>
      <c r="B829" s="142"/>
      <c r="C829" s="115"/>
      <c r="D829" s="115"/>
      <c r="E829" s="115"/>
      <c r="F829" s="115"/>
      <c r="G829" s="60" t="s">
        <v>130</v>
      </c>
      <c r="H829" s="124"/>
      <c r="I829" s="124"/>
      <c r="J829" s="60"/>
      <c r="K829" s="60"/>
      <c r="L829" s="60"/>
      <c r="M829" s="60"/>
      <c r="N829" s="60">
        <f t="shared" si="254"/>
        <v>0</v>
      </c>
      <c r="O829" s="60">
        <f t="shared" si="255"/>
        <v>0</v>
      </c>
    </row>
    <row r="830" spans="1:15" s="38" customFormat="1" ht="12" customHeight="1" outlineLevel="1" thickBot="1" x14ac:dyDescent="0.3">
      <c r="A830" s="125"/>
      <c r="B830" s="143"/>
      <c r="C830" s="131"/>
      <c r="D830" s="131"/>
      <c r="E830" s="131"/>
      <c r="F830" s="131"/>
      <c r="G830" s="60" t="s">
        <v>131</v>
      </c>
      <c r="H830" s="134"/>
      <c r="I830" s="134"/>
      <c r="J830" s="60"/>
      <c r="K830" s="60"/>
      <c r="L830" s="60"/>
      <c r="M830" s="60"/>
      <c r="N830" s="60">
        <f t="shared" si="254"/>
        <v>0</v>
      </c>
      <c r="O830" s="60">
        <f t="shared" si="255"/>
        <v>0</v>
      </c>
    </row>
    <row r="831" spans="1:15" s="38" customFormat="1" ht="14.45" customHeight="1" outlineLevel="1" x14ac:dyDescent="0.25">
      <c r="A831" s="140" t="s">
        <v>758</v>
      </c>
      <c r="B831" s="141" t="s">
        <v>759</v>
      </c>
      <c r="C831" s="130">
        <f>SUM(N831:N837)</f>
        <v>0</v>
      </c>
      <c r="D831" s="130">
        <f>SUM(O831:O837)</f>
        <v>0</v>
      </c>
      <c r="E831" s="130">
        <f t="shared" si="251"/>
        <v>0</v>
      </c>
      <c r="F831" s="130"/>
      <c r="G831" s="60" t="s">
        <v>125</v>
      </c>
      <c r="H831" s="123"/>
      <c r="I831" s="123"/>
      <c r="J831" s="60"/>
      <c r="K831" s="60"/>
      <c r="L831" s="60"/>
      <c r="M831" s="60"/>
      <c r="N831" s="60">
        <f>M831*J831*K831*L831</f>
        <v>0</v>
      </c>
      <c r="O831" s="60">
        <f>J831*K831*L831</f>
        <v>0</v>
      </c>
    </row>
    <row r="832" spans="1:15" s="38" customFormat="1" ht="11.45" customHeight="1" outlineLevel="1" x14ac:dyDescent="0.25">
      <c r="A832" s="124"/>
      <c r="B832" s="142"/>
      <c r="C832" s="115"/>
      <c r="D832" s="115"/>
      <c r="E832" s="115"/>
      <c r="F832" s="115"/>
      <c r="G832" s="60" t="s">
        <v>126</v>
      </c>
      <c r="H832" s="124"/>
      <c r="I832" s="124"/>
      <c r="J832" s="60"/>
      <c r="K832" s="60"/>
      <c r="L832" s="60"/>
      <c r="M832" s="60"/>
      <c r="N832" s="60">
        <f t="shared" ref="N832:N837" si="256">M832*J832*K832*L832</f>
        <v>0</v>
      </c>
      <c r="O832" s="60">
        <f t="shared" ref="O832:O837" si="257">J832*K832*L832</f>
        <v>0</v>
      </c>
    </row>
    <row r="833" spans="1:15" s="38" customFormat="1" ht="10.7" customHeight="1" outlineLevel="1" x14ac:dyDescent="0.25">
      <c r="A833" s="124"/>
      <c r="B833" s="142"/>
      <c r="C833" s="115"/>
      <c r="D833" s="115"/>
      <c r="E833" s="115"/>
      <c r="F833" s="115"/>
      <c r="G833" s="60" t="s">
        <v>127</v>
      </c>
      <c r="H833" s="124"/>
      <c r="I833" s="124"/>
      <c r="J833" s="60"/>
      <c r="K833" s="60"/>
      <c r="L833" s="60"/>
      <c r="M833" s="60"/>
      <c r="N833" s="60">
        <f t="shared" si="256"/>
        <v>0</v>
      </c>
      <c r="O833" s="60">
        <f t="shared" si="257"/>
        <v>0</v>
      </c>
    </row>
    <row r="834" spans="1:15" s="38" customFormat="1" ht="10.7" customHeight="1" outlineLevel="1" x14ac:dyDescent="0.25">
      <c r="A834" s="124"/>
      <c r="B834" s="142"/>
      <c r="C834" s="115"/>
      <c r="D834" s="115"/>
      <c r="E834" s="115"/>
      <c r="F834" s="115"/>
      <c r="G834" s="60" t="s">
        <v>128</v>
      </c>
      <c r="H834" s="124"/>
      <c r="I834" s="124"/>
      <c r="J834" s="60"/>
      <c r="K834" s="60"/>
      <c r="L834" s="60"/>
      <c r="M834" s="60"/>
      <c r="N834" s="60">
        <f t="shared" si="256"/>
        <v>0</v>
      </c>
      <c r="O834" s="60">
        <f t="shared" si="257"/>
        <v>0</v>
      </c>
    </row>
    <row r="835" spans="1:15" s="38" customFormat="1" ht="10.7" customHeight="1" outlineLevel="1" x14ac:dyDescent="0.25">
      <c r="A835" s="124"/>
      <c r="B835" s="142"/>
      <c r="C835" s="115"/>
      <c r="D835" s="115"/>
      <c r="E835" s="115"/>
      <c r="F835" s="115"/>
      <c r="G835" s="60" t="s">
        <v>129</v>
      </c>
      <c r="H835" s="124"/>
      <c r="I835" s="124"/>
      <c r="J835" s="60"/>
      <c r="K835" s="60"/>
      <c r="L835" s="60"/>
      <c r="M835" s="60"/>
      <c r="N835" s="60">
        <f t="shared" si="256"/>
        <v>0</v>
      </c>
      <c r="O835" s="60">
        <f t="shared" si="257"/>
        <v>0</v>
      </c>
    </row>
    <row r="836" spans="1:15" s="38" customFormat="1" ht="10.7" customHeight="1" outlineLevel="1" x14ac:dyDescent="0.25">
      <c r="A836" s="124"/>
      <c r="B836" s="142"/>
      <c r="C836" s="115"/>
      <c r="D836" s="115"/>
      <c r="E836" s="115"/>
      <c r="F836" s="115"/>
      <c r="G836" s="60" t="s">
        <v>130</v>
      </c>
      <c r="H836" s="124"/>
      <c r="I836" s="124"/>
      <c r="J836" s="60"/>
      <c r="K836" s="60"/>
      <c r="L836" s="60"/>
      <c r="M836" s="60"/>
      <c r="N836" s="60">
        <f t="shared" si="256"/>
        <v>0</v>
      </c>
      <c r="O836" s="60">
        <f t="shared" si="257"/>
        <v>0</v>
      </c>
    </row>
    <row r="837" spans="1:15" s="38" customFormat="1" ht="12" customHeight="1" outlineLevel="1" thickBot="1" x14ac:dyDescent="0.3">
      <c r="A837" s="125"/>
      <c r="B837" s="143"/>
      <c r="C837" s="131"/>
      <c r="D837" s="131"/>
      <c r="E837" s="131"/>
      <c r="F837" s="131"/>
      <c r="G837" s="60" t="s">
        <v>131</v>
      </c>
      <c r="H837" s="134"/>
      <c r="I837" s="134"/>
      <c r="J837" s="60"/>
      <c r="K837" s="60"/>
      <c r="L837" s="60"/>
      <c r="M837" s="60"/>
      <c r="N837" s="60">
        <f t="shared" si="256"/>
        <v>0</v>
      </c>
      <c r="O837" s="60">
        <f t="shared" si="257"/>
        <v>0</v>
      </c>
    </row>
    <row r="838" spans="1:15" s="38" customFormat="1" ht="14.45" customHeight="1" outlineLevel="1" x14ac:dyDescent="0.25">
      <c r="A838" s="140" t="s">
        <v>760</v>
      </c>
      <c r="B838" s="141" t="s">
        <v>761</v>
      </c>
      <c r="C838" s="130">
        <f>SUM(N838:N844)</f>
        <v>0</v>
      </c>
      <c r="D838" s="130">
        <f>SUM(O838:O844)</f>
        <v>0</v>
      </c>
      <c r="E838" s="130">
        <f t="shared" si="251"/>
        <v>0</v>
      </c>
      <c r="F838" s="130"/>
      <c r="G838" s="60" t="s">
        <v>125</v>
      </c>
      <c r="H838" s="123"/>
      <c r="I838" s="123"/>
      <c r="J838" s="60"/>
      <c r="K838" s="60"/>
      <c r="L838" s="60"/>
      <c r="M838" s="60"/>
      <c r="N838" s="60">
        <f>M838*J838*K838*L838</f>
        <v>0</v>
      </c>
      <c r="O838" s="60">
        <f>J838*K838*L838</f>
        <v>0</v>
      </c>
    </row>
    <row r="839" spans="1:15" s="38" customFormat="1" ht="11.45" customHeight="1" outlineLevel="1" x14ac:dyDescent="0.25">
      <c r="A839" s="124"/>
      <c r="B839" s="142"/>
      <c r="C839" s="115"/>
      <c r="D839" s="115"/>
      <c r="E839" s="115"/>
      <c r="F839" s="115"/>
      <c r="G839" s="60" t="s">
        <v>126</v>
      </c>
      <c r="H839" s="124"/>
      <c r="I839" s="124"/>
      <c r="J839" s="60"/>
      <c r="K839" s="60"/>
      <c r="L839" s="60"/>
      <c r="M839" s="60"/>
      <c r="N839" s="60">
        <f t="shared" ref="N839:N844" si="258">M839*J839*K839*L839</f>
        <v>0</v>
      </c>
      <c r="O839" s="60">
        <f t="shared" ref="O839:O844" si="259">J839*K839*L839</f>
        <v>0</v>
      </c>
    </row>
    <row r="840" spans="1:15" s="38" customFormat="1" ht="10.7" customHeight="1" outlineLevel="1" x14ac:dyDescent="0.25">
      <c r="A840" s="124"/>
      <c r="B840" s="142"/>
      <c r="C840" s="115"/>
      <c r="D840" s="115"/>
      <c r="E840" s="115"/>
      <c r="F840" s="115"/>
      <c r="G840" s="60" t="s">
        <v>127</v>
      </c>
      <c r="H840" s="124"/>
      <c r="I840" s="124"/>
      <c r="J840" s="60"/>
      <c r="K840" s="60"/>
      <c r="L840" s="60"/>
      <c r="M840" s="60"/>
      <c r="N840" s="60">
        <f t="shared" si="258"/>
        <v>0</v>
      </c>
      <c r="O840" s="60">
        <f t="shared" si="259"/>
        <v>0</v>
      </c>
    </row>
    <row r="841" spans="1:15" s="38" customFormat="1" ht="10.7" customHeight="1" outlineLevel="1" x14ac:dyDescent="0.25">
      <c r="A841" s="124"/>
      <c r="B841" s="142"/>
      <c r="C841" s="115"/>
      <c r="D841" s="115"/>
      <c r="E841" s="115"/>
      <c r="F841" s="115"/>
      <c r="G841" s="60" t="s">
        <v>128</v>
      </c>
      <c r="H841" s="124"/>
      <c r="I841" s="124"/>
      <c r="J841" s="60"/>
      <c r="K841" s="60"/>
      <c r="L841" s="60"/>
      <c r="M841" s="60"/>
      <c r="N841" s="60">
        <f t="shared" si="258"/>
        <v>0</v>
      </c>
      <c r="O841" s="60">
        <f t="shared" si="259"/>
        <v>0</v>
      </c>
    </row>
    <row r="842" spans="1:15" s="38" customFormat="1" ht="10.7" customHeight="1" outlineLevel="1" x14ac:dyDescent="0.25">
      <c r="A842" s="124"/>
      <c r="B842" s="142"/>
      <c r="C842" s="115"/>
      <c r="D842" s="115"/>
      <c r="E842" s="115"/>
      <c r="F842" s="115"/>
      <c r="G842" s="60" t="s">
        <v>129</v>
      </c>
      <c r="H842" s="124"/>
      <c r="I842" s="124"/>
      <c r="J842" s="60"/>
      <c r="K842" s="60"/>
      <c r="L842" s="60"/>
      <c r="M842" s="60"/>
      <c r="N842" s="60">
        <f t="shared" si="258"/>
        <v>0</v>
      </c>
      <c r="O842" s="60">
        <f t="shared" si="259"/>
        <v>0</v>
      </c>
    </row>
    <row r="843" spans="1:15" s="38" customFormat="1" ht="10.7" customHeight="1" outlineLevel="1" x14ac:dyDescent="0.25">
      <c r="A843" s="124"/>
      <c r="B843" s="142"/>
      <c r="C843" s="115"/>
      <c r="D843" s="115"/>
      <c r="E843" s="115"/>
      <c r="F843" s="115"/>
      <c r="G843" s="60" t="s">
        <v>130</v>
      </c>
      <c r="H843" s="124"/>
      <c r="I843" s="124"/>
      <c r="J843" s="60"/>
      <c r="K843" s="60"/>
      <c r="L843" s="60"/>
      <c r="M843" s="60"/>
      <c r="N843" s="60">
        <f t="shared" si="258"/>
        <v>0</v>
      </c>
      <c r="O843" s="60">
        <f t="shared" si="259"/>
        <v>0</v>
      </c>
    </row>
    <row r="844" spans="1:15" s="38" customFormat="1" ht="12" customHeight="1" outlineLevel="1" thickBot="1" x14ac:dyDescent="0.3">
      <c r="A844" s="125"/>
      <c r="B844" s="143"/>
      <c r="C844" s="131"/>
      <c r="D844" s="131"/>
      <c r="E844" s="131"/>
      <c r="F844" s="131"/>
      <c r="G844" s="60" t="s">
        <v>131</v>
      </c>
      <c r="H844" s="134"/>
      <c r="I844" s="134"/>
      <c r="J844" s="60"/>
      <c r="K844" s="60"/>
      <c r="L844" s="60"/>
      <c r="M844" s="60"/>
      <c r="N844" s="60">
        <f t="shared" si="258"/>
        <v>0</v>
      </c>
      <c r="O844" s="60">
        <f t="shared" si="259"/>
        <v>0</v>
      </c>
    </row>
    <row r="845" spans="1:15" s="38" customFormat="1" ht="14.45" customHeight="1" outlineLevel="1" x14ac:dyDescent="0.25">
      <c r="A845" s="140" t="s">
        <v>762</v>
      </c>
      <c r="B845" s="141" t="s">
        <v>763</v>
      </c>
      <c r="C845" s="130">
        <f>SUM(N845:N851)</f>
        <v>0</v>
      </c>
      <c r="D845" s="130">
        <f>SUM(O845:O851)</f>
        <v>0</v>
      </c>
      <c r="E845" s="130">
        <f t="shared" si="251"/>
        <v>0</v>
      </c>
      <c r="F845" s="130"/>
      <c r="G845" s="60" t="s">
        <v>125</v>
      </c>
      <c r="H845" s="123"/>
      <c r="I845" s="123"/>
      <c r="J845" s="60"/>
      <c r="K845" s="60"/>
      <c r="L845" s="60"/>
      <c r="M845" s="60"/>
      <c r="N845" s="60">
        <f>M845*J845*K845*L845</f>
        <v>0</v>
      </c>
      <c r="O845" s="60">
        <f>J845*K845*L845</f>
        <v>0</v>
      </c>
    </row>
    <row r="846" spans="1:15" s="38" customFormat="1" ht="11.45" customHeight="1" outlineLevel="1" x14ac:dyDescent="0.25">
      <c r="A846" s="124"/>
      <c r="B846" s="142"/>
      <c r="C846" s="115"/>
      <c r="D846" s="115"/>
      <c r="E846" s="115"/>
      <c r="F846" s="115"/>
      <c r="G846" s="60" t="s">
        <v>126</v>
      </c>
      <c r="H846" s="124"/>
      <c r="I846" s="124"/>
      <c r="J846" s="60"/>
      <c r="K846" s="60"/>
      <c r="L846" s="60"/>
      <c r="M846" s="60"/>
      <c r="N846" s="60">
        <f t="shared" ref="N846:N851" si="260">M846*J846*K846*L846</f>
        <v>0</v>
      </c>
      <c r="O846" s="60">
        <f t="shared" ref="O846:O851" si="261">J846*K846*L846</f>
        <v>0</v>
      </c>
    </row>
    <row r="847" spans="1:15" s="38" customFormat="1" ht="10.7" customHeight="1" outlineLevel="1" x14ac:dyDescent="0.25">
      <c r="A847" s="124"/>
      <c r="B847" s="142"/>
      <c r="C847" s="115"/>
      <c r="D847" s="115"/>
      <c r="E847" s="115"/>
      <c r="F847" s="115"/>
      <c r="G847" s="60" t="s">
        <v>127</v>
      </c>
      <c r="H847" s="124"/>
      <c r="I847" s="124"/>
      <c r="J847" s="60"/>
      <c r="K847" s="60"/>
      <c r="L847" s="60"/>
      <c r="M847" s="60"/>
      <c r="N847" s="60">
        <f t="shared" si="260"/>
        <v>0</v>
      </c>
      <c r="O847" s="60">
        <f t="shared" si="261"/>
        <v>0</v>
      </c>
    </row>
    <row r="848" spans="1:15" s="38" customFormat="1" ht="10.7" customHeight="1" outlineLevel="1" x14ac:dyDescent="0.25">
      <c r="A848" s="124"/>
      <c r="B848" s="142"/>
      <c r="C848" s="115"/>
      <c r="D848" s="115"/>
      <c r="E848" s="115"/>
      <c r="F848" s="115"/>
      <c r="G848" s="60" t="s">
        <v>128</v>
      </c>
      <c r="H848" s="124"/>
      <c r="I848" s="124"/>
      <c r="J848" s="60"/>
      <c r="K848" s="60"/>
      <c r="L848" s="60"/>
      <c r="M848" s="60"/>
      <c r="N848" s="60">
        <f t="shared" si="260"/>
        <v>0</v>
      </c>
      <c r="O848" s="60">
        <f t="shared" si="261"/>
        <v>0</v>
      </c>
    </row>
    <row r="849" spans="1:15" s="38" customFormat="1" ht="10.7" customHeight="1" outlineLevel="1" x14ac:dyDescent="0.25">
      <c r="A849" s="124"/>
      <c r="B849" s="142"/>
      <c r="C849" s="115"/>
      <c r="D849" s="115"/>
      <c r="E849" s="115"/>
      <c r="F849" s="115"/>
      <c r="G849" s="60" t="s">
        <v>129</v>
      </c>
      <c r="H849" s="124"/>
      <c r="I849" s="124"/>
      <c r="J849" s="60"/>
      <c r="K849" s="60"/>
      <c r="L849" s="60"/>
      <c r="M849" s="60"/>
      <c r="N849" s="60">
        <f t="shared" si="260"/>
        <v>0</v>
      </c>
      <c r="O849" s="60">
        <f t="shared" si="261"/>
        <v>0</v>
      </c>
    </row>
    <row r="850" spans="1:15" s="38" customFormat="1" ht="10.7" customHeight="1" outlineLevel="1" x14ac:dyDescent="0.25">
      <c r="A850" s="124"/>
      <c r="B850" s="142"/>
      <c r="C850" s="115"/>
      <c r="D850" s="115"/>
      <c r="E850" s="115"/>
      <c r="F850" s="115"/>
      <c r="G850" s="60" t="s">
        <v>130</v>
      </c>
      <c r="H850" s="124"/>
      <c r="I850" s="124"/>
      <c r="J850" s="60"/>
      <c r="K850" s="60"/>
      <c r="L850" s="60"/>
      <c r="M850" s="60"/>
      <c r="N850" s="60">
        <f t="shared" si="260"/>
        <v>0</v>
      </c>
      <c r="O850" s="60">
        <f t="shared" si="261"/>
        <v>0</v>
      </c>
    </row>
    <row r="851" spans="1:15" s="38" customFormat="1" ht="12" customHeight="1" outlineLevel="1" thickBot="1" x14ac:dyDescent="0.3">
      <c r="A851" s="125"/>
      <c r="B851" s="143"/>
      <c r="C851" s="131"/>
      <c r="D851" s="131"/>
      <c r="E851" s="131"/>
      <c r="F851" s="131"/>
      <c r="G851" s="60" t="s">
        <v>131</v>
      </c>
      <c r="H851" s="134"/>
      <c r="I851" s="134"/>
      <c r="J851" s="60"/>
      <c r="K851" s="60"/>
      <c r="L851" s="60"/>
      <c r="M851" s="60"/>
      <c r="N851" s="60">
        <f t="shared" si="260"/>
        <v>0</v>
      </c>
      <c r="O851" s="60">
        <f t="shared" si="261"/>
        <v>0</v>
      </c>
    </row>
    <row r="852" spans="1:15" s="38" customFormat="1" ht="14.45" customHeight="1" outlineLevel="1" x14ac:dyDescent="0.25">
      <c r="A852" s="140" t="s">
        <v>764</v>
      </c>
      <c r="B852" s="141" t="s">
        <v>765</v>
      </c>
      <c r="C852" s="130">
        <f>SUM(N852:N858)</f>
        <v>0</v>
      </c>
      <c r="D852" s="130">
        <f>SUM(O852:O858)</f>
        <v>0</v>
      </c>
      <c r="E852" s="130">
        <f t="shared" si="251"/>
        <v>0</v>
      </c>
      <c r="F852" s="130"/>
      <c r="G852" s="60" t="s">
        <v>125</v>
      </c>
      <c r="H852" s="123"/>
      <c r="I852" s="123"/>
      <c r="J852" s="60"/>
      <c r="K852" s="60"/>
      <c r="L852" s="60"/>
      <c r="M852" s="60"/>
      <c r="N852" s="60">
        <f>M852*J852*K852*L852</f>
        <v>0</v>
      </c>
      <c r="O852" s="60">
        <f>J852*K852*L852</f>
        <v>0</v>
      </c>
    </row>
    <row r="853" spans="1:15" s="38" customFormat="1" ht="11.45" customHeight="1" outlineLevel="1" x14ac:dyDescent="0.25">
      <c r="A853" s="124"/>
      <c r="B853" s="142"/>
      <c r="C853" s="115"/>
      <c r="D853" s="115"/>
      <c r="E853" s="115"/>
      <c r="F853" s="115"/>
      <c r="G853" s="60" t="s">
        <v>126</v>
      </c>
      <c r="H853" s="124"/>
      <c r="I853" s="124"/>
      <c r="J853" s="60"/>
      <c r="K853" s="60"/>
      <c r="L853" s="60"/>
      <c r="M853" s="60"/>
      <c r="N853" s="60">
        <f t="shared" ref="N853:N858" si="262">M853*J853*K853*L853</f>
        <v>0</v>
      </c>
      <c r="O853" s="60">
        <f t="shared" ref="O853:O858" si="263">J853*K853*L853</f>
        <v>0</v>
      </c>
    </row>
    <row r="854" spans="1:15" s="38" customFormat="1" ht="10.7" customHeight="1" outlineLevel="1" x14ac:dyDescent="0.25">
      <c r="A854" s="124"/>
      <c r="B854" s="142"/>
      <c r="C854" s="115"/>
      <c r="D854" s="115"/>
      <c r="E854" s="115"/>
      <c r="F854" s="115"/>
      <c r="G854" s="60" t="s">
        <v>127</v>
      </c>
      <c r="H854" s="124"/>
      <c r="I854" s="124"/>
      <c r="J854" s="60"/>
      <c r="K854" s="60"/>
      <c r="L854" s="60"/>
      <c r="M854" s="60"/>
      <c r="N854" s="60">
        <f t="shared" si="262"/>
        <v>0</v>
      </c>
      <c r="O854" s="60">
        <f t="shared" si="263"/>
        <v>0</v>
      </c>
    </row>
    <row r="855" spans="1:15" s="38" customFormat="1" ht="10.7" customHeight="1" outlineLevel="1" x14ac:dyDescent="0.25">
      <c r="A855" s="124"/>
      <c r="B855" s="142"/>
      <c r="C855" s="115"/>
      <c r="D855" s="115"/>
      <c r="E855" s="115"/>
      <c r="F855" s="115"/>
      <c r="G855" s="60" t="s">
        <v>128</v>
      </c>
      <c r="H855" s="124"/>
      <c r="I855" s="124"/>
      <c r="J855" s="60"/>
      <c r="K855" s="60"/>
      <c r="L855" s="60"/>
      <c r="M855" s="60"/>
      <c r="N855" s="60">
        <f t="shared" si="262"/>
        <v>0</v>
      </c>
      <c r="O855" s="60">
        <f t="shared" si="263"/>
        <v>0</v>
      </c>
    </row>
    <row r="856" spans="1:15" s="38" customFormat="1" ht="10.7" customHeight="1" outlineLevel="1" x14ac:dyDescent="0.25">
      <c r="A856" s="124"/>
      <c r="B856" s="142"/>
      <c r="C856" s="115"/>
      <c r="D856" s="115"/>
      <c r="E856" s="115"/>
      <c r="F856" s="115"/>
      <c r="G856" s="60" t="s">
        <v>129</v>
      </c>
      <c r="H856" s="124"/>
      <c r="I856" s="124"/>
      <c r="J856" s="60"/>
      <c r="K856" s="60"/>
      <c r="L856" s="60"/>
      <c r="M856" s="60"/>
      <c r="N856" s="60">
        <f t="shared" si="262"/>
        <v>0</v>
      </c>
      <c r="O856" s="60">
        <f t="shared" si="263"/>
        <v>0</v>
      </c>
    </row>
    <row r="857" spans="1:15" s="38" customFormat="1" ht="10.7" customHeight="1" outlineLevel="1" x14ac:dyDescent="0.25">
      <c r="A857" s="124"/>
      <c r="B857" s="142"/>
      <c r="C857" s="115"/>
      <c r="D857" s="115"/>
      <c r="E857" s="115"/>
      <c r="F857" s="115"/>
      <c r="G857" s="60" t="s">
        <v>130</v>
      </c>
      <c r="H857" s="124"/>
      <c r="I857" s="124"/>
      <c r="J857" s="60"/>
      <c r="K857" s="60"/>
      <c r="L857" s="60"/>
      <c r="M857" s="60"/>
      <c r="N857" s="60">
        <f t="shared" si="262"/>
        <v>0</v>
      </c>
      <c r="O857" s="60">
        <f t="shared" si="263"/>
        <v>0</v>
      </c>
    </row>
    <row r="858" spans="1:15" s="38" customFormat="1" ht="12" customHeight="1" outlineLevel="1" thickBot="1" x14ac:dyDescent="0.3">
      <c r="A858" s="125"/>
      <c r="B858" s="143"/>
      <c r="C858" s="131"/>
      <c r="D858" s="131"/>
      <c r="E858" s="131"/>
      <c r="F858" s="131"/>
      <c r="G858" s="60" t="s">
        <v>131</v>
      </c>
      <c r="H858" s="134"/>
      <c r="I858" s="134"/>
      <c r="J858" s="60"/>
      <c r="K858" s="60"/>
      <c r="L858" s="60"/>
      <c r="M858" s="60"/>
      <c r="N858" s="60">
        <f t="shared" si="262"/>
        <v>0</v>
      </c>
      <c r="O858" s="60">
        <f t="shared" si="263"/>
        <v>0</v>
      </c>
    </row>
    <row r="859" spans="1:15" s="38" customFormat="1" ht="14.45" customHeight="1" outlineLevel="1" x14ac:dyDescent="0.25">
      <c r="A859" s="140" t="s">
        <v>766</v>
      </c>
      <c r="B859" s="141" t="s">
        <v>767</v>
      </c>
      <c r="C859" s="130">
        <f>SUM(N859:N865)</f>
        <v>0</v>
      </c>
      <c r="D859" s="130">
        <f>SUM(O859:O865)</f>
        <v>0</v>
      </c>
      <c r="E859" s="130">
        <f t="shared" si="251"/>
        <v>0</v>
      </c>
      <c r="F859" s="130"/>
      <c r="G859" s="60" t="s">
        <v>125</v>
      </c>
      <c r="H859" s="123"/>
      <c r="I859" s="123"/>
      <c r="J859" s="60"/>
      <c r="K859" s="60"/>
      <c r="L859" s="60"/>
      <c r="M859" s="60"/>
      <c r="N859" s="60">
        <f>M859*J859*K859*L859</f>
        <v>0</v>
      </c>
      <c r="O859" s="60">
        <f>J859*K859*L859</f>
        <v>0</v>
      </c>
    </row>
    <row r="860" spans="1:15" s="38" customFormat="1" ht="11.45" customHeight="1" outlineLevel="1" x14ac:dyDescent="0.25">
      <c r="A860" s="124"/>
      <c r="B860" s="142"/>
      <c r="C860" s="115"/>
      <c r="D860" s="115"/>
      <c r="E860" s="115"/>
      <c r="F860" s="115"/>
      <c r="G860" s="60" t="s">
        <v>126</v>
      </c>
      <c r="H860" s="124"/>
      <c r="I860" s="124"/>
      <c r="J860" s="60"/>
      <c r="K860" s="60"/>
      <c r="L860" s="60"/>
      <c r="M860" s="60"/>
      <c r="N860" s="60">
        <f t="shared" ref="N860:N865" si="264">M860*J860*K860*L860</f>
        <v>0</v>
      </c>
      <c r="O860" s="60">
        <f t="shared" ref="O860:O865" si="265">J860*K860*L860</f>
        <v>0</v>
      </c>
    </row>
    <row r="861" spans="1:15" s="38" customFormat="1" ht="10.7" customHeight="1" outlineLevel="1" x14ac:dyDescent="0.25">
      <c r="A861" s="124"/>
      <c r="B861" s="142"/>
      <c r="C861" s="115"/>
      <c r="D861" s="115"/>
      <c r="E861" s="115"/>
      <c r="F861" s="115"/>
      <c r="G861" s="60" t="s">
        <v>127</v>
      </c>
      <c r="H861" s="124"/>
      <c r="I861" s="124"/>
      <c r="J861" s="60"/>
      <c r="K861" s="60"/>
      <c r="L861" s="60"/>
      <c r="M861" s="60"/>
      <c r="N861" s="60">
        <f t="shared" si="264"/>
        <v>0</v>
      </c>
      <c r="O861" s="60">
        <f t="shared" si="265"/>
        <v>0</v>
      </c>
    </row>
    <row r="862" spans="1:15" s="38" customFormat="1" ht="10.7" customHeight="1" outlineLevel="1" x14ac:dyDescent="0.25">
      <c r="A862" s="124"/>
      <c r="B862" s="142"/>
      <c r="C862" s="115"/>
      <c r="D862" s="115"/>
      <c r="E862" s="115"/>
      <c r="F862" s="115"/>
      <c r="G862" s="60" t="s">
        <v>128</v>
      </c>
      <c r="H862" s="124"/>
      <c r="I862" s="124"/>
      <c r="J862" s="60"/>
      <c r="K862" s="60"/>
      <c r="L862" s="60"/>
      <c r="M862" s="60"/>
      <c r="N862" s="60">
        <f t="shared" si="264"/>
        <v>0</v>
      </c>
      <c r="O862" s="60">
        <f t="shared" si="265"/>
        <v>0</v>
      </c>
    </row>
    <row r="863" spans="1:15" s="38" customFormat="1" ht="10.7" customHeight="1" outlineLevel="1" x14ac:dyDescent="0.25">
      <c r="A863" s="124"/>
      <c r="B863" s="142"/>
      <c r="C863" s="115"/>
      <c r="D863" s="115"/>
      <c r="E863" s="115"/>
      <c r="F863" s="115"/>
      <c r="G863" s="60" t="s">
        <v>129</v>
      </c>
      <c r="H863" s="124"/>
      <c r="I863" s="124"/>
      <c r="J863" s="60"/>
      <c r="K863" s="60"/>
      <c r="L863" s="60"/>
      <c r="M863" s="60"/>
      <c r="N863" s="60">
        <f t="shared" si="264"/>
        <v>0</v>
      </c>
      <c r="O863" s="60">
        <f t="shared" si="265"/>
        <v>0</v>
      </c>
    </row>
    <row r="864" spans="1:15" s="38" customFormat="1" ht="10.7" customHeight="1" outlineLevel="1" x14ac:dyDescent="0.25">
      <c r="A864" s="124"/>
      <c r="B864" s="142"/>
      <c r="C864" s="115"/>
      <c r="D864" s="115"/>
      <c r="E864" s="115"/>
      <c r="F864" s="115"/>
      <c r="G864" s="60" t="s">
        <v>130</v>
      </c>
      <c r="H864" s="124"/>
      <c r="I864" s="124"/>
      <c r="J864" s="60"/>
      <c r="K864" s="60"/>
      <c r="L864" s="60"/>
      <c r="M864" s="60"/>
      <c r="N864" s="60">
        <f t="shared" si="264"/>
        <v>0</v>
      </c>
      <c r="O864" s="60">
        <f t="shared" si="265"/>
        <v>0</v>
      </c>
    </row>
    <row r="865" spans="1:15" s="38" customFormat="1" ht="12" customHeight="1" outlineLevel="1" thickBot="1" x14ac:dyDescent="0.3">
      <c r="A865" s="125"/>
      <c r="B865" s="143"/>
      <c r="C865" s="131"/>
      <c r="D865" s="131"/>
      <c r="E865" s="131"/>
      <c r="F865" s="131"/>
      <c r="G865" s="60" t="s">
        <v>131</v>
      </c>
      <c r="H865" s="134"/>
      <c r="I865" s="134"/>
      <c r="J865" s="60"/>
      <c r="K865" s="60"/>
      <c r="L865" s="60"/>
      <c r="M865" s="60"/>
      <c r="N865" s="60">
        <f t="shared" si="264"/>
        <v>0</v>
      </c>
      <c r="O865" s="60">
        <f t="shared" si="265"/>
        <v>0</v>
      </c>
    </row>
    <row r="866" spans="1:15" s="38" customFormat="1" ht="14.45" customHeight="1" outlineLevel="1" x14ac:dyDescent="0.25">
      <c r="A866" s="140" t="s">
        <v>768</v>
      </c>
      <c r="B866" s="141" t="s">
        <v>769</v>
      </c>
      <c r="C866" s="130">
        <f>SUM(N866:N872)</f>
        <v>0</v>
      </c>
      <c r="D866" s="130">
        <f>SUM(O866:O872)</f>
        <v>0</v>
      </c>
      <c r="E866" s="130">
        <f t="shared" si="251"/>
        <v>0</v>
      </c>
      <c r="F866" s="130"/>
      <c r="G866" s="60" t="s">
        <v>125</v>
      </c>
      <c r="H866" s="123"/>
      <c r="I866" s="123"/>
      <c r="J866" s="60"/>
      <c r="K866" s="60"/>
      <c r="L866" s="60"/>
      <c r="M866" s="60"/>
      <c r="N866" s="60">
        <f>M866*J866*K866*L866</f>
        <v>0</v>
      </c>
      <c r="O866" s="60">
        <f>J866*K866*L866</f>
        <v>0</v>
      </c>
    </row>
    <row r="867" spans="1:15" s="38" customFormat="1" ht="11.45" customHeight="1" outlineLevel="1" x14ac:dyDescent="0.25">
      <c r="A867" s="124"/>
      <c r="B867" s="142"/>
      <c r="C867" s="115"/>
      <c r="D867" s="115"/>
      <c r="E867" s="115"/>
      <c r="F867" s="115"/>
      <c r="G867" s="60" t="s">
        <v>126</v>
      </c>
      <c r="H867" s="124"/>
      <c r="I867" s="124"/>
      <c r="J867" s="60"/>
      <c r="K867" s="60"/>
      <c r="L867" s="60"/>
      <c r="M867" s="60"/>
      <c r="N867" s="60">
        <f t="shared" ref="N867:N872" si="266">M867*J867*K867*L867</f>
        <v>0</v>
      </c>
      <c r="O867" s="60">
        <f t="shared" ref="O867:O872" si="267">J867*K867*L867</f>
        <v>0</v>
      </c>
    </row>
    <row r="868" spans="1:15" s="38" customFormat="1" ht="10.7" customHeight="1" outlineLevel="1" x14ac:dyDescent="0.25">
      <c r="A868" s="124"/>
      <c r="B868" s="142"/>
      <c r="C868" s="115"/>
      <c r="D868" s="115"/>
      <c r="E868" s="115"/>
      <c r="F868" s="115"/>
      <c r="G868" s="60" t="s">
        <v>127</v>
      </c>
      <c r="H868" s="124"/>
      <c r="I868" s="124"/>
      <c r="J868" s="60"/>
      <c r="K868" s="60"/>
      <c r="L868" s="60"/>
      <c r="M868" s="60"/>
      <c r="N868" s="60">
        <f t="shared" si="266"/>
        <v>0</v>
      </c>
      <c r="O868" s="60">
        <f t="shared" si="267"/>
        <v>0</v>
      </c>
    </row>
    <row r="869" spans="1:15" s="38" customFormat="1" ht="10.7" customHeight="1" outlineLevel="1" x14ac:dyDescent="0.25">
      <c r="A869" s="124"/>
      <c r="B869" s="142"/>
      <c r="C869" s="115"/>
      <c r="D869" s="115"/>
      <c r="E869" s="115"/>
      <c r="F869" s="115"/>
      <c r="G869" s="60" t="s">
        <v>128</v>
      </c>
      <c r="H869" s="124"/>
      <c r="I869" s="124"/>
      <c r="J869" s="60"/>
      <c r="K869" s="60"/>
      <c r="L869" s="60"/>
      <c r="M869" s="60"/>
      <c r="N869" s="60">
        <f t="shared" si="266"/>
        <v>0</v>
      </c>
      <c r="O869" s="60">
        <f t="shared" si="267"/>
        <v>0</v>
      </c>
    </row>
    <row r="870" spans="1:15" s="38" customFormat="1" ht="10.7" customHeight="1" outlineLevel="1" x14ac:dyDescent="0.25">
      <c r="A870" s="124"/>
      <c r="B870" s="142"/>
      <c r="C870" s="115"/>
      <c r="D870" s="115"/>
      <c r="E870" s="115"/>
      <c r="F870" s="115"/>
      <c r="G870" s="60" t="s">
        <v>129</v>
      </c>
      <c r="H870" s="124"/>
      <c r="I870" s="124"/>
      <c r="J870" s="60"/>
      <c r="K870" s="60"/>
      <c r="L870" s="60"/>
      <c r="M870" s="60"/>
      <c r="N870" s="60">
        <f t="shared" si="266"/>
        <v>0</v>
      </c>
      <c r="O870" s="60">
        <f t="shared" si="267"/>
        <v>0</v>
      </c>
    </row>
    <row r="871" spans="1:15" s="38" customFormat="1" ht="10.7" customHeight="1" outlineLevel="1" x14ac:dyDescent="0.25">
      <c r="A871" s="124"/>
      <c r="B871" s="142"/>
      <c r="C871" s="115"/>
      <c r="D871" s="115"/>
      <c r="E871" s="115"/>
      <c r="F871" s="115"/>
      <c r="G871" s="60" t="s">
        <v>130</v>
      </c>
      <c r="H871" s="124"/>
      <c r="I871" s="124"/>
      <c r="J871" s="60"/>
      <c r="K871" s="60"/>
      <c r="L871" s="60"/>
      <c r="M871" s="60"/>
      <c r="N871" s="60">
        <f t="shared" si="266"/>
        <v>0</v>
      </c>
      <c r="O871" s="60">
        <f t="shared" si="267"/>
        <v>0</v>
      </c>
    </row>
    <row r="872" spans="1:15" s="38" customFormat="1" ht="12" customHeight="1" outlineLevel="1" thickBot="1" x14ac:dyDescent="0.3">
      <c r="A872" s="125"/>
      <c r="B872" s="143"/>
      <c r="C872" s="131"/>
      <c r="D872" s="131"/>
      <c r="E872" s="131"/>
      <c r="F872" s="131"/>
      <c r="G872" s="60" t="s">
        <v>131</v>
      </c>
      <c r="H872" s="134"/>
      <c r="I872" s="134"/>
      <c r="J872" s="60"/>
      <c r="K872" s="60"/>
      <c r="L872" s="60"/>
      <c r="M872" s="60"/>
      <c r="N872" s="60">
        <f t="shared" si="266"/>
        <v>0</v>
      </c>
      <c r="O872" s="60">
        <f t="shared" si="267"/>
        <v>0</v>
      </c>
    </row>
    <row r="873" spans="1:15" s="38" customFormat="1" ht="14.45" customHeight="1" outlineLevel="1" x14ac:dyDescent="0.25">
      <c r="A873" s="140" t="s">
        <v>770</v>
      </c>
      <c r="B873" s="141" t="s">
        <v>771</v>
      </c>
      <c r="C873" s="130">
        <f>SUM(N873:N879)</f>
        <v>0</v>
      </c>
      <c r="D873" s="130">
        <f>SUM(O873:O879)</f>
        <v>0</v>
      </c>
      <c r="E873" s="130">
        <f t="shared" si="251"/>
        <v>0</v>
      </c>
      <c r="F873" s="130"/>
      <c r="G873" s="60" t="s">
        <v>125</v>
      </c>
      <c r="H873" s="123"/>
      <c r="I873" s="123"/>
      <c r="J873" s="60"/>
      <c r="K873" s="60"/>
      <c r="L873" s="60"/>
      <c r="M873" s="60"/>
      <c r="N873" s="60">
        <f>M873*J873*K873*L873</f>
        <v>0</v>
      </c>
      <c r="O873" s="60">
        <f>J873*K873*L873</f>
        <v>0</v>
      </c>
    </row>
    <row r="874" spans="1:15" s="38" customFormat="1" ht="11.45" customHeight="1" outlineLevel="1" x14ac:dyDescent="0.25">
      <c r="A874" s="124"/>
      <c r="B874" s="142"/>
      <c r="C874" s="115"/>
      <c r="D874" s="115"/>
      <c r="E874" s="115"/>
      <c r="F874" s="115"/>
      <c r="G874" s="60" t="s">
        <v>126</v>
      </c>
      <c r="H874" s="124"/>
      <c r="I874" s="124"/>
      <c r="J874" s="60"/>
      <c r="K874" s="60"/>
      <c r="L874" s="60"/>
      <c r="M874" s="60"/>
      <c r="N874" s="60">
        <f t="shared" ref="N874:N879" si="268">M874*J874*K874*L874</f>
        <v>0</v>
      </c>
      <c r="O874" s="60">
        <f t="shared" ref="O874:O879" si="269">J874*K874*L874</f>
        <v>0</v>
      </c>
    </row>
    <row r="875" spans="1:15" s="38" customFormat="1" ht="10.7" customHeight="1" outlineLevel="1" x14ac:dyDescent="0.25">
      <c r="A875" s="124"/>
      <c r="B875" s="142"/>
      <c r="C875" s="115"/>
      <c r="D875" s="115"/>
      <c r="E875" s="115"/>
      <c r="F875" s="115"/>
      <c r="G875" s="60" t="s">
        <v>127</v>
      </c>
      <c r="H875" s="124"/>
      <c r="I875" s="124"/>
      <c r="J875" s="60"/>
      <c r="K875" s="60"/>
      <c r="L875" s="60"/>
      <c r="M875" s="60"/>
      <c r="N875" s="60">
        <f t="shared" si="268"/>
        <v>0</v>
      </c>
      <c r="O875" s="60">
        <f t="shared" si="269"/>
        <v>0</v>
      </c>
    </row>
    <row r="876" spans="1:15" s="38" customFormat="1" ht="10.7" customHeight="1" outlineLevel="1" x14ac:dyDescent="0.25">
      <c r="A876" s="124"/>
      <c r="B876" s="142"/>
      <c r="C876" s="115"/>
      <c r="D876" s="115"/>
      <c r="E876" s="115"/>
      <c r="F876" s="115"/>
      <c r="G876" s="60" t="s">
        <v>128</v>
      </c>
      <c r="H876" s="124"/>
      <c r="I876" s="124"/>
      <c r="J876" s="60"/>
      <c r="K876" s="60"/>
      <c r="L876" s="60"/>
      <c r="M876" s="60"/>
      <c r="N876" s="60">
        <f t="shared" si="268"/>
        <v>0</v>
      </c>
      <c r="O876" s="60">
        <f t="shared" si="269"/>
        <v>0</v>
      </c>
    </row>
    <row r="877" spans="1:15" s="38" customFormat="1" ht="10.7" customHeight="1" outlineLevel="1" x14ac:dyDescent="0.25">
      <c r="A877" s="124"/>
      <c r="B877" s="142"/>
      <c r="C877" s="115"/>
      <c r="D877" s="115"/>
      <c r="E877" s="115"/>
      <c r="F877" s="115"/>
      <c r="G877" s="60" t="s">
        <v>129</v>
      </c>
      <c r="H877" s="124"/>
      <c r="I877" s="124"/>
      <c r="J877" s="60"/>
      <c r="K877" s="60"/>
      <c r="L877" s="60"/>
      <c r="M877" s="60"/>
      <c r="N877" s="60">
        <f t="shared" si="268"/>
        <v>0</v>
      </c>
      <c r="O877" s="60">
        <f t="shared" si="269"/>
        <v>0</v>
      </c>
    </row>
    <row r="878" spans="1:15" s="38" customFormat="1" ht="10.7" customHeight="1" outlineLevel="1" x14ac:dyDescent="0.25">
      <c r="A878" s="124"/>
      <c r="B878" s="142"/>
      <c r="C878" s="115"/>
      <c r="D878" s="115"/>
      <c r="E878" s="115"/>
      <c r="F878" s="115"/>
      <c r="G878" s="60" t="s">
        <v>130</v>
      </c>
      <c r="H878" s="124"/>
      <c r="I878" s="124"/>
      <c r="J878" s="60"/>
      <c r="K878" s="60"/>
      <c r="L878" s="60"/>
      <c r="M878" s="60"/>
      <c r="N878" s="60">
        <f t="shared" si="268"/>
        <v>0</v>
      </c>
      <c r="O878" s="60">
        <f t="shared" si="269"/>
        <v>0</v>
      </c>
    </row>
    <row r="879" spans="1:15" s="38" customFormat="1" ht="12" customHeight="1" outlineLevel="1" thickBot="1" x14ac:dyDescent="0.3">
      <c r="A879" s="125"/>
      <c r="B879" s="143"/>
      <c r="C879" s="131"/>
      <c r="D879" s="131"/>
      <c r="E879" s="131"/>
      <c r="F879" s="131"/>
      <c r="G879" s="60" t="s">
        <v>131</v>
      </c>
      <c r="H879" s="134"/>
      <c r="I879" s="134"/>
      <c r="J879" s="60"/>
      <c r="K879" s="60"/>
      <c r="L879" s="60"/>
      <c r="M879" s="60"/>
      <c r="N879" s="60">
        <f t="shared" si="268"/>
        <v>0</v>
      </c>
      <c r="O879" s="60">
        <f t="shared" si="269"/>
        <v>0</v>
      </c>
    </row>
    <row r="880" spans="1:15" s="38" customFormat="1" ht="14.45" customHeight="1" outlineLevel="1" x14ac:dyDescent="0.25">
      <c r="A880" s="140" t="s">
        <v>772</v>
      </c>
      <c r="B880" s="141" t="s">
        <v>773</v>
      </c>
      <c r="C880" s="130">
        <f>SUM(N880:N886)</f>
        <v>0</v>
      </c>
      <c r="D880" s="130">
        <f>SUM(O880:O886)</f>
        <v>0</v>
      </c>
      <c r="E880" s="130">
        <f t="shared" si="251"/>
        <v>0</v>
      </c>
      <c r="F880" s="130"/>
      <c r="G880" s="60" t="s">
        <v>125</v>
      </c>
      <c r="H880" s="123"/>
      <c r="I880" s="123"/>
      <c r="J880" s="60"/>
      <c r="K880" s="60"/>
      <c r="L880" s="60"/>
      <c r="M880" s="60"/>
      <c r="N880" s="60">
        <f>M880*J880*K880*L880</f>
        <v>0</v>
      </c>
      <c r="O880" s="60">
        <f>J880*K880*L880</f>
        <v>0</v>
      </c>
    </row>
    <row r="881" spans="1:15" s="38" customFormat="1" ht="11.45" customHeight="1" outlineLevel="1" x14ac:dyDescent="0.25">
      <c r="A881" s="124"/>
      <c r="B881" s="142"/>
      <c r="C881" s="115"/>
      <c r="D881" s="115"/>
      <c r="E881" s="115"/>
      <c r="F881" s="115"/>
      <c r="G881" s="60" t="s">
        <v>126</v>
      </c>
      <c r="H881" s="124"/>
      <c r="I881" s="124"/>
      <c r="J881" s="60"/>
      <c r="K881" s="60"/>
      <c r="L881" s="60"/>
      <c r="M881" s="60"/>
      <c r="N881" s="60">
        <f t="shared" ref="N881:N886" si="270">M881*J881*K881*L881</f>
        <v>0</v>
      </c>
      <c r="O881" s="60">
        <f t="shared" ref="O881:O886" si="271">J881*K881*L881</f>
        <v>0</v>
      </c>
    </row>
    <row r="882" spans="1:15" s="38" customFormat="1" ht="10.7" customHeight="1" outlineLevel="1" x14ac:dyDescent="0.25">
      <c r="A882" s="124"/>
      <c r="B882" s="142"/>
      <c r="C882" s="115"/>
      <c r="D882" s="115"/>
      <c r="E882" s="115"/>
      <c r="F882" s="115"/>
      <c r="G882" s="60" t="s">
        <v>127</v>
      </c>
      <c r="H882" s="124"/>
      <c r="I882" s="124"/>
      <c r="J882" s="60"/>
      <c r="K882" s="60"/>
      <c r="L882" s="60"/>
      <c r="M882" s="60"/>
      <c r="N882" s="60">
        <f t="shared" si="270"/>
        <v>0</v>
      </c>
      <c r="O882" s="60">
        <f t="shared" si="271"/>
        <v>0</v>
      </c>
    </row>
    <row r="883" spans="1:15" s="38" customFormat="1" ht="10.7" customHeight="1" outlineLevel="1" x14ac:dyDescent="0.25">
      <c r="A883" s="124"/>
      <c r="B883" s="142"/>
      <c r="C883" s="115"/>
      <c r="D883" s="115"/>
      <c r="E883" s="115"/>
      <c r="F883" s="115"/>
      <c r="G883" s="60" t="s">
        <v>128</v>
      </c>
      <c r="H883" s="124"/>
      <c r="I883" s="124"/>
      <c r="J883" s="60"/>
      <c r="K883" s="60"/>
      <c r="L883" s="60"/>
      <c r="M883" s="60"/>
      <c r="N883" s="60">
        <f t="shared" si="270"/>
        <v>0</v>
      </c>
      <c r="O883" s="60">
        <f t="shared" si="271"/>
        <v>0</v>
      </c>
    </row>
    <row r="884" spans="1:15" s="38" customFormat="1" ht="10.7" customHeight="1" outlineLevel="1" x14ac:dyDescent="0.25">
      <c r="A884" s="124"/>
      <c r="B884" s="142"/>
      <c r="C884" s="115"/>
      <c r="D884" s="115"/>
      <c r="E884" s="115"/>
      <c r="F884" s="115"/>
      <c r="G884" s="60" t="s">
        <v>129</v>
      </c>
      <c r="H884" s="124"/>
      <c r="I884" s="124"/>
      <c r="J884" s="60"/>
      <c r="K884" s="60"/>
      <c r="L884" s="60"/>
      <c r="M884" s="60"/>
      <c r="N884" s="60">
        <f t="shared" si="270"/>
        <v>0</v>
      </c>
      <c r="O884" s="60">
        <f t="shared" si="271"/>
        <v>0</v>
      </c>
    </row>
    <row r="885" spans="1:15" s="38" customFormat="1" ht="10.7" customHeight="1" outlineLevel="1" x14ac:dyDescent="0.25">
      <c r="A885" s="124"/>
      <c r="B885" s="142"/>
      <c r="C885" s="115"/>
      <c r="D885" s="115"/>
      <c r="E885" s="115"/>
      <c r="F885" s="115"/>
      <c r="G885" s="60" t="s">
        <v>130</v>
      </c>
      <c r="H885" s="124"/>
      <c r="I885" s="124"/>
      <c r="J885" s="60"/>
      <c r="K885" s="60"/>
      <c r="L885" s="60"/>
      <c r="M885" s="60"/>
      <c r="N885" s="60">
        <f t="shared" si="270"/>
        <v>0</v>
      </c>
      <c r="O885" s="60">
        <f t="shared" si="271"/>
        <v>0</v>
      </c>
    </row>
    <row r="886" spans="1:15" s="38" customFormat="1" ht="12" customHeight="1" outlineLevel="1" thickBot="1" x14ac:dyDescent="0.3">
      <c r="A886" s="125"/>
      <c r="B886" s="143"/>
      <c r="C886" s="131"/>
      <c r="D886" s="131"/>
      <c r="E886" s="131"/>
      <c r="F886" s="131"/>
      <c r="G886" s="60" t="s">
        <v>131</v>
      </c>
      <c r="H886" s="134"/>
      <c r="I886" s="134"/>
      <c r="J886" s="60"/>
      <c r="K886" s="60"/>
      <c r="L886" s="60"/>
      <c r="M886" s="60"/>
      <c r="N886" s="60">
        <f t="shared" si="270"/>
        <v>0</v>
      </c>
      <c r="O886" s="60">
        <f t="shared" si="271"/>
        <v>0</v>
      </c>
    </row>
    <row r="887" spans="1:15" s="38" customFormat="1" ht="14.45" customHeight="1" outlineLevel="1" x14ac:dyDescent="0.25">
      <c r="A887" s="140" t="s">
        <v>774</v>
      </c>
      <c r="B887" s="141" t="s">
        <v>775</v>
      </c>
      <c r="C887" s="130">
        <f>SUM(N887:N893)</f>
        <v>0</v>
      </c>
      <c r="D887" s="130">
        <f>SUM(O887:O893)</f>
        <v>0</v>
      </c>
      <c r="E887" s="130">
        <f t="shared" ref="E887:E950" si="272">D887/8</f>
        <v>0</v>
      </c>
      <c r="F887" s="130"/>
      <c r="G887" s="60" t="s">
        <v>125</v>
      </c>
      <c r="H887" s="123"/>
      <c r="I887" s="123"/>
      <c r="J887" s="60"/>
      <c r="K887" s="60"/>
      <c r="L887" s="60"/>
      <c r="M887" s="60"/>
      <c r="N887" s="60">
        <f>M887*J887*K887*L887</f>
        <v>0</v>
      </c>
      <c r="O887" s="60">
        <f>J887*K887*L887</f>
        <v>0</v>
      </c>
    </row>
    <row r="888" spans="1:15" s="38" customFormat="1" ht="11.45" customHeight="1" outlineLevel="1" x14ac:dyDescent="0.25">
      <c r="A888" s="124"/>
      <c r="B888" s="142"/>
      <c r="C888" s="115"/>
      <c r="D888" s="115"/>
      <c r="E888" s="115"/>
      <c r="F888" s="115"/>
      <c r="G888" s="60" t="s">
        <v>126</v>
      </c>
      <c r="H888" s="124"/>
      <c r="I888" s="124"/>
      <c r="J888" s="60"/>
      <c r="K888" s="60"/>
      <c r="L888" s="60"/>
      <c r="M888" s="60"/>
      <c r="N888" s="60">
        <f t="shared" ref="N888:N893" si="273">M888*J888*K888*L888</f>
        <v>0</v>
      </c>
      <c r="O888" s="60">
        <f t="shared" ref="O888:O893" si="274">J888*K888*L888</f>
        <v>0</v>
      </c>
    </row>
    <row r="889" spans="1:15" s="38" customFormat="1" ht="10.7" customHeight="1" outlineLevel="1" x14ac:dyDescent="0.25">
      <c r="A889" s="124"/>
      <c r="B889" s="142"/>
      <c r="C889" s="115"/>
      <c r="D889" s="115"/>
      <c r="E889" s="115"/>
      <c r="F889" s="115"/>
      <c r="G889" s="60" t="s">
        <v>127</v>
      </c>
      <c r="H889" s="124"/>
      <c r="I889" s="124"/>
      <c r="J889" s="60"/>
      <c r="K889" s="60"/>
      <c r="L889" s="60"/>
      <c r="M889" s="60"/>
      <c r="N889" s="60">
        <f t="shared" si="273"/>
        <v>0</v>
      </c>
      <c r="O889" s="60">
        <f t="shared" si="274"/>
        <v>0</v>
      </c>
    </row>
    <row r="890" spans="1:15" s="38" customFormat="1" ht="10.7" customHeight="1" outlineLevel="1" x14ac:dyDescent="0.25">
      <c r="A890" s="124"/>
      <c r="B890" s="142"/>
      <c r="C890" s="115"/>
      <c r="D890" s="115"/>
      <c r="E890" s="115"/>
      <c r="F890" s="115"/>
      <c r="G890" s="60" t="s">
        <v>128</v>
      </c>
      <c r="H890" s="124"/>
      <c r="I890" s="124"/>
      <c r="J890" s="60"/>
      <c r="K890" s="60"/>
      <c r="L890" s="60"/>
      <c r="M890" s="60"/>
      <c r="N890" s="60">
        <f t="shared" si="273"/>
        <v>0</v>
      </c>
      <c r="O890" s="60">
        <f t="shared" si="274"/>
        <v>0</v>
      </c>
    </row>
    <row r="891" spans="1:15" s="38" customFormat="1" ht="10.7" customHeight="1" outlineLevel="1" x14ac:dyDescent="0.25">
      <c r="A891" s="124"/>
      <c r="B891" s="142"/>
      <c r="C891" s="115"/>
      <c r="D891" s="115"/>
      <c r="E891" s="115"/>
      <c r="F891" s="115"/>
      <c r="G891" s="60" t="s">
        <v>129</v>
      </c>
      <c r="H891" s="124"/>
      <c r="I891" s="124"/>
      <c r="J891" s="60"/>
      <c r="K891" s="60"/>
      <c r="L891" s="60"/>
      <c r="M891" s="60"/>
      <c r="N891" s="60">
        <f t="shared" si="273"/>
        <v>0</v>
      </c>
      <c r="O891" s="60">
        <f t="shared" si="274"/>
        <v>0</v>
      </c>
    </row>
    <row r="892" spans="1:15" s="38" customFormat="1" ht="10.7" customHeight="1" outlineLevel="1" x14ac:dyDescent="0.25">
      <c r="A892" s="124"/>
      <c r="B892" s="142"/>
      <c r="C892" s="115"/>
      <c r="D892" s="115"/>
      <c r="E892" s="115"/>
      <c r="F892" s="115"/>
      <c r="G892" s="60" t="s">
        <v>130</v>
      </c>
      <c r="H892" s="124"/>
      <c r="I892" s="124"/>
      <c r="J892" s="60"/>
      <c r="K892" s="60"/>
      <c r="L892" s="60"/>
      <c r="M892" s="60"/>
      <c r="N892" s="60">
        <f t="shared" si="273"/>
        <v>0</v>
      </c>
      <c r="O892" s="60">
        <f t="shared" si="274"/>
        <v>0</v>
      </c>
    </row>
    <row r="893" spans="1:15" s="38" customFormat="1" ht="12" customHeight="1" outlineLevel="1" thickBot="1" x14ac:dyDescent="0.3">
      <c r="A893" s="125"/>
      <c r="B893" s="143"/>
      <c r="C893" s="131"/>
      <c r="D893" s="131"/>
      <c r="E893" s="131"/>
      <c r="F893" s="131"/>
      <c r="G893" s="60" t="s">
        <v>131</v>
      </c>
      <c r="H893" s="134"/>
      <c r="I893" s="134"/>
      <c r="J893" s="60"/>
      <c r="K893" s="60"/>
      <c r="L893" s="60"/>
      <c r="M893" s="60"/>
      <c r="N893" s="60">
        <f t="shared" si="273"/>
        <v>0</v>
      </c>
      <c r="O893" s="60">
        <f t="shared" si="274"/>
        <v>0</v>
      </c>
    </row>
    <row r="894" spans="1:15" s="38" customFormat="1" ht="14.45" customHeight="1" outlineLevel="1" x14ac:dyDescent="0.25">
      <c r="A894" s="140" t="s">
        <v>776</v>
      </c>
      <c r="B894" s="141" t="s">
        <v>777</v>
      </c>
      <c r="C894" s="130">
        <f>SUM(N894:N900)</f>
        <v>0</v>
      </c>
      <c r="D894" s="130">
        <f>SUM(O894:O900)</f>
        <v>0</v>
      </c>
      <c r="E894" s="130">
        <f t="shared" si="272"/>
        <v>0</v>
      </c>
      <c r="F894" s="130"/>
      <c r="G894" s="60" t="s">
        <v>125</v>
      </c>
      <c r="H894" s="123"/>
      <c r="I894" s="123"/>
      <c r="J894" s="60"/>
      <c r="K894" s="60"/>
      <c r="L894" s="60"/>
      <c r="M894" s="60"/>
      <c r="N894" s="60">
        <f>M894*J894*K894*L894</f>
        <v>0</v>
      </c>
      <c r="O894" s="60">
        <f>J894*K894*L894</f>
        <v>0</v>
      </c>
    </row>
    <row r="895" spans="1:15" s="38" customFormat="1" ht="11.45" customHeight="1" outlineLevel="1" x14ac:dyDescent="0.25">
      <c r="A895" s="124"/>
      <c r="B895" s="142"/>
      <c r="C895" s="115"/>
      <c r="D895" s="115"/>
      <c r="E895" s="115"/>
      <c r="F895" s="115"/>
      <c r="G895" s="60" t="s">
        <v>126</v>
      </c>
      <c r="H895" s="124"/>
      <c r="I895" s="124"/>
      <c r="J895" s="60"/>
      <c r="K895" s="60"/>
      <c r="L895" s="60"/>
      <c r="M895" s="60"/>
      <c r="N895" s="60">
        <f t="shared" ref="N895:N900" si="275">M895*J895*K895*L895</f>
        <v>0</v>
      </c>
      <c r="O895" s="60">
        <f t="shared" ref="O895:O900" si="276">J895*K895*L895</f>
        <v>0</v>
      </c>
    </row>
    <row r="896" spans="1:15" s="38" customFormat="1" ht="10.7" customHeight="1" outlineLevel="1" x14ac:dyDescent="0.25">
      <c r="A896" s="124"/>
      <c r="B896" s="142"/>
      <c r="C896" s="115"/>
      <c r="D896" s="115"/>
      <c r="E896" s="115"/>
      <c r="F896" s="115"/>
      <c r="G896" s="60" t="s">
        <v>127</v>
      </c>
      <c r="H896" s="124"/>
      <c r="I896" s="124"/>
      <c r="J896" s="60"/>
      <c r="K896" s="60"/>
      <c r="L896" s="60"/>
      <c r="M896" s="60"/>
      <c r="N896" s="60">
        <f t="shared" si="275"/>
        <v>0</v>
      </c>
      <c r="O896" s="60">
        <f t="shared" si="276"/>
        <v>0</v>
      </c>
    </row>
    <row r="897" spans="1:15" s="38" customFormat="1" ht="10.7" customHeight="1" outlineLevel="1" x14ac:dyDescent="0.25">
      <c r="A897" s="124"/>
      <c r="B897" s="142"/>
      <c r="C897" s="115"/>
      <c r="D897" s="115"/>
      <c r="E897" s="115"/>
      <c r="F897" s="115"/>
      <c r="G897" s="60" t="s">
        <v>128</v>
      </c>
      <c r="H897" s="124"/>
      <c r="I897" s="124"/>
      <c r="J897" s="60"/>
      <c r="K897" s="60"/>
      <c r="L897" s="60"/>
      <c r="M897" s="60"/>
      <c r="N897" s="60">
        <f t="shared" si="275"/>
        <v>0</v>
      </c>
      <c r="O897" s="60">
        <f t="shared" si="276"/>
        <v>0</v>
      </c>
    </row>
    <row r="898" spans="1:15" s="38" customFormat="1" ht="10.7" customHeight="1" outlineLevel="1" x14ac:dyDescent="0.25">
      <c r="A898" s="124"/>
      <c r="B898" s="142"/>
      <c r="C898" s="115"/>
      <c r="D898" s="115"/>
      <c r="E898" s="115"/>
      <c r="F898" s="115"/>
      <c r="G898" s="60" t="s">
        <v>129</v>
      </c>
      <c r="H898" s="124"/>
      <c r="I898" s="124"/>
      <c r="J898" s="60"/>
      <c r="K898" s="60"/>
      <c r="L898" s="60"/>
      <c r="M898" s="60"/>
      <c r="N898" s="60">
        <f t="shared" si="275"/>
        <v>0</v>
      </c>
      <c r="O898" s="60">
        <f t="shared" si="276"/>
        <v>0</v>
      </c>
    </row>
    <row r="899" spans="1:15" s="38" customFormat="1" ht="10.7" customHeight="1" outlineLevel="1" x14ac:dyDescent="0.25">
      <c r="A899" s="124"/>
      <c r="B899" s="142"/>
      <c r="C899" s="115"/>
      <c r="D899" s="115"/>
      <c r="E899" s="115"/>
      <c r="F899" s="115"/>
      <c r="G899" s="60" t="s">
        <v>130</v>
      </c>
      <c r="H899" s="124"/>
      <c r="I899" s="124"/>
      <c r="J899" s="60"/>
      <c r="K899" s="60"/>
      <c r="L899" s="60"/>
      <c r="M899" s="60"/>
      <c r="N899" s="60">
        <f t="shared" si="275"/>
        <v>0</v>
      </c>
      <c r="O899" s="60">
        <f t="shared" si="276"/>
        <v>0</v>
      </c>
    </row>
    <row r="900" spans="1:15" s="38" customFormat="1" ht="12" customHeight="1" outlineLevel="1" thickBot="1" x14ac:dyDescent="0.3">
      <c r="A900" s="125"/>
      <c r="B900" s="143"/>
      <c r="C900" s="131"/>
      <c r="D900" s="131"/>
      <c r="E900" s="131"/>
      <c r="F900" s="131"/>
      <c r="G900" s="60" t="s">
        <v>131</v>
      </c>
      <c r="H900" s="134"/>
      <c r="I900" s="134"/>
      <c r="J900" s="60"/>
      <c r="K900" s="60"/>
      <c r="L900" s="60"/>
      <c r="M900" s="60"/>
      <c r="N900" s="60">
        <f t="shared" si="275"/>
        <v>0</v>
      </c>
      <c r="O900" s="60">
        <f t="shared" si="276"/>
        <v>0</v>
      </c>
    </row>
    <row r="901" spans="1:15" s="38" customFormat="1" ht="14.45" customHeight="1" outlineLevel="1" x14ac:dyDescent="0.25">
      <c r="A901" s="140" t="s">
        <v>778</v>
      </c>
      <c r="B901" s="141" t="s">
        <v>779</v>
      </c>
      <c r="C901" s="130">
        <f>SUM(N901:N907)</f>
        <v>0</v>
      </c>
      <c r="D901" s="130">
        <f>SUM(O901:O907)</f>
        <v>0</v>
      </c>
      <c r="E901" s="130">
        <f t="shared" si="272"/>
        <v>0</v>
      </c>
      <c r="F901" s="130"/>
      <c r="G901" s="60" t="s">
        <v>125</v>
      </c>
      <c r="H901" s="123"/>
      <c r="I901" s="123"/>
      <c r="J901" s="60"/>
      <c r="K901" s="60"/>
      <c r="L901" s="60"/>
      <c r="M901" s="60"/>
      <c r="N901" s="60">
        <f>M901*J901*K901*L901</f>
        <v>0</v>
      </c>
      <c r="O901" s="60">
        <f>J901*K901*L901</f>
        <v>0</v>
      </c>
    </row>
    <row r="902" spans="1:15" s="38" customFormat="1" ht="11.45" customHeight="1" outlineLevel="1" x14ac:dyDescent="0.25">
      <c r="A902" s="124"/>
      <c r="B902" s="142"/>
      <c r="C902" s="115"/>
      <c r="D902" s="115"/>
      <c r="E902" s="115"/>
      <c r="F902" s="115"/>
      <c r="G902" s="60" t="s">
        <v>126</v>
      </c>
      <c r="H902" s="124"/>
      <c r="I902" s="124"/>
      <c r="J902" s="60"/>
      <c r="K902" s="60"/>
      <c r="L902" s="60"/>
      <c r="M902" s="60"/>
      <c r="N902" s="60">
        <f t="shared" ref="N902:N907" si="277">M902*J902*K902*L902</f>
        <v>0</v>
      </c>
      <c r="O902" s="60">
        <f t="shared" ref="O902:O907" si="278">J902*K902*L902</f>
        <v>0</v>
      </c>
    </row>
    <row r="903" spans="1:15" s="38" customFormat="1" ht="10.7" customHeight="1" outlineLevel="1" x14ac:dyDescent="0.25">
      <c r="A903" s="124"/>
      <c r="B903" s="142"/>
      <c r="C903" s="115"/>
      <c r="D903" s="115"/>
      <c r="E903" s="115"/>
      <c r="F903" s="115"/>
      <c r="G903" s="60" t="s">
        <v>127</v>
      </c>
      <c r="H903" s="124"/>
      <c r="I903" s="124"/>
      <c r="J903" s="60"/>
      <c r="K903" s="60"/>
      <c r="L903" s="60"/>
      <c r="M903" s="60"/>
      <c r="N903" s="60">
        <f t="shared" si="277"/>
        <v>0</v>
      </c>
      <c r="O903" s="60">
        <f t="shared" si="278"/>
        <v>0</v>
      </c>
    </row>
    <row r="904" spans="1:15" s="38" customFormat="1" ht="10.7" customHeight="1" outlineLevel="1" x14ac:dyDescent="0.25">
      <c r="A904" s="124"/>
      <c r="B904" s="142"/>
      <c r="C904" s="115"/>
      <c r="D904" s="115"/>
      <c r="E904" s="115"/>
      <c r="F904" s="115"/>
      <c r="G904" s="60" t="s">
        <v>128</v>
      </c>
      <c r="H904" s="124"/>
      <c r="I904" s="124"/>
      <c r="J904" s="60"/>
      <c r="K904" s="60"/>
      <c r="L904" s="60"/>
      <c r="M904" s="60"/>
      <c r="N904" s="60">
        <f t="shared" si="277"/>
        <v>0</v>
      </c>
      <c r="O904" s="60">
        <f t="shared" si="278"/>
        <v>0</v>
      </c>
    </row>
    <row r="905" spans="1:15" s="38" customFormat="1" ht="10.7" customHeight="1" outlineLevel="1" x14ac:dyDescent="0.25">
      <c r="A905" s="124"/>
      <c r="B905" s="142"/>
      <c r="C905" s="115"/>
      <c r="D905" s="115"/>
      <c r="E905" s="115"/>
      <c r="F905" s="115"/>
      <c r="G905" s="60" t="s">
        <v>129</v>
      </c>
      <c r="H905" s="124"/>
      <c r="I905" s="124"/>
      <c r="J905" s="60"/>
      <c r="K905" s="60"/>
      <c r="L905" s="60"/>
      <c r="M905" s="60"/>
      <c r="N905" s="60">
        <f t="shared" si="277"/>
        <v>0</v>
      </c>
      <c r="O905" s="60">
        <f t="shared" si="278"/>
        <v>0</v>
      </c>
    </row>
    <row r="906" spans="1:15" s="38" customFormat="1" ht="10.7" customHeight="1" outlineLevel="1" x14ac:dyDescent="0.25">
      <c r="A906" s="124"/>
      <c r="B906" s="142"/>
      <c r="C906" s="115"/>
      <c r="D906" s="115"/>
      <c r="E906" s="115"/>
      <c r="F906" s="115"/>
      <c r="G906" s="60" t="s">
        <v>130</v>
      </c>
      <c r="H906" s="124"/>
      <c r="I906" s="124"/>
      <c r="J906" s="60"/>
      <c r="K906" s="60"/>
      <c r="L906" s="60"/>
      <c r="M906" s="60"/>
      <c r="N906" s="60">
        <f t="shared" si="277"/>
        <v>0</v>
      </c>
      <c r="O906" s="60">
        <f t="shared" si="278"/>
        <v>0</v>
      </c>
    </row>
    <row r="907" spans="1:15" s="38" customFormat="1" ht="12" customHeight="1" outlineLevel="1" thickBot="1" x14ac:dyDescent="0.3">
      <c r="A907" s="125"/>
      <c r="B907" s="143"/>
      <c r="C907" s="131"/>
      <c r="D907" s="131"/>
      <c r="E907" s="131"/>
      <c r="F907" s="131"/>
      <c r="G907" s="60" t="s">
        <v>131</v>
      </c>
      <c r="H907" s="134"/>
      <c r="I907" s="134"/>
      <c r="J907" s="60"/>
      <c r="K907" s="60"/>
      <c r="L907" s="60"/>
      <c r="M907" s="60"/>
      <c r="N907" s="60">
        <f t="shared" si="277"/>
        <v>0</v>
      </c>
      <c r="O907" s="60">
        <f t="shared" si="278"/>
        <v>0</v>
      </c>
    </row>
    <row r="908" spans="1:15" s="38" customFormat="1" ht="14.45" customHeight="1" outlineLevel="1" x14ac:dyDescent="0.25">
      <c r="A908" s="140" t="s">
        <v>780</v>
      </c>
      <c r="B908" s="141" t="s">
        <v>781</v>
      </c>
      <c r="C908" s="130">
        <f>SUM(N908:N914)</f>
        <v>0</v>
      </c>
      <c r="D908" s="130">
        <f>SUM(O908:O914)</f>
        <v>0</v>
      </c>
      <c r="E908" s="130">
        <f t="shared" si="272"/>
        <v>0</v>
      </c>
      <c r="F908" s="130"/>
      <c r="G908" s="60" t="s">
        <v>125</v>
      </c>
      <c r="H908" s="123"/>
      <c r="I908" s="123"/>
      <c r="J908" s="60"/>
      <c r="K908" s="60"/>
      <c r="L908" s="60"/>
      <c r="M908" s="60"/>
      <c r="N908" s="60">
        <f>M908*J908*K908*L908</f>
        <v>0</v>
      </c>
      <c r="O908" s="60">
        <f>J908*K908*L908</f>
        <v>0</v>
      </c>
    </row>
    <row r="909" spans="1:15" s="38" customFormat="1" ht="11.45" customHeight="1" outlineLevel="1" x14ac:dyDescent="0.25">
      <c r="A909" s="124"/>
      <c r="B909" s="142"/>
      <c r="C909" s="115"/>
      <c r="D909" s="115"/>
      <c r="E909" s="115"/>
      <c r="F909" s="115"/>
      <c r="G909" s="60" t="s">
        <v>126</v>
      </c>
      <c r="H909" s="124"/>
      <c r="I909" s="124"/>
      <c r="J909" s="60"/>
      <c r="K909" s="60"/>
      <c r="L909" s="60"/>
      <c r="M909" s="60"/>
      <c r="N909" s="60">
        <f t="shared" ref="N909:N914" si="279">M909*J909*K909*L909</f>
        <v>0</v>
      </c>
      <c r="O909" s="60">
        <f t="shared" ref="O909:O914" si="280">J909*K909*L909</f>
        <v>0</v>
      </c>
    </row>
    <row r="910" spans="1:15" s="38" customFormat="1" ht="10.7" customHeight="1" outlineLevel="1" x14ac:dyDescent="0.25">
      <c r="A910" s="124"/>
      <c r="B910" s="142"/>
      <c r="C910" s="115"/>
      <c r="D910" s="115"/>
      <c r="E910" s="115"/>
      <c r="F910" s="115"/>
      <c r="G910" s="60" t="s">
        <v>127</v>
      </c>
      <c r="H910" s="124"/>
      <c r="I910" s="124"/>
      <c r="J910" s="60"/>
      <c r="K910" s="60"/>
      <c r="L910" s="60"/>
      <c r="M910" s="60"/>
      <c r="N910" s="60">
        <f t="shared" si="279"/>
        <v>0</v>
      </c>
      <c r="O910" s="60">
        <f t="shared" si="280"/>
        <v>0</v>
      </c>
    </row>
    <row r="911" spans="1:15" s="38" customFormat="1" ht="10.7" customHeight="1" outlineLevel="1" x14ac:dyDescent="0.25">
      <c r="A911" s="124"/>
      <c r="B911" s="142"/>
      <c r="C911" s="115"/>
      <c r="D911" s="115"/>
      <c r="E911" s="115"/>
      <c r="F911" s="115"/>
      <c r="G911" s="60" t="s">
        <v>128</v>
      </c>
      <c r="H911" s="124"/>
      <c r="I911" s="124"/>
      <c r="J911" s="60"/>
      <c r="K911" s="60"/>
      <c r="L911" s="60"/>
      <c r="M911" s="60"/>
      <c r="N911" s="60">
        <f t="shared" si="279"/>
        <v>0</v>
      </c>
      <c r="O911" s="60">
        <f t="shared" si="280"/>
        <v>0</v>
      </c>
    </row>
    <row r="912" spans="1:15" s="38" customFormat="1" ht="10.7" customHeight="1" outlineLevel="1" x14ac:dyDescent="0.25">
      <c r="A912" s="124"/>
      <c r="B912" s="142"/>
      <c r="C912" s="115"/>
      <c r="D912" s="115"/>
      <c r="E912" s="115"/>
      <c r="F912" s="115"/>
      <c r="G912" s="60" t="s">
        <v>129</v>
      </c>
      <c r="H912" s="124"/>
      <c r="I912" s="124"/>
      <c r="J912" s="60"/>
      <c r="K912" s="60"/>
      <c r="L912" s="60"/>
      <c r="M912" s="60"/>
      <c r="N912" s="60">
        <f t="shared" si="279"/>
        <v>0</v>
      </c>
      <c r="O912" s="60">
        <f t="shared" si="280"/>
        <v>0</v>
      </c>
    </row>
    <row r="913" spans="1:15" s="38" customFormat="1" ht="10.7" customHeight="1" outlineLevel="1" x14ac:dyDescent="0.25">
      <c r="A913" s="124"/>
      <c r="B913" s="142"/>
      <c r="C913" s="115"/>
      <c r="D913" s="115"/>
      <c r="E913" s="115"/>
      <c r="F913" s="115"/>
      <c r="G913" s="60" t="s">
        <v>130</v>
      </c>
      <c r="H913" s="124"/>
      <c r="I913" s="124"/>
      <c r="J913" s="60"/>
      <c r="K913" s="60"/>
      <c r="L913" s="60"/>
      <c r="M913" s="60"/>
      <c r="N913" s="60">
        <f t="shared" si="279"/>
        <v>0</v>
      </c>
      <c r="O913" s="60">
        <f t="shared" si="280"/>
        <v>0</v>
      </c>
    </row>
    <row r="914" spans="1:15" s="38" customFormat="1" ht="12" customHeight="1" outlineLevel="1" thickBot="1" x14ac:dyDescent="0.3">
      <c r="A914" s="125"/>
      <c r="B914" s="143"/>
      <c r="C914" s="131"/>
      <c r="D914" s="131"/>
      <c r="E914" s="131"/>
      <c r="F914" s="131"/>
      <c r="G914" s="60" t="s">
        <v>131</v>
      </c>
      <c r="H914" s="134"/>
      <c r="I914" s="134"/>
      <c r="J914" s="60"/>
      <c r="K914" s="60"/>
      <c r="L914" s="60"/>
      <c r="M914" s="60"/>
      <c r="N914" s="60">
        <f t="shared" si="279"/>
        <v>0</v>
      </c>
      <c r="O914" s="60">
        <f t="shared" si="280"/>
        <v>0</v>
      </c>
    </row>
    <row r="915" spans="1:15" s="38" customFormat="1" ht="14.45" customHeight="1" outlineLevel="1" x14ac:dyDescent="0.25">
      <c r="A915" s="140" t="s">
        <v>782</v>
      </c>
      <c r="B915" s="141" t="s">
        <v>783</v>
      </c>
      <c r="C915" s="130">
        <f>SUM(N915:N921)</f>
        <v>0</v>
      </c>
      <c r="D915" s="130">
        <f>SUM(O915:O921)</f>
        <v>0</v>
      </c>
      <c r="E915" s="130">
        <f t="shared" si="272"/>
        <v>0</v>
      </c>
      <c r="F915" s="130"/>
      <c r="G915" s="60" t="s">
        <v>125</v>
      </c>
      <c r="H915" s="123"/>
      <c r="I915" s="123"/>
      <c r="J915" s="60"/>
      <c r="K915" s="60"/>
      <c r="L915" s="60"/>
      <c r="M915" s="60"/>
      <c r="N915" s="60">
        <f>M915*J915*K915*L915</f>
        <v>0</v>
      </c>
      <c r="O915" s="60">
        <f>J915*K915*L915</f>
        <v>0</v>
      </c>
    </row>
    <row r="916" spans="1:15" s="38" customFormat="1" ht="11.45" customHeight="1" outlineLevel="1" x14ac:dyDescent="0.25">
      <c r="A916" s="124"/>
      <c r="B916" s="142"/>
      <c r="C916" s="115"/>
      <c r="D916" s="115"/>
      <c r="E916" s="115"/>
      <c r="F916" s="115"/>
      <c r="G916" s="60" t="s">
        <v>126</v>
      </c>
      <c r="H916" s="124"/>
      <c r="I916" s="124"/>
      <c r="J916" s="60"/>
      <c r="K916" s="60"/>
      <c r="L916" s="60"/>
      <c r="M916" s="60"/>
      <c r="N916" s="60">
        <f t="shared" ref="N916:N921" si="281">M916*J916*K916*L916</f>
        <v>0</v>
      </c>
      <c r="O916" s="60">
        <f t="shared" ref="O916:O921" si="282">J916*K916*L916</f>
        <v>0</v>
      </c>
    </row>
    <row r="917" spans="1:15" s="38" customFormat="1" ht="10.7" customHeight="1" outlineLevel="1" x14ac:dyDescent="0.25">
      <c r="A917" s="124"/>
      <c r="B917" s="142"/>
      <c r="C917" s="115"/>
      <c r="D917" s="115"/>
      <c r="E917" s="115"/>
      <c r="F917" s="115"/>
      <c r="G917" s="60" t="s">
        <v>127</v>
      </c>
      <c r="H917" s="124"/>
      <c r="I917" s="124"/>
      <c r="J917" s="60"/>
      <c r="K917" s="60"/>
      <c r="L917" s="60"/>
      <c r="M917" s="60"/>
      <c r="N917" s="60">
        <f t="shared" si="281"/>
        <v>0</v>
      </c>
      <c r="O917" s="60">
        <f t="shared" si="282"/>
        <v>0</v>
      </c>
    </row>
    <row r="918" spans="1:15" s="38" customFormat="1" ht="10.7" customHeight="1" outlineLevel="1" x14ac:dyDescent="0.25">
      <c r="A918" s="124"/>
      <c r="B918" s="142"/>
      <c r="C918" s="115"/>
      <c r="D918" s="115"/>
      <c r="E918" s="115"/>
      <c r="F918" s="115"/>
      <c r="G918" s="60" t="s">
        <v>128</v>
      </c>
      <c r="H918" s="124"/>
      <c r="I918" s="124"/>
      <c r="J918" s="60"/>
      <c r="K918" s="60"/>
      <c r="L918" s="60"/>
      <c r="M918" s="60"/>
      <c r="N918" s="60">
        <f t="shared" si="281"/>
        <v>0</v>
      </c>
      <c r="O918" s="60">
        <f t="shared" si="282"/>
        <v>0</v>
      </c>
    </row>
    <row r="919" spans="1:15" s="38" customFormat="1" ht="10.7" customHeight="1" outlineLevel="1" x14ac:dyDescent="0.25">
      <c r="A919" s="124"/>
      <c r="B919" s="142"/>
      <c r="C919" s="115"/>
      <c r="D919" s="115"/>
      <c r="E919" s="115"/>
      <c r="F919" s="115"/>
      <c r="G919" s="60" t="s">
        <v>129</v>
      </c>
      <c r="H919" s="124"/>
      <c r="I919" s="124"/>
      <c r="J919" s="60"/>
      <c r="K919" s="60"/>
      <c r="L919" s="60"/>
      <c r="M919" s="60"/>
      <c r="N919" s="60">
        <f t="shared" si="281"/>
        <v>0</v>
      </c>
      <c r="O919" s="60">
        <f t="shared" si="282"/>
        <v>0</v>
      </c>
    </row>
    <row r="920" spans="1:15" s="38" customFormat="1" ht="10.7" customHeight="1" outlineLevel="1" x14ac:dyDescent="0.25">
      <c r="A920" s="124"/>
      <c r="B920" s="142"/>
      <c r="C920" s="115"/>
      <c r="D920" s="115"/>
      <c r="E920" s="115"/>
      <c r="F920" s="115"/>
      <c r="G920" s="60" t="s">
        <v>130</v>
      </c>
      <c r="H920" s="124"/>
      <c r="I920" s="124"/>
      <c r="J920" s="60"/>
      <c r="K920" s="60"/>
      <c r="L920" s="60"/>
      <c r="M920" s="60"/>
      <c r="N920" s="60">
        <f t="shared" si="281"/>
        <v>0</v>
      </c>
      <c r="O920" s="60">
        <f t="shared" si="282"/>
        <v>0</v>
      </c>
    </row>
    <row r="921" spans="1:15" s="38" customFormat="1" ht="12" customHeight="1" outlineLevel="1" thickBot="1" x14ac:dyDescent="0.3">
      <c r="A921" s="125"/>
      <c r="B921" s="143"/>
      <c r="C921" s="131"/>
      <c r="D921" s="131"/>
      <c r="E921" s="131"/>
      <c r="F921" s="131"/>
      <c r="G921" s="60" t="s">
        <v>131</v>
      </c>
      <c r="H921" s="134"/>
      <c r="I921" s="134"/>
      <c r="J921" s="60"/>
      <c r="K921" s="60"/>
      <c r="L921" s="60"/>
      <c r="M921" s="60"/>
      <c r="N921" s="60">
        <f t="shared" si="281"/>
        <v>0</v>
      </c>
      <c r="O921" s="60">
        <f t="shared" si="282"/>
        <v>0</v>
      </c>
    </row>
    <row r="922" spans="1:15" s="38" customFormat="1" ht="14.45" customHeight="1" outlineLevel="1" x14ac:dyDescent="0.25">
      <c r="A922" s="140" t="s">
        <v>784</v>
      </c>
      <c r="B922" s="141" t="s">
        <v>785</v>
      </c>
      <c r="C922" s="130">
        <f>SUM(N922:N928)</f>
        <v>0</v>
      </c>
      <c r="D922" s="130">
        <f>SUM(O922:O928)</f>
        <v>0</v>
      </c>
      <c r="E922" s="130">
        <f t="shared" si="272"/>
        <v>0</v>
      </c>
      <c r="F922" s="130"/>
      <c r="G922" s="60" t="s">
        <v>125</v>
      </c>
      <c r="H922" s="123"/>
      <c r="I922" s="123"/>
      <c r="J922" s="60"/>
      <c r="K922" s="60"/>
      <c r="L922" s="60"/>
      <c r="M922" s="60"/>
      <c r="N922" s="60">
        <f>M922*J922*K922*L922</f>
        <v>0</v>
      </c>
      <c r="O922" s="60">
        <f>J922*K922*L922</f>
        <v>0</v>
      </c>
    </row>
    <row r="923" spans="1:15" s="38" customFormat="1" ht="11.45" customHeight="1" outlineLevel="1" x14ac:dyDescent="0.25">
      <c r="A923" s="124"/>
      <c r="B923" s="142"/>
      <c r="C923" s="115"/>
      <c r="D923" s="115"/>
      <c r="E923" s="115"/>
      <c r="F923" s="115"/>
      <c r="G923" s="60" t="s">
        <v>126</v>
      </c>
      <c r="H923" s="124"/>
      <c r="I923" s="124"/>
      <c r="J923" s="60"/>
      <c r="K923" s="60"/>
      <c r="L923" s="60"/>
      <c r="M923" s="60"/>
      <c r="N923" s="60">
        <f t="shared" ref="N923:N928" si="283">M923*J923*K923*L923</f>
        <v>0</v>
      </c>
      <c r="O923" s="60">
        <f t="shared" ref="O923:O928" si="284">J923*K923*L923</f>
        <v>0</v>
      </c>
    </row>
    <row r="924" spans="1:15" s="38" customFormat="1" ht="10.7" customHeight="1" outlineLevel="1" x14ac:dyDescent="0.25">
      <c r="A924" s="124"/>
      <c r="B924" s="142"/>
      <c r="C924" s="115"/>
      <c r="D924" s="115"/>
      <c r="E924" s="115"/>
      <c r="F924" s="115"/>
      <c r="G924" s="60" t="s">
        <v>127</v>
      </c>
      <c r="H924" s="124"/>
      <c r="I924" s="124"/>
      <c r="J924" s="60"/>
      <c r="K924" s="60"/>
      <c r="L924" s="60"/>
      <c r="M924" s="60"/>
      <c r="N924" s="60">
        <f t="shared" si="283"/>
        <v>0</v>
      </c>
      <c r="O924" s="60">
        <f t="shared" si="284"/>
        <v>0</v>
      </c>
    </row>
    <row r="925" spans="1:15" s="38" customFormat="1" ht="10.7" customHeight="1" outlineLevel="1" x14ac:dyDescent="0.25">
      <c r="A925" s="124"/>
      <c r="B925" s="142"/>
      <c r="C925" s="115"/>
      <c r="D925" s="115"/>
      <c r="E925" s="115"/>
      <c r="F925" s="115"/>
      <c r="G925" s="60" t="s">
        <v>128</v>
      </c>
      <c r="H925" s="124"/>
      <c r="I925" s="124"/>
      <c r="J925" s="60"/>
      <c r="K925" s="60"/>
      <c r="L925" s="60"/>
      <c r="M925" s="60"/>
      <c r="N925" s="60">
        <f t="shared" si="283"/>
        <v>0</v>
      </c>
      <c r="O925" s="60">
        <f t="shared" si="284"/>
        <v>0</v>
      </c>
    </row>
    <row r="926" spans="1:15" s="38" customFormat="1" ht="10.7" customHeight="1" outlineLevel="1" x14ac:dyDescent="0.25">
      <c r="A926" s="124"/>
      <c r="B926" s="142"/>
      <c r="C926" s="115"/>
      <c r="D926" s="115"/>
      <c r="E926" s="115"/>
      <c r="F926" s="115"/>
      <c r="G926" s="60" t="s">
        <v>129</v>
      </c>
      <c r="H926" s="124"/>
      <c r="I926" s="124"/>
      <c r="J926" s="60"/>
      <c r="K926" s="60"/>
      <c r="L926" s="60"/>
      <c r="M926" s="60"/>
      <c r="N926" s="60">
        <f t="shared" si="283"/>
        <v>0</v>
      </c>
      <c r="O926" s="60">
        <f t="shared" si="284"/>
        <v>0</v>
      </c>
    </row>
    <row r="927" spans="1:15" s="38" customFormat="1" ht="10.7" customHeight="1" outlineLevel="1" x14ac:dyDescent="0.25">
      <c r="A927" s="124"/>
      <c r="B927" s="142"/>
      <c r="C927" s="115"/>
      <c r="D927" s="115"/>
      <c r="E927" s="115"/>
      <c r="F927" s="115"/>
      <c r="G927" s="60" t="s">
        <v>130</v>
      </c>
      <c r="H927" s="124"/>
      <c r="I927" s="124"/>
      <c r="J927" s="60"/>
      <c r="K927" s="60"/>
      <c r="L927" s="60"/>
      <c r="M927" s="60"/>
      <c r="N927" s="60">
        <f t="shared" si="283"/>
        <v>0</v>
      </c>
      <c r="O927" s="60">
        <f t="shared" si="284"/>
        <v>0</v>
      </c>
    </row>
    <row r="928" spans="1:15" s="38" customFormat="1" ht="12" customHeight="1" outlineLevel="1" thickBot="1" x14ac:dyDescent="0.3">
      <c r="A928" s="125"/>
      <c r="B928" s="143"/>
      <c r="C928" s="131"/>
      <c r="D928" s="131"/>
      <c r="E928" s="131"/>
      <c r="F928" s="131"/>
      <c r="G928" s="60" t="s">
        <v>131</v>
      </c>
      <c r="H928" s="134"/>
      <c r="I928" s="134"/>
      <c r="J928" s="60"/>
      <c r="K928" s="60"/>
      <c r="L928" s="60"/>
      <c r="M928" s="60"/>
      <c r="N928" s="60">
        <f t="shared" si="283"/>
        <v>0</v>
      </c>
      <c r="O928" s="60">
        <f t="shared" si="284"/>
        <v>0</v>
      </c>
    </row>
    <row r="929" spans="1:15" s="38" customFormat="1" ht="14.45" customHeight="1" outlineLevel="1" x14ac:dyDescent="0.25">
      <c r="A929" s="140" t="s">
        <v>786</v>
      </c>
      <c r="B929" s="141" t="s">
        <v>787</v>
      </c>
      <c r="C929" s="130">
        <f>SUM(N929:N935)</f>
        <v>0</v>
      </c>
      <c r="D929" s="130">
        <f>SUM(O929:O935)</f>
        <v>0</v>
      </c>
      <c r="E929" s="130">
        <f t="shared" si="272"/>
        <v>0</v>
      </c>
      <c r="F929" s="130"/>
      <c r="G929" s="60" t="s">
        <v>125</v>
      </c>
      <c r="H929" s="123"/>
      <c r="I929" s="123"/>
      <c r="J929" s="60"/>
      <c r="K929" s="60"/>
      <c r="L929" s="60"/>
      <c r="M929" s="60"/>
      <c r="N929" s="60">
        <f>M929*J929*K929*L929</f>
        <v>0</v>
      </c>
      <c r="O929" s="60">
        <f>J929*K929*L929</f>
        <v>0</v>
      </c>
    </row>
    <row r="930" spans="1:15" s="38" customFormat="1" ht="11.45" customHeight="1" outlineLevel="1" x14ac:dyDescent="0.25">
      <c r="A930" s="124"/>
      <c r="B930" s="142"/>
      <c r="C930" s="115"/>
      <c r="D930" s="115"/>
      <c r="E930" s="115"/>
      <c r="F930" s="115"/>
      <c r="G930" s="60" t="s">
        <v>126</v>
      </c>
      <c r="H930" s="124"/>
      <c r="I930" s="124"/>
      <c r="J930" s="60"/>
      <c r="K930" s="60"/>
      <c r="L930" s="60"/>
      <c r="M930" s="60"/>
      <c r="N930" s="60">
        <f t="shared" ref="N930:N935" si="285">M930*J930*K930*L930</f>
        <v>0</v>
      </c>
      <c r="O930" s="60">
        <f t="shared" ref="O930:O935" si="286">J930*K930*L930</f>
        <v>0</v>
      </c>
    </row>
    <row r="931" spans="1:15" s="38" customFormat="1" ht="10.7" customHeight="1" outlineLevel="1" x14ac:dyDescent="0.25">
      <c r="A931" s="124"/>
      <c r="B931" s="142"/>
      <c r="C931" s="115"/>
      <c r="D931" s="115"/>
      <c r="E931" s="115"/>
      <c r="F931" s="115"/>
      <c r="G931" s="60" t="s">
        <v>127</v>
      </c>
      <c r="H931" s="124"/>
      <c r="I931" s="124"/>
      <c r="J931" s="60"/>
      <c r="K931" s="60"/>
      <c r="L931" s="60"/>
      <c r="M931" s="60"/>
      <c r="N931" s="60">
        <f t="shared" si="285"/>
        <v>0</v>
      </c>
      <c r="O931" s="60">
        <f t="shared" si="286"/>
        <v>0</v>
      </c>
    </row>
    <row r="932" spans="1:15" s="38" customFormat="1" ht="10.7" customHeight="1" outlineLevel="1" x14ac:dyDescent="0.25">
      <c r="A932" s="124"/>
      <c r="B932" s="142"/>
      <c r="C932" s="115"/>
      <c r="D932" s="115"/>
      <c r="E932" s="115"/>
      <c r="F932" s="115"/>
      <c r="G932" s="60" t="s">
        <v>128</v>
      </c>
      <c r="H932" s="124"/>
      <c r="I932" s="124"/>
      <c r="J932" s="60"/>
      <c r="K932" s="60"/>
      <c r="L932" s="60"/>
      <c r="M932" s="60"/>
      <c r="N932" s="60">
        <f t="shared" si="285"/>
        <v>0</v>
      </c>
      <c r="O932" s="60">
        <f t="shared" si="286"/>
        <v>0</v>
      </c>
    </row>
    <row r="933" spans="1:15" s="38" customFormat="1" ht="10.7" customHeight="1" outlineLevel="1" x14ac:dyDescent="0.25">
      <c r="A933" s="124"/>
      <c r="B933" s="142"/>
      <c r="C933" s="115"/>
      <c r="D933" s="115"/>
      <c r="E933" s="115"/>
      <c r="F933" s="115"/>
      <c r="G933" s="60" t="s">
        <v>129</v>
      </c>
      <c r="H933" s="124"/>
      <c r="I933" s="124"/>
      <c r="J933" s="60"/>
      <c r="K933" s="60"/>
      <c r="L933" s="60"/>
      <c r="M933" s="60"/>
      <c r="N933" s="60">
        <f t="shared" si="285"/>
        <v>0</v>
      </c>
      <c r="O933" s="60">
        <f t="shared" si="286"/>
        <v>0</v>
      </c>
    </row>
    <row r="934" spans="1:15" s="38" customFormat="1" ht="10.7" customHeight="1" outlineLevel="1" x14ac:dyDescent="0.25">
      <c r="A934" s="124"/>
      <c r="B934" s="142"/>
      <c r="C934" s="115"/>
      <c r="D934" s="115"/>
      <c r="E934" s="115"/>
      <c r="F934" s="115"/>
      <c r="G934" s="60" t="s">
        <v>130</v>
      </c>
      <c r="H934" s="124"/>
      <c r="I934" s="124"/>
      <c r="J934" s="60"/>
      <c r="K934" s="60"/>
      <c r="L934" s="60"/>
      <c r="M934" s="60"/>
      <c r="N934" s="60">
        <f t="shared" si="285"/>
        <v>0</v>
      </c>
      <c r="O934" s="60">
        <f t="shared" si="286"/>
        <v>0</v>
      </c>
    </row>
    <row r="935" spans="1:15" s="38" customFormat="1" ht="12" customHeight="1" outlineLevel="1" thickBot="1" x14ac:dyDescent="0.3">
      <c r="A935" s="125"/>
      <c r="B935" s="143"/>
      <c r="C935" s="131"/>
      <c r="D935" s="131"/>
      <c r="E935" s="131"/>
      <c r="F935" s="131"/>
      <c r="G935" s="60" t="s">
        <v>131</v>
      </c>
      <c r="H935" s="134"/>
      <c r="I935" s="134"/>
      <c r="J935" s="60"/>
      <c r="K935" s="60"/>
      <c r="L935" s="60"/>
      <c r="M935" s="60"/>
      <c r="N935" s="60">
        <f t="shared" si="285"/>
        <v>0</v>
      </c>
      <c r="O935" s="60">
        <f t="shared" si="286"/>
        <v>0</v>
      </c>
    </row>
    <row r="936" spans="1:15" s="38" customFormat="1" ht="14.45" customHeight="1" outlineLevel="1" x14ac:dyDescent="0.25">
      <c r="A936" s="140" t="s">
        <v>788</v>
      </c>
      <c r="B936" s="141" t="s">
        <v>789</v>
      </c>
      <c r="C936" s="130">
        <f>SUM(N936:N942)</f>
        <v>0</v>
      </c>
      <c r="D936" s="130">
        <f>SUM(O936:O942)</f>
        <v>0</v>
      </c>
      <c r="E936" s="130">
        <f t="shared" si="272"/>
        <v>0</v>
      </c>
      <c r="F936" s="130"/>
      <c r="G936" s="60" t="s">
        <v>125</v>
      </c>
      <c r="H936" s="123"/>
      <c r="I936" s="123"/>
      <c r="J936" s="60"/>
      <c r="K936" s="60"/>
      <c r="L936" s="60"/>
      <c r="M936" s="60"/>
      <c r="N936" s="60">
        <f>M936*J936*K936*L936</f>
        <v>0</v>
      </c>
      <c r="O936" s="60">
        <f>J936*K936*L936</f>
        <v>0</v>
      </c>
    </row>
    <row r="937" spans="1:15" s="38" customFormat="1" ht="11.45" customHeight="1" outlineLevel="1" x14ac:dyDescent="0.25">
      <c r="A937" s="124"/>
      <c r="B937" s="142"/>
      <c r="C937" s="115"/>
      <c r="D937" s="115"/>
      <c r="E937" s="115"/>
      <c r="F937" s="115"/>
      <c r="G937" s="60" t="s">
        <v>126</v>
      </c>
      <c r="H937" s="124"/>
      <c r="I937" s="124"/>
      <c r="J937" s="60"/>
      <c r="K937" s="60"/>
      <c r="L937" s="60"/>
      <c r="M937" s="60"/>
      <c r="N937" s="60">
        <f t="shared" ref="N937:N942" si="287">M937*J937*K937*L937</f>
        <v>0</v>
      </c>
      <c r="O937" s="60">
        <f t="shared" ref="O937:O942" si="288">J937*K937*L937</f>
        <v>0</v>
      </c>
    </row>
    <row r="938" spans="1:15" s="38" customFormat="1" ht="10.7" customHeight="1" outlineLevel="1" x14ac:dyDescent="0.25">
      <c r="A938" s="124"/>
      <c r="B938" s="142"/>
      <c r="C938" s="115"/>
      <c r="D938" s="115"/>
      <c r="E938" s="115"/>
      <c r="F938" s="115"/>
      <c r="G938" s="60" t="s">
        <v>127</v>
      </c>
      <c r="H938" s="124"/>
      <c r="I938" s="124"/>
      <c r="J938" s="60"/>
      <c r="K938" s="60"/>
      <c r="L938" s="60"/>
      <c r="M938" s="60"/>
      <c r="N938" s="60">
        <f t="shared" si="287"/>
        <v>0</v>
      </c>
      <c r="O938" s="60">
        <f t="shared" si="288"/>
        <v>0</v>
      </c>
    </row>
    <row r="939" spans="1:15" s="38" customFormat="1" ht="10.7" customHeight="1" outlineLevel="1" x14ac:dyDescent="0.25">
      <c r="A939" s="124"/>
      <c r="B939" s="142"/>
      <c r="C939" s="115"/>
      <c r="D939" s="115"/>
      <c r="E939" s="115"/>
      <c r="F939" s="115"/>
      <c r="G939" s="60" t="s">
        <v>128</v>
      </c>
      <c r="H939" s="124"/>
      <c r="I939" s="124"/>
      <c r="J939" s="60"/>
      <c r="K939" s="60"/>
      <c r="L939" s="60"/>
      <c r="M939" s="60"/>
      <c r="N939" s="60">
        <f t="shared" si="287"/>
        <v>0</v>
      </c>
      <c r="O939" s="60">
        <f t="shared" si="288"/>
        <v>0</v>
      </c>
    </row>
    <row r="940" spans="1:15" s="38" customFormat="1" ht="10.7" customHeight="1" outlineLevel="1" x14ac:dyDescent="0.25">
      <c r="A940" s="124"/>
      <c r="B940" s="142"/>
      <c r="C940" s="115"/>
      <c r="D940" s="115"/>
      <c r="E940" s="115"/>
      <c r="F940" s="115"/>
      <c r="G940" s="60" t="s">
        <v>129</v>
      </c>
      <c r="H940" s="124"/>
      <c r="I940" s="124"/>
      <c r="J940" s="60"/>
      <c r="K940" s="60"/>
      <c r="L940" s="60"/>
      <c r="M940" s="60"/>
      <c r="N940" s="60">
        <f t="shared" si="287"/>
        <v>0</v>
      </c>
      <c r="O940" s="60">
        <f t="shared" si="288"/>
        <v>0</v>
      </c>
    </row>
    <row r="941" spans="1:15" s="38" customFormat="1" ht="10.7" customHeight="1" outlineLevel="1" x14ac:dyDescent="0.25">
      <c r="A941" s="124"/>
      <c r="B941" s="142"/>
      <c r="C941" s="115"/>
      <c r="D941" s="115"/>
      <c r="E941" s="115"/>
      <c r="F941" s="115"/>
      <c r="G941" s="60" t="s">
        <v>130</v>
      </c>
      <c r="H941" s="124"/>
      <c r="I941" s="124"/>
      <c r="J941" s="60"/>
      <c r="K941" s="60"/>
      <c r="L941" s="60"/>
      <c r="M941" s="60"/>
      <c r="N941" s="60">
        <f t="shared" si="287"/>
        <v>0</v>
      </c>
      <c r="O941" s="60">
        <f t="shared" si="288"/>
        <v>0</v>
      </c>
    </row>
    <row r="942" spans="1:15" s="38" customFormat="1" ht="12" customHeight="1" outlineLevel="1" thickBot="1" x14ac:dyDescent="0.3">
      <c r="A942" s="125"/>
      <c r="B942" s="143"/>
      <c r="C942" s="131"/>
      <c r="D942" s="131"/>
      <c r="E942" s="131"/>
      <c r="F942" s="131"/>
      <c r="G942" s="60" t="s">
        <v>131</v>
      </c>
      <c r="H942" s="134"/>
      <c r="I942" s="134"/>
      <c r="J942" s="60"/>
      <c r="K942" s="60"/>
      <c r="L942" s="60"/>
      <c r="M942" s="60"/>
      <c r="N942" s="60">
        <f t="shared" si="287"/>
        <v>0</v>
      </c>
      <c r="O942" s="60">
        <f t="shared" si="288"/>
        <v>0</v>
      </c>
    </row>
    <row r="943" spans="1:15" s="38" customFormat="1" ht="14.45" customHeight="1" outlineLevel="1" x14ac:dyDescent="0.25">
      <c r="A943" s="140" t="s">
        <v>790</v>
      </c>
      <c r="B943" s="141" t="s">
        <v>791</v>
      </c>
      <c r="C943" s="130">
        <f>SUM(N943:N949)</f>
        <v>0</v>
      </c>
      <c r="D943" s="130">
        <f>SUM(O943:O949)</f>
        <v>0</v>
      </c>
      <c r="E943" s="130">
        <f t="shared" si="272"/>
        <v>0</v>
      </c>
      <c r="F943" s="130"/>
      <c r="G943" s="60" t="s">
        <v>125</v>
      </c>
      <c r="H943" s="123"/>
      <c r="I943" s="123"/>
      <c r="J943" s="60"/>
      <c r="K943" s="60"/>
      <c r="L943" s="60"/>
      <c r="M943" s="60"/>
      <c r="N943" s="60">
        <f>M943*J943*K943*L943</f>
        <v>0</v>
      </c>
      <c r="O943" s="60">
        <f>J943*K943*L943</f>
        <v>0</v>
      </c>
    </row>
    <row r="944" spans="1:15" s="38" customFormat="1" ht="11.45" customHeight="1" outlineLevel="1" x14ac:dyDescent="0.25">
      <c r="A944" s="124"/>
      <c r="B944" s="142"/>
      <c r="C944" s="115"/>
      <c r="D944" s="115"/>
      <c r="E944" s="115"/>
      <c r="F944" s="115"/>
      <c r="G944" s="60" t="s">
        <v>126</v>
      </c>
      <c r="H944" s="124"/>
      <c r="I944" s="124"/>
      <c r="J944" s="60"/>
      <c r="K944" s="60"/>
      <c r="L944" s="60"/>
      <c r="M944" s="60"/>
      <c r="N944" s="60">
        <f t="shared" ref="N944:N949" si="289">M944*J944*K944*L944</f>
        <v>0</v>
      </c>
      <c r="O944" s="60">
        <f t="shared" ref="O944:O949" si="290">J944*K944*L944</f>
        <v>0</v>
      </c>
    </row>
    <row r="945" spans="1:15" s="38" customFormat="1" ht="10.7" customHeight="1" outlineLevel="1" x14ac:dyDescent="0.25">
      <c r="A945" s="124"/>
      <c r="B945" s="142"/>
      <c r="C945" s="115"/>
      <c r="D945" s="115"/>
      <c r="E945" s="115"/>
      <c r="F945" s="115"/>
      <c r="G945" s="60" t="s">
        <v>127</v>
      </c>
      <c r="H945" s="124"/>
      <c r="I945" s="124"/>
      <c r="J945" s="60"/>
      <c r="K945" s="60"/>
      <c r="L945" s="60"/>
      <c r="M945" s="60"/>
      <c r="N945" s="60">
        <f t="shared" si="289"/>
        <v>0</v>
      </c>
      <c r="O945" s="60">
        <f t="shared" si="290"/>
        <v>0</v>
      </c>
    </row>
    <row r="946" spans="1:15" s="38" customFormat="1" ht="10.7" customHeight="1" outlineLevel="1" x14ac:dyDescent="0.25">
      <c r="A946" s="124"/>
      <c r="B946" s="142"/>
      <c r="C946" s="115"/>
      <c r="D946" s="115"/>
      <c r="E946" s="115"/>
      <c r="F946" s="115"/>
      <c r="G946" s="60" t="s">
        <v>128</v>
      </c>
      <c r="H946" s="124"/>
      <c r="I946" s="124"/>
      <c r="J946" s="60"/>
      <c r="K946" s="60"/>
      <c r="L946" s="60"/>
      <c r="M946" s="60"/>
      <c r="N946" s="60">
        <f t="shared" si="289"/>
        <v>0</v>
      </c>
      <c r="O946" s="60">
        <f t="shared" si="290"/>
        <v>0</v>
      </c>
    </row>
    <row r="947" spans="1:15" s="38" customFormat="1" ht="10.7" customHeight="1" outlineLevel="1" x14ac:dyDescent="0.25">
      <c r="A947" s="124"/>
      <c r="B947" s="142"/>
      <c r="C947" s="115"/>
      <c r="D947" s="115"/>
      <c r="E947" s="115"/>
      <c r="F947" s="115"/>
      <c r="G947" s="60" t="s">
        <v>129</v>
      </c>
      <c r="H947" s="124"/>
      <c r="I947" s="124"/>
      <c r="J947" s="60"/>
      <c r="K947" s="60"/>
      <c r="L947" s="60"/>
      <c r="M947" s="60"/>
      <c r="N947" s="60">
        <f t="shared" si="289"/>
        <v>0</v>
      </c>
      <c r="O947" s="60">
        <f t="shared" si="290"/>
        <v>0</v>
      </c>
    </row>
    <row r="948" spans="1:15" s="38" customFormat="1" ht="10.7" customHeight="1" outlineLevel="1" x14ac:dyDescent="0.25">
      <c r="A948" s="124"/>
      <c r="B948" s="142"/>
      <c r="C948" s="115"/>
      <c r="D948" s="115"/>
      <c r="E948" s="115"/>
      <c r="F948" s="115"/>
      <c r="G948" s="60" t="s">
        <v>130</v>
      </c>
      <c r="H948" s="124"/>
      <c r="I948" s="124"/>
      <c r="J948" s="60"/>
      <c r="K948" s="60"/>
      <c r="L948" s="60"/>
      <c r="M948" s="60"/>
      <c r="N948" s="60">
        <f t="shared" si="289"/>
        <v>0</v>
      </c>
      <c r="O948" s="60">
        <f t="shared" si="290"/>
        <v>0</v>
      </c>
    </row>
    <row r="949" spans="1:15" s="38" customFormat="1" ht="12" customHeight="1" outlineLevel="1" thickBot="1" x14ac:dyDescent="0.3">
      <c r="A949" s="125"/>
      <c r="B949" s="143"/>
      <c r="C949" s="131"/>
      <c r="D949" s="131"/>
      <c r="E949" s="131"/>
      <c r="F949" s="131"/>
      <c r="G949" s="60" t="s">
        <v>131</v>
      </c>
      <c r="H949" s="134"/>
      <c r="I949" s="134"/>
      <c r="J949" s="60"/>
      <c r="K949" s="60"/>
      <c r="L949" s="60"/>
      <c r="M949" s="60"/>
      <c r="N949" s="60">
        <f t="shared" si="289"/>
        <v>0</v>
      </c>
      <c r="O949" s="60">
        <f t="shared" si="290"/>
        <v>0</v>
      </c>
    </row>
    <row r="950" spans="1:15" s="38" customFormat="1" ht="14.45" customHeight="1" outlineLevel="1" x14ac:dyDescent="0.25">
      <c r="A950" s="140" t="s">
        <v>792</v>
      </c>
      <c r="B950" s="141" t="s">
        <v>793</v>
      </c>
      <c r="C950" s="130">
        <f>SUM(N950:N956)</f>
        <v>0</v>
      </c>
      <c r="D950" s="130">
        <f>SUM(O950:O956)</f>
        <v>0</v>
      </c>
      <c r="E950" s="130">
        <f t="shared" si="272"/>
        <v>0</v>
      </c>
      <c r="F950" s="130"/>
      <c r="G950" s="60" t="s">
        <v>125</v>
      </c>
      <c r="H950" s="123"/>
      <c r="I950" s="123"/>
      <c r="J950" s="60"/>
      <c r="K950" s="60"/>
      <c r="L950" s="60"/>
      <c r="M950" s="60"/>
      <c r="N950" s="60">
        <f>M950*J950*K950*L950</f>
        <v>0</v>
      </c>
      <c r="O950" s="60">
        <f>J950*K950*L950</f>
        <v>0</v>
      </c>
    </row>
    <row r="951" spans="1:15" s="38" customFormat="1" ht="11.45" customHeight="1" outlineLevel="1" x14ac:dyDescent="0.25">
      <c r="A951" s="124"/>
      <c r="B951" s="142"/>
      <c r="C951" s="115"/>
      <c r="D951" s="115"/>
      <c r="E951" s="115"/>
      <c r="F951" s="115"/>
      <c r="G951" s="60" t="s">
        <v>126</v>
      </c>
      <c r="H951" s="124"/>
      <c r="I951" s="124"/>
      <c r="J951" s="60"/>
      <c r="K951" s="60"/>
      <c r="L951" s="60"/>
      <c r="M951" s="60"/>
      <c r="N951" s="60">
        <f t="shared" ref="N951:N956" si="291">M951*J951*K951*L951</f>
        <v>0</v>
      </c>
      <c r="O951" s="60">
        <f t="shared" ref="O951:O956" si="292">J951*K951*L951</f>
        <v>0</v>
      </c>
    </row>
    <row r="952" spans="1:15" s="38" customFormat="1" ht="10.7" customHeight="1" outlineLevel="1" x14ac:dyDescent="0.25">
      <c r="A952" s="124"/>
      <c r="B952" s="142"/>
      <c r="C952" s="115"/>
      <c r="D952" s="115"/>
      <c r="E952" s="115"/>
      <c r="F952" s="115"/>
      <c r="G952" s="60" t="s">
        <v>127</v>
      </c>
      <c r="H952" s="124"/>
      <c r="I952" s="124"/>
      <c r="J952" s="60"/>
      <c r="K952" s="60"/>
      <c r="L952" s="60"/>
      <c r="M952" s="60"/>
      <c r="N952" s="60">
        <f t="shared" si="291"/>
        <v>0</v>
      </c>
      <c r="O952" s="60">
        <f t="shared" si="292"/>
        <v>0</v>
      </c>
    </row>
    <row r="953" spans="1:15" s="38" customFormat="1" ht="10.7" customHeight="1" outlineLevel="1" x14ac:dyDescent="0.25">
      <c r="A953" s="124"/>
      <c r="B953" s="142"/>
      <c r="C953" s="115"/>
      <c r="D953" s="115"/>
      <c r="E953" s="115"/>
      <c r="F953" s="115"/>
      <c r="G953" s="60" t="s">
        <v>128</v>
      </c>
      <c r="H953" s="124"/>
      <c r="I953" s="124"/>
      <c r="J953" s="60"/>
      <c r="K953" s="60"/>
      <c r="L953" s="60"/>
      <c r="M953" s="60"/>
      <c r="N953" s="60">
        <f t="shared" si="291"/>
        <v>0</v>
      </c>
      <c r="O953" s="60">
        <f t="shared" si="292"/>
        <v>0</v>
      </c>
    </row>
    <row r="954" spans="1:15" s="38" customFormat="1" ht="10.7" customHeight="1" outlineLevel="1" x14ac:dyDescent="0.25">
      <c r="A954" s="124"/>
      <c r="B954" s="142"/>
      <c r="C954" s="115"/>
      <c r="D954" s="115"/>
      <c r="E954" s="115"/>
      <c r="F954" s="115"/>
      <c r="G954" s="60" t="s">
        <v>129</v>
      </c>
      <c r="H954" s="124"/>
      <c r="I954" s="124"/>
      <c r="J954" s="60"/>
      <c r="K954" s="60"/>
      <c r="L954" s="60"/>
      <c r="M954" s="60"/>
      <c r="N954" s="60">
        <f t="shared" si="291"/>
        <v>0</v>
      </c>
      <c r="O954" s="60">
        <f t="shared" si="292"/>
        <v>0</v>
      </c>
    </row>
    <row r="955" spans="1:15" s="38" customFormat="1" ht="10.7" customHeight="1" outlineLevel="1" x14ac:dyDescent="0.25">
      <c r="A955" s="124"/>
      <c r="B955" s="142"/>
      <c r="C955" s="115"/>
      <c r="D955" s="115"/>
      <c r="E955" s="115"/>
      <c r="F955" s="115"/>
      <c r="G955" s="60" t="s">
        <v>130</v>
      </c>
      <c r="H955" s="124"/>
      <c r="I955" s="124"/>
      <c r="J955" s="60"/>
      <c r="K955" s="60"/>
      <c r="L955" s="60"/>
      <c r="M955" s="60"/>
      <c r="N955" s="60">
        <f t="shared" si="291"/>
        <v>0</v>
      </c>
      <c r="O955" s="60">
        <f t="shared" si="292"/>
        <v>0</v>
      </c>
    </row>
    <row r="956" spans="1:15" s="38" customFormat="1" ht="12" customHeight="1" outlineLevel="1" thickBot="1" x14ac:dyDescent="0.3">
      <c r="A956" s="125"/>
      <c r="B956" s="143"/>
      <c r="C956" s="131"/>
      <c r="D956" s="131"/>
      <c r="E956" s="131"/>
      <c r="F956" s="131"/>
      <c r="G956" s="60" t="s">
        <v>131</v>
      </c>
      <c r="H956" s="134"/>
      <c r="I956" s="134"/>
      <c r="J956" s="60"/>
      <c r="K956" s="60"/>
      <c r="L956" s="60"/>
      <c r="M956" s="60"/>
      <c r="N956" s="60">
        <f t="shared" si="291"/>
        <v>0</v>
      </c>
      <c r="O956" s="60">
        <f t="shared" si="292"/>
        <v>0</v>
      </c>
    </row>
    <row r="957" spans="1:15" s="38" customFormat="1" ht="14.45" customHeight="1" outlineLevel="1" x14ac:dyDescent="0.25">
      <c r="A957" s="140" t="s">
        <v>794</v>
      </c>
      <c r="B957" s="141" t="s">
        <v>795</v>
      </c>
      <c r="C957" s="130">
        <f>SUM(N957:N963)</f>
        <v>0</v>
      </c>
      <c r="D957" s="130">
        <f>SUM(O957:O963)</f>
        <v>0</v>
      </c>
      <c r="E957" s="130">
        <f t="shared" ref="E957:E1020" si="293">D957/8</f>
        <v>0</v>
      </c>
      <c r="F957" s="130"/>
      <c r="G957" s="60" t="s">
        <v>125</v>
      </c>
      <c r="H957" s="123"/>
      <c r="I957" s="123"/>
      <c r="J957" s="60"/>
      <c r="K957" s="60"/>
      <c r="L957" s="60"/>
      <c r="M957" s="60"/>
      <c r="N957" s="60">
        <f>M957*J957*K957*L957</f>
        <v>0</v>
      </c>
      <c r="O957" s="60">
        <f>J957*K957*L957</f>
        <v>0</v>
      </c>
    </row>
    <row r="958" spans="1:15" s="38" customFormat="1" ht="11.45" customHeight="1" outlineLevel="1" x14ac:dyDescent="0.25">
      <c r="A958" s="124"/>
      <c r="B958" s="142"/>
      <c r="C958" s="115"/>
      <c r="D958" s="115"/>
      <c r="E958" s="115"/>
      <c r="F958" s="115"/>
      <c r="G958" s="60" t="s">
        <v>126</v>
      </c>
      <c r="H958" s="124"/>
      <c r="I958" s="124"/>
      <c r="J958" s="60"/>
      <c r="K958" s="60"/>
      <c r="L958" s="60"/>
      <c r="M958" s="60"/>
      <c r="N958" s="60">
        <f t="shared" ref="N958:N963" si="294">M958*J958*K958*L958</f>
        <v>0</v>
      </c>
      <c r="O958" s="60">
        <f t="shared" ref="O958:O963" si="295">J958*K958*L958</f>
        <v>0</v>
      </c>
    </row>
    <row r="959" spans="1:15" s="38" customFormat="1" ht="10.7" customHeight="1" outlineLevel="1" x14ac:dyDescent="0.25">
      <c r="A959" s="124"/>
      <c r="B959" s="142"/>
      <c r="C959" s="115"/>
      <c r="D959" s="115"/>
      <c r="E959" s="115"/>
      <c r="F959" s="115"/>
      <c r="G959" s="60" t="s">
        <v>127</v>
      </c>
      <c r="H959" s="124"/>
      <c r="I959" s="124"/>
      <c r="J959" s="60"/>
      <c r="K959" s="60"/>
      <c r="L959" s="60"/>
      <c r="M959" s="60"/>
      <c r="N959" s="60">
        <f t="shared" si="294"/>
        <v>0</v>
      </c>
      <c r="O959" s="60">
        <f t="shared" si="295"/>
        <v>0</v>
      </c>
    </row>
    <row r="960" spans="1:15" s="38" customFormat="1" ht="10.7" customHeight="1" outlineLevel="1" x14ac:dyDescent="0.25">
      <c r="A960" s="124"/>
      <c r="B960" s="142"/>
      <c r="C960" s="115"/>
      <c r="D960" s="115"/>
      <c r="E960" s="115"/>
      <c r="F960" s="115"/>
      <c r="G960" s="60" t="s">
        <v>128</v>
      </c>
      <c r="H960" s="124"/>
      <c r="I960" s="124"/>
      <c r="J960" s="60"/>
      <c r="K960" s="60"/>
      <c r="L960" s="60"/>
      <c r="M960" s="60"/>
      <c r="N960" s="60">
        <f t="shared" si="294"/>
        <v>0</v>
      </c>
      <c r="O960" s="60">
        <f t="shared" si="295"/>
        <v>0</v>
      </c>
    </row>
    <row r="961" spans="1:15" s="38" customFormat="1" ht="10.7" customHeight="1" outlineLevel="1" x14ac:dyDescent="0.25">
      <c r="A961" s="124"/>
      <c r="B961" s="142"/>
      <c r="C961" s="115"/>
      <c r="D961" s="115"/>
      <c r="E961" s="115"/>
      <c r="F961" s="115"/>
      <c r="G961" s="60" t="s">
        <v>129</v>
      </c>
      <c r="H961" s="124"/>
      <c r="I961" s="124"/>
      <c r="J961" s="60"/>
      <c r="K961" s="60"/>
      <c r="L961" s="60"/>
      <c r="M961" s="60"/>
      <c r="N961" s="60">
        <f t="shared" si="294"/>
        <v>0</v>
      </c>
      <c r="O961" s="60">
        <f t="shared" si="295"/>
        <v>0</v>
      </c>
    </row>
    <row r="962" spans="1:15" s="38" customFormat="1" ht="10.7" customHeight="1" outlineLevel="1" x14ac:dyDescent="0.25">
      <c r="A962" s="124"/>
      <c r="B962" s="142"/>
      <c r="C962" s="115"/>
      <c r="D962" s="115"/>
      <c r="E962" s="115"/>
      <c r="F962" s="115"/>
      <c r="G962" s="60" t="s">
        <v>130</v>
      </c>
      <c r="H962" s="124"/>
      <c r="I962" s="124"/>
      <c r="J962" s="60"/>
      <c r="K962" s="60"/>
      <c r="L962" s="60"/>
      <c r="M962" s="60"/>
      <c r="N962" s="60">
        <f t="shared" si="294"/>
        <v>0</v>
      </c>
      <c r="O962" s="60">
        <f t="shared" si="295"/>
        <v>0</v>
      </c>
    </row>
    <row r="963" spans="1:15" s="38" customFormat="1" ht="12" customHeight="1" outlineLevel="1" thickBot="1" x14ac:dyDescent="0.3">
      <c r="A963" s="125"/>
      <c r="B963" s="143"/>
      <c r="C963" s="131"/>
      <c r="D963" s="131"/>
      <c r="E963" s="131"/>
      <c r="F963" s="131"/>
      <c r="G963" s="60" t="s">
        <v>131</v>
      </c>
      <c r="H963" s="134"/>
      <c r="I963" s="134"/>
      <c r="J963" s="60"/>
      <c r="K963" s="60"/>
      <c r="L963" s="60"/>
      <c r="M963" s="60"/>
      <c r="N963" s="60">
        <f t="shared" si="294"/>
        <v>0</v>
      </c>
      <c r="O963" s="60">
        <f t="shared" si="295"/>
        <v>0</v>
      </c>
    </row>
    <row r="964" spans="1:15" s="38" customFormat="1" ht="14.45" customHeight="1" outlineLevel="1" x14ac:dyDescent="0.25">
      <c r="A964" s="140" t="s">
        <v>796</v>
      </c>
      <c r="B964" s="141" t="s">
        <v>797</v>
      </c>
      <c r="C964" s="130">
        <f>SUM(N964:N970)</f>
        <v>0</v>
      </c>
      <c r="D964" s="130">
        <f>SUM(O964:O970)</f>
        <v>0</v>
      </c>
      <c r="E964" s="130">
        <f t="shared" si="293"/>
        <v>0</v>
      </c>
      <c r="F964" s="130"/>
      <c r="G964" s="60" t="s">
        <v>125</v>
      </c>
      <c r="H964" s="123"/>
      <c r="I964" s="123"/>
      <c r="J964" s="60"/>
      <c r="K964" s="60"/>
      <c r="L964" s="60"/>
      <c r="M964" s="60"/>
      <c r="N964" s="60">
        <f>M964*J964*K964*L964</f>
        <v>0</v>
      </c>
      <c r="O964" s="60">
        <f>J964*K964*L964</f>
        <v>0</v>
      </c>
    </row>
    <row r="965" spans="1:15" s="38" customFormat="1" ht="11.45" customHeight="1" outlineLevel="1" x14ac:dyDescent="0.25">
      <c r="A965" s="124"/>
      <c r="B965" s="142"/>
      <c r="C965" s="115"/>
      <c r="D965" s="115"/>
      <c r="E965" s="115"/>
      <c r="F965" s="115"/>
      <c r="G965" s="60" t="s">
        <v>126</v>
      </c>
      <c r="H965" s="124"/>
      <c r="I965" s="124"/>
      <c r="J965" s="60"/>
      <c r="K965" s="60"/>
      <c r="L965" s="60"/>
      <c r="M965" s="60"/>
      <c r="N965" s="60">
        <f t="shared" ref="N965:N970" si="296">M965*J965*K965*L965</f>
        <v>0</v>
      </c>
      <c r="O965" s="60">
        <f t="shared" ref="O965:O970" si="297">J965*K965*L965</f>
        <v>0</v>
      </c>
    </row>
    <row r="966" spans="1:15" s="38" customFormat="1" ht="10.7" customHeight="1" outlineLevel="1" x14ac:dyDescent="0.25">
      <c r="A966" s="124"/>
      <c r="B966" s="142"/>
      <c r="C966" s="115"/>
      <c r="D966" s="115"/>
      <c r="E966" s="115"/>
      <c r="F966" s="115"/>
      <c r="G966" s="60" t="s">
        <v>127</v>
      </c>
      <c r="H966" s="124"/>
      <c r="I966" s="124"/>
      <c r="J966" s="60"/>
      <c r="K966" s="60"/>
      <c r="L966" s="60"/>
      <c r="M966" s="60"/>
      <c r="N966" s="60">
        <f t="shared" si="296"/>
        <v>0</v>
      </c>
      <c r="O966" s="60">
        <f t="shared" si="297"/>
        <v>0</v>
      </c>
    </row>
    <row r="967" spans="1:15" s="38" customFormat="1" ht="10.7" customHeight="1" outlineLevel="1" x14ac:dyDescent="0.25">
      <c r="A967" s="124"/>
      <c r="B967" s="142"/>
      <c r="C967" s="115"/>
      <c r="D967" s="115"/>
      <c r="E967" s="115"/>
      <c r="F967" s="115"/>
      <c r="G967" s="60" t="s">
        <v>128</v>
      </c>
      <c r="H967" s="124"/>
      <c r="I967" s="124"/>
      <c r="J967" s="60"/>
      <c r="K967" s="60"/>
      <c r="L967" s="60"/>
      <c r="M967" s="60"/>
      <c r="N967" s="60">
        <f t="shared" si="296"/>
        <v>0</v>
      </c>
      <c r="O967" s="60">
        <f t="shared" si="297"/>
        <v>0</v>
      </c>
    </row>
    <row r="968" spans="1:15" s="38" customFormat="1" ht="10.7" customHeight="1" outlineLevel="1" x14ac:dyDescent="0.25">
      <c r="A968" s="124"/>
      <c r="B968" s="142"/>
      <c r="C968" s="115"/>
      <c r="D968" s="115"/>
      <c r="E968" s="115"/>
      <c r="F968" s="115"/>
      <c r="G968" s="60" t="s">
        <v>129</v>
      </c>
      <c r="H968" s="124"/>
      <c r="I968" s="124"/>
      <c r="J968" s="60"/>
      <c r="K968" s="60"/>
      <c r="L968" s="60"/>
      <c r="M968" s="60"/>
      <c r="N968" s="60">
        <f t="shared" si="296"/>
        <v>0</v>
      </c>
      <c r="O968" s="60">
        <f t="shared" si="297"/>
        <v>0</v>
      </c>
    </row>
    <row r="969" spans="1:15" s="38" customFormat="1" ht="10.7" customHeight="1" outlineLevel="1" x14ac:dyDescent="0.25">
      <c r="A969" s="124"/>
      <c r="B969" s="142"/>
      <c r="C969" s="115"/>
      <c r="D969" s="115"/>
      <c r="E969" s="115"/>
      <c r="F969" s="115"/>
      <c r="G969" s="60" t="s">
        <v>130</v>
      </c>
      <c r="H969" s="124"/>
      <c r="I969" s="124"/>
      <c r="J969" s="60"/>
      <c r="K969" s="60"/>
      <c r="L969" s="60"/>
      <c r="M969" s="60"/>
      <c r="N969" s="60">
        <f t="shared" si="296"/>
        <v>0</v>
      </c>
      <c r="O969" s="60">
        <f t="shared" si="297"/>
        <v>0</v>
      </c>
    </row>
    <row r="970" spans="1:15" s="38" customFormat="1" ht="12" customHeight="1" outlineLevel="1" thickBot="1" x14ac:dyDescent="0.3">
      <c r="A970" s="125"/>
      <c r="B970" s="143"/>
      <c r="C970" s="131"/>
      <c r="D970" s="131"/>
      <c r="E970" s="131"/>
      <c r="F970" s="131"/>
      <c r="G970" s="60" t="s">
        <v>131</v>
      </c>
      <c r="H970" s="134"/>
      <c r="I970" s="134"/>
      <c r="J970" s="60"/>
      <c r="K970" s="60"/>
      <c r="L970" s="60"/>
      <c r="M970" s="60"/>
      <c r="N970" s="60">
        <f t="shared" si="296"/>
        <v>0</v>
      </c>
      <c r="O970" s="60">
        <f t="shared" si="297"/>
        <v>0</v>
      </c>
    </row>
    <row r="971" spans="1:15" s="38" customFormat="1" ht="14.45" customHeight="1" outlineLevel="1" x14ac:dyDescent="0.25">
      <c r="A971" s="140" t="s">
        <v>798</v>
      </c>
      <c r="B971" s="141" t="s">
        <v>799</v>
      </c>
      <c r="C971" s="130">
        <f>SUM(N971:N977)</f>
        <v>0</v>
      </c>
      <c r="D971" s="130">
        <f>SUM(O971:O977)</f>
        <v>0</v>
      </c>
      <c r="E971" s="130">
        <f t="shared" si="293"/>
        <v>0</v>
      </c>
      <c r="F971" s="130"/>
      <c r="G971" s="60" t="s">
        <v>125</v>
      </c>
      <c r="H971" s="123"/>
      <c r="I971" s="123"/>
      <c r="J971" s="60"/>
      <c r="K971" s="60"/>
      <c r="L971" s="60"/>
      <c r="M971" s="60"/>
      <c r="N971" s="60">
        <f>M971*J971*K971*L971</f>
        <v>0</v>
      </c>
      <c r="O971" s="60">
        <f>J971*K971*L971</f>
        <v>0</v>
      </c>
    </row>
    <row r="972" spans="1:15" s="38" customFormat="1" ht="11.45" customHeight="1" outlineLevel="1" x14ac:dyDescent="0.25">
      <c r="A972" s="124"/>
      <c r="B972" s="142"/>
      <c r="C972" s="115"/>
      <c r="D972" s="115"/>
      <c r="E972" s="115"/>
      <c r="F972" s="115"/>
      <c r="G972" s="60" t="s">
        <v>126</v>
      </c>
      <c r="H972" s="124"/>
      <c r="I972" s="124"/>
      <c r="J972" s="60"/>
      <c r="K972" s="60"/>
      <c r="L972" s="60"/>
      <c r="M972" s="60"/>
      <c r="N972" s="60">
        <f t="shared" ref="N972:N977" si="298">M972*J972*K972*L972</f>
        <v>0</v>
      </c>
      <c r="O972" s="60">
        <f t="shared" ref="O972:O977" si="299">J972*K972*L972</f>
        <v>0</v>
      </c>
    </row>
    <row r="973" spans="1:15" s="38" customFormat="1" ht="10.7" customHeight="1" outlineLevel="1" x14ac:dyDescent="0.25">
      <c r="A973" s="124"/>
      <c r="B973" s="142"/>
      <c r="C973" s="115"/>
      <c r="D973" s="115"/>
      <c r="E973" s="115"/>
      <c r="F973" s="115"/>
      <c r="G973" s="60" t="s">
        <v>127</v>
      </c>
      <c r="H973" s="124"/>
      <c r="I973" s="124"/>
      <c r="J973" s="60"/>
      <c r="K973" s="60"/>
      <c r="L973" s="60"/>
      <c r="M973" s="60"/>
      <c r="N973" s="60">
        <f t="shared" si="298"/>
        <v>0</v>
      </c>
      <c r="O973" s="60">
        <f t="shared" si="299"/>
        <v>0</v>
      </c>
    </row>
    <row r="974" spans="1:15" s="38" customFormat="1" ht="10.7" customHeight="1" outlineLevel="1" x14ac:dyDescent="0.25">
      <c r="A974" s="124"/>
      <c r="B974" s="142"/>
      <c r="C974" s="115"/>
      <c r="D974" s="115"/>
      <c r="E974" s="115"/>
      <c r="F974" s="115"/>
      <c r="G974" s="60" t="s">
        <v>128</v>
      </c>
      <c r="H974" s="124"/>
      <c r="I974" s="124"/>
      <c r="J974" s="60"/>
      <c r="K974" s="60"/>
      <c r="L974" s="60"/>
      <c r="M974" s="60"/>
      <c r="N974" s="60">
        <f t="shared" si="298"/>
        <v>0</v>
      </c>
      <c r="O974" s="60">
        <f t="shared" si="299"/>
        <v>0</v>
      </c>
    </row>
    <row r="975" spans="1:15" s="38" customFormat="1" ht="10.7" customHeight="1" outlineLevel="1" x14ac:dyDescent="0.25">
      <c r="A975" s="124"/>
      <c r="B975" s="142"/>
      <c r="C975" s="115"/>
      <c r="D975" s="115"/>
      <c r="E975" s="115"/>
      <c r="F975" s="115"/>
      <c r="G975" s="60" t="s">
        <v>129</v>
      </c>
      <c r="H975" s="124"/>
      <c r="I975" s="124"/>
      <c r="J975" s="60"/>
      <c r="K975" s="60"/>
      <c r="L975" s="60"/>
      <c r="M975" s="60"/>
      <c r="N975" s="60">
        <f t="shared" si="298"/>
        <v>0</v>
      </c>
      <c r="O975" s="60">
        <f t="shared" si="299"/>
        <v>0</v>
      </c>
    </row>
    <row r="976" spans="1:15" s="38" customFormat="1" ht="10.7" customHeight="1" outlineLevel="1" x14ac:dyDescent="0.25">
      <c r="A976" s="124"/>
      <c r="B976" s="142"/>
      <c r="C976" s="115"/>
      <c r="D976" s="115"/>
      <c r="E976" s="115"/>
      <c r="F976" s="115"/>
      <c r="G976" s="60" t="s">
        <v>130</v>
      </c>
      <c r="H976" s="124"/>
      <c r="I976" s="124"/>
      <c r="J976" s="60"/>
      <c r="K976" s="60"/>
      <c r="L976" s="60"/>
      <c r="M976" s="60"/>
      <c r="N976" s="60">
        <f t="shared" si="298"/>
        <v>0</v>
      </c>
      <c r="O976" s="60">
        <f t="shared" si="299"/>
        <v>0</v>
      </c>
    </row>
    <row r="977" spans="1:15" s="38" customFormat="1" ht="12" customHeight="1" outlineLevel="1" thickBot="1" x14ac:dyDescent="0.3">
      <c r="A977" s="125"/>
      <c r="B977" s="143"/>
      <c r="C977" s="131"/>
      <c r="D977" s="131"/>
      <c r="E977" s="131"/>
      <c r="F977" s="131"/>
      <c r="G977" s="60" t="s">
        <v>131</v>
      </c>
      <c r="H977" s="134"/>
      <c r="I977" s="134"/>
      <c r="J977" s="60"/>
      <c r="K977" s="60"/>
      <c r="L977" s="60"/>
      <c r="M977" s="60"/>
      <c r="N977" s="60">
        <f t="shared" si="298"/>
        <v>0</v>
      </c>
      <c r="O977" s="60">
        <f t="shared" si="299"/>
        <v>0</v>
      </c>
    </row>
    <row r="978" spans="1:15" s="38" customFormat="1" ht="14.45" customHeight="1" outlineLevel="1" x14ac:dyDescent="0.25">
      <c r="A978" s="140" t="s">
        <v>800</v>
      </c>
      <c r="B978" s="141" t="s">
        <v>801</v>
      </c>
      <c r="C978" s="130">
        <f>SUM(N978:N984)</f>
        <v>0</v>
      </c>
      <c r="D978" s="130">
        <f>SUM(O978:O984)</f>
        <v>0</v>
      </c>
      <c r="E978" s="130">
        <f t="shared" si="293"/>
        <v>0</v>
      </c>
      <c r="F978" s="130"/>
      <c r="G978" s="60" t="s">
        <v>125</v>
      </c>
      <c r="H978" s="123"/>
      <c r="I978" s="123"/>
      <c r="J978" s="60"/>
      <c r="K978" s="60"/>
      <c r="L978" s="60"/>
      <c r="M978" s="60"/>
      <c r="N978" s="60">
        <f>M978*J978*K978*L978</f>
        <v>0</v>
      </c>
      <c r="O978" s="60">
        <f>J978*K978*L978</f>
        <v>0</v>
      </c>
    </row>
    <row r="979" spans="1:15" s="38" customFormat="1" ht="11.45" customHeight="1" outlineLevel="1" x14ac:dyDescent="0.25">
      <c r="A979" s="124"/>
      <c r="B979" s="142"/>
      <c r="C979" s="115"/>
      <c r="D979" s="115"/>
      <c r="E979" s="115"/>
      <c r="F979" s="115"/>
      <c r="G979" s="60" t="s">
        <v>126</v>
      </c>
      <c r="H979" s="124"/>
      <c r="I979" s="124"/>
      <c r="J979" s="60"/>
      <c r="K979" s="60"/>
      <c r="L979" s="60"/>
      <c r="M979" s="60"/>
      <c r="N979" s="60">
        <f t="shared" ref="N979:N984" si="300">M979*J979*K979*L979</f>
        <v>0</v>
      </c>
      <c r="O979" s="60">
        <f t="shared" ref="O979:O984" si="301">J979*K979*L979</f>
        <v>0</v>
      </c>
    </row>
    <row r="980" spans="1:15" s="38" customFormat="1" ht="10.7" customHeight="1" outlineLevel="1" x14ac:dyDescent="0.25">
      <c r="A980" s="124"/>
      <c r="B980" s="142"/>
      <c r="C980" s="115"/>
      <c r="D980" s="115"/>
      <c r="E980" s="115"/>
      <c r="F980" s="115"/>
      <c r="G980" s="60" t="s">
        <v>127</v>
      </c>
      <c r="H980" s="124"/>
      <c r="I980" s="124"/>
      <c r="J980" s="60"/>
      <c r="K980" s="60"/>
      <c r="L980" s="60"/>
      <c r="M980" s="60"/>
      <c r="N980" s="60">
        <f t="shared" si="300"/>
        <v>0</v>
      </c>
      <c r="O980" s="60">
        <f t="shared" si="301"/>
        <v>0</v>
      </c>
    </row>
    <row r="981" spans="1:15" s="38" customFormat="1" ht="10.7" customHeight="1" outlineLevel="1" x14ac:dyDescent="0.25">
      <c r="A981" s="124"/>
      <c r="B981" s="142"/>
      <c r="C981" s="115"/>
      <c r="D981" s="115"/>
      <c r="E981" s="115"/>
      <c r="F981" s="115"/>
      <c r="G981" s="60" t="s">
        <v>128</v>
      </c>
      <c r="H981" s="124"/>
      <c r="I981" s="124"/>
      <c r="J981" s="60"/>
      <c r="K981" s="60"/>
      <c r="L981" s="60"/>
      <c r="M981" s="60"/>
      <c r="N981" s="60">
        <f t="shared" si="300"/>
        <v>0</v>
      </c>
      <c r="O981" s="60">
        <f t="shared" si="301"/>
        <v>0</v>
      </c>
    </row>
    <row r="982" spans="1:15" s="38" customFormat="1" ht="10.7" customHeight="1" outlineLevel="1" x14ac:dyDescent="0.25">
      <c r="A982" s="124"/>
      <c r="B982" s="142"/>
      <c r="C982" s="115"/>
      <c r="D982" s="115"/>
      <c r="E982" s="115"/>
      <c r="F982" s="115"/>
      <c r="G982" s="60" t="s">
        <v>129</v>
      </c>
      <c r="H982" s="124"/>
      <c r="I982" s="124"/>
      <c r="J982" s="60"/>
      <c r="K982" s="60"/>
      <c r="L982" s="60"/>
      <c r="M982" s="60"/>
      <c r="N982" s="60">
        <f t="shared" si="300"/>
        <v>0</v>
      </c>
      <c r="O982" s="60">
        <f t="shared" si="301"/>
        <v>0</v>
      </c>
    </row>
    <row r="983" spans="1:15" s="38" customFormat="1" ht="10.7" customHeight="1" outlineLevel="1" x14ac:dyDescent="0.25">
      <c r="A983" s="124"/>
      <c r="B983" s="142"/>
      <c r="C983" s="115"/>
      <c r="D983" s="115"/>
      <c r="E983" s="115"/>
      <c r="F983" s="115"/>
      <c r="G983" s="60" t="s">
        <v>130</v>
      </c>
      <c r="H983" s="124"/>
      <c r="I983" s="124"/>
      <c r="J983" s="60"/>
      <c r="K983" s="60"/>
      <c r="L983" s="60"/>
      <c r="M983" s="60"/>
      <c r="N983" s="60">
        <f t="shared" si="300"/>
        <v>0</v>
      </c>
      <c r="O983" s="60">
        <f t="shared" si="301"/>
        <v>0</v>
      </c>
    </row>
    <row r="984" spans="1:15" s="38" customFormat="1" ht="12" customHeight="1" outlineLevel="1" thickBot="1" x14ac:dyDescent="0.3">
      <c r="A984" s="125"/>
      <c r="B984" s="143"/>
      <c r="C984" s="131"/>
      <c r="D984" s="131"/>
      <c r="E984" s="131"/>
      <c r="F984" s="131"/>
      <c r="G984" s="60" t="s">
        <v>131</v>
      </c>
      <c r="H984" s="134"/>
      <c r="I984" s="134"/>
      <c r="J984" s="60"/>
      <c r="K984" s="60"/>
      <c r="L984" s="60"/>
      <c r="M984" s="60"/>
      <c r="N984" s="60">
        <f t="shared" si="300"/>
        <v>0</v>
      </c>
      <c r="O984" s="60">
        <f t="shared" si="301"/>
        <v>0</v>
      </c>
    </row>
    <row r="985" spans="1:15" s="38" customFormat="1" ht="14.45" customHeight="1" outlineLevel="1" x14ac:dyDescent="0.25">
      <c r="A985" s="140" t="s">
        <v>802</v>
      </c>
      <c r="B985" s="141" t="s">
        <v>803</v>
      </c>
      <c r="C985" s="130">
        <f>SUM(N985:N991)</f>
        <v>0</v>
      </c>
      <c r="D985" s="130">
        <f>SUM(O985:O991)</f>
        <v>0</v>
      </c>
      <c r="E985" s="130">
        <f t="shared" si="293"/>
        <v>0</v>
      </c>
      <c r="F985" s="130"/>
      <c r="G985" s="60" t="s">
        <v>125</v>
      </c>
      <c r="H985" s="123"/>
      <c r="I985" s="123"/>
      <c r="J985" s="60"/>
      <c r="K985" s="60"/>
      <c r="L985" s="60"/>
      <c r="M985" s="60"/>
      <c r="N985" s="60">
        <f>M985*J985*K985*L985</f>
        <v>0</v>
      </c>
      <c r="O985" s="60">
        <f>J985*K985*L985</f>
        <v>0</v>
      </c>
    </row>
    <row r="986" spans="1:15" s="38" customFormat="1" ht="11.45" customHeight="1" outlineLevel="1" x14ac:dyDescent="0.25">
      <c r="A986" s="124"/>
      <c r="B986" s="142"/>
      <c r="C986" s="115"/>
      <c r="D986" s="115"/>
      <c r="E986" s="115"/>
      <c r="F986" s="115"/>
      <c r="G986" s="60" t="s">
        <v>126</v>
      </c>
      <c r="H986" s="124"/>
      <c r="I986" s="124"/>
      <c r="J986" s="60"/>
      <c r="K986" s="60"/>
      <c r="L986" s="60"/>
      <c r="M986" s="60"/>
      <c r="N986" s="60">
        <f t="shared" ref="N986:N991" si="302">M986*J986*K986*L986</f>
        <v>0</v>
      </c>
      <c r="O986" s="60">
        <f t="shared" ref="O986:O991" si="303">J986*K986*L986</f>
        <v>0</v>
      </c>
    </row>
    <row r="987" spans="1:15" s="38" customFormat="1" ht="10.7" customHeight="1" outlineLevel="1" x14ac:dyDescent="0.25">
      <c r="A987" s="124"/>
      <c r="B987" s="142"/>
      <c r="C987" s="115"/>
      <c r="D987" s="115"/>
      <c r="E987" s="115"/>
      <c r="F987" s="115"/>
      <c r="G987" s="60" t="s">
        <v>127</v>
      </c>
      <c r="H987" s="124"/>
      <c r="I987" s="124"/>
      <c r="J987" s="60"/>
      <c r="K987" s="60"/>
      <c r="L987" s="60"/>
      <c r="M987" s="60"/>
      <c r="N987" s="60">
        <f t="shared" si="302"/>
        <v>0</v>
      </c>
      <c r="O987" s="60">
        <f t="shared" si="303"/>
        <v>0</v>
      </c>
    </row>
    <row r="988" spans="1:15" s="38" customFormat="1" ht="10.7" customHeight="1" outlineLevel="1" x14ac:dyDescent="0.25">
      <c r="A988" s="124"/>
      <c r="B988" s="142"/>
      <c r="C988" s="115"/>
      <c r="D988" s="115"/>
      <c r="E988" s="115"/>
      <c r="F988" s="115"/>
      <c r="G988" s="60" t="s">
        <v>128</v>
      </c>
      <c r="H988" s="124"/>
      <c r="I988" s="124"/>
      <c r="J988" s="60"/>
      <c r="K988" s="60"/>
      <c r="L988" s="60"/>
      <c r="M988" s="60"/>
      <c r="N988" s="60">
        <f t="shared" si="302"/>
        <v>0</v>
      </c>
      <c r="O988" s="60">
        <f t="shared" si="303"/>
        <v>0</v>
      </c>
    </row>
    <row r="989" spans="1:15" s="38" customFormat="1" ht="10.7" customHeight="1" outlineLevel="1" x14ac:dyDescent="0.25">
      <c r="A989" s="124"/>
      <c r="B989" s="142"/>
      <c r="C989" s="115"/>
      <c r="D989" s="115"/>
      <c r="E989" s="115"/>
      <c r="F989" s="115"/>
      <c r="G989" s="60" t="s">
        <v>129</v>
      </c>
      <c r="H989" s="124"/>
      <c r="I989" s="124"/>
      <c r="J989" s="60"/>
      <c r="K989" s="60"/>
      <c r="L989" s="60"/>
      <c r="M989" s="60"/>
      <c r="N989" s="60">
        <f t="shared" si="302"/>
        <v>0</v>
      </c>
      <c r="O989" s="60">
        <f t="shared" si="303"/>
        <v>0</v>
      </c>
    </row>
    <row r="990" spans="1:15" s="38" customFormat="1" ht="10.7" customHeight="1" outlineLevel="1" x14ac:dyDescent="0.25">
      <c r="A990" s="124"/>
      <c r="B990" s="142"/>
      <c r="C990" s="115"/>
      <c r="D990" s="115"/>
      <c r="E990" s="115"/>
      <c r="F990" s="115"/>
      <c r="G990" s="60" t="s">
        <v>130</v>
      </c>
      <c r="H990" s="124"/>
      <c r="I990" s="124"/>
      <c r="J990" s="60"/>
      <c r="K990" s="60"/>
      <c r="L990" s="60"/>
      <c r="M990" s="60"/>
      <c r="N990" s="60">
        <f t="shared" si="302"/>
        <v>0</v>
      </c>
      <c r="O990" s="60">
        <f t="shared" si="303"/>
        <v>0</v>
      </c>
    </row>
    <row r="991" spans="1:15" s="38" customFormat="1" ht="12" customHeight="1" outlineLevel="1" thickBot="1" x14ac:dyDescent="0.3">
      <c r="A991" s="125"/>
      <c r="B991" s="143"/>
      <c r="C991" s="131"/>
      <c r="D991" s="131"/>
      <c r="E991" s="131"/>
      <c r="F991" s="131"/>
      <c r="G991" s="60" t="s">
        <v>131</v>
      </c>
      <c r="H991" s="134"/>
      <c r="I991" s="134"/>
      <c r="J991" s="60"/>
      <c r="K991" s="60"/>
      <c r="L991" s="60"/>
      <c r="M991" s="60"/>
      <c r="N991" s="60">
        <f t="shared" si="302"/>
        <v>0</v>
      </c>
      <c r="O991" s="60">
        <f t="shared" si="303"/>
        <v>0</v>
      </c>
    </row>
    <row r="992" spans="1:15" s="38" customFormat="1" ht="14.45" customHeight="1" outlineLevel="1" x14ac:dyDescent="0.25">
      <c r="A992" s="140" t="s">
        <v>804</v>
      </c>
      <c r="B992" s="141" t="s">
        <v>805</v>
      </c>
      <c r="C992" s="130">
        <f>SUM(N992:N998)</f>
        <v>0</v>
      </c>
      <c r="D992" s="130">
        <f>SUM(O992:O998)</f>
        <v>0</v>
      </c>
      <c r="E992" s="130">
        <f t="shared" si="293"/>
        <v>0</v>
      </c>
      <c r="F992" s="130"/>
      <c r="G992" s="60" t="s">
        <v>125</v>
      </c>
      <c r="H992" s="123"/>
      <c r="I992" s="123"/>
      <c r="J992" s="60"/>
      <c r="K992" s="60"/>
      <c r="L992" s="60"/>
      <c r="M992" s="60"/>
      <c r="N992" s="60">
        <f>M992*J992*K992*L992</f>
        <v>0</v>
      </c>
      <c r="O992" s="60">
        <f>J992*K992*L992</f>
        <v>0</v>
      </c>
    </row>
    <row r="993" spans="1:15" s="38" customFormat="1" ht="11.45" customHeight="1" outlineLevel="1" x14ac:dyDescent="0.25">
      <c r="A993" s="124"/>
      <c r="B993" s="142"/>
      <c r="C993" s="115"/>
      <c r="D993" s="115"/>
      <c r="E993" s="115"/>
      <c r="F993" s="115"/>
      <c r="G993" s="60" t="s">
        <v>126</v>
      </c>
      <c r="H993" s="124"/>
      <c r="I993" s="124"/>
      <c r="J993" s="60"/>
      <c r="K993" s="60"/>
      <c r="L993" s="60"/>
      <c r="M993" s="60"/>
      <c r="N993" s="60">
        <f t="shared" ref="N993:N998" si="304">M993*J993*K993*L993</f>
        <v>0</v>
      </c>
      <c r="O993" s="60">
        <f t="shared" ref="O993:O998" si="305">J993*K993*L993</f>
        <v>0</v>
      </c>
    </row>
    <row r="994" spans="1:15" s="38" customFormat="1" ht="10.7" customHeight="1" outlineLevel="1" x14ac:dyDescent="0.25">
      <c r="A994" s="124"/>
      <c r="B994" s="142"/>
      <c r="C994" s="115"/>
      <c r="D994" s="115"/>
      <c r="E994" s="115"/>
      <c r="F994" s="115"/>
      <c r="G994" s="60" t="s">
        <v>127</v>
      </c>
      <c r="H994" s="124"/>
      <c r="I994" s="124"/>
      <c r="J994" s="60"/>
      <c r="K994" s="60"/>
      <c r="L994" s="60"/>
      <c r="M994" s="60"/>
      <c r="N994" s="60">
        <f t="shared" si="304"/>
        <v>0</v>
      </c>
      <c r="O994" s="60">
        <f t="shared" si="305"/>
        <v>0</v>
      </c>
    </row>
    <row r="995" spans="1:15" s="38" customFormat="1" ht="10.7" customHeight="1" outlineLevel="1" x14ac:dyDescent="0.25">
      <c r="A995" s="124"/>
      <c r="B995" s="142"/>
      <c r="C995" s="115"/>
      <c r="D995" s="115"/>
      <c r="E995" s="115"/>
      <c r="F995" s="115"/>
      <c r="G995" s="60" t="s">
        <v>128</v>
      </c>
      <c r="H995" s="124"/>
      <c r="I995" s="124"/>
      <c r="J995" s="60"/>
      <c r="K995" s="60"/>
      <c r="L995" s="60"/>
      <c r="M995" s="60"/>
      <c r="N995" s="60">
        <f t="shared" si="304"/>
        <v>0</v>
      </c>
      <c r="O995" s="60">
        <f t="shared" si="305"/>
        <v>0</v>
      </c>
    </row>
    <row r="996" spans="1:15" s="38" customFormat="1" ht="10.7" customHeight="1" outlineLevel="1" x14ac:dyDescent="0.25">
      <c r="A996" s="124"/>
      <c r="B996" s="142"/>
      <c r="C996" s="115"/>
      <c r="D996" s="115"/>
      <c r="E996" s="115"/>
      <c r="F996" s="115"/>
      <c r="G996" s="60" t="s">
        <v>129</v>
      </c>
      <c r="H996" s="124"/>
      <c r="I996" s="124"/>
      <c r="J996" s="60"/>
      <c r="K996" s="60"/>
      <c r="L996" s="60"/>
      <c r="M996" s="60"/>
      <c r="N996" s="60">
        <f t="shared" si="304"/>
        <v>0</v>
      </c>
      <c r="O996" s="60">
        <f t="shared" si="305"/>
        <v>0</v>
      </c>
    </row>
    <row r="997" spans="1:15" s="38" customFormat="1" ht="10.7" customHeight="1" outlineLevel="1" x14ac:dyDescent="0.25">
      <c r="A997" s="124"/>
      <c r="B997" s="142"/>
      <c r="C997" s="115"/>
      <c r="D997" s="115"/>
      <c r="E997" s="115"/>
      <c r="F997" s="115"/>
      <c r="G997" s="60" t="s">
        <v>130</v>
      </c>
      <c r="H997" s="124"/>
      <c r="I997" s="124"/>
      <c r="J997" s="60"/>
      <c r="K997" s="60"/>
      <c r="L997" s="60"/>
      <c r="M997" s="60"/>
      <c r="N997" s="60">
        <f t="shared" si="304"/>
        <v>0</v>
      </c>
      <c r="O997" s="60">
        <f t="shared" si="305"/>
        <v>0</v>
      </c>
    </row>
    <row r="998" spans="1:15" s="38" customFormat="1" ht="12" customHeight="1" outlineLevel="1" thickBot="1" x14ac:dyDescent="0.3">
      <c r="A998" s="125"/>
      <c r="B998" s="143"/>
      <c r="C998" s="131"/>
      <c r="D998" s="131"/>
      <c r="E998" s="131"/>
      <c r="F998" s="131"/>
      <c r="G998" s="60" t="s">
        <v>131</v>
      </c>
      <c r="H998" s="134"/>
      <c r="I998" s="134"/>
      <c r="J998" s="60"/>
      <c r="K998" s="60"/>
      <c r="L998" s="60"/>
      <c r="M998" s="60"/>
      <c r="N998" s="60">
        <f t="shared" si="304"/>
        <v>0</v>
      </c>
      <c r="O998" s="60">
        <f t="shared" si="305"/>
        <v>0</v>
      </c>
    </row>
    <row r="999" spans="1:15" s="38" customFormat="1" ht="14.45" customHeight="1" outlineLevel="1" x14ac:dyDescent="0.25">
      <c r="A999" s="140" t="s">
        <v>806</v>
      </c>
      <c r="B999" s="141" t="s">
        <v>807</v>
      </c>
      <c r="C999" s="130">
        <f>SUM(N999:N1005)</f>
        <v>0</v>
      </c>
      <c r="D999" s="130">
        <f>SUM(O999:O1005)</f>
        <v>0</v>
      </c>
      <c r="E999" s="130">
        <f t="shared" si="293"/>
        <v>0</v>
      </c>
      <c r="F999" s="130"/>
      <c r="G999" s="60" t="s">
        <v>125</v>
      </c>
      <c r="H999" s="123"/>
      <c r="I999" s="123"/>
      <c r="J999" s="60"/>
      <c r="K999" s="60"/>
      <c r="L999" s="60"/>
      <c r="M999" s="60"/>
      <c r="N999" s="60">
        <f>M999*J999*K999*L999</f>
        <v>0</v>
      </c>
      <c r="O999" s="60">
        <f>J999*K999*L999</f>
        <v>0</v>
      </c>
    </row>
    <row r="1000" spans="1:15" s="38" customFormat="1" ht="11.45" customHeight="1" outlineLevel="1" x14ac:dyDescent="0.25">
      <c r="A1000" s="124"/>
      <c r="B1000" s="142"/>
      <c r="C1000" s="115"/>
      <c r="D1000" s="115"/>
      <c r="E1000" s="115"/>
      <c r="F1000" s="115"/>
      <c r="G1000" s="60" t="s">
        <v>126</v>
      </c>
      <c r="H1000" s="124"/>
      <c r="I1000" s="124"/>
      <c r="J1000" s="60"/>
      <c r="K1000" s="60"/>
      <c r="L1000" s="60"/>
      <c r="M1000" s="60"/>
      <c r="N1000" s="60">
        <f t="shared" ref="N1000:N1005" si="306">M1000*J1000*K1000*L1000</f>
        <v>0</v>
      </c>
      <c r="O1000" s="60">
        <f t="shared" ref="O1000:O1005" si="307">J1000*K1000*L1000</f>
        <v>0</v>
      </c>
    </row>
    <row r="1001" spans="1:15" s="38" customFormat="1" ht="10.7" customHeight="1" outlineLevel="1" x14ac:dyDescent="0.25">
      <c r="A1001" s="124"/>
      <c r="B1001" s="142"/>
      <c r="C1001" s="115"/>
      <c r="D1001" s="115"/>
      <c r="E1001" s="115"/>
      <c r="F1001" s="115"/>
      <c r="G1001" s="60" t="s">
        <v>127</v>
      </c>
      <c r="H1001" s="124"/>
      <c r="I1001" s="124"/>
      <c r="J1001" s="60"/>
      <c r="K1001" s="60"/>
      <c r="L1001" s="60"/>
      <c r="M1001" s="60"/>
      <c r="N1001" s="60">
        <f t="shared" si="306"/>
        <v>0</v>
      </c>
      <c r="O1001" s="60">
        <f t="shared" si="307"/>
        <v>0</v>
      </c>
    </row>
    <row r="1002" spans="1:15" s="38" customFormat="1" ht="10.7" customHeight="1" outlineLevel="1" x14ac:dyDescent="0.25">
      <c r="A1002" s="124"/>
      <c r="B1002" s="142"/>
      <c r="C1002" s="115"/>
      <c r="D1002" s="115"/>
      <c r="E1002" s="115"/>
      <c r="F1002" s="115"/>
      <c r="G1002" s="60" t="s">
        <v>128</v>
      </c>
      <c r="H1002" s="124"/>
      <c r="I1002" s="124"/>
      <c r="J1002" s="60"/>
      <c r="K1002" s="60"/>
      <c r="L1002" s="60"/>
      <c r="M1002" s="60"/>
      <c r="N1002" s="60">
        <f t="shared" si="306"/>
        <v>0</v>
      </c>
      <c r="O1002" s="60">
        <f t="shared" si="307"/>
        <v>0</v>
      </c>
    </row>
    <row r="1003" spans="1:15" s="38" customFormat="1" ht="10.7" customHeight="1" outlineLevel="1" x14ac:dyDescent="0.25">
      <c r="A1003" s="124"/>
      <c r="B1003" s="142"/>
      <c r="C1003" s="115"/>
      <c r="D1003" s="115"/>
      <c r="E1003" s="115"/>
      <c r="F1003" s="115"/>
      <c r="G1003" s="60" t="s">
        <v>129</v>
      </c>
      <c r="H1003" s="124"/>
      <c r="I1003" s="124"/>
      <c r="J1003" s="60"/>
      <c r="K1003" s="60"/>
      <c r="L1003" s="60"/>
      <c r="M1003" s="60"/>
      <c r="N1003" s="60">
        <f t="shared" si="306"/>
        <v>0</v>
      </c>
      <c r="O1003" s="60">
        <f t="shared" si="307"/>
        <v>0</v>
      </c>
    </row>
    <row r="1004" spans="1:15" s="38" customFormat="1" ht="10.7" customHeight="1" outlineLevel="1" x14ac:dyDescent="0.25">
      <c r="A1004" s="124"/>
      <c r="B1004" s="142"/>
      <c r="C1004" s="115"/>
      <c r="D1004" s="115"/>
      <c r="E1004" s="115"/>
      <c r="F1004" s="115"/>
      <c r="G1004" s="60" t="s">
        <v>130</v>
      </c>
      <c r="H1004" s="124"/>
      <c r="I1004" s="124"/>
      <c r="J1004" s="60"/>
      <c r="K1004" s="60"/>
      <c r="L1004" s="60"/>
      <c r="M1004" s="60"/>
      <c r="N1004" s="60">
        <f t="shared" si="306"/>
        <v>0</v>
      </c>
      <c r="O1004" s="60">
        <f t="shared" si="307"/>
        <v>0</v>
      </c>
    </row>
    <row r="1005" spans="1:15" s="38" customFormat="1" ht="12" customHeight="1" outlineLevel="1" thickBot="1" x14ac:dyDescent="0.3">
      <c r="A1005" s="125"/>
      <c r="B1005" s="143"/>
      <c r="C1005" s="131"/>
      <c r="D1005" s="131"/>
      <c r="E1005" s="131"/>
      <c r="F1005" s="131"/>
      <c r="G1005" s="60" t="s">
        <v>131</v>
      </c>
      <c r="H1005" s="134"/>
      <c r="I1005" s="134"/>
      <c r="J1005" s="60"/>
      <c r="K1005" s="60"/>
      <c r="L1005" s="60"/>
      <c r="M1005" s="60"/>
      <c r="N1005" s="60">
        <f t="shared" si="306"/>
        <v>0</v>
      </c>
      <c r="O1005" s="60">
        <f t="shared" si="307"/>
        <v>0</v>
      </c>
    </row>
    <row r="1006" spans="1:15" s="38" customFormat="1" ht="14.45" customHeight="1" outlineLevel="1" x14ac:dyDescent="0.25">
      <c r="A1006" s="140" t="s">
        <v>808</v>
      </c>
      <c r="B1006" s="141" t="s">
        <v>809</v>
      </c>
      <c r="C1006" s="130">
        <f>SUM(N1006:N1012)</f>
        <v>0</v>
      </c>
      <c r="D1006" s="130">
        <f>SUM(O1006:O1012)</f>
        <v>0</v>
      </c>
      <c r="E1006" s="130">
        <f t="shared" si="293"/>
        <v>0</v>
      </c>
      <c r="F1006" s="130"/>
      <c r="G1006" s="60" t="s">
        <v>125</v>
      </c>
      <c r="H1006" s="123"/>
      <c r="I1006" s="123"/>
      <c r="J1006" s="60"/>
      <c r="K1006" s="60"/>
      <c r="L1006" s="60"/>
      <c r="M1006" s="60"/>
      <c r="N1006" s="60">
        <f>M1006*J1006*K1006*L1006</f>
        <v>0</v>
      </c>
      <c r="O1006" s="60">
        <f>J1006*K1006*L1006</f>
        <v>0</v>
      </c>
    </row>
    <row r="1007" spans="1:15" s="38" customFormat="1" ht="11.45" customHeight="1" outlineLevel="1" x14ac:dyDescent="0.25">
      <c r="A1007" s="124"/>
      <c r="B1007" s="142"/>
      <c r="C1007" s="115"/>
      <c r="D1007" s="115"/>
      <c r="E1007" s="115"/>
      <c r="F1007" s="115"/>
      <c r="G1007" s="60" t="s">
        <v>126</v>
      </c>
      <c r="H1007" s="124"/>
      <c r="I1007" s="124"/>
      <c r="J1007" s="60"/>
      <c r="K1007" s="60"/>
      <c r="L1007" s="60"/>
      <c r="M1007" s="60"/>
      <c r="N1007" s="60">
        <f t="shared" ref="N1007:N1012" si="308">M1007*J1007*K1007*L1007</f>
        <v>0</v>
      </c>
      <c r="O1007" s="60">
        <f t="shared" ref="O1007:O1012" si="309">J1007*K1007*L1007</f>
        <v>0</v>
      </c>
    </row>
    <row r="1008" spans="1:15" s="38" customFormat="1" ht="10.7" customHeight="1" outlineLevel="1" x14ac:dyDescent="0.25">
      <c r="A1008" s="124"/>
      <c r="B1008" s="142"/>
      <c r="C1008" s="115"/>
      <c r="D1008" s="115"/>
      <c r="E1008" s="115"/>
      <c r="F1008" s="115"/>
      <c r="G1008" s="60" t="s">
        <v>127</v>
      </c>
      <c r="H1008" s="124"/>
      <c r="I1008" s="124"/>
      <c r="J1008" s="60"/>
      <c r="K1008" s="60"/>
      <c r="L1008" s="60"/>
      <c r="M1008" s="60"/>
      <c r="N1008" s="60">
        <f t="shared" si="308"/>
        <v>0</v>
      </c>
      <c r="O1008" s="60">
        <f t="shared" si="309"/>
        <v>0</v>
      </c>
    </row>
    <row r="1009" spans="1:15" s="38" customFormat="1" ht="10.7" customHeight="1" outlineLevel="1" x14ac:dyDescent="0.25">
      <c r="A1009" s="124"/>
      <c r="B1009" s="142"/>
      <c r="C1009" s="115"/>
      <c r="D1009" s="115"/>
      <c r="E1009" s="115"/>
      <c r="F1009" s="115"/>
      <c r="G1009" s="60" t="s">
        <v>128</v>
      </c>
      <c r="H1009" s="124"/>
      <c r="I1009" s="124"/>
      <c r="J1009" s="60"/>
      <c r="K1009" s="60"/>
      <c r="L1009" s="60"/>
      <c r="M1009" s="60"/>
      <c r="N1009" s="60">
        <f t="shared" si="308"/>
        <v>0</v>
      </c>
      <c r="O1009" s="60">
        <f t="shared" si="309"/>
        <v>0</v>
      </c>
    </row>
    <row r="1010" spans="1:15" s="38" customFormat="1" ht="10.7" customHeight="1" outlineLevel="1" x14ac:dyDescent="0.25">
      <c r="A1010" s="124"/>
      <c r="B1010" s="142"/>
      <c r="C1010" s="115"/>
      <c r="D1010" s="115"/>
      <c r="E1010" s="115"/>
      <c r="F1010" s="115"/>
      <c r="G1010" s="60" t="s">
        <v>129</v>
      </c>
      <c r="H1010" s="124"/>
      <c r="I1010" s="124"/>
      <c r="J1010" s="60"/>
      <c r="K1010" s="60"/>
      <c r="L1010" s="60"/>
      <c r="M1010" s="60"/>
      <c r="N1010" s="60">
        <f t="shared" si="308"/>
        <v>0</v>
      </c>
      <c r="O1010" s="60">
        <f t="shared" si="309"/>
        <v>0</v>
      </c>
    </row>
    <row r="1011" spans="1:15" s="38" customFormat="1" ht="10.7" customHeight="1" outlineLevel="1" x14ac:dyDescent="0.25">
      <c r="A1011" s="124"/>
      <c r="B1011" s="142"/>
      <c r="C1011" s="115"/>
      <c r="D1011" s="115"/>
      <c r="E1011" s="115"/>
      <c r="F1011" s="115"/>
      <c r="G1011" s="60" t="s">
        <v>130</v>
      </c>
      <c r="H1011" s="124"/>
      <c r="I1011" s="124"/>
      <c r="J1011" s="60"/>
      <c r="K1011" s="60"/>
      <c r="L1011" s="60"/>
      <c r="M1011" s="60"/>
      <c r="N1011" s="60">
        <f t="shared" si="308"/>
        <v>0</v>
      </c>
      <c r="O1011" s="60">
        <f t="shared" si="309"/>
        <v>0</v>
      </c>
    </row>
    <row r="1012" spans="1:15" s="38" customFormat="1" ht="12" customHeight="1" outlineLevel="1" thickBot="1" x14ac:dyDescent="0.3">
      <c r="A1012" s="125"/>
      <c r="B1012" s="143"/>
      <c r="C1012" s="131"/>
      <c r="D1012" s="131"/>
      <c r="E1012" s="131"/>
      <c r="F1012" s="131"/>
      <c r="G1012" s="60" t="s">
        <v>131</v>
      </c>
      <c r="H1012" s="134"/>
      <c r="I1012" s="134"/>
      <c r="J1012" s="60"/>
      <c r="K1012" s="60"/>
      <c r="L1012" s="60"/>
      <c r="M1012" s="60"/>
      <c r="N1012" s="60">
        <f t="shared" si="308"/>
        <v>0</v>
      </c>
      <c r="O1012" s="60">
        <f t="shared" si="309"/>
        <v>0</v>
      </c>
    </row>
    <row r="1013" spans="1:15" s="38" customFormat="1" ht="14.45" customHeight="1" outlineLevel="1" x14ac:dyDescent="0.25">
      <c r="A1013" s="140" t="s">
        <v>810</v>
      </c>
      <c r="B1013" s="141" t="s">
        <v>811</v>
      </c>
      <c r="C1013" s="130">
        <f>SUM(N1013:N1019)</f>
        <v>0</v>
      </c>
      <c r="D1013" s="130">
        <f>SUM(O1013:O1019)</f>
        <v>0</v>
      </c>
      <c r="E1013" s="130">
        <f t="shared" si="293"/>
        <v>0</v>
      </c>
      <c r="F1013" s="130"/>
      <c r="G1013" s="60" t="s">
        <v>125</v>
      </c>
      <c r="H1013" s="123"/>
      <c r="I1013" s="123"/>
      <c r="J1013" s="60"/>
      <c r="K1013" s="60"/>
      <c r="L1013" s="60"/>
      <c r="M1013" s="60"/>
      <c r="N1013" s="60">
        <f>M1013*J1013*K1013*L1013</f>
        <v>0</v>
      </c>
      <c r="O1013" s="60">
        <f>J1013*K1013*L1013</f>
        <v>0</v>
      </c>
    </row>
    <row r="1014" spans="1:15" s="38" customFormat="1" ht="11.45" customHeight="1" outlineLevel="1" x14ac:dyDescent="0.25">
      <c r="A1014" s="124"/>
      <c r="B1014" s="142"/>
      <c r="C1014" s="115"/>
      <c r="D1014" s="115"/>
      <c r="E1014" s="115"/>
      <c r="F1014" s="115"/>
      <c r="G1014" s="60" t="s">
        <v>126</v>
      </c>
      <c r="H1014" s="124"/>
      <c r="I1014" s="124"/>
      <c r="J1014" s="60"/>
      <c r="K1014" s="60"/>
      <c r="L1014" s="60"/>
      <c r="M1014" s="60"/>
      <c r="N1014" s="60">
        <f t="shared" ref="N1014:N1019" si="310">M1014*J1014*K1014*L1014</f>
        <v>0</v>
      </c>
      <c r="O1014" s="60">
        <f t="shared" ref="O1014:O1019" si="311">J1014*K1014*L1014</f>
        <v>0</v>
      </c>
    </row>
    <row r="1015" spans="1:15" s="38" customFormat="1" ht="10.7" customHeight="1" outlineLevel="1" x14ac:dyDescent="0.25">
      <c r="A1015" s="124"/>
      <c r="B1015" s="142"/>
      <c r="C1015" s="115"/>
      <c r="D1015" s="115"/>
      <c r="E1015" s="115"/>
      <c r="F1015" s="115"/>
      <c r="G1015" s="60" t="s">
        <v>127</v>
      </c>
      <c r="H1015" s="124"/>
      <c r="I1015" s="124"/>
      <c r="J1015" s="60"/>
      <c r="K1015" s="60"/>
      <c r="L1015" s="60"/>
      <c r="M1015" s="60"/>
      <c r="N1015" s="60">
        <f t="shared" si="310"/>
        <v>0</v>
      </c>
      <c r="O1015" s="60">
        <f t="shared" si="311"/>
        <v>0</v>
      </c>
    </row>
    <row r="1016" spans="1:15" s="38" customFormat="1" ht="10.7" customHeight="1" outlineLevel="1" x14ac:dyDescent="0.25">
      <c r="A1016" s="124"/>
      <c r="B1016" s="142"/>
      <c r="C1016" s="115"/>
      <c r="D1016" s="115"/>
      <c r="E1016" s="115"/>
      <c r="F1016" s="115"/>
      <c r="G1016" s="60" t="s">
        <v>128</v>
      </c>
      <c r="H1016" s="124"/>
      <c r="I1016" s="124"/>
      <c r="J1016" s="60"/>
      <c r="K1016" s="60"/>
      <c r="L1016" s="60"/>
      <c r="M1016" s="60"/>
      <c r="N1016" s="60">
        <f t="shared" si="310"/>
        <v>0</v>
      </c>
      <c r="O1016" s="60">
        <f t="shared" si="311"/>
        <v>0</v>
      </c>
    </row>
    <row r="1017" spans="1:15" s="38" customFormat="1" ht="10.7" customHeight="1" outlineLevel="1" x14ac:dyDescent="0.25">
      <c r="A1017" s="124"/>
      <c r="B1017" s="142"/>
      <c r="C1017" s="115"/>
      <c r="D1017" s="115"/>
      <c r="E1017" s="115"/>
      <c r="F1017" s="115"/>
      <c r="G1017" s="60" t="s">
        <v>129</v>
      </c>
      <c r="H1017" s="124"/>
      <c r="I1017" s="124"/>
      <c r="J1017" s="60"/>
      <c r="K1017" s="60"/>
      <c r="L1017" s="60"/>
      <c r="M1017" s="60"/>
      <c r="N1017" s="60">
        <f t="shared" si="310"/>
        <v>0</v>
      </c>
      <c r="O1017" s="60">
        <f t="shared" si="311"/>
        <v>0</v>
      </c>
    </row>
    <row r="1018" spans="1:15" s="38" customFormat="1" ht="10.7" customHeight="1" outlineLevel="1" x14ac:dyDescent="0.25">
      <c r="A1018" s="124"/>
      <c r="B1018" s="142"/>
      <c r="C1018" s="115"/>
      <c r="D1018" s="115"/>
      <c r="E1018" s="115"/>
      <c r="F1018" s="115"/>
      <c r="G1018" s="60" t="s">
        <v>130</v>
      </c>
      <c r="H1018" s="124"/>
      <c r="I1018" s="124"/>
      <c r="J1018" s="60"/>
      <c r="K1018" s="60"/>
      <c r="L1018" s="60"/>
      <c r="M1018" s="60"/>
      <c r="N1018" s="60">
        <f t="shared" si="310"/>
        <v>0</v>
      </c>
      <c r="O1018" s="60">
        <f t="shared" si="311"/>
        <v>0</v>
      </c>
    </row>
    <row r="1019" spans="1:15" s="38" customFormat="1" ht="12" customHeight="1" outlineLevel="1" thickBot="1" x14ac:dyDescent="0.3">
      <c r="A1019" s="125"/>
      <c r="B1019" s="143"/>
      <c r="C1019" s="131"/>
      <c r="D1019" s="131"/>
      <c r="E1019" s="131"/>
      <c r="F1019" s="131"/>
      <c r="G1019" s="60" t="s">
        <v>131</v>
      </c>
      <c r="H1019" s="134"/>
      <c r="I1019" s="134"/>
      <c r="J1019" s="60"/>
      <c r="K1019" s="60"/>
      <c r="L1019" s="60"/>
      <c r="M1019" s="60"/>
      <c r="N1019" s="60">
        <f t="shared" si="310"/>
        <v>0</v>
      </c>
      <c r="O1019" s="60">
        <f t="shared" si="311"/>
        <v>0</v>
      </c>
    </row>
    <row r="1020" spans="1:15" s="38" customFormat="1" ht="14.45" customHeight="1" outlineLevel="1" x14ac:dyDescent="0.25">
      <c r="A1020" s="140" t="s">
        <v>812</v>
      </c>
      <c r="B1020" s="141" t="s">
        <v>813</v>
      </c>
      <c r="C1020" s="130">
        <f>SUM(N1020:N1026)</f>
        <v>0</v>
      </c>
      <c r="D1020" s="130">
        <f>SUM(O1020:O1026)</f>
        <v>0</v>
      </c>
      <c r="E1020" s="130">
        <f t="shared" si="293"/>
        <v>0</v>
      </c>
      <c r="F1020" s="130"/>
      <c r="G1020" s="60" t="s">
        <v>125</v>
      </c>
      <c r="H1020" s="123"/>
      <c r="I1020" s="123"/>
      <c r="J1020" s="60"/>
      <c r="K1020" s="60"/>
      <c r="L1020" s="60"/>
      <c r="M1020" s="60"/>
      <c r="N1020" s="60">
        <f>M1020*J1020*K1020*L1020</f>
        <v>0</v>
      </c>
      <c r="O1020" s="60">
        <f>J1020*K1020*L1020</f>
        <v>0</v>
      </c>
    </row>
    <row r="1021" spans="1:15" s="38" customFormat="1" ht="11.45" customHeight="1" outlineLevel="1" x14ac:dyDescent="0.25">
      <c r="A1021" s="124"/>
      <c r="B1021" s="142"/>
      <c r="C1021" s="115"/>
      <c r="D1021" s="115"/>
      <c r="E1021" s="115"/>
      <c r="F1021" s="115"/>
      <c r="G1021" s="60" t="s">
        <v>126</v>
      </c>
      <c r="H1021" s="124"/>
      <c r="I1021" s="124"/>
      <c r="J1021" s="60"/>
      <c r="K1021" s="60"/>
      <c r="L1021" s="60"/>
      <c r="M1021" s="60"/>
      <c r="N1021" s="60">
        <f t="shared" ref="N1021:N1026" si="312">M1021*J1021*K1021*L1021</f>
        <v>0</v>
      </c>
      <c r="O1021" s="60">
        <f t="shared" ref="O1021:O1026" si="313">J1021*K1021*L1021</f>
        <v>0</v>
      </c>
    </row>
    <row r="1022" spans="1:15" s="38" customFormat="1" ht="10.7" customHeight="1" outlineLevel="1" x14ac:dyDescent="0.25">
      <c r="A1022" s="124"/>
      <c r="B1022" s="142"/>
      <c r="C1022" s="115"/>
      <c r="D1022" s="115"/>
      <c r="E1022" s="115"/>
      <c r="F1022" s="115"/>
      <c r="G1022" s="60" t="s">
        <v>127</v>
      </c>
      <c r="H1022" s="124"/>
      <c r="I1022" s="124"/>
      <c r="J1022" s="60"/>
      <c r="K1022" s="60"/>
      <c r="L1022" s="60"/>
      <c r="M1022" s="60"/>
      <c r="N1022" s="60">
        <f t="shared" si="312"/>
        <v>0</v>
      </c>
      <c r="O1022" s="60">
        <f t="shared" si="313"/>
        <v>0</v>
      </c>
    </row>
    <row r="1023" spans="1:15" s="38" customFormat="1" ht="10.7" customHeight="1" outlineLevel="1" x14ac:dyDescent="0.25">
      <c r="A1023" s="124"/>
      <c r="B1023" s="142"/>
      <c r="C1023" s="115"/>
      <c r="D1023" s="115"/>
      <c r="E1023" s="115"/>
      <c r="F1023" s="115"/>
      <c r="G1023" s="60" t="s">
        <v>128</v>
      </c>
      <c r="H1023" s="124"/>
      <c r="I1023" s="124"/>
      <c r="J1023" s="60"/>
      <c r="K1023" s="60"/>
      <c r="L1023" s="60"/>
      <c r="M1023" s="60"/>
      <c r="N1023" s="60">
        <f t="shared" si="312"/>
        <v>0</v>
      </c>
      <c r="O1023" s="60">
        <f t="shared" si="313"/>
        <v>0</v>
      </c>
    </row>
    <row r="1024" spans="1:15" s="38" customFormat="1" ht="10.7" customHeight="1" outlineLevel="1" x14ac:dyDescent="0.25">
      <c r="A1024" s="124"/>
      <c r="B1024" s="142"/>
      <c r="C1024" s="115"/>
      <c r="D1024" s="115"/>
      <c r="E1024" s="115"/>
      <c r="F1024" s="115"/>
      <c r="G1024" s="60" t="s">
        <v>129</v>
      </c>
      <c r="H1024" s="124"/>
      <c r="I1024" s="124"/>
      <c r="J1024" s="60"/>
      <c r="K1024" s="60"/>
      <c r="L1024" s="60"/>
      <c r="M1024" s="60"/>
      <c r="N1024" s="60">
        <f t="shared" si="312"/>
        <v>0</v>
      </c>
      <c r="O1024" s="60">
        <f t="shared" si="313"/>
        <v>0</v>
      </c>
    </row>
    <row r="1025" spans="1:15" s="38" customFormat="1" ht="10.7" customHeight="1" outlineLevel="1" x14ac:dyDescent="0.25">
      <c r="A1025" s="124"/>
      <c r="B1025" s="142"/>
      <c r="C1025" s="115"/>
      <c r="D1025" s="115"/>
      <c r="E1025" s="115"/>
      <c r="F1025" s="115"/>
      <c r="G1025" s="60" t="s">
        <v>130</v>
      </c>
      <c r="H1025" s="124"/>
      <c r="I1025" s="124"/>
      <c r="J1025" s="60"/>
      <c r="K1025" s="60"/>
      <c r="L1025" s="60"/>
      <c r="M1025" s="60"/>
      <c r="N1025" s="60">
        <f t="shared" si="312"/>
        <v>0</v>
      </c>
      <c r="O1025" s="60">
        <f t="shared" si="313"/>
        <v>0</v>
      </c>
    </row>
    <row r="1026" spans="1:15" s="38" customFormat="1" ht="12" customHeight="1" outlineLevel="1" thickBot="1" x14ac:dyDescent="0.3">
      <c r="A1026" s="125"/>
      <c r="B1026" s="143"/>
      <c r="C1026" s="131"/>
      <c r="D1026" s="131"/>
      <c r="E1026" s="131"/>
      <c r="F1026" s="131"/>
      <c r="G1026" s="60" t="s">
        <v>131</v>
      </c>
      <c r="H1026" s="134"/>
      <c r="I1026" s="134"/>
      <c r="J1026" s="60"/>
      <c r="K1026" s="60"/>
      <c r="L1026" s="60"/>
      <c r="M1026" s="60"/>
      <c r="N1026" s="60">
        <f t="shared" si="312"/>
        <v>0</v>
      </c>
      <c r="O1026" s="60">
        <f t="shared" si="313"/>
        <v>0</v>
      </c>
    </row>
    <row r="1027" spans="1:15" s="38" customFormat="1" ht="14.45" customHeight="1" outlineLevel="1" x14ac:dyDescent="0.25">
      <c r="A1027" s="140" t="s">
        <v>814</v>
      </c>
      <c r="B1027" s="141" t="s">
        <v>815</v>
      </c>
      <c r="C1027" s="130">
        <f>SUM(N1027:N1033)</f>
        <v>0</v>
      </c>
      <c r="D1027" s="130">
        <f>SUM(O1027:O1033)</f>
        <v>0</v>
      </c>
      <c r="E1027" s="130">
        <f t="shared" ref="E1027:E1090" si="314">D1027/8</f>
        <v>0</v>
      </c>
      <c r="F1027" s="130"/>
      <c r="G1027" s="60" t="s">
        <v>125</v>
      </c>
      <c r="H1027" s="123"/>
      <c r="I1027" s="123"/>
      <c r="J1027" s="60"/>
      <c r="K1027" s="60"/>
      <c r="L1027" s="60"/>
      <c r="M1027" s="60"/>
      <c r="N1027" s="60">
        <f>M1027*J1027*K1027*L1027</f>
        <v>0</v>
      </c>
      <c r="O1027" s="60">
        <f>J1027*K1027*L1027</f>
        <v>0</v>
      </c>
    </row>
    <row r="1028" spans="1:15" s="38" customFormat="1" ht="11.45" customHeight="1" outlineLevel="1" x14ac:dyDescent="0.25">
      <c r="A1028" s="124"/>
      <c r="B1028" s="142"/>
      <c r="C1028" s="115"/>
      <c r="D1028" s="115"/>
      <c r="E1028" s="115"/>
      <c r="F1028" s="115"/>
      <c r="G1028" s="60" t="s">
        <v>126</v>
      </c>
      <c r="H1028" s="124"/>
      <c r="I1028" s="124"/>
      <c r="J1028" s="60"/>
      <c r="K1028" s="60"/>
      <c r="L1028" s="60"/>
      <c r="M1028" s="60"/>
      <c r="N1028" s="60">
        <f t="shared" ref="N1028:N1033" si="315">M1028*J1028*K1028*L1028</f>
        <v>0</v>
      </c>
      <c r="O1028" s="60">
        <f t="shared" ref="O1028:O1033" si="316">J1028*K1028*L1028</f>
        <v>0</v>
      </c>
    </row>
    <row r="1029" spans="1:15" s="38" customFormat="1" ht="10.7" customHeight="1" outlineLevel="1" x14ac:dyDescent="0.25">
      <c r="A1029" s="124"/>
      <c r="B1029" s="142"/>
      <c r="C1029" s="115"/>
      <c r="D1029" s="115"/>
      <c r="E1029" s="115"/>
      <c r="F1029" s="115"/>
      <c r="G1029" s="60" t="s">
        <v>127</v>
      </c>
      <c r="H1029" s="124"/>
      <c r="I1029" s="124"/>
      <c r="J1029" s="60"/>
      <c r="K1029" s="60"/>
      <c r="L1029" s="60"/>
      <c r="M1029" s="60"/>
      <c r="N1029" s="60">
        <f t="shared" si="315"/>
        <v>0</v>
      </c>
      <c r="O1029" s="60">
        <f t="shared" si="316"/>
        <v>0</v>
      </c>
    </row>
    <row r="1030" spans="1:15" s="38" customFormat="1" ht="10.7" customHeight="1" outlineLevel="1" x14ac:dyDescent="0.25">
      <c r="A1030" s="124"/>
      <c r="B1030" s="142"/>
      <c r="C1030" s="115"/>
      <c r="D1030" s="115"/>
      <c r="E1030" s="115"/>
      <c r="F1030" s="115"/>
      <c r="G1030" s="60" t="s">
        <v>128</v>
      </c>
      <c r="H1030" s="124"/>
      <c r="I1030" s="124"/>
      <c r="J1030" s="60"/>
      <c r="K1030" s="60"/>
      <c r="L1030" s="60"/>
      <c r="M1030" s="60"/>
      <c r="N1030" s="60">
        <f t="shared" si="315"/>
        <v>0</v>
      </c>
      <c r="O1030" s="60">
        <f t="shared" si="316"/>
        <v>0</v>
      </c>
    </row>
    <row r="1031" spans="1:15" s="38" customFormat="1" ht="10.7" customHeight="1" outlineLevel="1" x14ac:dyDescent="0.25">
      <c r="A1031" s="124"/>
      <c r="B1031" s="142"/>
      <c r="C1031" s="115"/>
      <c r="D1031" s="115"/>
      <c r="E1031" s="115"/>
      <c r="F1031" s="115"/>
      <c r="G1031" s="60" t="s">
        <v>129</v>
      </c>
      <c r="H1031" s="124"/>
      <c r="I1031" s="124"/>
      <c r="J1031" s="60"/>
      <c r="K1031" s="60"/>
      <c r="L1031" s="60"/>
      <c r="M1031" s="60"/>
      <c r="N1031" s="60">
        <f t="shared" si="315"/>
        <v>0</v>
      </c>
      <c r="O1031" s="60">
        <f t="shared" si="316"/>
        <v>0</v>
      </c>
    </row>
    <row r="1032" spans="1:15" s="38" customFormat="1" ht="10.7" customHeight="1" outlineLevel="1" x14ac:dyDescent="0.25">
      <c r="A1032" s="124"/>
      <c r="B1032" s="142"/>
      <c r="C1032" s="115"/>
      <c r="D1032" s="115"/>
      <c r="E1032" s="115"/>
      <c r="F1032" s="115"/>
      <c r="G1032" s="60" t="s">
        <v>130</v>
      </c>
      <c r="H1032" s="124"/>
      <c r="I1032" s="124"/>
      <c r="J1032" s="60"/>
      <c r="K1032" s="60"/>
      <c r="L1032" s="60"/>
      <c r="M1032" s="60"/>
      <c r="N1032" s="60">
        <f t="shared" si="315"/>
        <v>0</v>
      </c>
      <c r="O1032" s="60">
        <f t="shared" si="316"/>
        <v>0</v>
      </c>
    </row>
    <row r="1033" spans="1:15" s="38" customFormat="1" ht="12" customHeight="1" outlineLevel="1" thickBot="1" x14ac:dyDescent="0.3">
      <c r="A1033" s="125"/>
      <c r="B1033" s="143"/>
      <c r="C1033" s="131"/>
      <c r="D1033" s="131"/>
      <c r="E1033" s="131"/>
      <c r="F1033" s="131"/>
      <c r="G1033" s="60" t="s">
        <v>131</v>
      </c>
      <c r="H1033" s="134"/>
      <c r="I1033" s="134"/>
      <c r="J1033" s="60"/>
      <c r="K1033" s="60"/>
      <c r="L1033" s="60"/>
      <c r="M1033" s="60"/>
      <c r="N1033" s="60">
        <f t="shared" si="315"/>
        <v>0</v>
      </c>
      <c r="O1033" s="60">
        <f t="shared" si="316"/>
        <v>0</v>
      </c>
    </row>
    <row r="1034" spans="1:15" s="38" customFormat="1" ht="14.45" customHeight="1" outlineLevel="1" x14ac:dyDescent="0.25">
      <c r="A1034" s="140" t="s">
        <v>816</v>
      </c>
      <c r="B1034" s="141" t="s">
        <v>817</v>
      </c>
      <c r="C1034" s="130">
        <f>SUM(N1034:N1040)</f>
        <v>0</v>
      </c>
      <c r="D1034" s="130">
        <f>SUM(O1034:O1040)</f>
        <v>0</v>
      </c>
      <c r="E1034" s="130">
        <f t="shared" si="314"/>
        <v>0</v>
      </c>
      <c r="F1034" s="130"/>
      <c r="G1034" s="60" t="s">
        <v>125</v>
      </c>
      <c r="H1034" s="123"/>
      <c r="I1034" s="123"/>
      <c r="J1034" s="60"/>
      <c r="K1034" s="60"/>
      <c r="L1034" s="60"/>
      <c r="M1034" s="60"/>
      <c r="N1034" s="60">
        <f>M1034*J1034*K1034*L1034</f>
        <v>0</v>
      </c>
      <c r="O1034" s="60">
        <f>J1034*K1034*L1034</f>
        <v>0</v>
      </c>
    </row>
    <row r="1035" spans="1:15" s="38" customFormat="1" ht="11.45" customHeight="1" outlineLevel="1" x14ac:dyDescent="0.25">
      <c r="A1035" s="124"/>
      <c r="B1035" s="142"/>
      <c r="C1035" s="115"/>
      <c r="D1035" s="115"/>
      <c r="E1035" s="115"/>
      <c r="F1035" s="115"/>
      <c r="G1035" s="60" t="s">
        <v>126</v>
      </c>
      <c r="H1035" s="124"/>
      <c r="I1035" s="124"/>
      <c r="J1035" s="60"/>
      <c r="K1035" s="60"/>
      <c r="L1035" s="60"/>
      <c r="M1035" s="60"/>
      <c r="N1035" s="60">
        <f t="shared" ref="N1035:N1040" si="317">M1035*J1035*K1035*L1035</f>
        <v>0</v>
      </c>
      <c r="O1035" s="60">
        <f t="shared" ref="O1035:O1040" si="318">J1035*K1035*L1035</f>
        <v>0</v>
      </c>
    </row>
    <row r="1036" spans="1:15" s="38" customFormat="1" ht="10.7" customHeight="1" outlineLevel="1" x14ac:dyDescent="0.25">
      <c r="A1036" s="124"/>
      <c r="B1036" s="142"/>
      <c r="C1036" s="115"/>
      <c r="D1036" s="115"/>
      <c r="E1036" s="115"/>
      <c r="F1036" s="115"/>
      <c r="G1036" s="60" t="s">
        <v>127</v>
      </c>
      <c r="H1036" s="124"/>
      <c r="I1036" s="124"/>
      <c r="J1036" s="60"/>
      <c r="K1036" s="60"/>
      <c r="L1036" s="60"/>
      <c r="M1036" s="60"/>
      <c r="N1036" s="60">
        <f t="shared" si="317"/>
        <v>0</v>
      </c>
      <c r="O1036" s="60">
        <f t="shared" si="318"/>
        <v>0</v>
      </c>
    </row>
    <row r="1037" spans="1:15" s="38" customFormat="1" ht="10.7" customHeight="1" outlineLevel="1" x14ac:dyDescent="0.25">
      <c r="A1037" s="124"/>
      <c r="B1037" s="142"/>
      <c r="C1037" s="115"/>
      <c r="D1037" s="115"/>
      <c r="E1037" s="115"/>
      <c r="F1037" s="115"/>
      <c r="G1037" s="60" t="s">
        <v>128</v>
      </c>
      <c r="H1037" s="124"/>
      <c r="I1037" s="124"/>
      <c r="J1037" s="60"/>
      <c r="K1037" s="60"/>
      <c r="L1037" s="60"/>
      <c r="M1037" s="60"/>
      <c r="N1037" s="60">
        <f t="shared" si="317"/>
        <v>0</v>
      </c>
      <c r="O1037" s="60">
        <f t="shared" si="318"/>
        <v>0</v>
      </c>
    </row>
    <row r="1038" spans="1:15" s="38" customFormat="1" ht="10.7" customHeight="1" outlineLevel="1" x14ac:dyDescent="0.25">
      <c r="A1038" s="124"/>
      <c r="B1038" s="142"/>
      <c r="C1038" s="115"/>
      <c r="D1038" s="115"/>
      <c r="E1038" s="115"/>
      <c r="F1038" s="115"/>
      <c r="G1038" s="60" t="s">
        <v>129</v>
      </c>
      <c r="H1038" s="124"/>
      <c r="I1038" s="124"/>
      <c r="J1038" s="60"/>
      <c r="K1038" s="60"/>
      <c r="L1038" s="60"/>
      <c r="M1038" s="60"/>
      <c r="N1038" s="60">
        <f t="shared" si="317"/>
        <v>0</v>
      </c>
      <c r="O1038" s="60">
        <f t="shared" si="318"/>
        <v>0</v>
      </c>
    </row>
    <row r="1039" spans="1:15" s="38" customFormat="1" ht="10.7" customHeight="1" outlineLevel="1" x14ac:dyDescent="0.25">
      <c r="A1039" s="124"/>
      <c r="B1039" s="142"/>
      <c r="C1039" s="115"/>
      <c r="D1039" s="115"/>
      <c r="E1039" s="115"/>
      <c r="F1039" s="115"/>
      <c r="G1039" s="60" t="s">
        <v>130</v>
      </c>
      <c r="H1039" s="124"/>
      <c r="I1039" s="124"/>
      <c r="J1039" s="60"/>
      <c r="K1039" s="60"/>
      <c r="L1039" s="60"/>
      <c r="M1039" s="60"/>
      <c r="N1039" s="60">
        <f t="shared" si="317"/>
        <v>0</v>
      </c>
      <c r="O1039" s="60">
        <f t="shared" si="318"/>
        <v>0</v>
      </c>
    </row>
    <row r="1040" spans="1:15" s="38" customFormat="1" ht="12" customHeight="1" outlineLevel="1" thickBot="1" x14ac:dyDescent="0.3">
      <c r="A1040" s="125"/>
      <c r="B1040" s="143"/>
      <c r="C1040" s="131"/>
      <c r="D1040" s="131"/>
      <c r="E1040" s="131"/>
      <c r="F1040" s="131"/>
      <c r="G1040" s="60" t="s">
        <v>131</v>
      </c>
      <c r="H1040" s="134"/>
      <c r="I1040" s="134"/>
      <c r="J1040" s="60"/>
      <c r="K1040" s="60"/>
      <c r="L1040" s="60"/>
      <c r="M1040" s="60"/>
      <c r="N1040" s="60">
        <f t="shared" si="317"/>
        <v>0</v>
      </c>
      <c r="O1040" s="60">
        <f t="shared" si="318"/>
        <v>0</v>
      </c>
    </row>
    <row r="1041" spans="1:15" s="38" customFormat="1" ht="14.45" customHeight="1" outlineLevel="1" x14ac:dyDescent="0.25">
      <c r="A1041" s="140" t="s">
        <v>818</v>
      </c>
      <c r="B1041" s="141" t="s">
        <v>819</v>
      </c>
      <c r="C1041" s="130">
        <f>SUM(N1041:N1047)</f>
        <v>0</v>
      </c>
      <c r="D1041" s="130">
        <f>SUM(O1041:O1047)</f>
        <v>0</v>
      </c>
      <c r="E1041" s="130">
        <f t="shared" si="314"/>
        <v>0</v>
      </c>
      <c r="F1041" s="130"/>
      <c r="G1041" s="60" t="s">
        <v>125</v>
      </c>
      <c r="H1041" s="123"/>
      <c r="I1041" s="123"/>
      <c r="J1041" s="60"/>
      <c r="K1041" s="60"/>
      <c r="L1041" s="60"/>
      <c r="M1041" s="60"/>
      <c r="N1041" s="60">
        <f>M1041*J1041*K1041*L1041</f>
        <v>0</v>
      </c>
      <c r="O1041" s="60">
        <f>J1041*K1041*L1041</f>
        <v>0</v>
      </c>
    </row>
    <row r="1042" spans="1:15" s="38" customFormat="1" ht="11.45" customHeight="1" outlineLevel="1" x14ac:dyDescent="0.25">
      <c r="A1042" s="124"/>
      <c r="B1042" s="142"/>
      <c r="C1042" s="115"/>
      <c r="D1042" s="115"/>
      <c r="E1042" s="115"/>
      <c r="F1042" s="115"/>
      <c r="G1042" s="60" t="s">
        <v>126</v>
      </c>
      <c r="H1042" s="124"/>
      <c r="I1042" s="124"/>
      <c r="J1042" s="60"/>
      <c r="K1042" s="60"/>
      <c r="L1042" s="60"/>
      <c r="M1042" s="60"/>
      <c r="N1042" s="60">
        <f t="shared" ref="N1042:N1047" si="319">M1042*J1042*K1042*L1042</f>
        <v>0</v>
      </c>
      <c r="O1042" s="60">
        <f t="shared" ref="O1042:O1047" si="320">J1042*K1042*L1042</f>
        <v>0</v>
      </c>
    </row>
    <row r="1043" spans="1:15" s="38" customFormat="1" ht="10.7" customHeight="1" outlineLevel="1" x14ac:dyDescent="0.25">
      <c r="A1043" s="124"/>
      <c r="B1043" s="142"/>
      <c r="C1043" s="115"/>
      <c r="D1043" s="115"/>
      <c r="E1043" s="115"/>
      <c r="F1043" s="115"/>
      <c r="G1043" s="60" t="s">
        <v>127</v>
      </c>
      <c r="H1043" s="124"/>
      <c r="I1043" s="124"/>
      <c r="J1043" s="60"/>
      <c r="K1043" s="60"/>
      <c r="L1043" s="60"/>
      <c r="M1043" s="60"/>
      <c r="N1043" s="60">
        <f t="shared" si="319"/>
        <v>0</v>
      </c>
      <c r="O1043" s="60">
        <f t="shared" si="320"/>
        <v>0</v>
      </c>
    </row>
    <row r="1044" spans="1:15" s="38" customFormat="1" ht="10.7" customHeight="1" outlineLevel="1" x14ac:dyDescent="0.25">
      <c r="A1044" s="124"/>
      <c r="B1044" s="142"/>
      <c r="C1044" s="115"/>
      <c r="D1044" s="115"/>
      <c r="E1044" s="115"/>
      <c r="F1044" s="115"/>
      <c r="G1044" s="60" t="s">
        <v>128</v>
      </c>
      <c r="H1044" s="124"/>
      <c r="I1044" s="124"/>
      <c r="J1044" s="60"/>
      <c r="K1044" s="60"/>
      <c r="L1044" s="60"/>
      <c r="M1044" s="60"/>
      <c r="N1044" s="60">
        <f t="shared" si="319"/>
        <v>0</v>
      </c>
      <c r="O1044" s="60">
        <f t="shared" si="320"/>
        <v>0</v>
      </c>
    </row>
    <row r="1045" spans="1:15" s="38" customFormat="1" ht="10.7" customHeight="1" outlineLevel="1" x14ac:dyDescent="0.25">
      <c r="A1045" s="124"/>
      <c r="B1045" s="142"/>
      <c r="C1045" s="115"/>
      <c r="D1045" s="115"/>
      <c r="E1045" s="115"/>
      <c r="F1045" s="115"/>
      <c r="G1045" s="60" t="s">
        <v>129</v>
      </c>
      <c r="H1045" s="124"/>
      <c r="I1045" s="124"/>
      <c r="J1045" s="60"/>
      <c r="K1045" s="60"/>
      <c r="L1045" s="60"/>
      <c r="M1045" s="60"/>
      <c r="N1045" s="60">
        <f t="shared" si="319"/>
        <v>0</v>
      </c>
      <c r="O1045" s="60">
        <f t="shared" si="320"/>
        <v>0</v>
      </c>
    </row>
    <row r="1046" spans="1:15" s="38" customFormat="1" ht="10.7" customHeight="1" outlineLevel="1" x14ac:dyDescent="0.25">
      <c r="A1046" s="124"/>
      <c r="B1046" s="142"/>
      <c r="C1046" s="115"/>
      <c r="D1046" s="115"/>
      <c r="E1046" s="115"/>
      <c r="F1046" s="115"/>
      <c r="G1046" s="60" t="s">
        <v>130</v>
      </c>
      <c r="H1046" s="124"/>
      <c r="I1046" s="124"/>
      <c r="J1046" s="60"/>
      <c r="K1046" s="60"/>
      <c r="L1046" s="60"/>
      <c r="M1046" s="60"/>
      <c r="N1046" s="60">
        <f t="shared" si="319"/>
        <v>0</v>
      </c>
      <c r="O1046" s="60">
        <f t="shared" si="320"/>
        <v>0</v>
      </c>
    </row>
    <row r="1047" spans="1:15" s="38" customFormat="1" ht="12" customHeight="1" outlineLevel="1" thickBot="1" x14ac:dyDescent="0.3">
      <c r="A1047" s="125"/>
      <c r="B1047" s="143"/>
      <c r="C1047" s="131"/>
      <c r="D1047" s="131"/>
      <c r="E1047" s="131"/>
      <c r="F1047" s="131"/>
      <c r="G1047" s="60" t="s">
        <v>131</v>
      </c>
      <c r="H1047" s="134"/>
      <c r="I1047" s="134"/>
      <c r="J1047" s="60"/>
      <c r="K1047" s="60"/>
      <c r="L1047" s="60"/>
      <c r="M1047" s="60"/>
      <c r="N1047" s="60">
        <f t="shared" si="319"/>
        <v>0</v>
      </c>
      <c r="O1047" s="60">
        <f t="shared" si="320"/>
        <v>0</v>
      </c>
    </row>
    <row r="1048" spans="1:15" s="38" customFormat="1" ht="14.45" customHeight="1" outlineLevel="1" x14ac:dyDescent="0.25">
      <c r="A1048" s="140" t="s">
        <v>820</v>
      </c>
      <c r="B1048" s="141" t="s">
        <v>821</v>
      </c>
      <c r="C1048" s="130">
        <f>SUM(N1048:N1054)</f>
        <v>0</v>
      </c>
      <c r="D1048" s="130">
        <f>SUM(O1048:O1054)</f>
        <v>0</v>
      </c>
      <c r="E1048" s="130">
        <f t="shared" si="314"/>
        <v>0</v>
      </c>
      <c r="F1048" s="130"/>
      <c r="G1048" s="60" t="s">
        <v>125</v>
      </c>
      <c r="H1048" s="123"/>
      <c r="I1048" s="123"/>
      <c r="J1048" s="60"/>
      <c r="K1048" s="60"/>
      <c r="L1048" s="60"/>
      <c r="M1048" s="60"/>
      <c r="N1048" s="60">
        <f>M1048*J1048*K1048*L1048</f>
        <v>0</v>
      </c>
      <c r="O1048" s="60">
        <f>J1048*K1048*L1048</f>
        <v>0</v>
      </c>
    </row>
    <row r="1049" spans="1:15" s="38" customFormat="1" ht="11.45" customHeight="1" outlineLevel="1" x14ac:dyDescent="0.25">
      <c r="A1049" s="124"/>
      <c r="B1049" s="142"/>
      <c r="C1049" s="115"/>
      <c r="D1049" s="115"/>
      <c r="E1049" s="115"/>
      <c r="F1049" s="115"/>
      <c r="G1049" s="60" t="s">
        <v>126</v>
      </c>
      <c r="H1049" s="124"/>
      <c r="I1049" s="124"/>
      <c r="J1049" s="60"/>
      <c r="K1049" s="60"/>
      <c r="L1049" s="60"/>
      <c r="M1049" s="60"/>
      <c r="N1049" s="60">
        <f t="shared" ref="N1049:N1054" si="321">M1049*J1049*K1049*L1049</f>
        <v>0</v>
      </c>
      <c r="O1049" s="60">
        <f t="shared" ref="O1049:O1054" si="322">J1049*K1049*L1049</f>
        <v>0</v>
      </c>
    </row>
    <row r="1050" spans="1:15" s="38" customFormat="1" ht="10.7" customHeight="1" outlineLevel="1" x14ac:dyDescent="0.25">
      <c r="A1050" s="124"/>
      <c r="B1050" s="142"/>
      <c r="C1050" s="115"/>
      <c r="D1050" s="115"/>
      <c r="E1050" s="115"/>
      <c r="F1050" s="115"/>
      <c r="G1050" s="60" t="s">
        <v>127</v>
      </c>
      <c r="H1050" s="124"/>
      <c r="I1050" s="124"/>
      <c r="J1050" s="60"/>
      <c r="K1050" s="60"/>
      <c r="L1050" s="60"/>
      <c r="M1050" s="60"/>
      <c r="N1050" s="60">
        <f t="shared" si="321"/>
        <v>0</v>
      </c>
      <c r="O1050" s="60">
        <f t="shared" si="322"/>
        <v>0</v>
      </c>
    </row>
    <row r="1051" spans="1:15" s="38" customFormat="1" ht="10.7" customHeight="1" outlineLevel="1" x14ac:dyDescent="0.25">
      <c r="A1051" s="124"/>
      <c r="B1051" s="142"/>
      <c r="C1051" s="115"/>
      <c r="D1051" s="115"/>
      <c r="E1051" s="115"/>
      <c r="F1051" s="115"/>
      <c r="G1051" s="60" t="s">
        <v>128</v>
      </c>
      <c r="H1051" s="124"/>
      <c r="I1051" s="124"/>
      <c r="J1051" s="60"/>
      <c r="K1051" s="60"/>
      <c r="L1051" s="60"/>
      <c r="M1051" s="60"/>
      <c r="N1051" s="60">
        <f t="shared" si="321"/>
        <v>0</v>
      </c>
      <c r="O1051" s="60">
        <f t="shared" si="322"/>
        <v>0</v>
      </c>
    </row>
    <row r="1052" spans="1:15" s="38" customFormat="1" ht="10.7" customHeight="1" outlineLevel="1" x14ac:dyDescent="0.25">
      <c r="A1052" s="124"/>
      <c r="B1052" s="142"/>
      <c r="C1052" s="115"/>
      <c r="D1052" s="115"/>
      <c r="E1052" s="115"/>
      <c r="F1052" s="115"/>
      <c r="G1052" s="60" t="s">
        <v>129</v>
      </c>
      <c r="H1052" s="124"/>
      <c r="I1052" s="124"/>
      <c r="J1052" s="60"/>
      <c r="K1052" s="60"/>
      <c r="L1052" s="60"/>
      <c r="M1052" s="60"/>
      <c r="N1052" s="60">
        <f t="shared" si="321"/>
        <v>0</v>
      </c>
      <c r="O1052" s="60">
        <f t="shared" si="322"/>
        <v>0</v>
      </c>
    </row>
    <row r="1053" spans="1:15" s="38" customFormat="1" ht="10.7" customHeight="1" outlineLevel="1" x14ac:dyDescent="0.25">
      <c r="A1053" s="124"/>
      <c r="B1053" s="142"/>
      <c r="C1053" s="115"/>
      <c r="D1053" s="115"/>
      <c r="E1053" s="115"/>
      <c r="F1053" s="115"/>
      <c r="G1053" s="60" t="s">
        <v>130</v>
      </c>
      <c r="H1053" s="124"/>
      <c r="I1053" s="124"/>
      <c r="J1053" s="60"/>
      <c r="K1053" s="60"/>
      <c r="L1053" s="60"/>
      <c r="M1053" s="60"/>
      <c r="N1053" s="60">
        <f t="shared" si="321"/>
        <v>0</v>
      </c>
      <c r="O1053" s="60">
        <f t="shared" si="322"/>
        <v>0</v>
      </c>
    </row>
    <row r="1054" spans="1:15" s="38" customFormat="1" ht="12" customHeight="1" outlineLevel="1" thickBot="1" x14ac:dyDescent="0.3">
      <c r="A1054" s="125"/>
      <c r="B1054" s="143"/>
      <c r="C1054" s="131"/>
      <c r="D1054" s="131"/>
      <c r="E1054" s="131"/>
      <c r="F1054" s="131"/>
      <c r="G1054" s="60" t="s">
        <v>131</v>
      </c>
      <c r="H1054" s="134"/>
      <c r="I1054" s="134"/>
      <c r="J1054" s="60"/>
      <c r="K1054" s="60"/>
      <c r="L1054" s="60"/>
      <c r="M1054" s="60"/>
      <c r="N1054" s="60">
        <f t="shared" si="321"/>
        <v>0</v>
      </c>
      <c r="O1054" s="60">
        <f t="shared" si="322"/>
        <v>0</v>
      </c>
    </row>
    <row r="1055" spans="1:15" s="38" customFormat="1" ht="14.45" customHeight="1" outlineLevel="1" x14ac:dyDescent="0.25">
      <c r="A1055" s="140" t="s">
        <v>822</v>
      </c>
      <c r="B1055" s="141" t="s">
        <v>823</v>
      </c>
      <c r="C1055" s="130">
        <f>SUM(N1055:N1061)</f>
        <v>0</v>
      </c>
      <c r="D1055" s="130">
        <f>SUM(O1055:O1061)</f>
        <v>0</v>
      </c>
      <c r="E1055" s="130">
        <f t="shared" si="314"/>
        <v>0</v>
      </c>
      <c r="F1055" s="130"/>
      <c r="G1055" s="60" t="s">
        <v>125</v>
      </c>
      <c r="H1055" s="123"/>
      <c r="I1055" s="123"/>
      <c r="J1055" s="60"/>
      <c r="K1055" s="60"/>
      <c r="L1055" s="60"/>
      <c r="M1055" s="60"/>
      <c r="N1055" s="60">
        <f>M1055*J1055*K1055*L1055</f>
        <v>0</v>
      </c>
      <c r="O1055" s="60">
        <f>J1055*K1055*L1055</f>
        <v>0</v>
      </c>
    </row>
    <row r="1056" spans="1:15" s="38" customFormat="1" ht="11.45" customHeight="1" outlineLevel="1" x14ac:dyDescent="0.25">
      <c r="A1056" s="124"/>
      <c r="B1056" s="142"/>
      <c r="C1056" s="115"/>
      <c r="D1056" s="115"/>
      <c r="E1056" s="115"/>
      <c r="F1056" s="115"/>
      <c r="G1056" s="60" t="s">
        <v>126</v>
      </c>
      <c r="H1056" s="124"/>
      <c r="I1056" s="124"/>
      <c r="J1056" s="60"/>
      <c r="K1056" s="60"/>
      <c r="L1056" s="60"/>
      <c r="M1056" s="60"/>
      <c r="N1056" s="60">
        <f t="shared" ref="N1056:N1061" si="323">M1056*J1056*K1056*L1056</f>
        <v>0</v>
      </c>
      <c r="O1056" s="60">
        <f t="shared" ref="O1056:O1061" si="324">J1056*K1056*L1056</f>
        <v>0</v>
      </c>
    </row>
    <row r="1057" spans="1:15" s="38" customFormat="1" ht="10.7" customHeight="1" outlineLevel="1" x14ac:dyDescent="0.25">
      <c r="A1057" s="124"/>
      <c r="B1057" s="142"/>
      <c r="C1057" s="115"/>
      <c r="D1057" s="115"/>
      <c r="E1057" s="115"/>
      <c r="F1057" s="115"/>
      <c r="G1057" s="60" t="s">
        <v>127</v>
      </c>
      <c r="H1057" s="124"/>
      <c r="I1057" s="124"/>
      <c r="J1057" s="60"/>
      <c r="K1057" s="60"/>
      <c r="L1057" s="60"/>
      <c r="M1057" s="60"/>
      <c r="N1057" s="60">
        <f t="shared" si="323"/>
        <v>0</v>
      </c>
      <c r="O1057" s="60">
        <f t="shared" si="324"/>
        <v>0</v>
      </c>
    </row>
    <row r="1058" spans="1:15" s="38" customFormat="1" ht="10.7" customHeight="1" outlineLevel="1" x14ac:dyDescent="0.25">
      <c r="A1058" s="124"/>
      <c r="B1058" s="142"/>
      <c r="C1058" s="115"/>
      <c r="D1058" s="115"/>
      <c r="E1058" s="115"/>
      <c r="F1058" s="115"/>
      <c r="G1058" s="60" t="s">
        <v>128</v>
      </c>
      <c r="H1058" s="124"/>
      <c r="I1058" s="124"/>
      <c r="J1058" s="60"/>
      <c r="K1058" s="60"/>
      <c r="L1058" s="60"/>
      <c r="M1058" s="60"/>
      <c r="N1058" s="60">
        <f t="shared" si="323"/>
        <v>0</v>
      </c>
      <c r="O1058" s="60">
        <f t="shared" si="324"/>
        <v>0</v>
      </c>
    </row>
    <row r="1059" spans="1:15" s="38" customFormat="1" ht="10.7" customHeight="1" outlineLevel="1" x14ac:dyDescent="0.25">
      <c r="A1059" s="124"/>
      <c r="B1059" s="142"/>
      <c r="C1059" s="115"/>
      <c r="D1059" s="115"/>
      <c r="E1059" s="115"/>
      <c r="F1059" s="115"/>
      <c r="G1059" s="60" t="s">
        <v>129</v>
      </c>
      <c r="H1059" s="124"/>
      <c r="I1059" s="124"/>
      <c r="J1059" s="60"/>
      <c r="K1059" s="60"/>
      <c r="L1059" s="60"/>
      <c r="M1059" s="60"/>
      <c r="N1059" s="60">
        <f t="shared" si="323"/>
        <v>0</v>
      </c>
      <c r="O1059" s="60">
        <f t="shared" si="324"/>
        <v>0</v>
      </c>
    </row>
    <row r="1060" spans="1:15" s="38" customFormat="1" ht="10.7" customHeight="1" outlineLevel="1" x14ac:dyDescent="0.25">
      <c r="A1060" s="124"/>
      <c r="B1060" s="142"/>
      <c r="C1060" s="115"/>
      <c r="D1060" s="115"/>
      <c r="E1060" s="115"/>
      <c r="F1060" s="115"/>
      <c r="G1060" s="60" t="s">
        <v>130</v>
      </c>
      <c r="H1060" s="124"/>
      <c r="I1060" s="124"/>
      <c r="J1060" s="60"/>
      <c r="K1060" s="60"/>
      <c r="L1060" s="60"/>
      <c r="M1060" s="60"/>
      <c r="N1060" s="60">
        <f t="shared" si="323"/>
        <v>0</v>
      </c>
      <c r="O1060" s="60">
        <f t="shared" si="324"/>
        <v>0</v>
      </c>
    </row>
    <row r="1061" spans="1:15" s="38" customFormat="1" ht="12" customHeight="1" outlineLevel="1" thickBot="1" x14ac:dyDescent="0.3">
      <c r="A1061" s="125"/>
      <c r="B1061" s="143"/>
      <c r="C1061" s="131"/>
      <c r="D1061" s="131"/>
      <c r="E1061" s="131"/>
      <c r="F1061" s="131"/>
      <c r="G1061" s="60" t="s">
        <v>131</v>
      </c>
      <c r="H1061" s="134"/>
      <c r="I1061" s="134"/>
      <c r="J1061" s="60"/>
      <c r="K1061" s="60"/>
      <c r="L1061" s="60"/>
      <c r="M1061" s="60"/>
      <c r="N1061" s="60">
        <f t="shared" si="323"/>
        <v>0</v>
      </c>
      <c r="O1061" s="60">
        <f t="shared" si="324"/>
        <v>0</v>
      </c>
    </row>
    <row r="1062" spans="1:15" s="38" customFormat="1" ht="14.45" customHeight="1" outlineLevel="1" x14ac:dyDescent="0.25">
      <c r="A1062" s="140" t="s">
        <v>824</v>
      </c>
      <c r="B1062" s="141" t="s">
        <v>825</v>
      </c>
      <c r="C1062" s="130">
        <f>SUM(N1062:N1068)</f>
        <v>0</v>
      </c>
      <c r="D1062" s="130">
        <f>SUM(O1062:O1068)</f>
        <v>0</v>
      </c>
      <c r="E1062" s="130">
        <f t="shared" si="314"/>
        <v>0</v>
      </c>
      <c r="F1062" s="130"/>
      <c r="G1062" s="60" t="s">
        <v>125</v>
      </c>
      <c r="H1062" s="123"/>
      <c r="I1062" s="123"/>
      <c r="J1062" s="60"/>
      <c r="K1062" s="60"/>
      <c r="L1062" s="60"/>
      <c r="M1062" s="60"/>
      <c r="N1062" s="60">
        <f>M1062*J1062*K1062*L1062</f>
        <v>0</v>
      </c>
      <c r="O1062" s="60">
        <f>J1062*K1062*L1062</f>
        <v>0</v>
      </c>
    </row>
    <row r="1063" spans="1:15" s="38" customFormat="1" ht="11.45" customHeight="1" outlineLevel="1" x14ac:dyDescent="0.25">
      <c r="A1063" s="124"/>
      <c r="B1063" s="142"/>
      <c r="C1063" s="115"/>
      <c r="D1063" s="115"/>
      <c r="E1063" s="115"/>
      <c r="F1063" s="115"/>
      <c r="G1063" s="60" t="s">
        <v>126</v>
      </c>
      <c r="H1063" s="124"/>
      <c r="I1063" s="124"/>
      <c r="J1063" s="60"/>
      <c r="K1063" s="60"/>
      <c r="L1063" s="60"/>
      <c r="M1063" s="60"/>
      <c r="N1063" s="60">
        <f t="shared" ref="N1063:N1068" si="325">M1063*J1063*K1063*L1063</f>
        <v>0</v>
      </c>
      <c r="O1063" s="60">
        <f t="shared" ref="O1063:O1068" si="326">J1063*K1063*L1063</f>
        <v>0</v>
      </c>
    </row>
    <row r="1064" spans="1:15" s="38" customFormat="1" ht="10.7" customHeight="1" outlineLevel="1" x14ac:dyDescent="0.25">
      <c r="A1064" s="124"/>
      <c r="B1064" s="142"/>
      <c r="C1064" s="115"/>
      <c r="D1064" s="115"/>
      <c r="E1064" s="115"/>
      <c r="F1064" s="115"/>
      <c r="G1064" s="60" t="s">
        <v>127</v>
      </c>
      <c r="H1064" s="124"/>
      <c r="I1064" s="124"/>
      <c r="J1064" s="60"/>
      <c r="K1064" s="60"/>
      <c r="L1064" s="60"/>
      <c r="M1064" s="60"/>
      <c r="N1064" s="60">
        <f t="shared" si="325"/>
        <v>0</v>
      </c>
      <c r="O1064" s="60">
        <f t="shared" si="326"/>
        <v>0</v>
      </c>
    </row>
    <row r="1065" spans="1:15" s="38" customFormat="1" ht="10.7" customHeight="1" outlineLevel="1" x14ac:dyDescent="0.25">
      <c r="A1065" s="124"/>
      <c r="B1065" s="142"/>
      <c r="C1065" s="115"/>
      <c r="D1065" s="115"/>
      <c r="E1065" s="115"/>
      <c r="F1065" s="115"/>
      <c r="G1065" s="60" t="s">
        <v>128</v>
      </c>
      <c r="H1065" s="124"/>
      <c r="I1065" s="124"/>
      <c r="J1065" s="60"/>
      <c r="K1065" s="60"/>
      <c r="L1065" s="60"/>
      <c r="M1065" s="60"/>
      <c r="N1065" s="60">
        <f t="shared" si="325"/>
        <v>0</v>
      </c>
      <c r="O1065" s="60">
        <f t="shared" si="326"/>
        <v>0</v>
      </c>
    </row>
    <row r="1066" spans="1:15" s="38" customFormat="1" ht="10.7" customHeight="1" outlineLevel="1" x14ac:dyDescent="0.25">
      <c r="A1066" s="124"/>
      <c r="B1066" s="142"/>
      <c r="C1066" s="115"/>
      <c r="D1066" s="115"/>
      <c r="E1066" s="115"/>
      <c r="F1066" s="115"/>
      <c r="G1066" s="60" t="s">
        <v>129</v>
      </c>
      <c r="H1066" s="124"/>
      <c r="I1066" s="124"/>
      <c r="J1066" s="60"/>
      <c r="K1066" s="60"/>
      <c r="L1066" s="60"/>
      <c r="M1066" s="60"/>
      <c r="N1066" s="60">
        <f t="shared" si="325"/>
        <v>0</v>
      </c>
      <c r="O1066" s="60">
        <f t="shared" si="326"/>
        <v>0</v>
      </c>
    </row>
    <row r="1067" spans="1:15" s="38" customFormat="1" ht="10.7" customHeight="1" outlineLevel="1" x14ac:dyDescent="0.25">
      <c r="A1067" s="124"/>
      <c r="B1067" s="142"/>
      <c r="C1067" s="115"/>
      <c r="D1067" s="115"/>
      <c r="E1067" s="115"/>
      <c r="F1067" s="115"/>
      <c r="G1067" s="60" t="s">
        <v>130</v>
      </c>
      <c r="H1067" s="124"/>
      <c r="I1067" s="124"/>
      <c r="J1067" s="60"/>
      <c r="K1067" s="60"/>
      <c r="L1067" s="60"/>
      <c r="M1067" s="60"/>
      <c r="N1067" s="60">
        <f t="shared" si="325"/>
        <v>0</v>
      </c>
      <c r="O1067" s="60">
        <f t="shared" si="326"/>
        <v>0</v>
      </c>
    </row>
    <row r="1068" spans="1:15" s="38" customFormat="1" ht="12" customHeight="1" outlineLevel="1" thickBot="1" x14ac:dyDescent="0.3">
      <c r="A1068" s="125"/>
      <c r="B1068" s="143"/>
      <c r="C1068" s="131"/>
      <c r="D1068" s="131"/>
      <c r="E1068" s="131"/>
      <c r="F1068" s="131"/>
      <c r="G1068" s="60" t="s">
        <v>131</v>
      </c>
      <c r="H1068" s="134"/>
      <c r="I1068" s="134"/>
      <c r="J1068" s="60"/>
      <c r="K1068" s="60"/>
      <c r="L1068" s="60"/>
      <c r="M1068" s="60"/>
      <c r="N1068" s="60">
        <f t="shared" si="325"/>
        <v>0</v>
      </c>
      <c r="O1068" s="60">
        <f t="shared" si="326"/>
        <v>0</v>
      </c>
    </row>
    <row r="1069" spans="1:15" s="38" customFormat="1" ht="14.45" customHeight="1" outlineLevel="1" x14ac:dyDescent="0.25">
      <c r="A1069" s="140" t="s">
        <v>826</v>
      </c>
      <c r="B1069" s="141" t="s">
        <v>827</v>
      </c>
      <c r="C1069" s="130">
        <f>SUM(N1069:N1075)</f>
        <v>0</v>
      </c>
      <c r="D1069" s="130">
        <f>SUM(O1069:O1075)</f>
        <v>0</v>
      </c>
      <c r="E1069" s="130">
        <f t="shared" si="314"/>
        <v>0</v>
      </c>
      <c r="F1069" s="130"/>
      <c r="G1069" s="60" t="s">
        <v>125</v>
      </c>
      <c r="H1069" s="123"/>
      <c r="I1069" s="123"/>
      <c r="J1069" s="60"/>
      <c r="K1069" s="60"/>
      <c r="L1069" s="60"/>
      <c r="M1069" s="60"/>
      <c r="N1069" s="60">
        <f>M1069*J1069*K1069*L1069</f>
        <v>0</v>
      </c>
      <c r="O1069" s="60">
        <f>J1069*K1069*L1069</f>
        <v>0</v>
      </c>
    </row>
    <row r="1070" spans="1:15" s="38" customFormat="1" ht="11.45" customHeight="1" outlineLevel="1" x14ac:dyDescent="0.25">
      <c r="A1070" s="124"/>
      <c r="B1070" s="142"/>
      <c r="C1070" s="115"/>
      <c r="D1070" s="115"/>
      <c r="E1070" s="115"/>
      <c r="F1070" s="115"/>
      <c r="G1070" s="60" t="s">
        <v>126</v>
      </c>
      <c r="H1070" s="124"/>
      <c r="I1070" s="124"/>
      <c r="J1070" s="60"/>
      <c r="K1070" s="60"/>
      <c r="L1070" s="60"/>
      <c r="M1070" s="60"/>
      <c r="N1070" s="60">
        <f t="shared" ref="N1070:N1075" si="327">M1070*J1070*K1070*L1070</f>
        <v>0</v>
      </c>
      <c r="O1070" s="60">
        <f t="shared" ref="O1070:O1075" si="328">J1070*K1070*L1070</f>
        <v>0</v>
      </c>
    </row>
    <row r="1071" spans="1:15" s="38" customFormat="1" ht="10.7" customHeight="1" outlineLevel="1" x14ac:dyDescent="0.25">
      <c r="A1071" s="124"/>
      <c r="B1071" s="142"/>
      <c r="C1071" s="115"/>
      <c r="D1071" s="115"/>
      <c r="E1071" s="115"/>
      <c r="F1071" s="115"/>
      <c r="G1071" s="60" t="s">
        <v>127</v>
      </c>
      <c r="H1071" s="124"/>
      <c r="I1071" s="124"/>
      <c r="J1071" s="60"/>
      <c r="K1071" s="60"/>
      <c r="L1071" s="60"/>
      <c r="M1071" s="60"/>
      <c r="N1071" s="60">
        <f t="shared" si="327"/>
        <v>0</v>
      </c>
      <c r="O1071" s="60">
        <f t="shared" si="328"/>
        <v>0</v>
      </c>
    </row>
    <row r="1072" spans="1:15" s="38" customFormat="1" ht="10.7" customHeight="1" outlineLevel="1" x14ac:dyDescent="0.25">
      <c r="A1072" s="124"/>
      <c r="B1072" s="142"/>
      <c r="C1072" s="115"/>
      <c r="D1072" s="115"/>
      <c r="E1072" s="115"/>
      <c r="F1072" s="115"/>
      <c r="G1072" s="60" t="s">
        <v>128</v>
      </c>
      <c r="H1072" s="124"/>
      <c r="I1072" s="124"/>
      <c r="J1072" s="60"/>
      <c r="K1072" s="60"/>
      <c r="L1072" s="60"/>
      <c r="M1072" s="60"/>
      <c r="N1072" s="60">
        <f t="shared" si="327"/>
        <v>0</v>
      </c>
      <c r="O1072" s="60">
        <f t="shared" si="328"/>
        <v>0</v>
      </c>
    </row>
    <row r="1073" spans="1:15" s="38" customFormat="1" ht="10.7" customHeight="1" outlineLevel="1" x14ac:dyDescent="0.25">
      <c r="A1073" s="124"/>
      <c r="B1073" s="142"/>
      <c r="C1073" s="115"/>
      <c r="D1073" s="115"/>
      <c r="E1073" s="115"/>
      <c r="F1073" s="115"/>
      <c r="G1073" s="60" t="s">
        <v>129</v>
      </c>
      <c r="H1073" s="124"/>
      <c r="I1073" s="124"/>
      <c r="J1073" s="60"/>
      <c r="K1073" s="60"/>
      <c r="L1073" s="60"/>
      <c r="M1073" s="60"/>
      <c r="N1073" s="60">
        <f t="shared" si="327"/>
        <v>0</v>
      </c>
      <c r="O1073" s="60">
        <f t="shared" si="328"/>
        <v>0</v>
      </c>
    </row>
    <row r="1074" spans="1:15" s="38" customFormat="1" ht="10.7" customHeight="1" outlineLevel="1" x14ac:dyDescent="0.25">
      <c r="A1074" s="124"/>
      <c r="B1074" s="142"/>
      <c r="C1074" s="115"/>
      <c r="D1074" s="115"/>
      <c r="E1074" s="115"/>
      <c r="F1074" s="115"/>
      <c r="G1074" s="60" t="s">
        <v>130</v>
      </c>
      <c r="H1074" s="124"/>
      <c r="I1074" s="124"/>
      <c r="J1074" s="60"/>
      <c r="K1074" s="60"/>
      <c r="L1074" s="60"/>
      <c r="M1074" s="60"/>
      <c r="N1074" s="60">
        <f t="shared" si="327"/>
        <v>0</v>
      </c>
      <c r="O1074" s="60">
        <f t="shared" si="328"/>
        <v>0</v>
      </c>
    </row>
    <row r="1075" spans="1:15" s="38" customFormat="1" ht="12" customHeight="1" outlineLevel="1" thickBot="1" x14ac:dyDescent="0.3">
      <c r="A1075" s="125"/>
      <c r="B1075" s="143"/>
      <c r="C1075" s="131"/>
      <c r="D1075" s="131"/>
      <c r="E1075" s="131"/>
      <c r="F1075" s="131"/>
      <c r="G1075" s="60" t="s">
        <v>131</v>
      </c>
      <c r="H1075" s="134"/>
      <c r="I1075" s="134"/>
      <c r="J1075" s="60"/>
      <c r="K1075" s="60"/>
      <c r="L1075" s="60"/>
      <c r="M1075" s="60"/>
      <c r="N1075" s="60">
        <f t="shared" si="327"/>
        <v>0</v>
      </c>
      <c r="O1075" s="60">
        <f t="shared" si="328"/>
        <v>0</v>
      </c>
    </row>
    <row r="1076" spans="1:15" s="38" customFormat="1" ht="14.45" customHeight="1" outlineLevel="1" x14ac:dyDescent="0.25">
      <c r="A1076" s="140" t="s">
        <v>828</v>
      </c>
      <c r="B1076" s="141" t="s">
        <v>829</v>
      </c>
      <c r="C1076" s="130">
        <f>SUM(N1076:N1082)</f>
        <v>0</v>
      </c>
      <c r="D1076" s="130">
        <f>SUM(O1076:O1082)</f>
        <v>0</v>
      </c>
      <c r="E1076" s="130">
        <f t="shared" si="314"/>
        <v>0</v>
      </c>
      <c r="F1076" s="130"/>
      <c r="G1076" s="60" t="s">
        <v>125</v>
      </c>
      <c r="H1076" s="123"/>
      <c r="I1076" s="123"/>
      <c r="J1076" s="60"/>
      <c r="K1076" s="60"/>
      <c r="L1076" s="60"/>
      <c r="M1076" s="60"/>
      <c r="N1076" s="60">
        <f>M1076*J1076*K1076*L1076</f>
        <v>0</v>
      </c>
      <c r="O1076" s="60">
        <f>J1076*K1076*L1076</f>
        <v>0</v>
      </c>
    </row>
    <row r="1077" spans="1:15" s="38" customFormat="1" ht="11.45" customHeight="1" outlineLevel="1" x14ac:dyDescent="0.25">
      <c r="A1077" s="124"/>
      <c r="B1077" s="142"/>
      <c r="C1077" s="115"/>
      <c r="D1077" s="115"/>
      <c r="E1077" s="115"/>
      <c r="F1077" s="115"/>
      <c r="G1077" s="60" t="s">
        <v>126</v>
      </c>
      <c r="H1077" s="124"/>
      <c r="I1077" s="124"/>
      <c r="J1077" s="60"/>
      <c r="K1077" s="60"/>
      <c r="L1077" s="60"/>
      <c r="M1077" s="60"/>
      <c r="N1077" s="60">
        <f t="shared" ref="N1077:N1082" si="329">M1077*J1077*K1077*L1077</f>
        <v>0</v>
      </c>
      <c r="O1077" s="60">
        <f t="shared" ref="O1077:O1082" si="330">J1077*K1077*L1077</f>
        <v>0</v>
      </c>
    </row>
    <row r="1078" spans="1:15" s="38" customFormat="1" ht="10.7" customHeight="1" outlineLevel="1" x14ac:dyDescent="0.25">
      <c r="A1078" s="124"/>
      <c r="B1078" s="142"/>
      <c r="C1078" s="115"/>
      <c r="D1078" s="115"/>
      <c r="E1078" s="115"/>
      <c r="F1078" s="115"/>
      <c r="G1078" s="60" t="s">
        <v>127</v>
      </c>
      <c r="H1078" s="124"/>
      <c r="I1078" s="124"/>
      <c r="J1078" s="60"/>
      <c r="K1078" s="60"/>
      <c r="L1078" s="60"/>
      <c r="M1078" s="60"/>
      <c r="N1078" s="60">
        <f t="shared" si="329"/>
        <v>0</v>
      </c>
      <c r="O1078" s="60">
        <f t="shared" si="330"/>
        <v>0</v>
      </c>
    </row>
    <row r="1079" spans="1:15" s="38" customFormat="1" ht="10.7" customHeight="1" outlineLevel="1" x14ac:dyDescent="0.25">
      <c r="A1079" s="124"/>
      <c r="B1079" s="142"/>
      <c r="C1079" s="115"/>
      <c r="D1079" s="115"/>
      <c r="E1079" s="115"/>
      <c r="F1079" s="115"/>
      <c r="G1079" s="60" t="s">
        <v>128</v>
      </c>
      <c r="H1079" s="124"/>
      <c r="I1079" s="124"/>
      <c r="J1079" s="60"/>
      <c r="K1079" s="60"/>
      <c r="L1079" s="60"/>
      <c r="M1079" s="60"/>
      <c r="N1079" s="60">
        <f t="shared" si="329"/>
        <v>0</v>
      </c>
      <c r="O1079" s="60">
        <f t="shared" si="330"/>
        <v>0</v>
      </c>
    </row>
    <row r="1080" spans="1:15" s="38" customFormat="1" ht="10.7" customHeight="1" outlineLevel="1" x14ac:dyDescent="0.25">
      <c r="A1080" s="124"/>
      <c r="B1080" s="142"/>
      <c r="C1080" s="115"/>
      <c r="D1080" s="115"/>
      <c r="E1080" s="115"/>
      <c r="F1080" s="115"/>
      <c r="G1080" s="60" t="s">
        <v>129</v>
      </c>
      <c r="H1080" s="124"/>
      <c r="I1080" s="124"/>
      <c r="J1080" s="60"/>
      <c r="K1080" s="60"/>
      <c r="L1080" s="60"/>
      <c r="M1080" s="60"/>
      <c r="N1080" s="60">
        <f t="shared" si="329"/>
        <v>0</v>
      </c>
      <c r="O1080" s="60">
        <f t="shared" si="330"/>
        <v>0</v>
      </c>
    </row>
    <row r="1081" spans="1:15" s="38" customFormat="1" ht="10.7" customHeight="1" outlineLevel="1" x14ac:dyDescent="0.25">
      <c r="A1081" s="124"/>
      <c r="B1081" s="142"/>
      <c r="C1081" s="115"/>
      <c r="D1081" s="115"/>
      <c r="E1081" s="115"/>
      <c r="F1081" s="115"/>
      <c r="G1081" s="60" t="s">
        <v>130</v>
      </c>
      <c r="H1081" s="124"/>
      <c r="I1081" s="124"/>
      <c r="J1081" s="60"/>
      <c r="K1081" s="60"/>
      <c r="L1081" s="60"/>
      <c r="M1081" s="60"/>
      <c r="N1081" s="60">
        <f t="shared" si="329"/>
        <v>0</v>
      </c>
      <c r="O1081" s="60">
        <f t="shared" si="330"/>
        <v>0</v>
      </c>
    </row>
    <row r="1082" spans="1:15" s="38" customFormat="1" ht="12" customHeight="1" outlineLevel="1" thickBot="1" x14ac:dyDescent="0.3">
      <c r="A1082" s="125"/>
      <c r="B1082" s="143"/>
      <c r="C1082" s="131"/>
      <c r="D1082" s="131"/>
      <c r="E1082" s="131"/>
      <c r="F1082" s="131"/>
      <c r="G1082" s="60" t="s">
        <v>131</v>
      </c>
      <c r="H1082" s="134"/>
      <c r="I1082" s="134"/>
      <c r="J1082" s="60"/>
      <c r="K1082" s="60"/>
      <c r="L1082" s="60"/>
      <c r="M1082" s="60"/>
      <c r="N1082" s="60">
        <f t="shared" si="329"/>
        <v>0</v>
      </c>
      <c r="O1082" s="60">
        <f t="shared" si="330"/>
        <v>0</v>
      </c>
    </row>
    <row r="1083" spans="1:15" s="38" customFormat="1" ht="14.45" customHeight="1" outlineLevel="1" x14ac:dyDescent="0.25">
      <c r="A1083" s="140" t="s">
        <v>830</v>
      </c>
      <c r="B1083" s="141" t="s">
        <v>831</v>
      </c>
      <c r="C1083" s="130">
        <f>SUM(N1083:N1089)</f>
        <v>0</v>
      </c>
      <c r="D1083" s="130">
        <f>SUM(O1083:O1089)</f>
        <v>0</v>
      </c>
      <c r="E1083" s="130">
        <f t="shared" si="314"/>
        <v>0</v>
      </c>
      <c r="F1083" s="130"/>
      <c r="G1083" s="60" t="s">
        <v>125</v>
      </c>
      <c r="H1083" s="123"/>
      <c r="I1083" s="123"/>
      <c r="J1083" s="60"/>
      <c r="K1083" s="60"/>
      <c r="L1083" s="60"/>
      <c r="M1083" s="60"/>
      <c r="N1083" s="60">
        <f>M1083*J1083*K1083*L1083</f>
        <v>0</v>
      </c>
      <c r="O1083" s="60">
        <f>J1083*K1083*L1083</f>
        <v>0</v>
      </c>
    </row>
    <row r="1084" spans="1:15" s="38" customFormat="1" ht="11.45" customHeight="1" outlineLevel="1" x14ac:dyDescent="0.25">
      <c r="A1084" s="124"/>
      <c r="B1084" s="142"/>
      <c r="C1084" s="115"/>
      <c r="D1084" s="115"/>
      <c r="E1084" s="115"/>
      <c r="F1084" s="115"/>
      <c r="G1084" s="60" t="s">
        <v>126</v>
      </c>
      <c r="H1084" s="124"/>
      <c r="I1084" s="124"/>
      <c r="J1084" s="60"/>
      <c r="K1084" s="60"/>
      <c r="L1084" s="60"/>
      <c r="M1084" s="60"/>
      <c r="N1084" s="60">
        <f t="shared" ref="N1084:N1089" si="331">M1084*J1084*K1084*L1084</f>
        <v>0</v>
      </c>
      <c r="O1084" s="60">
        <f t="shared" ref="O1084:O1089" si="332">J1084*K1084*L1084</f>
        <v>0</v>
      </c>
    </row>
    <row r="1085" spans="1:15" s="38" customFormat="1" ht="10.7" customHeight="1" outlineLevel="1" x14ac:dyDescent="0.25">
      <c r="A1085" s="124"/>
      <c r="B1085" s="142"/>
      <c r="C1085" s="115"/>
      <c r="D1085" s="115"/>
      <c r="E1085" s="115"/>
      <c r="F1085" s="115"/>
      <c r="G1085" s="60" t="s">
        <v>127</v>
      </c>
      <c r="H1085" s="124"/>
      <c r="I1085" s="124"/>
      <c r="J1085" s="60"/>
      <c r="K1085" s="60"/>
      <c r="L1085" s="60"/>
      <c r="M1085" s="60"/>
      <c r="N1085" s="60">
        <f t="shared" si="331"/>
        <v>0</v>
      </c>
      <c r="O1085" s="60">
        <f t="shared" si="332"/>
        <v>0</v>
      </c>
    </row>
    <row r="1086" spans="1:15" s="38" customFormat="1" ht="10.7" customHeight="1" outlineLevel="1" x14ac:dyDescent="0.25">
      <c r="A1086" s="124"/>
      <c r="B1086" s="142"/>
      <c r="C1086" s="115"/>
      <c r="D1086" s="115"/>
      <c r="E1086" s="115"/>
      <c r="F1086" s="115"/>
      <c r="G1086" s="60" t="s">
        <v>128</v>
      </c>
      <c r="H1086" s="124"/>
      <c r="I1086" s="124"/>
      <c r="J1086" s="60"/>
      <c r="K1086" s="60"/>
      <c r="L1086" s="60"/>
      <c r="M1086" s="60"/>
      <c r="N1086" s="60">
        <f t="shared" si="331"/>
        <v>0</v>
      </c>
      <c r="O1086" s="60">
        <f t="shared" si="332"/>
        <v>0</v>
      </c>
    </row>
    <row r="1087" spans="1:15" s="38" customFormat="1" ht="10.7" customHeight="1" outlineLevel="1" x14ac:dyDescent="0.25">
      <c r="A1087" s="124"/>
      <c r="B1087" s="142"/>
      <c r="C1087" s="115"/>
      <c r="D1087" s="115"/>
      <c r="E1087" s="115"/>
      <c r="F1087" s="115"/>
      <c r="G1087" s="60" t="s">
        <v>129</v>
      </c>
      <c r="H1087" s="124"/>
      <c r="I1087" s="124"/>
      <c r="J1087" s="60"/>
      <c r="K1087" s="60"/>
      <c r="L1087" s="60"/>
      <c r="M1087" s="60"/>
      <c r="N1087" s="60">
        <f t="shared" si="331"/>
        <v>0</v>
      </c>
      <c r="O1087" s="60">
        <f t="shared" si="332"/>
        <v>0</v>
      </c>
    </row>
    <row r="1088" spans="1:15" s="38" customFormat="1" ht="10.7" customHeight="1" outlineLevel="1" x14ac:dyDescent="0.25">
      <c r="A1088" s="124"/>
      <c r="B1088" s="142"/>
      <c r="C1088" s="115"/>
      <c r="D1088" s="115"/>
      <c r="E1088" s="115"/>
      <c r="F1088" s="115"/>
      <c r="G1088" s="60" t="s">
        <v>130</v>
      </c>
      <c r="H1088" s="124"/>
      <c r="I1088" s="124"/>
      <c r="J1088" s="60"/>
      <c r="K1088" s="60"/>
      <c r="L1088" s="60"/>
      <c r="M1088" s="60"/>
      <c r="N1088" s="60">
        <f t="shared" si="331"/>
        <v>0</v>
      </c>
      <c r="O1088" s="60">
        <f t="shared" si="332"/>
        <v>0</v>
      </c>
    </row>
    <row r="1089" spans="1:15" s="38" customFormat="1" ht="12" customHeight="1" outlineLevel="1" thickBot="1" x14ac:dyDescent="0.3">
      <c r="A1089" s="125"/>
      <c r="B1089" s="143"/>
      <c r="C1089" s="131"/>
      <c r="D1089" s="131"/>
      <c r="E1089" s="131"/>
      <c r="F1089" s="131"/>
      <c r="G1089" s="60" t="s">
        <v>131</v>
      </c>
      <c r="H1089" s="134"/>
      <c r="I1089" s="134"/>
      <c r="J1089" s="60"/>
      <c r="K1089" s="60"/>
      <c r="L1089" s="60"/>
      <c r="M1089" s="60"/>
      <c r="N1089" s="60">
        <f t="shared" si="331"/>
        <v>0</v>
      </c>
      <c r="O1089" s="60">
        <f t="shared" si="332"/>
        <v>0</v>
      </c>
    </row>
    <row r="1090" spans="1:15" s="38" customFormat="1" ht="14.45" customHeight="1" outlineLevel="1" x14ac:dyDescent="0.25">
      <c r="A1090" s="140" t="s">
        <v>832</v>
      </c>
      <c r="B1090" s="141" t="s">
        <v>833</v>
      </c>
      <c r="C1090" s="130">
        <f>SUM(N1090:N1096)</f>
        <v>0</v>
      </c>
      <c r="D1090" s="130">
        <f>SUM(O1090:O1096)</f>
        <v>0</v>
      </c>
      <c r="E1090" s="130">
        <f t="shared" si="314"/>
        <v>0</v>
      </c>
      <c r="F1090" s="130"/>
      <c r="G1090" s="60" t="s">
        <v>125</v>
      </c>
      <c r="H1090" s="123"/>
      <c r="I1090" s="123"/>
      <c r="J1090" s="60"/>
      <c r="K1090" s="60"/>
      <c r="L1090" s="60"/>
      <c r="M1090" s="60"/>
      <c r="N1090" s="60">
        <f>M1090*J1090*K1090*L1090</f>
        <v>0</v>
      </c>
      <c r="O1090" s="60">
        <f>J1090*K1090*L1090</f>
        <v>0</v>
      </c>
    </row>
    <row r="1091" spans="1:15" s="38" customFormat="1" ht="11.45" customHeight="1" outlineLevel="1" x14ac:dyDescent="0.25">
      <c r="A1091" s="124"/>
      <c r="B1091" s="142"/>
      <c r="C1091" s="115"/>
      <c r="D1091" s="115"/>
      <c r="E1091" s="115"/>
      <c r="F1091" s="115"/>
      <c r="G1091" s="60" t="s">
        <v>126</v>
      </c>
      <c r="H1091" s="124"/>
      <c r="I1091" s="124"/>
      <c r="J1091" s="60"/>
      <c r="K1091" s="60"/>
      <c r="L1091" s="60"/>
      <c r="M1091" s="60"/>
      <c r="N1091" s="60">
        <f t="shared" ref="N1091:N1096" si="333">M1091*J1091*K1091*L1091</f>
        <v>0</v>
      </c>
      <c r="O1091" s="60">
        <f t="shared" ref="O1091:O1096" si="334">J1091*K1091*L1091</f>
        <v>0</v>
      </c>
    </row>
    <row r="1092" spans="1:15" s="38" customFormat="1" ht="10.7" customHeight="1" outlineLevel="1" x14ac:dyDescent="0.25">
      <c r="A1092" s="124"/>
      <c r="B1092" s="142"/>
      <c r="C1092" s="115"/>
      <c r="D1092" s="115"/>
      <c r="E1092" s="115"/>
      <c r="F1092" s="115"/>
      <c r="G1092" s="60" t="s">
        <v>127</v>
      </c>
      <c r="H1092" s="124"/>
      <c r="I1092" s="124"/>
      <c r="J1092" s="60"/>
      <c r="K1092" s="60"/>
      <c r="L1092" s="60"/>
      <c r="M1092" s="60"/>
      <c r="N1092" s="60">
        <f t="shared" si="333"/>
        <v>0</v>
      </c>
      <c r="O1092" s="60">
        <f t="shared" si="334"/>
        <v>0</v>
      </c>
    </row>
    <row r="1093" spans="1:15" s="38" customFormat="1" ht="10.7" customHeight="1" outlineLevel="1" x14ac:dyDescent="0.25">
      <c r="A1093" s="124"/>
      <c r="B1093" s="142"/>
      <c r="C1093" s="115"/>
      <c r="D1093" s="115"/>
      <c r="E1093" s="115"/>
      <c r="F1093" s="115"/>
      <c r="G1093" s="60" t="s">
        <v>128</v>
      </c>
      <c r="H1093" s="124"/>
      <c r="I1093" s="124"/>
      <c r="J1093" s="60"/>
      <c r="K1093" s="60"/>
      <c r="L1093" s="60"/>
      <c r="M1093" s="60"/>
      <c r="N1093" s="60">
        <f t="shared" si="333"/>
        <v>0</v>
      </c>
      <c r="O1093" s="60">
        <f t="shared" si="334"/>
        <v>0</v>
      </c>
    </row>
    <row r="1094" spans="1:15" s="38" customFormat="1" ht="10.7" customHeight="1" outlineLevel="1" x14ac:dyDescent="0.25">
      <c r="A1094" s="124"/>
      <c r="B1094" s="142"/>
      <c r="C1094" s="115"/>
      <c r="D1094" s="115"/>
      <c r="E1094" s="115"/>
      <c r="F1094" s="115"/>
      <c r="G1094" s="60" t="s">
        <v>129</v>
      </c>
      <c r="H1094" s="124"/>
      <c r="I1094" s="124"/>
      <c r="J1094" s="60"/>
      <c r="K1094" s="60"/>
      <c r="L1094" s="60"/>
      <c r="M1094" s="60"/>
      <c r="N1094" s="60">
        <f t="shared" si="333"/>
        <v>0</v>
      </c>
      <c r="O1094" s="60">
        <f t="shared" si="334"/>
        <v>0</v>
      </c>
    </row>
    <row r="1095" spans="1:15" s="38" customFormat="1" ht="10.7" customHeight="1" outlineLevel="1" x14ac:dyDescent="0.25">
      <c r="A1095" s="124"/>
      <c r="B1095" s="142"/>
      <c r="C1095" s="115"/>
      <c r="D1095" s="115"/>
      <c r="E1095" s="115"/>
      <c r="F1095" s="115"/>
      <c r="G1095" s="60" t="s">
        <v>130</v>
      </c>
      <c r="H1095" s="124"/>
      <c r="I1095" s="124"/>
      <c r="J1095" s="60"/>
      <c r="K1095" s="60"/>
      <c r="L1095" s="60"/>
      <c r="M1095" s="60"/>
      <c r="N1095" s="60">
        <f t="shared" si="333"/>
        <v>0</v>
      </c>
      <c r="O1095" s="60">
        <f t="shared" si="334"/>
        <v>0</v>
      </c>
    </row>
    <row r="1096" spans="1:15" s="38" customFormat="1" ht="12" customHeight="1" outlineLevel="1" thickBot="1" x14ac:dyDescent="0.3">
      <c r="A1096" s="125"/>
      <c r="B1096" s="143"/>
      <c r="C1096" s="131"/>
      <c r="D1096" s="131"/>
      <c r="E1096" s="131"/>
      <c r="F1096" s="131"/>
      <c r="G1096" s="60" t="s">
        <v>131</v>
      </c>
      <c r="H1096" s="134"/>
      <c r="I1096" s="134"/>
      <c r="J1096" s="60"/>
      <c r="K1096" s="60"/>
      <c r="L1096" s="60"/>
      <c r="M1096" s="60"/>
      <c r="N1096" s="60">
        <f t="shared" si="333"/>
        <v>0</v>
      </c>
      <c r="O1096" s="60">
        <f t="shared" si="334"/>
        <v>0</v>
      </c>
    </row>
    <row r="1097" spans="1:15" s="38" customFormat="1" ht="14.45" customHeight="1" outlineLevel="1" x14ac:dyDescent="0.25">
      <c r="A1097" s="140" t="s">
        <v>834</v>
      </c>
      <c r="B1097" s="141" t="s">
        <v>835</v>
      </c>
      <c r="C1097" s="130">
        <f>SUM(N1097:N1103)</f>
        <v>0</v>
      </c>
      <c r="D1097" s="130">
        <f>SUM(O1097:O1103)</f>
        <v>0</v>
      </c>
      <c r="E1097" s="130">
        <f t="shared" ref="E1097:E1160" si="335">D1097/8</f>
        <v>0</v>
      </c>
      <c r="F1097" s="130"/>
      <c r="G1097" s="60" t="s">
        <v>125</v>
      </c>
      <c r="H1097" s="123"/>
      <c r="I1097" s="123"/>
      <c r="J1097" s="60"/>
      <c r="K1097" s="60"/>
      <c r="L1097" s="60"/>
      <c r="M1097" s="60"/>
      <c r="N1097" s="60">
        <f>M1097*J1097*K1097*L1097</f>
        <v>0</v>
      </c>
      <c r="O1097" s="60">
        <f>J1097*K1097*L1097</f>
        <v>0</v>
      </c>
    </row>
    <row r="1098" spans="1:15" s="38" customFormat="1" ht="11.45" customHeight="1" outlineLevel="1" x14ac:dyDescent="0.25">
      <c r="A1098" s="124"/>
      <c r="B1098" s="142"/>
      <c r="C1098" s="115"/>
      <c r="D1098" s="115"/>
      <c r="E1098" s="115"/>
      <c r="F1098" s="115"/>
      <c r="G1098" s="60" t="s">
        <v>126</v>
      </c>
      <c r="H1098" s="124"/>
      <c r="I1098" s="124"/>
      <c r="J1098" s="60"/>
      <c r="K1098" s="60"/>
      <c r="L1098" s="60"/>
      <c r="M1098" s="60"/>
      <c r="N1098" s="60">
        <f t="shared" ref="N1098:N1103" si="336">M1098*J1098*K1098*L1098</f>
        <v>0</v>
      </c>
      <c r="O1098" s="60">
        <f t="shared" ref="O1098:O1103" si="337">J1098*K1098*L1098</f>
        <v>0</v>
      </c>
    </row>
    <row r="1099" spans="1:15" s="38" customFormat="1" ht="10.7" customHeight="1" outlineLevel="1" x14ac:dyDescent="0.25">
      <c r="A1099" s="124"/>
      <c r="B1099" s="142"/>
      <c r="C1099" s="115"/>
      <c r="D1099" s="115"/>
      <c r="E1099" s="115"/>
      <c r="F1099" s="115"/>
      <c r="G1099" s="60" t="s">
        <v>127</v>
      </c>
      <c r="H1099" s="124"/>
      <c r="I1099" s="124"/>
      <c r="J1099" s="60"/>
      <c r="K1099" s="60"/>
      <c r="L1099" s="60"/>
      <c r="M1099" s="60"/>
      <c r="N1099" s="60">
        <f t="shared" si="336"/>
        <v>0</v>
      </c>
      <c r="O1099" s="60">
        <f t="shared" si="337"/>
        <v>0</v>
      </c>
    </row>
    <row r="1100" spans="1:15" s="38" customFormat="1" ht="10.7" customHeight="1" outlineLevel="1" x14ac:dyDescent="0.25">
      <c r="A1100" s="124"/>
      <c r="B1100" s="142"/>
      <c r="C1100" s="115"/>
      <c r="D1100" s="115"/>
      <c r="E1100" s="115"/>
      <c r="F1100" s="115"/>
      <c r="G1100" s="60" t="s">
        <v>128</v>
      </c>
      <c r="H1100" s="124"/>
      <c r="I1100" s="124"/>
      <c r="J1100" s="60"/>
      <c r="K1100" s="60"/>
      <c r="L1100" s="60"/>
      <c r="M1100" s="60"/>
      <c r="N1100" s="60">
        <f t="shared" si="336"/>
        <v>0</v>
      </c>
      <c r="O1100" s="60">
        <f t="shared" si="337"/>
        <v>0</v>
      </c>
    </row>
    <row r="1101" spans="1:15" s="38" customFormat="1" ht="10.7" customHeight="1" outlineLevel="1" x14ac:dyDescent="0.25">
      <c r="A1101" s="124"/>
      <c r="B1101" s="142"/>
      <c r="C1101" s="115"/>
      <c r="D1101" s="115"/>
      <c r="E1101" s="115"/>
      <c r="F1101" s="115"/>
      <c r="G1101" s="60" t="s">
        <v>129</v>
      </c>
      <c r="H1101" s="124"/>
      <c r="I1101" s="124"/>
      <c r="J1101" s="60"/>
      <c r="K1101" s="60"/>
      <c r="L1101" s="60"/>
      <c r="M1101" s="60"/>
      <c r="N1101" s="60">
        <f t="shared" si="336"/>
        <v>0</v>
      </c>
      <c r="O1101" s="60">
        <f t="shared" si="337"/>
        <v>0</v>
      </c>
    </row>
    <row r="1102" spans="1:15" s="38" customFormat="1" ht="10.7" customHeight="1" outlineLevel="1" x14ac:dyDescent="0.25">
      <c r="A1102" s="124"/>
      <c r="B1102" s="142"/>
      <c r="C1102" s="115"/>
      <c r="D1102" s="115"/>
      <c r="E1102" s="115"/>
      <c r="F1102" s="115"/>
      <c r="G1102" s="60" t="s">
        <v>130</v>
      </c>
      <c r="H1102" s="124"/>
      <c r="I1102" s="124"/>
      <c r="J1102" s="60"/>
      <c r="K1102" s="60"/>
      <c r="L1102" s="60"/>
      <c r="M1102" s="60"/>
      <c r="N1102" s="60">
        <f t="shared" si="336"/>
        <v>0</v>
      </c>
      <c r="O1102" s="60">
        <f t="shared" si="337"/>
        <v>0</v>
      </c>
    </row>
    <row r="1103" spans="1:15" s="38" customFormat="1" ht="12" customHeight="1" outlineLevel="1" thickBot="1" x14ac:dyDescent="0.3">
      <c r="A1103" s="125"/>
      <c r="B1103" s="143"/>
      <c r="C1103" s="131"/>
      <c r="D1103" s="131"/>
      <c r="E1103" s="131"/>
      <c r="F1103" s="131"/>
      <c r="G1103" s="60" t="s">
        <v>131</v>
      </c>
      <c r="H1103" s="134"/>
      <c r="I1103" s="134"/>
      <c r="J1103" s="60"/>
      <c r="K1103" s="60"/>
      <c r="L1103" s="60"/>
      <c r="M1103" s="60"/>
      <c r="N1103" s="60">
        <f t="shared" si="336"/>
        <v>0</v>
      </c>
      <c r="O1103" s="60">
        <f t="shared" si="337"/>
        <v>0</v>
      </c>
    </row>
    <row r="1104" spans="1:15" s="38" customFormat="1" ht="14.45" customHeight="1" outlineLevel="1" x14ac:dyDescent="0.25">
      <c r="A1104" s="140" t="s">
        <v>836</v>
      </c>
      <c r="B1104" s="141" t="s">
        <v>837</v>
      </c>
      <c r="C1104" s="130">
        <f>SUM(N1104:N1110)</f>
        <v>0</v>
      </c>
      <c r="D1104" s="130">
        <f>SUM(O1104:O1110)</f>
        <v>0</v>
      </c>
      <c r="E1104" s="130">
        <f t="shared" si="335"/>
        <v>0</v>
      </c>
      <c r="F1104" s="130"/>
      <c r="G1104" s="60" t="s">
        <v>125</v>
      </c>
      <c r="H1104" s="123"/>
      <c r="I1104" s="123"/>
      <c r="J1104" s="60"/>
      <c r="K1104" s="60"/>
      <c r="L1104" s="60"/>
      <c r="M1104" s="60"/>
      <c r="N1104" s="60">
        <f>M1104*J1104*K1104*L1104</f>
        <v>0</v>
      </c>
      <c r="O1104" s="60">
        <f>J1104*K1104*L1104</f>
        <v>0</v>
      </c>
    </row>
    <row r="1105" spans="1:15" s="38" customFormat="1" ht="11.45" customHeight="1" outlineLevel="1" x14ac:dyDescent="0.25">
      <c r="A1105" s="124"/>
      <c r="B1105" s="142"/>
      <c r="C1105" s="115"/>
      <c r="D1105" s="115"/>
      <c r="E1105" s="115"/>
      <c r="F1105" s="115"/>
      <c r="G1105" s="60" t="s">
        <v>126</v>
      </c>
      <c r="H1105" s="124"/>
      <c r="I1105" s="124"/>
      <c r="J1105" s="60"/>
      <c r="K1105" s="60"/>
      <c r="L1105" s="60"/>
      <c r="M1105" s="60"/>
      <c r="N1105" s="60">
        <f t="shared" ref="N1105:N1110" si="338">M1105*J1105*K1105*L1105</f>
        <v>0</v>
      </c>
      <c r="O1105" s="60">
        <f t="shared" ref="O1105:O1110" si="339">J1105*K1105*L1105</f>
        <v>0</v>
      </c>
    </row>
    <row r="1106" spans="1:15" s="38" customFormat="1" ht="10.7" customHeight="1" outlineLevel="1" x14ac:dyDescent="0.25">
      <c r="A1106" s="124"/>
      <c r="B1106" s="142"/>
      <c r="C1106" s="115"/>
      <c r="D1106" s="115"/>
      <c r="E1106" s="115"/>
      <c r="F1106" s="115"/>
      <c r="G1106" s="60" t="s">
        <v>127</v>
      </c>
      <c r="H1106" s="124"/>
      <c r="I1106" s="124"/>
      <c r="J1106" s="60"/>
      <c r="K1106" s="60"/>
      <c r="L1106" s="60"/>
      <c r="M1106" s="60"/>
      <c r="N1106" s="60">
        <f t="shared" si="338"/>
        <v>0</v>
      </c>
      <c r="O1106" s="60">
        <f t="shared" si="339"/>
        <v>0</v>
      </c>
    </row>
    <row r="1107" spans="1:15" s="38" customFormat="1" ht="10.7" customHeight="1" outlineLevel="1" x14ac:dyDescent="0.25">
      <c r="A1107" s="124"/>
      <c r="B1107" s="142"/>
      <c r="C1107" s="115"/>
      <c r="D1107" s="115"/>
      <c r="E1107" s="115"/>
      <c r="F1107" s="115"/>
      <c r="G1107" s="60" t="s">
        <v>128</v>
      </c>
      <c r="H1107" s="124"/>
      <c r="I1107" s="124"/>
      <c r="J1107" s="60"/>
      <c r="K1107" s="60"/>
      <c r="L1107" s="60"/>
      <c r="M1107" s="60"/>
      <c r="N1107" s="60">
        <f t="shared" si="338"/>
        <v>0</v>
      </c>
      <c r="O1107" s="60">
        <f t="shared" si="339"/>
        <v>0</v>
      </c>
    </row>
    <row r="1108" spans="1:15" s="38" customFormat="1" ht="10.7" customHeight="1" outlineLevel="1" x14ac:dyDescent="0.25">
      <c r="A1108" s="124"/>
      <c r="B1108" s="142"/>
      <c r="C1108" s="115"/>
      <c r="D1108" s="115"/>
      <c r="E1108" s="115"/>
      <c r="F1108" s="115"/>
      <c r="G1108" s="60" t="s">
        <v>129</v>
      </c>
      <c r="H1108" s="124"/>
      <c r="I1108" s="124"/>
      <c r="J1108" s="60"/>
      <c r="K1108" s="60"/>
      <c r="L1108" s="60"/>
      <c r="M1108" s="60"/>
      <c r="N1108" s="60">
        <f t="shared" si="338"/>
        <v>0</v>
      </c>
      <c r="O1108" s="60">
        <f t="shared" si="339"/>
        <v>0</v>
      </c>
    </row>
    <row r="1109" spans="1:15" s="38" customFormat="1" ht="10.7" customHeight="1" outlineLevel="1" x14ac:dyDescent="0.25">
      <c r="A1109" s="124"/>
      <c r="B1109" s="142"/>
      <c r="C1109" s="115"/>
      <c r="D1109" s="115"/>
      <c r="E1109" s="115"/>
      <c r="F1109" s="115"/>
      <c r="G1109" s="60" t="s">
        <v>130</v>
      </c>
      <c r="H1109" s="124"/>
      <c r="I1109" s="124"/>
      <c r="J1109" s="60"/>
      <c r="K1109" s="60"/>
      <c r="L1109" s="60"/>
      <c r="M1109" s="60"/>
      <c r="N1109" s="60">
        <f t="shared" si="338"/>
        <v>0</v>
      </c>
      <c r="O1109" s="60">
        <f t="shared" si="339"/>
        <v>0</v>
      </c>
    </row>
    <row r="1110" spans="1:15" s="38" customFormat="1" ht="12" customHeight="1" outlineLevel="1" thickBot="1" x14ac:dyDescent="0.3">
      <c r="A1110" s="125"/>
      <c r="B1110" s="143"/>
      <c r="C1110" s="131"/>
      <c r="D1110" s="131"/>
      <c r="E1110" s="131"/>
      <c r="F1110" s="131"/>
      <c r="G1110" s="60" t="s">
        <v>131</v>
      </c>
      <c r="H1110" s="134"/>
      <c r="I1110" s="134"/>
      <c r="J1110" s="60"/>
      <c r="K1110" s="60"/>
      <c r="L1110" s="60"/>
      <c r="M1110" s="60"/>
      <c r="N1110" s="60">
        <f t="shared" si="338"/>
        <v>0</v>
      </c>
      <c r="O1110" s="60">
        <f t="shared" si="339"/>
        <v>0</v>
      </c>
    </row>
    <row r="1111" spans="1:15" s="38" customFormat="1" ht="14.45" customHeight="1" outlineLevel="1" x14ac:dyDescent="0.25">
      <c r="A1111" s="140" t="s">
        <v>838</v>
      </c>
      <c r="B1111" s="141" t="s">
        <v>839</v>
      </c>
      <c r="C1111" s="130">
        <f>SUM(N1111:N1117)</f>
        <v>0</v>
      </c>
      <c r="D1111" s="130">
        <f>SUM(O1111:O1117)</f>
        <v>0</v>
      </c>
      <c r="E1111" s="130">
        <f t="shared" si="335"/>
        <v>0</v>
      </c>
      <c r="F1111" s="130"/>
      <c r="G1111" s="60" t="s">
        <v>125</v>
      </c>
      <c r="H1111" s="123"/>
      <c r="I1111" s="123"/>
      <c r="J1111" s="60"/>
      <c r="K1111" s="60"/>
      <c r="L1111" s="60"/>
      <c r="M1111" s="60"/>
      <c r="N1111" s="60">
        <f>M1111*J1111*K1111*L1111</f>
        <v>0</v>
      </c>
      <c r="O1111" s="60">
        <f>J1111*K1111*L1111</f>
        <v>0</v>
      </c>
    </row>
    <row r="1112" spans="1:15" s="38" customFormat="1" ht="11.45" customHeight="1" outlineLevel="1" x14ac:dyDescent="0.25">
      <c r="A1112" s="124"/>
      <c r="B1112" s="142"/>
      <c r="C1112" s="115"/>
      <c r="D1112" s="115"/>
      <c r="E1112" s="115"/>
      <c r="F1112" s="115"/>
      <c r="G1112" s="60" t="s">
        <v>126</v>
      </c>
      <c r="H1112" s="124"/>
      <c r="I1112" s="124"/>
      <c r="J1112" s="60"/>
      <c r="K1112" s="60"/>
      <c r="L1112" s="60"/>
      <c r="M1112" s="60"/>
      <c r="N1112" s="60">
        <f t="shared" ref="N1112:N1117" si="340">M1112*J1112*K1112*L1112</f>
        <v>0</v>
      </c>
      <c r="O1112" s="60">
        <f t="shared" ref="O1112:O1117" si="341">J1112*K1112*L1112</f>
        <v>0</v>
      </c>
    </row>
    <row r="1113" spans="1:15" s="38" customFormat="1" ht="10.7" customHeight="1" outlineLevel="1" x14ac:dyDescent="0.25">
      <c r="A1113" s="124"/>
      <c r="B1113" s="142"/>
      <c r="C1113" s="115"/>
      <c r="D1113" s="115"/>
      <c r="E1113" s="115"/>
      <c r="F1113" s="115"/>
      <c r="G1113" s="60" t="s">
        <v>127</v>
      </c>
      <c r="H1113" s="124"/>
      <c r="I1113" s="124"/>
      <c r="J1113" s="60"/>
      <c r="K1113" s="60"/>
      <c r="L1113" s="60"/>
      <c r="M1113" s="60"/>
      <c r="N1113" s="60">
        <f t="shared" si="340"/>
        <v>0</v>
      </c>
      <c r="O1113" s="60">
        <f t="shared" si="341"/>
        <v>0</v>
      </c>
    </row>
    <row r="1114" spans="1:15" s="38" customFormat="1" ht="10.7" customHeight="1" outlineLevel="1" x14ac:dyDescent="0.25">
      <c r="A1114" s="124"/>
      <c r="B1114" s="142"/>
      <c r="C1114" s="115"/>
      <c r="D1114" s="115"/>
      <c r="E1114" s="115"/>
      <c r="F1114" s="115"/>
      <c r="G1114" s="60" t="s">
        <v>128</v>
      </c>
      <c r="H1114" s="124"/>
      <c r="I1114" s="124"/>
      <c r="J1114" s="60"/>
      <c r="K1114" s="60"/>
      <c r="L1114" s="60"/>
      <c r="M1114" s="60"/>
      <c r="N1114" s="60">
        <f t="shared" si="340"/>
        <v>0</v>
      </c>
      <c r="O1114" s="60">
        <f t="shared" si="341"/>
        <v>0</v>
      </c>
    </row>
    <row r="1115" spans="1:15" s="38" customFormat="1" ht="10.7" customHeight="1" outlineLevel="1" x14ac:dyDescent="0.25">
      <c r="A1115" s="124"/>
      <c r="B1115" s="142"/>
      <c r="C1115" s="115"/>
      <c r="D1115" s="115"/>
      <c r="E1115" s="115"/>
      <c r="F1115" s="115"/>
      <c r="G1115" s="60" t="s">
        <v>129</v>
      </c>
      <c r="H1115" s="124"/>
      <c r="I1115" s="124"/>
      <c r="J1115" s="60"/>
      <c r="K1115" s="60"/>
      <c r="L1115" s="60"/>
      <c r="M1115" s="60"/>
      <c r="N1115" s="60">
        <f t="shared" si="340"/>
        <v>0</v>
      </c>
      <c r="O1115" s="60">
        <f t="shared" si="341"/>
        <v>0</v>
      </c>
    </row>
    <row r="1116" spans="1:15" s="38" customFormat="1" ht="10.7" customHeight="1" outlineLevel="1" x14ac:dyDescent="0.25">
      <c r="A1116" s="124"/>
      <c r="B1116" s="142"/>
      <c r="C1116" s="115"/>
      <c r="D1116" s="115"/>
      <c r="E1116" s="115"/>
      <c r="F1116" s="115"/>
      <c r="G1116" s="60" t="s">
        <v>130</v>
      </c>
      <c r="H1116" s="124"/>
      <c r="I1116" s="124"/>
      <c r="J1116" s="60"/>
      <c r="K1116" s="60"/>
      <c r="L1116" s="60"/>
      <c r="M1116" s="60"/>
      <c r="N1116" s="60">
        <f t="shared" si="340"/>
        <v>0</v>
      </c>
      <c r="O1116" s="60">
        <f t="shared" si="341"/>
        <v>0</v>
      </c>
    </row>
    <row r="1117" spans="1:15" s="38" customFormat="1" ht="12" customHeight="1" outlineLevel="1" thickBot="1" x14ac:dyDescent="0.3">
      <c r="A1117" s="125"/>
      <c r="B1117" s="143"/>
      <c r="C1117" s="131"/>
      <c r="D1117" s="131"/>
      <c r="E1117" s="131"/>
      <c r="F1117" s="131"/>
      <c r="G1117" s="60" t="s">
        <v>131</v>
      </c>
      <c r="H1117" s="134"/>
      <c r="I1117" s="134"/>
      <c r="J1117" s="60"/>
      <c r="K1117" s="60"/>
      <c r="L1117" s="60"/>
      <c r="M1117" s="60"/>
      <c r="N1117" s="60">
        <f t="shared" si="340"/>
        <v>0</v>
      </c>
      <c r="O1117" s="60">
        <f t="shared" si="341"/>
        <v>0</v>
      </c>
    </row>
    <row r="1118" spans="1:15" s="38" customFormat="1" ht="14.45" customHeight="1" outlineLevel="1" x14ac:dyDescent="0.25">
      <c r="A1118" s="140" t="s">
        <v>840</v>
      </c>
      <c r="B1118" s="141" t="s">
        <v>841</v>
      </c>
      <c r="C1118" s="130">
        <f>SUM(N1118:N1124)</f>
        <v>0</v>
      </c>
      <c r="D1118" s="130">
        <f>SUM(O1118:O1124)</f>
        <v>0</v>
      </c>
      <c r="E1118" s="130">
        <f t="shared" si="335"/>
        <v>0</v>
      </c>
      <c r="F1118" s="130"/>
      <c r="G1118" s="60" t="s">
        <v>125</v>
      </c>
      <c r="H1118" s="123"/>
      <c r="I1118" s="123"/>
      <c r="J1118" s="60"/>
      <c r="K1118" s="60"/>
      <c r="L1118" s="60"/>
      <c r="M1118" s="60"/>
      <c r="N1118" s="60">
        <f>M1118*J1118*K1118*L1118</f>
        <v>0</v>
      </c>
      <c r="O1118" s="60">
        <f>J1118*K1118*L1118</f>
        <v>0</v>
      </c>
    </row>
    <row r="1119" spans="1:15" s="38" customFormat="1" ht="11.45" customHeight="1" outlineLevel="1" x14ac:dyDescent="0.25">
      <c r="A1119" s="124"/>
      <c r="B1119" s="142"/>
      <c r="C1119" s="115"/>
      <c r="D1119" s="115"/>
      <c r="E1119" s="115"/>
      <c r="F1119" s="115"/>
      <c r="G1119" s="60" t="s">
        <v>126</v>
      </c>
      <c r="H1119" s="124"/>
      <c r="I1119" s="124"/>
      <c r="J1119" s="60"/>
      <c r="K1119" s="60"/>
      <c r="L1119" s="60"/>
      <c r="M1119" s="60"/>
      <c r="N1119" s="60">
        <f t="shared" ref="N1119:N1124" si="342">M1119*J1119*K1119*L1119</f>
        <v>0</v>
      </c>
      <c r="O1119" s="60">
        <f t="shared" ref="O1119:O1124" si="343">J1119*K1119*L1119</f>
        <v>0</v>
      </c>
    </row>
    <row r="1120" spans="1:15" s="38" customFormat="1" ht="10.7" customHeight="1" outlineLevel="1" x14ac:dyDescent="0.25">
      <c r="A1120" s="124"/>
      <c r="B1120" s="142"/>
      <c r="C1120" s="115"/>
      <c r="D1120" s="115"/>
      <c r="E1120" s="115"/>
      <c r="F1120" s="115"/>
      <c r="G1120" s="60" t="s">
        <v>127</v>
      </c>
      <c r="H1120" s="124"/>
      <c r="I1120" s="124"/>
      <c r="J1120" s="60"/>
      <c r="K1120" s="60"/>
      <c r="L1120" s="60"/>
      <c r="M1120" s="60"/>
      <c r="N1120" s="60">
        <f t="shared" si="342"/>
        <v>0</v>
      </c>
      <c r="O1120" s="60">
        <f t="shared" si="343"/>
        <v>0</v>
      </c>
    </row>
    <row r="1121" spans="1:15" s="38" customFormat="1" ht="10.7" customHeight="1" outlineLevel="1" x14ac:dyDescent="0.25">
      <c r="A1121" s="124"/>
      <c r="B1121" s="142"/>
      <c r="C1121" s="115"/>
      <c r="D1121" s="115"/>
      <c r="E1121" s="115"/>
      <c r="F1121" s="115"/>
      <c r="G1121" s="60" t="s">
        <v>128</v>
      </c>
      <c r="H1121" s="124"/>
      <c r="I1121" s="124"/>
      <c r="J1121" s="60"/>
      <c r="K1121" s="60"/>
      <c r="L1121" s="60"/>
      <c r="M1121" s="60"/>
      <c r="N1121" s="60">
        <f t="shared" si="342"/>
        <v>0</v>
      </c>
      <c r="O1121" s="60">
        <f t="shared" si="343"/>
        <v>0</v>
      </c>
    </row>
    <row r="1122" spans="1:15" s="38" customFormat="1" ht="10.7" customHeight="1" outlineLevel="1" x14ac:dyDescent="0.25">
      <c r="A1122" s="124"/>
      <c r="B1122" s="142"/>
      <c r="C1122" s="115"/>
      <c r="D1122" s="115"/>
      <c r="E1122" s="115"/>
      <c r="F1122" s="115"/>
      <c r="G1122" s="60" t="s">
        <v>129</v>
      </c>
      <c r="H1122" s="124"/>
      <c r="I1122" s="124"/>
      <c r="J1122" s="60"/>
      <c r="K1122" s="60"/>
      <c r="L1122" s="60"/>
      <c r="M1122" s="60"/>
      <c r="N1122" s="60">
        <f t="shared" si="342"/>
        <v>0</v>
      </c>
      <c r="O1122" s="60">
        <f t="shared" si="343"/>
        <v>0</v>
      </c>
    </row>
    <row r="1123" spans="1:15" s="38" customFormat="1" ht="10.7" customHeight="1" outlineLevel="1" x14ac:dyDescent="0.25">
      <c r="A1123" s="124"/>
      <c r="B1123" s="142"/>
      <c r="C1123" s="115"/>
      <c r="D1123" s="115"/>
      <c r="E1123" s="115"/>
      <c r="F1123" s="115"/>
      <c r="G1123" s="60" t="s">
        <v>130</v>
      </c>
      <c r="H1123" s="124"/>
      <c r="I1123" s="124"/>
      <c r="J1123" s="60"/>
      <c r="K1123" s="60"/>
      <c r="L1123" s="60"/>
      <c r="M1123" s="60"/>
      <c r="N1123" s="60">
        <f t="shared" si="342"/>
        <v>0</v>
      </c>
      <c r="O1123" s="60">
        <f t="shared" si="343"/>
        <v>0</v>
      </c>
    </row>
    <row r="1124" spans="1:15" s="38" customFormat="1" ht="12" customHeight="1" outlineLevel="1" thickBot="1" x14ac:dyDescent="0.3">
      <c r="A1124" s="125"/>
      <c r="B1124" s="143"/>
      <c r="C1124" s="131"/>
      <c r="D1124" s="131"/>
      <c r="E1124" s="131"/>
      <c r="F1124" s="131"/>
      <c r="G1124" s="60" t="s">
        <v>131</v>
      </c>
      <c r="H1124" s="134"/>
      <c r="I1124" s="134"/>
      <c r="J1124" s="60"/>
      <c r="K1124" s="60"/>
      <c r="L1124" s="60"/>
      <c r="M1124" s="60"/>
      <c r="N1124" s="60">
        <f t="shared" si="342"/>
        <v>0</v>
      </c>
      <c r="O1124" s="60">
        <f t="shared" si="343"/>
        <v>0</v>
      </c>
    </row>
    <row r="1125" spans="1:15" s="38" customFormat="1" ht="14.45" customHeight="1" outlineLevel="1" x14ac:dyDescent="0.25">
      <c r="A1125" s="140" t="s">
        <v>842</v>
      </c>
      <c r="B1125" s="141" t="s">
        <v>843</v>
      </c>
      <c r="C1125" s="130">
        <f>SUM(N1125:N1131)</f>
        <v>0</v>
      </c>
      <c r="D1125" s="130">
        <f>SUM(O1125:O1131)</f>
        <v>0</v>
      </c>
      <c r="E1125" s="130">
        <f t="shared" si="335"/>
        <v>0</v>
      </c>
      <c r="F1125" s="130"/>
      <c r="G1125" s="60" t="s">
        <v>125</v>
      </c>
      <c r="H1125" s="123"/>
      <c r="I1125" s="123"/>
      <c r="J1125" s="60"/>
      <c r="K1125" s="60"/>
      <c r="L1125" s="60"/>
      <c r="M1125" s="60"/>
      <c r="N1125" s="60">
        <f>M1125*J1125*K1125*L1125</f>
        <v>0</v>
      </c>
      <c r="O1125" s="60">
        <f>J1125*K1125*L1125</f>
        <v>0</v>
      </c>
    </row>
    <row r="1126" spans="1:15" s="38" customFormat="1" ht="11.45" customHeight="1" outlineLevel="1" x14ac:dyDescent="0.25">
      <c r="A1126" s="124"/>
      <c r="B1126" s="142"/>
      <c r="C1126" s="115"/>
      <c r="D1126" s="115"/>
      <c r="E1126" s="115"/>
      <c r="F1126" s="115"/>
      <c r="G1126" s="60" t="s">
        <v>126</v>
      </c>
      <c r="H1126" s="124"/>
      <c r="I1126" s="124"/>
      <c r="J1126" s="60"/>
      <c r="K1126" s="60"/>
      <c r="L1126" s="60"/>
      <c r="M1126" s="60"/>
      <c r="N1126" s="60">
        <f t="shared" ref="N1126:N1131" si="344">M1126*J1126*K1126*L1126</f>
        <v>0</v>
      </c>
      <c r="O1126" s="60">
        <f t="shared" ref="O1126:O1131" si="345">J1126*K1126*L1126</f>
        <v>0</v>
      </c>
    </row>
    <row r="1127" spans="1:15" s="38" customFormat="1" ht="10.7" customHeight="1" outlineLevel="1" x14ac:dyDescent="0.25">
      <c r="A1127" s="124"/>
      <c r="B1127" s="142"/>
      <c r="C1127" s="115"/>
      <c r="D1127" s="115"/>
      <c r="E1127" s="115"/>
      <c r="F1127" s="115"/>
      <c r="G1127" s="60" t="s">
        <v>127</v>
      </c>
      <c r="H1127" s="124"/>
      <c r="I1127" s="124"/>
      <c r="J1127" s="60"/>
      <c r="K1127" s="60"/>
      <c r="L1127" s="60"/>
      <c r="M1127" s="60"/>
      <c r="N1127" s="60">
        <f t="shared" si="344"/>
        <v>0</v>
      </c>
      <c r="O1127" s="60">
        <f t="shared" si="345"/>
        <v>0</v>
      </c>
    </row>
    <row r="1128" spans="1:15" s="38" customFormat="1" ht="10.7" customHeight="1" outlineLevel="1" x14ac:dyDescent="0.25">
      <c r="A1128" s="124"/>
      <c r="B1128" s="142"/>
      <c r="C1128" s="115"/>
      <c r="D1128" s="115"/>
      <c r="E1128" s="115"/>
      <c r="F1128" s="115"/>
      <c r="G1128" s="60" t="s">
        <v>128</v>
      </c>
      <c r="H1128" s="124"/>
      <c r="I1128" s="124"/>
      <c r="J1128" s="60"/>
      <c r="K1128" s="60"/>
      <c r="L1128" s="60"/>
      <c r="M1128" s="60"/>
      <c r="N1128" s="60">
        <f t="shared" si="344"/>
        <v>0</v>
      </c>
      <c r="O1128" s="60">
        <f t="shared" si="345"/>
        <v>0</v>
      </c>
    </row>
    <row r="1129" spans="1:15" s="38" customFormat="1" ht="10.7" customHeight="1" outlineLevel="1" x14ac:dyDescent="0.25">
      <c r="A1129" s="124"/>
      <c r="B1129" s="142"/>
      <c r="C1129" s="115"/>
      <c r="D1129" s="115"/>
      <c r="E1129" s="115"/>
      <c r="F1129" s="115"/>
      <c r="G1129" s="60" t="s">
        <v>129</v>
      </c>
      <c r="H1129" s="124"/>
      <c r="I1129" s="124"/>
      <c r="J1129" s="60"/>
      <c r="K1129" s="60"/>
      <c r="L1129" s="60"/>
      <c r="M1129" s="60"/>
      <c r="N1129" s="60">
        <f t="shared" si="344"/>
        <v>0</v>
      </c>
      <c r="O1129" s="60">
        <f t="shared" si="345"/>
        <v>0</v>
      </c>
    </row>
    <row r="1130" spans="1:15" s="38" customFormat="1" ht="10.7" customHeight="1" outlineLevel="1" x14ac:dyDescent="0.25">
      <c r="A1130" s="124"/>
      <c r="B1130" s="142"/>
      <c r="C1130" s="115"/>
      <c r="D1130" s="115"/>
      <c r="E1130" s="115"/>
      <c r="F1130" s="115"/>
      <c r="G1130" s="60" t="s">
        <v>130</v>
      </c>
      <c r="H1130" s="124"/>
      <c r="I1130" s="124"/>
      <c r="J1130" s="60"/>
      <c r="K1130" s="60"/>
      <c r="L1130" s="60"/>
      <c r="M1130" s="60"/>
      <c r="N1130" s="60">
        <f t="shared" si="344"/>
        <v>0</v>
      </c>
      <c r="O1130" s="60">
        <f t="shared" si="345"/>
        <v>0</v>
      </c>
    </row>
    <row r="1131" spans="1:15" s="38" customFormat="1" ht="12" customHeight="1" outlineLevel="1" thickBot="1" x14ac:dyDescent="0.3">
      <c r="A1131" s="125"/>
      <c r="B1131" s="143"/>
      <c r="C1131" s="131"/>
      <c r="D1131" s="131"/>
      <c r="E1131" s="131"/>
      <c r="F1131" s="131"/>
      <c r="G1131" s="60" t="s">
        <v>131</v>
      </c>
      <c r="H1131" s="134"/>
      <c r="I1131" s="134"/>
      <c r="J1131" s="60"/>
      <c r="K1131" s="60"/>
      <c r="L1131" s="60"/>
      <c r="M1131" s="60"/>
      <c r="N1131" s="60">
        <f t="shared" si="344"/>
        <v>0</v>
      </c>
      <c r="O1131" s="60">
        <f t="shared" si="345"/>
        <v>0</v>
      </c>
    </row>
    <row r="1132" spans="1:15" s="38" customFormat="1" ht="14.45" customHeight="1" outlineLevel="1" x14ac:dyDescent="0.25">
      <c r="A1132" s="140" t="s">
        <v>844</v>
      </c>
      <c r="B1132" s="141" t="s">
        <v>845</v>
      </c>
      <c r="C1132" s="130">
        <f>SUM(N1132:N1138)</f>
        <v>0</v>
      </c>
      <c r="D1132" s="130">
        <f>SUM(O1132:O1138)</f>
        <v>0</v>
      </c>
      <c r="E1132" s="130">
        <f t="shared" si="335"/>
        <v>0</v>
      </c>
      <c r="F1132" s="130"/>
      <c r="G1132" s="60" t="s">
        <v>125</v>
      </c>
      <c r="H1132" s="123"/>
      <c r="I1132" s="123"/>
      <c r="J1132" s="60"/>
      <c r="K1132" s="60"/>
      <c r="L1132" s="60"/>
      <c r="M1132" s="60"/>
      <c r="N1132" s="60">
        <f>M1132*J1132*K1132*L1132</f>
        <v>0</v>
      </c>
      <c r="O1132" s="60">
        <f>J1132*K1132*L1132</f>
        <v>0</v>
      </c>
    </row>
    <row r="1133" spans="1:15" s="38" customFormat="1" ht="11.45" customHeight="1" outlineLevel="1" x14ac:dyDescent="0.25">
      <c r="A1133" s="124"/>
      <c r="B1133" s="142"/>
      <c r="C1133" s="115"/>
      <c r="D1133" s="115"/>
      <c r="E1133" s="115"/>
      <c r="F1133" s="115"/>
      <c r="G1133" s="60" t="s">
        <v>126</v>
      </c>
      <c r="H1133" s="124"/>
      <c r="I1133" s="124"/>
      <c r="J1133" s="60"/>
      <c r="K1133" s="60"/>
      <c r="L1133" s="60"/>
      <c r="M1133" s="60"/>
      <c r="N1133" s="60">
        <f t="shared" ref="N1133:N1138" si="346">M1133*J1133*K1133*L1133</f>
        <v>0</v>
      </c>
      <c r="O1133" s="60">
        <f t="shared" ref="O1133:O1138" si="347">J1133*K1133*L1133</f>
        <v>0</v>
      </c>
    </row>
    <row r="1134" spans="1:15" s="38" customFormat="1" ht="10.7" customHeight="1" outlineLevel="1" x14ac:dyDescent="0.25">
      <c r="A1134" s="124"/>
      <c r="B1134" s="142"/>
      <c r="C1134" s="115"/>
      <c r="D1134" s="115"/>
      <c r="E1134" s="115"/>
      <c r="F1134" s="115"/>
      <c r="G1134" s="60" t="s">
        <v>127</v>
      </c>
      <c r="H1134" s="124"/>
      <c r="I1134" s="124"/>
      <c r="J1134" s="60"/>
      <c r="K1134" s="60"/>
      <c r="L1134" s="60"/>
      <c r="M1134" s="60"/>
      <c r="N1134" s="60">
        <f t="shared" si="346"/>
        <v>0</v>
      </c>
      <c r="O1134" s="60">
        <f t="shared" si="347"/>
        <v>0</v>
      </c>
    </row>
    <row r="1135" spans="1:15" s="38" customFormat="1" ht="10.7" customHeight="1" outlineLevel="1" x14ac:dyDescent="0.25">
      <c r="A1135" s="124"/>
      <c r="B1135" s="142"/>
      <c r="C1135" s="115"/>
      <c r="D1135" s="115"/>
      <c r="E1135" s="115"/>
      <c r="F1135" s="115"/>
      <c r="G1135" s="60" t="s">
        <v>128</v>
      </c>
      <c r="H1135" s="124"/>
      <c r="I1135" s="124"/>
      <c r="J1135" s="60"/>
      <c r="K1135" s="60"/>
      <c r="L1135" s="60"/>
      <c r="M1135" s="60"/>
      <c r="N1135" s="60">
        <f t="shared" si="346"/>
        <v>0</v>
      </c>
      <c r="O1135" s="60">
        <f t="shared" si="347"/>
        <v>0</v>
      </c>
    </row>
    <row r="1136" spans="1:15" s="38" customFormat="1" ht="10.7" customHeight="1" outlineLevel="1" x14ac:dyDescent="0.25">
      <c r="A1136" s="124"/>
      <c r="B1136" s="142"/>
      <c r="C1136" s="115"/>
      <c r="D1136" s="115"/>
      <c r="E1136" s="115"/>
      <c r="F1136" s="115"/>
      <c r="G1136" s="60" t="s">
        <v>129</v>
      </c>
      <c r="H1136" s="124"/>
      <c r="I1136" s="124"/>
      <c r="J1136" s="60"/>
      <c r="K1136" s="60"/>
      <c r="L1136" s="60"/>
      <c r="M1136" s="60"/>
      <c r="N1136" s="60">
        <f t="shared" si="346"/>
        <v>0</v>
      </c>
      <c r="O1136" s="60">
        <f t="shared" si="347"/>
        <v>0</v>
      </c>
    </row>
    <row r="1137" spans="1:15" s="38" customFormat="1" ht="10.7" customHeight="1" outlineLevel="1" x14ac:dyDescent="0.25">
      <c r="A1137" s="124"/>
      <c r="B1137" s="142"/>
      <c r="C1137" s="115"/>
      <c r="D1137" s="115"/>
      <c r="E1137" s="115"/>
      <c r="F1137" s="115"/>
      <c r="G1137" s="60" t="s">
        <v>130</v>
      </c>
      <c r="H1137" s="124"/>
      <c r="I1137" s="124"/>
      <c r="J1137" s="60"/>
      <c r="K1137" s="60"/>
      <c r="L1137" s="60"/>
      <c r="M1137" s="60"/>
      <c r="N1137" s="60">
        <f t="shared" si="346"/>
        <v>0</v>
      </c>
      <c r="O1137" s="60">
        <f t="shared" si="347"/>
        <v>0</v>
      </c>
    </row>
    <row r="1138" spans="1:15" s="38" customFormat="1" ht="12" customHeight="1" outlineLevel="1" thickBot="1" x14ac:dyDescent="0.3">
      <c r="A1138" s="125"/>
      <c r="B1138" s="143"/>
      <c r="C1138" s="131"/>
      <c r="D1138" s="131"/>
      <c r="E1138" s="131"/>
      <c r="F1138" s="131"/>
      <c r="G1138" s="60" t="s">
        <v>131</v>
      </c>
      <c r="H1138" s="134"/>
      <c r="I1138" s="134"/>
      <c r="J1138" s="60"/>
      <c r="K1138" s="60"/>
      <c r="L1138" s="60"/>
      <c r="M1138" s="60"/>
      <c r="N1138" s="60">
        <f t="shared" si="346"/>
        <v>0</v>
      </c>
      <c r="O1138" s="60">
        <f t="shared" si="347"/>
        <v>0</v>
      </c>
    </row>
    <row r="1139" spans="1:15" s="38" customFormat="1" ht="14.45" customHeight="1" outlineLevel="1" x14ac:dyDescent="0.25">
      <c r="A1139" s="140" t="s">
        <v>846</v>
      </c>
      <c r="B1139" s="141" t="s">
        <v>847</v>
      </c>
      <c r="C1139" s="130">
        <f>SUM(N1139:N1145)</f>
        <v>0</v>
      </c>
      <c r="D1139" s="130">
        <f>SUM(O1139:O1145)</f>
        <v>0</v>
      </c>
      <c r="E1139" s="130">
        <f t="shared" si="335"/>
        <v>0</v>
      </c>
      <c r="F1139" s="130"/>
      <c r="G1139" s="60" t="s">
        <v>125</v>
      </c>
      <c r="H1139" s="123"/>
      <c r="I1139" s="123"/>
      <c r="J1139" s="60"/>
      <c r="K1139" s="60"/>
      <c r="L1139" s="60"/>
      <c r="M1139" s="60"/>
      <c r="N1139" s="60">
        <f>M1139*J1139*K1139*L1139</f>
        <v>0</v>
      </c>
      <c r="O1139" s="60">
        <f>J1139*K1139*L1139</f>
        <v>0</v>
      </c>
    </row>
    <row r="1140" spans="1:15" s="38" customFormat="1" ht="11.45" customHeight="1" outlineLevel="1" x14ac:dyDescent="0.25">
      <c r="A1140" s="124"/>
      <c r="B1140" s="142"/>
      <c r="C1140" s="115"/>
      <c r="D1140" s="115"/>
      <c r="E1140" s="115"/>
      <c r="F1140" s="115"/>
      <c r="G1140" s="60" t="s">
        <v>126</v>
      </c>
      <c r="H1140" s="124"/>
      <c r="I1140" s="124"/>
      <c r="J1140" s="60"/>
      <c r="K1140" s="60"/>
      <c r="L1140" s="60"/>
      <c r="M1140" s="60"/>
      <c r="N1140" s="60">
        <f t="shared" ref="N1140:N1145" si="348">M1140*J1140*K1140*L1140</f>
        <v>0</v>
      </c>
      <c r="O1140" s="60">
        <f t="shared" ref="O1140:O1145" si="349">J1140*K1140*L1140</f>
        <v>0</v>
      </c>
    </row>
    <row r="1141" spans="1:15" s="38" customFormat="1" ht="10.7" customHeight="1" outlineLevel="1" x14ac:dyDescent="0.25">
      <c r="A1141" s="124"/>
      <c r="B1141" s="142"/>
      <c r="C1141" s="115"/>
      <c r="D1141" s="115"/>
      <c r="E1141" s="115"/>
      <c r="F1141" s="115"/>
      <c r="G1141" s="60" t="s">
        <v>127</v>
      </c>
      <c r="H1141" s="124"/>
      <c r="I1141" s="124"/>
      <c r="J1141" s="60"/>
      <c r="K1141" s="60"/>
      <c r="L1141" s="60"/>
      <c r="M1141" s="60"/>
      <c r="N1141" s="60">
        <f t="shared" si="348"/>
        <v>0</v>
      </c>
      <c r="O1141" s="60">
        <f t="shared" si="349"/>
        <v>0</v>
      </c>
    </row>
    <row r="1142" spans="1:15" s="38" customFormat="1" ht="10.7" customHeight="1" outlineLevel="1" x14ac:dyDescent="0.25">
      <c r="A1142" s="124"/>
      <c r="B1142" s="142"/>
      <c r="C1142" s="115"/>
      <c r="D1142" s="115"/>
      <c r="E1142" s="115"/>
      <c r="F1142" s="115"/>
      <c r="G1142" s="60" t="s">
        <v>128</v>
      </c>
      <c r="H1142" s="124"/>
      <c r="I1142" s="124"/>
      <c r="J1142" s="60"/>
      <c r="K1142" s="60"/>
      <c r="L1142" s="60"/>
      <c r="M1142" s="60"/>
      <c r="N1142" s="60">
        <f t="shared" si="348"/>
        <v>0</v>
      </c>
      <c r="O1142" s="60">
        <f t="shared" si="349"/>
        <v>0</v>
      </c>
    </row>
    <row r="1143" spans="1:15" s="38" customFormat="1" ht="10.7" customHeight="1" outlineLevel="1" x14ac:dyDescent="0.25">
      <c r="A1143" s="124"/>
      <c r="B1143" s="142"/>
      <c r="C1143" s="115"/>
      <c r="D1143" s="115"/>
      <c r="E1143" s="115"/>
      <c r="F1143" s="115"/>
      <c r="G1143" s="60" t="s">
        <v>129</v>
      </c>
      <c r="H1143" s="124"/>
      <c r="I1143" s="124"/>
      <c r="J1143" s="60"/>
      <c r="K1143" s="60"/>
      <c r="L1143" s="60"/>
      <c r="M1143" s="60"/>
      <c r="N1143" s="60">
        <f t="shared" si="348"/>
        <v>0</v>
      </c>
      <c r="O1143" s="60">
        <f t="shared" si="349"/>
        <v>0</v>
      </c>
    </row>
    <row r="1144" spans="1:15" s="38" customFormat="1" ht="10.7" customHeight="1" outlineLevel="1" x14ac:dyDescent="0.25">
      <c r="A1144" s="124"/>
      <c r="B1144" s="142"/>
      <c r="C1144" s="115"/>
      <c r="D1144" s="115"/>
      <c r="E1144" s="115"/>
      <c r="F1144" s="115"/>
      <c r="G1144" s="60" t="s">
        <v>130</v>
      </c>
      <c r="H1144" s="124"/>
      <c r="I1144" s="124"/>
      <c r="J1144" s="60"/>
      <c r="K1144" s="60"/>
      <c r="L1144" s="60"/>
      <c r="M1144" s="60"/>
      <c r="N1144" s="60">
        <f t="shared" si="348"/>
        <v>0</v>
      </c>
      <c r="O1144" s="60">
        <f t="shared" si="349"/>
        <v>0</v>
      </c>
    </row>
    <row r="1145" spans="1:15" s="38" customFormat="1" ht="12" customHeight="1" outlineLevel="1" thickBot="1" x14ac:dyDescent="0.3">
      <c r="A1145" s="125"/>
      <c r="B1145" s="143"/>
      <c r="C1145" s="131"/>
      <c r="D1145" s="131"/>
      <c r="E1145" s="131"/>
      <c r="F1145" s="131"/>
      <c r="G1145" s="60" t="s">
        <v>131</v>
      </c>
      <c r="H1145" s="134"/>
      <c r="I1145" s="134"/>
      <c r="J1145" s="60"/>
      <c r="K1145" s="60"/>
      <c r="L1145" s="60"/>
      <c r="M1145" s="60"/>
      <c r="N1145" s="60">
        <f t="shared" si="348"/>
        <v>0</v>
      </c>
      <c r="O1145" s="60">
        <f t="shared" si="349"/>
        <v>0</v>
      </c>
    </row>
    <row r="1146" spans="1:15" s="38" customFormat="1" ht="14.45" customHeight="1" outlineLevel="1" x14ac:dyDescent="0.25">
      <c r="A1146" s="140" t="s">
        <v>848</v>
      </c>
      <c r="B1146" s="141" t="s">
        <v>849</v>
      </c>
      <c r="C1146" s="130">
        <f>SUM(N1146:N1152)</f>
        <v>0</v>
      </c>
      <c r="D1146" s="130">
        <f>SUM(O1146:O1152)</f>
        <v>0</v>
      </c>
      <c r="E1146" s="130">
        <f t="shared" si="335"/>
        <v>0</v>
      </c>
      <c r="F1146" s="130"/>
      <c r="G1146" s="60" t="s">
        <v>125</v>
      </c>
      <c r="H1146" s="123"/>
      <c r="I1146" s="123"/>
      <c r="J1146" s="60"/>
      <c r="K1146" s="60"/>
      <c r="L1146" s="60"/>
      <c r="M1146" s="60"/>
      <c r="N1146" s="60">
        <f>M1146*J1146*K1146*L1146</f>
        <v>0</v>
      </c>
      <c r="O1146" s="60">
        <f>J1146*K1146*L1146</f>
        <v>0</v>
      </c>
    </row>
    <row r="1147" spans="1:15" s="38" customFormat="1" ht="11.45" customHeight="1" outlineLevel="1" x14ac:dyDescent="0.25">
      <c r="A1147" s="124"/>
      <c r="B1147" s="142"/>
      <c r="C1147" s="115"/>
      <c r="D1147" s="115"/>
      <c r="E1147" s="115"/>
      <c r="F1147" s="115"/>
      <c r="G1147" s="60" t="s">
        <v>126</v>
      </c>
      <c r="H1147" s="124"/>
      <c r="I1147" s="124"/>
      <c r="J1147" s="60"/>
      <c r="K1147" s="60"/>
      <c r="L1147" s="60"/>
      <c r="M1147" s="60"/>
      <c r="N1147" s="60">
        <f t="shared" ref="N1147:N1152" si="350">M1147*J1147*K1147*L1147</f>
        <v>0</v>
      </c>
      <c r="O1147" s="60">
        <f t="shared" ref="O1147:O1152" si="351">J1147*K1147*L1147</f>
        <v>0</v>
      </c>
    </row>
    <row r="1148" spans="1:15" s="38" customFormat="1" ht="10.7" customHeight="1" outlineLevel="1" x14ac:dyDescent="0.25">
      <c r="A1148" s="124"/>
      <c r="B1148" s="142"/>
      <c r="C1148" s="115"/>
      <c r="D1148" s="115"/>
      <c r="E1148" s="115"/>
      <c r="F1148" s="115"/>
      <c r="G1148" s="60" t="s">
        <v>127</v>
      </c>
      <c r="H1148" s="124"/>
      <c r="I1148" s="124"/>
      <c r="J1148" s="60"/>
      <c r="K1148" s="60"/>
      <c r="L1148" s="60"/>
      <c r="M1148" s="60"/>
      <c r="N1148" s="60">
        <f t="shared" si="350"/>
        <v>0</v>
      </c>
      <c r="O1148" s="60">
        <f t="shared" si="351"/>
        <v>0</v>
      </c>
    </row>
    <row r="1149" spans="1:15" s="38" customFormat="1" ht="10.7" customHeight="1" outlineLevel="1" x14ac:dyDescent="0.25">
      <c r="A1149" s="124"/>
      <c r="B1149" s="142"/>
      <c r="C1149" s="115"/>
      <c r="D1149" s="115"/>
      <c r="E1149" s="115"/>
      <c r="F1149" s="115"/>
      <c r="G1149" s="60" t="s">
        <v>128</v>
      </c>
      <c r="H1149" s="124"/>
      <c r="I1149" s="124"/>
      <c r="J1149" s="60"/>
      <c r="K1149" s="60"/>
      <c r="L1149" s="60"/>
      <c r="M1149" s="60"/>
      <c r="N1149" s="60">
        <f t="shared" si="350"/>
        <v>0</v>
      </c>
      <c r="O1149" s="60">
        <f t="shared" si="351"/>
        <v>0</v>
      </c>
    </row>
    <row r="1150" spans="1:15" s="38" customFormat="1" ht="10.7" customHeight="1" outlineLevel="1" x14ac:dyDescent="0.25">
      <c r="A1150" s="124"/>
      <c r="B1150" s="142"/>
      <c r="C1150" s="115"/>
      <c r="D1150" s="115"/>
      <c r="E1150" s="115"/>
      <c r="F1150" s="115"/>
      <c r="G1150" s="60" t="s">
        <v>129</v>
      </c>
      <c r="H1150" s="124"/>
      <c r="I1150" s="124"/>
      <c r="J1150" s="60"/>
      <c r="K1150" s="60"/>
      <c r="L1150" s="60"/>
      <c r="M1150" s="60"/>
      <c r="N1150" s="60">
        <f t="shared" si="350"/>
        <v>0</v>
      </c>
      <c r="O1150" s="60">
        <f t="shared" si="351"/>
        <v>0</v>
      </c>
    </row>
    <row r="1151" spans="1:15" s="38" customFormat="1" ht="10.7" customHeight="1" outlineLevel="1" x14ac:dyDescent="0.25">
      <c r="A1151" s="124"/>
      <c r="B1151" s="142"/>
      <c r="C1151" s="115"/>
      <c r="D1151" s="115"/>
      <c r="E1151" s="115"/>
      <c r="F1151" s="115"/>
      <c r="G1151" s="60" t="s">
        <v>130</v>
      </c>
      <c r="H1151" s="124"/>
      <c r="I1151" s="124"/>
      <c r="J1151" s="60"/>
      <c r="K1151" s="60"/>
      <c r="L1151" s="60"/>
      <c r="M1151" s="60"/>
      <c r="N1151" s="60">
        <f t="shared" si="350"/>
        <v>0</v>
      </c>
      <c r="O1151" s="60">
        <f t="shared" si="351"/>
        <v>0</v>
      </c>
    </row>
    <row r="1152" spans="1:15" s="38" customFormat="1" ht="12" customHeight="1" outlineLevel="1" thickBot="1" x14ac:dyDescent="0.3">
      <c r="A1152" s="125"/>
      <c r="B1152" s="143"/>
      <c r="C1152" s="131"/>
      <c r="D1152" s="131"/>
      <c r="E1152" s="131"/>
      <c r="F1152" s="131"/>
      <c r="G1152" s="60" t="s">
        <v>131</v>
      </c>
      <c r="H1152" s="134"/>
      <c r="I1152" s="134"/>
      <c r="J1152" s="60"/>
      <c r="K1152" s="60"/>
      <c r="L1152" s="60"/>
      <c r="M1152" s="60"/>
      <c r="N1152" s="60">
        <f t="shared" si="350"/>
        <v>0</v>
      </c>
      <c r="O1152" s="60">
        <f t="shared" si="351"/>
        <v>0</v>
      </c>
    </row>
    <row r="1153" spans="1:15" s="38" customFormat="1" ht="14.45" customHeight="1" outlineLevel="1" x14ac:dyDescent="0.25">
      <c r="A1153" s="140" t="s">
        <v>850</v>
      </c>
      <c r="B1153" s="141" t="s">
        <v>851</v>
      </c>
      <c r="C1153" s="130">
        <f>SUM(N1153:N1159)</f>
        <v>0</v>
      </c>
      <c r="D1153" s="130">
        <f>SUM(O1153:O1159)</f>
        <v>0</v>
      </c>
      <c r="E1153" s="130">
        <f t="shared" si="335"/>
        <v>0</v>
      </c>
      <c r="F1153" s="130"/>
      <c r="G1153" s="60" t="s">
        <v>125</v>
      </c>
      <c r="H1153" s="123"/>
      <c r="I1153" s="123"/>
      <c r="J1153" s="60"/>
      <c r="K1153" s="60"/>
      <c r="L1153" s="60"/>
      <c r="M1153" s="60"/>
      <c r="N1153" s="60">
        <f>M1153*J1153*K1153*L1153</f>
        <v>0</v>
      </c>
      <c r="O1153" s="60">
        <f>J1153*K1153*L1153</f>
        <v>0</v>
      </c>
    </row>
    <row r="1154" spans="1:15" s="38" customFormat="1" ht="11.45" customHeight="1" outlineLevel="1" x14ac:dyDescent="0.25">
      <c r="A1154" s="124"/>
      <c r="B1154" s="142"/>
      <c r="C1154" s="115"/>
      <c r="D1154" s="115"/>
      <c r="E1154" s="115"/>
      <c r="F1154" s="115"/>
      <c r="G1154" s="60" t="s">
        <v>126</v>
      </c>
      <c r="H1154" s="124"/>
      <c r="I1154" s="124"/>
      <c r="J1154" s="60"/>
      <c r="K1154" s="60"/>
      <c r="L1154" s="60"/>
      <c r="M1154" s="60"/>
      <c r="N1154" s="60">
        <f t="shared" ref="N1154:N1159" si="352">M1154*J1154*K1154*L1154</f>
        <v>0</v>
      </c>
      <c r="O1154" s="60">
        <f t="shared" ref="O1154:O1159" si="353">J1154*K1154*L1154</f>
        <v>0</v>
      </c>
    </row>
    <row r="1155" spans="1:15" s="38" customFormat="1" ht="10.7" customHeight="1" outlineLevel="1" x14ac:dyDescent="0.25">
      <c r="A1155" s="124"/>
      <c r="B1155" s="142"/>
      <c r="C1155" s="115"/>
      <c r="D1155" s="115"/>
      <c r="E1155" s="115"/>
      <c r="F1155" s="115"/>
      <c r="G1155" s="60" t="s">
        <v>127</v>
      </c>
      <c r="H1155" s="124"/>
      <c r="I1155" s="124"/>
      <c r="J1155" s="60"/>
      <c r="K1155" s="60"/>
      <c r="L1155" s="60"/>
      <c r="M1155" s="60"/>
      <c r="N1155" s="60">
        <f t="shared" si="352"/>
        <v>0</v>
      </c>
      <c r="O1155" s="60">
        <f t="shared" si="353"/>
        <v>0</v>
      </c>
    </row>
    <row r="1156" spans="1:15" s="38" customFormat="1" ht="10.7" customHeight="1" outlineLevel="1" x14ac:dyDescent="0.25">
      <c r="A1156" s="124"/>
      <c r="B1156" s="142"/>
      <c r="C1156" s="115"/>
      <c r="D1156" s="115"/>
      <c r="E1156" s="115"/>
      <c r="F1156" s="115"/>
      <c r="G1156" s="60" t="s">
        <v>128</v>
      </c>
      <c r="H1156" s="124"/>
      <c r="I1156" s="124"/>
      <c r="J1156" s="60"/>
      <c r="K1156" s="60"/>
      <c r="L1156" s="60"/>
      <c r="M1156" s="60"/>
      <c r="N1156" s="60">
        <f t="shared" si="352"/>
        <v>0</v>
      </c>
      <c r="O1156" s="60">
        <f t="shared" si="353"/>
        <v>0</v>
      </c>
    </row>
    <row r="1157" spans="1:15" s="38" customFormat="1" ht="10.7" customHeight="1" outlineLevel="1" x14ac:dyDescent="0.25">
      <c r="A1157" s="124"/>
      <c r="B1157" s="142"/>
      <c r="C1157" s="115"/>
      <c r="D1157" s="115"/>
      <c r="E1157" s="115"/>
      <c r="F1157" s="115"/>
      <c r="G1157" s="60" t="s">
        <v>129</v>
      </c>
      <c r="H1157" s="124"/>
      <c r="I1157" s="124"/>
      <c r="J1157" s="60"/>
      <c r="K1157" s="60"/>
      <c r="L1157" s="60"/>
      <c r="M1157" s="60"/>
      <c r="N1157" s="60">
        <f t="shared" si="352"/>
        <v>0</v>
      </c>
      <c r="O1157" s="60">
        <f t="shared" si="353"/>
        <v>0</v>
      </c>
    </row>
    <row r="1158" spans="1:15" s="38" customFormat="1" ht="10.7" customHeight="1" outlineLevel="1" x14ac:dyDescent="0.25">
      <c r="A1158" s="124"/>
      <c r="B1158" s="142"/>
      <c r="C1158" s="115"/>
      <c r="D1158" s="115"/>
      <c r="E1158" s="115"/>
      <c r="F1158" s="115"/>
      <c r="G1158" s="60" t="s">
        <v>130</v>
      </c>
      <c r="H1158" s="124"/>
      <c r="I1158" s="124"/>
      <c r="J1158" s="60"/>
      <c r="K1158" s="60"/>
      <c r="L1158" s="60"/>
      <c r="M1158" s="60"/>
      <c r="N1158" s="60">
        <f t="shared" si="352"/>
        <v>0</v>
      </c>
      <c r="O1158" s="60">
        <f t="shared" si="353"/>
        <v>0</v>
      </c>
    </row>
    <row r="1159" spans="1:15" s="38" customFormat="1" ht="12" customHeight="1" outlineLevel="1" thickBot="1" x14ac:dyDescent="0.3">
      <c r="A1159" s="125"/>
      <c r="B1159" s="143"/>
      <c r="C1159" s="131"/>
      <c r="D1159" s="131"/>
      <c r="E1159" s="131"/>
      <c r="F1159" s="131"/>
      <c r="G1159" s="60" t="s">
        <v>131</v>
      </c>
      <c r="H1159" s="134"/>
      <c r="I1159" s="134"/>
      <c r="J1159" s="60"/>
      <c r="K1159" s="60"/>
      <c r="L1159" s="60"/>
      <c r="M1159" s="60"/>
      <c r="N1159" s="60">
        <f t="shared" si="352"/>
        <v>0</v>
      </c>
      <c r="O1159" s="60">
        <f t="shared" si="353"/>
        <v>0</v>
      </c>
    </row>
    <row r="1160" spans="1:15" s="38" customFormat="1" ht="14.45" customHeight="1" outlineLevel="1" x14ac:dyDescent="0.25">
      <c r="A1160" s="140" t="s">
        <v>852</v>
      </c>
      <c r="B1160" s="141" t="s">
        <v>853</v>
      </c>
      <c r="C1160" s="130">
        <f>SUM(N1160:N1166)</f>
        <v>0</v>
      </c>
      <c r="D1160" s="130">
        <f>SUM(O1160:O1166)</f>
        <v>0</v>
      </c>
      <c r="E1160" s="130">
        <f t="shared" si="335"/>
        <v>0</v>
      </c>
      <c r="F1160" s="130"/>
      <c r="G1160" s="60" t="s">
        <v>125</v>
      </c>
      <c r="H1160" s="123"/>
      <c r="I1160" s="123"/>
      <c r="J1160" s="60"/>
      <c r="K1160" s="60"/>
      <c r="L1160" s="60"/>
      <c r="M1160" s="60"/>
      <c r="N1160" s="60">
        <f>M1160*J1160*K1160*L1160</f>
        <v>0</v>
      </c>
      <c r="O1160" s="60">
        <f>J1160*K1160*L1160</f>
        <v>0</v>
      </c>
    </row>
    <row r="1161" spans="1:15" s="38" customFormat="1" ht="11.45" customHeight="1" outlineLevel="1" x14ac:dyDescent="0.25">
      <c r="A1161" s="124"/>
      <c r="B1161" s="142"/>
      <c r="C1161" s="115"/>
      <c r="D1161" s="115"/>
      <c r="E1161" s="115"/>
      <c r="F1161" s="115"/>
      <c r="G1161" s="60" t="s">
        <v>126</v>
      </c>
      <c r="H1161" s="124"/>
      <c r="I1161" s="124"/>
      <c r="J1161" s="60"/>
      <c r="K1161" s="60"/>
      <c r="L1161" s="60"/>
      <c r="M1161" s="60"/>
      <c r="N1161" s="60">
        <f t="shared" ref="N1161:N1166" si="354">M1161*J1161*K1161*L1161</f>
        <v>0</v>
      </c>
      <c r="O1161" s="60">
        <f t="shared" ref="O1161:O1166" si="355">J1161*K1161*L1161</f>
        <v>0</v>
      </c>
    </row>
    <row r="1162" spans="1:15" s="38" customFormat="1" ht="10.7" customHeight="1" outlineLevel="1" x14ac:dyDescent="0.25">
      <c r="A1162" s="124"/>
      <c r="B1162" s="142"/>
      <c r="C1162" s="115"/>
      <c r="D1162" s="115"/>
      <c r="E1162" s="115"/>
      <c r="F1162" s="115"/>
      <c r="G1162" s="60" t="s">
        <v>127</v>
      </c>
      <c r="H1162" s="124"/>
      <c r="I1162" s="124"/>
      <c r="J1162" s="60"/>
      <c r="K1162" s="60"/>
      <c r="L1162" s="60"/>
      <c r="M1162" s="60"/>
      <c r="N1162" s="60">
        <f t="shared" si="354"/>
        <v>0</v>
      </c>
      <c r="O1162" s="60">
        <f t="shared" si="355"/>
        <v>0</v>
      </c>
    </row>
    <row r="1163" spans="1:15" s="38" customFormat="1" ht="10.7" customHeight="1" outlineLevel="1" x14ac:dyDescent="0.25">
      <c r="A1163" s="124"/>
      <c r="B1163" s="142"/>
      <c r="C1163" s="115"/>
      <c r="D1163" s="115"/>
      <c r="E1163" s="115"/>
      <c r="F1163" s="115"/>
      <c r="G1163" s="60" t="s">
        <v>128</v>
      </c>
      <c r="H1163" s="124"/>
      <c r="I1163" s="124"/>
      <c r="J1163" s="60"/>
      <c r="K1163" s="60"/>
      <c r="L1163" s="60"/>
      <c r="M1163" s="60"/>
      <c r="N1163" s="60">
        <f t="shared" si="354"/>
        <v>0</v>
      </c>
      <c r="O1163" s="60">
        <f t="shared" si="355"/>
        <v>0</v>
      </c>
    </row>
    <row r="1164" spans="1:15" s="38" customFormat="1" ht="10.7" customHeight="1" outlineLevel="1" x14ac:dyDescent="0.25">
      <c r="A1164" s="124"/>
      <c r="B1164" s="142"/>
      <c r="C1164" s="115"/>
      <c r="D1164" s="115"/>
      <c r="E1164" s="115"/>
      <c r="F1164" s="115"/>
      <c r="G1164" s="60" t="s">
        <v>129</v>
      </c>
      <c r="H1164" s="124"/>
      <c r="I1164" s="124"/>
      <c r="J1164" s="60"/>
      <c r="K1164" s="60"/>
      <c r="L1164" s="60"/>
      <c r="M1164" s="60"/>
      <c r="N1164" s="60">
        <f t="shared" si="354"/>
        <v>0</v>
      </c>
      <c r="O1164" s="60">
        <f t="shared" si="355"/>
        <v>0</v>
      </c>
    </row>
    <row r="1165" spans="1:15" s="38" customFormat="1" ht="10.7" customHeight="1" outlineLevel="1" x14ac:dyDescent="0.25">
      <c r="A1165" s="124"/>
      <c r="B1165" s="142"/>
      <c r="C1165" s="115"/>
      <c r="D1165" s="115"/>
      <c r="E1165" s="115"/>
      <c r="F1165" s="115"/>
      <c r="G1165" s="60" t="s">
        <v>130</v>
      </c>
      <c r="H1165" s="124"/>
      <c r="I1165" s="124"/>
      <c r="J1165" s="60"/>
      <c r="K1165" s="60"/>
      <c r="L1165" s="60"/>
      <c r="M1165" s="60"/>
      <c r="N1165" s="60">
        <f t="shared" si="354"/>
        <v>0</v>
      </c>
      <c r="O1165" s="60">
        <f t="shared" si="355"/>
        <v>0</v>
      </c>
    </row>
    <row r="1166" spans="1:15" s="38" customFormat="1" ht="12" customHeight="1" outlineLevel="1" thickBot="1" x14ac:dyDescent="0.3">
      <c r="A1166" s="125"/>
      <c r="B1166" s="143"/>
      <c r="C1166" s="131"/>
      <c r="D1166" s="131"/>
      <c r="E1166" s="131"/>
      <c r="F1166" s="131"/>
      <c r="G1166" s="60" t="s">
        <v>131</v>
      </c>
      <c r="H1166" s="134"/>
      <c r="I1166" s="134"/>
      <c r="J1166" s="60"/>
      <c r="K1166" s="60"/>
      <c r="L1166" s="60"/>
      <c r="M1166" s="60"/>
      <c r="N1166" s="60">
        <f t="shared" si="354"/>
        <v>0</v>
      </c>
      <c r="O1166" s="60">
        <f t="shared" si="355"/>
        <v>0</v>
      </c>
    </row>
    <row r="1167" spans="1:15" s="38" customFormat="1" ht="14.45" customHeight="1" outlineLevel="1" x14ac:dyDescent="0.25">
      <c r="A1167" s="140" t="s">
        <v>854</v>
      </c>
      <c r="B1167" s="141" t="s">
        <v>855</v>
      </c>
      <c r="C1167" s="130">
        <f>SUM(N1167:N1173)</f>
        <v>0</v>
      </c>
      <c r="D1167" s="130">
        <f>SUM(O1167:O1173)</f>
        <v>0</v>
      </c>
      <c r="E1167" s="130">
        <f t="shared" ref="E1167:E1188" si="356">D1167/8</f>
        <v>0</v>
      </c>
      <c r="F1167" s="130"/>
      <c r="G1167" s="60" t="s">
        <v>125</v>
      </c>
      <c r="H1167" s="123"/>
      <c r="I1167" s="123"/>
      <c r="J1167" s="60"/>
      <c r="K1167" s="60"/>
      <c r="L1167" s="60"/>
      <c r="M1167" s="60"/>
      <c r="N1167" s="60">
        <f>M1167*J1167*K1167*L1167</f>
        <v>0</v>
      </c>
      <c r="O1167" s="60">
        <f>J1167*K1167*L1167</f>
        <v>0</v>
      </c>
    </row>
    <row r="1168" spans="1:15" s="38" customFormat="1" ht="11.45" customHeight="1" outlineLevel="1" x14ac:dyDescent="0.25">
      <c r="A1168" s="124"/>
      <c r="B1168" s="142"/>
      <c r="C1168" s="115"/>
      <c r="D1168" s="115"/>
      <c r="E1168" s="115"/>
      <c r="F1168" s="115"/>
      <c r="G1168" s="60" t="s">
        <v>126</v>
      </c>
      <c r="H1168" s="124"/>
      <c r="I1168" s="124"/>
      <c r="J1168" s="60"/>
      <c r="K1168" s="60"/>
      <c r="L1168" s="60"/>
      <c r="M1168" s="60"/>
      <c r="N1168" s="60">
        <f t="shared" ref="N1168:N1173" si="357">M1168*J1168*K1168*L1168</f>
        <v>0</v>
      </c>
      <c r="O1168" s="60">
        <f t="shared" ref="O1168:O1173" si="358">J1168*K1168*L1168</f>
        <v>0</v>
      </c>
    </row>
    <row r="1169" spans="1:15" s="38" customFormat="1" ht="10.7" customHeight="1" outlineLevel="1" x14ac:dyDescent="0.25">
      <c r="A1169" s="124"/>
      <c r="B1169" s="142"/>
      <c r="C1169" s="115"/>
      <c r="D1169" s="115"/>
      <c r="E1169" s="115"/>
      <c r="F1169" s="115"/>
      <c r="G1169" s="60" t="s">
        <v>127</v>
      </c>
      <c r="H1169" s="124"/>
      <c r="I1169" s="124"/>
      <c r="J1169" s="60"/>
      <c r="K1169" s="60"/>
      <c r="L1169" s="60"/>
      <c r="M1169" s="60"/>
      <c r="N1169" s="60">
        <f t="shared" si="357"/>
        <v>0</v>
      </c>
      <c r="O1169" s="60">
        <f t="shared" si="358"/>
        <v>0</v>
      </c>
    </row>
    <row r="1170" spans="1:15" s="38" customFormat="1" ht="10.7" customHeight="1" outlineLevel="1" x14ac:dyDescent="0.25">
      <c r="A1170" s="124"/>
      <c r="B1170" s="142"/>
      <c r="C1170" s="115"/>
      <c r="D1170" s="115"/>
      <c r="E1170" s="115"/>
      <c r="F1170" s="115"/>
      <c r="G1170" s="60" t="s">
        <v>128</v>
      </c>
      <c r="H1170" s="124"/>
      <c r="I1170" s="124"/>
      <c r="J1170" s="60"/>
      <c r="K1170" s="60"/>
      <c r="L1170" s="60"/>
      <c r="M1170" s="60"/>
      <c r="N1170" s="60">
        <f t="shared" si="357"/>
        <v>0</v>
      </c>
      <c r="O1170" s="60">
        <f t="shared" si="358"/>
        <v>0</v>
      </c>
    </row>
    <row r="1171" spans="1:15" s="38" customFormat="1" ht="10.7" customHeight="1" outlineLevel="1" x14ac:dyDescent="0.25">
      <c r="A1171" s="124"/>
      <c r="B1171" s="142"/>
      <c r="C1171" s="115"/>
      <c r="D1171" s="115"/>
      <c r="E1171" s="115"/>
      <c r="F1171" s="115"/>
      <c r="G1171" s="60" t="s">
        <v>129</v>
      </c>
      <c r="H1171" s="124"/>
      <c r="I1171" s="124"/>
      <c r="J1171" s="60"/>
      <c r="K1171" s="60"/>
      <c r="L1171" s="60"/>
      <c r="M1171" s="60"/>
      <c r="N1171" s="60">
        <f t="shared" si="357"/>
        <v>0</v>
      </c>
      <c r="O1171" s="60">
        <f t="shared" si="358"/>
        <v>0</v>
      </c>
    </row>
    <row r="1172" spans="1:15" s="38" customFormat="1" ht="10.7" customHeight="1" outlineLevel="1" x14ac:dyDescent="0.25">
      <c r="A1172" s="124"/>
      <c r="B1172" s="142"/>
      <c r="C1172" s="115"/>
      <c r="D1172" s="115"/>
      <c r="E1172" s="115"/>
      <c r="F1172" s="115"/>
      <c r="G1172" s="60" t="s">
        <v>130</v>
      </c>
      <c r="H1172" s="124"/>
      <c r="I1172" s="124"/>
      <c r="J1172" s="60"/>
      <c r="K1172" s="60"/>
      <c r="L1172" s="60"/>
      <c r="M1172" s="60"/>
      <c r="N1172" s="60">
        <f t="shared" si="357"/>
        <v>0</v>
      </c>
      <c r="O1172" s="60">
        <f t="shared" si="358"/>
        <v>0</v>
      </c>
    </row>
    <row r="1173" spans="1:15" s="38" customFormat="1" ht="12" customHeight="1" outlineLevel="1" thickBot="1" x14ac:dyDescent="0.3">
      <c r="A1173" s="125"/>
      <c r="B1173" s="143"/>
      <c r="C1173" s="131"/>
      <c r="D1173" s="131"/>
      <c r="E1173" s="131"/>
      <c r="F1173" s="131"/>
      <c r="G1173" s="60" t="s">
        <v>131</v>
      </c>
      <c r="H1173" s="134"/>
      <c r="I1173" s="134"/>
      <c r="J1173" s="60"/>
      <c r="K1173" s="60"/>
      <c r="L1173" s="60"/>
      <c r="M1173" s="60"/>
      <c r="N1173" s="60">
        <f t="shared" si="357"/>
        <v>0</v>
      </c>
      <c r="O1173" s="60">
        <f t="shared" si="358"/>
        <v>0</v>
      </c>
    </row>
    <row r="1174" spans="1:15" s="38" customFormat="1" ht="14.45" customHeight="1" outlineLevel="1" x14ac:dyDescent="0.25">
      <c r="A1174" s="140" t="s">
        <v>856</v>
      </c>
      <c r="B1174" s="141" t="s">
        <v>857</v>
      </c>
      <c r="C1174" s="130">
        <f>SUM(N1174:N1180)</f>
        <v>0</v>
      </c>
      <c r="D1174" s="130">
        <f>SUM(O1174:O1180)</f>
        <v>0</v>
      </c>
      <c r="E1174" s="130">
        <f t="shared" si="356"/>
        <v>0</v>
      </c>
      <c r="F1174" s="130"/>
      <c r="G1174" s="60" t="s">
        <v>125</v>
      </c>
      <c r="H1174" s="123"/>
      <c r="I1174" s="123"/>
      <c r="J1174" s="60"/>
      <c r="K1174" s="60"/>
      <c r="L1174" s="60"/>
      <c r="M1174" s="60"/>
      <c r="N1174" s="60">
        <f>M1174*J1174*K1174*L1174</f>
        <v>0</v>
      </c>
      <c r="O1174" s="60">
        <f>J1174*K1174*L1174</f>
        <v>0</v>
      </c>
    </row>
    <row r="1175" spans="1:15" s="38" customFormat="1" ht="11.45" customHeight="1" outlineLevel="1" x14ac:dyDescent="0.25">
      <c r="A1175" s="124"/>
      <c r="B1175" s="142"/>
      <c r="C1175" s="115"/>
      <c r="D1175" s="115"/>
      <c r="E1175" s="115"/>
      <c r="F1175" s="115"/>
      <c r="G1175" s="60" t="s">
        <v>126</v>
      </c>
      <c r="H1175" s="124"/>
      <c r="I1175" s="124"/>
      <c r="J1175" s="60"/>
      <c r="K1175" s="60"/>
      <c r="L1175" s="60"/>
      <c r="M1175" s="60"/>
      <c r="N1175" s="60">
        <f t="shared" ref="N1175:N1180" si="359">M1175*J1175*K1175*L1175</f>
        <v>0</v>
      </c>
      <c r="O1175" s="60">
        <f t="shared" ref="O1175:O1180" si="360">J1175*K1175*L1175</f>
        <v>0</v>
      </c>
    </row>
    <row r="1176" spans="1:15" s="38" customFormat="1" ht="10.7" customHeight="1" outlineLevel="1" x14ac:dyDescent="0.25">
      <c r="A1176" s="124"/>
      <c r="B1176" s="142"/>
      <c r="C1176" s="115"/>
      <c r="D1176" s="115"/>
      <c r="E1176" s="115"/>
      <c r="F1176" s="115"/>
      <c r="G1176" s="60" t="s">
        <v>127</v>
      </c>
      <c r="H1176" s="124"/>
      <c r="I1176" s="124"/>
      <c r="J1176" s="60"/>
      <c r="K1176" s="60"/>
      <c r="L1176" s="60"/>
      <c r="M1176" s="60"/>
      <c r="N1176" s="60">
        <f t="shared" si="359"/>
        <v>0</v>
      </c>
      <c r="O1176" s="60">
        <f t="shared" si="360"/>
        <v>0</v>
      </c>
    </row>
    <row r="1177" spans="1:15" s="38" customFormat="1" ht="10.7" customHeight="1" outlineLevel="1" x14ac:dyDescent="0.25">
      <c r="A1177" s="124"/>
      <c r="B1177" s="142"/>
      <c r="C1177" s="115"/>
      <c r="D1177" s="115"/>
      <c r="E1177" s="115"/>
      <c r="F1177" s="115"/>
      <c r="G1177" s="60" t="s">
        <v>128</v>
      </c>
      <c r="H1177" s="124"/>
      <c r="I1177" s="124"/>
      <c r="J1177" s="60"/>
      <c r="K1177" s="60"/>
      <c r="L1177" s="60"/>
      <c r="M1177" s="60"/>
      <c r="N1177" s="60">
        <f t="shared" si="359"/>
        <v>0</v>
      </c>
      <c r="O1177" s="60">
        <f t="shared" si="360"/>
        <v>0</v>
      </c>
    </row>
    <row r="1178" spans="1:15" s="38" customFormat="1" ht="10.7" customHeight="1" outlineLevel="1" x14ac:dyDescent="0.25">
      <c r="A1178" s="124"/>
      <c r="B1178" s="142"/>
      <c r="C1178" s="115"/>
      <c r="D1178" s="115"/>
      <c r="E1178" s="115"/>
      <c r="F1178" s="115"/>
      <c r="G1178" s="60" t="s">
        <v>129</v>
      </c>
      <c r="H1178" s="124"/>
      <c r="I1178" s="124"/>
      <c r="J1178" s="60"/>
      <c r="K1178" s="60"/>
      <c r="L1178" s="60"/>
      <c r="M1178" s="60"/>
      <c r="N1178" s="60">
        <f t="shared" si="359"/>
        <v>0</v>
      </c>
      <c r="O1178" s="60">
        <f t="shared" si="360"/>
        <v>0</v>
      </c>
    </row>
    <row r="1179" spans="1:15" s="38" customFormat="1" ht="10.7" customHeight="1" outlineLevel="1" x14ac:dyDescent="0.25">
      <c r="A1179" s="124"/>
      <c r="B1179" s="142"/>
      <c r="C1179" s="115"/>
      <c r="D1179" s="115"/>
      <c r="E1179" s="115"/>
      <c r="F1179" s="115"/>
      <c r="G1179" s="60" t="s">
        <v>130</v>
      </c>
      <c r="H1179" s="124"/>
      <c r="I1179" s="124"/>
      <c r="J1179" s="60"/>
      <c r="K1179" s="60"/>
      <c r="L1179" s="60"/>
      <c r="M1179" s="60"/>
      <c r="N1179" s="60">
        <f t="shared" si="359"/>
        <v>0</v>
      </c>
      <c r="O1179" s="60">
        <f t="shared" si="360"/>
        <v>0</v>
      </c>
    </row>
    <row r="1180" spans="1:15" s="38" customFormat="1" ht="12" customHeight="1" outlineLevel="1" thickBot="1" x14ac:dyDescent="0.3">
      <c r="A1180" s="125"/>
      <c r="B1180" s="143"/>
      <c r="C1180" s="131"/>
      <c r="D1180" s="131"/>
      <c r="E1180" s="131"/>
      <c r="F1180" s="131"/>
      <c r="G1180" s="60" t="s">
        <v>131</v>
      </c>
      <c r="H1180" s="134"/>
      <c r="I1180" s="134"/>
      <c r="J1180" s="60"/>
      <c r="K1180" s="60"/>
      <c r="L1180" s="60"/>
      <c r="M1180" s="60"/>
      <c r="N1180" s="60">
        <f t="shared" si="359"/>
        <v>0</v>
      </c>
      <c r="O1180" s="60">
        <f t="shared" si="360"/>
        <v>0</v>
      </c>
    </row>
    <row r="1181" spans="1:15" s="38" customFormat="1" ht="14.45" customHeight="1" outlineLevel="1" x14ac:dyDescent="0.25">
      <c r="A1181" s="140" t="s">
        <v>858</v>
      </c>
      <c r="B1181" s="141" t="s">
        <v>859</v>
      </c>
      <c r="C1181" s="130">
        <f>SUM(N1181:N1187)</f>
        <v>0</v>
      </c>
      <c r="D1181" s="130">
        <f>SUM(O1181:O1187)</f>
        <v>0</v>
      </c>
      <c r="E1181" s="130">
        <f t="shared" si="356"/>
        <v>0</v>
      </c>
      <c r="F1181" s="130"/>
      <c r="G1181" s="60" t="s">
        <v>125</v>
      </c>
      <c r="H1181" s="123"/>
      <c r="I1181" s="123"/>
      <c r="J1181" s="60"/>
      <c r="K1181" s="60"/>
      <c r="L1181" s="60"/>
      <c r="M1181" s="60"/>
      <c r="N1181" s="60">
        <f>M1181*J1181*K1181*L1181</f>
        <v>0</v>
      </c>
      <c r="O1181" s="60">
        <f>J1181*K1181*L1181</f>
        <v>0</v>
      </c>
    </row>
    <row r="1182" spans="1:15" s="38" customFormat="1" ht="11.45" customHeight="1" outlineLevel="1" x14ac:dyDescent="0.25">
      <c r="A1182" s="124"/>
      <c r="B1182" s="142"/>
      <c r="C1182" s="115"/>
      <c r="D1182" s="115"/>
      <c r="E1182" s="115"/>
      <c r="F1182" s="115"/>
      <c r="G1182" s="60" t="s">
        <v>126</v>
      </c>
      <c r="H1182" s="124"/>
      <c r="I1182" s="124"/>
      <c r="J1182" s="60"/>
      <c r="K1182" s="60"/>
      <c r="L1182" s="60"/>
      <c r="M1182" s="60"/>
      <c r="N1182" s="60">
        <f t="shared" ref="N1182:N1187" si="361">M1182*J1182*K1182*L1182</f>
        <v>0</v>
      </c>
      <c r="O1182" s="60">
        <f t="shared" ref="O1182:O1187" si="362">J1182*K1182*L1182</f>
        <v>0</v>
      </c>
    </row>
    <row r="1183" spans="1:15" s="38" customFormat="1" ht="10.7" customHeight="1" outlineLevel="1" x14ac:dyDescent="0.25">
      <c r="A1183" s="124"/>
      <c r="B1183" s="142"/>
      <c r="C1183" s="115"/>
      <c r="D1183" s="115"/>
      <c r="E1183" s="115"/>
      <c r="F1183" s="115"/>
      <c r="G1183" s="60" t="s">
        <v>127</v>
      </c>
      <c r="H1183" s="124"/>
      <c r="I1183" s="124"/>
      <c r="J1183" s="60"/>
      <c r="K1183" s="60"/>
      <c r="L1183" s="60"/>
      <c r="M1183" s="60"/>
      <c r="N1183" s="60">
        <f t="shared" si="361"/>
        <v>0</v>
      </c>
      <c r="O1183" s="60">
        <f t="shared" si="362"/>
        <v>0</v>
      </c>
    </row>
    <row r="1184" spans="1:15" s="38" customFormat="1" ht="10.7" customHeight="1" outlineLevel="1" x14ac:dyDescent="0.25">
      <c r="A1184" s="124"/>
      <c r="B1184" s="142"/>
      <c r="C1184" s="115"/>
      <c r="D1184" s="115"/>
      <c r="E1184" s="115"/>
      <c r="F1184" s="115"/>
      <c r="G1184" s="60" t="s">
        <v>128</v>
      </c>
      <c r="H1184" s="124"/>
      <c r="I1184" s="124"/>
      <c r="J1184" s="60"/>
      <c r="K1184" s="60"/>
      <c r="L1184" s="60"/>
      <c r="M1184" s="60"/>
      <c r="N1184" s="60">
        <f t="shared" si="361"/>
        <v>0</v>
      </c>
      <c r="O1184" s="60">
        <f t="shared" si="362"/>
        <v>0</v>
      </c>
    </row>
    <row r="1185" spans="1:15" s="38" customFormat="1" ht="10.7" customHeight="1" outlineLevel="1" x14ac:dyDescent="0.25">
      <c r="A1185" s="124"/>
      <c r="B1185" s="142"/>
      <c r="C1185" s="115"/>
      <c r="D1185" s="115"/>
      <c r="E1185" s="115"/>
      <c r="F1185" s="115"/>
      <c r="G1185" s="60" t="s">
        <v>129</v>
      </c>
      <c r="H1185" s="124"/>
      <c r="I1185" s="124"/>
      <c r="J1185" s="60"/>
      <c r="K1185" s="60"/>
      <c r="L1185" s="60"/>
      <c r="M1185" s="60"/>
      <c r="N1185" s="60">
        <f t="shared" si="361"/>
        <v>0</v>
      </c>
      <c r="O1185" s="60">
        <f t="shared" si="362"/>
        <v>0</v>
      </c>
    </row>
    <row r="1186" spans="1:15" s="38" customFormat="1" ht="10.7" customHeight="1" outlineLevel="1" x14ac:dyDescent="0.25">
      <c r="A1186" s="124"/>
      <c r="B1186" s="142"/>
      <c r="C1186" s="115"/>
      <c r="D1186" s="115"/>
      <c r="E1186" s="115"/>
      <c r="F1186" s="115"/>
      <c r="G1186" s="60" t="s">
        <v>130</v>
      </c>
      <c r="H1186" s="124"/>
      <c r="I1186" s="124"/>
      <c r="J1186" s="60"/>
      <c r="K1186" s="60"/>
      <c r="L1186" s="60"/>
      <c r="M1186" s="60"/>
      <c r="N1186" s="60">
        <f t="shared" si="361"/>
        <v>0</v>
      </c>
      <c r="O1186" s="60">
        <f t="shared" si="362"/>
        <v>0</v>
      </c>
    </row>
    <row r="1187" spans="1:15" s="38" customFormat="1" ht="12" customHeight="1" outlineLevel="1" thickBot="1" x14ac:dyDescent="0.3">
      <c r="A1187" s="125"/>
      <c r="B1187" s="143"/>
      <c r="C1187" s="131"/>
      <c r="D1187" s="131"/>
      <c r="E1187" s="131"/>
      <c r="F1187" s="131"/>
      <c r="G1187" s="60" t="s">
        <v>131</v>
      </c>
      <c r="H1187" s="134"/>
      <c r="I1187" s="134"/>
      <c r="J1187" s="60"/>
      <c r="K1187" s="60"/>
      <c r="L1187" s="60"/>
      <c r="M1187" s="60"/>
      <c r="N1187" s="60">
        <f t="shared" si="361"/>
        <v>0</v>
      </c>
      <c r="O1187" s="60">
        <f t="shared" si="362"/>
        <v>0</v>
      </c>
    </row>
    <row r="1188" spans="1:15" s="38" customFormat="1" ht="14.45" customHeight="1" outlineLevel="1" x14ac:dyDescent="0.25">
      <c r="A1188" s="140" t="s">
        <v>860</v>
      </c>
      <c r="B1188" s="141" t="s">
        <v>861</v>
      </c>
      <c r="C1188" s="130">
        <f>SUM(N1188:N1194)</f>
        <v>0</v>
      </c>
      <c r="D1188" s="130">
        <f>SUM(O1188:O1194)</f>
        <v>0</v>
      </c>
      <c r="E1188" s="130">
        <f t="shared" si="356"/>
        <v>0</v>
      </c>
      <c r="F1188" s="130"/>
      <c r="G1188" s="60" t="s">
        <v>125</v>
      </c>
      <c r="H1188" s="123"/>
      <c r="I1188" s="123"/>
      <c r="J1188" s="60"/>
      <c r="K1188" s="60"/>
      <c r="L1188" s="60"/>
      <c r="M1188" s="60"/>
      <c r="N1188" s="60">
        <f>M1188*J1188*K1188*L1188</f>
        <v>0</v>
      </c>
      <c r="O1188" s="60">
        <f>J1188*K1188*L1188</f>
        <v>0</v>
      </c>
    </row>
    <row r="1189" spans="1:15" s="38" customFormat="1" ht="11.45" customHeight="1" outlineLevel="1" x14ac:dyDescent="0.25">
      <c r="A1189" s="124"/>
      <c r="B1189" s="142"/>
      <c r="C1189" s="115"/>
      <c r="D1189" s="115"/>
      <c r="E1189" s="115"/>
      <c r="F1189" s="115"/>
      <c r="G1189" s="60" t="s">
        <v>126</v>
      </c>
      <c r="H1189" s="124"/>
      <c r="I1189" s="124"/>
      <c r="J1189" s="60"/>
      <c r="K1189" s="60"/>
      <c r="L1189" s="60"/>
      <c r="M1189" s="60"/>
      <c r="N1189" s="60">
        <f t="shared" ref="N1189:N1194" si="363">M1189*J1189*K1189*L1189</f>
        <v>0</v>
      </c>
      <c r="O1189" s="60">
        <f t="shared" ref="O1189:O1194" si="364">J1189*K1189*L1189</f>
        <v>0</v>
      </c>
    </row>
    <row r="1190" spans="1:15" s="38" customFormat="1" ht="10.7" customHeight="1" outlineLevel="1" x14ac:dyDescent="0.25">
      <c r="A1190" s="124"/>
      <c r="B1190" s="142"/>
      <c r="C1190" s="115"/>
      <c r="D1190" s="115"/>
      <c r="E1190" s="115"/>
      <c r="F1190" s="115"/>
      <c r="G1190" s="60" t="s">
        <v>127</v>
      </c>
      <c r="H1190" s="124"/>
      <c r="I1190" s="124"/>
      <c r="J1190" s="60"/>
      <c r="K1190" s="60"/>
      <c r="L1190" s="60"/>
      <c r="M1190" s="60"/>
      <c r="N1190" s="60">
        <f t="shared" si="363"/>
        <v>0</v>
      </c>
      <c r="O1190" s="60">
        <f t="shared" si="364"/>
        <v>0</v>
      </c>
    </row>
    <row r="1191" spans="1:15" s="38" customFormat="1" ht="10.7" customHeight="1" outlineLevel="1" x14ac:dyDescent="0.25">
      <c r="A1191" s="124"/>
      <c r="B1191" s="142"/>
      <c r="C1191" s="115"/>
      <c r="D1191" s="115"/>
      <c r="E1191" s="115"/>
      <c r="F1191" s="115"/>
      <c r="G1191" s="60" t="s">
        <v>128</v>
      </c>
      <c r="H1191" s="124"/>
      <c r="I1191" s="124"/>
      <c r="J1191" s="60"/>
      <c r="K1191" s="60"/>
      <c r="L1191" s="60"/>
      <c r="M1191" s="60"/>
      <c r="N1191" s="60">
        <f t="shared" si="363"/>
        <v>0</v>
      </c>
      <c r="O1191" s="60">
        <f t="shared" si="364"/>
        <v>0</v>
      </c>
    </row>
    <row r="1192" spans="1:15" s="38" customFormat="1" ht="10.7" customHeight="1" outlineLevel="1" x14ac:dyDescent="0.25">
      <c r="A1192" s="124"/>
      <c r="B1192" s="142"/>
      <c r="C1192" s="115"/>
      <c r="D1192" s="115"/>
      <c r="E1192" s="115"/>
      <c r="F1192" s="115"/>
      <c r="G1192" s="60" t="s">
        <v>129</v>
      </c>
      <c r="H1192" s="124"/>
      <c r="I1192" s="124"/>
      <c r="J1192" s="60"/>
      <c r="K1192" s="60"/>
      <c r="L1192" s="60"/>
      <c r="M1192" s="60"/>
      <c r="N1192" s="60">
        <f t="shared" si="363"/>
        <v>0</v>
      </c>
      <c r="O1192" s="60">
        <f t="shared" si="364"/>
        <v>0</v>
      </c>
    </row>
    <row r="1193" spans="1:15" s="38" customFormat="1" ht="10.7" customHeight="1" outlineLevel="1" x14ac:dyDescent="0.25">
      <c r="A1193" s="124"/>
      <c r="B1193" s="142"/>
      <c r="C1193" s="115"/>
      <c r="D1193" s="115"/>
      <c r="E1193" s="115"/>
      <c r="F1193" s="115"/>
      <c r="G1193" s="60" t="s">
        <v>130</v>
      </c>
      <c r="H1193" s="124"/>
      <c r="I1193" s="124"/>
      <c r="J1193" s="60"/>
      <c r="K1193" s="60"/>
      <c r="L1193" s="60"/>
      <c r="M1193" s="60"/>
      <c r="N1193" s="60">
        <f t="shared" si="363"/>
        <v>0</v>
      </c>
      <c r="O1193" s="60">
        <f t="shared" si="364"/>
        <v>0</v>
      </c>
    </row>
    <row r="1194" spans="1:15" s="38" customFormat="1" ht="12" customHeight="1" outlineLevel="1" thickBot="1" x14ac:dyDescent="0.3">
      <c r="A1194" s="125"/>
      <c r="B1194" s="143"/>
      <c r="C1194" s="131"/>
      <c r="D1194" s="131"/>
      <c r="E1194" s="131"/>
      <c r="F1194" s="131"/>
      <c r="G1194" s="60" t="s">
        <v>131</v>
      </c>
      <c r="H1194" s="134"/>
      <c r="I1194" s="134"/>
      <c r="J1194" s="60"/>
      <c r="K1194" s="60"/>
      <c r="L1194" s="60"/>
      <c r="M1194" s="60"/>
      <c r="N1194" s="60">
        <f t="shared" si="363"/>
        <v>0</v>
      </c>
      <c r="O1194" s="60">
        <f t="shared" si="364"/>
        <v>0</v>
      </c>
    </row>
    <row r="1195" spans="1:15" s="39" customFormat="1" ht="15.75" x14ac:dyDescent="0.25">
      <c r="A1195" s="40" t="s">
        <v>261</v>
      </c>
      <c r="B1195" s="41" t="s">
        <v>862</v>
      </c>
      <c r="C1195" s="42">
        <f>SUM(C1196)</f>
        <v>0</v>
      </c>
      <c r="D1195" s="42">
        <f>SUM(D1196)</f>
        <v>0</v>
      </c>
      <c r="E1195" s="42">
        <f>SUM(E1196)</f>
        <v>0</v>
      </c>
      <c r="F1195" s="57"/>
      <c r="G1195" s="57"/>
      <c r="H1195" s="57"/>
      <c r="I1195" s="57"/>
      <c r="J1195" s="57"/>
      <c r="K1195" s="57"/>
      <c r="L1195" s="57"/>
      <c r="M1195" s="57"/>
      <c r="N1195" s="57"/>
      <c r="O1195" s="43"/>
    </row>
    <row r="1196" spans="1:15" s="38" customFormat="1" ht="14.45" customHeight="1" outlineLevel="1" x14ac:dyDescent="0.25">
      <c r="A1196" s="140" t="s">
        <v>263</v>
      </c>
      <c r="B1196" s="141" t="s">
        <v>863</v>
      </c>
      <c r="C1196" s="130">
        <f>SUM(N1196:N1202)</f>
        <v>0</v>
      </c>
      <c r="D1196" s="130">
        <f>SUM(O1196:O1202)</f>
        <v>0</v>
      </c>
      <c r="E1196" s="130">
        <f t="shared" ref="E1196" si="365">D1196/8</f>
        <v>0</v>
      </c>
      <c r="F1196" s="130"/>
      <c r="G1196" s="60" t="s">
        <v>125</v>
      </c>
      <c r="H1196" s="123"/>
      <c r="I1196" s="123"/>
      <c r="J1196" s="60"/>
      <c r="K1196" s="60"/>
      <c r="L1196" s="60"/>
      <c r="M1196" s="60"/>
      <c r="N1196" s="60">
        <f>M1196*J1196*K1196*L1196</f>
        <v>0</v>
      </c>
      <c r="O1196" s="60">
        <f>J1196*K1196*L1196</f>
        <v>0</v>
      </c>
    </row>
    <row r="1197" spans="1:15" s="38" customFormat="1" ht="11.45" customHeight="1" outlineLevel="1" x14ac:dyDescent="0.25">
      <c r="A1197" s="124"/>
      <c r="B1197" s="142"/>
      <c r="C1197" s="115"/>
      <c r="D1197" s="115"/>
      <c r="E1197" s="115"/>
      <c r="F1197" s="115"/>
      <c r="G1197" s="60" t="s">
        <v>126</v>
      </c>
      <c r="H1197" s="124"/>
      <c r="I1197" s="124"/>
      <c r="J1197" s="60"/>
      <c r="K1197" s="60"/>
      <c r="L1197" s="60"/>
      <c r="M1197" s="60"/>
      <c r="N1197" s="60">
        <f t="shared" ref="N1197:N1202" si="366">M1197*J1197*K1197*L1197</f>
        <v>0</v>
      </c>
      <c r="O1197" s="60">
        <f t="shared" ref="O1197:O1202" si="367">J1197*K1197*L1197</f>
        <v>0</v>
      </c>
    </row>
    <row r="1198" spans="1:15" s="38" customFormat="1" ht="10.7" customHeight="1" outlineLevel="1" x14ac:dyDescent="0.25">
      <c r="A1198" s="124"/>
      <c r="B1198" s="142"/>
      <c r="C1198" s="115"/>
      <c r="D1198" s="115"/>
      <c r="E1198" s="115"/>
      <c r="F1198" s="115"/>
      <c r="G1198" s="60" t="s">
        <v>127</v>
      </c>
      <c r="H1198" s="124"/>
      <c r="I1198" s="124"/>
      <c r="J1198" s="60"/>
      <c r="K1198" s="60"/>
      <c r="L1198" s="60"/>
      <c r="M1198" s="60"/>
      <c r="N1198" s="60">
        <f t="shared" si="366"/>
        <v>0</v>
      </c>
      <c r="O1198" s="60">
        <f t="shared" si="367"/>
        <v>0</v>
      </c>
    </row>
    <row r="1199" spans="1:15" s="38" customFormat="1" ht="10.7" customHeight="1" outlineLevel="1" x14ac:dyDescent="0.25">
      <c r="A1199" s="124"/>
      <c r="B1199" s="142"/>
      <c r="C1199" s="115"/>
      <c r="D1199" s="115"/>
      <c r="E1199" s="115"/>
      <c r="F1199" s="115"/>
      <c r="G1199" s="60" t="s">
        <v>128</v>
      </c>
      <c r="H1199" s="124"/>
      <c r="I1199" s="124"/>
      <c r="J1199" s="60"/>
      <c r="K1199" s="60"/>
      <c r="L1199" s="60"/>
      <c r="M1199" s="60"/>
      <c r="N1199" s="60">
        <f t="shared" si="366"/>
        <v>0</v>
      </c>
      <c r="O1199" s="60">
        <f t="shared" si="367"/>
        <v>0</v>
      </c>
    </row>
    <row r="1200" spans="1:15" s="38" customFormat="1" ht="10.7" customHeight="1" outlineLevel="1" x14ac:dyDescent="0.25">
      <c r="A1200" s="124"/>
      <c r="B1200" s="142"/>
      <c r="C1200" s="115"/>
      <c r="D1200" s="115"/>
      <c r="E1200" s="115"/>
      <c r="F1200" s="115"/>
      <c r="G1200" s="60" t="s">
        <v>129</v>
      </c>
      <c r="H1200" s="124"/>
      <c r="I1200" s="124"/>
      <c r="J1200" s="60"/>
      <c r="K1200" s="60"/>
      <c r="L1200" s="60"/>
      <c r="M1200" s="60"/>
      <c r="N1200" s="60">
        <f t="shared" si="366"/>
        <v>0</v>
      </c>
      <c r="O1200" s="60">
        <f t="shared" si="367"/>
        <v>0</v>
      </c>
    </row>
    <row r="1201" spans="1:15" s="38" customFormat="1" ht="10.7" customHeight="1" outlineLevel="1" x14ac:dyDescent="0.25">
      <c r="A1201" s="124"/>
      <c r="B1201" s="142"/>
      <c r="C1201" s="115"/>
      <c r="D1201" s="115"/>
      <c r="E1201" s="115"/>
      <c r="F1201" s="115"/>
      <c r="G1201" s="60" t="s">
        <v>130</v>
      </c>
      <c r="H1201" s="124"/>
      <c r="I1201" s="124"/>
      <c r="J1201" s="60"/>
      <c r="K1201" s="60"/>
      <c r="L1201" s="60"/>
      <c r="M1201" s="60"/>
      <c r="N1201" s="60">
        <f t="shared" si="366"/>
        <v>0</v>
      </c>
      <c r="O1201" s="60">
        <f t="shared" si="367"/>
        <v>0</v>
      </c>
    </row>
    <row r="1202" spans="1:15" s="38" customFormat="1" ht="12" customHeight="1" outlineLevel="1" thickBot="1" x14ac:dyDescent="0.3">
      <c r="A1202" s="125"/>
      <c r="B1202" s="143"/>
      <c r="C1202" s="131"/>
      <c r="D1202" s="131"/>
      <c r="E1202" s="131"/>
      <c r="F1202" s="131"/>
      <c r="G1202" s="60" t="s">
        <v>131</v>
      </c>
      <c r="H1202" s="134"/>
      <c r="I1202" s="134"/>
      <c r="J1202" s="60"/>
      <c r="K1202" s="60"/>
      <c r="L1202" s="60"/>
      <c r="M1202" s="60"/>
      <c r="N1202" s="60">
        <f t="shared" si="366"/>
        <v>0</v>
      </c>
      <c r="O1202" s="60">
        <f t="shared" si="367"/>
        <v>0</v>
      </c>
    </row>
    <row r="1203" spans="1:15" s="39" customFormat="1" ht="15.75" x14ac:dyDescent="0.25">
      <c r="A1203" s="40" t="s">
        <v>315</v>
      </c>
      <c r="B1203" s="41" t="s">
        <v>253</v>
      </c>
      <c r="C1203" s="42">
        <f>SUM(C1204:C1217)</f>
        <v>0</v>
      </c>
      <c r="D1203" s="42">
        <f>SUM(D1204:D1217)</f>
        <v>0</v>
      </c>
      <c r="E1203" s="42">
        <f>SUM(E1204:E1217)</f>
        <v>0</v>
      </c>
      <c r="F1203" s="57"/>
      <c r="G1203" s="57"/>
      <c r="H1203" s="57"/>
      <c r="I1203" s="57"/>
      <c r="J1203" s="57"/>
      <c r="K1203" s="57"/>
      <c r="L1203" s="57"/>
      <c r="M1203" s="57"/>
      <c r="N1203" s="57"/>
      <c r="O1203" s="43"/>
    </row>
    <row r="1204" spans="1:15" s="38" customFormat="1" ht="14.45" customHeight="1" outlineLevel="1" x14ac:dyDescent="0.25">
      <c r="A1204" s="140" t="s">
        <v>68</v>
      </c>
      <c r="B1204" s="141" t="s">
        <v>254</v>
      </c>
      <c r="C1204" s="130">
        <f>SUM(N1204:N1210)</f>
        <v>0</v>
      </c>
      <c r="D1204" s="130">
        <f>SUM(O1204:O1210)</f>
        <v>0</v>
      </c>
      <c r="E1204" s="130">
        <f t="shared" ref="E1204:E1211" si="368">D1204/8</f>
        <v>0</v>
      </c>
      <c r="F1204" s="130"/>
      <c r="G1204" s="60" t="s">
        <v>125</v>
      </c>
      <c r="H1204" s="123"/>
      <c r="I1204" s="123"/>
      <c r="J1204" s="60"/>
      <c r="K1204" s="60"/>
      <c r="L1204" s="60"/>
      <c r="M1204" s="60"/>
      <c r="N1204" s="60">
        <f>M1204*J1204*K1204*L1204</f>
        <v>0</v>
      </c>
      <c r="O1204" s="60">
        <f>J1204*K1204*L1204</f>
        <v>0</v>
      </c>
    </row>
    <row r="1205" spans="1:15" s="38" customFormat="1" ht="11.45" customHeight="1" outlineLevel="1" x14ac:dyDescent="0.25">
      <c r="A1205" s="124"/>
      <c r="B1205" s="142"/>
      <c r="C1205" s="115"/>
      <c r="D1205" s="115"/>
      <c r="E1205" s="115"/>
      <c r="F1205" s="115"/>
      <c r="G1205" s="60" t="s">
        <v>126</v>
      </c>
      <c r="H1205" s="124"/>
      <c r="I1205" s="124"/>
      <c r="J1205" s="60"/>
      <c r="K1205" s="60"/>
      <c r="L1205" s="60"/>
      <c r="M1205" s="60"/>
      <c r="N1205" s="60">
        <f t="shared" ref="N1205:N1210" si="369">M1205*J1205*K1205*L1205</f>
        <v>0</v>
      </c>
      <c r="O1205" s="60">
        <f t="shared" ref="O1205:O1210" si="370">J1205*K1205*L1205</f>
        <v>0</v>
      </c>
    </row>
    <row r="1206" spans="1:15" s="38" customFormat="1" ht="10.7" customHeight="1" outlineLevel="1" x14ac:dyDescent="0.25">
      <c r="A1206" s="124"/>
      <c r="B1206" s="142"/>
      <c r="C1206" s="115"/>
      <c r="D1206" s="115"/>
      <c r="E1206" s="115"/>
      <c r="F1206" s="115"/>
      <c r="G1206" s="60" t="s">
        <v>127</v>
      </c>
      <c r="H1206" s="124"/>
      <c r="I1206" s="124"/>
      <c r="J1206" s="60"/>
      <c r="K1206" s="60"/>
      <c r="L1206" s="60"/>
      <c r="M1206" s="60"/>
      <c r="N1206" s="60">
        <f t="shared" si="369"/>
        <v>0</v>
      </c>
      <c r="O1206" s="60">
        <f t="shared" si="370"/>
        <v>0</v>
      </c>
    </row>
    <row r="1207" spans="1:15" s="38" customFormat="1" ht="10.7" customHeight="1" outlineLevel="1" x14ac:dyDescent="0.25">
      <c r="A1207" s="124"/>
      <c r="B1207" s="142"/>
      <c r="C1207" s="115"/>
      <c r="D1207" s="115"/>
      <c r="E1207" s="115"/>
      <c r="F1207" s="115"/>
      <c r="G1207" s="60" t="s">
        <v>128</v>
      </c>
      <c r="H1207" s="124"/>
      <c r="I1207" s="124"/>
      <c r="J1207" s="60"/>
      <c r="K1207" s="60"/>
      <c r="L1207" s="60"/>
      <c r="M1207" s="60"/>
      <c r="N1207" s="60">
        <f t="shared" si="369"/>
        <v>0</v>
      </c>
      <c r="O1207" s="60">
        <f t="shared" si="370"/>
        <v>0</v>
      </c>
    </row>
    <row r="1208" spans="1:15" s="38" customFormat="1" ht="10.7" customHeight="1" outlineLevel="1" x14ac:dyDescent="0.25">
      <c r="A1208" s="124"/>
      <c r="B1208" s="142"/>
      <c r="C1208" s="115"/>
      <c r="D1208" s="115"/>
      <c r="E1208" s="115"/>
      <c r="F1208" s="115"/>
      <c r="G1208" s="60" t="s">
        <v>129</v>
      </c>
      <c r="H1208" s="124"/>
      <c r="I1208" s="124"/>
      <c r="J1208" s="60"/>
      <c r="K1208" s="60"/>
      <c r="L1208" s="60"/>
      <c r="M1208" s="60"/>
      <c r="N1208" s="60">
        <f t="shared" si="369"/>
        <v>0</v>
      </c>
      <c r="O1208" s="60">
        <f t="shared" si="370"/>
        <v>0</v>
      </c>
    </row>
    <row r="1209" spans="1:15" s="38" customFormat="1" ht="10.7" customHeight="1" outlineLevel="1" x14ac:dyDescent="0.25">
      <c r="A1209" s="124"/>
      <c r="B1209" s="142"/>
      <c r="C1209" s="115"/>
      <c r="D1209" s="115"/>
      <c r="E1209" s="115"/>
      <c r="F1209" s="115"/>
      <c r="G1209" s="60" t="s">
        <v>130</v>
      </c>
      <c r="H1209" s="124"/>
      <c r="I1209" s="124"/>
      <c r="J1209" s="60"/>
      <c r="K1209" s="60"/>
      <c r="L1209" s="60"/>
      <c r="M1209" s="60"/>
      <c r="N1209" s="60">
        <f t="shared" si="369"/>
        <v>0</v>
      </c>
      <c r="O1209" s="60">
        <f t="shared" si="370"/>
        <v>0</v>
      </c>
    </row>
    <row r="1210" spans="1:15" s="38" customFormat="1" ht="12" customHeight="1" outlineLevel="1" thickBot="1" x14ac:dyDescent="0.3">
      <c r="A1210" s="125"/>
      <c r="B1210" s="143"/>
      <c r="C1210" s="131"/>
      <c r="D1210" s="131"/>
      <c r="E1210" s="131"/>
      <c r="F1210" s="131"/>
      <c r="G1210" s="60" t="s">
        <v>131</v>
      </c>
      <c r="H1210" s="134"/>
      <c r="I1210" s="134"/>
      <c r="J1210" s="60"/>
      <c r="K1210" s="60"/>
      <c r="L1210" s="60"/>
      <c r="M1210" s="60"/>
      <c r="N1210" s="60">
        <f t="shared" si="369"/>
        <v>0</v>
      </c>
      <c r="O1210" s="60">
        <f t="shared" si="370"/>
        <v>0</v>
      </c>
    </row>
    <row r="1211" spans="1:15" s="38" customFormat="1" ht="14.45" customHeight="1" outlineLevel="1" x14ac:dyDescent="0.25">
      <c r="A1211" s="140" t="s">
        <v>864</v>
      </c>
      <c r="B1211" s="141" t="s">
        <v>380</v>
      </c>
      <c r="C1211" s="130">
        <f>SUM(N1211:N1217)</f>
        <v>0</v>
      </c>
      <c r="D1211" s="130">
        <f>SUM(O1211:O1217)</f>
        <v>0</v>
      </c>
      <c r="E1211" s="130">
        <f t="shared" si="368"/>
        <v>0</v>
      </c>
      <c r="F1211" s="130"/>
      <c r="G1211" s="60" t="s">
        <v>125</v>
      </c>
      <c r="H1211" s="123"/>
      <c r="I1211" s="123"/>
      <c r="J1211" s="60"/>
      <c r="K1211" s="60"/>
      <c r="L1211" s="60"/>
      <c r="M1211" s="60"/>
      <c r="N1211" s="60">
        <f>M1211*J1211*K1211*L1211</f>
        <v>0</v>
      </c>
      <c r="O1211" s="60">
        <f>J1211*K1211*L1211</f>
        <v>0</v>
      </c>
    </row>
    <row r="1212" spans="1:15" s="38" customFormat="1" ht="11.45" customHeight="1" outlineLevel="1" x14ac:dyDescent="0.25">
      <c r="A1212" s="124"/>
      <c r="B1212" s="142"/>
      <c r="C1212" s="115"/>
      <c r="D1212" s="115"/>
      <c r="E1212" s="115"/>
      <c r="F1212" s="115"/>
      <c r="G1212" s="60" t="s">
        <v>126</v>
      </c>
      <c r="H1212" s="124"/>
      <c r="I1212" s="124"/>
      <c r="J1212" s="60"/>
      <c r="K1212" s="60"/>
      <c r="L1212" s="60"/>
      <c r="M1212" s="60"/>
      <c r="N1212" s="60">
        <f t="shared" ref="N1212:N1217" si="371">M1212*J1212*K1212*L1212</f>
        <v>0</v>
      </c>
      <c r="O1212" s="60">
        <f t="shared" ref="O1212:O1217" si="372">J1212*K1212*L1212</f>
        <v>0</v>
      </c>
    </row>
    <row r="1213" spans="1:15" s="38" customFormat="1" ht="10.7" customHeight="1" outlineLevel="1" x14ac:dyDescent="0.25">
      <c r="A1213" s="124"/>
      <c r="B1213" s="142"/>
      <c r="C1213" s="115"/>
      <c r="D1213" s="115"/>
      <c r="E1213" s="115"/>
      <c r="F1213" s="115"/>
      <c r="G1213" s="60" t="s">
        <v>127</v>
      </c>
      <c r="H1213" s="124"/>
      <c r="I1213" s="124"/>
      <c r="J1213" s="60"/>
      <c r="K1213" s="60"/>
      <c r="L1213" s="60"/>
      <c r="M1213" s="60"/>
      <c r="N1213" s="60">
        <f t="shared" si="371"/>
        <v>0</v>
      </c>
      <c r="O1213" s="60">
        <f t="shared" si="372"/>
        <v>0</v>
      </c>
    </row>
    <row r="1214" spans="1:15" s="38" customFormat="1" ht="10.7" customHeight="1" outlineLevel="1" x14ac:dyDescent="0.25">
      <c r="A1214" s="124"/>
      <c r="B1214" s="142"/>
      <c r="C1214" s="115"/>
      <c r="D1214" s="115"/>
      <c r="E1214" s="115"/>
      <c r="F1214" s="115"/>
      <c r="G1214" s="60" t="s">
        <v>128</v>
      </c>
      <c r="H1214" s="124"/>
      <c r="I1214" s="124"/>
      <c r="J1214" s="60"/>
      <c r="K1214" s="60"/>
      <c r="L1214" s="60"/>
      <c r="M1214" s="60"/>
      <c r="N1214" s="60">
        <f t="shared" si="371"/>
        <v>0</v>
      </c>
      <c r="O1214" s="60">
        <f t="shared" si="372"/>
        <v>0</v>
      </c>
    </row>
    <row r="1215" spans="1:15" s="38" customFormat="1" ht="10.7" customHeight="1" outlineLevel="1" x14ac:dyDescent="0.25">
      <c r="A1215" s="124"/>
      <c r="B1215" s="142"/>
      <c r="C1215" s="115"/>
      <c r="D1215" s="115"/>
      <c r="E1215" s="115"/>
      <c r="F1215" s="115"/>
      <c r="G1215" s="60" t="s">
        <v>129</v>
      </c>
      <c r="H1215" s="124"/>
      <c r="I1215" s="124"/>
      <c r="J1215" s="60"/>
      <c r="K1215" s="60"/>
      <c r="L1215" s="60"/>
      <c r="M1215" s="60"/>
      <c r="N1215" s="60">
        <f t="shared" si="371"/>
        <v>0</v>
      </c>
      <c r="O1215" s="60">
        <f t="shared" si="372"/>
        <v>0</v>
      </c>
    </row>
    <row r="1216" spans="1:15" s="38" customFormat="1" ht="10.7" customHeight="1" outlineLevel="1" x14ac:dyDescent="0.25">
      <c r="A1216" s="124"/>
      <c r="B1216" s="142"/>
      <c r="C1216" s="115"/>
      <c r="D1216" s="115"/>
      <c r="E1216" s="115"/>
      <c r="F1216" s="115"/>
      <c r="G1216" s="60" t="s">
        <v>130</v>
      </c>
      <c r="H1216" s="124"/>
      <c r="I1216" s="124"/>
      <c r="J1216" s="60"/>
      <c r="K1216" s="60"/>
      <c r="L1216" s="60"/>
      <c r="M1216" s="60"/>
      <c r="N1216" s="60">
        <f t="shared" si="371"/>
        <v>0</v>
      </c>
      <c r="O1216" s="60">
        <f t="shared" si="372"/>
        <v>0</v>
      </c>
    </row>
    <row r="1217" spans="1:15" s="38" customFormat="1" ht="12" customHeight="1" outlineLevel="1" thickBot="1" x14ac:dyDescent="0.3">
      <c r="A1217" s="125"/>
      <c r="B1217" s="143"/>
      <c r="C1217" s="131"/>
      <c r="D1217" s="131"/>
      <c r="E1217" s="131"/>
      <c r="F1217" s="131"/>
      <c r="G1217" s="60" t="s">
        <v>131</v>
      </c>
      <c r="H1217" s="134"/>
      <c r="I1217" s="134"/>
      <c r="J1217" s="60"/>
      <c r="K1217" s="60"/>
      <c r="L1217" s="60"/>
      <c r="M1217" s="60"/>
      <c r="N1217" s="60">
        <f t="shared" si="371"/>
        <v>0</v>
      </c>
      <c r="O1217" s="60">
        <f t="shared" si="372"/>
        <v>0</v>
      </c>
    </row>
    <row r="1218" spans="1:15" s="39" customFormat="1" ht="15.75" x14ac:dyDescent="0.25">
      <c r="A1218" s="40" t="s">
        <v>318</v>
      </c>
      <c r="B1218" s="41" t="s">
        <v>258</v>
      </c>
      <c r="C1218" s="42">
        <f>SUM(C1219)</f>
        <v>0</v>
      </c>
      <c r="D1218" s="42">
        <f>SUM(D1219)</f>
        <v>0</v>
      </c>
      <c r="E1218" s="42">
        <f>SUM(E1219)</f>
        <v>0</v>
      </c>
      <c r="F1218" s="57"/>
      <c r="G1218" s="57"/>
      <c r="H1218" s="57"/>
      <c r="I1218" s="57"/>
      <c r="J1218" s="57"/>
      <c r="K1218" s="57"/>
      <c r="L1218" s="57"/>
      <c r="M1218" s="57"/>
      <c r="N1218" s="57"/>
      <c r="O1218" s="43"/>
    </row>
    <row r="1219" spans="1:15" s="38" customFormat="1" ht="14.45" customHeight="1" outlineLevel="1" x14ac:dyDescent="0.25">
      <c r="A1219" s="140" t="s">
        <v>320</v>
      </c>
      <c r="B1219" s="141" t="s">
        <v>865</v>
      </c>
      <c r="C1219" s="130">
        <f>SUM(N1219:N1225)</f>
        <v>0</v>
      </c>
      <c r="D1219" s="130">
        <f>SUM(O1219:O1225)</f>
        <v>0</v>
      </c>
      <c r="E1219" s="130">
        <f t="shared" ref="E1219" si="373">D1219/8</f>
        <v>0</v>
      </c>
      <c r="F1219" s="130"/>
      <c r="G1219" s="60" t="s">
        <v>125</v>
      </c>
      <c r="H1219" s="123"/>
      <c r="I1219" s="123"/>
      <c r="J1219" s="60"/>
      <c r="K1219" s="60"/>
      <c r="L1219" s="60"/>
      <c r="M1219" s="60"/>
      <c r="N1219" s="60">
        <f>M1219*J1219*K1219*L1219</f>
        <v>0</v>
      </c>
      <c r="O1219" s="60">
        <f>J1219*K1219*L1219</f>
        <v>0</v>
      </c>
    </row>
    <row r="1220" spans="1:15" s="38" customFormat="1" ht="11.45" customHeight="1" outlineLevel="1" x14ac:dyDescent="0.25">
      <c r="A1220" s="124"/>
      <c r="B1220" s="142"/>
      <c r="C1220" s="115"/>
      <c r="D1220" s="115"/>
      <c r="E1220" s="115"/>
      <c r="F1220" s="115"/>
      <c r="G1220" s="60" t="s">
        <v>126</v>
      </c>
      <c r="H1220" s="124"/>
      <c r="I1220" s="124"/>
      <c r="J1220" s="60"/>
      <c r="K1220" s="60"/>
      <c r="L1220" s="60"/>
      <c r="M1220" s="60"/>
      <c r="N1220" s="60">
        <f t="shared" ref="N1220:N1225" si="374">M1220*J1220*K1220*L1220</f>
        <v>0</v>
      </c>
      <c r="O1220" s="60">
        <f t="shared" ref="O1220:O1225" si="375">J1220*K1220*L1220</f>
        <v>0</v>
      </c>
    </row>
    <row r="1221" spans="1:15" s="38" customFormat="1" ht="10.7" customHeight="1" outlineLevel="1" x14ac:dyDescent="0.25">
      <c r="A1221" s="124"/>
      <c r="B1221" s="142"/>
      <c r="C1221" s="115"/>
      <c r="D1221" s="115"/>
      <c r="E1221" s="115"/>
      <c r="F1221" s="115"/>
      <c r="G1221" s="60" t="s">
        <v>127</v>
      </c>
      <c r="H1221" s="124"/>
      <c r="I1221" s="124"/>
      <c r="J1221" s="60"/>
      <c r="K1221" s="60"/>
      <c r="L1221" s="60"/>
      <c r="M1221" s="60"/>
      <c r="N1221" s="60">
        <f t="shared" si="374"/>
        <v>0</v>
      </c>
      <c r="O1221" s="60">
        <f t="shared" si="375"/>
        <v>0</v>
      </c>
    </row>
    <row r="1222" spans="1:15" s="38" customFormat="1" ht="10.7" customHeight="1" outlineLevel="1" x14ac:dyDescent="0.25">
      <c r="A1222" s="124"/>
      <c r="B1222" s="142"/>
      <c r="C1222" s="115"/>
      <c r="D1222" s="115"/>
      <c r="E1222" s="115"/>
      <c r="F1222" s="115"/>
      <c r="G1222" s="60" t="s">
        <v>128</v>
      </c>
      <c r="H1222" s="124"/>
      <c r="I1222" s="124"/>
      <c r="J1222" s="60"/>
      <c r="K1222" s="60"/>
      <c r="L1222" s="60"/>
      <c r="M1222" s="60"/>
      <c r="N1222" s="60">
        <f t="shared" si="374"/>
        <v>0</v>
      </c>
      <c r="O1222" s="60">
        <f t="shared" si="375"/>
        <v>0</v>
      </c>
    </row>
    <row r="1223" spans="1:15" s="38" customFormat="1" ht="10.7" customHeight="1" outlineLevel="1" x14ac:dyDescent="0.25">
      <c r="A1223" s="124"/>
      <c r="B1223" s="142"/>
      <c r="C1223" s="115"/>
      <c r="D1223" s="115"/>
      <c r="E1223" s="115"/>
      <c r="F1223" s="115"/>
      <c r="G1223" s="60" t="s">
        <v>129</v>
      </c>
      <c r="H1223" s="124"/>
      <c r="I1223" s="124"/>
      <c r="J1223" s="60"/>
      <c r="K1223" s="60"/>
      <c r="L1223" s="60"/>
      <c r="M1223" s="60"/>
      <c r="N1223" s="60">
        <f t="shared" si="374"/>
        <v>0</v>
      </c>
      <c r="O1223" s="60">
        <f t="shared" si="375"/>
        <v>0</v>
      </c>
    </row>
    <row r="1224" spans="1:15" s="38" customFormat="1" ht="10.7" customHeight="1" outlineLevel="1" x14ac:dyDescent="0.25">
      <c r="A1224" s="124"/>
      <c r="B1224" s="142"/>
      <c r="C1224" s="115"/>
      <c r="D1224" s="115"/>
      <c r="E1224" s="115"/>
      <c r="F1224" s="115"/>
      <c r="G1224" s="60" t="s">
        <v>130</v>
      </c>
      <c r="H1224" s="124"/>
      <c r="I1224" s="124"/>
      <c r="J1224" s="60"/>
      <c r="K1224" s="60"/>
      <c r="L1224" s="60"/>
      <c r="M1224" s="60"/>
      <c r="N1224" s="60">
        <f t="shared" si="374"/>
        <v>0</v>
      </c>
      <c r="O1224" s="60">
        <f t="shared" si="375"/>
        <v>0</v>
      </c>
    </row>
    <row r="1225" spans="1:15" s="38" customFormat="1" ht="12" customHeight="1" outlineLevel="1" thickBot="1" x14ac:dyDescent="0.3">
      <c r="A1225" s="125"/>
      <c r="B1225" s="143"/>
      <c r="C1225" s="131"/>
      <c r="D1225" s="131"/>
      <c r="E1225" s="131"/>
      <c r="F1225" s="131"/>
      <c r="G1225" s="60" t="s">
        <v>131</v>
      </c>
      <c r="H1225" s="134"/>
      <c r="I1225" s="134"/>
      <c r="J1225" s="60"/>
      <c r="K1225" s="60"/>
      <c r="L1225" s="60"/>
      <c r="M1225" s="60"/>
      <c r="N1225" s="60">
        <f t="shared" si="374"/>
        <v>0</v>
      </c>
      <c r="O1225" s="60">
        <f t="shared" si="375"/>
        <v>0</v>
      </c>
    </row>
    <row r="1226" spans="1:15" s="39" customFormat="1" ht="15.75" x14ac:dyDescent="0.25">
      <c r="A1226" s="40" t="s">
        <v>322</v>
      </c>
      <c r="B1226" s="41" t="s">
        <v>262</v>
      </c>
      <c r="C1226" s="42">
        <f>SUM(C1227:C1408)</f>
        <v>0</v>
      </c>
      <c r="D1226" s="42">
        <f>SUM(D1227:D1408)</f>
        <v>0</v>
      </c>
      <c r="E1226" s="42">
        <f>SUM(E1227:E1408)</f>
        <v>0</v>
      </c>
      <c r="F1226" s="42"/>
      <c r="G1226" s="42"/>
      <c r="H1226" s="42"/>
      <c r="I1226" s="42"/>
      <c r="J1226" s="42"/>
      <c r="K1226" s="42"/>
      <c r="L1226" s="42"/>
      <c r="M1226" s="42"/>
      <c r="N1226" s="42"/>
      <c r="O1226" s="47"/>
    </row>
    <row r="1227" spans="1:15" s="38" customFormat="1" ht="14.45" customHeight="1" outlineLevel="1" x14ac:dyDescent="0.25">
      <c r="A1227" s="140" t="s">
        <v>71</v>
      </c>
      <c r="B1227" s="141" t="s">
        <v>866</v>
      </c>
      <c r="C1227" s="130">
        <f>SUM(N1227:N1233)</f>
        <v>0</v>
      </c>
      <c r="D1227" s="130">
        <f>SUM(O1227:O1233)</f>
        <v>0</v>
      </c>
      <c r="E1227" s="130">
        <f t="shared" ref="E1227:E1290" si="376">D1227/8</f>
        <v>0</v>
      </c>
      <c r="F1227" s="130"/>
      <c r="G1227" s="60" t="s">
        <v>125</v>
      </c>
      <c r="H1227" s="123"/>
      <c r="I1227" s="123"/>
      <c r="J1227" s="60"/>
      <c r="K1227" s="60"/>
      <c r="L1227" s="60"/>
      <c r="M1227" s="60"/>
      <c r="N1227" s="60">
        <f>M1227*J1227*K1227*L1227</f>
        <v>0</v>
      </c>
      <c r="O1227" s="60">
        <f>J1227*K1227*L1227</f>
        <v>0</v>
      </c>
    </row>
    <row r="1228" spans="1:15" s="38" customFormat="1" ht="11.45" customHeight="1" outlineLevel="1" x14ac:dyDescent="0.25">
      <c r="A1228" s="124"/>
      <c r="B1228" s="142"/>
      <c r="C1228" s="115"/>
      <c r="D1228" s="115"/>
      <c r="E1228" s="115"/>
      <c r="F1228" s="115"/>
      <c r="G1228" s="60" t="s">
        <v>126</v>
      </c>
      <c r="H1228" s="124"/>
      <c r="I1228" s="124"/>
      <c r="J1228" s="60"/>
      <c r="K1228" s="60"/>
      <c r="L1228" s="60"/>
      <c r="M1228" s="60"/>
      <c r="N1228" s="60">
        <f t="shared" ref="N1228:N1233" si="377">M1228*J1228*K1228*L1228</f>
        <v>0</v>
      </c>
      <c r="O1228" s="60">
        <f t="shared" ref="O1228:O1233" si="378">J1228*K1228*L1228</f>
        <v>0</v>
      </c>
    </row>
    <row r="1229" spans="1:15" s="38" customFormat="1" ht="10.7" customHeight="1" outlineLevel="1" x14ac:dyDescent="0.25">
      <c r="A1229" s="124"/>
      <c r="B1229" s="142"/>
      <c r="C1229" s="115"/>
      <c r="D1229" s="115"/>
      <c r="E1229" s="115"/>
      <c r="F1229" s="115"/>
      <c r="G1229" s="60" t="s">
        <v>127</v>
      </c>
      <c r="H1229" s="124"/>
      <c r="I1229" s="124"/>
      <c r="J1229" s="60"/>
      <c r="K1229" s="60"/>
      <c r="L1229" s="60"/>
      <c r="M1229" s="60"/>
      <c r="N1229" s="60">
        <f t="shared" si="377"/>
        <v>0</v>
      </c>
      <c r="O1229" s="60">
        <f t="shared" si="378"/>
        <v>0</v>
      </c>
    </row>
    <row r="1230" spans="1:15" s="38" customFormat="1" ht="10.7" customHeight="1" outlineLevel="1" x14ac:dyDescent="0.25">
      <c r="A1230" s="124"/>
      <c r="B1230" s="142"/>
      <c r="C1230" s="115"/>
      <c r="D1230" s="115"/>
      <c r="E1230" s="115"/>
      <c r="F1230" s="115"/>
      <c r="G1230" s="60" t="s">
        <v>128</v>
      </c>
      <c r="H1230" s="124"/>
      <c r="I1230" s="124"/>
      <c r="J1230" s="60"/>
      <c r="K1230" s="60"/>
      <c r="L1230" s="60"/>
      <c r="M1230" s="60"/>
      <c r="N1230" s="60">
        <f t="shared" si="377"/>
        <v>0</v>
      </c>
      <c r="O1230" s="60">
        <f t="shared" si="378"/>
        <v>0</v>
      </c>
    </row>
    <row r="1231" spans="1:15" s="38" customFormat="1" ht="10.7" customHeight="1" outlineLevel="1" x14ac:dyDescent="0.25">
      <c r="A1231" s="124"/>
      <c r="B1231" s="142"/>
      <c r="C1231" s="115"/>
      <c r="D1231" s="115"/>
      <c r="E1231" s="115"/>
      <c r="F1231" s="115"/>
      <c r="G1231" s="60" t="s">
        <v>129</v>
      </c>
      <c r="H1231" s="124"/>
      <c r="I1231" s="124"/>
      <c r="J1231" s="60"/>
      <c r="K1231" s="60"/>
      <c r="L1231" s="60"/>
      <c r="M1231" s="60"/>
      <c r="N1231" s="60">
        <f t="shared" si="377"/>
        <v>0</v>
      </c>
      <c r="O1231" s="60">
        <f t="shared" si="378"/>
        <v>0</v>
      </c>
    </row>
    <row r="1232" spans="1:15" s="38" customFormat="1" ht="10.7" customHeight="1" outlineLevel="1" x14ac:dyDescent="0.25">
      <c r="A1232" s="124"/>
      <c r="B1232" s="142"/>
      <c r="C1232" s="115"/>
      <c r="D1232" s="115"/>
      <c r="E1232" s="115"/>
      <c r="F1232" s="115"/>
      <c r="G1232" s="60" t="s">
        <v>130</v>
      </c>
      <c r="H1232" s="124"/>
      <c r="I1232" s="124"/>
      <c r="J1232" s="60"/>
      <c r="K1232" s="60"/>
      <c r="L1232" s="60"/>
      <c r="M1232" s="60"/>
      <c r="N1232" s="60">
        <f t="shared" si="377"/>
        <v>0</v>
      </c>
      <c r="O1232" s="60">
        <f t="shared" si="378"/>
        <v>0</v>
      </c>
    </row>
    <row r="1233" spans="1:15" s="38" customFormat="1" ht="12" customHeight="1" outlineLevel="1" thickBot="1" x14ac:dyDescent="0.3">
      <c r="A1233" s="125"/>
      <c r="B1233" s="143"/>
      <c r="C1233" s="131"/>
      <c r="D1233" s="131"/>
      <c r="E1233" s="131"/>
      <c r="F1233" s="131"/>
      <c r="G1233" s="60" t="s">
        <v>131</v>
      </c>
      <c r="H1233" s="134"/>
      <c r="I1233" s="134"/>
      <c r="J1233" s="60"/>
      <c r="K1233" s="60"/>
      <c r="L1233" s="60"/>
      <c r="M1233" s="60"/>
      <c r="N1233" s="60">
        <f t="shared" si="377"/>
        <v>0</v>
      </c>
      <c r="O1233" s="60">
        <f t="shared" si="378"/>
        <v>0</v>
      </c>
    </row>
    <row r="1234" spans="1:15" s="38" customFormat="1" ht="14.45" customHeight="1" outlineLevel="1" x14ac:dyDescent="0.25">
      <c r="A1234" s="140" t="s">
        <v>867</v>
      </c>
      <c r="B1234" s="141" t="s">
        <v>382</v>
      </c>
      <c r="C1234" s="130">
        <f>SUM(N1234:N1240)</f>
        <v>0</v>
      </c>
      <c r="D1234" s="130">
        <f>SUM(O1234:O1240)</f>
        <v>0</v>
      </c>
      <c r="E1234" s="130">
        <f t="shared" si="376"/>
        <v>0</v>
      </c>
      <c r="F1234" s="130"/>
      <c r="G1234" s="60" t="s">
        <v>125</v>
      </c>
      <c r="H1234" s="123"/>
      <c r="I1234" s="123"/>
      <c r="J1234" s="60"/>
      <c r="K1234" s="60"/>
      <c r="L1234" s="60"/>
      <c r="M1234" s="60"/>
      <c r="N1234" s="60">
        <f>M1234*J1234*K1234*L1234</f>
        <v>0</v>
      </c>
      <c r="O1234" s="60">
        <f>J1234*K1234*L1234</f>
        <v>0</v>
      </c>
    </row>
    <row r="1235" spans="1:15" s="38" customFormat="1" ht="11.45" customHeight="1" outlineLevel="1" x14ac:dyDescent="0.25">
      <c r="A1235" s="124"/>
      <c r="B1235" s="142"/>
      <c r="C1235" s="115"/>
      <c r="D1235" s="115"/>
      <c r="E1235" s="115"/>
      <c r="F1235" s="115"/>
      <c r="G1235" s="60" t="s">
        <v>126</v>
      </c>
      <c r="H1235" s="124"/>
      <c r="I1235" s="124"/>
      <c r="J1235" s="60"/>
      <c r="K1235" s="60"/>
      <c r="L1235" s="60"/>
      <c r="M1235" s="60"/>
      <c r="N1235" s="60">
        <f t="shared" ref="N1235:N1240" si="379">M1235*J1235*K1235*L1235</f>
        <v>0</v>
      </c>
      <c r="O1235" s="60">
        <f t="shared" ref="O1235:O1240" si="380">J1235*K1235*L1235</f>
        <v>0</v>
      </c>
    </row>
    <row r="1236" spans="1:15" s="38" customFormat="1" ht="10.7" customHeight="1" outlineLevel="1" x14ac:dyDescent="0.25">
      <c r="A1236" s="124"/>
      <c r="B1236" s="142"/>
      <c r="C1236" s="115"/>
      <c r="D1236" s="115"/>
      <c r="E1236" s="115"/>
      <c r="F1236" s="115"/>
      <c r="G1236" s="60" t="s">
        <v>127</v>
      </c>
      <c r="H1236" s="124"/>
      <c r="I1236" s="124"/>
      <c r="J1236" s="60"/>
      <c r="K1236" s="60"/>
      <c r="L1236" s="60"/>
      <c r="M1236" s="60"/>
      <c r="N1236" s="60">
        <f t="shared" si="379"/>
        <v>0</v>
      </c>
      <c r="O1236" s="60">
        <f t="shared" si="380"/>
        <v>0</v>
      </c>
    </row>
    <row r="1237" spans="1:15" s="38" customFormat="1" ht="10.7" customHeight="1" outlineLevel="1" x14ac:dyDescent="0.25">
      <c r="A1237" s="124"/>
      <c r="B1237" s="142"/>
      <c r="C1237" s="115"/>
      <c r="D1237" s="115"/>
      <c r="E1237" s="115"/>
      <c r="F1237" s="115"/>
      <c r="G1237" s="60" t="s">
        <v>128</v>
      </c>
      <c r="H1237" s="124"/>
      <c r="I1237" s="124"/>
      <c r="J1237" s="60"/>
      <c r="K1237" s="60"/>
      <c r="L1237" s="60"/>
      <c r="M1237" s="60"/>
      <c r="N1237" s="60">
        <f t="shared" si="379"/>
        <v>0</v>
      </c>
      <c r="O1237" s="60">
        <f t="shared" si="380"/>
        <v>0</v>
      </c>
    </row>
    <row r="1238" spans="1:15" s="38" customFormat="1" ht="10.7" customHeight="1" outlineLevel="1" x14ac:dyDescent="0.25">
      <c r="A1238" s="124"/>
      <c r="B1238" s="142"/>
      <c r="C1238" s="115"/>
      <c r="D1238" s="115"/>
      <c r="E1238" s="115"/>
      <c r="F1238" s="115"/>
      <c r="G1238" s="60" t="s">
        <v>129</v>
      </c>
      <c r="H1238" s="124"/>
      <c r="I1238" s="124"/>
      <c r="J1238" s="60"/>
      <c r="K1238" s="60"/>
      <c r="L1238" s="60"/>
      <c r="M1238" s="60"/>
      <c r="N1238" s="60">
        <f t="shared" si="379"/>
        <v>0</v>
      </c>
      <c r="O1238" s="60">
        <f t="shared" si="380"/>
        <v>0</v>
      </c>
    </row>
    <row r="1239" spans="1:15" s="38" customFormat="1" ht="10.7" customHeight="1" outlineLevel="1" x14ac:dyDescent="0.25">
      <c r="A1239" s="124"/>
      <c r="B1239" s="142"/>
      <c r="C1239" s="115"/>
      <c r="D1239" s="115"/>
      <c r="E1239" s="115"/>
      <c r="F1239" s="115"/>
      <c r="G1239" s="60" t="s">
        <v>130</v>
      </c>
      <c r="H1239" s="124"/>
      <c r="I1239" s="124"/>
      <c r="J1239" s="60"/>
      <c r="K1239" s="60"/>
      <c r="L1239" s="60"/>
      <c r="M1239" s="60"/>
      <c r="N1239" s="60">
        <f t="shared" si="379"/>
        <v>0</v>
      </c>
      <c r="O1239" s="60">
        <f t="shared" si="380"/>
        <v>0</v>
      </c>
    </row>
    <row r="1240" spans="1:15" s="38" customFormat="1" ht="12" customHeight="1" outlineLevel="1" thickBot="1" x14ac:dyDescent="0.3">
      <c r="A1240" s="125"/>
      <c r="B1240" s="143"/>
      <c r="C1240" s="131"/>
      <c r="D1240" s="131"/>
      <c r="E1240" s="131"/>
      <c r="F1240" s="131"/>
      <c r="G1240" s="60" t="s">
        <v>131</v>
      </c>
      <c r="H1240" s="134"/>
      <c r="I1240" s="134"/>
      <c r="J1240" s="60"/>
      <c r="K1240" s="60"/>
      <c r="L1240" s="60"/>
      <c r="M1240" s="60"/>
      <c r="N1240" s="60">
        <f t="shared" si="379"/>
        <v>0</v>
      </c>
      <c r="O1240" s="60">
        <f t="shared" si="380"/>
        <v>0</v>
      </c>
    </row>
    <row r="1241" spans="1:15" s="38" customFormat="1" ht="14.45" customHeight="1" outlineLevel="1" x14ac:dyDescent="0.25">
      <c r="A1241" s="140" t="s">
        <v>868</v>
      </c>
      <c r="B1241" s="141" t="s">
        <v>443</v>
      </c>
      <c r="C1241" s="130">
        <f>SUM(N1241:N1247)</f>
        <v>0</v>
      </c>
      <c r="D1241" s="130">
        <f>SUM(O1241:O1247)</f>
        <v>0</v>
      </c>
      <c r="E1241" s="130">
        <f t="shared" si="376"/>
        <v>0</v>
      </c>
      <c r="F1241" s="130"/>
      <c r="G1241" s="60" t="s">
        <v>125</v>
      </c>
      <c r="H1241" s="123"/>
      <c r="I1241" s="123"/>
      <c r="J1241" s="60"/>
      <c r="K1241" s="60"/>
      <c r="L1241" s="60"/>
      <c r="M1241" s="60"/>
      <c r="N1241" s="60">
        <f>M1241*J1241*K1241*L1241</f>
        <v>0</v>
      </c>
      <c r="O1241" s="60">
        <f>J1241*K1241*L1241</f>
        <v>0</v>
      </c>
    </row>
    <row r="1242" spans="1:15" s="38" customFormat="1" ht="11.45" customHeight="1" outlineLevel="1" x14ac:dyDescent="0.25">
      <c r="A1242" s="124"/>
      <c r="B1242" s="142"/>
      <c r="C1242" s="115"/>
      <c r="D1242" s="115"/>
      <c r="E1242" s="115"/>
      <c r="F1242" s="115"/>
      <c r="G1242" s="60" t="s">
        <v>126</v>
      </c>
      <c r="H1242" s="124"/>
      <c r="I1242" s="124"/>
      <c r="J1242" s="60"/>
      <c r="K1242" s="60"/>
      <c r="L1242" s="60"/>
      <c r="M1242" s="60"/>
      <c r="N1242" s="60">
        <f t="shared" ref="N1242:N1247" si="381">M1242*J1242*K1242*L1242</f>
        <v>0</v>
      </c>
      <c r="O1242" s="60">
        <f t="shared" ref="O1242:O1247" si="382">J1242*K1242*L1242</f>
        <v>0</v>
      </c>
    </row>
    <row r="1243" spans="1:15" s="38" customFormat="1" ht="10.7" customHeight="1" outlineLevel="1" x14ac:dyDescent="0.25">
      <c r="A1243" s="124"/>
      <c r="B1243" s="142"/>
      <c r="C1243" s="115"/>
      <c r="D1243" s="115"/>
      <c r="E1243" s="115"/>
      <c r="F1243" s="115"/>
      <c r="G1243" s="60" t="s">
        <v>127</v>
      </c>
      <c r="H1243" s="124"/>
      <c r="I1243" s="124"/>
      <c r="J1243" s="60"/>
      <c r="K1243" s="60"/>
      <c r="L1243" s="60"/>
      <c r="M1243" s="60"/>
      <c r="N1243" s="60">
        <f t="shared" si="381"/>
        <v>0</v>
      </c>
      <c r="O1243" s="60">
        <f t="shared" si="382"/>
        <v>0</v>
      </c>
    </row>
    <row r="1244" spans="1:15" s="38" customFormat="1" ht="10.7" customHeight="1" outlineLevel="1" x14ac:dyDescent="0.25">
      <c r="A1244" s="124"/>
      <c r="B1244" s="142"/>
      <c r="C1244" s="115"/>
      <c r="D1244" s="115"/>
      <c r="E1244" s="115"/>
      <c r="F1244" s="115"/>
      <c r="G1244" s="60" t="s">
        <v>128</v>
      </c>
      <c r="H1244" s="124"/>
      <c r="I1244" s="124"/>
      <c r="J1244" s="60"/>
      <c r="K1244" s="60"/>
      <c r="L1244" s="60"/>
      <c r="M1244" s="60"/>
      <c r="N1244" s="60">
        <f t="shared" si="381"/>
        <v>0</v>
      </c>
      <c r="O1244" s="60">
        <f t="shared" si="382"/>
        <v>0</v>
      </c>
    </row>
    <row r="1245" spans="1:15" s="38" customFormat="1" ht="10.7" customHeight="1" outlineLevel="1" x14ac:dyDescent="0.25">
      <c r="A1245" s="124"/>
      <c r="B1245" s="142"/>
      <c r="C1245" s="115"/>
      <c r="D1245" s="115"/>
      <c r="E1245" s="115"/>
      <c r="F1245" s="115"/>
      <c r="G1245" s="60" t="s">
        <v>129</v>
      </c>
      <c r="H1245" s="124"/>
      <c r="I1245" s="124"/>
      <c r="J1245" s="60"/>
      <c r="K1245" s="60"/>
      <c r="L1245" s="60"/>
      <c r="M1245" s="60"/>
      <c r="N1245" s="60">
        <f t="shared" si="381"/>
        <v>0</v>
      </c>
      <c r="O1245" s="60">
        <f t="shared" si="382"/>
        <v>0</v>
      </c>
    </row>
    <row r="1246" spans="1:15" s="38" customFormat="1" ht="10.7" customHeight="1" outlineLevel="1" x14ac:dyDescent="0.25">
      <c r="A1246" s="124"/>
      <c r="B1246" s="142"/>
      <c r="C1246" s="115"/>
      <c r="D1246" s="115"/>
      <c r="E1246" s="115"/>
      <c r="F1246" s="115"/>
      <c r="G1246" s="60" t="s">
        <v>130</v>
      </c>
      <c r="H1246" s="124"/>
      <c r="I1246" s="124"/>
      <c r="J1246" s="60"/>
      <c r="K1246" s="60"/>
      <c r="L1246" s="60"/>
      <c r="M1246" s="60"/>
      <c r="N1246" s="60">
        <f t="shared" si="381"/>
        <v>0</v>
      </c>
      <c r="O1246" s="60">
        <f t="shared" si="382"/>
        <v>0</v>
      </c>
    </row>
    <row r="1247" spans="1:15" s="38" customFormat="1" ht="12" customHeight="1" outlineLevel="1" thickBot="1" x14ac:dyDescent="0.3">
      <c r="A1247" s="125"/>
      <c r="B1247" s="143"/>
      <c r="C1247" s="131"/>
      <c r="D1247" s="131"/>
      <c r="E1247" s="131"/>
      <c r="F1247" s="131"/>
      <c r="G1247" s="60" t="s">
        <v>131</v>
      </c>
      <c r="H1247" s="134"/>
      <c r="I1247" s="134"/>
      <c r="J1247" s="60"/>
      <c r="K1247" s="60"/>
      <c r="L1247" s="60"/>
      <c r="M1247" s="60"/>
      <c r="N1247" s="60">
        <f t="shared" si="381"/>
        <v>0</v>
      </c>
      <c r="O1247" s="60">
        <f t="shared" si="382"/>
        <v>0</v>
      </c>
    </row>
    <row r="1248" spans="1:15" s="38" customFormat="1" ht="14.45" customHeight="1" outlineLevel="1" x14ac:dyDescent="0.25">
      <c r="A1248" s="140" t="s">
        <v>869</v>
      </c>
      <c r="B1248" s="141" t="s">
        <v>870</v>
      </c>
      <c r="C1248" s="130">
        <f>SUM(N1248:N1254)</f>
        <v>0</v>
      </c>
      <c r="D1248" s="130">
        <f>SUM(O1248:O1254)</f>
        <v>0</v>
      </c>
      <c r="E1248" s="130">
        <f t="shared" si="376"/>
        <v>0</v>
      </c>
      <c r="F1248" s="130"/>
      <c r="G1248" s="60" t="s">
        <v>125</v>
      </c>
      <c r="H1248" s="123"/>
      <c r="I1248" s="123"/>
      <c r="J1248" s="60"/>
      <c r="K1248" s="60"/>
      <c r="L1248" s="60"/>
      <c r="M1248" s="60"/>
      <c r="N1248" s="60">
        <f>M1248*J1248*K1248*L1248</f>
        <v>0</v>
      </c>
      <c r="O1248" s="60">
        <f>J1248*K1248*L1248</f>
        <v>0</v>
      </c>
    </row>
    <row r="1249" spans="1:15" s="38" customFormat="1" ht="11.45" customHeight="1" outlineLevel="1" x14ac:dyDescent="0.25">
      <c r="A1249" s="124"/>
      <c r="B1249" s="142"/>
      <c r="C1249" s="115"/>
      <c r="D1249" s="115"/>
      <c r="E1249" s="115"/>
      <c r="F1249" s="115"/>
      <c r="G1249" s="60" t="s">
        <v>126</v>
      </c>
      <c r="H1249" s="124"/>
      <c r="I1249" s="124"/>
      <c r="J1249" s="60"/>
      <c r="K1249" s="60"/>
      <c r="L1249" s="60"/>
      <c r="M1249" s="60"/>
      <c r="N1249" s="60">
        <f t="shared" ref="N1249:N1254" si="383">M1249*J1249*K1249*L1249</f>
        <v>0</v>
      </c>
      <c r="O1249" s="60">
        <f t="shared" ref="O1249:O1254" si="384">J1249*K1249*L1249</f>
        <v>0</v>
      </c>
    </row>
    <row r="1250" spans="1:15" s="38" customFormat="1" ht="10.7" customHeight="1" outlineLevel="1" x14ac:dyDescent="0.25">
      <c r="A1250" s="124"/>
      <c r="B1250" s="142"/>
      <c r="C1250" s="115"/>
      <c r="D1250" s="115"/>
      <c r="E1250" s="115"/>
      <c r="F1250" s="115"/>
      <c r="G1250" s="60" t="s">
        <v>127</v>
      </c>
      <c r="H1250" s="124"/>
      <c r="I1250" s="124"/>
      <c r="J1250" s="60"/>
      <c r="K1250" s="60"/>
      <c r="L1250" s="60"/>
      <c r="M1250" s="60"/>
      <c r="N1250" s="60">
        <f t="shared" si="383"/>
        <v>0</v>
      </c>
      <c r="O1250" s="60">
        <f t="shared" si="384"/>
        <v>0</v>
      </c>
    </row>
    <row r="1251" spans="1:15" s="38" customFormat="1" ht="10.7" customHeight="1" outlineLevel="1" x14ac:dyDescent="0.25">
      <c r="A1251" s="124"/>
      <c r="B1251" s="142"/>
      <c r="C1251" s="115"/>
      <c r="D1251" s="115"/>
      <c r="E1251" s="115"/>
      <c r="F1251" s="115"/>
      <c r="G1251" s="60" t="s">
        <v>128</v>
      </c>
      <c r="H1251" s="124"/>
      <c r="I1251" s="124"/>
      <c r="J1251" s="60"/>
      <c r="K1251" s="60"/>
      <c r="L1251" s="60"/>
      <c r="M1251" s="60"/>
      <c r="N1251" s="60">
        <f t="shared" si="383"/>
        <v>0</v>
      </c>
      <c r="O1251" s="60">
        <f t="shared" si="384"/>
        <v>0</v>
      </c>
    </row>
    <row r="1252" spans="1:15" s="38" customFormat="1" ht="10.7" customHeight="1" outlineLevel="1" x14ac:dyDescent="0.25">
      <c r="A1252" s="124"/>
      <c r="B1252" s="142"/>
      <c r="C1252" s="115"/>
      <c r="D1252" s="115"/>
      <c r="E1252" s="115"/>
      <c r="F1252" s="115"/>
      <c r="G1252" s="60" t="s">
        <v>129</v>
      </c>
      <c r="H1252" s="124"/>
      <c r="I1252" s="124"/>
      <c r="J1252" s="60"/>
      <c r="K1252" s="60"/>
      <c r="L1252" s="60"/>
      <c r="M1252" s="60"/>
      <c r="N1252" s="60">
        <f t="shared" si="383"/>
        <v>0</v>
      </c>
      <c r="O1252" s="60">
        <f t="shared" si="384"/>
        <v>0</v>
      </c>
    </row>
    <row r="1253" spans="1:15" s="38" customFormat="1" ht="10.7" customHeight="1" outlineLevel="1" x14ac:dyDescent="0.25">
      <c r="A1253" s="124"/>
      <c r="B1253" s="142"/>
      <c r="C1253" s="115"/>
      <c r="D1253" s="115"/>
      <c r="E1253" s="115"/>
      <c r="F1253" s="115"/>
      <c r="G1253" s="60" t="s">
        <v>130</v>
      </c>
      <c r="H1253" s="124"/>
      <c r="I1253" s="124"/>
      <c r="J1253" s="60"/>
      <c r="K1253" s="60"/>
      <c r="L1253" s="60"/>
      <c r="M1253" s="60"/>
      <c r="N1253" s="60">
        <f t="shared" si="383"/>
        <v>0</v>
      </c>
      <c r="O1253" s="60">
        <f t="shared" si="384"/>
        <v>0</v>
      </c>
    </row>
    <row r="1254" spans="1:15" s="38" customFormat="1" ht="12" customHeight="1" outlineLevel="1" thickBot="1" x14ac:dyDescent="0.3">
      <c r="A1254" s="125"/>
      <c r="B1254" s="143"/>
      <c r="C1254" s="131"/>
      <c r="D1254" s="131"/>
      <c r="E1254" s="131"/>
      <c r="F1254" s="131"/>
      <c r="G1254" s="60" t="s">
        <v>131</v>
      </c>
      <c r="H1254" s="134"/>
      <c r="I1254" s="134"/>
      <c r="J1254" s="60"/>
      <c r="K1254" s="60"/>
      <c r="L1254" s="60"/>
      <c r="M1254" s="60"/>
      <c r="N1254" s="60">
        <f t="shared" si="383"/>
        <v>0</v>
      </c>
      <c r="O1254" s="60">
        <f t="shared" si="384"/>
        <v>0</v>
      </c>
    </row>
    <row r="1255" spans="1:15" s="38" customFormat="1" ht="14.45" customHeight="1" outlineLevel="1" x14ac:dyDescent="0.25">
      <c r="A1255" s="140" t="s">
        <v>871</v>
      </c>
      <c r="B1255" s="141" t="s">
        <v>872</v>
      </c>
      <c r="C1255" s="130">
        <f>SUM(N1255:N1261)</f>
        <v>0</v>
      </c>
      <c r="D1255" s="130">
        <f>SUM(O1255:O1261)</f>
        <v>0</v>
      </c>
      <c r="E1255" s="130">
        <f t="shared" si="376"/>
        <v>0</v>
      </c>
      <c r="F1255" s="130"/>
      <c r="G1255" s="60" t="s">
        <v>125</v>
      </c>
      <c r="H1255" s="123"/>
      <c r="I1255" s="123"/>
      <c r="J1255" s="60"/>
      <c r="K1255" s="60"/>
      <c r="L1255" s="60"/>
      <c r="M1255" s="60"/>
      <c r="N1255" s="60">
        <f>M1255*J1255*K1255*L1255</f>
        <v>0</v>
      </c>
      <c r="O1255" s="60">
        <f>J1255*K1255*L1255</f>
        <v>0</v>
      </c>
    </row>
    <row r="1256" spans="1:15" s="38" customFormat="1" ht="11.45" customHeight="1" outlineLevel="1" x14ac:dyDescent="0.25">
      <c r="A1256" s="124"/>
      <c r="B1256" s="142"/>
      <c r="C1256" s="115"/>
      <c r="D1256" s="115"/>
      <c r="E1256" s="115"/>
      <c r="F1256" s="115"/>
      <c r="G1256" s="60" t="s">
        <v>126</v>
      </c>
      <c r="H1256" s="124"/>
      <c r="I1256" s="124"/>
      <c r="J1256" s="60"/>
      <c r="K1256" s="60"/>
      <c r="L1256" s="60"/>
      <c r="M1256" s="60"/>
      <c r="N1256" s="60">
        <f t="shared" ref="N1256:N1261" si="385">M1256*J1256*K1256*L1256</f>
        <v>0</v>
      </c>
      <c r="O1256" s="60">
        <f t="shared" ref="O1256:O1261" si="386">J1256*K1256*L1256</f>
        <v>0</v>
      </c>
    </row>
    <row r="1257" spans="1:15" s="38" customFormat="1" ht="10.7" customHeight="1" outlineLevel="1" x14ac:dyDescent="0.25">
      <c r="A1257" s="124"/>
      <c r="B1257" s="142"/>
      <c r="C1257" s="115"/>
      <c r="D1257" s="115"/>
      <c r="E1257" s="115"/>
      <c r="F1257" s="115"/>
      <c r="G1257" s="60" t="s">
        <v>127</v>
      </c>
      <c r="H1257" s="124"/>
      <c r="I1257" s="124"/>
      <c r="J1257" s="60"/>
      <c r="K1257" s="60"/>
      <c r="L1257" s="60"/>
      <c r="M1257" s="60"/>
      <c r="N1257" s="60">
        <f t="shared" si="385"/>
        <v>0</v>
      </c>
      <c r="O1257" s="60">
        <f t="shared" si="386"/>
        <v>0</v>
      </c>
    </row>
    <row r="1258" spans="1:15" s="38" customFormat="1" ht="10.7" customHeight="1" outlineLevel="1" x14ac:dyDescent="0.25">
      <c r="A1258" s="124"/>
      <c r="B1258" s="142"/>
      <c r="C1258" s="115"/>
      <c r="D1258" s="115"/>
      <c r="E1258" s="115"/>
      <c r="F1258" s="115"/>
      <c r="G1258" s="60" t="s">
        <v>128</v>
      </c>
      <c r="H1258" s="124"/>
      <c r="I1258" s="124"/>
      <c r="J1258" s="60"/>
      <c r="K1258" s="60"/>
      <c r="L1258" s="60"/>
      <c r="M1258" s="60"/>
      <c r="N1258" s="60">
        <f t="shared" si="385"/>
        <v>0</v>
      </c>
      <c r="O1258" s="60">
        <f t="shared" si="386"/>
        <v>0</v>
      </c>
    </row>
    <row r="1259" spans="1:15" s="38" customFormat="1" ht="10.7" customHeight="1" outlineLevel="1" x14ac:dyDescent="0.25">
      <c r="A1259" s="124"/>
      <c r="B1259" s="142"/>
      <c r="C1259" s="115"/>
      <c r="D1259" s="115"/>
      <c r="E1259" s="115"/>
      <c r="F1259" s="115"/>
      <c r="G1259" s="60" t="s">
        <v>129</v>
      </c>
      <c r="H1259" s="124"/>
      <c r="I1259" s="124"/>
      <c r="J1259" s="60"/>
      <c r="K1259" s="60"/>
      <c r="L1259" s="60"/>
      <c r="M1259" s="60"/>
      <c r="N1259" s="60">
        <f t="shared" si="385"/>
        <v>0</v>
      </c>
      <c r="O1259" s="60">
        <f t="shared" si="386"/>
        <v>0</v>
      </c>
    </row>
    <row r="1260" spans="1:15" s="38" customFormat="1" ht="10.7" customHeight="1" outlineLevel="1" x14ac:dyDescent="0.25">
      <c r="A1260" s="124"/>
      <c r="B1260" s="142"/>
      <c r="C1260" s="115"/>
      <c r="D1260" s="115"/>
      <c r="E1260" s="115"/>
      <c r="F1260" s="115"/>
      <c r="G1260" s="60" t="s">
        <v>130</v>
      </c>
      <c r="H1260" s="124"/>
      <c r="I1260" s="124"/>
      <c r="J1260" s="60"/>
      <c r="K1260" s="60"/>
      <c r="L1260" s="60"/>
      <c r="M1260" s="60"/>
      <c r="N1260" s="60">
        <f t="shared" si="385"/>
        <v>0</v>
      </c>
      <c r="O1260" s="60">
        <f t="shared" si="386"/>
        <v>0</v>
      </c>
    </row>
    <row r="1261" spans="1:15" s="38" customFormat="1" ht="12" customHeight="1" outlineLevel="1" thickBot="1" x14ac:dyDescent="0.3">
      <c r="A1261" s="125"/>
      <c r="B1261" s="143"/>
      <c r="C1261" s="131"/>
      <c r="D1261" s="131"/>
      <c r="E1261" s="131"/>
      <c r="F1261" s="131"/>
      <c r="G1261" s="60" t="s">
        <v>131</v>
      </c>
      <c r="H1261" s="134"/>
      <c r="I1261" s="134"/>
      <c r="J1261" s="60"/>
      <c r="K1261" s="60"/>
      <c r="L1261" s="60"/>
      <c r="M1261" s="60"/>
      <c r="N1261" s="60">
        <f t="shared" si="385"/>
        <v>0</v>
      </c>
      <c r="O1261" s="60">
        <f t="shared" si="386"/>
        <v>0</v>
      </c>
    </row>
    <row r="1262" spans="1:15" s="38" customFormat="1" ht="14.45" customHeight="1" outlineLevel="1" x14ac:dyDescent="0.25">
      <c r="A1262" s="140" t="s">
        <v>873</v>
      </c>
      <c r="B1262" s="141" t="s">
        <v>874</v>
      </c>
      <c r="C1262" s="130">
        <f>SUM(N1262:N1268)</f>
        <v>0</v>
      </c>
      <c r="D1262" s="130">
        <f>SUM(O1262:O1268)</f>
        <v>0</v>
      </c>
      <c r="E1262" s="130">
        <f t="shared" si="376"/>
        <v>0</v>
      </c>
      <c r="F1262" s="130"/>
      <c r="G1262" s="60" t="s">
        <v>125</v>
      </c>
      <c r="H1262" s="123"/>
      <c r="I1262" s="123"/>
      <c r="J1262" s="60"/>
      <c r="K1262" s="60"/>
      <c r="L1262" s="60"/>
      <c r="M1262" s="60"/>
      <c r="N1262" s="60">
        <f>M1262*J1262*K1262*L1262</f>
        <v>0</v>
      </c>
      <c r="O1262" s="60">
        <f>J1262*K1262*L1262</f>
        <v>0</v>
      </c>
    </row>
    <row r="1263" spans="1:15" s="38" customFormat="1" ht="11.45" customHeight="1" outlineLevel="1" x14ac:dyDescent="0.25">
      <c r="A1263" s="124"/>
      <c r="B1263" s="142"/>
      <c r="C1263" s="115"/>
      <c r="D1263" s="115"/>
      <c r="E1263" s="115"/>
      <c r="F1263" s="115"/>
      <c r="G1263" s="60" t="s">
        <v>126</v>
      </c>
      <c r="H1263" s="124"/>
      <c r="I1263" s="124"/>
      <c r="J1263" s="60"/>
      <c r="K1263" s="60"/>
      <c r="L1263" s="60"/>
      <c r="M1263" s="60"/>
      <c r="N1263" s="60">
        <f t="shared" ref="N1263:N1268" si="387">M1263*J1263*K1263*L1263</f>
        <v>0</v>
      </c>
      <c r="O1263" s="60">
        <f t="shared" ref="O1263:O1268" si="388">J1263*K1263*L1263</f>
        <v>0</v>
      </c>
    </row>
    <row r="1264" spans="1:15" s="38" customFormat="1" ht="10.7" customHeight="1" outlineLevel="1" x14ac:dyDescent="0.25">
      <c r="A1264" s="124"/>
      <c r="B1264" s="142"/>
      <c r="C1264" s="115"/>
      <c r="D1264" s="115"/>
      <c r="E1264" s="115"/>
      <c r="F1264" s="115"/>
      <c r="G1264" s="60" t="s">
        <v>127</v>
      </c>
      <c r="H1264" s="124"/>
      <c r="I1264" s="124"/>
      <c r="J1264" s="60"/>
      <c r="K1264" s="60"/>
      <c r="L1264" s="60"/>
      <c r="M1264" s="60"/>
      <c r="N1264" s="60">
        <f t="shared" si="387"/>
        <v>0</v>
      </c>
      <c r="O1264" s="60">
        <f t="shared" si="388"/>
        <v>0</v>
      </c>
    </row>
    <row r="1265" spans="1:15" s="38" customFormat="1" ht="10.7" customHeight="1" outlineLevel="1" x14ac:dyDescent="0.25">
      <c r="A1265" s="124"/>
      <c r="B1265" s="142"/>
      <c r="C1265" s="115"/>
      <c r="D1265" s="115"/>
      <c r="E1265" s="115"/>
      <c r="F1265" s="115"/>
      <c r="G1265" s="60" t="s">
        <v>128</v>
      </c>
      <c r="H1265" s="124"/>
      <c r="I1265" s="124"/>
      <c r="J1265" s="60"/>
      <c r="K1265" s="60"/>
      <c r="L1265" s="60"/>
      <c r="M1265" s="60"/>
      <c r="N1265" s="60">
        <f t="shared" si="387"/>
        <v>0</v>
      </c>
      <c r="O1265" s="60">
        <f t="shared" si="388"/>
        <v>0</v>
      </c>
    </row>
    <row r="1266" spans="1:15" s="38" customFormat="1" ht="10.7" customHeight="1" outlineLevel="1" x14ac:dyDescent="0.25">
      <c r="A1266" s="124"/>
      <c r="B1266" s="142"/>
      <c r="C1266" s="115"/>
      <c r="D1266" s="115"/>
      <c r="E1266" s="115"/>
      <c r="F1266" s="115"/>
      <c r="G1266" s="60" t="s">
        <v>129</v>
      </c>
      <c r="H1266" s="124"/>
      <c r="I1266" s="124"/>
      <c r="J1266" s="60"/>
      <c r="K1266" s="60"/>
      <c r="L1266" s="60"/>
      <c r="M1266" s="60"/>
      <c r="N1266" s="60">
        <f t="shared" si="387"/>
        <v>0</v>
      </c>
      <c r="O1266" s="60">
        <f t="shared" si="388"/>
        <v>0</v>
      </c>
    </row>
    <row r="1267" spans="1:15" s="38" customFormat="1" ht="10.7" customHeight="1" outlineLevel="1" x14ac:dyDescent="0.25">
      <c r="A1267" s="124"/>
      <c r="B1267" s="142"/>
      <c r="C1267" s="115"/>
      <c r="D1267" s="115"/>
      <c r="E1267" s="115"/>
      <c r="F1267" s="115"/>
      <c r="G1267" s="60" t="s">
        <v>130</v>
      </c>
      <c r="H1267" s="124"/>
      <c r="I1267" s="124"/>
      <c r="J1267" s="60"/>
      <c r="K1267" s="60"/>
      <c r="L1267" s="60"/>
      <c r="M1267" s="60"/>
      <c r="N1267" s="60">
        <f t="shared" si="387"/>
        <v>0</v>
      </c>
      <c r="O1267" s="60">
        <f t="shared" si="388"/>
        <v>0</v>
      </c>
    </row>
    <row r="1268" spans="1:15" s="38" customFormat="1" ht="12" customHeight="1" outlineLevel="1" thickBot="1" x14ac:dyDescent="0.3">
      <c r="A1268" s="125"/>
      <c r="B1268" s="143"/>
      <c r="C1268" s="131"/>
      <c r="D1268" s="131"/>
      <c r="E1268" s="131"/>
      <c r="F1268" s="131"/>
      <c r="G1268" s="60" t="s">
        <v>131</v>
      </c>
      <c r="H1268" s="134"/>
      <c r="I1268" s="134"/>
      <c r="J1268" s="60"/>
      <c r="K1268" s="60"/>
      <c r="L1268" s="60"/>
      <c r="M1268" s="60"/>
      <c r="N1268" s="60">
        <f t="shared" si="387"/>
        <v>0</v>
      </c>
      <c r="O1268" s="60">
        <f t="shared" si="388"/>
        <v>0</v>
      </c>
    </row>
    <row r="1269" spans="1:15" s="38" customFormat="1" ht="14.45" customHeight="1" outlineLevel="1" x14ac:dyDescent="0.25">
      <c r="A1269" s="140" t="s">
        <v>875</v>
      </c>
      <c r="B1269" s="141" t="s">
        <v>282</v>
      </c>
      <c r="C1269" s="130">
        <f>SUM(N1269:N1275)</f>
        <v>0</v>
      </c>
      <c r="D1269" s="130">
        <f>SUM(O1269:O1275)</f>
        <v>0</v>
      </c>
      <c r="E1269" s="130">
        <f t="shared" si="376"/>
        <v>0</v>
      </c>
      <c r="F1269" s="130"/>
      <c r="G1269" s="60" t="s">
        <v>125</v>
      </c>
      <c r="H1269" s="123"/>
      <c r="I1269" s="123"/>
      <c r="J1269" s="60"/>
      <c r="K1269" s="60"/>
      <c r="L1269" s="60"/>
      <c r="M1269" s="60"/>
      <c r="N1269" s="60">
        <f>M1269*J1269*K1269*L1269</f>
        <v>0</v>
      </c>
      <c r="O1269" s="60">
        <f>J1269*K1269*L1269</f>
        <v>0</v>
      </c>
    </row>
    <row r="1270" spans="1:15" s="38" customFormat="1" ht="11.45" customHeight="1" outlineLevel="1" x14ac:dyDescent="0.25">
      <c r="A1270" s="124"/>
      <c r="B1270" s="142"/>
      <c r="C1270" s="115"/>
      <c r="D1270" s="115"/>
      <c r="E1270" s="115"/>
      <c r="F1270" s="115"/>
      <c r="G1270" s="60" t="s">
        <v>126</v>
      </c>
      <c r="H1270" s="124"/>
      <c r="I1270" s="124"/>
      <c r="J1270" s="60"/>
      <c r="K1270" s="60"/>
      <c r="L1270" s="60"/>
      <c r="M1270" s="60"/>
      <c r="N1270" s="60">
        <f t="shared" ref="N1270:N1275" si="389">M1270*J1270*K1270*L1270</f>
        <v>0</v>
      </c>
      <c r="O1270" s="60">
        <f t="shared" ref="O1270:O1275" si="390">J1270*K1270*L1270</f>
        <v>0</v>
      </c>
    </row>
    <row r="1271" spans="1:15" s="38" customFormat="1" ht="10.7" customHeight="1" outlineLevel="1" x14ac:dyDescent="0.25">
      <c r="A1271" s="124"/>
      <c r="B1271" s="142"/>
      <c r="C1271" s="115"/>
      <c r="D1271" s="115"/>
      <c r="E1271" s="115"/>
      <c r="F1271" s="115"/>
      <c r="G1271" s="60" t="s">
        <v>127</v>
      </c>
      <c r="H1271" s="124"/>
      <c r="I1271" s="124"/>
      <c r="J1271" s="60"/>
      <c r="K1271" s="60"/>
      <c r="L1271" s="60"/>
      <c r="M1271" s="60"/>
      <c r="N1271" s="60">
        <f t="shared" si="389"/>
        <v>0</v>
      </c>
      <c r="O1271" s="60">
        <f t="shared" si="390"/>
        <v>0</v>
      </c>
    </row>
    <row r="1272" spans="1:15" s="38" customFormat="1" ht="10.7" customHeight="1" outlineLevel="1" x14ac:dyDescent="0.25">
      <c r="A1272" s="124"/>
      <c r="B1272" s="142"/>
      <c r="C1272" s="115"/>
      <c r="D1272" s="115"/>
      <c r="E1272" s="115"/>
      <c r="F1272" s="115"/>
      <c r="G1272" s="60" t="s">
        <v>128</v>
      </c>
      <c r="H1272" s="124"/>
      <c r="I1272" s="124"/>
      <c r="J1272" s="60"/>
      <c r="K1272" s="60"/>
      <c r="L1272" s="60"/>
      <c r="M1272" s="60"/>
      <c r="N1272" s="60">
        <f t="shared" si="389"/>
        <v>0</v>
      </c>
      <c r="O1272" s="60">
        <f t="shared" si="390"/>
        <v>0</v>
      </c>
    </row>
    <row r="1273" spans="1:15" s="38" customFormat="1" ht="10.7" customHeight="1" outlineLevel="1" x14ac:dyDescent="0.25">
      <c r="A1273" s="124"/>
      <c r="B1273" s="142"/>
      <c r="C1273" s="115"/>
      <c r="D1273" s="115"/>
      <c r="E1273" s="115"/>
      <c r="F1273" s="115"/>
      <c r="G1273" s="60" t="s">
        <v>129</v>
      </c>
      <c r="H1273" s="124"/>
      <c r="I1273" s="124"/>
      <c r="J1273" s="60"/>
      <c r="K1273" s="60"/>
      <c r="L1273" s="60"/>
      <c r="M1273" s="60"/>
      <c r="N1273" s="60">
        <f t="shared" si="389"/>
        <v>0</v>
      </c>
      <c r="O1273" s="60">
        <f t="shared" si="390"/>
        <v>0</v>
      </c>
    </row>
    <row r="1274" spans="1:15" s="38" customFormat="1" ht="10.7" customHeight="1" outlineLevel="1" x14ac:dyDescent="0.25">
      <c r="A1274" s="124"/>
      <c r="B1274" s="142"/>
      <c r="C1274" s="115"/>
      <c r="D1274" s="115"/>
      <c r="E1274" s="115"/>
      <c r="F1274" s="115"/>
      <c r="G1274" s="60" t="s">
        <v>130</v>
      </c>
      <c r="H1274" s="124"/>
      <c r="I1274" s="124"/>
      <c r="J1274" s="60"/>
      <c r="K1274" s="60"/>
      <c r="L1274" s="60"/>
      <c r="M1274" s="60"/>
      <c r="N1274" s="60">
        <f t="shared" si="389"/>
        <v>0</v>
      </c>
      <c r="O1274" s="60">
        <f t="shared" si="390"/>
        <v>0</v>
      </c>
    </row>
    <row r="1275" spans="1:15" s="38" customFormat="1" ht="12" customHeight="1" outlineLevel="1" thickBot="1" x14ac:dyDescent="0.3">
      <c r="A1275" s="125"/>
      <c r="B1275" s="143"/>
      <c r="C1275" s="131"/>
      <c r="D1275" s="131"/>
      <c r="E1275" s="131"/>
      <c r="F1275" s="131"/>
      <c r="G1275" s="60" t="s">
        <v>131</v>
      </c>
      <c r="H1275" s="134"/>
      <c r="I1275" s="134"/>
      <c r="J1275" s="60"/>
      <c r="K1275" s="60"/>
      <c r="L1275" s="60"/>
      <c r="M1275" s="60"/>
      <c r="N1275" s="60">
        <f t="shared" si="389"/>
        <v>0</v>
      </c>
      <c r="O1275" s="60">
        <f t="shared" si="390"/>
        <v>0</v>
      </c>
    </row>
    <row r="1276" spans="1:15" s="38" customFormat="1" ht="14.45" customHeight="1" outlineLevel="1" x14ac:dyDescent="0.25">
      <c r="A1276" s="140" t="s">
        <v>876</v>
      </c>
      <c r="B1276" s="141" t="s">
        <v>284</v>
      </c>
      <c r="C1276" s="130">
        <f>SUM(N1276:N1282)</f>
        <v>0</v>
      </c>
      <c r="D1276" s="130">
        <f>SUM(O1276:O1282)</f>
        <v>0</v>
      </c>
      <c r="E1276" s="130">
        <f t="shared" si="376"/>
        <v>0</v>
      </c>
      <c r="F1276" s="130"/>
      <c r="G1276" s="60" t="s">
        <v>125</v>
      </c>
      <c r="H1276" s="123"/>
      <c r="I1276" s="123"/>
      <c r="J1276" s="60"/>
      <c r="K1276" s="60"/>
      <c r="L1276" s="60"/>
      <c r="M1276" s="60"/>
      <c r="N1276" s="60">
        <f>M1276*J1276*K1276*L1276</f>
        <v>0</v>
      </c>
      <c r="O1276" s="60">
        <f>J1276*K1276*L1276</f>
        <v>0</v>
      </c>
    </row>
    <row r="1277" spans="1:15" s="38" customFormat="1" ht="11.45" customHeight="1" outlineLevel="1" x14ac:dyDescent="0.25">
      <c r="A1277" s="124"/>
      <c r="B1277" s="142"/>
      <c r="C1277" s="115"/>
      <c r="D1277" s="115"/>
      <c r="E1277" s="115"/>
      <c r="F1277" s="115"/>
      <c r="G1277" s="60" t="s">
        <v>126</v>
      </c>
      <c r="H1277" s="124"/>
      <c r="I1277" s="124"/>
      <c r="J1277" s="60"/>
      <c r="K1277" s="60"/>
      <c r="L1277" s="60"/>
      <c r="M1277" s="60"/>
      <c r="N1277" s="60">
        <f t="shared" ref="N1277:N1282" si="391">M1277*J1277*K1277*L1277</f>
        <v>0</v>
      </c>
      <c r="O1277" s="60">
        <f t="shared" ref="O1277:O1282" si="392">J1277*K1277*L1277</f>
        <v>0</v>
      </c>
    </row>
    <row r="1278" spans="1:15" s="38" customFormat="1" ht="10.7" customHeight="1" outlineLevel="1" x14ac:dyDescent="0.25">
      <c r="A1278" s="124"/>
      <c r="B1278" s="142"/>
      <c r="C1278" s="115"/>
      <c r="D1278" s="115"/>
      <c r="E1278" s="115"/>
      <c r="F1278" s="115"/>
      <c r="G1278" s="60" t="s">
        <v>127</v>
      </c>
      <c r="H1278" s="124"/>
      <c r="I1278" s="124"/>
      <c r="J1278" s="60"/>
      <c r="K1278" s="60"/>
      <c r="L1278" s="60"/>
      <c r="M1278" s="60"/>
      <c r="N1278" s="60">
        <f t="shared" si="391"/>
        <v>0</v>
      </c>
      <c r="O1278" s="60">
        <f t="shared" si="392"/>
        <v>0</v>
      </c>
    </row>
    <row r="1279" spans="1:15" s="38" customFormat="1" ht="10.7" customHeight="1" outlineLevel="1" x14ac:dyDescent="0.25">
      <c r="A1279" s="124"/>
      <c r="B1279" s="142"/>
      <c r="C1279" s="115"/>
      <c r="D1279" s="115"/>
      <c r="E1279" s="115"/>
      <c r="F1279" s="115"/>
      <c r="G1279" s="60" t="s">
        <v>128</v>
      </c>
      <c r="H1279" s="124"/>
      <c r="I1279" s="124"/>
      <c r="J1279" s="60"/>
      <c r="K1279" s="60"/>
      <c r="L1279" s="60"/>
      <c r="M1279" s="60"/>
      <c r="N1279" s="60">
        <f t="shared" si="391"/>
        <v>0</v>
      </c>
      <c r="O1279" s="60">
        <f t="shared" si="392"/>
        <v>0</v>
      </c>
    </row>
    <row r="1280" spans="1:15" s="38" customFormat="1" ht="10.7" customHeight="1" outlineLevel="1" x14ac:dyDescent="0.25">
      <c r="A1280" s="124"/>
      <c r="B1280" s="142"/>
      <c r="C1280" s="115"/>
      <c r="D1280" s="115"/>
      <c r="E1280" s="115"/>
      <c r="F1280" s="115"/>
      <c r="G1280" s="60" t="s">
        <v>129</v>
      </c>
      <c r="H1280" s="124"/>
      <c r="I1280" s="124"/>
      <c r="J1280" s="60"/>
      <c r="K1280" s="60"/>
      <c r="L1280" s="60"/>
      <c r="M1280" s="60"/>
      <c r="N1280" s="60">
        <f t="shared" si="391"/>
        <v>0</v>
      </c>
      <c r="O1280" s="60">
        <f t="shared" si="392"/>
        <v>0</v>
      </c>
    </row>
    <row r="1281" spans="1:15" s="38" customFormat="1" ht="10.7" customHeight="1" outlineLevel="1" x14ac:dyDescent="0.25">
      <c r="A1281" s="124"/>
      <c r="B1281" s="142"/>
      <c r="C1281" s="115"/>
      <c r="D1281" s="115"/>
      <c r="E1281" s="115"/>
      <c r="F1281" s="115"/>
      <c r="G1281" s="60" t="s">
        <v>130</v>
      </c>
      <c r="H1281" s="124"/>
      <c r="I1281" s="124"/>
      <c r="J1281" s="60"/>
      <c r="K1281" s="60"/>
      <c r="L1281" s="60"/>
      <c r="M1281" s="60"/>
      <c r="N1281" s="60">
        <f t="shared" si="391"/>
        <v>0</v>
      </c>
      <c r="O1281" s="60">
        <f t="shared" si="392"/>
        <v>0</v>
      </c>
    </row>
    <row r="1282" spans="1:15" s="38" customFormat="1" ht="12" customHeight="1" outlineLevel="1" thickBot="1" x14ac:dyDescent="0.3">
      <c r="A1282" s="125"/>
      <c r="B1282" s="143"/>
      <c r="C1282" s="131"/>
      <c r="D1282" s="131"/>
      <c r="E1282" s="131"/>
      <c r="F1282" s="131"/>
      <c r="G1282" s="60" t="s">
        <v>131</v>
      </c>
      <c r="H1282" s="134"/>
      <c r="I1282" s="134"/>
      <c r="J1282" s="60"/>
      <c r="K1282" s="60"/>
      <c r="L1282" s="60"/>
      <c r="M1282" s="60"/>
      <c r="N1282" s="60">
        <f t="shared" si="391"/>
        <v>0</v>
      </c>
      <c r="O1282" s="60">
        <f t="shared" si="392"/>
        <v>0</v>
      </c>
    </row>
    <row r="1283" spans="1:15" s="38" customFormat="1" ht="14.45" customHeight="1" outlineLevel="1" x14ac:dyDescent="0.25">
      <c r="A1283" s="140" t="s">
        <v>877</v>
      </c>
      <c r="B1283" s="141" t="s">
        <v>286</v>
      </c>
      <c r="C1283" s="130">
        <f>SUM(N1283:N1289)</f>
        <v>0</v>
      </c>
      <c r="D1283" s="130">
        <f>SUM(O1283:O1289)</f>
        <v>0</v>
      </c>
      <c r="E1283" s="130">
        <f t="shared" si="376"/>
        <v>0</v>
      </c>
      <c r="F1283" s="130"/>
      <c r="G1283" s="60" t="s">
        <v>125</v>
      </c>
      <c r="H1283" s="123"/>
      <c r="I1283" s="123"/>
      <c r="J1283" s="60"/>
      <c r="K1283" s="60"/>
      <c r="L1283" s="60"/>
      <c r="M1283" s="60"/>
      <c r="N1283" s="60">
        <f>M1283*J1283*K1283*L1283</f>
        <v>0</v>
      </c>
      <c r="O1283" s="60">
        <f>J1283*K1283*L1283</f>
        <v>0</v>
      </c>
    </row>
    <row r="1284" spans="1:15" s="38" customFormat="1" ht="11.45" customHeight="1" outlineLevel="1" x14ac:dyDescent="0.25">
      <c r="A1284" s="124"/>
      <c r="B1284" s="142"/>
      <c r="C1284" s="115"/>
      <c r="D1284" s="115"/>
      <c r="E1284" s="115"/>
      <c r="F1284" s="115"/>
      <c r="G1284" s="60" t="s">
        <v>126</v>
      </c>
      <c r="H1284" s="124"/>
      <c r="I1284" s="124"/>
      <c r="J1284" s="60"/>
      <c r="K1284" s="60"/>
      <c r="L1284" s="60"/>
      <c r="M1284" s="60"/>
      <c r="N1284" s="60">
        <f t="shared" ref="N1284:N1289" si="393">M1284*J1284*K1284*L1284</f>
        <v>0</v>
      </c>
      <c r="O1284" s="60">
        <f t="shared" ref="O1284:O1289" si="394">J1284*K1284*L1284</f>
        <v>0</v>
      </c>
    </row>
    <row r="1285" spans="1:15" s="38" customFormat="1" ht="10.7" customHeight="1" outlineLevel="1" x14ac:dyDescent="0.25">
      <c r="A1285" s="124"/>
      <c r="B1285" s="142"/>
      <c r="C1285" s="115"/>
      <c r="D1285" s="115"/>
      <c r="E1285" s="115"/>
      <c r="F1285" s="115"/>
      <c r="G1285" s="60" t="s">
        <v>127</v>
      </c>
      <c r="H1285" s="124"/>
      <c r="I1285" s="124"/>
      <c r="J1285" s="60"/>
      <c r="K1285" s="60"/>
      <c r="L1285" s="60"/>
      <c r="M1285" s="60"/>
      <c r="N1285" s="60">
        <f t="shared" si="393"/>
        <v>0</v>
      </c>
      <c r="O1285" s="60">
        <f t="shared" si="394"/>
        <v>0</v>
      </c>
    </row>
    <row r="1286" spans="1:15" s="38" customFormat="1" ht="10.7" customHeight="1" outlineLevel="1" x14ac:dyDescent="0.25">
      <c r="A1286" s="124"/>
      <c r="B1286" s="142"/>
      <c r="C1286" s="115"/>
      <c r="D1286" s="115"/>
      <c r="E1286" s="115"/>
      <c r="F1286" s="115"/>
      <c r="G1286" s="60" t="s">
        <v>128</v>
      </c>
      <c r="H1286" s="124"/>
      <c r="I1286" s="124"/>
      <c r="J1286" s="60"/>
      <c r="K1286" s="60"/>
      <c r="L1286" s="60"/>
      <c r="M1286" s="60"/>
      <c r="N1286" s="60">
        <f t="shared" si="393"/>
        <v>0</v>
      </c>
      <c r="O1286" s="60">
        <f t="shared" si="394"/>
        <v>0</v>
      </c>
    </row>
    <row r="1287" spans="1:15" s="38" customFormat="1" ht="10.7" customHeight="1" outlineLevel="1" x14ac:dyDescent="0.25">
      <c r="A1287" s="124"/>
      <c r="B1287" s="142"/>
      <c r="C1287" s="115"/>
      <c r="D1287" s="115"/>
      <c r="E1287" s="115"/>
      <c r="F1287" s="115"/>
      <c r="G1287" s="60" t="s">
        <v>129</v>
      </c>
      <c r="H1287" s="124"/>
      <c r="I1287" s="124"/>
      <c r="J1287" s="60"/>
      <c r="K1287" s="60"/>
      <c r="L1287" s="60"/>
      <c r="M1287" s="60"/>
      <c r="N1287" s="60">
        <f t="shared" si="393"/>
        <v>0</v>
      </c>
      <c r="O1287" s="60">
        <f t="shared" si="394"/>
        <v>0</v>
      </c>
    </row>
    <row r="1288" spans="1:15" s="38" customFormat="1" ht="10.7" customHeight="1" outlineLevel="1" x14ac:dyDescent="0.25">
      <c r="A1288" s="124"/>
      <c r="B1288" s="142"/>
      <c r="C1288" s="115"/>
      <c r="D1288" s="115"/>
      <c r="E1288" s="115"/>
      <c r="F1288" s="115"/>
      <c r="G1288" s="60" t="s">
        <v>130</v>
      </c>
      <c r="H1288" s="124"/>
      <c r="I1288" s="124"/>
      <c r="J1288" s="60"/>
      <c r="K1288" s="60"/>
      <c r="L1288" s="60"/>
      <c r="M1288" s="60"/>
      <c r="N1288" s="60">
        <f t="shared" si="393"/>
        <v>0</v>
      </c>
      <c r="O1288" s="60">
        <f t="shared" si="394"/>
        <v>0</v>
      </c>
    </row>
    <row r="1289" spans="1:15" s="38" customFormat="1" ht="12" customHeight="1" outlineLevel="1" thickBot="1" x14ac:dyDescent="0.3">
      <c r="A1289" s="125"/>
      <c r="B1289" s="143"/>
      <c r="C1289" s="131"/>
      <c r="D1289" s="131"/>
      <c r="E1289" s="131"/>
      <c r="F1289" s="131"/>
      <c r="G1289" s="60" t="s">
        <v>131</v>
      </c>
      <c r="H1289" s="134"/>
      <c r="I1289" s="134"/>
      <c r="J1289" s="60"/>
      <c r="K1289" s="60"/>
      <c r="L1289" s="60"/>
      <c r="M1289" s="60"/>
      <c r="N1289" s="60">
        <f t="shared" si="393"/>
        <v>0</v>
      </c>
      <c r="O1289" s="60">
        <f t="shared" si="394"/>
        <v>0</v>
      </c>
    </row>
    <row r="1290" spans="1:15" s="38" customFormat="1" ht="14.45" customHeight="1" outlineLevel="1" x14ac:dyDescent="0.25">
      <c r="A1290" s="140" t="s">
        <v>878</v>
      </c>
      <c r="B1290" s="141" t="s">
        <v>462</v>
      </c>
      <c r="C1290" s="130">
        <f>SUM(N1290:N1296)</f>
        <v>0</v>
      </c>
      <c r="D1290" s="130">
        <f>SUM(O1290:O1296)</f>
        <v>0</v>
      </c>
      <c r="E1290" s="130">
        <f t="shared" si="376"/>
        <v>0</v>
      </c>
      <c r="F1290" s="130"/>
      <c r="G1290" s="60" t="s">
        <v>125</v>
      </c>
      <c r="H1290" s="123"/>
      <c r="I1290" s="123"/>
      <c r="J1290" s="60"/>
      <c r="K1290" s="60"/>
      <c r="L1290" s="60"/>
      <c r="M1290" s="60"/>
      <c r="N1290" s="60">
        <f>M1290*J1290*K1290*L1290</f>
        <v>0</v>
      </c>
      <c r="O1290" s="60">
        <f>J1290*K1290*L1290</f>
        <v>0</v>
      </c>
    </row>
    <row r="1291" spans="1:15" s="38" customFormat="1" ht="11.45" customHeight="1" outlineLevel="1" x14ac:dyDescent="0.25">
      <c r="A1291" s="124"/>
      <c r="B1291" s="142"/>
      <c r="C1291" s="115"/>
      <c r="D1291" s="115"/>
      <c r="E1291" s="115"/>
      <c r="F1291" s="115"/>
      <c r="G1291" s="60" t="s">
        <v>126</v>
      </c>
      <c r="H1291" s="124"/>
      <c r="I1291" s="124"/>
      <c r="J1291" s="60"/>
      <c r="K1291" s="60"/>
      <c r="L1291" s="60"/>
      <c r="M1291" s="60"/>
      <c r="N1291" s="60">
        <f t="shared" ref="N1291:N1296" si="395">M1291*J1291*K1291*L1291</f>
        <v>0</v>
      </c>
      <c r="O1291" s="60">
        <f t="shared" ref="O1291:O1296" si="396">J1291*K1291*L1291</f>
        <v>0</v>
      </c>
    </row>
    <row r="1292" spans="1:15" s="38" customFormat="1" ht="10.7" customHeight="1" outlineLevel="1" x14ac:dyDescent="0.25">
      <c r="A1292" s="124"/>
      <c r="B1292" s="142"/>
      <c r="C1292" s="115"/>
      <c r="D1292" s="115"/>
      <c r="E1292" s="115"/>
      <c r="F1292" s="115"/>
      <c r="G1292" s="60" t="s">
        <v>127</v>
      </c>
      <c r="H1292" s="124"/>
      <c r="I1292" s="124"/>
      <c r="J1292" s="60"/>
      <c r="K1292" s="60"/>
      <c r="L1292" s="60"/>
      <c r="M1292" s="60"/>
      <c r="N1292" s="60">
        <f t="shared" si="395"/>
        <v>0</v>
      </c>
      <c r="O1292" s="60">
        <f t="shared" si="396"/>
        <v>0</v>
      </c>
    </row>
    <row r="1293" spans="1:15" s="38" customFormat="1" ht="10.7" customHeight="1" outlineLevel="1" x14ac:dyDescent="0.25">
      <c r="A1293" s="124"/>
      <c r="B1293" s="142"/>
      <c r="C1293" s="115"/>
      <c r="D1293" s="115"/>
      <c r="E1293" s="115"/>
      <c r="F1293" s="115"/>
      <c r="G1293" s="60" t="s">
        <v>128</v>
      </c>
      <c r="H1293" s="124"/>
      <c r="I1293" s="124"/>
      <c r="J1293" s="60"/>
      <c r="K1293" s="60"/>
      <c r="L1293" s="60"/>
      <c r="M1293" s="60"/>
      <c r="N1293" s="60">
        <f t="shared" si="395"/>
        <v>0</v>
      </c>
      <c r="O1293" s="60">
        <f t="shared" si="396"/>
        <v>0</v>
      </c>
    </row>
    <row r="1294" spans="1:15" s="38" customFormat="1" ht="10.7" customHeight="1" outlineLevel="1" x14ac:dyDescent="0.25">
      <c r="A1294" s="124"/>
      <c r="B1294" s="142"/>
      <c r="C1294" s="115"/>
      <c r="D1294" s="115"/>
      <c r="E1294" s="115"/>
      <c r="F1294" s="115"/>
      <c r="G1294" s="60" t="s">
        <v>129</v>
      </c>
      <c r="H1294" s="124"/>
      <c r="I1294" s="124"/>
      <c r="J1294" s="60"/>
      <c r="K1294" s="60"/>
      <c r="L1294" s="60"/>
      <c r="M1294" s="60"/>
      <c r="N1294" s="60">
        <f t="shared" si="395"/>
        <v>0</v>
      </c>
      <c r="O1294" s="60">
        <f t="shared" si="396"/>
        <v>0</v>
      </c>
    </row>
    <row r="1295" spans="1:15" s="38" customFormat="1" ht="10.7" customHeight="1" outlineLevel="1" x14ac:dyDescent="0.25">
      <c r="A1295" s="124"/>
      <c r="B1295" s="142"/>
      <c r="C1295" s="115"/>
      <c r="D1295" s="115"/>
      <c r="E1295" s="115"/>
      <c r="F1295" s="115"/>
      <c r="G1295" s="60" t="s">
        <v>130</v>
      </c>
      <c r="H1295" s="124"/>
      <c r="I1295" s="124"/>
      <c r="J1295" s="60"/>
      <c r="K1295" s="60"/>
      <c r="L1295" s="60"/>
      <c r="M1295" s="60"/>
      <c r="N1295" s="60">
        <f t="shared" si="395"/>
        <v>0</v>
      </c>
      <c r="O1295" s="60">
        <f t="shared" si="396"/>
        <v>0</v>
      </c>
    </row>
    <row r="1296" spans="1:15" s="38" customFormat="1" ht="12" customHeight="1" outlineLevel="1" thickBot="1" x14ac:dyDescent="0.3">
      <c r="A1296" s="125"/>
      <c r="B1296" s="143"/>
      <c r="C1296" s="131"/>
      <c r="D1296" s="131"/>
      <c r="E1296" s="131"/>
      <c r="F1296" s="131"/>
      <c r="G1296" s="60" t="s">
        <v>131</v>
      </c>
      <c r="H1296" s="134"/>
      <c r="I1296" s="134"/>
      <c r="J1296" s="60"/>
      <c r="K1296" s="60"/>
      <c r="L1296" s="60"/>
      <c r="M1296" s="60"/>
      <c r="N1296" s="60">
        <f t="shared" si="395"/>
        <v>0</v>
      </c>
      <c r="O1296" s="60">
        <f t="shared" si="396"/>
        <v>0</v>
      </c>
    </row>
    <row r="1297" spans="1:15" s="38" customFormat="1" ht="14.45" customHeight="1" outlineLevel="1" x14ac:dyDescent="0.25">
      <c r="A1297" s="140" t="s">
        <v>879</v>
      </c>
      <c r="B1297" s="141" t="s">
        <v>288</v>
      </c>
      <c r="C1297" s="130">
        <f>SUM(N1297:N1303)</f>
        <v>0</v>
      </c>
      <c r="D1297" s="130">
        <f>SUM(O1297:O1303)</f>
        <v>0</v>
      </c>
      <c r="E1297" s="130">
        <f t="shared" ref="E1297:E1360" si="397">D1297/8</f>
        <v>0</v>
      </c>
      <c r="F1297" s="130"/>
      <c r="G1297" s="60" t="s">
        <v>125</v>
      </c>
      <c r="H1297" s="123"/>
      <c r="I1297" s="123"/>
      <c r="J1297" s="60"/>
      <c r="K1297" s="60"/>
      <c r="L1297" s="60"/>
      <c r="M1297" s="60"/>
      <c r="N1297" s="60">
        <f>M1297*J1297*K1297*L1297</f>
        <v>0</v>
      </c>
      <c r="O1297" s="60">
        <f>J1297*K1297*L1297</f>
        <v>0</v>
      </c>
    </row>
    <row r="1298" spans="1:15" s="38" customFormat="1" ht="11.45" customHeight="1" outlineLevel="1" x14ac:dyDescent="0.25">
      <c r="A1298" s="124"/>
      <c r="B1298" s="142"/>
      <c r="C1298" s="115"/>
      <c r="D1298" s="115"/>
      <c r="E1298" s="115"/>
      <c r="F1298" s="115"/>
      <c r="G1298" s="60" t="s">
        <v>126</v>
      </c>
      <c r="H1298" s="124"/>
      <c r="I1298" s="124"/>
      <c r="J1298" s="60"/>
      <c r="K1298" s="60"/>
      <c r="L1298" s="60"/>
      <c r="M1298" s="60"/>
      <c r="N1298" s="60">
        <f t="shared" ref="N1298:N1303" si="398">M1298*J1298*K1298*L1298</f>
        <v>0</v>
      </c>
      <c r="O1298" s="60">
        <f t="shared" ref="O1298:O1303" si="399">J1298*K1298*L1298</f>
        <v>0</v>
      </c>
    </row>
    <row r="1299" spans="1:15" s="38" customFormat="1" ht="10.7" customHeight="1" outlineLevel="1" x14ac:dyDescent="0.25">
      <c r="A1299" s="124"/>
      <c r="B1299" s="142"/>
      <c r="C1299" s="115"/>
      <c r="D1299" s="115"/>
      <c r="E1299" s="115"/>
      <c r="F1299" s="115"/>
      <c r="G1299" s="60" t="s">
        <v>127</v>
      </c>
      <c r="H1299" s="124"/>
      <c r="I1299" s="124"/>
      <c r="J1299" s="60"/>
      <c r="K1299" s="60"/>
      <c r="L1299" s="60"/>
      <c r="M1299" s="60"/>
      <c r="N1299" s="60">
        <f t="shared" si="398"/>
        <v>0</v>
      </c>
      <c r="O1299" s="60">
        <f t="shared" si="399"/>
        <v>0</v>
      </c>
    </row>
    <row r="1300" spans="1:15" s="38" customFormat="1" ht="10.7" customHeight="1" outlineLevel="1" x14ac:dyDescent="0.25">
      <c r="A1300" s="124"/>
      <c r="B1300" s="142"/>
      <c r="C1300" s="115"/>
      <c r="D1300" s="115"/>
      <c r="E1300" s="115"/>
      <c r="F1300" s="115"/>
      <c r="G1300" s="60" t="s">
        <v>128</v>
      </c>
      <c r="H1300" s="124"/>
      <c r="I1300" s="124"/>
      <c r="J1300" s="60"/>
      <c r="K1300" s="60"/>
      <c r="L1300" s="60"/>
      <c r="M1300" s="60"/>
      <c r="N1300" s="60">
        <f t="shared" si="398"/>
        <v>0</v>
      </c>
      <c r="O1300" s="60">
        <f t="shared" si="399"/>
        <v>0</v>
      </c>
    </row>
    <row r="1301" spans="1:15" s="38" customFormat="1" ht="10.7" customHeight="1" outlineLevel="1" x14ac:dyDescent="0.25">
      <c r="A1301" s="124"/>
      <c r="B1301" s="142"/>
      <c r="C1301" s="115"/>
      <c r="D1301" s="115"/>
      <c r="E1301" s="115"/>
      <c r="F1301" s="115"/>
      <c r="G1301" s="60" t="s">
        <v>129</v>
      </c>
      <c r="H1301" s="124"/>
      <c r="I1301" s="124"/>
      <c r="J1301" s="60"/>
      <c r="K1301" s="60"/>
      <c r="L1301" s="60"/>
      <c r="M1301" s="60"/>
      <c r="N1301" s="60">
        <f t="shared" si="398"/>
        <v>0</v>
      </c>
      <c r="O1301" s="60">
        <f t="shared" si="399"/>
        <v>0</v>
      </c>
    </row>
    <row r="1302" spans="1:15" s="38" customFormat="1" ht="10.7" customHeight="1" outlineLevel="1" x14ac:dyDescent="0.25">
      <c r="A1302" s="124"/>
      <c r="B1302" s="142"/>
      <c r="C1302" s="115"/>
      <c r="D1302" s="115"/>
      <c r="E1302" s="115"/>
      <c r="F1302" s="115"/>
      <c r="G1302" s="60" t="s">
        <v>130</v>
      </c>
      <c r="H1302" s="124"/>
      <c r="I1302" s="124"/>
      <c r="J1302" s="60"/>
      <c r="K1302" s="60"/>
      <c r="L1302" s="60"/>
      <c r="M1302" s="60"/>
      <c r="N1302" s="60">
        <f t="shared" si="398"/>
        <v>0</v>
      </c>
      <c r="O1302" s="60">
        <f t="shared" si="399"/>
        <v>0</v>
      </c>
    </row>
    <row r="1303" spans="1:15" s="38" customFormat="1" ht="12" customHeight="1" outlineLevel="1" thickBot="1" x14ac:dyDescent="0.3">
      <c r="A1303" s="125"/>
      <c r="B1303" s="143"/>
      <c r="C1303" s="131"/>
      <c r="D1303" s="131"/>
      <c r="E1303" s="131"/>
      <c r="F1303" s="131"/>
      <c r="G1303" s="60" t="s">
        <v>131</v>
      </c>
      <c r="H1303" s="134"/>
      <c r="I1303" s="134"/>
      <c r="J1303" s="60"/>
      <c r="K1303" s="60"/>
      <c r="L1303" s="60"/>
      <c r="M1303" s="60"/>
      <c r="N1303" s="60">
        <f t="shared" si="398"/>
        <v>0</v>
      </c>
      <c r="O1303" s="60">
        <f t="shared" si="399"/>
        <v>0</v>
      </c>
    </row>
    <row r="1304" spans="1:15" s="38" customFormat="1" ht="14.45" customHeight="1" outlineLevel="1" x14ac:dyDescent="0.25">
      <c r="A1304" s="140" t="s">
        <v>880</v>
      </c>
      <c r="B1304" s="141" t="s">
        <v>290</v>
      </c>
      <c r="C1304" s="130">
        <f>SUM(N1304:N1310)</f>
        <v>0</v>
      </c>
      <c r="D1304" s="130">
        <f>SUM(O1304:O1310)</f>
        <v>0</v>
      </c>
      <c r="E1304" s="130">
        <f t="shared" si="397"/>
        <v>0</v>
      </c>
      <c r="F1304" s="130"/>
      <c r="G1304" s="60" t="s">
        <v>125</v>
      </c>
      <c r="H1304" s="123"/>
      <c r="I1304" s="123"/>
      <c r="J1304" s="60"/>
      <c r="K1304" s="60"/>
      <c r="L1304" s="60"/>
      <c r="M1304" s="60"/>
      <c r="N1304" s="60">
        <f>M1304*J1304*K1304*L1304</f>
        <v>0</v>
      </c>
      <c r="O1304" s="60">
        <f>J1304*K1304*L1304</f>
        <v>0</v>
      </c>
    </row>
    <row r="1305" spans="1:15" s="38" customFormat="1" ht="11.45" customHeight="1" outlineLevel="1" x14ac:dyDescent="0.25">
      <c r="A1305" s="124"/>
      <c r="B1305" s="142"/>
      <c r="C1305" s="115"/>
      <c r="D1305" s="115"/>
      <c r="E1305" s="115"/>
      <c r="F1305" s="115"/>
      <c r="G1305" s="60" t="s">
        <v>126</v>
      </c>
      <c r="H1305" s="124"/>
      <c r="I1305" s="124"/>
      <c r="J1305" s="60"/>
      <c r="K1305" s="60"/>
      <c r="L1305" s="60"/>
      <c r="M1305" s="60"/>
      <c r="N1305" s="60">
        <f t="shared" ref="N1305:N1310" si="400">M1305*J1305*K1305*L1305</f>
        <v>0</v>
      </c>
      <c r="O1305" s="60">
        <f t="shared" ref="O1305:O1310" si="401">J1305*K1305*L1305</f>
        <v>0</v>
      </c>
    </row>
    <row r="1306" spans="1:15" s="38" customFormat="1" ht="10.7" customHeight="1" outlineLevel="1" x14ac:dyDescent="0.25">
      <c r="A1306" s="124"/>
      <c r="B1306" s="142"/>
      <c r="C1306" s="115"/>
      <c r="D1306" s="115"/>
      <c r="E1306" s="115"/>
      <c r="F1306" s="115"/>
      <c r="G1306" s="60" t="s">
        <v>127</v>
      </c>
      <c r="H1306" s="124"/>
      <c r="I1306" s="124"/>
      <c r="J1306" s="60"/>
      <c r="K1306" s="60"/>
      <c r="L1306" s="60"/>
      <c r="M1306" s="60"/>
      <c r="N1306" s="60">
        <f t="shared" si="400"/>
        <v>0</v>
      </c>
      <c r="O1306" s="60">
        <f t="shared" si="401"/>
        <v>0</v>
      </c>
    </row>
    <row r="1307" spans="1:15" s="38" customFormat="1" ht="10.7" customHeight="1" outlineLevel="1" x14ac:dyDescent="0.25">
      <c r="A1307" s="124"/>
      <c r="B1307" s="142"/>
      <c r="C1307" s="115"/>
      <c r="D1307" s="115"/>
      <c r="E1307" s="115"/>
      <c r="F1307" s="115"/>
      <c r="G1307" s="60" t="s">
        <v>128</v>
      </c>
      <c r="H1307" s="124"/>
      <c r="I1307" s="124"/>
      <c r="J1307" s="60"/>
      <c r="K1307" s="60"/>
      <c r="L1307" s="60"/>
      <c r="M1307" s="60"/>
      <c r="N1307" s="60">
        <f t="shared" si="400"/>
        <v>0</v>
      </c>
      <c r="O1307" s="60">
        <f t="shared" si="401"/>
        <v>0</v>
      </c>
    </row>
    <row r="1308" spans="1:15" s="38" customFormat="1" ht="10.7" customHeight="1" outlineLevel="1" x14ac:dyDescent="0.25">
      <c r="A1308" s="124"/>
      <c r="B1308" s="142"/>
      <c r="C1308" s="115"/>
      <c r="D1308" s="115"/>
      <c r="E1308" s="115"/>
      <c r="F1308" s="115"/>
      <c r="G1308" s="60" t="s">
        <v>129</v>
      </c>
      <c r="H1308" s="124"/>
      <c r="I1308" s="124"/>
      <c r="J1308" s="60"/>
      <c r="K1308" s="60"/>
      <c r="L1308" s="60"/>
      <c r="M1308" s="60"/>
      <c r="N1308" s="60">
        <f t="shared" si="400"/>
        <v>0</v>
      </c>
      <c r="O1308" s="60">
        <f t="shared" si="401"/>
        <v>0</v>
      </c>
    </row>
    <row r="1309" spans="1:15" s="38" customFormat="1" ht="10.7" customHeight="1" outlineLevel="1" x14ac:dyDescent="0.25">
      <c r="A1309" s="124"/>
      <c r="B1309" s="142"/>
      <c r="C1309" s="115"/>
      <c r="D1309" s="115"/>
      <c r="E1309" s="115"/>
      <c r="F1309" s="115"/>
      <c r="G1309" s="60" t="s">
        <v>130</v>
      </c>
      <c r="H1309" s="124"/>
      <c r="I1309" s="124"/>
      <c r="J1309" s="60"/>
      <c r="K1309" s="60"/>
      <c r="L1309" s="60"/>
      <c r="M1309" s="60"/>
      <c r="N1309" s="60">
        <f t="shared" si="400"/>
        <v>0</v>
      </c>
      <c r="O1309" s="60">
        <f t="shared" si="401"/>
        <v>0</v>
      </c>
    </row>
    <row r="1310" spans="1:15" s="38" customFormat="1" ht="12" customHeight="1" outlineLevel="1" thickBot="1" x14ac:dyDescent="0.3">
      <c r="A1310" s="125"/>
      <c r="B1310" s="143"/>
      <c r="C1310" s="131"/>
      <c r="D1310" s="131"/>
      <c r="E1310" s="131"/>
      <c r="F1310" s="131"/>
      <c r="G1310" s="60" t="s">
        <v>131</v>
      </c>
      <c r="H1310" s="134"/>
      <c r="I1310" s="134"/>
      <c r="J1310" s="60"/>
      <c r="K1310" s="60"/>
      <c r="L1310" s="60"/>
      <c r="M1310" s="60"/>
      <c r="N1310" s="60">
        <f t="shared" si="400"/>
        <v>0</v>
      </c>
      <c r="O1310" s="60">
        <f t="shared" si="401"/>
        <v>0</v>
      </c>
    </row>
    <row r="1311" spans="1:15" s="38" customFormat="1" ht="14.45" customHeight="1" outlineLevel="1" x14ac:dyDescent="0.25">
      <c r="A1311" s="140" t="s">
        <v>881</v>
      </c>
      <c r="B1311" s="141" t="s">
        <v>882</v>
      </c>
      <c r="C1311" s="130">
        <f>SUM(N1311:N1317)</f>
        <v>0</v>
      </c>
      <c r="D1311" s="130">
        <f>SUM(O1311:O1317)</f>
        <v>0</v>
      </c>
      <c r="E1311" s="130">
        <f t="shared" si="397"/>
        <v>0</v>
      </c>
      <c r="F1311" s="130"/>
      <c r="G1311" s="60" t="s">
        <v>125</v>
      </c>
      <c r="H1311" s="123"/>
      <c r="I1311" s="123"/>
      <c r="J1311" s="60"/>
      <c r="K1311" s="60"/>
      <c r="L1311" s="60"/>
      <c r="M1311" s="60"/>
      <c r="N1311" s="60">
        <f>M1311*J1311*K1311*L1311</f>
        <v>0</v>
      </c>
      <c r="O1311" s="60">
        <f>J1311*K1311*L1311</f>
        <v>0</v>
      </c>
    </row>
    <row r="1312" spans="1:15" s="38" customFormat="1" ht="11.45" customHeight="1" outlineLevel="1" x14ac:dyDescent="0.25">
      <c r="A1312" s="124"/>
      <c r="B1312" s="142"/>
      <c r="C1312" s="115"/>
      <c r="D1312" s="115"/>
      <c r="E1312" s="115"/>
      <c r="F1312" s="115"/>
      <c r="G1312" s="60" t="s">
        <v>126</v>
      </c>
      <c r="H1312" s="124"/>
      <c r="I1312" s="124"/>
      <c r="J1312" s="60"/>
      <c r="K1312" s="60"/>
      <c r="L1312" s="60"/>
      <c r="M1312" s="60"/>
      <c r="N1312" s="60">
        <f t="shared" ref="N1312:N1317" si="402">M1312*J1312*K1312*L1312</f>
        <v>0</v>
      </c>
      <c r="O1312" s="60">
        <f t="shared" ref="O1312:O1317" si="403">J1312*K1312*L1312</f>
        <v>0</v>
      </c>
    </row>
    <row r="1313" spans="1:15" s="38" customFormat="1" ht="10.7" customHeight="1" outlineLevel="1" x14ac:dyDescent="0.25">
      <c r="A1313" s="124"/>
      <c r="B1313" s="142"/>
      <c r="C1313" s="115"/>
      <c r="D1313" s="115"/>
      <c r="E1313" s="115"/>
      <c r="F1313" s="115"/>
      <c r="G1313" s="60" t="s">
        <v>127</v>
      </c>
      <c r="H1313" s="124"/>
      <c r="I1313" s="124"/>
      <c r="J1313" s="60"/>
      <c r="K1313" s="60"/>
      <c r="L1313" s="60"/>
      <c r="M1313" s="60"/>
      <c r="N1313" s="60">
        <f t="shared" si="402"/>
        <v>0</v>
      </c>
      <c r="O1313" s="60">
        <f t="shared" si="403"/>
        <v>0</v>
      </c>
    </row>
    <row r="1314" spans="1:15" s="38" customFormat="1" ht="10.7" customHeight="1" outlineLevel="1" x14ac:dyDescent="0.25">
      <c r="A1314" s="124"/>
      <c r="B1314" s="142"/>
      <c r="C1314" s="115"/>
      <c r="D1314" s="115"/>
      <c r="E1314" s="115"/>
      <c r="F1314" s="115"/>
      <c r="G1314" s="60" t="s">
        <v>128</v>
      </c>
      <c r="H1314" s="124"/>
      <c r="I1314" s="124"/>
      <c r="J1314" s="60"/>
      <c r="K1314" s="60"/>
      <c r="L1314" s="60"/>
      <c r="M1314" s="60"/>
      <c r="N1314" s="60">
        <f t="shared" si="402"/>
        <v>0</v>
      </c>
      <c r="O1314" s="60">
        <f t="shared" si="403"/>
        <v>0</v>
      </c>
    </row>
    <row r="1315" spans="1:15" s="38" customFormat="1" ht="10.7" customHeight="1" outlineLevel="1" x14ac:dyDescent="0.25">
      <c r="A1315" s="124"/>
      <c r="B1315" s="142"/>
      <c r="C1315" s="115"/>
      <c r="D1315" s="115"/>
      <c r="E1315" s="115"/>
      <c r="F1315" s="115"/>
      <c r="G1315" s="60" t="s">
        <v>129</v>
      </c>
      <c r="H1315" s="124"/>
      <c r="I1315" s="124"/>
      <c r="J1315" s="60"/>
      <c r="K1315" s="60"/>
      <c r="L1315" s="60"/>
      <c r="M1315" s="60"/>
      <c r="N1315" s="60">
        <f t="shared" si="402"/>
        <v>0</v>
      </c>
      <c r="O1315" s="60">
        <f t="shared" si="403"/>
        <v>0</v>
      </c>
    </row>
    <row r="1316" spans="1:15" s="38" customFormat="1" ht="10.7" customHeight="1" outlineLevel="1" x14ac:dyDescent="0.25">
      <c r="A1316" s="124"/>
      <c r="B1316" s="142"/>
      <c r="C1316" s="115"/>
      <c r="D1316" s="115"/>
      <c r="E1316" s="115"/>
      <c r="F1316" s="115"/>
      <c r="G1316" s="60" t="s">
        <v>130</v>
      </c>
      <c r="H1316" s="124"/>
      <c r="I1316" s="124"/>
      <c r="J1316" s="60"/>
      <c r="K1316" s="60"/>
      <c r="L1316" s="60"/>
      <c r="M1316" s="60"/>
      <c r="N1316" s="60">
        <f t="shared" si="402"/>
        <v>0</v>
      </c>
      <c r="O1316" s="60">
        <f t="shared" si="403"/>
        <v>0</v>
      </c>
    </row>
    <row r="1317" spans="1:15" s="38" customFormat="1" ht="12" customHeight="1" outlineLevel="1" thickBot="1" x14ac:dyDescent="0.3">
      <c r="A1317" s="125"/>
      <c r="B1317" s="143"/>
      <c r="C1317" s="131"/>
      <c r="D1317" s="131"/>
      <c r="E1317" s="131"/>
      <c r="F1317" s="131"/>
      <c r="G1317" s="60" t="s">
        <v>131</v>
      </c>
      <c r="H1317" s="134"/>
      <c r="I1317" s="134"/>
      <c r="J1317" s="60"/>
      <c r="K1317" s="60"/>
      <c r="L1317" s="60"/>
      <c r="M1317" s="60"/>
      <c r="N1317" s="60">
        <f t="shared" si="402"/>
        <v>0</v>
      </c>
      <c r="O1317" s="60">
        <f t="shared" si="403"/>
        <v>0</v>
      </c>
    </row>
    <row r="1318" spans="1:15" s="38" customFormat="1" ht="14.45" customHeight="1" outlineLevel="1" x14ac:dyDescent="0.25">
      <c r="A1318" s="140" t="s">
        <v>883</v>
      </c>
      <c r="B1318" s="141" t="s">
        <v>294</v>
      </c>
      <c r="C1318" s="130">
        <f>SUM(N1318:N1324)</f>
        <v>0</v>
      </c>
      <c r="D1318" s="130">
        <f>SUM(O1318:O1324)</f>
        <v>0</v>
      </c>
      <c r="E1318" s="130">
        <f t="shared" si="397"/>
        <v>0</v>
      </c>
      <c r="F1318" s="130"/>
      <c r="G1318" s="60" t="s">
        <v>125</v>
      </c>
      <c r="H1318" s="123"/>
      <c r="I1318" s="123"/>
      <c r="J1318" s="60"/>
      <c r="K1318" s="60"/>
      <c r="L1318" s="60"/>
      <c r="M1318" s="60"/>
      <c r="N1318" s="60">
        <f>M1318*J1318*K1318*L1318</f>
        <v>0</v>
      </c>
      <c r="O1318" s="60">
        <f>J1318*K1318*L1318</f>
        <v>0</v>
      </c>
    </row>
    <row r="1319" spans="1:15" s="38" customFormat="1" ht="11.45" customHeight="1" outlineLevel="1" x14ac:dyDescent="0.25">
      <c r="A1319" s="124"/>
      <c r="B1319" s="142"/>
      <c r="C1319" s="115"/>
      <c r="D1319" s="115"/>
      <c r="E1319" s="115"/>
      <c r="F1319" s="115"/>
      <c r="G1319" s="60" t="s">
        <v>126</v>
      </c>
      <c r="H1319" s="124"/>
      <c r="I1319" s="124"/>
      <c r="J1319" s="60"/>
      <c r="K1319" s="60"/>
      <c r="L1319" s="60"/>
      <c r="M1319" s="60"/>
      <c r="N1319" s="60">
        <f t="shared" ref="N1319:N1324" si="404">M1319*J1319*K1319*L1319</f>
        <v>0</v>
      </c>
      <c r="O1319" s="60">
        <f t="shared" ref="O1319:O1324" si="405">J1319*K1319*L1319</f>
        <v>0</v>
      </c>
    </row>
    <row r="1320" spans="1:15" s="38" customFormat="1" ht="10.7" customHeight="1" outlineLevel="1" x14ac:dyDescent="0.25">
      <c r="A1320" s="124"/>
      <c r="B1320" s="142"/>
      <c r="C1320" s="115"/>
      <c r="D1320" s="115"/>
      <c r="E1320" s="115"/>
      <c r="F1320" s="115"/>
      <c r="G1320" s="60" t="s">
        <v>127</v>
      </c>
      <c r="H1320" s="124"/>
      <c r="I1320" s="124"/>
      <c r="J1320" s="60"/>
      <c r="K1320" s="60"/>
      <c r="L1320" s="60"/>
      <c r="M1320" s="60"/>
      <c r="N1320" s="60">
        <f t="shared" si="404"/>
        <v>0</v>
      </c>
      <c r="O1320" s="60">
        <f t="shared" si="405"/>
        <v>0</v>
      </c>
    </row>
    <row r="1321" spans="1:15" s="38" customFormat="1" ht="10.7" customHeight="1" outlineLevel="1" x14ac:dyDescent="0.25">
      <c r="A1321" s="124"/>
      <c r="B1321" s="142"/>
      <c r="C1321" s="115"/>
      <c r="D1321" s="115"/>
      <c r="E1321" s="115"/>
      <c r="F1321" s="115"/>
      <c r="G1321" s="60" t="s">
        <v>128</v>
      </c>
      <c r="H1321" s="124"/>
      <c r="I1321" s="124"/>
      <c r="J1321" s="60"/>
      <c r="K1321" s="60"/>
      <c r="L1321" s="60"/>
      <c r="M1321" s="60"/>
      <c r="N1321" s="60">
        <f t="shared" si="404"/>
        <v>0</v>
      </c>
      <c r="O1321" s="60">
        <f t="shared" si="405"/>
        <v>0</v>
      </c>
    </row>
    <row r="1322" spans="1:15" s="38" customFormat="1" ht="10.7" customHeight="1" outlineLevel="1" x14ac:dyDescent="0.25">
      <c r="A1322" s="124"/>
      <c r="B1322" s="142"/>
      <c r="C1322" s="115"/>
      <c r="D1322" s="115"/>
      <c r="E1322" s="115"/>
      <c r="F1322" s="115"/>
      <c r="G1322" s="60" t="s">
        <v>129</v>
      </c>
      <c r="H1322" s="124"/>
      <c r="I1322" s="124"/>
      <c r="J1322" s="60"/>
      <c r="K1322" s="60"/>
      <c r="L1322" s="60"/>
      <c r="M1322" s="60"/>
      <c r="N1322" s="60">
        <f t="shared" si="404"/>
        <v>0</v>
      </c>
      <c r="O1322" s="60">
        <f t="shared" si="405"/>
        <v>0</v>
      </c>
    </row>
    <row r="1323" spans="1:15" s="38" customFormat="1" ht="10.7" customHeight="1" outlineLevel="1" x14ac:dyDescent="0.25">
      <c r="A1323" s="124"/>
      <c r="B1323" s="142"/>
      <c r="C1323" s="115"/>
      <c r="D1323" s="115"/>
      <c r="E1323" s="115"/>
      <c r="F1323" s="115"/>
      <c r="G1323" s="60" t="s">
        <v>130</v>
      </c>
      <c r="H1323" s="124"/>
      <c r="I1323" s="124"/>
      <c r="J1323" s="60"/>
      <c r="K1323" s="60"/>
      <c r="L1323" s="60"/>
      <c r="M1323" s="60"/>
      <c r="N1323" s="60">
        <f t="shared" si="404"/>
        <v>0</v>
      </c>
      <c r="O1323" s="60">
        <f t="shared" si="405"/>
        <v>0</v>
      </c>
    </row>
    <row r="1324" spans="1:15" s="38" customFormat="1" ht="12" customHeight="1" outlineLevel="1" thickBot="1" x14ac:dyDescent="0.3">
      <c r="A1324" s="125"/>
      <c r="B1324" s="143"/>
      <c r="C1324" s="131"/>
      <c r="D1324" s="131"/>
      <c r="E1324" s="131"/>
      <c r="F1324" s="131"/>
      <c r="G1324" s="60" t="s">
        <v>131</v>
      </c>
      <c r="H1324" s="134"/>
      <c r="I1324" s="134"/>
      <c r="J1324" s="60"/>
      <c r="K1324" s="60"/>
      <c r="L1324" s="60"/>
      <c r="M1324" s="60"/>
      <c r="N1324" s="60">
        <f t="shared" si="404"/>
        <v>0</v>
      </c>
      <c r="O1324" s="60">
        <f t="shared" si="405"/>
        <v>0</v>
      </c>
    </row>
    <row r="1325" spans="1:15" s="38" customFormat="1" ht="14.45" customHeight="1" outlineLevel="1" x14ac:dyDescent="0.25">
      <c r="A1325" s="140" t="s">
        <v>884</v>
      </c>
      <c r="B1325" s="141" t="s">
        <v>296</v>
      </c>
      <c r="C1325" s="130">
        <f>SUM(N1325:N1331)</f>
        <v>0</v>
      </c>
      <c r="D1325" s="130">
        <f>SUM(O1325:O1331)</f>
        <v>0</v>
      </c>
      <c r="E1325" s="130">
        <f t="shared" si="397"/>
        <v>0</v>
      </c>
      <c r="F1325" s="130"/>
      <c r="G1325" s="60" t="s">
        <v>125</v>
      </c>
      <c r="H1325" s="123"/>
      <c r="I1325" s="123"/>
      <c r="J1325" s="60"/>
      <c r="K1325" s="60"/>
      <c r="L1325" s="60"/>
      <c r="M1325" s="60"/>
      <c r="N1325" s="60">
        <f>M1325*J1325*K1325*L1325</f>
        <v>0</v>
      </c>
      <c r="O1325" s="60">
        <f>J1325*K1325*L1325</f>
        <v>0</v>
      </c>
    </row>
    <row r="1326" spans="1:15" s="38" customFormat="1" ht="11.45" customHeight="1" outlineLevel="1" x14ac:dyDescent="0.25">
      <c r="A1326" s="124"/>
      <c r="B1326" s="142"/>
      <c r="C1326" s="115"/>
      <c r="D1326" s="115"/>
      <c r="E1326" s="115"/>
      <c r="F1326" s="115"/>
      <c r="G1326" s="60" t="s">
        <v>126</v>
      </c>
      <c r="H1326" s="124"/>
      <c r="I1326" s="124"/>
      <c r="J1326" s="60"/>
      <c r="K1326" s="60"/>
      <c r="L1326" s="60"/>
      <c r="M1326" s="60"/>
      <c r="N1326" s="60">
        <f t="shared" ref="N1326:N1331" si="406">M1326*J1326*K1326*L1326</f>
        <v>0</v>
      </c>
      <c r="O1326" s="60">
        <f t="shared" ref="O1326:O1331" si="407">J1326*K1326*L1326</f>
        <v>0</v>
      </c>
    </row>
    <row r="1327" spans="1:15" s="38" customFormat="1" ht="10.7" customHeight="1" outlineLevel="1" x14ac:dyDescent="0.25">
      <c r="A1327" s="124"/>
      <c r="B1327" s="142"/>
      <c r="C1327" s="115"/>
      <c r="D1327" s="115"/>
      <c r="E1327" s="115"/>
      <c r="F1327" s="115"/>
      <c r="G1327" s="60" t="s">
        <v>127</v>
      </c>
      <c r="H1327" s="124"/>
      <c r="I1327" s="124"/>
      <c r="J1327" s="60"/>
      <c r="K1327" s="60"/>
      <c r="L1327" s="60"/>
      <c r="M1327" s="60"/>
      <c r="N1327" s="60">
        <f t="shared" si="406"/>
        <v>0</v>
      </c>
      <c r="O1327" s="60">
        <f t="shared" si="407"/>
        <v>0</v>
      </c>
    </row>
    <row r="1328" spans="1:15" s="38" customFormat="1" ht="10.7" customHeight="1" outlineLevel="1" x14ac:dyDescent="0.25">
      <c r="A1328" s="124"/>
      <c r="B1328" s="142"/>
      <c r="C1328" s="115"/>
      <c r="D1328" s="115"/>
      <c r="E1328" s="115"/>
      <c r="F1328" s="115"/>
      <c r="G1328" s="60" t="s">
        <v>128</v>
      </c>
      <c r="H1328" s="124"/>
      <c r="I1328" s="124"/>
      <c r="J1328" s="60"/>
      <c r="K1328" s="60"/>
      <c r="L1328" s="60"/>
      <c r="M1328" s="60"/>
      <c r="N1328" s="60">
        <f t="shared" si="406"/>
        <v>0</v>
      </c>
      <c r="O1328" s="60">
        <f t="shared" si="407"/>
        <v>0</v>
      </c>
    </row>
    <row r="1329" spans="1:15" s="38" customFormat="1" ht="10.7" customHeight="1" outlineLevel="1" x14ac:dyDescent="0.25">
      <c r="A1329" s="124"/>
      <c r="B1329" s="142"/>
      <c r="C1329" s="115"/>
      <c r="D1329" s="115"/>
      <c r="E1329" s="115"/>
      <c r="F1329" s="115"/>
      <c r="G1329" s="60" t="s">
        <v>129</v>
      </c>
      <c r="H1329" s="124"/>
      <c r="I1329" s="124"/>
      <c r="J1329" s="60"/>
      <c r="K1329" s="60"/>
      <c r="L1329" s="60"/>
      <c r="M1329" s="60"/>
      <c r="N1329" s="60">
        <f t="shared" si="406"/>
        <v>0</v>
      </c>
      <c r="O1329" s="60">
        <f t="shared" si="407"/>
        <v>0</v>
      </c>
    </row>
    <row r="1330" spans="1:15" s="38" customFormat="1" ht="10.7" customHeight="1" outlineLevel="1" x14ac:dyDescent="0.25">
      <c r="A1330" s="124"/>
      <c r="B1330" s="142"/>
      <c r="C1330" s="115"/>
      <c r="D1330" s="115"/>
      <c r="E1330" s="115"/>
      <c r="F1330" s="115"/>
      <c r="G1330" s="60" t="s">
        <v>130</v>
      </c>
      <c r="H1330" s="124"/>
      <c r="I1330" s="124"/>
      <c r="J1330" s="60"/>
      <c r="K1330" s="60"/>
      <c r="L1330" s="60"/>
      <c r="M1330" s="60"/>
      <c r="N1330" s="60">
        <f t="shared" si="406"/>
        <v>0</v>
      </c>
      <c r="O1330" s="60">
        <f t="shared" si="407"/>
        <v>0</v>
      </c>
    </row>
    <row r="1331" spans="1:15" s="38" customFormat="1" ht="12" customHeight="1" outlineLevel="1" thickBot="1" x14ac:dyDescent="0.3">
      <c r="A1331" s="125"/>
      <c r="B1331" s="143"/>
      <c r="C1331" s="131"/>
      <c r="D1331" s="131"/>
      <c r="E1331" s="131"/>
      <c r="F1331" s="131"/>
      <c r="G1331" s="60" t="s">
        <v>131</v>
      </c>
      <c r="H1331" s="134"/>
      <c r="I1331" s="134"/>
      <c r="J1331" s="60"/>
      <c r="K1331" s="60"/>
      <c r="L1331" s="60"/>
      <c r="M1331" s="60"/>
      <c r="N1331" s="60">
        <f t="shared" si="406"/>
        <v>0</v>
      </c>
      <c r="O1331" s="60">
        <f t="shared" si="407"/>
        <v>0</v>
      </c>
    </row>
    <row r="1332" spans="1:15" s="38" customFormat="1" ht="14.45" customHeight="1" outlineLevel="1" x14ac:dyDescent="0.25">
      <c r="A1332" s="140" t="s">
        <v>885</v>
      </c>
      <c r="B1332" s="141" t="s">
        <v>886</v>
      </c>
      <c r="C1332" s="130">
        <f>SUM(N1332:N1338)</f>
        <v>0</v>
      </c>
      <c r="D1332" s="130">
        <f>SUM(O1332:O1338)</f>
        <v>0</v>
      </c>
      <c r="E1332" s="130">
        <f t="shared" si="397"/>
        <v>0</v>
      </c>
      <c r="F1332" s="130"/>
      <c r="G1332" s="60" t="s">
        <v>125</v>
      </c>
      <c r="H1332" s="123"/>
      <c r="I1332" s="123"/>
      <c r="J1332" s="60"/>
      <c r="K1332" s="60"/>
      <c r="L1332" s="60"/>
      <c r="M1332" s="60"/>
      <c r="N1332" s="60">
        <f>M1332*J1332*K1332*L1332</f>
        <v>0</v>
      </c>
      <c r="O1332" s="60">
        <f>J1332*K1332*L1332</f>
        <v>0</v>
      </c>
    </row>
    <row r="1333" spans="1:15" s="38" customFormat="1" ht="11.45" customHeight="1" outlineLevel="1" x14ac:dyDescent="0.25">
      <c r="A1333" s="124"/>
      <c r="B1333" s="142"/>
      <c r="C1333" s="115"/>
      <c r="D1333" s="115"/>
      <c r="E1333" s="115"/>
      <c r="F1333" s="115"/>
      <c r="G1333" s="60" t="s">
        <v>126</v>
      </c>
      <c r="H1333" s="124"/>
      <c r="I1333" s="124"/>
      <c r="J1333" s="60"/>
      <c r="K1333" s="60"/>
      <c r="L1333" s="60"/>
      <c r="M1333" s="60"/>
      <c r="N1333" s="60">
        <f t="shared" ref="N1333:N1338" si="408">M1333*J1333*K1333*L1333</f>
        <v>0</v>
      </c>
      <c r="O1333" s="60">
        <f t="shared" ref="O1333:O1338" si="409">J1333*K1333*L1333</f>
        <v>0</v>
      </c>
    </row>
    <row r="1334" spans="1:15" s="38" customFormat="1" ht="10.7" customHeight="1" outlineLevel="1" x14ac:dyDescent="0.25">
      <c r="A1334" s="124"/>
      <c r="B1334" s="142"/>
      <c r="C1334" s="115"/>
      <c r="D1334" s="115"/>
      <c r="E1334" s="115"/>
      <c r="F1334" s="115"/>
      <c r="G1334" s="60" t="s">
        <v>127</v>
      </c>
      <c r="H1334" s="124"/>
      <c r="I1334" s="124"/>
      <c r="J1334" s="60"/>
      <c r="K1334" s="60"/>
      <c r="L1334" s="60"/>
      <c r="M1334" s="60"/>
      <c r="N1334" s="60">
        <f t="shared" si="408"/>
        <v>0</v>
      </c>
      <c r="O1334" s="60">
        <f t="shared" si="409"/>
        <v>0</v>
      </c>
    </row>
    <row r="1335" spans="1:15" s="38" customFormat="1" ht="10.7" customHeight="1" outlineLevel="1" x14ac:dyDescent="0.25">
      <c r="A1335" s="124"/>
      <c r="B1335" s="142"/>
      <c r="C1335" s="115"/>
      <c r="D1335" s="115"/>
      <c r="E1335" s="115"/>
      <c r="F1335" s="115"/>
      <c r="G1335" s="60" t="s">
        <v>128</v>
      </c>
      <c r="H1335" s="124"/>
      <c r="I1335" s="124"/>
      <c r="J1335" s="60"/>
      <c r="K1335" s="60"/>
      <c r="L1335" s="60"/>
      <c r="M1335" s="60"/>
      <c r="N1335" s="60">
        <f t="shared" si="408"/>
        <v>0</v>
      </c>
      <c r="O1335" s="60">
        <f t="shared" si="409"/>
        <v>0</v>
      </c>
    </row>
    <row r="1336" spans="1:15" s="38" customFormat="1" ht="10.7" customHeight="1" outlineLevel="1" x14ac:dyDescent="0.25">
      <c r="A1336" s="124"/>
      <c r="B1336" s="142"/>
      <c r="C1336" s="115"/>
      <c r="D1336" s="115"/>
      <c r="E1336" s="115"/>
      <c r="F1336" s="115"/>
      <c r="G1336" s="60" t="s">
        <v>129</v>
      </c>
      <c r="H1336" s="124"/>
      <c r="I1336" s="124"/>
      <c r="J1336" s="60"/>
      <c r="K1336" s="60"/>
      <c r="L1336" s="60"/>
      <c r="M1336" s="60"/>
      <c r="N1336" s="60">
        <f t="shared" si="408"/>
        <v>0</v>
      </c>
      <c r="O1336" s="60">
        <f t="shared" si="409"/>
        <v>0</v>
      </c>
    </row>
    <row r="1337" spans="1:15" s="38" customFormat="1" ht="10.7" customHeight="1" outlineLevel="1" x14ac:dyDescent="0.25">
      <c r="A1337" s="124"/>
      <c r="B1337" s="142"/>
      <c r="C1337" s="115"/>
      <c r="D1337" s="115"/>
      <c r="E1337" s="115"/>
      <c r="F1337" s="115"/>
      <c r="G1337" s="60" t="s">
        <v>130</v>
      </c>
      <c r="H1337" s="124"/>
      <c r="I1337" s="124"/>
      <c r="J1337" s="60"/>
      <c r="K1337" s="60"/>
      <c r="L1337" s="60"/>
      <c r="M1337" s="60"/>
      <c r="N1337" s="60">
        <f t="shared" si="408"/>
        <v>0</v>
      </c>
      <c r="O1337" s="60">
        <f t="shared" si="409"/>
        <v>0</v>
      </c>
    </row>
    <row r="1338" spans="1:15" s="38" customFormat="1" ht="12" customHeight="1" outlineLevel="1" thickBot="1" x14ac:dyDescent="0.3">
      <c r="A1338" s="125"/>
      <c r="B1338" s="143"/>
      <c r="C1338" s="131"/>
      <c r="D1338" s="131"/>
      <c r="E1338" s="131"/>
      <c r="F1338" s="131"/>
      <c r="G1338" s="60" t="s">
        <v>131</v>
      </c>
      <c r="H1338" s="134"/>
      <c r="I1338" s="134"/>
      <c r="J1338" s="60"/>
      <c r="K1338" s="60"/>
      <c r="L1338" s="60"/>
      <c r="M1338" s="60"/>
      <c r="N1338" s="60">
        <f t="shared" si="408"/>
        <v>0</v>
      </c>
      <c r="O1338" s="60">
        <f t="shared" si="409"/>
        <v>0</v>
      </c>
    </row>
    <row r="1339" spans="1:15" s="38" customFormat="1" ht="14.45" customHeight="1" outlineLevel="1" x14ac:dyDescent="0.25">
      <c r="A1339" s="140" t="s">
        <v>887</v>
      </c>
      <c r="B1339" s="141" t="s">
        <v>888</v>
      </c>
      <c r="C1339" s="130">
        <f>SUM(N1339:N1345)</f>
        <v>0</v>
      </c>
      <c r="D1339" s="130">
        <f>SUM(O1339:O1345)</f>
        <v>0</v>
      </c>
      <c r="E1339" s="130">
        <f t="shared" si="397"/>
        <v>0</v>
      </c>
      <c r="F1339" s="130"/>
      <c r="G1339" s="60" t="s">
        <v>125</v>
      </c>
      <c r="H1339" s="123"/>
      <c r="I1339" s="123"/>
      <c r="J1339" s="60"/>
      <c r="K1339" s="60"/>
      <c r="L1339" s="60"/>
      <c r="M1339" s="60"/>
      <c r="N1339" s="60">
        <f>M1339*J1339*K1339*L1339</f>
        <v>0</v>
      </c>
      <c r="O1339" s="60">
        <f>J1339*K1339*L1339</f>
        <v>0</v>
      </c>
    </row>
    <row r="1340" spans="1:15" s="38" customFormat="1" ht="11.45" customHeight="1" outlineLevel="1" x14ac:dyDescent="0.25">
      <c r="A1340" s="124"/>
      <c r="B1340" s="142"/>
      <c r="C1340" s="115"/>
      <c r="D1340" s="115"/>
      <c r="E1340" s="115"/>
      <c r="F1340" s="115"/>
      <c r="G1340" s="60" t="s">
        <v>126</v>
      </c>
      <c r="H1340" s="124"/>
      <c r="I1340" s="124"/>
      <c r="J1340" s="60"/>
      <c r="K1340" s="60"/>
      <c r="L1340" s="60"/>
      <c r="M1340" s="60"/>
      <c r="N1340" s="60">
        <f t="shared" ref="N1340:N1345" si="410">M1340*J1340*K1340*L1340</f>
        <v>0</v>
      </c>
      <c r="O1340" s="60">
        <f t="shared" ref="O1340:O1345" si="411">J1340*K1340*L1340</f>
        <v>0</v>
      </c>
    </row>
    <row r="1341" spans="1:15" s="38" customFormat="1" ht="10.7" customHeight="1" outlineLevel="1" x14ac:dyDescent="0.25">
      <c r="A1341" s="124"/>
      <c r="B1341" s="142"/>
      <c r="C1341" s="115"/>
      <c r="D1341" s="115"/>
      <c r="E1341" s="115"/>
      <c r="F1341" s="115"/>
      <c r="G1341" s="60" t="s">
        <v>127</v>
      </c>
      <c r="H1341" s="124"/>
      <c r="I1341" s="124"/>
      <c r="J1341" s="60"/>
      <c r="K1341" s="60"/>
      <c r="L1341" s="60"/>
      <c r="M1341" s="60"/>
      <c r="N1341" s="60">
        <f t="shared" si="410"/>
        <v>0</v>
      </c>
      <c r="O1341" s="60">
        <f t="shared" si="411"/>
        <v>0</v>
      </c>
    </row>
    <row r="1342" spans="1:15" s="38" customFormat="1" ht="10.7" customHeight="1" outlineLevel="1" x14ac:dyDescent="0.25">
      <c r="A1342" s="124"/>
      <c r="B1342" s="142"/>
      <c r="C1342" s="115"/>
      <c r="D1342" s="115"/>
      <c r="E1342" s="115"/>
      <c r="F1342" s="115"/>
      <c r="G1342" s="60" t="s">
        <v>128</v>
      </c>
      <c r="H1342" s="124"/>
      <c r="I1342" s="124"/>
      <c r="J1342" s="60"/>
      <c r="K1342" s="60"/>
      <c r="L1342" s="60"/>
      <c r="M1342" s="60"/>
      <c r="N1342" s="60">
        <f t="shared" si="410"/>
        <v>0</v>
      </c>
      <c r="O1342" s="60">
        <f t="shared" si="411"/>
        <v>0</v>
      </c>
    </row>
    <row r="1343" spans="1:15" s="38" customFormat="1" ht="10.7" customHeight="1" outlineLevel="1" x14ac:dyDescent="0.25">
      <c r="A1343" s="124"/>
      <c r="B1343" s="142"/>
      <c r="C1343" s="115"/>
      <c r="D1343" s="115"/>
      <c r="E1343" s="115"/>
      <c r="F1343" s="115"/>
      <c r="G1343" s="60" t="s">
        <v>129</v>
      </c>
      <c r="H1343" s="124"/>
      <c r="I1343" s="124"/>
      <c r="J1343" s="60"/>
      <c r="K1343" s="60"/>
      <c r="L1343" s="60"/>
      <c r="M1343" s="60"/>
      <c r="N1343" s="60">
        <f t="shared" si="410"/>
        <v>0</v>
      </c>
      <c r="O1343" s="60">
        <f t="shared" si="411"/>
        <v>0</v>
      </c>
    </row>
    <row r="1344" spans="1:15" s="38" customFormat="1" ht="10.7" customHeight="1" outlineLevel="1" x14ac:dyDescent="0.25">
      <c r="A1344" s="124"/>
      <c r="B1344" s="142"/>
      <c r="C1344" s="115"/>
      <c r="D1344" s="115"/>
      <c r="E1344" s="115"/>
      <c r="F1344" s="115"/>
      <c r="G1344" s="60" t="s">
        <v>130</v>
      </c>
      <c r="H1344" s="124"/>
      <c r="I1344" s="124"/>
      <c r="J1344" s="60"/>
      <c r="K1344" s="60"/>
      <c r="L1344" s="60"/>
      <c r="M1344" s="60"/>
      <c r="N1344" s="60">
        <f t="shared" si="410"/>
        <v>0</v>
      </c>
      <c r="O1344" s="60">
        <f t="shared" si="411"/>
        <v>0</v>
      </c>
    </row>
    <row r="1345" spans="1:15" s="38" customFormat="1" ht="12" customHeight="1" outlineLevel="1" thickBot="1" x14ac:dyDescent="0.3">
      <c r="A1345" s="125"/>
      <c r="B1345" s="143"/>
      <c r="C1345" s="131"/>
      <c r="D1345" s="131"/>
      <c r="E1345" s="131"/>
      <c r="F1345" s="131"/>
      <c r="G1345" s="60" t="s">
        <v>131</v>
      </c>
      <c r="H1345" s="134"/>
      <c r="I1345" s="134"/>
      <c r="J1345" s="60"/>
      <c r="K1345" s="60"/>
      <c r="L1345" s="60"/>
      <c r="M1345" s="60"/>
      <c r="N1345" s="60">
        <f t="shared" si="410"/>
        <v>0</v>
      </c>
      <c r="O1345" s="60">
        <f t="shared" si="411"/>
        <v>0</v>
      </c>
    </row>
    <row r="1346" spans="1:15" s="38" customFormat="1" ht="14.45" customHeight="1" outlineLevel="1" x14ac:dyDescent="0.25">
      <c r="A1346" s="140" t="s">
        <v>889</v>
      </c>
      <c r="B1346" s="141" t="s">
        <v>300</v>
      </c>
      <c r="C1346" s="130">
        <f>SUM(N1346:N1352)</f>
        <v>0</v>
      </c>
      <c r="D1346" s="130">
        <f>SUM(O1346:O1352)</f>
        <v>0</v>
      </c>
      <c r="E1346" s="130">
        <f t="shared" si="397"/>
        <v>0</v>
      </c>
      <c r="F1346" s="130"/>
      <c r="G1346" s="60" t="s">
        <v>125</v>
      </c>
      <c r="H1346" s="123"/>
      <c r="I1346" s="123"/>
      <c r="J1346" s="60"/>
      <c r="K1346" s="60"/>
      <c r="L1346" s="60"/>
      <c r="M1346" s="60"/>
      <c r="N1346" s="60">
        <f>M1346*J1346*K1346*L1346</f>
        <v>0</v>
      </c>
      <c r="O1346" s="60">
        <f>J1346*K1346*L1346</f>
        <v>0</v>
      </c>
    </row>
    <row r="1347" spans="1:15" s="38" customFormat="1" ht="11.45" customHeight="1" outlineLevel="1" x14ac:dyDescent="0.25">
      <c r="A1347" s="124"/>
      <c r="B1347" s="142"/>
      <c r="C1347" s="115"/>
      <c r="D1347" s="115"/>
      <c r="E1347" s="115"/>
      <c r="F1347" s="115"/>
      <c r="G1347" s="60" t="s">
        <v>126</v>
      </c>
      <c r="H1347" s="124"/>
      <c r="I1347" s="124"/>
      <c r="J1347" s="60"/>
      <c r="K1347" s="60"/>
      <c r="L1347" s="60"/>
      <c r="M1347" s="60"/>
      <c r="N1347" s="60">
        <f t="shared" ref="N1347:N1352" si="412">M1347*J1347*K1347*L1347</f>
        <v>0</v>
      </c>
      <c r="O1347" s="60">
        <f t="shared" ref="O1347:O1352" si="413">J1347*K1347*L1347</f>
        <v>0</v>
      </c>
    </row>
    <row r="1348" spans="1:15" s="38" customFormat="1" ht="10.7" customHeight="1" outlineLevel="1" x14ac:dyDescent="0.25">
      <c r="A1348" s="124"/>
      <c r="B1348" s="142"/>
      <c r="C1348" s="115"/>
      <c r="D1348" s="115"/>
      <c r="E1348" s="115"/>
      <c r="F1348" s="115"/>
      <c r="G1348" s="60" t="s">
        <v>127</v>
      </c>
      <c r="H1348" s="124"/>
      <c r="I1348" s="124"/>
      <c r="J1348" s="60"/>
      <c r="K1348" s="60"/>
      <c r="L1348" s="60"/>
      <c r="M1348" s="60"/>
      <c r="N1348" s="60">
        <f t="shared" si="412"/>
        <v>0</v>
      </c>
      <c r="O1348" s="60">
        <f t="shared" si="413"/>
        <v>0</v>
      </c>
    </row>
    <row r="1349" spans="1:15" s="38" customFormat="1" ht="10.7" customHeight="1" outlineLevel="1" x14ac:dyDescent="0.25">
      <c r="A1349" s="124"/>
      <c r="B1349" s="142"/>
      <c r="C1349" s="115"/>
      <c r="D1349" s="115"/>
      <c r="E1349" s="115"/>
      <c r="F1349" s="115"/>
      <c r="G1349" s="60" t="s">
        <v>128</v>
      </c>
      <c r="H1349" s="124"/>
      <c r="I1349" s="124"/>
      <c r="J1349" s="60"/>
      <c r="K1349" s="60"/>
      <c r="L1349" s="60"/>
      <c r="M1349" s="60"/>
      <c r="N1349" s="60">
        <f t="shared" si="412"/>
        <v>0</v>
      </c>
      <c r="O1349" s="60">
        <f t="shared" si="413"/>
        <v>0</v>
      </c>
    </row>
    <row r="1350" spans="1:15" s="38" customFormat="1" ht="10.7" customHeight="1" outlineLevel="1" x14ac:dyDescent="0.25">
      <c r="A1350" s="124"/>
      <c r="B1350" s="142"/>
      <c r="C1350" s="115"/>
      <c r="D1350" s="115"/>
      <c r="E1350" s="115"/>
      <c r="F1350" s="115"/>
      <c r="G1350" s="60" t="s">
        <v>129</v>
      </c>
      <c r="H1350" s="124"/>
      <c r="I1350" s="124"/>
      <c r="J1350" s="60"/>
      <c r="K1350" s="60"/>
      <c r="L1350" s="60"/>
      <c r="M1350" s="60"/>
      <c r="N1350" s="60">
        <f t="shared" si="412"/>
        <v>0</v>
      </c>
      <c r="O1350" s="60">
        <f t="shared" si="413"/>
        <v>0</v>
      </c>
    </row>
    <row r="1351" spans="1:15" s="38" customFormat="1" ht="10.7" customHeight="1" outlineLevel="1" x14ac:dyDescent="0.25">
      <c r="A1351" s="124"/>
      <c r="B1351" s="142"/>
      <c r="C1351" s="115"/>
      <c r="D1351" s="115"/>
      <c r="E1351" s="115"/>
      <c r="F1351" s="115"/>
      <c r="G1351" s="60" t="s">
        <v>130</v>
      </c>
      <c r="H1351" s="124"/>
      <c r="I1351" s="124"/>
      <c r="J1351" s="60"/>
      <c r="K1351" s="60"/>
      <c r="L1351" s="60"/>
      <c r="M1351" s="60"/>
      <c r="N1351" s="60">
        <f t="shared" si="412"/>
        <v>0</v>
      </c>
      <c r="O1351" s="60">
        <f t="shared" si="413"/>
        <v>0</v>
      </c>
    </row>
    <row r="1352" spans="1:15" s="38" customFormat="1" ht="12" customHeight="1" outlineLevel="1" thickBot="1" x14ac:dyDescent="0.3">
      <c r="A1352" s="125"/>
      <c r="B1352" s="143"/>
      <c r="C1352" s="131"/>
      <c r="D1352" s="131"/>
      <c r="E1352" s="131"/>
      <c r="F1352" s="131"/>
      <c r="G1352" s="60" t="s">
        <v>131</v>
      </c>
      <c r="H1352" s="134"/>
      <c r="I1352" s="134"/>
      <c r="J1352" s="60"/>
      <c r="K1352" s="60"/>
      <c r="L1352" s="60"/>
      <c r="M1352" s="60"/>
      <c r="N1352" s="60">
        <f t="shared" si="412"/>
        <v>0</v>
      </c>
      <c r="O1352" s="60">
        <f t="shared" si="413"/>
        <v>0</v>
      </c>
    </row>
    <row r="1353" spans="1:15" s="38" customFormat="1" ht="14.45" customHeight="1" outlineLevel="1" x14ac:dyDescent="0.25">
      <c r="A1353" s="140" t="s">
        <v>890</v>
      </c>
      <c r="B1353" s="141" t="s">
        <v>302</v>
      </c>
      <c r="C1353" s="130">
        <f>SUM(N1353:N1359)</f>
        <v>0</v>
      </c>
      <c r="D1353" s="130">
        <f>SUM(O1353:O1359)</f>
        <v>0</v>
      </c>
      <c r="E1353" s="130">
        <f t="shared" si="397"/>
        <v>0</v>
      </c>
      <c r="F1353" s="130"/>
      <c r="G1353" s="60" t="s">
        <v>125</v>
      </c>
      <c r="H1353" s="123"/>
      <c r="I1353" s="123"/>
      <c r="J1353" s="60"/>
      <c r="K1353" s="60"/>
      <c r="L1353" s="60"/>
      <c r="M1353" s="60"/>
      <c r="N1353" s="60">
        <f>M1353*J1353*K1353*L1353</f>
        <v>0</v>
      </c>
      <c r="O1353" s="60">
        <f>J1353*K1353*L1353</f>
        <v>0</v>
      </c>
    </row>
    <row r="1354" spans="1:15" s="38" customFormat="1" ht="11.45" customHeight="1" outlineLevel="1" x14ac:dyDescent="0.25">
      <c r="A1354" s="124"/>
      <c r="B1354" s="142"/>
      <c r="C1354" s="115"/>
      <c r="D1354" s="115"/>
      <c r="E1354" s="115"/>
      <c r="F1354" s="115"/>
      <c r="G1354" s="60" t="s">
        <v>126</v>
      </c>
      <c r="H1354" s="124"/>
      <c r="I1354" s="124"/>
      <c r="J1354" s="60"/>
      <c r="K1354" s="60"/>
      <c r="L1354" s="60"/>
      <c r="M1354" s="60"/>
      <c r="N1354" s="60">
        <f t="shared" ref="N1354:N1359" si="414">M1354*J1354*K1354*L1354</f>
        <v>0</v>
      </c>
      <c r="O1354" s="60">
        <f t="shared" ref="O1354:O1359" si="415">J1354*K1354*L1354</f>
        <v>0</v>
      </c>
    </row>
    <row r="1355" spans="1:15" s="38" customFormat="1" ht="10.7" customHeight="1" outlineLevel="1" x14ac:dyDescent="0.25">
      <c r="A1355" s="124"/>
      <c r="B1355" s="142"/>
      <c r="C1355" s="115"/>
      <c r="D1355" s="115"/>
      <c r="E1355" s="115"/>
      <c r="F1355" s="115"/>
      <c r="G1355" s="60" t="s">
        <v>127</v>
      </c>
      <c r="H1355" s="124"/>
      <c r="I1355" s="124"/>
      <c r="J1355" s="60"/>
      <c r="K1355" s="60"/>
      <c r="L1355" s="60"/>
      <c r="M1355" s="60"/>
      <c r="N1355" s="60">
        <f t="shared" si="414"/>
        <v>0</v>
      </c>
      <c r="O1355" s="60">
        <f t="shared" si="415"/>
        <v>0</v>
      </c>
    </row>
    <row r="1356" spans="1:15" s="38" customFormat="1" ht="10.7" customHeight="1" outlineLevel="1" x14ac:dyDescent="0.25">
      <c r="A1356" s="124"/>
      <c r="B1356" s="142"/>
      <c r="C1356" s="115"/>
      <c r="D1356" s="115"/>
      <c r="E1356" s="115"/>
      <c r="F1356" s="115"/>
      <c r="G1356" s="60" t="s">
        <v>128</v>
      </c>
      <c r="H1356" s="124"/>
      <c r="I1356" s="124"/>
      <c r="J1356" s="60"/>
      <c r="K1356" s="60"/>
      <c r="L1356" s="60"/>
      <c r="M1356" s="60"/>
      <c r="N1356" s="60">
        <f t="shared" si="414"/>
        <v>0</v>
      </c>
      <c r="O1356" s="60">
        <f t="shared" si="415"/>
        <v>0</v>
      </c>
    </row>
    <row r="1357" spans="1:15" s="38" customFormat="1" ht="10.7" customHeight="1" outlineLevel="1" x14ac:dyDescent="0.25">
      <c r="A1357" s="124"/>
      <c r="B1357" s="142"/>
      <c r="C1357" s="115"/>
      <c r="D1357" s="115"/>
      <c r="E1357" s="115"/>
      <c r="F1357" s="115"/>
      <c r="G1357" s="60" t="s">
        <v>129</v>
      </c>
      <c r="H1357" s="124"/>
      <c r="I1357" s="124"/>
      <c r="J1357" s="60"/>
      <c r="K1357" s="60"/>
      <c r="L1357" s="60"/>
      <c r="M1357" s="60"/>
      <c r="N1357" s="60">
        <f t="shared" si="414"/>
        <v>0</v>
      </c>
      <c r="O1357" s="60">
        <f t="shared" si="415"/>
        <v>0</v>
      </c>
    </row>
    <row r="1358" spans="1:15" s="38" customFormat="1" ht="10.7" customHeight="1" outlineLevel="1" x14ac:dyDescent="0.25">
      <c r="A1358" s="124"/>
      <c r="B1358" s="142"/>
      <c r="C1358" s="115"/>
      <c r="D1358" s="115"/>
      <c r="E1358" s="115"/>
      <c r="F1358" s="115"/>
      <c r="G1358" s="60" t="s">
        <v>130</v>
      </c>
      <c r="H1358" s="124"/>
      <c r="I1358" s="124"/>
      <c r="J1358" s="60"/>
      <c r="K1358" s="60"/>
      <c r="L1358" s="60"/>
      <c r="M1358" s="60"/>
      <c r="N1358" s="60">
        <f t="shared" si="414"/>
        <v>0</v>
      </c>
      <c r="O1358" s="60">
        <f t="shared" si="415"/>
        <v>0</v>
      </c>
    </row>
    <row r="1359" spans="1:15" s="38" customFormat="1" ht="12" customHeight="1" outlineLevel="1" thickBot="1" x14ac:dyDescent="0.3">
      <c r="A1359" s="125"/>
      <c r="B1359" s="143"/>
      <c r="C1359" s="131"/>
      <c r="D1359" s="131"/>
      <c r="E1359" s="131"/>
      <c r="F1359" s="131"/>
      <c r="G1359" s="60" t="s">
        <v>131</v>
      </c>
      <c r="H1359" s="134"/>
      <c r="I1359" s="134"/>
      <c r="J1359" s="60"/>
      <c r="K1359" s="60"/>
      <c r="L1359" s="60"/>
      <c r="M1359" s="60"/>
      <c r="N1359" s="60">
        <f t="shared" si="414"/>
        <v>0</v>
      </c>
      <c r="O1359" s="60">
        <f t="shared" si="415"/>
        <v>0</v>
      </c>
    </row>
    <row r="1360" spans="1:15" s="38" customFormat="1" ht="14.45" customHeight="1" outlineLevel="1" x14ac:dyDescent="0.25">
      <c r="A1360" s="140" t="s">
        <v>891</v>
      </c>
      <c r="B1360" s="141" t="s">
        <v>304</v>
      </c>
      <c r="C1360" s="130">
        <f>SUM(N1360:N1366)</f>
        <v>0</v>
      </c>
      <c r="D1360" s="130">
        <f>SUM(O1360:O1366)</f>
        <v>0</v>
      </c>
      <c r="E1360" s="130">
        <f t="shared" si="397"/>
        <v>0</v>
      </c>
      <c r="F1360" s="130"/>
      <c r="G1360" s="60" t="s">
        <v>125</v>
      </c>
      <c r="H1360" s="123"/>
      <c r="I1360" s="123"/>
      <c r="J1360" s="60"/>
      <c r="K1360" s="60"/>
      <c r="L1360" s="60"/>
      <c r="M1360" s="60"/>
      <c r="N1360" s="60">
        <f>M1360*J1360*K1360*L1360</f>
        <v>0</v>
      </c>
      <c r="O1360" s="60">
        <f>J1360*K1360*L1360</f>
        <v>0</v>
      </c>
    </row>
    <row r="1361" spans="1:15" s="38" customFormat="1" ht="11.45" customHeight="1" outlineLevel="1" x14ac:dyDescent="0.25">
      <c r="A1361" s="124"/>
      <c r="B1361" s="142"/>
      <c r="C1361" s="115"/>
      <c r="D1361" s="115"/>
      <c r="E1361" s="115"/>
      <c r="F1361" s="115"/>
      <c r="G1361" s="60" t="s">
        <v>126</v>
      </c>
      <c r="H1361" s="124"/>
      <c r="I1361" s="124"/>
      <c r="J1361" s="60"/>
      <c r="K1361" s="60"/>
      <c r="L1361" s="60"/>
      <c r="M1361" s="60"/>
      <c r="N1361" s="60">
        <f t="shared" ref="N1361:N1366" si="416">M1361*J1361*K1361*L1361</f>
        <v>0</v>
      </c>
      <c r="O1361" s="60">
        <f t="shared" ref="O1361:O1366" si="417">J1361*K1361*L1361</f>
        <v>0</v>
      </c>
    </row>
    <row r="1362" spans="1:15" s="38" customFormat="1" ht="10.7" customHeight="1" outlineLevel="1" x14ac:dyDescent="0.25">
      <c r="A1362" s="124"/>
      <c r="B1362" s="142"/>
      <c r="C1362" s="115"/>
      <c r="D1362" s="115"/>
      <c r="E1362" s="115"/>
      <c r="F1362" s="115"/>
      <c r="G1362" s="60" t="s">
        <v>127</v>
      </c>
      <c r="H1362" s="124"/>
      <c r="I1362" s="124"/>
      <c r="J1362" s="60"/>
      <c r="K1362" s="60"/>
      <c r="L1362" s="60"/>
      <c r="M1362" s="60"/>
      <c r="N1362" s="60">
        <f t="shared" si="416"/>
        <v>0</v>
      </c>
      <c r="O1362" s="60">
        <f t="shared" si="417"/>
        <v>0</v>
      </c>
    </row>
    <row r="1363" spans="1:15" s="38" customFormat="1" ht="10.7" customHeight="1" outlineLevel="1" x14ac:dyDescent="0.25">
      <c r="A1363" s="124"/>
      <c r="B1363" s="142"/>
      <c r="C1363" s="115"/>
      <c r="D1363" s="115"/>
      <c r="E1363" s="115"/>
      <c r="F1363" s="115"/>
      <c r="G1363" s="60" t="s">
        <v>128</v>
      </c>
      <c r="H1363" s="124"/>
      <c r="I1363" s="124"/>
      <c r="J1363" s="60"/>
      <c r="K1363" s="60"/>
      <c r="L1363" s="60"/>
      <c r="M1363" s="60"/>
      <c r="N1363" s="60">
        <f t="shared" si="416"/>
        <v>0</v>
      </c>
      <c r="O1363" s="60">
        <f t="shared" si="417"/>
        <v>0</v>
      </c>
    </row>
    <row r="1364" spans="1:15" s="38" customFormat="1" ht="10.7" customHeight="1" outlineLevel="1" x14ac:dyDescent="0.25">
      <c r="A1364" s="124"/>
      <c r="B1364" s="142"/>
      <c r="C1364" s="115"/>
      <c r="D1364" s="115"/>
      <c r="E1364" s="115"/>
      <c r="F1364" s="115"/>
      <c r="G1364" s="60" t="s">
        <v>129</v>
      </c>
      <c r="H1364" s="124"/>
      <c r="I1364" s="124"/>
      <c r="J1364" s="60"/>
      <c r="K1364" s="60"/>
      <c r="L1364" s="60"/>
      <c r="M1364" s="60"/>
      <c r="N1364" s="60">
        <f t="shared" si="416"/>
        <v>0</v>
      </c>
      <c r="O1364" s="60">
        <f t="shared" si="417"/>
        <v>0</v>
      </c>
    </row>
    <row r="1365" spans="1:15" s="38" customFormat="1" ht="10.7" customHeight="1" outlineLevel="1" x14ac:dyDescent="0.25">
      <c r="A1365" s="124"/>
      <c r="B1365" s="142"/>
      <c r="C1365" s="115"/>
      <c r="D1365" s="115"/>
      <c r="E1365" s="115"/>
      <c r="F1365" s="115"/>
      <c r="G1365" s="60" t="s">
        <v>130</v>
      </c>
      <c r="H1365" s="124"/>
      <c r="I1365" s="124"/>
      <c r="J1365" s="60"/>
      <c r="K1365" s="60"/>
      <c r="L1365" s="60"/>
      <c r="M1365" s="60"/>
      <c r="N1365" s="60">
        <f t="shared" si="416"/>
        <v>0</v>
      </c>
      <c r="O1365" s="60">
        <f t="shared" si="417"/>
        <v>0</v>
      </c>
    </row>
    <row r="1366" spans="1:15" s="38" customFormat="1" ht="12" customHeight="1" outlineLevel="1" thickBot="1" x14ac:dyDescent="0.3">
      <c r="A1366" s="125"/>
      <c r="B1366" s="143"/>
      <c r="C1366" s="131"/>
      <c r="D1366" s="131"/>
      <c r="E1366" s="131"/>
      <c r="F1366" s="131"/>
      <c r="G1366" s="60" t="s">
        <v>131</v>
      </c>
      <c r="H1366" s="134"/>
      <c r="I1366" s="134"/>
      <c r="J1366" s="60"/>
      <c r="K1366" s="60"/>
      <c r="L1366" s="60"/>
      <c r="M1366" s="60"/>
      <c r="N1366" s="60">
        <f t="shared" si="416"/>
        <v>0</v>
      </c>
      <c r="O1366" s="60">
        <f t="shared" si="417"/>
        <v>0</v>
      </c>
    </row>
    <row r="1367" spans="1:15" s="38" customFormat="1" ht="14.45" customHeight="1" outlineLevel="1" x14ac:dyDescent="0.25">
      <c r="A1367" s="140" t="s">
        <v>892</v>
      </c>
      <c r="B1367" s="141" t="s">
        <v>306</v>
      </c>
      <c r="C1367" s="130">
        <f>SUM(N1367:N1373)</f>
        <v>0</v>
      </c>
      <c r="D1367" s="130">
        <f>SUM(O1367:O1373)</f>
        <v>0</v>
      </c>
      <c r="E1367" s="130">
        <f t="shared" ref="E1367:E1402" si="418">D1367/8</f>
        <v>0</v>
      </c>
      <c r="F1367" s="130"/>
      <c r="G1367" s="60" t="s">
        <v>125</v>
      </c>
      <c r="H1367" s="123"/>
      <c r="I1367" s="123"/>
      <c r="J1367" s="60"/>
      <c r="K1367" s="60"/>
      <c r="L1367" s="60"/>
      <c r="M1367" s="60"/>
      <c r="N1367" s="60">
        <f>M1367*J1367*K1367*L1367</f>
        <v>0</v>
      </c>
      <c r="O1367" s="60">
        <f>J1367*K1367*L1367</f>
        <v>0</v>
      </c>
    </row>
    <row r="1368" spans="1:15" s="38" customFormat="1" ht="11.45" customHeight="1" outlineLevel="1" x14ac:dyDescent="0.25">
      <c r="A1368" s="124"/>
      <c r="B1368" s="142"/>
      <c r="C1368" s="115"/>
      <c r="D1368" s="115"/>
      <c r="E1368" s="115"/>
      <c r="F1368" s="115"/>
      <c r="G1368" s="60" t="s">
        <v>126</v>
      </c>
      <c r="H1368" s="124"/>
      <c r="I1368" s="124"/>
      <c r="J1368" s="60"/>
      <c r="K1368" s="60"/>
      <c r="L1368" s="60"/>
      <c r="M1368" s="60"/>
      <c r="N1368" s="60">
        <f t="shared" ref="N1368:N1373" si="419">M1368*J1368*K1368*L1368</f>
        <v>0</v>
      </c>
      <c r="O1368" s="60">
        <f t="shared" ref="O1368:O1373" si="420">J1368*K1368*L1368</f>
        <v>0</v>
      </c>
    </row>
    <row r="1369" spans="1:15" s="38" customFormat="1" ht="10.7" customHeight="1" outlineLevel="1" x14ac:dyDescent="0.25">
      <c r="A1369" s="124"/>
      <c r="B1369" s="142"/>
      <c r="C1369" s="115"/>
      <c r="D1369" s="115"/>
      <c r="E1369" s="115"/>
      <c r="F1369" s="115"/>
      <c r="G1369" s="60" t="s">
        <v>127</v>
      </c>
      <c r="H1369" s="124"/>
      <c r="I1369" s="124"/>
      <c r="J1369" s="60"/>
      <c r="K1369" s="60"/>
      <c r="L1369" s="60"/>
      <c r="M1369" s="60"/>
      <c r="N1369" s="60">
        <f t="shared" si="419"/>
        <v>0</v>
      </c>
      <c r="O1369" s="60">
        <f t="shared" si="420"/>
        <v>0</v>
      </c>
    </row>
    <row r="1370" spans="1:15" s="38" customFormat="1" ht="10.7" customHeight="1" outlineLevel="1" x14ac:dyDescent="0.25">
      <c r="A1370" s="124"/>
      <c r="B1370" s="142"/>
      <c r="C1370" s="115"/>
      <c r="D1370" s="115"/>
      <c r="E1370" s="115"/>
      <c r="F1370" s="115"/>
      <c r="G1370" s="60" t="s">
        <v>128</v>
      </c>
      <c r="H1370" s="124"/>
      <c r="I1370" s="124"/>
      <c r="J1370" s="60"/>
      <c r="K1370" s="60"/>
      <c r="L1370" s="60"/>
      <c r="M1370" s="60"/>
      <c r="N1370" s="60">
        <f t="shared" si="419"/>
        <v>0</v>
      </c>
      <c r="O1370" s="60">
        <f t="shared" si="420"/>
        <v>0</v>
      </c>
    </row>
    <row r="1371" spans="1:15" s="38" customFormat="1" ht="10.7" customHeight="1" outlineLevel="1" x14ac:dyDescent="0.25">
      <c r="A1371" s="124"/>
      <c r="B1371" s="142"/>
      <c r="C1371" s="115"/>
      <c r="D1371" s="115"/>
      <c r="E1371" s="115"/>
      <c r="F1371" s="115"/>
      <c r="G1371" s="60" t="s">
        <v>129</v>
      </c>
      <c r="H1371" s="124"/>
      <c r="I1371" s="124"/>
      <c r="J1371" s="60"/>
      <c r="K1371" s="60"/>
      <c r="L1371" s="60"/>
      <c r="M1371" s="60"/>
      <c r="N1371" s="60">
        <f t="shared" si="419"/>
        <v>0</v>
      </c>
      <c r="O1371" s="60">
        <f t="shared" si="420"/>
        <v>0</v>
      </c>
    </row>
    <row r="1372" spans="1:15" s="38" customFormat="1" ht="10.7" customHeight="1" outlineLevel="1" x14ac:dyDescent="0.25">
      <c r="A1372" s="124"/>
      <c r="B1372" s="142"/>
      <c r="C1372" s="115"/>
      <c r="D1372" s="115"/>
      <c r="E1372" s="115"/>
      <c r="F1372" s="115"/>
      <c r="G1372" s="60" t="s">
        <v>130</v>
      </c>
      <c r="H1372" s="124"/>
      <c r="I1372" s="124"/>
      <c r="J1372" s="60"/>
      <c r="K1372" s="60"/>
      <c r="L1372" s="60"/>
      <c r="M1372" s="60"/>
      <c r="N1372" s="60">
        <f t="shared" si="419"/>
        <v>0</v>
      </c>
      <c r="O1372" s="60">
        <f t="shared" si="420"/>
        <v>0</v>
      </c>
    </row>
    <row r="1373" spans="1:15" s="38" customFormat="1" ht="12" customHeight="1" outlineLevel="1" thickBot="1" x14ac:dyDescent="0.3">
      <c r="A1373" s="125"/>
      <c r="B1373" s="143"/>
      <c r="C1373" s="131"/>
      <c r="D1373" s="131"/>
      <c r="E1373" s="131"/>
      <c r="F1373" s="131"/>
      <c r="G1373" s="60" t="s">
        <v>131</v>
      </c>
      <c r="H1373" s="134"/>
      <c r="I1373" s="134"/>
      <c r="J1373" s="60"/>
      <c r="K1373" s="60"/>
      <c r="L1373" s="60"/>
      <c r="M1373" s="60"/>
      <c r="N1373" s="60">
        <f t="shared" si="419"/>
        <v>0</v>
      </c>
      <c r="O1373" s="60">
        <f t="shared" si="420"/>
        <v>0</v>
      </c>
    </row>
    <row r="1374" spans="1:15" s="38" customFormat="1" ht="14.45" customHeight="1" outlineLevel="1" x14ac:dyDescent="0.25">
      <c r="A1374" s="140" t="s">
        <v>893</v>
      </c>
      <c r="B1374" s="141" t="s">
        <v>308</v>
      </c>
      <c r="C1374" s="130">
        <f>SUM(N1374:N1380)</f>
        <v>0</v>
      </c>
      <c r="D1374" s="130">
        <f>SUM(O1374:O1380)</f>
        <v>0</v>
      </c>
      <c r="E1374" s="130">
        <f t="shared" si="418"/>
        <v>0</v>
      </c>
      <c r="F1374" s="130"/>
      <c r="G1374" s="60" t="s">
        <v>125</v>
      </c>
      <c r="H1374" s="123"/>
      <c r="I1374" s="123"/>
      <c r="J1374" s="60"/>
      <c r="K1374" s="60"/>
      <c r="L1374" s="60"/>
      <c r="M1374" s="60"/>
      <c r="N1374" s="60">
        <f>M1374*J1374*K1374*L1374</f>
        <v>0</v>
      </c>
      <c r="O1374" s="60">
        <f>J1374*K1374*L1374</f>
        <v>0</v>
      </c>
    </row>
    <row r="1375" spans="1:15" s="38" customFormat="1" ht="11.45" customHeight="1" outlineLevel="1" x14ac:dyDescent="0.25">
      <c r="A1375" s="124"/>
      <c r="B1375" s="142"/>
      <c r="C1375" s="115"/>
      <c r="D1375" s="115"/>
      <c r="E1375" s="115"/>
      <c r="F1375" s="115"/>
      <c r="G1375" s="60" t="s">
        <v>126</v>
      </c>
      <c r="H1375" s="124"/>
      <c r="I1375" s="124"/>
      <c r="J1375" s="60"/>
      <c r="K1375" s="60"/>
      <c r="L1375" s="60"/>
      <c r="M1375" s="60"/>
      <c r="N1375" s="60">
        <f t="shared" ref="N1375:N1380" si="421">M1375*J1375*K1375*L1375</f>
        <v>0</v>
      </c>
      <c r="O1375" s="60">
        <f t="shared" ref="O1375:O1380" si="422">J1375*K1375*L1375</f>
        <v>0</v>
      </c>
    </row>
    <row r="1376" spans="1:15" s="38" customFormat="1" ht="10.7" customHeight="1" outlineLevel="1" x14ac:dyDescent="0.25">
      <c r="A1376" s="124"/>
      <c r="B1376" s="142"/>
      <c r="C1376" s="115"/>
      <c r="D1376" s="115"/>
      <c r="E1376" s="115"/>
      <c r="F1376" s="115"/>
      <c r="G1376" s="60" t="s">
        <v>127</v>
      </c>
      <c r="H1376" s="124"/>
      <c r="I1376" s="124"/>
      <c r="J1376" s="60"/>
      <c r="K1376" s="60"/>
      <c r="L1376" s="60"/>
      <c r="M1376" s="60"/>
      <c r="N1376" s="60">
        <f t="shared" si="421"/>
        <v>0</v>
      </c>
      <c r="O1376" s="60">
        <f t="shared" si="422"/>
        <v>0</v>
      </c>
    </row>
    <row r="1377" spans="1:15" s="38" customFormat="1" ht="10.7" customHeight="1" outlineLevel="1" x14ac:dyDescent="0.25">
      <c r="A1377" s="124"/>
      <c r="B1377" s="142"/>
      <c r="C1377" s="115"/>
      <c r="D1377" s="115"/>
      <c r="E1377" s="115"/>
      <c r="F1377" s="115"/>
      <c r="G1377" s="60" t="s">
        <v>128</v>
      </c>
      <c r="H1377" s="124"/>
      <c r="I1377" s="124"/>
      <c r="J1377" s="60"/>
      <c r="K1377" s="60"/>
      <c r="L1377" s="60"/>
      <c r="M1377" s="60"/>
      <c r="N1377" s="60">
        <f t="shared" si="421"/>
        <v>0</v>
      </c>
      <c r="O1377" s="60">
        <f t="shared" si="422"/>
        <v>0</v>
      </c>
    </row>
    <row r="1378" spans="1:15" s="38" customFormat="1" ht="10.7" customHeight="1" outlineLevel="1" x14ac:dyDescent="0.25">
      <c r="A1378" s="124"/>
      <c r="B1378" s="142"/>
      <c r="C1378" s="115"/>
      <c r="D1378" s="115"/>
      <c r="E1378" s="115"/>
      <c r="F1378" s="115"/>
      <c r="G1378" s="60" t="s">
        <v>129</v>
      </c>
      <c r="H1378" s="124"/>
      <c r="I1378" s="124"/>
      <c r="J1378" s="60"/>
      <c r="K1378" s="60"/>
      <c r="L1378" s="60"/>
      <c r="M1378" s="60"/>
      <c r="N1378" s="60">
        <f t="shared" si="421"/>
        <v>0</v>
      </c>
      <c r="O1378" s="60">
        <f t="shared" si="422"/>
        <v>0</v>
      </c>
    </row>
    <row r="1379" spans="1:15" s="38" customFormat="1" ht="10.7" customHeight="1" outlineLevel="1" x14ac:dyDescent="0.25">
      <c r="A1379" s="124"/>
      <c r="B1379" s="142"/>
      <c r="C1379" s="115"/>
      <c r="D1379" s="115"/>
      <c r="E1379" s="115"/>
      <c r="F1379" s="115"/>
      <c r="G1379" s="60" t="s">
        <v>130</v>
      </c>
      <c r="H1379" s="124"/>
      <c r="I1379" s="124"/>
      <c r="J1379" s="60"/>
      <c r="K1379" s="60"/>
      <c r="L1379" s="60"/>
      <c r="M1379" s="60"/>
      <c r="N1379" s="60">
        <f t="shared" si="421"/>
        <v>0</v>
      </c>
      <c r="O1379" s="60">
        <f t="shared" si="422"/>
        <v>0</v>
      </c>
    </row>
    <row r="1380" spans="1:15" s="38" customFormat="1" ht="12" customHeight="1" outlineLevel="1" thickBot="1" x14ac:dyDescent="0.3">
      <c r="A1380" s="125"/>
      <c r="B1380" s="143"/>
      <c r="C1380" s="131"/>
      <c r="D1380" s="131"/>
      <c r="E1380" s="131"/>
      <c r="F1380" s="131"/>
      <c r="G1380" s="60" t="s">
        <v>131</v>
      </c>
      <c r="H1380" s="134"/>
      <c r="I1380" s="134"/>
      <c r="J1380" s="60"/>
      <c r="K1380" s="60"/>
      <c r="L1380" s="60"/>
      <c r="M1380" s="60"/>
      <c r="N1380" s="60">
        <f t="shared" si="421"/>
        <v>0</v>
      </c>
      <c r="O1380" s="60">
        <f t="shared" si="422"/>
        <v>0</v>
      </c>
    </row>
    <row r="1381" spans="1:15" s="38" customFormat="1" ht="14.45" customHeight="1" outlineLevel="1" x14ac:dyDescent="0.25">
      <c r="A1381" s="140" t="s">
        <v>894</v>
      </c>
      <c r="B1381" s="141" t="s">
        <v>895</v>
      </c>
      <c r="C1381" s="130">
        <f>SUM(N1381:N1387)</f>
        <v>0</v>
      </c>
      <c r="D1381" s="130">
        <f>SUM(O1381:O1387)</f>
        <v>0</v>
      </c>
      <c r="E1381" s="130">
        <f t="shared" si="418"/>
        <v>0</v>
      </c>
      <c r="F1381" s="130"/>
      <c r="G1381" s="60" t="s">
        <v>125</v>
      </c>
      <c r="H1381" s="123"/>
      <c r="I1381" s="123"/>
      <c r="J1381" s="60"/>
      <c r="K1381" s="60"/>
      <c r="L1381" s="60"/>
      <c r="M1381" s="60"/>
      <c r="N1381" s="60">
        <f>M1381*J1381*K1381*L1381</f>
        <v>0</v>
      </c>
      <c r="O1381" s="60">
        <f>J1381*K1381*L1381</f>
        <v>0</v>
      </c>
    </row>
    <row r="1382" spans="1:15" s="38" customFormat="1" ht="11.45" customHeight="1" outlineLevel="1" x14ac:dyDescent="0.25">
      <c r="A1382" s="124"/>
      <c r="B1382" s="142"/>
      <c r="C1382" s="115"/>
      <c r="D1382" s="115"/>
      <c r="E1382" s="115"/>
      <c r="F1382" s="115"/>
      <c r="G1382" s="60" t="s">
        <v>126</v>
      </c>
      <c r="H1382" s="124"/>
      <c r="I1382" s="124"/>
      <c r="J1382" s="60"/>
      <c r="K1382" s="60"/>
      <c r="L1382" s="60"/>
      <c r="M1382" s="60"/>
      <c r="N1382" s="60">
        <f t="shared" ref="N1382:N1387" si="423">M1382*J1382*K1382*L1382</f>
        <v>0</v>
      </c>
      <c r="O1382" s="60">
        <f t="shared" ref="O1382:O1387" si="424">J1382*K1382*L1382</f>
        <v>0</v>
      </c>
    </row>
    <row r="1383" spans="1:15" s="38" customFormat="1" ht="10.7" customHeight="1" outlineLevel="1" x14ac:dyDescent="0.25">
      <c r="A1383" s="124"/>
      <c r="B1383" s="142"/>
      <c r="C1383" s="115"/>
      <c r="D1383" s="115"/>
      <c r="E1383" s="115"/>
      <c r="F1383" s="115"/>
      <c r="G1383" s="60" t="s">
        <v>127</v>
      </c>
      <c r="H1383" s="124"/>
      <c r="I1383" s="124"/>
      <c r="J1383" s="60"/>
      <c r="K1383" s="60"/>
      <c r="L1383" s="60"/>
      <c r="M1383" s="60"/>
      <c r="N1383" s="60">
        <f t="shared" si="423"/>
        <v>0</v>
      </c>
      <c r="O1383" s="60">
        <f t="shared" si="424"/>
        <v>0</v>
      </c>
    </row>
    <row r="1384" spans="1:15" s="38" customFormat="1" ht="10.7" customHeight="1" outlineLevel="1" x14ac:dyDescent="0.25">
      <c r="A1384" s="124"/>
      <c r="B1384" s="142"/>
      <c r="C1384" s="115"/>
      <c r="D1384" s="115"/>
      <c r="E1384" s="115"/>
      <c r="F1384" s="115"/>
      <c r="G1384" s="60" t="s">
        <v>128</v>
      </c>
      <c r="H1384" s="124"/>
      <c r="I1384" s="124"/>
      <c r="J1384" s="60"/>
      <c r="K1384" s="60"/>
      <c r="L1384" s="60"/>
      <c r="M1384" s="60"/>
      <c r="N1384" s="60">
        <f t="shared" si="423"/>
        <v>0</v>
      </c>
      <c r="O1384" s="60">
        <f t="shared" si="424"/>
        <v>0</v>
      </c>
    </row>
    <row r="1385" spans="1:15" s="38" customFormat="1" ht="10.7" customHeight="1" outlineLevel="1" x14ac:dyDescent="0.25">
      <c r="A1385" s="124"/>
      <c r="B1385" s="142"/>
      <c r="C1385" s="115"/>
      <c r="D1385" s="115"/>
      <c r="E1385" s="115"/>
      <c r="F1385" s="115"/>
      <c r="G1385" s="60" t="s">
        <v>129</v>
      </c>
      <c r="H1385" s="124"/>
      <c r="I1385" s="124"/>
      <c r="J1385" s="60"/>
      <c r="K1385" s="60"/>
      <c r="L1385" s="60"/>
      <c r="M1385" s="60"/>
      <c r="N1385" s="60">
        <f t="shared" si="423"/>
        <v>0</v>
      </c>
      <c r="O1385" s="60">
        <f t="shared" si="424"/>
        <v>0</v>
      </c>
    </row>
    <row r="1386" spans="1:15" s="38" customFormat="1" ht="10.7" customHeight="1" outlineLevel="1" x14ac:dyDescent="0.25">
      <c r="A1386" s="124"/>
      <c r="B1386" s="142"/>
      <c r="C1386" s="115"/>
      <c r="D1386" s="115"/>
      <c r="E1386" s="115"/>
      <c r="F1386" s="115"/>
      <c r="G1386" s="60" t="s">
        <v>130</v>
      </c>
      <c r="H1386" s="124"/>
      <c r="I1386" s="124"/>
      <c r="J1386" s="60"/>
      <c r="K1386" s="60"/>
      <c r="L1386" s="60"/>
      <c r="M1386" s="60"/>
      <c r="N1386" s="60">
        <f t="shared" si="423"/>
        <v>0</v>
      </c>
      <c r="O1386" s="60">
        <f t="shared" si="424"/>
        <v>0</v>
      </c>
    </row>
    <row r="1387" spans="1:15" s="38" customFormat="1" ht="12" customHeight="1" outlineLevel="1" thickBot="1" x14ac:dyDescent="0.3">
      <c r="A1387" s="125"/>
      <c r="B1387" s="143"/>
      <c r="C1387" s="131"/>
      <c r="D1387" s="131"/>
      <c r="E1387" s="131"/>
      <c r="F1387" s="131"/>
      <c r="G1387" s="60" t="s">
        <v>131</v>
      </c>
      <c r="H1387" s="134"/>
      <c r="I1387" s="134"/>
      <c r="J1387" s="60"/>
      <c r="K1387" s="60"/>
      <c r="L1387" s="60"/>
      <c r="M1387" s="60"/>
      <c r="N1387" s="60">
        <f t="shared" si="423"/>
        <v>0</v>
      </c>
      <c r="O1387" s="60">
        <f t="shared" si="424"/>
        <v>0</v>
      </c>
    </row>
    <row r="1388" spans="1:15" s="38" customFormat="1" ht="14.45" customHeight="1" outlineLevel="1" x14ac:dyDescent="0.25">
      <c r="A1388" s="140" t="s">
        <v>896</v>
      </c>
      <c r="B1388" s="141" t="s">
        <v>897</v>
      </c>
      <c r="C1388" s="130">
        <f>SUM(N1388:N1394)</f>
        <v>0</v>
      </c>
      <c r="D1388" s="130">
        <f>SUM(O1388:O1394)</f>
        <v>0</v>
      </c>
      <c r="E1388" s="130">
        <f t="shared" si="418"/>
        <v>0</v>
      </c>
      <c r="F1388" s="130"/>
      <c r="G1388" s="60" t="s">
        <v>125</v>
      </c>
      <c r="H1388" s="123"/>
      <c r="I1388" s="123"/>
      <c r="J1388" s="60"/>
      <c r="K1388" s="60"/>
      <c r="L1388" s="60"/>
      <c r="M1388" s="60"/>
      <c r="N1388" s="60">
        <f>M1388*J1388*K1388*L1388</f>
        <v>0</v>
      </c>
      <c r="O1388" s="60">
        <f>J1388*K1388*L1388</f>
        <v>0</v>
      </c>
    </row>
    <row r="1389" spans="1:15" s="38" customFormat="1" ht="11.45" customHeight="1" outlineLevel="1" x14ac:dyDescent="0.25">
      <c r="A1389" s="124"/>
      <c r="B1389" s="142"/>
      <c r="C1389" s="115"/>
      <c r="D1389" s="115"/>
      <c r="E1389" s="115"/>
      <c r="F1389" s="115"/>
      <c r="G1389" s="60" t="s">
        <v>126</v>
      </c>
      <c r="H1389" s="124"/>
      <c r="I1389" s="124"/>
      <c r="J1389" s="60"/>
      <c r="K1389" s="60"/>
      <c r="L1389" s="60"/>
      <c r="M1389" s="60"/>
      <c r="N1389" s="60">
        <f t="shared" ref="N1389:N1394" si="425">M1389*J1389*K1389*L1389</f>
        <v>0</v>
      </c>
      <c r="O1389" s="60">
        <f t="shared" ref="O1389:O1394" si="426">J1389*K1389*L1389</f>
        <v>0</v>
      </c>
    </row>
    <row r="1390" spans="1:15" s="38" customFormat="1" ht="10.7" customHeight="1" outlineLevel="1" x14ac:dyDescent="0.25">
      <c r="A1390" s="124"/>
      <c r="B1390" s="142"/>
      <c r="C1390" s="115"/>
      <c r="D1390" s="115"/>
      <c r="E1390" s="115"/>
      <c r="F1390" s="115"/>
      <c r="G1390" s="60" t="s">
        <v>127</v>
      </c>
      <c r="H1390" s="124"/>
      <c r="I1390" s="124"/>
      <c r="J1390" s="60"/>
      <c r="K1390" s="60"/>
      <c r="L1390" s="60"/>
      <c r="M1390" s="60"/>
      <c r="N1390" s="60">
        <f t="shared" si="425"/>
        <v>0</v>
      </c>
      <c r="O1390" s="60">
        <f t="shared" si="426"/>
        <v>0</v>
      </c>
    </row>
    <row r="1391" spans="1:15" s="38" customFormat="1" ht="10.7" customHeight="1" outlineLevel="1" x14ac:dyDescent="0.25">
      <c r="A1391" s="124"/>
      <c r="B1391" s="142"/>
      <c r="C1391" s="115"/>
      <c r="D1391" s="115"/>
      <c r="E1391" s="115"/>
      <c r="F1391" s="115"/>
      <c r="G1391" s="60" t="s">
        <v>128</v>
      </c>
      <c r="H1391" s="124"/>
      <c r="I1391" s="124"/>
      <c r="J1391" s="60"/>
      <c r="K1391" s="60"/>
      <c r="L1391" s="60"/>
      <c r="M1391" s="60"/>
      <c r="N1391" s="60">
        <f t="shared" si="425"/>
        <v>0</v>
      </c>
      <c r="O1391" s="60">
        <f t="shared" si="426"/>
        <v>0</v>
      </c>
    </row>
    <row r="1392" spans="1:15" s="38" customFormat="1" ht="10.7" customHeight="1" outlineLevel="1" x14ac:dyDescent="0.25">
      <c r="A1392" s="124"/>
      <c r="B1392" s="142"/>
      <c r="C1392" s="115"/>
      <c r="D1392" s="115"/>
      <c r="E1392" s="115"/>
      <c r="F1392" s="115"/>
      <c r="G1392" s="60" t="s">
        <v>129</v>
      </c>
      <c r="H1392" s="124"/>
      <c r="I1392" s="124"/>
      <c r="J1392" s="60"/>
      <c r="K1392" s="60"/>
      <c r="L1392" s="60"/>
      <c r="M1392" s="60"/>
      <c r="N1392" s="60">
        <f t="shared" si="425"/>
        <v>0</v>
      </c>
      <c r="O1392" s="60">
        <f t="shared" si="426"/>
        <v>0</v>
      </c>
    </row>
    <row r="1393" spans="1:15" s="38" customFormat="1" ht="10.7" customHeight="1" outlineLevel="1" x14ac:dyDescent="0.25">
      <c r="A1393" s="124"/>
      <c r="B1393" s="142"/>
      <c r="C1393" s="115"/>
      <c r="D1393" s="115"/>
      <c r="E1393" s="115"/>
      <c r="F1393" s="115"/>
      <c r="G1393" s="60" t="s">
        <v>130</v>
      </c>
      <c r="H1393" s="124"/>
      <c r="I1393" s="124"/>
      <c r="J1393" s="60"/>
      <c r="K1393" s="60"/>
      <c r="L1393" s="60"/>
      <c r="M1393" s="60"/>
      <c r="N1393" s="60">
        <f t="shared" si="425"/>
        <v>0</v>
      </c>
      <c r="O1393" s="60">
        <f t="shared" si="426"/>
        <v>0</v>
      </c>
    </row>
    <row r="1394" spans="1:15" s="38" customFormat="1" ht="12" customHeight="1" outlineLevel="1" thickBot="1" x14ac:dyDescent="0.3">
      <c r="A1394" s="125"/>
      <c r="B1394" s="143"/>
      <c r="C1394" s="131"/>
      <c r="D1394" s="131"/>
      <c r="E1394" s="131"/>
      <c r="F1394" s="131"/>
      <c r="G1394" s="60" t="s">
        <v>131</v>
      </c>
      <c r="H1394" s="134"/>
      <c r="I1394" s="134"/>
      <c r="J1394" s="60"/>
      <c r="K1394" s="60"/>
      <c r="L1394" s="60"/>
      <c r="M1394" s="60"/>
      <c r="N1394" s="60">
        <f t="shared" si="425"/>
        <v>0</v>
      </c>
      <c r="O1394" s="60">
        <f t="shared" si="426"/>
        <v>0</v>
      </c>
    </row>
    <row r="1395" spans="1:15" s="38" customFormat="1" ht="14.45" customHeight="1" outlineLevel="1" x14ac:dyDescent="0.25">
      <c r="A1395" s="140" t="s">
        <v>898</v>
      </c>
      <c r="B1395" s="141" t="s">
        <v>899</v>
      </c>
      <c r="C1395" s="130">
        <f>SUM(N1395:N1401)</f>
        <v>0</v>
      </c>
      <c r="D1395" s="130">
        <f>SUM(O1395:O1401)</f>
        <v>0</v>
      </c>
      <c r="E1395" s="130">
        <f t="shared" si="418"/>
        <v>0</v>
      </c>
      <c r="F1395" s="130"/>
      <c r="G1395" s="60" t="s">
        <v>125</v>
      </c>
      <c r="H1395" s="123"/>
      <c r="I1395" s="123"/>
      <c r="J1395" s="60"/>
      <c r="K1395" s="60"/>
      <c r="L1395" s="60"/>
      <c r="M1395" s="60"/>
      <c r="N1395" s="60">
        <f>M1395*J1395*K1395*L1395</f>
        <v>0</v>
      </c>
      <c r="O1395" s="60">
        <f>J1395*K1395*L1395</f>
        <v>0</v>
      </c>
    </row>
    <row r="1396" spans="1:15" s="38" customFormat="1" ht="11.45" customHeight="1" outlineLevel="1" x14ac:dyDescent="0.25">
      <c r="A1396" s="124"/>
      <c r="B1396" s="142"/>
      <c r="C1396" s="115"/>
      <c r="D1396" s="115"/>
      <c r="E1396" s="115"/>
      <c r="F1396" s="115"/>
      <c r="G1396" s="60" t="s">
        <v>126</v>
      </c>
      <c r="H1396" s="124"/>
      <c r="I1396" s="124"/>
      <c r="J1396" s="60"/>
      <c r="K1396" s="60"/>
      <c r="L1396" s="60"/>
      <c r="M1396" s="60"/>
      <c r="N1396" s="60">
        <f t="shared" ref="N1396:N1401" si="427">M1396*J1396*K1396*L1396</f>
        <v>0</v>
      </c>
      <c r="O1396" s="60">
        <f t="shared" ref="O1396:O1401" si="428">J1396*K1396*L1396</f>
        <v>0</v>
      </c>
    </row>
    <row r="1397" spans="1:15" s="38" customFormat="1" ht="10.7" customHeight="1" outlineLevel="1" x14ac:dyDescent="0.25">
      <c r="A1397" s="124"/>
      <c r="B1397" s="142"/>
      <c r="C1397" s="115"/>
      <c r="D1397" s="115"/>
      <c r="E1397" s="115"/>
      <c r="F1397" s="115"/>
      <c r="G1397" s="60" t="s">
        <v>127</v>
      </c>
      <c r="H1397" s="124"/>
      <c r="I1397" s="124"/>
      <c r="J1397" s="60"/>
      <c r="K1397" s="60"/>
      <c r="L1397" s="60"/>
      <c r="M1397" s="60"/>
      <c r="N1397" s="60">
        <f t="shared" si="427"/>
        <v>0</v>
      </c>
      <c r="O1397" s="60">
        <f t="shared" si="428"/>
        <v>0</v>
      </c>
    </row>
    <row r="1398" spans="1:15" s="38" customFormat="1" ht="10.7" customHeight="1" outlineLevel="1" x14ac:dyDescent="0.25">
      <c r="A1398" s="124"/>
      <c r="B1398" s="142"/>
      <c r="C1398" s="115"/>
      <c r="D1398" s="115"/>
      <c r="E1398" s="115"/>
      <c r="F1398" s="115"/>
      <c r="G1398" s="60" t="s">
        <v>128</v>
      </c>
      <c r="H1398" s="124"/>
      <c r="I1398" s="124"/>
      <c r="J1398" s="60"/>
      <c r="K1398" s="60"/>
      <c r="L1398" s="60"/>
      <c r="M1398" s="60"/>
      <c r="N1398" s="60">
        <f t="shared" si="427"/>
        <v>0</v>
      </c>
      <c r="O1398" s="60">
        <f t="shared" si="428"/>
        <v>0</v>
      </c>
    </row>
    <row r="1399" spans="1:15" s="38" customFormat="1" ht="10.7" customHeight="1" outlineLevel="1" x14ac:dyDescent="0.25">
      <c r="A1399" s="124"/>
      <c r="B1399" s="142"/>
      <c r="C1399" s="115"/>
      <c r="D1399" s="115"/>
      <c r="E1399" s="115"/>
      <c r="F1399" s="115"/>
      <c r="G1399" s="60" t="s">
        <v>129</v>
      </c>
      <c r="H1399" s="124"/>
      <c r="I1399" s="124"/>
      <c r="J1399" s="60"/>
      <c r="K1399" s="60"/>
      <c r="L1399" s="60"/>
      <c r="M1399" s="60"/>
      <c r="N1399" s="60">
        <f t="shared" si="427"/>
        <v>0</v>
      </c>
      <c r="O1399" s="60">
        <f t="shared" si="428"/>
        <v>0</v>
      </c>
    </row>
    <row r="1400" spans="1:15" s="38" customFormat="1" ht="10.7" customHeight="1" outlineLevel="1" x14ac:dyDescent="0.25">
      <c r="A1400" s="124"/>
      <c r="B1400" s="142"/>
      <c r="C1400" s="115"/>
      <c r="D1400" s="115"/>
      <c r="E1400" s="115"/>
      <c r="F1400" s="115"/>
      <c r="G1400" s="60" t="s">
        <v>130</v>
      </c>
      <c r="H1400" s="124"/>
      <c r="I1400" s="124"/>
      <c r="J1400" s="60"/>
      <c r="K1400" s="60"/>
      <c r="L1400" s="60"/>
      <c r="M1400" s="60"/>
      <c r="N1400" s="60">
        <f t="shared" si="427"/>
        <v>0</v>
      </c>
      <c r="O1400" s="60">
        <f t="shared" si="428"/>
        <v>0</v>
      </c>
    </row>
    <row r="1401" spans="1:15" s="38" customFormat="1" ht="12" customHeight="1" outlineLevel="1" thickBot="1" x14ac:dyDescent="0.3">
      <c r="A1401" s="125"/>
      <c r="B1401" s="143"/>
      <c r="C1401" s="131"/>
      <c r="D1401" s="131"/>
      <c r="E1401" s="131"/>
      <c r="F1401" s="131"/>
      <c r="G1401" s="60" t="s">
        <v>131</v>
      </c>
      <c r="H1401" s="134"/>
      <c r="I1401" s="134"/>
      <c r="J1401" s="60"/>
      <c r="K1401" s="60"/>
      <c r="L1401" s="60"/>
      <c r="M1401" s="60"/>
      <c r="N1401" s="60">
        <f t="shared" si="427"/>
        <v>0</v>
      </c>
      <c r="O1401" s="60">
        <f t="shared" si="428"/>
        <v>0</v>
      </c>
    </row>
    <row r="1402" spans="1:15" s="38" customFormat="1" ht="14.45" customHeight="1" outlineLevel="1" x14ac:dyDescent="0.25">
      <c r="A1402" s="140" t="s">
        <v>900</v>
      </c>
      <c r="B1402" s="141" t="s">
        <v>901</v>
      </c>
      <c r="C1402" s="130">
        <f>SUM(N1402:N1408)</f>
        <v>0</v>
      </c>
      <c r="D1402" s="130">
        <f>SUM(O1402:O1408)</f>
        <v>0</v>
      </c>
      <c r="E1402" s="130">
        <f t="shared" si="418"/>
        <v>0</v>
      </c>
      <c r="F1402" s="130"/>
      <c r="G1402" s="60" t="s">
        <v>125</v>
      </c>
      <c r="H1402" s="123"/>
      <c r="I1402" s="123"/>
      <c r="J1402" s="60"/>
      <c r="K1402" s="60"/>
      <c r="L1402" s="60"/>
      <c r="M1402" s="60"/>
      <c r="N1402" s="60">
        <f>M1402*J1402*K1402*L1402</f>
        <v>0</v>
      </c>
      <c r="O1402" s="60">
        <f>J1402*K1402*L1402</f>
        <v>0</v>
      </c>
    </row>
    <row r="1403" spans="1:15" s="38" customFormat="1" ht="11.45" customHeight="1" outlineLevel="1" x14ac:dyDescent="0.25">
      <c r="A1403" s="124"/>
      <c r="B1403" s="142"/>
      <c r="C1403" s="115"/>
      <c r="D1403" s="115"/>
      <c r="E1403" s="115"/>
      <c r="F1403" s="115"/>
      <c r="G1403" s="60" t="s">
        <v>126</v>
      </c>
      <c r="H1403" s="124"/>
      <c r="I1403" s="124"/>
      <c r="J1403" s="60"/>
      <c r="K1403" s="60"/>
      <c r="L1403" s="60"/>
      <c r="M1403" s="60"/>
      <c r="N1403" s="60">
        <f t="shared" ref="N1403:N1408" si="429">M1403*J1403*K1403*L1403</f>
        <v>0</v>
      </c>
      <c r="O1403" s="60">
        <f t="shared" ref="O1403:O1408" si="430">J1403*K1403*L1403</f>
        <v>0</v>
      </c>
    </row>
    <row r="1404" spans="1:15" s="38" customFormat="1" ht="10.7" customHeight="1" outlineLevel="1" x14ac:dyDescent="0.25">
      <c r="A1404" s="124"/>
      <c r="B1404" s="142"/>
      <c r="C1404" s="115"/>
      <c r="D1404" s="115"/>
      <c r="E1404" s="115"/>
      <c r="F1404" s="115"/>
      <c r="G1404" s="60" t="s">
        <v>127</v>
      </c>
      <c r="H1404" s="124"/>
      <c r="I1404" s="124"/>
      <c r="J1404" s="60"/>
      <c r="K1404" s="60"/>
      <c r="L1404" s="60"/>
      <c r="M1404" s="60"/>
      <c r="N1404" s="60">
        <f t="shared" si="429"/>
        <v>0</v>
      </c>
      <c r="O1404" s="60">
        <f t="shared" si="430"/>
        <v>0</v>
      </c>
    </row>
    <row r="1405" spans="1:15" s="38" customFormat="1" ht="10.7" customHeight="1" outlineLevel="1" x14ac:dyDescent="0.25">
      <c r="A1405" s="124"/>
      <c r="B1405" s="142"/>
      <c r="C1405" s="115"/>
      <c r="D1405" s="115"/>
      <c r="E1405" s="115"/>
      <c r="F1405" s="115"/>
      <c r="G1405" s="60" t="s">
        <v>128</v>
      </c>
      <c r="H1405" s="124"/>
      <c r="I1405" s="124"/>
      <c r="J1405" s="60"/>
      <c r="K1405" s="60"/>
      <c r="L1405" s="60"/>
      <c r="M1405" s="60"/>
      <c r="N1405" s="60">
        <f t="shared" si="429"/>
        <v>0</v>
      </c>
      <c r="O1405" s="60">
        <f t="shared" si="430"/>
        <v>0</v>
      </c>
    </row>
    <row r="1406" spans="1:15" s="38" customFormat="1" ht="10.7" customHeight="1" outlineLevel="1" x14ac:dyDescent="0.25">
      <c r="A1406" s="124"/>
      <c r="B1406" s="142"/>
      <c r="C1406" s="115"/>
      <c r="D1406" s="115"/>
      <c r="E1406" s="115"/>
      <c r="F1406" s="115"/>
      <c r="G1406" s="60" t="s">
        <v>129</v>
      </c>
      <c r="H1406" s="124"/>
      <c r="I1406" s="124"/>
      <c r="J1406" s="60"/>
      <c r="K1406" s="60"/>
      <c r="L1406" s="60"/>
      <c r="M1406" s="60"/>
      <c r="N1406" s="60">
        <f t="shared" si="429"/>
        <v>0</v>
      </c>
      <c r="O1406" s="60">
        <f t="shared" si="430"/>
        <v>0</v>
      </c>
    </row>
    <row r="1407" spans="1:15" s="38" customFormat="1" ht="10.7" customHeight="1" outlineLevel="1" x14ac:dyDescent="0.25">
      <c r="A1407" s="124"/>
      <c r="B1407" s="142"/>
      <c r="C1407" s="115"/>
      <c r="D1407" s="115"/>
      <c r="E1407" s="115"/>
      <c r="F1407" s="115"/>
      <c r="G1407" s="60" t="s">
        <v>130</v>
      </c>
      <c r="H1407" s="124"/>
      <c r="I1407" s="124"/>
      <c r="J1407" s="60"/>
      <c r="K1407" s="60"/>
      <c r="L1407" s="60"/>
      <c r="M1407" s="60"/>
      <c r="N1407" s="60">
        <f t="shared" si="429"/>
        <v>0</v>
      </c>
      <c r="O1407" s="60">
        <f t="shared" si="430"/>
        <v>0</v>
      </c>
    </row>
    <row r="1408" spans="1:15" s="38" customFormat="1" ht="12" customHeight="1" outlineLevel="1" thickBot="1" x14ac:dyDescent="0.3">
      <c r="A1408" s="125"/>
      <c r="B1408" s="143"/>
      <c r="C1408" s="131"/>
      <c r="D1408" s="131"/>
      <c r="E1408" s="131"/>
      <c r="F1408" s="131"/>
      <c r="G1408" s="60" t="s">
        <v>131</v>
      </c>
      <c r="H1408" s="134"/>
      <c r="I1408" s="134"/>
      <c r="J1408" s="60"/>
      <c r="K1408" s="60"/>
      <c r="L1408" s="60"/>
      <c r="M1408" s="60"/>
      <c r="N1408" s="60">
        <f t="shared" si="429"/>
        <v>0</v>
      </c>
      <c r="O1408" s="60">
        <f t="shared" si="430"/>
        <v>0</v>
      </c>
    </row>
    <row r="1409" spans="1:15" s="39" customFormat="1" ht="15.75" x14ac:dyDescent="0.25">
      <c r="A1409" s="40" t="s">
        <v>325</v>
      </c>
      <c r="B1409" s="41" t="s">
        <v>902</v>
      </c>
      <c r="C1409" s="42">
        <f>SUM(C1410)</f>
        <v>0</v>
      </c>
      <c r="D1409" s="42">
        <f>SUM(D1410)</f>
        <v>0</v>
      </c>
      <c r="E1409" s="42">
        <f>SUM(E1410)</f>
        <v>0</v>
      </c>
      <c r="F1409" s="42"/>
      <c r="G1409" s="42"/>
      <c r="H1409" s="42"/>
      <c r="I1409" s="42"/>
      <c r="J1409" s="42"/>
      <c r="K1409" s="42"/>
      <c r="L1409" s="42"/>
      <c r="M1409" s="42"/>
      <c r="N1409" s="42"/>
      <c r="O1409" s="47"/>
    </row>
    <row r="1410" spans="1:15" s="38" customFormat="1" ht="14.45" customHeight="1" outlineLevel="1" x14ac:dyDescent="0.25">
      <c r="A1410" s="140" t="s">
        <v>327</v>
      </c>
      <c r="B1410" s="141" t="s">
        <v>903</v>
      </c>
      <c r="C1410" s="130">
        <f>SUM(N1410:N1416)</f>
        <v>0</v>
      </c>
      <c r="D1410" s="130">
        <f>SUM(O1410:O1416)</f>
        <v>0</v>
      </c>
      <c r="E1410" s="130">
        <f t="shared" ref="E1410:E1417" si="431">D1410/8</f>
        <v>0</v>
      </c>
      <c r="F1410" s="130"/>
      <c r="G1410" s="60" t="s">
        <v>125</v>
      </c>
      <c r="H1410" s="123"/>
      <c r="I1410" s="123"/>
      <c r="J1410" s="60"/>
      <c r="K1410" s="60"/>
      <c r="L1410" s="60"/>
      <c r="M1410" s="60"/>
      <c r="N1410" s="60">
        <f>M1410*J1410*K1410*L1410</f>
        <v>0</v>
      </c>
      <c r="O1410" s="60">
        <f>J1410*K1410*L1410</f>
        <v>0</v>
      </c>
    </row>
    <row r="1411" spans="1:15" s="38" customFormat="1" ht="11.45" customHeight="1" outlineLevel="1" x14ac:dyDescent="0.25">
      <c r="A1411" s="124"/>
      <c r="B1411" s="142"/>
      <c r="C1411" s="115"/>
      <c r="D1411" s="115"/>
      <c r="E1411" s="115"/>
      <c r="F1411" s="115"/>
      <c r="G1411" s="60" t="s">
        <v>126</v>
      </c>
      <c r="H1411" s="124"/>
      <c r="I1411" s="124"/>
      <c r="J1411" s="60"/>
      <c r="K1411" s="60"/>
      <c r="L1411" s="60"/>
      <c r="M1411" s="60"/>
      <c r="N1411" s="60">
        <f t="shared" ref="N1411:N1416" si="432">M1411*J1411*K1411*L1411</f>
        <v>0</v>
      </c>
      <c r="O1411" s="60">
        <f t="shared" ref="O1411:O1416" si="433">J1411*K1411*L1411</f>
        <v>0</v>
      </c>
    </row>
    <row r="1412" spans="1:15" s="38" customFormat="1" ht="10.7" customHeight="1" outlineLevel="1" x14ac:dyDescent="0.25">
      <c r="A1412" s="124"/>
      <c r="B1412" s="142"/>
      <c r="C1412" s="115"/>
      <c r="D1412" s="115"/>
      <c r="E1412" s="115"/>
      <c r="F1412" s="115"/>
      <c r="G1412" s="60" t="s">
        <v>127</v>
      </c>
      <c r="H1412" s="124"/>
      <c r="I1412" s="124"/>
      <c r="J1412" s="60"/>
      <c r="K1412" s="60"/>
      <c r="L1412" s="60"/>
      <c r="M1412" s="60"/>
      <c r="N1412" s="60">
        <f t="shared" si="432"/>
        <v>0</v>
      </c>
      <c r="O1412" s="60">
        <f t="shared" si="433"/>
        <v>0</v>
      </c>
    </row>
    <row r="1413" spans="1:15" s="38" customFormat="1" ht="10.7" customHeight="1" outlineLevel="1" x14ac:dyDescent="0.25">
      <c r="A1413" s="124"/>
      <c r="B1413" s="142"/>
      <c r="C1413" s="115"/>
      <c r="D1413" s="115"/>
      <c r="E1413" s="115"/>
      <c r="F1413" s="115"/>
      <c r="G1413" s="60" t="s">
        <v>128</v>
      </c>
      <c r="H1413" s="124"/>
      <c r="I1413" s="124"/>
      <c r="J1413" s="60"/>
      <c r="K1413" s="60"/>
      <c r="L1413" s="60"/>
      <c r="M1413" s="60"/>
      <c r="N1413" s="60">
        <f t="shared" si="432"/>
        <v>0</v>
      </c>
      <c r="O1413" s="60">
        <f t="shared" si="433"/>
        <v>0</v>
      </c>
    </row>
    <row r="1414" spans="1:15" s="38" customFormat="1" ht="10.7" customHeight="1" outlineLevel="1" x14ac:dyDescent="0.25">
      <c r="A1414" s="124"/>
      <c r="B1414" s="142"/>
      <c r="C1414" s="115"/>
      <c r="D1414" s="115"/>
      <c r="E1414" s="115"/>
      <c r="F1414" s="115"/>
      <c r="G1414" s="60" t="s">
        <v>129</v>
      </c>
      <c r="H1414" s="124"/>
      <c r="I1414" s="124"/>
      <c r="J1414" s="60"/>
      <c r="K1414" s="60"/>
      <c r="L1414" s="60"/>
      <c r="M1414" s="60"/>
      <c r="N1414" s="60">
        <f t="shared" si="432"/>
        <v>0</v>
      </c>
      <c r="O1414" s="60">
        <f t="shared" si="433"/>
        <v>0</v>
      </c>
    </row>
    <row r="1415" spans="1:15" s="38" customFormat="1" ht="10.7" customHeight="1" outlineLevel="1" x14ac:dyDescent="0.25">
      <c r="A1415" s="124"/>
      <c r="B1415" s="142"/>
      <c r="C1415" s="115"/>
      <c r="D1415" s="115"/>
      <c r="E1415" s="115"/>
      <c r="F1415" s="115"/>
      <c r="G1415" s="60" t="s">
        <v>130</v>
      </c>
      <c r="H1415" s="124"/>
      <c r="I1415" s="124"/>
      <c r="J1415" s="60"/>
      <c r="K1415" s="60"/>
      <c r="L1415" s="60"/>
      <c r="M1415" s="60"/>
      <c r="N1415" s="60">
        <f t="shared" si="432"/>
        <v>0</v>
      </c>
      <c r="O1415" s="60">
        <f t="shared" si="433"/>
        <v>0</v>
      </c>
    </row>
    <row r="1416" spans="1:15" s="38" customFormat="1" ht="12" customHeight="1" outlineLevel="1" thickBot="1" x14ac:dyDescent="0.3">
      <c r="A1416" s="125"/>
      <c r="B1416" s="143"/>
      <c r="C1416" s="131"/>
      <c r="D1416" s="131"/>
      <c r="E1416" s="131"/>
      <c r="F1416" s="131"/>
      <c r="G1416" s="60" t="s">
        <v>131</v>
      </c>
      <c r="H1416" s="134"/>
      <c r="I1416" s="134"/>
      <c r="J1416" s="60"/>
      <c r="K1416" s="60"/>
      <c r="L1416" s="60"/>
      <c r="M1416" s="60"/>
      <c r="N1416" s="60">
        <f t="shared" si="432"/>
        <v>0</v>
      </c>
      <c r="O1416" s="60">
        <f t="shared" si="433"/>
        <v>0</v>
      </c>
    </row>
    <row r="1417" spans="1:15" s="38" customFormat="1" ht="14.45" customHeight="1" outlineLevel="1" x14ac:dyDescent="0.25">
      <c r="A1417" s="140" t="s">
        <v>904</v>
      </c>
      <c r="B1417" s="141" t="s">
        <v>905</v>
      </c>
      <c r="C1417" s="130">
        <f>SUM(N1417:N1423)</f>
        <v>0</v>
      </c>
      <c r="D1417" s="130">
        <f>SUM(O1417:O1423)</f>
        <v>0</v>
      </c>
      <c r="E1417" s="130">
        <f t="shared" si="431"/>
        <v>0</v>
      </c>
      <c r="F1417" s="130"/>
      <c r="G1417" s="60" t="s">
        <v>125</v>
      </c>
      <c r="H1417" s="123"/>
      <c r="I1417" s="123"/>
      <c r="J1417" s="60"/>
      <c r="K1417" s="60"/>
      <c r="L1417" s="60"/>
      <c r="M1417" s="60"/>
      <c r="N1417" s="60">
        <f>M1417*J1417*K1417*L1417</f>
        <v>0</v>
      </c>
      <c r="O1417" s="60">
        <f>J1417*K1417*L1417</f>
        <v>0</v>
      </c>
    </row>
    <row r="1418" spans="1:15" s="38" customFormat="1" ht="11.45" customHeight="1" outlineLevel="1" x14ac:dyDescent="0.25">
      <c r="A1418" s="124"/>
      <c r="B1418" s="142"/>
      <c r="C1418" s="115"/>
      <c r="D1418" s="115"/>
      <c r="E1418" s="115"/>
      <c r="F1418" s="115"/>
      <c r="G1418" s="60" t="s">
        <v>126</v>
      </c>
      <c r="H1418" s="124"/>
      <c r="I1418" s="124"/>
      <c r="J1418" s="60"/>
      <c r="K1418" s="60"/>
      <c r="L1418" s="60"/>
      <c r="M1418" s="60"/>
      <c r="N1418" s="60">
        <f t="shared" ref="N1418:N1423" si="434">M1418*J1418*K1418*L1418</f>
        <v>0</v>
      </c>
      <c r="O1418" s="60">
        <f t="shared" ref="O1418:O1423" si="435">J1418*K1418*L1418</f>
        <v>0</v>
      </c>
    </row>
    <row r="1419" spans="1:15" s="38" customFormat="1" ht="10.7" customHeight="1" outlineLevel="1" x14ac:dyDescent="0.25">
      <c r="A1419" s="124"/>
      <c r="B1419" s="142"/>
      <c r="C1419" s="115"/>
      <c r="D1419" s="115"/>
      <c r="E1419" s="115"/>
      <c r="F1419" s="115"/>
      <c r="G1419" s="60" t="s">
        <v>127</v>
      </c>
      <c r="H1419" s="124"/>
      <c r="I1419" s="124"/>
      <c r="J1419" s="60"/>
      <c r="K1419" s="60"/>
      <c r="L1419" s="60"/>
      <c r="M1419" s="60"/>
      <c r="N1419" s="60">
        <f t="shared" si="434"/>
        <v>0</v>
      </c>
      <c r="O1419" s="60">
        <f t="shared" si="435"/>
        <v>0</v>
      </c>
    </row>
    <row r="1420" spans="1:15" s="38" customFormat="1" ht="10.7" customHeight="1" outlineLevel="1" x14ac:dyDescent="0.25">
      <c r="A1420" s="124"/>
      <c r="B1420" s="142"/>
      <c r="C1420" s="115"/>
      <c r="D1420" s="115"/>
      <c r="E1420" s="115"/>
      <c r="F1420" s="115"/>
      <c r="G1420" s="60" t="s">
        <v>128</v>
      </c>
      <c r="H1420" s="124"/>
      <c r="I1420" s="124"/>
      <c r="J1420" s="60"/>
      <c r="K1420" s="60"/>
      <c r="L1420" s="60"/>
      <c r="M1420" s="60"/>
      <c r="N1420" s="60">
        <f t="shared" si="434"/>
        <v>0</v>
      </c>
      <c r="O1420" s="60">
        <f t="shared" si="435"/>
        <v>0</v>
      </c>
    </row>
    <row r="1421" spans="1:15" s="38" customFormat="1" ht="10.7" customHeight="1" outlineLevel="1" x14ac:dyDescent="0.25">
      <c r="A1421" s="124"/>
      <c r="B1421" s="142"/>
      <c r="C1421" s="115"/>
      <c r="D1421" s="115"/>
      <c r="E1421" s="115"/>
      <c r="F1421" s="115"/>
      <c r="G1421" s="60" t="s">
        <v>129</v>
      </c>
      <c r="H1421" s="124"/>
      <c r="I1421" s="124"/>
      <c r="J1421" s="60"/>
      <c r="K1421" s="60"/>
      <c r="L1421" s="60"/>
      <c r="M1421" s="60"/>
      <c r="N1421" s="60">
        <f t="shared" si="434"/>
        <v>0</v>
      </c>
      <c r="O1421" s="60">
        <f t="shared" si="435"/>
        <v>0</v>
      </c>
    </row>
    <row r="1422" spans="1:15" s="38" customFormat="1" ht="10.7" customHeight="1" outlineLevel="1" x14ac:dyDescent="0.25">
      <c r="A1422" s="124"/>
      <c r="B1422" s="142"/>
      <c r="C1422" s="115"/>
      <c r="D1422" s="115"/>
      <c r="E1422" s="115"/>
      <c r="F1422" s="115"/>
      <c r="G1422" s="60" t="s">
        <v>130</v>
      </c>
      <c r="H1422" s="124"/>
      <c r="I1422" s="124"/>
      <c r="J1422" s="60"/>
      <c r="K1422" s="60"/>
      <c r="L1422" s="60"/>
      <c r="M1422" s="60"/>
      <c r="N1422" s="60">
        <f t="shared" si="434"/>
        <v>0</v>
      </c>
      <c r="O1422" s="60">
        <f t="shared" si="435"/>
        <v>0</v>
      </c>
    </row>
    <row r="1423" spans="1:15" s="38" customFormat="1" ht="12" customHeight="1" outlineLevel="1" thickBot="1" x14ac:dyDescent="0.3">
      <c r="A1423" s="125"/>
      <c r="B1423" s="143"/>
      <c r="C1423" s="131"/>
      <c r="D1423" s="131"/>
      <c r="E1423" s="131"/>
      <c r="F1423" s="131"/>
      <c r="G1423" s="60" t="s">
        <v>131</v>
      </c>
      <c r="H1423" s="134"/>
      <c r="I1423" s="134"/>
      <c r="J1423" s="60"/>
      <c r="K1423" s="60"/>
      <c r="L1423" s="60"/>
      <c r="M1423" s="60"/>
      <c r="N1423" s="60">
        <f t="shared" si="434"/>
        <v>0</v>
      </c>
      <c r="O1423" s="60">
        <f t="shared" si="435"/>
        <v>0</v>
      </c>
    </row>
    <row r="1424" spans="1:15" s="39" customFormat="1" ht="15.75" x14ac:dyDescent="0.25">
      <c r="A1424" s="40" t="s">
        <v>329</v>
      </c>
      <c r="B1424" s="41" t="s">
        <v>906</v>
      </c>
      <c r="C1424" s="42">
        <f>SUM(C1453:C1466)</f>
        <v>0</v>
      </c>
      <c r="D1424" s="42">
        <f>SUM(D1453:D1466)</f>
        <v>0</v>
      </c>
      <c r="E1424" s="42">
        <f>SUM(E1453:E1466)</f>
        <v>0</v>
      </c>
      <c r="F1424" s="42"/>
      <c r="G1424" s="42"/>
      <c r="H1424" s="42"/>
      <c r="I1424" s="42"/>
      <c r="J1424" s="42"/>
      <c r="K1424" s="42"/>
      <c r="L1424" s="42"/>
      <c r="M1424" s="42"/>
      <c r="N1424" s="42"/>
      <c r="O1424" s="47"/>
    </row>
    <row r="1425" spans="1:15" s="38" customFormat="1" ht="14.45" customHeight="1" outlineLevel="1" x14ac:dyDescent="0.25">
      <c r="A1425" s="140" t="s">
        <v>331</v>
      </c>
      <c r="B1425" s="141" t="s">
        <v>907</v>
      </c>
      <c r="C1425" s="130">
        <f>SUM(N1425:N1431)</f>
        <v>0</v>
      </c>
      <c r="D1425" s="130">
        <f>SUM(O1425:O1431)</f>
        <v>0</v>
      </c>
      <c r="E1425" s="130">
        <f t="shared" ref="E1425:E1467" si="436">D1425/8</f>
        <v>0</v>
      </c>
      <c r="F1425" s="130"/>
      <c r="G1425" s="60" t="s">
        <v>125</v>
      </c>
      <c r="H1425" s="123"/>
      <c r="I1425" s="123"/>
      <c r="J1425" s="60"/>
      <c r="K1425" s="60"/>
      <c r="L1425" s="60"/>
      <c r="M1425" s="60"/>
      <c r="N1425" s="60">
        <f>M1425*J1425*K1425*L1425</f>
        <v>0</v>
      </c>
      <c r="O1425" s="60">
        <f>J1425*K1425*L1425</f>
        <v>0</v>
      </c>
    </row>
    <row r="1426" spans="1:15" s="38" customFormat="1" ht="11.45" customHeight="1" outlineLevel="1" x14ac:dyDescent="0.25">
      <c r="A1426" s="124"/>
      <c r="B1426" s="142"/>
      <c r="C1426" s="115"/>
      <c r="D1426" s="115"/>
      <c r="E1426" s="115"/>
      <c r="F1426" s="115"/>
      <c r="G1426" s="60" t="s">
        <v>126</v>
      </c>
      <c r="H1426" s="124"/>
      <c r="I1426" s="124"/>
      <c r="J1426" s="60"/>
      <c r="K1426" s="60"/>
      <c r="L1426" s="60"/>
      <c r="M1426" s="60"/>
      <c r="N1426" s="60">
        <f t="shared" ref="N1426:N1431" si="437">M1426*J1426*K1426*L1426</f>
        <v>0</v>
      </c>
      <c r="O1426" s="60">
        <f t="shared" ref="O1426:O1431" si="438">J1426*K1426*L1426</f>
        <v>0</v>
      </c>
    </row>
    <row r="1427" spans="1:15" s="38" customFormat="1" ht="10.7" customHeight="1" outlineLevel="1" x14ac:dyDescent="0.25">
      <c r="A1427" s="124"/>
      <c r="B1427" s="142"/>
      <c r="C1427" s="115"/>
      <c r="D1427" s="115"/>
      <c r="E1427" s="115"/>
      <c r="F1427" s="115"/>
      <c r="G1427" s="60" t="s">
        <v>127</v>
      </c>
      <c r="H1427" s="124"/>
      <c r="I1427" s="124"/>
      <c r="J1427" s="60"/>
      <c r="K1427" s="60"/>
      <c r="L1427" s="60"/>
      <c r="M1427" s="60"/>
      <c r="N1427" s="60">
        <f t="shared" si="437"/>
        <v>0</v>
      </c>
      <c r="O1427" s="60">
        <f t="shared" si="438"/>
        <v>0</v>
      </c>
    </row>
    <row r="1428" spans="1:15" s="38" customFormat="1" ht="10.7" customHeight="1" outlineLevel="1" x14ac:dyDescent="0.25">
      <c r="A1428" s="124"/>
      <c r="B1428" s="142"/>
      <c r="C1428" s="115"/>
      <c r="D1428" s="115"/>
      <c r="E1428" s="115"/>
      <c r="F1428" s="115"/>
      <c r="G1428" s="60" t="s">
        <v>128</v>
      </c>
      <c r="H1428" s="124"/>
      <c r="I1428" s="124"/>
      <c r="J1428" s="60"/>
      <c r="K1428" s="60"/>
      <c r="L1428" s="60"/>
      <c r="M1428" s="60"/>
      <c r="N1428" s="60">
        <f t="shared" si="437"/>
        <v>0</v>
      </c>
      <c r="O1428" s="60">
        <f t="shared" si="438"/>
        <v>0</v>
      </c>
    </row>
    <row r="1429" spans="1:15" s="38" customFormat="1" ht="10.7" customHeight="1" outlineLevel="1" x14ac:dyDescent="0.25">
      <c r="A1429" s="124"/>
      <c r="B1429" s="142"/>
      <c r="C1429" s="115"/>
      <c r="D1429" s="115"/>
      <c r="E1429" s="115"/>
      <c r="F1429" s="115"/>
      <c r="G1429" s="60" t="s">
        <v>129</v>
      </c>
      <c r="H1429" s="124"/>
      <c r="I1429" s="124"/>
      <c r="J1429" s="60"/>
      <c r="K1429" s="60"/>
      <c r="L1429" s="60"/>
      <c r="M1429" s="60"/>
      <c r="N1429" s="60">
        <f t="shared" si="437"/>
        <v>0</v>
      </c>
      <c r="O1429" s="60">
        <f t="shared" si="438"/>
        <v>0</v>
      </c>
    </row>
    <row r="1430" spans="1:15" s="38" customFormat="1" ht="10.7" customHeight="1" outlineLevel="1" x14ac:dyDescent="0.25">
      <c r="A1430" s="124"/>
      <c r="B1430" s="142"/>
      <c r="C1430" s="115"/>
      <c r="D1430" s="115"/>
      <c r="E1430" s="115"/>
      <c r="F1430" s="115"/>
      <c r="G1430" s="60" t="s">
        <v>130</v>
      </c>
      <c r="H1430" s="124"/>
      <c r="I1430" s="124"/>
      <c r="J1430" s="60"/>
      <c r="K1430" s="60"/>
      <c r="L1430" s="60"/>
      <c r="M1430" s="60"/>
      <c r="N1430" s="60">
        <f t="shared" si="437"/>
        <v>0</v>
      </c>
      <c r="O1430" s="60">
        <f t="shared" si="438"/>
        <v>0</v>
      </c>
    </row>
    <row r="1431" spans="1:15" s="38" customFormat="1" ht="12" customHeight="1" outlineLevel="1" thickBot="1" x14ac:dyDescent="0.3">
      <c r="A1431" s="125"/>
      <c r="B1431" s="143"/>
      <c r="C1431" s="131"/>
      <c r="D1431" s="131"/>
      <c r="E1431" s="131"/>
      <c r="F1431" s="131"/>
      <c r="G1431" s="60" t="s">
        <v>131</v>
      </c>
      <c r="H1431" s="134"/>
      <c r="I1431" s="134"/>
      <c r="J1431" s="60"/>
      <c r="K1431" s="60"/>
      <c r="L1431" s="60"/>
      <c r="M1431" s="60"/>
      <c r="N1431" s="60">
        <f t="shared" si="437"/>
        <v>0</v>
      </c>
      <c r="O1431" s="60">
        <f t="shared" si="438"/>
        <v>0</v>
      </c>
    </row>
    <row r="1432" spans="1:15" s="38" customFormat="1" ht="14.45" customHeight="1" outlineLevel="1" x14ac:dyDescent="0.25">
      <c r="A1432" s="140" t="s">
        <v>333</v>
      </c>
      <c r="B1432" s="141" t="s">
        <v>908</v>
      </c>
      <c r="C1432" s="130">
        <f>SUM(N1432:N1438)</f>
        <v>0</v>
      </c>
      <c r="D1432" s="130">
        <f>SUM(O1432:O1438)</f>
        <v>0</v>
      </c>
      <c r="E1432" s="130">
        <f t="shared" si="436"/>
        <v>0</v>
      </c>
      <c r="F1432" s="130"/>
      <c r="G1432" s="60" t="s">
        <v>125</v>
      </c>
      <c r="H1432" s="123"/>
      <c r="I1432" s="123"/>
      <c r="J1432" s="60"/>
      <c r="K1432" s="60"/>
      <c r="L1432" s="60"/>
      <c r="M1432" s="60"/>
      <c r="N1432" s="60">
        <f>M1432*J1432*K1432*L1432</f>
        <v>0</v>
      </c>
      <c r="O1432" s="60">
        <f>J1432*K1432*L1432</f>
        <v>0</v>
      </c>
    </row>
    <row r="1433" spans="1:15" s="38" customFormat="1" ht="11.45" customHeight="1" outlineLevel="1" x14ac:dyDescent="0.25">
      <c r="A1433" s="124"/>
      <c r="B1433" s="142"/>
      <c r="C1433" s="115"/>
      <c r="D1433" s="115"/>
      <c r="E1433" s="115"/>
      <c r="F1433" s="115"/>
      <c r="G1433" s="60" t="s">
        <v>126</v>
      </c>
      <c r="H1433" s="124"/>
      <c r="I1433" s="124"/>
      <c r="J1433" s="60"/>
      <c r="K1433" s="60"/>
      <c r="L1433" s="60"/>
      <c r="M1433" s="60"/>
      <c r="N1433" s="60">
        <f t="shared" ref="N1433:N1438" si="439">M1433*J1433*K1433*L1433</f>
        <v>0</v>
      </c>
      <c r="O1433" s="60">
        <f t="shared" ref="O1433:O1438" si="440">J1433*K1433*L1433</f>
        <v>0</v>
      </c>
    </row>
    <row r="1434" spans="1:15" s="38" customFormat="1" ht="10.7" customHeight="1" outlineLevel="1" x14ac:dyDescent="0.25">
      <c r="A1434" s="124"/>
      <c r="B1434" s="142"/>
      <c r="C1434" s="115"/>
      <c r="D1434" s="115"/>
      <c r="E1434" s="115"/>
      <c r="F1434" s="115"/>
      <c r="G1434" s="60" t="s">
        <v>127</v>
      </c>
      <c r="H1434" s="124"/>
      <c r="I1434" s="124"/>
      <c r="J1434" s="60"/>
      <c r="K1434" s="60"/>
      <c r="L1434" s="60"/>
      <c r="M1434" s="60"/>
      <c r="N1434" s="60">
        <f t="shared" si="439"/>
        <v>0</v>
      </c>
      <c r="O1434" s="60">
        <f t="shared" si="440"/>
        <v>0</v>
      </c>
    </row>
    <row r="1435" spans="1:15" s="38" customFormat="1" ht="10.7" customHeight="1" outlineLevel="1" x14ac:dyDescent="0.25">
      <c r="A1435" s="124"/>
      <c r="B1435" s="142"/>
      <c r="C1435" s="115"/>
      <c r="D1435" s="115"/>
      <c r="E1435" s="115"/>
      <c r="F1435" s="115"/>
      <c r="G1435" s="60" t="s">
        <v>128</v>
      </c>
      <c r="H1435" s="124"/>
      <c r="I1435" s="124"/>
      <c r="J1435" s="60"/>
      <c r="K1435" s="60"/>
      <c r="L1435" s="60"/>
      <c r="M1435" s="60"/>
      <c r="N1435" s="60">
        <f t="shared" si="439"/>
        <v>0</v>
      </c>
      <c r="O1435" s="60">
        <f t="shared" si="440"/>
        <v>0</v>
      </c>
    </row>
    <row r="1436" spans="1:15" s="38" customFormat="1" ht="10.7" customHeight="1" outlineLevel="1" x14ac:dyDescent="0.25">
      <c r="A1436" s="124"/>
      <c r="B1436" s="142"/>
      <c r="C1436" s="115"/>
      <c r="D1436" s="115"/>
      <c r="E1436" s="115"/>
      <c r="F1436" s="115"/>
      <c r="G1436" s="60" t="s">
        <v>129</v>
      </c>
      <c r="H1436" s="124"/>
      <c r="I1436" s="124"/>
      <c r="J1436" s="60"/>
      <c r="K1436" s="60"/>
      <c r="L1436" s="60"/>
      <c r="M1436" s="60"/>
      <c r="N1436" s="60">
        <f t="shared" si="439"/>
        <v>0</v>
      </c>
      <c r="O1436" s="60">
        <f t="shared" si="440"/>
        <v>0</v>
      </c>
    </row>
    <row r="1437" spans="1:15" s="38" customFormat="1" ht="10.7" customHeight="1" outlineLevel="1" x14ac:dyDescent="0.25">
      <c r="A1437" s="124"/>
      <c r="B1437" s="142"/>
      <c r="C1437" s="115"/>
      <c r="D1437" s="115"/>
      <c r="E1437" s="115"/>
      <c r="F1437" s="115"/>
      <c r="G1437" s="60" t="s">
        <v>130</v>
      </c>
      <c r="H1437" s="124"/>
      <c r="I1437" s="124"/>
      <c r="J1437" s="60"/>
      <c r="K1437" s="60"/>
      <c r="L1437" s="60"/>
      <c r="M1437" s="60"/>
      <c r="N1437" s="60">
        <f t="shared" si="439"/>
        <v>0</v>
      </c>
      <c r="O1437" s="60">
        <f t="shared" si="440"/>
        <v>0</v>
      </c>
    </row>
    <row r="1438" spans="1:15" s="38" customFormat="1" ht="12" customHeight="1" outlineLevel="1" thickBot="1" x14ac:dyDescent="0.3">
      <c r="A1438" s="125"/>
      <c r="B1438" s="143"/>
      <c r="C1438" s="131"/>
      <c r="D1438" s="131"/>
      <c r="E1438" s="131"/>
      <c r="F1438" s="131"/>
      <c r="G1438" s="60" t="s">
        <v>131</v>
      </c>
      <c r="H1438" s="134"/>
      <c r="I1438" s="134"/>
      <c r="J1438" s="60"/>
      <c r="K1438" s="60"/>
      <c r="L1438" s="60"/>
      <c r="M1438" s="60"/>
      <c r="N1438" s="60">
        <f t="shared" si="439"/>
        <v>0</v>
      </c>
      <c r="O1438" s="60">
        <f t="shared" si="440"/>
        <v>0</v>
      </c>
    </row>
    <row r="1439" spans="1:15" s="38" customFormat="1" ht="14.45" customHeight="1" outlineLevel="1" x14ac:dyDescent="0.25">
      <c r="A1439" s="140" t="s">
        <v>909</v>
      </c>
      <c r="B1439" s="141" t="s">
        <v>910</v>
      </c>
      <c r="C1439" s="130">
        <f>SUM(N1439:N1445)</f>
        <v>0</v>
      </c>
      <c r="D1439" s="130">
        <f>SUM(O1439:O1445)</f>
        <v>0</v>
      </c>
      <c r="E1439" s="130">
        <f t="shared" si="436"/>
        <v>0</v>
      </c>
      <c r="F1439" s="130"/>
      <c r="G1439" s="60" t="s">
        <v>125</v>
      </c>
      <c r="H1439" s="123"/>
      <c r="I1439" s="123"/>
      <c r="J1439" s="60"/>
      <c r="K1439" s="60"/>
      <c r="L1439" s="60"/>
      <c r="M1439" s="60"/>
      <c r="N1439" s="60">
        <f>M1439*J1439*K1439*L1439</f>
        <v>0</v>
      </c>
      <c r="O1439" s="60">
        <f>J1439*K1439*L1439</f>
        <v>0</v>
      </c>
    </row>
    <row r="1440" spans="1:15" s="38" customFormat="1" ht="11.45" customHeight="1" outlineLevel="1" x14ac:dyDescent="0.25">
      <c r="A1440" s="124"/>
      <c r="B1440" s="142"/>
      <c r="C1440" s="115"/>
      <c r="D1440" s="115"/>
      <c r="E1440" s="115"/>
      <c r="F1440" s="115"/>
      <c r="G1440" s="60" t="s">
        <v>126</v>
      </c>
      <c r="H1440" s="124"/>
      <c r="I1440" s="124"/>
      <c r="J1440" s="60"/>
      <c r="K1440" s="60"/>
      <c r="L1440" s="60"/>
      <c r="M1440" s="60"/>
      <c r="N1440" s="60">
        <f t="shared" ref="N1440:N1445" si="441">M1440*J1440*K1440*L1440</f>
        <v>0</v>
      </c>
      <c r="O1440" s="60">
        <f t="shared" ref="O1440:O1445" si="442">J1440*K1440*L1440</f>
        <v>0</v>
      </c>
    </row>
    <row r="1441" spans="1:15" s="38" customFormat="1" ht="10.7" customHeight="1" outlineLevel="1" x14ac:dyDescent="0.25">
      <c r="A1441" s="124"/>
      <c r="B1441" s="142"/>
      <c r="C1441" s="115"/>
      <c r="D1441" s="115"/>
      <c r="E1441" s="115"/>
      <c r="F1441" s="115"/>
      <c r="G1441" s="60" t="s">
        <v>127</v>
      </c>
      <c r="H1441" s="124"/>
      <c r="I1441" s="124"/>
      <c r="J1441" s="60"/>
      <c r="K1441" s="60"/>
      <c r="L1441" s="60"/>
      <c r="M1441" s="60"/>
      <c r="N1441" s="60">
        <f t="shared" si="441"/>
        <v>0</v>
      </c>
      <c r="O1441" s="60">
        <f t="shared" si="442"/>
        <v>0</v>
      </c>
    </row>
    <row r="1442" spans="1:15" s="38" customFormat="1" ht="10.7" customHeight="1" outlineLevel="1" x14ac:dyDescent="0.25">
      <c r="A1442" s="124"/>
      <c r="B1442" s="142"/>
      <c r="C1442" s="115"/>
      <c r="D1442" s="115"/>
      <c r="E1442" s="115"/>
      <c r="F1442" s="115"/>
      <c r="G1442" s="60" t="s">
        <v>128</v>
      </c>
      <c r="H1442" s="124"/>
      <c r="I1442" s="124"/>
      <c r="J1442" s="60"/>
      <c r="K1442" s="60"/>
      <c r="L1442" s="60"/>
      <c r="M1442" s="60"/>
      <c r="N1442" s="60">
        <f t="shared" si="441"/>
        <v>0</v>
      </c>
      <c r="O1442" s="60">
        <f t="shared" si="442"/>
        <v>0</v>
      </c>
    </row>
    <row r="1443" spans="1:15" s="38" customFormat="1" ht="10.7" customHeight="1" outlineLevel="1" x14ac:dyDescent="0.25">
      <c r="A1443" s="124"/>
      <c r="B1443" s="142"/>
      <c r="C1443" s="115"/>
      <c r="D1443" s="115"/>
      <c r="E1443" s="115"/>
      <c r="F1443" s="115"/>
      <c r="G1443" s="60" t="s">
        <v>129</v>
      </c>
      <c r="H1443" s="124"/>
      <c r="I1443" s="124"/>
      <c r="J1443" s="60"/>
      <c r="K1443" s="60"/>
      <c r="L1443" s="60"/>
      <c r="M1443" s="60"/>
      <c r="N1443" s="60">
        <f t="shared" si="441"/>
        <v>0</v>
      </c>
      <c r="O1443" s="60">
        <f t="shared" si="442"/>
        <v>0</v>
      </c>
    </row>
    <row r="1444" spans="1:15" s="38" customFormat="1" ht="10.7" customHeight="1" outlineLevel="1" x14ac:dyDescent="0.25">
      <c r="A1444" s="124"/>
      <c r="B1444" s="142"/>
      <c r="C1444" s="115"/>
      <c r="D1444" s="115"/>
      <c r="E1444" s="115"/>
      <c r="F1444" s="115"/>
      <c r="G1444" s="60" t="s">
        <v>130</v>
      </c>
      <c r="H1444" s="124"/>
      <c r="I1444" s="124"/>
      <c r="J1444" s="60"/>
      <c r="K1444" s="60"/>
      <c r="L1444" s="60"/>
      <c r="M1444" s="60"/>
      <c r="N1444" s="60">
        <f t="shared" si="441"/>
        <v>0</v>
      </c>
      <c r="O1444" s="60">
        <f t="shared" si="442"/>
        <v>0</v>
      </c>
    </row>
    <row r="1445" spans="1:15" s="38" customFormat="1" ht="12" customHeight="1" outlineLevel="1" thickBot="1" x14ac:dyDescent="0.3">
      <c r="A1445" s="125"/>
      <c r="B1445" s="143"/>
      <c r="C1445" s="131"/>
      <c r="D1445" s="131"/>
      <c r="E1445" s="131"/>
      <c r="F1445" s="131"/>
      <c r="G1445" s="60" t="s">
        <v>131</v>
      </c>
      <c r="H1445" s="134"/>
      <c r="I1445" s="134"/>
      <c r="J1445" s="60"/>
      <c r="K1445" s="60"/>
      <c r="L1445" s="60"/>
      <c r="M1445" s="60"/>
      <c r="N1445" s="60">
        <f t="shared" si="441"/>
        <v>0</v>
      </c>
      <c r="O1445" s="60">
        <f t="shared" si="442"/>
        <v>0</v>
      </c>
    </row>
    <row r="1446" spans="1:15" s="38" customFormat="1" ht="14.45" customHeight="1" outlineLevel="1" x14ac:dyDescent="0.25">
      <c r="A1446" s="140" t="s">
        <v>911</v>
      </c>
      <c r="B1446" s="141" t="s">
        <v>912</v>
      </c>
      <c r="C1446" s="130">
        <f>SUM(N1446:N1452)</f>
        <v>0</v>
      </c>
      <c r="D1446" s="130">
        <f>SUM(O1446:O1452)</f>
        <v>0</v>
      </c>
      <c r="E1446" s="130">
        <f t="shared" si="436"/>
        <v>0</v>
      </c>
      <c r="F1446" s="130"/>
      <c r="G1446" s="60" t="s">
        <v>125</v>
      </c>
      <c r="H1446" s="123"/>
      <c r="I1446" s="123"/>
      <c r="J1446" s="60"/>
      <c r="K1446" s="60"/>
      <c r="L1446" s="60"/>
      <c r="M1446" s="60"/>
      <c r="N1446" s="60">
        <f>M1446*J1446*K1446*L1446</f>
        <v>0</v>
      </c>
      <c r="O1446" s="60">
        <f>J1446*K1446*L1446</f>
        <v>0</v>
      </c>
    </row>
    <row r="1447" spans="1:15" s="38" customFormat="1" ht="11.45" customHeight="1" outlineLevel="1" x14ac:dyDescent="0.25">
      <c r="A1447" s="124"/>
      <c r="B1447" s="142"/>
      <c r="C1447" s="115"/>
      <c r="D1447" s="115"/>
      <c r="E1447" s="115"/>
      <c r="F1447" s="115"/>
      <c r="G1447" s="60" t="s">
        <v>126</v>
      </c>
      <c r="H1447" s="124"/>
      <c r="I1447" s="124"/>
      <c r="J1447" s="60"/>
      <c r="K1447" s="60"/>
      <c r="L1447" s="60"/>
      <c r="M1447" s="60"/>
      <c r="N1447" s="60">
        <f t="shared" ref="N1447:N1452" si="443">M1447*J1447*K1447*L1447</f>
        <v>0</v>
      </c>
      <c r="O1447" s="60">
        <f t="shared" ref="O1447:O1452" si="444">J1447*K1447*L1447</f>
        <v>0</v>
      </c>
    </row>
    <row r="1448" spans="1:15" s="38" customFormat="1" ht="10.7" customHeight="1" outlineLevel="1" x14ac:dyDescent="0.25">
      <c r="A1448" s="124"/>
      <c r="B1448" s="142"/>
      <c r="C1448" s="115"/>
      <c r="D1448" s="115"/>
      <c r="E1448" s="115"/>
      <c r="F1448" s="115"/>
      <c r="G1448" s="60" t="s">
        <v>127</v>
      </c>
      <c r="H1448" s="124"/>
      <c r="I1448" s="124"/>
      <c r="J1448" s="60"/>
      <c r="K1448" s="60"/>
      <c r="L1448" s="60"/>
      <c r="M1448" s="60"/>
      <c r="N1448" s="60">
        <f t="shared" si="443"/>
        <v>0</v>
      </c>
      <c r="O1448" s="60">
        <f t="shared" si="444"/>
        <v>0</v>
      </c>
    </row>
    <row r="1449" spans="1:15" s="38" customFormat="1" ht="10.7" customHeight="1" outlineLevel="1" x14ac:dyDescent="0.25">
      <c r="A1449" s="124"/>
      <c r="B1449" s="142"/>
      <c r="C1449" s="115"/>
      <c r="D1449" s="115"/>
      <c r="E1449" s="115"/>
      <c r="F1449" s="115"/>
      <c r="G1449" s="60" t="s">
        <v>128</v>
      </c>
      <c r="H1449" s="124"/>
      <c r="I1449" s="124"/>
      <c r="J1449" s="60"/>
      <c r="K1449" s="60"/>
      <c r="L1449" s="60"/>
      <c r="M1449" s="60"/>
      <c r="N1449" s="60">
        <f t="shared" si="443"/>
        <v>0</v>
      </c>
      <c r="O1449" s="60">
        <f t="shared" si="444"/>
        <v>0</v>
      </c>
    </row>
    <row r="1450" spans="1:15" s="38" customFormat="1" ht="10.7" customHeight="1" outlineLevel="1" x14ac:dyDescent="0.25">
      <c r="A1450" s="124"/>
      <c r="B1450" s="142"/>
      <c r="C1450" s="115"/>
      <c r="D1450" s="115"/>
      <c r="E1450" s="115"/>
      <c r="F1450" s="115"/>
      <c r="G1450" s="60" t="s">
        <v>129</v>
      </c>
      <c r="H1450" s="124"/>
      <c r="I1450" s="124"/>
      <c r="J1450" s="60"/>
      <c r="K1450" s="60"/>
      <c r="L1450" s="60"/>
      <c r="M1450" s="60"/>
      <c r="N1450" s="60">
        <f t="shared" si="443"/>
        <v>0</v>
      </c>
      <c r="O1450" s="60">
        <f t="shared" si="444"/>
        <v>0</v>
      </c>
    </row>
    <row r="1451" spans="1:15" s="38" customFormat="1" ht="10.7" customHeight="1" outlineLevel="1" x14ac:dyDescent="0.25">
      <c r="A1451" s="124"/>
      <c r="B1451" s="142"/>
      <c r="C1451" s="115"/>
      <c r="D1451" s="115"/>
      <c r="E1451" s="115"/>
      <c r="F1451" s="115"/>
      <c r="G1451" s="60" t="s">
        <v>130</v>
      </c>
      <c r="H1451" s="124"/>
      <c r="I1451" s="124"/>
      <c r="J1451" s="60"/>
      <c r="K1451" s="60"/>
      <c r="L1451" s="60"/>
      <c r="M1451" s="60"/>
      <c r="N1451" s="60">
        <f t="shared" si="443"/>
        <v>0</v>
      </c>
      <c r="O1451" s="60">
        <f t="shared" si="444"/>
        <v>0</v>
      </c>
    </row>
    <row r="1452" spans="1:15" s="38" customFormat="1" ht="12" customHeight="1" outlineLevel="1" thickBot="1" x14ac:dyDescent="0.3">
      <c r="A1452" s="125"/>
      <c r="B1452" s="143"/>
      <c r="C1452" s="131"/>
      <c r="D1452" s="131"/>
      <c r="E1452" s="131"/>
      <c r="F1452" s="131"/>
      <c r="G1452" s="60" t="s">
        <v>131</v>
      </c>
      <c r="H1452" s="134"/>
      <c r="I1452" s="134"/>
      <c r="J1452" s="60"/>
      <c r="K1452" s="60"/>
      <c r="L1452" s="60"/>
      <c r="M1452" s="60"/>
      <c r="N1452" s="60">
        <f t="shared" si="443"/>
        <v>0</v>
      </c>
      <c r="O1452" s="60">
        <f t="shared" si="444"/>
        <v>0</v>
      </c>
    </row>
    <row r="1453" spans="1:15" s="38" customFormat="1" ht="14.45" customHeight="1" outlineLevel="1" x14ac:dyDescent="0.25">
      <c r="A1453" s="140" t="s">
        <v>913</v>
      </c>
      <c r="B1453" s="141" t="s">
        <v>914</v>
      </c>
      <c r="C1453" s="130">
        <f>SUM(N1453:N1459)</f>
        <v>0</v>
      </c>
      <c r="D1453" s="130">
        <f>SUM(O1453:O1459)</f>
        <v>0</v>
      </c>
      <c r="E1453" s="130">
        <f t="shared" si="436"/>
        <v>0</v>
      </c>
      <c r="F1453" s="130"/>
      <c r="G1453" s="60" t="s">
        <v>125</v>
      </c>
      <c r="H1453" s="123"/>
      <c r="I1453" s="123"/>
      <c r="J1453" s="60"/>
      <c r="K1453" s="60"/>
      <c r="L1453" s="60"/>
      <c r="M1453" s="60"/>
      <c r="N1453" s="60">
        <f>M1453*J1453*K1453*L1453</f>
        <v>0</v>
      </c>
      <c r="O1453" s="60">
        <f>J1453*K1453*L1453</f>
        <v>0</v>
      </c>
    </row>
    <row r="1454" spans="1:15" s="38" customFormat="1" ht="11.45" customHeight="1" outlineLevel="1" x14ac:dyDescent="0.25">
      <c r="A1454" s="124"/>
      <c r="B1454" s="142"/>
      <c r="C1454" s="115"/>
      <c r="D1454" s="115"/>
      <c r="E1454" s="115"/>
      <c r="F1454" s="115"/>
      <c r="G1454" s="60" t="s">
        <v>126</v>
      </c>
      <c r="H1454" s="124"/>
      <c r="I1454" s="124"/>
      <c r="J1454" s="60"/>
      <c r="K1454" s="60"/>
      <c r="L1454" s="60"/>
      <c r="M1454" s="60"/>
      <c r="N1454" s="60">
        <f t="shared" ref="N1454:N1459" si="445">M1454*J1454*K1454*L1454</f>
        <v>0</v>
      </c>
      <c r="O1454" s="60">
        <f t="shared" ref="O1454:O1459" si="446">J1454*K1454*L1454</f>
        <v>0</v>
      </c>
    </row>
    <row r="1455" spans="1:15" s="38" customFormat="1" ht="10.7" customHeight="1" outlineLevel="1" x14ac:dyDescent="0.25">
      <c r="A1455" s="124"/>
      <c r="B1455" s="142"/>
      <c r="C1455" s="115"/>
      <c r="D1455" s="115"/>
      <c r="E1455" s="115"/>
      <c r="F1455" s="115"/>
      <c r="G1455" s="60" t="s">
        <v>127</v>
      </c>
      <c r="H1455" s="124"/>
      <c r="I1455" s="124"/>
      <c r="J1455" s="60"/>
      <c r="K1455" s="60"/>
      <c r="L1455" s="60"/>
      <c r="M1455" s="60"/>
      <c r="N1455" s="60">
        <f t="shared" si="445"/>
        <v>0</v>
      </c>
      <c r="O1455" s="60">
        <f t="shared" si="446"/>
        <v>0</v>
      </c>
    </row>
    <row r="1456" spans="1:15" s="38" customFormat="1" ht="10.7" customHeight="1" outlineLevel="1" x14ac:dyDescent="0.25">
      <c r="A1456" s="124"/>
      <c r="B1456" s="142"/>
      <c r="C1456" s="115"/>
      <c r="D1456" s="115"/>
      <c r="E1456" s="115"/>
      <c r="F1456" s="115"/>
      <c r="G1456" s="60" t="s">
        <v>128</v>
      </c>
      <c r="H1456" s="124"/>
      <c r="I1456" s="124"/>
      <c r="J1456" s="60"/>
      <c r="K1456" s="60"/>
      <c r="L1456" s="60"/>
      <c r="M1456" s="60"/>
      <c r="N1456" s="60">
        <f t="shared" si="445"/>
        <v>0</v>
      </c>
      <c r="O1456" s="60">
        <f t="shared" si="446"/>
        <v>0</v>
      </c>
    </row>
    <row r="1457" spans="1:15" s="38" customFormat="1" ht="10.7" customHeight="1" outlineLevel="1" x14ac:dyDescent="0.25">
      <c r="A1457" s="124"/>
      <c r="B1457" s="142"/>
      <c r="C1457" s="115"/>
      <c r="D1457" s="115"/>
      <c r="E1457" s="115"/>
      <c r="F1457" s="115"/>
      <c r="G1457" s="60" t="s">
        <v>129</v>
      </c>
      <c r="H1457" s="124"/>
      <c r="I1457" s="124"/>
      <c r="J1457" s="60"/>
      <c r="K1457" s="60"/>
      <c r="L1457" s="60"/>
      <c r="M1457" s="60"/>
      <c r="N1457" s="60">
        <f t="shared" si="445"/>
        <v>0</v>
      </c>
      <c r="O1457" s="60">
        <f t="shared" si="446"/>
        <v>0</v>
      </c>
    </row>
    <row r="1458" spans="1:15" s="38" customFormat="1" ht="10.7" customHeight="1" outlineLevel="1" x14ac:dyDescent="0.25">
      <c r="A1458" s="124"/>
      <c r="B1458" s="142"/>
      <c r="C1458" s="115"/>
      <c r="D1458" s="115"/>
      <c r="E1458" s="115"/>
      <c r="F1458" s="115"/>
      <c r="G1458" s="60" t="s">
        <v>130</v>
      </c>
      <c r="H1458" s="124"/>
      <c r="I1458" s="124"/>
      <c r="J1458" s="60"/>
      <c r="K1458" s="60"/>
      <c r="L1458" s="60"/>
      <c r="M1458" s="60"/>
      <c r="N1458" s="60">
        <f t="shared" si="445"/>
        <v>0</v>
      </c>
      <c r="O1458" s="60">
        <f t="shared" si="446"/>
        <v>0</v>
      </c>
    </row>
    <row r="1459" spans="1:15" s="38" customFormat="1" ht="12" customHeight="1" outlineLevel="1" thickBot="1" x14ac:dyDescent="0.3">
      <c r="A1459" s="125"/>
      <c r="B1459" s="143"/>
      <c r="C1459" s="131"/>
      <c r="D1459" s="131"/>
      <c r="E1459" s="131"/>
      <c r="F1459" s="131"/>
      <c r="G1459" s="60" t="s">
        <v>131</v>
      </c>
      <c r="H1459" s="134"/>
      <c r="I1459" s="134"/>
      <c r="J1459" s="60"/>
      <c r="K1459" s="60"/>
      <c r="L1459" s="60"/>
      <c r="M1459" s="60"/>
      <c r="N1459" s="60">
        <f t="shared" si="445"/>
        <v>0</v>
      </c>
      <c r="O1459" s="60">
        <f t="shared" si="446"/>
        <v>0</v>
      </c>
    </row>
    <row r="1460" spans="1:15" s="38" customFormat="1" ht="14.45" customHeight="1" outlineLevel="1" x14ac:dyDescent="0.25">
      <c r="A1460" s="140" t="s">
        <v>915</v>
      </c>
      <c r="B1460" s="141" t="s">
        <v>916</v>
      </c>
      <c r="C1460" s="130">
        <f>SUM(N1460:N1466)</f>
        <v>0</v>
      </c>
      <c r="D1460" s="130">
        <f>SUM(O1460:O1466)</f>
        <v>0</v>
      </c>
      <c r="E1460" s="130">
        <f t="shared" si="436"/>
        <v>0</v>
      </c>
      <c r="F1460" s="130"/>
      <c r="G1460" s="60" t="s">
        <v>125</v>
      </c>
      <c r="H1460" s="123"/>
      <c r="I1460" s="123"/>
      <c r="J1460" s="60"/>
      <c r="K1460" s="60"/>
      <c r="L1460" s="60"/>
      <c r="M1460" s="60"/>
      <c r="N1460" s="60">
        <f>M1460*J1460*K1460*L1460</f>
        <v>0</v>
      </c>
      <c r="O1460" s="60">
        <f>J1460*K1460*L1460</f>
        <v>0</v>
      </c>
    </row>
    <row r="1461" spans="1:15" s="38" customFormat="1" ht="11.45" customHeight="1" outlineLevel="1" x14ac:dyDescent="0.25">
      <c r="A1461" s="124"/>
      <c r="B1461" s="142"/>
      <c r="C1461" s="115"/>
      <c r="D1461" s="115"/>
      <c r="E1461" s="115"/>
      <c r="F1461" s="115"/>
      <c r="G1461" s="60" t="s">
        <v>126</v>
      </c>
      <c r="H1461" s="124"/>
      <c r="I1461" s="124"/>
      <c r="J1461" s="60"/>
      <c r="K1461" s="60"/>
      <c r="L1461" s="60"/>
      <c r="M1461" s="60"/>
      <c r="N1461" s="60">
        <f t="shared" ref="N1461:N1466" si="447">M1461*J1461*K1461*L1461</f>
        <v>0</v>
      </c>
      <c r="O1461" s="60">
        <f t="shared" ref="O1461:O1466" si="448">J1461*K1461*L1461</f>
        <v>0</v>
      </c>
    </row>
    <row r="1462" spans="1:15" s="38" customFormat="1" ht="10.7" customHeight="1" outlineLevel="1" x14ac:dyDescent="0.25">
      <c r="A1462" s="124"/>
      <c r="B1462" s="142"/>
      <c r="C1462" s="115"/>
      <c r="D1462" s="115"/>
      <c r="E1462" s="115"/>
      <c r="F1462" s="115"/>
      <c r="G1462" s="60" t="s">
        <v>127</v>
      </c>
      <c r="H1462" s="124"/>
      <c r="I1462" s="124"/>
      <c r="J1462" s="60"/>
      <c r="K1462" s="60"/>
      <c r="L1462" s="60"/>
      <c r="M1462" s="60"/>
      <c r="N1462" s="60">
        <f t="shared" si="447"/>
        <v>0</v>
      </c>
      <c r="O1462" s="60">
        <f t="shared" si="448"/>
        <v>0</v>
      </c>
    </row>
    <row r="1463" spans="1:15" s="38" customFormat="1" ht="10.7" customHeight="1" outlineLevel="1" x14ac:dyDescent="0.25">
      <c r="A1463" s="124"/>
      <c r="B1463" s="142"/>
      <c r="C1463" s="115"/>
      <c r="D1463" s="115"/>
      <c r="E1463" s="115"/>
      <c r="F1463" s="115"/>
      <c r="G1463" s="60" t="s">
        <v>128</v>
      </c>
      <c r="H1463" s="124"/>
      <c r="I1463" s="124"/>
      <c r="J1463" s="60"/>
      <c r="K1463" s="60"/>
      <c r="L1463" s="60"/>
      <c r="M1463" s="60"/>
      <c r="N1463" s="60">
        <f t="shared" si="447"/>
        <v>0</v>
      </c>
      <c r="O1463" s="60">
        <f t="shared" si="448"/>
        <v>0</v>
      </c>
    </row>
    <row r="1464" spans="1:15" s="38" customFormat="1" ht="10.7" customHeight="1" outlineLevel="1" x14ac:dyDescent="0.25">
      <c r="A1464" s="124"/>
      <c r="B1464" s="142"/>
      <c r="C1464" s="115"/>
      <c r="D1464" s="115"/>
      <c r="E1464" s="115"/>
      <c r="F1464" s="115"/>
      <c r="G1464" s="60" t="s">
        <v>129</v>
      </c>
      <c r="H1464" s="124"/>
      <c r="I1464" s="124"/>
      <c r="J1464" s="60"/>
      <c r="K1464" s="60"/>
      <c r="L1464" s="60"/>
      <c r="M1464" s="60"/>
      <c r="N1464" s="60">
        <f t="shared" si="447"/>
        <v>0</v>
      </c>
      <c r="O1464" s="60">
        <f t="shared" si="448"/>
        <v>0</v>
      </c>
    </row>
    <row r="1465" spans="1:15" s="38" customFormat="1" ht="10.7" customHeight="1" outlineLevel="1" x14ac:dyDescent="0.25">
      <c r="A1465" s="124"/>
      <c r="B1465" s="142"/>
      <c r="C1465" s="115"/>
      <c r="D1465" s="115"/>
      <c r="E1465" s="115"/>
      <c r="F1465" s="115"/>
      <c r="G1465" s="60" t="s">
        <v>130</v>
      </c>
      <c r="H1465" s="124"/>
      <c r="I1465" s="124"/>
      <c r="J1465" s="60"/>
      <c r="K1465" s="60"/>
      <c r="L1465" s="60"/>
      <c r="M1465" s="60"/>
      <c r="N1465" s="60">
        <f t="shared" si="447"/>
        <v>0</v>
      </c>
      <c r="O1465" s="60">
        <f t="shared" si="448"/>
        <v>0</v>
      </c>
    </row>
    <row r="1466" spans="1:15" s="38" customFormat="1" ht="12" customHeight="1" outlineLevel="1" thickBot="1" x14ac:dyDescent="0.3">
      <c r="A1466" s="125"/>
      <c r="B1466" s="143"/>
      <c r="C1466" s="131"/>
      <c r="D1466" s="131"/>
      <c r="E1466" s="131"/>
      <c r="F1466" s="131"/>
      <c r="G1466" s="60" t="s">
        <v>131</v>
      </c>
      <c r="H1466" s="134"/>
      <c r="I1466" s="134"/>
      <c r="J1466" s="60"/>
      <c r="K1466" s="60"/>
      <c r="L1466" s="60"/>
      <c r="M1466" s="60"/>
      <c r="N1466" s="60">
        <f t="shared" si="447"/>
        <v>0</v>
      </c>
      <c r="O1466" s="60">
        <f t="shared" si="448"/>
        <v>0</v>
      </c>
    </row>
    <row r="1467" spans="1:15" s="38" customFormat="1" ht="14.45" customHeight="1" outlineLevel="1" x14ac:dyDescent="0.25">
      <c r="A1467" s="140" t="s">
        <v>917</v>
      </c>
      <c r="B1467" s="141" t="s">
        <v>918</v>
      </c>
      <c r="C1467" s="130">
        <f>SUM(N1467:N1473)</f>
        <v>0</v>
      </c>
      <c r="D1467" s="130">
        <f>SUM(O1467:O1473)</f>
        <v>0</v>
      </c>
      <c r="E1467" s="130">
        <f t="shared" si="436"/>
        <v>0</v>
      </c>
      <c r="F1467" s="130"/>
      <c r="G1467" s="60" t="s">
        <v>125</v>
      </c>
      <c r="H1467" s="123"/>
      <c r="I1467" s="123"/>
      <c r="J1467" s="60"/>
      <c r="K1467" s="60"/>
      <c r="L1467" s="60"/>
      <c r="M1467" s="60"/>
      <c r="N1467" s="60">
        <f>M1467*J1467*K1467*L1467</f>
        <v>0</v>
      </c>
      <c r="O1467" s="60">
        <f>J1467*K1467*L1467</f>
        <v>0</v>
      </c>
    </row>
    <row r="1468" spans="1:15" s="38" customFormat="1" ht="11.45" customHeight="1" outlineLevel="1" x14ac:dyDescent="0.25">
      <c r="A1468" s="124"/>
      <c r="B1468" s="142"/>
      <c r="C1468" s="115"/>
      <c r="D1468" s="115"/>
      <c r="E1468" s="115"/>
      <c r="F1468" s="115"/>
      <c r="G1468" s="60" t="s">
        <v>126</v>
      </c>
      <c r="H1468" s="124"/>
      <c r="I1468" s="124"/>
      <c r="J1468" s="60"/>
      <c r="K1468" s="60"/>
      <c r="L1468" s="60"/>
      <c r="M1468" s="60"/>
      <c r="N1468" s="60">
        <f t="shared" ref="N1468:N1473" si="449">M1468*J1468*K1468*L1468</f>
        <v>0</v>
      </c>
      <c r="O1468" s="60">
        <f t="shared" ref="O1468:O1473" si="450">J1468*K1468*L1468</f>
        <v>0</v>
      </c>
    </row>
    <row r="1469" spans="1:15" s="38" customFormat="1" ht="10.7" customHeight="1" outlineLevel="1" x14ac:dyDescent="0.25">
      <c r="A1469" s="124"/>
      <c r="B1469" s="142"/>
      <c r="C1469" s="115"/>
      <c r="D1469" s="115"/>
      <c r="E1469" s="115"/>
      <c r="F1469" s="115"/>
      <c r="G1469" s="60" t="s">
        <v>127</v>
      </c>
      <c r="H1469" s="124"/>
      <c r="I1469" s="124"/>
      <c r="J1469" s="60"/>
      <c r="K1469" s="60"/>
      <c r="L1469" s="60"/>
      <c r="M1469" s="60"/>
      <c r="N1469" s="60">
        <f t="shared" si="449"/>
        <v>0</v>
      </c>
      <c r="O1469" s="60">
        <f t="shared" si="450"/>
        <v>0</v>
      </c>
    </row>
    <row r="1470" spans="1:15" s="38" customFormat="1" ht="10.7" customHeight="1" outlineLevel="1" x14ac:dyDescent="0.25">
      <c r="A1470" s="124"/>
      <c r="B1470" s="142"/>
      <c r="C1470" s="115"/>
      <c r="D1470" s="115"/>
      <c r="E1470" s="115"/>
      <c r="F1470" s="115"/>
      <c r="G1470" s="60" t="s">
        <v>128</v>
      </c>
      <c r="H1470" s="124"/>
      <c r="I1470" s="124"/>
      <c r="J1470" s="60"/>
      <c r="K1470" s="60"/>
      <c r="L1470" s="60"/>
      <c r="M1470" s="60"/>
      <c r="N1470" s="60">
        <f t="shared" si="449"/>
        <v>0</v>
      </c>
      <c r="O1470" s="60">
        <f t="shared" si="450"/>
        <v>0</v>
      </c>
    </row>
    <row r="1471" spans="1:15" s="38" customFormat="1" ht="10.7" customHeight="1" outlineLevel="1" x14ac:dyDescent="0.25">
      <c r="A1471" s="124"/>
      <c r="B1471" s="142"/>
      <c r="C1471" s="115"/>
      <c r="D1471" s="115"/>
      <c r="E1471" s="115"/>
      <c r="F1471" s="115"/>
      <c r="G1471" s="60" t="s">
        <v>129</v>
      </c>
      <c r="H1471" s="124"/>
      <c r="I1471" s="124"/>
      <c r="J1471" s="60"/>
      <c r="K1471" s="60"/>
      <c r="L1471" s="60"/>
      <c r="M1471" s="60"/>
      <c r="N1471" s="60">
        <f t="shared" si="449"/>
        <v>0</v>
      </c>
      <c r="O1471" s="60">
        <f t="shared" si="450"/>
        <v>0</v>
      </c>
    </row>
    <row r="1472" spans="1:15" s="38" customFormat="1" ht="10.7" customHeight="1" outlineLevel="1" x14ac:dyDescent="0.25">
      <c r="A1472" s="124"/>
      <c r="B1472" s="142"/>
      <c r="C1472" s="115"/>
      <c r="D1472" s="115"/>
      <c r="E1472" s="115"/>
      <c r="F1472" s="115"/>
      <c r="G1472" s="60" t="s">
        <v>130</v>
      </c>
      <c r="H1472" s="124"/>
      <c r="I1472" s="124"/>
      <c r="J1472" s="60"/>
      <c r="K1472" s="60"/>
      <c r="L1472" s="60"/>
      <c r="M1472" s="60"/>
      <c r="N1472" s="60">
        <f t="shared" si="449"/>
        <v>0</v>
      </c>
      <c r="O1472" s="60">
        <f t="shared" si="450"/>
        <v>0</v>
      </c>
    </row>
    <row r="1473" spans="1:15" s="38" customFormat="1" ht="12" customHeight="1" outlineLevel="1" thickBot="1" x14ac:dyDescent="0.3">
      <c r="A1473" s="125"/>
      <c r="B1473" s="143"/>
      <c r="C1473" s="131"/>
      <c r="D1473" s="131"/>
      <c r="E1473" s="131"/>
      <c r="F1473" s="131"/>
      <c r="G1473" s="60" t="s">
        <v>131</v>
      </c>
      <c r="H1473" s="134"/>
      <c r="I1473" s="134"/>
      <c r="J1473" s="60"/>
      <c r="K1473" s="60"/>
      <c r="L1473" s="60"/>
      <c r="M1473" s="60"/>
      <c r="N1473" s="60">
        <f t="shared" si="449"/>
        <v>0</v>
      </c>
      <c r="O1473" s="60">
        <f t="shared" si="450"/>
        <v>0</v>
      </c>
    </row>
    <row r="1474" spans="1:15" s="39" customFormat="1" ht="15.75" x14ac:dyDescent="0.25">
      <c r="A1474" s="40" t="s">
        <v>335</v>
      </c>
      <c r="B1474" s="41" t="s">
        <v>316</v>
      </c>
      <c r="C1474" s="42">
        <f>SUM(C1475)</f>
        <v>0</v>
      </c>
      <c r="D1474" s="42">
        <f>SUM(D1475)</f>
        <v>0</v>
      </c>
      <c r="E1474" s="42">
        <f>SUM(E1475)</f>
        <v>0</v>
      </c>
      <c r="F1474" s="42"/>
      <c r="G1474" s="42"/>
      <c r="H1474" s="42"/>
      <c r="I1474" s="42"/>
      <c r="J1474" s="42"/>
      <c r="K1474" s="42"/>
      <c r="L1474" s="42"/>
      <c r="M1474" s="42"/>
      <c r="N1474" s="42"/>
      <c r="O1474" s="47"/>
    </row>
    <row r="1475" spans="1:15" s="38" customFormat="1" ht="14.45" customHeight="1" outlineLevel="1" x14ac:dyDescent="0.25">
      <c r="A1475" s="140" t="s">
        <v>337</v>
      </c>
      <c r="B1475" s="141" t="s">
        <v>919</v>
      </c>
      <c r="C1475" s="130">
        <f>SUM(N1475:N1481)</f>
        <v>0</v>
      </c>
      <c r="D1475" s="130">
        <f>SUM(O1475:O1481)</f>
        <v>0</v>
      </c>
      <c r="E1475" s="130">
        <f t="shared" ref="E1475" si="451">D1475/8</f>
        <v>0</v>
      </c>
      <c r="F1475" s="130"/>
      <c r="G1475" s="60" t="s">
        <v>125</v>
      </c>
      <c r="H1475" s="123"/>
      <c r="I1475" s="123"/>
      <c r="J1475" s="60"/>
      <c r="K1475" s="60"/>
      <c r="L1475" s="60"/>
      <c r="M1475" s="60"/>
      <c r="N1475" s="60">
        <f>M1475*J1475*K1475*L1475</f>
        <v>0</v>
      </c>
      <c r="O1475" s="60">
        <f>J1475*K1475*L1475</f>
        <v>0</v>
      </c>
    </row>
    <row r="1476" spans="1:15" s="38" customFormat="1" ht="11.45" customHeight="1" outlineLevel="1" x14ac:dyDescent="0.25">
      <c r="A1476" s="124"/>
      <c r="B1476" s="142"/>
      <c r="C1476" s="115"/>
      <c r="D1476" s="115"/>
      <c r="E1476" s="115"/>
      <c r="F1476" s="115"/>
      <c r="G1476" s="60" t="s">
        <v>126</v>
      </c>
      <c r="H1476" s="124"/>
      <c r="I1476" s="124"/>
      <c r="J1476" s="60"/>
      <c r="K1476" s="60"/>
      <c r="L1476" s="60"/>
      <c r="M1476" s="60"/>
      <c r="N1476" s="60">
        <f t="shared" ref="N1476:N1481" si="452">M1476*J1476*K1476*L1476</f>
        <v>0</v>
      </c>
      <c r="O1476" s="60">
        <f t="shared" ref="O1476:O1481" si="453">J1476*K1476*L1476</f>
        <v>0</v>
      </c>
    </row>
    <row r="1477" spans="1:15" s="38" customFormat="1" ht="10.7" customHeight="1" outlineLevel="1" x14ac:dyDescent="0.25">
      <c r="A1477" s="124"/>
      <c r="B1477" s="142"/>
      <c r="C1477" s="115"/>
      <c r="D1477" s="115"/>
      <c r="E1477" s="115"/>
      <c r="F1477" s="115"/>
      <c r="G1477" s="60" t="s">
        <v>127</v>
      </c>
      <c r="H1477" s="124"/>
      <c r="I1477" s="124"/>
      <c r="J1477" s="60"/>
      <c r="K1477" s="60"/>
      <c r="L1477" s="60"/>
      <c r="M1477" s="60"/>
      <c r="N1477" s="60">
        <f t="shared" si="452"/>
        <v>0</v>
      </c>
      <c r="O1477" s="60">
        <f t="shared" si="453"/>
        <v>0</v>
      </c>
    </row>
    <row r="1478" spans="1:15" s="38" customFormat="1" ht="10.7" customHeight="1" outlineLevel="1" x14ac:dyDescent="0.25">
      <c r="A1478" s="124"/>
      <c r="B1478" s="142"/>
      <c r="C1478" s="115"/>
      <c r="D1478" s="115"/>
      <c r="E1478" s="115"/>
      <c r="F1478" s="115"/>
      <c r="G1478" s="60" t="s">
        <v>128</v>
      </c>
      <c r="H1478" s="124"/>
      <c r="I1478" s="124"/>
      <c r="J1478" s="60"/>
      <c r="K1478" s="60"/>
      <c r="L1478" s="60"/>
      <c r="M1478" s="60"/>
      <c r="N1478" s="60">
        <f t="shared" si="452"/>
        <v>0</v>
      </c>
      <c r="O1478" s="60">
        <f t="shared" si="453"/>
        <v>0</v>
      </c>
    </row>
    <row r="1479" spans="1:15" s="38" customFormat="1" ht="10.7" customHeight="1" outlineLevel="1" x14ac:dyDescent="0.25">
      <c r="A1479" s="124"/>
      <c r="B1479" s="142"/>
      <c r="C1479" s="115"/>
      <c r="D1479" s="115"/>
      <c r="E1479" s="115"/>
      <c r="F1479" s="115"/>
      <c r="G1479" s="60" t="s">
        <v>129</v>
      </c>
      <c r="H1479" s="124"/>
      <c r="I1479" s="124"/>
      <c r="J1479" s="60"/>
      <c r="K1479" s="60"/>
      <c r="L1479" s="60"/>
      <c r="M1479" s="60"/>
      <c r="N1479" s="60">
        <f t="shared" si="452"/>
        <v>0</v>
      </c>
      <c r="O1479" s="60">
        <f t="shared" si="453"/>
        <v>0</v>
      </c>
    </row>
    <row r="1480" spans="1:15" s="38" customFormat="1" ht="10.7" customHeight="1" outlineLevel="1" x14ac:dyDescent="0.25">
      <c r="A1480" s="124"/>
      <c r="B1480" s="142"/>
      <c r="C1480" s="115"/>
      <c r="D1480" s="115"/>
      <c r="E1480" s="115"/>
      <c r="F1480" s="115"/>
      <c r="G1480" s="60" t="s">
        <v>130</v>
      </c>
      <c r="H1480" s="124"/>
      <c r="I1480" s="124"/>
      <c r="J1480" s="60"/>
      <c r="K1480" s="60"/>
      <c r="L1480" s="60"/>
      <c r="M1480" s="60"/>
      <c r="N1480" s="60">
        <f t="shared" si="452"/>
        <v>0</v>
      </c>
      <c r="O1480" s="60">
        <f t="shared" si="453"/>
        <v>0</v>
      </c>
    </row>
    <row r="1481" spans="1:15" s="38" customFormat="1" ht="12" customHeight="1" outlineLevel="1" thickBot="1" x14ac:dyDescent="0.3">
      <c r="A1481" s="125"/>
      <c r="B1481" s="143"/>
      <c r="C1481" s="131"/>
      <c r="D1481" s="131"/>
      <c r="E1481" s="131"/>
      <c r="F1481" s="131"/>
      <c r="G1481" s="60" t="s">
        <v>131</v>
      </c>
      <c r="H1481" s="134"/>
      <c r="I1481" s="134"/>
      <c r="J1481" s="60"/>
      <c r="K1481" s="60"/>
      <c r="L1481" s="60"/>
      <c r="M1481" s="60"/>
      <c r="N1481" s="60">
        <f t="shared" si="452"/>
        <v>0</v>
      </c>
      <c r="O1481" s="60">
        <f t="shared" si="453"/>
        <v>0</v>
      </c>
    </row>
    <row r="1482" spans="1:15" s="39" customFormat="1" ht="15.75" x14ac:dyDescent="0.25">
      <c r="A1482" s="40" t="s">
        <v>920</v>
      </c>
      <c r="B1482" s="41" t="s">
        <v>319</v>
      </c>
      <c r="C1482" s="42">
        <f>SUM(C1483)</f>
        <v>0</v>
      </c>
      <c r="D1482" s="42">
        <f>SUM(D1483)</f>
        <v>0</v>
      </c>
      <c r="E1482" s="42">
        <f>SUM(E1483)</f>
        <v>0</v>
      </c>
      <c r="F1482" s="42"/>
      <c r="G1482" s="42"/>
      <c r="H1482" s="42"/>
      <c r="I1482" s="42"/>
      <c r="J1482" s="42"/>
      <c r="K1482" s="42"/>
      <c r="L1482" s="42"/>
      <c r="M1482" s="42"/>
      <c r="N1482" s="42"/>
      <c r="O1482" s="47"/>
    </row>
    <row r="1483" spans="1:15" s="38" customFormat="1" ht="14.45" customHeight="1" outlineLevel="1" x14ac:dyDescent="0.25">
      <c r="A1483" s="140" t="s">
        <v>921</v>
      </c>
      <c r="B1483" s="141" t="s">
        <v>384</v>
      </c>
      <c r="C1483" s="130">
        <f>SUM(N1483:N1489)</f>
        <v>0</v>
      </c>
      <c r="D1483" s="130">
        <f>SUM(O1483:O1489)</f>
        <v>0</v>
      </c>
      <c r="E1483" s="130">
        <f t="shared" ref="E1483" si="454">D1483/8</f>
        <v>0</v>
      </c>
      <c r="F1483" s="130"/>
      <c r="G1483" s="60" t="s">
        <v>125</v>
      </c>
      <c r="H1483" s="123"/>
      <c r="I1483" s="123"/>
      <c r="J1483" s="60"/>
      <c r="K1483" s="60"/>
      <c r="L1483" s="60"/>
      <c r="M1483" s="60"/>
      <c r="N1483" s="60">
        <f>M1483*J1483*K1483*L1483</f>
        <v>0</v>
      </c>
      <c r="O1483" s="60">
        <f>J1483*K1483*L1483</f>
        <v>0</v>
      </c>
    </row>
    <row r="1484" spans="1:15" s="38" customFormat="1" ht="11.45" customHeight="1" outlineLevel="1" x14ac:dyDescent="0.25">
      <c r="A1484" s="124"/>
      <c r="B1484" s="142"/>
      <c r="C1484" s="115"/>
      <c r="D1484" s="115"/>
      <c r="E1484" s="115"/>
      <c r="F1484" s="115"/>
      <c r="G1484" s="60" t="s">
        <v>126</v>
      </c>
      <c r="H1484" s="124"/>
      <c r="I1484" s="124"/>
      <c r="J1484" s="60"/>
      <c r="K1484" s="60"/>
      <c r="L1484" s="60"/>
      <c r="M1484" s="60"/>
      <c r="N1484" s="60">
        <f t="shared" ref="N1484:N1489" si="455">M1484*J1484*K1484*L1484</f>
        <v>0</v>
      </c>
      <c r="O1484" s="60">
        <f t="shared" ref="O1484:O1489" si="456">J1484*K1484*L1484</f>
        <v>0</v>
      </c>
    </row>
    <row r="1485" spans="1:15" s="38" customFormat="1" ht="10.7" customHeight="1" outlineLevel="1" x14ac:dyDescent="0.25">
      <c r="A1485" s="124"/>
      <c r="B1485" s="142"/>
      <c r="C1485" s="115"/>
      <c r="D1485" s="115"/>
      <c r="E1485" s="115"/>
      <c r="F1485" s="115"/>
      <c r="G1485" s="60" t="s">
        <v>127</v>
      </c>
      <c r="H1485" s="124"/>
      <c r="I1485" s="124"/>
      <c r="J1485" s="60"/>
      <c r="K1485" s="60"/>
      <c r="L1485" s="60"/>
      <c r="M1485" s="60"/>
      <c r="N1485" s="60">
        <f t="shared" si="455"/>
        <v>0</v>
      </c>
      <c r="O1485" s="60">
        <f t="shared" si="456"/>
        <v>0</v>
      </c>
    </row>
    <row r="1486" spans="1:15" s="38" customFormat="1" ht="10.7" customHeight="1" outlineLevel="1" x14ac:dyDescent="0.25">
      <c r="A1486" s="124"/>
      <c r="B1486" s="142"/>
      <c r="C1486" s="115"/>
      <c r="D1486" s="115"/>
      <c r="E1486" s="115"/>
      <c r="F1486" s="115"/>
      <c r="G1486" s="60" t="s">
        <v>128</v>
      </c>
      <c r="H1486" s="124"/>
      <c r="I1486" s="124"/>
      <c r="J1486" s="60"/>
      <c r="K1486" s="60"/>
      <c r="L1486" s="60"/>
      <c r="M1486" s="60"/>
      <c r="N1486" s="60">
        <f t="shared" si="455"/>
        <v>0</v>
      </c>
      <c r="O1486" s="60">
        <f t="shared" si="456"/>
        <v>0</v>
      </c>
    </row>
    <row r="1487" spans="1:15" s="38" customFormat="1" ht="10.7" customHeight="1" outlineLevel="1" x14ac:dyDescent="0.25">
      <c r="A1487" s="124"/>
      <c r="B1487" s="142"/>
      <c r="C1487" s="115"/>
      <c r="D1487" s="115"/>
      <c r="E1487" s="115"/>
      <c r="F1487" s="115"/>
      <c r="G1487" s="60" t="s">
        <v>129</v>
      </c>
      <c r="H1487" s="124"/>
      <c r="I1487" s="124"/>
      <c r="J1487" s="60"/>
      <c r="K1487" s="60"/>
      <c r="L1487" s="60"/>
      <c r="M1487" s="60"/>
      <c r="N1487" s="60">
        <f t="shared" si="455"/>
        <v>0</v>
      </c>
      <c r="O1487" s="60">
        <f t="shared" si="456"/>
        <v>0</v>
      </c>
    </row>
    <row r="1488" spans="1:15" s="38" customFormat="1" ht="10.7" customHeight="1" outlineLevel="1" x14ac:dyDescent="0.25">
      <c r="A1488" s="124"/>
      <c r="B1488" s="142"/>
      <c r="C1488" s="115"/>
      <c r="D1488" s="115"/>
      <c r="E1488" s="115"/>
      <c r="F1488" s="115"/>
      <c r="G1488" s="60" t="s">
        <v>130</v>
      </c>
      <c r="H1488" s="124"/>
      <c r="I1488" s="124"/>
      <c r="J1488" s="60"/>
      <c r="K1488" s="60"/>
      <c r="L1488" s="60"/>
      <c r="M1488" s="60"/>
      <c r="N1488" s="60">
        <f t="shared" si="455"/>
        <v>0</v>
      </c>
      <c r="O1488" s="60">
        <f t="shared" si="456"/>
        <v>0</v>
      </c>
    </row>
    <row r="1489" spans="1:15" s="38" customFormat="1" ht="12" customHeight="1" outlineLevel="1" thickBot="1" x14ac:dyDescent="0.3">
      <c r="A1489" s="125"/>
      <c r="B1489" s="143"/>
      <c r="C1489" s="131"/>
      <c r="D1489" s="131"/>
      <c r="E1489" s="131"/>
      <c r="F1489" s="131"/>
      <c r="G1489" s="60" t="s">
        <v>131</v>
      </c>
      <c r="H1489" s="134"/>
      <c r="I1489" s="134"/>
      <c r="J1489" s="60"/>
      <c r="K1489" s="60"/>
      <c r="L1489" s="60"/>
      <c r="M1489" s="60"/>
      <c r="N1489" s="60">
        <f t="shared" si="455"/>
        <v>0</v>
      </c>
      <c r="O1489" s="60">
        <f t="shared" si="456"/>
        <v>0</v>
      </c>
    </row>
    <row r="1490" spans="1:15" s="39" customFormat="1" ht="15.75" x14ac:dyDescent="0.25">
      <c r="A1490" s="40" t="s">
        <v>922</v>
      </c>
      <c r="B1490" s="41" t="s">
        <v>923</v>
      </c>
      <c r="C1490" s="42">
        <f>SUM(C1491)</f>
        <v>0</v>
      </c>
      <c r="D1490" s="42">
        <f>SUM(D1491)</f>
        <v>0</v>
      </c>
      <c r="E1490" s="42">
        <f>SUM(E1491)</f>
        <v>0</v>
      </c>
      <c r="F1490" s="42"/>
      <c r="G1490" s="42"/>
      <c r="H1490" s="42"/>
      <c r="I1490" s="42"/>
      <c r="J1490" s="42"/>
      <c r="K1490" s="42"/>
      <c r="L1490" s="42"/>
      <c r="M1490" s="42"/>
      <c r="N1490" s="42"/>
      <c r="O1490" s="47"/>
    </row>
    <row r="1491" spans="1:15" s="38" customFormat="1" ht="14.45" customHeight="1" outlineLevel="1" x14ac:dyDescent="0.25">
      <c r="A1491" s="140" t="s">
        <v>924</v>
      </c>
      <c r="B1491" s="141" t="s">
        <v>925</v>
      </c>
      <c r="C1491" s="130">
        <f>SUM(N1491:N1497)</f>
        <v>0</v>
      </c>
      <c r="D1491" s="130">
        <f>SUM(O1491:O1497)</f>
        <v>0</v>
      </c>
      <c r="E1491" s="130">
        <f t="shared" ref="E1491" si="457">D1491/8</f>
        <v>0</v>
      </c>
      <c r="F1491" s="130"/>
      <c r="G1491" s="60" t="s">
        <v>125</v>
      </c>
      <c r="H1491" s="123"/>
      <c r="I1491" s="123"/>
      <c r="J1491" s="60"/>
      <c r="K1491" s="60"/>
      <c r="L1491" s="60"/>
      <c r="M1491" s="60"/>
      <c r="N1491" s="60">
        <f>M1491*J1491*K1491*L1491</f>
        <v>0</v>
      </c>
      <c r="O1491" s="60">
        <f>J1491*K1491*L1491</f>
        <v>0</v>
      </c>
    </row>
    <row r="1492" spans="1:15" s="38" customFormat="1" ht="11.45" customHeight="1" outlineLevel="1" x14ac:dyDescent="0.25">
      <c r="A1492" s="124"/>
      <c r="B1492" s="142"/>
      <c r="C1492" s="115"/>
      <c r="D1492" s="115"/>
      <c r="E1492" s="115"/>
      <c r="F1492" s="115"/>
      <c r="G1492" s="60" t="s">
        <v>126</v>
      </c>
      <c r="H1492" s="124"/>
      <c r="I1492" s="124"/>
      <c r="J1492" s="60"/>
      <c r="K1492" s="60"/>
      <c r="L1492" s="60"/>
      <c r="M1492" s="60"/>
      <c r="N1492" s="60">
        <f t="shared" ref="N1492:N1497" si="458">M1492*J1492*K1492*L1492</f>
        <v>0</v>
      </c>
      <c r="O1492" s="60">
        <f t="shared" ref="O1492:O1497" si="459">J1492*K1492*L1492</f>
        <v>0</v>
      </c>
    </row>
    <row r="1493" spans="1:15" s="38" customFormat="1" ht="10.7" customHeight="1" outlineLevel="1" x14ac:dyDescent="0.25">
      <c r="A1493" s="124"/>
      <c r="B1493" s="142"/>
      <c r="C1493" s="115"/>
      <c r="D1493" s="115"/>
      <c r="E1493" s="115"/>
      <c r="F1493" s="115"/>
      <c r="G1493" s="60" t="s">
        <v>127</v>
      </c>
      <c r="H1493" s="124"/>
      <c r="I1493" s="124"/>
      <c r="J1493" s="60"/>
      <c r="K1493" s="60"/>
      <c r="L1493" s="60"/>
      <c r="M1493" s="60"/>
      <c r="N1493" s="60">
        <f t="shared" si="458"/>
        <v>0</v>
      </c>
      <c r="O1493" s="60">
        <f t="shared" si="459"/>
        <v>0</v>
      </c>
    </row>
    <row r="1494" spans="1:15" s="38" customFormat="1" ht="10.7" customHeight="1" outlineLevel="1" x14ac:dyDescent="0.25">
      <c r="A1494" s="124"/>
      <c r="B1494" s="142"/>
      <c r="C1494" s="115"/>
      <c r="D1494" s="115"/>
      <c r="E1494" s="115"/>
      <c r="F1494" s="115"/>
      <c r="G1494" s="60" t="s">
        <v>128</v>
      </c>
      <c r="H1494" s="124"/>
      <c r="I1494" s="124"/>
      <c r="J1494" s="60"/>
      <c r="K1494" s="60"/>
      <c r="L1494" s="60"/>
      <c r="M1494" s="60"/>
      <c r="N1494" s="60">
        <f t="shared" si="458"/>
        <v>0</v>
      </c>
      <c r="O1494" s="60">
        <f t="shared" si="459"/>
        <v>0</v>
      </c>
    </row>
    <row r="1495" spans="1:15" s="38" customFormat="1" ht="10.7" customHeight="1" outlineLevel="1" x14ac:dyDescent="0.25">
      <c r="A1495" s="124"/>
      <c r="B1495" s="142"/>
      <c r="C1495" s="115"/>
      <c r="D1495" s="115"/>
      <c r="E1495" s="115"/>
      <c r="F1495" s="115"/>
      <c r="G1495" s="60" t="s">
        <v>129</v>
      </c>
      <c r="H1495" s="124"/>
      <c r="I1495" s="124"/>
      <c r="J1495" s="60"/>
      <c r="K1495" s="60"/>
      <c r="L1495" s="60"/>
      <c r="M1495" s="60"/>
      <c r="N1495" s="60">
        <f t="shared" si="458"/>
        <v>0</v>
      </c>
      <c r="O1495" s="60">
        <f t="shared" si="459"/>
        <v>0</v>
      </c>
    </row>
    <row r="1496" spans="1:15" s="38" customFormat="1" ht="10.7" customHeight="1" outlineLevel="1" x14ac:dyDescent="0.25">
      <c r="A1496" s="124"/>
      <c r="B1496" s="142"/>
      <c r="C1496" s="115"/>
      <c r="D1496" s="115"/>
      <c r="E1496" s="115"/>
      <c r="F1496" s="115"/>
      <c r="G1496" s="60" t="s">
        <v>130</v>
      </c>
      <c r="H1496" s="124"/>
      <c r="I1496" s="124"/>
      <c r="J1496" s="60"/>
      <c r="K1496" s="60"/>
      <c r="L1496" s="60"/>
      <c r="M1496" s="60"/>
      <c r="N1496" s="60">
        <f t="shared" si="458"/>
        <v>0</v>
      </c>
      <c r="O1496" s="60">
        <f t="shared" si="459"/>
        <v>0</v>
      </c>
    </row>
    <row r="1497" spans="1:15" s="38" customFormat="1" ht="12" customHeight="1" outlineLevel="1" thickBot="1" x14ac:dyDescent="0.3">
      <c r="A1497" s="125"/>
      <c r="B1497" s="143"/>
      <c r="C1497" s="131"/>
      <c r="D1497" s="131"/>
      <c r="E1497" s="131"/>
      <c r="F1497" s="131"/>
      <c r="G1497" s="60" t="s">
        <v>131</v>
      </c>
      <c r="H1497" s="134"/>
      <c r="I1497" s="134"/>
      <c r="J1497" s="60"/>
      <c r="K1497" s="60"/>
      <c r="L1497" s="60"/>
      <c r="M1497" s="60"/>
      <c r="N1497" s="60">
        <f t="shared" si="458"/>
        <v>0</v>
      </c>
      <c r="O1497" s="60">
        <f t="shared" si="459"/>
        <v>0</v>
      </c>
    </row>
    <row r="1498" spans="1:15" s="39" customFormat="1" ht="31.5" x14ac:dyDescent="0.25">
      <c r="A1498" s="40" t="s">
        <v>926</v>
      </c>
      <c r="B1498" s="41" t="s">
        <v>323</v>
      </c>
      <c r="C1498" s="42">
        <f>SUM(C1499)</f>
        <v>0</v>
      </c>
      <c r="D1498" s="42">
        <f>SUM(D1499)</f>
        <v>0</v>
      </c>
      <c r="E1498" s="42">
        <f>SUM(E1499)</f>
        <v>0</v>
      </c>
      <c r="F1498" s="42"/>
      <c r="G1498" s="42"/>
      <c r="H1498" s="42"/>
      <c r="I1498" s="42"/>
      <c r="J1498" s="42"/>
      <c r="K1498" s="42"/>
      <c r="L1498" s="42"/>
      <c r="M1498" s="42"/>
      <c r="N1498" s="42"/>
      <c r="O1498" s="47"/>
    </row>
    <row r="1499" spans="1:15" s="38" customFormat="1" ht="14.45" customHeight="1" outlineLevel="1" x14ac:dyDescent="0.25">
      <c r="A1499" s="140" t="s">
        <v>927</v>
      </c>
      <c r="B1499" s="141" t="s">
        <v>928</v>
      </c>
      <c r="C1499" s="130">
        <f>SUM(N1499:N1505)</f>
        <v>0</v>
      </c>
      <c r="D1499" s="130">
        <f>SUM(O1499:O1505)</f>
        <v>0</v>
      </c>
      <c r="E1499" s="130">
        <f t="shared" ref="E1499" si="460">D1499/8</f>
        <v>0</v>
      </c>
      <c r="F1499" s="130"/>
      <c r="G1499" s="60" t="s">
        <v>125</v>
      </c>
      <c r="H1499" s="123"/>
      <c r="I1499" s="123"/>
      <c r="J1499" s="60"/>
      <c r="K1499" s="60"/>
      <c r="L1499" s="60"/>
      <c r="M1499" s="60"/>
      <c r="N1499" s="60">
        <f>M1499*J1499*K1499*L1499</f>
        <v>0</v>
      </c>
      <c r="O1499" s="60">
        <f>J1499*K1499*L1499</f>
        <v>0</v>
      </c>
    </row>
    <row r="1500" spans="1:15" s="38" customFormat="1" ht="11.45" customHeight="1" outlineLevel="1" x14ac:dyDescent="0.25">
      <c r="A1500" s="124"/>
      <c r="B1500" s="142"/>
      <c r="C1500" s="115"/>
      <c r="D1500" s="115"/>
      <c r="E1500" s="115"/>
      <c r="F1500" s="115"/>
      <c r="G1500" s="60" t="s">
        <v>126</v>
      </c>
      <c r="H1500" s="124"/>
      <c r="I1500" s="124"/>
      <c r="J1500" s="60"/>
      <c r="K1500" s="60"/>
      <c r="L1500" s="60"/>
      <c r="M1500" s="60"/>
      <c r="N1500" s="60">
        <f t="shared" ref="N1500:N1505" si="461">M1500*J1500*K1500*L1500</f>
        <v>0</v>
      </c>
      <c r="O1500" s="60">
        <f t="shared" ref="O1500:O1505" si="462">J1500*K1500*L1500</f>
        <v>0</v>
      </c>
    </row>
    <row r="1501" spans="1:15" s="38" customFormat="1" ht="10.7" customHeight="1" outlineLevel="1" x14ac:dyDescent="0.25">
      <c r="A1501" s="124"/>
      <c r="B1501" s="142"/>
      <c r="C1501" s="115"/>
      <c r="D1501" s="115"/>
      <c r="E1501" s="115"/>
      <c r="F1501" s="115"/>
      <c r="G1501" s="60" t="s">
        <v>127</v>
      </c>
      <c r="H1501" s="124"/>
      <c r="I1501" s="124"/>
      <c r="J1501" s="60"/>
      <c r="K1501" s="60"/>
      <c r="L1501" s="60"/>
      <c r="M1501" s="60"/>
      <c r="N1501" s="60">
        <f t="shared" si="461"/>
        <v>0</v>
      </c>
      <c r="O1501" s="60">
        <f t="shared" si="462"/>
        <v>0</v>
      </c>
    </row>
    <row r="1502" spans="1:15" s="38" customFormat="1" ht="10.7" customHeight="1" outlineLevel="1" x14ac:dyDescent="0.25">
      <c r="A1502" s="124"/>
      <c r="B1502" s="142"/>
      <c r="C1502" s="115"/>
      <c r="D1502" s="115"/>
      <c r="E1502" s="115"/>
      <c r="F1502" s="115"/>
      <c r="G1502" s="60" t="s">
        <v>128</v>
      </c>
      <c r="H1502" s="124"/>
      <c r="I1502" s="124"/>
      <c r="J1502" s="60"/>
      <c r="K1502" s="60"/>
      <c r="L1502" s="60"/>
      <c r="M1502" s="60"/>
      <c r="N1502" s="60">
        <f t="shared" si="461"/>
        <v>0</v>
      </c>
      <c r="O1502" s="60">
        <f t="shared" si="462"/>
        <v>0</v>
      </c>
    </row>
    <row r="1503" spans="1:15" s="38" customFormat="1" ht="10.7" customHeight="1" outlineLevel="1" x14ac:dyDescent="0.25">
      <c r="A1503" s="124"/>
      <c r="B1503" s="142"/>
      <c r="C1503" s="115"/>
      <c r="D1503" s="115"/>
      <c r="E1503" s="115"/>
      <c r="F1503" s="115"/>
      <c r="G1503" s="60" t="s">
        <v>129</v>
      </c>
      <c r="H1503" s="124"/>
      <c r="I1503" s="124"/>
      <c r="J1503" s="60"/>
      <c r="K1503" s="60"/>
      <c r="L1503" s="60"/>
      <c r="M1503" s="60"/>
      <c r="N1503" s="60">
        <f t="shared" si="461"/>
        <v>0</v>
      </c>
      <c r="O1503" s="60">
        <f t="shared" si="462"/>
        <v>0</v>
      </c>
    </row>
    <row r="1504" spans="1:15" s="38" customFormat="1" ht="10.7" customHeight="1" outlineLevel="1" x14ac:dyDescent="0.25">
      <c r="A1504" s="124"/>
      <c r="B1504" s="142"/>
      <c r="C1504" s="115"/>
      <c r="D1504" s="115"/>
      <c r="E1504" s="115"/>
      <c r="F1504" s="115"/>
      <c r="G1504" s="60" t="s">
        <v>130</v>
      </c>
      <c r="H1504" s="124"/>
      <c r="I1504" s="124"/>
      <c r="J1504" s="60"/>
      <c r="K1504" s="60"/>
      <c r="L1504" s="60"/>
      <c r="M1504" s="60"/>
      <c r="N1504" s="60">
        <f t="shared" si="461"/>
        <v>0</v>
      </c>
      <c r="O1504" s="60">
        <f t="shared" si="462"/>
        <v>0</v>
      </c>
    </row>
    <row r="1505" spans="1:15" s="38" customFormat="1" ht="12" customHeight="1" outlineLevel="1" thickBot="1" x14ac:dyDescent="0.3">
      <c r="A1505" s="125"/>
      <c r="B1505" s="143"/>
      <c r="C1505" s="131"/>
      <c r="D1505" s="131"/>
      <c r="E1505" s="131"/>
      <c r="F1505" s="131"/>
      <c r="G1505" s="60" t="s">
        <v>131</v>
      </c>
      <c r="H1505" s="134"/>
      <c r="I1505" s="134"/>
      <c r="J1505" s="60"/>
      <c r="K1505" s="60"/>
      <c r="L1505" s="60"/>
      <c r="M1505" s="60"/>
      <c r="N1505" s="60">
        <f t="shared" si="461"/>
        <v>0</v>
      </c>
      <c r="O1505" s="60">
        <f t="shared" si="462"/>
        <v>0</v>
      </c>
    </row>
    <row r="1506" spans="1:15" s="39" customFormat="1" ht="15.75" x14ac:dyDescent="0.25">
      <c r="A1506" s="40" t="s">
        <v>929</v>
      </c>
      <c r="B1506" s="41" t="s">
        <v>326</v>
      </c>
      <c r="C1506" s="42">
        <f>SUM(C1507)</f>
        <v>0</v>
      </c>
      <c r="D1506" s="42">
        <f>SUM(D1507)</f>
        <v>0</v>
      </c>
      <c r="E1506" s="42">
        <f>SUM(E1507)</f>
        <v>0</v>
      </c>
      <c r="F1506" s="42"/>
      <c r="G1506" s="42"/>
      <c r="H1506" s="42"/>
      <c r="I1506" s="42"/>
      <c r="J1506" s="42"/>
      <c r="K1506" s="42"/>
      <c r="L1506" s="42"/>
      <c r="M1506" s="42"/>
      <c r="N1506" s="42"/>
      <c r="O1506" s="47"/>
    </row>
    <row r="1507" spans="1:15" s="38" customFormat="1" ht="14.45" customHeight="1" outlineLevel="1" x14ac:dyDescent="0.25">
      <c r="A1507" s="140" t="s">
        <v>930</v>
      </c>
      <c r="B1507" s="141" t="s">
        <v>328</v>
      </c>
      <c r="C1507" s="130">
        <f>SUM(N1507:N1513)</f>
        <v>0</v>
      </c>
      <c r="D1507" s="130">
        <f>SUM(O1507:O1513)</f>
        <v>0</v>
      </c>
      <c r="E1507" s="130">
        <f t="shared" ref="E1507" si="463">D1507/8</f>
        <v>0</v>
      </c>
      <c r="F1507" s="130"/>
      <c r="G1507" s="60" t="s">
        <v>125</v>
      </c>
      <c r="H1507" s="123"/>
      <c r="I1507" s="123"/>
      <c r="J1507" s="60"/>
      <c r="K1507" s="60"/>
      <c r="L1507" s="60"/>
      <c r="M1507" s="60"/>
      <c r="N1507" s="60">
        <f>M1507*J1507*K1507*L1507</f>
        <v>0</v>
      </c>
      <c r="O1507" s="60">
        <f>J1507*K1507*L1507</f>
        <v>0</v>
      </c>
    </row>
    <row r="1508" spans="1:15" s="38" customFormat="1" ht="11.45" customHeight="1" outlineLevel="1" x14ac:dyDescent="0.25">
      <c r="A1508" s="124"/>
      <c r="B1508" s="142"/>
      <c r="C1508" s="115"/>
      <c r="D1508" s="115"/>
      <c r="E1508" s="115"/>
      <c r="F1508" s="115"/>
      <c r="G1508" s="60" t="s">
        <v>126</v>
      </c>
      <c r="H1508" s="124"/>
      <c r="I1508" s="124"/>
      <c r="J1508" s="60"/>
      <c r="K1508" s="60"/>
      <c r="L1508" s="60"/>
      <c r="M1508" s="60"/>
      <c r="N1508" s="60">
        <f t="shared" ref="N1508:N1513" si="464">M1508*J1508*K1508*L1508</f>
        <v>0</v>
      </c>
      <c r="O1508" s="60">
        <f t="shared" ref="O1508:O1513" si="465">J1508*K1508*L1508</f>
        <v>0</v>
      </c>
    </row>
    <row r="1509" spans="1:15" s="38" customFormat="1" ht="10.7" customHeight="1" outlineLevel="1" x14ac:dyDescent="0.25">
      <c r="A1509" s="124"/>
      <c r="B1509" s="142"/>
      <c r="C1509" s="115"/>
      <c r="D1509" s="115"/>
      <c r="E1509" s="115"/>
      <c r="F1509" s="115"/>
      <c r="G1509" s="60" t="s">
        <v>127</v>
      </c>
      <c r="H1509" s="124"/>
      <c r="I1509" s="124"/>
      <c r="J1509" s="60"/>
      <c r="K1509" s="60"/>
      <c r="L1509" s="60"/>
      <c r="M1509" s="60"/>
      <c r="N1509" s="60">
        <f t="shared" si="464"/>
        <v>0</v>
      </c>
      <c r="O1509" s="60">
        <f t="shared" si="465"/>
        <v>0</v>
      </c>
    </row>
    <row r="1510" spans="1:15" s="38" customFormat="1" ht="10.7" customHeight="1" outlineLevel="1" x14ac:dyDescent="0.25">
      <c r="A1510" s="124"/>
      <c r="B1510" s="142"/>
      <c r="C1510" s="115"/>
      <c r="D1510" s="115"/>
      <c r="E1510" s="115"/>
      <c r="F1510" s="115"/>
      <c r="G1510" s="60" t="s">
        <v>128</v>
      </c>
      <c r="H1510" s="124"/>
      <c r="I1510" s="124"/>
      <c r="J1510" s="60"/>
      <c r="K1510" s="60"/>
      <c r="L1510" s="60"/>
      <c r="M1510" s="60"/>
      <c r="N1510" s="60">
        <f t="shared" si="464"/>
        <v>0</v>
      </c>
      <c r="O1510" s="60">
        <f t="shared" si="465"/>
        <v>0</v>
      </c>
    </row>
    <row r="1511" spans="1:15" s="38" customFormat="1" ht="10.7" customHeight="1" outlineLevel="1" x14ac:dyDescent="0.25">
      <c r="A1511" s="124"/>
      <c r="B1511" s="142"/>
      <c r="C1511" s="115"/>
      <c r="D1511" s="115"/>
      <c r="E1511" s="115"/>
      <c r="F1511" s="115"/>
      <c r="G1511" s="60" t="s">
        <v>129</v>
      </c>
      <c r="H1511" s="124"/>
      <c r="I1511" s="124"/>
      <c r="J1511" s="60"/>
      <c r="K1511" s="60"/>
      <c r="L1511" s="60"/>
      <c r="M1511" s="60"/>
      <c r="N1511" s="60">
        <f t="shared" si="464"/>
        <v>0</v>
      </c>
      <c r="O1511" s="60">
        <f t="shared" si="465"/>
        <v>0</v>
      </c>
    </row>
    <row r="1512" spans="1:15" s="38" customFormat="1" ht="10.7" customHeight="1" outlineLevel="1" x14ac:dyDescent="0.25">
      <c r="A1512" s="124"/>
      <c r="B1512" s="142"/>
      <c r="C1512" s="115"/>
      <c r="D1512" s="115"/>
      <c r="E1512" s="115"/>
      <c r="F1512" s="115"/>
      <c r="G1512" s="60" t="s">
        <v>130</v>
      </c>
      <c r="H1512" s="124"/>
      <c r="I1512" s="124"/>
      <c r="J1512" s="60"/>
      <c r="K1512" s="60"/>
      <c r="L1512" s="60"/>
      <c r="M1512" s="60"/>
      <c r="N1512" s="60">
        <f t="shared" si="464"/>
        <v>0</v>
      </c>
      <c r="O1512" s="60">
        <f t="shared" si="465"/>
        <v>0</v>
      </c>
    </row>
    <row r="1513" spans="1:15" s="38" customFormat="1" ht="12" customHeight="1" outlineLevel="1" thickBot="1" x14ac:dyDescent="0.3">
      <c r="A1513" s="125"/>
      <c r="B1513" s="143"/>
      <c r="C1513" s="131"/>
      <c r="D1513" s="131"/>
      <c r="E1513" s="131"/>
      <c r="F1513" s="131"/>
      <c r="G1513" s="60" t="s">
        <v>131</v>
      </c>
      <c r="H1513" s="134"/>
      <c r="I1513" s="134"/>
      <c r="J1513" s="60"/>
      <c r="K1513" s="60"/>
      <c r="L1513" s="60"/>
      <c r="M1513" s="60"/>
      <c r="N1513" s="60">
        <f t="shared" si="464"/>
        <v>0</v>
      </c>
      <c r="O1513" s="60">
        <f t="shared" si="465"/>
        <v>0</v>
      </c>
    </row>
    <row r="1514" spans="1:15" s="39" customFormat="1" ht="15.75" x14ac:dyDescent="0.25">
      <c r="A1514" s="40" t="s">
        <v>931</v>
      </c>
      <c r="B1514" s="41" t="s">
        <v>964</v>
      </c>
      <c r="C1514" s="42">
        <f>SUM(C1515:C1535)</f>
        <v>0</v>
      </c>
      <c r="D1514" s="42">
        <f>SUM(D1515:D1535)</f>
        <v>0</v>
      </c>
      <c r="E1514" s="42">
        <f>SUM(E1515:E1535)</f>
        <v>0</v>
      </c>
      <c r="F1514" s="42"/>
      <c r="G1514" s="42"/>
      <c r="H1514" s="42"/>
      <c r="I1514" s="42"/>
      <c r="J1514" s="42"/>
      <c r="K1514" s="42"/>
      <c r="L1514" s="42"/>
      <c r="M1514" s="42"/>
      <c r="N1514" s="42"/>
      <c r="O1514" s="47"/>
    </row>
    <row r="1515" spans="1:15" s="38" customFormat="1" ht="14.45" customHeight="1" outlineLevel="1" x14ac:dyDescent="0.25">
      <c r="A1515" s="140" t="s">
        <v>933</v>
      </c>
      <c r="B1515" s="141" t="s">
        <v>934</v>
      </c>
      <c r="C1515" s="130">
        <f>SUM(N1515:N1521)</f>
        <v>0</v>
      </c>
      <c r="D1515" s="130">
        <f>SUM(O1515:O1521)</f>
        <v>0</v>
      </c>
      <c r="E1515" s="130">
        <f t="shared" ref="E1515:E1529" si="466">D1515/8</f>
        <v>0</v>
      </c>
      <c r="F1515" s="130"/>
      <c r="G1515" s="60" t="s">
        <v>125</v>
      </c>
      <c r="H1515" s="123"/>
      <c r="I1515" s="123"/>
      <c r="J1515" s="60"/>
      <c r="K1515" s="60"/>
      <c r="L1515" s="60"/>
      <c r="M1515" s="60"/>
      <c r="N1515" s="60">
        <f>M1515*J1515*K1515*L1515</f>
        <v>0</v>
      </c>
      <c r="O1515" s="60">
        <f>J1515*K1515*L1515</f>
        <v>0</v>
      </c>
    </row>
    <row r="1516" spans="1:15" s="38" customFormat="1" ht="11.45" customHeight="1" outlineLevel="1" x14ac:dyDescent="0.25">
      <c r="A1516" s="124"/>
      <c r="B1516" s="142"/>
      <c r="C1516" s="115"/>
      <c r="D1516" s="115"/>
      <c r="E1516" s="115"/>
      <c r="F1516" s="115"/>
      <c r="G1516" s="60" t="s">
        <v>126</v>
      </c>
      <c r="H1516" s="124"/>
      <c r="I1516" s="124"/>
      <c r="J1516" s="60"/>
      <c r="K1516" s="60"/>
      <c r="L1516" s="60"/>
      <c r="M1516" s="60"/>
      <c r="N1516" s="60">
        <f t="shared" ref="N1516:N1521" si="467">M1516*J1516*K1516*L1516</f>
        <v>0</v>
      </c>
      <c r="O1516" s="60">
        <f t="shared" ref="O1516:O1521" si="468">J1516*K1516*L1516</f>
        <v>0</v>
      </c>
    </row>
    <row r="1517" spans="1:15" s="38" customFormat="1" ht="10.7" customHeight="1" outlineLevel="1" x14ac:dyDescent="0.25">
      <c r="A1517" s="124"/>
      <c r="B1517" s="142"/>
      <c r="C1517" s="115"/>
      <c r="D1517" s="115"/>
      <c r="E1517" s="115"/>
      <c r="F1517" s="115"/>
      <c r="G1517" s="60" t="s">
        <v>127</v>
      </c>
      <c r="H1517" s="124"/>
      <c r="I1517" s="124"/>
      <c r="J1517" s="60"/>
      <c r="K1517" s="60"/>
      <c r="L1517" s="60"/>
      <c r="M1517" s="60"/>
      <c r="N1517" s="60">
        <f t="shared" si="467"/>
        <v>0</v>
      </c>
      <c r="O1517" s="60">
        <f t="shared" si="468"/>
        <v>0</v>
      </c>
    </row>
    <row r="1518" spans="1:15" s="38" customFormat="1" ht="10.7" customHeight="1" outlineLevel="1" x14ac:dyDescent="0.25">
      <c r="A1518" s="124"/>
      <c r="B1518" s="142"/>
      <c r="C1518" s="115"/>
      <c r="D1518" s="115"/>
      <c r="E1518" s="115"/>
      <c r="F1518" s="115"/>
      <c r="G1518" s="60" t="s">
        <v>128</v>
      </c>
      <c r="H1518" s="124"/>
      <c r="I1518" s="124"/>
      <c r="J1518" s="60"/>
      <c r="K1518" s="60"/>
      <c r="L1518" s="60"/>
      <c r="M1518" s="60"/>
      <c r="N1518" s="60">
        <f t="shared" si="467"/>
        <v>0</v>
      </c>
      <c r="O1518" s="60">
        <f t="shared" si="468"/>
        <v>0</v>
      </c>
    </row>
    <row r="1519" spans="1:15" s="38" customFormat="1" ht="10.7" customHeight="1" outlineLevel="1" x14ac:dyDescent="0.25">
      <c r="A1519" s="124"/>
      <c r="B1519" s="142"/>
      <c r="C1519" s="115"/>
      <c r="D1519" s="115"/>
      <c r="E1519" s="115"/>
      <c r="F1519" s="115"/>
      <c r="G1519" s="60" t="s">
        <v>129</v>
      </c>
      <c r="H1519" s="124"/>
      <c r="I1519" s="124"/>
      <c r="J1519" s="60"/>
      <c r="K1519" s="60"/>
      <c r="L1519" s="60"/>
      <c r="M1519" s="60"/>
      <c r="N1519" s="60">
        <f t="shared" si="467"/>
        <v>0</v>
      </c>
      <c r="O1519" s="60">
        <f t="shared" si="468"/>
        <v>0</v>
      </c>
    </row>
    <row r="1520" spans="1:15" s="38" customFormat="1" ht="10.7" customHeight="1" outlineLevel="1" x14ac:dyDescent="0.25">
      <c r="A1520" s="124"/>
      <c r="B1520" s="142"/>
      <c r="C1520" s="115"/>
      <c r="D1520" s="115"/>
      <c r="E1520" s="115"/>
      <c r="F1520" s="115"/>
      <c r="G1520" s="60" t="s">
        <v>130</v>
      </c>
      <c r="H1520" s="124"/>
      <c r="I1520" s="124"/>
      <c r="J1520" s="60"/>
      <c r="K1520" s="60"/>
      <c r="L1520" s="60"/>
      <c r="M1520" s="60"/>
      <c r="N1520" s="60">
        <f t="shared" si="467"/>
        <v>0</v>
      </c>
      <c r="O1520" s="60">
        <f t="shared" si="468"/>
        <v>0</v>
      </c>
    </row>
    <row r="1521" spans="1:15" s="38" customFormat="1" ht="12" customHeight="1" outlineLevel="1" thickBot="1" x14ac:dyDescent="0.3">
      <c r="A1521" s="125"/>
      <c r="B1521" s="143"/>
      <c r="C1521" s="131"/>
      <c r="D1521" s="131"/>
      <c r="E1521" s="131"/>
      <c r="F1521" s="131"/>
      <c r="G1521" s="60" t="s">
        <v>131</v>
      </c>
      <c r="H1521" s="134"/>
      <c r="I1521" s="134"/>
      <c r="J1521" s="60"/>
      <c r="K1521" s="60"/>
      <c r="L1521" s="60"/>
      <c r="M1521" s="60"/>
      <c r="N1521" s="60">
        <f t="shared" si="467"/>
        <v>0</v>
      </c>
      <c r="O1521" s="60">
        <f t="shared" si="468"/>
        <v>0</v>
      </c>
    </row>
    <row r="1522" spans="1:15" s="38" customFormat="1" ht="14.45" customHeight="1" outlineLevel="1" x14ac:dyDescent="0.25">
      <c r="A1522" s="140" t="s">
        <v>935</v>
      </c>
      <c r="B1522" s="141" t="s">
        <v>936</v>
      </c>
      <c r="C1522" s="130">
        <f>SUM(N1522:N1528)</f>
        <v>0</v>
      </c>
      <c r="D1522" s="130">
        <f>SUM(O1522:O1528)</f>
        <v>0</v>
      </c>
      <c r="E1522" s="130">
        <f t="shared" si="466"/>
        <v>0</v>
      </c>
      <c r="F1522" s="130"/>
      <c r="G1522" s="60" t="s">
        <v>125</v>
      </c>
      <c r="H1522" s="123"/>
      <c r="I1522" s="123"/>
      <c r="J1522" s="60"/>
      <c r="K1522" s="60"/>
      <c r="L1522" s="60"/>
      <c r="M1522" s="60"/>
      <c r="N1522" s="60">
        <f>M1522*J1522*K1522*L1522</f>
        <v>0</v>
      </c>
      <c r="O1522" s="60">
        <f>J1522*K1522*L1522</f>
        <v>0</v>
      </c>
    </row>
    <row r="1523" spans="1:15" s="38" customFormat="1" ht="11.45" customHeight="1" outlineLevel="1" x14ac:dyDescent="0.25">
      <c r="A1523" s="124"/>
      <c r="B1523" s="142"/>
      <c r="C1523" s="115"/>
      <c r="D1523" s="115"/>
      <c r="E1523" s="115"/>
      <c r="F1523" s="115"/>
      <c r="G1523" s="60" t="s">
        <v>126</v>
      </c>
      <c r="H1523" s="124"/>
      <c r="I1523" s="124"/>
      <c r="J1523" s="60"/>
      <c r="K1523" s="60"/>
      <c r="L1523" s="60"/>
      <c r="M1523" s="60"/>
      <c r="N1523" s="60">
        <f t="shared" ref="N1523:N1528" si="469">M1523*J1523*K1523*L1523</f>
        <v>0</v>
      </c>
      <c r="O1523" s="60">
        <f t="shared" ref="O1523:O1528" si="470">J1523*K1523*L1523</f>
        <v>0</v>
      </c>
    </row>
    <row r="1524" spans="1:15" s="38" customFormat="1" ht="10.7" customHeight="1" outlineLevel="1" x14ac:dyDescent="0.25">
      <c r="A1524" s="124"/>
      <c r="B1524" s="142"/>
      <c r="C1524" s="115"/>
      <c r="D1524" s="115"/>
      <c r="E1524" s="115"/>
      <c r="F1524" s="115"/>
      <c r="G1524" s="60" t="s">
        <v>127</v>
      </c>
      <c r="H1524" s="124"/>
      <c r="I1524" s="124"/>
      <c r="J1524" s="60"/>
      <c r="K1524" s="60"/>
      <c r="L1524" s="60"/>
      <c r="M1524" s="60"/>
      <c r="N1524" s="60">
        <f t="shared" si="469"/>
        <v>0</v>
      </c>
      <c r="O1524" s="60">
        <f t="shared" si="470"/>
        <v>0</v>
      </c>
    </row>
    <row r="1525" spans="1:15" s="38" customFormat="1" ht="10.7" customHeight="1" outlineLevel="1" x14ac:dyDescent="0.25">
      <c r="A1525" s="124"/>
      <c r="B1525" s="142"/>
      <c r="C1525" s="115"/>
      <c r="D1525" s="115"/>
      <c r="E1525" s="115"/>
      <c r="F1525" s="115"/>
      <c r="G1525" s="60" t="s">
        <v>128</v>
      </c>
      <c r="H1525" s="124"/>
      <c r="I1525" s="124"/>
      <c r="J1525" s="60"/>
      <c r="K1525" s="60"/>
      <c r="L1525" s="60"/>
      <c r="M1525" s="60"/>
      <c r="N1525" s="60">
        <f t="shared" si="469"/>
        <v>0</v>
      </c>
      <c r="O1525" s="60">
        <f t="shared" si="470"/>
        <v>0</v>
      </c>
    </row>
    <row r="1526" spans="1:15" s="38" customFormat="1" ht="10.7" customHeight="1" outlineLevel="1" x14ac:dyDescent="0.25">
      <c r="A1526" s="124"/>
      <c r="B1526" s="142"/>
      <c r="C1526" s="115"/>
      <c r="D1526" s="115"/>
      <c r="E1526" s="115"/>
      <c r="F1526" s="115"/>
      <c r="G1526" s="60" t="s">
        <v>129</v>
      </c>
      <c r="H1526" s="124"/>
      <c r="I1526" s="124"/>
      <c r="J1526" s="60"/>
      <c r="K1526" s="60"/>
      <c r="L1526" s="60"/>
      <c r="M1526" s="60"/>
      <c r="N1526" s="60">
        <f t="shared" si="469"/>
        <v>0</v>
      </c>
      <c r="O1526" s="60">
        <f t="shared" si="470"/>
        <v>0</v>
      </c>
    </row>
    <row r="1527" spans="1:15" s="38" customFormat="1" ht="10.7" customHeight="1" outlineLevel="1" x14ac:dyDescent="0.25">
      <c r="A1527" s="124"/>
      <c r="B1527" s="142"/>
      <c r="C1527" s="115"/>
      <c r="D1527" s="115"/>
      <c r="E1527" s="115"/>
      <c r="F1527" s="115"/>
      <c r="G1527" s="60" t="s">
        <v>130</v>
      </c>
      <c r="H1527" s="124"/>
      <c r="I1527" s="124"/>
      <c r="J1527" s="60"/>
      <c r="K1527" s="60"/>
      <c r="L1527" s="60"/>
      <c r="M1527" s="60"/>
      <c r="N1527" s="60">
        <f t="shared" si="469"/>
        <v>0</v>
      </c>
      <c r="O1527" s="60">
        <f t="shared" si="470"/>
        <v>0</v>
      </c>
    </row>
    <row r="1528" spans="1:15" s="38" customFormat="1" ht="12" customHeight="1" outlineLevel="1" thickBot="1" x14ac:dyDescent="0.3">
      <c r="A1528" s="125"/>
      <c r="B1528" s="143"/>
      <c r="C1528" s="131"/>
      <c r="D1528" s="131"/>
      <c r="E1528" s="131"/>
      <c r="F1528" s="131"/>
      <c r="G1528" s="60" t="s">
        <v>131</v>
      </c>
      <c r="H1528" s="134"/>
      <c r="I1528" s="134"/>
      <c r="J1528" s="60"/>
      <c r="K1528" s="60"/>
      <c r="L1528" s="60"/>
      <c r="M1528" s="60"/>
      <c r="N1528" s="60">
        <f t="shared" si="469"/>
        <v>0</v>
      </c>
      <c r="O1528" s="60">
        <f t="shared" si="470"/>
        <v>0</v>
      </c>
    </row>
    <row r="1529" spans="1:15" s="38" customFormat="1" ht="14.45" customHeight="1" outlineLevel="1" x14ac:dyDescent="0.25">
      <c r="A1529" s="140" t="s">
        <v>937</v>
      </c>
      <c r="B1529" s="141" t="s">
        <v>938</v>
      </c>
      <c r="C1529" s="130">
        <f>SUM(N1529:N1535)</f>
        <v>0</v>
      </c>
      <c r="D1529" s="130">
        <f>SUM(O1529:O1535)</f>
        <v>0</v>
      </c>
      <c r="E1529" s="130">
        <f t="shared" si="466"/>
        <v>0</v>
      </c>
      <c r="F1529" s="130"/>
      <c r="G1529" s="60" t="s">
        <v>125</v>
      </c>
      <c r="H1529" s="123"/>
      <c r="I1529" s="123"/>
      <c r="J1529" s="60"/>
      <c r="K1529" s="60"/>
      <c r="L1529" s="60"/>
      <c r="M1529" s="60"/>
      <c r="N1529" s="60">
        <f>M1529*J1529*K1529*L1529</f>
        <v>0</v>
      </c>
      <c r="O1529" s="60">
        <f>J1529*K1529*L1529</f>
        <v>0</v>
      </c>
    </row>
    <row r="1530" spans="1:15" s="38" customFormat="1" ht="11.45" customHeight="1" outlineLevel="1" x14ac:dyDescent="0.25">
      <c r="A1530" s="124"/>
      <c r="B1530" s="142"/>
      <c r="C1530" s="115"/>
      <c r="D1530" s="115"/>
      <c r="E1530" s="115"/>
      <c r="F1530" s="115"/>
      <c r="G1530" s="60" t="s">
        <v>126</v>
      </c>
      <c r="H1530" s="124"/>
      <c r="I1530" s="124"/>
      <c r="J1530" s="60"/>
      <c r="K1530" s="60"/>
      <c r="L1530" s="60"/>
      <c r="M1530" s="60"/>
      <c r="N1530" s="60">
        <f t="shared" ref="N1530:N1535" si="471">M1530*J1530*K1530*L1530</f>
        <v>0</v>
      </c>
      <c r="O1530" s="60">
        <f t="shared" ref="O1530:O1535" si="472">J1530*K1530*L1530</f>
        <v>0</v>
      </c>
    </row>
    <row r="1531" spans="1:15" s="38" customFormat="1" ht="10.7" customHeight="1" outlineLevel="1" x14ac:dyDescent="0.25">
      <c r="A1531" s="124"/>
      <c r="B1531" s="142"/>
      <c r="C1531" s="115"/>
      <c r="D1531" s="115"/>
      <c r="E1531" s="115"/>
      <c r="F1531" s="115"/>
      <c r="G1531" s="60" t="s">
        <v>127</v>
      </c>
      <c r="H1531" s="124"/>
      <c r="I1531" s="124"/>
      <c r="J1531" s="60"/>
      <c r="K1531" s="60"/>
      <c r="L1531" s="60"/>
      <c r="M1531" s="60"/>
      <c r="N1531" s="60">
        <f t="shared" si="471"/>
        <v>0</v>
      </c>
      <c r="O1531" s="60">
        <f t="shared" si="472"/>
        <v>0</v>
      </c>
    </row>
    <row r="1532" spans="1:15" s="38" customFormat="1" ht="10.7" customHeight="1" outlineLevel="1" x14ac:dyDescent="0.25">
      <c r="A1532" s="124"/>
      <c r="B1532" s="142"/>
      <c r="C1532" s="115"/>
      <c r="D1532" s="115"/>
      <c r="E1532" s="115"/>
      <c r="F1532" s="115"/>
      <c r="G1532" s="60" t="s">
        <v>128</v>
      </c>
      <c r="H1532" s="124"/>
      <c r="I1532" s="124"/>
      <c r="J1532" s="60"/>
      <c r="K1532" s="60"/>
      <c r="L1532" s="60"/>
      <c r="M1532" s="60"/>
      <c r="N1532" s="60">
        <f t="shared" si="471"/>
        <v>0</v>
      </c>
      <c r="O1532" s="60">
        <f t="shared" si="472"/>
        <v>0</v>
      </c>
    </row>
    <row r="1533" spans="1:15" s="38" customFormat="1" ht="10.7" customHeight="1" outlineLevel="1" x14ac:dyDescent="0.25">
      <c r="A1533" s="124"/>
      <c r="B1533" s="142"/>
      <c r="C1533" s="115"/>
      <c r="D1533" s="115"/>
      <c r="E1533" s="115"/>
      <c r="F1533" s="115"/>
      <c r="G1533" s="60" t="s">
        <v>129</v>
      </c>
      <c r="H1533" s="124"/>
      <c r="I1533" s="124"/>
      <c r="J1533" s="60"/>
      <c r="K1533" s="60"/>
      <c r="L1533" s="60"/>
      <c r="M1533" s="60"/>
      <c r="N1533" s="60">
        <f t="shared" si="471"/>
        <v>0</v>
      </c>
      <c r="O1533" s="60">
        <f t="shared" si="472"/>
        <v>0</v>
      </c>
    </row>
    <row r="1534" spans="1:15" s="38" customFormat="1" ht="10.7" customHeight="1" outlineLevel="1" x14ac:dyDescent="0.25">
      <c r="A1534" s="124"/>
      <c r="B1534" s="142"/>
      <c r="C1534" s="115"/>
      <c r="D1534" s="115"/>
      <c r="E1534" s="115"/>
      <c r="F1534" s="115"/>
      <c r="G1534" s="60" t="s">
        <v>130</v>
      </c>
      <c r="H1534" s="124"/>
      <c r="I1534" s="124"/>
      <c r="J1534" s="60"/>
      <c r="K1534" s="60"/>
      <c r="L1534" s="60"/>
      <c r="M1534" s="60"/>
      <c r="N1534" s="60">
        <f t="shared" si="471"/>
        <v>0</v>
      </c>
      <c r="O1534" s="60">
        <f t="shared" si="472"/>
        <v>0</v>
      </c>
    </row>
    <row r="1535" spans="1:15" s="38" customFormat="1" ht="12" customHeight="1" outlineLevel="1" thickBot="1" x14ac:dyDescent="0.3">
      <c r="A1535" s="125"/>
      <c r="B1535" s="143"/>
      <c r="C1535" s="131"/>
      <c r="D1535" s="131"/>
      <c r="E1535" s="131"/>
      <c r="F1535" s="131"/>
      <c r="G1535" s="60" t="s">
        <v>131</v>
      </c>
      <c r="H1535" s="134"/>
      <c r="I1535" s="134"/>
      <c r="J1535" s="60"/>
      <c r="K1535" s="60"/>
      <c r="L1535" s="60"/>
      <c r="M1535" s="60"/>
      <c r="N1535" s="60">
        <f t="shared" si="471"/>
        <v>0</v>
      </c>
      <c r="O1535" s="60">
        <f t="shared" si="472"/>
        <v>0</v>
      </c>
    </row>
    <row r="1536" spans="1:15" s="39" customFormat="1" ht="15.75" x14ac:dyDescent="0.25">
      <c r="A1536" s="40" t="s">
        <v>939</v>
      </c>
      <c r="B1536" s="41" t="s">
        <v>330</v>
      </c>
      <c r="C1536" s="42">
        <f>SUM(C1537:C1550)</f>
        <v>0</v>
      </c>
      <c r="D1536" s="42">
        <f>SUM(D1537:D1550)</f>
        <v>0</v>
      </c>
      <c r="E1536" s="42">
        <f>SUM(E1537:E1550)</f>
        <v>0</v>
      </c>
      <c r="F1536" s="42"/>
      <c r="G1536" s="42"/>
      <c r="H1536" s="42"/>
      <c r="I1536" s="42"/>
      <c r="J1536" s="42"/>
      <c r="K1536" s="42"/>
      <c r="L1536" s="42"/>
      <c r="M1536" s="42"/>
      <c r="N1536" s="42"/>
      <c r="O1536" s="47"/>
    </row>
    <row r="1537" spans="1:15" s="38" customFormat="1" ht="14.45" customHeight="1" outlineLevel="1" x14ac:dyDescent="0.25">
      <c r="A1537" s="140" t="s">
        <v>940</v>
      </c>
      <c r="B1537" s="141" t="s">
        <v>941</v>
      </c>
      <c r="C1537" s="130">
        <f>SUM(N1537:N1543)</f>
        <v>0</v>
      </c>
      <c r="D1537" s="130">
        <f>SUM(O1537:O1543)</f>
        <v>0</v>
      </c>
      <c r="E1537" s="130">
        <f t="shared" ref="E1537:E1544" si="473">D1537/8</f>
        <v>0</v>
      </c>
      <c r="F1537" s="130"/>
      <c r="G1537" s="60" t="s">
        <v>125</v>
      </c>
      <c r="H1537" s="123"/>
      <c r="I1537" s="123"/>
      <c r="J1537" s="60"/>
      <c r="K1537" s="60"/>
      <c r="L1537" s="60"/>
      <c r="M1537" s="60"/>
      <c r="N1537" s="60">
        <f>M1537*J1537*K1537*L1537</f>
        <v>0</v>
      </c>
      <c r="O1537" s="60">
        <f>J1537*K1537*L1537</f>
        <v>0</v>
      </c>
    </row>
    <row r="1538" spans="1:15" s="38" customFormat="1" ht="11.45" customHeight="1" outlineLevel="1" x14ac:dyDescent="0.25">
      <c r="A1538" s="124"/>
      <c r="B1538" s="142"/>
      <c r="C1538" s="115"/>
      <c r="D1538" s="115"/>
      <c r="E1538" s="115"/>
      <c r="F1538" s="115"/>
      <c r="G1538" s="60" t="s">
        <v>126</v>
      </c>
      <c r="H1538" s="124"/>
      <c r="I1538" s="124"/>
      <c r="J1538" s="60"/>
      <c r="K1538" s="60"/>
      <c r="L1538" s="60"/>
      <c r="M1538" s="60"/>
      <c r="N1538" s="60">
        <f t="shared" ref="N1538:N1543" si="474">M1538*J1538*K1538*L1538</f>
        <v>0</v>
      </c>
      <c r="O1538" s="60">
        <f t="shared" ref="O1538:O1543" si="475">J1538*K1538*L1538</f>
        <v>0</v>
      </c>
    </row>
    <row r="1539" spans="1:15" s="38" customFormat="1" ht="10.7" customHeight="1" outlineLevel="1" x14ac:dyDescent="0.25">
      <c r="A1539" s="124"/>
      <c r="B1539" s="142"/>
      <c r="C1539" s="115"/>
      <c r="D1539" s="115"/>
      <c r="E1539" s="115"/>
      <c r="F1539" s="115"/>
      <c r="G1539" s="60" t="s">
        <v>127</v>
      </c>
      <c r="H1539" s="124"/>
      <c r="I1539" s="124"/>
      <c r="J1539" s="60"/>
      <c r="K1539" s="60"/>
      <c r="L1539" s="60"/>
      <c r="M1539" s="60"/>
      <c r="N1539" s="60">
        <f t="shared" si="474"/>
        <v>0</v>
      </c>
      <c r="O1539" s="60">
        <f t="shared" si="475"/>
        <v>0</v>
      </c>
    </row>
    <row r="1540" spans="1:15" s="38" customFormat="1" ht="10.7" customHeight="1" outlineLevel="1" x14ac:dyDescent="0.25">
      <c r="A1540" s="124"/>
      <c r="B1540" s="142"/>
      <c r="C1540" s="115"/>
      <c r="D1540" s="115"/>
      <c r="E1540" s="115"/>
      <c r="F1540" s="115"/>
      <c r="G1540" s="60" t="s">
        <v>128</v>
      </c>
      <c r="H1540" s="124"/>
      <c r="I1540" s="124"/>
      <c r="J1540" s="60"/>
      <c r="K1540" s="60"/>
      <c r="L1540" s="60"/>
      <c r="M1540" s="60"/>
      <c r="N1540" s="60">
        <f t="shared" si="474"/>
        <v>0</v>
      </c>
      <c r="O1540" s="60">
        <f t="shared" si="475"/>
        <v>0</v>
      </c>
    </row>
    <row r="1541" spans="1:15" s="38" customFormat="1" ht="10.7" customHeight="1" outlineLevel="1" x14ac:dyDescent="0.25">
      <c r="A1541" s="124"/>
      <c r="B1541" s="142"/>
      <c r="C1541" s="115"/>
      <c r="D1541" s="115"/>
      <c r="E1541" s="115"/>
      <c r="F1541" s="115"/>
      <c r="G1541" s="60" t="s">
        <v>129</v>
      </c>
      <c r="H1541" s="124"/>
      <c r="I1541" s="124"/>
      <c r="J1541" s="60"/>
      <c r="K1541" s="60"/>
      <c r="L1541" s="60"/>
      <c r="M1541" s="60"/>
      <c r="N1541" s="60">
        <f t="shared" si="474"/>
        <v>0</v>
      </c>
      <c r="O1541" s="60">
        <f t="shared" si="475"/>
        <v>0</v>
      </c>
    </row>
    <row r="1542" spans="1:15" s="38" customFormat="1" ht="10.7" customHeight="1" outlineLevel="1" x14ac:dyDescent="0.25">
      <c r="A1542" s="124"/>
      <c r="B1542" s="142"/>
      <c r="C1542" s="115"/>
      <c r="D1542" s="115"/>
      <c r="E1542" s="115"/>
      <c r="F1542" s="115"/>
      <c r="G1542" s="60" t="s">
        <v>130</v>
      </c>
      <c r="H1542" s="124"/>
      <c r="I1542" s="124"/>
      <c r="J1542" s="60"/>
      <c r="K1542" s="60"/>
      <c r="L1542" s="60"/>
      <c r="M1542" s="60"/>
      <c r="N1542" s="60">
        <f t="shared" si="474"/>
        <v>0</v>
      </c>
      <c r="O1542" s="60">
        <f t="shared" si="475"/>
        <v>0</v>
      </c>
    </row>
    <row r="1543" spans="1:15" s="38" customFormat="1" ht="12" customHeight="1" outlineLevel="1" thickBot="1" x14ac:dyDescent="0.3">
      <c r="A1543" s="125"/>
      <c r="B1543" s="143"/>
      <c r="C1543" s="131"/>
      <c r="D1543" s="131"/>
      <c r="E1543" s="131"/>
      <c r="F1543" s="131"/>
      <c r="G1543" s="60" t="s">
        <v>131</v>
      </c>
      <c r="H1543" s="134"/>
      <c r="I1543" s="134"/>
      <c r="J1543" s="60"/>
      <c r="K1543" s="60"/>
      <c r="L1543" s="60"/>
      <c r="M1543" s="60"/>
      <c r="N1543" s="60">
        <f t="shared" si="474"/>
        <v>0</v>
      </c>
      <c r="O1543" s="60">
        <f t="shared" si="475"/>
        <v>0</v>
      </c>
    </row>
    <row r="1544" spans="1:15" s="38" customFormat="1" ht="14.45" customHeight="1" outlineLevel="1" x14ac:dyDescent="0.25">
      <c r="A1544" s="140" t="s">
        <v>942</v>
      </c>
      <c r="B1544" s="141" t="s">
        <v>943</v>
      </c>
      <c r="C1544" s="130">
        <f>SUM(N1544:N1550)</f>
        <v>0</v>
      </c>
      <c r="D1544" s="130">
        <f>SUM(O1544:O1550)</f>
        <v>0</v>
      </c>
      <c r="E1544" s="130">
        <f t="shared" si="473"/>
        <v>0</v>
      </c>
      <c r="F1544" s="130"/>
      <c r="G1544" s="60" t="s">
        <v>125</v>
      </c>
      <c r="H1544" s="123"/>
      <c r="I1544" s="123"/>
      <c r="J1544" s="60"/>
      <c r="K1544" s="60"/>
      <c r="L1544" s="60"/>
      <c r="M1544" s="60"/>
      <c r="N1544" s="60">
        <f>M1544*J1544*K1544*L1544</f>
        <v>0</v>
      </c>
      <c r="O1544" s="60">
        <f>J1544*K1544*L1544</f>
        <v>0</v>
      </c>
    </row>
    <row r="1545" spans="1:15" s="38" customFormat="1" ht="11.45" customHeight="1" outlineLevel="1" x14ac:dyDescent="0.25">
      <c r="A1545" s="124"/>
      <c r="B1545" s="142"/>
      <c r="C1545" s="115"/>
      <c r="D1545" s="115"/>
      <c r="E1545" s="115"/>
      <c r="F1545" s="115"/>
      <c r="G1545" s="60" t="s">
        <v>126</v>
      </c>
      <c r="H1545" s="124"/>
      <c r="I1545" s="124"/>
      <c r="J1545" s="60"/>
      <c r="K1545" s="60"/>
      <c r="L1545" s="60"/>
      <c r="M1545" s="60"/>
      <c r="N1545" s="60">
        <f t="shared" ref="N1545:N1550" si="476">M1545*J1545*K1545*L1545</f>
        <v>0</v>
      </c>
      <c r="O1545" s="60">
        <f t="shared" ref="O1545:O1550" si="477">J1545*K1545*L1545</f>
        <v>0</v>
      </c>
    </row>
    <row r="1546" spans="1:15" s="38" customFormat="1" ht="10.7" customHeight="1" outlineLevel="1" x14ac:dyDescent="0.25">
      <c r="A1546" s="124"/>
      <c r="B1546" s="142"/>
      <c r="C1546" s="115"/>
      <c r="D1546" s="115"/>
      <c r="E1546" s="115"/>
      <c r="F1546" s="115"/>
      <c r="G1546" s="60" t="s">
        <v>127</v>
      </c>
      <c r="H1546" s="124"/>
      <c r="I1546" s="124"/>
      <c r="J1546" s="60"/>
      <c r="K1546" s="60"/>
      <c r="L1546" s="60"/>
      <c r="M1546" s="60"/>
      <c r="N1546" s="60">
        <f t="shared" si="476"/>
        <v>0</v>
      </c>
      <c r="O1546" s="60">
        <f t="shared" si="477"/>
        <v>0</v>
      </c>
    </row>
    <row r="1547" spans="1:15" s="38" customFormat="1" ht="10.7" customHeight="1" outlineLevel="1" x14ac:dyDescent="0.25">
      <c r="A1547" s="124"/>
      <c r="B1547" s="142"/>
      <c r="C1547" s="115"/>
      <c r="D1547" s="115"/>
      <c r="E1547" s="115"/>
      <c r="F1547" s="115"/>
      <c r="G1547" s="60" t="s">
        <v>128</v>
      </c>
      <c r="H1547" s="124"/>
      <c r="I1547" s="124"/>
      <c r="J1547" s="60"/>
      <c r="K1547" s="60"/>
      <c r="L1547" s="60"/>
      <c r="M1547" s="60"/>
      <c r="N1547" s="60">
        <f t="shared" si="476"/>
        <v>0</v>
      </c>
      <c r="O1547" s="60">
        <f t="shared" si="477"/>
        <v>0</v>
      </c>
    </row>
    <row r="1548" spans="1:15" s="38" customFormat="1" ht="10.7" customHeight="1" outlineLevel="1" x14ac:dyDescent="0.25">
      <c r="A1548" s="124"/>
      <c r="B1548" s="142"/>
      <c r="C1548" s="115"/>
      <c r="D1548" s="115"/>
      <c r="E1548" s="115"/>
      <c r="F1548" s="115"/>
      <c r="G1548" s="60" t="s">
        <v>129</v>
      </c>
      <c r="H1548" s="124"/>
      <c r="I1548" s="124"/>
      <c r="J1548" s="60"/>
      <c r="K1548" s="60"/>
      <c r="L1548" s="60"/>
      <c r="M1548" s="60"/>
      <c r="N1548" s="60">
        <f t="shared" si="476"/>
        <v>0</v>
      </c>
      <c r="O1548" s="60">
        <f t="shared" si="477"/>
        <v>0</v>
      </c>
    </row>
    <row r="1549" spans="1:15" s="38" customFormat="1" ht="10.7" customHeight="1" outlineLevel="1" x14ac:dyDescent="0.25">
      <c r="A1549" s="124"/>
      <c r="B1549" s="142"/>
      <c r="C1549" s="115"/>
      <c r="D1549" s="115"/>
      <c r="E1549" s="115"/>
      <c r="F1549" s="115"/>
      <c r="G1549" s="60" t="s">
        <v>130</v>
      </c>
      <c r="H1549" s="124"/>
      <c r="I1549" s="124"/>
      <c r="J1549" s="60"/>
      <c r="K1549" s="60"/>
      <c r="L1549" s="60"/>
      <c r="M1549" s="60"/>
      <c r="N1549" s="60">
        <f t="shared" si="476"/>
        <v>0</v>
      </c>
      <c r="O1549" s="60">
        <f t="shared" si="477"/>
        <v>0</v>
      </c>
    </row>
    <row r="1550" spans="1:15" s="38" customFormat="1" ht="12" customHeight="1" outlineLevel="1" thickBot="1" x14ac:dyDescent="0.3">
      <c r="A1550" s="125"/>
      <c r="B1550" s="143"/>
      <c r="C1550" s="131"/>
      <c r="D1550" s="131"/>
      <c r="E1550" s="131"/>
      <c r="F1550" s="131"/>
      <c r="G1550" s="60" t="s">
        <v>131</v>
      </c>
      <c r="H1550" s="134"/>
      <c r="I1550" s="134"/>
      <c r="J1550" s="60"/>
      <c r="K1550" s="60"/>
      <c r="L1550" s="60"/>
      <c r="M1550" s="60"/>
      <c r="N1550" s="60">
        <f t="shared" si="476"/>
        <v>0</v>
      </c>
      <c r="O1550" s="60">
        <f t="shared" si="477"/>
        <v>0</v>
      </c>
    </row>
    <row r="1551" spans="1:15" s="39" customFormat="1" ht="15.75" x14ac:dyDescent="0.25">
      <c r="A1551" s="40" t="s">
        <v>944</v>
      </c>
      <c r="B1551" s="41" t="s">
        <v>945</v>
      </c>
      <c r="C1551" s="42">
        <f>SUM(C1552)</f>
        <v>0</v>
      </c>
      <c r="D1551" s="42">
        <f>SUM(D1552)</f>
        <v>0</v>
      </c>
      <c r="E1551" s="42">
        <f>SUM(E1552)</f>
        <v>0</v>
      </c>
      <c r="F1551" s="42"/>
      <c r="G1551" s="42"/>
      <c r="H1551" s="42"/>
      <c r="I1551" s="42"/>
      <c r="J1551" s="42"/>
      <c r="K1551" s="42"/>
      <c r="L1551" s="42"/>
      <c r="M1551" s="42"/>
      <c r="N1551" s="42"/>
      <c r="O1551" s="47"/>
    </row>
    <row r="1552" spans="1:15" s="38" customFormat="1" ht="14.45" customHeight="1" outlineLevel="1" x14ac:dyDescent="0.25">
      <c r="A1552" s="140" t="s">
        <v>946</v>
      </c>
      <c r="B1552" s="141" t="s">
        <v>504</v>
      </c>
      <c r="C1552" s="130">
        <f>SUM(N1552:N1558)</f>
        <v>0</v>
      </c>
      <c r="D1552" s="130">
        <f>SUM(O1552:O1558)</f>
        <v>0</v>
      </c>
      <c r="E1552" s="130">
        <f t="shared" ref="E1552" si="478">D1552/8</f>
        <v>0</v>
      </c>
      <c r="F1552" s="130"/>
      <c r="G1552" s="60" t="s">
        <v>125</v>
      </c>
      <c r="H1552" s="123"/>
      <c r="I1552" s="123"/>
      <c r="J1552" s="60"/>
      <c r="K1552" s="60"/>
      <c r="L1552" s="60"/>
      <c r="M1552" s="60"/>
      <c r="N1552" s="60">
        <f>M1552*J1552*K1552*L1552</f>
        <v>0</v>
      </c>
      <c r="O1552" s="60">
        <f>J1552*K1552*L1552</f>
        <v>0</v>
      </c>
    </row>
    <row r="1553" spans="1:15" s="38" customFormat="1" ht="11.45" customHeight="1" outlineLevel="1" x14ac:dyDescent="0.25">
      <c r="A1553" s="124"/>
      <c r="B1553" s="142"/>
      <c r="C1553" s="115"/>
      <c r="D1553" s="115"/>
      <c r="E1553" s="115"/>
      <c r="F1553" s="115"/>
      <c r="G1553" s="60" t="s">
        <v>126</v>
      </c>
      <c r="H1553" s="124"/>
      <c r="I1553" s="124"/>
      <c r="J1553" s="60"/>
      <c r="K1553" s="60"/>
      <c r="L1553" s="60"/>
      <c r="M1553" s="60"/>
      <c r="N1553" s="60">
        <f t="shared" ref="N1553:N1558" si="479">M1553*J1553*K1553*L1553</f>
        <v>0</v>
      </c>
      <c r="O1553" s="60">
        <f t="shared" ref="O1553:O1558" si="480">J1553*K1553*L1553</f>
        <v>0</v>
      </c>
    </row>
    <row r="1554" spans="1:15" s="38" customFormat="1" ht="10.7" customHeight="1" outlineLevel="1" x14ac:dyDescent="0.25">
      <c r="A1554" s="124"/>
      <c r="B1554" s="142"/>
      <c r="C1554" s="115"/>
      <c r="D1554" s="115"/>
      <c r="E1554" s="115"/>
      <c r="F1554" s="115"/>
      <c r="G1554" s="60" t="s">
        <v>127</v>
      </c>
      <c r="H1554" s="124"/>
      <c r="I1554" s="124"/>
      <c r="J1554" s="60"/>
      <c r="K1554" s="60"/>
      <c r="L1554" s="60"/>
      <c r="M1554" s="60"/>
      <c r="N1554" s="60">
        <f t="shared" si="479"/>
        <v>0</v>
      </c>
      <c r="O1554" s="60">
        <f t="shared" si="480"/>
        <v>0</v>
      </c>
    </row>
    <row r="1555" spans="1:15" s="38" customFormat="1" ht="10.7" customHeight="1" outlineLevel="1" x14ac:dyDescent="0.25">
      <c r="A1555" s="124"/>
      <c r="B1555" s="142"/>
      <c r="C1555" s="115"/>
      <c r="D1555" s="115"/>
      <c r="E1555" s="115"/>
      <c r="F1555" s="115"/>
      <c r="G1555" s="60" t="s">
        <v>128</v>
      </c>
      <c r="H1555" s="124"/>
      <c r="I1555" s="124"/>
      <c r="J1555" s="60"/>
      <c r="K1555" s="60"/>
      <c r="L1555" s="60"/>
      <c r="M1555" s="60"/>
      <c r="N1555" s="60">
        <f t="shared" si="479"/>
        <v>0</v>
      </c>
      <c r="O1555" s="60">
        <f t="shared" si="480"/>
        <v>0</v>
      </c>
    </row>
    <row r="1556" spans="1:15" s="38" customFormat="1" ht="10.7" customHeight="1" outlineLevel="1" x14ac:dyDescent="0.25">
      <c r="A1556" s="124"/>
      <c r="B1556" s="142"/>
      <c r="C1556" s="115"/>
      <c r="D1556" s="115"/>
      <c r="E1556" s="115"/>
      <c r="F1556" s="115"/>
      <c r="G1556" s="60" t="s">
        <v>129</v>
      </c>
      <c r="H1556" s="124"/>
      <c r="I1556" s="124"/>
      <c r="J1556" s="60"/>
      <c r="K1556" s="60"/>
      <c r="L1556" s="60"/>
      <c r="M1556" s="60"/>
      <c r="N1556" s="60">
        <f t="shared" si="479"/>
        <v>0</v>
      </c>
      <c r="O1556" s="60">
        <f t="shared" si="480"/>
        <v>0</v>
      </c>
    </row>
    <row r="1557" spans="1:15" s="38" customFormat="1" ht="10.7" customHeight="1" outlineLevel="1" x14ac:dyDescent="0.25">
      <c r="A1557" s="124"/>
      <c r="B1557" s="142"/>
      <c r="C1557" s="115"/>
      <c r="D1557" s="115"/>
      <c r="E1557" s="115"/>
      <c r="F1557" s="115"/>
      <c r="G1557" s="60" t="s">
        <v>130</v>
      </c>
      <c r="H1557" s="124"/>
      <c r="I1557" s="124"/>
      <c r="J1557" s="60"/>
      <c r="K1557" s="60"/>
      <c r="L1557" s="60"/>
      <c r="M1557" s="60"/>
      <c r="N1557" s="60">
        <f t="shared" si="479"/>
        <v>0</v>
      </c>
      <c r="O1557" s="60">
        <f t="shared" si="480"/>
        <v>0</v>
      </c>
    </row>
    <row r="1558" spans="1:15" s="38" customFormat="1" ht="12" customHeight="1" outlineLevel="1" thickBot="1" x14ac:dyDescent="0.3">
      <c r="A1558" s="125"/>
      <c r="B1558" s="143"/>
      <c r="C1558" s="131"/>
      <c r="D1558" s="131"/>
      <c r="E1558" s="131"/>
      <c r="F1558" s="131"/>
      <c r="G1558" s="60" t="s">
        <v>131</v>
      </c>
      <c r="H1558" s="134"/>
      <c r="I1558" s="134"/>
      <c r="J1558" s="60"/>
      <c r="K1558" s="60"/>
      <c r="L1558" s="60"/>
      <c r="M1558" s="60"/>
      <c r="N1558" s="60">
        <f t="shared" si="479"/>
        <v>0</v>
      </c>
      <c r="O1558" s="60">
        <f t="shared" si="480"/>
        <v>0</v>
      </c>
    </row>
    <row r="1559" spans="1:15" s="39" customFormat="1" ht="15.75" x14ac:dyDescent="0.25">
      <c r="A1559" s="40" t="s">
        <v>947</v>
      </c>
      <c r="B1559" s="41" t="s">
        <v>948</v>
      </c>
      <c r="C1559" s="42">
        <f>SUM(C1560:C1608)</f>
        <v>0</v>
      </c>
      <c r="D1559" s="42">
        <f>SUM(D1560:D1608)</f>
        <v>0</v>
      </c>
      <c r="E1559" s="42">
        <f>SUM(E1560:E1608)</f>
        <v>0</v>
      </c>
      <c r="F1559" s="42"/>
      <c r="G1559" s="42"/>
      <c r="H1559" s="42"/>
      <c r="I1559" s="42"/>
      <c r="J1559" s="42"/>
      <c r="K1559" s="42"/>
      <c r="L1559" s="42"/>
      <c r="M1559" s="42"/>
      <c r="N1559" s="42"/>
      <c r="O1559" s="47"/>
    </row>
    <row r="1560" spans="1:15" s="38" customFormat="1" ht="14.45" customHeight="1" outlineLevel="1" x14ac:dyDescent="0.25">
      <c r="A1560" s="140" t="s">
        <v>949</v>
      </c>
      <c r="B1560" s="141" t="s">
        <v>950</v>
      </c>
      <c r="C1560" s="130">
        <f>SUM(N1560:N1566)</f>
        <v>0</v>
      </c>
      <c r="D1560" s="130">
        <f>SUM(O1560:O1566)</f>
        <v>0</v>
      </c>
      <c r="E1560" s="130">
        <f t="shared" ref="E1560:E1602" si="481">D1560/8</f>
        <v>0</v>
      </c>
      <c r="F1560" s="130"/>
      <c r="G1560" s="60" t="s">
        <v>125</v>
      </c>
      <c r="H1560" s="123"/>
      <c r="I1560" s="123"/>
      <c r="J1560" s="60"/>
      <c r="K1560" s="60"/>
      <c r="L1560" s="60"/>
      <c r="M1560" s="60"/>
      <c r="N1560" s="60">
        <f>M1560*J1560*K1560*L1560</f>
        <v>0</v>
      </c>
      <c r="O1560" s="60">
        <f>J1560*K1560*L1560</f>
        <v>0</v>
      </c>
    </row>
    <row r="1561" spans="1:15" s="38" customFormat="1" ht="11.45" customHeight="1" outlineLevel="1" x14ac:dyDescent="0.25">
      <c r="A1561" s="124"/>
      <c r="B1561" s="142"/>
      <c r="C1561" s="115"/>
      <c r="D1561" s="115"/>
      <c r="E1561" s="115"/>
      <c r="F1561" s="115"/>
      <c r="G1561" s="60" t="s">
        <v>126</v>
      </c>
      <c r="H1561" s="124"/>
      <c r="I1561" s="124"/>
      <c r="J1561" s="60"/>
      <c r="K1561" s="60"/>
      <c r="L1561" s="60"/>
      <c r="M1561" s="60"/>
      <c r="N1561" s="60">
        <f t="shared" ref="N1561:N1566" si="482">M1561*J1561*K1561*L1561</f>
        <v>0</v>
      </c>
      <c r="O1561" s="60">
        <f t="shared" ref="O1561:O1566" si="483">J1561*K1561*L1561</f>
        <v>0</v>
      </c>
    </row>
    <row r="1562" spans="1:15" s="38" customFormat="1" ht="10.7" customHeight="1" outlineLevel="1" x14ac:dyDescent="0.25">
      <c r="A1562" s="124"/>
      <c r="B1562" s="142"/>
      <c r="C1562" s="115"/>
      <c r="D1562" s="115"/>
      <c r="E1562" s="115"/>
      <c r="F1562" s="115"/>
      <c r="G1562" s="60" t="s">
        <v>127</v>
      </c>
      <c r="H1562" s="124"/>
      <c r="I1562" s="124"/>
      <c r="J1562" s="60"/>
      <c r="K1562" s="60"/>
      <c r="L1562" s="60"/>
      <c r="M1562" s="60"/>
      <c r="N1562" s="60">
        <f t="shared" si="482"/>
        <v>0</v>
      </c>
      <c r="O1562" s="60">
        <f t="shared" si="483"/>
        <v>0</v>
      </c>
    </row>
    <row r="1563" spans="1:15" s="38" customFormat="1" ht="10.7" customHeight="1" outlineLevel="1" x14ac:dyDescent="0.25">
      <c r="A1563" s="124"/>
      <c r="B1563" s="142"/>
      <c r="C1563" s="115"/>
      <c r="D1563" s="115"/>
      <c r="E1563" s="115"/>
      <c r="F1563" s="115"/>
      <c r="G1563" s="60" t="s">
        <v>128</v>
      </c>
      <c r="H1563" s="124"/>
      <c r="I1563" s="124"/>
      <c r="J1563" s="60"/>
      <c r="K1563" s="60"/>
      <c r="L1563" s="60"/>
      <c r="M1563" s="60"/>
      <c r="N1563" s="60">
        <f t="shared" si="482"/>
        <v>0</v>
      </c>
      <c r="O1563" s="60">
        <f t="shared" si="483"/>
        <v>0</v>
      </c>
    </row>
    <row r="1564" spans="1:15" s="38" customFormat="1" ht="10.7" customHeight="1" outlineLevel="1" x14ac:dyDescent="0.25">
      <c r="A1564" s="124"/>
      <c r="B1564" s="142"/>
      <c r="C1564" s="115"/>
      <c r="D1564" s="115"/>
      <c r="E1564" s="115"/>
      <c r="F1564" s="115"/>
      <c r="G1564" s="60" t="s">
        <v>129</v>
      </c>
      <c r="H1564" s="124"/>
      <c r="I1564" s="124"/>
      <c r="J1564" s="60"/>
      <c r="K1564" s="60"/>
      <c r="L1564" s="60"/>
      <c r="M1564" s="60"/>
      <c r="N1564" s="60">
        <f t="shared" si="482"/>
        <v>0</v>
      </c>
      <c r="O1564" s="60">
        <f t="shared" si="483"/>
        <v>0</v>
      </c>
    </row>
    <row r="1565" spans="1:15" s="38" customFormat="1" ht="10.7" customHeight="1" outlineLevel="1" x14ac:dyDescent="0.25">
      <c r="A1565" s="124"/>
      <c r="B1565" s="142"/>
      <c r="C1565" s="115"/>
      <c r="D1565" s="115"/>
      <c r="E1565" s="115"/>
      <c r="F1565" s="115"/>
      <c r="G1565" s="60" t="s">
        <v>130</v>
      </c>
      <c r="H1565" s="124"/>
      <c r="I1565" s="124"/>
      <c r="J1565" s="60"/>
      <c r="K1565" s="60"/>
      <c r="L1565" s="60"/>
      <c r="M1565" s="60"/>
      <c r="N1565" s="60">
        <f t="shared" si="482"/>
        <v>0</v>
      </c>
      <c r="O1565" s="60">
        <f t="shared" si="483"/>
        <v>0</v>
      </c>
    </row>
    <row r="1566" spans="1:15" s="38" customFormat="1" ht="12" customHeight="1" outlineLevel="1" thickBot="1" x14ac:dyDescent="0.3">
      <c r="A1566" s="125"/>
      <c r="B1566" s="143"/>
      <c r="C1566" s="131"/>
      <c r="D1566" s="131"/>
      <c r="E1566" s="131"/>
      <c r="F1566" s="131"/>
      <c r="G1566" s="60" t="s">
        <v>131</v>
      </c>
      <c r="H1566" s="134"/>
      <c r="I1566" s="134"/>
      <c r="J1566" s="60"/>
      <c r="K1566" s="60"/>
      <c r="L1566" s="60"/>
      <c r="M1566" s="60"/>
      <c r="N1566" s="60">
        <f t="shared" si="482"/>
        <v>0</v>
      </c>
      <c r="O1566" s="60">
        <f t="shared" si="483"/>
        <v>0</v>
      </c>
    </row>
    <row r="1567" spans="1:15" s="38" customFormat="1" ht="14.45" customHeight="1" outlineLevel="1" x14ac:dyDescent="0.25">
      <c r="A1567" s="140" t="s">
        <v>951</v>
      </c>
      <c r="B1567" s="141" t="s">
        <v>952</v>
      </c>
      <c r="C1567" s="130">
        <f>SUM(N1567:N1573)</f>
        <v>0</v>
      </c>
      <c r="D1567" s="130">
        <f>SUM(O1567:O1573)</f>
        <v>0</v>
      </c>
      <c r="E1567" s="130">
        <f t="shared" si="481"/>
        <v>0</v>
      </c>
      <c r="F1567" s="130"/>
      <c r="G1567" s="60" t="s">
        <v>125</v>
      </c>
      <c r="H1567" s="123"/>
      <c r="I1567" s="123"/>
      <c r="J1567" s="60"/>
      <c r="K1567" s="60"/>
      <c r="L1567" s="60"/>
      <c r="M1567" s="60"/>
      <c r="N1567" s="60">
        <f>M1567*J1567*K1567*L1567</f>
        <v>0</v>
      </c>
      <c r="O1567" s="60">
        <f>J1567*K1567*L1567</f>
        <v>0</v>
      </c>
    </row>
    <row r="1568" spans="1:15" s="38" customFormat="1" ht="11.45" customHeight="1" outlineLevel="1" x14ac:dyDescent="0.25">
      <c r="A1568" s="124"/>
      <c r="B1568" s="142"/>
      <c r="C1568" s="115"/>
      <c r="D1568" s="115"/>
      <c r="E1568" s="115"/>
      <c r="F1568" s="115"/>
      <c r="G1568" s="60" t="s">
        <v>126</v>
      </c>
      <c r="H1568" s="124"/>
      <c r="I1568" s="124"/>
      <c r="J1568" s="60"/>
      <c r="K1568" s="60"/>
      <c r="L1568" s="60"/>
      <c r="M1568" s="60"/>
      <c r="N1568" s="60">
        <f t="shared" ref="N1568:N1573" si="484">M1568*J1568*K1568*L1568</f>
        <v>0</v>
      </c>
      <c r="O1568" s="60">
        <f t="shared" ref="O1568:O1573" si="485">J1568*K1568*L1568</f>
        <v>0</v>
      </c>
    </row>
    <row r="1569" spans="1:15" s="38" customFormat="1" ht="10.7" customHeight="1" outlineLevel="1" x14ac:dyDescent="0.25">
      <c r="A1569" s="124"/>
      <c r="B1569" s="142"/>
      <c r="C1569" s="115"/>
      <c r="D1569" s="115"/>
      <c r="E1569" s="115"/>
      <c r="F1569" s="115"/>
      <c r="G1569" s="60" t="s">
        <v>127</v>
      </c>
      <c r="H1569" s="124"/>
      <c r="I1569" s="124"/>
      <c r="J1569" s="60"/>
      <c r="K1569" s="60"/>
      <c r="L1569" s="60"/>
      <c r="M1569" s="60"/>
      <c r="N1569" s="60">
        <f t="shared" si="484"/>
        <v>0</v>
      </c>
      <c r="O1569" s="60">
        <f t="shared" si="485"/>
        <v>0</v>
      </c>
    </row>
    <row r="1570" spans="1:15" s="38" customFormat="1" ht="10.7" customHeight="1" outlineLevel="1" x14ac:dyDescent="0.25">
      <c r="A1570" s="124"/>
      <c r="B1570" s="142"/>
      <c r="C1570" s="115"/>
      <c r="D1570" s="115"/>
      <c r="E1570" s="115"/>
      <c r="F1570" s="115"/>
      <c r="G1570" s="60" t="s">
        <v>128</v>
      </c>
      <c r="H1570" s="124"/>
      <c r="I1570" s="124"/>
      <c r="J1570" s="60"/>
      <c r="K1570" s="60"/>
      <c r="L1570" s="60"/>
      <c r="M1570" s="60"/>
      <c r="N1570" s="60">
        <f t="shared" si="484"/>
        <v>0</v>
      </c>
      <c r="O1570" s="60">
        <f t="shared" si="485"/>
        <v>0</v>
      </c>
    </row>
    <row r="1571" spans="1:15" s="38" customFormat="1" ht="10.7" customHeight="1" outlineLevel="1" x14ac:dyDescent="0.25">
      <c r="A1571" s="124"/>
      <c r="B1571" s="142"/>
      <c r="C1571" s="115"/>
      <c r="D1571" s="115"/>
      <c r="E1571" s="115"/>
      <c r="F1571" s="115"/>
      <c r="G1571" s="60" t="s">
        <v>129</v>
      </c>
      <c r="H1571" s="124"/>
      <c r="I1571" s="124"/>
      <c r="J1571" s="60"/>
      <c r="K1571" s="60"/>
      <c r="L1571" s="60"/>
      <c r="M1571" s="60"/>
      <c r="N1571" s="60">
        <f t="shared" si="484"/>
        <v>0</v>
      </c>
      <c r="O1571" s="60">
        <f t="shared" si="485"/>
        <v>0</v>
      </c>
    </row>
    <row r="1572" spans="1:15" s="38" customFormat="1" ht="10.7" customHeight="1" outlineLevel="1" x14ac:dyDescent="0.25">
      <c r="A1572" s="124"/>
      <c r="B1572" s="142"/>
      <c r="C1572" s="115"/>
      <c r="D1572" s="115"/>
      <c r="E1572" s="115"/>
      <c r="F1572" s="115"/>
      <c r="G1572" s="60" t="s">
        <v>130</v>
      </c>
      <c r="H1572" s="124"/>
      <c r="I1572" s="124"/>
      <c r="J1572" s="60"/>
      <c r="K1572" s="60"/>
      <c r="L1572" s="60"/>
      <c r="M1572" s="60"/>
      <c r="N1572" s="60">
        <f t="shared" si="484"/>
        <v>0</v>
      </c>
      <c r="O1572" s="60">
        <f t="shared" si="485"/>
        <v>0</v>
      </c>
    </row>
    <row r="1573" spans="1:15" s="38" customFormat="1" ht="12" customHeight="1" outlineLevel="1" thickBot="1" x14ac:dyDescent="0.3">
      <c r="A1573" s="125"/>
      <c r="B1573" s="143"/>
      <c r="C1573" s="131"/>
      <c r="D1573" s="131"/>
      <c r="E1573" s="131"/>
      <c r="F1573" s="131"/>
      <c r="G1573" s="60" t="s">
        <v>131</v>
      </c>
      <c r="H1573" s="134"/>
      <c r="I1573" s="134"/>
      <c r="J1573" s="60"/>
      <c r="K1573" s="60"/>
      <c r="L1573" s="60"/>
      <c r="M1573" s="60"/>
      <c r="N1573" s="60">
        <f t="shared" si="484"/>
        <v>0</v>
      </c>
      <c r="O1573" s="60">
        <f t="shared" si="485"/>
        <v>0</v>
      </c>
    </row>
    <row r="1574" spans="1:15" s="38" customFormat="1" ht="14.45" customHeight="1" outlineLevel="1" x14ac:dyDescent="0.25">
      <c r="A1574" s="140" t="s">
        <v>953</v>
      </c>
      <c r="B1574" s="141" t="s">
        <v>954</v>
      </c>
      <c r="C1574" s="130">
        <f>SUM(N1574:N1580)</f>
        <v>0</v>
      </c>
      <c r="D1574" s="130">
        <f>SUM(O1574:O1580)</f>
        <v>0</v>
      </c>
      <c r="E1574" s="130">
        <f t="shared" si="481"/>
        <v>0</v>
      </c>
      <c r="F1574" s="130"/>
      <c r="G1574" s="60" t="s">
        <v>125</v>
      </c>
      <c r="H1574" s="123"/>
      <c r="I1574" s="123"/>
      <c r="J1574" s="60"/>
      <c r="K1574" s="60"/>
      <c r="L1574" s="60"/>
      <c r="M1574" s="60"/>
      <c r="N1574" s="60">
        <f>M1574*J1574*K1574*L1574</f>
        <v>0</v>
      </c>
      <c r="O1574" s="60">
        <f>J1574*K1574*L1574</f>
        <v>0</v>
      </c>
    </row>
    <row r="1575" spans="1:15" s="38" customFormat="1" ht="11.45" customHeight="1" outlineLevel="1" x14ac:dyDescent="0.25">
      <c r="A1575" s="124"/>
      <c r="B1575" s="142"/>
      <c r="C1575" s="115"/>
      <c r="D1575" s="115"/>
      <c r="E1575" s="115"/>
      <c r="F1575" s="115"/>
      <c r="G1575" s="60" t="s">
        <v>126</v>
      </c>
      <c r="H1575" s="124"/>
      <c r="I1575" s="124"/>
      <c r="J1575" s="60"/>
      <c r="K1575" s="60"/>
      <c r="L1575" s="60"/>
      <c r="M1575" s="60"/>
      <c r="N1575" s="60">
        <f t="shared" ref="N1575:N1580" si="486">M1575*J1575*K1575*L1575</f>
        <v>0</v>
      </c>
      <c r="O1575" s="60">
        <f t="shared" ref="O1575:O1580" si="487">J1575*K1575*L1575</f>
        <v>0</v>
      </c>
    </row>
    <row r="1576" spans="1:15" s="38" customFormat="1" ht="10.7" customHeight="1" outlineLevel="1" x14ac:dyDescent="0.25">
      <c r="A1576" s="124"/>
      <c r="B1576" s="142"/>
      <c r="C1576" s="115"/>
      <c r="D1576" s="115"/>
      <c r="E1576" s="115"/>
      <c r="F1576" s="115"/>
      <c r="G1576" s="60" t="s">
        <v>127</v>
      </c>
      <c r="H1576" s="124"/>
      <c r="I1576" s="124"/>
      <c r="J1576" s="60"/>
      <c r="K1576" s="60"/>
      <c r="L1576" s="60"/>
      <c r="M1576" s="60"/>
      <c r="N1576" s="60">
        <f t="shared" si="486"/>
        <v>0</v>
      </c>
      <c r="O1576" s="60">
        <f t="shared" si="487"/>
        <v>0</v>
      </c>
    </row>
    <row r="1577" spans="1:15" s="38" customFormat="1" ht="10.7" customHeight="1" outlineLevel="1" x14ac:dyDescent="0.25">
      <c r="A1577" s="124"/>
      <c r="B1577" s="142"/>
      <c r="C1577" s="115"/>
      <c r="D1577" s="115"/>
      <c r="E1577" s="115"/>
      <c r="F1577" s="115"/>
      <c r="G1577" s="60" t="s">
        <v>128</v>
      </c>
      <c r="H1577" s="124"/>
      <c r="I1577" s="124"/>
      <c r="J1577" s="60"/>
      <c r="K1577" s="60"/>
      <c r="L1577" s="60"/>
      <c r="M1577" s="60"/>
      <c r="N1577" s="60">
        <f t="shared" si="486"/>
        <v>0</v>
      </c>
      <c r="O1577" s="60">
        <f t="shared" si="487"/>
        <v>0</v>
      </c>
    </row>
    <row r="1578" spans="1:15" s="38" customFormat="1" ht="10.7" customHeight="1" outlineLevel="1" x14ac:dyDescent="0.25">
      <c r="A1578" s="124"/>
      <c r="B1578" s="142"/>
      <c r="C1578" s="115"/>
      <c r="D1578" s="115"/>
      <c r="E1578" s="115"/>
      <c r="F1578" s="115"/>
      <c r="G1578" s="60" t="s">
        <v>129</v>
      </c>
      <c r="H1578" s="124"/>
      <c r="I1578" s="124"/>
      <c r="J1578" s="60"/>
      <c r="K1578" s="60"/>
      <c r="L1578" s="60"/>
      <c r="M1578" s="60"/>
      <c r="N1578" s="60">
        <f t="shared" si="486"/>
        <v>0</v>
      </c>
      <c r="O1578" s="60">
        <f t="shared" si="487"/>
        <v>0</v>
      </c>
    </row>
    <row r="1579" spans="1:15" s="38" customFormat="1" ht="10.7" customHeight="1" outlineLevel="1" x14ac:dyDescent="0.25">
      <c r="A1579" s="124"/>
      <c r="B1579" s="142"/>
      <c r="C1579" s="115"/>
      <c r="D1579" s="115"/>
      <c r="E1579" s="115"/>
      <c r="F1579" s="115"/>
      <c r="G1579" s="60" t="s">
        <v>130</v>
      </c>
      <c r="H1579" s="124"/>
      <c r="I1579" s="124"/>
      <c r="J1579" s="60"/>
      <c r="K1579" s="60"/>
      <c r="L1579" s="60"/>
      <c r="M1579" s="60"/>
      <c r="N1579" s="60">
        <f t="shared" si="486"/>
        <v>0</v>
      </c>
      <c r="O1579" s="60">
        <f t="shared" si="487"/>
        <v>0</v>
      </c>
    </row>
    <row r="1580" spans="1:15" s="38" customFormat="1" ht="12" customHeight="1" outlineLevel="1" thickBot="1" x14ac:dyDescent="0.3">
      <c r="A1580" s="125"/>
      <c r="B1580" s="143"/>
      <c r="C1580" s="131"/>
      <c r="D1580" s="131"/>
      <c r="E1580" s="131"/>
      <c r="F1580" s="131"/>
      <c r="G1580" s="60" t="s">
        <v>131</v>
      </c>
      <c r="H1580" s="134"/>
      <c r="I1580" s="134"/>
      <c r="J1580" s="60"/>
      <c r="K1580" s="60"/>
      <c r="L1580" s="60"/>
      <c r="M1580" s="60"/>
      <c r="N1580" s="60">
        <f t="shared" si="486"/>
        <v>0</v>
      </c>
      <c r="O1580" s="60">
        <f t="shared" si="487"/>
        <v>0</v>
      </c>
    </row>
    <row r="1581" spans="1:15" s="38" customFormat="1" ht="14.45" customHeight="1" outlineLevel="1" x14ac:dyDescent="0.25">
      <c r="A1581" s="140" t="s">
        <v>955</v>
      </c>
      <c r="B1581" s="141" t="s">
        <v>956</v>
      </c>
      <c r="C1581" s="130">
        <f>SUM(N1581:N1587)</f>
        <v>0</v>
      </c>
      <c r="D1581" s="130">
        <f>SUM(O1581:O1587)</f>
        <v>0</v>
      </c>
      <c r="E1581" s="130">
        <f t="shared" si="481"/>
        <v>0</v>
      </c>
      <c r="F1581" s="130"/>
      <c r="G1581" s="60" t="s">
        <v>125</v>
      </c>
      <c r="H1581" s="123"/>
      <c r="I1581" s="123"/>
      <c r="J1581" s="60"/>
      <c r="K1581" s="60"/>
      <c r="L1581" s="60"/>
      <c r="M1581" s="60"/>
      <c r="N1581" s="60">
        <f>M1581*J1581*K1581*L1581</f>
        <v>0</v>
      </c>
      <c r="O1581" s="60">
        <f>J1581*K1581*L1581</f>
        <v>0</v>
      </c>
    </row>
    <row r="1582" spans="1:15" s="38" customFormat="1" ht="11.45" customHeight="1" outlineLevel="1" x14ac:dyDescent="0.25">
      <c r="A1582" s="124"/>
      <c r="B1582" s="142"/>
      <c r="C1582" s="115"/>
      <c r="D1582" s="115"/>
      <c r="E1582" s="115"/>
      <c r="F1582" s="115"/>
      <c r="G1582" s="60" t="s">
        <v>126</v>
      </c>
      <c r="H1582" s="124"/>
      <c r="I1582" s="124"/>
      <c r="J1582" s="60"/>
      <c r="K1582" s="60"/>
      <c r="L1582" s="60"/>
      <c r="M1582" s="60"/>
      <c r="N1582" s="60">
        <f t="shared" ref="N1582:N1587" si="488">M1582*J1582*K1582*L1582</f>
        <v>0</v>
      </c>
      <c r="O1582" s="60">
        <f t="shared" ref="O1582:O1587" si="489">J1582*K1582*L1582</f>
        <v>0</v>
      </c>
    </row>
    <row r="1583" spans="1:15" s="38" customFormat="1" ht="10.7" customHeight="1" outlineLevel="1" x14ac:dyDescent="0.25">
      <c r="A1583" s="124"/>
      <c r="B1583" s="142"/>
      <c r="C1583" s="115"/>
      <c r="D1583" s="115"/>
      <c r="E1583" s="115"/>
      <c r="F1583" s="115"/>
      <c r="G1583" s="60" t="s">
        <v>127</v>
      </c>
      <c r="H1583" s="124"/>
      <c r="I1583" s="124"/>
      <c r="J1583" s="60"/>
      <c r="K1583" s="60"/>
      <c r="L1583" s="60"/>
      <c r="M1583" s="60"/>
      <c r="N1583" s="60">
        <f t="shared" si="488"/>
        <v>0</v>
      </c>
      <c r="O1583" s="60">
        <f t="shared" si="489"/>
        <v>0</v>
      </c>
    </row>
    <row r="1584" spans="1:15" s="38" customFormat="1" ht="10.7" customHeight="1" outlineLevel="1" x14ac:dyDescent="0.25">
      <c r="A1584" s="124"/>
      <c r="B1584" s="142"/>
      <c r="C1584" s="115"/>
      <c r="D1584" s="115"/>
      <c r="E1584" s="115"/>
      <c r="F1584" s="115"/>
      <c r="G1584" s="60" t="s">
        <v>128</v>
      </c>
      <c r="H1584" s="124"/>
      <c r="I1584" s="124"/>
      <c r="J1584" s="60"/>
      <c r="K1584" s="60"/>
      <c r="L1584" s="60"/>
      <c r="M1584" s="60"/>
      <c r="N1584" s="60">
        <f t="shared" si="488"/>
        <v>0</v>
      </c>
      <c r="O1584" s="60">
        <f t="shared" si="489"/>
        <v>0</v>
      </c>
    </row>
    <row r="1585" spans="1:15" s="38" customFormat="1" ht="10.7" customHeight="1" outlineLevel="1" x14ac:dyDescent="0.25">
      <c r="A1585" s="124"/>
      <c r="B1585" s="142"/>
      <c r="C1585" s="115"/>
      <c r="D1585" s="115"/>
      <c r="E1585" s="115"/>
      <c r="F1585" s="115"/>
      <c r="G1585" s="60" t="s">
        <v>129</v>
      </c>
      <c r="H1585" s="124"/>
      <c r="I1585" s="124"/>
      <c r="J1585" s="60"/>
      <c r="K1585" s="60"/>
      <c r="L1585" s="60"/>
      <c r="M1585" s="60"/>
      <c r="N1585" s="60">
        <f t="shared" si="488"/>
        <v>0</v>
      </c>
      <c r="O1585" s="60">
        <f t="shared" si="489"/>
        <v>0</v>
      </c>
    </row>
    <row r="1586" spans="1:15" s="38" customFormat="1" ht="10.7" customHeight="1" outlineLevel="1" x14ac:dyDescent="0.25">
      <c r="A1586" s="124"/>
      <c r="B1586" s="142"/>
      <c r="C1586" s="115"/>
      <c r="D1586" s="115"/>
      <c r="E1586" s="115"/>
      <c r="F1586" s="115"/>
      <c r="G1586" s="60" t="s">
        <v>130</v>
      </c>
      <c r="H1586" s="124"/>
      <c r="I1586" s="124"/>
      <c r="J1586" s="60"/>
      <c r="K1586" s="60"/>
      <c r="L1586" s="60"/>
      <c r="M1586" s="60"/>
      <c r="N1586" s="60">
        <f t="shared" si="488"/>
        <v>0</v>
      </c>
      <c r="O1586" s="60">
        <f t="shared" si="489"/>
        <v>0</v>
      </c>
    </row>
    <row r="1587" spans="1:15" s="38" customFormat="1" ht="12" customHeight="1" outlineLevel="1" thickBot="1" x14ac:dyDescent="0.3">
      <c r="A1587" s="125"/>
      <c r="B1587" s="143"/>
      <c r="C1587" s="131"/>
      <c r="D1587" s="131"/>
      <c r="E1587" s="131"/>
      <c r="F1587" s="131"/>
      <c r="G1587" s="60" t="s">
        <v>131</v>
      </c>
      <c r="H1587" s="134"/>
      <c r="I1587" s="134"/>
      <c r="J1587" s="60"/>
      <c r="K1587" s="60"/>
      <c r="L1587" s="60"/>
      <c r="M1587" s="60"/>
      <c r="N1587" s="60">
        <f t="shared" si="488"/>
        <v>0</v>
      </c>
      <c r="O1587" s="60">
        <f t="shared" si="489"/>
        <v>0</v>
      </c>
    </row>
    <row r="1588" spans="1:15" s="38" customFormat="1" ht="14.45" customHeight="1" outlineLevel="1" x14ac:dyDescent="0.25">
      <c r="A1588" s="140" t="s">
        <v>957</v>
      </c>
      <c r="B1588" s="141" t="s">
        <v>958</v>
      </c>
      <c r="C1588" s="130">
        <f>SUM(N1588:N1594)</f>
        <v>0</v>
      </c>
      <c r="D1588" s="130">
        <f>SUM(O1588:O1594)</f>
        <v>0</v>
      </c>
      <c r="E1588" s="130">
        <f t="shared" si="481"/>
        <v>0</v>
      </c>
      <c r="F1588" s="130"/>
      <c r="G1588" s="60" t="s">
        <v>125</v>
      </c>
      <c r="H1588" s="123"/>
      <c r="I1588" s="123"/>
      <c r="J1588" s="60"/>
      <c r="K1588" s="60"/>
      <c r="L1588" s="60"/>
      <c r="M1588" s="60"/>
      <c r="N1588" s="60">
        <f>M1588*J1588*K1588*L1588</f>
        <v>0</v>
      </c>
      <c r="O1588" s="60">
        <f>J1588*K1588*L1588</f>
        <v>0</v>
      </c>
    </row>
    <row r="1589" spans="1:15" s="38" customFormat="1" ht="11.45" customHeight="1" outlineLevel="1" x14ac:dyDescent="0.25">
      <c r="A1589" s="124"/>
      <c r="B1589" s="142"/>
      <c r="C1589" s="115"/>
      <c r="D1589" s="115"/>
      <c r="E1589" s="115"/>
      <c r="F1589" s="115"/>
      <c r="G1589" s="60" t="s">
        <v>126</v>
      </c>
      <c r="H1589" s="124"/>
      <c r="I1589" s="124"/>
      <c r="J1589" s="60"/>
      <c r="K1589" s="60"/>
      <c r="L1589" s="60"/>
      <c r="M1589" s="60"/>
      <c r="N1589" s="60">
        <f t="shared" ref="N1589:N1594" si="490">M1589*J1589*K1589*L1589</f>
        <v>0</v>
      </c>
      <c r="O1589" s="60">
        <f t="shared" ref="O1589:O1594" si="491">J1589*K1589*L1589</f>
        <v>0</v>
      </c>
    </row>
    <row r="1590" spans="1:15" s="38" customFormat="1" ht="10.7" customHeight="1" outlineLevel="1" x14ac:dyDescent="0.25">
      <c r="A1590" s="124"/>
      <c r="B1590" s="142"/>
      <c r="C1590" s="115"/>
      <c r="D1590" s="115"/>
      <c r="E1590" s="115"/>
      <c r="F1590" s="115"/>
      <c r="G1590" s="60" t="s">
        <v>127</v>
      </c>
      <c r="H1590" s="124"/>
      <c r="I1590" s="124"/>
      <c r="J1590" s="60"/>
      <c r="K1590" s="60"/>
      <c r="L1590" s="60"/>
      <c r="M1590" s="60"/>
      <c r="N1590" s="60">
        <f t="shared" si="490"/>
        <v>0</v>
      </c>
      <c r="O1590" s="60">
        <f t="shared" si="491"/>
        <v>0</v>
      </c>
    </row>
    <row r="1591" spans="1:15" s="38" customFormat="1" ht="10.7" customHeight="1" outlineLevel="1" x14ac:dyDescent="0.25">
      <c r="A1591" s="124"/>
      <c r="B1591" s="142"/>
      <c r="C1591" s="115"/>
      <c r="D1591" s="115"/>
      <c r="E1591" s="115"/>
      <c r="F1591" s="115"/>
      <c r="G1591" s="60" t="s">
        <v>128</v>
      </c>
      <c r="H1591" s="124"/>
      <c r="I1591" s="124"/>
      <c r="J1591" s="60"/>
      <c r="K1591" s="60"/>
      <c r="L1591" s="60"/>
      <c r="M1591" s="60"/>
      <c r="N1591" s="60">
        <f t="shared" si="490"/>
        <v>0</v>
      </c>
      <c r="O1591" s="60">
        <f t="shared" si="491"/>
        <v>0</v>
      </c>
    </row>
    <row r="1592" spans="1:15" s="38" customFormat="1" ht="10.7" customHeight="1" outlineLevel="1" x14ac:dyDescent="0.25">
      <c r="A1592" s="124"/>
      <c r="B1592" s="142"/>
      <c r="C1592" s="115"/>
      <c r="D1592" s="115"/>
      <c r="E1592" s="115"/>
      <c r="F1592" s="115"/>
      <c r="G1592" s="60" t="s">
        <v>129</v>
      </c>
      <c r="H1592" s="124"/>
      <c r="I1592" s="124"/>
      <c r="J1592" s="60"/>
      <c r="K1592" s="60"/>
      <c r="L1592" s="60"/>
      <c r="M1592" s="60"/>
      <c r="N1592" s="60">
        <f t="shared" si="490"/>
        <v>0</v>
      </c>
      <c r="O1592" s="60">
        <f t="shared" si="491"/>
        <v>0</v>
      </c>
    </row>
    <row r="1593" spans="1:15" s="38" customFormat="1" ht="10.7" customHeight="1" outlineLevel="1" x14ac:dyDescent="0.25">
      <c r="A1593" s="124"/>
      <c r="B1593" s="142"/>
      <c r="C1593" s="115"/>
      <c r="D1593" s="115"/>
      <c r="E1593" s="115"/>
      <c r="F1593" s="115"/>
      <c r="G1593" s="60" t="s">
        <v>130</v>
      </c>
      <c r="H1593" s="124"/>
      <c r="I1593" s="124"/>
      <c r="J1593" s="60"/>
      <c r="K1593" s="60"/>
      <c r="L1593" s="60"/>
      <c r="M1593" s="60"/>
      <c r="N1593" s="60">
        <f t="shared" si="490"/>
        <v>0</v>
      </c>
      <c r="O1593" s="60">
        <f t="shared" si="491"/>
        <v>0</v>
      </c>
    </row>
    <row r="1594" spans="1:15" s="38" customFormat="1" ht="12" customHeight="1" outlineLevel="1" thickBot="1" x14ac:dyDescent="0.3">
      <c r="A1594" s="125"/>
      <c r="B1594" s="143"/>
      <c r="C1594" s="131"/>
      <c r="D1594" s="131"/>
      <c r="E1594" s="131"/>
      <c r="F1594" s="131"/>
      <c r="G1594" s="60" t="s">
        <v>131</v>
      </c>
      <c r="H1594" s="134"/>
      <c r="I1594" s="134"/>
      <c r="J1594" s="60"/>
      <c r="K1594" s="60"/>
      <c r="L1594" s="60"/>
      <c r="M1594" s="60"/>
      <c r="N1594" s="60">
        <f t="shared" si="490"/>
        <v>0</v>
      </c>
      <c r="O1594" s="60">
        <f t="shared" si="491"/>
        <v>0</v>
      </c>
    </row>
    <row r="1595" spans="1:15" s="38" customFormat="1" ht="14.45" customHeight="1" outlineLevel="1" x14ac:dyDescent="0.25">
      <c r="A1595" s="140" t="s">
        <v>959</v>
      </c>
      <c r="B1595" s="141" t="s">
        <v>960</v>
      </c>
      <c r="C1595" s="130">
        <f>SUM(N1595:N1601)</f>
        <v>0</v>
      </c>
      <c r="D1595" s="130">
        <f>SUM(O1595:O1601)</f>
        <v>0</v>
      </c>
      <c r="E1595" s="130">
        <f t="shared" si="481"/>
        <v>0</v>
      </c>
      <c r="F1595" s="130"/>
      <c r="G1595" s="60" t="s">
        <v>125</v>
      </c>
      <c r="H1595" s="123"/>
      <c r="I1595" s="123"/>
      <c r="J1595" s="60"/>
      <c r="K1595" s="60"/>
      <c r="L1595" s="60"/>
      <c r="M1595" s="60"/>
      <c r="N1595" s="60">
        <f>M1595*J1595*K1595*L1595</f>
        <v>0</v>
      </c>
      <c r="O1595" s="60">
        <f>J1595*K1595*L1595</f>
        <v>0</v>
      </c>
    </row>
    <row r="1596" spans="1:15" s="38" customFormat="1" ht="11.45" customHeight="1" outlineLevel="1" x14ac:dyDescent="0.25">
      <c r="A1596" s="124"/>
      <c r="B1596" s="142"/>
      <c r="C1596" s="115"/>
      <c r="D1596" s="115"/>
      <c r="E1596" s="115"/>
      <c r="F1596" s="115"/>
      <c r="G1596" s="60" t="s">
        <v>126</v>
      </c>
      <c r="H1596" s="124"/>
      <c r="I1596" s="124"/>
      <c r="J1596" s="60"/>
      <c r="K1596" s="60"/>
      <c r="L1596" s="60"/>
      <c r="M1596" s="60"/>
      <c r="N1596" s="60">
        <f t="shared" ref="N1596:N1601" si="492">M1596*J1596*K1596*L1596</f>
        <v>0</v>
      </c>
      <c r="O1596" s="60">
        <f t="shared" ref="O1596:O1601" si="493">J1596*K1596*L1596</f>
        <v>0</v>
      </c>
    </row>
    <row r="1597" spans="1:15" s="38" customFormat="1" ht="10.7" customHeight="1" outlineLevel="1" x14ac:dyDescent="0.25">
      <c r="A1597" s="124"/>
      <c r="B1597" s="142"/>
      <c r="C1597" s="115"/>
      <c r="D1597" s="115"/>
      <c r="E1597" s="115"/>
      <c r="F1597" s="115"/>
      <c r="G1597" s="60" t="s">
        <v>127</v>
      </c>
      <c r="H1597" s="124"/>
      <c r="I1597" s="124"/>
      <c r="J1597" s="60"/>
      <c r="K1597" s="60"/>
      <c r="L1597" s="60"/>
      <c r="M1597" s="60"/>
      <c r="N1597" s="60">
        <f t="shared" si="492"/>
        <v>0</v>
      </c>
      <c r="O1597" s="60">
        <f t="shared" si="493"/>
        <v>0</v>
      </c>
    </row>
    <row r="1598" spans="1:15" s="38" customFormat="1" ht="10.7" customHeight="1" outlineLevel="1" x14ac:dyDescent="0.25">
      <c r="A1598" s="124"/>
      <c r="B1598" s="142"/>
      <c r="C1598" s="115"/>
      <c r="D1598" s="115"/>
      <c r="E1598" s="115"/>
      <c r="F1598" s="115"/>
      <c r="G1598" s="60" t="s">
        <v>128</v>
      </c>
      <c r="H1598" s="124"/>
      <c r="I1598" s="124"/>
      <c r="J1598" s="60"/>
      <c r="K1598" s="60"/>
      <c r="L1598" s="60"/>
      <c r="M1598" s="60"/>
      <c r="N1598" s="60">
        <f t="shared" si="492"/>
        <v>0</v>
      </c>
      <c r="O1598" s="60">
        <f t="shared" si="493"/>
        <v>0</v>
      </c>
    </row>
    <row r="1599" spans="1:15" s="38" customFormat="1" ht="10.7" customHeight="1" outlineLevel="1" x14ac:dyDescent="0.25">
      <c r="A1599" s="124"/>
      <c r="B1599" s="142"/>
      <c r="C1599" s="115"/>
      <c r="D1599" s="115"/>
      <c r="E1599" s="115"/>
      <c r="F1599" s="115"/>
      <c r="G1599" s="60" t="s">
        <v>129</v>
      </c>
      <c r="H1599" s="124"/>
      <c r="I1599" s="124"/>
      <c r="J1599" s="60"/>
      <c r="K1599" s="60"/>
      <c r="L1599" s="60"/>
      <c r="M1599" s="60"/>
      <c r="N1599" s="60">
        <f t="shared" si="492"/>
        <v>0</v>
      </c>
      <c r="O1599" s="60">
        <f t="shared" si="493"/>
        <v>0</v>
      </c>
    </row>
    <row r="1600" spans="1:15" s="38" customFormat="1" ht="10.7" customHeight="1" outlineLevel="1" x14ac:dyDescent="0.25">
      <c r="A1600" s="124"/>
      <c r="B1600" s="142"/>
      <c r="C1600" s="115"/>
      <c r="D1600" s="115"/>
      <c r="E1600" s="115"/>
      <c r="F1600" s="115"/>
      <c r="G1600" s="60" t="s">
        <v>130</v>
      </c>
      <c r="H1600" s="124"/>
      <c r="I1600" s="124"/>
      <c r="J1600" s="60"/>
      <c r="K1600" s="60"/>
      <c r="L1600" s="60"/>
      <c r="M1600" s="60"/>
      <c r="N1600" s="60">
        <f t="shared" si="492"/>
        <v>0</v>
      </c>
      <c r="O1600" s="60">
        <f t="shared" si="493"/>
        <v>0</v>
      </c>
    </row>
    <row r="1601" spans="1:15" s="38" customFormat="1" ht="12" customHeight="1" outlineLevel="1" thickBot="1" x14ac:dyDescent="0.3">
      <c r="A1601" s="125"/>
      <c r="B1601" s="143"/>
      <c r="C1601" s="131"/>
      <c r="D1601" s="131"/>
      <c r="E1601" s="131"/>
      <c r="F1601" s="131"/>
      <c r="G1601" s="60" t="s">
        <v>131</v>
      </c>
      <c r="H1601" s="134"/>
      <c r="I1601" s="134"/>
      <c r="J1601" s="60"/>
      <c r="K1601" s="60"/>
      <c r="L1601" s="60"/>
      <c r="M1601" s="60"/>
      <c r="N1601" s="60">
        <f t="shared" si="492"/>
        <v>0</v>
      </c>
      <c r="O1601" s="60">
        <f t="shared" si="493"/>
        <v>0</v>
      </c>
    </row>
    <row r="1602" spans="1:15" s="38" customFormat="1" ht="14.45" customHeight="1" outlineLevel="1" x14ac:dyDescent="0.25">
      <c r="A1602" s="140" t="s">
        <v>961</v>
      </c>
      <c r="B1602" s="141" t="s">
        <v>962</v>
      </c>
      <c r="C1602" s="130">
        <f>SUM(N1602:N1608)</f>
        <v>0</v>
      </c>
      <c r="D1602" s="130">
        <f>SUM(O1602:O1608)</f>
        <v>0</v>
      </c>
      <c r="E1602" s="130">
        <f t="shared" si="481"/>
        <v>0</v>
      </c>
      <c r="F1602" s="130"/>
      <c r="G1602" s="60" t="s">
        <v>125</v>
      </c>
      <c r="H1602" s="123"/>
      <c r="I1602" s="123"/>
      <c r="J1602" s="60"/>
      <c r="K1602" s="60"/>
      <c r="L1602" s="60"/>
      <c r="M1602" s="60"/>
      <c r="N1602" s="60">
        <f>M1602*J1602*K1602*L1602</f>
        <v>0</v>
      </c>
      <c r="O1602" s="60">
        <f>J1602*K1602*L1602</f>
        <v>0</v>
      </c>
    </row>
    <row r="1603" spans="1:15" s="38" customFormat="1" ht="11.45" customHeight="1" outlineLevel="1" x14ac:dyDescent="0.25">
      <c r="A1603" s="124"/>
      <c r="B1603" s="142"/>
      <c r="C1603" s="115"/>
      <c r="D1603" s="115"/>
      <c r="E1603" s="115"/>
      <c r="F1603" s="115"/>
      <c r="G1603" s="60" t="s">
        <v>126</v>
      </c>
      <c r="H1603" s="124"/>
      <c r="I1603" s="124"/>
      <c r="J1603" s="60"/>
      <c r="K1603" s="60"/>
      <c r="L1603" s="60"/>
      <c r="M1603" s="60"/>
      <c r="N1603" s="60">
        <f t="shared" ref="N1603:N1608" si="494">M1603*J1603*K1603*L1603</f>
        <v>0</v>
      </c>
      <c r="O1603" s="60">
        <f t="shared" ref="O1603:O1608" si="495">J1603*K1603*L1603</f>
        <v>0</v>
      </c>
    </row>
    <row r="1604" spans="1:15" s="38" customFormat="1" ht="10.7" customHeight="1" outlineLevel="1" x14ac:dyDescent="0.25">
      <c r="A1604" s="124"/>
      <c r="B1604" s="142"/>
      <c r="C1604" s="115"/>
      <c r="D1604" s="115"/>
      <c r="E1604" s="115"/>
      <c r="F1604" s="115"/>
      <c r="G1604" s="60" t="s">
        <v>127</v>
      </c>
      <c r="H1604" s="124"/>
      <c r="I1604" s="124"/>
      <c r="J1604" s="60"/>
      <c r="K1604" s="60"/>
      <c r="L1604" s="60"/>
      <c r="M1604" s="60"/>
      <c r="N1604" s="60">
        <f t="shared" si="494"/>
        <v>0</v>
      </c>
      <c r="O1604" s="60">
        <f t="shared" si="495"/>
        <v>0</v>
      </c>
    </row>
    <row r="1605" spans="1:15" s="38" customFormat="1" ht="10.7" customHeight="1" outlineLevel="1" x14ac:dyDescent="0.25">
      <c r="A1605" s="124"/>
      <c r="B1605" s="142"/>
      <c r="C1605" s="115"/>
      <c r="D1605" s="115"/>
      <c r="E1605" s="115"/>
      <c r="F1605" s="115"/>
      <c r="G1605" s="60" t="s">
        <v>128</v>
      </c>
      <c r="H1605" s="124"/>
      <c r="I1605" s="124"/>
      <c r="J1605" s="60"/>
      <c r="K1605" s="60"/>
      <c r="L1605" s="60"/>
      <c r="M1605" s="60"/>
      <c r="N1605" s="60">
        <f t="shared" si="494"/>
        <v>0</v>
      </c>
      <c r="O1605" s="60">
        <f t="shared" si="495"/>
        <v>0</v>
      </c>
    </row>
    <row r="1606" spans="1:15" s="38" customFormat="1" ht="10.7" customHeight="1" outlineLevel="1" x14ac:dyDescent="0.25">
      <c r="A1606" s="124"/>
      <c r="B1606" s="142"/>
      <c r="C1606" s="115"/>
      <c r="D1606" s="115"/>
      <c r="E1606" s="115"/>
      <c r="F1606" s="115"/>
      <c r="G1606" s="60" t="s">
        <v>129</v>
      </c>
      <c r="H1606" s="124"/>
      <c r="I1606" s="124"/>
      <c r="J1606" s="60"/>
      <c r="K1606" s="60"/>
      <c r="L1606" s="60"/>
      <c r="M1606" s="60"/>
      <c r="N1606" s="60">
        <f t="shared" si="494"/>
        <v>0</v>
      </c>
      <c r="O1606" s="60">
        <f t="shared" si="495"/>
        <v>0</v>
      </c>
    </row>
    <row r="1607" spans="1:15" s="38" customFormat="1" ht="10.7" customHeight="1" outlineLevel="1" x14ac:dyDescent="0.25">
      <c r="A1607" s="124"/>
      <c r="B1607" s="142"/>
      <c r="C1607" s="115"/>
      <c r="D1607" s="115"/>
      <c r="E1607" s="115"/>
      <c r="F1607" s="115"/>
      <c r="G1607" s="60" t="s">
        <v>130</v>
      </c>
      <c r="H1607" s="124"/>
      <c r="I1607" s="124"/>
      <c r="J1607" s="60"/>
      <c r="K1607" s="60"/>
      <c r="L1607" s="60"/>
      <c r="M1607" s="60"/>
      <c r="N1607" s="60">
        <f t="shared" si="494"/>
        <v>0</v>
      </c>
      <c r="O1607" s="60">
        <f t="shared" si="495"/>
        <v>0</v>
      </c>
    </row>
    <row r="1608" spans="1:15" s="38" customFormat="1" ht="12" customHeight="1" outlineLevel="1" thickBot="1" x14ac:dyDescent="0.3">
      <c r="A1608" s="125"/>
      <c r="B1608" s="143"/>
      <c r="C1608" s="131"/>
      <c r="D1608" s="131"/>
      <c r="E1608" s="131"/>
      <c r="F1608" s="131"/>
      <c r="G1608" s="60" t="s">
        <v>131</v>
      </c>
      <c r="H1608" s="134"/>
      <c r="I1608" s="134"/>
      <c r="J1608" s="60"/>
      <c r="K1608" s="60"/>
      <c r="L1608" s="60"/>
      <c r="M1608" s="60"/>
      <c r="N1608" s="60">
        <f t="shared" si="494"/>
        <v>0</v>
      </c>
      <c r="O1608" s="60">
        <f t="shared" si="495"/>
        <v>0</v>
      </c>
    </row>
    <row r="1609" spans="1:15" ht="19.5" thickBot="1" x14ac:dyDescent="0.35">
      <c r="A1609" s="144" t="s">
        <v>963</v>
      </c>
      <c r="B1609" s="145"/>
      <c r="C1609" s="49">
        <f>C10+C74+C181+C245+C260+C282+C297+C746+C1195+C1203+C1218+C1226+C1409+C1424+C1474+C1482+C1490+C1498+C1506+C1514+C1536+C1551+C1559</f>
        <v>0</v>
      </c>
      <c r="D1609" s="62">
        <f>D10+D74+D181+D245+D260+D282+D297+D746+D1195+D1203+D1218+D1226+D1409+D1424+D1474+D1482+D1490+D1498+D1506+D1514+D1536+D1551</f>
        <v>0</v>
      </c>
      <c r="E1609" s="62">
        <f>E10+E74+E181+E245+E260+E282+E297+E746+E1195+E1203+E1218+E1226+E1409+E1424+E1474+E1482+E1490+E1498+E1506+E1514+E1536+E1551</f>
        <v>0</v>
      </c>
      <c r="F1609" s="59"/>
      <c r="G1609" s="59"/>
      <c r="H1609" s="59"/>
      <c r="I1609" s="59"/>
      <c r="J1609" s="59"/>
      <c r="K1609" s="59"/>
      <c r="L1609" s="59"/>
      <c r="M1609" s="59"/>
      <c r="N1609" s="59"/>
      <c r="O1609" s="60"/>
    </row>
  </sheetData>
  <mergeCells count="1819">
    <mergeCell ref="E39:E45"/>
    <mergeCell ref="A9:O9"/>
    <mergeCell ref="A11:A17"/>
    <mergeCell ref="B11:B17"/>
    <mergeCell ref="C11:C17"/>
    <mergeCell ref="D11:D17"/>
    <mergeCell ref="F11:F17"/>
    <mergeCell ref="H11:H17"/>
    <mergeCell ref="I11:I17"/>
    <mergeCell ref="J7:J8"/>
    <mergeCell ref="K7:K8"/>
    <mergeCell ref="L7:L8"/>
    <mergeCell ref="M7:M8"/>
    <mergeCell ref="N7:N8"/>
    <mergeCell ref="O7:O8"/>
    <mergeCell ref="A2:O3"/>
    <mergeCell ref="C4:O4"/>
    <mergeCell ref="A5:A8"/>
    <mergeCell ref="B5:B8"/>
    <mergeCell ref="C5:C8"/>
    <mergeCell ref="D5:D8"/>
    <mergeCell ref="F5:F8"/>
    <mergeCell ref="G5:O6"/>
    <mergeCell ref="G7:G8"/>
    <mergeCell ref="H7:I7"/>
    <mergeCell ref="E5:E8"/>
    <mergeCell ref="E11:E17"/>
    <mergeCell ref="E67:E73"/>
    <mergeCell ref="I32:I38"/>
    <mergeCell ref="A39:A45"/>
    <mergeCell ref="B39:B45"/>
    <mergeCell ref="C39:C45"/>
    <mergeCell ref="D39:D45"/>
    <mergeCell ref="F39:F45"/>
    <mergeCell ref="H39:H45"/>
    <mergeCell ref="I39:I45"/>
    <mergeCell ref="A32:A38"/>
    <mergeCell ref="B32:B38"/>
    <mergeCell ref="C32:C38"/>
    <mergeCell ref="D32:D38"/>
    <mergeCell ref="F32:F38"/>
    <mergeCell ref="H32:H38"/>
    <mergeCell ref="I18:I24"/>
    <mergeCell ref="A25:A31"/>
    <mergeCell ref="B25:B31"/>
    <mergeCell ref="C25:C31"/>
    <mergeCell ref="D25:D31"/>
    <mergeCell ref="F25:F31"/>
    <mergeCell ref="H25:H31"/>
    <mergeCell ref="I25:I31"/>
    <mergeCell ref="A18:A24"/>
    <mergeCell ref="B18:B24"/>
    <mergeCell ref="C18:C24"/>
    <mergeCell ref="D18:D24"/>
    <mergeCell ref="F18:F24"/>
    <mergeCell ref="H18:H24"/>
    <mergeCell ref="E18:E24"/>
    <mergeCell ref="E25:E31"/>
    <mergeCell ref="E32:E38"/>
    <mergeCell ref="E96:E102"/>
    <mergeCell ref="I60:I66"/>
    <mergeCell ref="A67:A73"/>
    <mergeCell ref="B67:B73"/>
    <mergeCell ref="C67:C73"/>
    <mergeCell ref="D67:D73"/>
    <mergeCell ref="F67:F73"/>
    <mergeCell ref="H67:H73"/>
    <mergeCell ref="I67:I73"/>
    <mergeCell ref="A60:A66"/>
    <mergeCell ref="B60:B66"/>
    <mergeCell ref="C60:C66"/>
    <mergeCell ref="D60:D66"/>
    <mergeCell ref="F60:F66"/>
    <mergeCell ref="H60:H66"/>
    <mergeCell ref="I46:I52"/>
    <mergeCell ref="A53:A59"/>
    <mergeCell ref="B53:B59"/>
    <mergeCell ref="C53:C59"/>
    <mergeCell ref="D53:D59"/>
    <mergeCell ref="F53:F59"/>
    <mergeCell ref="H53:H59"/>
    <mergeCell ref="I53:I59"/>
    <mergeCell ref="A46:A52"/>
    <mergeCell ref="B46:B52"/>
    <mergeCell ref="C46:C52"/>
    <mergeCell ref="D46:D52"/>
    <mergeCell ref="F46:F52"/>
    <mergeCell ref="H46:H52"/>
    <mergeCell ref="E46:E52"/>
    <mergeCell ref="E53:E59"/>
    <mergeCell ref="E60:E66"/>
    <mergeCell ref="E125:E131"/>
    <mergeCell ref="I89:I95"/>
    <mergeCell ref="A96:A102"/>
    <mergeCell ref="B96:B102"/>
    <mergeCell ref="C96:C102"/>
    <mergeCell ref="D96:D102"/>
    <mergeCell ref="F96:F102"/>
    <mergeCell ref="H96:H102"/>
    <mergeCell ref="I96:I102"/>
    <mergeCell ref="A89:A95"/>
    <mergeCell ref="B89:B95"/>
    <mergeCell ref="C89:C95"/>
    <mergeCell ref="D89:D95"/>
    <mergeCell ref="F89:F95"/>
    <mergeCell ref="H89:H95"/>
    <mergeCell ref="I75:I81"/>
    <mergeCell ref="A82:A88"/>
    <mergeCell ref="B82:B88"/>
    <mergeCell ref="C82:C88"/>
    <mergeCell ref="D82:D88"/>
    <mergeCell ref="F82:F88"/>
    <mergeCell ref="H82:H88"/>
    <mergeCell ref="I82:I88"/>
    <mergeCell ref="A75:A81"/>
    <mergeCell ref="B75:B81"/>
    <mergeCell ref="C75:C81"/>
    <mergeCell ref="D75:D81"/>
    <mergeCell ref="F75:F81"/>
    <mergeCell ref="H75:H81"/>
    <mergeCell ref="E75:E81"/>
    <mergeCell ref="E82:E88"/>
    <mergeCell ref="E89:E95"/>
    <mergeCell ref="E153:E159"/>
    <mergeCell ref="I118:I124"/>
    <mergeCell ref="A125:A131"/>
    <mergeCell ref="B125:B131"/>
    <mergeCell ref="C125:C131"/>
    <mergeCell ref="D125:D131"/>
    <mergeCell ref="F125:F131"/>
    <mergeCell ref="H125:H131"/>
    <mergeCell ref="I125:I131"/>
    <mergeCell ref="A118:A124"/>
    <mergeCell ref="B118:B124"/>
    <mergeCell ref="C118:C124"/>
    <mergeCell ref="D118:D124"/>
    <mergeCell ref="F118:F124"/>
    <mergeCell ref="H118:H124"/>
    <mergeCell ref="I104:I110"/>
    <mergeCell ref="A111:A117"/>
    <mergeCell ref="B111:B117"/>
    <mergeCell ref="C111:C117"/>
    <mergeCell ref="D111:D117"/>
    <mergeCell ref="F111:F117"/>
    <mergeCell ref="H111:H117"/>
    <mergeCell ref="I111:I117"/>
    <mergeCell ref="A104:A110"/>
    <mergeCell ref="B104:B110"/>
    <mergeCell ref="C104:C110"/>
    <mergeCell ref="D104:D110"/>
    <mergeCell ref="F104:F110"/>
    <mergeCell ref="H104:H110"/>
    <mergeCell ref="E104:E110"/>
    <mergeCell ref="E111:E117"/>
    <mergeCell ref="E118:E124"/>
    <mergeCell ref="E182:E188"/>
    <mergeCell ref="I146:I152"/>
    <mergeCell ref="A153:A159"/>
    <mergeCell ref="B153:B159"/>
    <mergeCell ref="C153:C159"/>
    <mergeCell ref="D153:D159"/>
    <mergeCell ref="F153:F159"/>
    <mergeCell ref="H153:H159"/>
    <mergeCell ref="I153:I159"/>
    <mergeCell ref="A146:A152"/>
    <mergeCell ref="B146:B152"/>
    <mergeCell ref="C146:C152"/>
    <mergeCell ref="D146:D152"/>
    <mergeCell ref="F146:F152"/>
    <mergeCell ref="H146:H152"/>
    <mergeCell ref="I132:I138"/>
    <mergeCell ref="A139:A145"/>
    <mergeCell ref="B139:B145"/>
    <mergeCell ref="C139:C145"/>
    <mergeCell ref="D139:D145"/>
    <mergeCell ref="F139:F145"/>
    <mergeCell ref="H139:H145"/>
    <mergeCell ref="I139:I145"/>
    <mergeCell ref="A132:A138"/>
    <mergeCell ref="B132:B138"/>
    <mergeCell ref="C132:C138"/>
    <mergeCell ref="D132:D138"/>
    <mergeCell ref="F132:F138"/>
    <mergeCell ref="H132:H138"/>
    <mergeCell ref="E132:E138"/>
    <mergeCell ref="E139:E145"/>
    <mergeCell ref="E146:E152"/>
    <mergeCell ref="E210:E216"/>
    <mergeCell ref="I174:I180"/>
    <mergeCell ref="A182:A188"/>
    <mergeCell ref="B182:B188"/>
    <mergeCell ref="C182:C188"/>
    <mergeCell ref="D182:D188"/>
    <mergeCell ref="F182:F188"/>
    <mergeCell ref="H182:H188"/>
    <mergeCell ref="I182:I188"/>
    <mergeCell ref="A174:A180"/>
    <mergeCell ref="B174:B180"/>
    <mergeCell ref="C174:C180"/>
    <mergeCell ref="D174:D180"/>
    <mergeCell ref="F174:F180"/>
    <mergeCell ref="H174:H180"/>
    <mergeCell ref="I160:I166"/>
    <mergeCell ref="A167:A173"/>
    <mergeCell ref="B167:B173"/>
    <mergeCell ref="C167:C173"/>
    <mergeCell ref="D167:D173"/>
    <mergeCell ref="F167:F173"/>
    <mergeCell ref="H167:H173"/>
    <mergeCell ref="I167:I173"/>
    <mergeCell ref="A160:A166"/>
    <mergeCell ref="B160:B166"/>
    <mergeCell ref="C160:C166"/>
    <mergeCell ref="D160:D166"/>
    <mergeCell ref="F160:F166"/>
    <mergeCell ref="H160:H166"/>
    <mergeCell ref="E160:E166"/>
    <mergeCell ref="E167:E173"/>
    <mergeCell ref="E174:E180"/>
    <mergeCell ref="E238:E244"/>
    <mergeCell ref="I203:I209"/>
    <mergeCell ref="A210:A216"/>
    <mergeCell ref="B210:B216"/>
    <mergeCell ref="C210:C216"/>
    <mergeCell ref="D210:D216"/>
    <mergeCell ref="F210:F216"/>
    <mergeCell ref="H210:H216"/>
    <mergeCell ref="I210:I216"/>
    <mergeCell ref="A203:A209"/>
    <mergeCell ref="B203:B209"/>
    <mergeCell ref="C203:C209"/>
    <mergeCell ref="D203:D209"/>
    <mergeCell ref="F203:F209"/>
    <mergeCell ref="H203:H209"/>
    <mergeCell ref="I189:I195"/>
    <mergeCell ref="A196:A202"/>
    <mergeCell ref="B196:B202"/>
    <mergeCell ref="C196:C202"/>
    <mergeCell ref="D196:D202"/>
    <mergeCell ref="F196:F202"/>
    <mergeCell ref="H196:H202"/>
    <mergeCell ref="I196:I202"/>
    <mergeCell ref="A189:A195"/>
    <mergeCell ref="B189:B195"/>
    <mergeCell ref="C189:C195"/>
    <mergeCell ref="D189:D195"/>
    <mergeCell ref="F189:F195"/>
    <mergeCell ref="H189:H195"/>
    <mergeCell ref="E189:E195"/>
    <mergeCell ref="E196:E202"/>
    <mergeCell ref="E203:E209"/>
    <mergeCell ref="E268:E274"/>
    <mergeCell ref="I231:I237"/>
    <mergeCell ref="A238:A244"/>
    <mergeCell ref="B238:B244"/>
    <mergeCell ref="C238:C244"/>
    <mergeCell ref="D238:D244"/>
    <mergeCell ref="F238:F244"/>
    <mergeCell ref="H238:H244"/>
    <mergeCell ref="I238:I244"/>
    <mergeCell ref="A231:A237"/>
    <mergeCell ref="B231:B237"/>
    <mergeCell ref="C231:C237"/>
    <mergeCell ref="D231:D237"/>
    <mergeCell ref="F231:F237"/>
    <mergeCell ref="H231:H237"/>
    <mergeCell ref="I217:I223"/>
    <mergeCell ref="A224:A230"/>
    <mergeCell ref="B224:B230"/>
    <mergeCell ref="C224:C230"/>
    <mergeCell ref="D224:D230"/>
    <mergeCell ref="F224:F230"/>
    <mergeCell ref="H224:H230"/>
    <mergeCell ref="I224:I230"/>
    <mergeCell ref="A217:A223"/>
    <mergeCell ref="B217:B223"/>
    <mergeCell ref="C217:C223"/>
    <mergeCell ref="D217:D223"/>
    <mergeCell ref="F217:F223"/>
    <mergeCell ref="H217:H223"/>
    <mergeCell ref="E217:E223"/>
    <mergeCell ref="E224:E230"/>
    <mergeCell ref="E231:E237"/>
    <mergeCell ref="E298:E304"/>
    <mergeCell ref="I261:I267"/>
    <mergeCell ref="A268:A274"/>
    <mergeCell ref="B268:B274"/>
    <mergeCell ref="C268:C274"/>
    <mergeCell ref="D268:D274"/>
    <mergeCell ref="F268:F274"/>
    <mergeCell ref="H268:H274"/>
    <mergeCell ref="I268:I274"/>
    <mergeCell ref="A261:A267"/>
    <mergeCell ref="B261:B267"/>
    <mergeCell ref="C261:C267"/>
    <mergeCell ref="D261:D267"/>
    <mergeCell ref="F261:F267"/>
    <mergeCell ref="H261:H267"/>
    <mergeCell ref="I246:I252"/>
    <mergeCell ref="A253:A259"/>
    <mergeCell ref="B253:B259"/>
    <mergeCell ref="C253:C259"/>
    <mergeCell ref="D253:D259"/>
    <mergeCell ref="F253:F259"/>
    <mergeCell ref="H253:H259"/>
    <mergeCell ref="I253:I259"/>
    <mergeCell ref="A246:A252"/>
    <mergeCell ref="B246:B252"/>
    <mergeCell ref="C246:C252"/>
    <mergeCell ref="D246:D252"/>
    <mergeCell ref="F246:F252"/>
    <mergeCell ref="H246:H252"/>
    <mergeCell ref="E246:E252"/>
    <mergeCell ref="E253:E259"/>
    <mergeCell ref="E261:E267"/>
    <mergeCell ref="E326:E332"/>
    <mergeCell ref="I290:I296"/>
    <mergeCell ref="A298:A304"/>
    <mergeCell ref="B298:B304"/>
    <mergeCell ref="C298:C304"/>
    <mergeCell ref="D298:D304"/>
    <mergeCell ref="F298:F304"/>
    <mergeCell ref="H298:H304"/>
    <mergeCell ref="I298:I304"/>
    <mergeCell ref="A290:A296"/>
    <mergeCell ref="B290:B296"/>
    <mergeCell ref="C290:C296"/>
    <mergeCell ref="D290:D296"/>
    <mergeCell ref="F290:F296"/>
    <mergeCell ref="H290:H296"/>
    <mergeCell ref="I275:I281"/>
    <mergeCell ref="A283:A289"/>
    <mergeCell ref="B283:B289"/>
    <mergeCell ref="C283:C289"/>
    <mergeCell ref="D283:D289"/>
    <mergeCell ref="F283:F289"/>
    <mergeCell ref="H283:H289"/>
    <mergeCell ref="I283:I289"/>
    <mergeCell ref="A275:A281"/>
    <mergeCell ref="B275:B281"/>
    <mergeCell ref="C275:C281"/>
    <mergeCell ref="D275:D281"/>
    <mergeCell ref="F275:F281"/>
    <mergeCell ref="H275:H281"/>
    <mergeCell ref="E275:E281"/>
    <mergeCell ref="E283:E289"/>
    <mergeCell ref="E290:E296"/>
    <mergeCell ref="E354:E360"/>
    <mergeCell ref="I319:I325"/>
    <mergeCell ref="A326:A332"/>
    <mergeCell ref="B326:B332"/>
    <mergeCell ref="C326:C332"/>
    <mergeCell ref="D326:D332"/>
    <mergeCell ref="F326:F332"/>
    <mergeCell ref="H326:H332"/>
    <mergeCell ref="I326:I332"/>
    <mergeCell ref="A319:A325"/>
    <mergeCell ref="B319:B325"/>
    <mergeCell ref="C319:C325"/>
    <mergeCell ref="D319:D325"/>
    <mergeCell ref="F319:F325"/>
    <mergeCell ref="H319:H325"/>
    <mergeCell ref="I305:I311"/>
    <mergeCell ref="A312:A318"/>
    <mergeCell ref="B312:B318"/>
    <mergeCell ref="C312:C318"/>
    <mergeCell ref="D312:D318"/>
    <mergeCell ref="F312:F318"/>
    <mergeCell ref="H312:H318"/>
    <mergeCell ref="I312:I318"/>
    <mergeCell ref="A305:A311"/>
    <mergeCell ref="B305:B311"/>
    <mergeCell ref="C305:C311"/>
    <mergeCell ref="D305:D311"/>
    <mergeCell ref="F305:F311"/>
    <mergeCell ref="H305:H311"/>
    <mergeCell ref="E305:E311"/>
    <mergeCell ref="E312:E318"/>
    <mergeCell ref="E319:E325"/>
    <mergeCell ref="E382:E388"/>
    <mergeCell ref="I347:I353"/>
    <mergeCell ref="A354:A360"/>
    <mergeCell ref="B354:B360"/>
    <mergeCell ref="C354:C360"/>
    <mergeCell ref="D354:D360"/>
    <mergeCell ref="F354:F360"/>
    <mergeCell ref="H354:H360"/>
    <mergeCell ref="I354:I360"/>
    <mergeCell ref="A347:A353"/>
    <mergeCell ref="B347:B353"/>
    <mergeCell ref="C347:C353"/>
    <mergeCell ref="D347:D353"/>
    <mergeCell ref="F347:F353"/>
    <mergeCell ref="H347:H353"/>
    <mergeCell ref="I333:I339"/>
    <mergeCell ref="A340:A346"/>
    <mergeCell ref="B340:B346"/>
    <mergeCell ref="C340:C346"/>
    <mergeCell ref="D340:D346"/>
    <mergeCell ref="F340:F346"/>
    <mergeCell ref="H340:H346"/>
    <mergeCell ref="I340:I346"/>
    <mergeCell ref="A333:A339"/>
    <mergeCell ref="B333:B339"/>
    <mergeCell ref="C333:C339"/>
    <mergeCell ref="D333:D339"/>
    <mergeCell ref="F333:F339"/>
    <mergeCell ref="H333:H339"/>
    <mergeCell ref="E333:E339"/>
    <mergeCell ref="E340:E346"/>
    <mergeCell ref="E347:E353"/>
    <mergeCell ref="E410:E416"/>
    <mergeCell ref="I375:I381"/>
    <mergeCell ref="A382:A388"/>
    <mergeCell ref="B382:B388"/>
    <mergeCell ref="C382:C388"/>
    <mergeCell ref="D382:D388"/>
    <mergeCell ref="F382:F388"/>
    <mergeCell ref="H382:H388"/>
    <mergeCell ref="I382:I388"/>
    <mergeCell ref="A375:A381"/>
    <mergeCell ref="B375:B381"/>
    <mergeCell ref="C375:C381"/>
    <mergeCell ref="D375:D381"/>
    <mergeCell ref="F375:F381"/>
    <mergeCell ref="H375:H381"/>
    <mergeCell ref="I361:I367"/>
    <mergeCell ref="A368:A374"/>
    <mergeCell ref="B368:B374"/>
    <mergeCell ref="C368:C374"/>
    <mergeCell ref="D368:D374"/>
    <mergeCell ref="F368:F374"/>
    <mergeCell ref="H368:H374"/>
    <mergeCell ref="I368:I374"/>
    <mergeCell ref="A361:A367"/>
    <mergeCell ref="B361:B367"/>
    <mergeCell ref="C361:C367"/>
    <mergeCell ref="D361:D367"/>
    <mergeCell ref="F361:F367"/>
    <mergeCell ref="H361:H367"/>
    <mergeCell ref="E361:E367"/>
    <mergeCell ref="E368:E374"/>
    <mergeCell ref="E375:E381"/>
    <mergeCell ref="E438:E444"/>
    <mergeCell ref="I403:I409"/>
    <mergeCell ref="A410:A416"/>
    <mergeCell ref="B410:B416"/>
    <mergeCell ref="C410:C416"/>
    <mergeCell ref="D410:D416"/>
    <mergeCell ref="F410:F416"/>
    <mergeCell ref="H410:H416"/>
    <mergeCell ref="I410:I416"/>
    <mergeCell ref="A403:A409"/>
    <mergeCell ref="B403:B409"/>
    <mergeCell ref="C403:C409"/>
    <mergeCell ref="D403:D409"/>
    <mergeCell ref="F403:F409"/>
    <mergeCell ref="H403:H409"/>
    <mergeCell ref="I389:I395"/>
    <mergeCell ref="A396:A402"/>
    <mergeCell ref="B396:B402"/>
    <mergeCell ref="C396:C402"/>
    <mergeCell ref="D396:D402"/>
    <mergeCell ref="F396:F402"/>
    <mergeCell ref="H396:H402"/>
    <mergeCell ref="I396:I402"/>
    <mergeCell ref="A389:A395"/>
    <mergeCell ref="B389:B395"/>
    <mergeCell ref="C389:C395"/>
    <mergeCell ref="D389:D395"/>
    <mergeCell ref="F389:F395"/>
    <mergeCell ref="H389:H395"/>
    <mergeCell ref="E389:E395"/>
    <mergeCell ref="E396:E402"/>
    <mergeCell ref="E403:E409"/>
    <mergeCell ref="E466:E472"/>
    <mergeCell ref="I431:I437"/>
    <mergeCell ref="A438:A444"/>
    <mergeCell ref="B438:B444"/>
    <mergeCell ref="C438:C444"/>
    <mergeCell ref="D438:D444"/>
    <mergeCell ref="F438:F444"/>
    <mergeCell ref="H438:H444"/>
    <mergeCell ref="I438:I444"/>
    <mergeCell ref="A431:A437"/>
    <mergeCell ref="B431:B437"/>
    <mergeCell ref="C431:C437"/>
    <mergeCell ref="D431:D437"/>
    <mergeCell ref="F431:F437"/>
    <mergeCell ref="H431:H437"/>
    <mergeCell ref="I417:I423"/>
    <mergeCell ref="A424:A430"/>
    <mergeCell ref="B424:B430"/>
    <mergeCell ref="C424:C430"/>
    <mergeCell ref="D424:D430"/>
    <mergeCell ref="F424:F430"/>
    <mergeCell ref="H424:H430"/>
    <mergeCell ref="I424:I430"/>
    <mergeCell ref="A417:A423"/>
    <mergeCell ref="B417:B423"/>
    <mergeCell ref="C417:C423"/>
    <mergeCell ref="D417:D423"/>
    <mergeCell ref="F417:F423"/>
    <mergeCell ref="H417:H423"/>
    <mergeCell ref="E417:E423"/>
    <mergeCell ref="E424:E430"/>
    <mergeCell ref="E431:E437"/>
    <mergeCell ref="E494:E500"/>
    <mergeCell ref="I459:I465"/>
    <mergeCell ref="A466:A472"/>
    <mergeCell ref="B466:B472"/>
    <mergeCell ref="C466:C472"/>
    <mergeCell ref="D466:D472"/>
    <mergeCell ref="F466:F472"/>
    <mergeCell ref="H466:H472"/>
    <mergeCell ref="I466:I472"/>
    <mergeCell ref="A459:A465"/>
    <mergeCell ref="B459:B465"/>
    <mergeCell ref="C459:C465"/>
    <mergeCell ref="D459:D465"/>
    <mergeCell ref="F459:F465"/>
    <mergeCell ref="H459:H465"/>
    <mergeCell ref="I445:I451"/>
    <mergeCell ref="A452:A458"/>
    <mergeCell ref="B452:B458"/>
    <mergeCell ref="C452:C458"/>
    <mergeCell ref="D452:D458"/>
    <mergeCell ref="F452:F458"/>
    <mergeCell ref="H452:H458"/>
    <mergeCell ref="I452:I458"/>
    <mergeCell ref="A445:A451"/>
    <mergeCell ref="B445:B451"/>
    <mergeCell ref="C445:C451"/>
    <mergeCell ref="D445:D451"/>
    <mergeCell ref="F445:F451"/>
    <mergeCell ref="H445:H451"/>
    <mergeCell ref="E445:E451"/>
    <mergeCell ref="E452:E458"/>
    <mergeCell ref="E459:E465"/>
    <mergeCell ref="E522:E528"/>
    <mergeCell ref="I487:I493"/>
    <mergeCell ref="A494:A500"/>
    <mergeCell ref="B494:B500"/>
    <mergeCell ref="C494:C500"/>
    <mergeCell ref="D494:D500"/>
    <mergeCell ref="F494:F500"/>
    <mergeCell ref="H494:H500"/>
    <mergeCell ref="I494:I500"/>
    <mergeCell ref="A487:A493"/>
    <mergeCell ref="B487:B493"/>
    <mergeCell ref="C487:C493"/>
    <mergeCell ref="D487:D493"/>
    <mergeCell ref="F487:F493"/>
    <mergeCell ref="H487:H493"/>
    <mergeCell ref="I473:I479"/>
    <mergeCell ref="A480:A486"/>
    <mergeCell ref="B480:B486"/>
    <mergeCell ref="C480:C486"/>
    <mergeCell ref="D480:D486"/>
    <mergeCell ref="F480:F486"/>
    <mergeCell ref="H480:H486"/>
    <mergeCell ref="I480:I486"/>
    <mergeCell ref="A473:A479"/>
    <mergeCell ref="B473:B479"/>
    <mergeCell ref="C473:C479"/>
    <mergeCell ref="D473:D479"/>
    <mergeCell ref="F473:F479"/>
    <mergeCell ref="H473:H479"/>
    <mergeCell ref="E473:E479"/>
    <mergeCell ref="E480:E486"/>
    <mergeCell ref="E487:E493"/>
    <mergeCell ref="E550:E556"/>
    <mergeCell ref="I515:I521"/>
    <mergeCell ref="A522:A528"/>
    <mergeCell ref="B522:B528"/>
    <mergeCell ref="C522:C528"/>
    <mergeCell ref="D522:D528"/>
    <mergeCell ref="F522:F528"/>
    <mergeCell ref="H522:H528"/>
    <mergeCell ref="I522:I528"/>
    <mergeCell ref="A515:A521"/>
    <mergeCell ref="B515:B521"/>
    <mergeCell ref="C515:C521"/>
    <mergeCell ref="D515:D521"/>
    <mergeCell ref="F515:F521"/>
    <mergeCell ref="H515:H521"/>
    <mergeCell ref="I501:I507"/>
    <mergeCell ref="A508:A514"/>
    <mergeCell ref="B508:B514"/>
    <mergeCell ref="C508:C514"/>
    <mergeCell ref="D508:D514"/>
    <mergeCell ref="F508:F514"/>
    <mergeCell ref="H508:H514"/>
    <mergeCell ref="I508:I514"/>
    <mergeCell ref="A501:A507"/>
    <mergeCell ref="B501:B507"/>
    <mergeCell ref="C501:C507"/>
    <mergeCell ref="D501:D507"/>
    <mergeCell ref="F501:F507"/>
    <mergeCell ref="H501:H507"/>
    <mergeCell ref="E501:E507"/>
    <mergeCell ref="E508:E514"/>
    <mergeCell ref="E515:E521"/>
    <mergeCell ref="E578:E584"/>
    <mergeCell ref="I543:I549"/>
    <mergeCell ref="A550:A556"/>
    <mergeCell ref="B550:B556"/>
    <mergeCell ref="C550:C556"/>
    <mergeCell ref="D550:D556"/>
    <mergeCell ref="F550:F556"/>
    <mergeCell ref="H550:H556"/>
    <mergeCell ref="I550:I556"/>
    <mergeCell ref="A543:A549"/>
    <mergeCell ref="B543:B549"/>
    <mergeCell ref="C543:C549"/>
    <mergeCell ref="D543:D549"/>
    <mergeCell ref="F543:F549"/>
    <mergeCell ref="H543:H549"/>
    <mergeCell ref="I529:I535"/>
    <mergeCell ref="A536:A542"/>
    <mergeCell ref="B536:B542"/>
    <mergeCell ref="C536:C542"/>
    <mergeCell ref="D536:D542"/>
    <mergeCell ref="F536:F542"/>
    <mergeCell ref="H536:H542"/>
    <mergeCell ref="I536:I542"/>
    <mergeCell ref="A529:A535"/>
    <mergeCell ref="B529:B535"/>
    <mergeCell ref="C529:C535"/>
    <mergeCell ref="D529:D535"/>
    <mergeCell ref="F529:F535"/>
    <mergeCell ref="H529:H535"/>
    <mergeCell ref="E529:E535"/>
    <mergeCell ref="E536:E542"/>
    <mergeCell ref="E543:E549"/>
    <mergeCell ref="E606:E612"/>
    <mergeCell ref="I571:I577"/>
    <mergeCell ref="A578:A584"/>
    <mergeCell ref="B578:B584"/>
    <mergeCell ref="C578:C584"/>
    <mergeCell ref="D578:D584"/>
    <mergeCell ref="F578:F584"/>
    <mergeCell ref="H578:H584"/>
    <mergeCell ref="I578:I584"/>
    <mergeCell ref="A571:A577"/>
    <mergeCell ref="B571:B577"/>
    <mergeCell ref="C571:C577"/>
    <mergeCell ref="D571:D577"/>
    <mergeCell ref="F571:F577"/>
    <mergeCell ref="H571:H577"/>
    <mergeCell ref="I557:I563"/>
    <mergeCell ref="A564:A570"/>
    <mergeCell ref="B564:B570"/>
    <mergeCell ref="C564:C570"/>
    <mergeCell ref="D564:D570"/>
    <mergeCell ref="F564:F570"/>
    <mergeCell ref="H564:H570"/>
    <mergeCell ref="I564:I570"/>
    <mergeCell ref="A557:A563"/>
    <mergeCell ref="B557:B563"/>
    <mergeCell ref="C557:C563"/>
    <mergeCell ref="D557:D563"/>
    <mergeCell ref="F557:F563"/>
    <mergeCell ref="H557:H563"/>
    <mergeCell ref="E557:E563"/>
    <mergeCell ref="E564:E570"/>
    <mergeCell ref="E571:E577"/>
    <mergeCell ref="E634:E640"/>
    <mergeCell ref="I599:I605"/>
    <mergeCell ref="A606:A612"/>
    <mergeCell ref="B606:B612"/>
    <mergeCell ref="C606:C612"/>
    <mergeCell ref="D606:D612"/>
    <mergeCell ref="F606:F612"/>
    <mergeCell ref="H606:H612"/>
    <mergeCell ref="I606:I612"/>
    <mergeCell ref="A599:A605"/>
    <mergeCell ref="B599:B605"/>
    <mergeCell ref="C599:C605"/>
    <mergeCell ref="D599:D605"/>
    <mergeCell ref="F599:F605"/>
    <mergeCell ref="H599:H605"/>
    <mergeCell ref="I585:I591"/>
    <mergeCell ref="A592:A598"/>
    <mergeCell ref="B592:B598"/>
    <mergeCell ref="C592:C598"/>
    <mergeCell ref="D592:D598"/>
    <mergeCell ref="F592:F598"/>
    <mergeCell ref="H592:H598"/>
    <mergeCell ref="I592:I598"/>
    <mergeCell ref="A585:A591"/>
    <mergeCell ref="B585:B591"/>
    <mergeCell ref="C585:C591"/>
    <mergeCell ref="D585:D591"/>
    <mergeCell ref="F585:F591"/>
    <mergeCell ref="H585:H591"/>
    <mergeCell ref="E585:E591"/>
    <mergeCell ref="E592:E598"/>
    <mergeCell ref="E599:E605"/>
    <mergeCell ref="E662:E668"/>
    <mergeCell ref="I627:I633"/>
    <mergeCell ref="A634:A640"/>
    <mergeCell ref="B634:B640"/>
    <mergeCell ref="C634:C640"/>
    <mergeCell ref="D634:D640"/>
    <mergeCell ref="F634:F640"/>
    <mergeCell ref="H634:H640"/>
    <mergeCell ref="I634:I640"/>
    <mergeCell ref="A627:A633"/>
    <mergeCell ref="B627:B633"/>
    <mergeCell ref="C627:C633"/>
    <mergeCell ref="D627:D633"/>
    <mergeCell ref="F627:F633"/>
    <mergeCell ref="H627:H633"/>
    <mergeCell ref="I613:I619"/>
    <mergeCell ref="A620:A626"/>
    <mergeCell ref="B620:B626"/>
    <mergeCell ref="C620:C626"/>
    <mergeCell ref="D620:D626"/>
    <mergeCell ref="F620:F626"/>
    <mergeCell ref="H620:H626"/>
    <mergeCell ref="I620:I626"/>
    <mergeCell ref="A613:A619"/>
    <mergeCell ref="B613:B619"/>
    <mergeCell ref="C613:C619"/>
    <mergeCell ref="D613:D619"/>
    <mergeCell ref="F613:F619"/>
    <mergeCell ref="H613:H619"/>
    <mergeCell ref="E613:E619"/>
    <mergeCell ref="E620:E626"/>
    <mergeCell ref="E627:E633"/>
    <mergeCell ref="E690:E696"/>
    <mergeCell ref="I655:I661"/>
    <mergeCell ref="A662:A668"/>
    <mergeCell ref="B662:B668"/>
    <mergeCell ref="C662:C668"/>
    <mergeCell ref="D662:D668"/>
    <mergeCell ref="F662:F668"/>
    <mergeCell ref="H662:H668"/>
    <mergeCell ref="I662:I668"/>
    <mergeCell ref="A655:A661"/>
    <mergeCell ref="B655:B661"/>
    <mergeCell ref="C655:C661"/>
    <mergeCell ref="D655:D661"/>
    <mergeCell ref="F655:F661"/>
    <mergeCell ref="H655:H661"/>
    <mergeCell ref="I641:I647"/>
    <mergeCell ref="A648:A654"/>
    <mergeCell ref="B648:B654"/>
    <mergeCell ref="C648:C654"/>
    <mergeCell ref="D648:D654"/>
    <mergeCell ref="F648:F654"/>
    <mergeCell ref="H648:H654"/>
    <mergeCell ref="I648:I654"/>
    <mergeCell ref="A641:A647"/>
    <mergeCell ref="B641:B647"/>
    <mergeCell ref="C641:C647"/>
    <mergeCell ref="D641:D647"/>
    <mergeCell ref="F641:F647"/>
    <mergeCell ref="H641:H647"/>
    <mergeCell ref="E641:E647"/>
    <mergeCell ref="E648:E654"/>
    <mergeCell ref="E655:E661"/>
    <mergeCell ref="E718:E724"/>
    <mergeCell ref="I683:I689"/>
    <mergeCell ref="A690:A696"/>
    <mergeCell ref="B690:B696"/>
    <mergeCell ref="C690:C696"/>
    <mergeCell ref="D690:D696"/>
    <mergeCell ref="F690:F696"/>
    <mergeCell ref="H690:H696"/>
    <mergeCell ref="I690:I696"/>
    <mergeCell ref="A683:A689"/>
    <mergeCell ref="B683:B689"/>
    <mergeCell ref="C683:C689"/>
    <mergeCell ref="D683:D689"/>
    <mergeCell ref="F683:F689"/>
    <mergeCell ref="H683:H689"/>
    <mergeCell ref="I669:I675"/>
    <mergeCell ref="A676:A682"/>
    <mergeCell ref="B676:B682"/>
    <mergeCell ref="C676:C682"/>
    <mergeCell ref="D676:D682"/>
    <mergeCell ref="F676:F682"/>
    <mergeCell ref="H676:H682"/>
    <mergeCell ref="I676:I682"/>
    <mergeCell ref="A669:A675"/>
    <mergeCell ref="B669:B675"/>
    <mergeCell ref="C669:C675"/>
    <mergeCell ref="D669:D675"/>
    <mergeCell ref="F669:F675"/>
    <mergeCell ref="H669:H675"/>
    <mergeCell ref="E669:E675"/>
    <mergeCell ref="E676:E682"/>
    <mergeCell ref="E683:E689"/>
    <mergeCell ref="E747:E753"/>
    <mergeCell ref="I711:I717"/>
    <mergeCell ref="A718:A724"/>
    <mergeCell ref="B718:B724"/>
    <mergeCell ref="C718:C724"/>
    <mergeCell ref="D718:D724"/>
    <mergeCell ref="F718:F724"/>
    <mergeCell ref="H718:H724"/>
    <mergeCell ref="I718:I724"/>
    <mergeCell ref="A711:A717"/>
    <mergeCell ref="B711:B717"/>
    <mergeCell ref="C711:C717"/>
    <mergeCell ref="D711:D717"/>
    <mergeCell ref="F711:F717"/>
    <mergeCell ref="H711:H717"/>
    <mergeCell ref="I697:I703"/>
    <mergeCell ref="A704:A710"/>
    <mergeCell ref="B704:B710"/>
    <mergeCell ref="C704:C710"/>
    <mergeCell ref="D704:D710"/>
    <mergeCell ref="F704:F710"/>
    <mergeCell ref="H704:H710"/>
    <mergeCell ref="I704:I710"/>
    <mergeCell ref="A697:A703"/>
    <mergeCell ref="B697:B703"/>
    <mergeCell ref="C697:C703"/>
    <mergeCell ref="D697:D703"/>
    <mergeCell ref="F697:F703"/>
    <mergeCell ref="H697:H703"/>
    <mergeCell ref="E697:E703"/>
    <mergeCell ref="E704:E710"/>
    <mergeCell ref="E711:E717"/>
    <mergeCell ref="E775:E781"/>
    <mergeCell ref="I739:I745"/>
    <mergeCell ref="A747:A753"/>
    <mergeCell ref="B747:B753"/>
    <mergeCell ref="C747:C753"/>
    <mergeCell ref="D747:D753"/>
    <mergeCell ref="F747:F753"/>
    <mergeCell ref="H747:H753"/>
    <mergeCell ref="I747:I753"/>
    <mergeCell ref="A739:A745"/>
    <mergeCell ref="B739:B745"/>
    <mergeCell ref="C739:C745"/>
    <mergeCell ref="D739:D745"/>
    <mergeCell ref="F739:F745"/>
    <mergeCell ref="H739:H745"/>
    <mergeCell ref="I725:I731"/>
    <mergeCell ref="A732:A738"/>
    <mergeCell ref="B732:B738"/>
    <mergeCell ref="C732:C738"/>
    <mergeCell ref="D732:D738"/>
    <mergeCell ref="F732:F738"/>
    <mergeCell ref="H732:H738"/>
    <mergeCell ref="I732:I738"/>
    <mergeCell ref="A725:A731"/>
    <mergeCell ref="B725:B731"/>
    <mergeCell ref="C725:C731"/>
    <mergeCell ref="D725:D731"/>
    <mergeCell ref="F725:F731"/>
    <mergeCell ref="H725:H731"/>
    <mergeCell ref="E725:E731"/>
    <mergeCell ref="E732:E738"/>
    <mergeCell ref="E739:E745"/>
    <mergeCell ref="E803:E809"/>
    <mergeCell ref="I768:I774"/>
    <mergeCell ref="A775:A781"/>
    <mergeCell ref="B775:B781"/>
    <mergeCell ref="C775:C781"/>
    <mergeCell ref="D775:D781"/>
    <mergeCell ref="F775:F781"/>
    <mergeCell ref="H775:H781"/>
    <mergeCell ref="I775:I781"/>
    <mergeCell ref="A768:A774"/>
    <mergeCell ref="B768:B774"/>
    <mergeCell ref="C768:C774"/>
    <mergeCell ref="D768:D774"/>
    <mergeCell ref="F768:F774"/>
    <mergeCell ref="H768:H774"/>
    <mergeCell ref="I754:I760"/>
    <mergeCell ref="A761:A767"/>
    <mergeCell ref="B761:B767"/>
    <mergeCell ref="C761:C767"/>
    <mergeCell ref="D761:D767"/>
    <mergeCell ref="F761:F767"/>
    <mergeCell ref="H761:H767"/>
    <mergeCell ref="I761:I767"/>
    <mergeCell ref="A754:A760"/>
    <mergeCell ref="B754:B760"/>
    <mergeCell ref="C754:C760"/>
    <mergeCell ref="D754:D760"/>
    <mergeCell ref="F754:F760"/>
    <mergeCell ref="H754:H760"/>
    <mergeCell ref="E754:E760"/>
    <mergeCell ref="E761:E767"/>
    <mergeCell ref="E768:E774"/>
    <mergeCell ref="E831:E837"/>
    <mergeCell ref="I796:I802"/>
    <mergeCell ref="A803:A809"/>
    <mergeCell ref="B803:B809"/>
    <mergeCell ref="C803:C809"/>
    <mergeCell ref="D803:D809"/>
    <mergeCell ref="F803:F809"/>
    <mergeCell ref="H803:H809"/>
    <mergeCell ref="I803:I809"/>
    <mergeCell ref="A796:A802"/>
    <mergeCell ref="B796:B802"/>
    <mergeCell ref="C796:C802"/>
    <mergeCell ref="D796:D802"/>
    <mergeCell ref="F796:F802"/>
    <mergeCell ref="H796:H802"/>
    <mergeCell ref="I782:I788"/>
    <mergeCell ref="A789:A795"/>
    <mergeCell ref="B789:B795"/>
    <mergeCell ref="C789:C795"/>
    <mergeCell ref="D789:D795"/>
    <mergeCell ref="F789:F795"/>
    <mergeCell ref="H789:H795"/>
    <mergeCell ref="I789:I795"/>
    <mergeCell ref="A782:A788"/>
    <mergeCell ref="B782:B788"/>
    <mergeCell ref="C782:C788"/>
    <mergeCell ref="D782:D788"/>
    <mergeCell ref="F782:F788"/>
    <mergeCell ref="H782:H788"/>
    <mergeCell ref="E782:E788"/>
    <mergeCell ref="E789:E795"/>
    <mergeCell ref="E796:E802"/>
    <mergeCell ref="E859:E865"/>
    <mergeCell ref="I824:I830"/>
    <mergeCell ref="A831:A837"/>
    <mergeCell ref="B831:B837"/>
    <mergeCell ref="C831:C837"/>
    <mergeCell ref="D831:D837"/>
    <mergeCell ref="F831:F837"/>
    <mergeCell ref="H831:H837"/>
    <mergeCell ref="I831:I837"/>
    <mergeCell ref="A824:A830"/>
    <mergeCell ref="B824:B830"/>
    <mergeCell ref="C824:C830"/>
    <mergeCell ref="D824:D830"/>
    <mergeCell ref="F824:F830"/>
    <mergeCell ref="H824:H830"/>
    <mergeCell ref="I810:I816"/>
    <mergeCell ref="A817:A823"/>
    <mergeCell ref="B817:B823"/>
    <mergeCell ref="C817:C823"/>
    <mergeCell ref="D817:D823"/>
    <mergeCell ref="F817:F823"/>
    <mergeCell ref="H817:H823"/>
    <mergeCell ref="I817:I823"/>
    <mergeCell ref="A810:A816"/>
    <mergeCell ref="B810:B816"/>
    <mergeCell ref="C810:C816"/>
    <mergeCell ref="D810:D816"/>
    <mergeCell ref="F810:F816"/>
    <mergeCell ref="H810:H816"/>
    <mergeCell ref="E810:E816"/>
    <mergeCell ref="E817:E823"/>
    <mergeCell ref="E824:E830"/>
    <mergeCell ref="E887:E893"/>
    <mergeCell ref="I852:I858"/>
    <mergeCell ref="A859:A865"/>
    <mergeCell ref="B859:B865"/>
    <mergeCell ref="C859:C865"/>
    <mergeCell ref="D859:D865"/>
    <mergeCell ref="F859:F865"/>
    <mergeCell ref="H859:H865"/>
    <mergeCell ref="I859:I865"/>
    <mergeCell ref="A852:A858"/>
    <mergeCell ref="B852:B858"/>
    <mergeCell ref="C852:C858"/>
    <mergeCell ref="D852:D858"/>
    <mergeCell ref="F852:F858"/>
    <mergeCell ref="H852:H858"/>
    <mergeCell ref="I838:I844"/>
    <mergeCell ref="A845:A851"/>
    <mergeCell ref="B845:B851"/>
    <mergeCell ref="C845:C851"/>
    <mergeCell ref="D845:D851"/>
    <mergeCell ref="F845:F851"/>
    <mergeCell ref="H845:H851"/>
    <mergeCell ref="I845:I851"/>
    <mergeCell ref="A838:A844"/>
    <mergeCell ref="B838:B844"/>
    <mergeCell ref="C838:C844"/>
    <mergeCell ref="D838:D844"/>
    <mergeCell ref="F838:F844"/>
    <mergeCell ref="H838:H844"/>
    <mergeCell ref="E838:E844"/>
    <mergeCell ref="E845:E851"/>
    <mergeCell ref="E852:E858"/>
    <mergeCell ref="E915:E921"/>
    <mergeCell ref="I880:I886"/>
    <mergeCell ref="A887:A893"/>
    <mergeCell ref="B887:B893"/>
    <mergeCell ref="C887:C893"/>
    <mergeCell ref="D887:D893"/>
    <mergeCell ref="F887:F893"/>
    <mergeCell ref="H887:H893"/>
    <mergeCell ref="I887:I893"/>
    <mergeCell ref="A880:A886"/>
    <mergeCell ref="B880:B886"/>
    <mergeCell ref="C880:C886"/>
    <mergeCell ref="D880:D886"/>
    <mergeCell ref="F880:F886"/>
    <mergeCell ref="H880:H886"/>
    <mergeCell ref="I866:I872"/>
    <mergeCell ref="A873:A879"/>
    <mergeCell ref="B873:B879"/>
    <mergeCell ref="C873:C879"/>
    <mergeCell ref="D873:D879"/>
    <mergeCell ref="F873:F879"/>
    <mergeCell ref="H873:H879"/>
    <mergeCell ref="I873:I879"/>
    <mergeCell ref="A866:A872"/>
    <mergeCell ref="B866:B872"/>
    <mergeCell ref="C866:C872"/>
    <mergeCell ref="D866:D872"/>
    <mergeCell ref="F866:F872"/>
    <mergeCell ref="H866:H872"/>
    <mergeCell ref="E866:E872"/>
    <mergeCell ref="E873:E879"/>
    <mergeCell ref="E880:E886"/>
    <mergeCell ref="E943:E949"/>
    <mergeCell ref="I908:I914"/>
    <mergeCell ref="A915:A921"/>
    <mergeCell ref="B915:B921"/>
    <mergeCell ref="C915:C921"/>
    <mergeCell ref="D915:D921"/>
    <mergeCell ref="F915:F921"/>
    <mergeCell ref="H915:H921"/>
    <mergeCell ref="I915:I921"/>
    <mergeCell ref="A908:A914"/>
    <mergeCell ref="B908:B914"/>
    <mergeCell ref="C908:C914"/>
    <mergeCell ref="D908:D914"/>
    <mergeCell ref="F908:F914"/>
    <mergeCell ref="H908:H914"/>
    <mergeCell ref="I894:I900"/>
    <mergeCell ref="A901:A907"/>
    <mergeCell ref="B901:B907"/>
    <mergeCell ref="C901:C907"/>
    <mergeCell ref="D901:D907"/>
    <mergeCell ref="F901:F907"/>
    <mergeCell ref="H901:H907"/>
    <mergeCell ref="I901:I907"/>
    <mergeCell ref="A894:A900"/>
    <mergeCell ref="B894:B900"/>
    <mergeCell ref="C894:C900"/>
    <mergeCell ref="D894:D900"/>
    <mergeCell ref="F894:F900"/>
    <mergeCell ref="H894:H900"/>
    <mergeCell ref="E894:E900"/>
    <mergeCell ref="E901:E907"/>
    <mergeCell ref="E908:E914"/>
    <mergeCell ref="E971:E977"/>
    <mergeCell ref="I936:I942"/>
    <mergeCell ref="A943:A949"/>
    <mergeCell ref="B943:B949"/>
    <mergeCell ref="C943:C949"/>
    <mergeCell ref="D943:D949"/>
    <mergeCell ref="F943:F949"/>
    <mergeCell ref="H943:H949"/>
    <mergeCell ref="I943:I949"/>
    <mergeCell ref="A936:A942"/>
    <mergeCell ref="B936:B942"/>
    <mergeCell ref="C936:C942"/>
    <mergeCell ref="D936:D942"/>
    <mergeCell ref="F936:F942"/>
    <mergeCell ref="H936:H942"/>
    <mergeCell ref="I922:I928"/>
    <mergeCell ref="A929:A935"/>
    <mergeCell ref="B929:B935"/>
    <mergeCell ref="C929:C935"/>
    <mergeCell ref="D929:D935"/>
    <mergeCell ref="F929:F935"/>
    <mergeCell ref="H929:H935"/>
    <mergeCell ref="I929:I935"/>
    <mergeCell ref="A922:A928"/>
    <mergeCell ref="B922:B928"/>
    <mergeCell ref="C922:C928"/>
    <mergeCell ref="D922:D928"/>
    <mergeCell ref="F922:F928"/>
    <mergeCell ref="H922:H928"/>
    <mergeCell ref="E922:E928"/>
    <mergeCell ref="E929:E935"/>
    <mergeCell ref="E936:E942"/>
    <mergeCell ref="E999:E1005"/>
    <mergeCell ref="I964:I970"/>
    <mergeCell ref="A971:A977"/>
    <mergeCell ref="B971:B977"/>
    <mergeCell ref="C971:C977"/>
    <mergeCell ref="D971:D977"/>
    <mergeCell ref="F971:F977"/>
    <mergeCell ref="H971:H977"/>
    <mergeCell ref="I971:I977"/>
    <mergeCell ref="A964:A970"/>
    <mergeCell ref="B964:B970"/>
    <mergeCell ref="C964:C970"/>
    <mergeCell ref="D964:D970"/>
    <mergeCell ref="F964:F970"/>
    <mergeCell ref="H964:H970"/>
    <mergeCell ref="I950:I956"/>
    <mergeCell ref="A957:A963"/>
    <mergeCell ref="B957:B963"/>
    <mergeCell ref="C957:C963"/>
    <mergeCell ref="D957:D963"/>
    <mergeCell ref="F957:F963"/>
    <mergeCell ref="H957:H963"/>
    <mergeCell ref="I957:I963"/>
    <mergeCell ref="A950:A956"/>
    <mergeCell ref="B950:B956"/>
    <mergeCell ref="C950:C956"/>
    <mergeCell ref="D950:D956"/>
    <mergeCell ref="F950:F956"/>
    <mergeCell ref="H950:H956"/>
    <mergeCell ref="E950:E956"/>
    <mergeCell ref="E957:E963"/>
    <mergeCell ref="E964:E970"/>
    <mergeCell ref="E1027:E1033"/>
    <mergeCell ref="I992:I998"/>
    <mergeCell ref="A999:A1005"/>
    <mergeCell ref="B999:B1005"/>
    <mergeCell ref="C999:C1005"/>
    <mergeCell ref="D999:D1005"/>
    <mergeCell ref="F999:F1005"/>
    <mergeCell ref="H999:H1005"/>
    <mergeCell ref="I999:I1005"/>
    <mergeCell ref="A992:A998"/>
    <mergeCell ref="B992:B998"/>
    <mergeCell ref="C992:C998"/>
    <mergeCell ref="D992:D998"/>
    <mergeCell ref="F992:F998"/>
    <mergeCell ref="H992:H998"/>
    <mergeCell ref="I978:I984"/>
    <mergeCell ref="A985:A991"/>
    <mergeCell ref="B985:B991"/>
    <mergeCell ref="C985:C991"/>
    <mergeCell ref="D985:D991"/>
    <mergeCell ref="F985:F991"/>
    <mergeCell ref="H985:H991"/>
    <mergeCell ref="I985:I991"/>
    <mergeCell ref="A978:A984"/>
    <mergeCell ref="B978:B984"/>
    <mergeCell ref="C978:C984"/>
    <mergeCell ref="D978:D984"/>
    <mergeCell ref="F978:F984"/>
    <mergeCell ref="H978:H984"/>
    <mergeCell ref="E978:E984"/>
    <mergeCell ref="E985:E991"/>
    <mergeCell ref="E992:E998"/>
    <mergeCell ref="E1055:E1061"/>
    <mergeCell ref="I1020:I1026"/>
    <mergeCell ref="A1027:A1033"/>
    <mergeCell ref="B1027:B1033"/>
    <mergeCell ref="C1027:C1033"/>
    <mergeCell ref="D1027:D1033"/>
    <mergeCell ref="F1027:F1033"/>
    <mergeCell ref="H1027:H1033"/>
    <mergeCell ref="I1027:I1033"/>
    <mergeCell ref="A1020:A1026"/>
    <mergeCell ref="B1020:B1026"/>
    <mergeCell ref="C1020:C1026"/>
    <mergeCell ref="D1020:D1026"/>
    <mergeCell ref="F1020:F1026"/>
    <mergeCell ref="H1020:H1026"/>
    <mergeCell ref="I1006:I1012"/>
    <mergeCell ref="A1013:A1019"/>
    <mergeCell ref="B1013:B1019"/>
    <mergeCell ref="C1013:C1019"/>
    <mergeCell ref="D1013:D1019"/>
    <mergeCell ref="F1013:F1019"/>
    <mergeCell ref="H1013:H1019"/>
    <mergeCell ref="I1013:I1019"/>
    <mergeCell ref="A1006:A1012"/>
    <mergeCell ref="B1006:B1012"/>
    <mergeCell ref="C1006:C1012"/>
    <mergeCell ref="D1006:D1012"/>
    <mergeCell ref="F1006:F1012"/>
    <mergeCell ref="H1006:H1012"/>
    <mergeCell ref="E1006:E1012"/>
    <mergeCell ref="E1013:E1019"/>
    <mergeCell ref="E1020:E1026"/>
    <mergeCell ref="E1083:E1089"/>
    <mergeCell ref="I1048:I1054"/>
    <mergeCell ref="A1055:A1061"/>
    <mergeCell ref="B1055:B1061"/>
    <mergeCell ref="C1055:C1061"/>
    <mergeCell ref="D1055:D1061"/>
    <mergeCell ref="F1055:F1061"/>
    <mergeCell ref="H1055:H1061"/>
    <mergeCell ref="I1055:I1061"/>
    <mergeCell ref="A1048:A1054"/>
    <mergeCell ref="B1048:B1054"/>
    <mergeCell ref="C1048:C1054"/>
    <mergeCell ref="D1048:D1054"/>
    <mergeCell ref="F1048:F1054"/>
    <mergeCell ref="H1048:H1054"/>
    <mergeCell ref="I1034:I1040"/>
    <mergeCell ref="A1041:A1047"/>
    <mergeCell ref="B1041:B1047"/>
    <mergeCell ref="C1041:C1047"/>
    <mergeCell ref="D1041:D1047"/>
    <mergeCell ref="F1041:F1047"/>
    <mergeCell ref="H1041:H1047"/>
    <mergeCell ref="I1041:I1047"/>
    <mergeCell ref="A1034:A1040"/>
    <mergeCell ref="B1034:B1040"/>
    <mergeCell ref="C1034:C1040"/>
    <mergeCell ref="D1034:D1040"/>
    <mergeCell ref="F1034:F1040"/>
    <mergeCell ref="H1034:H1040"/>
    <mergeCell ref="E1034:E1040"/>
    <mergeCell ref="E1041:E1047"/>
    <mergeCell ref="E1048:E1054"/>
    <mergeCell ref="E1111:E1117"/>
    <mergeCell ref="I1076:I1082"/>
    <mergeCell ref="A1083:A1089"/>
    <mergeCell ref="B1083:B1089"/>
    <mergeCell ref="C1083:C1089"/>
    <mergeCell ref="D1083:D1089"/>
    <mergeCell ref="F1083:F1089"/>
    <mergeCell ref="H1083:H1089"/>
    <mergeCell ref="I1083:I1089"/>
    <mergeCell ref="A1076:A1082"/>
    <mergeCell ref="B1076:B1082"/>
    <mergeCell ref="C1076:C1082"/>
    <mergeCell ref="D1076:D1082"/>
    <mergeCell ref="F1076:F1082"/>
    <mergeCell ref="H1076:H1082"/>
    <mergeCell ref="I1062:I1068"/>
    <mergeCell ref="A1069:A1075"/>
    <mergeCell ref="B1069:B1075"/>
    <mergeCell ref="C1069:C1075"/>
    <mergeCell ref="D1069:D1075"/>
    <mergeCell ref="F1069:F1075"/>
    <mergeCell ref="H1069:H1075"/>
    <mergeCell ref="I1069:I1075"/>
    <mergeCell ref="A1062:A1068"/>
    <mergeCell ref="B1062:B1068"/>
    <mergeCell ref="C1062:C1068"/>
    <mergeCell ref="D1062:D1068"/>
    <mergeCell ref="F1062:F1068"/>
    <mergeCell ref="H1062:H1068"/>
    <mergeCell ref="E1062:E1068"/>
    <mergeCell ref="E1069:E1075"/>
    <mergeCell ref="E1076:E1082"/>
    <mergeCell ref="E1139:E1145"/>
    <mergeCell ref="I1104:I1110"/>
    <mergeCell ref="A1111:A1117"/>
    <mergeCell ref="B1111:B1117"/>
    <mergeCell ref="C1111:C1117"/>
    <mergeCell ref="D1111:D1117"/>
    <mergeCell ref="F1111:F1117"/>
    <mergeCell ref="H1111:H1117"/>
    <mergeCell ref="I1111:I1117"/>
    <mergeCell ref="A1104:A1110"/>
    <mergeCell ref="B1104:B1110"/>
    <mergeCell ref="C1104:C1110"/>
    <mergeCell ref="D1104:D1110"/>
    <mergeCell ref="F1104:F1110"/>
    <mergeCell ref="H1104:H1110"/>
    <mergeCell ref="I1090:I1096"/>
    <mergeCell ref="A1097:A1103"/>
    <mergeCell ref="B1097:B1103"/>
    <mergeCell ref="C1097:C1103"/>
    <mergeCell ref="D1097:D1103"/>
    <mergeCell ref="F1097:F1103"/>
    <mergeCell ref="H1097:H1103"/>
    <mergeCell ref="I1097:I1103"/>
    <mergeCell ref="A1090:A1096"/>
    <mergeCell ref="B1090:B1096"/>
    <mergeCell ref="C1090:C1096"/>
    <mergeCell ref="D1090:D1096"/>
    <mergeCell ref="F1090:F1096"/>
    <mergeCell ref="H1090:H1096"/>
    <mergeCell ref="E1090:E1096"/>
    <mergeCell ref="E1097:E1103"/>
    <mergeCell ref="E1104:E1110"/>
    <mergeCell ref="E1167:E1173"/>
    <mergeCell ref="I1132:I1138"/>
    <mergeCell ref="A1139:A1145"/>
    <mergeCell ref="B1139:B1145"/>
    <mergeCell ref="C1139:C1145"/>
    <mergeCell ref="D1139:D1145"/>
    <mergeCell ref="F1139:F1145"/>
    <mergeCell ref="H1139:H1145"/>
    <mergeCell ref="I1139:I1145"/>
    <mergeCell ref="A1132:A1138"/>
    <mergeCell ref="B1132:B1138"/>
    <mergeCell ref="C1132:C1138"/>
    <mergeCell ref="D1132:D1138"/>
    <mergeCell ref="F1132:F1138"/>
    <mergeCell ref="H1132:H1138"/>
    <mergeCell ref="I1118:I1124"/>
    <mergeCell ref="A1125:A1131"/>
    <mergeCell ref="B1125:B1131"/>
    <mergeCell ref="C1125:C1131"/>
    <mergeCell ref="D1125:D1131"/>
    <mergeCell ref="F1125:F1131"/>
    <mergeCell ref="H1125:H1131"/>
    <mergeCell ref="I1125:I1131"/>
    <mergeCell ref="A1118:A1124"/>
    <mergeCell ref="B1118:B1124"/>
    <mergeCell ref="C1118:C1124"/>
    <mergeCell ref="D1118:D1124"/>
    <mergeCell ref="F1118:F1124"/>
    <mergeCell ref="H1118:H1124"/>
    <mergeCell ref="E1118:E1124"/>
    <mergeCell ref="E1125:E1131"/>
    <mergeCell ref="E1132:E1138"/>
    <mergeCell ref="E1196:E1202"/>
    <mergeCell ref="I1160:I1166"/>
    <mergeCell ref="A1167:A1173"/>
    <mergeCell ref="B1167:B1173"/>
    <mergeCell ref="C1167:C1173"/>
    <mergeCell ref="D1167:D1173"/>
    <mergeCell ref="F1167:F1173"/>
    <mergeCell ref="H1167:H1173"/>
    <mergeCell ref="I1167:I1173"/>
    <mergeCell ref="A1160:A1166"/>
    <mergeCell ref="B1160:B1166"/>
    <mergeCell ref="C1160:C1166"/>
    <mergeCell ref="D1160:D1166"/>
    <mergeCell ref="F1160:F1166"/>
    <mergeCell ref="H1160:H1166"/>
    <mergeCell ref="I1146:I1152"/>
    <mergeCell ref="A1153:A1159"/>
    <mergeCell ref="B1153:B1159"/>
    <mergeCell ref="C1153:C1159"/>
    <mergeCell ref="D1153:D1159"/>
    <mergeCell ref="F1153:F1159"/>
    <mergeCell ref="H1153:H1159"/>
    <mergeCell ref="I1153:I1159"/>
    <mergeCell ref="A1146:A1152"/>
    <mergeCell ref="B1146:B1152"/>
    <mergeCell ref="C1146:C1152"/>
    <mergeCell ref="D1146:D1152"/>
    <mergeCell ref="F1146:F1152"/>
    <mergeCell ref="H1146:H1152"/>
    <mergeCell ref="E1146:E1152"/>
    <mergeCell ref="E1153:E1159"/>
    <mergeCell ref="E1160:E1166"/>
    <mergeCell ref="E1227:E1233"/>
    <mergeCell ref="I1188:I1194"/>
    <mergeCell ref="A1196:A1202"/>
    <mergeCell ref="B1196:B1202"/>
    <mergeCell ref="C1196:C1202"/>
    <mergeCell ref="D1196:D1202"/>
    <mergeCell ref="F1196:F1202"/>
    <mergeCell ref="H1196:H1202"/>
    <mergeCell ref="I1196:I1202"/>
    <mergeCell ref="A1188:A1194"/>
    <mergeCell ref="B1188:B1194"/>
    <mergeCell ref="C1188:C1194"/>
    <mergeCell ref="D1188:D1194"/>
    <mergeCell ref="F1188:F1194"/>
    <mergeCell ref="H1188:H1194"/>
    <mergeCell ref="I1174:I1180"/>
    <mergeCell ref="A1181:A1187"/>
    <mergeCell ref="B1181:B1187"/>
    <mergeCell ref="C1181:C1187"/>
    <mergeCell ref="D1181:D1187"/>
    <mergeCell ref="F1181:F1187"/>
    <mergeCell ref="H1181:H1187"/>
    <mergeCell ref="I1181:I1187"/>
    <mergeCell ref="A1174:A1180"/>
    <mergeCell ref="B1174:B1180"/>
    <mergeCell ref="C1174:C1180"/>
    <mergeCell ref="D1174:D1180"/>
    <mergeCell ref="F1174:F1180"/>
    <mergeCell ref="H1174:H1180"/>
    <mergeCell ref="E1174:E1180"/>
    <mergeCell ref="E1181:E1187"/>
    <mergeCell ref="E1188:E1194"/>
    <mergeCell ref="E1255:E1261"/>
    <mergeCell ref="I1219:I1225"/>
    <mergeCell ref="A1227:A1233"/>
    <mergeCell ref="B1227:B1233"/>
    <mergeCell ref="C1227:C1233"/>
    <mergeCell ref="D1227:D1233"/>
    <mergeCell ref="F1227:F1233"/>
    <mergeCell ref="H1227:H1233"/>
    <mergeCell ref="I1227:I1233"/>
    <mergeCell ref="A1219:A1225"/>
    <mergeCell ref="B1219:B1225"/>
    <mergeCell ref="C1219:C1225"/>
    <mergeCell ref="D1219:D1225"/>
    <mergeCell ref="F1219:F1225"/>
    <mergeCell ref="H1219:H1225"/>
    <mergeCell ref="I1204:I1210"/>
    <mergeCell ref="A1211:A1217"/>
    <mergeCell ref="B1211:B1217"/>
    <mergeCell ref="C1211:C1217"/>
    <mergeCell ref="D1211:D1217"/>
    <mergeCell ref="F1211:F1217"/>
    <mergeCell ref="H1211:H1217"/>
    <mergeCell ref="I1211:I1217"/>
    <mergeCell ref="A1204:A1210"/>
    <mergeCell ref="B1204:B1210"/>
    <mergeCell ref="C1204:C1210"/>
    <mergeCell ref="D1204:D1210"/>
    <mergeCell ref="F1204:F1210"/>
    <mergeCell ref="H1204:H1210"/>
    <mergeCell ref="E1204:E1210"/>
    <mergeCell ref="E1211:E1217"/>
    <mergeCell ref="E1219:E1225"/>
    <mergeCell ref="E1283:E1289"/>
    <mergeCell ref="I1248:I1254"/>
    <mergeCell ref="A1255:A1261"/>
    <mergeCell ref="B1255:B1261"/>
    <mergeCell ref="C1255:C1261"/>
    <mergeCell ref="D1255:D1261"/>
    <mergeCell ref="F1255:F1261"/>
    <mergeCell ref="H1255:H1261"/>
    <mergeCell ref="I1255:I1261"/>
    <mergeCell ref="A1248:A1254"/>
    <mergeCell ref="B1248:B1254"/>
    <mergeCell ref="C1248:C1254"/>
    <mergeCell ref="D1248:D1254"/>
    <mergeCell ref="F1248:F1254"/>
    <mergeCell ref="H1248:H1254"/>
    <mergeCell ref="I1234:I1240"/>
    <mergeCell ref="A1241:A1247"/>
    <mergeCell ref="B1241:B1247"/>
    <mergeCell ref="C1241:C1247"/>
    <mergeCell ref="D1241:D1247"/>
    <mergeCell ref="F1241:F1247"/>
    <mergeCell ref="H1241:H1247"/>
    <mergeCell ref="I1241:I1247"/>
    <mergeCell ref="A1234:A1240"/>
    <mergeCell ref="B1234:B1240"/>
    <mergeCell ref="C1234:C1240"/>
    <mergeCell ref="D1234:D1240"/>
    <mergeCell ref="F1234:F1240"/>
    <mergeCell ref="H1234:H1240"/>
    <mergeCell ref="E1234:E1240"/>
    <mergeCell ref="E1241:E1247"/>
    <mergeCell ref="E1248:E1254"/>
    <mergeCell ref="E1311:E1317"/>
    <mergeCell ref="I1276:I1282"/>
    <mergeCell ref="A1283:A1289"/>
    <mergeCell ref="B1283:B1289"/>
    <mergeCell ref="C1283:C1289"/>
    <mergeCell ref="D1283:D1289"/>
    <mergeCell ref="F1283:F1289"/>
    <mergeCell ref="H1283:H1289"/>
    <mergeCell ref="I1283:I1289"/>
    <mergeCell ref="A1276:A1282"/>
    <mergeCell ref="B1276:B1282"/>
    <mergeCell ref="C1276:C1282"/>
    <mergeCell ref="D1276:D1282"/>
    <mergeCell ref="F1276:F1282"/>
    <mergeCell ref="H1276:H1282"/>
    <mergeCell ref="I1262:I1268"/>
    <mergeCell ref="A1269:A1275"/>
    <mergeCell ref="B1269:B1275"/>
    <mergeCell ref="C1269:C1275"/>
    <mergeCell ref="D1269:D1275"/>
    <mergeCell ref="F1269:F1275"/>
    <mergeCell ref="H1269:H1275"/>
    <mergeCell ref="I1269:I1275"/>
    <mergeCell ref="A1262:A1268"/>
    <mergeCell ref="B1262:B1268"/>
    <mergeCell ref="C1262:C1268"/>
    <mergeCell ref="D1262:D1268"/>
    <mergeCell ref="F1262:F1268"/>
    <mergeCell ref="H1262:H1268"/>
    <mergeCell ref="E1262:E1268"/>
    <mergeCell ref="E1269:E1275"/>
    <mergeCell ref="E1276:E1282"/>
    <mergeCell ref="E1339:E1345"/>
    <mergeCell ref="I1304:I1310"/>
    <mergeCell ref="A1311:A1317"/>
    <mergeCell ref="B1311:B1317"/>
    <mergeCell ref="C1311:C1317"/>
    <mergeCell ref="D1311:D1317"/>
    <mergeCell ref="F1311:F1317"/>
    <mergeCell ref="H1311:H1317"/>
    <mergeCell ref="I1311:I1317"/>
    <mergeCell ref="A1304:A1310"/>
    <mergeCell ref="B1304:B1310"/>
    <mergeCell ref="C1304:C1310"/>
    <mergeCell ref="D1304:D1310"/>
    <mergeCell ref="F1304:F1310"/>
    <mergeCell ref="H1304:H1310"/>
    <mergeCell ref="I1290:I1296"/>
    <mergeCell ref="A1297:A1303"/>
    <mergeCell ref="B1297:B1303"/>
    <mergeCell ref="C1297:C1303"/>
    <mergeCell ref="D1297:D1303"/>
    <mergeCell ref="F1297:F1303"/>
    <mergeCell ref="H1297:H1303"/>
    <mergeCell ref="I1297:I1303"/>
    <mergeCell ref="A1290:A1296"/>
    <mergeCell ref="B1290:B1296"/>
    <mergeCell ref="C1290:C1296"/>
    <mergeCell ref="D1290:D1296"/>
    <mergeCell ref="F1290:F1296"/>
    <mergeCell ref="H1290:H1296"/>
    <mergeCell ref="E1290:E1296"/>
    <mergeCell ref="E1297:E1303"/>
    <mergeCell ref="E1304:E1310"/>
    <mergeCell ref="E1367:E1373"/>
    <mergeCell ref="I1332:I1338"/>
    <mergeCell ref="A1339:A1345"/>
    <mergeCell ref="B1339:B1345"/>
    <mergeCell ref="C1339:C1345"/>
    <mergeCell ref="D1339:D1345"/>
    <mergeCell ref="F1339:F1345"/>
    <mergeCell ref="H1339:H1345"/>
    <mergeCell ref="I1339:I1345"/>
    <mergeCell ref="A1332:A1338"/>
    <mergeCell ref="B1332:B1338"/>
    <mergeCell ref="C1332:C1338"/>
    <mergeCell ref="D1332:D1338"/>
    <mergeCell ref="F1332:F1338"/>
    <mergeCell ref="H1332:H1338"/>
    <mergeCell ref="I1318:I1324"/>
    <mergeCell ref="A1325:A1331"/>
    <mergeCell ref="B1325:B1331"/>
    <mergeCell ref="C1325:C1331"/>
    <mergeCell ref="D1325:D1331"/>
    <mergeCell ref="F1325:F1331"/>
    <mergeCell ref="H1325:H1331"/>
    <mergeCell ref="I1325:I1331"/>
    <mergeCell ref="A1318:A1324"/>
    <mergeCell ref="B1318:B1324"/>
    <mergeCell ref="C1318:C1324"/>
    <mergeCell ref="D1318:D1324"/>
    <mergeCell ref="F1318:F1324"/>
    <mergeCell ref="H1318:H1324"/>
    <mergeCell ref="E1318:E1324"/>
    <mergeCell ref="E1325:E1331"/>
    <mergeCell ref="E1332:E1338"/>
    <mergeCell ref="E1395:E1401"/>
    <mergeCell ref="I1360:I1366"/>
    <mergeCell ref="A1367:A1373"/>
    <mergeCell ref="B1367:B1373"/>
    <mergeCell ref="C1367:C1373"/>
    <mergeCell ref="D1367:D1373"/>
    <mergeCell ref="F1367:F1373"/>
    <mergeCell ref="H1367:H1373"/>
    <mergeCell ref="I1367:I1373"/>
    <mergeCell ref="A1360:A1366"/>
    <mergeCell ref="B1360:B1366"/>
    <mergeCell ref="C1360:C1366"/>
    <mergeCell ref="D1360:D1366"/>
    <mergeCell ref="F1360:F1366"/>
    <mergeCell ref="H1360:H1366"/>
    <mergeCell ref="I1346:I1352"/>
    <mergeCell ref="A1353:A1359"/>
    <mergeCell ref="B1353:B1359"/>
    <mergeCell ref="C1353:C1359"/>
    <mergeCell ref="D1353:D1359"/>
    <mergeCell ref="F1353:F1359"/>
    <mergeCell ref="H1353:H1359"/>
    <mergeCell ref="I1353:I1359"/>
    <mergeCell ref="A1346:A1352"/>
    <mergeCell ref="B1346:B1352"/>
    <mergeCell ref="C1346:C1352"/>
    <mergeCell ref="D1346:D1352"/>
    <mergeCell ref="F1346:F1352"/>
    <mergeCell ref="H1346:H1352"/>
    <mergeCell ref="E1346:E1352"/>
    <mergeCell ref="E1353:E1359"/>
    <mergeCell ref="E1360:E1366"/>
    <mergeCell ref="E1425:E1431"/>
    <mergeCell ref="I1388:I1394"/>
    <mergeCell ref="A1395:A1401"/>
    <mergeCell ref="B1395:B1401"/>
    <mergeCell ref="C1395:C1401"/>
    <mergeCell ref="D1395:D1401"/>
    <mergeCell ref="F1395:F1401"/>
    <mergeCell ref="H1395:H1401"/>
    <mergeCell ref="I1395:I1401"/>
    <mergeCell ref="A1388:A1394"/>
    <mergeCell ref="B1388:B1394"/>
    <mergeCell ref="C1388:C1394"/>
    <mergeCell ref="D1388:D1394"/>
    <mergeCell ref="F1388:F1394"/>
    <mergeCell ref="H1388:H1394"/>
    <mergeCell ref="I1374:I1380"/>
    <mergeCell ref="A1381:A1387"/>
    <mergeCell ref="B1381:B1387"/>
    <mergeCell ref="C1381:C1387"/>
    <mergeCell ref="D1381:D1387"/>
    <mergeCell ref="F1381:F1387"/>
    <mergeCell ref="H1381:H1387"/>
    <mergeCell ref="I1381:I1387"/>
    <mergeCell ref="A1374:A1380"/>
    <mergeCell ref="B1374:B1380"/>
    <mergeCell ref="C1374:C1380"/>
    <mergeCell ref="D1374:D1380"/>
    <mergeCell ref="F1374:F1380"/>
    <mergeCell ref="H1374:H1380"/>
    <mergeCell ref="E1374:E1380"/>
    <mergeCell ref="E1381:E1387"/>
    <mergeCell ref="E1388:E1394"/>
    <mergeCell ref="E1453:E1459"/>
    <mergeCell ref="I1417:I1423"/>
    <mergeCell ref="A1425:A1431"/>
    <mergeCell ref="B1425:B1431"/>
    <mergeCell ref="C1425:C1431"/>
    <mergeCell ref="D1425:D1431"/>
    <mergeCell ref="F1425:F1431"/>
    <mergeCell ref="H1425:H1431"/>
    <mergeCell ref="I1425:I1431"/>
    <mergeCell ref="A1417:A1423"/>
    <mergeCell ref="B1417:B1423"/>
    <mergeCell ref="C1417:C1423"/>
    <mergeCell ref="D1417:D1423"/>
    <mergeCell ref="F1417:F1423"/>
    <mergeCell ref="H1417:H1423"/>
    <mergeCell ref="I1402:I1408"/>
    <mergeCell ref="A1410:A1416"/>
    <mergeCell ref="B1410:B1416"/>
    <mergeCell ref="C1410:C1416"/>
    <mergeCell ref="D1410:D1416"/>
    <mergeCell ref="F1410:F1416"/>
    <mergeCell ref="H1410:H1416"/>
    <mergeCell ref="I1410:I1416"/>
    <mergeCell ref="A1402:A1408"/>
    <mergeCell ref="B1402:B1408"/>
    <mergeCell ref="C1402:C1408"/>
    <mergeCell ref="D1402:D1408"/>
    <mergeCell ref="F1402:F1408"/>
    <mergeCell ref="H1402:H1408"/>
    <mergeCell ref="E1402:E1408"/>
    <mergeCell ref="E1410:E1416"/>
    <mergeCell ref="E1417:E1423"/>
    <mergeCell ref="E1483:E1489"/>
    <mergeCell ref="I1446:I1452"/>
    <mergeCell ref="A1453:A1459"/>
    <mergeCell ref="B1453:B1459"/>
    <mergeCell ref="C1453:C1459"/>
    <mergeCell ref="D1453:D1459"/>
    <mergeCell ref="F1453:F1459"/>
    <mergeCell ref="H1453:H1459"/>
    <mergeCell ref="I1453:I1459"/>
    <mergeCell ref="A1446:A1452"/>
    <mergeCell ref="B1446:B1452"/>
    <mergeCell ref="C1446:C1452"/>
    <mergeCell ref="D1446:D1452"/>
    <mergeCell ref="F1446:F1452"/>
    <mergeCell ref="H1446:H1452"/>
    <mergeCell ref="I1432:I1438"/>
    <mergeCell ref="A1439:A1445"/>
    <mergeCell ref="B1439:B1445"/>
    <mergeCell ref="C1439:C1445"/>
    <mergeCell ref="D1439:D1445"/>
    <mergeCell ref="F1439:F1445"/>
    <mergeCell ref="H1439:H1445"/>
    <mergeCell ref="I1439:I1445"/>
    <mergeCell ref="A1432:A1438"/>
    <mergeCell ref="B1432:B1438"/>
    <mergeCell ref="C1432:C1438"/>
    <mergeCell ref="D1432:D1438"/>
    <mergeCell ref="F1432:F1438"/>
    <mergeCell ref="H1432:H1438"/>
    <mergeCell ref="E1432:E1438"/>
    <mergeCell ref="E1439:E1445"/>
    <mergeCell ref="E1446:E1452"/>
    <mergeCell ref="E1515:E1521"/>
    <mergeCell ref="I1475:I1481"/>
    <mergeCell ref="A1483:A1489"/>
    <mergeCell ref="B1483:B1489"/>
    <mergeCell ref="C1483:C1489"/>
    <mergeCell ref="D1483:D1489"/>
    <mergeCell ref="F1483:F1489"/>
    <mergeCell ref="H1483:H1489"/>
    <mergeCell ref="I1483:I1489"/>
    <mergeCell ref="A1475:A1481"/>
    <mergeCell ref="B1475:B1481"/>
    <mergeCell ref="C1475:C1481"/>
    <mergeCell ref="D1475:D1481"/>
    <mergeCell ref="F1475:F1481"/>
    <mergeCell ref="H1475:H1481"/>
    <mergeCell ref="I1460:I1466"/>
    <mergeCell ref="A1467:A1473"/>
    <mergeCell ref="B1467:B1473"/>
    <mergeCell ref="C1467:C1473"/>
    <mergeCell ref="D1467:D1473"/>
    <mergeCell ref="F1467:F1473"/>
    <mergeCell ref="H1467:H1473"/>
    <mergeCell ref="I1467:I1473"/>
    <mergeCell ref="A1460:A1466"/>
    <mergeCell ref="B1460:B1466"/>
    <mergeCell ref="C1460:C1466"/>
    <mergeCell ref="D1460:D1466"/>
    <mergeCell ref="F1460:F1466"/>
    <mergeCell ref="H1460:H1466"/>
    <mergeCell ref="E1460:E1466"/>
    <mergeCell ref="E1467:E1473"/>
    <mergeCell ref="E1475:E1481"/>
    <mergeCell ref="E1544:E1550"/>
    <mergeCell ref="I1507:I1513"/>
    <mergeCell ref="A1515:A1521"/>
    <mergeCell ref="B1515:B1521"/>
    <mergeCell ref="C1515:C1521"/>
    <mergeCell ref="D1515:D1521"/>
    <mergeCell ref="F1515:F1521"/>
    <mergeCell ref="H1515:H1521"/>
    <mergeCell ref="I1515:I1521"/>
    <mergeCell ref="A1507:A1513"/>
    <mergeCell ref="B1507:B1513"/>
    <mergeCell ref="C1507:C1513"/>
    <mergeCell ref="D1507:D1513"/>
    <mergeCell ref="F1507:F1513"/>
    <mergeCell ref="H1507:H1513"/>
    <mergeCell ref="I1491:I1497"/>
    <mergeCell ref="A1499:A1505"/>
    <mergeCell ref="B1499:B1505"/>
    <mergeCell ref="C1499:C1505"/>
    <mergeCell ref="D1499:D1505"/>
    <mergeCell ref="F1499:F1505"/>
    <mergeCell ref="H1499:H1505"/>
    <mergeCell ref="I1499:I1505"/>
    <mergeCell ref="A1491:A1497"/>
    <mergeCell ref="B1491:B1497"/>
    <mergeCell ref="C1491:C1497"/>
    <mergeCell ref="D1491:D1497"/>
    <mergeCell ref="F1491:F1497"/>
    <mergeCell ref="H1491:H1497"/>
    <mergeCell ref="E1491:E1497"/>
    <mergeCell ref="E1499:E1505"/>
    <mergeCell ref="E1507:E1513"/>
    <mergeCell ref="E1574:E1580"/>
    <mergeCell ref="I1537:I1543"/>
    <mergeCell ref="A1544:A1550"/>
    <mergeCell ref="B1544:B1550"/>
    <mergeCell ref="C1544:C1550"/>
    <mergeCell ref="D1544:D1550"/>
    <mergeCell ref="F1544:F1550"/>
    <mergeCell ref="H1544:H1550"/>
    <mergeCell ref="I1544:I1550"/>
    <mergeCell ref="A1537:A1543"/>
    <mergeCell ref="B1537:B1543"/>
    <mergeCell ref="C1537:C1543"/>
    <mergeCell ref="D1537:D1543"/>
    <mergeCell ref="F1537:F1543"/>
    <mergeCell ref="H1537:H1543"/>
    <mergeCell ref="I1522:I1528"/>
    <mergeCell ref="A1529:A1535"/>
    <mergeCell ref="B1529:B1535"/>
    <mergeCell ref="C1529:C1535"/>
    <mergeCell ref="D1529:D1535"/>
    <mergeCell ref="F1529:F1535"/>
    <mergeCell ref="H1529:H1535"/>
    <mergeCell ref="I1529:I1535"/>
    <mergeCell ref="A1522:A1528"/>
    <mergeCell ref="B1522:B1528"/>
    <mergeCell ref="C1522:C1528"/>
    <mergeCell ref="D1522:D1528"/>
    <mergeCell ref="F1522:F1528"/>
    <mergeCell ref="H1522:H1528"/>
    <mergeCell ref="E1522:E1528"/>
    <mergeCell ref="E1529:E1535"/>
    <mergeCell ref="E1537:E1543"/>
    <mergeCell ref="E1595:E1601"/>
    <mergeCell ref="I1567:I1573"/>
    <mergeCell ref="A1574:A1580"/>
    <mergeCell ref="B1574:B1580"/>
    <mergeCell ref="C1574:C1580"/>
    <mergeCell ref="D1574:D1580"/>
    <mergeCell ref="F1574:F1580"/>
    <mergeCell ref="H1574:H1580"/>
    <mergeCell ref="I1574:I1580"/>
    <mergeCell ref="A1567:A1573"/>
    <mergeCell ref="B1567:B1573"/>
    <mergeCell ref="C1567:C1573"/>
    <mergeCell ref="D1567:D1573"/>
    <mergeCell ref="F1567:F1573"/>
    <mergeCell ref="H1567:H1573"/>
    <mergeCell ref="I1552:I1558"/>
    <mergeCell ref="A1560:A1566"/>
    <mergeCell ref="B1560:B1566"/>
    <mergeCell ref="C1560:C1566"/>
    <mergeCell ref="D1560:D1566"/>
    <mergeCell ref="F1560:F1566"/>
    <mergeCell ref="H1560:H1566"/>
    <mergeCell ref="I1560:I1566"/>
    <mergeCell ref="A1552:A1558"/>
    <mergeCell ref="B1552:B1558"/>
    <mergeCell ref="C1552:C1558"/>
    <mergeCell ref="D1552:D1558"/>
    <mergeCell ref="F1552:F1558"/>
    <mergeCell ref="H1552:H1558"/>
    <mergeCell ref="E1552:E1558"/>
    <mergeCell ref="E1560:E1566"/>
    <mergeCell ref="E1567:E1573"/>
    <mergeCell ref="E1602:E1608"/>
    <mergeCell ref="A1609:B1609"/>
    <mergeCell ref="I1595:I1601"/>
    <mergeCell ref="A1602:A1608"/>
    <mergeCell ref="B1602:B1608"/>
    <mergeCell ref="C1602:C1608"/>
    <mergeCell ref="D1602:D1608"/>
    <mergeCell ref="F1602:F1608"/>
    <mergeCell ref="H1602:H1608"/>
    <mergeCell ref="I1602:I1608"/>
    <mergeCell ref="A1595:A1601"/>
    <mergeCell ref="B1595:B1601"/>
    <mergeCell ref="C1595:C1601"/>
    <mergeCell ref="D1595:D1601"/>
    <mergeCell ref="F1595:F1601"/>
    <mergeCell ref="H1595:H1601"/>
    <mergeCell ref="I1581:I1587"/>
    <mergeCell ref="A1588:A1594"/>
    <mergeCell ref="B1588:B1594"/>
    <mergeCell ref="C1588:C1594"/>
    <mergeCell ref="D1588:D1594"/>
    <mergeCell ref="F1588:F1594"/>
    <mergeCell ref="H1588:H1594"/>
    <mergeCell ref="I1588:I1594"/>
    <mergeCell ref="A1581:A1587"/>
    <mergeCell ref="B1581:B1587"/>
    <mergeCell ref="C1581:C1587"/>
    <mergeCell ref="D1581:D1587"/>
    <mergeCell ref="F1581:F1587"/>
    <mergeCell ref="H1581:H1587"/>
    <mergeCell ref="E1581:E1587"/>
    <mergeCell ref="E1588:E159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09"/>
  <sheetViews>
    <sheetView zoomScale="60" zoomScaleNormal="60" workbookViewId="0">
      <selection activeCell="V3" sqref="V3"/>
    </sheetView>
  </sheetViews>
  <sheetFormatPr defaultColWidth="9.140625" defaultRowHeight="15" outlineLevelRow="1" x14ac:dyDescent="0.25"/>
  <cols>
    <col min="1" max="1" width="8.42578125" style="22" customWidth="1"/>
    <col min="2" max="2" width="100.5703125" style="21" customWidth="1"/>
    <col min="3" max="3" width="14.85546875" style="21" customWidth="1"/>
    <col min="4" max="5" width="12.42578125" style="21" customWidth="1"/>
    <col min="6" max="6" width="14.42578125" style="21" customWidth="1"/>
    <col min="7" max="7" width="13.140625" style="21" customWidth="1"/>
    <col min="8" max="8" width="10.85546875" style="21" customWidth="1"/>
    <col min="9" max="9" width="9.85546875" style="21" customWidth="1"/>
    <col min="10" max="12" width="5" style="21" customWidth="1"/>
    <col min="13" max="14" width="11.140625" style="21" customWidth="1"/>
    <col min="15" max="15" width="12.140625" style="21" customWidth="1"/>
    <col min="16" max="16" width="17.42578125" style="21" customWidth="1"/>
    <col min="17" max="16384" width="9.140625" style="21"/>
  </cols>
  <sheetData>
    <row r="1" spans="1:15" ht="55.35" customHeight="1" x14ac:dyDescent="0.25">
      <c r="A1" s="23" t="s">
        <v>0</v>
      </c>
      <c r="B1" s="19"/>
      <c r="C1" s="20" t="s">
        <v>1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5" ht="15" customHeight="1" x14ac:dyDescent="0.25">
      <c r="A2" s="107" t="s">
        <v>978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</row>
    <row r="3" spans="1:15" ht="36" customHeight="1" thickBot="1" x14ac:dyDescent="0.3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</row>
    <row r="4" spans="1:15" ht="13.7" customHeight="1" thickBot="1" x14ac:dyDescent="0.3">
      <c r="A4" s="55"/>
      <c r="B4" s="55"/>
      <c r="C4" s="109" t="s">
        <v>106</v>
      </c>
      <c r="D4" s="110"/>
      <c r="E4" s="110"/>
      <c r="F4" s="111"/>
      <c r="G4" s="111"/>
      <c r="H4" s="111"/>
      <c r="I4" s="111"/>
      <c r="J4" s="111"/>
      <c r="K4" s="111"/>
      <c r="L4" s="111"/>
      <c r="M4" s="111"/>
      <c r="N4" s="111"/>
      <c r="O4" s="112"/>
    </row>
    <row r="5" spans="1:15" s="38" customFormat="1" ht="19.5" customHeight="1" x14ac:dyDescent="0.25">
      <c r="A5" s="113" t="s">
        <v>3</v>
      </c>
      <c r="B5" s="113" t="s">
        <v>4</v>
      </c>
      <c r="C5" s="113" t="s">
        <v>53</v>
      </c>
      <c r="D5" s="113" t="s">
        <v>107</v>
      </c>
      <c r="E5" s="113" t="s">
        <v>108</v>
      </c>
      <c r="F5" s="113" t="s">
        <v>109</v>
      </c>
      <c r="G5" s="117" t="s">
        <v>110</v>
      </c>
      <c r="H5" s="118"/>
      <c r="I5" s="118"/>
      <c r="J5" s="118"/>
      <c r="K5" s="118"/>
      <c r="L5" s="118"/>
      <c r="M5" s="118"/>
      <c r="N5" s="118"/>
      <c r="O5" s="119"/>
    </row>
    <row r="6" spans="1:15" s="38" customFormat="1" ht="19.5" customHeight="1" thickBot="1" x14ac:dyDescent="0.3">
      <c r="A6" s="114"/>
      <c r="B6" s="114"/>
      <c r="C6" s="114"/>
      <c r="D6" s="115"/>
      <c r="E6" s="115"/>
      <c r="F6" s="116"/>
      <c r="G6" s="120"/>
      <c r="H6" s="121"/>
      <c r="I6" s="121"/>
      <c r="J6" s="121"/>
      <c r="K6" s="121"/>
      <c r="L6" s="121"/>
      <c r="M6" s="121"/>
      <c r="N6" s="121"/>
      <c r="O6" s="122"/>
    </row>
    <row r="7" spans="1:15" s="38" customFormat="1" ht="25.35" customHeight="1" thickBot="1" x14ac:dyDescent="0.3">
      <c r="A7" s="115"/>
      <c r="B7" s="115"/>
      <c r="C7" s="115"/>
      <c r="D7" s="115"/>
      <c r="E7" s="115"/>
      <c r="F7" s="115"/>
      <c r="G7" s="100" t="s">
        <v>111</v>
      </c>
      <c r="H7" s="105" t="s">
        <v>112</v>
      </c>
      <c r="I7" s="106"/>
      <c r="J7" s="100" t="s">
        <v>113</v>
      </c>
      <c r="K7" s="100" t="s">
        <v>114</v>
      </c>
      <c r="L7" s="100" t="s">
        <v>115</v>
      </c>
      <c r="M7" s="100" t="s">
        <v>116</v>
      </c>
      <c r="N7" s="100" t="s">
        <v>117</v>
      </c>
      <c r="O7" s="100" t="s">
        <v>118</v>
      </c>
    </row>
    <row r="8" spans="1:15" s="38" customFormat="1" ht="19.5" customHeight="1" thickBot="1" x14ac:dyDescent="0.3">
      <c r="A8" s="101"/>
      <c r="B8" s="101"/>
      <c r="C8" s="101"/>
      <c r="D8" s="101"/>
      <c r="E8" s="101"/>
      <c r="F8" s="101"/>
      <c r="G8" s="101"/>
      <c r="H8" s="61" t="s">
        <v>119</v>
      </c>
      <c r="I8" s="61" t="s">
        <v>120</v>
      </c>
      <c r="J8" s="101"/>
      <c r="K8" s="101"/>
      <c r="L8" s="101"/>
      <c r="M8" s="101"/>
      <c r="N8" s="101"/>
      <c r="O8" s="101"/>
    </row>
    <row r="9" spans="1:15" s="38" customFormat="1" ht="19.5" customHeight="1" thickBot="1" x14ac:dyDescent="0.3">
      <c r="A9" s="102" t="s">
        <v>341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4"/>
    </row>
    <row r="10" spans="1:15" s="39" customFormat="1" ht="15.75" x14ac:dyDescent="0.25">
      <c r="A10" s="37" t="s">
        <v>8</v>
      </c>
      <c r="B10" s="34" t="s">
        <v>122</v>
      </c>
      <c r="C10" s="35">
        <f>SUM(C11:C73)</f>
        <v>0</v>
      </c>
      <c r="D10" s="35">
        <f>SUM(D11:D73)</f>
        <v>0</v>
      </c>
      <c r="E10" s="35">
        <f>SUM(E11:E73)</f>
        <v>0</v>
      </c>
      <c r="F10" s="56"/>
      <c r="G10" s="56"/>
      <c r="H10" s="56"/>
      <c r="I10" s="56"/>
      <c r="J10" s="56"/>
      <c r="K10" s="56"/>
      <c r="L10" s="56"/>
      <c r="M10" s="56"/>
      <c r="N10" s="56"/>
      <c r="O10" s="36"/>
    </row>
    <row r="11" spans="1:15" s="38" customFormat="1" ht="14.45" customHeight="1" outlineLevel="1" x14ac:dyDescent="0.25">
      <c r="A11" s="140" t="s">
        <v>123</v>
      </c>
      <c r="B11" s="141" t="s">
        <v>342</v>
      </c>
      <c r="C11" s="130">
        <f>SUM(N11:N17)</f>
        <v>0</v>
      </c>
      <c r="D11" s="130">
        <f>SUM(O11:O17)</f>
        <v>0</v>
      </c>
      <c r="E11" s="130">
        <f>D11/8</f>
        <v>0</v>
      </c>
      <c r="F11" s="130"/>
      <c r="G11" s="60" t="s">
        <v>125</v>
      </c>
      <c r="H11" s="123"/>
      <c r="I11" s="123"/>
      <c r="J11" s="60"/>
      <c r="K11" s="60"/>
      <c r="L11" s="60"/>
      <c r="M11" s="60"/>
      <c r="N11" s="60">
        <f>M11*J11*K11*L11</f>
        <v>0</v>
      </c>
      <c r="O11" s="60">
        <f>J11*K11*L11</f>
        <v>0</v>
      </c>
    </row>
    <row r="12" spans="1:15" s="38" customFormat="1" ht="11.45" customHeight="1" outlineLevel="1" x14ac:dyDescent="0.25">
      <c r="A12" s="124"/>
      <c r="B12" s="128"/>
      <c r="C12" s="115"/>
      <c r="D12" s="115"/>
      <c r="E12" s="115"/>
      <c r="F12" s="115"/>
      <c r="G12" s="60" t="s">
        <v>126</v>
      </c>
      <c r="H12" s="124"/>
      <c r="I12" s="124"/>
      <c r="J12" s="60"/>
      <c r="K12" s="60"/>
      <c r="L12" s="60"/>
      <c r="M12" s="60"/>
      <c r="N12" s="60">
        <f t="shared" ref="N12:N17" si="0">M12*J12*K12*L12</f>
        <v>0</v>
      </c>
      <c r="O12" s="60">
        <f t="shared" ref="O12:O17" si="1">J12*K12*L12</f>
        <v>0</v>
      </c>
    </row>
    <row r="13" spans="1:15" s="38" customFormat="1" ht="10.7" customHeight="1" outlineLevel="1" x14ac:dyDescent="0.25">
      <c r="A13" s="124"/>
      <c r="B13" s="128"/>
      <c r="C13" s="115"/>
      <c r="D13" s="115"/>
      <c r="E13" s="115"/>
      <c r="F13" s="115"/>
      <c r="G13" s="60" t="s">
        <v>127</v>
      </c>
      <c r="H13" s="124"/>
      <c r="I13" s="124"/>
      <c r="J13" s="60"/>
      <c r="K13" s="60"/>
      <c r="L13" s="60"/>
      <c r="M13" s="60"/>
      <c r="N13" s="60">
        <f t="shared" si="0"/>
        <v>0</v>
      </c>
      <c r="O13" s="60">
        <f t="shared" si="1"/>
        <v>0</v>
      </c>
    </row>
    <row r="14" spans="1:15" s="38" customFormat="1" ht="10.7" customHeight="1" outlineLevel="1" x14ac:dyDescent="0.25">
      <c r="A14" s="124"/>
      <c r="B14" s="128"/>
      <c r="C14" s="115"/>
      <c r="D14" s="115"/>
      <c r="E14" s="115"/>
      <c r="F14" s="115"/>
      <c r="G14" s="60" t="s">
        <v>128</v>
      </c>
      <c r="H14" s="124"/>
      <c r="I14" s="124"/>
      <c r="J14" s="60"/>
      <c r="K14" s="60"/>
      <c r="L14" s="60"/>
      <c r="M14" s="60"/>
      <c r="N14" s="60">
        <f t="shared" si="0"/>
        <v>0</v>
      </c>
      <c r="O14" s="60">
        <f t="shared" si="1"/>
        <v>0</v>
      </c>
    </row>
    <row r="15" spans="1:15" s="38" customFormat="1" ht="10.7" customHeight="1" outlineLevel="1" x14ac:dyDescent="0.25">
      <c r="A15" s="124"/>
      <c r="B15" s="128"/>
      <c r="C15" s="115"/>
      <c r="D15" s="115"/>
      <c r="E15" s="115"/>
      <c r="F15" s="115"/>
      <c r="G15" s="60" t="s">
        <v>129</v>
      </c>
      <c r="H15" s="124"/>
      <c r="I15" s="124"/>
      <c r="J15" s="60"/>
      <c r="K15" s="60"/>
      <c r="L15" s="60"/>
      <c r="M15" s="60"/>
      <c r="N15" s="60">
        <f t="shared" si="0"/>
        <v>0</v>
      </c>
      <c r="O15" s="60">
        <f t="shared" si="1"/>
        <v>0</v>
      </c>
    </row>
    <row r="16" spans="1:15" s="38" customFormat="1" ht="10.7" customHeight="1" outlineLevel="1" x14ac:dyDescent="0.25">
      <c r="A16" s="124"/>
      <c r="B16" s="128"/>
      <c r="C16" s="115"/>
      <c r="D16" s="115"/>
      <c r="E16" s="115"/>
      <c r="F16" s="115"/>
      <c r="G16" s="60" t="s">
        <v>130</v>
      </c>
      <c r="H16" s="124"/>
      <c r="I16" s="124"/>
      <c r="J16" s="60"/>
      <c r="K16" s="60"/>
      <c r="L16" s="60"/>
      <c r="M16" s="60"/>
      <c r="N16" s="60">
        <f t="shared" si="0"/>
        <v>0</v>
      </c>
      <c r="O16" s="60">
        <f t="shared" si="1"/>
        <v>0</v>
      </c>
    </row>
    <row r="17" spans="1:15" s="38" customFormat="1" ht="12" customHeight="1" outlineLevel="1" x14ac:dyDescent="0.25">
      <c r="A17" s="125"/>
      <c r="B17" s="129"/>
      <c r="C17" s="131"/>
      <c r="D17" s="131"/>
      <c r="E17" s="131"/>
      <c r="F17" s="131"/>
      <c r="G17" s="60" t="s">
        <v>131</v>
      </c>
      <c r="H17" s="125"/>
      <c r="I17" s="125"/>
      <c r="J17" s="60"/>
      <c r="K17" s="60"/>
      <c r="L17" s="60"/>
      <c r="M17" s="60"/>
      <c r="N17" s="60">
        <f t="shared" si="0"/>
        <v>0</v>
      </c>
      <c r="O17" s="60">
        <f t="shared" si="1"/>
        <v>0</v>
      </c>
    </row>
    <row r="18" spans="1:15" s="38" customFormat="1" ht="14.45" customHeight="1" outlineLevel="1" x14ac:dyDescent="0.25">
      <c r="A18" s="140" t="s">
        <v>132</v>
      </c>
      <c r="B18" s="141" t="s">
        <v>965</v>
      </c>
      <c r="C18" s="130">
        <f>SUM(N18:N24)</f>
        <v>0</v>
      </c>
      <c r="D18" s="130">
        <f>SUM(O18:O24)</f>
        <v>0</v>
      </c>
      <c r="E18" s="130">
        <f t="shared" ref="E18" si="2">D18/8</f>
        <v>0</v>
      </c>
      <c r="F18" s="130"/>
      <c r="G18" s="60" t="s">
        <v>125</v>
      </c>
      <c r="H18" s="123"/>
      <c r="I18" s="123"/>
      <c r="J18" s="60"/>
      <c r="K18" s="60"/>
      <c r="L18" s="60"/>
      <c r="M18" s="60"/>
      <c r="N18" s="60">
        <f>M18*J18*K18*L18</f>
        <v>0</v>
      </c>
      <c r="O18" s="60">
        <f>J18*K18*L18</f>
        <v>0</v>
      </c>
    </row>
    <row r="19" spans="1:15" s="38" customFormat="1" ht="11.45" customHeight="1" outlineLevel="1" x14ac:dyDescent="0.25">
      <c r="A19" s="124"/>
      <c r="B19" s="128"/>
      <c r="C19" s="115"/>
      <c r="D19" s="115"/>
      <c r="E19" s="115"/>
      <c r="F19" s="115"/>
      <c r="G19" s="60" t="s">
        <v>126</v>
      </c>
      <c r="H19" s="124"/>
      <c r="I19" s="124"/>
      <c r="J19" s="60"/>
      <c r="K19" s="60"/>
      <c r="L19" s="60"/>
      <c r="M19" s="60"/>
      <c r="N19" s="60">
        <f t="shared" ref="N19:N24" si="3">M19*J19*K19*L19</f>
        <v>0</v>
      </c>
      <c r="O19" s="60">
        <f t="shared" ref="O19:O24" si="4">J19*K19*L19</f>
        <v>0</v>
      </c>
    </row>
    <row r="20" spans="1:15" s="38" customFormat="1" ht="10.7" customHeight="1" outlineLevel="1" x14ac:dyDescent="0.25">
      <c r="A20" s="124"/>
      <c r="B20" s="128"/>
      <c r="C20" s="115"/>
      <c r="D20" s="115"/>
      <c r="E20" s="115"/>
      <c r="F20" s="115"/>
      <c r="G20" s="60" t="s">
        <v>127</v>
      </c>
      <c r="H20" s="124"/>
      <c r="I20" s="124"/>
      <c r="J20" s="60"/>
      <c r="K20" s="60"/>
      <c r="L20" s="60"/>
      <c r="M20" s="60"/>
      <c r="N20" s="60">
        <f t="shared" si="3"/>
        <v>0</v>
      </c>
      <c r="O20" s="60">
        <f t="shared" si="4"/>
        <v>0</v>
      </c>
    </row>
    <row r="21" spans="1:15" s="38" customFormat="1" ht="10.7" customHeight="1" outlineLevel="1" x14ac:dyDescent="0.25">
      <c r="A21" s="124"/>
      <c r="B21" s="128"/>
      <c r="C21" s="115"/>
      <c r="D21" s="115"/>
      <c r="E21" s="115"/>
      <c r="F21" s="115"/>
      <c r="G21" s="60" t="s">
        <v>128</v>
      </c>
      <c r="H21" s="124"/>
      <c r="I21" s="124"/>
      <c r="J21" s="60"/>
      <c r="K21" s="60"/>
      <c r="L21" s="60"/>
      <c r="M21" s="60"/>
      <c r="N21" s="60">
        <f t="shared" si="3"/>
        <v>0</v>
      </c>
      <c r="O21" s="60">
        <f t="shared" si="4"/>
        <v>0</v>
      </c>
    </row>
    <row r="22" spans="1:15" s="38" customFormat="1" ht="10.7" customHeight="1" outlineLevel="1" x14ac:dyDescent="0.25">
      <c r="A22" s="124"/>
      <c r="B22" s="128"/>
      <c r="C22" s="115"/>
      <c r="D22" s="115"/>
      <c r="E22" s="115"/>
      <c r="F22" s="115"/>
      <c r="G22" s="60" t="s">
        <v>129</v>
      </c>
      <c r="H22" s="124"/>
      <c r="I22" s="124"/>
      <c r="J22" s="60"/>
      <c r="K22" s="60"/>
      <c r="L22" s="60"/>
      <c r="M22" s="60"/>
      <c r="N22" s="60">
        <f t="shared" si="3"/>
        <v>0</v>
      </c>
      <c r="O22" s="60">
        <f t="shared" si="4"/>
        <v>0</v>
      </c>
    </row>
    <row r="23" spans="1:15" s="38" customFormat="1" ht="10.7" customHeight="1" outlineLevel="1" x14ac:dyDescent="0.25">
      <c r="A23" s="124"/>
      <c r="B23" s="128"/>
      <c r="C23" s="115"/>
      <c r="D23" s="115"/>
      <c r="E23" s="115"/>
      <c r="F23" s="115"/>
      <c r="G23" s="60" t="s">
        <v>130</v>
      </c>
      <c r="H23" s="124"/>
      <c r="I23" s="124"/>
      <c r="J23" s="60"/>
      <c r="K23" s="60"/>
      <c r="L23" s="60"/>
      <c r="M23" s="60"/>
      <c r="N23" s="60">
        <f t="shared" si="3"/>
        <v>0</v>
      </c>
      <c r="O23" s="60">
        <f t="shared" si="4"/>
        <v>0</v>
      </c>
    </row>
    <row r="24" spans="1:15" s="38" customFormat="1" ht="12" customHeight="1" outlineLevel="1" x14ac:dyDescent="0.25">
      <c r="A24" s="125"/>
      <c r="B24" s="129"/>
      <c r="C24" s="131"/>
      <c r="D24" s="131"/>
      <c r="E24" s="131"/>
      <c r="F24" s="131"/>
      <c r="G24" s="60" t="s">
        <v>131</v>
      </c>
      <c r="H24" s="125"/>
      <c r="I24" s="125"/>
      <c r="J24" s="60"/>
      <c r="K24" s="60"/>
      <c r="L24" s="60"/>
      <c r="M24" s="60"/>
      <c r="N24" s="60">
        <f t="shared" si="3"/>
        <v>0</v>
      </c>
      <c r="O24" s="60">
        <f t="shared" si="4"/>
        <v>0</v>
      </c>
    </row>
    <row r="25" spans="1:15" s="38" customFormat="1" ht="14.45" customHeight="1" outlineLevel="1" x14ac:dyDescent="0.25">
      <c r="A25" s="140" t="s">
        <v>134</v>
      </c>
      <c r="B25" s="141" t="s">
        <v>17</v>
      </c>
      <c r="C25" s="130">
        <f>SUM(N25:N31)</f>
        <v>0</v>
      </c>
      <c r="D25" s="130">
        <f>SUM(O25:O31)</f>
        <v>0</v>
      </c>
      <c r="E25" s="130">
        <f t="shared" ref="E25" si="5">D25/8</f>
        <v>0</v>
      </c>
      <c r="F25" s="130"/>
      <c r="G25" s="60" t="s">
        <v>125</v>
      </c>
      <c r="H25" s="123"/>
      <c r="I25" s="123"/>
      <c r="J25" s="60"/>
      <c r="K25" s="60"/>
      <c r="L25" s="60"/>
      <c r="M25" s="60"/>
      <c r="N25" s="60">
        <f>M25*J25*K25*L25</f>
        <v>0</v>
      </c>
      <c r="O25" s="60">
        <f>J25*K25*L25</f>
        <v>0</v>
      </c>
    </row>
    <row r="26" spans="1:15" s="38" customFormat="1" ht="11.45" customHeight="1" outlineLevel="1" x14ac:dyDescent="0.25">
      <c r="A26" s="124"/>
      <c r="B26" s="128"/>
      <c r="C26" s="115"/>
      <c r="D26" s="115"/>
      <c r="E26" s="115"/>
      <c r="F26" s="115"/>
      <c r="G26" s="60" t="s">
        <v>126</v>
      </c>
      <c r="H26" s="124"/>
      <c r="I26" s="124"/>
      <c r="J26" s="60"/>
      <c r="K26" s="60"/>
      <c r="L26" s="60"/>
      <c r="M26" s="60"/>
      <c r="N26" s="60">
        <f t="shared" ref="N26:N31" si="6">M26*J26*K26*L26</f>
        <v>0</v>
      </c>
      <c r="O26" s="60">
        <f t="shared" ref="O26:O31" si="7">J26*K26*L26</f>
        <v>0</v>
      </c>
    </row>
    <row r="27" spans="1:15" s="38" customFormat="1" ht="10.7" customHeight="1" outlineLevel="1" x14ac:dyDescent="0.25">
      <c r="A27" s="124"/>
      <c r="B27" s="128"/>
      <c r="C27" s="115"/>
      <c r="D27" s="115"/>
      <c r="E27" s="115"/>
      <c r="F27" s="115"/>
      <c r="G27" s="60" t="s">
        <v>127</v>
      </c>
      <c r="H27" s="124"/>
      <c r="I27" s="124"/>
      <c r="J27" s="60"/>
      <c r="K27" s="60"/>
      <c r="L27" s="60"/>
      <c r="M27" s="60"/>
      <c r="N27" s="60">
        <f t="shared" si="6"/>
        <v>0</v>
      </c>
      <c r="O27" s="60">
        <f t="shared" si="7"/>
        <v>0</v>
      </c>
    </row>
    <row r="28" spans="1:15" s="38" customFormat="1" ht="10.7" customHeight="1" outlineLevel="1" x14ac:dyDescent="0.25">
      <c r="A28" s="124"/>
      <c r="B28" s="128"/>
      <c r="C28" s="115"/>
      <c r="D28" s="115"/>
      <c r="E28" s="115"/>
      <c r="F28" s="115"/>
      <c r="G28" s="60" t="s">
        <v>128</v>
      </c>
      <c r="H28" s="124"/>
      <c r="I28" s="124"/>
      <c r="J28" s="60"/>
      <c r="K28" s="60"/>
      <c r="L28" s="60"/>
      <c r="M28" s="60"/>
      <c r="N28" s="60">
        <f t="shared" si="6"/>
        <v>0</v>
      </c>
      <c r="O28" s="60">
        <f t="shared" si="7"/>
        <v>0</v>
      </c>
    </row>
    <row r="29" spans="1:15" s="38" customFormat="1" ht="10.7" customHeight="1" outlineLevel="1" x14ac:dyDescent="0.25">
      <c r="A29" s="124"/>
      <c r="B29" s="128"/>
      <c r="C29" s="115"/>
      <c r="D29" s="115"/>
      <c r="E29" s="115"/>
      <c r="F29" s="115"/>
      <c r="G29" s="60" t="s">
        <v>129</v>
      </c>
      <c r="H29" s="124"/>
      <c r="I29" s="124"/>
      <c r="J29" s="60"/>
      <c r="K29" s="60"/>
      <c r="L29" s="60"/>
      <c r="M29" s="60"/>
      <c r="N29" s="60">
        <f t="shared" si="6"/>
        <v>0</v>
      </c>
      <c r="O29" s="60">
        <f t="shared" si="7"/>
        <v>0</v>
      </c>
    </row>
    <row r="30" spans="1:15" s="38" customFormat="1" ht="10.7" customHeight="1" outlineLevel="1" x14ac:dyDescent="0.25">
      <c r="A30" s="124"/>
      <c r="B30" s="128"/>
      <c r="C30" s="115"/>
      <c r="D30" s="115"/>
      <c r="E30" s="115"/>
      <c r="F30" s="115"/>
      <c r="G30" s="60" t="s">
        <v>130</v>
      </c>
      <c r="H30" s="124"/>
      <c r="I30" s="124"/>
      <c r="J30" s="60"/>
      <c r="K30" s="60"/>
      <c r="L30" s="60"/>
      <c r="M30" s="60"/>
      <c r="N30" s="60">
        <f t="shared" si="6"/>
        <v>0</v>
      </c>
      <c r="O30" s="60">
        <f t="shared" si="7"/>
        <v>0</v>
      </c>
    </row>
    <row r="31" spans="1:15" s="38" customFormat="1" ht="12" customHeight="1" outlineLevel="1" x14ac:dyDescent="0.25">
      <c r="A31" s="125"/>
      <c r="B31" s="129"/>
      <c r="C31" s="131"/>
      <c r="D31" s="131"/>
      <c r="E31" s="131"/>
      <c r="F31" s="131"/>
      <c r="G31" s="60" t="s">
        <v>131</v>
      </c>
      <c r="H31" s="125"/>
      <c r="I31" s="125"/>
      <c r="J31" s="60"/>
      <c r="K31" s="60"/>
      <c r="L31" s="60"/>
      <c r="M31" s="60"/>
      <c r="N31" s="60">
        <f t="shared" si="6"/>
        <v>0</v>
      </c>
      <c r="O31" s="60">
        <f t="shared" si="7"/>
        <v>0</v>
      </c>
    </row>
    <row r="32" spans="1:15" s="38" customFormat="1" ht="14.45" customHeight="1" outlineLevel="1" x14ac:dyDescent="0.25">
      <c r="A32" s="140" t="s">
        <v>136</v>
      </c>
      <c r="B32" s="141" t="s">
        <v>19</v>
      </c>
      <c r="C32" s="130">
        <f>SUM(N32:N38)</f>
        <v>0</v>
      </c>
      <c r="D32" s="130">
        <f>SUM(O32:O38)</f>
        <v>0</v>
      </c>
      <c r="E32" s="130">
        <f t="shared" ref="E32" si="8">D32/8</f>
        <v>0</v>
      </c>
      <c r="F32" s="130"/>
      <c r="G32" s="60" t="s">
        <v>125</v>
      </c>
      <c r="H32" s="123"/>
      <c r="I32" s="123"/>
      <c r="J32" s="60"/>
      <c r="K32" s="60"/>
      <c r="L32" s="60"/>
      <c r="M32" s="60"/>
      <c r="N32" s="60">
        <f>M32*J32*K32*L32</f>
        <v>0</v>
      </c>
      <c r="O32" s="60">
        <f>J32*K32*L32</f>
        <v>0</v>
      </c>
    </row>
    <row r="33" spans="1:15" s="38" customFormat="1" ht="11.45" customHeight="1" outlineLevel="1" x14ac:dyDescent="0.25">
      <c r="A33" s="124"/>
      <c r="B33" s="128"/>
      <c r="C33" s="115"/>
      <c r="D33" s="115"/>
      <c r="E33" s="115"/>
      <c r="F33" s="115"/>
      <c r="G33" s="60" t="s">
        <v>126</v>
      </c>
      <c r="H33" s="124"/>
      <c r="I33" s="124"/>
      <c r="J33" s="60"/>
      <c r="K33" s="60"/>
      <c r="L33" s="60"/>
      <c r="M33" s="60"/>
      <c r="N33" s="60">
        <f t="shared" ref="N33:N38" si="9">M33*J33*K33*L33</f>
        <v>0</v>
      </c>
      <c r="O33" s="60">
        <f t="shared" ref="O33:O38" si="10">J33*K33*L33</f>
        <v>0</v>
      </c>
    </row>
    <row r="34" spans="1:15" s="38" customFormat="1" ht="10.7" customHeight="1" outlineLevel="1" x14ac:dyDescent="0.25">
      <c r="A34" s="124"/>
      <c r="B34" s="128"/>
      <c r="C34" s="115"/>
      <c r="D34" s="115"/>
      <c r="E34" s="115"/>
      <c r="F34" s="115"/>
      <c r="G34" s="60" t="s">
        <v>127</v>
      </c>
      <c r="H34" s="124"/>
      <c r="I34" s="124"/>
      <c r="J34" s="60"/>
      <c r="K34" s="60"/>
      <c r="L34" s="60"/>
      <c r="M34" s="60"/>
      <c r="N34" s="60">
        <f t="shared" si="9"/>
        <v>0</v>
      </c>
      <c r="O34" s="60">
        <f t="shared" si="10"/>
        <v>0</v>
      </c>
    </row>
    <row r="35" spans="1:15" s="38" customFormat="1" ht="10.7" customHeight="1" outlineLevel="1" x14ac:dyDescent="0.25">
      <c r="A35" s="124"/>
      <c r="B35" s="128"/>
      <c r="C35" s="115"/>
      <c r="D35" s="115"/>
      <c r="E35" s="115"/>
      <c r="F35" s="115"/>
      <c r="G35" s="60" t="s">
        <v>128</v>
      </c>
      <c r="H35" s="124"/>
      <c r="I35" s="124"/>
      <c r="J35" s="60"/>
      <c r="K35" s="60"/>
      <c r="L35" s="60"/>
      <c r="M35" s="60"/>
      <c r="N35" s="60">
        <f t="shared" si="9"/>
        <v>0</v>
      </c>
      <c r="O35" s="60">
        <f t="shared" si="10"/>
        <v>0</v>
      </c>
    </row>
    <row r="36" spans="1:15" s="38" customFormat="1" ht="10.7" customHeight="1" outlineLevel="1" x14ac:dyDescent="0.25">
      <c r="A36" s="124"/>
      <c r="B36" s="128"/>
      <c r="C36" s="115"/>
      <c r="D36" s="115"/>
      <c r="E36" s="115"/>
      <c r="F36" s="115"/>
      <c r="G36" s="60" t="s">
        <v>129</v>
      </c>
      <c r="H36" s="124"/>
      <c r="I36" s="124"/>
      <c r="J36" s="60"/>
      <c r="K36" s="60"/>
      <c r="L36" s="60"/>
      <c r="M36" s="60"/>
      <c r="N36" s="60">
        <f t="shared" si="9"/>
        <v>0</v>
      </c>
      <c r="O36" s="60">
        <f t="shared" si="10"/>
        <v>0</v>
      </c>
    </row>
    <row r="37" spans="1:15" s="38" customFormat="1" ht="10.7" customHeight="1" outlineLevel="1" x14ac:dyDescent="0.25">
      <c r="A37" s="124"/>
      <c r="B37" s="128"/>
      <c r="C37" s="115"/>
      <c r="D37" s="115"/>
      <c r="E37" s="115"/>
      <c r="F37" s="115"/>
      <c r="G37" s="60" t="s">
        <v>130</v>
      </c>
      <c r="H37" s="124"/>
      <c r="I37" s="124"/>
      <c r="J37" s="60"/>
      <c r="K37" s="60"/>
      <c r="L37" s="60"/>
      <c r="M37" s="60"/>
      <c r="N37" s="60">
        <f t="shared" si="9"/>
        <v>0</v>
      </c>
      <c r="O37" s="60">
        <f t="shared" si="10"/>
        <v>0</v>
      </c>
    </row>
    <row r="38" spans="1:15" s="38" customFormat="1" ht="12" customHeight="1" outlineLevel="1" x14ac:dyDescent="0.25">
      <c r="A38" s="125"/>
      <c r="B38" s="129"/>
      <c r="C38" s="131"/>
      <c r="D38" s="131"/>
      <c r="E38" s="131"/>
      <c r="F38" s="131"/>
      <c r="G38" s="60" t="s">
        <v>131</v>
      </c>
      <c r="H38" s="125"/>
      <c r="I38" s="125"/>
      <c r="J38" s="60"/>
      <c r="K38" s="60"/>
      <c r="L38" s="60"/>
      <c r="M38" s="60"/>
      <c r="N38" s="60">
        <f t="shared" si="9"/>
        <v>0</v>
      </c>
      <c r="O38" s="60">
        <f t="shared" si="10"/>
        <v>0</v>
      </c>
    </row>
    <row r="39" spans="1:15" s="38" customFormat="1" ht="14.45" customHeight="1" outlineLevel="1" x14ac:dyDescent="0.25">
      <c r="A39" s="140" t="s">
        <v>138</v>
      </c>
      <c r="B39" s="141" t="s">
        <v>966</v>
      </c>
      <c r="C39" s="130">
        <f>SUM(N39:N45)</f>
        <v>0</v>
      </c>
      <c r="D39" s="130">
        <f>SUM(O39:O45)</f>
        <v>0</v>
      </c>
      <c r="E39" s="130">
        <f t="shared" ref="E39" si="11">D39/8</f>
        <v>0</v>
      </c>
      <c r="F39" s="130"/>
      <c r="G39" s="60" t="s">
        <v>125</v>
      </c>
      <c r="H39" s="123"/>
      <c r="I39" s="123"/>
      <c r="J39" s="60"/>
      <c r="K39" s="60"/>
      <c r="L39" s="60"/>
      <c r="M39" s="60"/>
      <c r="N39" s="60">
        <f>M39*J39*K39*L39</f>
        <v>0</v>
      </c>
      <c r="O39" s="60">
        <f>J39*K39*L39</f>
        <v>0</v>
      </c>
    </row>
    <row r="40" spans="1:15" s="38" customFormat="1" ht="11.45" customHeight="1" outlineLevel="1" x14ac:dyDescent="0.25">
      <c r="A40" s="124"/>
      <c r="B40" s="128"/>
      <c r="C40" s="115"/>
      <c r="D40" s="115"/>
      <c r="E40" s="115"/>
      <c r="F40" s="115"/>
      <c r="G40" s="60" t="s">
        <v>126</v>
      </c>
      <c r="H40" s="124"/>
      <c r="I40" s="124"/>
      <c r="J40" s="60"/>
      <c r="K40" s="60"/>
      <c r="L40" s="60"/>
      <c r="M40" s="60"/>
      <c r="N40" s="60">
        <f t="shared" ref="N40:N45" si="12">M40*J40*K40*L40</f>
        <v>0</v>
      </c>
      <c r="O40" s="60">
        <f t="shared" ref="O40:O45" si="13">J40*K40*L40</f>
        <v>0</v>
      </c>
    </row>
    <row r="41" spans="1:15" s="38" customFormat="1" ht="10.7" customHeight="1" outlineLevel="1" x14ac:dyDescent="0.25">
      <c r="A41" s="124"/>
      <c r="B41" s="128"/>
      <c r="C41" s="115"/>
      <c r="D41" s="115"/>
      <c r="E41" s="115"/>
      <c r="F41" s="115"/>
      <c r="G41" s="60" t="s">
        <v>127</v>
      </c>
      <c r="H41" s="124"/>
      <c r="I41" s="124"/>
      <c r="J41" s="60"/>
      <c r="K41" s="60"/>
      <c r="L41" s="60"/>
      <c r="M41" s="60"/>
      <c r="N41" s="60">
        <f t="shared" si="12"/>
        <v>0</v>
      </c>
      <c r="O41" s="60">
        <f t="shared" si="13"/>
        <v>0</v>
      </c>
    </row>
    <row r="42" spans="1:15" s="38" customFormat="1" ht="10.7" customHeight="1" outlineLevel="1" x14ac:dyDescent="0.25">
      <c r="A42" s="124"/>
      <c r="B42" s="128"/>
      <c r="C42" s="115"/>
      <c r="D42" s="115"/>
      <c r="E42" s="115"/>
      <c r="F42" s="115"/>
      <c r="G42" s="60" t="s">
        <v>128</v>
      </c>
      <c r="H42" s="124"/>
      <c r="I42" s="124"/>
      <c r="J42" s="60"/>
      <c r="K42" s="60"/>
      <c r="L42" s="60"/>
      <c r="M42" s="60"/>
      <c r="N42" s="60">
        <f t="shared" si="12"/>
        <v>0</v>
      </c>
      <c r="O42" s="60">
        <f t="shared" si="13"/>
        <v>0</v>
      </c>
    </row>
    <row r="43" spans="1:15" s="38" customFormat="1" ht="10.7" customHeight="1" outlineLevel="1" x14ac:dyDescent="0.25">
      <c r="A43" s="124"/>
      <c r="B43" s="128"/>
      <c r="C43" s="115"/>
      <c r="D43" s="115"/>
      <c r="E43" s="115"/>
      <c r="F43" s="115"/>
      <c r="G43" s="60" t="s">
        <v>129</v>
      </c>
      <c r="H43" s="124"/>
      <c r="I43" s="124"/>
      <c r="J43" s="60"/>
      <c r="K43" s="60"/>
      <c r="L43" s="60"/>
      <c r="M43" s="60"/>
      <c r="N43" s="60">
        <f t="shared" si="12"/>
        <v>0</v>
      </c>
      <c r="O43" s="60">
        <f t="shared" si="13"/>
        <v>0</v>
      </c>
    </row>
    <row r="44" spans="1:15" s="38" customFormat="1" ht="10.7" customHeight="1" outlineLevel="1" x14ac:dyDescent="0.25">
      <c r="A44" s="124"/>
      <c r="B44" s="128"/>
      <c r="C44" s="115"/>
      <c r="D44" s="115"/>
      <c r="E44" s="115"/>
      <c r="F44" s="115"/>
      <c r="G44" s="60" t="s">
        <v>130</v>
      </c>
      <c r="H44" s="124"/>
      <c r="I44" s="124"/>
      <c r="J44" s="60"/>
      <c r="K44" s="60"/>
      <c r="L44" s="60"/>
      <c r="M44" s="60"/>
      <c r="N44" s="60">
        <f t="shared" si="12"/>
        <v>0</v>
      </c>
      <c r="O44" s="60">
        <f t="shared" si="13"/>
        <v>0</v>
      </c>
    </row>
    <row r="45" spans="1:15" s="38" customFormat="1" ht="12" customHeight="1" outlineLevel="1" x14ac:dyDescent="0.25">
      <c r="A45" s="125"/>
      <c r="B45" s="129"/>
      <c r="C45" s="131"/>
      <c r="D45" s="131"/>
      <c r="E45" s="131"/>
      <c r="F45" s="131"/>
      <c r="G45" s="60" t="s">
        <v>131</v>
      </c>
      <c r="H45" s="125"/>
      <c r="I45" s="125"/>
      <c r="J45" s="60"/>
      <c r="K45" s="60"/>
      <c r="L45" s="60"/>
      <c r="M45" s="60"/>
      <c r="N45" s="60">
        <f t="shared" si="12"/>
        <v>0</v>
      </c>
      <c r="O45" s="60">
        <f t="shared" si="13"/>
        <v>0</v>
      </c>
    </row>
    <row r="46" spans="1:15" s="38" customFormat="1" ht="14.45" customHeight="1" outlineLevel="1" x14ac:dyDescent="0.25">
      <c r="A46" s="140" t="s">
        <v>140</v>
      </c>
      <c r="B46" s="141" t="s">
        <v>967</v>
      </c>
      <c r="C46" s="130">
        <f>SUM(N46:N52)</f>
        <v>0</v>
      </c>
      <c r="D46" s="130">
        <f>SUM(O46:O52)</f>
        <v>0</v>
      </c>
      <c r="E46" s="130">
        <f t="shared" ref="E46" si="14">D46/8</f>
        <v>0</v>
      </c>
      <c r="F46" s="130"/>
      <c r="G46" s="60" t="s">
        <v>125</v>
      </c>
      <c r="H46" s="123"/>
      <c r="I46" s="123"/>
      <c r="J46" s="60"/>
      <c r="K46" s="60"/>
      <c r="L46" s="60"/>
      <c r="M46" s="60"/>
      <c r="N46" s="60">
        <f>M46*J46*K46*L46</f>
        <v>0</v>
      </c>
      <c r="O46" s="60">
        <f>J46*K46*L46</f>
        <v>0</v>
      </c>
    </row>
    <row r="47" spans="1:15" s="38" customFormat="1" ht="11.45" customHeight="1" outlineLevel="1" x14ac:dyDescent="0.25">
      <c r="A47" s="124"/>
      <c r="B47" s="128"/>
      <c r="C47" s="115"/>
      <c r="D47" s="115"/>
      <c r="E47" s="115"/>
      <c r="F47" s="115"/>
      <c r="G47" s="60" t="s">
        <v>126</v>
      </c>
      <c r="H47" s="124"/>
      <c r="I47" s="124"/>
      <c r="J47" s="60"/>
      <c r="K47" s="60"/>
      <c r="L47" s="60"/>
      <c r="M47" s="60"/>
      <c r="N47" s="60">
        <f t="shared" ref="N47:N52" si="15">M47*J47*K47*L47</f>
        <v>0</v>
      </c>
      <c r="O47" s="60">
        <f t="shared" ref="O47:O52" si="16">J47*K47*L47</f>
        <v>0</v>
      </c>
    </row>
    <row r="48" spans="1:15" s="38" customFormat="1" ht="10.7" customHeight="1" outlineLevel="1" x14ac:dyDescent="0.25">
      <c r="A48" s="124"/>
      <c r="B48" s="128"/>
      <c r="C48" s="115"/>
      <c r="D48" s="115"/>
      <c r="E48" s="115"/>
      <c r="F48" s="115"/>
      <c r="G48" s="60" t="s">
        <v>127</v>
      </c>
      <c r="H48" s="124"/>
      <c r="I48" s="124"/>
      <c r="J48" s="60"/>
      <c r="K48" s="60"/>
      <c r="L48" s="60"/>
      <c r="M48" s="60"/>
      <c r="N48" s="60">
        <f t="shared" si="15"/>
        <v>0</v>
      </c>
      <c r="O48" s="60">
        <f t="shared" si="16"/>
        <v>0</v>
      </c>
    </row>
    <row r="49" spans="1:15" s="38" customFormat="1" ht="10.7" customHeight="1" outlineLevel="1" x14ac:dyDescent="0.25">
      <c r="A49" s="124"/>
      <c r="B49" s="128"/>
      <c r="C49" s="115"/>
      <c r="D49" s="115"/>
      <c r="E49" s="115"/>
      <c r="F49" s="115"/>
      <c r="G49" s="60" t="s">
        <v>128</v>
      </c>
      <c r="H49" s="124"/>
      <c r="I49" s="124"/>
      <c r="J49" s="60"/>
      <c r="K49" s="60"/>
      <c r="L49" s="60"/>
      <c r="M49" s="60"/>
      <c r="N49" s="60">
        <f t="shared" si="15"/>
        <v>0</v>
      </c>
      <c r="O49" s="60">
        <f t="shared" si="16"/>
        <v>0</v>
      </c>
    </row>
    <row r="50" spans="1:15" s="38" customFormat="1" ht="10.7" customHeight="1" outlineLevel="1" x14ac:dyDescent="0.25">
      <c r="A50" s="124"/>
      <c r="B50" s="128"/>
      <c r="C50" s="115"/>
      <c r="D50" s="115"/>
      <c r="E50" s="115"/>
      <c r="F50" s="115"/>
      <c r="G50" s="60" t="s">
        <v>129</v>
      </c>
      <c r="H50" s="124"/>
      <c r="I50" s="124"/>
      <c r="J50" s="60"/>
      <c r="K50" s="60"/>
      <c r="L50" s="60"/>
      <c r="M50" s="60"/>
      <c r="N50" s="60">
        <f t="shared" si="15"/>
        <v>0</v>
      </c>
      <c r="O50" s="60">
        <f t="shared" si="16"/>
        <v>0</v>
      </c>
    </row>
    <row r="51" spans="1:15" s="38" customFormat="1" ht="10.7" customHeight="1" outlineLevel="1" x14ac:dyDescent="0.25">
      <c r="A51" s="124"/>
      <c r="B51" s="128"/>
      <c r="C51" s="115"/>
      <c r="D51" s="115"/>
      <c r="E51" s="115"/>
      <c r="F51" s="115"/>
      <c r="G51" s="60" t="s">
        <v>130</v>
      </c>
      <c r="H51" s="124"/>
      <c r="I51" s="124"/>
      <c r="J51" s="60"/>
      <c r="K51" s="60"/>
      <c r="L51" s="60"/>
      <c r="M51" s="60"/>
      <c r="N51" s="60">
        <f t="shared" si="15"/>
        <v>0</v>
      </c>
      <c r="O51" s="60">
        <f t="shared" si="16"/>
        <v>0</v>
      </c>
    </row>
    <row r="52" spans="1:15" s="38" customFormat="1" ht="12" customHeight="1" outlineLevel="1" x14ac:dyDescent="0.25">
      <c r="A52" s="125"/>
      <c r="B52" s="129"/>
      <c r="C52" s="131"/>
      <c r="D52" s="131"/>
      <c r="E52" s="131"/>
      <c r="F52" s="131"/>
      <c r="G52" s="60" t="s">
        <v>131</v>
      </c>
      <c r="H52" s="125"/>
      <c r="I52" s="125"/>
      <c r="J52" s="60"/>
      <c r="K52" s="60"/>
      <c r="L52" s="60"/>
      <c r="M52" s="60"/>
      <c r="N52" s="60">
        <f t="shared" si="15"/>
        <v>0</v>
      </c>
      <c r="O52" s="60">
        <f t="shared" si="16"/>
        <v>0</v>
      </c>
    </row>
    <row r="53" spans="1:15" s="38" customFormat="1" ht="14.45" customHeight="1" outlineLevel="1" x14ac:dyDescent="0.25">
      <c r="A53" s="140" t="s">
        <v>348</v>
      </c>
      <c r="B53" s="141" t="s">
        <v>968</v>
      </c>
      <c r="C53" s="130">
        <f>SUM(N53:N59)</f>
        <v>0</v>
      </c>
      <c r="D53" s="130">
        <f>SUM(O53:O59)</f>
        <v>0</v>
      </c>
      <c r="E53" s="130">
        <f t="shared" ref="E53" si="17">D53/8</f>
        <v>0</v>
      </c>
      <c r="F53" s="130"/>
      <c r="G53" s="60" t="s">
        <v>125</v>
      </c>
      <c r="H53" s="123"/>
      <c r="I53" s="123"/>
      <c r="J53" s="60"/>
      <c r="K53" s="60"/>
      <c r="L53" s="60"/>
      <c r="M53" s="60"/>
      <c r="N53" s="60">
        <f>M53*J53*K53*L53</f>
        <v>0</v>
      </c>
      <c r="O53" s="60">
        <f>J53*K53*L53</f>
        <v>0</v>
      </c>
    </row>
    <row r="54" spans="1:15" s="38" customFormat="1" ht="11.45" customHeight="1" outlineLevel="1" x14ac:dyDescent="0.25">
      <c r="A54" s="124"/>
      <c r="B54" s="128"/>
      <c r="C54" s="115"/>
      <c r="D54" s="115"/>
      <c r="E54" s="115"/>
      <c r="F54" s="115"/>
      <c r="G54" s="60" t="s">
        <v>126</v>
      </c>
      <c r="H54" s="124"/>
      <c r="I54" s="124"/>
      <c r="J54" s="60"/>
      <c r="K54" s="60"/>
      <c r="L54" s="60"/>
      <c r="M54" s="60"/>
      <c r="N54" s="60">
        <f t="shared" ref="N54:N59" si="18">M54*J54*K54*L54</f>
        <v>0</v>
      </c>
      <c r="O54" s="60">
        <f t="shared" ref="O54:O59" si="19">J54*K54*L54</f>
        <v>0</v>
      </c>
    </row>
    <row r="55" spans="1:15" s="38" customFormat="1" ht="10.7" customHeight="1" outlineLevel="1" x14ac:dyDescent="0.25">
      <c r="A55" s="124"/>
      <c r="B55" s="128"/>
      <c r="C55" s="115"/>
      <c r="D55" s="115"/>
      <c r="E55" s="115"/>
      <c r="F55" s="115"/>
      <c r="G55" s="60" t="s">
        <v>127</v>
      </c>
      <c r="H55" s="124"/>
      <c r="I55" s="124"/>
      <c r="J55" s="60"/>
      <c r="K55" s="60"/>
      <c r="L55" s="60"/>
      <c r="M55" s="60"/>
      <c r="N55" s="60">
        <f t="shared" si="18"/>
        <v>0</v>
      </c>
      <c r="O55" s="60">
        <f t="shared" si="19"/>
        <v>0</v>
      </c>
    </row>
    <row r="56" spans="1:15" s="38" customFormat="1" ht="10.7" customHeight="1" outlineLevel="1" x14ac:dyDescent="0.25">
      <c r="A56" s="124"/>
      <c r="B56" s="128"/>
      <c r="C56" s="115"/>
      <c r="D56" s="115"/>
      <c r="E56" s="115"/>
      <c r="F56" s="115"/>
      <c r="G56" s="60" t="s">
        <v>128</v>
      </c>
      <c r="H56" s="124"/>
      <c r="I56" s="124"/>
      <c r="J56" s="60"/>
      <c r="K56" s="60"/>
      <c r="L56" s="60"/>
      <c r="M56" s="60"/>
      <c r="N56" s="60">
        <f t="shared" si="18"/>
        <v>0</v>
      </c>
      <c r="O56" s="60">
        <f t="shared" si="19"/>
        <v>0</v>
      </c>
    </row>
    <row r="57" spans="1:15" s="38" customFormat="1" ht="10.7" customHeight="1" outlineLevel="1" x14ac:dyDescent="0.25">
      <c r="A57" s="124"/>
      <c r="B57" s="128"/>
      <c r="C57" s="115"/>
      <c r="D57" s="115"/>
      <c r="E57" s="115"/>
      <c r="F57" s="115"/>
      <c r="G57" s="60" t="s">
        <v>129</v>
      </c>
      <c r="H57" s="124"/>
      <c r="I57" s="124"/>
      <c r="J57" s="60"/>
      <c r="K57" s="60"/>
      <c r="L57" s="60"/>
      <c r="M57" s="60"/>
      <c r="N57" s="60">
        <f t="shared" si="18"/>
        <v>0</v>
      </c>
      <c r="O57" s="60">
        <f t="shared" si="19"/>
        <v>0</v>
      </c>
    </row>
    <row r="58" spans="1:15" s="38" customFormat="1" ht="10.7" customHeight="1" outlineLevel="1" x14ac:dyDescent="0.25">
      <c r="A58" s="124"/>
      <c r="B58" s="128"/>
      <c r="C58" s="115"/>
      <c r="D58" s="115"/>
      <c r="E58" s="115"/>
      <c r="F58" s="115"/>
      <c r="G58" s="60" t="s">
        <v>130</v>
      </c>
      <c r="H58" s="124"/>
      <c r="I58" s="124"/>
      <c r="J58" s="60"/>
      <c r="K58" s="60"/>
      <c r="L58" s="60"/>
      <c r="M58" s="60"/>
      <c r="N58" s="60">
        <f t="shared" si="18"/>
        <v>0</v>
      </c>
      <c r="O58" s="60">
        <f t="shared" si="19"/>
        <v>0</v>
      </c>
    </row>
    <row r="59" spans="1:15" s="38" customFormat="1" ht="12" customHeight="1" outlineLevel="1" thickBot="1" x14ac:dyDescent="0.3">
      <c r="A59" s="125"/>
      <c r="B59" s="129"/>
      <c r="C59" s="131"/>
      <c r="D59" s="131"/>
      <c r="E59" s="131"/>
      <c r="F59" s="131"/>
      <c r="G59" s="60" t="s">
        <v>131</v>
      </c>
      <c r="H59" s="134"/>
      <c r="I59" s="134"/>
      <c r="J59" s="60"/>
      <c r="K59" s="60"/>
      <c r="L59" s="60"/>
      <c r="M59" s="60"/>
      <c r="N59" s="60">
        <f t="shared" si="18"/>
        <v>0</v>
      </c>
      <c r="O59" s="60">
        <f t="shared" si="19"/>
        <v>0</v>
      </c>
    </row>
    <row r="60" spans="1:15" s="38" customFormat="1" ht="14.45" customHeight="1" outlineLevel="1" x14ac:dyDescent="0.25">
      <c r="A60" s="140" t="s">
        <v>143</v>
      </c>
      <c r="B60" s="141" t="s">
        <v>969</v>
      </c>
      <c r="C60" s="130">
        <f>SUM(N60:N66)</f>
        <v>0</v>
      </c>
      <c r="D60" s="130">
        <f>SUM(O60:O66)</f>
        <v>0</v>
      </c>
      <c r="E60" s="130">
        <f t="shared" ref="E60" si="20">D60/8</f>
        <v>0</v>
      </c>
      <c r="F60" s="130"/>
      <c r="G60" s="60" t="s">
        <v>125</v>
      </c>
      <c r="H60" s="123"/>
      <c r="I60" s="123"/>
      <c r="J60" s="60"/>
      <c r="K60" s="60"/>
      <c r="L60" s="60"/>
      <c r="M60" s="60"/>
      <c r="N60" s="60">
        <f>M60*J60*K60*L60</f>
        <v>0</v>
      </c>
      <c r="O60" s="60">
        <f>J60*K60*L60</f>
        <v>0</v>
      </c>
    </row>
    <row r="61" spans="1:15" s="38" customFormat="1" ht="11.45" customHeight="1" outlineLevel="1" x14ac:dyDescent="0.25">
      <c r="A61" s="124"/>
      <c r="B61" s="128"/>
      <c r="C61" s="115"/>
      <c r="D61" s="115"/>
      <c r="E61" s="115"/>
      <c r="F61" s="115"/>
      <c r="G61" s="60" t="s">
        <v>126</v>
      </c>
      <c r="H61" s="124"/>
      <c r="I61" s="124"/>
      <c r="J61" s="60"/>
      <c r="K61" s="60"/>
      <c r="L61" s="60"/>
      <c r="M61" s="60"/>
      <c r="N61" s="60">
        <f t="shared" ref="N61:N66" si="21">M61*J61*K61*L61</f>
        <v>0</v>
      </c>
      <c r="O61" s="60">
        <f t="shared" ref="O61:O66" si="22">J61*K61*L61</f>
        <v>0</v>
      </c>
    </row>
    <row r="62" spans="1:15" s="38" customFormat="1" ht="10.7" customHeight="1" outlineLevel="1" x14ac:dyDescent="0.25">
      <c r="A62" s="124"/>
      <c r="B62" s="128"/>
      <c r="C62" s="115"/>
      <c r="D62" s="115"/>
      <c r="E62" s="115"/>
      <c r="F62" s="115"/>
      <c r="G62" s="60" t="s">
        <v>127</v>
      </c>
      <c r="H62" s="124"/>
      <c r="I62" s="124"/>
      <c r="J62" s="60"/>
      <c r="K62" s="60"/>
      <c r="L62" s="60"/>
      <c r="M62" s="60"/>
      <c r="N62" s="60">
        <f t="shared" si="21"/>
        <v>0</v>
      </c>
      <c r="O62" s="60">
        <f t="shared" si="22"/>
        <v>0</v>
      </c>
    </row>
    <row r="63" spans="1:15" s="38" customFormat="1" ht="10.7" customHeight="1" outlineLevel="1" x14ac:dyDescent="0.25">
      <c r="A63" s="124"/>
      <c r="B63" s="128"/>
      <c r="C63" s="115"/>
      <c r="D63" s="115"/>
      <c r="E63" s="115"/>
      <c r="F63" s="115"/>
      <c r="G63" s="60" t="s">
        <v>128</v>
      </c>
      <c r="H63" s="124"/>
      <c r="I63" s="124"/>
      <c r="J63" s="60"/>
      <c r="K63" s="60"/>
      <c r="L63" s="60"/>
      <c r="M63" s="60"/>
      <c r="N63" s="60">
        <f t="shared" si="21"/>
        <v>0</v>
      </c>
      <c r="O63" s="60">
        <f t="shared" si="22"/>
        <v>0</v>
      </c>
    </row>
    <row r="64" spans="1:15" s="38" customFormat="1" ht="10.7" customHeight="1" outlineLevel="1" x14ac:dyDescent="0.25">
      <c r="A64" s="124"/>
      <c r="B64" s="128"/>
      <c r="C64" s="115"/>
      <c r="D64" s="115"/>
      <c r="E64" s="115"/>
      <c r="F64" s="115"/>
      <c r="G64" s="60" t="s">
        <v>129</v>
      </c>
      <c r="H64" s="124"/>
      <c r="I64" s="124"/>
      <c r="J64" s="60"/>
      <c r="K64" s="60"/>
      <c r="L64" s="60"/>
      <c r="M64" s="60"/>
      <c r="N64" s="60">
        <f t="shared" si="21"/>
        <v>0</v>
      </c>
      <c r="O64" s="60">
        <f t="shared" si="22"/>
        <v>0</v>
      </c>
    </row>
    <row r="65" spans="1:15" s="38" customFormat="1" ht="10.7" customHeight="1" outlineLevel="1" x14ac:dyDescent="0.25">
      <c r="A65" s="124"/>
      <c r="B65" s="128"/>
      <c r="C65" s="115"/>
      <c r="D65" s="115"/>
      <c r="E65" s="115"/>
      <c r="F65" s="115"/>
      <c r="G65" s="60" t="s">
        <v>130</v>
      </c>
      <c r="H65" s="124"/>
      <c r="I65" s="124"/>
      <c r="J65" s="60"/>
      <c r="K65" s="60"/>
      <c r="L65" s="60"/>
      <c r="M65" s="60"/>
      <c r="N65" s="60">
        <f t="shared" si="21"/>
        <v>0</v>
      </c>
      <c r="O65" s="60">
        <f t="shared" si="22"/>
        <v>0</v>
      </c>
    </row>
    <row r="66" spans="1:15" s="38" customFormat="1" ht="12" customHeight="1" outlineLevel="1" thickBot="1" x14ac:dyDescent="0.3">
      <c r="A66" s="125"/>
      <c r="B66" s="129"/>
      <c r="C66" s="131"/>
      <c r="D66" s="131"/>
      <c r="E66" s="131"/>
      <c r="F66" s="131"/>
      <c r="G66" s="60" t="s">
        <v>131</v>
      </c>
      <c r="H66" s="134"/>
      <c r="I66" s="134"/>
      <c r="J66" s="60"/>
      <c r="K66" s="60"/>
      <c r="L66" s="60"/>
      <c r="M66" s="60"/>
      <c r="N66" s="60">
        <f t="shared" si="21"/>
        <v>0</v>
      </c>
      <c r="O66" s="60">
        <f t="shared" si="22"/>
        <v>0</v>
      </c>
    </row>
    <row r="67" spans="1:15" s="38" customFormat="1" ht="14.45" customHeight="1" outlineLevel="1" x14ac:dyDescent="0.25">
      <c r="A67" s="140" t="s">
        <v>600</v>
      </c>
      <c r="B67" s="141" t="s">
        <v>970</v>
      </c>
      <c r="C67" s="130">
        <f>SUM(N67:N73)</f>
        <v>0</v>
      </c>
      <c r="D67" s="130">
        <f>SUM(O67:O73)</f>
        <v>0</v>
      </c>
      <c r="E67" s="130">
        <f t="shared" ref="E67" si="23">D67/8</f>
        <v>0</v>
      </c>
      <c r="F67" s="130"/>
      <c r="G67" s="60" t="s">
        <v>125</v>
      </c>
      <c r="H67" s="123"/>
      <c r="I67" s="123"/>
      <c r="J67" s="60"/>
      <c r="K67" s="60"/>
      <c r="L67" s="60"/>
      <c r="M67" s="60"/>
      <c r="N67" s="60">
        <f>M67*J67*K67*L67</f>
        <v>0</v>
      </c>
      <c r="O67" s="60">
        <f>J67*K67*L67</f>
        <v>0</v>
      </c>
    </row>
    <row r="68" spans="1:15" s="38" customFormat="1" ht="11.45" customHeight="1" outlineLevel="1" x14ac:dyDescent="0.25">
      <c r="A68" s="124"/>
      <c r="B68" s="128"/>
      <c r="C68" s="115"/>
      <c r="D68" s="115"/>
      <c r="E68" s="115"/>
      <c r="F68" s="115"/>
      <c r="G68" s="60" t="s">
        <v>126</v>
      </c>
      <c r="H68" s="124"/>
      <c r="I68" s="124"/>
      <c r="J68" s="60"/>
      <c r="K68" s="60"/>
      <c r="L68" s="60"/>
      <c r="M68" s="60"/>
      <c r="N68" s="60">
        <f t="shared" ref="N68:N73" si="24">M68*J68*K68*L68</f>
        <v>0</v>
      </c>
      <c r="O68" s="60">
        <f t="shared" ref="O68:O73" si="25">J68*K68*L68</f>
        <v>0</v>
      </c>
    </row>
    <row r="69" spans="1:15" s="38" customFormat="1" ht="10.7" customHeight="1" outlineLevel="1" x14ac:dyDescent="0.25">
      <c r="A69" s="124"/>
      <c r="B69" s="128"/>
      <c r="C69" s="115"/>
      <c r="D69" s="115"/>
      <c r="E69" s="115"/>
      <c r="F69" s="115"/>
      <c r="G69" s="60" t="s">
        <v>127</v>
      </c>
      <c r="H69" s="124"/>
      <c r="I69" s="124"/>
      <c r="J69" s="60"/>
      <c r="K69" s="60"/>
      <c r="L69" s="60"/>
      <c r="M69" s="60"/>
      <c r="N69" s="60">
        <f t="shared" si="24"/>
        <v>0</v>
      </c>
      <c r="O69" s="60">
        <f t="shared" si="25"/>
        <v>0</v>
      </c>
    </row>
    <row r="70" spans="1:15" s="38" customFormat="1" ht="10.7" customHeight="1" outlineLevel="1" x14ac:dyDescent="0.25">
      <c r="A70" s="124"/>
      <c r="B70" s="128"/>
      <c r="C70" s="115"/>
      <c r="D70" s="115"/>
      <c r="E70" s="115"/>
      <c r="F70" s="115"/>
      <c r="G70" s="60" t="s">
        <v>128</v>
      </c>
      <c r="H70" s="124"/>
      <c r="I70" s="124"/>
      <c r="J70" s="60"/>
      <c r="K70" s="60"/>
      <c r="L70" s="60"/>
      <c r="M70" s="60"/>
      <c r="N70" s="60">
        <f t="shared" si="24"/>
        <v>0</v>
      </c>
      <c r="O70" s="60">
        <f t="shared" si="25"/>
        <v>0</v>
      </c>
    </row>
    <row r="71" spans="1:15" s="38" customFormat="1" ht="10.7" customHeight="1" outlineLevel="1" x14ac:dyDescent="0.25">
      <c r="A71" s="124"/>
      <c r="B71" s="128"/>
      <c r="C71" s="115"/>
      <c r="D71" s="115"/>
      <c r="E71" s="115"/>
      <c r="F71" s="115"/>
      <c r="G71" s="60" t="s">
        <v>129</v>
      </c>
      <c r="H71" s="124"/>
      <c r="I71" s="124"/>
      <c r="J71" s="60"/>
      <c r="K71" s="60"/>
      <c r="L71" s="60"/>
      <c r="M71" s="60"/>
      <c r="N71" s="60">
        <f t="shared" si="24"/>
        <v>0</v>
      </c>
      <c r="O71" s="60">
        <f t="shared" si="25"/>
        <v>0</v>
      </c>
    </row>
    <row r="72" spans="1:15" s="38" customFormat="1" ht="10.7" customHeight="1" outlineLevel="1" x14ac:dyDescent="0.25">
      <c r="A72" s="124"/>
      <c r="B72" s="128"/>
      <c r="C72" s="115"/>
      <c r="D72" s="115"/>
      <c r="E72" s="115"/>
      <c r="F72" s="115"/>
      <c r="G72" s="60" t="s">
        <v>130</v>
      </c>
      <c r="H72" s="124"/>
      <c r="I72" s="124"/>
      <c r="J72" s="60"/>
      <c r="K72" s="60"/>
      <c r="L72" s="60"/>
      <c r="M72" s="60"/>
      <c r="N72" s="60">
        <f t="shared" si="24"/>
        <v>0</v>
      </c>
      <c r="O72" s="60">
        <f t="shared" si="25"/>
        <v>0</v>
      </c>
    </row>
    <row r="73" spans="1:15" s="38" customFormat="1" ht="12" customHeight="1" outlineLevel="1" thickBot="1" x14ac:dyDescent="0.3">
      <c r="A73" s="125"/>
      <c r="B73" s="129"/>
      <c r="C73" s="131"/>
      <c r="D73" s="131"/>
      <c r="E73" s="131"/>
      <c r="F73" s="131"/>
      <c r="G73" s="60" t="s">
        <v>131</v>
      </c>
      <c r="H73" s="134"/>
      <c r="I73" s="134"/>
      <c r="J73" s="60"/>
      <c r="K73" s="60"/>
      <c r="L73" s="60"/>
      <c r="M73" s="60"/>
      <c r="N73" s="60">
        <f t="shared" si="24"/>
        <v>0</v>
      </c>
      <c r="O73" s="60">
        <f t="shared" si="25"/>
        <v>0</v>
      </c>
    </row>
    <row r="74" spans="1:15" s="39" customFormat="1" ht="15.75" x14ac:dyDescent="0.25">
      <c r="A74" s="40" t="s">
        <v>10</v>
      </c>
      <c r="B74" s="41" t="s">
        <v>601</v>
      </c>
      <c r="C74" s="42">
        <f>SUM(C75:C102,C103)</f>
        <v>0</v>
      </c>
      <c r="D74" s="42">
        <f>SUM(D75:D102,D103)</f>
        <v>0</v>
      </c>
      <c r="E74" s="42">
        <f>SUM(E75:E102,E103)</f>
        <v>0</v>
      </c>
      <c r="F74" s="57"/>
      <c r="G74" s="57"/>
      <c r="H74" s="57"/>
      <c r="I74" s="57"/>
      <c r="J74" s="57"/>
      <c r="K74" s="57"/>
      <c r="L74" s="57"/>
      <c r="M74" s="57"/>
      <c r="N74" s="57"/>
      <c r="O74" s="43"/>
    </row>
    <row r="75" spans="1:15" s="38" customFormat="1" ht="14.45" customHeight="1" outlineLevel="1" x14ac:dyDescent="0.25">
      <c r="A75" s="140" t="s">
        <v>146</v>
      </c>
      <c r="B75" s="141" t="s">
        <v>393</v>
      </c>
      <c r="C75" s="130">
        <f>SUM(N75:N81)</f>
        <v>0</v>
      </c>
      <c r="D75" s="130">
        <f>SUM(O75:O81)</f>
        <v>0</v>
      </c>
      <c r="E75" s="130">
        <f t="shared" ref="E75:E96" si="26">D75/8</f>
        <v>0</v>
      </c>
      <c r="F75" s="130"/>
      <c r="G75" s="60" t="s">
        <v>125</v>
      </c>
      <c r="H75" s="123"/>
      <c r="I75" s="123"/>
      <c r="J75" s="60"/>
      <c r="K75" s="60"/>
      <c r="L75" s="60"/>
      <c r="M75" s="60"/>
      <c r="N75" s="60">
        <f>M75*J75*K75*L75</f>
        <v>0</v>
      </c>
      <c r="O75" s="60">
        <f>J75*K75*L75</f>
        <v>0</v>
      </c>
    </row>
    <row r="76" spans="1:15" s="38" customFormat="1" ht="11.45" customHeight="1" outlineLevel="1" x14ac:dyDescent="0.25">
      <c r="A76" s="146"/>
      <c r="B76" s="142"/>
      <c r="C76" s="148"/>
      <c r="D76" s="148"/>
      <c r="E76" s="148"/>
      <c r="F76" s="148"/>
      <c r="G76" s="60" t="s">
        <v>126</v>
      </c>
      <c r="H76" s="151"/>
      <c r="I76" s="151"/>
      <c r="J76" s="60"/>
      <c r="K76" s="60"/>
      <c r="L76" s="60"/>
      <c r="M76" s="60"/>
      <c r="N76" s="60">
        <f t="shared" ref="N76:N81" si="27">M76*J76*K76*L76</f>
        <v>0</v>
      </c>
      <c r="O76" s="60">
        <f t="shared" ref="O76:O81" si="28">J76*K76*L76</f>
        <v>0</v>
      </c>
    </row>
    <row r="77" spans="1:15" s="38" customFormat="1" ht="10.7" customHeight="1" outlineLevel="1" x14ac:dyDescent="0.25">
      <c r="A77" s="146"/>
      <c r="B77" s="142"/>
      <c r="C77" s="148"/>
      <c r="D77" s="148"/>
      <c r="E77" s="148"/>
      <c r="F77" s="148"/>
      <c r="G77" s="60" t="s">
        <v>127</v>
      </c>
      <c r="H77" s="151"/>
      <c r="I77" s="151"/>
      <c r="J77" s="60"/>
      <c r="K77" s="60"/>
      <c r="L77" s="60"/>
      <c r="M77" s="60"/>
      <c r="N77" s="60">
        <f t="shared" si="27"/>
        <v>0</v>
      </c>
      <c r="O77" s="60">
        <f t="shared" si="28"/>
        <v>0</v>
      </c>
    </row>
    <row r="78" spans="1:15" s="38" customFormat="1" ht="10.7" customHeight="1" outlineLevel="1" x14ac:dyDescent="0.25">
      <c r="A78" s="146"/>
      <c r="B78" s="142"/>
      <c r="C78" s="148"/>
      <c r="D78" s="148"/>
      <c r="E78" s="148"/>
      <c r="F78" s="148"/>
      <c r="G78" s="60" t="s">
        <v>128</v>
      </c>
      <c r="H78" s="151"/>
      <c r="I78" s="151"/>
      <c r="J78" s="60"/>
      <c r="K78" s="60"/>
      <c r="L78" s="60"/>
      <c r="M78" s="60"/>
      <c r="N78" s="60">
        <f t="shared" si="27"/>
        <v>0</v>
      </c>
      <c r="O78" s="60">
        <f t="shared" si="28"/>
        <v>0</v>
      </c>
    </row>
    <row r="79" spans="1:15" s="38" customFormat="1" ht="10.7" customHeight="1" outlineLevel="1" x14ac:dyDescent="0.25">
      <c r="A79" s="146"/>
      <c r="B79" s="142"/>
      <c r="C79" s="148"/>
      <c r="D79" s="148"/>
      <c r="E79" s="148"/>
      <c r="F79" s="148"/>
      <c r="G79" s="60" t="s">
        <v>129</v>
      </c>
      <c r="H79" s="151"/>
      <c r="I79" s="151"/>
      <c r="J79" s="60"/>
      <c r="K79" s="60"/>
      <c r="L79" s="60"/>
      <c r="M79" s="60"/>
      <c r="N79" s="60">
        <f t="shared" si="27"/>
        <v>0</v>
      </c>
      <c r="O79" s="60">
        <f t="shared" si="28"/>
        <v>0</v>
      </c>
    </row>
    <row r="80" spans="1:15" s="38" customFormat="1" ht="10.7" customHeight="1" outlineLevel="1" x14ac:dyDescent="0.25">
      <c r="A80" s="146"/>
      <c r="B80" s="142"/>
      <c r="C80" s="148"/>
      <c r="D80" s="148"/>
      <c r="E80" s="148"/>
      <c r="F80" s="148"/>
      <c r="G80" s="60" t="s">
        <v>130</v>
      </c>
      <c r="H80" s="151"/>
      <c r="I80" s="151"/>
      <c r="J80" s="60"/>
      <c r="K80" s="60"/>
      <c r="L80" s="60"/>
      <c r="M80" s="60"/>
      <c r="N80" s="60">
        <f t="shared" si="27"/>
        <v>0</v>
      </c>
      <c r="O80" s="60">
        <f t="shared" si="28"/>
        <v>0</v>
      </c>
    </row>
    <row r="81" spans="1:15" s="38" customFormat="1" ht="12" customHeight="1" outlineLevel="1" thickBot="1" x14ac:dyDescent="0.3">
      <c r="A81" s="147"/>
      <c r="B81" s="143"/>
      <c r="C81" s="149"/>
      <c r="D81" s="149"/>
      <c r="E81" s="149"/>
      <c r="F81" s="149"/>
      <c r="G81" s="60" t="s">
        <v>131</v>
      </c>
      <c r="H81" s="152"/>
      <c r="I81" s="152"/>
      <c r="J81" s="60"/>
      <c r="K81" s="60"/>
      <c r="L81" s="60"/>
      <c r="M81" s="60"/>
      <c r="N81" s="60">
        <f t="shared" si="27"/>
        <v>0</v>
      </c>
      <c r="O81" s="60">
        <f t="shared" si="28"/>
        <v>0</v>
      </c>
    </row>
    <row r="82" spans="1:15" s="38" customFormat="1" ht="14.45" customHeight="1" outlineLevel="1" x14ac:dyDescent="0.25">
      <c r="A82" s="140" t="s">
        <v>148</v>
      </c>
      <c r="B82" s="141" t="s">
        <v>394</v>
      </c>
      <c r="C82" s="130">
        <f>SUM(N82:N88)</f>
        <v>0</v>
      </c>
      <c r="D82" s="130">
        <f>SUM(O82:O88)</f>
        <v>0</v>
      </c>
      <c r="E82" s="130">
        <f t="shared" si="26"/>
        <v>0</v>
      </c>
      <c r="F82" s="130"/>
      <c r="G82" s="60" t="s">
        <v>125</v>
      </c>
      <c r="H82" s="150"/>
      <c r="I82" s="150"/>
      <c r="J82" s="60"/>
      <c r="K82" s="60"/>
      <c r="L82" s="60"/>
      <c r="M82" s="60"/>
      <c r="N82" s="60">
        <f>M82*J82*K82*L82</f>
        <v>0</v>
      </c>
      <c r="O82" s="60">
        <f>J82*K82*L82</f>
        <v>0</v>
      </c>
    </row>
    <row r="83" spans="1:15" s="38" customFormat="1" ht="11.45" customHeight="1" outlineLevel="1" x14ac:dyDescent="0.25">
      <c r="A83" s="146"/>
      <c r="B83" s="142"/>
      <c r="C83" s="148"/>
      <c r="D83" s="148"/>
      <c r="E83" s="148"/>
      <c r="F83" s="148"/>
      <c r="G83" s="60" t="s">
        <v>126</v>
      </c>
      <c r="H83" s="151"/>
      <c r="I83" s="151"/>
      <c r="J83" s="60"/>
      <c r="K83" s="60"/>
      <c r="L83" s="60"/>
      <c r="M83" s="60"/>
      <c r="N83" s="60">
        <f t="shared" ref="N83:N88" si="29">M83*J83*K83*L83</f>
        <v>0</v>
      </c>
      <c r="O83" s="60">
        <f t="shared" ref="O83:O88" si="30">J83*K83*L83</f>
        <v>0</v>
      </c>
    </row>
    <row r="84" spans="1:15" s="38" customFormat="1" ht="10.7" customHeight="1" outlineLevel="1" x14ac:dyDescent="0.25">
      <c r="A84" s="146"/>
      <c r="B84" s="142"/>
      <c r="C84" s="148"/>
      <c r="D84" s="148"/>
      <c r="E84" s="148"/>
      <c r="F84" s="148"/>
      <c r="G84" s="60" t="s">
        <v>127</v>
      </c>
      <c r="H84" s="151"/>
      <c r="I84" s="151"/>
      <c r="J84" s="60"/>
      <c r="K84" s="60"/>
      <c r="L84" s="60"/>
      <c r="M84" s="60"/>
      <c r="N84" s="60">
        <f t="shared" si="29"/>
        <v>0</v>
      </c>
      <c r="O84" s="60">
        <f t="shared" si="30"/>
        <v>0</v>
      </c>
    </row>
    <row r="85" spans="1:15" s="38" customFormat="1" ht="10.7" customHeight="1" outlineLevel="1" x14ac:dyDescent="0.25">
      <c r="A85" s="146"/>
      <c r="B85" s="142"/>
      <c r="C85" s="148"/>
      <c r="D85" s="148"/>
      <c r="E85" s="148"/>
      <c r="F85" s="148"/>
      <c r="G85" s="60" t="s">
        <v>128</v>
      </c>
      <c r="H85" s="151"/>
      <c r="I85" s="151"/>
      <c r="J85" s="60"/>
      <c r="K85" s="60"/>
      <c r="L85" s="60"/>
      <c r="M85" s="60"/>
      <c r="N85" s="60">
        <f t="shared" si="29"/>
        <v>0</v>
      </c>
      <c r="O85" s="60">
        <f t="shared" si="30"/>
        <v>0</v>
      </c>
    </row>
    <row r="86" spans="1:15" s="38" customFormat="1" ht="10.7" customHeight="1" outlineLevel="1" x14ac:dyDescent="0.25">
      <c r="A86" s="146"/>
      <c r="B86" s="142"/>
      <c r="C86" s="148"/>
      <c r="D86" s="148"/>
      <c r="E86" s="148"/>
      <c r="F86" s="148"/>
      <c r="G86" s="60" t="s">
        <v>129</v>
      </c>
      <c r="H86" s="151"/>
      <c r="I86" s="151"/>
      <c r="J86" s="60"/>
      <c r="K86" s="60"/>
      <c r="L86" s="60"/>
      <c r="M86" s="60"/>
      <c r="N86" s="60">
        <f t="shared" si="29"/>
        <v>0</v>
      </c>
      <c r="O86" s="60">
        <f t="shared" si="30"/>
        <v>0</v>
      </c>
    </row>
    <row r="87" spans="1:15" s="38" customFormat="1" ht="10.7" customHeight="1" outlineLevel="1" x14ac:dyDescent="0.25">
      <c r="A87" s="146"/>
      <c r="B87" s="142"/>
      <c r="C87" s="148"/>
      <c r="D87" s="148"/>
      <c r="E87" s="148"/>
      <c r="F87" s="148"/>
      <c r="G87" s="60" t="s">
        <v>130</v>
      </c>
      <c r="H87" s="151"/>
      <c r="I87" s="151"/>
      <c r="J87" s="60"/>
      <c r="K87" s="60"/>
      <c r="L87" s="60"/>
      <c r="M87" s="60"/>
      <c r="N87" s="60">
        <f t="shared" si="29"/>
        <v>0</v>
      </c>
      <c r="O87" s="60">
        <f t="shared" si="30"/>
        <v>0</v>
      </c>
    </row>
    <row r="88" spans="1:15" s="38" customFormat="1" ht="12" customHeight="1" outlineLevel="1" thickBot="1" x14ac:dyDescent="0.3">
      <c r="A88" s="147"/>
      <c r="B88" s="143"/>
      <c r="C88" s="149"/>
      <c r="D88" s="149"/>
      <c r="E88" s="149"/>
      <c r="F88" s="149"/>
      <c r="G88" s="60" t="s">
        <v>131</v>
      </c>
      <c r="H88" s="152"/>
      <c r="I88" s="152"/>
      <c r="J88" s="60"/>
      <c r="K88" s="60"/>
      <c r="L88" s="60"/>
      <c r="M88" s="60"/>
      <c r="N88" s="60">
        <f t="shared" si="29"/>
        <v>0</v>
      </c>
      <c r="O88" s="60">
        <f t="shared" si="30"/>
        <v>0</v>
      </c>
    </row>
    <row r="89" spans="1:15" s="38" customFormat="1" ht="14.45" customHeight="1" outlineLevel="1" x14ac:dyDescent="0.25">
      <c r="A89" s="140" t="s">
        <v>150</v>
      </c>
      <c r="B89" s="141" t="s">
        <v>395</v>
      </c>
      <c r="C89" s="130">
        <f>SUM(N89:N95)</f>
        <v>0</v>
      </c>
      <c r="D89" s="130">
        <f>SUM(O89:O95)</f>
        <v>0</v>
      </c>
      <c r="E89" s="130">
        <f t="shared" si="26"/>
        <v>0</v>
      </c>
      <c r="F89" s="130"/>
      <c r="G89" s="60" t="s">
        <v>125</v>
      </c>
      <c r="H89" s="150"/>
      <c r="I89" s="150"/>
      <c r="J89" s="60"/>
      <c r="K89" s="60"/>
      <c r="L89" s="60"/>
      <c r="M89" s="60"/>
      <c r="N89" s="60">
        <f>M89*J89*K89*L89</f>
        <v>0</v>
      </c>
      <c r="O89" s="60">
        <f>J89*K89*L89</f>
        <v>0</v>
      </c>
    </row>
    <row r="90" spans="1:15" s="38" customFormat="1" ht="11.45" customHeight="1" outlineLevel="1" x14ac:dyDescent="0.25">
      <c r="A90" s="146"/>
      <c r="B90" s="142"/>
      <c r="C90" s="148"/>
      <c r="D90" s="148"/>
      <c r="E90" s="148"/>
      <c r="F90" s="148"/>
      <c r="G90" s="60" t="s">
        <v>126</v>
      </c>
      <c r="H90" s="151"/>
      <c r="I90" s="151"/>
      <c r="J90" s="60"/>
      <c r="K90" s="60"/>
      <c r="L90" s="60"/>
      <c r="M90" s="60"/>
      <c r="N90" s="60">
        <f t="shared" ref="N90:N95" si="31">M90*J90*K90*L90</f>
        <v>0</v>
      </c>
      <c r="O90" s="60">
        <f t="shared" ref="O90:O95" si="32">J90*K90*L90</f>
        <v>0</v>
      </c>
    </row>
    <row r="91" spans="1:15" s="38" customFormat="1" ht="10.7" customHeight="1" outlineLevel="1" x14ac:dyDescent="0.25">
      <c r="A91" s="146"/>
      <c r="B91" s="142"/>
      <c r="C91" s="148"/>
      <c r="D91" s="148"/>
      <c r="E91" s="148"/>
      <c r="F91" s="148"/>
      <c r="G91" s="60" t="s">
        <v>127</v>
      </c>
      <c r="H91" s="151"/>
      <c r="I91" s="151"/>
      <c r="J91" s="60"/>
      <c r="K91" s="60"/>
      <c r="L91" s="60"/>
      <c r="M91" s="60"/>
      <c r="N91" s="60">
        <f t="shared" si="31"/>
        <v>0</v>
      </c>
      <c r="O91" s="60">
        <f t="shared" si="32"/>
        <v>0</v>
      </c>
    </row>
    <row r="92" spans="1:15" s="38" customFormat="1" ht="10.7" customHeight="1" outlineLevel="1" x14ac:dyDescent="0.25">
      <c r="A92" s="146"/>
      <c r="B92" s="142"/>
      <c r="C92" s="148"/>
      <c r="D92" s="148"/>
      <c r="E92" s="148"/>
      <c r="F92" s="148"/>
      <c r="G92" s="60" t="s">
        <v>128</v>
      </c>
      <c r="H92" s="151"/>
      <c r="I92" s="151"/>
      <c r="J92" s="60"/>
      <c r="K92" s="60"/>
      <c r="L92" s="60"/>
      <c r="M92" s="60"/>
      <c r="N92" s="60">
        <f t="shared" si="31"/>
        <v>0</v>
      </c>
      <c r="O92" s="60">
        <f t="shared" si="32"/>
        <v>0</v>
      </c>
    </row>
    <row r="93" spans="1:15" s="38" customFormat="1" ht="10.7" customHeight="1" outlineLevel="1" x14ac:dyDescent="0.25">
      <c r="A93" s="146"/>
      <c r="B93" s="142"/>
      <c r="C93" s="148"/>
      <c r="D93" s="148"/>
      <c r="E93" s="148"/>
      <c r="F93" s="148"/>
      <c r="G93" s="60" t="s">
        <v>129</v>
      </c>
      <c r="H93" s="151"/>
      <c r="I93" s="151"/>
      <c r="J93" s="60"/>
      <c r="K93" s="60"/>
      <c r="L93" s="60"/>
      <c r="M93" s="60"/>
      <c r="N93" s="60">
        <f t="shared" si="31"/>
        <v>0</v>
      </c>
      <c r="O93" s="60">
        <f t="shared" si="32"/>
        <v>0</v>
      </c>
    </row>
    <row r="94" spans="1:15" s="38" customFormat="1" ht="10.7" customHeight="1" outlineLevel="1" x14ac:dyDescent="0.25">
      <c r="A94" s="146"/>
      <c r="B94" s="142"/>
      <c r="C94" s="148"/>
      <c r="D94" s="148"/>
      <c r="E94" s="148"/>
      <c r="F94" s="148"/>
      <c r="G94" s="60" t="s">
        <v>130</v>
      </c>
      <c r="H94" s="151"/>
      <c r="I94" s="151"/>
      <c r="J94" s="60"/>
      <c r="K94" s="60"/>
      <c r="L94" s="60"/>
      <c r="M94" s="60"/>
      <c r="N94" s="60">
        <f t="shared" si="31"/>
        <v>0</v>
      </c>
      <c r="O94" s="60">
        <f t="shared" si="32"/>
        <v>0</v>
      </c>
    </row>
    <row r="95" spans="1:15" s="38" customFormat="1" ht="12" customHeight="1" outlineLevel="1" thickBot="1" x14ac:dyDescent="0.3">
      <c r="A95" s="147"/>
      <c r="B95" s="143"/>
      <c r="C95" s="149"/>
      <c r="D95" s="149"/>
      <c r="E95" s="149"/>
      <c r="F95" s="149"/>
      <c r="G95" s="60" t="s">
        <v>131</v>
      </c>
      <c r="H95" s="152"/>
      <c r="I95" s="152"/>
      <c r="J95" s="60"/>
      <c r="K95" s="60"/>
      <c r="L95" s="60"/>
      <c r="M95" s="60"/>
      <c r="N95" s="60">
        <f t="shared" si="31"/>
        <v>0</v>
      </c>
      <c r="O95" s="60">
        <f t="shared" si="32"/>
        <v>0</v>
      </c>
    </row>
    <row r="96" spans="1:15" s="38" customFormat="1" ht="14.45" customHeight="1" outlineLevel="1" x14ac:dyDescent="0.25">
      <c r="A96" s="140" t="s">
        <v>152</v>
      </c>
      <c r="B96" s="141" t="s">
        <v>396</v>
      </c>
      <c r="C96" s="130">
        <f>SUM(N96:N102)</f>
        <v>0</v>
      </c>
      <c r="D96" s="130">
        <f>SUM(O96:O102)</f>
        <v>0</v>
      </c>
      <c r="E96" s="130">
        <f t="shared" si="26"/>
        <v>0</v>
      </c>
      <c r="F96" s="130"/>
      <c r="G96" s="60" t="s">
        <v>125</v>
      </c>
      <c r="H96" s="150"/>
      <c r="I96" s="150"/>
      <c r="J96" s="60"/>
      <c r="K96" s="60"/>
      <c r="L96" s="60"/>
      <c r="M96" s="60"/>
      <c r="N96" s="60">
        <f>M96*J96*K96*L96</f>
        <v>0</v>
      </c>
      <c r="O96" s="60">
        <f>J96*K96*L96</f>
        <v>0</v>
      </c>
    </row>
    <row r="97" spans="1:15" s="38" customFormat="1" ht="11.45" customHeight="1" outlineLevel="1" x14ac:dyDescent="0.25">
      <c r="A97" s="146"/>
      <c r="B97" s="142"/>
      <c r="C97" s="148"/>
      <c r="D97" s="148"/>
      <c r="E97" s="148"/>
      <c r="F97" s="148"/>
      <c r="G97" s="60" t="s">
        <v>126</v>
      </c>
      <c r="H97" s="151"/>
      <c r="I97" s="151"/>
      <c r="J97" s="60"/>
      <c r="K97" s="60"/>
      <c r="L97" s="60"/>
      <c r="M97" s="60"/>
      <c r="N97" s="60">
        <f t="shared" ref="N97:N102" si="33">M97*J97*K97*L97</f>
        <v>0</v>
      </c>
      <c r="O97" s="60">
        <f t="shared" ref="O97:O102" si="34">J97*K97*L97</f>
        <v>0</v>
      </c>
    </row>
    <row r="98" spans="1:15" s="38" customFormat="1" ht="10.7" customHeight="1" outlineLevel="1" x14ac:dyDescent="0.25">
      <c r="A98" s="146"/>
      <c r="B98" s="142"/>
      <c r="C98" s="148"/>
      <c r="D98" s="148"/>
      <c r="E98" s="148"/>
      <c r="F98" s="148"/>
      <c r="G98" s="60" t="s">
        <v>127</v>
      </c>
      <c r="H98" s="151"/>
      <c r="I98" s="151"/>
      <c r="J98" s="60"/>
      <c r="K98" s="60"/>
      <c r="L98" s="60"/>
      <c r="M98" s="60"/>
      <c r="N98" s="60">
        <f t="shared" si="33"/>
        <v>0</v>
      </c>
      <c r="O98" s="60">
        <f t="shared" si="34"/>
        <v>0</v>
      </c>
    </row>
    <row r="99" spans="1:15" s="38" customFormat="1" ht="10.7" customHeight="1" outlineLevel="1" x14ac:dyDescent="0.25">
      <c r="A99" s="146"/>
      <c r="B99" s="142"/>
      <c r="C99" s="148"/>
      <c r="D99" s="148"/>
      <c r="E99" s="148"/>
      <c r="F99" s="148"/>
      <c r="G99" s="60" t="s">
        <v>128</v>
      </c>
      <c r="H99" s="151"/>
      <c r="I99" s="151"/>
      <c r="J99" s="60"/>
      <c r="K99" s="60"/>
      <c r="L99" s="60"/>
      <c r="M99" s="60"/>
      <c r="N99" s="60">
        <f t="shared" si="33"/>
        <v>0</v>
      </c>
      <c r="O99" s="60">
        <f t="shared" si="34"/>
        <v>0</v>
      </c>
    </row>
    <row r="100" spans="1:15" s="38" customFormat="1" ht="10.7" customHeight="1" outlineLevel="1" x14ac:dyDescent="0.25">
      <c r="A100" s="146"/>
      <c r="B100" s="142"/>
      <c r="C100" s="148"/>
      <c r="D100" s="148"/>
      <c r="E100" s="148"/>
      <c r="F100" s="148"/>
      <c r="G100" s="60" t="s">
        <v>129</v>
      </c>
      <c r="H100" s="151"/>
      <c r="I100" s="151"/>
      <c r="J100" s="60"/>
      <c r="K100" s="60"/>
      <c r="L100" s="60"/>
      <c r="M100" s="60"/>
      <c r="N100" s="60">
        <f t="shared" si="33"/>
        <v>0</v>
      </c>
      <c r="O100" s="60">
        <f t="shared" si="34"/>
        <v>0</v>
      </c>
    </row>
    <row r="101" spans="1:15" s="38" customFormat="1" ht="10.7" customHeight="1" outlineLevel="1" x14ac:dyDescent="0.25">
      <c r="A101" s="146"/>
      <c r="B101" s="142"/>
      <c r="C101" s="148"/>
      <c r="D101" s="148"/>
      <c r="E101" s="148"/>
      <c r="F101" s="148"/>
      <c r="G101" s="60" t="s">
        <v>130</v>
      </c>
      <c r="H101" s="151"/>
      <c r="I101" s="151"/>
      <c r="J101" s="60"/>
      <c r="K101" s="60"/>
      <c r="L101" s="60"/>
      <c r="M101" s="60"/>
      <c r="N101" s="60">
        <f t="shared" si="33"/>
        <v>0</v>
      </c>
      <c r="O101" s="60">
        <f t="shared" si="34"/>
        <v>0</v>
      </c>
    </row>
    <row r="102" spans="1:15" s="38" customFormat="1" ht="12" customHeight="1" outlineLevel="1" thickBot="1" x14ac:dyDescent="0.3">
      <c r="A102" s="147"/>
      <c r="B102" s="143"/>
      <c r="C102" s="149"/>
      <c r="D102" s="149"/>
      <c r="E102" s="149"/>
      <c r="F102" s="149"/>
      <c r="G102" s="60" t="s">
        <v>131</v>
      </c>
      <c r="H102" s="152"/>
      <c r="I102" s="152"/>
      <c r="J102" s="60"/>
      <c r="K102" s="60"/>
      <c r="L102" s="60"/>
      <c r="M102" s="60"/>
      <c r="N102" s="60">
        <f t="shared" si="33"/>
        <v>0</v>
      </c>
      <c r="O102" s="60">
        <f t="shared" si="34"/>
        <v>0</v>
      </c>
    </row>
    <row r="103" spans="1:15" s="38" customFormat="1" ht="30" outlineLevel="1" x14ac:dyDescent="0.25">
      <c r="A103" s="44" t="s">
        <v>355</v>
      </c>
      <c r="B103" s="52" t="s">
        <v>397</v>
      </c>
      <c r="C103" s="45">
        <f>SUM(C104:C180)</f>
        <v>0</v>
      </c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60"/>
    </row>
    <row r="104" spans="1:15" s="38" customFormat="1" ht="14.45" customHeight="1" outlineLevel="1" x14ac:dyDescent="0.25">
      <c r="A104" s="140" t="s">
        <v>398</v>
      </c>
      <c r="B104" s="141" t="s">
        <v>399</v>
      </c>
      <c r="C104" s="130">
        <f>SUM(N104:N110)</f>
        <v>0</v>
      </c>
      <c r="D104" s="130">
        <f>SUM(O104:O110)</f>
        <v>0</v>
      </c>
      <c r="E104" s="130">
        <f t="shared" ref="E104:E167" si="35">D104/8</f>
        <v>0</v>
      </c>
      <c r="F104" s="130"/>
      <c r="G104" s="60" t="s">
        <v>125</v>
      </c>
      <c r="H104" s="123"/>
      <c r="I104" s="123"/>
      <c r="J104" s="60"/>
      <c r="K104" s="60"/>
      <c r="L104" s="60"/>
      <c r="M104" s="60"/>
      <c r="N104" s="60">
        <f>M104*J104*K104*L104</f>
        <v>0</v>
      </c>
      <c r="O104" s="60">
        <f>J104*K104*L104</f>
        <v>0</v>
      </c>
    </row>
    <row r="105" spans="1:15" s="38" customFormat="1" ht="11.45" customHeight="1" outlineLevel="1" x14ac:dyDescent="0.25">
      <c r="A105" s="146"/>
      <c r="B105" s="142"/>
      <c r="C105" s="148"/>
      <c r="D105" s="148"/>
      <c r="E105" s="148"/>
      <c r="F105" s="148"/>
      <c r="G105" s="60" t="s">
        <v>126</v>
      </c>
      <c r="H105" s="151"/>
      <c r="I105" s="151"/>
      <c r="J105" s="60"/>
      <c r="K105" s="60"/>
      <c r="L105" s="60"/>
      <c r="M105" s="60"/>
      <c r="N105" s="60">
        <f t="shared" ref="N105:N110" si="36">M105*J105*K105*L105</f>
        <v>0</v>
      </c>
      <c r="O105" s="60">
        <f t="shared" ref="O105:O110" si="37">J105*K105*L105</f>
        <v>0</v>
      </c>
    </row>
    <row r="106" spans="1:15" s="38" customFormat="1" ht="10.7" customHeight="1" outlineLevel="1" x14ac:dyDescent="0.25">
      <c r="A106" s="146"/>
      <c r="B106" s="142"/>
      <c r="C106" s="148"/>
      <c r="D106" s="148"/>
      <c r="E106" s="148"/>
      <c r="F106" s="148"/>
      <c r="G106" s="60" t="s">
        <v>127</v>
      </c>
      <c r="H106" s="151"/>
      <c r="I106" s="151"/>
      <c r="J106" s="60"/>
      <c r="K106" s="60"/>
      <c r="L106" s="60"/>
      <c r="M106" s="60"/>
      <c r="N106" s="60">
        <f t="shared" si="36"/>
        <v>0</v>
      </c>
      <c r="O106" s="60">
        <f t="shared" si="37"/>
        <v>0</v>
      </c>
    </row>
    <row r="107" spans="1:15" s="38" customFormat="1" ht="10.7" customHeight="1" outlineLevel="1" x14ac:dyDescent="0.25">
      <c r="A107" s="146"/>
      <c r="B107" s="142"/>
      <c r="C107" s="148"/>
      <c r="D107" s="148"/>
      <c r="E107" s="148"/>
      <c r="F107" s="148"/>
      <c r="G107" s="60" t="s">
        <v>128</v>
      </c>
      <c r="H107" s="151"/>
      <c r="I107" s="151"/>
      <c r="J107" s="60"/>
      <c r="K107" s="60"/>
      <c r="L107" s="60"/>
      <c r="M107" s="60"/>
      <c r="N107" s="60">
        <f t="shared" si="36"/>
        <v>0</v>
      </c>
      <c r="O107" s="60">
        <f t="shared" si="37"/>
        <v>0</v>
      </c>
    </row>
    <row r="108" spans="1:15" s="38" customFormat="1" ht="10.7" customHeight="1" outlineLevel="1" x14ac:dyDescent="0.25">
      <c r="A108" s="146"/>
      <c r="B108" s="142"/>
      <c r="C108" s="148"/>
      <c r="D108" s="148"/>
      <c r="E108" s="148"/>
      <c r="F108" s="148"/>
      <c r="G108" s="60" t="s">
        <v>129</v>
      </c>
      <c r="H108" s="151"/>
      <c r="I108" s="151"/>
      <c r="J108" s="60"/>
      <c r="K108" s="60"/>
      <c r="L108" s="60"/>
      <c r="M108" s="60"/>
      <c r="N108" s="60">
        <f t="shared" si="36"/>
        <v>0</v>
      </c>
      <c r="O108" s="60">
        <f t="shared" si="37"/>
        <v>0</v>
      </c>
    </row>
    <row r="109" spans="1:15" s="38" customFormat="1" ht="10.7" customHeight="1" outlineLevel="1" x14ac:dyDescent="0.25">
      <c r="A109" s="146"/>
      <c r="B109" s="142"/>
      <c r="C109" s="148"/>
      <c r="D109" s="148"/>
      <c r="E109" s="148"/>
      <c r="F109" s="148"/>
      <c r="G109" s="60" t="s">
        <v>130</v>
      </c>
      <c r="H109" s="151"/>
      <c r="I109" s="151"/>
      <c r="J109" s="60"/>
      <c r="K109" s="60"/>
      <c r="L109" s="60"/>
      <c r="M109" s="60"/>
      <c r="N109" s="60">
        <f t="shared" si="36"/>
        <v>0</v>
      </c>
      <c r="O109" s="60">
        <f t="shared" si="37"/>
        <v>0</v>
      </c>
    </row>
    <row r="110" spans="1:15" s="38" customFormat="1" ht="12" customHeight="1" outlineLevel="1" thickBot="1" x14ac:dyDescent="0.3">
      <c r="A110" s="147"/>
      <c r="B110" s="143"/>
      <c r="C110" s="149"/>
      <c r="D110" s="149"/>
      <c r="E110" s="149"/>
      <c r="F110" s="149"/>
      <c r="G110" s="60" t="s">
        <v>131</v>
      </c>
      <c r="H110" s="152"/>
      <c r="I110" s="152"/>
      <c r="J110" s="60"/>
      <c r="K110" s="60"/>
      <c r="L110" s="60"/>
      <c r="M110" s="60"/>
      <c r="N110" s="60">
        <f t="shared" si="36"/>
        <v>0</v>
      </c>
      <c r="O110" s="60">
        <f t="shared" si="37"/>
        <v>0</v>
      </c>
    </row>
    <row r="111" spans="1:15" s="38" customFormat="1" ht="14.45" customHeight="1" outlineLevel="1" x14ac:dyDescent="0.25">
      <c r="A111" s="140" t="s">
        <v>400</v>
      </c>
      <c r="B111" s="141" t="s">
        <v>401</v>
      </c>
      <c r="C111" s="130">
        <f>SUM(N111:N117)</f>
        <v>0</v>
      </c>
      <c r="D111" s="130">
        <f>SUM(O111:O117)</f>
        <v>0</v>
      </c>
      <c r="E111" s="130">
        <f t="shared" si="35"/>
        <v>0</v>
      </c>
      <c r="F111" s="130"/>
      <c r="G111" s="60" t="s">
        <v>125</v>
      </c>
      <c r="H111" s="150"/>
      <c r="I111" s="150"/>
      <c r="J111" s="60"/>
      <c r="K111" s="60"/>
      <c r="L111" s="60"/>
      <c r="M111" s="60"/>
      <c r="N111" s="60">
        <f>M111*J111*K111*L111</f>
        <v>0</v>
      </c>
      <c r="O111" s="60">
        <f>J111*K111*L111</f>
        <v>0</v>
      </c>
    </row>
    <row r="112" spans="1:15" s="38" customFormat="1" ht="11.45" customHeight="1" outlineLevel="1" x14ac:dyDescent="0.25">
      <c r="A112" s="146"/>
      <c r="B112" s="142"/>
      <c r="C112" s="148"/>
      <c r="D112" s="148"/>
      <c r="E112" s="148"/>
      <c r="F112" s="148"/>
      <c r="G112" s="60" t="s">
        <v>126</v>
      </c>
      <c r="H112" s="151"/>
      <c r="I112" s="151"/>
      <c r="J112" s="60"/>
      <c r="K112" s="60"/>
      <c r="L112" s="60"/>
      <c r="M112" s="60"/>
      <c r="N112" s="60">
        <f t="shared" ref="N112:N117" si="38">M112*J112*K112*L112</f>
        <v>0</v>
      </c>
      <c r="O112" s="60">
        <f t="shared" ref="O112:O117" si="39">J112*K112*L112</f>
        <v>0</v>
      </c>
    </row>
    <row r="113" spans="1:15" s="38" customFormat="1" ht="10.7" customHeight="1" outlineLevel="1" x14ac:dyDescent="0.25">
      <c r="A113" s="146"/>
      <c r="B113" s="142"/>
      <c r="C113" s="148"/>
      <c r="D113" s="148"/>
      <c r="E113" s="148"/>
      <c r="F113" s="148"/>
      <c r="G113" s="60" t="s">
        <v>127</v>
      </c>
      <c r="H113" s="151"/>
      <c r="I113" s="151"/>
      <c r="J113" s="60"/>
      <c r="K113" s="60"/>
      <c r="L113" s="60"/>
      <c r="M113" s="60"/>
      <c r="N113" s="60">
        <f t="shared" si="38"/>
        <v>0</v>
      </c>
      <c r="O113" s="60">
        <f t="shared" si="39"/>
        <v>0</v>
      </c>
    </row>
    <row r="114" spans="1:15" s="38" customFormat="1" ht="10.7" customHeight="1" outlineLevel="1" x14ac:dyDescent="0.25">
      <c r="A114" s="146"/>
      <c r="B114" s="142"/>
      <c r="C114" s="148"/>
      <c r="D114" s="148"/>
      <c r="E114" s="148"/>
      <c r="F114" s="148"/>
      <c r="G114" s="60" t="s">
        <v>128</v>
      </c>
      <c r="H114" s="151"/>
      <c r="I114" s="151"/>
      <c r="J114" s="60"/>
      <c r="K114" s="60"/>
      <c r="L114" s="60"/>
      <c r="M114" s="60"/>
      <c r="N114" s="60">
        <f t="shared" si="38"/>
        <v>0</v>
      </c>
      <c r="O114" s="60">
        <f t="shared" si="39"/>
        <v>0</v>
      </c>
    </row>
    <row r="115" spans="1:15" s="38" customFormat="1" ht="10.7" customHeight="1" outlineLevel="1" x14ac:dyDescent="0.25">
      <c r="A115" s="146"/>
      <c r="B115" s="142"/>
      <c r="C115" s="148"/>
      <c r="D115" s="148"/>
      <c r="E115" s="148"/>
      <c r="F115" s="148"/>
      <c r="G115" s="60" t="s">
        <v>129</v>
      </c>
      <c r="H115" s="151"/>
      <c r="I115" s="151"/>
      <c r="J115" s="60"/>
      <c r="K115" s="60"/>
      <c r="L115" s="60"/>
      <c r="M115" s="60"/>
      <c r="N115" s="60">
        <f t="shared" si="38"/>
        <v>0</v>
      </c>
      <c r="O115" s="60">
        <f t="shared" si="39"/>
        <v>0</v>
      </c>
    </row>
    <row r="116" spans="1:15" s="38" customFormat="1" ht="10.7" customHeight="1" outlineLevel="1" x14ac:dyDescent="0.25">
      <c r="A116" s="146"/>
      <c r="B116" s="142"/>
      <c r="C116" s="148"/>
      <c r="D116" s="148"/>
      <c r="E116" s="148"/>
      <c r="F116" s="148"/>
      <c r="G116" s="60" t="s">
        <v>130</v>
      </c>
      <c r="H116" s="151"/>
      <c r="I116" s="151"/>
      <c r="J116" s="60"/>
      <c r="K116" s="60"/>
      <c r="L116" s="60"/>
      <c r="M116" s="60"/>
      <c r="N116" s="60">
        <f t="shared" si="38"/>
        <v>0</v>
      </c>
      <c r="O116" s="60">
        <f t="shared" si="39"/>
        <v>0</v>
      </c>
    </row>
    <row r="117" spans="1:15" s="38" customFormat="1" ht="12" customHeight="1" outlineLevel="1" thickBot="1" x14ac:dyDescent="0.3">
      <c r="A117" s="147"/>
      <c r="B117" s="143"/>
      <c r="C117" s="149"/>
      <c r="D117" s="149"/>
      <c r="E117" s="149"/>
      <c r="F117" s="149"/>
      <c r="G117" s="60" t="s">
        <v>131</v>
      </c>
      <c r="H117" s="152"/>
      <c r="I117" s="152"/>
      <c r="J117" s="60"/>
      <c r="K117" s="60"/>
      <c r="L117" s="60"/>
      <c r="M117" s="60"/>
      <c r="N117" s="60">
        <f t="shared" si="38"/>
        <v>0</v>
      </c>
      <c r="O117" s="60">
        <f t="shared" si="39"/>
        <v>0</v>
      </c>
    </row>
    <row r="118" spans="1:15" s="38" customFormat="1" ht="14.45" customHeight="1" outlineLevel="1" x14ac:dyDescent="0.25">
      <c r="A118" s="140" t="s">
        <v>402</v>
      </c>
      <c r="B118" s="141" t="s">
        <v>403</v>
      </c>
      <c r="C118" s="130">
        <f>SUM(N118:N124)</f>
        <v>0</v>
      </c>
      <c r="D118" s="130">
        <f>SUM(O118:O124)</f>
        <v>0</v>
      </c>
      <c r="E118" s="130">
        <f t="shared" si="35"/>
        <v>0</v>
      </c>
      <c r="F118" s="130"/>
      <c r="G118" s="60" t="s">
        <v>125</v>
      </c>
      <c r="H118" s="150"/>
      <c r="I118" s="150"/>
      <c r="J118" s="60"/>
      <c r="K118" s="60"/>
      <c r="L118" s="60"/>
      <c r="M118" s="60"/>
      <c r="N118" s="60">
        <f>M118*J118*K118*L118</f>
        <v>0</v>
      </c>
      <c r="O118" s="60">
        <f>J118*K118*L118</f>
        <v>0</v>
      </c>
    </row>
    <row r="119" spans="1:15" s="38" customFormat="1" ht="11.45" customHeight="1" outlineLevel="1" x14ac:dyDescent="0.25">
      <c r="A119" s="146"/>
      <c r="B119" s="142"/>
      <c r="C119" s="148"/>
      <c r="D119" s="148"/>
      <c r="E119" s="148"/>
      <c r="F119" s="148"/>
      <c r="G119" s="60" t="s">
        <v>126</v>
      </c>
      <c r="H119" s="151"/>
      <c r="I119" s="151"/>
      <c r="J119" s="60"/>
      <c r="K119" s="60"/>
      <c r="L119" s="60"/>
      <c r="M119" s="60"/>
      <c r="N119" s="60">
        <f t="shared" ref="N119:N124" si="40">M119*J119*K119*L119</f>
        <v>0</v>
      </c>
      <c r="O119" s="60">
        <f t="shared" ref="O119:O124" si="41">J119*K119*L119</f>
        <v>0</v>
      </c>
    </row>
    <row r="120" spans="1:15" s="38" customFormat="1" ht="10.7" customHeight="1" outlineLevel="1" x14ac:dyDescent="0.25">
      <c r="A120" s="146"/>
      <c r="B120" s="142"/>
      <c r="C120" s="148"/>
      <c r="D120" s="148"/>
      <c r="E120" s="148"/>
      <c r="F120" s="148"/>
      <c r="G120" s="60" t="s">
        <v>127</v>
      </c>
      <c r="H120" s="151"/>
      <c r="I120" s="151"/>
      <c r="J120" s="60"/>
      <c r="K120" s="60"/>
      <c r="L120" s="60"/>
      <c r="M120" s="60"/>
      <c r="N120" s="60">
        <f t="shared" si="40"/>
        <v>0</v>
      </c>
      <c r="O120" s="60">
        <f t="shared" si="41"/>
        <v>0</v>
      </c>
    </row>
    <row r="121" spans="1:15" s="38" customFormat="1" ht="10.7" customHeight="1" outlineLevel="1" x14ac:dyDescent="0.25">
      <c r="A121" s="146"/>
      <c r="B121" s="142"/>
      <c r="C121" s="148"/>
      <c r="D121" s="148"/>
      <c r="E121" s="148"/>
      <c r="F121" s="148"/>
      <c r="G121" s="60" t="s">
        <v>128</v>
      </c>
      <c r="H121" s="151"/>
      <c r="I121" s="151"/>
      <c r="J121" s="60"/>
      <c r="K121" s="60"/>
      <c r="L121" s="60"/>
      <c r="M121" s="60"/>
      <c r="N121" s="60">
        <f t="shared" si="40"/>
        <v>0</v>
      </c>
      <c r="O121" s="60">
        <f t="shared" si="41"/>
        <v>0</v>
      </c>
    </row>
    <row r="122" spans="1:15" s="38" customFormat="1" ht="10.7" customHeight="1" outlineLevel="1" x14ac:dyDescent="0.25">
      <c r="A122" s="146"/>
      <c r="B122" s="142"/>
      <c r="C122" s="148"/>
      <c r="D122" s="148"/>
      <c r="E122" s="148"/>
      <c r="F122" s="148"/>
      <c r="G122" s="60" t="s">
        <v>129</v>
      </c>
      <c r="H122" s="151"/>
      <c r="I122" s="151"/>
      <c r="J122" s="60"/>
      <c r="K122" s="60"/>
      <c r="L122" s="60"/>
      <c r="M122" s="60"/>
      <c r="N122" s="60">
        <f t="shared" si="40"/>
        <v>0</v>
      </c>
      <c r="O122" s="60">
        <f t="shared" si="41"/>
        <v>0</v>
      </c>
    </row>
    <row r="123" spans="1:15" s="38" customFormat="1" ht="10.7" customHeight="1" outlineLevel="1" x14ac:dyDescent="0.25">
      <c r="A123" s="146"/>
      <c r="B123" s="142"/>
      <c r="C123" s="148"/>
      <c r="D123" s="148"/>
      <c r="E123" s="148"/>
      <c r="F123" s="148"/>
      <c r="G123" s="60" t="s">
        <v>130</v>
      </c>
      <c r="H123" s="151"/>
      <c r="I123" s="151"/>
      <c r="J123" s="60"/>
      <c r="K123" s="60"/>
      <c r="L123" s="60"/>
      <c r="M123" s="60"/>
      <c r="N123" s="60">
        <f t="shared" si="40"/>
        <v>0</v>
      </c>
      <c r="O123" s="60">
        <f t="shared" si="41"/>
        <v>0</v>
      </c>
    </row>
    <row r="124" spans="1:15" s="38" customFormat="1" ht="12" customHeight="1" outlineLevel="1" thickBot="1" x14ac:dyDescent="0.3">
      <c r="A124" s="147"/>
      <c r="B124" s="143"/>
      <c r="C124" s="149"/>
      <c r="D124" s="149"/>
      <c r="E124" s="149"/>
      <c r="F124" s="149"/>
      <c r="G124" s="60" t="s">
        <v>131</v>
      </c>
      <c r="H124" s="152"/>
      <c r="I124" s="152"/>
      <c r="J124" s="60"/>
      <c r="K124" s="60"/>
      <c r="L124" s="60"/>
      <c r="M124" s="60"/>
      <c r="N124" s="60">
        <f t="shared" si="40"/>
        <v>0</v>
      </c>
      <c r="O124" s="60">
        <f t="shared" si="41"/>
        <v>0</v>
      </c>
    </row>
    <row r="125" spans="1:15" s="38" customFormat="1" ht="14.45" customHeight="1" outlineLevel="1" x14ac:dyDescent="0.25">
      <c r="A125" s="140" t="s">
        <v>404</v>
      </c>
      <c r="B125" s="141" t="s">
        <v>405</v>
      </c>
      <c r="C125" s="130">
        <f>SUM(N125:N131)</f>
        <v>0</v>
      </c>
      <c r="D125" s="130">
        <f>SUM(O125:O131)</f>
        <v>0</v>
      </c>
      <c r="E125" s="130">
        <f t="shared" si="35"/>
        <v>0</v>
      </c>
      <c r="F125" s="130"/>
      <c r="G125" s="60" t="s">
        <v>125</v>
      </c>
      <c r="H125" s="150"/>
      <c r="I125" s="150"/>
      <c r="J125" s="60"/>
      <c r="K125" s="60"/>
      <c r="L125" s="60"/>
      <c r="M125" s="60"/>
      <c r="N125" s="60">
        <f>M125*J125*K125*L125</f>
        <v>0</v>
      </c>
      <c r="O125" s="60">
        <f>J125*K125*L125</f>
        <v>0</v>
      </c>
    </row>
    <row r="126" spans="1:15" s="38" customFormat="1" ht="11.45" customHeight="1" outlineLevel="1" x14ac:dyDescent="0.25">
      <c r="A126" s="146"/>
      <c r="B126" s="142"/>
      <c r="C126" s="148"/>
      <c r="D126" s="148"/>
      <c r="E126" s="148"/>
      <c r="F126" s="148"/>
      <c r="G126" s="60" t="s">
        <v>126</v>
      </c>
      <c r="H126" s="151"/>
      <c r="I126" s="151"/>
      <c r="J126" s="60"/>
      <c r="K126" s="60"/>
      <c r="L126" s="60"/>
      <c r="M126" s="60"/>
      <c r="N126" s="60">
        <f t="shared" ref="N126:N131" si="42">M126*J126*K126*L126</f>
        <v>0</v>
      </c>
      <c r="O126" s="60">
        <f t="shared" ref="O126:O131" si="43">J126*K126*L126</f>
        <v>0</v>
      </c>
    </row>
    <row r="127" spans="1:15" s="38" customFormat="1" ht="10.7" customHeight="1" outlineLevel="1" x14ac:dyDescent="0.25">
      <c r="A127" s="146"/>
      <c r="B127" s="142"/>
      <c r="C127" s="148"/>
      <c r="D127" s="148"/>
      <c r="E127" s="148"/>
      <c r="F127" s="148"/>
      <c r="G127" s="60" t="s">
        <v>127</v>
      </c>
      <c r="H127" s="151"/>
      <c r="I127" s="151"/>
      <c r="J127" s="60"/>
      <c r="K127" s="60"/>
      <c r="L127" s="60"/>
      <c r="M127" s="60"/>
      <c r="N127" s="60">
        <f t="shared" si="42"/>
        <v>0</v>
      </c>
      <c r="O127" s="60">
        <f t="shared" si="43"/>
        <v>0</v>
      </c>
    </row>
    <row r="128" spans="1:15" s="38" customFormat="1" ht="10.7" customHeight="1" outlineLevel="1" x14ac:dyDescent="0.25">
      <c r="A128" s="146"/>
      <c r="B128" s="142"/>
      <c r="C128" s="148"/>
      <c r="D128" s="148"/>
      <c r="E128" s="148"/>
      <c r="F128" s="148"/>
      <c r="G128" s="60" t="s">
        <v>128</v>
      </c>
      <c r="H128" s="151"/>
      <c r="I128" s="151"/>
      <c r="J128" s="60"/>
      <c r="K128" s="60"/>
      <c r="L128" s="60"/>
      <c r="M128" s="60"/>
      <c r="N128" s="60">
        <f t="shared" si="42"/>
        <v>0</v>
      </c>
      <c r="O128" s="60">
        <f t="shared" si="43"/>
        <v>0</v>
      </c>
    </row>
    <row r="129" spans="1:15" s="38" customFormat="1" ht="10.7" customHeight="1" outlineLevel="1" x14ac:dyDescent="0.25">
      <c r="A129" s="146"/>
      <c r="B129" s="142"/>
      <c r="C129" s="148"/>
      <c r="D129" s="148"/>
      <c r="E129" s="148"/>
      <c r="F129" s="148"/>
      <c r="G129" s="60" t="s">
        <v>129</v>
      </c>
      <c r="H129" s="151"/>
      <c r="I129" s="151"/>
      <c r="J129" s="60"/>
      <c r="K129" s="60"/>
      <c r="L129" s="60"/>
      <c r="M129" s="60"/>
      <c r="N129" s="60">
        <f t="shared" si="42"/>
        <v>0</v>
      </c>
      <c r="O129" s="60">
        <f t="shared" si="43"/>
        <v>0</v>
      </c>
    </row>
    <row r="130" spans="1:15" s="38" customFormat="1" ht="10.7" customHeight="1" outlineLevel="1" x14ac:dyDescent="0.25">
      <c r="A130" s="146"/>
      <c r="B130" s="142"/>
      <c r="C130" s="148"/>
      <c r="D130" s="148"/>
      <c r="E130" s="148"/>
      <c r="F130" s="148"/>
      <c r="G130" s="60" t="s">
        <v>130</v>
      </c>
      <c r="H130" s="151"/>
      <c r="I130" s="151"/>
      <c r="J130" s="60"/>
      <c r="K130" s="60"/>
      <c r="L130" s="60"/>
      <c r="M130" s="60"/>
      <c r="N130" s="60">
        <f t="shared" si="42"/>
        <v>0</v>
      </c>
      <c r="O130" s="60">
        <f t="shared" si="43"/>
        <v>0</v>
      </c>
    </row>
    <row r="131" spans="1:15" s="38" customFormat="1" ht="12" customHeight="1" outlineLevel="1" thickBot="1" x14ac:dyDescent="0.3">
      <c r="A131" s="147"/>
      <c r="B131" s="143"/>
      <c r="C131" s="149"/>
      <c r="D131" s="149"/>
      <c r="E131" s="149"/>
      <c r="F131" s="149"/>
      <c r="G131" s="60" t="s">
        <v>131</v>
      </c>
      <c r="H131" s="152"/>
      <c r="I131" s="152"/>
      <c r="J131" s="60"/>
      <c r="K131" s="60"/>
      <c r="L131" s="60"/>
      <c r="M131" s="60"/>
      <c r="N131" s="60">
        <f t="shared" si="42"/>
        <v>0</v>
      </c>
      <c r="O131" s="60">
        <f t="shared" si="43"/>
        <v>0</v>
      </c>
    </row>
    <row r="132" spans="1:15" s="38" customFormat="1" ht="14.45" customHeight="1" outlineLevel="1" x14ac:dyDescent="0.25">
      <c r="A132" s="140" t="s">
        <v>406</v>
      </c>
      <c r="B132" s="141" t="s">
        <v>407</v>
      </c>
      <c r="C132" s="130">
        <f>SUM(N132:N138)</f>
        <v>0</v>
      </c>
      <c r="D132" s="130">
        <f>SUM(O132:O138)</f>
        <v>0</v>
      </c>
      <c r="E132" s="130">
        <f t="shared" si="35"/>
        <v>0</v>
      </c>
      <c r="F132" s="130"/>
      <c r="G132" s="60" t="s">
        <v>125</v>
      </c>
      <c r="H132" s="150"/>
      <c r="I132" s="150"/>
      <c r="J132" s="60"/>
      <c r="K132" s="60"/>
      <c r="L132" s="60"/>
      <c r="M132" s="60"/>
      <c r="N132" s="60">
        <f>M132*J132*K132*L132</f>
        <v>0</v>
      </c>
      <c r="O132" s="60">
        <f>J132*K132*L132</f>
        <v>0</v>
      </c>
    </row>
    <row r="133" spans="1:15" s="38" customFormat="1" ht="11.45" customHeight="1" outlineLevel="1" x14ac:dyDescent="0.25">
      <c r="A133" s="146"/>
      <c r="B133" s="142"/>
      <c r="C133" s="148"/>
      <c r="D133" s="148"/>
      <c r="E133" s="148"/>
      <c r="F133" s="148"/>
      <c r="G133" s="60" t="s">
        <v>126</v>
      </c>
      <c r="H133" s="151"/>
      <c r="I133" s="151"/>
      <c r="J133" s="60"/>
      <c r="K133" s="60"/>
      <c r="L133" s="60"/>
      <c r="M133" s="60"/>
      <c r="N133" s="60">
        <f t="shared" ref="N133:N138" si="44">M133*J133*K133*L133</f>
        <v>0</v>
      </c>
      <c r="O133" s="60">
        <f t="shared" ref="O133:O138" si="45">J133*K133*L133</f>
        <v>0</v>
      </c>
    </row>
    <row r="134" spans="1:15" s="38" customFormat="1" ht="10.7" customHeight="1" outlineLevel="1" x14ac:dyDescent="0.25">
      <c r="A134" s="146"/>
      <c r="B134" s="142"/>
      <c r="C134" s="148"/>
      <c r="D134" s="148"/>
      <c r="E134" s="148"/>
      <c r="F134" s="148"/>
      <c r="G134" s="60" t="s">
        <v>127</v>
      </c>
      <c r="H134" s="151"/>
      <c r="I134" s="151"/>
      <c r="J134" s="60"/>
      <c r="K134" s="60"/>
      <c r="L134" s="60"/>
      <c r="M134" s="60"/>
      <c r="N134" s="60">
        <f t="shared" si="44"/>
        <v>0</v>
      </c>
      <c r="O134" s="60">
        <f t="shared" si="45"/>
        <v>0</v>
      </c>
    </row>
    <row r="135" spans="1:15" s="38" customFormat="1" ht="10.7" customHeight="1" outlineLevel="1" x14ac:dyDescent="0.25">
      <c r="A135" s="146"/>
      <c r="B135" s="142"/>
      <c r="C135" s="148"/>
      <c r="D135" s="148"/>
      <c r="E135" s="148"/>
      <c r="F135" s="148"/>
      <c r="G135" s="60" t="s">
        <v>128</v>
      </c>
      <c r="H135" s="151"/>
      <c r="I135" s="151"/>
      <c r="J135" s="60"/>
      <c r="K135" s="60"/>
      <c r="L135" s="60"/>
      <c r="M135" s="60"/>
      <c r="N135" s="60">
        <f t="shared" si="44"/>
        <v>0</v>
      </c>
      <c r="O135" s="60">
        <f t="shared" si="45"/>
        <v>0</v>
      </c>
    </row>
    <row r="136" spans="1:15" s="38" customFormat="1" ht="10.7" customHeight="1" outlineLevel="1" x14ac:dyDescent="0.25">
      <c r="A136" s="146"/>
      <c r="B136" s="142"/>
      <c r="C136" s="148"/>
      <c r="D136" s="148"/>
      <c r="E136" s="148"/>
      <c r="F136" s="148"/>
      <c r="G136" s="60" t="s">
        <v>129</v>
      </c>
      <c r="H136" s="151"/>
      <c r="I136" s="151"/>
      <c r="J136" s="60"/>
      <c r="K136" s="60"/>
      <c r="L136" s="60"/>
      <c r="M136" s="60"/>
      <c r="N136" s="60">
        <f t="shared" si="44"/>
        <v>0</v>
      </c>
      <c r="O136" s="60">
        <f t="shared" si="45"/>
        <v>0</v>
      </c>
    </row>
    <row r="137" spans="1:15" s="38" customFormat="1" ht="10.7" customHeight="1" outlineLevel="1" x14ac:dyDescent="0.25">
      <c r="A137" s="146"/>
      <c r="B137" s="142"/>
      <c r="C137" s="148"/>
      <c r="D137" s="148"/>
      <c r="E137" s="148"/>
      <c r="F137" s="148"/>
      <c r="G137" s="60" t="s">
        <v>130</v>
      </c>
      <c r="H137" s="151"/>
      <c r="I137" s="151"/>
      <c r="J137" s="60"/>
      <c r="K137" s="60"/>
      <c r="L137" s="60"/>
      <c r="M137" s="60"/>
      <c r="N137" s="60">
        <f t="shared" si="44"/>
        <v>0</v>
      </c>
      <c r="O137" s="60">
        <f t="shared" si="45"/>
        <v>0</v>
      </c>
    </row>
    <row r="138" spans="1:15" s="38" customFormat="1" ht="12" customHeight="1" outlineLevel="1" thickBot="1" x14ac:dyDescent="0.3">
      <c r="A138" s="147"/>
      <c r="B138" s="143"/>
      <c r="C138" s="149"/>
      <c r="D138" s="149"/>
      <c r="E138" s="149"/>
      <c r="F138" s="149"/>
      <c r="G138" s="60" t="s">
        <v>131</v>
      </c>
      <c r="H138" s="152"/>
      <c r="I138" s="152"/>
      <c r="J138" s="60"/>
      <c r="K138" s="60"/>
      <c r="L138" s="60"/>
      <c r="M138" s="60"/>
      <c r="N138" s="60">
        <f t="shared" si="44"/>
        <v>0</v>
      </c>
      <c r="O138" s="60">
        <f t="shared" si="45"/>
        <v>0</v>
      </c>
    </row>
    <row r="139" spans="1:15" s="38" customFormat="1" ht="14.45" customHeight="1" outlineLevel="1" x14ac:dyDescent="0.25">
      <c r="A139" s="140" t="s">
        <v>408</v>
      </c>
      <c r="B139" s="141" t="s">
        <v>409</v>
      </c>
      <c r="C139" s="130">
        <f>SUM(N139:N145)</f>
        <v>0</v>
      </c>
      <c r="D139" s="130">
        <f>SUM(O139:O145)</f>
        <v>0</v>
      </c>
      <c r="E139" s="130">
        <f t="shared" si="35"/>
        <v>0</v>
      </c>
      <c r="F139" s="130"/>
      <c r="G139" s="60" t="s">
        <v>125</v>
      </c>
      <c r="H139" s="150"/>
      <c r="I139" s="150"/>
      <c r="J139" s="60"/>
      <c r="K139" s="60"/>
      <c r="L139" s="60"/>
      <c r="M139" s="60"/>
      <c r="N139" s="60">
        <f>M139*J139*K139*L139</f>
        <v>0</v>
      </c>
      <c r="O139" s="60">
        <f>J139*K139*L139</f>
        <v>0</v>
      </c>
    </row>
    <row r="140" spans="1:15" s="38" customFormat="1" ht="11.45" customHeight="1" outlineLevel="1" x14ac:dyDescent="0.25">
      <c r="A140" s="146"/>
      <c r="B140" s="142"/>
      <c r="C140" s="148"/>
      <c r="D140" s="148"/>
      <c r="E140" s="148"/>
      <c r="F140" s="148"/>
      <c r="G140" s="60" t="s">
        <v>126</v>
      </c>
      <c r="H140" s="151"/>
      <c r="I140" s="151"/>
      <c r="J140" s="60"/>
      <c r="K140" s="60"/>
      <c r="L140" s="60"/>
      <c r="M140" s="60"/>
      <c r="N140" s="60">
        <f t="shared" ref="N140:N145" si="46">M140*J140*K140*L140</f>
        <v>0</v>
      </c>
      <c r="O140" s="60">
        <f t="shared" ref="O140:O145" si="47">J140*K140*L140</f>
        <v>0</v>
      </c>
    </row>
    <row r="141" spans="1:15" s="38" customFormat="1" ht="10.7" customHeight="1" outlineLevel="1" x14ac:dyDescent="0.25">
      <c r="A141" s="146"/>
      <c r="B141" s="142"/>
      <c r="C141" s="148"/>
      <c r="D141" s="148"/>
      <c r="E141" s="148"/>
      <c r="F141" s="148"/>
      <c r="G141" s="60" t="s">
        <v>127</v>
      </c>
      <c r="H141" s="151"/>
      <c r="I141" s="151"/>
      <c r="J141" s="60"/>
      <c r="K141" s="60"/>
      <c r="L141" s="60"/>
      <c r="M141" s="60"/>
      <c r="N141" s="60">
        <f t="shared" si="46"/>
        <v>0</v>
      </c>
      <c r="O141" s="60">
        <f t="shared" si="47"/>
        <v>0</v>
      </c>
    </row>
    <row r="142" spans="1:15" s="38" customFormat="1" ht="10.7" customHeight="1" outlineLevel="1" x14ac:dyDescent="0.25">
      <c r="A142" s="146"/>
      <c r="B142" s="142"/>
      <c r="C142" s="148"/>
      <c r="D142" s="148"/>
      <c r="E142" s="148"/>
      <c r="F142" s="148"/>
      <c r="G142" s="60" t="s">
        <v>128</v>
      </c>
      <c r="H142" s="151"/>
      <c r="I142" s="151"/>
      <c r="J142" s="60"/>
      <c r="K142" s="60"/>
      <c r="L142" s="60"/>
      <c r="M142" s="60"/>
      <c r="N142" s="60">
        <f t="shared" si="46"/>
        <v>0</v>
      </c>
      <c r="O142" s="60">
        <f t="shared" si="47"/>
        <v>0</v>
      </c>
    </row>
    <row r="143" spans="1:15" s="38" customFormat="1" ht="10.7" customHeight="1" outlineLevel="1" x14ac:dyDescent="0.25">
      <c r="A143" s="146"/>
      <c r="B143" s="142"/>
      <c r="C143" s="148"/>
      <c r="D143" s="148"/>
      <c r="E143" s="148"/>
      <c r="F143" s="148"/>
      <c r="G143" s="60" t="s">
        <v>129</v>
      </c>
      <c r="H143" s="151"/>
      <c r="I143" s="151"/>
      <c r="J143" s="60"/>
      <c r="K143" s="60"/>
      <c r="L143" s="60"/>
      <c r="M143" s="60"/>
      <c r="N143" s="60">
        <f t="shared" si="46"/>
        <v>0</v>
      </c>
      <c r="O143" s="60">
        <f t="shared" si="47"/>
        <v>0</v>
      </c>
    </row>
    <row r="144" spans="1:15" s="38" customFormat="1" ht="10.7" customHeight="1" outlineLevel="1" x14ac:dyDescent="0.25">
      <c r="A144" s="146"/>
      <c r="B144" s="142"/>
      <c r="C144" s="148"/>
      <c r="D144" s="148"/>
      <c r="E144" s="148"/>
      <c r="F144" s="148"/>
      <c r="G144" s="60" t="s">
        <v>130</v>
      </c>
      <c r="H144" s="151"/>
      <c r="I144" s="151"/>
      <c r="J144" s="60"/>
      <c r="K144" s="60"/>
      <c r="L144" s="60"/>
      <c r="M144" s="60"/>
      <c r="N144" s="60">
        <f t="shared" si="46"/>
        <v>0</v>
      </c>
      <c r="O144" s="60">
        <f t="shared" si="47"/>
        <v>0</v>
      </c>
    </row>
    <row r="145" spans="1:15" s="38" customFormat="1" ht="12" customHeight="1" outlineLevel="1" thickBot="1" x14ac:dyDescent="0.3">
      <c r="A145" s="147"/>
      <c r="B145" s="143"/>
      <c r="C145" s="149"/>
      <c r="D145" s="149"/>
      <c r="E145" s="149"/>
      <c r="F145" s="149"/>
      <c r="G145" s="60" t="s">
        <v>131</v>
      </c>
      <c r="H145" s="152"/>
      <c r="I145" s="152"/>
      <c r="J145" s="60"/>
      <c r="K145" s="60"/>
      <c r="L145" s="60"/>
      <c r="M145" s="60"/>
      <c r="N145" s="60">
        <f t="shared" si="46"/>
        <v>0</v>
      </c>
      <c r="O145" s="60">
        <f t="shared" si="47"/>
        <v>0</v>
      </c>
    </row>
    <row r="146" spans="1:15" s="38" customFormat="1" ht="14.45" customHeight="1" outlineLevel="1" x14ac:dyDescent="0.25">
      <c r="A146" s="140" t="s">
        <v>410</v>
      </c>
      <c r="B146" s="141" t="s">
        <v>411</v>
      </c>
      <c r="C146" s="130">
        <f>SUM(N146:N152)</f>
        <v>0</v>
      </c>
      <c r="D146" s="130">
        <f>SUM(O146:O152)</f>
        <v>0</v>
      </c>
      <c r="E146" s="130">
        <f t="shared" si="35"/>
        <v>0</v>
      </c>
      <c r="F146" s="130"/>
      <c r="G146" s="60" t="s">
        <v>125</v>
      </c>
      <c r="H146" s="150"/>
      <c r="I146" s="150"/>
      <c r="J146" s="60"/>
      <c r="K146" s="60"/>
      <c r="L146" s="60"/>
      <c r="M146" s="60"/>
      <c r="N146" s="60">
        <f>M146*J146*K146*L146</f>
        <v>0</v>
      </c>
      <c r="O146" s="60">
        <f>J146*K146*L146</f>
        <v>0</v>
      </c>
    </row>
    <row r="147" spans="1:15" s="38" customFormat="1" ht="11.45" customHeight="1" outlineLevel="1" x14ac:dyDescent="0.25">
      <c r="A147" s="146"/>
      <c r="B147" s="142"/>
      <c r="C147" s="148"/>
      <c r="D147" s="148"/>
      <c r="E147" s="148"/>
      <c r="F147" s="148"/>
      <c r="G147" s="60" t="s">
        <v>126</v>
      </c>
      <c r="H147" s="151"/>
      <c r="I147" s="151"/>
      <c r="J147" s="60"/>
      <c r="K147" s="60"/>
      <c r="L147" s="60"/>
      <c r="M147" s="60"/>
      <c r="N147" s="60">
        <f t="shared" ref="N147:N152" si="48">M147*J147*K147*L147</f>
        <v>0</v>
      </c>
      <c r="O147" s="60">
        <f t="shared" ref="O147:O152" si="49">J147*K147*L147</f>
        <v>0</v>
      </c>
    </row>
    <row r="148" spans="1:15" s="38" customFormat="1" ht="10.7" customHeight="1" outlineLevel="1" x14ac:dyDescent="0.25">
      <c r="A148" s="146"/>
      <c r="B148" s="142"/>
      <c r="C148" s="148"/>
      <c r="D148" s="148"/>
      <c r="E148" s="148"/>
      <c r="F148" s="148"/>
      <c r="G148" s="60" t="s">
        <v>127</v>
      </c>
      <c r="H148" s="151"/>
      <c r="I148" s="151"/>
      <c r="J148" s="60"/>
      <c r="K148" s="60"/>
      <c r="L148" s="60"/>
      <c r="M148" s="60"/>
      <c r="N148" s="60">
        <f t="shared" si="48"/>
        <v>0</v>
      </c>
      <c r="O148" s="60">
        <f t="shared" si="49"/>
        <v>0</v>
      </c>
    </row>
    <row r="149" spans="1:15" s="38" customFormat="1" ht="10.7" customHeight="1" outlineLevel="1" x14ac:dyDescent="0.25">
      <c r="A149" s="146"/>
      <c r="B149" s="142"/>
      <c r="C149" s="148"/>
      <c r="D149" s="148"/>
      <c r="E149" s="148"/>
      <c r="F149" s="148"/>
      <c r="G149" s="60" t="s">
        <v>128</v>
      </c>
      <c r="H149" s="151"/>
      <c r="I149" s="151"/>
      <c r="J149" s="60"/>
      <c r="K149" s="60"/>
      <c r="L149" s="60"/>
      <c r="M149" s="60"/>
      <c r="N149" s="60">
        <f t="shared" si="48"/>
        <v>0</v>
      </c>
      <c r="O149" s="60">
        <f t="shared" si="49"/>
        <v>0</v>
      </c>
    </row>
    <row r="150" spans="1:15" s="38" customFormat="1" ht="10.7" customHeight="1" outlineLevel="1" x14ac:dyDescent="0.25">
      <c r="A150" s="146"/>
      <c r="B150" s="142"/>
      <c r="C150" s="148"/>
      <c r="D150" s="148"/>
      <c r="E150" s="148"/>
      <c r="F150" s="148"/>
      <c r="G150" s="60" t="s">
        <v>129</v>
      </c>
      <c r="H150" s="151"/>
      <c r="I150" s="151"/>
      <c r="J150" s="60"/>
      <c r="K150" s="60"/>
      <c r="L150" s="60"/>
      <c r="M150" s="60"/>
      <c r="N150" s="60">
        <f t="shared" si="48"/>
        <v>0</v>
      </c>
      <c r="O150" s="60">
        <f t="shared" si="49"/>
        <v>0</v>
      </c>
    </row>
    <row r="151" spans="1:15" s="38" customFormat="1" ht="10.7" customHeight="1" outlineLevel="1" x14ac:dyDescent="0.25">
      <c r="A151" s="146"/>
      <c r="B151" s="142"/>
      <c r="C151" s="148"/>
      <c r="D151" s="148"/>
      <c r="E151" s="148"/>
      <c r="F151" s="148"/>
      <c r="G151" s="60" t="s">
        <v>130</v>
      </c>
      <c r="H151" s="151"/>
      <c r="I151" s="151"/>
      <c r="J151" s="60"/>
      <c r="K151" s="60"/>
      <c r="L151" s="60"/>
      <c r="M151" s="60"/>
      <c r="N151" s="60">
        <f t="shared" si="48"/>
        <v>0</v>
      </c>
      <c r="O151" s="60">
        <f t="shared" si="49"/>
        <v>0</v>
      </c>
    </row>
    <row r="152" spans="1:15" s="38" customFormat="1" ht="12" customHeight="1" outlineLevel="1" thickBot="1" x14ac:dyDescent="0.3">
      <c r="A152" s="147"/>
      <c r="B152" s="143"/>
      <c r="C152" s="149"/>
      <c r="D152" s="149"/>
      <c r="E152" s="149"/>
      <c r="F152" s="149"/>
      <c r="G152" s="60" t="s">
        <v>131</v>
      </c>
      <c r="H152" s="152"/>
      <c r="I152" s="152"/>
      <c r="J152" s="60"/>
      <c r="K152" s="60"/>
      <c r="L152" s="60"/>
      <c r="M152" s="60"/>
      <c r="N152" s="60">
        <f t="shared" si="48"/>
        <v>0</v>
      </c>
      <c r="O152" s="60">
        <f t="shared" si="49"/>
        <v>0</v>
      </c>
    </row>
    <row r="153" spans="1:15" s="38" customFormat="1" ht="14.45" customHeight="1" outlineLevel="1" x14ac:dyDescent="0.25">
      <c r="A153" s="140" t="s">
        <v>156</v>
      </c>
      <c r="B153" s="141" t="s">
        <v>533</v>
      </c>
      <c r="C153" s="130">
        <f>SUM(N153:N159)</f>
        <v>0</v>
      </c>
      <c r="D153" s="130">
        <f>SUM(O153:O159)</f>
        <v>0</v>
      </c>
      <c r="E153" s="130">
        <f t="shared" si="35"/>
        <v>0</v>
      </c>
      <c r="F153" s="130"/>
      <c r="G153" s="60" t="s">
        <v>125</v>
      </c>
      <c r="H153" s="150"/>
      <c r="I153" s="150"/>
      <c r="J153" s="60"/>
      <c r="K153" s="60"/>
      <c r="L153" s="60"/>
      <c r="M153" s="60"/>
      <c r="N153" s="60">
        <f>M153*J153*K153*L153</f>
        <v>0</v>
      </c>
      <c r="O153" s="60">
        <f>J153*K153*L153</f>
        <v>0</v>
      </c>
    </row>
    <row r="154" spans="1:15" s="38" customFormat="1" ht="11.45" customHeight="1" outlineLevel="1" x14ac:dyDescent="0.25">
      <c r="A154" s="146"/>
      <c r="B154" s="142"/>
      <c r="C154" s="148"/>
      <c r="D154" s="148"/>
      <c r="E154" s="148"/>
      <c r="F154" s="148"/>
      <c r="G154" s="60" t="s">
        <v>126</v>
      </c>
      <c r="H154" s="151"/>
      <c r="I154" s="151"/>
      <c r="J154" s="60"/>
      <c r="K154" s="60"/>
      <c r="L154" s="60"/>
      <c r="M154" s="60"/>
      <c r="N154" s="60">
        <f t="shared" ref="N154:N159" si="50">M154*J154*K154*L154</f>
        <v>0</v>
      </c>
      <c r="O154" s="60">
        <f t="shared" ref="O154:O159" si="51">J154*K154*L154</f>
        <v>0</v>
      </c>
    </row>
    <row r="155" spans="1:15" s="38" customFormat="1" ht="10.7" customHeight="1" outlineLevel="1" x14ac:dyDescent="0.25">
      <c r="A155" s="146"/>
      <c r="B155" s="142"/>
      <c r="C155" s="148"/>
      <c r="D155" s="148"/>
      <c r="E155" s="148"/>
      <c r="F155" s="148"/>
      <c r="G155" s="60" t="s">
        <v>127</v>
      </c>
      <c r="H155" s="151"/>
      <c r="I155" s="151"/>
      <c r="J155" s="60"/>
      <c r="K155" s="60"/>
      <c r="L155" s="60"/>
      <c r="M155" s="60"/>
      <c r="N155" s="60">
        <f t="shared" si="50"/>
        <v>0</v>
      </c>
      <c r="O155" s="60">
        <f t="shared" si="51"/>
        <v>0</v>
      </c>
    </row>
    <row r="156" spans="1:15" s="38" customFormat="1" ht="10.7" customHeight="1" outlineLevel="1" x14ac:dyDescent="0.25">
      <c r="A156" s="146"/>
      <c r="B156" s="142"/>
      <c r="C156" s="148"/>
      <c r="D156" s="148"/>
      <c r="E156" s="148"/>
      <c r="F156" s="148"/>
      <c r="G156" s="60" t="s">
        <v>128</v>
      </c>
      <c r="H156" s="151"/>
      <c r="I156" s="151"/>
      <c r="J156" s="60"/>
      <c r="K156" s="60"/>
      <c r="L156" s="60"/>
      <c r="M156" s="60"/>
      <c r="N156" s="60">
        <f t="shared" si="50"/>
        <v>0</v>
      </c>
      <c r="O156" s="60">
        <f t="shared" si="51"/>
        <v>0</v>
      </c>
    </row>
    <row r="157" spans="1:15" s="38" customFormat="1" ht="10.7" customHeight="1" outlineLevel="1" x14ac:dyDescent="0.25">
      <c r="A157" s="146"/>
      <c r="B157" s="142"/>
      <c r="C157" s="148"/>
      <c r="D157" s="148"/>
      <c r="E157" s="148"/>
      <c r="F157" s="148"/>
      <c r="G157" s="60" t="s">
        <v>129</v>
      </c>
      <c r="H157" s="151"/>
      <c r="I157" s="151"/>
      <c r="J157" s="60"/>
      <c r="K157" s="60"/>
      <c r="L157" s="60"/>
      <c r="M157" s="60"/>
      <c r="N157" s="60">
        <f t="shared" si="50"/>
        <v>0</v>
      </c>
      <c r="O157" s="60">
        <f t="shared" si="51"/>
        <v>0</v>
      </c>
    </row>
    <row r="158" spans="1:15" s="38" customFormat="1" ht="10.7" customHeight="1" outlineLevel="1" x14ac:dyDescent="0.25">
      <c r="A158" s="146"/>
      <c r="B158" s="142"/>
      <c r="C158" s="148"/>
      <c r="D158" s="148"/>
      <c r="E158" s="148"/>
      <c r="F158" s="148"/>
      <c r="G158" s="60" t="s">
        <v>130</v>
      </c>
      <c r="H158" s="151"/>
      <c r="I158" s="151"/>
      <c r="J158" s="60"/>
      <c r="K158" s="60"/>
      <c r="L158" s="60"/>
      <c r="M158" s="60"/>
      <c r="N158" s="60">
        <f t="shared" si="50"/>
        <v>0</v>
      </c>
      <c r="O158" s="60">
        <f t="shared" si="51"/>
        <v>0</v>
      </c>
    </row>
    <row r="159" spans="1:15" s="38" customFormat="1" ht="12" customHeight="1" outlineLevel="1" thickBot="1" x14ac:dyDescent="0.3">
      <c r="A159" s="147"/>
      <c r="B159" s="143"/>
      <c r="C159" s="149"/>
      <c r="D159" s="149"/>
      <c r="E159" s="149"/>
      <c r="F159" s="149"/>
      <c r="G159" s="60" t="s">
        <v>131</v>
      </c>
      <c r="H159" s="152"/>
      <c r="I159" s="152"/>
      <c r="J159" s="60"/>
      <c r="K159" s="60"/>
      <c r="L159" s="60"/>
      <c r="M159" s="60"/>
      <c r="N159" s="60">
        <f t="shared" si="50"/>
        <v>0</v>
      </c>
      <c r="O159" s="60">
        <f t="shared" si="51"/>
        <v>0</v>
      </c>
    </row>
    <row r="160" spans="1:15" s="38" customFormat="1" ht="14.45" customHeight="1" outlineLevel="1" x14ac:dyDescent="0.25">
      <c r="A160" s="140" t="s">
        <v>158</v>
      </c>
      <c r="B160" s="141" t="s">
        <v>534</v>
      </c>
      <c r="C160" s="130">
        <f>SUM(N160:N166)</f>
        <v>0</v>
      </c>
      <c r="D160" s="130">
        <f>SUM(O160:O166)</f>
        <v>0</v>
      </c>
      <c r="E160" s="130">
        <f t="shared" si="35"/>
        <v>0</v>
      </c>
      <c r="F160" s="130"/>
      <c r="G160" s="60" t="s">
        <v>125</v>
      </c>
      <c r="H160" s="150"/>
      <c r="I160" s="150"/>
      <c r="J160" s="60"/>
      <c r="K160" s="60"/>
      <c r="L160" s="60"/>
      <c r="M160" s="60"/>
      <c r="N160" s="60">
        <f>M160*J160*K160*L160</f>
        <v>0</v>
      </c>
      <c r="O160" s="60">
        <f>J160*K160*L160</f>
        <v>0</v>
      </c>
    </row>
    <row r="161" spans="1:15" s="38" customFormat="1" ht="11.45" customHeight="1" outlineLevel="1" x14ac:dyDescent="0.25">
      <c r="A161" s="146"/>
      <c r="B161" s="142"/>
      <c r="C161" s="148"/>
      <c r="D161" s="148"/>
      <c r="E161" s="148"/>
      <c r="F161" s="148"/>
      <c r="G161" s="60" t="s">
        <v>126</v>
      </c>
      <c r="H161" s="151"/>
      <c r="I161" s="151"/>
      <c r="J161" s="60"/>
      <c r="K161" s="60"/>
      <c r="L161" s="60"/>
      <c r="M161" s="60"/>
      <c r="N161" s="60">
        <f t="shared" ref="N161:N166" si="52">M161*J161*K161*L161</f>
        <v>0</v>
      </c>
      <c r="O161" s="60">
        <f t="shared" ref="O161:O166" si="53">J161*K161*L161</f>
        <v>0</v>
      </c>
    </row>
    <row r="162" spans="1:15" s="38" customFormat="1" ht="10.7" customHeight="1" outlineLevel="1" x14ac:dyDescent="0.25">
      <c r="A162" s="146"/>
      <c r="B162" s="142"/>
      <c r="C162" s="148"/>
      <c r="D162" s="148"/>
      <c r="E162" s="148"/>
      <c r="F162" s="148"/>
      <c r="G162" s="60" t="s">
        <v>127</v>
      </c>
      <c r="H162" s="151"/>
      <c r="I162" s="151"/>
      <c r="J162" s="60"/>
      <c r="K162" s="60"/>
      <c r="L162" s="60"/>
      <c r="M162" s="60"/>
      <c r="N162" s="60">
        <f t="shared" si="52"/>
        <v>0</v>
      </c>
      <c r="O162" s="60">
        <f t="shared" si="53"/>
        <v>0</v>
      </c>
    </row>
    <row r="163" spans="1:15" s="38" customFormat="1" ht="10.7" customHeight="1" outlineLevel="1" x14ac:dyDescent="0.25">
      <c r="A163" s="146"/>
      <c r="B163" s="142"/>
      <c r="C163" s="148"/>
      <c r="D163" s="148"/>
      <c r="E163" s="148"/>
      <c r="F163" s="148"/>
      <c r="G163" s="60" t="s">
        <v>128</v>
      </c>
      <c r="H163" s="151"/>
      <c r="I163" s="151"/>
      <c r="J163" s="60"/>
      <c r="K163" s="60"/>
      <c r="L163" s="60"/>
      <c r="M163" s="60"/>
      <c r="N163" s="60">
        <f t="shared" si="52"/>
        <v>0</v>
      </c>
      <c r="O163" s="60">
        <f t="shared" si="53"/>
        <v>0</v>
      </c>
    </row>
    <row r="164" spans="1:15" s="38" customFormat="1" ht="10.7" customHeight="1" outlineLevel="1" x14ac:dyDescent="0.25">
      <c r="A164" s="146"/>
      <c r="B164" s="142"/>
      <c r="C164" s="148"/>
      <c r="D164" s="148"/>
      <c r="E164" s="148"/>
      <c r="F164" s="148"/>
      <c r="G164" s="60" t="s">
        <v>129</v>
      </c>
      <c r="H164" s="151"/>
      <c r="I164" s="151"/>
      <c r="J164" s="60"/>
      <c r="K164" s="60"/>
      <c r="L164" s="60"/>
      <c r="M164" s="60"/>
      <c r="N164" s="60">
        <f t="shared" si="52"/>
        <v>0</v>
      </c>
      <c r="O164" s="60">
        <f t="shared" si="53"/>
        <v>0</v>
      </c>
    </row>
    <row r="165" spans="1:15" s="38" customFormat="1" ht="10.7" customHeight="1" outlineLevel="1" x14ac:dyDescent="0.25">
      <c r="A165" s="146"/>
      <c r="B165" s="142"/>
      <c r="C165" s="148"/>
      <c r="D165" s="148"/>
      <c r="E165" s="148"/>
      <c r="F165" s="148"/>
      <c r="G165" s="60" t="s">
        <v>130</v>
      </c>
      <c r="H165" s="151"/>
      <c r="I165" s="151"/>
      <c r="J165" s="60"/>
      <c r="K165" s="60"/>
      <c r="L165" s="60"/>
      <c r="M165" s="60"/>
      <c r="N165" s="60">
        <f t="shared" si="52"/>
        <v>0</v>
      </c>
      <c r="O165" s="60">
        <f t="shared" si="53"/>
        <v>0</v>
      </c>
    </row>
    <row r="166" spans="1:15" s="38" customFormat="1" ht="12" customHeight="1" outlineLevel="1" thickBot="1" x14ac:dyDescent="0.3">
      <c r="A166" s="147"/>
      <c r="B166" s="143"/>
      <c r="C166" s="149"/>
      <c r="D166" s="149"/>
      <c r="E166" s="149"/>
      <c r="F166" s="149"/>
      <c r="G166" s="60" t="s">
        <v>131</v>
      </c>
      <c r="H166" s="152"/>
      <c r="I166" s="152"/>
      <c r="J166" s="60"/>
      <c r="K166" s="60"/>
      <c r="L166" s="60"/>
      <c r="M166" s="60"/>
      <c r="N166" s="60">
        <f t="shared" si="52"/>
        <v>0</v>
      </c>
      <c r="O166" s="60">
        <f t="shared" si="53"/>
        <v>0</v>
      </c>
    </row>
    <row r="167" spans="1:15" s="38" customFormat="1" ht="14.45" customHeight="1" outlineLevel="1" x14ac:dyDescent="0.25">
      <c r="A167" s="140" t="s">
        <v>160</v>
      </c>
      <c r="B167" s="141" t="s">
        <v>535</v>
      </c>
      <c r="C167" s="130">
        <f>SUM(N167:N173)</f>
        <v>0</v>
      </c>
      <c r="D167" s="130">
        <f>SUM(O167:O173)</f>
        <v>0</v>
      </c>
      <c r="E167" s="130">
        <f t="shared" si="35"/>
        <v>0</v>
      </c>
      <c r="F167" s="130"/>
      <c r="G167" s="60" t="s">
        <v>125</v>
      </c>
      <c r="H167" s="150"/>
      <c r="I167" s="150"/>
      <c r="J167" s="60"/>
      <c r="K167" s="60"/>
      <c r="L167" s="60"/>
      <c r="M167" s="60"/>
      <c r="N167" s="60">
        <f>M167*J167*K167*L167</f>
        <v>0</v>
      </c>
      <c r="O167" s="60">
        <f>J167*K167*L167</f>
        <v>0</v>
      </c>
    </row>
    <row r="168" spans="1:15" s="38" customFormat="1" ht="11.45" customHeight="1" outlineLevel="1" x14ac:dyDescent="0.25">
      <c r="A168" s="146"/>
      <c r="B168" s="142"/>
      <c r="C168" s="148"/>
      <c r="D168" s="148"/>
      <c r="E168" s="148"/>
      <c r="F168" s="148"/>
      <c r="G168" s="60" t="s">
        <v>126</v>
      </c>
      <c r="H168" s="151"/>
      <c r="I168" s="151"/>
      <c r="J168" s="60"/>
      <c r="K168" s="60"/>
      <c r="L168" s="60"/>
      <c r="M168" s="60"/>
      <c r="N168" s="60">
        <f t="shared" ref="N168:N173" si="54">M168*J168*K168*L168</f>
        <v>0</v>
      </c>
      <c r="O168" s="60">
        <f t="shared" ref="O168:O173" si="55">J168*K168*L168</f>
        <v>0</v>
      </c>
    </row>
    <row r="169" spans="1:15" s="38" customFormat="1" ht="10.7" customHeight="1" outlineLevel="1" x14ac:dyDescent="0.25">
      <c r="A169" s="146"/>
      <c r="B169" s="142"/>
      <c r="C169" s="148"/>
      <c r="D169" s="148"/>
      <c r="E169" s="148"/>
      <c r="F169" s="148"/>
      <c r="G169" s="60" t="s">
        <v>127</v>
      </c>
      <c r="H169" s="151"/>
      <c r="I169" s="151"/>
      <c r="J169" s="60"/>
      <c r="K169" s="60"/>
      <c r="L169" s="60"/>
      <c r="M169" s="60"/>
      <c r="N169" s="60">
        <f t="shared" si="54"/>
        <v>0</v>
      </c>
      <c r="O169" s="60">
        <f t="shared" si="55"/>
        <v>0</v>
      </c>
    </row>
    <row r="170" spans="1:15" s="38" customFormat="1" ht="10.7" customHeight="1" outlineLevel="1" x14ac:dyDescent="0.25">
      <c r="A170" s="146"/>
      <c r="B170" s="142"/>
      <c r="C170" s="148"/>
      <c r="D170" s="148"/>
      <c r="E170" s="148"/>
      <c r="F170" s="148"/>
      <c r="G170" s="60" t="s">
        <v>128</v>
      </c>
      <c r="H170" s="151"/>
      <c r="I170" s="151"/>
      <c r="J170" s="60"/>
      <c r="K170" s="60"/>
      <c r="L170" s="60"/>
      <c r="M170" s="60"/>
      <c r="N170" s="60">
        <f t="shared" si="54"/>
        <v>0</v>
      </c>
      <c r="O170" s="60">
        <f t="shared" si="55"/>
        <v>0</v>
      </c>
    </row>
    <row r="171" spans="1:15" s="38" customFormat="1" ht="10.7" customHeight="1" outlineLevel="1" x14ac:dyDescent="0.25">
      <c r="A171" s="146"/>
      <c r="B171" s="142"/>
      <c r="C171" s="148"/>
      <c r="D171" s="148"/>
      <c r="E171" s="148"/>
      <c r="F171" s="148"/>
      <c r="G171" s="60" t="s">
        <v>129</v>
      </c>
      <c r="H171" s="151"/>
      <c r="I171" s="151"/>
      <c r="J171" s="60"/>
      <c r="K171" s="60"/>
      <c r="L171" s="60"/>
      <c r="M171" s="60"/>
      <c r="N171" s="60">
        <f t="shared" si="54"/>
        <v>0</v>
      </c>
      <c r="O171" s="60">
        <f t="shared" si="55"/>
        <v>0</v>
      </c>
    </row>
    <row r="172" spans="1:15" s="38" customFormat="1" ht="10.7" customHeight="1" outlineLevel="1" x14ac:dyDescent="0.25">
      <c r="A172" s="146"/>
      <c r="B172" s="142"/>
      <c r="C172" s="148"/>
      <c r="D172" s="148"/>
      <c r="E172" s="148"/>
      <c r="F172" s="148"/>
      <c r="G172" s="60" t="s">
        <v>130</v>
      </c>
      <c r="H172" s="151"/>
      <c r="I172" s="151"/>
      <c r="J172" s="60"/>
      <c r="K172" s="60"/>
      <c r="L172" s="60"/>
      <c r="M172" s="60"/>
      <c r="N172" s="60">
        <f t="shared" si="54"/>
        <v>0</v>
      </c>
      <c r="O172" s="60">
        <f t="shared" si="55"/>
        <v>0</v>
      </c>
    </row>
    <row r="173" spans="1:15" s="38" customFormat="1" ht="12" customHeight="1" outlineLevel="1" thickBot="1" x14ac:dyDescent="0.3">
      <c r="A173" s="147"/>
      <c r="B173" s="143"/>
      <c r="C173" s="149"/>
      <c r="D173" s="149"/>
      <c r="E173" s="149"/>
      <c r="F173" s="149"/>
      <c r="G173" s="60" t="s">
        <v>131</v>
      </c>
      <c r="H173" s="152"/>
      <c r="I173" s="152"/>
      <c r="J173" s="60"/>
      <c r="K173" s="60"/>
      <c r="L173" s="60"/>
      <c r="M173" s="60"/>
      <c r="N173" s="60">
        <f t="shared" si="54"/>
        <v>0</v>
      </c>
      <c r="O173" s="60">
        <f t="shared" si="55"/>
        <v>0</v>
      </c>
    </row>
    <row r="174" spans="1:15" s="38" customFormat="1" ht="14.45" customHeight="1" outlineLevel="1" x14ac:dyDescent="0.25">
      <c r="A174" s="140" t="s">
        <v>162</v>
      </c>
      <c r="B174" s="141" t="s">
        <v>536</v>
      </c>
      <c r="C174" s="130">
        <f>SUM(N174:N180)</f>
        <v>0</v>
      </c>
      <c r="D174" s="130">
        <f>SUM(O174:O180)</f>
        <v>0</v>
      </c>
      <c r="E174" s="130">
        <f t="shared" ref="E174" si="56">D174/8</f>
        <v>0</v>
      </c>
      <c r="F174" s="130"/>
      <c r="G174" s="60" t="s">
        <v>125</v>
      </c>
      <c r="H174" s="150"/>
      <c r="I174" s="150"/>
      <c r="J174" s="60"/>
      <c r="K174" s="60"/>
      <c r="L174" s="60"/>
      <c r="M174" s="60"/>
      <c r="N174" s="60">
        <f>M174*J174*K174*L174</f>
        <v>0</v>
      </c>
      <c r="O174" s="60">
        <f>J174*K174*L174</f>
        <v>0</v>
      </c>
    </row>
    <row r="175" spans="1:15" s="38" customFormat="1" ht="11.45" customHeight="1" outlineLevel="1" x14ac:dyDescent="0.25">
      <c r="A175" s="146"/>
      <c r="B175" s="142"/>
      <c r="C175" s="148"/>
      <c r="D175" s="148"/>
      <c r="E175" s="148"/>
      <c r="F175" s="148"/>
      <c r="G175" s="60" t="s">
        <v>126</v>
      </c>
      <c r="H175" s="151"/>
      <c r="I175" s="151"/>
      <c r="J175" s="60"/>
      <c r="K175" s="60"/>
      <c r="L175" s="60"/>
      <c r="M175" s="60"/>
      <c r="N175" s="60">
        <f t="shared" ref="N175:N180" si="57">M175*J175*K175*L175</f>
        <v>0</v>
      </c>
      <c r="O175" s="60">
        <f t="shared" ref="O175:O180" si="58">J175*K175*L175</f>
        <v>0</v>
      </c>
    </row>
    <row r="176" spans="1:15" s="38" customFormat="1" ht="10.7" customHeight="1" outlineLevel="1" x14ac:dyDescent="0.25">
      <c r="A176" s="146"/>
      <c r="B176" s="142"/>
      <c r="C176" s="148"/>
      <c r="D176" s="148"/>
      <c r="E176" s="148"/>
      <c r="F176" s="148"/>
      <c r="G176" s="60" t="s">
        <v>127</v>
      </c>
      <c r="H176" s="151"/>
      <c r="I176" s="151"/>
      <c r="J176" s="60"/>
      <c r="K176" s="60"/>
      <c r="L176" s="60"/>
      <c r="M176" s="60"/>
      <c r="N176" s="60">
        <f t="shared" si="57"/>
        <v>0</v>
      </c>
      <c r="O176" s="60">
        <f t="shared" si="58"/>
        <v>0</v>
      </c>
    </row>
    <row r="177" spans="1:15" s="38" customFormat="1" ht="10.7" customHeight="1" outlineLevel="1" x14ac:dyDescent="0.25">
      <c r="A177" s="146"/>
      <c r="B177" s="142"/>
      <c r="C177" s="148"/>
      <c r="D177" s="148"/>
      <c r="E177" s="148"/>
      <c r="F177" s="148"/>
      <c r="G177" s="60" t="s">
        <v>128</v>
      </c>
      <c r="H177" s="151"/>
      <c r="I177" s="151"/>
      <c r="J177" s="60"/>
      <c r="K177" s="60"/>
      <c r="L177" s="60"/>
      <c r="M177" s="60"/>
      <c r="N177" s="60">
        <f t="shared" si="57"/>
        <v>0</v>
      </c>
      <c r="O177" s="60">
        <f t="shared" si="58"/>
        <v>0</v>
      </c>
    </row>
    <row r="178" spans="1:15" s="38" customFormat="1" ht="10.7" customHeight="1" outlineLevel="1" x14ac:dyDescent="0.25">
      <c r="A178" s="146"/>
      <c r="B178" s="142"/>
      <c r="C178" s="148"/>
      <c r="D178" s="148"/>
      <c r="E178" s="148"/>
      <c r="F178" s="148"/>
      <c r="G178" s="60" t="s">
        <v>129</v>
      </c>
      <c r="H178" s="151"/>
      <c r="I178" s="151"/>
      <c r="J178" s="60"/>
      <c r="K178" s="60"/>
      <c r="L178" s="60"/>
      <c r="M178" s="60"/>
      <c r="N178" s="60">
        <f t="shared" si="57"/>
        <v>0</v>
      </c>
      <c r="O178" s="60">
        <f t="shared" si="58"/>
        <v>0</v>
      </c>
    </row>
    <row r="179" spans="1:15" s="38" customFormat="1" ht="10.7" customHeight="1" outlineLevel="1" x14ac:dyDescent="0.25">
      <c r="A179" s="146"/>
      <c r="B179" s="142"/>
      <c r="C179" s="148"/>
      <c r="D179" s="148"/>
      <c r="E179" s="148"/>
      <c r="F179" s="148"/>
      <c r="G179" s="60" t="s">
        <v>130</v>
      </c>
      <c r="H179" s="151"/>
      <c r="I179" s="151"/>
      <c r="J179" s="60"/>
      <c r="K179" s="60"/>
      <c r="L179" s="60"/>
      <c r="M179" s="60"/>
      <c r="N179" s="60">
        <f t="shared" si="57"/>
        <v>0</v>
      </c>
      <c r="O179" s="60">
        <f t="shared" si="58"/>
        <v>0</v>
      </c>
    </row>
    <row r="180" spans="1:15" s="38" customFormat="1" ht="12" customHeight="1" outlineLevel="1" thickBot="1" x14ac:dyDescent="0.3">
      <c r="A180" s="147"/>
      <c r="B180" s="143"/>
      <c r="C180" s="149"/>
      <c r="D180" s="149"/>
      <c r="E180" s="149"/>
      <c r="F180" s="149"/>
      <c r="G180" s="60" t="s">
        <v>131</v>
      </c>
      <c r="H180" s="152"/>
      <c r="I180" s="152"/>
      <c r="J180" s="60"/>
      <c r="K180" s="60"/>
      <c r="L180" s="60"/>
      <c r="M180" s="60"/>
      <c r="N180" s="60">
        <f t="shared" si="57"/>
        <v>0</v>
      </c>
      <c r="O180" s="60">
        <f t="shared" si="58"/>
        <v>0</v>
      </c>
    </row>
    <row r="181" spans="1:15" s="39" customFormat="1" ht="15.75" x14ac:dyDescent="0.25">
      <c r="A181" s="40" t="s">
        <v>26</v>
      </c>
      <c r="B181" s="41" t="s">
        <v>145</v>
      </c>
      <c r="C181" s="42">
        <f>SUM(C182:C244)</f>
        <v>0</v>
      </c>
      <c r="D181" s="42">
        <f>SUM(D182:D244)</f>
        <v>0</v>
      </c>
      <c r="E181" s="42">
        <f>SUM(E182:E244)</f>
        <v>0</v>
      </c>
      <c r="F181" s="57"/>
      <c r="G181" s="57"/>
      <c r="H181" s="57"/>
      <c r="I181" s="57"/>
      <c r="J181" s="57"/>
      <c r="K181" s="57"/>
      <c r="L181" s="57"/>
      <c r="M181" s="57"/>
      <c r="N181" s="57"/>
      <c r="O181" s="43"/>
    </row>
    <row r="182" spans="1:15" s="38" customFormat="1" ht="14.45" customHeight="1" outlineLevel="1" x14ac:dyDescent="0.25">
      <c r="A182" s="140" t="s">
        <v>165</v>
      </c>
      <c r="B182" s="141" t="s">
        <v>539</v>
      </c>
      <c r="C182" s="130">
        <f>SUM(N182:N188)</f>
        <v>0</v>
      </c>
      <c r="D182" s="130">
        <f>SUM(O182:O188)</f>
        <v>0</v>
      </c>
      <c r="E182" s="130">
        <f t="shared" ref="E182:E238" si="59">D182/8</f>
        <v>0</v>
      </c>
      <c r="F182" s="130"/>
      <c r="G182" s="60" t="s">
        <v>125</v>
      </c>
      <c r="H182" s="123"/>
      <c r="I182" s="123"/>
      <c r="J182" s="60"/>
      <c r="K182" s="60"/>
      <c r="L182" s="60"/>
      <c r="M182" s="60"/>
      <c r="N182" s="60">
        <f>M182*J182*K182*L182</f>
        <v>0</v>
      </c>
      <c r="O182" s="60">
        <f>J182*K182*L182</f>
        <v>0</v>
      </c>
    </row>
    <row r="183" spans="1:15" s="38" customFormat="1" ht="11.45" customHeight="1" outlineLevel="1" x14ac:dyDescent="0.25">
      <c r="A183" s="146"/>
      <c r="B183" s="142"/>
      <c r="C183" s="115"/>
      <c r="D183" s="115"/>
      <c r="E183" s="115"/>
      <c r="F183" s="115"/>
      <c r="G183" s="60" t="s">
        <v>126</v>
      </c>
      <c r="H183" s="124"/>
      <c r="I183" s="124"/>
      <c r="J183" s="60"/>
      <c r="K183" s="60"/>
      <c r="L183" s="60"/>
      <c r="M183" s="60"/>
      <c r="N183" s="60">
        <f t="shared" ref="N183:N188" si="60">M183*J183*K183*L183</f>
        <v>0</v>
      </c>
      <c r="O183" s="60">
        <f t="shared" ref="O183:O188" si="61">J183*K183*L183</f>
        <v>0</v>
      </c>
    </row>
    <row r="184" spans="1:15" s="38" customFormat="1" ht="10.7" customHeight="1" outlineLevel="1" x14ac:dyDescent="0.25">
      <c r="A184" s="146"/>
      <c r="B184" s="142"/>
      <c r="C184" s="115"/>
      <c r="D184" s="115"/>
      <c r="E184" s="115"/>
      <c r="F184" s="115"/>
      <c r="G184" s="60" t="s">
        <v>127</v>
      </c>
      <c r="H184" s="124"/>
      <c r="I184" s="124"/>
      <c r="J184" s="60"/>
      <c r="K184" s="60"/>
      <c r="L184" s="60"/>
      <c r="M184" s="60"/>
      <c r="N184" s="60">
        <f t="shared" si="60"/>
        <v>0</v>
      </c>
      <c r="O184" s="60">
        <f t="shared" si="61"/>
        <v>0</v>
      </c>
    </row>
    <row r="185" spans="1:15" s="38" customFormat="1" ht="10.7" customHeight="1" outlineLevel="1" x14ac:dyDescent="0.25">
      <c r="A185" s="146"/>
      <c r="B185" s="142"/>
      <c r="C185" s="115"/>
      <c r="D185" s="115"/>
      <c r="E185" s="115"/>
      <c r="F185" s="115"/>
      <c r="G185" s="60" t="s">
        <v>128</v>
      </c>
      <c r="H185" s="124"/>
      <c r="I185" s="124"/>
      <c r="J185" s="60"/>
      <c r="K185" s="60"/>
      <c r="L185" s="60"/>
      <c r="M185" s="60"/>
      <c r="N185" s="60">
        <f t="shared" si="60"/>
        <v>0</v>
      </c>
      <c r="O185" s="60">
        <f t="shared" si="61"/>
        <v>0</v>
      </c>
    </row>
    <row r="186" spans="1:15" s="38" customFormat="1" ht="10.7" customHeight="1" outlineLevel="1" x14ac:dyDescent="0.25">
      <c r="A186" s="146"/>
      <c r="B186" s="142"/>
      <c r="C186" s="115"/>
      <c r="D186" s="115"/>
      <c r="E186" s="115"/>
      <c r="F186" s="115"/>
      <c r="G186" s="60" t="s">
        <v>129</v>
      </c>
      <c r="H186" s="124"/>
      <c r="I186" s="124"/>
      <c r="J186" s="60"/>
      <c r="K186" s="60"/>
      <c r="L186" s="60"/>
      <c r="M186" s="60"/>
      <c r="N186" s="60">
        <f t="shared" si="60"/>
        <v>0</v>
      </c>
      <c r="O186" s="60">
        <f t="shared" si="61"/>
        <v>0</v>
      </c>
    </row>
    <row r="187" spans="1:15" s="38" customFormat="1" ht="10.7" customHeight="1" outlineLevel="1" x14ac:dyDescent="0.25">
      <c r="A187" s="146"/>
      <c r="B187" s="142"/>
      <c r="C187" s="115"/>
      <c r="D187" s="115"/>
      <c r="E187" s="115"/>
      <c r="F187" s="115"/>
      <c r="G187" s="60" t="s">
        <v>130</v>
      </c>
      <c r="H187" s="124"/>
      <c r="I187" s="124"/>
      <c r="J187" s="60"/>
      <c r="K187" s="60"/>
      <c r="L187" s="60"/>
      <c r="M187" s="60"/>
      <c r="N187" s="60">
        <f t="shared" si="60"/>
        <v>0</v>
      </c>
      <c r="O187" s="60">
        <f t="shared" si="61"/>
        <v>0</v>
      </c>
    </row>
    <row r="188" spans="1:15" s="38" customFormat="1" ht="12" customHeight="1" outlineLevel="1" thickBot="1" x14ac:dyDescent="0.3">
      <c r="A188" s="147"/>
      <c r="B188" s="143"/>
      <c r="C188" s="131"/>
      <c r="D188" s="131"/>
      <c r="E188" s="131"/>
      <c r="F188" s="131"/>
      <c r="G188" s="60" t="s">
        <v>131</v>
      </c>
      <c r="H188" s="134"/>
      <c r="I188" s="134"/>
      <c r="J188" s="60"/>
      <c r="K188" s="60"/>
      <c r="L188" s="60"/>
      <c r="M188" s="60"/>
      <c r="N188" s="60">
        <f t="shared" si="60"/>
        <v>0</v>
      </c>
      <c r="O188" s="60">
        <f t="shared" si="61"/>
        <v>0</v>
      </c>
    </row>
    <row r="189" spans="1:15" s="38" customFormat="1" ht="14.45" customHeight="1" outlineLevel="1" x14ac:dyDescent="0.25">
      <c r="A189" s="140" t="s">
        <v>167</v>
      </c>
      <c r="B189" s="141" t="s">
        <v>540</v>
      </c>
      <c r="C189" s="130">
        <f>SUM(N189:N195)</f>
        <v>0</v>
      </c>
      <c r="D189" s="130">
        <f>SUM(O189:O195)</f>
        <v>0</v>
      </c>
      <c r="E189" s="130">
        <f t="shared" si="59"/>
        <v>0</v>
      </c>
      <c r="F189" s="130"/>
      <c r="G189" s="60" t="s">
        <v>125</v>
      </c>
      <c r="H189" s="123"/>
      <c r="I189" s="123"/>
      <c r="J189" s="60"/>
      <c r="K189" s="60"/>
      <c r="L189" s="60"/>
      <c r="M189" s="60"/>
      <c r="N189" s="60">
        <f>M189*J189*K189*L189</f>
        <v>0</v>
      </c>
      <c r="O189" s="60">
        <f>J189*K189*L189</f>
        <v>0</v>
      </c>
    </row>
    <row r="190" spans="1:15" s="38" customFormat="1" ht="11.45" customHeight="1" outlineLevel="1" x14ac:dyDescent="0.25">
      <c r="A190" s="146"/>
      <c r="B190" s="142"/>
      <c r="C190" s="115"/>
      <c r="D190" s="115"/>
      <c r="E190" s="115"/>
      <c r="F190" s="115"/>
      <c r="G190" s="60" t="s">
        <v>126</v>
      </c>
      <c r="H190" s="124"/>
      <c r="I190" s="124"/>
      <c r="J190" s="60"/>
      <c r="K190" s="60"/>
      <c r="L190" s="60"/>
      <c r="M190" s="60"/>
      <c r="N190" s="60">
        <f t="shared" ref="N190:N195" si="62">M190*J190*K190*L190</f>
        <v>0</v>
      </c>
      <c r="O190" s="60">
        <f t="shared" ref="O190:O195" si="63">J190*K190*L190</f>
        <v>0</v>
      </c>
    </row>
    <row r="191" spans="1:15" s="38" customFormat="1" ht="10.7" customHeight="1" outlineLevel="1" x14ac:dyDescent="0.25">
      <c r="A191" s="146"/>
      <c r="B191" s="142"/>
      <c r="C191" s="115"/>
      <c r="D191" s="115"/>
      <c r="E191" s="115"/>
      <c r="F191" s="115"/>
      <c r="G191" s="60" t="s">
        <v>127</v>
      </c>
      <c r="H191" s="124"/>
      <c r="I191" s="124"/>
      <c r="J191" s="60"/>
      <c r="K191" s="60"/>
      <c r="L191" s="60"/>
      <c r="M191" s="60"/>
      <c r="N191" s="60">
        <f t="shared" si="62"/>
        <v>0</v>
      </c>
      <c r="O191" s="60">
        <f t="shared" si="63"/>
        <v>0</v>
      </c>
    </row>
    <row r="192" spans="1:15" s="38" customFormat="1" ht="10.7" customHeight="1" outlineLevel="1" x14ac:dyDescent="0.25">
      <c r="A192" s="146"/>
      <c r="B192" s="142"/>
      <c r="C192" s="115"/>
      <c r="D192" s="115"/>
      <c r="E192" s="115"/>
      <c r="F192" s="115"/>
      <c r="G192" s="60" t="s">
        <v>128</v>
      </c>
      <c r="H192" s="124"/>
      <c r="I192" s="124"/>
      <c r="J192" s="60"/>
      <c r="K192" s="60"/>
      <c r="L192" s="60"/>
      <c r="M192" s="60"/>
      <c r="N192" s="60">
        <f t="shared" si="62"/>
        <v>0</v>
      </c>
      <c r="O192" s="60">
        <f t="shared" si="63"/>
        <v>0</v>
      </c>
    </row>
    <row r="193" spans="1:15" s="38" customFormat="1" ht="10.7" customHeight="1" outlineLevel="1" x14ac:dyDescent="0.25">
      <c r="A193" s="146"/>
      <c r="B193" s="142"/>
      <c r="C193" s="115"/>
      <c r="D193" s="115"/>
      <c r="E193" s="115"/>
      <c r="F193" s="115"/>
      <c r="G193" s="60" t="s">
        <v>129</v>
      </c>
      <c r="H193" s="124"/>
      <c r="I193" s="124"/>
      <c r="J193" s="60"/>
      <c r="K193" s="60"/>
      <c r="L193" s="60"/>
      <c r="M193" s="60"/>
      <c r="N193" s="60">
        <f t="shared" si="62"/>
        <v>0</v>
      </c>
      <c r="O193" s="60">
        <f t="shared" si="63"/>
        <v>0</v>
      </c>
    </row>
    <row r="194" spans="1:15" s="38" customFormat="1" ht="10.7" customHeight="1" outlineLevel="1" x14ac:dyDescent="0.25">
      <c r="A194" s="146"/>
      <c r="B194" s="142"/>
      <c r="C194" s="115"/>
      <c r="D194" s="115"/>
      <c r="E194" s="115"/>
      <c r="F194" s="115"/>
      <c r="G194" s="60" t="s">
        <v>130</v>
      </c>
      <c r="H194" s="124"/>
      <c r="I194" s="124"/>
      <c r="J194" s="60"/>
      <c r="K194" s="60"/>
      <c r="L194" s="60"/>
      <c r="M194" s="60"/>
      <c r="N194" s="60">
        <f t="shared" si="62"/>
        <v>0</v>
      </c>
      <c r="O194" s="60">
        <f t="shared" si="63"/>
        <v>0</v>
      </c>
    </row>
    <row r="195" spans="1:15" s="38" customFormat="1" ht="12" customHeight="1" outlineLevel="1" thickBot="1" x14ac:dyDescent="0.3">
      <c r="A195" s="147"/>
      <c r="B195" s="143"/>
      <c r="C195" s="131"/>
      <c r="D195" s="131"/>
      <c r="E195" s="131"/>
      <c r="F195" s="131"/>
      <c r="G195" s="60" t="s">
        <v>131</v>
      </c>
      <c r="H195" s="134"/>
      <c r="I195" s="134"/>
      <c r="J195" s="60"/>
      <c r="K195" s="60"/>
      <c r="L195" s="60"/>
      <c r="M195" s="60"/>
      <c r="N195" s="60">
        <f t="shared" si="62"/>
        <v>0</v>
      </c>
      <c r="O195" s="60">
        <f t="shared" si="63"/>
        <v>0</v>
      </c>
    </row>
    <row r="196" spans="1:15" s="38" customFormat="1" ht="14.45" customHeight="1" outlineLevel="1" x14ac:dyDescent="0.25">
      <c r="A196" s="140" t="s">
        <v>169</v>
      </c>
      <c r="B196" s="141" t="s">
        <v>541</v>
      </c>
      <c r="C196" s="130">
        <f>SUM(N196:N202)</f>
        <v>0</v>
      </c>
      <c r="D196" s="130">
        <f>SUM(O196:O202)</f>
        <v>0</v>
      </c>
      <c r="E196" s="130">
        <f t="shared" si="59"/>
        <v>0</v>
      </c>
      <c r="F196" s="130"/>
      <c r="G196" s="60" t="s">
        <v>125</v>
      </c>
      <c r="H196" s="123"/>
      <c r="I196" s="123"/>
      <c r="J196" s="60"/>
      <c r="K196" s="60"/>
      <c r="L196" s="60"/>
      <c r="M196" s="60"/>
      <c r="N196" s="60">
        <f>M196*J196*K196*L196</f>
        <v>0</v>
      </c>
      <c r="O196" s="60">
        <f>J196*K196*L196</f>
        <v>0</v>
      </c>
    </row>
    <row r="197" spans="1:15" s="38" customFormat="1" ht="11.45" customHeight="1" outlineLevel="1" x14ac:dyDescent="0.25">
      <c r="A197" s="146"/>
      <c r="B197" s="142"/>
      <c r="C197" s="115"/>
      <c r="D197" s="115"/>
      <c r="E197" s="115"/>
      <c r="F197" s="115"/>
      <c r="G197" s="60" t="s">
        <v>126</v>
      </c>
      <c r="H197" s="124"/>
      <c r="I197" s="124"/>
      <c r="J197" s="60"/>
      <c r="K197" s="60"/>
      <c r="L197" s="60"/>
      <c r="M197" s="60"/>
      <c r="N197" s="60">
        <f t="shared" ref="N197:N202" si="64">M197*J197*K197*L197</f>
        <v>0</v>
      </c>
      <c r="O197" s="60">
        <f t="shared" ref="O197:O202" si="65">J197*K197*L197</f>
        <v>0</v>
      </c>
    </row>
    <row r="198" spans="1:15" s="38" customFormat="1" ht="10.7" customHeight="1" outlineLevel="1" x14ac:dyDescent="0.25">
      <c r="A198" s="146"/>
      <c r="B198" s="142"/>
      <c r="C198" s="115"/>
      <c r="D198" s="115"/>
      <c r="E198" s="115"/>
      <c r="F198" s="115"/>
      <c r="G198" s="60" t="s">
        <v>127</v>
      </c>
      <c r="H198" s="124"/>
      <c r="I198" s="124"/>
      <c r="J198" s="60"/>
      <c r="K198" s="60"/>
      <c r="L198" s="60"/>
      <c r="M198" s="60"/>
      <c r="N198" s="60">
        <f t="shared" si="64"/>
        <v>0</v>
      </c>
      <c r="O198" s="60">
        <f t="shared" si="65"/>
        <v>0</v>
      </c>
    </row>
    <row r="199" spans="1:15" s="38" customFormat="1" ht="10.7" customHeight="1" outlineLevel="1" x14ac:dyDescent="0.25">
      <c r="A199" s="146"/>
      <c r="B199" s="142"/>
      <c r="C199" s="115"/>
      <c r="D199" s="115"/>
      <c r="E199" s="115"/>
      <c r="F199" s="115"/>
      <c r="G199" s="60" t="s">
        <v>128</v>
      </c>
      <c r="H199" s="124"/>
      <c r="I199" s="124"/>
      <c r="J199" s="60"/>
      <c r="K199" s="60"/>
      <c r="L199" s="60"/>
      <c r="M199" s="60"/>
      <c r="N199" s="60">
        <f t="shared" si="64"/>
        <v>0</v>
      </c>
      <c r="O199" s="60">
        <f t="shared" si="65"/>
        <v>0</v>
      </c>
    </row>
    <row r="200" spans="1:15" s="38" customFormat="1" ht="10.7" customHeight="1" outlineLevel="1" x14ac:dyDescent="0.25">
      <c r="A200" s="146"/>
      <c r="B200" s="142"/>
      <c r="C200" s="115"/>
      <c r="D200" s="115"/>
      <c r="E200" s="115"/>
      <c r="F200" s="115"/>
      <c r="G200" s="60" t="s">
        <v>129</v>
      </c>
      <c r="H200" s="124"/>
      <c r="I200" s="124"/>
      <c r="J200" s="60"/>
      <c r="K200" s="60"/>
      <c r="L200" s="60"/>
      <c r="M200" s="60"/>
      <c r="N200" s="60">
        <f t="shared" si="64"/>
        <v>0</v>
      </c>
      <c r="O200" s="60">
        <f t="shared" si="65"/>
        <v>0</v>
      </c>
    </row>
    <row r="201" spans="1:15" s="38" customFormat="1" ht="10.7" customHeight="1" outlineLevel="1" x14ac:dyDescent="0.25">
      <c r="A201" s="146"/>
      <c r="B201" s="142"/>
      <c r="C201" s="115"/>
      <c r="D201" s="115"/>
      <c r="E201" s="115"/>
      <c r="F201" s="115"/>
      <c r="G201" s="60" t="s">
        <v>130</v>
      </c>
      <c r="H201" s="124"/>
      <c r="I201" s="124"/>
      <c r="J201" s="60"/>
      <c r="K201" s="60"/>
      <c r="L201" s="60"/>
      <c r="M201" s="60"/>
      <c r="N201" s="60">
        <f t="shared" si="64"/>
        <v>0</v>
      </c>
      <c r="O201" s="60">
        <f t="shared" si="65"/>
        <v>0</v>
      </c>
    </row>
    <row r="202" spans="1:15" s="38" customFormat="1" ht="12" customHeight="1" outlineLevel="1" thickBot="1" x14ac:dyDescent="0.3">
      <c r="A202" s="147"/>
      <c r="B202" s="143"/>
      <c r="C202" s="131"/>
      <c r="D202" s="131"/>
      <c r="E202" s="131"/>
      <c r="F202" s="131"/>
      <c r="G202" s="60" t="s">
        <v>131</v>
      </c>
      <c r="H202" s="134"/>
      <c r="I202" s="134"/>
      <c r="J202" s="60"/>
      <c r="K202" s="60"/>
      <c r="L202" s="60"/>
      <c r="M202" s="60"/>
      <c r="N202" s="60">
        <f t="shared" si="64"/>
        <v>0</v>
      </c>
      <c r="O202" s="60">
        <f t="shared" si="65"/>
        <v>0</v>
      </c>
    </row>
    <row r="203" spans="1:15" s="38" customFormat="1" ht="14.45" customHeight="1" outlineLevel="1" x14ac:dyDescent="0.25">
      <c r="A203" s="140" t="s">
        <v>436</v>
      </c>
      <c r="B203" s="141" t="s">
        <v>542</v>
      </c>
      <c r="C203" s="130">
        <f>SUM(N203:N209)</f>
        <v>0</v>
      </c>
      <c r="D203" s="130">
        <f>SUM(O203:O209)</f>
        <v>0</v>
      </c>
      <c r="E203" s="130">
        <f t="shared" si="59"/>
        <v>0</v>
      </c>
      <c r="F203" s="130"/>
      <c r="G203" s="60" t="s">
        <v>125</v>
      </c>
      <c r="H203" s="123"/>
      <c r="I203" s="123"/>
      <c r="J203" s="60"/>
      <c r="K203" s="60"/>
      <c r="L203" s="60"/>
      <c r="M203" s="60"/>
      <c r="N203" s="60">
        <f>M203*J203*K203*L203</f>
        <v>0</v>
      </c>
      <c r="O203" s="60">
        <f>J203*K203*L203</f>
        <v>0</v>
      </c>
    </row>
    <row r="204" spans="1:15" s="38" customFormat="1" ht="11.45" customHeight="1" outlineLevel="1" x14ac:dyDescent="0.25">
      <c r="A204" s="146"/>
      <c r="B204" s="142"/>
      <c r="C204" s="115"/>
      <c r="D204" s="115"/>
      <c r="E204" s="115"/>
      <c r="F204" s="115"/>
      <c r="G204" s="60" t="s">
        <v>126</v>
      </c>
      <c r="H204" s="124"/>
      <c r="I204" s="124"/>
      <c r="J204" s="60"/>
      <c r="K204" s="60"/>
      <c r="L204" s="60"/>
      <c r="M204" s="60"/>
      <c r="N204" s="60">
        <f t="shared" ref="N204:N209" si="66">M204*J204*K204*L204</f>
        <v>0</v>
      </c>
      <c r="O204" s="60">
        <f t="shared" ref="O204:O209" si="67">J204*K204*L204</f>
        <v>0</v>
      </c>
    </row>
    <row r="205" spans="1:15" s="38" customFormat="1" ht="10.7" customHeight="1" outlineLevel="1" x14ac:dyDescent="0.25">
      <c r="A205" s="146"/>
      <c r="B205" s="142"/>
      <c r="C205" s="115"/>
      <c r="D205" s="115"/>
      <c r="E205" s="115"/>
      <c r="F205" s="115"/>
      <c r="G205" s="60" t="s">
        <v>127</v>
      </c>
      <c r="H205" s="124"/>
      <c r="I205" s="124"/>
      <c r="J205" s="60"/>
      <c r="K205" s="60"/>
      <c r="L205" s="60"/>
      <c r="M205" s="60"/>
      <c r="N205" s="60">
        <f t="shared" si="66"/>
        <v>0</v>
      </c>
      <c r="O205" s="60">
        <f t="shared" si="67"/>
        <v>0</v>
      </c>
    </row>
    <row r="206" spans="1:15" s="38" customFormat="1" ht="10.7" customHeight="1" outlineLevel="1" x14ac:dyDescent="0.25">
      <c r="A206" s="146"/>
      <c r="B206" s="142"/>
      <c r="C206" s="115"/>
      <c r="D206" s="115"/>
      <c r="E206" s="115"/>
      <c r="F206" s="115"/>
      <c r="G206" s="60" t="s">
        <v>128</v>
      </c>
      <c r="H206" s="124"/>
      <c r="I206" s="124"/>
      <c r="J206" s="60"/>
      <c r="K206" s="60"/>
      <c r="L206" s="60"/>
      <c r="M206" s="60"/>
      <c r="N206" s="60">
        <f t="shared" si="66"/>
        <v>0</v>
      </c>
      <c r="O206" s="60">
        <f t="shared" si="67"/>
        <v>0</v>
      </c>
    </row>
    <row r="207" spans="1:15" s="38" customFormat="1" ht="10.7" customHeight="1" outlineLevel="1" x14ac:dyDescent="0.25">
      <c r="A207" s="146"/>
      <c r="B207" s="142"/>
      <c r="C207" s="115"/>
      <c r="D207" s="115"/>
      <c r="E207" s="115"/>
      <c r="F207" s="115"/>
      <c r="G207" s="60" t="s">
        <v>129</v>
      </c>
      <c r="H207" s="124"/>
      <c r="I207" s="124"/>
      <c r="J207" s="60"/>
      <c r="K207" s="60"/>
      <c r="L207" s="60"/>
      <c r="M207" s="60"/>
      <c r="N207" s="60">
        <f t="shared" si="66"/>
        <v>0</v>
      </c>
      <c r="O207" s="60">
        <f t="shared" si="67"/>
        <v>0</v>
      </c>
    </row>
    <row r="208" spans="1:15" s="38" customFormat="1" ht="10.7" customHeight="1" outlineLevel="1" x14ac:dyDescent="0.25">
      <c r="A208" s="146"/>
      <c r="B208" s="142"/>
      <c r="C208" s="115"/>
      <c r="D208" s="115"/>
      <c r="E208" s="115"/>
      <c r="F208" s="115"/>
      <c r="G208" s="60" t="s">
        <v>130</v>
      </c>
      <c r="H208" s="124"/>
      <c r="I208" s="124"/>
      <c r="J208" s="60"/>
      <c r="K208" s="60"/>
      <c r="L208" s="60"/>
      <c r="M208" s="60"/>
      <c r="N208" s="60">
        <f t="shared" si="66"/>
        <v>0</v>
      </c>
      <c r="O208" s="60">
        <f t="shared" si="67"/>
        <v>0</v>
      </c>
    </row>
    <row r="209" spans="1:15" s="38" customFormat="1" ht="12" customHeight="1" outlineLevel="1" thickBot="1" x14ac:dyDescent="0.3">
      <c r="A209" s="147"/>
      <c r="B209" s="143"/>
      <c r="C209" s="131"/>
      <c r="D209" s="131"/>
      <c r="E209" s="131"/>
      <c r="F209" s="131"/>
      <c r="G209" s="60" t="s">
        <v>131</v>
      </c>
      <c r="H209" s="134"/>
      <c r="I209" s="134"/>
      <c r="J209" s="60"/>
      <c r="K209" s="60"/>
      <c r="L209" s="60"/>
      <c r="M209" s="60"/>
      <c r="N209" s="60">
        <f t="shared" si="66"/>
        <v>0</v>
      </c>
      <c r="O209" s="60">
        <f t="shared" si="67"/>
        <v>0</v>
      </c>
    </row>
    <row r="210" spans="1:15" s="38" customFormat="1" ht="14.45" customHeight="1" outlineLevel="1" x14ac:dyDescent="0.25">
      <c r="A210" s="140" t="s">
        <v>438</v>
      </c>
      <c r="B210" s="141" t="s">
        <v>543</v>
      </c>
      <c r="C210" s="130">
        <f>SUM(N210:N216)</f>
        <v>0</v>
      </c>
      <c r="D210" s="130">
        <f>SUM(O210:O216)</f>
        <v>0</v>
      </c>
      <c r="E210" s="130">
        <f t="shared" si="59"/>
        <v>0</v>
      </c>
      <c r="F210" s="130"/>
      <c r="G210" s="60" t="s">
        <v>125</v>
      </c>
      <c r="H210" s="123"/>
      <c r="I210" s="123"/>
      <c r="J210" s="60"/>
      <c r="K210" s="60"/>
      <c r="L210" s="60"/>
      <c r="M210" s="60"/>
      <c r="N210" s="60">
        <f>M210*J210*K210*L210</f>
        <v>0</v>
      </c>
      <c r="O210" s="60">
        <f>J210*K210*L210</f>
        <v>0</v>
      </c>
    </row>
    <row r="211" spans="1:15" s="38" customFormat="1" ht="11.45" customHeight="1" outlineLevel="1" x14ac:dyDescent="0.25">
      <c r="A211" s="146"/>
      <c r="B211" s="142"/>
      <c r="C211" s="115"/>
      <c r="D211" s="115"/>
      <c r="E211" s="115"/>
      <c r="F211" s="115"/>
      <c r="G211" s="60" t="s">
        <v>126</v>
      </c>
      <c r="H211" s="124"/>
      <c r="I211" s="124"/>
      <c r="J211" s="60"/>
      <c r="K211" s="60"/>
      <c r="L211" s="60"/>
      <c r="M211" s="60"/>
      <c r="N211" s="60">
        <f t="shared" ref="N211:N216" si="68">M211*J211*K211*L211</f>
        <v>0</v>
      </c>
      <c r="O211" s="60">
        <f t="shared" ref="O211:O216" si="69">J211*K211*L211</f>
        <v>0</v>
      </c>
    </row>
    <row r="212" spans="1:15" s="38" customFormat="1" ht="10.7" customHeight="1" outlineLevel="1" x14ac:dyDescent="0.25">
      <c r="A212" s="146"/>
      <c r="B212" s="142"/>
      <c r="C212" s="115"/>
      <c r="D212" s="115"/>
      <c r="E212" s="115"/>
      <c r="F212" s="115"/>
      <c r="G212" s="60" t="s">
        <v>127</v>
      </c>
      <c r="H212" s="124"/>
      <c r="I212" s="124"/>
      <c r="J212" s="60"/>
      <c r="K212" s="60"/>
      <c r="L212" s="60"/>
      <c r="M212" s="60"/>
      <c r="N212" s="60">
        <f t="shared" si="68"/>
        <v>0</v>
      </c>
      <c r="O212" s="60">
        <f t="shared" si="69"/>
        <v>0</v>
      </c>
    </row>
    <row r="213" spans="1:15" s="38" customFormat="1" ht="10.7" customHeight="1" outlineLevel="1" x14ac:dyDescent="0.25">
      <c r="A213" s="146"/>
      <c r="B213" s="142"/>
      <c r="C213" s="115"/>
      <c r="D213" s="115"/>
      <c r="E213" s="115"/>
      <c r="F213" s="115"/>
      <c r="G213" s="60" t="s">
        <v>128</v>
      </c>
      <c r="H213" s="124"/>
      <c r="I213" s="124"/>
      <c r="J213" s="60"/>
      <c r="K213" s="60"/>
      <c r="L213" s="60"/>
      <c r="M213" s="60"/>
      <c r="N213" s="60">
        <f t="shared" si="68"/>
        <v>0</v>
      </c>
      <c r="O213" s="60">
        <f t="shared" si="69"/>
        <v>0</v>
      </c>
    </row>
    <row r="214" spans="1:15" s="38" customFormat="1" ht="10.7" customHeight="1" outlineLevel="1" x14ac:dyDescent="0.25">
      <c r="A214" s="146"/>
      <c r="B214" s="142"/>
      <c r="C214" s="115"/>
      <c r="D214" s="115"/>
      <c r="E214" s="115"/>
      <c r="F214" s="115"/>
      <c r="G214" s="60" t="s">
        <v>129</v>
      </c>
      <c r="H214" s="124"/>
      <c r="I214" s="124"/>
      <c r="J214" s="60"/>
      <c r="K214" s="60"/>
      <c r="L214" s="60"/>
      <c r="M214" s="60"/>
      <c r="N214" s="60">
        <f t="shared" si="68"/>
        <v>0</v>
      </c>
      <c r="O214" s="60">
        <f t="shared" si="69"/>
        <v>0</v>
      </c>
    </row>
    <row r="215" spans="1:15" s="38" customFormat="1" ht="10.7" customHeight="1" outlineLevel="1" x14ac:dyDescent="0.25">
      <c r="A215" s="146"/>
      <c r="B215" s="142"/>
      <c r="C215" s="115"/>
      <c r="D215" s="115"/>
      <c r="E215" s="115"/>
      <c r="F215" s="115"/>
      <c r="G215" s="60" t="s">
        <v>130</v>
      </c>
      <c r="H215" s="124"/>
      <c r="I215" s="124"/>
      <c r="J215" s="60"/>
      <c r="K215" s="60"/>
      <c r="L215" s="60"/>
      <c r="M215" s="60"/>
      <c r="N215" s="60">
        <f t="shared" si="68"/>
        <v>0</v>
      </c>
      <c r="O215" s="60">
        <f t="shared" si="69"/>
        <v>0</v>
      </c>
    </row>
    <row r="216" spans="1:15" s="38" customFormat="1" ht="12" customHeight="1" outlineLevel="1" thickBot="1" x14ac:dyDescent="0.3">
      <c r="A216" s="147"/>
      <c r="B216" s="143"/>
      <c r="C216" s="131"/>
      <c r="D216" s="131"/>
      <c r="E216" s="131"/>
      <c r="F216" s="131"/>
      <c r="G216" s="60" t="s">
        <v>131</v>
      </c>
      <c r="H216" s="134"/>
      <c r="I216" s="134"/>
      <c r="J216" s="60"/>
      <c r="K216" s="60"/>
      <c r="L216" s="60"/>
      <c r="M216" s="60"/>
      <c r="N216" s="60">
        <f t="shared" si="68"/>
        <v>0</v>
      </c>
      <c r="O216" s="60">
        <f t="shared" si="69"/>
        <v>0</v>
      </c>
    </row>
    <row r="217" spans="1:15" s="38" customFormat="1" ht="14.45" customHeight="1" outlineLevel="1" x14ac:dyDescent="0.25">
      <c r="A217" s="140" t="s">
        <v>440</v>
      </c>
      <c r="B217" s="141" t="s">
        <v>602</v>
      </c>
      <c r="C217" s="130">
        <f>SUM(N217:N223)</f>
        <v>0</v>
      </c>
      <c r="D217" s="130">
        <f>SUM(O217:O223)</f>
        <v>0</v>
      </c>
      <c r="E217" s="130">
        <f t="shared" si="59"/>
        <v>0</v>
      </c>
      <c r="F217" s="130"/>
      <c r="G217" s="60" t="s">
        <v>125</v>
      </c>
      <c r="H217" s="123"/>
      <c r="I217" s="123"/>
      <c r="J217" s="60"/>
      <c r="K217" s="60"/>
      <c r="L217" s="60"/>
      <c r="M217" s="60"/>
      <c r="N217" s="60">
        <f>M217*J217*K217*L217</f>
        <v>0</v>
      </c>
      <c r="O217" s="60">
        <f>J217*K217*L217</f>
        <v>0</v>
      </c>
    </row>
    <row r="218" spans="1:15" s="38" customFormat="1" ht="11.45" customHeight="1" outlineLevel="1" x14ac:dyDescent="0.25">
      <c r="A218" s="146"/>
      <c r="B218" s="142"/>
      <c r="C218" s="115"/>
      <c r="D218" s="115"/>
      <c r="E218" s="115"/>
      <c r="F218" s="115"/>
      <c r="G218" s="60" t="s">
        <v>126</v>
      </c>
      <c r="H218" s="124"/>
      <c r="I218" s="124"/>
      <c r="J218" s="60"/>
      <c r="K218" s="60"/>
      <c r="L218" s="60"/>
      <c r="M218" s="60"/>
      <c r="N218" s="60">
        <f t="shared" ref="N218:N223" si="70">M218*J218*K218*L218</f>
        <v>0</v>
      </c>
      <c r="O218" s="60">
        <f t="shared" ref="O218:O223" si="71">J218*K218*L218</f>
        <v>0</v>
      </c>
    </row>
    <row r="219" spans="1:15" s="38" customFormat="1" ht="10.7" customHeight="1" outlineLevel="1" x14ac:dyDescent="0.25">
      <c r="A219" s="146"/>
      <c r="B219" s="142"/>
      <c r="C219" s="115"/>
      <c r="D219" s="115"/>
      <c r="E219" s="115"/>
      <c r="F219" s="115"/>
      <c r="G219" s="60" t="s">
        <v>127</v>
      </c>
      <c r="H219" s="124"/>
      <c r="I219" s="124"/>
      <c r="J219" s="60"/>
      <c r="K219" s="60"/>
      <c r="L219" s="60"/>
      <c r="M219" s="60"/>
      <c r="N219" s="60">
        <f t="shared" si="70"/>
        <v>0</v>
      </c>
      <c r="O219" s="60">
        <f t="shared" si="71"/>
        <v>0</v>
      </c>
    </row>
    <row r="220" spans="1:15" s="38" customFormat="1" ht="10.7" customHeight="1" outlineLevel="1" x14ac:dyDescent="0.25">
      <c r="A220" s="146"/>
      <c r="B220" s="142"/>
      <c r="C220" s="115"/>
      <c r="D220" s="115"/>
      <c r="E220" s="115"/>
      <c r="F220" s="115"/>
      <c r="G220" s="60" t="s">
        <v>128</v>
      </c>
      <c r="H220" s="124"/>
      <c r="I220" s="124"/>
      <c r="J220" s="60"/>
      <c r="K220" s="60"/>
      <c r="L220" s="60"/>
      <c r="M220" s="60"/>
      <c r="N220" s="60">
        <f t="shared" si="70"/>
        <v>0</v>
      </c>
      <c r="O220" s="60">
        <f t="shared" si="71"/>
        <v>0</v>
      </c>
    </row>
    <row r="221" spans="1:15" s="38" customFormat="1" ht="10.7" customHeight="1" outlineLevel="1" x14ac:dyDescent="0.25">
      <c r="A221" s="146"/>
      <c r="B221" s="142"/>
      <c r="C221" s="115"/>
      <c r="D221" s="115"/>
      <c r="E221" s="115"/>
      <c r="F221" s="115"/>
      <c r="G221" s="60" t="s">
        <v>129</v>
      </c>
      <c r="H221" s="124"/>
      <c r="I221" s="124"/>
      <c r="J221" s="60"/>
      <c r="K221" s="60"/>
      <c r="L221" s="60"/>
      <c r="M221" s="60"/>
      <c r="N221" s="60">
        <f t="shared" si="70"/>
        <v>0</v>
      </c>
      <c r="O221" s="60">
        <f t="shared" si="71"/>
        <v>0</v>
      </c>
    </row>
    <row r="222" spans="1:15" s="38" customFormat="1" ht="10.7" customHeight="1" outlineLevel="1" x14ac:dyDescent="0.25">
      <c r="A222" s="146"/>
      <c r="B222" s="142"/>
      <c r="C222" s="115"/>
      <c r="D222" s="115"/>
      <c r="E222" s="115"/>
      <c r="F222" s="115"/>
      <c r="G222" s="60" t="s">
        <v>130</v>
      </c>
      <c r="H222" s="124"/>
      <c r="I222" s="124"/>
      <c r="J222" s="60"/>
      <c r="K222" s="60"/>
      <c r="L222" s="60"/>
      <c r="M222" s="60"/>
      <c r="N222" s="60">
        <f t="shared" si="70"/>
        <v>0</v>
      </c>
      <c r="O222" s="60">
        <f t="shared" si="71"/>
        <v>0</v>
      </c>
    </row>
    <row r="223" spans="1:15" s="38" customFormat="1" ht="12" customHeight="1" outlineLevel="1" thickBot="1" x14ac:dyDescent="0.3">
      <c r="A223" s="147"/>
      <c r="B223" s="143"/>
      <c r="C223" s="131"/>
      <c r="D223" s="131"/>
      <c r="E223" s="131"/>
      <c r="F223" s="131"/>
      <c r="G223" s="60" t="s">
        <v>131</v>
      </c>
      <c r="H223" s="134"/>
      <c r="I223" s="134"/>
      <c r="J223" s="60"/>
      <c r="K223" s="60"/>
      <c r="L223" s="60"/>
      <c r="M223" s="60"/>
      <c r="N223" s="60">
        <f t="shared" si="70"/>
        <v>0</v>
      </c>
      <c r="O223" s="60">
        <f t="shared" si="71"/>
        <v>0</v>
      </c>
    </row>
    <row r="224" spans="1:15" s="38" customFormat="1" ht="14.45" customHeight="1" outlineLevel="1" x14ac:dyDescent="0.25">
      <c r="A224" s="140" t="s">
        <v>442</v>
      </c>
      <c r="B224" s="141" t="s">
        <v>545</v>
      </c>
      <c r="C224" s="130">
        <f>SUM(N224:N230)</f>
        <v>0</v>
      </c>
      <c r="D224" s="130">
        <f>SUM(O224:O230)</f>
        <v>0</v>
      </c>
      <c r="E224" s="130">
        <f t="shared" si="59"/>
        <v>0</v>
      </c>
      <c r="F224" s="130"/>
      <c r="G224" s="60" t="s">
        <v>125</v>
      </c>
      <c r="H224" s="123"/>
      <c r="I224" s="123"/>
      <c r="J224" s="60"/>
      <c r="K224" s="60"/>
      <c r="L224" s="60"/>
      <c r="M224" s="60"/>
      <c r="N224" s="60">
        <f>M224*J224*K224*L224</f>
        <v>0</v>
      </c>
      <c r="O224" s="60">
        <f>J224*K224*L224</f>
        <v>0</v>
      </c>
    </row>
    <row r="225" spans="1:15" s="38" customFormat="1" ht="11.45" customHeight="1" outlineLevel="1" x14ac:dyDescent="0.25">
      <c r="A225" s="146"/>
      <c r="B225" s="142"/>
      <c r="C225" s="115"/>
      <c r="D225" s="115"/>
      <c r="E225" s="115"/>
      <c r="F225" s="115"/>
      <c r="G225" s="60" t="s">
        <v>126</v>
      </c>
      <c r="H225" s="124"/>
      <c r="I225" s="124"/>
      <c r="J225" s="60"/>
      <c r="K225" s="60"/>
      <c r="L225" s="60"/>
      <c r="M225" s="60"/>
      <c r="N225" s="60">
        <f t="shared" ref="N225:N230" si="72">M225*J225*K225*L225</f>
        <v>0</v>
      </c>
      <c r="O225" s="60">
        <f t="shared" ref="O225:O230" si="73">J225*K225*L225</f>
        <v>0</v>
      </c>
    </row>
    <row r="226" spans="1:15" s="38" customFormat="1" ht="10.7" customHeight="1" outlineLevel="1" x14ac:dyDescent="0.25">
      <c r="A226" s="146"/>
      <c r="B226" s="142"/>
      <c r="C226" s="115"/>
      <c r="D226" s="115"/>
      <c r="E226" s="115"/>
      <c r="F226" s="115"/>
      <c r="G226" s="60" t="s">
        <v>127</v>
      </c>
      <c r="H226" s="124"/>
      <c r="I226" s="124"/>
      <c r="J226" s="60"/>
      <c r="K226" s="60"/>
      <c r="L226" s="60"/>
      <c r="M226" s="60"/>
      <c r="N226" s="60">
        <f t="shared" si="72"/>
        <v>0</v>
      </c>
      <c r="O226" s="60">
        <f t="shared" si="73"/>
        <v>0</v>
      </c>
    </row>
    <row r="227" spans="1:15" s="38" customFormat="1" ht="10.7" customHeight="1" outlineLevel="1" x14ac:dyDescent="0.25">
      <c r="A227" s="146"/>
      <c r="B227" s="142"/>
      <c r="C227" s="115"/>
      <c r="D227" s="115"/>
      <c r="E227" s="115"/>
      <c r="F227" s="115"/>
      <c r="G227" s="60" t="s">
        <v>128</v>
      </c>
      <c r="H227" s="124"/>
      <c r="I227" s="124"/>
      <c r="J227" s="60"/>
      <c r="K227" s="60"/>
      <c r="L227" s="60"/>
      <c r="M227" s="60"/>
      <c r="N227" s="60">
        <f t="shared" si="72"/>
        <v>0</v>
      </c>
      <c r="O227" s="60">
        <f t="shared" si="73"/>
        <v>0</v>
      </c>
    </row>
    <row r="228" spans="1:15" s="38" customFormat="1" ht="10.7" customHeight="1" outlineLevel="1" x14ac:dyDescent="0.25">
      <c r="A228" s="146"/>
      <c r="B228" s="142"/>
      <c r="C228" s="115"/>
      <c r="D228" s="115"/>
      <c r="E228" s="115"/>
      <c r="F228" s="115"/>
      <c r="G228" s="60" t="s">
        <v>129</v>
      </c>
      <c r="H228" s="124"/>
      <c r="I228" s="124"/>
      <c r="J228" s="60"/>
      <c r="K228" s="60"/>
      <c r="L228" s="60"/>
      <c r="M228" s="60"/>
      <c r="N228" s="60">
        <f t="shared" si="72"/>
        <v>0</v>
      </c>
      <c r="O228" s="60">
        <f t="shared" si="73"/>
        <v>0</v>
      </c>
    </row>
    <row r="229" spans="1:15" s="38" customFormat="1" ht="10.7" customHeight="1" outlineLevel="1" x14ac:dyDescent="0.25">
      <c r="A229" s="146"/>
      <c r="B229" s="142"/>
      <c r="C229" s="115"/>
      <c r="D229" s="115"/>
      <c r="E229" s="115"/>
      <c r="F229" s="115"/>
      <c r="G229" s="60" t="s">
        <v>130</v>
      </c>
      <c r="H229" s="124"/>
      <c r="I229" s="124"/>
      <c r="J229" s="60"/>
      <c r="K229" s="60"/>
      <c r="L229" s="60"/>
      <c r="M229" s="60"/>
      <c r="N229" s="60">
        <f t="shared" si="72"/>
        <v>0</v>
      </c>
      <c r="O229" s="60">
        <f t="shared" si="73"/>
        <v>0</v>
      </c>
    </row>
    <row r="230" spans="1:15" s="38" customFormat="1" ht="12" customHeight="1" outlineLevel="1" thickBot="1" x14ac:dyDescent="0.3">
      <c r="A230" s="147"/>
      <c r="B230" s="143"/>
      <c r="C230" s="131"/>
      <c r="D230" s="131"/>
      <c r="E230" s="131"/>
      <c r="F230" s="131"/>
      <c r="G230" s="60" t="s">
        <v>131</v>
      </c>
      <c r="H230" s="134"/>
      <c r="I230" s="134"/>
      <c r="J230" s="60"/>
      <c r="K230" s="60"/>
      <c r="L230" s="60"/>
      <c r="M230" s="60"/>
      <c r="N230" s="60">
        <f t="shared" si="72"/>
        <v>0</v>
      </c>
      <c r="O230" s="60">
        <f t="shared" si="73"/>
        <v>0</v>
      </c>
    </row>
    <row r="231" spans="1:15" s="38" customFormat="1" ht="14.45" customHeight="1" outlineLevel="1" x14ac:dyDescent="0.25">
      <c r="A231" s="140" t="s">
        <v>444</v>
      </c>
      <c r="B231" s="141" t="s">
        <v>546</v>
      </c>
      <c r="C231" s="130">
        <f>SUM(N231:N237)</f>
        <v>0</v>
      </c>
      <c r="D231" s="130">
        <f>SUM(O231:O237)</f>
        <v>0</v>
      </c>
      <c r="E231" s="130">
        <f t="shared" si="59"/>
        <v>0</v>
      </c>
      <c r="F231" s="130"/>
      <c r="G231" s="60" t="s">
        <v>125</v>
      </c>
      <c r="H231" s="123"/>
      <c r="I231" s="123"/>
      <c r="J231" s="60"/>
      <c r="K231" s="60"/>
      <c r="L231" s="60"/>
      <c r="M231" s="60"/>
      <c r="N231" s="60">
        <f>M231*J231*K231*L231</f>
        <v>0</v>
      </c>
      <c r="O231" s="60">
        <f>J231*K231*L231</f>
        <v>0</v>
      </c>
    </row>
    <row r="232" spans="1:15" s="38" customFormat="1" ht="11.45" customHeight="1" outlineLevel="1" x14ac:dyDescent="0.25">
      <c r="A232" s="146"/>
      <c r="B232" s="142"/>
      <c r="C232" s="115"/>
      <c r="D232" s="115"/>
      <c r="E232" s="115"/>
      <c r="F232" s="115"/>
      <c r="G232" s="60" t="s">
        <v>126</v>
      </c>
      <c r="H232" s="124"/>
      <c r="I232" s="124"/>
      <c r="J232" s="60"/>
      <c r="K232" s="60"/>
      <c r="L232" s="60"/>
      <c r="M232" s="60"/>
      <c r="N232" s="60">
        <f t="shared" ref="N232:N237" si="74">M232*J232*K232*L232</f>
        <v>0</v>
      </c>
      <c r="O232" s="60">
        <f t="shared" ref="O232:O237" si="75">J232*K232*L232</f>
        <v>0</v>
      </c>
    </row>
    <row r="233" spans="1:15" s="38" customFormat="1" ht="10.7" customHeight="1" outlineLevel="1" x14ac:dyDescent="0.25">
      <c r="A233" s="146"/>
      <c r="B233" s="142"/>
      <c r="C233" s="115"/>
      <c r="D233" s="115"/>
      <c r="E233" s="115"/>
      <c r="F233" s="115"/>
      <c r="G233" s="60" t="s">
        <v>127</v>
      </c>
      <c r="H233" s="124"/>
      <c r="I233" s="124"/>
      <c r="J233" s="60"/>
      <c r="K233" s="60"/>
      <c r="L233" s="60"/>
      <c r="M233" s="60"/>
      <c r="N233" s="60">
        <f t="shared" si="74"/>
        <v>0</v>
      </c>
      <c r="O233" s="60">
        <f t="shared" si="75"/>
        <v>0</v>
      </c>
    </row>
    <row r="234" spans="1:15" s="38" customFormat="1" ht="10.7" customHeight="1" outlineLevel="1" x14ac:dyDescent="0.25">
      <c r="A234" s="146"/>
      <c r="B234" s="142"/>
      <c r="C234" s="115"/>
      <c r="D234" s="115"/>
      <c r="E234" s="115"/>
      <c r="F234" s="115"/>
      <c r="G234" s="60" t="s">
        <v>128</v>
      </c>
      <c r="H234" s="124"/>
      <c r="I234" s="124"/>
      <c r="J234" s="60"/>
      <c r="K234" s="60"/>
      <c r="L234" s="60"/>
      <c r="M234" s="60"/>
      <c r="N234" s="60">
        <f t="shared" si="74"/>
        <v>0</v>
      </c>
      <c r="O234" s="60">
        <f t="shared" si="75"/>
        <v>0</v>
      </c>
    </row>
    <row r="235" spans="1:15" s="38" customFormat="1" ht="10.7" customHeight="1" outlineLevel="1" x14ac:dyDescent="0.25">
      <c r="A235" s="146"/>
      <c r="B235" s="142"/>
      <c r="C235" s="115"/>
      <c r="D235" s="115"/>
      <c r="E235" s="115"/>
      <c r="F235" s="115"/>
      <c r="G235" s="60" t="s">
        <v>129</v>
      </c>
      <c r="H235" s="124"/>
      <c r="I235" s="124"/>
      <c r="J235" s="60"/>
      <c r="K235" s="60"/>
      <c r="L235" s="60"/>
      <c r="M235" s="60"/>
      <c r="N235" s="60">
        <f t="shared" si="74"/>
        <v>0</v>
      </c>
      <c r="O235" s="60">
        <f t="shared" si="75"/>
        <v>0</v>
      </c>
    </row>
    <row r="236" spans="1:15" s="38" customFormat="1" ht="10.7" customHeight="1" outlineLevel="1" x14ac:dyDescent="0.25">
      <c r="A236" s="146"/>
      <c r="B236" s="142"/>
      <c r="C236" s="115"/>
      <c r="D236" s="115"/>
      <c r="E236" s="115"/>
      <c r="F236" s="115"/>
      <c r="G236" s="60" t="s">
        <v>130</v>
      </c>
      <c r="H236" s="124"/>
      <c r="I236" s="124"/>
      <c r="J236" s="60"/>
      <c r="K236" s="60"/>
      <c r="L236" s="60"/>
      <c r="M236" s="60"/>
      <c r="N236" s="60">
        <f t="shared" si="74"/>
        <v>0</v>
      </c>
      <c r="O236" s="60">
        <f t="shared" si="75"/>
        <v>0</v>
      </c>
    </row>
    <row r="237" spans="1:15" s="38" customFormat="1" ht="12" customHeight="1" outlineLevel="1" thickBot="1" x14ac:dyDescent="0.3">
      <c r="A237" s="147"/>
      <c r="B237" s="143"/>
      <c r="C237" s="131"/>
      <c r="D237" s="131"/>
      <c r="E237" s="131"/>
      <c r="F237" s="131"/>
      <c r="G237" s="60" t="s">
        <v>131</v>
      </c>
      <c r="H237" s="134"/>
      <c r="I237" s="134"/>
      <c r="J237" s="60"/>
      <c r="K237" s="60"/>
      <c r="L237" s="60"/>
      <c r="M237" s="60"/>
      <c r="N237" s="60">
        <f t="shared" si="74"/>
        <v>0</v>
      </c>
      <c r="O237" s="60">
        <f t="shared" si="75"/>
        <v>0</v>
      </c>
    </row>
    <row r="238" spans="1:15" s="38" customFormat="1" ht="14.45" customHeight="1" outlineLevel="1" x14ac:dyDescent="0.25">
      <c r="A238" s="140" t="s">
        <v>446</v>
      </c>
      <c r="B238" s="141" t="s">
        <v>547</v>
      </c>
      <c r="C238" s="130">
        <f>SUM(N238:N244)</f>
        <v>0</v>
      </c>
      <c r="D238" s="130">
        <f>SUM(O238:O244)</f>
        <v>0</v>
      </c>
      <c r="E238" s="130">
        <f t="shared" si="59"/>
        <v>0</v>
      </c>
      <c r="F238" s="130"/>
      <c r="G238" s="60" t="s">
        <v>125</v>
      </c>
      <c r="H238" s="123"/>
      <c r="I238" s="123"/>
      <c r="J238" s="60"/>
      <c r="K238" s="60"/>
      <c r="L238" s="60"/>
      <c r="M238" s="60"/>
      <c r="N238" s="60">
        <f>M238*J238*K238*L238</f>
        <v>0</v>
      </c>
      <c r="O238" s="60">
        <f>J238*K238*L238</f>
        <v>0</v>
      </c>
    </row>
    <row r="239" spans="1:15" s="38" customFormat="1" ht="11.45" customHeight="1" outlineLevel="1" x14ac:dyDescent="0.25">
      <c r="A239" s="146"/>
      <c r="B239" s="142"/>
      <c r="C239" s="115"/>
      <c r="D239" s="115"/>
      <c r="E239" s="115"/>
      <c r="F239" s="115"/>
      <c r="G239" s="60" t="s">
        <v>126</v>
      </c>
      <c r="H239" s="124"/>
      <c r="I239" s="124"/>
      <c r="J239" s="60"/>
      <c r="K239" s="60"/>
      <c r="L239" s="60"/>
      <c r="M239" s="60"/>
      <c r="N239" s="60">
        <f t="shared" ref="N239:N244" si="76">M239*J239*K239*L239</f>
        <v>0</v>
      </c>
      <c r="O239" s="60">
        <f t="shared" ref="O239:O244" si="77">J239*K239*L239</f>
        <v>0</v>
      </c>
    </row>
    <row r="240" spans="1:15" s="38" customFormat="1" ht="10.7" customHeight="1" outlineLevel="1" x14ac:dyDescent="0.25">
      <c r="A240" s="146"/>
      <c r="B240" s="142"/>
      <c r="C240" s="115"/>
      <c r="D240" s="115"/>
      <c r="E240" s="115"/>
      <c r="F240" s="115"/>
      <c r="G240" s="60" t="s">
        <v>127</v>
      </c>
      <c r="H240" s="124"/>
      <c r="I240" s="124"/>
      <c r="J240" s="60"/>
      <c r="K240" s="60"/>
      <c r="L240" s="60"/>
      <c r="M240" s="60"/>
      <c r="N240" s="60">
        <f t="shared" si="76"/>
        <v>0</v>
      </c>
      <c r="O240" s="60">
        <f t="shared" si="77"/>
        <v>0</v>
      </c>
    </row>
    <row r="241" spans="1:15" s="38" customFormat="1" ht="10.7" customHeight="1" outlineLevel="1" x14ac:dyDescent="0.25">
      <c r="A241" s="146"/>
      <c r="B241" s="142"/>
      <c r="C241" s="115"/>
      <c r="D241" s="115"/>
      <c r="E241" s="115"/>
      <c r="F241" s="115"/>
      <c r="G241" s="60" t="s">
        <v>128</v>
      </c>
      <c r="H241" s="124"/>
      <c r="I241" s="124"/>
      <c r="J241" s="60"/>
      <c r="K241" s="60"/>
      <c r="L241" s="60"/>
      <c r="M241" s="60"/>
      <c r="N241" s="60">
        <f t="shared" si="76"/>
        <v>0</v>
      </c>
      <c r="O241" s="60">
        <f t="shared" si="77"/>
        <v>0</v>
      </c>
    </row>
    <row r="242" spans="1:15" s="38" customFormat="1" ht="10.7" customHeight="1" outlineLevel="1" x14ac:dyDescent="0.25">
      <c r="A242" s="146"/>
      <c r="B242" s="142"/>
      <c r="C242" s="115"/>
      <c r="D242" s="115"/>
      <c r="E242" s="115"/>
      <c r="F242" s="115"/>
      <c r="G242" s="60" t="s">
        <v>129</v>
      </c>
      <c r="H242" s="124"/>
      <c r="I242" s="124"/>
      <c r="J242" s="60"/>
      <c r="K242" s="60"/>
      <c r="L242" s="60"/>
      <c r="M242" s="60"/>
      <c r="N242" s="60">
        <f t="shared" si="76"/>
        <v>0</v>
      </c>
      <c r="O242" s="60">
        <f t="shared" si="77"/>
        <v>0</v>
      </c>
    </row>
    <row r="243" spans="1:15" s="38" customFormat="1" ht="10.7" customHeight="1" outlineLevel="1" x14ac:dyDescent="0.25">
      <c r="A243" s="146"/>
      <c r="B243" s="142"/>
      <c r="C243" s="115"/>
      <c r="D243" s="115"/>
      <c r="E243" s="115"/>
      <c r="F243" s="115"/>
      <c r="G243" s="60" t="s">
        <v>130</v>
      </c>
      <c r="H243" s="124"/>
      <c r="I243" s="124"/>
      <c r="J243" s="60"/>
      <c r="K243" s="60"/>
      <c r="L243" s="60"/>
      <c r="M243" s="60"/>
      <c r="N243" s="60">
        <f t="shared" si="76"/>
        <v>0</v>
      </c>
      <c r="O243" s="60">
        <f t="shared" si="77"/>
        <v>0</v>
      </c>
    </row>
    <row r="244" spans="1:15" s="38" customFormat="1" ht="12" customHeight="1" outlineLevel="1" thickBot="1" x14ac:dyDescent="0.3">
      <c r="A244" s="155"/>
      <c r="B244" s="143"/>
      <c r="C244" s="131"/>
      <c r="D244" s="131"/>
      <c r="E244" s="131"/>
      <c r="F244" s="131"/>
      <c r="G244" s="60" t="s">
        <v>131</v>
      </c>
      <c r="H244" s="134"/>
      <c r="I244" s="134"/>
      <c r="J244" s="60"/>
      <c r="K244" s="60"/>
      <c r="L244" s="60"/>
      <c r="M244" s="60"/>
      <c r="N244" s="60">
        <f t="shared" si="76"/>
        <v>0</v>
      </c>
      <c r="O244" s="60">
        <f t="shared" si="77"/>
        <v>0</v>
      </c>
    </row>
    <row r="245" spans="1:15" s="39" customFormat="1" ht="15.75" x14ac:dyDescent="0.25">
      <c r="A245" s="40" t="s">
        <v>40</v>
      </c>
      <c r="B245" s="41" t="s">
        <v>377</v>
      </c>
      <c r="C245" s="42">
        <f>SUM(C246:C259)</f>
        <v>0</v>
      </c>
      <c r="D245" s="42">
        <f>SUM(D246:D259)</f>
        <v>0</v>
      </c>
      <c r="E245" s="42">
        <f>SUM(E246:E259)</f>
        <v>0</v>
      </c>
      <c r="F245" s="57"/>
      <c r="G245" s="57"/>
      <c r="H245" s="57"/>
      <c r="I245" s="57"/>
      <c r="J245" s="57"/>
      <c r="K245" s="57"/>
      <c r="L245" s="57"/>
      <c r="M245" s="57"/>
      <c r="N245" s="57"/>
      <c r="O245" s="43"/>
    </row>
    <row r="246" spans="1:15" s="38" customFormat="1" ht="14.45" customHeight="1" outlineLevel="1" x14ac:dyDescent="0.25">
      <c r="A246" s="140" t="s">
        <v>172</v>
      </c>
      <c r="B246" s="141" t="s">
        <v>166</v>
      </c>
      <c r="C246" s="130">
        <f>SUM(N246:N252)</f>
        <v>0</v>
      </c>
      <c r="D246" s="130">
        <f>SUM(O246:O252)</f>
        <v>0</v>
      </c>
      <c r="E246" s="130">
        <f t="shared" ref="E246:E253" si="78">D246/8</f>
        <v>0</v>
      </c>
      <c r="F246" s="130"/>
      <c r="G246" s="60" t="s">
        <v>125</v>
      </c>
      <c r="H246" s="123"/>
      <c r="I246" s="123"/>
      <c r="J246" s="60"/>
      <c r="K246" s="60"/>
      <c r="L246" s="60"/>
      <c r="M246" s="60"/>
      <c r="N246" s="60">
        <f>M246*J246*K246*L246</f>
        <v>0</v>
      </c>
      <c r="O246" s="60">
        <f>J246*K246*L246</f>
        <v>0</v>
      </c>
    </row>
    <row r="247" spans="1:15" s="38" customFormat="1" ht="11.45" customHeight="1" outlineLevel="1" x14ac:dyDescent="0.25">
      <c r="A247" s="124"/>
      <c r="B247" s="142"/>
      <c r="C247" s="115"/>
      <c r="D247" s="115"/>
      <c r="E247" s="115"/>
      <c r="F247" s="115"/>
      <c r="G247" s="60" t="s">
        <v>126</v>
      </c>
      <c r="H247" s="124"/>
      <c r="I247" s="124"/>
      <c r="J247" s="60"/>
      <c r="K247" s="60"/>
      <c r="L247" s="60"/>
      <c r="M247" s="60"/>
      <c r="N247" s="60">
        <f t="shared" ref="N247:N252" si="79">M247*J247*K247*L247</f>
        <v>0</v>
      </c>
      <c r="O247" s="60">
        <f t="shared" ref="O247:O252" si="80">J247*K247*L247</f>
        <v>0</v>
      </c>
    </row>
    <row r="248" spans="1:15" s="38" customFormat="1" ht="10.7" customHeight="1" outlineLevel="1" x14ac:dyDescent="0.25">
      <c r="A248" s="124"/>
      <c r="B248" s="142"/>
      <c r="C248" s="115"/>
      <c r="D248" s="115"/>
      <c r="E248" s="115"/>
      <c r="F248" s="115"/>
      <c r="G248" s="60" t="s">
        <v>127</v>
      </c>
      <c r="H248" s="124"/>
      <c r="I248" s="124"/>
      <c r="J248" s="60"/>
      <c r="K248" s="60"/>
      <c r="L248" s="60"/>
      <c r="M248" s="60"/>
      <c r="N248" s="60">
        <f t="shared" si="79"/>
        <v>0</v>
      </c>
      <c r="O248" s="60">
        <f t="shared" si="80"/>
        <v>0</v>
      </c>
    </row>
    <row r="249" spans="1:15" s="38" customFormat="1" ht="10.7" customHeight="1" outlineLevel="1" x14ac:dyDescent="0.25">
      <c r="A249" s="124"/>
      <c r="B249" s="142"/>
      <c r="C249" s="115"/>
      <c r="D249" s="115"/>
      <c r="E249" s="115"/>
      <c r="F249" s="115"/>
      <c r="G249" s="60" t="s">
        <v>128</v>
      </c>
      <c r="H249" s="124"/>
      <c r="I249" s="124"/>
      <c r="J249" s="60"/>
      <c r="K249" s="60"/>
      <c r="L249" s="60"/>
      <c r="M249" s="60"/>
      <c r="N249" s="60">
        <f t="shared" si="79"/>
        <v>0</v>
      </c>
      <c r="O249" s="60">
        <f t="shared" si="80"/>
        <v>0</v>
      </c>
    </row>
    <row r="250" spans="1:15" s="38" customFormat="1" ht="10.7" customHeight="1" outlineLevel="1" x14ac:dyDescent="0.25">
      <c r="A250" s="124"/>
      <c r="B250" s="142"/>
      <c r="C250" s="115"/>
      <c r="D250" s="115"/>
      <c r="E250" s="115"/>
      <c r="F250" s="115"/>
      <c r="G250" s="60" t="s">
        <v>129</v>
      </c>
      <c r="H250" s="124"/>
      <c r="I250" s="124"/>
      <c r="J250" s="60"/>
      <c r="K250" s="60"/>
      <c r="L250" s="60"/>
      <c r="M250" s="60"/>
      <c r="N250" s="60">
        <f t="shared" si="79"/>
        <v>0</v>
      </c>
      <c r="O250" s="60">
        <f t="shared" si="80"/>
        <v>0</v>
      </c>
    </row>
    <row r="251" spans="1:15" s="38" customFormat="1" ht="10.7" customHeight="1" outlineLevel="1" x14ac:dyDescent="0.25">
      <c r="A251" s="124"/>
      <c r="B251" s="142"/>
      <c r="C251" s="115"/>
      <c r="D251" s="115"/>
      <c r="E251" s="115"/>
      <c r="F251" s="115"/>
      <c r="G251" s="60" t="s">
        <v>130</v>
      </c>
      <c r="H251" s="124"/>
      <c r="I251" s="124"/>
      <c r="J251" s="60"/>
      <c r="K251" s="60"/>
      <c r="L251" s="60"/>
      <c r="M251" s="60"/>
      <c r="N251" s="60">
        <f t="shared" si="79"/>
        <v>0</v>
      </c>
      <c r="O251" s="60">
        <f t="shared" si="80"/>
        <v>0</v>
      </c>
    </row>
    <row r="252" spans="1:15" s="38" customFormat="1" ht="12" customHeight="1" outlineLevel="1" thickBot="1" x14ac:dyDescent="0.3">
      <c r="A252" s="125"/>
      <c r="B252" s="143"/>
      <c r="C252" s="131"/>
      <c r="D252" s="131"/>
      <c r="E252" s="131"/>
      <c r="F252" s="131"/>
      <c r="G252" s="60" t="s">
        <v>131</v>
      </c>
      <c r="H252" s="134"/>
      <c r="I252" s="134"/>
      <c r="J252" s="60"/>
      <c r="K252" s="60"/>
      <c r="L252" s="60"/>
      <c r="M252" s="60"/>
      <c r="N252" s="60">
        <f t="shared" si="79"/>
        <v>0</v>
      </c>
      <c r="O252" s="60">
        <f t="shared" si="80"/>
        <v>0</v>
      </c>
    </row>
    <row r="253" spans="1:15" s="38" customFormat="1" ht="14.45" customHeight="1" outlineLevel="1" x14ac:dyDescent="0.25">
      <c r="A253" s="140" t="s">
        <v>174</v>
      </c>
      <c r="B253" s="141" t="s">
        <v>168</v>
      </c>
      <c r="C253" s="130">
        <f>SUM(N253:N259)</f>
        <v>0</v>
      </c>
      <c r="D253" s="130">
        <f>SUM(O253:O259)</f>
        <v>0</v>
      </c>
      <c r="E253" s="130">
        <f t="shared" si="78"/>
        <v>0</v>
      </c>
      <c r="F253" s="130"/>
      <c r="G253" s="60" t="s">
        <v>125</v>
      </c>
      <c r="H253" s="123"/>
      <c r="I253" s="123"/>
      <c r="J253" s="60"/>
      <c r="K253" s="60"/>
      <c r="L253" s="60"/>
      <c r="M253" s="60"/>
      <c r="N253" s="60">
        <f>M253*J253*K253*L253</f>
        <v>0</v>
      </c>
      <c r="O253" s="60">
        <f>J253*K253*L253</f>
        <v>0</v>
      </c>
    </row>
    <row r="254" spans="1:15" s="38" customFormat="1" ht="11.45" customHeight="1" outlineLevel="1" x14ac:dyDescent="0.25">
      <c r="A254" s="124"/>
      <c r="B254" s="142"/>
      <c r="C254" s="115"/>
      <c r="D254" s="115"/>
      <c r="E254" s="115"/>
      <c r="F254" s="115"/>
      <c r="G254" s="60" t="s">
        <v>126</v>
      </c>
      <c r="H254" s="124"/>
      <c r="I254" s="124"/>
      <c r="J254" s="60"/>
      <c r="K254" s="60"/>
      <c r="L254" s="60"/>
      <c r="M254" s="60"/>
      <c r="N254" s="60">
        <f t="shared" ref="N254:N259" si="81">M254*J254*K254*L254</f>
        <v>0</v>
      </c>
      <c r="O254" s="60">
        <f t="shared" ref="O254:O259" si="82">J254*K254*L254</f>
        <v>0</v>
      </c>
    </row>
    <row r="255" spans="1:15" s="38" customFormat="1" ht="10.7" customHeight="1" outlineLevel="1" x14ac:dyDescent="0.25">
      <c r="A255" s="124"/>
      <c r="B255" s="142"/>
      <c r="C255" s="115"/>
      <c r="D255" s="115"/>
      <c r="E255" s="115"/>
      <c r="F255" s="115"/>
      <c r="G255" s="60" t="s">
        <v>127</v>
      </c>
      <c r="H255" s="124"/>
      <c r="I255" s="124"/>
      <c r="J255" s="60"/>
      <c r="K255" s="60"/>
      <c r="L255" s="60"/>
      <c r="M255" s="60"/>
      <c r="N255" s="60">
        <f t="shared" si="81"/>
        <v>0</v>
      </c>
      <c r="O255" s="60">
        <f t="shared" si="82"/>
        <v>0</v>
      </c>
    </row>
    <row r="256" spans="1:15" s="38" customFormat="1" ht="10.7" customHeight="1" outlineLevel="1" x14ac:dyDescent="0.25">
      <c r="A256" s="124"/>
      <c r="B256" s="142"/>
      <c r="C256" s="115"/>
      <c r="D256" s="115"/>
      <c r="E256" s="115"/>
      <c r="F256" s="115"/>
      <c r="G256" s="60" t="s">
        <v>128</v>
      </c>
      <c r="H256" s="124"/>
      <c r="I256" s="124"/>
      <c r="J256" s="60"/>
      <c r="K256" s="60"/>
      <c r="L256" s="60"/>
      <c r="M256" s="60"/>
      <c r="N256" s="60">
        <f t="shared" si="81"/>
        <v>0</v>
      </c>
      <c r="O256" s="60">
        <f t="shared" si="82"/>
        <v>0</v>
      </c>
    </row>
    <row r="257" spans="1:15" s="38" customFormat="1" ht="10.7" customHeight="1" outlineLevel="1" x14ac:dyDescent="0.25">
      <c r="A257" s="124"/>
      <c r="B257" s="142"/>
      <c r="C257" s="115"/>
      <c r="D257" s="115"/>
      <c r="E257" s="115"/>
      <c r="F257" s="115"/>
      <c r="G257" s="60" t="s">
        <v>129</v>
      </c>
      <c r="H257" s="124"/>
      <c r="I257" s="124"/>
      <c r="J257" s="60"/>
      <c r="K257" s="60"/>
      <c r="L257" s="60"/>
      <c r="M257" s="60"/>
      <c r="N257" s="60">
        <f t="shared" si="81"/>
        <v>0</v>
      </c>
      <c r="O257" s="60">
        <f t="shared" si="82"/>
        <v>0</v>
      </c>
    </row>
    <row r="258" spans="1:15" s="38" customFormat="1" ht="10.7" customHeight="1" outlineLevel="1" x14ac:dyDescent="0.25">
      <c r="A258" s="124"/>
      <c r="B258" s="142"/>
      <c r="C258" s="115"/>
      <c r="D258" s="115"/>
      <c r="E258" s="115"/>
      <c r="F258" s="115"/>
      <c r="G258" s="60" t="s">
        <v>130</v>
      </c>
      <c r="H258" s="124"/>
      <c r="I258" s="124"/>
      <c r="J258" s="60"/>
      <c r="K258" s="60"/>
      <c r="L258" s="60"/>
      <c r="M258" s="60"/>
      <c r="N258" s="60">
        <f t="shared" si="81"/>
        <v>0</v>
      </c>
      <c r="O258" s="60">
        <f t="shared" si="82"/>
        <v>0</v>
      </c>
    </row>
    <row r="259" spans="1:15" s="38" customFormat="1" ht="12" customHeight="1" outlineLevel="1" thickBot="1" x14ac:dyDescent="0.3">
      <c r="A259" s="125"/>
      <c r="B259" s="143"/>
      <c r="C259" s="131"/>
      <c r="D259" s="131"/>
      <c r="E259" s="131"/>
      <c r="F259" s="131"/>
      <c r="G259" s="60" t="s">
        <v>131</v>
      </c>
      <c r="H259" s="134"/>
      <c r="I259" s="134"/>
      <c r="J259" s="60"/>
      <c r="K259" s="60"/>
      <c r="L259" s="60"/>
      <c r="M259" s="60"/>
      <c r="N259" s="60">
        <f t="shared" si="81"/>
        <v>0</v>
      </c>
      <c r="O259" s="60">
        <f t="shared" si="82"/>
        <v>0</v>
      </c>
    </row>
    <row r="260" spans="1:15" s="39" customFormat="1" ht="15.75" x14ac:dyDescent="0.25">
      <c r="A260" s="40" t="s">
        <v>42</v>
      </c>
      <c r="B260" s="41" t="s">
        <v>171</v>
      </c>
      <c r="C260" s="42">
        <f>SUM(C261:C281)</f>
        <v>0</v>
      </c>
      <c r="D260" s="42">
        <f>SUM(D261:D281)</f>
        <v>0</v>
      </c>
      <c r="E260" s="42">
        <f>SUM(E261:E281)</f>
        <v>0</v>
      </c>
      <c r="F260" s="57"/>
      <c r="G260" s="57"/>
      <c r="H260" s="57"/>
      <c r="I260" s="57"/>
      <c r="J260" s="57"/>
      <c r="K260" s="57"/>
      <c r="L260" s="57"/>
      <c r="M260" s="57"/>
      <c r="N260" s="57"/>
      <c r="O260" s="43"/>
    </row>
    <row r="261" spans="1:15" s="38" customFormat="1" ht="14.45" customHeight="1" outlineLevel="1" x14ac:dyDescent="0.25">
      <c r="A261" s="140" t="s">
        <v>177</v>
      </c>
      <c r="B261" s="141" t="s">
        <v>603</v>
      </c>
      <c r="C261" s="130">
        <f>SUM(N261:N267)</f>
        <v>0</v>
      </c>
      <c r="D261" s="130">
        <f>SUM(O261:O267)</f>
        <v>0</v>
      </c>
      <c r="E261" s="130">
        <f t="shared" ref="E261:E275" si="83">D261/8</f>
        <v>0</v>
      </c>
      <c r="F261" s="130"/>
      <c r="G261" s="60" t="s">
        <v>125</v>
      </c>
      <c r="H261" s="123"/>
      <c r="I261" s="123"/>
      <c r="J261" s="60"/>
      <c r="K261" s="60"/>
      <c r="L261" s="60"/>
      <c r="M261" s="60"/>
      <c r="N261" s="60">
        <f>M261*J261*K261*L261</f>
        <v>0</v>
      </c>
      <c r="O261" s="60">
        <f>J261*K261*L261</f>
        <v>0</v>
      </c>
    </row>
    <row r="262" spans="1:15" s="38" customFormat="1" ht="11.45" customHeight="1" outlineLevel="1" x14ac:dyDescent="0.25">
      <c r="A262" s="124"/>
      <c r="B262" s="142"/>
      <c r="C262" s="115"/>
      <c r="D262" s="115"/>
      <c r="E262" s="115"/>
      <c r="F262" s="115"/>
      <c r="G262" s="60" t="s">
        <v>126</v>
      </c>
      <c r="H262" s="124"/>
      <c r="I262" s="124"/>
      <c r="J262" s="60"/>
      <c r="K262" s="60"/>
      <c r="L262" s="60"/>
      <c r="M262" s="60"/>
      <c r="N262" s="60">
        <f t="shared" ref="N262:N267" si="84">M262*J262*K262*L262</f>
        <v>0</v>
      </c>
      <c r="O262" s="60">
        <f t="shared" ref="O262:O267" si="85">J262*K262*L262</f>
        <v>0</v>
      </c>
    </row>
    <row r="263" spans="1:15" s="38" customFormat="1" ht="10.7" customHeight="1" outlineLevel="1" x14ac:dyDescent="0.25">
      <c r="A263" s="124"/>
      <c r="B263" s="142"/>
      <c r="C263" s="115"/>
      <c r="D263" s="115"/>
      <c r="E263" s="115"/>
      <c r="F263" s="115"/>
      <c r="G263" s="60" t="s">
        <v>127</v>
      </c>
      <c r="H263" s="124"/>
      <c r="I263" s="124"/>
      <c r="J263" s="60"/>
      <c r="K263" s="60"/>
      <c r="L263" s="60"/>
      <c r="M263" s="60"/>
      <c r="N263" s="60">
        <f t="shared" si="84"/>
        <v>0</v>
      </c>
      <c r="O263" s="60">
        <f t="shared" si="85"/>
        <v>0</v>
      </c>
    </row>
    <row r="264" spans="1:15" s="38" customFormat="1" ht="10.7" customHeight="1" outlineLevel="1" x14ac:dyDescent="0.25">
      <c r="A264" s="124"/>
      <c r="B264" s="142"/>
      <c r="C264" s="115"/>
      <c r="D264" s="115"/>
      <c r="E264" s="115"/>
      <c r="F264" s="115"/>
      <c r="G264" s="60" t="s">
        <v>128</v>
      </c>
      <c r="H264" s="124"/>
      <c r="I264" s="124"/>
      <c r="J264" s="60"/>
      <c r="K264" s="60"/>
      <c r="L264" s="60"/>
      <c r="M264" s="60"/>
      <c r="N264" s="60">
        <f t="shared" si="84"/>
        <v>0</v>
      </c>
      <c r="O264" s="60">
        <f t="shared" si="85"/>
        <v>0</v>
      </c>
    </row>
    <row r="265" spans="1:15" s="38" customFormat="1" ht="10.7" customHeight="1" outlineLevel="1" x14ac:dyDescent="0.25">
      <c r="A265" s="124"/>
      <c r="B265" s="142"/>
      <c r="C265" s="115"/>
      <c r="D265" s="115"/>
      <c r="E265" s="115"/>
      <c r="F265" s="115"/>
      <c r="G265" s="60" t="s">
        <v>129</v>
      </c>
      <c r="H265" s="124"/>
      <c r="I265" s="124"/>
      <c r="J265" s="60"/>
      <c r="K265" s="60"/>
      <c r="L265" s="60"/>
      <c r="M265" s="60"/>
      <c r="N265" s="60">
        <f t="shared" si="84"/>
        <v>0</v>
      </c>
      <c r="O265" s="60">
        <f t="shared" si="85"/>
        <v>0</v>
      </c>
    </row>
    <row r="266" spans="1:15" s="38" customFormat="1" ht="10.7" customHeight="1" outlineLevel="1" x14ac:dyDescent="0.25">
      <c r="A266" s="124"/>
      <c r="B266" s="142"/>
      <c r="C266" s="115"/>
      <c r="D266" s="115"/>
      <c r="E266" s="115"/>
      <c r="F266" s="115"/>
      <c r="G266" s="60" t="s">
        <v>130</v>
      </c>
      <c r="H266" s="124"/>
      <c r="I266" s="124"/>
      <c r="J266" s="60"/>
      <c r="K266" s="60"/>
      <c r="L266" s="60"/>
      <c r="M266" s="60"/>
      <c r="N266" s="60">
        <f t="shared" si="84"/>
        <v>0</v>
      </c>
      <c r="O266" s="60">
        <f t="shared" si="85"/>
        <v>0</v>
      </c>
    </row>
    <row r="267" spans="1:15" s="38" customFormat="1" ht="12" customHeight="1" outlineLevel="1" thickBot="1" x14ac:dyDescent="0.3">
      <c r="A267" s="125"/>
      <c r="B267" s="143"/>
      <c r="C267" s="131"/>
      <c r="D267" s="131"/>
      <c r="E267" s="131"/>
      <c r="F267" s="131"/>
      <c r="G267" s="60" t="s">
        <v>131</v>
      </c>
      <c r="H267" s="134"/>
      <c r="I267" s="134"/>
      <c r="J267" s="60"/>
      <c r="K267" s="60"/>
      <c r="L267" s="60"/>
      <c r="M267" s="60"/>
      <c r="N267" s="60">
        <f t="shared" si="84"/>
        <v>0</v>
      </c>
      <c r="O267" s="60">
        <f t="shared" si="85"/>
        <v>0</v>
      </c>
    </row>
    <row r="268" spans="1:15" s="38" customFormat="1" ht="14.45" customHeight="1" outlineLevel="1" x14ac:dyDescent="0.25">
      <c r="A268" s="140" t="s">
        <v>179</v>
      </c>
      <c r="B268" s="141" t="s">
        <v>604</v>
      </c>
      <c r="C268" s="130">
        <f>SUM(N268:N274)</f>
        <v>0</v>
      </c>
      <c r="D268" s="130">
        <f>SUM(O268:O274)</f>
        <v>0</v>
      </c>
      <c r="E268" s="130">
        <f t="shared" si="83"/>
        <v>0</v>
      </c>
      <c r="F268" s="130"/>
      <c r="G268" s="60" t="s">
        <v>125</v>
      </c>
      <c r="H268" s="123"/>
      <c r="I268" s="123"/>
      <c r="J268" s="60"/>
      <c r="K268" s="60"/>
      <c r="L268" s="60"/>
      <c r="M268" s="60"/>
      <c r="N268" s="60">
        <f>M268*J268*K268*L268</f>
        <v>0</v>
      </c>
      <c r="O268" s="60">
        <f>J268*K268*L268</f>
        <v>0</v>
      </c>
    </row>
    <row r="269" spans="1:15" s="38" customFormat="1" ht="11.45" customHeight="1" outlineLevel="1" x14ac:dyDescent="0.25">
      <c r="A269" s="124"/>
      <c r="B269" s="142"/>
      <c r="C269" s="115"/>
      <c r="D269" s="115"/>
      <c r="E269" s="115"/>
      <c r="F269" s="115"/>
      <c r="G269" s="60" t="s">
        <v>126</v>
      </c>
      <c r="H269" s="124"/>
      <c r="I269" s="124"/>
      <c r="J269" s="60"/>
      <c r="K269" s="60"/>
      <c r="L269" s="60"/>
      <c r="M269" s="60"/>
      <c r="N269" s="60">
        <f t="shared" ref="N269:N274" si="86">M269*J269*K269*L269</f>
        <v>0</v>
      </c>
      <c r="O269" s="60">
        <f t="shared" ref="O269:O274" si="87">J269*K269*L269</f>
        <v>0</v>
      </c>
    </row>
    <row r="270" spans="1:15" s="38" customFormat="1" ht="10.7" customHeight="1" outlineLevel="1" x14ac:dyDescent="0.25">
      <c r="A270" s="124"/>
      <c r="B270" s="142"/>
      <c r="C270" s="115"/>
      <c r="D270" s="115"/>
      <c r="E270" s="115"/>
      <c r="F270" s="115"/>
      <c r="G270" s="60" t="s">
        <v>127</v>
      </c>
      <c r="H270" s="124"/>
      <c r="I270" s="124"/>
      <c r="J270" s="60"/>
      <c r="K270" s="60"/>
      <c r="L270" s="60"/>
      <c r="M270" s="60"/>
      <c r="N270" s="60">
        <f t="shared" si="86"/>
        <v>0</v>
      </c>
      <c r="O270" s="60">
        <f t="shared" si="87"/>
        <v>0</v>
      </c>
    </row>
    <row r="271" spans="1:15" s="38" customFormat="1" ht="10.7" customHeight="1" outlineLevel="1" x14ac:dyDescent="0.25">
      <c r="A271" s="124"/>
      <c r="B271" s="142"/>
      <c r="C271" s="115"/>
      <c r="D271" s="115"/>
      <c r="E271" s="115"/>
      <c r="F271" s="115"/>
      <c r="G271" s="60" t="s">
        <v>128</v>
      </c>
      <c r="H271" s="124"/>
      <c r="I271" s="124"/>
      <c r="J271" s="60"/>
      <c r="K271" s="60"/>
      <c r="L271" s="60"/>
      <c r="M271" s="60"/>
      <c r="N271" s="60">
        <f t="shared" si="86"/>
        <v>0</v>
      </c>
      <c r="O271" s="60">
        <f t="shared" si="87"/>
        <v>0</v>
      </c>
    </row>
    <row r="272" spans="1:15" s="38" customFormat="1" ht="10.7" customHeight="1" outlineLevel="1" x14ac:dyDescent="0.25">
      <c r="A272" s="124"/>
      <c r="B272" s="142"/>
      <c r="C272" s="115"/>
      <c r="D272" s="115"/>
      <c r="E272" s="115"/>
      <c r="F272" s="115"/>
      <c r="G272" s="60" t="s">
        <v>129</v>
      </c>
      <c r="H272" s="124"/>
      <c r="I272" s="124"/>
      <c r="J272" s="60"/>
      <c r="K272" s="60"/>
      <c r="L272" s="60"/>
      <c r="M272" s="60"/>
      <c r="N272" s="60">
        <f t="shared" si="86"/>
        <v>0</v>
      </c>
      <c r="O272" s="60">
        <f t="shared" si="87"/>
        <v>0</v>
      </c>
    </row>
    <row r="273" spans="1:15" s="38" customFormat="1" ht="10.7" customHeight="1" outlineLevel="1" x14ac:dyDescent="0.25">
      <c r="A273" s="124"/>
      <c r="B273" s="142"/>
      <c r="C273" s="115"/>
      <c r="D273" s="115"/>
      <c r="E273" s="115"/>
      <c r="F273" s="115"/>
      <c r="G273" s="60" t="s">
        <v>130</v>
      </c>
      <c r="H273" s="124"/>
      <c r="I273" s="124"/>
      <c r="J273" s="60"/>
      <c r="K273" s="60"/>
      <c r="L273" s="60"/>
      <c r="M273" s="60"/>
      <c r="N273" s="60">
        <f t="shared" si="86"/>
        <v>0</v>
      </c>
      <c r="O273" s="60">
        <f t="shared" si="87"/>
        <v>0</v>
      </c>
    </row>
    <row r="274" spans="1:15" s="38" customFormat="1" ht="12" customHeight="1" outlineLevel="1" thickBot="1" x14ac:dyDescent="0.3">
      <c r="A274" s="125"/>
      <c r="B274" s="143"/>
      <c r="C274" s="131"/>
      <c r="D274" s="131"/>
      <c r="E274" s="131"/>
      <c r="F274" s="131"/>
      <c r="G274" s="60" t="s">
        <v>131</v>
      </c>
      <c r="H274" s="134"/>
      <c r="I274" s="134"/>
      <c r="J274" s="60"/>
      <c r="K274" s="60"/>
      <c r="L274" s="60"/>
      <c r="M274" s="60"/>
      <c r="N274" s="60">
        <f t="shared" si="86"/>
        <v>0</v>
      </c>
      <c r="O274" s="60">
        <f t="shared" si="87"/>
        <v>0</v>
      </c>
    </row>
    <row r="275" spans="1:15" s="38" customFormat="1" ht="14.45" customHeight="1" outlineLevel="1" x14ac:dyDescent="0.25">
      <c r="A275" s="140" t="s">
        <v>605</v>
      </c>
      <c r="B275" s="141" t="s">
        <v>606</v>
      </c>
      <c r="C275" s="130">
        <f>SUM(N275:N281)</f>
        <v>0</v>
      </c>
      <c r="D275" s="130">
        <f>SUM(O275:O281)</f>
        <v>0</v>
      </c>
      <c r="E275" s="130">
        <f t="shared" si="83"/>
        <v>0</v>
      </c>
      <c r="F275" s="130"/>
      <c r="G275" s="60" t="s">
        <v>125</v>
      </c>
      <c r="H275" s="123"/>
      <c r="I275" s="123"/>
      <c r="J275" s="60"/>
      <c r="K275" s="60"/>
      <c r="L275" s="60"/>
      <c r="M275" s="60"/>
      <c r="N275" s="60">
        <f>M275*J275*K275*L275</f>
        <v>0</v>
      </c>
      <c r="O275" s="60">
        <f>J275*K275*L275</f>
        <v>0</v>
      </c>
    </row>
    <row r="276" spans="1:15" s="38" customFormat="1" ht="11.45" customHeight="1" outlineLevel="1" x14ac:dyDescent="0.25">
      <c r="A276" s="124"/>
      <c r="B276" s="142"/>
      <c r="C276" s="115"/>
      <c r="D276" s="115"/>
      <c r="E276" s="115"/>
      <c r="F276" s="115"/>
      <c r="G276" s="60" t="s">
        <v>126</v>
      </c>
      <c r="H276" s="124"/>
      <c r="I276" s="124"/>
      <c r="J276" s="60"/>
      <c r="K276" s="60"/>
      <c r="L276" s="60"/>
      <c r="M276" s="60"/>
      <c r="N276" s="60">
        <f t="shared" ref="N276:N281" si="88">M276*J276*K276*L276</f>
        <v>0</v>
      </c>
      <c r="O276" s="60">
        <f t="shared" ref="O276:O281" si="89">J276*K276*L276</f>
        <v>0</v>
      </c>
    </row>
    <row r="277" spans="1:15" s="38" customFormat="1" ht="10.7" customHeight="1" outlineLevel="1" x14ac:dyDescent="0.25">
      <c r="A277" s="124"/>
      <c r="B277" s="142"/>
      <c r="C277" s="115"/>
      <c r="D277" s="115"/>
      <c r="E277" s="115"/>
      <c r="F277" s="115"/>
      <c r="G277" s="60" t="s">
        <v>127</v>
      </c>
      <c r="H277" s="124"/>
      <c r="I277" s="124"/>
      <c r="J277" s="60"/>
      <c r="K277" s="60"/>
      <c r="L277" s="60"/>
      <c r="M277" s="60"/>
      <c r="N277" s="60">
        <f t="shared" si="88"/>
        <v>0</v>
      </c>
      <c r="O277" s="60">
        <f t="shared" si="89"/>
        <v>0</v>
      </c>
    </row>
    <row r="278" spans="1:15" s="38" customFormat="1" ht="10.7" customHeight="1" outlineLevel="1" x14ac:dyDescent="0.25">
      <c r="A278" s="124"/>
      <c r="B278" s="142"/>
      <c r="C278" s="115"/>
      <c r="D278" s="115"/>
      <c r="E278" s="115"/>
      <c r="F278" s="115"/>
      <c r="G278" s="60" t="s">
        <v>128</v>
      </c>
      <c r="H278" s="124"/>
      <c r="I278" s="124"/>
      <c r="J278" s="60"/>
      <c r="K278" s="60"/>
      <c r="L278" s="60"/>
      <c r="M278" s="60"/>
      <c r="N278" s="60">
        <f t="shared" si="88"/>
        <v>0</v>
      </c>
      <c r="O278" s="60">
        <f t="shared" si="89"/>
        <v>0</v>
      </c>
    </row>
    <row r="279" spans="1:15" s="38" customFormat="1" ht="10.7" customHeight="1" outlineLevel="1" x14ac:dyDescent="0.25">
      <c r="A279" s="124"/>
      <c r="B279" s="142"/>
      <c r="C279" s="115"/>
      <c r="D279" s="115"/>
      <c r="E279" s="115"/>
      <c r="F279" s="115"/>
      <c r="G279" s="60" t="s">
        <v>129</v>
      </c>
      <c r="H279" s="124"/>
      <c r="I279" s="124"/>
      <c r="J279" s="60"/>
      <c r="K279" s="60"/>
      <c r="L279" s="60"/>
      <c r="M279" s="60"/>
      <c r="N279" s="60">
        <f t="shared" si="88"/>
        <v>0</v>
      </c>
      <c r="O279" s="60">
        <f t="shared" si="89"/>
        <v>0</v>
      </c>
    </row>
    <row r="280" spans="1:15" s="38" customFormat="1" ht="10.7" customHeight="1" outlineLevel="1" x14ac:dyDescent="0.25">
      <c r="A280" s="124"/>
      <c r="B280" s="142"/>
      <c r="C280" s="115"/>
      <c r="D280" s="115"/>
      <c r="E280" s="115"/>
      <c r="F280" s="115"/>
      <c r="G280" s="60" t="s">
        <v>130</v>
      </c>
      <c r="H280" s="124"/>
      <c r="I280" s="124"/>
      <c r="J280" s="60"/>
      <c r="K280" s="60"/>
      <c r="L280" s="60"/>
      <c r="M280" s="60"/>
      <c r="N280" s="60">
        <f t="shared" si="88"/>
        <v>0</v>
      </c>
      <c r="O280" s="60">
        <f t="shared" si="89"/>
        <v>0</v>
      </c>
    </row>
    <row r="281" spans="1:15" s="38" customFormat="1" ht="12" customHeight="1" outlineLevel="1" thickBot="1" x14ac:dyDescent="0.3">
      <c r="A281" s="125"/>
      <c r="B281" s="143"/>
      <c r="C281" s="131"/>
      <c r="D281" s="131"/>
      <c r="E281" s="131"/>
      <c r="F281" s="131"/>
      <c r="G281" s="60" t="s">
        <v>131</v>
      </c>
      <c r="H281" s="134"/>
      <c r="I281" s="134"/>
      <c r="J281" s="60"/>
      <c r="K281" s="60"/>
      <c r="L281" s="60"/>
      <c r="M281" s="60"/>
      <c r="N281" s="60">
        <f t="shared" si="88"/>
        <v>0</v>
      </c>
      <c r="O281" s="60">
        <f t="shared" si="89"/>
        <v>0</v>
      </c>
    </row>
    <row r="282" spans="1:15" s="39" customFormat="1" ht="15.75" x14ac:dyDescent="0.25">
      <c r="A282" s="40" t="s">
        <v>44</v>
      </c>
      <c r="B282" s="41" t="s">
        <v>176</v>
      </c>
      <c r="C282" s="42">
        <f>SUM(C283:C296)</f>
        <v>0</v>
      </c>
      <c r="D282" s="42">
        <f>SUM(D283:D296)</f>
        <v>0</v>
      </c>
      <c r="E282" s="42">
        <f>SUM(E283:E296)</f>
        <v>0</v>
      </c>
      <c r="F282" s="57"/>
      <c r="G282" s="57"/>
      <c r="H282" s="57"/>
      <c r="I282" s="57"/>
      <c r="J282" s="57"/>
      <c r="K282" s="57"/>
      <c r="L282" s="57"/>
      <c r="M282" s="57"/>
      <c r="N282" s="57"/>
      <c r="O282" s="43"/>
    </row>
    <row r="283" spans="1:15" s="38" customFormat="1" ht="14.45" customHeight="1" outlineLevel="1" x14ac:dyDescent="0.25">
      <c r="A283" s="140" t="s">
        <v>182</v>
      </c>
      <c r="B283" s="141" t="s">
        <v>378</v>
      </c>
      <c r="C283" s="130">
        <f>SUM(N283:N289)</f>
        <v>0</v>
      </c>
      <c r="D283" s="130">
        <f>SUM(O283:O289)</f>
        <v>0</v>
      </c>
      <c r="E283" s="130">
        <f t="shared" ref="E283:E290" si="90">D283/8</f>
        <v>0</v>
      </c>
      <c r="F283" s="130"/>
      <c r="G283" s="60" t="s">
        <v>125</v>
      </c>
      <c r="H283" s="123"/>
      <c r="I283" s="123"/>
      <c r="J283" s="60"/>
      <c r="K283" s="60"/>
      <c r="L283" s="60"/>
      <c r="M283" s="60"/>
      <c r="N283" s="60">
        <f>M283*J283*K283*L283</f>
        <v>0</v>
      </c>
      <c r="O283" s="60">
        <f>J283*K283*L283</f>
        <v>0</v>
      </c>
    </row>
    <row r="284" spans="1:15" s="38" customFormat="1" ht="11.45" customHeight="1" outlineLevel="1" x14ac:dyDescent="0.25">
      <c r="A284" s="124"/>
      <c r="B284" s="142"/>
      <c r="C284" s="115"/>
      <c r="D284" s="115"/>
      <c r="E284" s="115"/>
      <c r="F284" s="115"/>
      <c r="G284" s="60" t="s">
        <v>126</v>
      </c>
      <c r="H284" s="124"/>
      <c r="I284" s="124"/>
      <c r="J284" s="60"/>
      <c r="K284" s="60"/>
      <c r="L284" s="60"/>
      <c r="M284" s="60"/>
      <c r="N284" s="60">
        <f t="shared" ref="N284:N289" si="91">M284*J284*K284*L284</f>
        <v>0</v>
      </c>
      <c r="O284" s="60">
        <f t="shared" ref="O284:O289" si="92">J284*K284*L284</f>
        <v>0</v>
      </c>
    </row>
    <row r="285" spans="1:15" s="38" customFormat="1" ht="10.7" customHeight="1" outlineLevel="1" x14ac:dyDescent="0.25">
      <c r="A285" s="124"/>
      <c r="B285" s="142"/>
      <c r="C285" s="115"/>
      <c r="D285" s="115"/>
      <c r="E285" s="115"/>
      <c r="F285" s="115"/>
      <c r="G285" s="60" t="s">
        <v>127</v>
      </c>
      <c r="H285" s="124"/>
      <c r="I285" s="124"/>
      <c r="J285" s="60"/>
      <c r="K285" s="60"/>
      <c r="L285" s="60"/>
      <c r="M285" s="60"/>
      <c r="N285" s="60">
        <f t="shared" si="91"/>
        <v>0</v>
      </c>
      <c r="O285" s="60">
        <f t="shared" si="92"/>
        <v>0</v>
      </c>
    </row>
    <row r="286" spans="1:15" s="38" customFormat="1" ht="10.7" customHeight="1" outlineLevel="1" x14ac:dyDescent="0.25">
      <c r="A286" s="124"/>
      <c r="B286" s="142"/>
      <c r="C286" s="115"/>
      <c r="D286" s="115"/>
      <c r="E286" s="115"/>
      <c r="F286" s="115"/>
      <c r="G286" s="60" t="s">
        <v>128</v>
      </c>
      <c r="H286" s="124"/>
      <c r="I286" s="124"/>
      <c r="J286" s="60"/>
      <c r="K286" s="60"/>
      <c r="L286" s="60"/>
      <c r="M286" s="60"/>
      <c r="N286" s="60">
        <f t="shared" si="91"/>
        <v>0</v>
      </c>
      <c r="O286" s="60">
        <f t="shared" si="92"/>
        <v>0</v>
      </c>
    </row>
    <row r="287" spans="1:15" s="38" customFormat="1" ht="10.7" customHeight="1" outlineLevel="1" x14ac:dyDescent="0.25">
      <c r="A287" s="124"/>
      <c r="B287" s="142"/>
      <c r="C287" s="115"/>
      <c r="D287" s="115"/>
      <c r="E287" s="115"/>
      <c r="F287" s="115"/>
      <c r="G287" s="60" t="s">
        <v>129</v>
      </c>
      <c r="H287" s="124"/>
      <c r="I287" s="124"/>
      <c r="J287" s="60"/>
      <c r="K287" s="60"/>
      <c r="L287" s="60"/>
      <c r="M287" s="60"/>
      <c r="N287" s="60">
        <f t="shared" si="91"/>
        <v>0</v>
      </c>
      <c r="O287" s="60">
        <f t="shared" si="92"/>
        <v>0</v>
      </c>
    </row>
    <row r="288" spans="1:15" s="38" customFormat="1" ht="10.7" customHeight="1" outlineLevel="1" x14ac:dyDescent="0.25">
      <c r="A288" s="124"/>
      <c r="B288" s="142"/>
      <c r="C288" s="115"/>
      <c r="D288" s="115"/>
      <c r="E288" s="115"/>
      <c r="F288" s="115"/>
      <c r="G288" s="60" t="s">
        <v>130</v>
      </c>
      <c r="H288" s="124"/>
      <c r="I288" s="124"/>
      <c r="J288" s="60"/>
      <c r="K288" s="60"/>
      <c r="L288" s="60"/>
      <c r="M288" s="60"/>
      <c r="N288" s="60">
        <f t="shared" si="91"/>
        <v>0</v>
      </c>
      <c r="O288" s="60">
        <f t="shared" si="92"/>
        <v>0</v>
      </c>
    </row>
    <row r="289" spans="1:15" s="38" customFormat="1" ht="12" customHeight="1" outlineLevel="1" thickBot="1" x14ac:dyDescent="0.3">
      <c r="A289" s="125"/>
      <c r="B289" s="143"/>
      <c r="C289" s="131"/>
      <c r="D289" s="131"/>
      <c r="E289" s="131"/>
      <c r="F289" s="131"/>
      <c r="G289" s="60" t="s">
        <v>131</v>
      </c>
      <c r="H289" s="134"/>
      <c r="I289" s="134"/>
      <c r="J289" s="60"/>
      <c r="K289" s="60"/>
      <c r="L289" s="60"/>
      <c r="M289" s="60"/>
      <c r="N289" s="60">
        <f t="shared" si="91"/>
        <v>0</v>
      </c>
      <c r="O289" s="60">
        <f t="shared" si="92"/>
        <v>0</v>
      </c>
    </row>
    <row r="290" spans="1:15" s="38" customFormat="1" ht="14.45" customHeight="1" outlineLevel="1" x14ac:dyDescent="0.25">
      <c r="A290" s="140" t="s">
        <v>184</v>
      </c>
      <c r="B290" s="141" t="s">
        <v>379</v>
      </c>
      <c r="C290" s="130">
        <f>SUM(N290:N296)</f>
        <v>0</v>
      </c>
      <c r="D290" s="130">
        <f>SUM(O290:O296)</f>
        <v>0</v>
      </c>
      <c r="E290" s="130">
        <f t="shared" si="90"/>
        <v>0</v>
      </c>
      <c r="F290" s="130"/>
      <c r="G290" s="60" t="s">
        <v>125</v>
      </c>
      <c r="H290" s="123"/>
      <c r="I290" s="123"/>
      <c r="J290" s="60"/>
      <c r="K290" s="60"/>
      <c r="L290" s="60"/>
      <c r="M290" s="60"/>
      <c r="N290" s="60">
        <f>M290*J290*K290*L290</f>
        <v>0</v>
      </c>
      <c r="O290" s="60">
        <f>J290*K290*L290</f>
        <v>0</v>
      </c>
    </row>
    <row r="291" spans="1:15" s="38" customFormat="1" ht="11.45" customHeight="1" outlineLevel="1" x14ac:dyDescent="0.25">
      <c r="A291" s="124"/>
      <c r="B291" s="142"/>
      <c r="C291" s="115"/>
      <c r="D291" s="115"/>
      <c r="E291" s="115"/>
      <c r="F291" s="115"/>
      <c r="G291" s="60" t="s">
        <v>126</v>
      </c>
      <c r="H291" s="124"/>
      <c r="I291" s="124"/>
      <c r="J291" s="60"/>
      <c r="K291" s="60"/>
      <c r="L291" s="60"/>
      <c r="M291" s="60"/>
      <c r="N291" s="60">
        <f t="shared" ref="N291:N296" si="93">M291*J291*K291*L291</f>
        <v>0</v>
      </c>
      <c r="O291" s="60">
        <f t="shared" ref="O291:O296" si="94">J291*K291*L291</f>
        <v>0</v>
      </c>
    </row>
    <row r="292" spans="1:15" s="38" customFormat="1" ht="10.7" customHeight="1" outlineLevel="1" x14ac:dyDescent="0.25">
      <c r="A292" s="124"/>
      <c r="B292" s="142"/>
      <c r="C292" s="115"/>
      <c r="D292" s="115"/>
      <c r="E292" s="115"/>
      <c r="F292" s="115"/>
      <c r="G292" s="60" t="s">
        <v>127</v>
      </c>
      <c r="H292" s="124"/>
      <c r="I292" s="124"/>
      <c r="J292" s="60"/>
      <c r="K292" s="60"/>
      <c r="L292" s="60"/>
      <c r="M292" s="60"/>
      <c r="N292" s="60">
        <f t="shared" si="93"/>
        <v>0</v>
      </c>
      <c r="O292" s="60">
        <f t="shared" si="94"/>
        <v>0</v>
      </c>
    </row>
    <row r="293" spans="1:15" s="38" customFormat="1" ht="10.7" customHeight="1" outlineLevel="1" x14ac:dyDescent="0.25">
      <c r="A293" s="124"/>
      <c r="B293" s="142"/>
      <c r="C293" s="115"/>
      <c r="D293" s="115"/>
      <c r="E293" s="115"/>
      <c r="F293" s="115"/>
      <c r="G293" s="60" t="s">
        <v>128</v>
      </c>
      <c r="H293" s="124"/>
      <c r="I293" s="124"/>
      <c r="J293" s="60"/>
      <c r="K293" s="60"/>
      <c r="L293" s="60"/>
      <c r="M293" s="60"/>
      <c r="N293" s="60">
        <f t="shared" si="93"/>
        <v>0</v>
      </c>
      <c r="O293" s="60">
        <f t="shared" si="94"/>
        <v>0</v>
      </c>
    </row>
    <row r="294" spans="1:15" s="38" customFormat="1" ht="10.7" customHeight="1" outlineLevel="1" x14ac:dyDescent="0.25">
      <c r="A294" s="124"/>
      <c r="B294" s="142"/>
      <c r="C294" s="115"/>
      <c r="D294" s="115"/>
      <c r="E294" s="115"/>
      <c r="F294" s="115"/>
      <c r="G294" s="60" t="s">
        <v>129</v>
      </c>
      <c r="H294" s="124"/>
      <c r="I294" s="124"/>
      <c r="J294" s="60"/>
      <c r="K294" s="60"/>
      <c r="L294" s="60"/>
      <c r="M294" s="60"/>
      <c r="N294" s="60">
        <f t="shared" si="93"/>
        <v>0</v>
      </c>
      <c r="O294" s="60">
        <f t="shared" si="94"/>
        <v>0</v>
      </c>
    </row>
    <row r="295" spans="1:15" s="38" customFormat="1" ht="10.7" customHeight="1" outlineLevel="1" x14ac:dyDescent="0.25">
      <c r="A295" s="124"/>
      <c r="B295" s="142"/>
      <c r="C295" s="115"/>
      <c r="D295" s="115"/>
      <c r="E295" s="115"/>
      <c r="F295" s="115"/>
      <c r="G295" s="60" t="s">
        <v>130</v>
      </c>
      <c r="H295" s="124"/>
      <c r="I295" s="124"/>
      <c r="J295" s="60"/>
      <c r="K295" s="60"/>
      <c r="L295" s="60"/>
      <c r="M295" s="60"/>
      <c r="N295" s="60">
        <f t="shared" si="93"/>
        <v>0</v>
      </c>
      <c r="O295" s="60">
        <f t="shared" si="94"/>
        <v>0</v>
      </c>
    </row>
    <row r="296" spans="1:15" s="38" customFormat="1" ht="12" customHeight="1" outlineLevel="1" thickBot="1" x14ac:dyDescent="0.3">
      <c r="A296" s="125"/>
      <c r="B296" s="143"/>
      <c r="C296" s="131"/>
      <c r="D296" s="131"/>
      <c r="E296" s="131"/>
      <c r="F296" s="131"/>
      <c r="G296" s="60" t="s">
        <v>131</v>
      </c>
      <c r="H296" s="134"/>
      <c r="I296" s="134"/>
      <c r="J296" s="60"/>
      <c r="K296" s="60"/>
      <c r="L296" s="60"/>
      <c r="M296" s="60"/>
      <c r="N296" s="60">
        <f t="shared" si="93"/>
        <v>0</v>
      </c>
      <c r="O296" s="60">
        <f t="shared" si="94"/>
        <v>0</v>
      </c>
    </row>
    <row r="297" spans="1:15" s="39" customFormat="1" ht="15.75" x14ac:dyDescent="0.25">
      <c r="A297" s="40" t="s">
        <v>252</v>
      </c>
      <c r="B297" s="41" t="s">
        <v>607</v>
      </c>
      <c r="C297" s="42">
        <f>SUM(C298:C745)</f>
        <v>0</v>
      </c>
      <c r="D297" s="42">
        <f>SUM(D298:D745)</f>
        <v>0</v>
      </c>
      <c r="E297" s="42">
        <f>SUM(E298:E745)</f>
        <v>0</v>
      </c>
      <c r="F297" s="57"/>
      <c r="G297" s="57"/>
      <c r="H297" s="57"/>
      <c r="I297" s="57"/>
      <c r="J297" s="57"/>
      <c r="K297" s="57"/>
      <c r="L297" s="57"/>
      <c r="M297" s="57"/>
      <c r="N297" s="57"/>
      <c r="O297" s="43"/>
    </row>
    <row r="298" spans="1:15" s="38" customFormat="1" ht="14.45" customHeight="1" outlineLevel="1" x14ac:dyDescent="0.25">
      <c r="A298" s="140" t="s">
        <v>81</v>
      </c>
      <c r="B298" s="141" t="s">
        <v>608</v>
      </c>
      <c r="C298" s="130">
        <f>SUM(N298:N304)</f>
        <v>0</v>
      </c>
      <c r="D298" s="130">
        <f>SUM(O298:O304)</f>
        <v>0</v>
      </c>
      <c r="E298" s="130">
        <f t="shared" ref="E298:E361" si="95">D298/8</f>
        <v>0</v>
      </c>
      <c r="F298" s="130"/>
      <c r="G298" s="60" t="s">
        <v>125</v>
      </c>
      <c r="H298" s="123"/>
      <c r="I298" s="123"/>
      <c r="J298" s="60"/>
      <c r="K298" s="60"/>
      <c r="L298" s="60"/>
      <c r="M298" s="60"/>
      <c r="N298" s="60">
        <f>M298*J298*K298*L298</f>
        <v>0</v>
      </c>
      <c r="O298" s="60">
        <f>J298*K298*L298</f>
        <v>0</v>
      </c>
    </row>
    <row r="299" spans="1:15" s="38" customFormat="1" ht="11.45" customHeight="1" outlineLevel="1" x14ac:dyDescent="0.25">
      <c r="A299" s="124"/>
      <c r="B299" s="142"/>
      <c r="C299" s="115"/>
      <c r="D299" s="115"/>
      <c r="E299" s="115"/>
      <c r="F299" s="115"/>
      <c r="G299" s="60" t="s">
        <v>126</v>
      </c>
      <c r="H299" s="124"/>
      <c r="I299" s="124"/>
      <c r="J299" s="60"/>
      <c r="K299" s="60"/>
      <c r="L299" s="60"/>
      <c r="M299" s="60"/>
      <c r="N299" s="60">
        <f t="shared" ref="N299:N304" si="96">M299*J299*K299*L299</f>
        <v>0</v>
      </c>
      <c r="O299" s="60">
        <f t="shared" ref="O299:O304" si="97">J299*K299*L299</f>
        <v>0</v>
      </c>
    </row>
    <row r="300" spans="1:15" s="38" customFormat="1" ht="10.7" customHeight="1" outlineLevel="1" x14ac:dyDescent="0.25">
      <c r="A300" s="124"/>
      <c r="B300" s="142"/>
      <c r="C300" s="115"/>
      <c r="D300" s="115"/>
      <c r="E300" s="115"/>
      <c r="F300" s="115"/>
      <c r="G300" s="60" t="s">
        <v>127</v>
      </c>
      <c r="H300" s="124"/>
      <c r="I300" s="124"/>
      <c r="J300" s="60"/>
      <c r="K300" s="60"/>
      <c r="L300" s="60"/>
      <c r="M300" s="60"/>
      <c r="N300" s="60">
        <f t="shared" si="96"/>
        <v>0</v>
      </c>
      <c r="O300" s="60">
        <f t="shared" si="97"/>
        <v>0</v>
      </c>
    </row>
    <row r="301" spans="1:15" s="38" customFormat="1" ht="10.7" customHeight="1" outlineLevel="1" x14ac:dyDescent="0.25">
      <c r="A301" s="124"/>
      <c r="B301" s="142"/>
      <c r="C301" s="115"/>
      <c r="D301" s="115"/>
      <c r="E301" s="115"/>
      <c r="F301" s="115"/>
      <c r="G301" s="60" t="s">
        <v>128</v>
      </c>
      <c r="H301" s="124"/>
      <c r="I301" s="124"/>
      <c r="J301" s="60"/>
      <c r="K301" s="60"/>
      <c r="L301" s="60"/>
      <c r="M301" s="60"/>
      <c r="N301" s="60">
        <f t="shared" si="96"/>
        <v>0</v>
      </c>
      <c r="O301" s="60">
        <f t="shared" si="97"/>
        <v>0</v>
      </c>
    </row>
    <row r="302" spans="1:15" s="38" customFormat="1" ht="10.7" customHeight="1" outlineLevel="1" x14ac:dyDescent="0.25">
      <c r="A302" s="124"/>
      <c r="B302" s="142"/>
      <c r="C302" s="115"/>
      <c r="D302" s="115"/>
      <c r="E302" s="115"/>
      <c r="F302" s="115"/>
      <c r="G302" s="60" t="s">
        <v>129</v>
      </c>
      <c r="H302" s="124"/>
      <c r="I302" s="124"/>
      <c r="J302" s="60"/>
      <c r="K302" s="60"/>
      <c r="L302" s="60"/>
      <c r="M302" s="60"/>
      <c r="N302" s="60">
        <f t="shared" si="96"/>
        <v>0</v>
      </c>
      <c r="O302" s="60">
        <f t="shared" si="97"/>
        <v>0</v>
      </c>
    </row>
    <row r="303" spans="1:15" s="38" customFormat="1" ht="10.7" customHeight="1" outlineLevel="1" x14ac:dyDescent="0.25">
      <c r="A303" s="124"/>
      <c r="B303" s="142"/>
      <c r="C303" s="115"/>
      <c r="D303" s="115"/>
      <c r="E303" s="115"/>
      <c r="F303" s="115"/>
      <c r="G303" s="60" t="s">
        <v>130</v>
      </c>
      <c r="H303" s="124"/>
      <c r="I303" s="124"/>
      <c r="J303" s="60"/>
      <c r="K303" s="60"/>
      <c r="L303" s="60"/>
      <c r="M303" s="60"/>
      <c r="N303" s="60">
        <f t="shared" si="96"/>
        <v>0</v>
      </c>
      <c r="O303" s="60">
        <f t="shared" si="97"/>
        <v>0</v>
      </c>
    </row>
    <row r="304" spans="1:15" s="38" customFormat="1" ht="12" customHeight="1" outlineLevel="1" thickBot="1" x14ac:dyDescent="0.3">
      <c r="A304" s="125"/>
      <c r="B304" s="143"/>
      <c r="C304" s="131"/>
      <c r="D304" s="131"/>
      <c r="E304" s="131"/>
      <c r="F304" s="131"/>
      <c r="G304" s="60" t="s">
        <v>131</v>
      </c>
      <c r="H304" s="134"/>
      <c r="I304" s="134"/>
      <c r="J304" s="60"/>
      <c r="K304" s="60"/>
      <c r="L304" s="60"/>
      <c r="M304" s="60"/>
      <c r="N304" s="60">
        <f t="shared" si="96"/>
        <v>0</v>
      </c>
      <c r="O304" s="60">
        <f t="shared" si="97"/>
        <v>0</v>
      </c>
    </row>
    <row r="305" spans="1:15" s="38" customFormat="1" ht="14.45" customHeight="1" outlineLevel="1" x14ac:dyDescent="0.25">
      <c r="A305" s="140" t="s">
        <v>255</v>
      </c>
      <c r="B305" s="141" t="s">
        <v>609</v>
      </c>
      <c r="C305" s="130">
        <f>SUM(N305:N311)</f>
        <v>0</v>
      </c>
      <c r="D305" s="130">
        <f>SUM(O305:O311)</f>
        <v>0</v>
      </c>
      <c r="E305" s="130">
        <f t="shared" si="95"/>
        <v>0</v>
      </c>
      <c r="F305" s="130"/>
      <c r="G305" s="60" t="s">
        <v>125</v>
      </c>
      <c r="H305" s="123"/>
      <c r="I305" s="123"/>
      <c r="J305" s="60"/>
      <c r="K305" s="60"/>
      <c r="L305" s="60"/>
      <c r="M305" s="60"/>
      <c r="N305" s="60">
        <f>M305*J305*K305*L305</f>
        <v>0</v>
      </c>
      <c r="O305" s="60">
        <f>J305*K305*L305</f>
        <v>0</v>
      </c>
    </row>
    <row r="306" spans="1:15" s="38" customFormat="1" ht="11.45" customHeight="1" outlineLevel="1" x14ac:dyDescent="0.25">
      <c r="A306" s="124"/>
      <c r="B306" s="142"/>
      <c r="C306" s="115"/>
      <c r="D306" s="115"/>
      <c r="E306" s="115"/>
      <c r="F306" s="115"/>
      <c r="G306" s="60" t="s">
        <v>126</v>
      </c>
      <c r="H306" s="124"/>
      <c r="I306" s="124"/>
      <c r="J306" s="60"/>
      <c r="K306" s="60"/>
      <c r="L306" s="60"/>
      <c r="M306" s="60"/>
      <c r="N306" s="60">
        <f t="shared" ref="N306:N311" si="98">M306*J306*K306*L306</f>
        <v>0</v>
      </c>
      <c r="O306" s="60">
        <f t="shared" ref="O306:O311" si="99">J306*K306*L306</f>
        <v>0</v>
      </c>
    </row>
    <row r="307" spans="1:15" s="38" customFormat="1" ht="10.7" customHeight="1" outlineLevel="1" x14ac:dyDescent="0.25">
      <c r="A307" s="124"/>
      <c r="B307" s="142"/>
      <c r="C307" s="115"/>
      <c r="D307" s="115"/>
      <c r="E307" s="115"/>
      <c r="F307" s="115"/>
      <c r="G307" s="60" t="s">
        <v>127</v>
      </c>
      <c r="H307" s="124"/>
      <c r="I307" s="124"/>
      <c r="J307" s="60"/>
      <c r="K307" s="60"/>
      <c r="L307" s="60"/>
      <c r="M307" s="60"/>
      <c r="N307" s="60">
        <f t="shared" si="98"/>
        <v>0</v>
      </c>
      <c r="O307" s="60">
        <f t="shared" si="99"/>
        <v>0</v>
      </c>
    </row>
    <row r="308" spans="1:15" s="38" customFormat="1" ht="10.7" customHeight="1" outlineLevel="1" x14ac:dyDescent="0.25">
      <c r="A308" s="124"/>
      <c r="B308" s="142"/>
      <c r="C308" s="115"/>
      <c r="D308" s="115"/>
      <c r="E308" s="115"/>
      <c r="F308" s="115"/>
      <c r="G308" s="60" t="s">
        <v>128</v>
      </c>
      <c r="H308" s="124"/>
      <c r="I308" s="124"/>
      <c r="J308" s="60"/>
      <c r="K308" s="60"/>
      <c r="L308" s="60"/>
      <c r="M308" s="60"/>
      <c r="N308" s="60">
        <f t="shared" si="98"/>
        <v>0</v>
      </c>
      <c r="O308" s="60">
        <f t="shared" si="99"/>
        <v>0</v>
      </c>
    </row>
    <row r="309" spans="1:15" s="38" customFormat="1" ht="10.7" customHeight="1" outlineLevel="1" x14ac:dyDescent="0.25">
      <c r="A309" s="124"/>
      <c r="B309" s="142"/>
      <c r="C309" s="115"/>
      <c r="D309" s="115"/>
      <c r="E309" s="115"/>
      <c r="F309" s="115"/>
      <c r="G309" s="60" t="s">
        <v>129</v>
      </c>
      <c r="H309" s="124"/>
      <c r="I309" s="124"/>
      <c r="J309" s="60"/>
      <c r="K309" s="60"/>
      <c r="L309" s="60"/>
      <c r="M309" s="60"/>
      <c r="N309" s="60">
        <f t="shared" si="98"/>
        <v>0</v>
      </c>
      <c r="O309" s="60">
        <f t="shared" si="99"/>
        <v>0</v>
      </c>
    </row>
    <row r="310" spans="1:15" s="38" customFormat="1" ht="10.7" customHeight="1" outlineLevel="1" x14ac:dyDescent="0.25">
      <c r="A310" s="124"/>
      <c r="B310" s="142"/>
      <c r="C310" s="115"/>
      <c r="D310" s="115"/>
      <c r="E310" s="115"/>
      <c r="F310" s="115"/>
      <c r="G310" s="60" t="s">
        <v>130</v>
      </c>
      <c r="H310" s="124"/>
      <c r="I310" s="124"/>
      <c r="J310" s="60"/>
      <c r="K310" s="60"/>
      <c r="L310" s="60"/>
      <c r="M310" s="60"/>
      <c r="N310" s="60">
        <f t="shared" si="98"/>
        <v>0</v>
      </c>
      <c r="O310" s="60">
        <f t="shared" si="99"/>
        <v>0</v>
      </c>
    </row>
    <row r="311" spans="1:15" s="38" customFormat="1" ht="12" customHeight="1" outlineLevel="1" thickBot="1" x14ac:dyDescent="0.3">
      <c r="A311" s="125"/>
      <c r="B311" s="143"/>
      <c r="C311" s="131"/>
      <c r="D311" s="131"/>
      <c r="E311" s="131"/>
      <c r="F311" s="131"/>
      <c r="G311" s="60" t="s">
        <v>131</v>
      </c>
      <c r="H311" s="134"/>
      <c r="I311" s="134"/>
      <c r="J311" s="60"/>
      <c r="K311" s="60"/>
      <c r="L311" s="60"/>
      <c r="M311" s="60"/>
      <c r="N311" s="60">
        <f t="shared" si="98"/>
        <v>0</v>
      </c>
      <c r="O311" s="60">
        <f t="shared" si="99"/>
        <v>0</v>
      </c>
    </row>
    <row r="312" spans="1:15" s="38" customFormat="1" ht="14.45" customHeight="1" outlineLevel="1" x14ac:dyDescent="0.25">
      <c r="A312" s="140" t="s">
        <v>610</v>
      </c>
      <c r="B312" s="141" t="s">
        <v>611</v>
      </c>
      <c r="C312" s="130">
        <f>SUM(N312:N318)</f>
        <v>0</v>
      </c>
      <c r="D312" s="130">
        <f>SUM(O312:O318)</f>
        <v>0</v>
      </c>
      <c r="E312" s="130">
        <f t="shared" si="95"/>
        <v>0</v>
      </c>
      <c r="F312" s="130"/>
      <c r="G312" s="60" t="s">
        <v>125</v>
      </c>
      <c r="H312" s="123"/>
      <c r="I312" s="123"/>
      <c r="J312" s="60"/>
      <c r="K312" s="60"/>
      <c r="L312" s="60"/>
      <c r="M312" s="60"/>
      <c r="N312" s="60">
        <f>M312*J312*K312*L312</f>
        <v>0</v>
      </c>
      <c r="O312" s="60">
        <f>J312*K312*L312</f>
        <v>0</v>
      </c>
    </row>
    <row r="313" spans="1:15" s="38" customFormat="1" ht="11.45" customHeight="1" outlineLevel="1" x14ac:dyDescent="0.25">
      <c r="A313" s="124"/>
      <c r="B313" s="142"/>
      <c r="C313" s="115"/>
      <c r="D313" s="115"/>
      <c r="E313" s="115"/>
      <c r="F313" s="115"/>
      <c r="G313" s="60" t="s">
        <v>126</v>
      </c>
      <c r="H313" s="124"/>
      <c r="I313" s="124"/>
      <c r="J313" s="60"/>
      <c r="K313" s="60"/>
      <c r="L313" s="60"/>
      <c r="M313" s="60"/>
      <c r="N313" s="60">
        <f t="shared" ref="N313:N318" si="100">M313*J313*K313*L313</f>
        <v>0</v>
      </c>
      <c r="O313" s="60">
        <f t="shared" ref="O313:O318" si="101">J313*K313*L313</f>
        <v>0</v>
      </c>
    </row>
    <row r="314" spans="1:15" s="38" customFormat="1" ht="10.7" customHeight="1" outlineLevel="1" x14ac:dyDescent="0.25">
      <c r="A314" s="124"/>
      <c r="B314" s="142"/>
      <c r="C314" s="115"/>
      <c r="D314" s="115"/>
      <c r="E314" s="115"/>
      <c r="F314" s="115"/>
      <c r="G314" s="60" t="s">
        <v>127</v>
      </c>
      <c r="H314" s="124"/>
      <c r="I314" s="124"/>
      <c r="J314" s="60"/>
      <c r="K314" s="60"/>
      <c r="L314" s="60"/>
      <c r="M314" s="60"/>
      <c r="N314" s="60">
        <f t="shared" si="100"/>
        <v>0</v>
      </c>
      <c r="O314" s="60">
        <f t="shared" si="101"/>
        <v>0</v>
      </c>
    </row>
    <row r="315" spans="1:15" s="38" customFormat="1" ht="10.7" customHeight="1" outlineLevel="1" x14ac:dyDescent="0.25">
      <c r="A315" s="124"/>
      <c r="B315" s="142"/>
      <c r="C315" s="115"/>
      <c r="D315" s="115"/>
      <c r="E315" s="115"/>
      <c r="F315" s="115"/>
      <c r="G315" s="60" t="s">
        <v>128</v>
      </c>
      <c r="H315" s="124"/>
      <c r="I315" s="124"/>
      <c r="J315" s="60"/>
      <c r="K315" s="60"/>
      <c r="L315" s="60"/>
      <c r="M315" s="60"/>
      <c r="N315" s="60">
        <f t="shared" si="100"/>
        <v>0</v>
      </c>
      <c r="O315" s="60">
        <f t="shared" si="101"/>
        <v>0</v>
      </c>
    </row>
    <row r="316" spans="1:15" s="38" customFormat="1" ht="10.7" customHeight="1" outlineLevel="1" x14ac:dyDescent="0.25">
      <c r="A316" s="124"/>
      <c r="B316" s="142"/>
      <c r="C316" s="115"/>
      <c r="D316" s="115"/>
      <c r="E316" s="115"/>
      <c r="F316" s="115"/>
      <c r="G316" s="60" t="s">
        <v>129</v>
      </c>
      <c r="H316" s="124"/>
      <c r="I316" s="124"/>
      <c r="J316" s="60"/>
      <c r="K316" s="60"/>
      <c r="L316" s="60"/>
      <c r="M316" s="60"/>
      <c r="N316" s="60">
        <f t="shared" si="100"/>
        <v>0</v>
      </c>
      <c r="O316" s="60">
        <f t="shared" si="101"/>
        <v>0</v>
      </c>
    </row>
    <row r="317" spans="1:15" s="38" customFormat="1" ht="10.7" customHeight="1" outlineLevel="1" x14ac:dyDescent="0.25">
      <c r="A317" s="124"/>
      <c r="B317" s="142"/>
      <c r="C317" s="115"/>
      <c r="D317" s="115"/>
      <c r="E317" s="115"/>
      <c r="F317" s="115"/>
      <c r="G317" s="60" t="s">
        <v>130</v>
      </c>
      <c r="H317" s="124"/>
      <c r="I317" s="124"/>
      <c r="J317" s="60"/>
      <c r="K317" s="60"/>
      <c r="L317" s="60"/>
      <c r="M317" s="60"/>
      <c r="N317" s="60">
        <f t="shared" si="100"/>
        <v>0</v>
      </c>
      <c r="O317" s="60">
        <f t="shared" si="101"/>
        <v>0</v>
      </c>
    </row>
    <row r="318" spans="1:15" s="38" customFormat="1" ht="12" customHeight="1" outlineLevel="1" thickBot="1" x14ac:dyDescent="0.3">
      <c r="A318" s="125"/>
      <c r="B318" s="143"/>
      <c r="C318" s="131"/>
      <c r="D318" s="131"/>
      <c r="E318" s="131"/>
      <c r="F318" s="131"/>
      <c r="G318" s="60" t="s">
        <v>131</v>
      </c>
      <c r="H318" s="134"/>
      <c r="I318" s="134"/>
      <c r="J318" s="60"/>
      <c r="K318" s="60"/>
      <c r="L318" s="60"/>
      <c r="M318" s="60"/>
      <c r="N318" s="60">
        <f t="shared" si="100"/>
        <v>0</v>
      </c>
      <c r="O318" s="60">
        <f t="shared" si="101"/>
        <v>0</v>
      </c>
    </row>
    <row r="319" spans="1:15" s="38" customFormat="1" ht="14.45" customHeight="1" outlineLevel="1" x14ac:dyDescent="0.25">
      <c r="A319" s="140" t="s">
        <v>612</v>
      </c>
      <c r="B319" s="141" t="s">
        <v>613</v>
      </c>
      <c r="C319" s="130">
        <f>SUM(N319:N325)</f>
        <v>0</v>
      </c>
      <c r="D319" s="130">
        <f>SUM(O319:O325)</f>
        <v>0</v>
      </c>
      <c r="E319" s="130">
        <f t="shared" si="95"/>
        <v>0</v>
      </c>
      <c r="F319" s="130"/>
      <c r="G319" s="60" t="s">
        <v>125</v>
      </c>
      <c r="H319" s="123"/>
      <c r="I319" s="123"/>
      <c r="J319" s="60"/>
      <c r="K319" s="60"/>
      <c r="L319" s="60"/>
      <c r="M319" s="60"/>
      <c r="N319" s="60">
        <f>M319*J319*K319*L319</f>
        <v>0</v>
      </c>
      <c r="O319" s="60">
        <f>J319*K319*L319</f>
        <v>0</v>
      </c>
    </row>
    <row r="320" spans="1:15" s="38" customFormat="1" ht="11.45" customHeight="1" outlineLevel="1" x14ac:dyDescent="0.25">
      <c r="A320" s="124"/>
      <c r="B320" s="142"/>
      <c r="C320" s="115"/>
      <c r="D320" s="115"/>
      <c r="E320" s="115"/>
      <c r="F320" s="115"/>
      <c r="G320" s="60" t="s">
        <v>126</v>
      </c>
      <c r="H320" s="124"/>
      <c r="I320" s="124"/>
      <c r="J320" s="60"/>
      <c r="K320" s="60"/>
      <c r="L320" s="60"/>
      <c r="M320" s="60"/>
      <c r="N320" s="60">
        <f t="shared" ref="N320:N325" si="102">M320*J320*K320*L320</f>
        <v>0</v>
      </c>
      <c r="O320" s="60">
        <f t="shared" ref="O320:O325" si="103">J320*K320*L320</f>
        <v>0</v>
      </c>
    </row>
    <row r="321" spans="1:15" s="38" customFormat="1" ht="10.7" customHeight="1" outlineLevel="1" x14ac:dyDescent="0.25">
      <c r="A321" s="124"/>
      <c r="B321" s="142"/>
      <c r="C321" s="115"/>
      <c r="D321" s="115"/>
      <c r="E321" s="115"/>
      <c r="F321" s="115"/>
      <c r="G321" s="60" t="s">
        <v>127</v>
      </c>
      <c r="H321" s="124"/>
      <c r="I321" s="124"/>
      <c r="J321" s="60"/>
      <c r="K321" s="60"/>
      <c r="L321" s="60"/>
      <c r="M321" s="60"/>
      <c r="N321" s="60">
        <f t="shared" si="102"/>
        <v>0</v>
      </c>
      <c r="O321" s="60">
        <f t="shared" si="103"/>
        <v>0</v>
      </c>
    </row>
    <row r="322" spans="1:15" s="38" customFormat="1" ht="10.7" customHeight="1" outlineLevel="1" x14ac:dyDescent="0.25">
      <c r="A322" s="124"/>
      <c r="B322" s="142"/>
      <c r="C322" s="115"/>
      <c r="D322" s="115"/>
      <c r="E322" s="115"/>
      <c r="F322" s="115"/>
      <c r="G322" s="60" t="s">
        <v>128</v>
      </c>
      <c r="H322" s="124"/>
      <c r="I322" s="124"/>
      <c r="J322" s="60"/>
      <c r="K322" s="60"/>
      <c r="L322" s="60"/>
      <c r="M322" s="60"/>
      <c r="N322" s="60">
        <f t="shared" si="102"/>
        <v>0</v>
      </c>
      <c r="O322" s="60">
        <f t="shared" si="103"/>
        <v>0</v>
      </c>
    </row>
    <row r="323" spans="1:15" s="38" customFormat="1" ht="10.7" customHeight="1" outlineLevel="1" x14ac:dyDescent="0.25">
      <c r="A323" s="124"/>
      <c r="B323" s="142"/>
      <c r="C323" s="115"/>
      <c r="D323" s="115"/>
      <c r="E323" s="115"/>
      <c r="F323" s="115"/>
      <c r="G323" s="60" t="s">
        <v>129</v>
      </c>
      <c r="H323" s="124"/>
      <c r="I323" s="124"/>
      <c r="J323" s="60"/>
      <c r="K323" s="60"/>
      <c r="L323" s="60"/>
      <c r="M323" s="60"/>
      <c r="N323" s="60">
        <f t="shared" si="102"/>
        <v>0</v>
      </c>
      <c r="O323" s="60">
        <f t="shared" si="103"/>
        <v>0</v>
      </c>
    </row>
    <row r="324" spans="1:15" s="38" customFormat="1" ht="10.7" customHeight="1" outlineLevel="1" x14ac:dyDescent="0.25">
      <c r="A324" s="124"/>
      <c r="B324" s="142"/>
      <c r="C324" s="115"/>
      <c r="D324" s="115"/>
      <c r="E324" s="115"/>
      <c r="F324" s="115"/>
      <c r="G324" s="60" t="s">
        <v>130</v>
      </c>
      <c r="H324" s="124"/>
      <c r="I324" s="124"/>
      <c r="J324" s="60"/>
      <c r="K324" s="60"/>
      <c r="L324" s="60"/>
      <c r="M324" s="60"/>
      <c r="N324" s="60">
        <f t="shared" si="102"/>
        <v>0</v>
      </c>
      <c r="O324" s="60">
        <f t="shared" si="103"/>
        <v>0</v>
      </c>
    </row>
    <row r="325" spans="1:15" s="38" customFormat="1" ht="12" customHeight="1" outlineLevel="1" thickBot="1" x14ac:dyDescent="0.3">
      <c r="A325" s="125"/>
      <c r="B325" s="143"/>
      <c r="C325" s="131"/>
      <c r="D325" s="131"/>
      <c r="E325" s="131"/>
      <c r="F325" s="131"/>
      <c r="G325" s="60" t="s">
        <v>131</v>
      </c>
      <c r="H325" s="134"/>
      <c r="I325" s="134"/>
      <c r="J325" s="60"/>
      <c r="K325" s="60"/>
      <c r="L325" s="60"/>
      <c r="M325" s="60"/>
      <c r="N325" s="60">
        <f t="shared" si="102"/>
        <v>0</v>
      </c>
      <c r="O325" s="60">
        <f t="shared" si="103"/>
        <v>0</v>
      </c>
    </row>
    <row r="326" spans="1:15" s="38" customFormat="1" ht="14.45" customHeight="1" outlineLevel="1" x14ac:dyDescent="0.25">
      <c r="A326" s="140" t="s">
        <v>614</v>
      </c>
      <c r="B326" s="141" t="s">
        <v>615</v>
      </c>
      <c r="C326" s="130">
        <f>SUM(N326:N332)</f>
        <v>0</v>
      </c>
      <c r="D326" s="130">
        <f>SUM(O326:O332)</f>
        <v>0</v>
      </c>
      <c r="E326" s="130">
        <f t="shared" si="95"/>
        <v>0</v>
      </c>
      <c r="F326" s="130"/>
      <c r="G326" s="60" t="s">
        <v>125</v>
      </c>
      <c r="H326" s="123"/>
      <c r="I326" s="123"/>
      <c r="J326" s="60"/>
      <c r="K326" s="60"/>
      <c r="L326" s="60"/>
      <c r="M326" s="60"/>
      <c r="N326" s="60">
        <f>M326*J326*K326*L326</f>
        <v>0</v>
      </c>
      <c r="O326" s="60">
        <f>J326*K326*L326</f>
        <v>0</v>
      </c>
    </row>
    <row r="327" spans="1:15" s="38" customFormat="1" ht="11.45" customHeight="1" outlineLevel="1" x14ac:dyDescent="0.25">
      <c r="A327" s="124"/>
      <c r="B327" s="142"/>
      <c r="C327" s="115"/>
      <c r="D327" s="115"/>
      <c r="E327" s="115"/>
      <c r="F327" s="115"/>
      <c r="G327" s="60" t="s">
        <v>126</v>
      </c>
      <c r="H327" s="124"/>
      <c r="I327" s="124"/>
      <c r="J327" s="60"/>
      <c r="K327" s="60"/>
      <c r="L327" s="60"/>
      <c r="M327" s="60"/>
      <c r="N327" s="60">
        <f t="shared" ref="N327:N332" si="104">M327*J327*K327*L327</f>
        <v>0</v>
      </c>
      <c r="O327" s="60">
        <f t="shared" ref="O327:O332" si="105">J327*K327*L327</f>
        <v>0</v>
      </c>
    </row>
    <row r="328" spans="1:15" s="38" customFormat="1" ht="10.7" customHeight="1" outlineLevel="1" x14ac:dyDescent="0.25">
      <c r="A328" s="124"/>
      <c r="B328" s="142"/>
      <c r="C328" s="115"/>
      <c r="D328" s="115"/>
      <c r="E328" s="115"/>
      <c r="F328" s="115"/>
      <c r="G328" s="60" t="s">
        <v>127</v>
      </c>
      <c r="H328" s="124"/>
      <c r="I328" s="124"/>
      <c r="J328" s="60"/>
      <c r="K328" s="60"/>
      <c r="L328" s="60"/>
      <c r="M328" s="60"/>
      <c r="N328" s="60">
        <f t="shared" si="104"/>
        <v>0</v>
      </c>
      <c r="O328" s="60">
        <f t="shared" si="105"/>
        <v>0</v>
      </c>
    </row>
    <row r="329" spans="1:15" s="38" customFormat="1" ht="10.7" customHeight="1" outlineLevel="1" x14ac:dyDescent="0.25">
      <c r="A329" s="124"/>
      <c r="B329" s="142"/>
      <c r="C329" s="115"/>
      <c r="D329" s="115"/>
      <c r="E329" s="115"/>
      <c r="F329" s="115"/>
      <c r="G329" s="60" t="s">
        <v>128</v>
      </c>
      <c r="H329" s="124"/>
      <c r="I329" s="124"/>
      <c r="J329" s="60"/>
      <c r="K329" s="60"/>
      <c r="L329" s="60"/>
      <c r="M329" s="60"/>
      <c r="N329" s="60">
        <f t="shared" si="104"/>
        <v>0</v>
      </c>
      <c r="O329" s="60">
        <f t="shared" si="105"/>
        <v>0</v>
      </c>
    </row>
    <row r="330" spans="1:15" s="38" customFormat="1" ht="10.7" customHeight="1" outlineLevel="1" x14ac:dyDescent="0.25">
      <c r="A330" s="124"/>
      <c r="B330" s="142"/>
      <c r="C330" s="115"/>
      <c r="D330" s="115"/>
      <c r="E330" s="115"/>
      <c r="F330" s="115"/>
      <c r="G330" s="60" t="s">
        <v>129</v>
      </c>
      <c r="H330" s="124"/>
      <c r="I330" s="124"/>
      <c r="J330" s="60"/>
      <c r="K330" s="60"/>
      <c r="L330" s="60"/>
      <c r="M330" s="60"/>
      <c r="N330" s="60">
        <f t="shared" si="104"/>
        <v>0</v>
      </c>
      <c r="O330" s="60">
        <f t="shared" si="105"/>
        <v>0</v>
      </c>
    </row>
    <row r="331" spans="1:15" s="38" customFormat="1" ht="10.7" customHeight="1" outlineLevel="1" x14ac:dyDescent="0.25">
      <c r="A331" s="124"/>
      <c r="B331" s="142"/>
      <c r="C331" s="115"/>
      <c r="D331" s="115"/>
      <c r="E331" s="115"/>
      <c r="F331" s="115"/>
      <c r="G331" s="60" t="s">
        <v>130</v>
      </c>
      <c r="H331" s="124"/>
      <c r="I331" s="124"/>
      <c r="J331" s="60"/>
      <c r="K331" s="60"/>
      <c r="L331" s="60"/>
      <c r="M331" s="60"/>
      <c r="N331" s="60">
        <f t="shared" si="104"/>
        <v>0</v>
      </c>
      <c r="O331" s="60">
        <f t="shared" si="105"/>
        <v>0</v>
      </c>
    </row>
    <row r="332" spans="1:15" s="38" customFormat="1" ht="12" customHeight="1" outlineLevel="1" thickBot="1" x14ac:dyDescent="0.3">
      <c r="A332" s="125"/>
      <c r="B332" s="143"/>
      <c r="C332" s="131"/>
      <c r="D332" s="131"/>
      <c r="E332" s="131"/>
      <c r="F332" s="131"/>
      <c r="G332" s="60" t="s">
        <v>131</v>
      </c>
      <c r="H332" s="134"/>
      <c r="I332" s="134"/>
      <c r="J332" s="60"/>
      <c r="K332" s="60"/>
      <c r="L332" s="60"/>
      <c r="M332" s="60"/>
      <c r="N332" s="60">
        <f t="shared" si="104"/>
        <v>0</v>
      </c>
      <c r="O332" s="60">
        <f t="shared" si="105"/>
        <v>0</v>
      </c>
    </row>
    <row r="333" spans="1:15" s="38" customFormat="1" ht="14.45" customHeight="1" outlineLevel="1" x14ac:dyDescent="0.25">
      <c r="A333" s="140" t="s">
        <v>616</v>
      </c>
      <c r="B333" s="141" t="s">
        <v>617</v>
      </c>
      <c r="C333" s="130">
        <f>SUM(N333:N339)</f>
        <v>0</v>
      </c>
      <c r="D333" s="130">
        <f>SUM(O333:O339)</f>
        <v>0</v>
      </c>
      <c r="E333" s="130">
        <f t="shared" si="95"/>
        <v>0</v>
      </c>
      <c r="F333" s="130"/>
      <c r="G333" s="60" t="s">
        <v>125</v>
      </c>
      <c r="H333" s="123"/>
      <c r="I333" s="123"/>
      <c r="J333" s="60"/>
      <c r="K333" s="60"/>
      <c r="L333" s="60"/>
      <c r="M333" s="60"/>
      <c r="N333" s="60">
        <f>M333*J333*K333*L333</f>
        <v>0</v>
      </c>
      <c r="O333" s="60">
        <f>J333*K333*L333</f>
        <v>0</v>
      </c>
    </row>
    <row r="334" spans="1:15" s="38" customFormat="1" ht="11.45" customHeight="1" outlineLevel="1" x14ac:dyDescent="0.25">
      <c r="A334" s="124"/>
      <c r="B334" s="142"/>
      <c r="C334" s="115"/>
      <c r="D334" s="115"/>
      <c r="E334" s="115"/>
      <c r="F334" s="115"/>
      <c r="G334" s="60" t="s">
        <v>126</v>
      </c>
      <c r="H334" s="124"/>
      <c r="I334" s="124"/>
      <c r="J334" s="60"/>
      <c r="K334" s="60"/>
      <c r="L334" s="60"/>
      <c r="M334" s="60"/>
      <c r="N334" s="60">
        <f t="shared" ref="N334:N339" si="106">M334*J334*K334*L334</f>
        <v>0</v>
      </c>
      <c r="O334" s="60">
        <f t="shared" ref="O334:O339" si="107">J334*K334*L334</f>
        <v>0</v>
      </c>
    </row>
    <row r="335" spans="1:15" s="38" customFormat="1" ht="10.7" customHeight="1" outlineLevel="1" x14ac:dyDescent="0.25">
      <c r="A335" s="124"/>
      <c r="B335" s="142"/>
      <c r="C335" s="115"/>
      <c r="D335" s="115"/>
      <c r="E335" s="115"/>
      <c r="F335" s="115"/>
      <c r="G335" s="60" t="s">
        <v>127</v>
      </c>
      <c r="H335" s="124"/>
      <c r="I335" s="124"/>
      <c r="J335" s="60"/>
      <c r="K335" s="60"/>
      <c r="L335" s="60"/>
      <c r="M335" s="60"/>
      <c r="N335" s="60">
        <f t="shared" si="106"/>
        <v>0</v>
      </c>
      <c r="O335" s="60">
        <f t="shared" si="107"/>
        <v>0</v>
      </c>
    </row>
    <row r="336" spans="1:15" s="38" customFormat="1" ht="10.7" customHeight="1" outlineLevel="1" x14ac:dyDescent="0.25">
      <c r="A336" s="124"/>
      <c r="B336" s="142"/>
      <c r="C336" s="115"/>
      <c r="D336" s="115"/>
      <c r="E336" s="115"/>
      <c r="F336" s="115"/>
      <c r="G336" s="60" t="s">
        <v>128</v>
      </c>
      <c r="H336" s="124"/>
      <c r="I336" s="124"/>
      <c r="J336" s="60"/>
      <c r="K336" s="60"/>
      <c r="L336" s="60"/>
      <c r="M336" s="60"/>
      <c r="N336" s="60">
        <f t="shared" si="106"/>
        <v>0</v>
      </c>
      <c r="O336" s="60">
        <f t="shared" si="107"/>
        <v>0</v>
      </c>
    </row>
    <row r="337" spans="1:15" s="38" customFormat="1" ht="10.7" customHeight="1" outlineLevel="1" x14ac:dyDescent="0.25">
      <c r="A337" s="124"/>
      <c r="B337" s="142"/>
      <c r="C337" s="115"/>
      <c r="D337" s="115"/>
      <c r="E337" s="115"/>
      <c r="F337" s="115"/>
      <c r="G337" s="60" t="s">
        <v>129</v>
      </c>
      <c r="H337" s="124"/>
      <c r="I337" s="124"/>
      <c r="J337" s="60"/>
      <c r="K337" s="60"/>
      <c r="L337" s="60"/>
      <c r="M337" s="60"/>
      <c r="N337" s="60">
        <f t="shared" si="106"/>
        <v>0</v>
      </c>
      <c r="O337" s="60">
        <f t="shared" si="107"/>
        <v>0</v>
      </c>
    </row>
    <row r="338" spans="1:15" s="38" customFormat="1" ht="10.7" customHeight="1" outlineLevel="1" x14ac:dyDescent="0.25">
      <c r="A338" s="124"/>
      <c r="B338" s="142"/>
      <c r="C338" s="115"/>
      <c r="D338" s="115"/>
      <c r="E338" s="115"/>
      <c r="F338" s="115"/>
      <c r="G338" s="60" t="s">
        <v>130</v>
      </c>
      <c r="H338" s="124"/>
      <c r="I338" s="124"/>
      <c r="J338" s="60"/>
      <c r="K338" s="60"/>
      <c r="L338" s="60"/>
      <c r="M338" s="60"/>
      <c r="N338" s="60">
        <f t="shared" si="106"/>
        <v>0</v>
      </c>
      <c r="O338" s="60">
        <f t="shared" si="107"/>
        <v>0</v>
      </c>
    </row>
    <row r="339" spans="1:15" s="38" customFormat="1" ht="12" customHeight="1" outlineLevel="1" thickBot="1" x14ac:dyDescent="0.3">
      <c r="A339" s="125"/>
      <c r="B339" s="143"/>
      <c r="C339" s="131"/>
      <c r="D339" s="131"/>
      <c r="E339" s="131"/>
      <c r="F339" s="131"/>
      <c r="G339" s="60" t="s">
        <v>131</v>
      </c>
      <c r="H339" s="134"/>
      <c r="I339" s="134"/>
      <c r="J339" s="60"/>
      <c r="K339" s="60"/>
      <c r="L339" s="60"/>
      <c r="M339" s="60"/>
      <c r="N339" s="60">
        <f t="shared" si="106"/>
        <v>0</v>
      </c>
      <c r="O339" s="60">
        <f t="shared" si="107"/>
        <v>0</v>
      </c>
    </row>
    <row r="340" spans="1:15" s="38" customFormat="1" ht="14.45" customHeight="1" outlineLevel="1" x14ac:dyDescent="0.25">
      <c r="A340" s="140" t="s">
        <v>618</v>
      </c>
      <c r="B340" s="141" t="s">
        <v>619</v>
      </c>
      <c r="C340" s="130">
        <f>SUM(N340:N346)</f>
        <v>0</v>
      </c>
      <c r="D340" s="130">
        <f>SUM(O340:O346)</f>
        <v>0</v>
      </c>
      <c r="E340" s="130">
        <f t="shared" si="95"/>
        <v>0</v>
      </c>
      <c r="F340" s="130"/>
      <c r="G340" s="60" t="s">
        <v>125</v>
      </c>
      <c r="H340" s="123"/>
      <c r="I340" s="123"/>
      <c r="J340" s="60"/>
      <c r="K340" s="60"/>
      <c r="L340" s="60"/>
      <c r="M340" s="60"/>
      <c r="N340" s="60">
        <f>M340*J340*K340*L340</f>
        <v>0</v>
      </c>
      <c r="O340" s="60">
        <f>J340*K340*L340</f>
        <v>0</v>
      </c>
    </row>
    <row r="341" spans="1:15" s="38" customFormat="1" ht="11.45" customHeight="1" outlineLevel="1" x14ac:dyDescent="0.25">
      <c r="A341" s="124"/>
      <c r="B341" s="142"/>
      <c r="C341" s="115"/>
      <c r="D341" s="115"/>
      <c r="E341" s="115"/>
      <c r="F341" s="115"/>
      <c r="G341" s="60" t="s">
        <v>126</v>
      </c>
      <c r="H341" s="124"/>
      <c r="I341" s="124"/>
      <c r="J341" s="60"/>
      <c r="K341" s="60"/>
      <c r="L341" s="60"/>
      <c r="M341" s="60"/>
      <c r="N341" s="60">
        <f t="shared" ref="N341:N346" si="108">M341*J341*K341*L341</f>
        <v>0</v>
      </c>
      <c r="O341" s="60">
        <f t="shared" ref="O341:O346" si="109">J341*K341*L341</f>
        <v>0</v>
      </c>
    </row>
    <row r="342" spans="1:15" s="38" customFormat="1" ht="10.7" customHeight="1" outlineLevel="1" x14ac:dyDescent="0.25">
      <c r="A342" s="124"/>
      <c r="B342" s="142"/>
      <c r="C342" s="115"/>
      <c r="D342" s="115"/>
      <c r="E342" s="115"/>
      <c r="F342" s="115"/>
      <c r="G342" s="60" t="s">
        <v>127</v>
      </c>
      <c r="H342" s="124"/>
      <c r="I342" s="124"/>
      <c r="J342" s="60"/>
      <c r="K342" s="60"/>
      <c r="L342" s="60"/>
      <c r="M342" s="60"/>
      <c r="N342" s="60">
        <f t="shared" si="108"/>
        <v>0</v>
      </c>
      <c r="O342" s="60">
        <f t="shared" si="109"/>
        <v>0</v>
      </c>
    </row>
    <row r="343" spans="1:15" s="38" customFormat="1" ht="10.7" customHeight="1" outlineLevel="1" x14ac:dyDescent="0.25">
      <c r="A343" s="124"/>
      <c r="B343" s="142"/>
      <c r="C343" s="115"/>
      <c r="D343" s="115"/>
      <c r="E343" s="115"/>
      <c r="F343" s="115"/>
      <c r="G343" s="60" t="s">
        <v>128</v>
      </c>
      <c r="H343" s="124"/>
      <c r="I343" s="124"/>
      <c r="J343" s="60"/>
      <c r="K343" s="60"/>
      <c r="L343" s="60"/>
      <c r="M343" s="60"/>
      <c r="N343" s="60">
        <f t="shared" si="108"/>
        <v>0</v>
      </c>
      <c r="O343" s="60">
        <f t="shared" si="109"/>
        <v>0</v>
      </c>
    </row>
    <row r="344" spans="1:15" s="38" customFormat="1" ht="10.7" customHeight="1" outlineLevel="1" x14ac:dyDescent="0.25">
      <c r="A344" s="124"/>
      <c r="B344" s="142"/>
      <c r="C344" s="115"/>
      <c r="D344" s="115"/>
      <c r="E344" s="115"/>
      <c r="F344" s="115"/>
      <c r="G344" s="60" t="s">
        <v>129</v>
      </c>
      <c r="H344" s="124"/>
      <c r="I344" s="124"/>
      <c r="J344" s="60"/>
      <c r="K344" s="60"/>
      <c r="L344" s="60"/>
      <c r="M344" s="60"/>
      <c r="N344" s="60">
        <f t="shared" si="108"/>
        <v>0</v>
      </c>
      <c r="O344" s="60">
        <f t="shared" si="109"/>
        <v>0</v>
      </c>
    </row>
    <row r="345" spans="1:15" s="38" customFormat="1" ht="10.7" customHeight="1" outlineLevel="1" x14ac:dyDescent="0.25">
      <c r="A345" s="124"/>
      <c r="B345" s="142"/>
      <c r="C345" s="115"/>
      <c r="D345" s="115"/>
      <c r="E345" s="115"/>
      <c r="F345" s="115"/>
      <c r="G345" s="60" t="s">
        <v>130</v>
      </c>
      <c r="H345" s="124"/>
      <c r="I345" s="124"/>
      <c r="J345" s="60"/>
      <c r="K345" s="60"/>
      <c r="L345" s="60"/>
      <c r="M345" s="60"/>
      <c r="N345" s="60">
        <f t="shared" si="108"/>
        <v>0</v>
      </c>
      <c r="O345" s="60">
        <f t="shared" si="109"/>
        <v>0</v>
      </c>
    </row>
    <row r="346" spans="1:15" s="38" customFormat="1" ht="12" customHeight="1" outlineLevel="1" thickBot="1" x14ac:dyDescent="0.3">
      <c r="A346" s="125"/>
      <c r="B346" s="143"/>
      <c r="C346" s="131"/>
      <c r="D346" s="131"/>
      <c r="E346" s="131"/>
      <c r="F346" s="131"/>
      <c r="G346" s="60" t="s">
        <v>131</v>
      </c>
      <c r="H346" s="134"/>
      <c r="I346" s="134"/>
      <c r="J346" s="60"/>
      <c r="K346" s="60"/>
      <c r="L346" s="60"/>
      <c r="M346" s="60"/>
      <c r="N346" s="60">
        <f t="shared" si="108"/>
        <v>0</v>
      </c>
      <c r="O346" s="60">
        <f t="shared" si="109"/>
        <v>0</v>
      </c>
    </row>
    <row r="347" spans="1:15" s="38" customFormat="1" ht="14.45" customHeight="1" outlineLevel="1" x14ac:dyDescent="0.25">
      <c r="A347" s="140" t="s">
        <v>620</v>
      </c>
      <c r="B347" s="141" t="s">
        <v>621</v>
      </c>
      <c r="C347" s="130">
        <f>SUM(N347:N353)</f>
        <v>0</v>
      </c>
      <c r="D347" s="130">
        <f>SUM(O347:O353)</f>
        <v>0</v>
      </c>
      <c r="E347" s="130">
        <f t="shared" si="95"/>
        <v>0</v>
      </c>
      <c r="F347" s="130"/>
      <c r="G347" s="60" t="s">
        <v>125</v>
      </c>
      <c r="H347" s="123"/>
      <c r="I347" s="123"/>
      <c r="J347" s="60"/>
      <c r="K347" s="60"/>
      <c r="L347" s="60"/>
      <c r="M347" s="60"/>
      <c r="N347" s="60">
        <f>M347*J347*K347*L347</f>
        <v>0</v>
      </c>
      <c r="O347" s="60">
        <f>J347*K347*L347</f>
        <v>0</v>
      </c>
    </row>
    <row r="348" spans="1:15" s="38" customFormat="1" ht="11.45" customHeight="1" outlineLevel="1" x14ac:dyDescent="0.25">
      <c r="A348" s="124"/>
      <c r="B348" s="142"/>
      <c r="C348" s="115"/>
      <c r="D348" s="115"/>
      <c r="E348" s="115"/>
      <c r="F348" s="115"/>
      <c r="G348" s="60" t="s">
        <v>126</v>
      </c>
      <c r="H348" s="124"/>
      <c r="I348" s="124"/>
      <c r="J348" s="60"/>
      <c r="K348" s="60"/>
      <c r="L348" s="60"/>
      <c r="M348" s="60"/>
      <c r="N348" s="60">
        <f t="shared" ref="N348:N353" si="110">M348*J348*K348*L348</f>
        <v>0</v>
      </c>
      <c r="O348" s="60">
        <f t="shared" ref="O348:O353" si="111">J348*K348*L348</f>
        <v>0</v>
      </c>
    </row>
    <row r="349" spans="1:15" s="38" customFormat="1" ht="10.7" customHeight="1" outlineLevel="1" x14ac:dyDescent="0.25">
      <c r="A349" s="124"/>
      <c r="B349" s="142"/>
      <c r="C349" s="115"/>
      <c r="D349" s="115"/>
      <c r="E349" s="115"/>
      <c r="F349" s="115"/>
      <c r="G349" s="60" t="s">
        <v>127</v>
      </c>
      <c r="H349" s="124"/>
      <c r="I349" s="124"/>
      <c r="J349" s="60"/>
      <c r="K349" s="60"/>
      <c r="L349" s="60"/>
      <c r="M349" s="60"/>
      <c r="N349" s="60">
        <f t="shared" si="110"/>
        <v>0</v>
      </c>
      <c r="O349" s="60">
        <f t="shared" si="111"/>
        <v>0</v>
      </c>
    </row>
    <row r="350" spans="1:15" s="38" customFormat="1" ht="10.7" customHeight="1" outlineLevel="1" x14ac:dyDescent="0.25">
      <c r="A350" s="124"/>
      <c r="B350" s="142"/>
      <c r="C350" s="115"/>
      <c r="D350" s="115"/>
      <c r="E350" s="115"/>
      <c r="F350" s="115"/>
      <c r="G350" s="60" t="s">
        <v>128</v>
      </c>
      <c r="H350" s="124"/>
      <c r="I350" s="124"/>
      <c r="J350" s="60"/>
      <c r="K350" s="60"/>
      <c r="L350" s="60"/>
      <c r="M350" s="60"/>
      <c r="N350" s="60">
        <f t="shared" si="110"/>
        <v>0</v>
      </c>
      <c r="O350" s="60">
        <f t="shared" si="111"/>
        <v>0</v>
      </c>
    </row>
    <row r="351" spans="1:15" s="38" customFormat="1" ht="10.7" customHeight="1" outlineLevel="1" x14ac:dyDescent="0.25">
      <c r="A351" s="124"/>
      <c r="B351" s="142"/>
      <c r="C351" s="115"/>
      <c r="D351" s="115"/>
      <c r="E351" s="115"/>
      <c r="F351" s="115"/>
      <c r="G351" s="60" t="s">
        <v>129</v>
      </c>
      <c r="H351" s="124"/>
      <c r="I351" s="124"/>
      <c r="J351" s="60"/>
      <c r="K351" s="60"/>
      <c r="L351" s="60"/>
      <c r="M351" s="60"/>
      <c r="N351" s="60">
        <f t="shared" si="110"/>
        <v>0</v>
      </c>
      <c r="O351" s="60">
        <f t="shared" si="111"/>
        <v>0</v>
      </c>
    </row>
    <row r="352" spans="1:15" s="38" customFormat="1" ht="10.7" customHeight="1" outlineLevel="1" x14ac:dyDescent="0.25">
      <c r="A352" s="124"/>
      <c r="B352" s="142"/>
      <c r="C352" s="115"/>
      <c r="D352" s="115"/>
      <c r="E352" s="115"/>
      <c r="F352" s="115"/>
      <c r="G352" s="60" t="s">
        <v>130</v>
      </c>
      <c r="H352" s="124"/>
      <c r="I352" s="124"/>
      <c r="J352" s="60"/>
      <c r="K352" s="60"/>
      <c r="L352" s="60"/>
      <c r="M352" s="60"/>
      <c r="N352" s="60">
        <f t="shared" si="110"/>
        <v>0</v>
      </c>
      <c r="O352" s="60">
        <f t="shared" si="111"/>
        <v>0</v>
      </c>
    </row>
    <row r="353" spans="1:15" s="38" customFormat="1" ht="12" customHeight="1" outlineLevel="1" thickBot="1" x14ac:dyDescent="0.3">
      <c r="A353" s="125"/>
      <c r="B353" s="143"/>
      <c r="C353" s="131"/>
      <c r="D353" s="131"/>
      <c r="E353" s="131"/>
      <c r="F353" s="131"/>
      <c r="G353" s="60" t="s">
        <v>131</v>
      </c>
      <c r="H353" s="134"/>
      <c r="I353" s="134"/>
      <c r="J353" s="60"/>
      <c r="K353" s="60"/>
      <c r="L353" s="60"/>
      <c r="M353" s="60"/>
      <c r="N353" s="60">
        <f t="shared" si="110"/>
        <v>0</v>
      </c>
      <c r="O353" s="60">
        <f t="shared" si="111"/>
        <v>0</v>
      </c>
    </row>
    <row r="354" spans="1:15" s="38" customFormat="1" ht="14.45" customHeight="1" outlineLevel="1" x14ac:dyDescent="0.25">
      <c r="A354" s="140" t="s">
        <v>622</v>
      </c>
      <c r="B354" s="141" t="s">
        <v>623</v>
      </c>
      <c r="C354" s="130">
        <f>SUM(N354:N360)</f>
        <v>0</v>
      </c>
      <c r="D354" s="130">
        <f>SUM(O354:O360)</f>
        <v>0</v>
      </c>
      <c r="E354" s="130">
        <f t="shared" si="95"/>
        <v>0</v>
      </c>
      <c r="F354" s="130"/>
      <c r="G354" s="60" t="s">
        <v>125</v>
      </c>
      <c r="H354" s="123"/>
      <c r="I354" s="123"/>
      <c r="J354" s="60"/>
      <c r="K354" s="60"/>
      <c r="L354" s="60"/>
      <c r="M354" s="60"/>
      <c r="N354" s="60">
        <f>M354*J354*K354*L354</f>
        <v>0</v>
      </c>
      <c r="O354" s="60">
        <f>J354*K354*L354</f>
        <v>0</v>
      </c>
    </row>
    <row r="355" spans="1:15" s="38" customFormat="1" ht="11.45" customHeight="1" outlineLevel="1" x14ac:dyDescent="0.25">
      <c r="A355" s="124"/>
      <c r="B355" s="142"/>
      <c r="C355" s="115"/>
      <c r="D355" s="115"/>
      <c r="E355" s="115"/>
      <c r="F355" s="115"/>
      <c r="G355" s="60" t="s">
        <v>126</v>
      </c>
      <c r="H355" s="124"/>
      <c r="I355" s="124"/>
      <c r="J355" s="60"/>
      <c r="K355" s="60"/>
      <c r="L355" s="60"/>
      <c r="M355" s="60"/>
      <c r="N355" s="60">
        <f t="shared" ref="N355:N360" si="112">M355*J355*K355*L355</f>
        <v>0</v>
      </c>
      <c r="O355" s="60">
        <f t="shared" ref="O355:O360" si="113">J355*K355*L355</f>
        <v>0</v>
      </c>
    </row>
    <row r="356" spans="1:15" s="38" customFormat="1" ht="10.7" customHeight="1" outlineLevel="1" x14ac:dyDescent="0.25">
      <c r="A356" s="124"/>
      <c r="B356" s="142"/>
      <c r="C356" s="115"/>
      <c r="D356" s="115"/>
      <c r="E356" s="115"/>
      <c r="F356" s="115"/>
      <c r="G356" s="60" t="s">
        <v>127</v>
      </c>
      <c r="H356" s="124"/>
      <c r="I356" s="124"/>
      <c r="J356" s="60"/>
      <c r="K356" s="60"/>
      <c r="L356" s="60"/>
      <c r="M356" s="60"/>
      <c r="N356" s="60">
        <f t="shared" si="112"/>
        <v>0</v>
      </c>
      <c r="O356" s="60">
        <f t="shared" si="113"/>
        <v>0</v>
      </c>
    </row>
    <row r="357" spans="1:15" s="38" customFormat="1" ht="10.7" customHeight="1" outlineLevel="1" x14ac:dyDescent="0.25">
      <c r="A357" s="124"/>
      <c r="B357" s="142"/>
      <c r="C357" s="115"/>
      <c r="D357" s="115"/>
      <c r="E357" s="115"/>
      <c r="F357" s="115"/>
      <c r="G357" s="60" t="s">
        <v>128</v>
      </c>
      <c r="H357" s="124"/>
      <c r="I357" s="124"/>
      <c r="J357" s="60"/>
      <c r="K357" s="60"/>
      <c r="L357" s="60"/>
      <c r="M357" s="60"/>
      <c r="N357" s="60">
        <f t="shared" si="112"/>
        <v>0</v>
      </c>
      <c r="O357" s="60">
        <f t="shared" si="113"/>
        <v>0</v>
      </c>
    </row>
    <row r="358" spans="1:15" s="38" customFormat="1" ht="10.7" customHeight="1" outlineLevel="1" x14ac:dyDescent="0.25">
      <c r="A358" s="124"/>
      <c r="B358" s="142"/>
      <c r="C358" s="115"/>
      <c r="D358" s="115"/>
      <c r="E358" s="115"/>
      <c r="F358" s="115"/>
      <c r="G358" s="60" t="s">
        <v>129</v>
      </c>
      <c r="H358" s="124"/>
      <c r="I358" s="124"/>
      <c r="J358" s="60"/>
      <c r="K358" s="60"/>
      <c r="L358" s="60"/>
      <c r="M358" s="60"/>
      <c r="N358" s="60">
        <f t="shared" si="112"/>
        <v>0</v>
      </c>
      <c r="O358" s="60">
        <f t="shared" si="113"/>
        <v>0</v>
      </c>
    </row>
    <row r="359" spans="1:15" s="38" customFormat="1" ht="10.7" customHeight="1" outlineLevel="1" x14ac:dyDescent="0.25">
      <c r="A359" s="124"/>
      <c r="B359" s="142"/>
      <c r="C359" s="115"/>
      <c r="D359" s="115"/>
      <c r="E359" s="115"/>
      <c r="F359" s="115"/>
      <c r="G359" s="60" t="s">
        <v>130</v>
      </c>
      <c r="H359" s="124"/>
      <c r="I359" s="124"/>
      <c r="J359" s="60"/>
      <c r="K359" s="60"/>
      <c r="L359" s="60"/>
      <c r="M359" s="60"/>
      <c r="N359" s="60">
        <f t="shared" si="112"/>
        <v>0</v>
      </c>
      <c r="O359" s="60">
        <f t="shared" si="113"/>
        <v>0</v>
      </c>
    </row>
    <row r="360" spans="1:15" s="38" customFormat="1" ht="12" customHeight="1" outlineLevel="1" thickBot="1" x14ac:dyDescent="0.3">
      <c r="A360" s="125"/>
      <c r="B360" s="143"/>
      <c r="C360" s="131"/>
      <c r="D360" s="131"/>
      <c r="E360" s="131"/>
      <c r="F360" s="131"/>
      <c r="G360" s="60" t="s">
        <v>131</v>
      </c>
      <c r="H360" s="134"/>
      <c r="I360" s="134"/>
      <c r="J360" s="60"/>
      <c r="K360" s="60"/>
      <c r="L360" s="60"/>
      <c r="M360" s="60"/>
      <c r="N360" s="60">
        <f t="shared" si="112"/>
        <v>0</v>
      </c>
      <c r="O360" s="60">
        <f t="shared" si="113"/>
        <v>0</v>
      </c>
    </row>
    <row r="361" spans="1:15" s="38" customFormat="1" ht="14.45" customHeight="1" outlineLevel="1" x14ac:dyDescent="0.25">
      <c r="A361" s="140" t="s">
        <v>624</v>
      </c>
      <c r="B361" s="141" t="s">
        <v>625</v>
      </c>
      <c r="C361" s="130">
        <f>SUM(N361:N367)</f>
        <v>0</v>
      </c>
      <c r="D361" s="130">
        <f>SUM(O361:O367)</f>
        <v>0</v>
      </c>
      <c r="E361" s="130">
        <f t="shared" si="95"/>
        <v>0</v>
      </c>
      <c r="F361" s="130"/>
      <c r="G361" s="60" t="s">
        <v>125</v>
      </c>
      <c r="H361" s="123"/>
      <c r="I361" s="123"/>
      <c r="J361" s="60"/>
      <c r="K361" s="60"/>
      <c r="L361" s="60"/>
      <c r="M361" s="60"/>
      <c r="N361" s="60">
        <f>M361*J361*K361*L361</f>
        <v>0</v>
      </c>
      <c r="O361" s="60">
        <f>J361*K361*L361</f>
        <v>0</v>
      </c>
    </row>
    <row r="362" spans="1:15" s="38" customFormat="1" ht="11.45" customHeight="1" outlineLevel="1" x14ac:dyDescent="0.25">
      <c r="A362" s="124"/>
      <c r="B362" s="142"/>
      <c r="C362" s="115"/>
      <c r="D362" s="115"/>
      <c r="E362" s="115"/>
      <c r="F362" s="115"/>
      <c r="G362" s="60" t="s">
        <v>126</v>
      </c>
      <c r="H362" s="124"/>
      <c r="I362" s="124"/>
      <c r="J362" s="60"/>
      <c r="K362" s="60"/>
      <c r="L362" s="60"/>
      <c r="M362" s="60"/>
      <c r="N362" s="60">
        <f t="shared" ref="N362:N367" si="114">M362*J362*K362*L362</f>
        <v>0</v>
      </c>
      <c r="O362" s="60">
        <f t="shared" ref="O362:O367" si="115">J362*K362*L362</f>
        <v>0</v>
      </c>
    </row>
    <row r="363" spans="1:15" s="38" customFormat="1" ht="10.7" customHeight="1" outlineLevel="1" x14ac:dyDescent="0.25">
      <c r="A363" s="124"/>
      <c r="B363" s="142"/>
      <c r="C363" s="115"/>
      <c r="D363" s="115"/>
      <c r="E363" s="115"/>
      <c r="F363" s="115"/>
      <c r="G363" s="60" t="s">
        <v>127</v>
      </c>
      <c r="H363" s="124"/>
      <c r="I363" s="124"/>
      <c r="J363" s="60"/>
      <c r="K363" s="60"/>
      <c r="L363" s="60"/>
      <c r="M363" s="60"/>
      <c r="N363" s="60">
        <f t="shared" si="114"/>
        <v>0</v>
      </c>
      <c r="O363" s="60">
        <f t="shared" si="115"/>
        <v>0</v>
      </c>
    </row>
    <row r="364" spans="1:15" s="38" customFormat="1" ht="10.7" customHeight="1" outlineLevel="1" x14ac:dyDescent="0.25">
      <c r="A364" s="124"/>
      <c r="B364" s="142"/>
      <c r="C364" s="115"/>
      <c r="D364" s="115"/>
      <c r="E364" s="115"/>
      <c r="F364" s="115"/>
      <c r="G364" s="60" t="s">
        <v>128</v>
      </c>
      <c r="H364" s="124"/>
      <c r="I364" s="124"/>
      <c r="J364" s="60"/>
      <c r="K364" s="60"/>
      <c r="L364" s="60"/>
      <c r="M364" s="60"/>
      <c r="N364" s="60">
        <f t="shared" si="114"/>
        <v>0</v>
      </c>
      <c r="O364" s="60">
        <f t="shared" si="115"/>
        <v>0</v>
      </c>
    </row>
    <row r="365" spans="1:15" s="38" customFormat="1" ht="10.7" customHeight="1" outlineLevel="1" x14ac:dyDescent="0.25">
      <c r="A365" s="124"/>
      <c r="B365" s="142"/>
      <c r="C365" s="115"/>
      <c r="D365" s="115"/>
      <c r="E365" s="115"/>
      <c r="F365" s="115"/>
      <c r="G365" s="60" t="s">
        <v>129</v>
      </c>
      <c r="H365" s="124"/>
      <c r="I365" s="124"/>
      <c r="J365" s="60"/>
      <c r="K365" s="60"/>
      <c r="L365" s="60"/>
      <c r="M365" s="60"/>
      <c r="N365" s="60">
        <f t="shared" si="114"/>
        <v>0</v>
      </c>
      <c r="O365" s="60">
        <f t="shared" si="115"/>
        <v>0</v>
      </c>
    </row>
    <row r="366" spans="1:15" s="38" customFormat="1" ht="10.7" customHeight="1" outlineLevel="1" x14ac:dyDescent="0.25">
      <c r="A366" s="124"/>
      <c r="B366" s="142"/>
      <c r="C366" s="115"/>
      <c r="D366" s="115"/>
      <c r="E366" s="115"/>
      <c r="F366" s="115"/>
      <c r="G366" s="60" t="s">
        <v>130</v>
      </c>
      <c r="H366" s="124"/>
      <c r="I366" s="124"/>
      <c r="J366" s="60"/>
      <c r="K366" s="60"/>
      <c r="L366" s="60"/>
      <c r="M366" s="60"/>
      <c r="N366" s="60">
        <f t="shared" si="114"/>
        <v>0</v>
      </c>
      <c r="O366" s="60">
        <f t="shared" si="115"/>
        <v>0</v>
      </c>
    </row>
    <row r="367" spans="1:15" s="38" customFormat="1" ht="12" customHeight="1" outlineLevel="1" thickBot="1" x14ac:dyDescent="0.3">
      <c r="A367" s="125"/>
      <c r="B367" s="143"/>
      <c r="C367" s="131"/>
      <c r="D367" s="131"/>
      <c r="E367" s="131"/>
      <c r="F367" s="131"/>
      <c r="G367" s="60" t="s">
        <v>131</v>
      </c>
      <c r="H367" s="134"/>
      <c r="I367" s="134"/>
      <c r="J367" s="60"/>
      <c r="K367" s="60"/>
      <c r="L367" s="60"/>
      <c r="M367" s="60"/>
      <c r="N367" s="60">
        <f t="shared" si="114"/>
        <v>0</v>
      </c>
      <c r="O367" s="60">
        <f t="shared" si="115"/>
        <v>0</v>
      </c>
    </row>
    <row r="368" spans="1:15" s="38" customFormat="1" ht="14.45" customHeight="1" outlineLevel="1" x14ac:dyDescent="0.25">
      <c r="A368" s="140" t="s">
        <v>626</v>
      </c>
      <c r="B368" s="141" t="s">
        <v>627</v>
      </c>
      <c r="C368" s="130">
        <f>SUM(N368:N374)</f>
        <v>0</v>
      </c>
      <c r="D368" s="130">
        <f>SUM(O368:O374)</f>
        <v>0</v>
      </c>
      <c r="E368" s="130">
        <f t="shared" ref="E368:E431" si="116">D368/8</f>
        <v>0</v>
      </c>
      <c r="F368" s="130"/>
      <c r="G368" s="60" t="s">
        <v>125</v>
      </c>
      <c r="H368" s="123"/>
      <c r="I368" s="123"/>
      <c r="J368" s="60"/>
      <c r="K368" s="60"/>
      <c r="L368" s="60"/>
      <c r="M368" s="60"/>
      <c r="N368" s="60">
        <f>M368*J368*K368*L368</f>
        <v>0</v>
      </c>
      <c r="O368" s="60">
        <f>J368*K368*L368</f>
        <v>0</v>
      </c>
    </row>
    <row r="369" spans="1:15" s="38" customFormat="1" ht="11.45" customHeight="1" outlineLevel="1" x14ac:dyDescent="0.25">
      <c r="A369" s="124"/>
      <c r="B369" s="142"/>
      <c r="C369" s="115"/>
      <c r="D369" s="115"/>
      <c r="E369" s="115"/>
      <c r="F369" s="115"/>
      <c r="G369" s="60" t="s">
        <v>126</v>
      </c>
      <c r="H369" s="124"/>
      <c r="I369" s="124"/>
      <c r="J369" s="60"/>
      <c r="K369" s="60"/>
      <c r="L369" s="60"/>
      <c r="M369" s="60"/>
      <c r="N369" s="60">
        <f t="shared" ref="N369:N374" si="117">M369*J369*K369*L369</f>
        <v>0</v>
      </c>
      <c r="O369" s="60">
        <f t="shared" ref="O369:O374" si="118">J369*K369*L369</f>
        <v>0</v>
      </c>
    </row>
    <row r="370" spans="1:15" s="38" customFormat="1" ht="10.7" customHeight="1" outlineLevel="1" x14ac:dyDescent="0.25">
      <c r="A370" s="124"/>
      <c r="B370" s="142"/>
      <c r="C370" s="115"/>
      <c r="D370" s="115"/>
      <c r="E370" s="115"/>
      <c r="F370" s="115"/>
      <c r="G370" s="60" t="s">
        <v>127</v>
      </c>
      <c r="H370" s="124"/>
      <c r="I370" s="124"/>
      <c r="J370" s="60"/>
      <c r="K370" s="60"/>
      <c r="L370" s="60"/>
      <c r="M370" s="60"/>
      <c r="N370" s="60">
        <f t="shared" si="117"/>
        <v>0</v>
      </c>
      <c r="O370" s="60">
        <f t="shared" si="118"/>
        <v>0</v>
      </c>
    </row>
    <row r="371" spans="1:15" s="38" customFormat="1" ht="10.7" customHeight="1" outlineLevel="1" x14ac:dyDescent="0.25">
      <c r="A371" s="124"/>
      <c r="B371" s="142"/>
      <c r="C371" s="115"/>
      <c r="D371" s="115"/>
      <c r="E371" s="115"/>
      <c r="F371" s="115"/>
      <c r="G371" s="60" t="s">
        <v>128</v>
      </c>
      <c r="H371" s="124"/>
      <c r="I371" s="124"/>
      <c r="J371" s="60"/>
      <c r="K371" s="60"/>
      <c r="L371" s="60"/>
      <c r="M371" s="60"/>
      <c r="N371" s="60">
        <f t="shared" si="117"/>
        <v>0</v>
      </c>
      <c r="O371" s="60">
        <f t="shared" si="118"/>
        <v>0</v>
      </c>
    </row>
    <row r="372" spans="1:15" s="38" customFormat="1" ht="10.7" customHeight="1" outlineLevel="1" x14ac:dyDescent="0.25">
      <c r="A372" s="124"/>
      <c r="B372" s="142"/>
      <c r="C372" s="115"/>
      <c r="D372" s="115"/>
      <c r="E372" s="115"/>
      <c r="F372" s="115"/>
      <c r="G372" s="60" t="s">
        <v>129</v>
      </c>
      <c r="H372" s="124"/>
      <c r="I372" s="124"/>
      <c r="J372" s="60"/>
      <c r="K372" s="60"/>
      <c r="L372" s="60"/>
      <c r="M372" s="60"/>
      <c r="N372" s="60">
        <f t="shared" si="117"/>
        <v>0</v>
      </c>
      <c r="O372" s="60">
        <f t="shared" si="118"/>
        <v>0</v>
      </c>
    </row>
    <row r="373" spans="1:15" s="38" customFormat="1" ht="10.7" customHeight="1" outlineLevel="1" x14ac:dyDescent="0.25">
      <c r="A373" s="124"/>
      <c r="B373" s="142"/>
      <c r="C373" s="115"/>
      <c r="D373" s="115"/>
      <c r="E373" s="115"/>
      <c r="F373" s="115"/>
      <c r="G373" s="60" t="s">
        <v>130</v>
      </c>
      <c r="H373" s="124"/>
      <c r="I373" s="124"/>
      <c r="J373" s="60"/>
      <c r="K373" s="60"/>
      <c r="L373" s="60"/>
      <c r="M373" s="60"/>
      <c r="N373" s="60">
        <f t="shared" si="117"/>
        <v>0</v>
      </c>
      <c r="O373" s="60">
        <f t="shared" si="118"/>
        <v>0</v>
      </c>
    </row>
    <row r="374" spans="1:15" s="38" customFormat="1" ht="12" customHeight="1" outlineLevel="1" thickBot="1" x14ac:dyDescent="0.3">
      <c r="A374" s="125"/>
      <c r="B374" s="143"/>
      <c r="C374" s="131"/>
      <c r="D374" s="131"/>
      <c r="E374" s="131"/>
      <c r="F374" s="131"/>
      <c r="G374" s="60" t="s">
        <v>131</v>
      </c>
      <c r="H374" s="134"/>
      <c r="I374" s="134"/>
      <c r="J374" s="60"/>
      <c r="K374" s="60"/>
      <c r="L374" s="60"/>
      <c r="M374" s="60"/>
      <c r="N374" s="60">
        <f t="shared" si="117"/>
        <v>0</v>
      </c>
      <c r="O374" s="60">
        <f t="shared" si="118"/>
        <v>0</v>
      </c>
    </row>
    <row r="375" spans="1:15" s="38" customFormat="1" ht="14.45" customHeight="1" outlineLevel="1" x14ac:dyDescent="0.25">
      <c r="A375" s="140" t="s">
        <v>628</v>
      </c>
      <c r="B375" s="141" t="s">
        <v>629</v>
      </c>
      <c r="C375" s="130">
        <f>SUM(N375:N381)</f>
        <v>0</v>
      </c>
      <c r="D375" s="130">
        <f>SUM(O375:O381)</f>
        <v>0</v>
      </c>
      <c r="E375" s="130">
        <f t="shared" si="116"/>
        <v>0</v>
      </c>
      <c r="F375" s="130"/>
      <c r="G375" s="60" t="s">
        <v>125</v>
      </c>
      <c r="H375" s="123"/>
      <c r="I375" s="123"/>
      <c r="J375" s="60"/>
      <c r="K375" s="60"/>
      <c r="L375" s="60"/>
      <c r="M375" s="60"/>
      <c r="N375" s="60">
        <f>M375*J375*K375*L375</f>
        <v>0</v>
      </c>
      <c r="O375" s="60">
        <f>J375*K375*L375</f>
        <v>0</v>
      </c>
    </row>
    <row r="376" spans="1:15" s="38" customFormat="1" ht="11.45" customHeight="1" outlineLevel="1" x14ac:dyDescent="0.25">
      <c r="A376" s="124"/>
      <c r="B376" s="142"/>
      <c r="C376" s="115"/>
      <c r="D376" s="115"/>
      <c r="E376" s="115"/>
      <c r="F376" s="115"/>
      <c r="G376" s="60" t="s">
        <v>126</v>
      </c>
      <c r="H376" s="124"/>
      <c r="I376" s="124"/>
      <c r="J376" s="60"/>
      <c r="K376" s="60"/>
      <c r="L376" s="60"/>
      <c r="M376" s="60"/>
      <c r="N376" s="60">
        <f t="shared" ref="N376:N381" si="119">M376*J376*K376*L376</f>
        <v>0</v>
      </c>
      <c r="O376" s="60">
        <f t="shared" ref="O376:O381" si="120">J376*K376*L376</f>
        <v>0</v>
      </c>
    </row>
    <row r="377" spans="1:15" s="38" customFormat="1" ht="10.7" customHeight="1" outlineLevel="1" x14ac:dyDescent="0.25">
      <c r="A377" s="124"/>
      <c r="B377" s="142"/>
      <c r="C377" s="115"/>
      <c r="D377" s="115"/>
      <c r="E377" s="115"/>
      <c r="F377" s="115"/>
      <c r="G377" s="60" t="s">
        <v>127</v>
      </c>
      <c r="H377" s="124"/>
      <c r="I377" s="124"/>
      <c r="J377" s="60"/>
      <c r="K377" s="60"/>
      <c r="L377" s="60"/>
      <c r="M377" s="60"/>
      <c r="N377" s="60">
        <f t="shared" si="119"/>
        <v>0</v>
      </c>
      <c r="O377" s="60">
        <f t="shared" si="120"/>
        <v>0</v>
      </c>
    </row>
    <row r="378" spans="1:15" s="38" customFormat="1" ht="10.7" customHeight="1" outlineLevel="1" x14ac:dyDescent="0.25">
      <c r="A378" s="124"/>
      <c r="B378" s="142"/>
      <c r="C378" s="115"/>
      <c r="D378" s="115"/>
      <c r="E378" s="115"/>
      <c r="F378" s="115"/>
      <c r="G378" s="60" t="s">
        <v>128</v>
      </c>
      <c r="H378" s="124"/>
      <c r="I378" s="124"/>
      <c r="J378" s="60"/>
      <c r="K378" s="60"/>
      <c r="L378" s="60"/>
      <c r="M378" s="60"/>
      <c r="N378" s="60">
        <f t="shared" si="119"/>
        <v>0</v>
      </c>
      <c r="O378" s="60">
        <f t="shared" si="120"/>
        <v>0</v>
      </c>
    </row>
    <row r="379" spans="1:15" s="38" customFormat="1" ht="10.7" customHeight="1" outlineLevel="1" x14ac:dyDescent="0.25">
      <c r="A379" s="124"/>
      <c r="B379" s="142"/>
      <c r="C379" s="115"/>
      <c r="D379" s="115"/>
      <c r="E379" s="115"/>
      <c r="F379" s="115"/>
      <c r="G379" s="60" t="s">
        <v>129</v>
      </c>
      <c r="H379" s="124"/>
      <c r="I379" s="124"/>
      <c r="J379" s="60"/>
      <c r="K379" s="60"/>
      <c r="L379" s="60"/>
      <c r="M379" s="60"/>
      <c r="N379" s="60">
        <f t="shared" si="119"/>
        <v>0</v>
      </c>
      <c r="O379" s="60">
        <f t="shared" si="120"/>
        <v>0</v>
      </c>
    </row>
    <row r="380" spans="1:15" s="38" customFormat="1" ht="10.7" customHeight="1" outlineLevel="1" x14ac:dyDescent="0.25">
      <c r="A380" s="124"/>
      <c r="B380" s="142"/>
      <c r="C380" s="115"/>
      <c r="D380" s="115"/>
      <c r="E380" s="115"/>
      <c r="F380" s="115"/>
      <c r="G380" s="60" t="s">
        <v>130</v>
      </c>
      <c r="H380" s="124"/>
      <c r="I380" s="124"/>
      <c r="J380" s="60"/>
      <c r="K380" s="60"/>
      <c r="L380" s="60"/>
      <c r="M380" s="60"/>
      <c r="N380" s="60">
        <f t="shared" si="119"/>
        <v>0</v>
      </c>
      <c r="O380" s="60">
        <f t="shared" si="120"/>
        <v>0</v>
      </c>
    </row>
    <row r="381" spans="1:15" s="38" customFormat="1" ht="12" customHeight="1" outlineLevel="1" thickBot="1" x14ac:dyDescent="0.3">
      <c r="A381" s="125"/>
      <c r="B381" s="143"/>
      <c r="C381" s="131"/>
      <c r="D381" s="131"/>
      <c r="E381" s="131"/>
      <c r="F381" s="131"/>
      <c r="G381" s="60" t="s">
        <v>131</v>
      </c>
      <c r="H381" s="134"/>
      <c r="I381" s="134"/>
      <c r="J381" s="60"/>
      <c r="K381" s="60"/>
      <c r="L381" s="60"/>
      <c r="M381" s="60"/>
      <c r="N381" s="60">
        <f t="shared" si="119"/>
        <v>0</v>
      </c>
      <c r="O381" s="60">
        <f t="shared" si="120"/>
        <v>0</v>
      </c>
    </row>
    <row r="382" spans="1:15" s="38" customFormat="1" ht="14.45" customHeight="1" outlineLevel="1" x14ac:dyDescent="0.25">
      <c r="A382" s="140" t="s">
        <v>630</v>
      </c>
      <c r="B382" s="141" t="s">
        <v>631</v>
      </c>
      <c r="C382" s="130">
        <f>SUM(N382:N388)</f>
        <v>0</v>
      </c>
      <c r="D382" s="130">
        <f>SUM(O382:O388)</f>
        <v>0</v>
      </c>
      <c r="E382" s="130">
        <f t="shared" si="116"/>
        <v>0</v>
      </c>
      <c r="F382" s="130"/>
      <c r="G382" s="60" t="s">
        <v>125</v>
      </c>
      <c r="H382" s="123"/>
      <c r="I382" s="123"/>
      <c r="J382" s="60"/>
      <c r="K382" s="60"/>
      <c r="L382" s="60"/>
      <c r="M382" s="60"/>
      <c r="N382" s="60">
        <f>M382*J382*K382*L382</f>
        <v>0</v>
      </c>
      <c r="O382" s="60">
        <f>J382*K382*L382</f>
        <v>0</v>
      </c>
    </row>
    <row r="383" spans="1:15" s="38" customFormat="1" ht="11.45" customHeight="1" outlineLevel="1" x14ac:dyDescent="0.25">
      <c r="A383" s="124"/>
      <c r="B383" s="142"/>
      <c r="C383" s="115"/>
      <c r="D383" s="115"/>
      <c r="E383" s="115"/>
      <c r="F383" s="115"/>
      <c r="G383" s="60" t="s">
        <v>126</v>
      </c>
      <c r="H383" s="124"/>
      <c r="I383" s="124"/>
      <c r="J383" s="60"/>
      <c r="K383" s="60"/>
      <c r="L383" s="60"/>
      <c r="M383" s="60"/>
      <c r="N383" s="60">
        <f t="shared" ref="N383:N388" si="121">M383*J383*K383*L383</f>
        <v>0</v>
      </c>
      <c r="O383" s="60">
        <f t="shared" ref="O383:O388" si="122">J383*K383*L383</f>
        <v>0</v>
      </c>
    </row>
    <row r="384" spans="1:15" s="38" customFormat="1" ht="10.7" customHeight="1" outlineLevel="1" x14ac:dyDescent="0.25">
      <c r="A384" s="124"/>
      <c r="B384" s="142"/>
      <c r="C384" s="115"/>
      <c r="D384" s="115"/>
      <c r="E384" s="115"/>
      <c r="F384" s="115"/>
      <c r="G384" s="60" t="s">
        <v>127</v>
      </c>
      <c r="H384" s="124"/>
      <c r="I384" s="124"/>
      <c r="J384" s="60"/>
      <c r="K384" s="60"/>
      <c r="L384" s="60"/>
      <c r="M384" s="60"/>
      <c r="N384" s="60">
        <f t="shared" si="121"/>
        <v>0</v>
      </c>
      <c r="O384" s="60">
        <f t="shared" si="122"/>
        <v>0</v>
      </c>
    </row>
    <row r="385" spans="1:15" s="38" customFormat="1" ht="10.7" customHeight="1" outlineLevel="1" x14ac:dyDescent="0.25">
      <c r="A385" s="124"/>
      <c r="B385" s="142"/>
      <c r="C385" s="115"/>
      <c r="D385" s="115"/>
      <c r="E385" s="115"/>
      <c r="F385" s="115"/>
      <c r="G385" s="60" t="s">
        <v>128</v>
      </c>
      <c r="H385" s="124"/>
      <c r="I385" s="124"/>
      <c r="J385" s="60"/>
      <c r="K385" s="60"/>
      <c r="L385" s="60"/>
      <c r="M385" s="60"/>
      <c r="N385" s="60">
        <f t="shared" si="121"/>
        <v>0</v>
      </c>
      <c r="O385" s="60">
        <f t="shared" si="122"/>
        <v>0</v>
      </c>
    </row>
    <row r="386" spans="1:15" s="38" customFormat="1" ht="10.7" customHeight="1" outlineLevel="1" x14ac:dyDescent="0.25">
      <c r="A386" s="124"/>
      <c r="B386" s="142"/>
      <c r="C386" s="115"/>
      <c r="D386" s="115"/>
      <c r="E386" s="115"/>
      <c r="F386" s="115"/>
      <c r="G386" s="60" t="s">
        <v>129</v>
      </c>
      <c r="H386" s="124"/>
      <c r="I386" s="124"/>
      <c r="J386" s="60"/>
      <c r="K386" s="60"/>
      <c r="L386" s="60"/>
      <c r="M386" s="60"/>
      <c r="N386" s="60">
        <f t="shared" si="121"/>
        <v>0</v>
      </c>
      <c r="O386" s="60">
        <f t="shared" si="122"/>
        <v>0</v>
      </c>
    </row>
    <row r="387" spans="1:15" s="38" customFormat="1" ht="10.7" customHeight="1" outlineLevel="1" x14ac:dyDescent="0.25">
      <c r="A387" s="124"/>
      <c r="B387" s="142"/>
      <c r="C387" s="115"/>
      <c r="D387" s="115"/>
      <c r="E387" s="115"/>
      <c r="F387" s="115"/>
      <c r="G387" s="60" t="s">
        <v>130</v>
      </c>
      <c r="H387" s="124"/>
      <c r="I387" s="124"/>
      <c r="J387" s="60"/>
      <c r="K387" s="60"/>
      <c r="L387" s="60"/>
      <c r="M387" s="60"/>
      <c r="N387" s="60">
        <f t="shared" si="121"/>
        <v>0</v>
      </c>
      <c r="O387" s="60">
        <f t="shared" si="122"/>
        <v>0</v>
      </c>
    </row>
    <row r="388" spans="1:15" s="38" customFormat="1" ht="12" customHeight="1" outlineLevel="1" thickBot="1" x14ac:dyDescent="0.3">
      <c r="A388" s="125"/>
      <c r="B388" s="143"/>
      <c r="C388" s="131"/>
      <c r="D388" s="131"/>
      <c r="E388" s="131"/>
      <c r="F388" s="131"/>
      <c r="G388" s="60" t="s">
        <v>131</v>
      </c>
      <c r="H388" s="134"/>
      <c r="I388" s="134"/>
      <c r="J388" s="60"/>
      <c r="K388" s="60"/>
      <c r="L388" s="60"/>
      <c r="M388" s="60"/>
      <c r="N388" s="60">
        <f t="shared" si="121"/>
        <v>0</v>
      </c>
      <c r="O388" s="60">
        <f t="shared" si="122"/>
        <v>0</v>
      </c>
    </row>
    <row r="389" spans="1:15" s="38" customFormat="1" ht="14.45" customHeight="1" outlineLevel="1" x14ac:dyDescent="0.25">
      <c r="A389" s="140" t="s">
        <v>632</v>
      </c>
      <c r="B389" s="141" t="s">
        <v>633</v>
      </c>
      <c r="C389" s="130">
        <f>SUM(N389:N395)</f>
        <v>0</v>
      </c>
      <c r="D389" s="130">
        <f>SUM(O389:O395)</f>
        <v>0</v>
      </c>
      <c r="E389" s="130">
        <f t="shared" si="116"/>
        <v>0</v>
      </c>
      <c r="F389" s="130"/>
      <c r="G389" s="60" t="s">
        <v>125</v>
      </c>
      <c r="H389" s="123"/>
      <c r="I389" s="123"/>
      <c r="J389" s="60"/>
      <c r="K389" s="60"/>
      <c r="L389" s="60"/>
      <c r="M389" s="60"/>
      <c r="N389" s="60">
        <f>M389*J389*K389*L389</f>
        <v>0</v>
      </c>
      <c r="O389" s="60">
        <f>J389*K389*L389</f>
        <v>0</v>
      </c>
    </row>
    <row r="390" spans="1:15" s="38" customFormat="1" ht="11.45" customHeight="1" outlineLevel="1" x14ac:dyDescent="0.25">
      <c r="A390" s="124"/>
      <c r="B390" s="142"/>
      <c r="C390" s="115"/>
      <c r="D390" s="115"/>
      <c r="E390" s="115"/>
      <c r="F390" s="115"/>
      <c r="G390" s="60" t="s">
        <v>126</v>
      </c>
      <c r="H390" s="124"/>
      <c r="I390" s="124"/>
      <c r="J390" s="60"/>
      <c r="K390" s="60"/>
      <c r="L390" s="60"/>
      <c r="M390" s="60"/>
      <c r="N390" s="60">
        <f t="shared" ref="N390:N395" si="123">M390*J390*K390*L390</f>
        <v>0</v>
      </c>
      <c r="O390" s="60">
        <f t="shared" ref="O390:O395" si="124">J390*K390*L390</f>
        <v>0</v>
      </c>
    </row>
    <row r="391" spans="1:15" s="38" customFormat="1" ht="10.7" customHeight="1" outlineLevel="1" x14ac:dyDescent="0.25">
      <c r="A391" s="124"/>
      <c r="B391" s="142"/>
      <c r="C391" s="115"/>
      <c r="D391" s="115"/>
      <c r="E391" s="115"/>
      <c r="F391" s="115"/>
      <c r="G391" s="60" t="s">
        <v>127</v>
      </c>
      <c r="H391" s="124"/>
      <c r="I391" s="124"/>
      <c r="J391" s="60"/>
      <c r="K391" s="60"/>
      <c r="L391" s="60"/>
      <c r="M391" s="60"/>
      <c r="N391" s="60">
        <f t="shared" si="123"/>
        <v>0</v>
      </c>
      <c r="O391" s="60">
        <f t="shared" si="124"/>
        <v>0</v>
      </c>
    </row>
    <row r="392" spans="1:15" s="38" customFormat="1" ht="10.7" customHeight="1" outlineLevel="1" x14ac:dyDescent="0.25">
      <c r="A392" s="124"/>
      <c r="B392" s="142"/>
      <c r="C392" s="115"/>
      <c r="D392" s="115"/>
      <c r="E392" s="115"/>
      <c r="F392" s="115"/>
      <c r="G392" s="60" t="s">
        <v>128</v>
      </c>
      <c r="H392" s="124"/>
      <c r="I392" s="124"/>
      <c r="J392" s="60"/>
      <c r="K392" s="60"/>
      <c r="L392" s="60"/>
      <c r="M392" s="60"/>
      <c r="N392" s="60">
        <f t="shared" si="123"/>
        <v>0</v>
      </c>
      <c r="O392" s="60">
        <f t="shared" si="124"/>
        <v>0</v>
      </c>
    </row>
    <row r="393" spans="1:15" s="38" customFormat="1" ht="10.7" customHeight="1" outlineLevel="1" x14ac:dyDescent="0.25">
      <c r="A393" s="124"/>
      <c r="B393" s="142"/>
      <c r="C393" s="115"/>
      <c r="D393" s="115"/>
      <c r="E393" s="115"/>
      <c r="F393" s="115"/>
      <c r="G393" s="60" t="s">
        <v>129</v>
      </c>
      <c r="H393" s="124"/>
      <c r="I393" s="124"/>
      <c r="J393" s="60"/>
      <c r="K393" s="60"/>
      <c r="L393" s="60"/>
      <c r="M393" s="60"/>
      <c r="N393" s="60">
        <f t="shared" si="123"/>
        <v>0</v>
      </c>
      <c r="O393" s="60">
        <f t="shared" si="124"/>
        <v>0</v>
      </c>
    </row>
    <row r="394" spans="1:15" s="38" customFormat="1" ht="10.7" customHeight="1" outlineLevel="1" x14ac:dyDescent="0.25">
      <c r="A394" s="124"/>
      <c r="B394" s="142"/>
      <c r="C394" s="115"/>
      <c r="D394" s="115"/>
      <c r="E394" s="115"/>
      <c r="F394" s="115"/>
      <c r="G394" s="60" t="s">
        <v>130</v>
      </c>
      <c r="H394" s="124"/>
      <c r="I394" s="124"/>
      <c r="J394" s="60"/>
      <c r="K394" s="60"/>
      <c r="L394" s="60"/>
      <c r="M394" s="60"/>
      <c r="N394" s="60">
        <f t="shared" si="123"/>
        <v>0</v>
      </c>
      <c r="O394" s="60">
        <f t="shared" si="124"/>
        <v>0</v>
      </c>
    </row>
    <row r="395" spans="1:15" s="38" customFormat="1" ht="12" customHeight="1" outlineLevel="1" thickBot="1" x14ac:dyDescent="0.3">
      <c r="A395" s="125"/>
      <c r="B395" s="143"/>
      <c r="C395" s="131"/>
      <c r="D395" s="131"/>
      <c r="E395" s="131"/>
      <c r="F395" s="131"/>
      <c r="G395" s="60" t="s">
        <v>131</v>
      </c>
      <c r="H395" s="134"/>
      <c r="I395" s="134"/>
      <c r="J395" s="60"/>
      <c r="K395" s="60"/>
      <c r="L395" s="60"/>
      <c r="M395" s="60"/>
      <c r="N395" s="60">
        <f t="shared" si="123"/>
        <v>0</v>
      </c>
      <c r="O395" s="60">
        <f t="shared" si="124"/>
        <v>0</v>
      </c>
    </row>
    <row r="396" spans="1:15" s="38" customFormat="1" ht="14.45" customHeight="1" outlineLevel="1" x14ac:dyDescent="0.25">
      <c r="A396" s="140" t="s">
        <v>634</v>
      </c>
      <c r="B396" s="141" t="s">
        <v>635</v>
      </c>
      <c r="C396" s="130">
        <f>SUM(N396:N402)</f>
        <v>0</v>
      </c>
      <c r="D396" s="130">
        <f>SUM(O396:O402)</f>
        <v>0</v>
      </c>
      <c r="E396" s="130">
        <f t="shared" si="116"/>
        <v>0</v>
      </c>
      <c r="F396" s="130"/>
      <c r="G396" s="60" t="s">
        <v>125</v>
      </c>
      <c r="H396" s="123"/>
      <c r="I396" s="123"/>
      <c r="J396" s="60"/>
      <c r="K396" s="60"/>
      <c r="L396" s="60"/>
      <c r="M396" s="60"/>
      <c r="N396" s="60">
        <f>M396*J396*K396*L396</f>
        <v>0</v>
      </c>
      <c r="O396" s="60">
        <f>J396*K396*L396</f>
        <v>0</v>
      </c>
    </row>
    <row r="397" spans="1:15" s="38" customFormat="1" ht="11.45" customHeight="1" outlineLevel="1" x14ac:dyDescent="0.25">
      <c r="A397" s="124"/>
      <c r="B397" s="142"/>
      <c r="C397" s="115"/>
      <c r="D397" s="115"/>
      <c r="E397" s="115"/>
      <c r="F397" s="115"/>
      <c r="G397" s="60" t="s">
        <v>126</v>
      </c>
      <c r="H397" s="124"/>
      <c r="I397" s="124"/>
      <c r="J397" s="60"/>
      <c r="K397" s="60"/>
      <c r="L397" s="60"/>
      <c r="M397" s="60"/>
      <c r="N397" s="60">
        <f t="shared" ref="N397:N402" si="125">M397*J397*K397*L397</f>
        <v>0</v>
      </c>
      <c r="O397" s="60">
        <f t="shared" ref="O397:O402" si="126">J397*K397*L397</f>
        <v>0</v>
      </c>
    </row>
    <row r="398" spans="1:15" s="38" customFormat="1" ht="10.7" customHeight="1" outlineLevel="1" x14ac:dyDescent="0.25">
      <c r="A398" s="124"/>
      <c r="B398" s="142"/>
      <c r="C398" s="115"/>
      <c r="D398" s="115"/>
      <c r="E398" s="115"/>
      <c r="F398" s="115"/>
      <c r="G398" s="60" t="s">
        <v>127</v>
      </c>
      <c r="H398" s="124"/>
      <c r="I398" s="124"/>
      <c r="J398" s="60"/>
      <c r="K398" s="60"/>
      <c r="L398" s="60"/>
      <c r="M398" s="60"/>
      <c r="N398" s="60">
        <f t="shared" si="125"/>
        <v>0</v>
      </c>
      <c r="O398" s="60">
        <f t="shared" si="126"/>
        <v>0</v>
      </c>
    </row>
    <row r="399" spans="1:15" s="38" customFormat="1" ht="10.7" customHeight="1" outlineLevel="1" x14ac:dyDescent="0.25">
      <c r="A399" s="124"/>
      <c r="B399" s="142"/>
      <c r="C399" s="115"/>
      <c r="D399" s="115"/>
      <c r="E399" s="115"/>
      <c r="F399" s="115"/>
      <c r="G399" s="60" t="s">
        <v>128</v>
      </c>
      <c r="H399" s="124"/>
      <c r="I399" s="124"/>
      <c r="J399" s="60"/>
      <c r="K399" s="60"/>
      <c r="L399" s="60"/>
      <c r="M399" s="60"/>
      <c r="N399" s="60">
        <f t="shared" si="125"/>
        <v>0</v>
      </c>
      <c r="O399" s="60">
        <f t="shared" si="126"/>
        <v>0</v>
      </c>
    </row>
    <row r="400" spans="1:15" s="38" customFormat="1" ht="10.7" customHeight="1" outlineLevel="1" x14ac:dyDescent="0.25">
      <c r="A400" s="124"/>
      <c r="B400" s="142"/>
      <c r="C400" s="115"/>
      <c r="D400" s="115"/>
      <c r="E400" s="115"/>
      <c r="F400" s="115"/>
      <c r="G400" s="60" t="s">
        <v>129</v>
      </c>
      <c r="H400" s="124"/>
      <c r="I400" s="124"/>
      <c r="J400" s="60"/>
      <c r="K400" s="60"/>
      <c r="L400" s="60"/>
      <c r="M400" s="60"/>
      <c r="N400" s="60">
        <f t="shared" si="125"/>
        <v>0</v>
      </c>
      <c r="O400" s="60">
        <f t="shared" si="126"/>
        <v>0</v>
      </c>
    </row>
    <row r="401" spans="1:15" s="38" customFormat="1" ht="10.7" customHeight="1" outlineLevel="1" x14ac:dyDescent="0.25">
      <c r="A401" s="124"/>
      <c r="B401" s="142"/>
      <c r="C401" s="115"/>
      <c r="D401" s="115"/>
      <c r="E401" s="115"/>
      <c r="F401" s="115"/>
      <c r="G401" s="60" t="s">
        <v>130</v>
      </c>
      <c r="H401" s="124"/>
      <c r="I401" s="124"/>
      <c r="J401" s="60"/>
      <c r="K401" s="60"/>
      <c r="L401" s="60"/>
      <c r="M401" s="60"/>
      <c r="N401" s="60">
        <f t="shared" si="125"/>
        <v>0</v>
      </c>
      <c r="O401" s="60">
        <f t="shared" si="126"/>
        <v>0</v>
      </c>
    </row>
    <row r="402" spans="1:15" s="38" customFormat="1" ht="12" customHeight="1" outlineLevel="1" thickBot="1" x14ac:dyDescent="0.3">
      <c r="A402" s="125"/>
      <c r="B402" s="143"/>
      <c r="C402" s="131"/>
      <c r="D402" s="131"/>
      <c r="E402" s="131"/>
      <c r="F402" s="131"/>
      <c r="G402" s="60" t="s">
        <v>131</v>
      </c>
      <c r="H402" s="134"/>
      <c r="I402" s="134"/>
      <c r="J402" s="60"/>
      <c r="K402" s="60"/>
      <c r="L402" s="60"/>
      <c r="M402" s="60"/>
      <c r="N402" s="60">
        <f t="shared" si="125"/>
        <v>0</v>
      </c>
      <c r="O402" s="60">
        <f t="shared" si="126"/>
        <v>0</v>
      </c>
    </row>
    <row r="403" spans="1:15" s="38" customFormat="1" ht="14.45" customHeight="1" outlineLevel="1" x14ac:dyDescent="0.25">
      <c r="A403" s="140" t="s">
        <v>636</v>
      </c>
      <c r="B403" s="141" t="s">
        <v>637</v>
      </c>
      <c r="C403" s="130">
        <f>SUM(N403:N409)</f>
        <v>0</v>
      </c>
      <c r="D403" s="130">
        <f>SUM(O403:O409)</f>
        <v>0</v>
      </c>
      <c r="E403" s="130">
        <f t="shared" si="116"/>
        <v>0</v>
      </c>
      <c r="F403" s="130"/>
      <c r="G403" s="60" t="s">
        <v>125</v>
      </c>
      <c r="H403" s="123"/>
      <c r="I403" s="123"/>
      <c r="J403" s="60"/>
      <c r="K403" s="60"/>
      <c r="L403" s="60"/>
      <c r="M403" s="60"/>
      <c r="N403" s="60">
        <f>M403*J403*K403*L403</f>
        <v>0</v>
      </c>
      <c r="O403" s="60">
        <f>J403*K403*L403</f>
        <v>0</v>
      </c>
    </row>
    <row r="404" spans="1:15" s="38" customFormat="1" ht="11.45" customHeight="1" outlineLevel="1" x14ac:dyDescent="0.25">
      <c r="A404" s="124"/>
      <c r="B404" s="142"/>
      <c r="C404" s="115"/>
      <c r="D404" s="115"/>
      <c r="E404" s="115"/>
      <c r="F404" s="115"/>
      <c r="G404" s="60" t="s">
        <v>126</v>
      </c>
      <c r="H404" s="124"/>
      <c r="I404" s="124"/>
      <c r="J404" s="60"/>
      <c r="K404" s="60"/>
      <c r="L404" s="60"/>
      <c r="M404" s="60"/>
      <c r="N404" s="60">
        <f t="shared" ref="N404:N409" si="127">M404*J404*K404*L404</f>
        <v>0</v>
      </c>
      <c r="O404" s="60">
        <f t="shared" ref="O404:O409" si="128">J404*K404*L404</f>
        <v>0</v>
      </c>
    </row>
    <row r="405" spans="1:15" s="38" customFormat="1" ht="10.7" customHeight="1" outlineLevel="1" x14ac:dyDescent="0.25">
      <c r="A405" s="124"/>
      <c r="B405" s="142"/>
      <c r="C405" s="115"/>
      <c r="D405" s="115"/>
      <c r="E405" s="115"/>
      <c r="F405" s="115"/>
      <c r="G405" s="60" t="s">
        <v>127</v>
      </c>
      <c r="H405" s="124"/>
      <c r="I405" s="124"/>
      <c r="J405" s="60"/>
      <c r="K405" s="60"/>
      <c r="L405" s="60"/>
      <c r="M405" s="60"/>
      <c r="N405" s="60">
        <f t="shared" si="127"/>
        <v>0</v>
      </c>
      <c r="O405" s="60">
        <f t="shared" si="128"/>
        <v>0</v>
      </c>
    </row>
    <row r="406" spans="1:15" s="38" customFormat="1" ht="10.7" customHeight="1" outlineLevel="1" x14ac:dyDescent="0.25">
      <c r="A406" s="124"/>
      <c r="B406" s="142"/>
      <c r="C406" s="115"/>
      <c r="D406" s="115"/>
      <c r="E406" s="115"/>
      <c r="F406" s="115"/>
      <c r="G406" s="60" t="s">
        <v>128</v>
      </c>
      <c r="H406" s="124"/>
      <c r="I406" s="124"/>
      <c r="J406" s="60"/>
      <c r="K406" s="60"/>
      <c r="L406" s="60"/>
      <c r="M406" s="60"/>
      <c r="N406" s="60">
        <f t="shared" si="127"/>
        <v>0</v>
      </c>
      <c r="O406" s="60">
        <f t="shared" si="128"/>
        <v>0</v>
      </c>
    </row>
    <row r="407" spans="1:15" s="38" customFormat="1" ht="10.7" customHeight="1" outlineLevel="1" x14ac:dyDescent="0.25">
      <c r="A407" s="124"/>
      <c r="B407" s="142"/>
      <c r="C407" s="115"/>
      <c r="D407" s="115"/>
      <c r="E407" s="115"/>
      <c r="F407" s="115"/>
      <c r="G407" s="60" t="s">
        <v>129</v>
      </c>
      <c r="H407" s="124"/>
      <c r="I407" s="124"/>
      <c r="J407" s="60"/>
      <c r="K407" s="60"/>
      <c r="L407" s="60"/>
      <c r="M407" s="60"/>
      <c r="N407" s="60">
        <f t="shared" si="127"/>
        <v>0</v>
      </c>
      <c r="O407" s="60">
        <f t="shared" si="128"/>
        <v>0</v>
      </c>
    </row>
    <row r="408" spans="1:15" s="38" customFormat="1" ht="10.7" customHeight="1" outlineLevel="1" x14ac:dyDescent="0.25">
      <c r="A408" s="124"/>
      <c r="B408" s="142"/>
      <c r="C408" s="115"/>
      <c r="D408" s="115"/>
      <c r="E408" s="115"/>
      <c r="F408" s="115"/>
      <c r="G408" s="60" t="s">
        <v>130</v>
      </c>
      <c r="H408" s="124"/>
      <c r="I408" s="124"/>
      <c r="J408" s="60"/>
      <c r="K408" s="60"/>
      <c r="L408" s="60"/>
      <c r="M408" s="60"/>
      <c r="N408" s="60">
        <f t="shared" si="127"/>
        <v>0</v>
      </c>
      <c r="O408" s="60">
        <f t="shared" si="128"/>
        <v>0</v>
      </c>
    </row>
    <row r="409" spans="1:15" s="38" customFormat="1" ht="12" customHeight="1" outlineLevel="1" thickBot="1" x14ac:dyDescent="0.3">
      <c r="A409" s="125"/>
      <c r="B409" s="143"/>
      <c r="C409" s="131"/>
      <c r="D409" s="131"/>
      <c r="E409" s="131"/>
      <c r="F409" s="131"/>
      <c r="G409" s="60" t="s">
        <v>131</v>
      </c>
      <c r="H409" s="134"/>
      <c r="I409" s="134"/>
      <c r="J409" s="60"/>
      <c r="K409" s="60"/>
      <c r="L409" s="60"/>
      <c r="M409" s="60"/>
      <c r="N409" s="60">
        <f t="shared" si="127"/>
        <v>0</v>
      </c>
      <c r="O409" s="60">
        <f t="shared" si="128"/>
        <v>0</v>
      </c>
    </row>
    <row r="410" spans="1:15" s="38" customFormat="1" ht="14.45" customHeight="1" outlineLevel="1" x14ac:dyDescent="0.25">
      <c r="A410" s="140" t="s">
        <v>638</v>
      </c>
      <c r="B410" s="141" t="s">
        <v>639</v>
      </c>
      <c r="C410" s="130">
        <f>SUM(N410:N416)</f>
        <v>0</v>
      </c>
      <c r="D410" s="130">
        <f>SUM(O410:O416)</f>
        <v>0</v>
      </c>
      <c r="E410" s="130">
        <f t="shared" si="116"/>
        <v>0</v>
      </c>
      <c r="F410" s="130"/>
      <c r="G410" s="60" t="s">
        <v>125</v>
      </c>
      <c r="H410" s="123"/>
      <c r="I410" s="123"/>
      <c r="J410" s="60"/>
      <c r="K410" s="60"/>
      <c r="L410" s="60"/>
      <c r="M410" s="60"/>
      <c r="N410" s="60">
        <f>M410*J410*K410*L410</f>
        <v>0</v>
      </c>
      <c r="O410" s="60">
        <f>J410*K410*L410</f>
        <v>0</v>
      </c>
    </row>
    <row r="411" spans="1:15" s="38" customFormat="1" ht="11.45" customHeight="1" outlineLevel="1" x14ac:dyDescent="0.25">
      <c r="A411" s="124"/>
      <c r="B411" s="142"/>
      <c r="C411" s="115"/>
      <c r="D411" s="115"/>
      <c r="E411" s="115"/>
      <c r="F411" s="115"/>
      <c r="G411" s="60" t="s">
        <v>126</v>
      </c>
      <c r="H411" s="124"/>
      <c r="I411" s="124"/>
      <c r="J411" s="60"/>
      <c r="K411" s="60"/>
      <c r="L411" s="60"/>
      <c r="M411" s="60"/>
      <c r="N411" s="60">
        <f t="shared" ref="N411:N416" si="129">M411*J411*K411*L411</f>
        <v>0</v>
      </c>
      <c r="O411" s="60">
        <f t="shared" ref="O411:O416" si="130">J411*K411*L411</f>
        <v>0</v>
      </c>
    </row>
    <row r="412" spans="1:15" s="38" customFormat="1" ht="10.7" customHeight="1" outlineLevel="1" x14ac:dyDescent="0.25">
      <c r="A412" s="124"/>
      <c r="B412" s="142"/>
      <c r="C412" s="115"/>
      <c r="D412" s="115"/>
      <c r="E412" s="115"/>
      <c r="F412" s="115"/>
      <c r="G412" s="60" t="s">
        <v>127</v>
      </c>
      <c r="H412" s="124"/>
      <c r="I412" s="124"/>
      <c r="J412" s="60"/>
      <c r="K412" s="60"/>
      <c r="L412" s="60"/>
      <c r="M412" s="60"/>
      <c r="N412" s="60">
        <f t="shared" si="129"/>
        <v>0</v>
      </c>
      <c r="O412" s="60">
        <f t="shared" si="130"/>
        <v>0</v>
      </c>
    </row>
    <row r="413" spans="1:15" s="38" customFormat="1" ht="10.7" customHeight="1" outlineLevel="1" x14ac:dyDescent="0.25">
      <c r="A413" s="124"/>
      <c r="B413" s="142"/>
      <c r="C413" s="115"/>
      <c r="D413" s="115"/>
      <c r="E413" s="115"/>
      <c r="F413" s="115"/>
      <c r="G413" s="60" t="s">
        <v>128</v>
      </c>
      <c r="H413" s="124"/>
      <c r="I413" s="124"/>
      <c r="J413" s="60"/>
      <c r="K413" s="60"/>
      <c r="L413" s="60"/>
      <c r="M413" s="60"/>
      <c r="N413" s="60">
        <f t="shared" si="129"/>
        <v>0</v>
      </c>
      <c r="O413" s="60">
        <f t="shared" si="130"/>
        <v>0</v>
      </c>
    </row>
    <row r="414" spans="1:15" s="38" customFormat="1" ht="10.7" customHeight="1" outlineLevel="1" x14ac:dyDescent="0.25">
      <c r="A414" s="124"/>
      <c r="B414" s="142"/>
      <c r="C414" s="115"/>
      <c r="D414" s="115"/>
      <c r="E414" s="115"/>
      <c r="F414" s="115"/>
      <c r="G414" s="60" t="s">
        <v>129</v>
      </c>
      <c r="H414" s="124"/>
      <c r="I414" s="124"/>
      <c r="J414" s="60"/>
      <c r="K414" s="60"/>
      <c r="L414" s="60"/>
      <c r="M414" s="60"/>
      <c r="N414" s="60">
        <f t="shared" si="129"/>
        <v>0</v>
      </c>
      <c r="O414" s="60">
        <f t="shared" si="130"/>
        <v>0</v>
      </c>
    </row>
    <row r="415" spans="1:15" s="38" customFormat="1" ht="10.7" customHeight="1" outlineLevel="1" x14ac:dyDescent="0.25">
      <c r="A415" s="124"/>
      <c r="B415" s="142"/>
      <c r="C415" s="115"/>
      <c r="D415" s="115"/>
      <c r="E415" s="115"/>
      <c r="F415" s="115"/>
      <c r="G415" s="60" t="s">
        <v>130</v>
      </c>
      <c r="H415" s="124"/>
      <c r="I415" s="124"/>
      <c r="J415" s="60"/>
      <c r="K415" s="60"/>
      <c r="L415" s="60"/>
      <c r="M415" s="60"/>
      <c r="N415" s="60">
        <f t="shared" si="129"/>
        <v>0</v>
      </c>
      <c r="O415" s="60">
        <f t="shared" si="130"/>
        <v>0</v>
      </c>
    </row>
    <row r="416" spans="1:15" s="38" customFormat="1" ht="12" customHeight="1" outlineLevel="1" thickBot="1" x14ac:dyDescent="0.3">
      <c r="A416" s="125"/>
      <c r="B416" s="143"/>
      <c r="C416" s="131"/>
      <c r="D416" s="131"/>
      <c r="E416" s="131"/>
      <c r="F416" s="131"/>
      <c r="G416" s="60" t="s">
        <v>131</v>
      </c>
      <c r="H416" s="134"/>
      <c r="I416" s="134"/>
      <c r="J416" s="60"/>
      <c r="K416" s="60"/>
      <c r="L416" s="60"/>
      <c r="M416" s="60"/>
      <c r="N416" s="60">
        <f t="shared" si="129"/>
        <v>0</v>
      </c>
      <c r="O416" s="60">
        <f t="shared" si="130"/>
        <v>0</v>
      </c>
    </row>
    <row r="417" spans="1:15" s="38" customFormat="1" ht="14.45" customHeight="1" outlineLevel="1" x14ac:dyDescent="0.25">
      <c r="A417" s="140" t="s">
        <v>640</v>
      </c>
      <c r="B417" s="141" t="s">
        <v>641</v>
      </c>
      <c r="C417" s="130">
        <f>SUM(N417:N423)</f>
        <v>0</v>
      </c>
      <c r="D417" s="130">
        <f>SUM(O417:O423)</f>
        <v>0</v>
      </c>
      <c r="E417" s="130">
        <f t="shared" si="116"/>
        <v>0</v>
      </c>
      <c r="F417" s="130"/>
      <c r="G417" s="60" t="s">
        <v>125</v>
      </c>
      <c r="H417" s="123"/>
      <c r="I417" s="123"/>
      <c r="J417" s="60"/>
      <c r="K417" s="60"/>
      <c r="L417" s="60"/>
      <c r="M417" s="60"/>
      <c r="N417" s="60">
        <f>M417*J417*K417*L417</f>
        <v>0</v>
      </c>
      <c r="O417" s="60">
        <f>J417*K417*L417</f>
        <v>0</v>
      </c>
    </row>
    <row r="418" spans="1:15" s="38" customFormat="1" ht="11.45" customHeight="1" outlineLevel="1" x14ac:dyDescent="0.25">
      <c r="A418" s="124"/>
      <c r="B418" s="142"/>
      <c r="C418" s="115"/>
      <c r="D418" s="115"/>
      <c r="E418" s="115"/>
      <c r="F418" s="115"/>
      <c r="G418" s="60" t="s">
        <v>126</v>
      </c>
      <c r="H418" s="124"/>
      <c r="I418" s="124"/>
      <c r="J418" s="60"/>
      <c r="K418" s="60"/>
      <c r="L418" s="60"/>
      <c r="M418" s="60"/>
      <c r="N418" s="60">
        <f t="shared" ref="N418:N423" si="131">M418*J418*K418*L418</f>
        <v>0</v>
      </c>
      <c r="O418" s="60">
        <f t="shared" ref="O418:O423" si="132">J418*K418*L418</f>
        <v>0</v>
      </c>
    </row>
    <row r="419" spans="1:15" s="38" customFormat="1" ht="10.7" customHeight="1" outlineLevel="1" x14ac:dyDescent="0.25">
      <c r="A419" s="124"/>
      <c r="B419" s="142"/>
      <c r="C419" s="115"/>
      <c r="D419" s="115"/>
      <c r="E419" s="115"/>
      <c r="F419" s="115"/>
      <c r="G419" s="60" t="s">
        <v>127</v>
      </c>
      <c r="H419" s="124"/>
      <c r="I419" s="124"/>
      <c r="J419" s="60"/>
      <c r="K419" s="60"/>
      <c r="L419" s="60"/>
      <c r="M419" s="60"/>
      <c r="N419" s="60">
        <f t="shared" si="131"/>
        <v>0</v>
      </c>
      <c r="O419" s="60">
        <f t="shared" si="132"/>
        <v>0</v>
      </c>
    </row>
    <row r="420" spans="1:15" s="38" customFormat="1" ht="10.7" customHeight="1" outlineLevel="1" x14ac:dyDescent="0.25">
      <c r="A420" s="124"/>
      <c r="B420" s="142"/>
      <c r="C420" s="115"/>
      <c r="D420" s="115"/>
      <c r="E420" s="115"/>
      <c r="F420" s="115"/>
      <c r="G420" s="60" t="s">
        <v>128</v>
      </c>
      <c r="H420" s="124"/>
      <c r="I420" s="124"/>
      <c r="J420" s="60"/>
      <c r="K420" s="60"/>
      <c r="L420" s="60"/>
      <c r="M420" s="60"/>
      <c r="N420" s="60">
        <f t="shared" si="131"/>
        <v>0</v>
      </c>
      <c r="O420" s="60">
        <f t="shared" si="132"/>
        <v>0</v>
      </c>
    </row>
    <row r="421" spans="1:15" s="38" customFormat="1" ht="10.7" customHeight="1" outlineLevel="1" x14ac:dyDescent="0.25">
      <c r="A421" s="124"/>
      <c r="B421" s="142"/>
      <c r="C421" s="115"/>
      <c r="D421" s="115"/>
      <c r="E421" s="115"/>
      <c r="F421" s="115"/>
      <c r="G421" s="60" t="s">
        <v>129</v>
      </c>
      <c r="H421" s="124"/>
      <c r="I421" s="124"/>
      <c r="J421" s="60"/>
      <c r="K421" s="60"/>
      <c r="L421" s="60"/>
      <c r="M421" s="60"/>
      <c r="N421" s="60">
        <f t="shared" si="131"/>
        <v>0</v>
      </c>
      <c r="O421" s="60">
        <f t="shared" si="132"/>
        <v>0</v>
      </c>
    </row>
    <row r="422" spans="1:15" s="38" customFormat="1" ht="10.7" customHeight="1" outlineLevel="1" x14ac:dyDescent="0.25">
      <c r="A422" s="124"/>
      <c r="B422" s="142"/>
      <c r="C422" s="115"/>
      <c r="D422" s="115"/>
      <c r="E422" s="115"/>
      <c r="F422" s="115"/>
      <c r="G422" s="60" t="s">
        <v>130</v>
      </c>
      <c r="H422" s="124"/>
      <c r="I422" s="124"/>
      <c r="J422" s="60"/>
      <c r="K422" s="60"/>
      <c r="L422" s="60"/>
      <c r="M422" s="60"/>
      <c r="N422" s="60">
        <f t="shared" si="131"/>
        <v>0</v>
      </c>
      <c r="O422" s="60">
        <f t="shared" si="132"/>
        <v>0</v>
      </c>
    </row>
    <row r="423" spans="1:15" s="38" customFormat="1" ht="12" customHeight="1" outlineLevel="1" thickBot="1" x14ac:dyDescent="0.3">
      <c r="A423" s="125"/>
      <c r="B423" s="143"/>
      <c r="C423" s="131"/>
      <c r="D423" s="131"/>
      <c r="E423" s="131"/>
      <c r="F423" s="131"/>
      <c r="G423" s="60" t="s">
        <v>131</v>
      </c>
      <c r="H423" s="134"/>
      <c r="I423" s="134"/>
      <c r="J423" s="60"/>
      <c r="K423" s="60"/>
      <c r="L423" s="60"/>
      <c r="M423" s="60"/>
      <c r="N423" s="60">
        <f t="shared" si="131"/>
        <v>0</v>
      </c>
      <c r="O423" s="60">
        <f t="shared" si="132"/>
        <v>0</v>
      </c>
    </row>
    <row r="424" spans="1:15" s="38" customFormat="1" ht="14.45" customHeight="1" outlineLevel="1" x14ac:dyDescent="0.25">
      <c r="A424" s="140" t="s">
        <v>642</v>
      </c>
      <c r="B424" s="141" t="s">
        <v>643</v>
      </c>
      <c r="C424" s="130">
        <f>SUM(N424:N430)</f>
        <v>0</v>
      </c>
      <c r="D424" s="130">
        <f>SUM(O424:O430)</f>
        <v>0</v>
      </c>
      <c r="E424" s="130">
        <f t="shared" si="116"/>
        <v>0</v>
      </c>
      <c r="F424" s="130"/>
      <c r="G424" s="60" t="s">
        <v>125</v>
      </c>
      <c r="H424" s="123"/>
      <c r="I424" s="123"/>
      <c r="J424" s="60"/>
      <c r="K424" s="60"/>
      <c r="L424" s="60"/>
      <c r="M424" s="60"/>
      <c r="N424" s="60">
        <f>M424*J424*K424*L424</f>
        <v>0</v>
      </c>
      <c r="O424" s="60">
        <f>J424*K424*L424</f>
        <v>0</v>
      </c>
    </row>
    <row r="425" spans="1:15" s="38" customFormat="1" ht="11.45" customHeight="1" outlineLevel="1" x14ac:dyDescent="0.25">
      <c r="A425" s="124"/>
      <c r="B425" s="142"/>
      <c r="C425" s="115"/>
      <c r="D425" s="115"/>
      <c r="E425" s="115"/>
      <c r="F425" s="115"/>
      <c r="G425" s="60" t="s">
        <v>126</v>
      </c>
      <c r="H425" s="124"/>
      <c r="I425" s="124"/>
      <c r="J425" s="60"/>
      <c r="K425" s="60"/>
      <c r="L425" s="60"/>
      <c r="M425" s="60"/>
      <c r="N425" s="60">
        <f t="shared" ref="N425:N430" si="133">M425*J425*K425*L425</f>
        <v>0</v>
      </c>
      <c r="O425" s="60">
        <f t="shared" ref="O425:O430" si="134">J425*K425*L425</f>
        <v>0</v>
      </c>
    </row>
    <row r="426" spans="1:15" s="38" customFormat="1" ht="10.7" customHeight="1" outlineLevel="1" x14ac:dyDescent="0.25">
      <c r="A426" s="124"/>
      <c r="B426" s="142"/>
      <c r="C426" s="115"/>
      <c r="D426" s="115"/>
      <c r="E426" s="115"/>
      <c r="F426" s="115"/>
      <c r="G426" s="60" t="s">
        <v>127</v>
      </c>
      <c r="H426" s="124"/>
      <c r="I426" s="124"/>
      <c r="J426" s="60"/>
      <c r="K426" s="60"/>
      <c r="L426" s="60"/>
      <c r="M426" s="60"/>
      <c r="N426" s="60">
        <f t="shared" si="133"/>
        <v>0</v>
      </c>
      <c r="O426" s="60">
        <f t="shared" si="134"/>
        <v>0</v>
      </c>
    </row>
    <row r="427" spans="1:15" s="38" customFormat="1" ht="10.7" customHeight="1" outlineLevel="1" x14ac:dyDescent="0.25">
      <c r="A427" s="124"/>
      <c r="B427" s="142"/>
      <c r="C427" s="115"/>
      <c r="D427" s="115"/>
      <c r="E427" s="115"/>
      <c r="F427" s="115"/>
      <c r="G427" s="60" t="s">
        <v>128</v>
      </c>
      <c r="H427" s="124"/>
      <c r="I427" s="124"/>
      <c r="J427" s="60"/>
      <c r="K427" s="60"/>
      <c r="L427" s="60"/>
      <c r="M427" s="60"/>
      <c r="N427" s="60">
        <f t="shared" si="133"/>
        <v>0</v>
      </c>
      <c r="O427" s="60">
        <f t="shared" si="134"/>
        <v>0</v>
      </c>
    </row>
    <row r="428" spans="1:15" s="38" customFormat="1" ht="10.7" customHeight="1" outlineLevel="1" x14ac:dyDescent="0.25">
      <c r="A428" s="124"/>
      <c r="B428" s="142"/>
      <c r="C428" s="115"/>
      <c r="D428" s="115"/>
      <c r="E428" s="115"/>
      <c r="F428" s="115"/>
      <c r="G428" s="60" t="s">
        <v>129</v>
      </c>
      <c r="H428" s="124"/>
      <c r="I428" s="124"/>
      <c r="J428" s="60"/>
      <c r="K428" s="60"/>
      <c r="L428" s="60"/>
      <c r="M428" s="60"/>
      <c r="N428" s="60">
        <f t="shared" si="133"/>
        <v>0</v>
      </c>
      <c r="O428" s="60">
        <f t="shared" si="134"/>
        <v>0</v>
      </c>
    </row>
    <row r="429" spans="1:15" s="38" customFormat="1" ht="10.7" customHeight="1" outlineLevel="1" x14ac:dyDescent="0.25">
      <c r="A429" s="124"/>
      <c r="B429" s="142"/>
      <c r="C429" s="115"/>
      <c r="D429" s="115"/>
      <c r="E429" s="115"/>
      <c r="F429" s="115"/>
      <c r="G429" s="60" t="s">
        <v>130</v>
      </c>
      <c r="H429" s="124"/>
      <c r="I429" s="124"/>
      <c r="J429" s="60"/>
      <c r="K429" s="60"/>
      <c r="L429" s="60"/>
      <c r="M429" s="60"/>
      <c r="N429" s="60">
        <f t="shared" si="133"/>
        <v>0</v>
      </c>
      <c r="O429" s="60">
        <f t="shared" si="134"/>
        <v>0</v>
      </c>
    </row>
    <row r="430" spans="1:15" s="38" customFormat="1" ht="12" customHeight="1" outlineLevel="1" thickBot="1" x14ac:dyDescent="0.3">
      <c r="A430" s="125"/>
      <c r="B430" s="143"/>
      <c r="C430" s="131"/>
      <c r="D430" s="131"/>
      <c r="E430" s="131"/>
      <c r="F430" s="131"/>
      <c r="G430" s="60" t="s">
        <v>131</v>
      </c>
      <c r="H430" s="134"/>
      <c r="I430" s="134"/>
      <c r="J430" s="60"/>
      <c r="K430" s="60"/>
      <c r="L430" s="60"/>
      <c r="M430" s="60"/>
      <c r="N430" s="60">
        <f t="shared" si="133"/>
        <v>0</v>
      </c>
      <c r="O430" s="60">
        <f t="shared" si="134"/>
        <v>0</v>
      </c>
    </row>
    <row r="431" spans="1:15" s="38" customFormat="1" ht="14.45" customHeight="1" outlineLevel="1" x14ac:dyDescent="0.25">
      <c r="A431" s="140" t="s">
        <v>644</v>
      </c>
      <c r="B431" s="141" t="s">
        <v>645</v>
      </c>
      <c r="C431" s="130">
        <f>SUM(N431:N437)</f>
        <v>0</v>
      </c>
      <c r="D431" s="130">
        <f>SUM(O431:O437)</f>
        <v>0</v>
      </c>
      <c r="E431" s="130">
        <f t="shared" si="116"/>
        <v>0</v>
      </c>
      <c r="F431" s="130"/>
      <c r="G431" s="60" t="s">
        <v>125</v>
      </c>
      <c r="H431" s="123"/>
      <c r="I431" s="123"/>
      <c r="J431" s="60"/>
      <c r="K431" s="60"/>
      <c r="L431" s="60"/>
      <c r="M431" s="60"/>
      <c r="N431" s="60">
        <f>M431*J431*K431*L431</f>
        <v>0</v>
      </c>
      <c r="O431" s="60">
        <f>J431*K431*L431</f>
        <v>0</v>
      </c>
    </row>
    <row r="432" spans="1:15" s="38" customFormat="1" ht="11.45" customHeight="1" outlineLevel="1" x14ac:dyDescent="0.25">
      <c r="A432" s="124"/>
      <c r="B432" s="142"/>
      <c r="C432" s="115"/>
      <c r="D432" s="115"/>
      <c r="E432" s="115"/>
      <c r="F432" s="115"/>
      <c r="G432" s="60" t="s">
        <v>126</v>
      </c>
      <c r="H432" s="124"/>
      <c r="I432" s="124"/>
      <c r="J432" s="60"/>
      <c r="K432" s="60"/>
      <c r="L432" s="60"/>
      <c r="M432" s="60"/>
      <c r="N432" s="60">
        <f t="shared" ref="N432:N437" si="135">M432*J432*K432*L432</f>
        <v>0</v>
      </c>
      <c r="O432" s="60">
        <f t="shared" ref="O432:O437" si="136">J432*K432*L432</f>
        <v>0</v>
      </c>
    </row>
    <row r="433" spans="1:15" s="38" customFormat="1" ht="10.7" customHeight="1" outlineLevel="1" x14ac:dyDescent="0.25">
      <c r="A433" s="124"/>
      <c r="B433" s="142"/>
      <c r="C433" s="115"/>
      <c r="D433" s="115"/>
      <c r="E433" s="115"/>
      <c r="F433" s="115"/>
      <c r="G433" s="60" t="s">
        <v>127</v>
      </c>
      <c r="H433" s="124"/>
      <c r="I433" s="124"/>
      <c r="J433" s="60"/>
      <c r="K433" s="60"/>
      <c r="L433" s="60"/>
      <c r="M433" s="60"/>
      <c r="N433" s="60">
        <f t="shared" si="135"/>
        <v>0</v>
      </c>
      <c r="O433" s="60">
        <f t="shared" si="136"/>
        <v>0</v>
      </c>
    </row>
    <row r="434" spans="1:15" s="38" customFormat="1" ht="10.7" customHeight="1" outlineLevel="1" x14ac:dyDescent="0.25">
      <c r="A434" s="124"/>
      <c r="B434" s="142"/>
      <c r="C434" s="115"/>
      <c r="D434" s="115"/>
      <c r="E434" s="115"/>
      <c r="F434" s="115"/>
      <c r="G434" s="60" t="s">
        <v>128</v>
      </c>
      <c r="H434" s="124"/>
      <c r="I434" s="124"/>
      <c r="J434" s="60"/>
      <c r="K434" s="60"/>
      <c r="L434" s="60"/>
      <c r="M434" s="60"/>
      <c r="N434" s="60">
        <f t="shared" si="135"/>
        <v>0</v>
      </c>
      <c r="O434" s="60">
        <f t="shared" si="136"/>
        <v>0</v>
      </c>
    </row>
    <row r="435" spans="1:15" s="38" customFormat="1" ht="10.7" customHeight="1" outlineLevel="1" x14ac:dyDescent="0.25">
      <c r="A435" s="124"/>
      <c r="B435" s="142"/>
      <c r="C435" s="115"/>
      <c r="D435" s="115"/>
      <c r="E435" s="115"/>
      <c r="F435" s="115"/>
      <c r="G435" s="60" t="s">
        <v>129</v>
      </c>
      <c r="H435" s="124"/>
      <c r="I435" s="124"/>
      <c r="J435" s="60"/>
      <c r="K435" s="60"/>
      <c r="L435" s="60"/>
      <c r="M435" s="60"/>
      <c r="N435" s="60">
        <f t="shared" si="135"/>
        <v>0</v>
      </c>
      <c r="O435" s="60">
        <f t="shared" si="136"/>
        <v>0</v>
      </c>
    </row>
    <row r="436" spans="1:15" s="38" customFormat="1" ht="10.7" customHeight="1" outlineLevel="1" x14ac:dyDescent="0.25">
      <c r="A436" s="124"/>
      <c r="B436" s="142"/>
      <c r="C436" s="115"/>
      <c r="D436" s="115"/>
      <c r="E436" s="115"/>
      <c r="F436" s="115"/>
      <c r="G436" s="60" t="s">
        <v>130</v>
      </c>
      <c r="H436" s="124"/>
      <c r="I436" s="124"/>
      <c r="J436" s="60"/>
      <c r="K436" s="60"/>
      <c r="L436" s="60"/>
      <c r="M436" s="60"/>
      <c r="N436" s="60">
        <f t="shared" si="135"/>
        <v>0</v>
      </c>
      <c r="O436" s="60">
        <f t="shared" si="136"/>
        <v>0</v>
      </c>
    </row>
    <row r="437" spans="1:15" s="38" customFormat="1" ht="12" customHeight="1" outlineLevel="1" thickBot="1" x14ac:dyDescent="0.3">
      <c r="A437" s="125"/>
      <c r="B437" s="143"/>
      <c r="C437" s="131"/>
      <c r="D437" s="131"/>
      <c r="E437" s="131"/>
      <c r="F437" s="131"/>
      <c r="G437" s="60" t="s">
        <v>131</v>
      </c>
      <c r="H437" s="134"/>
      <c r="I437" s="134"/>
      <c r="J437" s="60"/>
      <c r="K437" s="60"/>
      <c r="L437" s="60"/>
      <c r="M437" s="60"/>
      <c r="N437" s="60">
        <f t="shared" si="135"/>
        <v>0</v>
      </c>
      <c r="O437" s="60">
        <f t="shared" si="136"/>
        <v>0</v>
      </c>
    </row>
    <row r="438" spans="1:15" s="38" customFormat="1" ht="14.45" customHeight="1" outlineLevel="1" x14ac:dyDescent="0.25">
      <c r="A438" s="140" t="s">
        <v>646</v>
      </c>
      <c r="B438" s="141" t="s">
        <v>647</v>
      </c>
      <c r="C438" s="130">
        <f>SUM(N438:N444)</f>
        <v>0</v>
      </c>
      <c r="D438" s="130">
        <f>SUM(O438:O444)</f>
        <v>0</v>
      </c>
      <c r="E438" s="130">
        <f t="shared" ref="E438:E501" si="137">D438/8</f>
        <v>0</v>
      </c>
      <c r="F438" s="130"/>
      <c r="G438" s="60" t="s">
        <v>125</v>
      </c>
      <c r="H438" s="123"/>
      <c r="I438" s="123"/>
      <c r="J438" s="60"/>
      <c r="K438" s="60"/>
      <c r="L438" s="60"/>
      <c r="M438" s="60"/>
      <c r="N438" s="60">
        <f>M438*J438*K438*L438</f>
        <v>0</v>
      </c>
      <c r="O438" s="60">
        <f>J438*K438*L438</f>
        <v>0</v>
      </c>
    </row>
    <row r="439" spans="1:15" s="38" customFormat="1" ht="11.45" customHeight="1" outlineLevel="1" x14ac:dyDescent="0.25">
      <c r="A439" s="124"/>
      <c r="B439" s="142"/>
      <c r="C439" s="115"/>
      <c r="D439" s="115"/>
      <c r="E439" s="115"/>
      <c r="F439" s="115"/>
      <c r="G439" s="60" t="s">
        <v>126</v>
      </c>
      <c r="H439" s="124"/>
      <c r="I439" s="124"/>
      <c r="J439" s="60"/>
      <c r="K439" s="60"/>
      <c r="L439" s="60"/>
      <c r="M439" s="60"/>
      <c r="N439" s="60">
        <f t="shared" ref="N439:N444" si="138">M439*J439*K439*L439</f>
        <v>0</v>
      </c>
      <c r="O439" s="60">
        <f t="shared" ref="O439:O444" si="139">J439*K439*L439</f>
        <v>0</v>
      </c>
    </row>
    <row r="440" spans="1:15" s="38" customFormat="1" ht="10.7" customHeight="1" outlineLevel="1" x14ac:dyDescent="0.25">
      <c r="A440" s="124"/>
      <c r="B440" s="142"/>
      <c r="C440" s="115"/>
      <c r="D440" s="115"/>
      <c r="E440" s="115"/>
      <c r="F440" s="115"/>
      <c r="G440" s="60" t="s">
        <v>127</v>
      </c>
      <c r="H440" s="124"/>
      <c r="I440" s="124"/>
      <c r="J440" s="60"/>
      <c r="K440" s="60"/>
      <c r="L440" s="60"/>
      <c r="M440" s="60"/>
      <c r="N440" s="60">
        <f t="shared" si="138"/>
        <v>0</v>
      </c>
      <c r="O440" s="60">
        <f t="shared" si="139"/>
        <v>0</v>
      </c>
    </row>
    <row r="441" spans="1:15" s="38" customFormat="1" ht="10.7" customHeight="1" outlineLevel="1" x14ac:dyDescent="0.25">
      <c r="A441" s="124"/>
      <c r="B441" s="142"/>
      <c r="C441" s="115"/>
      <c r="D441" s="115"/>
      <c r="E441" s="115"/>
      <c r="F441" s="115"/>
      <c r="G441" s="60" t="s">
        <v>128</v>
      </c>
      <c r="H441" s="124"/>
      <c r="I441" s="124"/>
      <c r="J441" s="60"/>
      <c r="K441" s="60"/>
      <c r="L441" s="60"/>
      <c r="M441" s="60"/>
      <c r="N441" s="60">
        <f t="shared" si="138"/>
        <v>0</v>
      </c>
      <c r="O441" s="60">
        <f t="shared" si="139"/>
        <v>0</v>
      </c>
    </row>
    <row r="442" spans="1:15" s="38" customFormat="1" ht="10.7" customHeight="1" outlineLevel="1" x14ac:dyDescent="0.25">
      <c r="A442" s="124"/>
      <c r="B442" s="142"/>
      <c r="C442" s="115"/>
      <c r="D442" s="115"/>
      <c r="E442" s="115"/>
      <c r="F442" s="115"/>
      <c r="G442" s="60" t="s">
        <v>129</v>
      </c>
      <c r="H442" s="124"/>
      <c r="I442" s="124"/>
      <c r="J442" s="60"/>
      <c r="K442" s="60"/>
      <c r="L442" s="60"/>
      <c r="M442" s="60"/>
      <c r="N442" s="60">
        <f t="shared" si="138"/>
        <v>0</v>
      </c>
      <c r="O442" s="60">
        <f t="shared" si="139"/>
        <v>0</v>
      </c>
    </row>
    <row r="443" spans="1:15" s="38" customFormat="1" ht="10.7" customHeight="1" outlineLevel="1" x14ac:dyDescent="0.25">
      <c r="A443" s="124"/>
      <c r="B443" s="142"/>
      <c r="C443" s="115"/>
      <c r="D443" s="115"/>
      <c r="E443" s="115"/>
      <c r="F443" s="115"/>
      <c r="G443" s="60" t="s">
        <v>130</v>
      </c>
      <c r="H443" s="124"/>
      <c r="I443" s="124"/>
      <c r="J443" s="60"/>
      <c r="K443" s="60"/>
      <c r="L443" s="60"/>
      <c r="M443" s="60"/>
      <c r="N443" s="60">
        <f t="shared" si="138"/>
        <v>0</v>
      </c>
      <c r="O443" s="60">
        <f t="shared" si="139"/>
        <v>0</v>
      </c>
    </row>
    <row r="444" spans="1:15" s="38" customFormat="1" ht="12" customHeight="1" outlineLevel="1" thickBot="1" x14ac:dyDescent="0.3">
      <c r="A444" s="125"/>
      <c r="B444" s="143"/>
      <c r="C444" s="131"/>
      <c r="D444" s="131"/>
      <c r="E444" s="131"/>
      <c r="F444" s="131"/>
      <c r="G444" s="60" t="s">
        <v>131</v>
      </c>
      <c r="H444" s="134"/>
      <c r="I444" s="134"/>
      <c r="J444" s="60"/>
      <c r="K444" s="60"/>
      <c r="L444" s="60"/>
      <c r="M444" s="60"/>
      <c r="N444" s="60">
        <f t="shared" si="138"/>
        <v>0</v>
      </c>
      <c r="O444" s="60">
        <f t="shared" si="139"/>
        <v>0</v>
      </c>
    </row>
    <row r="445" spans="1:15" s="38" customFormat="1" ht="14.45" customHeight="1" outlineLevel="1" x14ac:dyDescent="0.25">
      <c r="A445" s="140" t="s">
        <v>648</v>
      </c>
      <c r="B445" s="141" t="s">
        <v>649</v>
      </c>
      <c r="C445" s="130">
        <f>SUM(N445:N451)</f>
        <v>0</v>
      </c>
      <c r="D445" s="130">
        <f>SUM(O445:O451)</f>
        <v>0</v>
      </c>
      <c r="E445" s="130">
        <f t="shared" si="137"/>
        <v>0</v>
      </c>
      <c r="F445" s="130"/>
      <c r="G445" s="60" t="s">
        <v>125</v>
      </c>
      <c r="H445" s="123"/>
      <c r="I445" s="123"/>
      <c r="J445" s="60"/>
      <c r="K445" s="60"/>
      <c r="L445" s="60"/>
      <c r="M445" s="60"/>
      <c r="N445" s="60">
        <f>M445*J445*K445*L445</f>
        <v>0</v>
      </c>
      <c r="O445" s="60">
        <f>J445*K445*L445</f>
        <v>0</v>
      </c>
    </row>
    <row r="446" spans="1:15" s="38" customFormat="1" ht="11.45" customHeight="1" outlineLevel="1" x14ac:dyDescent="0.25">
      <c r="A446" s="124"/>
      <c r="B446" s="142"/>
      <c r="C446" s="115"/>
      <c r="D446" s="115"/>
      <c r="E446" s="115"/>
      <c r="F446" s="115"/>
      <c r="G446" s="60" t="s">
        <v>126</v>
      </c>
      <c r="H446" s="124"/>
      <c r="I446" s="124"/>
      <c r="J446" s="60"/>
      <c r="K446" s="60"/>
      <c r="L446" s="60"/>
      <c r="M446" s="60"/>
      <c r="N446" s="60">
        <f t="shared" ref="N446:N451" si="140">M446*J446*K446*L446</f>
        <v>0</v>
      </c>
      <c r="O446" s="60">
        <f t="shared" ref="O446:O451" si="141">J446*K446*L446</f>
        <v>0</v>
      </c>
    </row>
    <row r="447" spans="1:15" s="38" customFormat="1" ht="10.7" customHeight="1" outlineLevel="1" x14ac:dyDescent="0.25">
      <c r="A447" s="124"/>
      <c r="B447" s="142"/>
      <c r="C447" s="115"/>
      <c r="D447" s="115"/>
      <c r="E447" s="115"/>
      <c r="F447" s="115"/>
      <c r="G447" s="60" t="s">
        <v>127</v>
      </c>
      <c r="H447" s="124"/>
      <c r="I447" s="124"/>
      <c r="J447" s="60"/>
      <c r="K447" s="60"/>
      <c r="L447" s="60"/>
      <c r="M447" s="60"/>
      <c r="N447" s="60">
        <f t="shared" si="140"/>
        <v>0</v>
      </c>
      <c r="O447" s="60">
        <f t="shared" si="141"/>
        <v>0</v>
      </c>
    </row>
    <row r="448" spans="1:15" s="38" customFormat="1" ht="10.7" customHeight="1" outlineLevel="1" x14ac:dyDescent="0.25">
      <c r="A448" s="124"/>
      <c r="B448" s="142"/>
      <c r="C448" s="115"/>
      <c r="D448" s="115"/>
      <c r="E448" s="115"/>
      <c r="F448" s="115"/>
      <c r="G448" s="60" t="s">
        <v>128</v>
      </c>
      <c r="H448" s="124"/>
      <c r="I448" s="124"/>
      <c r="J448" s="60"/>
      <c r="K448" s="60"/>
      <c r="L448" s="60"/>
      <c r="M448" s="60"/>
      <c r="N448" s="60">
        <f t="shared" si="140"/>
        <v>0</v>
      </c>
      <c r="O448" s="60">
        <f t="shared" si="141"/>
        <v>0</v>
      </c>
    </row>
    <row r="449" spans="1:15" s="38" customFormat="1" ht="10.7" customHeight="1" outlineLevel="1" x14ac:dyDescent="0.25">
      <c r="A449" s="124"/>
      <c r="B449" s="142"/>
      <c r="C449" s="115"/>
      <c r="D449" s="115"/>
      <c r="E449" s="115"/>
      <c r="F449" s="115"/>
      <c r="G449" s="60" t="s">
        <v>129</v>
      </c>
      <c r="H449" s="124"/>
      <c r="I449" s="124"/>
      <c r="J449" s="60"/>
      <c r="K449" s="60"/>
      <c r="L449" s="60"/>
      <c r="M449" s="60"/>
      <c r="N449" s="60">
        <f t="shared" si="140"/>
        <v>0</v>
      </c>
      <c r="O449" s="60">
        <f t="shared" si="141"/>
        <v>0</v>
      </c>
    </row>
    <row r="450" spans="1:15" s="38" customFormat="1" ht="10.7" customHeight="1" outlineLevel="1" x14ac:dyDescent="0.25">
      <c r="A450" s="124"/>
      <c r="B450" s="142"/>
      <c r="C450" s="115"/>
      <c r="D450" s="115"/>
      <c r="E450" s="115"/>
      <c r="F450" s="115"/>
      <c r="G450" s="60" t="s">
        <v>130</v>
      </c>
      <c r="H450" s="124"/>
      <c r="I450" s="124"/>
      <c r="J450" s="60"/>
      <c r="K450" s="60"/>
      <c r="L450" s="60"/>
      <c r="M450" s="60"/>
      <c r="N450" s="60">
        <f t="shared" si="140"/>
        <v>0</v>
      </c>
      <c r="O450" s="60">
        <f t="shared" si="141"/>
        <v>0</v>
      </c>
    </row>
    <row r="451" spans="1:15" s="38" customFormat="1" ht="12" customHeight="1" outlineLevel="1" thickBot="1" x14ac:dyDescent="0.3">
      <c r="A451" s="125"/>
      <c r="B451" s="143"/>
      <c r="C451" s="131"/>
      <c r="D451" s="131"/>
      <c r="E451" s="131"/>
      <c r="F451" s="131"/>
      <c r="G451" s="60" t="s">
        <v>131</v>
      </c>
      <c r="H451" s="134"/>
      <c r="I451" s="134"/>
      <c r="J451" s="60"/>
      <c r="K451" s="60"/>
      <c r="L451" s="60"/>
      <c r="M451" s="60"/>
      <c r="N451" s="60">
        <f t="shared" si="140"/>
        <v>0</v>
      </c>
      <c r="O451" s="60">
        <f t="shared" si="141"/>
        <v>0</v>
      </c>
    </row>
    <row r="452" spans="1:15" s="38" customFormat="1" ht="14.45" customHeight="1" outlineLevel="1" x14ac:dyDescent="0.25">
      <c r="A452" s="140" t="s">
        <v>650</v>
      </c>
      <c r="B452" s="141" t="s">
        <v>651</v>
      </c>
      <c r="C452" s="130">
        <f>SUM(N452:N458)</f>
        <v>0</v>
      </c>
      <c r="D452" s="130">
        <f>SUM(O452:O458)</f>
        <v>0</v>
      </c>
      <c r="E452" s="130">
        <f t="shared" si="137"/>
        <v>0</v>
      </c>
      <c r="F452" s="130"/>
      <c r="G452" s="60" t="s">
        <v>125</v>
      </c>
      <c r="H452" s="123"/>
      <c r="I452" s="123"/>
      <c r="J452" s="60"/>
      <c r="K452" s="60"/>
      <c r="L452" s="60"/>
      <c r="M452" s="60"/>
      <c r="N452" s="60">
        <f>M452*J452*K452*L452</f>
        <v>0</v>
      </c>
      <c r="O452" s="60">
        <f>J452*K452*L452</f>
        <v>0</v>
      </c>
    </row>
    <row r="453" spans="1:15" s="38" customFormat="1" ht="11.45" customHeight="1" outlineLevel="1" x14ac:dyDescent="0.25">
      <c r="A453" s="124"/>
      <c r="B453" s="142"/>
      <c r="C453" s="115"/>
      <c r="D453" s="115"/>
      <c r="E453" s="115"/>
      <c r="F453" s="115"/>
      <c r="G453" s="60" t="s">
        <v>126</v>
      </c>
      <c r="H453" s="124"/>
      <c r="I453" s="124"/>
      <c r="J453" s="60"/>
      <c r="K453" s="60"/>
      <c r="L453" s="60"/>
      <c r="M453" s="60"/>
      <c r="N453" s="60">
        <f t="shared" ref="N453:N458" si="142">M453*J453*K453*L453</f>
        <v>0</v>
      </c>
      <c r="O453" s="60">
        <f t="shared" ref="O453:O458" si="143">J453*K453*L453</f>
        <v>0</v>
      </c>
    </row>
    <row r="454" spans="1:15" s="38" customFormat="1" ht="10.7" customHeight="1" outlineLevel="1" x14ac:dyDescent="0.25">
      <c r="A454" s="124"/>
      <c r="B454" s="142"/>
      <c r="C454" s="115"/>
      <c r="D454" s="115"/>
      <c r="E454" s="115"/>
      <c r="F454" s="115"/>
      <c r="G454" s="60" t="s">
        <v>127</v>
      </c>
      <c r="H454" s="124"/>
      <c r="I454" s="124"/>
      <c r="J454" s="60"/>
      <c r="K454" s="60"/>
      <c r="L454" s="60"/>
      <c r="M454" s="60"/>
      <c r="N454" s="60">
        <f t="shared" si="142"/>
        <v>0</v>
      </c>
      <c r="O454" s="60">
        <f t="shared" si="143"/>
        <v>0</v>
      </c>
    </row>
    <row r="455" spans="1:15" s="38" customFormat="1" ht="10.7" customHeight="1" outlineLevel="1" x14ac:dyDescent="0.25">
      <c r="A455" s="124"/>
      <c r="B455" s="142"/>
      <c r="C455" s="115"/>
      <c r="D455" s="115"/>
      <c r="E455" s="115"/>
      <c r="F455" s="115"/>
      <c r="G455" s="60" t="s">
        <v>128</v>
      </c>
      <c r="H455" s="124"/>
      <c r="I455" s="124"/>
      <c r="J455" s="60"/>
      <c r="K455" s="60"/>
      <c r="L455" s="60"/>
      <c r="M455" s="60"/>
      <c r="N455" s="60">
        <f t="shared" si="142"/>
        <v>0</v>
      </c>
      <c r="O455" s="60">
        <f t="shared" si="143"/>
        <v>0</v>
      </c>
    </row>
    <row r="456" spans="1:15" s="38" customFormat="1" ht="10.7" customHeight="1" outlineLevel="1" x14ac:dyDescent="0.25">
      <c r="A456" s="124"/>
      <c r="B456" s="142"/>
      <c r="C456" s="115"/>
      <c r="D456" s="115"/>
      <c r="E456" s="115"/>
      <c r="F456" s="115"/>
      <c r="G456" s="60" t="s">
        <v>129</v>
      </c>
      <c r="H456" s="124"/>
      <c r="I456" s="124"/>
      <c r="J456" s="60"/>
      <c r="K456" s="60"/>
      <c r="L456" s="60"/>
      <c r="M456" s="60"/>
      <c r="N456" s="60">
        <f t="shared" si="142"/>
        <v>0</v>
      </c>
      <c r="O456" s="60">
        <f t="shared" si="143"/>
        <v>0</v>
      </c>
    </row>
    <row r="457" spans="1:15" s="38" customFormat="1" ht="10.7" customHeight="1" outlineLevel="1" x14ac:dyDescent="0.25">
      <c r="A457" s="124"/>
      <c r="B457" s="142"/>
      <c r="C457" s="115"/>
      <c r="D457" s="115"/>
      <c r="E457" s="115"/>
      <c r="F457" s="115"/>
      <c r="G457" s="60" t="s">
        <v>130</v>
      </c>
      <c r="H457" s="124"/>
      <c r="I457" s="124"/>
      <c r="J457" s="60"/>
      <c r="K457" s="60"/>
      <c r="L457" s="60"/>
      <c r="M457" s="60"/>
      <c r="N457" s="60">
        <f t="shared" si="142"/>
        <v>0</v>
      </c>
      <c r="O457" s="60">
        <f t="shared" si="143"/>
        <v>0</v>
      </c>
    </row>
    <row r="458" spans="1:15" s="38" customFormat="1" ht="12" customHeight="1" outlineLevel="1" thickBot="1" x14ac:dyDescent="0.3">
      <c r="A458" s="125"/>
      <c r="B458" s="143"/>
      <c r="C458" s="131"/>
      <c r="D458" s="131"/>
      <c r="E458" s="131"/>
      <c r="F458" s="131"/>
      <c r="G458" s="60" t="s">
        <v>131</v>
      </c>
      <c r="H458" s="134"/>
      <c r="I458" s="134"/>
      <c r="J458" s="60"/>
      <c r="K458" s="60"/>
      <c r="L458" s="60"/>
      <c r="M458" s="60"/>
      <c r="N458" s="60">
        <f t="shared" si="142"/>
        <v>0</v>
      </c>
      <c r="O458" s="60">
        <f t="shared" si="143"/>
        <v>0</v>
      </c>
    </row>
    <row r="459" spans="1:15" s="38" customFormat="1" ht="14.45" customHeight="1" outlineLevel="1" x14ac:dyDescent="0.25">
      <c r="A459" s="140" t="s">
        <v>652</v>
      </c>
      <c r="B459" s="141" t="s">
        <v>653</v>
      </c>
      <c r="C459" s="130">
        <f>SUM(N459:N465)</f>
        <v>0</v>
      </c>
      <c r="D459" s="130">
        <f>SUM(O459:O465)</f>
        <v>0</v>
      </c>
      <c r="E459" s="130">
        <f t="shared" si="137"/>
        <v>0</v>
      </c>
      <c r="F459" s="130"/>
      <c r="G459" s="60" t="s">
        <v>125</v>
      </c>
      <c r="H459" s="123"/>
      <c r="I459" s="123"/>
      <c r="J459" s="60"/>
      <c r="K459" s="60"/>
      <c r="L459" s="60"/>
      <c r="M459" s="60"/>
      <c r="N459" s="60">
        <f>M459*J459*K459*L459</f>
        <v>0</v>
      </c>
      <c r="O459" s="60">
        <f>J459*K459*L459</f>
        <v>0</v>
      </c>
    </row>
    <row r="460" spans="1:15" s="38" customFormat="1" ht="11.45" customHeight="1" outlineLevel="1" x14ac:dyDescent="0.25">
      <c r="A460" s="124"/>
      <c r="B460" s="142"/>
      <c r="C460" s="115"/>
      <c r="D460" s="115"/>
      <c r="E460" s="115"/>
      <c r="F460" s="115"/>
      <c r="G460" s="60" t="s">
        <v>126</v>
      </c>
      <c r="H460" s="124"/>
      <c r="I460" s="124"/>
      <c r="J460" s="60"/>
      <c r="K460" s="60"/>
      <c r="L460" s="60"/>
      <c r="M460" s="60"/>
      <c r="N460" s="60">
        <f t="shared" ref="N460:N465" si="144">M460*J460*K460*L460</f>
        <v>0</v>
      </c>
      <c r="O460" s="60">
        <f t="shared" ref="O460:O465" si="145">J460*K460*L460</f>
        <v>0</v>
      </c>
    </row>
    <row r="461" spans="1:15" s="38" customFormat="1" ht="10.7" customHeight="1" outlineLevel="1" x14ac:dyDescent="0.25">
      <c r="A461" s="124"/>
      <c r="B461" s="142"/>
      <c r="C461" s="115"/>
      <c r="D461" s="115"/>
      <c r="E461" s="115"/>
      <c r="F461" s="115"/>
      <c r="G461" s="60" t="s">
        <v>127</v>
      </c>
      <c r="H461" s="124"/>
      <c r="I461" s="124"/>
      <c r="J461" s="60"/>
      <c r="K461" s="60"/>
      <c r="L461" s="60"/>
      <c r="M461" s="60"/>
      <c r="N461" s="60">
        <f t="shared" si="144"/>
        <v>0</v>
      </c>
      <c r="O461" s="60">
        <f t="shared" si="145"/>
        <v>0</v>
      </c>
    </row>
    <row r="462" spans="1:15" s="38" customFormat="1" ht="10.7" customHeight="1" outlineLevel="1" x14ac:dyDescent="0.25">
      <c r="A462" s="124"/>
      <c r="B462" s="142"/>
      <c r="C462" s="115"/>
      <c r="D462" s="115"/>
      <c r="E462" s="115"/>
      <c r="F462" s="115"/>
      <c r="G462" s="60" t="s">
        <v>128</v>
      </c>
      <c r="H462" s="124"/>
      <c r="I462" s="124"/>
      <c r="J462" s="60"/>
      <c r="K462" s="60"/>
      <c r="L462" s="60"/>
      <c r="M462" s="60"/>
      <c r="N462" s="60">
        <f t="shared" si="144"/>
        <v>0</v>
      </c>
      <c r="O462" s="60">
        <f t="shared" si="145"/>
        <v>0</v>
      </c>
    </row>
    <row r="463" spans="1:15" s="38" customFormat="1" ht="10.7" customHeight="1" outlineLevel="1" x14ac:dyDescent="0.25">
      <c r="A463" s="124"/>
      <c r="B463" s="142"/>
      <c r="C463" s="115"/>
      <c r="D463" s="115"/>
      <c r="E463" s="115"/>
      <c r="F463" s="115"/>
      <c r="G463" s="60" t="s">
        <v>129</v>
      </c>
      <c r="H463" s="124"/>
      <c r="I463" s="124"/>
      <c r="J463" s="60"/>
      <c r="K463" s="60"/>
      <c r="L463" s="60"/>
      <c r="M463" s="60"/>
      <c r="N463" s="60">
        <f t="shared" si="144"/>
        <v>0</v>
      </c>
      <c r="O463" s="60">
        <f t="shared" si="145"/>
        <v>0</v>
      </c>
    </row>
    <row r="464" spans="1:15" s="38" customFormat="1" ht="10.7" customHeight="1" outlineLevel="1" x14ac:dyDescent="0.25">
      <c r="A464" s="124"/>
      <c r="B464" s="142"/>
      <c r="C464" s="115"/>
      <c r="D464" s="115"/>
      <c r="E464" s="115"/>
      <c r="F464" s="115"/>
      <c r="G464" s="60" t="s">
        <v>130</v>
      </c>
      <c r="H464" s="124"/>
      <c r="I464" s="124"/>
      <c r="J464" s="60"/>
      <c r="K464" s="60"/>
      <c r="L464" s="60"/>
      <c r="M464" s="60"/>
      <c r="N464" s="60">
        <f t="shared" si="144"/>
        <v>0</v>
      </c>
      <c r="O464" s="60">
        <f t="shared" si="145"/>
        <v>0</v>
      </c>
    </row>
    <row r="465" spans="1:15" s="38" customFormat="1" ht="12" customHeight="1" outlineLevel="1" thickBot="1" x14ac:dyDescent="0.3">
      <c r="A465" s="125"/>
      <c r="B465" s="143"/>
      <c r="C465" s="131"/>
      <c r="D465" s="131"/>
      <c r="E465" s="131"/>
      <c r="F465" s="131"/>
      <c r="G465" s="60" t="s">
        <v>131</v>
      </c>
      <c r="H465" s="134"/>
      <c r="I465" s="134"/>
      <c r="J465" s="60"/>
      <c r="K465" s="60"/>
      <c r="L465" s="60"/>
      <c r="M465" s="60"/>
      <c r="N465" s="60">
        <f t="shared" si="144"/>
        <v>0</v>
      </c>
      <c r="O465" s="60">
        <f t="shared" si="145"/>
        <v>0</v>
      </c>
    </row>
    <row r="466" spans="1:15" s="38" customFormat="1" ht="14.45" customHeight="1" outlineLevel="1" x14ac:dyDescent="0.25">
      <c r="A466" s="140" t="s">
        <v>654</v>
      </c>
      <c r="B466" s="141" t="s">
        <v>655</v>
      </c>
      <c r="C466" s="130">
        <f>SUM(N466:N472)</f>
        <v>0</v>
      </c>
      <c r="D466" s="130">
        <f>SUM(O466:O472)</f>
        <v>0</v>
      </c>
      <c r="E466" s="130">
        <f t="shared" si="137"/>
        <v>0</v>
      </c>
      <c r="F466" s="130"/>
      <c r="G466" s="60" t="s">
        <v>125</v>
      </c>
      <c r="H466" s="123"/>
      <c r="I466" s="123"/>
      <c r="J466" s="60"/>
      <c r="K466" s="60"/>
      <c r="L466" s="60"/>
      <c r="M466" s="60"/>
      <c r="N466" s="60">
        <f>M466*J466*K466*L466</f>
        <v>0</v>
      </c>
      <c r="O466" s="60">
        <f>J466*K466*L466</f>
        <v>0</v>
      </c>
    </row>
    <row r="467" spans="1:15" s="38" customFormat="1" ht="11.45" customHeight="1" outlineLevel="1" x14ac:dyDescent="0.25">
      <c r="A467" s="124"/>
      <c r="B467" s="142"/>
      <c r="C467" s="115"/>
      <c r="D467" s="115"/>
      <c r="E467" s="115"/>
      <c r="F467" s="115"/>
      <c r="G467" s="60" t="s">
        <v>126</v>
      </c>
      <c r="H467" s="124"/>
      <c r="I467" s="124"/>
      <c r="J467" s="60"/>
      <c r="K467" s="60"/>
      <c r="L467" s="60"/>
      <c r="M467" s="60"/>
      <c r="N467" s="60">
        <f t="shared" ref="N467:N472" si="146">M467*J467*K467*L467</f>
        <v>0</v>
      </c>
      <c r="O467" s="60">
        <f t="shared" ref="O467:O472" si="147">J467*K467*L467</f>
        <v>0</v>
      </c>
    </row>
    <row r="468" spans="1:15" s="38" customFormat="1" ht="10.7" customHeight="1" outlineLevel="1" x14ac:dyDescent="0.25">
      <c r="A468" s="124"/>
      <c r="B468" s="142"/>
      <c r="C468" s="115"/>
      <c r="D468" s="115"/>
      <c r="E468" s="115"/>
      <c r="F468" s="115"/>
      <c r="G468" s="60" t="s">
        <v>127</v>
      </c>
      <c r="H468" s="124"/>
      <c r="I468" s="124"/>
      <c r="J468" s="60"/>
      <c r="K468" s="60"/>
      <c r="L468" s="60"/>
      <c r="M468" s="60"/>
      <c r="N468" s="60">
        <f t="shared" si="146"/>
        <v>0</v>
      </c>
      <c r="O468" s="60">
        <f t="shared" si="147"/>
        <v>0</v>
      </c>
    </row>
    <row r="469" spans="1:15" s="38" customFormat="1" ht="10.7" customHeight="1" outlineLevel="1" x14ac:dyDescent="0.25">
      <c r="A469" s="124"/>
      <c r="B469" s="142"/>
      <c r="C469" s="115"/>
      <c r="D469" s="115"/>
      <c r="E469" s="115"/>
      <c r="F469" s="115"/>
      <c r="G469" s="60" t="s">
        <v>128</v>
      </c>
      <c r="H469" s="124"/>
      <c r="I469" s="124"/>
      <c r="J469" s="60"/>
      <c r="K469" s="60"/>
      <c r="L469" s="60"/>
      <c r="M469" s="60"/>
      <c r="N469" s="60">
        <f t="shared" si="146"/>
        <v>0</v>
      </c>
      <c r="O469" s="60">
        <f t="shared" si="147"/>
        <v>0</v>
      </c>
    </row>
    <row r="470" spans="1:15" s="38" customFormat="1" ht="10.7" customHeight="1" outlineLevel="1" x14ac:dyDescent="0.25">
      <c r="A470" s="124"/>
      <c r="B470" s="142"/>
      <c r="C470" s="115"/>
      <c r="D470" s="115"/>
      <c r="E470" s="115"/>
      <c r="F470" s="115"/>
      <c r="G470" s="60" t="s">
        <v>129</v>
      </c>
      <c r="H470" s="124"/>
      <c r="I470" s="124"/>
      <c r="J470" s="60"/>
      <c r="K470" s="60"/>
      <c r="L470" s="60"/>
      <c r="M470" s="60"/>
      <c r="N470" s="60">
        <f t="shared" si="146"/>
        <v>0</v>
      </c>
      <c r="O470" s="60">
        <f t="shared" si="147"/>
        <v>0</v>
      </c>
    </row>
    <row r="471" spans="1:15" s="38" customFormat="1" ht="10.7" customHeight="1" outlineLevel="1" x14ac:dyDescent="0.25">
      <c r="A471" s="124"/>
      <c r="B471" s="142"/>
      <c r="C471" s="115"/>
      <c r="D471" s="115"/>
      <c r="E471" s="115"/>
      <c r="F471" s="115"/>
      <c r="G471" s="60" t="s">
        <v>130</v>
      </c>
      <c r="H471" s="124"/>
      <c r="I471" s="124"/>
      <c r="J471" s="60"/>
      <c r="K471" s="60"/>
      <c r="L471" s="60"/>
      <c r="M471" s="60"/>
      <c r="N471" s="60">
        <f t="shared" si="146"/>
        <v>0</v>
      </c>
      <c r="O471" s="60">
        <f t="shared" si="147"/>
        <v>0</v>
      </c>
    </row>
    <row r="472" spans="1:15" s="38" customFormat="1" ht="12" customHeight="1" outlineLevel="1" thickBot="1" x14ac:dyDescent="0.3">
      <c r="A472" s="125"/>
      <c r="B472" s="143"/>
      <c r="C472" s="131"/>
      <c r="D472" s="131"/>
      <c r="E472" s="131"/>
      <c r="F472" s="131"/>
      <c r="G472" s="60" t="s">
        <v>131</v>
      </c>
      <c r="H472" s="134"/>
      <c r="I472" s="134"/>
      <c r="J472" s="60"/>
      <c r="K472" s="60"/>
      <c r="L472" s="60"/>
      <c r="M472" s="60"/>
      <c r="N472" s="60">
        <f t="shared" si="146"/>
        <v>0</v>
      </c>
      <c r="O472" s="60">
        <f t="shared" si="147"/>
        <v>0</v>
      </c>
    </row>
    <row r="473" spans="1:15" s="38" customFormat="1" ht="14.45" customHeight="1" outlineLevel="1" x14ac:dyDescent="0.25">
      <c r="A473" s="140" t="s">
        <v>656</v>
      </c>
      <c r="B473" s="141" t="s">
        <v>657</v>
      </c>
      <c r="C473" s="130">
        <f>SUM(N473:N479)</f>
        <v>0</v>
      </c>
      <c r="D473" s="130">
        <f>SUM(O473:O479)</f>
        <v>0</v>
      </c>
      <c r="E473" s="130">
        <f t="shared" si="137"/>
        <v>0</v>
      </c>
      <c r="F473" s="130"/>
      <c r="G473" s="60" t="s">
        <v>125</v>
      </c>
      <c r="H473" s="123"/>
      <c r="I473" s="123"/>
      <c r="J473" s="60"/>
      <c r="K473" s="60"/>
      <c r="L473" s="60"/>
      <c r="M473" s="60"/>
      <c r="N473" s="60">
        <f>M473*J473*K473*L473</f>
        <v>0</v>
      </c>
      <c r="O473" s="60">
        <f>J473*K473*L473</f>
        <v>0</v>
      </c>
    </row>
    <row r="474" spans="1:15" s="38" customFormat="1" ht="11.45" customHeight="1" outlineLevel="1" x14ac:dyDescent="0.25">
      <c r="A474" s="124"/>
      <c r="B474" s="142"/>
      <c r="C474" s="115"/>
      <c r="D474" s="115"/>
      <c r="E474" s="115"/>
      <c r="F474" s="115"/>
      <c r="G474" s="60" t="s">
        <v>126</v>
      </c>
      <c r="H474" s="124"/>
      <c r="I474" s="124"/>
      <c r="J474" s="60"/>
      <c r="K474" s="60"/>
      <c r="L474" s="60"/>
      <c r="M474" s="60"/>
      <c r="N474" s="60">
        <f t="shared" ref="N474:N479" si="148">M474*J474*K474*L474</f>
        <v>0</v>
      </c>
      <c r="O474" s="60">
        <f t="shared" ref="O474:O479" si="149">J474*K474*L474</f>
        <v>0</v>
      </c>
    </row>
    <row r="475" spans="1:15" s="38" customFormat="1" ht="10.7" customHeight="1" outlineLevel="1" x14ac:dyDescent="0.25">
      <c r="A475" s="124"/>
      <c r="B475" s="142"/>
      <c r="C475" s="115"/>
      <c r="D475" s="115"/>
      <c r="E475" s="115"/>
      <c r="F475" s="115"/>
      <c r="G475" s="60" t="s">
        <v>127</v>
      </c>
      <c r="H475" s="124"/>
      <c r="I475" s="124"/>
      <c r="J475" s="60"/>
      <c r="K475" s="60"/>
      <c r="L475" s="60"/>
      <c r="M475" s="60"/>
      <c r="N475" s="60">
        <f t="shared" si="148"/>
        <v>0</v>
      </c>
      <c r="O475" s="60">
        <f t="shared" si="149"/>
        <v>0</v>
      </c>
    </row>
    <row r="476" spans="1:15" s="38" customFormat="1" ht="10.7" customHeight="1" outlineLevel="1" x14ac:dyDescent="0.25">
      <c r="A476" s="124"/>
      <c r="B476" s="142"/>
      <c r="C476" s="115"/>
      <c r="D476" s="115"/>
      <c r="E476" s="115"/>
      <c r="F476" s="115"/>
      <c r="G476" s="60" t="s">
        <v>128</v>
      </c>
      <c r="H476" s="124"/>
      <c r="I476" s="124"/>
      <c r="J476" s="60"/>
      <c r="K476" s="60"/>
      <c r="L476" s="60"/>
      <c r="M476" s="60"/>
      <c r="N476" s="60">
        <f t="shared" si="148"/>
        <v>0</v>
      </c>
      <c r="O476" s="60">
        <f t="shared" si="149"/>
        <v>0</v>
      </c>
    </row>
    <row r="477" spans="1:15" s="38" customFormat="1" ht="10.7" customHeight="1" outlineLevel="1" x14ac:dyDescent="0.25">
      <c r="A477" s="124"/>
      <c r="B477" s="142"/>
      <c r="C477" s="115"/>
      <c r="D477" s="115"/>
      <c r="E477" s="115"/>
      <c r="F477" s="115"/>
      <c r="G477" s="60" t="s">
        <v>129</v>
      </c>
      <c r="H477" s="124"/>
      <c r="I477" s="124"/>
      <c r="J477" s="60"/>
      <c r="K477" s="60"/>
      <c r="L477" s="60"/>
      <c r="M477" s="60"/>
      <c r="N477" s="60">
        <f t="shared" si="148"/>
        <v>0</v>
      </c>
      <c r="O477" s="60">
        <f t="shared" si="149"/>
        <v>0</v>
      </c>
    </row>
    <row r="478" spans="1:15" s="38" customFormat="1" ht="10.7" customHeight="1" outlineLevel="1" x14ac:dyDescent="0.25">
      <c r="A478" s="124"/>
      <c r="B478" s="142"/>
      <c r="C478" s="115"/>
      <c r="D478" s="115"/>
      <c r="E478" s="115"/>
      <c r="F478" s="115"/>
      <c r="G478" s="60" t="s">
        <v>130</v>
      </c>
      <c r="H478" s="124"/>
      <c r="I478" s="124"/>
      <c r="J478" s="60"/>
      <c r="K478" s="60"/>
      <c r="L478" s="60"/>
      <c r="M478" s="60"/>
      <c r="N478" s="60">
        <f t="shared" si="148"/>
        <v>0</v>
      </c>
      <c r="O478" s="60">
        <f t="shared" si="149"/>
        <v>0</v>
      </c>
    </row>
    <row r="479" spans="1:15" s="38" customFormat="1" ht="12" customHeight="1" outlineLevel="1" thickBot="1" x14ac:dyDescent="0.3">
      <c r="A479" s="125"/>
      <c r="B479" s="143"/>
      <c r="C479" s="131"/>
      <c r="D479" s="131"/>
      <c r="E479" s="131"/>
      <c r="F479" s="131"/>
      <c r="G479" s="60" t="s">
        <v>131</v>
      </c>
      <c r="H479" s="134"/>
      <c r="I479" s="134"/>
      <c r="J479" s="60"/>
      <c r="K479" s="60"/>
      <c r="L479" s="60"/>
      <c r="M479" s="60"/>
      <c r="N479" s="60">
        <f t="shared" si="148"/>
        <v>0</v>
      </c>
      <c r="O479" s="60">
        <f t="shared" si="149"/>
        <v>0</v>
      </c>
    </row>
    <row r="480" spans="1:15" s="38" customFormat="1" ht="14.45" customHeight="1" outlineLevel="1" x14ac:dyDescent="0.25">
      <c r="A480" s="140" t="s">
        <v>658</v>
      </c>
      <c r="B480" s="141" t="s">
        <v>659</v>
      </c>
      <c r="C480" s="130">
        <f>SUM(N480:N486)</f>
        <v>0</v>
      </c>
      <c r="D480" s="130">
        <f>SUM(O480:O486)</f>
        <v>0</v>
      </c>
      <c r="E480" s="130">
        <f t="shared" si="137"/>
        <v>0</v>
      </c>
      <c r="F480" s="130"/>
      <c r="G480" s="60" t="s">
        <v>125</v>
      </c>
      <c r="H480" s="123"/>
      <c r="I480" s="123"/>
      <c r="J480" s="60"/>
      <c r="K480" s="60"/>
      <c r="L480" s="60"/>
      <c r="M480" s="60"/>
      <c r="N480" s="60">
        <f>M480*J480*K480*L480</f>
        <v>0</v>
      </c>
      <c r="O480" s="60">
        <f>J480*K480*L480</f>
        <v>0</v>
      </c>
    </row>
    <row r="481" spans="1:15" s="38" customFormat="1" ht="11.45" customHeight="1" outlineLevel="1" x14ac:dyDescent="0.25">
      <c r="A481" s="124"/>
      <c r="B481" s="142"/>
      <c r="C481" s="115"/>
      <c r="D481" s="115"/>
      <c r="E481" s="115"/>
      <c r="F481" s="115"/>
      <c r="G481" s="60" t="s">
        <v>126</v>
      </c>
      <c r="H481" s="124"/>
      <c r="I481" s="124"/>
      <c r="J481" s="60"/>
      <c r="K481" s="60"/>
      <c r="L481" s="60"/>
      <c r="M481" s="60"/>
      <c r="N481" s="60">
        <f t="shared" ref="N481:N486" si="150">M481*J481*K481*L481</f>
        <v>0</v>
      </c>
      <c r="O481" s="60">
        <f t="shared" ref="O481:O486" si="151">J481*K481*L481</f>
        <v>0</v>
      </c>
    </row>
    <row r="482" spans="1:15" s="38" customFormat="1" ht="10.7" customHeight="1" outlineLevel="1" x14ac:dyDescent="0.25">
      <c r="A482" s="124"/>
      <c r="B482" s="142"/>
      <c r="C482" s="115"/>
      <c r="D482" s="115"/>
      <c r="E482" s="115"/>
      <c r="F482" s="115"/>
      <c r="G482" s="60" t="s">
        <v>127</v>
      </c>
      <c r="H482" s="124"/>
      <c r="I482" s="124"/>
      <c r="J482" s="60"/>
      <c r="K482" s="60"/>
      <c r="L482" s="60"/>
      <c r="M482" s="60"/>
      <c r="N482" s="60">
        <f t="shared" si="150"/>
        <v>0</v>
      </c>
      <c r="O482" s="60">
        <f t="shared" si="151"/>
        <v>0</v>
      </c>
    </row>
    <row r="483" spans="1:15" s="38" customFormat="1" ht="10.7" customHeight="1" outlineLevel="1" x14ac:dyDescent="0.25">
      <c r="A483" s="124"/>
      <c r="B483" s="142"/>
      <c r="C483" s="115"/>
      <c r="D483" s="115"/>
      <c r="E483" s="115"/>
      <c r="F483" s="115"/>
      <c r="G483" s="60" t="s">
        <v>128</v>
      </c>
      <c r="H483" s="124"/>
      <c r="I483" s="124"/>
      <c r="J483" s="60"/>
      <c r="K483" s="60"/>
      <c r="L483" s="60"/>
      <c r="M483" s="60"/>
      <c r="N483" s="60">
        <f t="shared" si="150"/>
        <v>0</v>
      </c>
      <c r="O483" s="60">
        <f t="shared" si="151"/>
        <v>0</v>
      </c>
    </row>
    <row r="484" spans="1:15" s="38" customFormat="1" ht="10.7" customHeight="1" outlineLevel="1" x14ac:dyDescent="0.25">
      <c r="A484" s="124"/>
      <c r="B484" s="142"/>
      <c r="C484" s="115"/>
      <c r="D484" s="115"/>
      <c r="E484" s="115"/>
      <c r="F484" s="115"/>
      <c r="G484" s="60" t="s">
        <v>129</v>
      </c>
      <c r="H484" s="124"/>
      <c r="I484" s="124"/>
      <c r="J484" s="60"/>
      <c r="K484" s="60"/>
      <c r="L484" s="60"/>
      <c r="M484" s="60"/>
      <c r="N484" s="60">
        <f t="shared" si="150"/>
        <v>0</v>
      </c>
      <c r="O484" s="60">
        <f t="shared" si="151"/>
        <v>0</v>
      </c>
    </row>
    <row r="485" spans="1:15" s="38" customFormat="1" ht="10.7" customHeight="1" outlineLevel="1" x14ac:dyDescent="0.25">
      <c r="A485" s="124"/>
      <c r="B485" s="142"/>
      <c r="C485" s="115"/>
      <c r="D485" s="115"/>
      <c r="E485" s="115"/>
      <c r="F485" s="115"/>
      <c r="G485" s="60" t="s">
        <v>130</v>
      </c>
      <c r="H485" s="124"/>
      <c r="I485" s="124"/>
      <c r="J485" s="60"/>
      <c r="K485" s="60"/>
      <c r="L485" s="60"/>
      <c r="M485" s="60"/>
      <c r="N485" s="60">
        <f t="shared" si="150"/>
        <v>0</v>
      </c>
      <c r="O485" s="60">
        <f t="shared" si="151"/>
        <v>0</v>
      </c>
    </row>
    <row r="486" spans="1:15" s="38" customFormat="1" ht="12" customHeight="1" outlineLevel="1" thickBot="1" x14ac:dyDescent="0.3">
      <c r="A486" s="125"/>
      <c r="B486" s="143"/>
      <c r="C486" s="131"/>
      <c r="D486" s="131"/>
      <c r="E486" s="131"/>
      <c r="F486" s="131"/>
      <c r="G486" s="60" t="s">
        <v>131</v>
      </c>
      <c r="H486" s="134"/>
      <c r="I486" s="134"/>
      <c r="J486" s="60"/>
      <c r="K486" s="60"/>
      <c r="L486" s="60"/>
      <c r="M486" s="60"/>
      <c r="N486" s="60">
        <f t="shared" si="150"/>
        <v>0</v>
      </c>
      <c r="O486" s="60">
        <f t="shared" si="151"/>
        <v>0</v>
      </c>
    </row>
    <row r="487" spans="1:15" s="38" customFormat="1" ht="14.45" customHeight="1" outlineLevel="1" x14ac:dyDescent="0.25">
      <c r="A487" s="140" t="s">
        <v>660</v>
      </c>
      <c r="B487" s="141" t="s">
        <v>661</v>
      </c>
      <c r="C487" s="130">
        <f>SUM(N487:N493)</f>
        <v>0</v>
      </c>
      <c r="D487" s="130">
        <f>SUM(O487:O493)</f>
        <v>0</v>
      </c>
      <c r="E487" s="130">
        <f t="shared" si="137"/>
        <v>0</v>
      </c>
      <c r="F487" s="130"/>
      <c r="G487" s="60" t="s">
        <v>125</v>
      </c>
      <c r="H487" s="123"/>
      <c r="I487" s="123"/>
      <c r="J487" s="60"/>
      <c r="K487" s="60"/>
      <c r="L487" s="60"/>
      <c r="M487" s="60"/>
      <c r="N487" s="60">
        <f>M487*J487*K487*L487</f>
        <v>0</v>
      </c>
      <c r="O487" s="60">
        <f>J487*K487*L487</f>
        <v>0</v>
      </c>
    </row>
    <row r="488" spans="1:15" s="38" customFormat="1" ht="11.45" customHeight="1" outlineLevel="1" x14ac:dyDescent="0.25">
      <c r="A488" s="124"/>
      <c r="B488" s="142"/>
      <c r="C488" s="115"/>
      <c r="D488" s="115"/>
      <c r="E488" s="115"/>
      <c r="F488" s="115"/>
      <c r="G488" s="60" t="s">
        <v>126</v>
      </c>
      <c r="H488" s="124"/>
      <c r="I488" s="124"/>
      <c r="J488" s="60"/>
      <c r="K488" s="60"/>
      <c r="L488" s="60"/>
      <c r="M488" s="60"/>
      <c r="N488" s="60">
        <f t="shared" ref="N488:N493" si="152">M488*J488*K488*L488</f>
        <v>0</v>
      </c>
      <c r="O488" s="60">
        <f t="shared" ref="O488:O493" si="153">J488*K488*L488</f>
        <v>0</v>
      </c>
    </row>
    <row r="489" spans="1:15" s="38" customFormat="1" ht="10.7" customHeight="1" outlineLevel="1" x14ac:dyDescent="0.25">
      <c r="A489" s="124"/>
      <c r="B489" s="142"/>
      <c r="C489" s="115"/>
      <c r="D489" s="115"/>
      <c r="E489" s="115"/>
      <c r="F489" s="115"/>
      <c r="G489" s="60" t="s">
        <v>127</v>
      </c>
      <c r="H489" s="124"/>
      <c r="I489" s="124"/>
      <c r="J489" s="60"/>
      <c r="K489" s="60"/>
      <c r="L489" s="60"/>
      <c r="M489" s="60"/>
      <c r="N489" s="60">
        <f t="shared" si="152"/>
        <v>0</v>
      </c>
      <c r="O489" s="60">
        <f t="shared" si="153"/>
        <v>0</v>
      </c>
    </row>
    <row r="490" spans="1:15" s="38" customFormat="1" ht="10.7" customHeight="1" outlineLevel="1" x14ac:dyDescent="0.25">
      <c r="A490" s="124"/>
      <c r="B490" s="142"/>
      <c r="C490" s="115"/>
      <c r="D490" s="115"/>
      <c r="E490" s="115"/>
      <c r="F490" s="115"/>
      <c r="G490" s="60" t="s">
        <v>128</v>
      </c>
      <c r="H490" s="124"/>
      <c r="I490" s="124"/>
      <c r="J490" s="60"/>
      <c r="K490" s="60"/>
      <c r="L490" s="60"/>
      <c r="M490" s="60"/>
      <c r="N490" s="60">
        <f t="shared" si="152"/>
        <v>0</v>
      </c>
      <c r="O490" s="60">
        <f t="shared" si="153"/>
        <v>0</v>
      </c>
    </row>
    <row r="491" spans="1:15" s="38" customFormat="1" ht="10.7" customHeight="1" outlineLevel="1" x14ac:dyDescent="0.25">
      <c r="A491" s="124"/>
      <c r="B491" s="142"/>
      <c r="C491" s="115"/>
      <c r="D491" s="115"/>
      <c r="E491" s="115"/>
      <c r="F491" s="115"/>
      <c r="G491" s="60" t="s">
        <v>129</v>
      </c>
      <c r="H491" s="124"/>
      <c r="I491" s="124"/>
      <c r="J491" s="60"/>
      <c r="K491" s="60"/>
      <c r="L491" s="60"/>
      <c r="M491" s="60"/>
      <c r="N491" s="60">
        <f t="shared" si="152"/>
        <v>0</v>
      </c>
      <c r="O491" s="60">
        <f t="shared" si="153"/>
        <v>0</v>
      </c>
    </row>
    <row r="492" spans="1:15" s="38" customFormat="1" ht="10.7" customHeight="1" outlineLevel="1" x14ac:dyDescent="0.25">
      <c r="A492" s="124"/>
      <c r="B492" s="142"/>
      <c r="C492" s="115"/>
      <c r="D492" s="115"/>
      <c r="E492" s="115"/>
      <c r="F492" s="115"/>
      <c r="G492" s="60" t="s">
        <v>130</v>
      </c>
      <c r="H492" s="124"/>
      <c r="I492" s="124"/>
      <c r="J492" s="60"/>
      <c r="K492" s="60"/>
      <c r="L492" s="60"/>
      <c r="M492" s="60"/>
      <c r="N492" s="60">
        <f t="shared" si="152"/>
        <v>0</v>
      </c>
      <c r="O492" s="60">
        <f t="shared" si="153"/>
        <v>0</v>
      </c>
    </row>
    <row r="493" spans="1:15" s="38" customFormat="1" ht="12" customHeight="1" outlineLevel="1" thickBot="1" x14ac:dyDescent="0.3">
      <c r="A493" s="125"/>
      <c r="B493" s="143"/>
      <c r="C493" s="131"/>
      <c r="D493" s="131"/>
      <c r="E493" s="131"/>
      <c r="F493" s="131"/>
      <c r="G493" s="60" t="s">
        <v>131</v>
      </c>
      <c r="H493" s="134"/>
      <c r="I493" s="134"/>
      <c r="J493" s="60"/>
      <c r="K493" s="60"/>
      <c r="L493" s="60"/>
      <c r="M493" s="60"/>
      <c r="N493" s="60">
        <f t="shared" si="152"/>
        <v>0</v>
      </c>
      <c r="O493" s="60">
        <f t="shared" si="153"/>
        <v>0</v>
      </c>
    </row>
    <row r="494" spans="1:15" s="38" customFormat="1" ht="14.45" customHeight="1" outlineLevel="1" x14ac:dyDescent="0.25">
      <c r="A494" s="140" t="s">
        <v>662</v>
      </c>
      <c r="B494" s="141" t="s">
        <v>663</v>
      </c>
      <c r="C494" s="130">
        <f>SUM(N494:N500)</f>
        <v>0</v>
      </c>
      <c r="D494" s="130">
        <f>SUM(O494:O500)</f>
        <v>0</v>
      </c>
      <c r="E494" s="130">
        <f t="shared" si="137"/>
        <v>0</v>
      </c>
      <c r="F494" s="130"/>
      <c r="G494" s="60" t="s">
        <v>125</v>
      </c>
      <c r="H494" s="123"/>
      <c r="I494" s="123"/>
      <c r="J494" s="60"/>
      <c r="K494" s="60"/>
      <c r="L494" s="60"/>
      <c r="M494" s="60"/>
      <c r="N494" s="60">
        <f>M494*J494*K494*L494</f>
        <v>0</v>
      </c>
      <c r="O494" s="60">
        <f>J494*K494*L494</f>
        <v>0</v>
      </c>
    </row>
    <row r="495" spans="1:15" s="38" customFormat="1" ht="11.45" customHeight="1" outlineLevel="1" x14ac:dyDescent="0.25">
      <c r="A495" s="124"/>
      <c r="B495" s="142"/>
      <c r="C495" s="115"/>
      <c r="D495" s="115"/>
      <c r="E495" s="115"/>
      <c r="F495" s="115"/>
      <c r="G495" s="60" t="s">
        <v>126</v>
      </c>
      <c r="H495" s="124"/>
      <c r="I495" s="124"/>
      <c r="J495" s="60"/>
      <c r="K495" s="60"/>
      <c r="L495" s="60"/>
      <c r="M495" s="60"/>
      <c r="N495" s="60">
        <f t="shared" ref="N495:N500" si="154">M495*J495*K495*L495</f>
        <v>0</v>
      </c>
      <c r="O495" s="60">
        <f t="shared" ref="O495:O500" si="155">J495*K495*L495</f>
        <v>0</v>
      </c>
    </row>
    <row r="496" spans="1:15" s="38" customFormat="1" ht="10.7" customHeight="1" outlineLevel="1" x14ac:dyDescent="0.25">
      <c r="A496" s="124"/>
      <c r="B496" s="142"/>
      <c r="C496" s="115"/>
      <c r="D496" s="115"/>
      <c r="E496" s="115"/>
      <c r="F496" s="115"/>
      <c r="G496" s="60" t="s">
        <v>127</v>
      </c>
      <c r="H496" s="124"/>
      <c r="I496" s="124"/>
      <c r="J496" s="60"/>
      <c r="K496" s="60"/>
      <c r="L496" s="60"/>
      <c r="M496" s="60"/>
      <c r="N496" s="60">
        <f t="shared" si="154"/>
        <v>0</v>
      </c>
      <c r="O496" s="60">
        <f t="shared" si="155"/>
        <v>0</v>
      </c>
    </row>
    <row r="497" spans="1:15" s="38" customFormat="1" ht="10.7" customHeight="1" outlineLevel="1" x14ac:dyDescent="0.25">
      <c r="A497" s="124"/>
      <c r="B497" s="142"/>
      <c r="C497" s="115"/>
      <c r="D497" s="115"/>
      <c r="E497" s="115"/>
      <c r="F497" s="115"/>
      <c r="G497" s="60" t="s">
        <v>128</v>
      </c>
      <c r="H497" s="124"/>
      <c r="I497" s="124"/>
      <c r="J497" s="60"/>
      <c r="K497" s="60"/>
      <c r="L497" s="60"/>
      <c r="M497" s="60"/>
      <c r="N497" s="60">
        <f t="shared" si="154"/>
        <v>0</v>
      </c>
      <c r="O497" s="60">
        <f t="shared" si="155"/>
        <v>0</v>
      </c>
    </row>
    <row r="498" spans="1:15" s="38" customFormat="1" ht="10.7" customHeight="1" outlineLevel="1" x14ac:dyDescent="0.25">
      <c r="A498" s="124"/>
      <c r="B498" s="142"/>
      <c r="C498" s="115"/>
      <c r="D498" s="115"/>
      <c r="E498" s="115"/>
      <c r="F498" s="115"/>
      <c r="G498" s="60" t="s">
        <v>129</v>
      </c>
      <c r="H498" s="124"/>
      <c r="I498" s="124"/>
      <c r="J498" s="60"/>
      <c r="K498" s="60"/>
      <c r="L498" s="60"/>
      <c r="M498" s="60"/>
      <c r="N498" s="60">
        <f t="shared" si="154"/>
        <v>0</v>
      </c>
      <c r="O498" s="60">
        <f t="shared" si="155"/>
        <v>0</v>
      </c>
    </row>
    <row r="499" spans="1:15" s="38" customFormat="1" ht="10.7" customHeight="1" outlineLevel="1" x14ac:dyDescent="0.25">
      <c r="A499" s="124"/>
      <c r="B499" s="142"/>
      <c r="C499" s="115"/>
      <c r="D499" s="115"/>
      <c r="E499" s="115"/>
      <c r="F499" s="115"/>
      <c r="G499" s="60" t="s">
        <v>130</v>
      </c>
      <c r="H499" s="124"/>
      <c r="I499" s="124"/>
      <c r="J499" s="60"/>
      <c r="K499" s="60"/>
      <c r="L499" s="60"/>
      <c r="M499" s="60"/>
      <c r="N499" s="60">
        <f t="shared" si="154"/>
        <v>0</v>
      </c>
      <c r="O499" s="60">
        <f t="shared" si="155"/>
        <v>0</v>
      </c>
    </row>
    <row r="500" spans="1:15" s="38" customFormat="1" ht="12" customHeight="1" outlineLevel="1" thickBot="1" x14ac:dyDescent="0.3">
      <c r="A500" s="125"/>
      <c r="B500" s="143"/>
      <c r="C500" s="131"/>
      <c r="D500" s="131"/>
      <c r="E500" s="131"/>
      <c r="F500" s="131"/>
      <c r="G500" s="60" t="s">
        <v>131</v>
      </c>
      <c r="H500" s="134"/>
      <c r="I500" s="134"/>
      <c r="J500" s="60"/>
      <c r="K500" s="60"/>
      <c r="L500" s="60"/>
      <c r="M500" s="60"/>
      <c r="N500" s="60">
        <f t="shared" si="154"/>
        <v>0</v>
      </c>
      <c r="O500" s="60">
        <f t="shared" si="155"/>
        <v>0</v>
      </c>
    </row>
    <row r="501" spans="1:15" s="38" customFormat="1" ht="14.45" customHeight="1" outlineLevel="1" x14ac:dyDescent="0.25">
      <c r="A501" s="140" t="s">
        <v>664</v>
      </c>
      <c r="B501" s="141" t="s">
        <v>665</v>
      </c>
      <c r="C501" s="130">
        <f>SUM(N501:N507)</f>
        <v>0</v>
      </c>
      <c r="D501" s="130">
        <f>SUM(O501:O507)</f>
        <v>0</v>
      </c>
      <c r="E501" s="130">
        <f t="shared" si="137"/>
        <v>0</v>
      </c>
      <c r="F501" s="130"/>
      <c r="G501" s="60" t="s">
        <v>125</v>
      </c>
      <c r="H501" s="123"/>
      <c r="I501" s="123"/>
      <c r="J501" s="60"/>
      <c r="K501" s="60"/>
      <c r="L501" s="60"/>
      <c r="M501" s="60"/>
      <c r="N501" s="60">
        <f>M501*J501*K501*L501</f>
        <v>0</v>
      </c>
      <c r="O501" s="60">
        <f>J501*K501*L501</f>
        <v>0</v>
      </c>
    </row>
    <row r="502" spans="1:15" s="38" customFormat="1" ht="11.45" customHeight="1" outlineLevel="1" x14ac:dyDescent="0.25">
      <c r="A502" s="124"/>
      <c r="B502" s="142"/>
      <c r="C502" s="115"/>
      <c r="D502" s="115"/>
      <c r="E502" s="115"/>
      <c r="F502" s="115"/>
      <c r="G502" s="60" t="s">
        <v>126</v>
      </c>
      <c r="H502" s="124"/>
      <c r="I502" s="124"/>
      <c r="J502" s="60"/>
      <c r="K502" s="60"/>
      <c r="L502" s="60"/>
      <c r="M502" s="60"/>
      <c r="N502" s="60">
        <f t="shared" ref="N502:N507" si="156">M502*J502*K502*L502</f>
        <v>0</v>
      </c>
      <c r="O502" s="60">
        <f t="shared" ref="O502:O507" si="157">J502*K502*L502</f>
        <v>0</v>
      </c>
    </row>
    <row r="503" spans="1:15" s="38" customFormat="1" ht="10.7" customHeight="1" outlineLevel="1" x14ac:dyDescent="0.25">
      <c r="A503" s="124"/>
      <c r="B503" s="142"/>
      <c r="C503" s="115"/>
      <c r="D503" s="115"/>
      <c r="E503" s="115"/>
      <c r="F503" s="115"/>
      <c r="G503" s="60" t="s">
        <v>127</v>
      </c>
      <c r="H503" s="124"/>
      <c r="I503" s="124"/>
      <c r="J503" s="60"/>
      <c r="K503" s="60"/>
      <c r="L503" s="60"/>
      <c r="M503" s="60"/>
      <c r="N503" s="60">
        <f t="shared" si="156"/>
        <v>0</v>
      </c>
      <c r="O503" s="60">
        <f t="shared" si="157"/>
        <v>0</v>
      </c>
    </row>
    <row r="504" spans="1:15" s="38" customFormat="1" ht="10.7" customHeight="1" outlineLevel="1" x14ac:dyDescent="0.25">
      <c r="A504" s="124"/>
      <c r="B504" s="142"/>
      <c r="C504" s="115"/>
      <c r="D504" s="115"/>
      <c r="E504" s="115"/>
      <c r="F504" s="115"/>
      <c r="G504" s="60" t="s">
        <v>128</v>
      </c>
      <c r="H504" s="124"/>
      <c r="I504" s="124"/>
      <c r="J504" s="60"/>
      <c r="K504" s="60"/>
      <c r="L504" s="60"/>
      <c r="M504" s="60"/>
      <c r="N504" s="60">
        <f t="shared" si="156"/>
        <v>0</v>
      </c>
      <c r="O504" s="60">
        <f t="shared" si="157"/>
        <v>0</v>
      </c>
    </row>
    <row r="505" spans="1:15" s="38" customFormat="1" ht="10.7" customHeight="1" outlineLevel="1" x14ac:dyDescent="0.25">
      <c r="A505" s="124"/>
      <c r="B505" s="142"/>
      <c r="C505" s="115"/>
      <c r="D505" s="115"/>
      <c r="E505" s="115"/>
      <c r="F505" s="115"/>
      <c r="G505" s="60" t="s">
        <v>129</v>
      </c>
      <c r="H505" s="124"/>
      <c r="I505" s="124"/>
      <c r="J505" s="60"/>
      <c r="K505" s="60"/>
      <c r="L505" s="60"/>
      <c r="M505" s="60"/>
      <c r="N505" s="60">
        <f t="shared" si="156"/>
        <v>0</v>
      </c>
      <c r="O505" s="60">
        <f t="shared" si="157"/>
        <v>0</v>
      </c>
    </row>
    <row r="506" spans="1:15" s="38" customFormat="1" ht="10.7" customHeight="1" outlineLevel="1" x14ac:dyDescent="0.25">
      <c r="A506" s="124"/>
      <c r="B506" s="142"/>
      <c r="C506" s="115"/>
      <c r="D506" s="115"/>
      <c r="E506" s="115"/>
      <c r="F506" s="115"/>
      <c r="G506" s="60" t="s">
        <v>130</v>
      </c>
      <c r="H506" s="124"/>
      <c r="I506" s="124"/>
      <c r="J506" s="60"/>
      <c r="K506" s="60"/>
      <c r="L506" s="60"/>
      <c r="M506" s="60"/>
      <c r="N506" s="60">
        <f t="shared" si="156"/>
        <v>0</v>
      </c>
      <c r="O506" s="60">
        <f t="shared" si="157"/>
        <v>0</v>
      </c>
    </row>
    <row r="507" spans="1:15" s="38" customFormat="1" ht="12" customHeight="1" outlineLevel="1" thickBot="1" x14ac:dyDescent="0.3">
      <c r="A507" s="125"/>
      <c r="B507" s="143"/>
      <c r="C507" s="131"/>
      <c r="D507" s="131"/>
      <c r="E507" s="131"/>
      <c r="F507" s="131"/>
      <c r="G507" s="60" t="s">
        <v>131</v>
      </c>
      <c r="H507" s="134"/>
      <c r="I507" s="134"/>
      <c r="J507" s="60"/>
      <c r="K507" s="60"/>
      <c r="L507" s="60"/>
      <c r="M507" s="60"/>
      <c r="N507" s="60">
        <f t="shared" si="156"/>
        <v>0</v>
      </c>
      <c r="O507" s="60">
        <f t="shared" si="157"/>
        <v>0</v>
      </c>
    </row>
    <row r="508" spans="1:15" s="38" customFormat="1" ht="14.45" customHeight="1" outlineLevel="1" x14ac:dyDescent="0.25">
      <c r="A508" s="140" t="s">
        <v>666</v>
      </c>
      <c r="B508" s="141" t="s">
        <v>667</v>
      </c>
      <c r="C508" s="130">
        <f>SUM(N508:N514)</f>
        <v>0</v>
      </c>
      <c r="D508" s="130">
        <f>SUM(O508:O514)</f>
        <v>0</v>
      </c>
      <c r="E508" s="130">
        <f t="shared" ref="E508:E571" si="158">D508/8</f>
        <v>0</v>
      </c>
      <c r="F508" s="130"/>
      <c r="G508" s="60" t="s">
        <v>125</v>
      </c>
      <c r="H508" s="123"/>
      <c r="I508" s="123"/>
      <c r="J508" s="60"/>
      <c r="K508" s="60"/>
      <c r="L508" s="60"/>
      <c r="M508" s="60"/>
      <c r="N508" s="60">
        <f>M508*J508*K508*L508</f>
        <v>0</v>
      </c>
      <c r="O508" s="60">
        <f>J508*K508*L508</f>
        <v>0</v>
      </c>
    </row>
    <row r="509" spans="1:15" s="38" customFormat="1" ht="11.45" customHeight="1" outlineLevel="1" x14ac:dyDescent="0.25">
      <c r="A509" s="124"/>
      <c r="B509" s="142"/>
      <c r="C509" s="115"/>
      <c r="D509" s="115"/>
      <c r="E509" s="115"/>
      <c r="F509" s="115"/>
      <c r="G509" s="60" t="s">
        <v>126</v>
      </c>
      <c r="H509" s="124"/>
      <c r="I509" s="124"/>
      <c r="J509" s="60"/>
      <c r="K509" s="60"/>
      <c r="L509" s="60"/>
      <c r="M509" s="60"/>
      <c r="N509" s="60">
        <f t="shared" ref="N509:N514" si="159">M509*J509*K509*L509</f>
        <v>0</v>
      </c>
      <c r="O509" s="60">
        <f t="shared" ref="O509:O514" si="160">J509*K509*L509</f>
        <v>0</v>
      </c>
    </row>
    <row r="510" spans="1:15" s="38" customFormat="1" ht="10.7" customHeight="1" outlineLevel="1" x14ac:dyDescent="0.25">
      <c r="A510" s="124"/>
      <c r="B510" s="142"/>
      <c r="C510" s="115"/>
      <c r="D510" s="115"/>
      <c r="E510" s="115"/>
      <c r="F510" s="115"/>
      <c r="G510" s="60" t="s">
        <v>127</v>
      </c>
      <c r="H510" s="124"/>
      <c r="I510" s="124"/>
      <c r="J510" s="60"/>
      <c r="K510" s="60"/>
      <c r="L510" s="60"/>
      <c r="M510" s="60"/>
      <c r="N510" s="60">
        <f t="shared" si="159"/>
        <v>0</v>
      </c>
      <c r="O510" s="60">
        <f t="shared" si="160"/>
        <v>0</v>
      </c>
    </row>
    <row r="511" spans="1:15" s="38" customFormat="1" ht="10.7" customHeight="1" outlineLevel="1" x14ac:dyDescent="0.25">
      <c r="A511" s="124"/>
      <c r="B511" s="142"/>
      <c r="C511" s="115"/>
      <c r="D511" s="115"/>
      <c r="E511" s="115"/>
      <c r="F511" s="115"/>
      <c r="G511" s="60" t="s">
        <v>128</v>
      </c>
      <c r="H511" s="124"/>
      <c r="I511" s="124"/>
      <c r="J511" s="60"/>
      <c r="K511" s="60"/>
      <c r="L511" s="60"/>
      <c r="M511" s="60"/>
      <c r="N511" s="60">
        <f t="shared" si="159"/>
        <v>0</v>
      </c>
      <c r="O511" s="60">
        <f t="shared" si="160"/>
        <v>0</v>
      </c>
    </row>
    <row r="512" spans="1:15" s="38" customFormat="1" ht="10.7" customHeight="1" outlineLevel="1" x14ac:dyDescent="0.25">
      <c r="A512" s="124"/>
      <c r="B512" s="142"/>
      <c r="C512" s="115"/>
      <c r="D512" s="115"/>
      <c r="E512" s="115"/>
      <c r="F512" s="115"/>
      <c r="G512" s="60" t="s">
        <v>129</v>
      </c>
      <c r="H512" s="124"/>
      <c r="I512" s="124"/>
      <c r="J512" s="60"/>
      <c r="K512" s="60"/>
      <c r="L512" s="60"/>
      <c r="M512" s="60"/>
      <c r="N512" s="60">
        <f t="shared" si="159"/>
        <v>0</v>
      </c>
      <c r="O512" s="60">
        <f t="shared" si="160"/>
        <v>0</v>
      </c>
    </row>
    <row r="513" spans="1:15" s="38" customFormat="1" ht="10.7" customHeight="1" outlineLevel="1" x14ac:dyDescent="0.25">
      <c r="A513" s="124"/>
      <c r="B513" s="142"/>
      <c r="C513" s="115"/>
      <c r="D513" s="115"/>
      <c r="E513" s="115"/>
      <c r="F513" s="115"/>
      <c r="G513" s="60" t="s">
        <v>130</v>
      </c>
      <c r="H513" s="124"/>
      <c r="I513" s="124"/>
      <c r="J513" s="60"/>
      <c r="K513" s="60"/>
      <c r="L513" s="60"/>
      <c r="M513" s="60"/>
      <c r="N513" s="60">
        <f t="shared" si="159"/>
        <v>0</v>
      </c>
      <c r="O513" s="60">
        <f t="shared" si="160"/>
        <v>0</v>
      </c>
    </row>
    <row r="514" spans="1:15" s="38" customFormat="1" ht="12" customHeight="1" outlineLevel="1" thickBot="1" x14ac:dyDescent="0.3">
      <c r="A514" s="125"/>
      <c r="B514" s="143"/>
      <c r="C514" s="131"/>
      <c r="D514" s="131"/>
      <c r="E514" s="131"/>
      <c r="F514" s="131"/>
      <c r="G514" s="60" t="s">
        <v>131</v>
      </c>
      <c r="H514" s="134"/>
      <c r="I514" s="134"/>
      <c r="J514" s="60"/>
      <c r="K514" s="60"/>
      <c r="L514" s="60"/>
      <c r="M514" s="60"/>
      <c r="N514" s="60">
        <f t="shared" si="159"/>
        <v>0</v>
      </c>
      <c r="O514" s="60">
        <f t="shared" si="160"/>
        <v>0</v>
      </c>
    </row>
    <row r="515" spans="1:15" s="38" customFormat="1" ht="14.45" customHeight="1" outlineLevel="1" x14ac:dyDescent="0.25">
      <c r="A515" s="140" t="s">
        <v>668</v>
      </c>
      <c r="B515" s="141" t="s">
        <v>669</v>
      </c>
      <c r="C515" s="130">
        <f>SUM(N515:N521)</f>
        <v>0</v>
      </c>
      <c r="D515" s="130">
        <f>SUM(O515:O521)</f>
        <v>0</v>
      </c>
      <c r="E515" s="130">
        <f t="shared" si="158"/>
        <v>0</v>
      </c>
      <c r="F515" s="130"/>
      <c r="G515" s="60" t="s">
        <v>125</v>
      </c>
      <c r="H515" s="123"/>
      <c r="I515" s="123"/>
      <c r="J515" s="60"/>
      <c r="K515" s="60"/>
      <c r="L515" s="60"/>
      <c r="M515" s="60"/>
      <c r="N515" s="60">
        <f>M515*J515*K515*L515</f>
        <v>0</v>
      </c>
      <c r="O515" s="60">
        <f>J515*K515*L515</f>
        <v>0</v>
      </c>
    </row>
    <row r="516" spans="1:15" s="38" customFormat="1" ht="11.45" customHeight="1" outlineLevel="1" x14ac:dyDescent="0.25">
      <c r="A516" s="124"/>
      <c r="B516" s="142"/>
      <c r="C516" s="115"/>
      <c r="D516" s="115"/>
      <c r="E516" s="115"/>
      <c r="F516" s="115"/>
      <c r="G516" s="60" t="s">
        <v>126</v>
      </c>
      <c r="H516" s="124"/>
      <c r="I516" s="124"/>
      <c r="J516" s="60"/>
      <c r="K516" s="60"/>
      <c r="L516" s="60"/>
      <c r="M516" s="60"/>
      <c r="N516" s="60">
        <f t="shared" ref="N516:N521" si="161">M516*J516*K516*L516</f>
        <v>0</v>
      </c>
      <c r="O516" s="60">
        <f t="shared" ref="O516:O521" si="162">J516*K516*L516</f>
        <v>0</v>
      </c>
    </row>
    <row r="517" spans="1:15" s="38" customFormat="1" ht="10.7" customHeight="1" outlineLevel="1" x14ac:dyDescent="0.25">
      <c r="A517" s="124"/>
      <c r="B517" s="142"/>
      <c r="C517" s="115"/>
      <c r="D517" s="115"/>
      <c r="E517" s="115"/>
      <c r="F517" s="115"/>
      <c r="G517" s="60" t="s">
        <v>127</v>
      </c>
      <c r="H517" s="124"/>
      <c r="I517" s="124"/>
      <c r="J517" s="60"/>
      <c r="K517" s="60"/>
      <c r="L517" s="60"/>
      <c r="M517" s="60"/>
      <c r="N517" s="60">
        <f t="shared" si="161"/>
        <v>0</v>
      </c>
      <c r="O517" s="60">
        <f t="shared" si="162"/>
        <v>0</v>
      </c>
    </row>
    <row r="518" spans="1:15" s="38" customFormat="1" ht="10.7" customHeight="1" outlineLevel="1" x14ac:dyDescent="0.25">
      <c r="A518" s="124"/>
      <c r="B518" s="142"/>
      <c r="C518" s="115"/>
      <c r="D518" s="115"/>
      <c r="E518" s="115"/>
      <c r="F518" s="115"/>
      <c r="G518" s="60" t="s">
        <v>128</v>
      </c>
      <c r="H518" s="124"/>
      <c r="I518" s="124"/>
      <c r="J518" s="60"/>
      <c r="K518" s="60"/>
      <c r="L518" s="60"/>
      <c r="M518" s="60"/>
      <c r="N518" s="60">
        <f t="shared" si="161"/>
        <v>0</v>
      </c>
      <c r="O518" s="60">
        <f t="shared" si="162"/>
        <v>0</v>
      </c>
    </row>
    <row r="519" spans="1:15" s="38" customFormat="1" ht="10.7" customHeight="1" outlineLevel="1" x14ac:dyDescent="0.25">
      <c r="A519" s="124"/>
      <c r="B519" s="142"/>
      <c r="C519" s="115"/>
      <c r="D519" s="115"/>
      <c r="E519" s="115"/>
      <c r="F519" s="115"/>
      <c r="G519" s="60" t="s">
        <v>129</v>
      </c>
      <c r="H519" s="124"/>
      <c r="I519" s="124"/>
      <c r="J519" s="60"/>
      <c r="K519" s="60"/>
      <c r="L519" s="60"/>
      <c r="M519" s="60"/>
      <c r="N519" s="60">
        <f t="shared" si="161"/>
        <v>0</v>
      </c>
      <c r="O519" s="60">
        <f t="shared" si="162"/>
        <v>0</v>
      </c>
    </row>
    <row r="520" spans="1:15" s="38" customFormat="1" ht="10.7" customHeight="1" outlineLevel="1" x14ac:dyDescent="0.25">
      <c r="A520" s="124"/>
      <c r="B520" s="142"/>
      <c r="C520" s="115"/>
      <c r="D520" s="115"/>
      <c r="E520" s="115"/>
      <c r="F520" s="115"/>
      <c r="G520" s="60" t="s">
        <v>130</v>
      </c>
      <c r="H520" s="124"/>
      <c r="I520" s="124"/>
      <c r="J520" s="60"/>
      <c r="K520" s="60"/>
      <c r="L520" s="60"/>
      <c r="M520" s="60"/>
      <c r="N520" s="60">
        <f t="shared" si="161"/>
        <v>0</v>
      </c>
      <c r="O520" s="60">
        <f t="shared" si="162"/>
        <v>0</v>
      </c>
    </row>
    <row r="521" spans="1:15" s="38" customFormat="1" ht="12" customHeight="1" outlineLevel="1" thickBot="1" x14ac:dyDescent="0.3">
      <c r="A521" s="125"/>
      <c r="B521" s="143"/>
      <c r="C521" s="131"/>
      <c r="D521" s="131"/>
      <c r="E521" s="131"/>
      <c r="F521" s="131"/>
      <c r="G521" s="60" t="s">
        <v>131</v>
      </c>
      <c r="H521" s="134"/>
      <c r="I521" s="134"/>
      <c r="J521" s="60"/>
      <c r="K521" s="60"/>
      <c r="L521" s="60"/>
      <c r="M521" s="60"/>
      <c r="N521" s="60">
        <f t="shared" si="161"/>
        <v>0</v>
      </c>
      <c r="O521" s="60">
        <f t="shared" si="162"/>
        <v>0</v>
      </c>
    </row>
    <row r="522" spans="1:15" s="38" customFormat="1" ht="14.45" customHeight="1" outlineLevel="1" x14ac:dyDescent="0.25">
      <c r="A522" s="140" t="s">
        <v>670</v>
      </c>
      <c r="B522" s="141" t="s">
        <v>671</v>
      </c>
      <c r="C522" s="130">
        <f>SUM(N522:N528)</f>
        <v>0</v>
      </c>
      <c r="D522" s="130">
        <f>SUM(O522:O528)</f>
        <v>0</v>
      </c>
      <c r="E522" s="130">
        <f t="shared" si="158"/>
        <v>0</v>
      </c>
      <c r="F522" s="130"/>
      <c r="G522" s="60" t="s">
        <v>125</v>
      </c>
      <c r="H522" s="123"/>
      <c r="I522" s="123"/>
      <c r="J522" s="60"/>
      <c r="K522" s="60"/>
      <c r="L522" s="60"/>
      <c r="M522" s="60"/>
      <c r="N522" s="60">
        <f>M522*J522*K522*L522</f>
        <v>0</v>
      </c>
      <c r="O522" s="60">
        <f>J522*K522*L522</f>
        <v>0</v>
      </c>
    </row>
    <row r="523" spans="1:15" s="38" customFormat="1" ht="11.45" customHeight="1" outlineLevel="1" x14ac:dyDescent="0.25">
      <c r="A523" s="124"/>
      <c r="B523" s="142"/>
      <c r="C523" s="115"/>
      <c r="D523" s="115"/>
      <c r="E523" s="115"/>
      <c r="F523" s="115"/>
      <c r="G523" s="60" t="s">
        <v>126</v>
      </c>
      <c r="H523" s="124"/>
      <c r="I523" s="124"/>
      <c r="J523" s="60"/>
      <c r="K523" s="60"/>
      <c r="L523" s="60"/>
      <c r="M523" s="60"/>
      <c r="N523" s="60">
        <f t="shared" ref="N523:N528" si="163">M523*J523*K523*L523</f>
        <v>0</v>
      </c>
      <c r="O523" s="60">
        <f t="shared" ref="O523:O528" si="164">J523*K523*L523</f>
        <v>0</v>
      </c>
    </row>
    <row r="524" spans="1:15" s="38" customFormat="1" ht="10.7" customHeight="1" outlineLevel="1" x14ac:dyDescent="0.25">
      <c r="A524" s="124"/>
      <c r="B524" s="142"/>
      <c r="C524" s="115"/>
      <c r="D524" s="115"/>
      <c r="E524" s="115"/>
      <c r="F524" s="115"/>
      <c r="G524" s="60" t="s">
        <v>127</v>
      </c>
      <c r="H524" s="124"/>
      <c r="I524" s="124"/>
      <c r="J524" s="60"/>
      <c r="K524" s="60"/>
      <c r="L524" s="60"/>
      <c r="M524" s="60"/>
      <c r="N524" s="60">
        <f t="shared" si="163"/>
        <v>0</v>
      </c>
      <c r="O524" s="60">
        <f t="shared" si="164"/>
        <v>0</v>
      </c>
    </row>
    <row r="525" spans="1:15" s="38" customFormat="1" ht="10.7" customHeight="1" outlineLevel="1" x14ac:dyDescent="0.25">
      <c r="A525" s="124"/>
      <c r="B525" s="142"/>
      <c r="C525" s="115"/>
      <c r="D525" s="115"/>
      <c r="E525" s="115"/>
      <c r="F525" s="115"/>
      <c r="G525" s="60" t="s">
        <v>128</v>
      </c>
      <c r="H525" s="124"/>
      <c r="I525" s="124"/>
      <c r="J525" s="60"/>
      <c r="K525" s="60"/>
      <c r="L525" s="60"/>
      <c r="M525" s="60"/>
      <c r="N525" s="60">
        <f t="shared" si="163"/>
        <v>0</v>
      </c>
      <c r="O525" s="60">
        <f t="shared" si="164"/>
        <v>0</v>
      </c>
    </row>
    <row r="526" spans="1:15" s="38" customFormat="1" ht="10.7" customHeight="1" outlineLevel="1" x14ac:dyDescent="0.25">
      <c r="A526" s="124"/>
      <c r="B526" s="142"/>
      <c r="C526" s="115"/>
      <c r="D526" s="115"/>
      <c r="E526" s="115"/>
      <c r="F526" s="115"/>
      <c r="G526" s="60" t="s">
        <v>129</v>
      </c>
      <c r="H526" s="124"/>
      <c r="I526" s="124"/>
      <c r="J526" s="60"/>
      <c r="K526" s="60"/>
      <c r="L526" s="60"/>
      <c r="M526" s="60"/>
      <c r="N526" s="60">
        <f t="shared" si="163"/>
        <v>0</v>
      </c>
      <c r="O526" s="60">
        <f t="shared" si="164"/>
        <v>0</v>
      </c>
    </row>
    <row r="527" spans="1:15" s="38" customFormat="1" ht="10.7" customHeight="1" outlineLevel="1" x14ac:dyDescent="0.25">
      <c r="A527" s="124"/>
      <c r="B527" s="142"/>
      <c r="C527" s="115"/>
      <c r="D527" s="115"/>
      <c r="E527" s="115"/>
      <c r="F527" s="115"/>
      <c r="G527" s="60" t="s">
        <v>130</v>
      </c>
      <c r="H527" s="124"/>
      <c r="I527" s="124"/>
      <c r="J527" s="60"/>
      <c r="K527" s="60"/>
      <c r="L527" s="60"/>
      <c r="M527" s="60"/>
      <c r="N527" s="60">
        <f t="shared" si="163"/>
        <v>0</v>
      </c>
      <c r="O527" s="60">
        <f t="shared" si="164"/>
        <v>0</v>
      </c>
    </row>
    <row r="528" spans="1:15" s="38" customFormat="1" ht="12" customHeight="1" outlineLevel="1" thickBot="1" x14ac:dyDescent="0.3">
      <c r="A528" s="125"/>
      <c r="B528" s="143"/>
      <c r="C528" s="131"/>
      <c r="D528" s="131"/>
      <c r="E528" s="131"/>
      <c r="F528" s="131"/>
      <c r="G528" s="60" t="s">
        <v>131</v>
      </c>
      <c r="H528" s="134"/>
      <c r="I528" s="134"/>
      <c r="J528" s="60"/>
      <c r="K528" s="60"/>
      <c r="L528" s="60"/>
      <c r="M528" s="60"/>
      <c r="N528" s="60">
        <f t="shared" si="163"/>
        <v>0</v>
      </c>
      <c r="O528" s="60">
        <f t="shared" si="164"/>
        <v>0</v>
      </c>
    </row>
    <row r="529" spans="1:15" s="38" customFormat="1" ht="14.45" customHeight="1" outlineLevel="1" x14ac:dyDescent="0.25">
      <c r="A529" s="140" t="s">
        <v>672</v>
      </c>
      <c r="B529" s="141" t="s">
        <v>673</v>
      </c>
      <c r="C529" s="130">
        <f>SUM(N529:N535)</f>
        <v>0</v>
      </c>
      <c r="D529" s="130">
        <f>SUM(O529:O535)</f>
        <v>0</v>
      </c>
      <c r="E529" s="130">
        <f t="shared" si="158"/>
        <v>0</v>
      </c>
      <c r="F529" s="130"/>
      <c r="G529" s="60" t="s">
        <v>125</v>
      </c>
      <c r="H529" s="123"/>
      <c r="I529" s="123"/>
      <c r="J529" s="60"/>
      <c r="K529" s="60"/>
      <c r="L529" s="60"/>
      <c r="M529" s="60"/>
      <c r="N529" s="60">
        <f>M529*J529*K529*L529</f>
        <v>0</v>
      </c>
      <c r="O529" s="60">
        <f>J529*K529*L529</f>
        <v>0</v>
      </c>
    </row>
    <row r="530" spans="1:15" s="38" customFormat="1" ht="11.45" customHeight="1" outlineLevel="1" x14ac:dyDescent="0.25">
      <c r="A530" s="124"/>
      <c r="B530" s="142"/>
      <c r="C530" s="115"/>
      <c r="D530" s="115"/>
      <c r="E530" s="115"/>
      <c r="F530" s="115"/>
      <c r="G530" s="60" t="s">
        <v>126</v>
      </c>
      <c r="H530" s="124"/>
      <c r="I530" s="124"/>
      <c r="J530" s="60"/>
      <c r="K530" s="60"/>
      <c r="L530" s="60"/>
      <c r="M530" s="60"/>
      <c r="N530" s="60">
        <f t="shared" ref="N530:N535" si="165">M530*J530*K530*L530</f>
        <v>0</v>
      </c>
      <c r="O530" s="60">
        <f t="shared" ref="O530:O535" si="166">J530*K530*L530</f>
        <v>0</v>
      </c>
    </row>
    <row r="531" spans="1:15" s="38" customFormat="1" ht="10.7" customHeight="1" outlineLevel="1" x14ac:dyDescent="0.25">
      <c r="A531" s="124"/>
      <c r="B531" s="142"/>
      <c r="C531" s="115"/>
      <c r="D531" s="115"/>
      <c r="E531" s="115"/>
      <c r="F531" s="115"/>
      <c r="G531" s="60" t="s">
        <v>127</v>
      </c>
      <c r="H531" s="124"/>
      <c r="I531" s="124"/>
      <c r="J531" s="60"/>
      <c r="K531" s="60"/>
      <c r="L531" s="60"/>
      <c r="M531" s="60"/>
      <c r="N531" s="60">
        <f t="shared" si="165"/>
        <v>0</v>
      </c>
      <c r="O531" s="60">
        <f t="shared" si="166"/>
        <v>0</v>
      </c>
    </row>
    <row r="532" spans="1:15" s="38" customFormat="1" ht="10.7" customHeight="1" outlineLevel="1" x14ac:dyDescent="0.25">
      <c r="A532" s="124"/>
      <c r="B532" s="142"/>
      <c r="C532" s="115"/>
      <c r="D532" s="115"/>
      <c r="E532" s="115"/>
      <c r="F532" s="115"/>
      <c r="G532" s="60" t="s">
        <v>128</v>
      </c>
      <c r="H532" s="124"/>
      <c r="I532" s="124"/>
      <c r="J532" s="60"/>
      <c r="K532" s="60"/>
      <c r="L532" s="60"/>
      <c r="M532" s="60"/>
      <c r="N532" s="60">
        <f t="shared" si="165"/>
        <v>0</v>
      </c>
      <c r="O532" s="60">
        <f t="shared" si="166"/>
        <v>0</v>
      </c>
    </row>
    <row r="533" spans="1:15" s="38" customFormat="1" ht="10.7" customHeight="1" outlineLevel="1" x14ac:dyDescent="0.25">
      <c r="A533" s="124"/>
      <c r="B533" s="142"/>
      <c r="C533" s="115"/>
      <c r="D533" s="115"/>
      <c r="E533" s="115"/>
      <c r="F533" s="115"/>
      <c r="G533" s="60" t="s">
        <v>129</v>
      </c>
      <c r="H533" s="124"/>
      <c r="I533" s="124"/>
      <c r="J533" s="60"/>
      <c r="K533" s="60"/>
      <c r="L533" s="60"/>
      <c r="M533" s="60"/>
      <c r="N533" s="60">
        <f t="shared" si="165"/>
        <v>0</v>
      </c>
      <c r="O533" s="60">
        <f t="shared" si="166"/>
        <v>0</v>
      </c>
    </row>
    <row r="534" spans="1:15" s="38" customFormat="1" ht="10.7" customHeight="1" outlineLevel="1" x14ac:dyDescent="0.25">
      <c r="A534" s="124"/>
      <c r="B534" s="142"/>
      <c r="C534" s="115"/>
      <c r="D534" s="115"/>
      <c r="E534" s="115"/>
      <c r="F534" s="115"/>
      <c r="G534" s="60" t="s">
        <v>130</v>
      </c>
      <c r="H534" s="124"/>
      <c r="I534" s="124"/>
      <c r="J534" s="60"/>
      <c r="K534" s="60"/>
      <c r="L534" s="60"/>
      <c r="M534" s="60"/>
      <c r="N534" s="60">
        <f t="shared" si="165"/>
        <v>0</v>
      </c>
      <c r="O534" s="60">
        <f t="shared" si="166"/>
        <v>0</v>
      </c>
    </row>
    <row r="535" spans="1:15" s="38" customFormat="1" ht="12" customHeight="1" outlineLevel="1" thickBot="1" x14ac:dyDescent="0.3">
      <c r="A535" s="125"/>
      <c r="B535" s="143"/>
      <c r="C535" s="131"/>
      <c r="D535" s="131"/>
      <c r="E535" s="131"/>
      <c r="F535" s="131"/>
      <c r="G535" s="60" t="s">
        <v>131</v>
      </c>
      <c r="H535" s="134"/>
      <c r="I535" s="134"/>
      <c r="J535" s="60"/>
      <c r="K535" s="60"/>
      <c r="L535" s="60"/>
      <c r="M535" s="60"/>
      <c r="N535" s="60">
        <f t="shared" si="165"/>
        <v>0</v>
      </c>
      <c r="O535" s="60">
        <f t="shared" si="166"/>
        <v>0</v>
      </c>
    </row>
    <row r="536" spans="1:15" s="38" customFormat="1" ht="14.45" customHeight="1" outlineLevel="1" x14ac:dyDescent="0.25">
      <c r="A536" s="140" t="s">
        <v>674</v>
      </c>
      <c r="B536" s="141" t="s">
        <v>675</v>
      </c>
      <c r="C536" s="130">
        <f>SUM(N536:N542)</f>
        <v>0</v>
      </c>
      <c r="D536" s="130">
        <f>SUM(O536:O542)</f>
        <v>0</v>
      </c>
      <c r="E536" s="130">
        <f t="shared" si="158"/>
        <v>0</v>
      </c>
      <c r="F536" s="130"/>
      <c r="G536" s="60" t="s">
        <v>125</v>
      </c>
      <c r="H536" s="123"/>
      <c r="I536" s="123"/>
      <c r="J536" s="60"/>
      <c r="K536" s="60"/>
      <c r="L536" s="60"/>
      <c r="M536" s="60"/>
      <c r="N536" s="60">
        <f>M536*J536*K536*L536</f>
        <v>0</v>
      </c>
      <c r="O536" s="60">
        <f>J536*K536*L536</f>
        <v>0</v>
      </c>
    </row>
    <row r="537" spans="1:15" s="38" customFormat="1" ht="11.45" customHeight="1" outlineLevel="1" x14ac:dyDescent="0.25">
      <c r="A537" s="124"/>
      <c r="B537" s="142"/>
      <c r="C537" s="115"/>
      <c r="D537" s="115"/>
      <c r="E537" s="115"/>
      <c r="F537" s="115"/>
      <c r="G537" s="60" t="s">
        <v>126</v>
      </c>
      <c r="H537" s="124"/>
      <c r="I537" s="124"/>
      <c r="J537" s="60"/>
      <c r="K537" s="60"/>
      <c r="L537" s="60"/>
      <c r="M537" s="60"/>
      <c r="N537" s="60">
        <f t="shared" ref="N537:N542" si="167">M537*J537*K537*L537</f>
        <v>0</v>
      </c>
      <c r="O537" s="60">
        <f t="shared" ref="O537:O542" si="168">J537*K537*L537</f>
        <v>0</v>
      </c>
    </row>
    <row r="538" spans="1:15" s="38" customFormat="1" ht="10.7" customHeight="1" outlineLevel="1" x14ac:dyDescent="0.25">
      <c r="A538" s="124"/>
      <c r="B538" s="142"/>
      <c r="C538" s="115"/>
      <c r="D538" s="115"/>
      <c r="E538" s="115"/>
      <c r="F538" s="115"/>
      <c r="G538" s="60" t="s">
        <v>127</v>
      </c>
      <c r="H538" s="124"/>
      <c r="I538" s="124"/>
      <c r="J538" s="60"/>
      <c r="K538" s="60"/>
      <c r="L538" s="60"/>
      <c r="M538" s="60"/>
      <c r="N538" s="60">
        <f t="shared" si="167"/>
        <v>0</v>
      </c>
      <c r="O538" s="60">
        <f t="shared" si="168"/>
        <v>0</v>
      </c>
    </row>
    <row r="539" spans="1:15" s="38" customFormat="1" ht="10.7" customHeight="1" outlineLevel="1" x14ac:dyDescent="0.25">
      <c r="A539" s="124"/>
      <c r="B539" s="142"/>
      <c r="C539" s="115"/>
      <c r="D539" s="115"/>
      <c r="E539" s="115"/>
      <c r="F539" s="115"/>
      <c r="G539" s="60" t="s">
        <v>128</v>
      </c>
      <c r="H539" s="124"/>
      <c r="I539" s="124"/>
      <c r="J539" s="60"/>
      <c r="K539" s="60"/>
      <c r="L539" s="60"/>
      <c r="M539" s="60"/>
      <c r="N539" s="60">
        <f t="shared" si="167"/>
        <v>0</v>
      </c>
      <c r="O539" s="60">
        <f t="shared" si="168"/>
        <v>0</v>
      </c>
    </row>
    <row r="540" spans="1:15" s="38" customFormat="1" ht="10.7" customHeight="1" outlineLevel="1" x14ac:dyDescent="0.25">
      <c r="A540" s="124"/>
      <c r="B540" s="142"/>
      <c r="C540" s="115"/>
      <c r="D540" s="115"/>
      <c r="E540" s="115"/>
      <c r="F540" s="115"/>
      <c r="G540" s="60" t="s">
        <v>129</v>
      </c>
      <c r="H540" s="124"/>
      <c r="I540" s="124"/>
      <c r="J540" s="60"/>
      <c r="K540" s="60"/>
      <c r="L540" s="60"/>
      <c r="M540" s="60"/>
      <c r="N540" s="60">
        <f t="shared" si="167"/>
        <v>0</v>
      </c>
      <c r="O540" s="60">
        <f t="shared" si="168"/>
        <v>0</v>
      </c>
    </row>
    <row r="541" spans="1:15" s="38" customFormat="1" ht="10.7" customHeight="1" outlineLevel="1" x14ac:dyDescent="0.25">
      <c r="A541" s="124"/>
      <c r="B541" s="142"/>
      <c r="C541" s="115"/>
      <c r="D541" s="115"/>
      <c r="E541" s="115"/>
      <c r="F541" s="115"/>
      <c r="G541" s="60" t="s">
        <v>130</v>
      </c>
      <c r="H541" s="124"/>
      <c r="I541" s="124"/>
      <c r="J541" s="60"/>
      <c r="K541" s="60"/>
      <c r="L541" s="60"/>
      <c r="M541" s="60"/>
      <c r="N541" s="60">
        <f t="shared" si="167"/>
        <v>0</v>
      </c>
      <c r="O541" s="60">
        <f t="shared" si="168"/>
        <v>0</v>
      </c>
    </row>
    <row r="542" spans="1:15" s="38" customFormat="1" ht="12" customHeight="1" outlineLevel="1" thickBot="1" x14ac:dyDescent="0.3">
      <c r="A542" s="125"/>
      <c r="B542" s="143"/>
      <c r="C542" s="131"/>
      <c r="D542" s="131"/>
      <c r="E542" s="131"/>
      <c r="F542" s="131"/>
      <c r="G542" s="60" t="s">
        <v>131</v>
      </c>
      <c r="H542" s="134"/>
      <c r="I542" s="134"/>
      <c r="J542" s="60"/>
      <c r="K542" s="60"/>
      <c r="L542" s="60"/>
      <c r="M542" s="60"/>
      <c r="N542" s="60">
        <f t="shared" si="167"/>
        <v>0</v>
      </c>
      <c r="O542" s="60">
        <f t="shared" si="168"/>
        <v>0</v>
      </c>
    </row>
    <row r="543" spans="1:15" s="38" customFormat="1" ht="14.45" customHeight="1" outlineLevel="1" x14ac:dyDescent="0.25">
      <c r="A543" s="140" t="s">
        <v>676</v>
      </c>
      <c r="B543" s="141" t="s">
        <v>677</v>
      </c>
      <c r="C543" s="130">
        <f>SUM(N543:N549)</f>
        <v>0</v>
      </c>
      <c r="D543" s="130">
        <f>SUM(O543:O549)</f>
        <v>0</v>
      </c>
      <c r="E543" s="130">
        <f t="shared" si="158"/>
        <v>0</v>
      </c>
      <c r="F543" s="130"/>
      <c r="G543" s="60" t="s">
        <v>125</v>
      </c>
      <c r="H543" s="123"/>
      <c r="I543" s="123"/>
      <c r="J543" s="60"/>
      <c r="K543" s="60"/>
      <c r="L543" s="60"/>
      <c r="M543" s="60"/>
      <c r="N543" s="60">
        <f>M543*J543*K543*L543</f>
        <v>0</v>
      </c>
      <c r="O543" s="60">
        <f>J543*K543*L543</f>
        <v>0</v>
      </c>
    </row>
    <row r="544" spans="1:15" s="38" customFormat="1" ht="11.45" customHeight="1" outlineLevel="1" x14ac:dyDescent="0.25">
      <c r="A544" s="124"/>
      <c r="B544" s="142"/>
      <c r="C544" s="115"/>
      <c r="D544" s="115"/>
      <c r="E544" s="115"/>
      <c r="F544" s="115"/>
      <c r="G544" s="60" t="s">
        <v>126</v>
      </c>
      <c r="H544" s="124"/>
      <c r="I544" s="124"/>
      <c r="J544" s="60"/>
      <c r="K544" s="60"/>
      <c r="L544" s="60"/>
      <c r="M544" s="60"/>
      <c r="N544" s="60">
        <f t="shared" ref="N544:N549" si="169">M544*J544*K544*L544</f>
        <v>0</v>
      </c>
      <c r="O544" s="60">
        <f t="shared" ref="O544:O549" si="170">J544*K544*L544</f>
        <v>0</v>
      </c>
    </row>
    <row r="545" spans="1:15" s="38" customFormat="1" ht="10.7" customHeight="1" outlineLevel="1" x14ac:dyDescent="0.25">
      <c r="A545" s="124"/>
      <c r="B545" s="142"/>
      <c r="C545" s="115"/>
      <c r="D545" s="115"/>
      <c r="E545" s="115"/>
      <c r="F545" s="115"/>
      <c r="G545" s="60" t="s">
        <v>127</v>
      </c>
      <c r="H545" s="124"/>
      <c r="I545" s="124"/>
      <c r="J545" s="60"/>
      <c r="K545" s="60"/>
      <c r="L545" s="60"/>
      <c r="M545" s="60"/>
      <c r="N545" s="60">
        <f t="shared" si="169"/>
        <v>0</v>
      </c>
      <c r="O545" s="60">
        <f t="shared" si="170"/>
        <v>0</v>
      </c>
    </row>
    <row r="546" spans="1:15" s="38" customFormat="1" ht="10.7" customHeight="1" outlineLevel="1" x14ac:dyDescent="0.25">
      <c r="A546" s="124"/>
      <c r="B546" s="142"/>
      <c r="C546" s="115"/>
      <c r="D546" s="115"/>
      <c r="E546" s="115"/>
      <c r="F546" s="115"/>
      <c r="G546" s="60" t="s">
        <v>128</v>
      </c>
      <c r="H546" s="124"/>
      <c r="I546" s="124"/>
      <c r="J546" s="60"/>
      <c r="K546" s="60"/>
      <c r="L546" s="60"/>
      <c r="M546" s="60"/>
      <c r="N546" s="60">
        <f t="shared" si="169"/>
        <v>0</v>
      </c>
      <c r="O546" s="60">
        <f t="shared" si="170"/>
        <v>0</v>
      </c>
    </row>
    <row r="547" spans="1:15" s="38" customFormat="1" ht="10.7" customHeight="1" outlineLevel="1" x14ac:dyDescent="0.25">
      <c r="A547" s="124"/>
      <c r="B547" s="142"/>
      <c r="C547" s="115"/>
      <c r="D547" s="115"/>
      <c r="E547" s="115"/>
      <c r="F547" s="115"/>
      <c r="G547" s="60" t="s">
        <v>129</v>
      </c>
      <c r="H547" s="124"/>
      <c r="I547" s="124"/>
      <c r="J547" s="60"/>
      <c r="K547" s="60"/>
      <c r="L547" s="60"/>
      <c r="M547" s="60"/>
      <c r="N547" s="60">
        <f t="shared" si="169"/>
        <v>0</v>
      </c>
      <c r="O547" s="60">
        <f t="shared" si="170"/>
        <v>0</v>
      </c>
    </row>
    <row r="548" spans="1:15" s="38" customFormat="1" ht="10.7" customHeight="1" outlineLevel="1" x14ac:dyDescent="0.25">
      <c r="A548" s="124"/>
      <c r="B548" s="142"/>
      <c r="C548" s="115"/>
      <c r="D548" s="115"/>
      <c r="E548" s="115"/>
      <c r="F548" s="115"/>
      <c r="G548" s="60" t="s">
        <v>130</v>
      </c>
      <c r="H548" s="124"/>
      <c r="I548" s="124"/>
      <c r="J548" s="60"/>
      <c r="K548" s="60"/>
      <c r="L548" s="60"/>
      <c r="M548" s="60"/>
      <c r="N548" s="60">
        <f t="shared" si="169"/>
        <v>0</v>
      </c>
      <c r="O548" s="60">
        <f t="shared" si="170"/>
        <v>0</v>
      </c>
    </row>
    <row r="549" spans="1:15" s="38" customFormat="1" ht="12" customHeight="1" outlineLevel="1" thickBot="1" x14ac:dyDescent="0.3">
      <c r="A549" s="125"/>
      <c r="B549" s="143"/>
      <c r="C549" s="131"/>
      <c r="D549" s="131"/>
      <c r="E549" s="131"/>
      <c r="F549" s="131"/>
      <c r="G549" s="60" t="s">
        <v>131</v>
      </c>
      <c r="H549" s="134"/>
      <c r="I549" s="134"/>
      <c r="J549" s="60"/>
      <c r="K549" s="60"/>
      <c r="L549" s="60"/>
      <c r="M549" s="60"/>
      <c r="N549" s="60">
        <f t="shared" si="169"/>
        <v>0</v>
      </c>
      <c r="O549" s="60">
        <f t="shared" si="170"/>
        <v>0</v>
      </c>
    </row>
    <row r="550" spans="1:15" s="38" customFormat="1" ht="14.45" customHeight="1" outlineLevel="1" x14ac:dyDescent="0.25">
      <c r="A550" s="140" t="s">
        <v>678</v>
      </c>
      <c r="B550" s="141" t="s">
        <v>679</v>
      </c>
      <c r="C550" s="130">
        <f>SUM(N550:N556)</f>
        <v>0</v>
      </c>
      <c r="D550" s="130">
        <f>SUM(O550:O556)</f>
        <v>0</v>
      </c>
      <c r="E550" s="130">
        <f t="shared" si="158"/>
        <v>0</v>
      </c>
      <c r="F550" s="130"/>
      <c r="G550" s="60" t="s">
        <v>125</v>
      </c>
      <c r="H550" s="123"/>
      <c r="I550" s="123"/>
      <c r="J550" s="60"/>
      <c r="K550" s="60"/>
      <c r="L550" s="60"/>
      <c r="M550" s="60"/>
      <c r="N550" s="60">
        <f>M550*J550*K550*L550</f>
        <v>0</v>
      </c>
      <c r="O550" s="60">
        <f>J550*K550*L550</f>
        <v>0</v>
      </c>
    </row>
    <row r="551" spans="1:15" s="38" customFormat="1" ht="11.45" customHeight="1" outlineLevel="1" x14ac:dyDescent="0.25">
      <c r="A551" s="124"/>
      <c r="B551" s="142"/>
      <c r="C551" s="115"/>
      <c r="D551" s="115"/>
      <c r="E551" s="115"/>
      <c r="F551" s="115"/>
      <c r="G551" s="60" t="s">
        <v>126</v>
      </c>
      <c r="H551" s="124"/>
      <c r="I551" s="124"/>
      <c r="J551" s="60"/>
      <c r="K551" s="60"/>
      <c r="L551" s="60"/>
      <c r="M551" s="60"/>
      <c r="N551" s="60">
        <f t="shared" ref="N551:N556" si="171">M551*J551*K551*L551</f>
        <v>0</v>
      </c>
      <c r="O551" s="60">
        <f t="shared" ref="O551:O556" si="172">J551*K551*L551</f>
        <v>0</v>
      </c>
    </row>
    <row r="552" spans="1:15" s="38" customFormat="1" ht="10.7" customHeight="1" outlineLevel="1" x14ac:dyDescent="0.25">
      <c r="A552" s="124"/>
      <c r="B552" s="142"/>
      <c r="C552" s="115"/>
      <c r="D552" s="115"/>
      <c r="E552" s="115"/>
      <c r="F552" s="115"/>
      <c r="G552" s="60" t="s">
        <v>127</v>
      </c>
      <c r="H552" s="124"/>
      <c r="I552" s="124"/>
      <c r="J552" s="60"/>
      <c r="K552" s="60"/>
      <c r="L552" s="60"/>
      <c r="M552" s="60"/>
      <c r="N552" s="60">
        <f t="shared" si="171"/>
        <v>0</v>
      </c>
      <c r="O552" s="60">
        <f t="shared" si="172"/>
        <v>0</v>
      </c>
    </row>
    <row r="553" spans="1:15" s="38" customFormat="1" ht="10.7" customHeight="1" outlineLevel="1" x14ac:dyDescent="0.25">
      <c r="A553" s="124"/>
      <c r="B553" s="142"/>
      <c r="C553" s="115"/>
      <c r="D553" s="115"/>
      <c r="E553" s="115"/>
      <c r="F553" s="115"/>
      <c r="G553" s="60" t="s">
        <v>128</v>
      </c>
      <c r="H553" s="124"/>
      <c r="I553" s="124"/>
      <c r="J553" s="60"/>
      <c r="K553" s="60"/>
      <c r="L553" s="60"/>
      <c r="M553" s="60"/>
      <c r="N553" s="60">
        <f t="shared" si="171"/>
        <v>0</v>
      </c>
      <c r="O553" s="60">
        <f t="shared" si="172"/>
        <v>0</v>
      </c>
    </row>
    <row r="554" spans="1:15" s="38" customFormat="1" ht="10.7" customHeight="1" outlineLevel="1" x14ac:dyDescent="0.25">
      <c r="A554" s="124"/>
      <c r="B554" s="142"/>
      <c r="C554" s="115"/>
      <c r="D554" s="115"/>
      <c r="E554" s="115"/>
      <c r="F554" s="115"/>
      <c r="G554" s="60" t="s">
        <v>129</v>
      </c>
      <c r="H554" s="124"/>
      <c r="I554" s="124"/>
      <c r="J554" s="60"/>
      <c r="K554" s="60"/>
      <c r="L554" s="60"/>
      <c r="M554" s="60"/>
      <c r="N554" s="60">
        <f t="shared" si="171"/>
        <v>0</v>
      </c>
      <c r="O554" s="60">
        <f t="shared" si="172"/>
        <v>0</v>
      </c>
    </row>
    <row r="555" spans="1:15" s="38" customFormat="1" ht="10.7" customHeight="1" outlineLevel="1" x14ac:dyDescent="0.25">
      <c r="A555" s="124"/>
      <c r="B555" s="142"/>
      <c r="C555" s="115"/>
      <c r="D555" s="115"/>
      <c r="E555" s="115"/>
      <c r="F555" s="115"/>
      <c r="G555" s="60" t="s">
        <v>130</v>
      </c>
      <c r="H555" s="124"/>
      <c r="I555" s="124"/>
      <c r="J555" s="60"/>
      <c r="K555" s="60"/>
      <c r="L555" s="60"/>
      <c r="M555" s="60"/>
      <c r="N555" s="60">
        <f t="shared" si="171"/>
        <v>0</v>
      </c>
      <c r="O555" s="60">
        <f t="shared" si="172"/>
        <v>0</v>
      </c>
    </row>
    <row r="556" spans="1:15" s="38" customFormat="1" ht="12" customHeight="1" outlineLevel="1" thickBot="1" x14ac:dyDescent="0.3">
      <c r="A556" s="125"/>
      <c r="B556" s="143"/>
      <c r="C556" s="131"/>
      <c r="D556" s="131"/>
      <c r="E556" s="131"/>
      <c r="F556" s="131"/>
      <c r="G556" s="60" t="s">
        <v>131</v>
      </c>
      <c r="H556" s="134"/>
      <c r="I556" s="134"/>
      <c r="J556" s="60"/>
      <c r="K556" s="60"/>
      <c r="L556" s="60"/>
      <c r="M556" s="60"/>
      <c r="N556" s="60">
        <f t="shared" si="171"/>
        <v>0</v>
      </c>
      <c r="O556" s="60">
        <f t="shared" si="172"/>
        <v>0</v>
      </c>
    </row>
    <row r="557" spans="1:15" s="38" customFormat="1" ht="14.45" customHeight="1" outlineLevel="1" x14ac:dyDescent="0.25">
      <c r="A557" s="140" t="s">
        <v>680</v>
      </c>
      <c r="B557" s="141" t="s">
        <v>681</v>
      </c>
      <c r="C557" s="130">
        <f>SUM(N557:N563)</f>
        <v>0</v>
      </c>
      <c r="D557" s="130">
        <f>SUM(O557:O563)</f>
        <v>0</v>
      </c>
      <c r="E557" s="130">
        <f t="shared" si="158"/>
        <v>0</v>
      </c>
      <c r="F557" s="130"/>
      <c r="G557" s="60" t="s">
        <v>125</v>
      </c>
      <c r="H557" s="123"/>
      <c r="I557" s="123"/>
      <c r="J557" s="60"/>
      <c r="K557" s="60"/>
      <c r="L557" s="60"/>
      <c r="M557" s="60"/>
      <c r="N557" s="60">
        <f>M557*J557*K557*L557</f>
        <v>0</v>
      </c>
      <c r="O557" s="60">
        <f>J557*K557*L557</f>
        <v>0</v>
      </c>
    </row>
    <row r="558" spans="1:15" s="38" customFormat="1" ht="11.45" customHeight="1" outlineLevel="1" x14ac:dyDescent="0.25">
      <c r="A558" s="124"/>
      <c r="B558" s="142"/>
      <c r="C558" s="115"/>
      <c r="D558" s="115"/>
      <c r="E558" s="115"/>
      <c r="F558" s="115"/>
      <c r="G558" s="60" t="s">
        <v>126</v>
      </c>
      <c r="H558" s="124"/>
      <c r="I558" s="124"/>
      <c r="J558" s="60"/>
      <c r="K558" s="60"/>
      <c r="L558" s="60"/>
      <c r="M558" s="60"/>
      <c r="N558" s="60">
        <f t="shared" ref="N558:N563" si="173">M558*J558*K558*L558</f>
        <v>0</v>
      </c>
      <c r="O558" s="60">
        <f t="shared" ref="O558:O563" si="174">J558*K558*L558</f>
        <v>0</v>
      </c>
    </row>
    <row r="559" spans="1:15" s="38" customFormat="1" ht="10.7" customHeight="1" outlineLevel="1" x14ac:dyDescent="0.25">
      <c r="A559" s="124"/>
      <c r="B559" s="142"/>
      <c r="C559" s="115"/>
      <c r="D559" s="115"/>
      <c r="E559" s="115"/>
      <c r="F559" s="115"/>
      <c r="G559" s="60" t="s">
        <v>127</v>
      </c>
      <c r="H559" s="124"/>
      <c r="I559" s="124"/>
      <c r="J559" s="60"/>
      <c r="K559" s="60"/>
      <c r="L559" s="60"/>
      <c r="M559" s="60"/>
      <c r="N559" s="60">
        <f t="shared" si="173"/>
        <v>0</v>
      </c>
      <c r="O559" s="60">
        <f t="shared" si="174"/>
        <v>0</v>
      </c>
    </row>
    <row r="560" spans="1:15" s="38" customFormat="1" ht="10.7" customHeight="1" outlineLevel="1" x14ac:dyDescent="0.25">
      <c r="A560" s="124"/>
      <c r="B560" s="142"/>
      <c r="C560" s="115"/>
      <c r="D560" s="115"/>
      <c r="E560" s="115"/>
      <c r="F560" s="115"/>
      <c r="G560" s="60" t="s">
        <v>128</v>
      </c>
      <c r="H560" s="124"/>
      <c r="I560" s="124"/>
      <c r="J560" s="60"/>
      <c r="K560" s="60"/>
      <c r="L560" s="60"/>
      <c r="M560" s="60"/>
      <c r="N560" s="60">
        <f t="shared" si="173"/>
        <v>0</v>
      </c>
      <c r="O560" s="60">
        <f t="shared" si="174"/>
        <v>0</v>
      </c>
    </row>
    <row r="561" spans="1:15" s="38" customFormat="1" ht="10.7" customHeight="1" outlineLevel="1" x14ac:dyDescent="0.25">
      <c r="A561" s="124"/>
      <c r="B561" s="142"/>
      <c r="C561" s="115"/>
      <c r="D561" s="115"/>
      <c r="E561" s="115"/>
      <c r="F561" s="115"/>
      <c r="G561" s="60" t="s">
        <v>129</v>
      </c>
      <c r="H561" s="124"/>
      <c r="I561" s="124"/>
      <c r="J561" s="60"/>
      <c r="K561" s="60"/>
      <c r="L561" s="60"/>
      <c r="M561" s="60"/>
      <c r="N561" s="60">
        <f t="shared" si="173"/>
        <v>0</v>
      </c>
      <c r="O561" s="60">
        <f t="shared" si="174"/>
        <v>0</v>
      </c>
    </row>
    <row r="562" spans="1:15" s="38" customFormat="1" ht="10.7" customHeight="1" outlineLevel="1" x14ac:dyDescent="0.25">
      <c r="A562" s="124"/>
      <c r="B562" s="142"/>
      <c r="C562" s="115"/>
      <c r="D562" s="115"/>
      <c r="E562" s="115"/>
      <c r="F562" s="115"/>
      <c r="G562" s="60" t="s">
        <v>130</v>
      </c>
      <c r="H562" s="124"/>
      <c r="I562" s="124"/>
      <c r="J562" s="60"/>
      <c r="K562" s="60"/>
      <c r="L562" s="60"/>
      <c r="M562" s="60"/>
      <c r="N562" s="60">
        <f t="shared" si="173"/>
        <v>0</v>
      </c>
      <c r="O562" s="60">
        <f t="shared" si="174"/>
        <v>0</v>
      </c>
    </row>
    <row r="563" spans="1:15" s="38" customFormat="1" ht="12" customHeight="1" outlineLevel="1" thickBot="1" x14ac:dyDescent="0.3">
      <c r="A563" s="125"/>
      <c r="B563" s="143"/>
      <c r="C563" s="131"/>
      <c r="D563" s="131"/>
      <c r="E563" s="131"/>
      <c r="F563" s="131"/>
      <c r="G563" s="60" t="s">
        <v>131</v>
      </c>
      <c r="H563" s="134"/>
      <c r="I563" s="134"/>
      <c r="J563" s="60"/>
      <c r="K563" s="60"/>
      <c r="L563" s="60"/>
      <c r="M563" s="60"/>
      <c r="N563" s="60">
        <f t="shared" si="173"/>
        <v>0</v>
      </c>
      <c r="O563" s="60">
        <f t="shared" si="174"/>
        <v>0</v>
      </c>
    </row>
    <row r="564" spans="1:15" s="38" customFormat="1" ht="14.45" customHeight="1" outlineLevel="1" x14ac:dyDescent="0.25">
      <c r="A564" s="140" t="s">
        <v>682</v>
      </c>
      <c r="B564" s="141" t="s">
        <v>683</v>
      </c>
      <c r="C564" s="130">
        <f>SUM(N564:N570)</f>
        <v>0</v>
      </c>
      <c r="D564" s="130">
        <f>SUM(O564:O570)</f>
        <v>0</v>
      </c>
      <c r="E564" s="130">
        <f t="shared" si="158"/>
        <v>0</v>
      </c>
      <c r="F564" s="130"/>
      <c r="G564" s="60" t="s">
        <v>125</v>
      </c>
      <c r="H564" s="123"/>
      <c r="I564" s="123"/>
      <c r="J564" s="60"/>
      <c r="K564" s="60"/>
      <c r="L564" s="60"/>
      <c r="M564" s="60"/>
      <c r="N564" s="60">
        <f>M564*J564*K564*L564</f>
        <v>0</v>
      </c>
      <c r="O564" s="60">
        <f>J564*K564*L564</f>
        <v>0</v>
      </c>
    </row>
    <row r="565" spans="1:15" s="38" customFormat="1" ht="11.45" customHeight="1" outlineLevel="1" x14ac:dyDescent="0.25">
      <c r="A565" s="124"/>
      <c r="B565" s="142"/>
      <c r="C565" s="115"/>
      <c r="D565" s="115"/>
      <c r="E565" s="115"/>
      <c r="F565" s="115"/>
      <c r="G565" s="60" t="s">
        <v>126</v>
      </c>
      <c r="H565" s="124"/>
      <c r="I565" s="124"/>
      <c r="J565" s="60"/>
      <c r="K565" s="60"/>
      <c r="L565" s="60"/>
      <c r="M565" s="60"/>
      <c r="N565" s="60">
        <f t="shared" ref="N565:N570" si="175">M565*J565*K565*L565</f>
        <v>0</v>
      </c>
      <c r="O565" s="60">
        <f t="shared" ref="O565:O570" si="176">J565*K565*L565</f>
        <v>0</v>
      </c>
    </row>
    <row r="566" spans="1:15" s="38" customFormat="1" ht="10.7" customHeight="1" outlineLevel="1" x14ac:dyDescent="0.25">
      <c r="A566" s="124"/>
      <c r="B566" s="142"/>
      <c r="C566" s="115"/>
      <c r="D566" s="115"/>
      <c r="E566" s="115"/>
      <c r="F566" s="115"/>
      <c r="G566" s="60" t="s">
        <v>127</v>
      </c>
      <c r="H566" s="124"/>
      <c r="I566" s="124"/>
      <c r="J566" s="60"/>
      <c r="K566" s="60"/>
      <c r="L566" s="60"/>
      <c r="M566" s="60"/>
      <c r="N566" s="60">
        <f t="shared" si="175"/>
        <v>0</v>
      </c>
      <c r="O566" s="60">
        <f t="shared" si="176"/>
        <v>0</v>
      </c>
    </row>
    <row r="567" spans="1:15" s="38" customFormat="1" ht="10.7" customHeight="1" outlineLevel="1" x14ac:dyDescent="0.25">
      <c r="A567" s="124"/>
      <c r="B567" s="142"/>
      <c r="C567" s="115"/>
      <c r="D567" s="115"/>
      <c r="E567" s="115"/>
      <c r="F567" s="115"/>
      <c r="G567" s="60" t="s">
        <v>128</v>
      </c>
      <c r="H567" s="124"/>
      <c r="I567" s="124"/>
      <c r="J567" s="60"/>
      <c r="K567" s="60"/>
      <c r="L567" s="60"/>
      <c r="M567" s="60"/>
      <c r="N567" s="60">
        <f t="shared" si="175"/>
        <v>0</v>
      </c>
      <c r="O567" s="60">
        <f t="shared" si="176"/>
        <v>0</v>
      </c>
    </row>
    <row r="568" spans="1:15" s="38" customFormat="1" ht="10.7" customHeight="1" outlineLevel="1" x14ac:dyDescent="0.25">
      <c r="A568" s="124"/>
      <c r="B568" s="142"/>
      <c r="C568" s="115"/>
      <c r="D568" s="115"/>
      <c r="E568" s="115"/>
      <c r="F568" s="115"/>
      <c r="G568" s="60" t="s">
        <v>129</v>
      </c>
      <c r="H568" s="124"/>
      <c r="I568" s="124"/>
      <c r="J568" s="60"/>
      <c r="K568" s="60"/>
      <c r="L568" s="60"/>
      <c r="M568" s="60"/>
      <c r="N568" s="60">
        <f t="shared" si="175"/>
        <v>0</v>
      </c>
      <c r="O568" s="60">
        <f t="shared" si="176"/>
        <v>0</v>
      </c>
    </row>
    <row r="569" spans="1:15" s="38" customFormat="1" ht="10.7" customHeight="1" outlineLevel="1" x14ac:dyDescent="0.25">
      <c r="A569" s="124"/>
      <c r="B569" s="142"/>
      <c r="C569" s="115"/>
      <c r="D569" s="115"/>
      <c r="E569" s="115"/>
      <c r="F569" s="115"/>
      <c r="G569" s="60" t="s">
        <v>130</v>
      </c>
      <c r="H569" s="124"/>
      <c r="I569" s="124"/>
      <c r="J569" s="60"/>
      <c r="K569" s="60"/>
      <c r="L569" s="60"/>
      <c r="M569" s="60"/>
      <c r="N569" s="60">
        <f t="shared" si="175"/>
        <v>0</v>
      </c>
      <c r="O569" s="60">
        <f t="shared" si="176"/>
        <v>0</v>
      </c>
    </row>
    <row r="570" spans="1:15" s="38" customFormat="1" ht="12" customHeight="1" outlineLevel="1" thickBot="1" x14ac:dyDescent="0.3">
      <c r="A570" s="125"/>
      <c r="B570" s="143"/>
      <c r="C570" s="131"/>
      <c r="D570" s="131"/>
      <c r="E570" s="131"/>
      <c r="F570" s="131"/>
      <c r="G570" s="60" t="s">
        <v>131</v>
      </c>
      <c r="H570" s="134"/>
      <c r="I570" s="134"/>
      <c r="J570" s="60"/>
      <c r="K570" s="60"/>
      <c r="L570" s="60"/>
      <c r="M570" s="60"/>
      <c r="N570" s="60">
        <f t="shared" si="175"/>
        <v>0</v>
      </c>
      <c r="O570" s="60">
        <f t="shared" si="176"/>
        <v>0</v>
      </c>
    </row>
    <row r="571" spans="1:15" s="38" customFormat="1" ht="14.45" customHeight="1" outlineLevel="1" x14ac:dyDescent="0.25">
      <c r="A571" s="140" t="s">
        <v>684</v>
      </c>
      <c r="B571" s="141" t="s">
        <v>685</v>
      </c>
      <c r="C571" s="130">
        <f>SUM(N571:N577)</f>
        <v>0</v>
      </c>
      <c r="D571" s="130">
        <f>SUM(O571:O577)</f>
        <v>0</v>
      </c>
      <c r="E571" s="130">
        <f t="shared" si="158"/>
        <v>0</v>
      </c>
      <c r="F571" s="130"/>
      <c r="G571" s="60" t="s">
        <v>125</v>
      </c>
      <c r="H571" s="123"/>
      <c r="I571" s="123"/>
      <c r="J571" s="60"/>
      <c r="K571" s="60"/>
      <c r="L571" s="60"/>
      <c r="M571" s="60"/>
      <c r="N571" s="60">
        <f>M571*J571*K571*L571</f>
        <v>0</v>
      </c>
      <c r="O571" s="60">
        <f>J571*K571*L571</f>
        <v>0</v>
      </c>
    </row>
    <row r="572" spans="1:15" s="38" customFormat="1" ht="11.45" customHeight="1" outlineLevel="1" x14ac:dyDescent="0.25">
      <c r="A572" s="124"/>
      <c r="B572" s="142"/>
      <c r="C572" s="115"/>
      <c r="D572" s="115"/>
      <c r="E572" s="115"/>
      <c r="F572" s="115"/>
      <c r="G572" s="60" t="s">
        <v>126</v>
      </c>
      <c r="H572" s="124"/>
      <c r="I572" s="124"/>
      <c r="J572" s="60"/>
      <c r="K572" s="60"/>
      <c r="L572" s="60"/>
      <c r="M572" s="60"/>
      <c r="N572" s="60">
        <f t="shared" ref="N572:N577" si="177">M572*J572*K572*L572</f>
        <v>0</v>
      </c>
      <c r="O572" s="60">
        <f t="shared" ref="O572:O577" si="178">J572*K572*L572</f>
        <v>0</v>
      </c>
    </row>
    <row r="573" spans="1:15" s="38" customFormat="1" ht="10.7" customHeight="1" outlineLevel="1" x14ac:dyDescent="0.25">
      <c r="A573" s="124"/>
      <c r="B573" s="142"/>
      <c r="C573" s="115"/>
      <c r="D573" s="115"/>
      <c r="E573" s="115"/>
      <c r="F573" s="115"/>
      <c r="G573" s="60" t="s">
        <v>127</v>
      </c>
      <c r="H573" s="124"/>
      <c r="I573" s="124"/>
      <c r="J573" s="60"/>
      <c r="K573" s="60"/>
      <c r="L573" s="60"/>
      <c r="M573" s="60"/>
      <c r="N573" s="60">
        <f t="shared" si="177"/>
        <v>0</v>
      </c>
      <c r="O573" s="60">
        <f t="shared" si="178"/>
        <v>0</v>
      </c>
    </row>
    <row r="574" spans="1:15" s="38" customFormat="1" ht="10.7" customHeight="1" outlineLevel="1" x14ac:dyDescent="0.25">
      <c r="A574" s="124"/>
      <c r="B574" s="142"/>
      <c r="C574" s="115"/>
      <c r="D574" s="115"/>
      <c r="E574" s="115"/>
      <c r="F574" s="115"/>
      <c r="G574" s="60" t="s">
        <v>128</v>
      </c>
      <c r="H574" s="124"/>
      <c r="I574" s="124"/>
      <c r="J574" s="60"/>
      <c r="K574" s="60"/>
      <c r="L574" s="60"/>
      <c r="M574" s="60"/>
      <c r="N574" s="60">
        <f t="shared" si="177"/>
        <v>0</v>
      </c>
      <c r="O574" s="60">
        <f t="shared" si="178"/>
        <v>0</v>
      </c>
    </row>
    <row r="575" spans="1:15" s="38" customFormat="1" ht="10.7" customHeight="1" outlineLevel="1" x14ac:dyDescent="0.25">
      <c r="A575" s="124"/>
      <c r="B575" s="142"/>
      <c r="C575" s="115"/>
      <c r="D575" s="115"/>
      <c r="E575" s="115"/>
      <c r="F575" s="115"/>
      <c r="G575" s="60" t="s">
        <v>129</v>
      </c>
      <c r="H575" s="124"/>
      <c r="I575" s="124"/>
      <c r="J575" s="60"/>
      <c r="K575" s="60"/>
      <c r="L575" s="60"/>
      <c r="M575" s="60"/>
      <c r="N575" s="60">
        <f t="shared" si="177"/>
        <v>0</v>
      </c>
      <c r="O575" s="60">
        <f t="shared" si="178"/>
        <v>0</v>
      </c>
    </row>
    <row r="576" spans="1:15" s="38" customFormat="1" ht="10.7" customHeight="1" outlineLevel="1" x14ac:dyDescent="0.25">
      <c r="A576" s="124"/>
      <c r="B576" s="142"/>
      <c r="C576" s="115"/>
      <c r="D576" s="115"/>
      <c r="E576" s="115"/>
      <c r="F576" s="115"/>
      <c r="G576" s="60" t="s">
        <v>130</v>
      </c>
      <c r="H576" s="124"/>
      <c r="I576" s="124"/>
      <c r="J576" s="60"/>
      <c r="K576" s="60"/>
      <c r="L576" s="60"/>
      <c r="M576" s="60"/>
      <c r="N576" s="60">
        <f t="shared" si="177"/>
        <v>0</v>
      </c>
      <c r="O576" s="60">
        <f t="shared" si="178"/>
        <v>0</v>
      </c>
    </row>
    <row r="577" spans="1:15" s="38" customFormat="1" ht="12" customHeight="1" outlineLevel="1" thickBot="1" x14ac:dyDescent="0.3">
      <c r="A577" s="125"/>
      <c r="B577" s="143"/>
      <c r="C577" s="131"/>
      <c r="D577" s="131"/>
      <c r="E577" s="131"/>
      <c r="F577" s="131"/>
      <c r="G577" s="60" t="s">
        <v>131</v>
      </c>
      <c r="H577" s="134"/>
      <c r="I577" s="134"/>
      <c r="J577" s="60"/>
      <c r="K577" s="60"/>
      <c r="L577" s="60"/>
      <c r="M577" s="60"/>
      <c r="N577" s="60">
        <f t="shared" si="177"/>
        <v>0</v>
      </c>
      <c r="O577" s="60">
        <f t="shared" si="178"/>
        <v>0</v>
      </c>
    </row>
    <row r="578" spans="1:15" s="38" customFormat="1" ht="14.45" customHeight="1" outlineLevel="1" x14ac:dyDescent="0.25">
      <c r="A578" s="140" t="s">
        <v>686</v>
      </c>
      <c r="B578" s="141" t="s">
        <v>687</v>
      </c>
      <c r="C578" s="130">
        <f>SUM(N578:N584)</f>
        <v>0</v>
      </c>
      <c r="D578" s="130">
        <f>SUM(O578:O584)</f>
        <v>0</v>
      </c>
      <c r="E578" s="130">
        <f t="shared" ref="E578:E641" si="179">D578/8</f>
        <v>0</v>
      </c>
      <c r="F578" s="130"/>
      <c r="G578" s="60" t="s">
        <v>125</v>
      </c>
      <c r="H578" s="123"/>
      <c r="I578" s="123"/>
      <c r="J578" s="60"/>
      <c r="K578" s="60"/>
      <c r="L578" s="60"/>
      <c r="M578" s="60"/>
      <c r="N578" s="60">
        <f>M578*J578*K578*L578</f>
        <v>0</v>
      </c>
      <c r="O578" s="60">
        <f>J578*K578*L578</f>
        <v>0</v>
      </c>
    </row>
    <row r="579" spans="1:15" s="38" customFormat="1" ht="11.45" customHeight="1" outlineLevel="1" x14ac:dyDescent="0.25">
      <c r="A579" s="124"/>
      <c r="B579" s="142"/>
      <c r="C579" s="115"/>
      <c r="D579" s="115"/>
      <c r="E579" s="115"/>
      <c r="F579" s="115"/>
      <c r="G579" s="60" t="s">
        <v>126</v>
      </c>
      <c r="H579" s="124"/>
      <c r="I579" s="124"/>
      <c r="J579" s="60"/>
      <c r="K579" s="60"/>
      <c r="L579" s="60"/>
      <c r="M579" s="60"/>
      <c r="N579" s="60">
        <f t="shared" ref="N579:N584" si="180">M579*J579*K579*L579</f>
        <v>0</v>
      </c>
      <c r="O579" s="60">
        <f t="shared" ref="O579:O584" si="181">J579*K579*L579</f>
        <v>0</v>
      </c>
    </row>
    <row r="580" spans="1:15" s="38" customFormat="1" ht="10.7" customHeight="1" outlineLevel="1" x14ac:dyDescent="0.25">
      <c r="A580" s="124"/>
      <c r="B580" s="142"/>
      <c r="C580" s="115"/>
      <c r="D580" s="115"/>
      <c r="E580" s="115"/>
      <c r="F580" s="115"/>
      <c r="G580" s="60" t="s">
        <v>127</v>
      </c>
      <c r="H580" s="124"/>
      <c r="I580" s="124"/>
      <c r="J580" s="60"/>
      <c r="K580" s="60"/>
      <c r="L580" s="60"/>
      <c r="M580" s="60"/>
      <c r="N580" s="60">
        <f t="shared" si="180"/>
        <v>0</v>
      </c>
      <c r="O580" s="60">
        <f t="shared" si="181"/>
        <v>0</v>
      </c>
    </row>
    <row r="581" spans="1:15" s="38" customFormat="1" ht="10.7" customHeight="1" outlineLevel="1" x14ac:dyDescent="0.25">
      <c r="A581" s="124"/>
      <c r="B581" s="142"/>
      <c r="C581" s="115"/>
      <c r="D581" s="115"/>
      <c r="E581" s="115"/>
      <c r="F581" s="115"/>
      <c r="G581" s="60" t="s">
        <v>128</v>
      </c>
      <c r="H581" s="124"/>
      <c r="I581" s="124"/>
      <c r="J581" s="60"/>
      <c r="K581" s="60"/>
      <c r="L581" s="60"/>
      <c r="M581" s="60"/>
      <c r="N581" s="60">
        <f t="shared" si="180"/>
        <v>0</v>
      </c>
      <c r="O581" s="60">
        <f t="shared" si="181"/>
        <v>0</v>
      </c>
    </row>
    <row r="582" spans="1:15" s="38" customFormat="1" ht="10.7" customHeight="1" outlineLevel="1" x14ac:dyDescent="0.25">
      <c r="A582" s="124"/>
      <c r="B582" s="142"/>
      <c r="C582" s="115"/>
      <c r="D582" s="115"/>
      <c r="E582" s="115"/>
      <c r="F582" s="115"/>
      <c r="G582" s="60" t="s">
        <v>129</v>
      </c>
      <c r="H582" s="124"/>
      <c r="I582" s="124"/>
      <c r="J582" s="60"/>
      <c r="K582" s="60"/>
      <c r="L582" s="60"/>
      <c r="M582" s="60"/>
      <c r="N582" s="60">
        <f t="shared" si="180"/>
        <v>0</v>
      </c>
      <c r="O582" s="60">
        <f t="shared" si="181"/>
        <v>0</v>
      </c>
    </row>
    <row r="583" spans="1:15" s="38" customFormat="1" ht="10.7" customHeight="1" outlineLevel="1" x14ac:dyDescent="0.25">
      <c r="A583" s="124"/>
      <c r="B583" s="142"/>
      <c r="C583" s="115"/>
      <c r="D583" s="115"/>
      <c r="E583" s="115"/>
      <c r="F583" s="115"/>
      <c r="G583" s="60" t="s">
        <v>130</v>
      </c>
      <c r="H583" s="124"/>
      <c r="I583" s="124"/>
      <c r="J583" s="60"/>
      <c r="K583" s="60"/>
      <c r="L583" s="60"/>
      <c r="M583" s="60"/>
      <c r="N583" s="60">
        <f t="shared" si="180"/>
        <v>0</v>
      </c>
      <c r="O583" s="60">
        <f t="shared" si="181"/>
        <v>0</v>
      </c>
    </row>
    <row r="584" spans="1:15" s="38" customFormat="1" ht="12" customHeight="1" outlineLevel="1" thickBot="1" x14ac:dyDescent="0.3">
      <c r="A584" s="125"/>
      <c r="B584" s="143"/>
      <c r="C584" s="131"/>
      <c r="D584" s="131"/>
      <c r="E584" s="131"/>
      <c r="F584" s="131"/>
      <c r="G584" s="60" t="s">
        <v>131</v>
      </c>
      <c r="H584" s="134"/>
      <c r="I584" s="134"/>
      <c r="J584" s="60"/>
      <c r="K584" s="60"/>
      <c r="L584" s="60"/>
      <c r="M584" s="60"/>
      <c r="N584" s="60">
        <f t="shared" si="180"/>
        <v>0</v>
      </c>
      <c r="O584" s="60">
        <f t="shared" si="181"/>
        <v>0</v>
      </c>
    </row>
    <row r="585" spans="1:15" s="38" customFormat="1" ht="14.45" customHeight="1" outlineLevel="1" x14ac:dyDescent="0.25">
      <c r="A585" s="140" t="s">
        <v>688</v>
      </c>
      <c r="B585" s="141" t="s">
        <v>689</v>
      </c>
      <c r="C585" s="130">
        <f>SUM(N585:N591)</f>
        <v>0</v>
      </c>
      <c r="D585" s="130">
        <f>SUM(O585:O591)</f>
        <v>0</v>
      </c>
      <c r="E585" s="130">
        <f t="shared" si="179"/>
        <v>0</v>
      </c>
      <c r="F585" s="130"/>
      <c r="G585" s="60" t="s">
        <v>125</v>
      </c>
      <c r="H585" s="123"/>
      <c r="I585" s="123"/>
      <c r="J585" s="60"/>
      <c r="K585" s="60"/>
      <c r="L585" s="60"/>
      <c r="M585" s="60"/>
      <c r="N585" s="60">
        <f>M585*J585*K585*L585</f>
        <v>0</v>
      </c>
      <c r="O585" s="60">
        <f>J585*K585*L585</f>
        <v>0</v>
      </c>
    </row>
    <row r="586" spans="1:15" s="38" customFormat="1" ht="11.45" customHeight="1" outlineLevel="1" x14ac:dyDescent="0.25">
      <c r="A586" s="124"/>
      <c r="B586" s="142"/>
      <c r="C586" s="115"/>
      <c r="D586" s="115"/>
      <c r="E586" s="115"/>
      <c r="F586" s="115"/>
      <c r="G586" s="60" t="s">
        <v>126</v>
      </c>
      <c r="H586" s="124"/>
      <c r="I586" s="124"/>
      <c r="J586" s="60"/>
      <c r="K586" s="60"/>
      <c r="L586" s="60"/>
      <c r="M586" s="60"/>
      <c r="N586" s="60">
        <f t="shared" ref="N586:N591" si="182">M586*J586*K586*L586</f>
        <v>0</v>
      </c>
      <c r="O586" s="60">
        <f t="shared" ref="O586:O591" si="183">J586*K586*L586</f>
        <v>0</v>
      </c>
    </row>
    <row r="587" spans="1:15" s="38" customFormat="1" ht="10.7" customHeight="1" outlineLevel="1" x14ac:dyDescent="0.25">
      <c r="A587" s="124"/>
      <c r="B587" s="142"/>
      <c r="C587" s="115"/>
      <c r="D587" s="115"/>
      <c r="E587" s="115"/>
      <c r="F587" s="115"/>
      <c r="G587" s="60" t="s">
        <v>127</v>
      </c>
      <c r="H587" s="124"/>
      <c r="I587" s="124"/>
      <c r="J587" s="60"/>
      <c r="K587" s="60"/>
      <c r="L587" s="60"/>
      <c r="M587" s="60"/>
      <c r="N587" s="60">
        <f t="shared" si="182"/>
        <v>0</v>
      </c>
      <c r="O587" s="60">
        <f t="shared" si="183"/>
        <v>0</v>
      </c>
    </row>
    <row r="588" spans="1:15" s="38" customFormat="1" ht="10.7" customHeight="1" outlineLevel="1" x14ac:dyDescent="0.25">
      <c r="A588" s="124"/>
      <c r="B588" s="142"/>
      <c r="C588" s="115"/>
      <c r="D588" s="115"/>
      <c r="E588" s="115"/>
      <c r="F588" s="115"/>
      <c r="G588" s="60" t="s">
        <v>128</v>
      </c>
      <c r="H588" s="124"/>
      <c r="I588" s="124"/>
      <c r="J588" s="60"/>
      <c r="K588" s="60"/>
      <c r="L588" s="60"/>
      <c r="M588" s="60"/>
      <c r="N588" s="60">
        <f t="shared" si="182"/>
        <v>0</v>
      </c>
      <c r="O588" s="60">
        <f t="shared" si="183"/>
        <v>0</v>
      </c>
    </row>
    <row r="589" spans="1:15" s="38" customFormat="1" ht="10.7" customHeight="1" outlineLevel="1" x14ac:dyDescent="0.25">
      <c r="A589" s="124"/>
      <c r="B589" s="142"/>
      <c r="C589" s="115"/>
      <c r="D589" s="115"/>
      <c r="E589" s="115"/>
      <c r="F589" s="115"/>
      <c r="G589" s="60" t="s">
        <v>129</v>
      </c>
      <c r="H589" s="124"/>
      <c r="I589" s="124"/>
      <c r="J589" s="60"/>
      <c r="K589" s="60"/>
      <c r="L589" s="60"/>
      <c r="M589" s="60"/>
      <c r="N589" s="60">
        <f t="shared" si="182"/>
        <v>0</v>
      </c>
      <c r="O589" s="60">
        <f t="shared" si="183"/>
        <v>0</v>
      </c>
    </row>
    <row r="590" spans="1:15" s="38" customFormat="1" ht="10.7" customHeight="1" outlineLevel="1" x14ac:dyDescent="0.25">
      <c r="A590" s="124"/>
      <c r="B590" s="142"/>
      <c r="C590" s="115"/>
      <c r="D590" s="115"/>
      <c r="E590" s="115"/>
      <c r="F590" s="115"/>
      <c r="G590" s="60" t="s">
        <v>130</v>
      </c>
      <c r="H590" s="124"/>
      <c r="I590" s="124"/>
      <c r="J590" s="60"/>
      <c r="K590" s="60"/>
      <c r="L590" s="60"/>
      <c r="M590" s="60"/>
      <c r="N590" s="60">
        <f t="shared" si="182"/>
        <v>0</v>
      </c>
      <c r="O590" s="60">
        <f t="shared" si="183"/>
        <v>0</v>
      </c>
    </row>
    <row r="591" spans="1:15" s="38" customFormat="1" ht="12" customHeight="1" outlineLevel="1" thickBot="1" x14ac:dyDescent="0.3">
      <c r="A591" s="125"/>
      <c r="B591" s="143"/>
      <c r="C591" s="131"/>
      <c r="D591" s="131"/>
      <c r="E591" s="131"/>
      <c r="F591" s="131"/>
      <c r="G591" s="60" t="s">
        <v>131</v>
      </c>
      <c r="H591" s="134"/>
      <c r="I591" s="134"/>
      <c r="J591" s="60"/>
      <c r="K591" s="60"/>
      <c r="L591" s="60"/>
      <c r="M591" s="60"/>
      <c r="N591" s="60">
        <f t="shared" si="182"/>
        <v>0</v>
      </c>
      <c r="O591" s="60">
        <f t="shared" si="183"/>
        <v>0</v>
      </c>
    </row>
    <row r="592" spans="1:15" s="38" customFormat="1" ht="14.45" customHeight="1" outlineLevel="1" x14ac:dyDescent="0.25">
      <c r="A592" s="140" t="s">
        <v>690</v>
      </c>
      <c r="B592" s="141" t="s">
        <v>691</v>
      </c>
      <c r="C592" s="130">
        <f>SUM(N592:N598)</f>
        <v>0</v>
      </c>
      <c r="D592" s="130">
        <f>SUM(O592:O598)</f>
        <v>0</v>
      </c>
      <c r="E592" s="130">
        <f t="shared" si="179"/>
        <v>0</v>
      </c>
      <c r="F592" s="130"/>
      <c r="G592" s="60" t="s">
        <v>125</v>
      </c>
      <c r="H592" s="123"/>
      <c r="I592" s="123"/>
      <c r="J592" s="60"/>
      <c r="K592" s="60"/>
      <c r="L592" s="60"/>
      <c r="M592" s="60"/>
      <c r="N592" s="60">
        <f>M592*J592*K592*L592</f>
        <v>0</v>
      </c>
      <c r="O592" s="60">
        <f>J592*K592*L592</f>
        <v>0</v>
      </c>
    </row>
    <row r="593" spans="1:15" s="38" customFormat="1" ht="11.45" customHeight="1" outlineLevel="1" x14ac:dyDescent="0.25">
      <c r="A593" s="124"/>
      <c r="B593" s="142"/>
      <c r="C593" s="115"/>
      <c r="D593" s="115"/>
      <c r="E593" s="115"/>
      <c r="F593" s="115"/>
      <c r="G593" s="60" t="s">
        <v>126</v>
      </c>
      <c r="H593" s="124"/>
      <c r="I593" s="124"/>
      <c r="J593" s="60"/>
      <c r="K593" s="60"/>
      <c r="L593" s="60"/>
      <c r="M593" s="60"/>
      <c r="N593" s="60">
        <f t="shared" ref="N593:N598" si="184">M593*J593*K593*L593</f>
        <v>0</v>
      </c>
      <c r="O593" s="60">
        <f t="shared" ref="O593:O598" si="185">J593*K593*L593</f>
        <v>0</v>
      </c>
    </row>
    <row r="594" spans="1:15" s="38" customFormat="1" ht="10.7" customHeight="1" outlineLevel="1" x14ac:dyDescent="0.25">
      <c r="A594" s="124"/>
      <c r="B594" s="142"/>
      <c r="C594" s="115"/>
      <c r="D594" s="115"/>
      <c r="E594" s="115"/>
      <c r="F594" s="115"/>
      <c r="G594" s="60" t="s">
        <v>127</v>
      </c>
      <c r="H594" s="124"/>
      <c r="I594" s="124"/>
      <c r="J594" s="60"/>
      <c r="K594" s="60"/>
      <c r="L594" s="60"/>
      <c r="M594" s="60"/>
      <c r="N594" s="60">
        <f t="shared" si="184"/>
        <v>0</v>
      </c>
      <c r="O594" s="60">
        <f t="shared" si="185"/>
        <v>0</v>
      </c>
    </row>
    <row r="595" spans="1:15" s="38" customFormat="1" ht="10.7" customHeight="1" outlineLevel="1" x14ac:dyDescent="0.25">
      <c r="A595" s="124"/>
      <c r="B595" s="142"/>
      <c r="C595" s="115"/>
      <c r="D595" s="115"/>
      <c r="E595" s="115"/>
      <c r="F595" s="115"/>
      <c r="G595" s="60" t="s">
        <v>128</v>
      </c>
      <c r="H595" s="124"/>
      <c r="I595" s="124"/>
      <c r="J595" s="60"/>
      <c r="K595" s="60"/>
      <c r="L595" s="60"/>
      <c r="M595" s="60"/>
      <c r="N595" s="60">
        <f t="shared" si="184"/>
        <v>0</v>
      </c>
      <c r="O595" s="60">
        <f t="shared" si="185"/>
        <v>0</v>
      </c>
    </row>
    <row r="596" spans="1:15" s="38" customFormat="1" ht="10.7" customHeight="1" outlineLevel="1" x14ac:dyDescent="0.25">
      <c r="A596" s="124"/>
      <c r="B596" s="142"/>
      <c r="C596" s="115"/>
      <c r="D596" s="115"/>
      <c r="E596" s="115"/>
      <c r="F596" s="115"/>
      <c r="G596" s="60" t="s">
        <v>129</v>
      </c>
      <c r="H596" s="124"/>
      <c r="I596" s="124"/>
      <c r="J596" s="60"/>
      <c r="K596" s="60"/>
      <c r="L596" s="60"/>
      <c r="M596" s="60"/>
      <c r="N596" s="60">
        <f t="shared" si="184"/>
        <v>0</v>
      </c>
      <c r="O596" s="60">
        <f t="shared" si="185"/>
        <v>0</v>
      </c>
    </row>
    <row r="597" spans="1:15" s="38" customFormat="1" ht="10.7" customHeight="1" outlineLevel="1" x14ac:dyDescent="0.25">
      <c r="A597" s="124"/>
      <c r="B597" s="142"/>
      <c r="C597" s="115"/>
      <c r="D597" s="115"/>
      <c r="E597" s="115"/>
      <c r="F597" s="115"/>
      <c r="G597" s="60" t="s">
        <v>130</v>
      </c>
      <c r="H597" s="124"/>
      <c r="I597" s="124"/>
      <c r="J597" s="60"/>
      <c r="K597" s="60"/>
      <c r="L597" s="60"/>
      <c r="M597" s="60"/>
      <c r="N597" s="60">
        <f t="shared" si="184"/>
        <v>0</v>
      </c>
      <c r="O597" s="60">
        <f t="shared" si="185"/>
        <v>0</v>
      </c>
    </row>
    <row r="598" spans="1:15" s="38" customFormat="1" ht="12" customHeight="1" outlineLevel="1" thickBot="1" x14ac:dyDescent="0.3">
      <c r="A598" s="125"/>
      <c r="B598" s="143"/>
      <c r="C598" s="131"/>
      <c r="D598" s="131"/>
      <c r="E598" s="131"/>
      <c r="F598" s="131"/>
      <c r="G598" s="60" t="s">
        <v>131</v>
      </c>
      <c r="H598" s="134"/>
      <c r="I598" s="134"/>
      <c r="J598" s="60"/>
      <c r="K598" s="60"/>
      <c r="L598" s="60"/>
      <c r="M598" s="60"/>
      <c r="N598" s="60">
        <f t="shared" si="184"/>
        <v>0</v>
      </c>
      <c r="O598" s="60">
        <f t="shared" si="185"/>
        <v>0</v>
      </c>
    </row>
    <row r="599" spans="1:15" s="38" customFormat="1" ht="14.45" customHeight="1" outlineLevel="1" x14ac:dyDescent="0.25">
      <c r="A599" s="140" t="s">
        <v>692</v>
      </c>
      <c r="B599" s="141" t="s">
        <v>693</v>
      </c>
      <c r="C599" s="130">
        <f>SUM(N599:N605)</f>
        <v>0</v>
      </c>
      <c r="D599" s="130">
        <f>SUM(O599:O605)</f>
        <v>0</v>
      </c>
      <c r="E599" s="130">
        <f t="shared" si="179"/>
        <v>0</v>
      </c>
      <c r="F599" s="130"/>
      <c r="G599" s="60" t="s">
        <v>125</v>
      </c>
      <c r="H599" s="123"/>
      <c r="I599" s="123"/>
      <c r="J599" s="60"/>
      <c r="K599" s="60"/>
      <c r="L599" s="60"/>
      <c r="M599" s="60"/>
      <c r="N599" s="60">
        <f>M599*J599*K599*L599</f>
        <v>0</v>
      </c>
      <c r="O599" s="60">
        <f>J599*K599*L599</f>
        <v>0</v>
      </c>
    </row>
    <row r="600" spans="1:15" s="38" customFormat="1" ht="11.45" customHeight="1" outlineLevel="1" x14ac:dyDescent="0.25">
      <c r="A600" s="124"/>
      <c r="B600" s="142"/>
      <c r="C600" s="115"/>
      <c r="D600" s="115"/>
      <c r="E600" s="115"/>
      <c r="F600" s="115"/>
      <c r="G600" s="60" t="s">
        <v>126</v>
      </c>
      <c r="H600" s="124"/>
      <c r="I600" s="124"/>
      <c r="J600" s="60"/>
      <c r="K600" s="60"/>
      <c r="L600" s="60"/>
      <c r="M600" s="60"/>
      <c r="N600" s="60">
        <f t="shared" ref="N600:N605" si="186">M600*J600*K600*L600</f>
        <v>0</v>
      </c>
      <c r="O600" s="60">
        <f t="shared" ref="O600:O605" si="187">J600*K600*L600</f>
        <v>0</v>
      </c>
    </row>
    <row r="601" spans="1:15" s="38" customFormat="1" ht="10.7" customHeight="1" outlineLevel="1" x14ac:dyDescent="0.25">
      <c r="A601" s="124"/>
      <c r="B601" s="142"/>
      <c r="C601" s="115"/>
      <c r="D601" s="115"/>
      <c r="E601" s="115"/>
      <c r="F601" s="115"/>
      <c r="G601" s="60" t="s">
        <v>127</v>
      </c>
      <c r="H601" s="124"/>
      <c r="I601" s="124"/>
      <c r="J601" s="60"/>
      <c r="K601" s="60"/>
      <c r="L601" s="60"/>
      <c r="M601" s="60"/>
      <c r="N601" s="60">
        <f t="shared" si="186"/>
        <v>0</v>
      </c>
      <c r="O601" s="60">
        <f t="shared" si="187"/>
        <v>0</v>
      </c>
    </row>
    <row r="602" spans="1:15" s="38" customFormat="1" ht="10.7" customHeight="1" outlineLevel="1" x14ac:dyDescent="0.25">
      <c r="A602" s="124"/>
      <c r="B602" s="142"/>
      <c r="C602" s="115"/>
      <c r="D602" s="115"/>
      <c r="E602" s="115"/>
      <c r="F602" s="115"/>
      <c r="G602" s="60" t="s">
        <v>128</v>
      </c>
      <c r="H602" s="124"/>
      <c r="I602" s="124"/>
      <c r="J602" s="60"/>
      <c r="K602" s="60"/>
      <c r="L602" s="60"/>
      <c r="M602" s="60"/>
      <c r="N602" s="60">
        <f t="shared" si="186"/>
        <v>0</v>
      </c>
      <c r="O602" s="60">
        <f t="shared" si="187"/>
        <v>0</v>
      </c>
    </row>
    <row r="603" spans="1:15" s="38" customFormat="1" ht="10.7" customHeight="1" outlineLevel="1" x14ac:dyDescent="0.25">
      <c r="A603" s="124"/>
      <c r="B603" s="142"/>
      <c r="C603" s="115"/>
      <c r="D603" s="115"/>
      <c r="E603" s="115"/>
      <c r="F603" s="115"/>
      <c r="G603" s="60" t="s">
        <v>129</v>
      </c>
      <c r="H603" s="124"/>
      <c r="I603" s="124"/>
      <c r="J603" s="60"/>
      <c r="K603" s="60"/>
      <c r="L603" s="60"/>
      <c r="M603" s="60"/>
      <c r="N603" s="60">
        <f t="shared" si="186"/>
        <v>0</v>
      </c>
      <c r="O603" s="60">
        <f t="shared" si="187"/>
        <v>0</v>
      </c>
    </row>
    <row r="604" spans="1:15" s="38" customFormat="1" ht="10.7" customHeight="1" outlineLevel="1" x14ac:dyDescent="0.25">
      <c r="A604" s="124"/>
      <c r="B604" s="142"/>
      <c r="C604" s="115"/>
      <c r="D604" s="115"/>
      <c r="E604" s="115"/>
      <c r="F604" s="115"/>
      <c r="G604" s="60" t="s">
        <v>130</v>
      </c>
      <c r="H604" s="124"/>
      <c r="I604" s="124"/>
      <c r="J604" s="60"/>
      <c r="K604" s="60"/>
      <c r="L604" s="60"/>
      <c r="M604" s="60"/>
      <c r="N604" s="60">
        <f t="shared" si="186"/>
        <v>0</v>
      </c>
      <c r="O604" s="60">
        <f t="shared" si="187"/>
        <v>0</v>
      </c>
    </row>
    <row r="605" spans="1:15" s="38" customFormat="1" ht="12" customHeight="1" outlineLevel="1" thickBot="1" x14ac:dyDescent="0.3">
      <c r="A605" s="125"/>
      <c r="B605" s="143"/>
      <c r="C605" s="131"/>
      <c r="D605" s="131"/>
      <c r="E605" s="131"/>
      <c r="F605" s="131"/>
      <c r="G605" s="60" t="s">
        <v>131</v>
      </c>
      <c r="H605" s="134"/>
      <c r="I605" s="134"/>
      <c r="J605" s="60"/>
      <c r="K605" s="60"/>
      <c r="L605" s="60"/>
      <c r="M605" s="60"/>
      <c r="N605" s="60">
        <f t="shared" si="186"/>
        <v>0</v>
      </c>
      <c r="O605" s="60">
        <f t="shared" si="187"/>
        <v>0</v>
      </c>
    </row>
    <row r="606" spans="1:15" s="38" customFormat="1" ht="14.45" customHeight="1" outlineLevel="1" x14ac:dyDescent="0.25">
      <c r="A606" s="140" t="s">
        <v>694</v>
      </c>
      <c r="B606" s="141" t="s">
        <v>695</v>
      </c>
      <c r="C606" s="130">
        <f>SUM(N606:N612)</f>
        <v>0</v>
      </c>
      <c r="D606" s="130">
        <f>SUM(O606:O612)</f>
        <v>0</v>
      </c>
      <c r="E606" s="130">
        <f t="shared" si="179"/>
        <v>0</v>
      </c>
      <c r="F606" s="130"/>
      <c r="G606" s="60" t="s">
        <v>125</v>
      </c>
      <c r="H606" s="123"/>
      <c r="I606" s="123"/>
      <c r="J606" s="60"/>
      <c r="K606" s="60"/>
      <c r="L606" s="60"/>
      <c r="M606" s="60"/>
      <c r="N606" s="60">
        <f>M606*J606*K606*L606</f>
        <v>0</v>
      </c>
      <c r="O606" s="60">
        <f>J606*K606*L606</f>
        <v>0</v>
      </c>
    </row>
    <row r="607" spans="1:15" s="38" customFormat="1" ht="11.45" customHeight="1" outlineLevel="1" x14ac:dyDescent="0.25">
      <c r="A607" s="124"/>
      <c r="B607" s="142"/>
      <c r="C607" s="115"/>
      <c r="D607" s="115"/>
      <c r="E607" s="115"/>
      <c r="F607" s="115"/>
      <c r="G607" s="60" t="s">
        <v>126</v>
      </c>
      <c r="H607" s="124"/>
      <c r="I607" s="124"/>
      <c r="J607" s="60"/>
      <c r="K607" s="60"/>
      <c r="L607" s="60"/>
      <c r="M607" s="60"/>
      <c r="N607" s="60">
        <f t="shared" ref="N607:N612" si="188">M607*J607*K607*L607</f>
        <v>0</v>
      </c>
      <c r="O607" s="60">
        <f t="shared" ref="O607:O612" si="189">J607*K607*L607</f>
        <v>0</v>
      </c>
    </row>
    <row r="608" spans="1:15" s="38" customFormat="1" ht="10.7" customHeight="1" outlineLevel="1" x14ac:dyDescent="0.25">
      <c r="A608" s="124"/>
      <c r="B608" s="142"/>
      <c r="C608" s="115"/>
      <c r="D608" s="115"/>
      <c r="E608" s="115"/>
      <c r="F608" s="115"/>
      <c r="G608" s="60" t="s">
        <v>127</v>
      </c>
      <c r="H608" s="124"/>
      <c r="I608" s="124"/>
      <c r="J608" s="60"/>
      <c r="K608" s="60"/>
      <c r="L608" s="60"/>
      <c r="M608" s="60"/>
      <c r="N608" s="60">
        <f t="shared" si="188"/>
        <v>0</v>
      </c>
      <c r="O608" s="60">
        <f t="shared" si="189"/>
        <v>0</v>
      </c>
    </row>
    <row r="609" spans="1:15" s="38" customFormat="1" ht="10.7" customHeight="1" outlineLevel="1" x14ac:dyDescent="0.25">
      <c r="A609" s="124"/>
      <c r="B609" s="142"/>
      <c r="C609" s="115"/>
      <c r="D609" s="115"/>
      <c r="E609" s="115"/>
      <c r="F609" s="115"/>
      <c r="G609" s="60" t="s">
        <v>128</v>
      </c>
      <c r="H609" s="124"/>
      <c r="I609" s="124"/>
      <c r="J609" s="60"/>
      <c r="K609" s="60"/>
      <c r="L609" s="60"/>
      <c r="M609" s="60"/>
      <c r="N609" s="60">
        <f t="shared" si="188"/>
        <v>0</v>
      </c>
      <c r="O609" s="60">
        <f t="shared" si="189"/>
        <v>0</v>
      </c>
    </row>
    <row r="610" spans="1:15" s="38" customFormat="1" ht="10.7" customHeight="1" outlineLevel="1" x14ac:dyDescent="0.25">
      <c r="A610" s="124"/>
      <c r="B610" s="142"/>
      <c r="C610" s="115"/>
      <c r="D610" s="115"/>
      <c r="E610" s="115"/>
      <c r="F610" s="115"/>
      <c r="G610" s="60" t="s">
        <v>129</v>
      </c>
      <c r="H610" s="124"/>
      <c r="I610" s="124"/>
      <c r="J610" s="60"/>
      <c r="K610" s="60"/>
      <c r="L610" s="60"/>
      <c r="M610" s="60"/>
      <c r="N610" s="60">
        <f t="shared" si="188"/>
        <v>0</v>
      </c>
      <c r="O610" s="60">
        <f t="shared" si="189"/>
        <v>0</v>
      </c>
    </row>
    <row r="611" spans="1:15" s="38" customFormat="1" ht="10.7" customHeight="1" outlineLevel="1" x14ac:dyDescent="0.25">
      <c r="A611" s="124"/>
      <c r="B611" s="142"/>
      <c r="C611" s="115"/>
      <c r="D611" s="115"/>
      <c r="E611" s="115"/>
      <c r="F611" s="115"/>
      <c r="G611" s="60" t="s">
        <v>130</v>
      </c>
      <c r="H611" s="124"/>
      <c r="I611" s="124"/>
      <c r="J611" s="60"/>
      <c r="K611" s="60"/>
      <c r="L611" s="60"/>
      <c r="M611" s="60"/>
      <c r="N611" s="60">
        <f t="shared" si="188"/>
        <v>0</v>
      </c>
      <c r="O611" s="60">
        <f t="shared" si="189"/>
        <v>0</v>
      </c>
    </row>
    <row r="612" spans="1:15" s="38" customFormat="1" ht="12" customHeight="1" outlineLevel="1" thickBot="1" x14ac:dyDescent="0.3">
      <c r="A612" s="125"/>
      <c r="B612" s="143"/>
      <c r="C612" s="131"/>
      <c r="D612" s="131"/>
      <c r="E612" s="131"/>
      <c r="F612" s="131"/>
      <c r="G612" s="60" t="s">
        <v>131</v>
      </c>
      <c r="H612" s="134"/>
      <c r="I612" s="134"/>
      <c r="J612" s="60"/>
      <c r="K612" s="60"/>
      <c r="L612" s="60"/>
      <c r="M612" s="60"/>
      <c r="N612" s="60">
        <f t="shared" si="188"/>
        <v>0</v>
      </c>
      <c r="O612" s="60">
        <f t="shared" si="189"/>
        <v>0</v>
      </c>
    </row>
    <row r="613" spans="1:15" s="38" customFormat="1" ht="14.45" customHeight="1" outlineLevel="1" x14ac:dyDescent="0.25">
      <c r="A613" s="140" t="s">
        <v>696</v>
      </c>
      <c r="B613" s="141" t="s">
        <v>697</v>
      </c>
      <c r="C613" s="130">
        <f>SUM(N613:N619)</f>
        <v>0</v>
      </c>
      <c r="D613" s="130">
        <f>SUM(O613:O619)</f>
        <v>0</v>
      </c>
      <c r="E613" s="130">
        <f t="shared" si="179"/>
        <v>0</v>
      </c>
      <c r="F613" s="130"/>
      <c r="G613" s="60" t="s">
        <v>125</v>
      </c>
      <c r="H613" s="123"/>
      <c r="I613" s="123"/>
      <c r="J613" s="60"/>
      <c r="K613" s="60"/>
      <c r="L613" s="60"/>
      <c r="M613" s="60"/>
      <c r="N613" s="60">
        <f>M613*J613*K613*L613</f>
        <v>0</v>
      </c>
      <c r="O613" s="60">
        <f>J613*K613*L613</f>
        <v>0</v>
      </c>
    </row>
    <row r="614" spans="1:15" s="38" customFormat="1" ht="11.45" customHeight="1" outlineLevel="1" x14ac:dyDescent="0.25">
      <c r="A614" s="124"/>
      <c r="B614" s="142"/>
      <c r="C614" s="115"/>
      <c r="D614" s="115"/>
      <c r="E614" s="115"/>
      <c r="F614" s="115"/>
      <c r="G614" s="60" t="s">
        <v>126</v>
      </c>
      <c r="H614" s="124"/>
      <c r="I614" s="124"/>
      <c r="J614" s="60"/>
      <c r="K614" s="60"/>
      <c r="L614" s="60"/>
      <c r="M614" s="60"/>
      <c r="N614" s="60">
        <f t="shared" ref="N614:N619" si="190">M614*J614*K614*L614</f>
        <v>0</v>
      </c>
      <c r="O614" s="60">
        <f t="shared" ref="O614:O619" si="191">J614*K614*L614</f>
        <v>0</v>
      </c>
    </row>
    <row r="615" spans="1:15" s="38" customFormat="1" ht="10.7" customHeight="1" outlineLevel="1" x14ac:dyDescent="0.25">
      <c r="A615" s="124"/>
      <c r="B615" s="142"/>
      <c r="C615" s="115"/>
      <c r="D615" s="115"/>
      <c r="E615" s="115"/>
      <c r="F615" s="115"/>
      <c r="G615" s="60" t="s">
        <v>127</v>
      </c>
      <c r="H615" s="124"/>
      <c r="I615" s="124"/>
      <c r="J615" s="60"/>
      <c r="K615" s="60"/>
      <c r="L615" s="60"/>
      <c r="M615" s="60"/>
      <c r="N615" s="60">
        <f t="shared" si="190"/>
        <v>0</v>
      </c>
      <c r="O615" s="60">
        <f t="shared" si="191"/>
        <v>0</v>
      </c>
    </row>
    <row r="616" spans="1:15" s="38" customFormat="1" ht="10.7" customHeight="1" outlineLevel="1" x14ac:dyDescent="0.25">
      <c r="A616" s="124"/>
      <c r="B616" s="142"/>
      <c r="C616" s="115"/>
      <c r="D616" s="115"/>
      <c r="E616" s="115"/>
      <c r="F616" s="115"/>
      <c r="G616" s="60" t="s">
        <v>128</v>
      </c>
      <c r="H616" s="124"/>
      <c r="I616" s="124"/>
      <c r="J616" s="60"/>
      <c r="K616" s="60"/>
      <c r="L616" s="60"/>
      <c r="M616" s="60"/>
      <c r="N616" s="60">
        <f t="shared" si="190"/>
        <v>0</v>
      </c>
      <c r="O616" s="60">
        <f t="shared" si="191"/>
        <v>0</v>
      </c>
    </row>
    <row r="617" spans="1:15" s="38" customFormat="1" ht="10.7" customHeight="1" outlineLevel="1" x14ac:dyDescent="0.25">
      <c r="A617" s="124"/>
      <c r="B617" s="142"/>
      <c r="C617" s="115"/>
      <c r="D617" s="115"/>
      <c r="E617" s="115"/>
      <c r="F617" s="115"/>
      <c r="G617" s="60" t="s">
        <v>129</v>
      </c>
      <c r="H617" s="124"/>
      <c r="I617" s="124"/>
      <c r="J617" s="60"/>
      <c r="K617" s="60"/>
      <c r="L617" s="60"/>
      <c r="M617" s="60"/>
      <c r="N617" s="60">
        <f t="shared" si="190"/>
        <v>0</v>
      </c>
      <c r="O617" s="60">
        <f t="shared" si="191"/>
        <v>0</v>
      </c>
    </row>
    <row r="618" spans="1:15" s="38" customFormat="1" ht="10.7" customHeight="1" outlineLevel="1" x14ac:dyDescent="0.25">
      <c r="A618" s="124"/>
      <c r="B618" s="142"/>
      <c r="C618" s="115"/>
      <c r="D618" s="115"/>
      <c r="E618" s="115"/>
      <c r="F618" s="115"/>
      <c r="G618" s="60" t="s">
        <v>130</v>
      </c>
      <c r="H618" s="124"/>
      <c r="I618" s="124"/>
      <c r="J618" s="60"/>
      <c r="K618" s="60"/>
      <c r="L618" s="60"/>
      <c r="M618" s="60"/>
      <c r="N618" s="60">
        <f t="shared" si="190"/>
        <v>0</v>
      </c>
      <c r="O618" s="60">
        <f t="shared" si="191"/>
        <v>0</v>
      </c>
    </row>
    <row r="619" spans="1:15" s="38" customFormat="1" ht="12" customHeight="1" outlineLevel="1" thickBot="1" x14ac:dyDescent="0.3">
      <c r="A619" s="125"/>
      <c r="B619" s="143"/>
      <c r="C619" s="131"/>
      <c r="D619" s="131"/>
      <c r="E619" s="131"/>
      <c r="F619" s="131"/>
      <c r="G619" s="60" t="s">
        <v>131</v>
      </c>
      <c r="H619" s="134"/>
      <c r="I619" s="134"/>
      <c r="J619" s="60"/>
      <c r="K619" s="60"/>
      <c r="L619" s="60"/>
      <c r="M619" s="60"/>
      <c r="N619" s="60">
        <f t="shared" si="190"/>
        <v>0</v>
      </c>
      <c r="O619" s="60">
        <f t="shared" si="191"/>
        <v>0</v>
      </c>
    </row>
    <row r="620" spans="1:15" s="38" customFormat="1" ht="14.45" customHeight="1" outlineLevel="1" x14ac:dyDescent="0.25">
      <c r="A620" s="140" t="s">
        <v>698</v>
      </c>
      <c r="B620" s="141" t="s">
        <v>699</v>
      </c>
      <c r="C620" s="130">
        <f>SUM(N620:N626)</f>
        <v>0</v>
      </c>
      <c r="D620" s="130">
        <f>SUM(O620:O626)</f>
        <v>0</v>
      </c>
      <c r="E620" s="130">
        <f t="shared" si="179"/>
        <v>0</v>
      </c>
      <c r="F620" s="130"/>
      <c r="G620" s="60" t="s">
        <v>125</v>
      </c>
      <c r="H620" s="123"/>
      <c r="I620" s="123"/>
      <c r="J620" s="60"/>
      <c r="K620" s="60"/>
      <c r="L620" s="60"/>
      <c r="M620" s="60"/>
      <c r="N620" s="60">
        <f>M620*J620*K620*L620</f>
        <v>0</v>
      </c>
      <c r="O620" s="60">
        <f>J620*K620*L620</f>
        <v>0</v>
      </c>
    </row>
    <row r="621" spans="1:15" s="38" customFormat="1" ht="11.45" customHeight="1" outlineLevel="1" x14ac:dyDescent="0.25">
      <c r="A621" s="124"/>
      <c r="B621" s="142"/>
      <c r="C621" s="115"/>
      <c r="D621" s="115"/>
      <c r="E621" s="115"/>
      <c r="F621" s="115"/>
      <c r="G621" s="60" t="s">
        <v>126</v>
      </c>
      <c r="H621" s="124"/>
      <c r="I621" s="124"/>
      <c r="J621" s="60"/>
      <c r="K621" s="60"/>
      <c r="L621" s="60"/>
      <c r="M621" s="60"/>
      <c r="N621" s="60">
        <f t="shared" ref="N621:N626" si="192">M621*J621*K621*L621</f>
        <v>0</v>
      </c>
      <c r="O621" s="60">
        <f t="shared" ref="O621:O626" si="193">J621*K621*L621</f>
        <v>0</v>
      </c>
    </row>
    <row r="622" spans="1:15" s="38" customFormat="1" ht="10.7" customHeight="1" outlineLevel="1" x14ac:dyDescent="0.25">
      <c r="A622" s="124"/>
      <c r="B622" s="142"/>
      <c r="C622" s="115"/>
      <c r="D622" s="115"/>
      <c r="E622" s="115"/>
      <c r="F622" s="115"/>
      <c r="G622" s="60" t="s">
        <v>127</v>
      </c>
      <c r="H622" s="124"/>
      <c r="I622" s="124"/>
      <c r="J622" s="60"/>
      <c r="K622" s="60"/>
      <c r="L622" s="60"/>
      <c r="M622" s="60"/>
      <c r="N622" s="60">
        <f t="shared" si="192"/>
        <v>0</v>
      </c>
      <c r="O622" s="60">
        <f t="shared" si="193"/>
        <v>0</v>
      </c>
    </row>
    <row r="623" spans="1:15" s="38" customFormat="1" ht="10.7" customHeight="1" outlineLevel="1" x14ac:dyDescent="0.25">
      <c r="A623" s="124"/>
      <c r="B623" s="142"/>
      <c r="C623" s="115"/>
      <c r="D623" s="115"/>
      <c r="E623" s="115"/>
      <c r="F623" s="115"/>
      <c r="G623" s="60" t="s">
        <v>128</v>
      </c>
      <c r="H623" s="124"/>
      <c r="I623" s="124"/>
      <c r="J623" s="60"/>
      <c r="K623" s="60"/>
      <c r="L623" s="60"/>
      <c r="M623" s="60"/>
      <c r="N623" s="60">
        <f t="shared" si="192"/>
        <v>0</v>
      </c>
      <c r="O623" s="60">
        <f t="shared" si="193"/>
        <v>0</v>
      </c>
    </row>
    <row r="624" spans="1:15" s="38" customFormat="1" ht="10.7" customHeight="1" outlineLevel="1" x14ac:dyDescent="0.25">
      <c r="A624" s="124"/>
      <c r="B624" s="142"/>
      <c r="C624" s="115"/>
      <c r="D624" s="115"/>
      <c r="E624" s="115"/>
      <c r="F624" s="115"/>
      <c r="G624" s="60" t="s">
        <v>129</v>
      </c>
      <c r="H624" s="124"/>
      <c r="I624" s="124"/>
      <c r="J624" s="60"/>
      <c r="K624" s="60"/>
      <c r="L624" s="60"/>
      <c r="M624" s="60"/>
      <c r="N624" s="60">
        <f t="shared" si="192"/>
        <v>0</v>
      </c>
      <c r="O624" s="60">
        <f t="shared" si="193"/>
        <v>0</v>
      </c>
    </row>
    <row r="625" spans="1:15" s="38" customFormat="1" ht="10.7" customHeight="1" outlineLevel="1" x14ac:dyDescent="0.25">
      <c r="A625" s="124"/>
      <c r="B625" s="142"/>
      <c r="C625" s="115"/>
      <c r="D625" s="115"/>
      <c r="E625" s="115"/>
      <c r="F625" s="115"/>
      <c r="G625" s="60" t="s">
        <v>130</v>
      </c>
      <c r="H625" s="124"/>
      <c r="I625" s="124"/>
      <c r="J625" s="60"/>
      <c r="K625" s="60"/>
      <c r="L625" s="60"/>
      <c r="M625" s="60"/>
      <c r="N625" s="60">
        <f t="shared" si="192"/>
        <v>0</v>
      </c>
      <c r="O625" s="60">
        <f t="shared" si="193"/>
        <v>0</v>
      </c>
    </row>
    <row r="626" spans="1:15" s="38" customFormat="1" ht="12" customHeight="1" outlineLevel="1" thickBot="1" x14ac:dyDescent="0.3">
      <c r="A626" s="125"/>
      <c r="B626" s="143"/>
      <c r="C626" s="131"/>
      <c r="D626" s="131"/>
      <c r="E626" s="131"/>
      <c r="F626" s="131"/>
      <c r="G626" s="60" t="s">
        <v>131</v>
      </c>
      <c r="H626" s="134"/>
      <c r="I626" s="134"/>
      <c r="J626" s="60"/>
      <c r="K626" s="60"/>
      <c r="L626" s="60"/>
      <c r="M626" s="60"/>
      <c r="N626" s="60">
        <f t="shared" si="192"/>
        <v>0</v>
      </c>
      <c r="O626" s="60">
        <f t="shared" si="193"/>
        <v>0</v>
      </c>
    </row>
    <row r="627" spans="1:15" s="38" customFormat="1" ht="14.45" customHeight="1" outlineLevel="1" x14ac:dyDescent="0.25">
      <c r="A627" s="140" t="s">
        <v>700</v>
      </c>
      <c r="B627" s="141" t="s">
        <v>701</v>
      </c>
      <c r="C627" s="130">
        <f>SUM(N627:N633)</f>
        <v>0</v>
      </c>
      <c r="D627" s="130">
        <f>SUM(O627:O633)</f>
        <v>0</v>
      </c>
      <c r="E627" s="130">
        <f t="shared" si="179"/>
        <v>0</v>
      </c>
      <c r="F627" s="130"/>
      <c r="G627" s="60" t="s">
        <v>125</v>
      </c>
      <c r="H627" s="123"/>
      <c r="I627" s="123"/>
      <c r="J627" s="60"/>
      <c r="K627" s="60"/>
      <c r="L627" s="60"/>
      <c r="M627" s="60"/>
      <c r="N627" s="60">
        <f>M627*J627*K627*L627</f>
        <v>0</v>
      </c>
      <c r="O627" s="60">
        <f>J627*K627*L627</f>
        <v>0</v>
      </c>
    </row>
    <row r="628" spans="1:15" s="38" customFormat="1" ht="11.45" customHeight="1" outlineLevel="1" x14ac:dyDescent="0.25">
      <c r="A628" s="124"/>
      <c r="B628" s="142"/>
      <c r="C628" s="115"/>
      <c r="D628" s="115"/>
      <c r="E628" s="115"/>
      <c r="F628" s="115"/>
      <c r="G628" s="60" t="s">
        <v>126</v>
      </c>
      <c r="H628" s="124"/>
      <c r="I628" s="124"/>
      <c r="J628" s="60"/>
      <c r="K628" s="60"/>
      <c r="L628" s="60"/>
      <c r="M628" s="60"/>
      <c r="N628" s="60">
        <f t="shared" ref="N628:N633" si="194">M628*J628*K628*L628</f>
        <v>0</v>
      </c>
      <c r="O628" s="60">
        <f t="shared" ref="O628:O633" si="195">J628*K628*L628</f>
        <v>0</v>
      </c>
    </row>
    <row r="629" spans="1:15" s="38" customFormat="1" ht="10.7" customHeight="1" outlineLevel="1" x14ac:dyDescent="0.25">
      <c r="A629" s="124"/>
      <c r="B629" s="142"/>
      <c r="C629" s="115"/>
      <c r="D629" s="115"/>
      <c r="E629" s="115"/>
      <c r="F629" s="115"/>
      <c r="G629" s="60" t="s">
        <v>127</v>
      </c>
      <c r="H629" s="124"/>
      <c r="I629" s="124"/>
      <c r="J629" s="60"/>
      <c r="K629" s="60"/>
      <c r="L629" s="60"/>
      <c r="M629" s="60"/>
      <c r="N629" s="60">
        <f t="shared" si="194"/>
        <v>0</v>
      </c>
      <c r="O629" s="60">
        <f t="shared" si="195"/>
        <v>0</v>
      </c>
    </row>
    <row r="630" spans="1:15" s="38" customFormat="1" ht="10.7" customHeight="1" outlineLevel="1" x14ac:dyDescent="0.25">
      <c r="A630" s="124"/>
      <c r="B630" s="142"/>
      <c r="C630" s="115"/>
      <c r="D630" s="115"/>
      <c r="E630" s="115"/>
      <c r="F630" s="115"/>
      <c r="G630" s="60" t="s">
        <v>128</v>
      </c>
      <c r="H630" s="124"/>
      <c r="I630" s="124"/>
      <c r="J630" s="60"/>
      <c r="K630" s="60"/>
      <c r="L630" s="60"/>
      <c r="M630" s="60"/>
      <c r="N630" s="60">
        <f t="shared" si="194"/>
        <v>0</v>
      </c>
      <c r="O630" s="60">
        <f t="shared" si="195"/>
        <v>0</v>
      </c>
    </row>
    <row r="631" spans="1:15" s="38" customFormat="1" ht="10.7" customHeight="1" outlineLevel="1" x14ac:dyDescent="0.25">
      <c r="A631" s="124"/>
      <c r="B631" s="142"/>
      <c r="C631" s="115"/>
      <c r="D631" s="115"/>
      <c r="E631" s="115"/>
      <c r="F631" s="115"/>
      <c r="G631" s="60" t="s">
        <v>129</v>
      </c>
      <c r="H631" s="124"/>
      <c r="I631" s="124"/>
      <c r="J631" s="60"/>
      <c r="K631" s="60"/>
      <c r="L631" s="60"/>
      <c r="M631" s="60"/>
      <c r="N631" s="60">
        <f t="shared" si="194"/>
        <v>0</v>
      </c>
      <c r="O631" s="60">
        <f t="shared" si="195"/>
        <v>0</v>
      </c>
    </row>
    <row r="632" spans="1:15" s="38" customFormat="1" ht="10.7" customHeight="1" outlineLevel="1" x14ac:dyDescent="0.25">
      <c r="A632" s="124"/>
      <c r="B632" s="142"/>
      <c r="C632" s="115"/>
      <c r="D632" s="115"/>
      <c r="E632" s="115"/>
      <c r="F632" s="115"/>
      <c r="G632" s="60" t="s">
        <v>130</v>
      </c>
      <c r="H632" s="124"/>
      <c r="I632" s="124"/>
      <c r="J632" s="60"/>
      <c r="K632" s="60"/>
      <c r="L632" s="60"/>
      <c r="M632" s="60"/>
      <c r="N632" s="60">
        <f t="shared" si="194"/>
        <v>0</v>
      </c>
      <c r="O632" s="60">
        <f t="shared" si="195"/>
        <v>0</v>
      </c>
    </row>
    <row r="633" spans="1:15" s="38" customFormat="1" ht="12" customHeight="1" outlineLevel="1" thickBot="1" x14ac:dyDescent="0.3">
      <c r="A633" s="125"/>
      <c r="B633" s="143"/>
      <c r="C633" s="131"/>
      <c r="D633" s="131"/>
      <c r="E633" s="131"/>
      <c r="F633" s="131"/>
      <c r="G633" s="60" t="s">
        <v>131</v>
      </c>
      <c r="H633" s="134"/>
      <c r="I633" s="134"/>
      <c r="J633" s="60"/>
      <c r="K633" s="60"/>
      <c r="L633" s="60"/>
      <c r="M633" s="60"/>
      <c r="N633" s="60">
        <f t="shared" si="194"/>
        <v>0</v>
      </c>
      <c r="O633" s="60">
        <f t="shared" si="195"/>
        <v>0</v>
      </c>
    </row>
    <row r="634" spans="1:15" s="38" customFormat="1" ht="14.45" customHeight="1" outlineLevel="1" x14ac:dyDescent="0.25">
      <c r="A634" s="140" t="s">
        <v>702</v>
      </c>
      <c r="B634" s="141" t="s">
        <v>703</v>
      </c>
      <c r="C634" s="130">
        <f>SUM(N634:N640)</f>
        <v>0</v>
      </c>
      <c r="D634" s="130">
        <f>SUM(O634:O640)</f>
        <v>0</v>
      </c>
      <c r="E634" s="130">
        <f t="shared" si="179"/>
        <v>0</v>
      </c>
      <c r="F634" s="130"/>
      <c r="G634" s="60" t="s">
        <v>125</v>
      </c>
      <c r="H634" s="123"/>
      <c r="I634" s="123"/>
      <c r="J634" s="60"/>
      <c r="K634" s="60"/>
      <c r="L634" s="60"/>
      <c r="M634" s="60"/>
      <c r="N634" s="60">
        <f>M634*J634*K634*L634</f>
        <v>0</v>
      </c>
      <c r="O634" s="60">
        <f>J634*K634*L634</f>
        <v>0</v>
      </c>
    </row>
    <row r="635" spans="1:15" s="38" customFormat="1" ht="11.45" customHeight="1" outlineLevel="1" x14ac:dyDescent="0.25">
      <c r="A635" s="124"/>
      <c r="B635" s="142"/>
      <c r="C635" s="115"/>
      <c r="D635" s="115"/>
      <c r="E635" s="115"/>
      <c r="F635" s="115"/>
      <c r="G635" s="60" t="s">
        <v>126</v>
      </c>
      <c r="H635" s="124"/>
      <c r="I635" s="124"/>
      <c r="J635" s="60"/>
      <c r="K635" s="60"/>
      <c r="L635" s="60"/>
      <c r="M635" s="60"/>
      <c r="N635" s="60">
        <f t="shared" ref="N635:N640" si="196">M635*J635*K635*L635</f>
        <v>0</v>
      </c>
      <c r="O635" s="60">
        <f t="shared" ref="O635:O640" si="197">J635*K635*L635</f>
        <v>0</v>
      </c>
    </row>
    <row r="636" spans="1:15" s="38" customFormat="1" ht="10.7" customHeight="1" outlineLevel="1" x14ac:dyDescent="0.25">
      <c r="A636" s="124"/>
      <c r="B636" s="142"/>
      <c r="C636" s="115"/>
      <c r="D636" s="115"/>
      <c r="E636" s="115"/>
      <c r="F636" s="115"/>
      <c r="G636" s="60" t="s">
        <v>127</v>
      </c>
      <c r="H636" s="124"/>
      <c r="I636" s="124"/>
      <c r="J636" s="60"/>
      <c r="K636" s="60"/>
      <c r="L636" s="60"/>
      <c r="M636" s="60"/>
      <c r="N636" s="60">
        <f t="shared" si="196"/>
        <v>0</v>
      </c>
      <c r="O636" s="60">
        <f t="shared" si="197"/>
        <v>0</v>
      </c>
    </row>
    <row r="637" spans="1:15" s="38" customFormat="1" ht="10.7" customHeight="1" outlineLevel="1" x14ac:dyDescent="0.25">
      <c r="A637" s="124"/>
      <c r="B637" s="142"/>
      <c r="C637" s="115"/>
      <c r="D637" s="115"/>
      <c r="E637" s="115"/>
      <c r="F637" s="115"/>
      <c r="G637" s="60" t="s">
        <v>128</v>
      </c>
      <c r="H637" s="124"/>
      <c r="I637" s="124"/>
      <c r="J637" s="60"/>
      <c r="K637" s="60"/>
      <c r="L637" s="60"/>
      <c r="M637" s="60"/>
      <c r="N637" s="60">
        <f t="shared" si="196"/>
        <v>0</v>
      </c>
      <c r="O637" s="60">
        <f t="shared" si="197"/>
        <v>0</v>
      </c>
    </row>
    <row r="638" spans="1:15" s="38" customFormat="1" ht="10.7" customHeight="1" outlineLevel="1" x14ac:dyDescent="0.25">
      <c r="A638" s="124"/>
      <c r="B638" s="142"/>
      <c r="C638" s="115"/>
      <c r="D638" s="115"/>
      <c r="E638" s="115"/>
      <c r="F638" s="115"/>
      <c r="G638" s="60" t="s">
        <v>129</v>
      </c>
      <c r="H638" s="124"/>
      <c r="I638" s="124"/>
      <c r="J638" s="60"/>
      <c r="K638" s="60"/>
      <c r="L638" s="60"/>
      <c r="M638" s="60"/>
      <c r="N638" s="60">
        <f t="shared" si="196"/>
        <v>0</v>
      </c>
      <c r="O638" s="60">
        <f t="shared" si="197"/>
        <v>0</v>
      </c>
    </row>
    <row r="639" spans="1:15" s="38" customFormat="1" ht="10.7" customHeight="1" outlineLevel="1" x14ac:dyDescent="0.25">
      <c r="A639" s="124"/>
      <c r="B639" s="142"/>
      <c r="C639" s="115"/>
      <c r="D639" s="115"/>
      <c r="E639" s="115"/>
      <c r="F639" s="115"/>
      <c r="G639" s="60" t="s">
        <v>130</v>
      </c>
      <c r="H639" s="124"/>
      <c r="I639" s="124"/>
      <c r="J639" s="60"/>
      <c r="K639" s="60"/>
      <c r="L639" s="60"/>
      <c r="M639" s="60"/>
      <c r="N639" s="60">
        <f t="shared" si="196"/>
        <v>0</v>
      </c>
      <c r="O639" s="60">
        <f t="shared" si="197"/>
        <v>0</v>
      </c>
    </row>
    <row r="640" spans="1:15" s="38" customFormat="1" ht="12" customHeight="1" outlineLevel="1" thickBot="1" x14ac:dyDescent="0.3">
      <c r="A640" s="125"/>
      <c r="B640" s="143"/>
      <c r="C640" s="131"/>
      <c r="D640" s="131"/>
      <c r="E640" s="131"/>
      <c r="F640" s="131"/>
      <c r="G640" s="60" t="s">
        <v>131</v>
      </c>
      <c r="H640" s="134"/>
      <c r="I640" s="134"/>
      <c r="J640" s="60"/>
      <c r="K640" s="60"/>
      <c r="L640" s="60"/>
      <c r="M640" s="60"/>
      <c r="N640" s="60">
        <f t="shared" si="196"/>
        <v>0</v>
      </c>
      <c r="O640" s="60">
        <f t="shared" si="197"/>
        <v>0</v>
      </c>
    </row>
    <row r="641" spans="1:15" s="38" customFormat="1" ht="14.45" customHeight="1" outlineLevel="1" x14ac:dyDescent="0.25">
      <c r="A641" s="140" t="s">
        <v>704</v>
      </c>
      <c r="B641" s="141" t="s">
        <v>705</v>
      </c>
      <c r="C641" s="130">
        <f>SUM(N641:N647)</f>
        <v>0</v>
      </c>
      <c r="D641" s="130">
        <f>SUM(O641:O647)</f>
        <v>0</v>
      </c>
      <c r="E641" s="130">
        <f t="shared" si="179"/>
        <v>0</v>
      </c>
      <c r="F641" s="130"/>
      <c r="G641" s="60" t="s">
        <v>125</v>
      </c>
      <c r="H641" s="123"/>
      <c r="I641" s="123"/>
      <c r="J641" s="60"/>
      <c r="K641" s="60"/>
      <c r="L641" s="60"/>
      <c r="M641" s="60"/>
      <c r="N641" s="60">
        <f>M641*J641*K641*L641</f>
        <v>0</v>
      </c>
      <c r="O641" s="60">
        <f>J641*K641*L641</f>
        <v>0</v>
      </c>
    </row>
    <row r="642" spans="1:15" s="38" customFormat="1" ht="11.45" customHeight="1" outlineLevel="1" x14ac:dyDescent="0.25">
      <c r="A642" s="124"/>
      <c r="B642" s="142"/>
      <c r="C642" s="115"/>
      <c r="D642" s="115"/>
      <c r="E642" s="115"/>
      <c r="F642" s="115"/>
      <c r="G642" s="60" t="s">
        <v>126</v>
      </c>
      <c r="H642" s="124"/>
      <c r="I642" s="124"/>
      <c r="J642" s="60"/>
      <c r="K642" s="60"/>
      <c r="L642" s="60"/>
      <c r="M642" s="60"/>
      <c r="N642" s="60">
        <f t="shared" ref="N642:N647" si="198">M642*J642*K642*L642</f>
        <v>0</v>
      </c>
      <c r="O642" s="60">
        <f t="shared" ref="O642:O647" si="199">J642*K642*L642</f>
        <v>0</v>
      </c>
    </row>
    <row r="643" spans="1:15" s="38" customFormat="1" ht="10.7" customHeight="1" outlineLevel="1" x14ac:dyDescent="0.25">
      <c r="A643" s="124"/>
      <c r="B643" s="142"/>
      <c r="C643" s="115"/>
      <c r="D643" s="115"/>
      <c r="E643" s="115"/>
      <c r="F643" s="115"/>
      <c r="G643" s="60" t="s">
        <v>127</v>
      </c>
      <c r="H643" s="124"/>
      <c r="I643" s="124"/>
      <c r="J643" s="60"/>
      <c r="K643" s="60"/>
      <c r="L643" s="60"/>
      <c r="M643" s="60"/>
      <c r="N643" s="60">
        <f t="shared" si="198"/>
        <v>0</v>
      </c>
      <c r="O643" s="60">
        <f t="shared" si="199"/>
        <v>0</v>
      </c>
    </row>
    <row r="644" spans="1:15" s="38" customFormat="1" ht="10.7" customHeight="1" outlineLevel="1" x14ac:dyDescent="0.25">
      <c r="A644" s="124"/>
      <c r="B644" s="142"/>
      <c r="C644" s="115"/>
      <c r="D644" s="115"/>
      <c r="E644" s="115"/>
      <c r="F644" s="115"/>
      <c r="G644" s="60" t="s">
        <v>128</v>
      </c>
      <c r="H644" s="124"/>
      <c r="I644" s="124"/>
      <c r="J644" s="60"/>
      <c r="K644" s="60"/>
      <c r="L644" s="60"/>
      <c r="M644" s="60"/>
      <c r="N644" s="60">
        <f t="shared" si="198"/>
        <v>0</v>
      </c>
      <c r="O644" s="60">
        <f t="shared" si="199"/>
        <v>0</v>
      </c>
    </row>
    <row r="645" spans="1:15" s="38" customFormat="1" ht="10.7" customHeight="1" outlineLevel="1" x14ac:dyDescent="0.25">
      <c r="A645" s="124"/>
      <c r="B645" s="142"/>
      <c r="C645" s="115"/>
      <c r="D645" s="115"/>
      <c r="E645" s="115"/>
      <c r="F645" s="115"/>
      <c r="G645" s="60" t="s">
        <v>129</v>
      </c>
      <c r="H645" s="124"/>
      <c r="I645" s="124"/>
      <c r="J645" s="60"/>
      <c r="K645" s="60"/>
      <c r="L645" s="60"/>
      <c r="M645" s="60"/>
      <c r="N645" s="60">
        <f t="shared" si="198"/>
        <v>0</v>
      </c>
      <c r="O645" s="60">
        <f t="shared" si="199"/>
        <v>0</v>
      </c>
    </row>
    <row r="646" spans="1:15" s="38" customFormat="1" ht="10.7" customHeight="1" outlineLevel="1" x14ac:dyDescent="0.25">
      <c r="A646" s="124"/>
      <c r="B646" s="142"/>
      <c r="C646" s="115"/>
      <c r="D646" s="115"/>
      <c r="E646" s="115"/>
      <c r="F646" s="115"/>
      <c r="G646" s="60" t="s">
        <v>130</v>
      </c>
      <c r="H646" s="124"/>
      <c r="I646" s="124"/>
      <c r="J646" s="60"/>
      <c r="K646" s="60"/>
      <c r="L646" s="60"/>
      <c r="M646" s="60"/>
      <c r="N646" s="60">
        <f t="shared" si="198"/>
        <v>0</v>
      </c>
      <c r="O646" s="60">
        <f t="shared" si="199"/>
        <v>0</v>
      </c>
    </row>
    <row r="647" spans="1:15" s="38" customFormat="1" ht="12" customHeight="1" outlineLevel="1" thickBot="1" x14ac:dyDescent="0.3">
      <c r="A647" s="125"/>
      <c r="B647" s="143"/>
      <c r="C647" s="131"/>
      <c r="D647" s="131"/>
      <c r="E647" s="131"/>
      <c r="F647" s="131"/>
      <c r="G647" s="60" t="s">
        <v>131</v>
      </c>
      <c r="H647" s="134"/>
      <c r="I647" s="134"/>
      <c r="J647" s="60"/>
      <c r="K647" s="60"/>
      <c r="L647" s="60"/>
      <c r="M647" s="60"/>
      <c r="N647" s="60">
        <f t="shared" si="198"/>
        <v>0</v>
      </c>
      <c r="O647" s="60">
        <f t="shared" si="199"/>
        <v>0</v>
      </c>
    </row>
    <row r="648" spans="1:15" s="38" customFormat="1" ht="14.45" customHeight="1" outlineLevel="1" x14ac:dyDescent="0.25">
      <c r="A648" s="140" t="s">
        <v>706</v>
      </c>
      <c r="B648" s="141" t="s">
        <v>707</v>
      </c>
      <c r="C648" s="130">
        <f>SUM(N648:N654)</f>
        <v>0</v>
      </c>
      <c r="D648" s="130">
        <f>SUM(O648:O654)</f>
        <v>0</v>
      </c>
      <c r="E648" s="130">
        <f t="shared" ref="E648:E711" si="200">D648/8</f>
        <v>0</v>
      </c>
      <c r="F648" s="130"/>
      <c r="G648" s="60" t="s">
        <v>125</v>
      </c>
      <c r="H648" s="123"/>
      <c r="I648" s="123"/>
      <c r="J648" s="60"/>
      <c r="K648" s="60"/>
      <c r="L648" s="60"/>
      <c r="M648" s="60"/>
      <c r="N648" s="60">
        <f>M648*J648*K648*L648</f>
        <v>0</v>
      </c>
      <c r="O648" s="60">
        <f>J648*K648*L648</f>
        <v>0</v>
      </c>
    </row>
    <row r="649" spans="1:15" s="38" customFormat="1" ht="11.45" customHeight="1" outlineLevel="1" x14ac:dyDescent="0.25">
      <c r="A649" s="124"/>
      <c r="B649" s="142"/>
      <c r="C649" s="115"/>
      <c r="D649" s="115"/>
      <c r="E649" s="115"/>
      <c r="F649" s="115"/>
      <c r="G649" s="60" t="s">
        <v>126</v>
      </c>
      <c r="H649" s="124"/>
      <c r="I649" s="124"/>
      <c r="J649" s="60"/>
      <c r="K649" s="60"/>
      <c r="L649" s="60"/>
      <c r="M649" s="60"/>
      <c r="N649" s="60">
        <f t="shared" ref="N649:N654" si="201">M649*J649*K649*L649</f>
        <v>0</v>
      </c>
      <c r="O649" s="60">
        <f t="shared" ref="O649:O654" si="202">J649*K649*L649</f>
        <v>0</v>
      </c>
    </row>
    <row r="650" spans="1:15" s="38" customFormat="1" ht="10.7" customHeight="1" outlineLevel="1" x14ac:dyDescent="0.25">
      <c r="A650" s="124"/>
      <c r="B650" s="142"/>
      <c r="C650" s="115"/>
      <c r="D650" s="115"/>
      <c r="E650" s="115"/>
      <c r="F650" s="115"/>
      <c r="G650" s="60" t="s">
        <v>127</v>
      </c>
      <c r="H650" s="124"/>
      <c r="I650" s="124"/>
      <c r="J650" s="60"/>
      <c r="K650" s="60"/>
      <c r="L650" s="60"/>
      <c r="M650" s="60"/>
      <c r="N650" s="60">
        <f t="shared" si="201"/>
        <v>0</v>
      </c>
      <c r="O650" s="60">
        <f t="shared" si="202"/>
        <v>0</v>
      </c>
    </row>
    <row r="651" spans="1:15" s="38" customFormat="1" ht="10.7" customHeight="1" outlineLevel="1" x14ac:dyDescent="0.25">
      <c r="A651" s="124"/>
      <c r="B651" s="142"/>
      <c r="C651" s="115"/>
      <c r="D651" s="115"/>
      <c r="E651" s="115"/>
      <c r="F651" s="115"/>
      <c r="G651" s="60" t="s">
        <v>128</v>
      </c>
      <c r="H651" s="124"/>
      <c r="I651" s="124"/>
      <c r="J651" s="60"/>
      <c r="K651" s="60"/>
      <c r="L651" s="60"/>
      <c r="M651" s="60"/>
      <c r="N651" s="60">
        <f t="shared" si="201"/>
        <v>0</v>
      </c>
      <c r="O651" s="60">
        <f t="shared" si="202"/>
        <v>0</v>
      </c>
    </row>
    <row r="652" spans="1:15" s="38" customFormat="1" ht="10.7" customHeight="1" outlineLevel="1" x14ac:dyDescent="0.25">
      <c r="A652" s="124"/>
      <c r="B652" s="142"/>
      <c r="C652" s="115"/>
      <c r="D652" s="115"/>
      <c r="E652" s="115"/>
      <c r="F652" s="115"/>
      <c r="G652" s="60" t="s">
        <v>129</v>
      </c>
      <c r="H652" s="124"/>
      <c r="I652" s="124"/>
      <c r="J652" s="60"/>
      <c r="K652" s="60"/>
      <c r="L652" s="60"/>
      <c r="M652" s="60"/>
      <c r="N652" s="60">
        <f t="shared" si="201"/>
        <v>0</v>
      </c>
      <c r="O652" s="60">
        <f t="shared" si="202"/>
        <v>0</v>
      </c>
    </row>
    <row r="653" spans="1:15" s="38" customFormat="1" ht="10.7" customHeight="1" outlineLevel="1" x14ac:dyDescent="0.25">
      <c r="A653" s="124"/>
      <c r="B653" s="142"/>
      <c r="C653" s="115"/>
      <c r="D653" s="115"/>
      <c r="E653" s="115"/>
      <c r="F653" s="115"/>
      <c r="G653" s="60" t="s">
        <v>130</v>
      </c>
      <c r="H653" s="124"/>
      <c r="I653" s="124"/>
      <c r="J653" s="60"/>
      <c r="K653" s="60"/>
      <c r="L653" s="60"/>
      <c r="M653" s="60"/>
      <c r="N653" s="60">
        <f t="shared" si="201"/>
        <v>0</v>
      </c>
      <c r="O653" s="60">
        <f t="shared" si="202"/>
        <v>0</v>
      </c>
    </row>
    <row r="654" spans="1:15" s="38" customFormat="1" ht="12" customHeight="1" outlineLevel="1" thickBot="1" x14ac:dyDescent="0.3">
      <c r="A654" s="125"/>
      <c r="B654" s="143"/>
      <c r="C654" s="131"/>
      <c r="D654" s="131"/>
      <c r="E654" s="131"/>
      <c r="F654" s="131"/>
      <c r="G654" s="60" t="s">
        <v>131</v>
      </c>
      <c r="H654" s="134"/>
      <c r="I654" s="134"/>
      <c r="J654" s="60"/>
      <c r="K654" s="60"/>
      <c r="L654" s="60"/>
      <c r="M654" s="60"/>
      <c r="N654" s="60">
        <f t="shared" si="201"/>
        <v>0</v>
      </c>
      <c r="O654" s="60">
        <f t="shared" si="202"/>
        <v>0</v>
      </c>
    </row>
    <row r="655" spans="1:15" s="38" customFormat="1" ht="14.45" customHeight="1" outlineLevel="1" x14ac:dyDescent="0.25">
      <c r="A655" s="140" t="s">
        <v>708</v>
      </c>
      <c r="B655" s="141" t="s">
        <v>709</v>
      </c>
      <c r="C655" s="130">
        <f>SUM(N655:N661)</f>
        <v>0</v>
      </c>
      <c r="D655" s="130">
        <f>SUM(O655:O661)</f>
        <v>0</v>
      </c>
      <c r="E655" s="130">
        <f t="shared" si="200"/>
        <v>0</v>
      </c>
      <c r="F655" s="130"/>
      <c r="G655" s="60" t="s">
        <v>125</v>
      </c>
      <c r="H655" s="123"/>
      <c r="I655" s="123"/>
      <c r="J655" s="60"/>
      <c r="K655" s="60"/>
      <c r="L655" s="60"/>
      <c r="M655" s="60"/>
      <c r="N655" s="60">
        <f>M655*J655*K655*L655</f>
        <v>0</v>
      </c>
      <c r="O655" s="60">
        <f>J655*K655*L655</f>
        <v>0</v>
      </c>
    </row>
    <row r="656" spans="1:15" s="38" customFormat="1" ht="11.45" customHeight="1" outlineLevel="1" x14ac:dyDescent="0.25">
      <c r="A656" s="124"/>
      <c r="B656" s="142"/>
      <c r="C656" s="115"/>
      <c r="D656" s="115"/>
      <c r="E656" s="115"/>
      <c r="F656" s="115"/>
      <c r="G656" s="60" t="s">
        <v>126</v>
      </c>
      <c r="H656" s="124"/>
      <c r="I656" s="124"/>
      <c r="J656" s="60"/>
      <c r="K656" s="60"/>
      <c r="L656" s="60"/>
      <c r="M656" s="60"/>
      <c r="N656" s="60">
        <f t="shared" ref="N656:N661" si="203">M656*J656*K656*L656</f>
        <v>0</v>
      </c>
      <c r="O656" s="60">
        <f t="shared" ref="O656:O661" si="204">J656*K656*L656</f>
        <v>0</v>
      </c>
    </row>
    <row r="657" spans="1:15" s="38" customFormat="1" ht="10.7" customHeight="1" outlineLevel="1" x14ac:dyDescent="0.25">
      <c r="A657" s="124"/>
      <c r="B657" s="142"/>
      <c r="C657" s="115"/>
      <c r="D657" s="115"/>
      <c r="E657" s="115"/>
      <c r="F657" s="115"/>
      <c r="G657" s="60" t="s">
        <v>127</v>
      </c>
      <c r="H657" s="124"/>
      <c r="I657" s="124"/>
      <c r="J657" s="60"/>
      <c r="K657" s="60"/>
      <c r="L657" s="60"/>
      <c r="M657" s="60"/>
      <c r="N657" s="60">
        <f t="shared" si="203"/>
        <v>0</v>
      </c>
      <c r="O657" s="60">
        <f t="shared" si="204"/>
        <v>0</v>
      </c>
    </row>
    <row r="658" spans="1:15" s="38" customFormat="1" ht="10.7" customHeight="1" outlineLevel="1" x14ac:dyDescent="0.25">
      <c r="A658" s="124"/>
      <c r="B658" s="142"/>
      <c r="C658" s="115"/>
      <c r="D658" s="115"/>
      <c r="E658" s="115"/>
      <c r="F658" s="115"/>
      <c r="G658" s="60" t="s">
        <v>128</v>
      </c>
      <c r="H658" s="124"/>
      <c r="I658" s="124"/>
      <c r="J658" s="60"/>
      <c r="K658" s="60"/>
      <c r="L658" s="60"/>
      <c r="M658" s="60"/>
      <c r="N658" s="60">
        <f t="shared" si="203"/>
        <v>0</v>
      </c>
      <c r="O658" s="60">
        <f t="shared" si="204"/>
        <v>0</v>
      </c>
    </row>
    <row r="659" spans="1:15" s="38" customFormat="1" ht="10.7" customHeight="1" outlineLevel="1" x14ac:dyDescent="0.25">
      <c r="A659" s="124"/>
      <c r="B659" s="142"/>
      <c r="C659" s="115"/>
      <c r="D659" s="115"/>
      <c r="E659" s="115"/>
      <c r="F659" s="115"/>
      <c r="G659" s="60" t="s">
        <v>129</v>
      </c>
      <c r="H659" s="124"/>
      <c r="I659" s="124"/>
      <c r="J659" s="60"/>
      <c r="K659" s="60"/>
      <c r="L659" s="60"/>
      <c r="M659" s="60"/>
      <c r="N659" s="60">
        <f t="shared" si="203"/>
        <v>0</v>
      </c>
      <c r="O659" s="60">
        <f t="shared" si="204"/>
        <v>0</v>
      </c>
    </row>
    <row r="660" spans="1:15" s="38" customFormat="1" ht="10.7" customHeight="1" outlineLevel="1" x14ac:dyDescent="0.25">
      <c r="A660" s="124"/>
      <c r="B660" s="142"/>
      <c r="C660" s="115"/>
      <c r="D660" s="115"/>
      <c r="E660" s="115"/>
      <c r="F660" s="115"/>
      <c r="G660" s="60" t="s">
        <v>130</v>
      </c>
      <c r="H660" s="124"/>
      <c r="I660" s="124"/>
      <c r="J660" s="60"/>
      <c r="K660" s="60"/>
      <c r="L660" s="60"/>
      <c r="M660" s="60"/>
      <c r="N660" s="60">
        <f t="shared" si="203"/>
        <v>0</v>
      </c>
      <c r="O660" s="60">
        <f t="shared" si="204"/>
        <v>0</v>
      </c>
    </row>
    <row r="661" spans="1:15" s="38" customFormat="1" ht="12" customHeight="1" outlineLevel="1" thickBot="1" x14ac:dyDescent="0.3">
      <c r="A661" s="125"/>
      <c r="B661" s="143"/>
      <c r="C661" s="131"/>
      <c r="D661" s="131"/>
      <c r="E661" s="131"/>
      <c r="F661" s="131"/>
      <c r="G661" s="60" t="s">
        <v>131</v>
      </c>
      <c r="H661" s="134"/>
      <c r="I661" s="134"/>
      <c r="J661" s="60"/>
      <c r="K661" s="60"/>
      <c r="L661" s="60"/>
      <c r="M661" s="60"/>
      <c r="N661" s="60">
        <f t="shared" si="203"/>
        <v>0</v>
      </c>
      <c r="O661" s="60">
        <f t="shared" si="204"/>
        <v>0</v>
      </c>
    </row>
    <row r="662" spans="1:15" s="38" customFormat="1" ht="14.45" customHeight="1" outlineLevel="1" x14ac:dyDescent="0.25">
      <c r="A662" s="140" t="s">
        <v>710</v>
      </c>
      <c r="B662" s="141" t="s">
        <v>711</v>
      </c>
      <c r="C662" s="130">
        <f>SUM(N662:N668)</f>
        <v>0</v>
      </c>
      <c r="D662" s="130">
        <f>SUM(O662:O668)</f>
        <v>0</v>
      </c>
      <c r="E662" s="130">
        <f t="shared" si="200"/>
        <v>0</v>
      </c>
      <c r="F662" s="130"/>
      <c r="G662" s="60" t="s">
        <v>125</v>
      </c>
      <c r="H662" s="123"/>
      <c r="I662" s="123"/>
      <c r="J662" s="60"/>
      <c r="K662" s="60"/>
      <c r="L662" s="60"/>
      <c r="M662" s="60"/>
      <c r="N662" s="60">
        <f>M662*J662*K662*L662</f>
        <v>0</v>
      </c>
      <c r="O662" s="60">
        <f>J662*K662*L662</f>
        <v>0</v>
      </c>
    </row>
    <row r="663" spans="1:15" s="38" customFormat="1" ht="11.45" customHeight="1" outlineLevel="1" x14ac:dyDescent="0.25">
      <c r="A663" s="124"/>
      <c r="B663" s="142"/>
      <c r="C663" s="115"/>
      <c r="D663" s="115"/>
      <c r="E663" s="115"/>
      <c r="F663" s="115"/>
      <c r="G663" s="60" t="s">
        <v>126</v>
      </c>
      <c r="H663" s="124"/>
      <c r="I663" s="124"/>
      <c r="J663" s="60"/>
      <c r="K663" s="60"/>
      <c r="L663" s="60"/>
      <c r="M663" s="60"/>
      <c r="N663" s="60">
        <f t="shared" ref="N663:N668" si="205">M663*J663*K663*L663</f>
        <v>0</v>
      </c>
      <c r="O663" s="60">
        <f t="shared" ref="O663:O668" si="206">J663*K663*L663</f>
        <v>0</v>
      </c>
    </row>
    <row r="664" spans="1:15" s="38" customFormat="1" ht="10.7" customHeight="1" outlineLevel="1" x14ac:dyDescent="0.25">
      <c r="A664" s="124"/>
      <c r="B664" s="142"/>
      <c r="C664" s="115"/>
      <c r="D664" s="115"/>
      <c r="E664" s="115"/>
      <c r="F664" s="115"/>
      <c r="G664" s="60" t="s">
        <v>127</v>
      </c>
      <c r="H664" s="124"/>
      <c r="I664" s="124"/>
      <c r="J664" s="60"/>
      <c r="K664" s="60"/>
      <c r="L664" s="60"/>
      <c r="M664" s="60"/>
      <c r="N664" s="60">
        <f t="shared" si="205"/>
        <v>0</v>
      </c>
      <c r="O664" s="60">
        <f t="shared" si="206"/>
        <v>0</v>
      </c>
    </row>
    <row r="665" spans="1:15" s="38" customFormat="1" ht="10.7" customHeight="1" outlineLevel="1" x14ac:dyDescent="0.25">
      <c r="A665" s="124"/>
      <c r="B665" s="142"/>
      <c r="C665" s="115"/>
      <c r="D665" s="115"/>
      <c r="E665" s="115"/>
      <c r="F665" s="115"/>
      <c r="G665" s="60" t="s">
        <v>128</v>
      </c>
      <c r="H665" s="124"/>
      <c r="I665" s="124"/>
      <c r="J665" s="60"/>
      <c r="K665" s="60"/>
      <c r="L665" s="60"/>
      <c r="M665" s="60"/>
      <c r="N665" s="60">
        <f t="shared" si="205"/>
        <v>0</v>
      </c>
      <c r="O665" s="60">
        <f t="shared" si="206"/>
        <v>0</v>
      </c>
    </row>
    <row r="666" spans="1:15" s="38" customFormat="1" ht="10.7" customHeight="1" outlineLevel="1" x14ac:dyDescent="0.25">
      <c r="A666" s="124"/>
      <c r="B666" s="142"/>
      <c r="C666" s="115"/>
      <c r="D666" s="115"/>
      <c r="E666" s="115"/>
      <c r="F666" s="115"/>
      <c r="G666" s="60" t="s">
        <v>129</v>
      </c>
      <c r="H666" s="124"/>
      <c r="I666" s="124"/>
      <c r="J666" s="60"/>
      <c r="K666" s="60"/>
      <c r="L666" s="60"/>
      <c r="M666" s="60"/>
      <c r="N666" s="60">
        <f t="shared" si="205"/>
        <v>0</v>
      </c>
      <c r="O666" s="60">
        <f t="shared" si="206"/>
        <v>0</v>
      </c>
    </row>
    <row r="667" spans="1:15" s="38" customFormat="1" ht="10.7" customHeight="1" outlineLevel="1" x14ac:dyDescent="0.25">
      <c r="A667" s="124"/>
      <c r="B667" s="142"/>
      <c r="C667" s="115"/>
      <c r="D667" s="115"/>
      <c r="E667" s="115"/>
      <c r="F667" s="115"/>
      <c r="G667" s="60" t="s">
        <v>130</v>
      </c>
      <c r="H667" s="124"/>
      <c r="I667" s="124"/>
      <c r="J667" s="60"/>
      <c r="K667" s="60"/>
      <c r="L667" s="60"/>
      <c r="M667" s="60"/>
      <c r="N667" s="60">
        <f t="shared" si="205"/>
        <v>0</v>
      </c>
      <c r="O667" s="60">
        <f t="shared" si="206"/>
        <v>0</v>
      </c>
    </row>
    <row r="668" spans="1:15" s="38" customFormat="1" ht="12" customHeight="1" outlineLevel="1" thickBot="1" x14ac:dyDescent="0.3">
      <c r="A668" s="125"/>
      <c r="B668" s="143"/>
      <c r="C668" s="131"/>
      <c r="D668" s="131"/>
      <c r="E668" s="131"/>
      <c r="F668" s="131"/>
      <c r="G668" s="60" t="s">
        <v>131</v>
      </c>
      <c r="H668" s="134"/>
      <c r="I668" s="134"/>
      <c r="J668" s="60"/>
      <c r="K668" s="60"/>
      <c r="L668" s="60"/>
      <c r="M668" s="60"/>
      <c r="N668" s="60">
        <f t="shared" si="205"/>
        <v>0</v>
      </c>
      <c r="O668" s="60">
        <f t="shared" si="206"/>
        <v>0</v>
      </c>
    </row>
    <row r="669" spans="1:15" s="38" customFormat="1" ht="14.45" customHeight="1" outlineLevel="1" x14ac:dyDescent="0.25">
      <c r="A669" s="140" t="s">
        <v>712</v>
      </c>
      <c r="B669" s="141" t="s">
        <v>713</v>
      </c>
      <c r="C669" s="130">
        <f>SUM(N669:N675)</f>
        <v>0</v>
      </c>
      <c r="D669" s="130">
        <f>SUM(O669:O675)</f>
        <v>0</v>
      </c>
      <c r="E669" s="130">
        <f t="shared" si="200"/>
        <v>0</v>
      </c>
      <c r="F669" s="130"/>
      <c r="G669" s="60" t="s">
        <v>125</v>
      </c>
      <c r="H669" s="123"/>
      <c r="I669" s="123"/>
      <c r="J669" s="60"/>
      <c r="K669" s="60"/>
      <c r="L669" s="60"/>
      <c r="M669" s="60"/>
      <c r="N669" s="60">
        <f>M669*J669*K669*L669</f>
        <v>0</v>
      </c>
      <c r="O669" s="60">
        <f>J669*K669*L669</f>
        <v>0</v>
      </c>
    </row>
    <row r="670" spans="1:15" s="38" customFormat="1" ht="11.45" customHeight="1" outlineLevel="1" x14ac:dyDescent="0.25">
      <c r="A670" s="124"/>
      <c r="B670" s="142"/>
      <c r="C670" s="115"/>
      <c r="D670" s="115"/>
      <c r="E670" s="115"/>
      <c r="F670" s="115"/>
      <c r="G670" s="60" t="s">
        <v>126</v>
      </c>
      <c r="H670" s="124"/>
      <c r="I670" s="124"/>
      <c r="J670" s="60"/>
      <c r="K670" s="60"/>
      <c r="L670" s="60"/>
      <c r="M670" s="60"/>
      <c r="N670" s="60">
        <f t="shared" ref="N670:N675" si="207">M670*J670*K670*L670</f>
        <v>0</v>
      </c>
      <c r="O670" s="60">
        <f t="shared" ref="O670:O675" si="208">J670*K670*L670</f>
        <v>0</v>
      </c>
    </row>
    <row r="671" spans="1:15" s="38" customFormat="1" ht="10.7" customHeight="1" outlineLevel="1" x14ac:dyDescent="0.25">
      <c r="A671" s="124"/>
      <c r="B671" s="142"/>
      <c r="C671" s="115"/>
      <c r="D671" s="115"/>
      <c r="E671" s="115"/>
      <c r="F671" s="115"/>
      <c r="G671" s="60" t="s">
        <v>127</v>
      </c>
      <c r="H671" s="124"/>
      <c r="I671" s="124"/>
      <c r="J671" s="60"/>
      <c r="K671" s="60"/>
      <c r="L671" s="60"/>
      <c r="M671" s="60"/>
      <c r="N671" s="60">
        <f t="shared" si="207"/>
        <v>0</v>
      </c>
      <c r="O671" s="60">
        <f t="shared" si="208"/>
        <v>0</v>
      </c>
    </row>
    <row r="672" spans="1:15" s="38" customFormat="1" ht="10.7" customHeight="1" outlineLevel="1" x14ac:dyDescent="0.25">
      <c r="A672" s="124"/>
      <c r="B672" s="142"/>
      <c r="C672" s="115"/>
      <c r="D672" s="115"/>
      <c r="E672" s="115"/>
      <c r="F672" s="115"/>
      <c r="G672" s="60" t="s">
        <v>128</v>
      </c>
      <c r="H672" s="124"/>
      <c r="I672" s="124"/>
      <c r="J672" s="60"/>
      <c r="K672" s="60"/>
      <c r="L672" s="60"/>
      <c r="M672" s="60"/>
      <c r="N672" s="60">
        <f t="shared" si="207"/>
        <v>0</v>
      </c>
      <c r="O672" s="60">
        <f t="shared" si="208"/>
        <v>0</v>
      </c>
    </row>
    <row r="673" spans="1:15" s="38" customFormat="1" ht="10.7" customHeight="1" outlineLevel="1" x14ac:dyDescent="0.25">
      <c r="A673" s="124"/>
      <c r="B673" s="142"/>
      <c r="C673" s="115"/>
      <c r="D673" s="115"/>
      <c r="E673" s="115"/>
      <c r="F673" s="115"/>
      <c r="G673" s="60" t="s">
        <v>129</v>
      </c>
      <c r="H673" s="124"/>
      <c r="I673" s="124"/>
      <c r="J673" s="60"/>
      <c r="K673" s="60"/>
      <c r="L673" s="60"/>
      <c r="M673" s="60"/>
      <c r="N673" s="60">
        <f t="shared" si="207"/>
        <v>0</v>
      </c>
      <c r="O673" s="60">
        <f t="shared" si="208"/>
        <v>0</v>
      </c>
    </row>
    <row r="674" spans="1:15" s="38" customFormat="1" ht="10.7" customHeight="1" outlineLevel="1" x14ac:dyDescent="0.25">
      <c r="A674" s="124"/>
      <c r="B674" s="142"/>
      <c r="C674" s="115"/>
      <c r="D674" s="115"/>
      <c r="E674" s="115"/>
      <c r="F674" s="115"/>
      <c r="G674" s="60" t="s">
        <v>130</v>
      </c>
      <c r="H674" s="124"/>
      <c r="I674" s="124"/>
      <c r="J674" s="60"/>
      <c r="K674" s="60"/>
      <c r="L674" s="60"/>
      <c r="M674" s="60"/>
      <c r="N674" s="60">
        <f t="shared" si="207"/>
        <v>0</v>
      </c>
      <c r="O674" s="60">
        <f t="shared" si="208"/>
        <v>0</v>
      </c>
    </row>
    <row r="675" spans="1:15" s="38" customFormat="1" ht="12" customHeight="1" outlineLevel="1" thickBot="1" x14ac:dyDescent="0.3">
      <c r="A675" s="125"/>
      <c r="B675" s="143"/>
      <c r="C675" s="131"/>
      <c r="D675" s="131"/>
      <c r="E675" s="131"/>
      <c r="F675" s="131"/>
      <c r="G675" s="60" t="s">
        <v>131</v>
      </c>
      <c r="H675" s="134"/>
      <c r="I675" s="134"/>
      <c r="J675" s="60"/>
      <c r="K675" s="60"/>
      <c r="L675" s="60"/>
      <c r="M675" s="60"/>
      <c r="N675" s="60">
        <f t="shared" si="207"/>
        <v>0</v>
      </c>
      <c r="O675" s="60">
        <f t="shared" si="208"/>
        <v>0</v>
      </c>
    </row>
    <row r="676" spans="1:15" s="38" customFormat="1" ht="14.45" customHeight="1" outlineLevel="1" x14ac:dyDescent="0.25">
      <c r="A676" s="140" t="s">
        <v>714</v>
      </c>
      <c r="B676" s="141" t="s">
        <v>715</v>
      </c>
      <c r="C676" s="130">
        <f>SUM(N676:N682)</f>
        <v>0</v>
      </c>
      <c r="D676" s="130">
        <f>SUM(O676:O682)</f>
        <v>0</v>
      </c>
      <c r="E676" s="130">
        <f t="shared" si="200"/>
        <v>0</v>
      </c>
      <c r="F676" s="130"/>
      <c r="G676" s="60" t="s">
        <v>125</v>
      </c>
      <c r="H676" s="123"/>
      <c r="I676" s="123"/>
      <c r="J676" s="60"/>
      <c r="K676" s="60"/>
      <c r="L676" s="60"/>
      <c r="M676" s="60"/>
      <c r="N676" s="60">
        <f>M676*J676*K676*L676</f>
        <v>0</v>
      </c>
      <c r="O676" s="60">
        <f>J676*K676*L676</f>
        <v>0</v>
      </c>
    </row>
    <row r="677" spans="1:15" s="38" customFormat="1" ht="11.45" customHeight="1" outlineLevel="1" x14ac:dyDescent="0.25">
      <c r="A677" s="124"/>
      <c r="B677" s="142"/>
      <c r="C677" s="115"/>
      <c r="D677" s="115"/>
      <c r="E677" s="115"/>
      <c r="F677" s="115"/>
      <c r="G677" s="60" t="s">
        <v>126</v>
      </c>
      <c r="H677" s="124"/>
      <c r="I677" s="124"/>
      <c r="J677" s="60"/>
      <c r="K677" s="60"/>
      <c r="L677" s="60"/>
      <c r="M677" s="60"/>
      <c r="N677" s="60">
        <f t="shared" ref="N677:N682" si="209">M677*J677*K677*L677</f>
        <v>0</v>
      </c>
      <c r="O677" s="60">
        <f t="shared" ref="O677:O682" si="210">J677*K677*L677</f>
        <v>0</v>
      </c>
    </row>
    <row r="678" spans="1:15" s="38" customFormat="1" ht="10.7" customHeight="1" outlineLevel="1" x14ac:dyDescent="0.25">
      <c r="A678" s="124"/>
      <c r="B678" s="142"/>
      <c r="C678" s="115"/>
      <c r="D678" s="115"/>
      <c r="E678" s="115"/>
      <c r="F678" s="115"/>
      <c r="G678" s="60" t="s">
        <v>127</v>
      </c>
      <c r="H678" s="124"/>
      <c r="I678" s="124"/>
      <c r="J678" s="60"/>
      <c r="K678" s="60"/>
      <c r="L678" s="60"/>
      <c r="M678" s="60"/>
      <c r="N678" s="60">
        <f t="shared" si="209"/>
        <v>0</v>
      </c>
      <c r="O678" s="60">
        <f t="shared" si="210"/>
        <v>0</v>
      </c>
    </row>
    <row r="679" spans="1:15" s="38" customFormat="1" ht="10.7" customHeight="1" outlineLevel="1" x14ac:dyDescent="0.25">
      <c r="A679" s="124"/>
      <c r="B679" s="142"/>
      <c r="C679" s="115"/>
      <c r="D679" s="115"/>
      <c r="E679" s="115"/>
      <c r="F679" s="115"/>
      <c r="G679" s="60" t="s">
        <v>128</v>
      </c>
      <c r="H679" s="124"/>
      <c r="I679" s="124"/>
      <c r="J679" s="60"/>
      <c r="K679" s="60"/>
      <c r="L679" s="60"/>
      <c r="M679" s="60"/>
      <c r="N679" s="60">
        <f t="shared" si="209"/>
        <v>0</v>
      </c>
      <c r="O679" s="60">
        <f t="shared" si="210"/>
        <v>0</v>
      </c>
    </row>
    <row r="680" spans="1:15" s="38" customFormat="1" ht="10.7" customHeight="1" outlineLevel="1" x14ac:dyDescent="0.25">
      <c r="A680" s="124"/>
      <c r="B680" s="142"/>
      <c r="C680" s="115"/>
      <c r="D680" s="115"/>
      <c r="E680" s="115"/>
      <c r="F680" s="115"/>
      <c r="G680" s="60" t="s">
        <v>129</v>
      </c>
      <c r="H680" s="124"/>
      <c r="I680" s="124"/>
      <c r="J680" s="60"/>
      <c r="K680" s="60"/>
      <c r="L680" s="60"/>
      <c r="M680" s="60"/>
      <c r="N680" s="60">
        <f t="shared" si="209"/>
        <v>0</v>
      </c>
      <c r="O680" s="60">
        <f t="shared" si="210"/>
        <v>0</v>
      </c>
    </row>
    <row r="681" spans="1:15" s="38" customFormat="1" ht="10.7" customHeight="1" outlineLevel="1" x14ac:dyDescent="0.25">
      <c r="A681" s="124"/>
      <c r="B681" s="142"/>
      <c r="C681" s="115"/>
      <c r="D681" s="115"/>
      <c r="E681" s="115"/>
      <c r="F681" s="115"/>
      <c r="G681" s="60" t="s">
        <v>130</v>
      </c>
      <c r="H681" s="124"/>
      <c r="I681" s="124"/>
      <c r="J681" s="60"/>
      <c r="K681" s="60"/>
      <c r="L681" s="60"/>
      <c r="M681" s="60"/>
      <c r="N681" s="60">
        <f t="shared" si="209"/>
        <v>0</v>
      </c>
      <c r="O681" s="60">
        <f t="shared" si="210"/>
        <v>0</v>
      </c>
    </row>
    <row r="682" spans="1:15" s="38" customFormat="1" ht="12" customHeight="1" outlineLevel="1" thickBot="1" x14ac:dyDescent="0.3">
      <c r="A682" s="125"/>
      <c r="B682" s="143"/>
      <c r="C682" s="131"/>
      <c r="D682" s="131"/>
      <c r="E682" s="131"/>
      <c r="F682" s="131"/>
      <c r="G682" s="60" t="s">
        <v>131</v>
      </c>
      <c r="H682" s="134"/>
      <c r="I682" s="134"/>
      <c r="J682" s="60"/>
      <c r="K682" s="60"/>
      <c r="L682" s="60"/>
      <c r="M682" s="60"/>
      <c r="N682" s="60">
        <f t="shared" si="209"/>
        <v>0</v>
      </c>
      <c r="O682" s="60">
        <f t="shared" si="210"/>
        <v>0</v>
      </c>
    </row>
    <row r="683" spans="1:15" s="38" customFormat="1" ht="14.45" customHeight="1" outlineLevel="1" x14ac:dyDescent="0.25">
      <c r="A683" s="140" t="s">
        <v>716</v>
      </c>
      <c r="B683" s="141" t="s">
        <v>717</v>
      </c>
      <c r="C683" s="130">
        <f>SUM(N683:N689)</f>
        <v>0</v>
      </c>
      <c r="D683" s="130">
        <f>SUM(O683:O689)</f>
        <v>0</v>
      </c>
      <c r="E683" s="130">
        <f t="shared" si="200"/>
        <v>0</v>
      </c>
      <c r="F683" s="130"/>
      <c r="G683" s="60" t="s">
        <v>125</v>
      </c>
      <c r="H683" s="123"/>
      <c r="I683" s="123"/>
      <c r="J683" s="60"/>
      <c r="K683" s="60"/>
      <c r="L683" s="60"/>
      <c r="M683" s="60"/>
      <c r="N683" s="60">
        <f>M683*J683*K683*L683</f>
        <v>0</v>
      </c>
      <c r="O683" s="60">
        <f>J683*K683*L683</f>
        <v>0</v>
      </c>
    </row>
    <row r="684" spans="1:15" s="38" customFormat="1" ht="11.45" customHeight="1" outlineLevel="1" x14ac:dyDescent="0.25">
      <c r="A684" s="124"/>
      <c r="B684" s="142"/>
      <c r="C684" s="115"/>
      <c r="D684" s="115"/>
      <c r="E684" s="115"/>
      <c r="F684" s="115"/>
      <c r="G684" s="60" t="s">
        <v>126</v>
      </c>
      <c r="H684" s="124"/>
      <c r="I684" s="124"/>
      <c r="J684" s="60"/>
      <c r="K684" s="60"/>
      <c r="L684" s="60"/>
      <c r="M684" s="60"/>
      <c r="N684" s="60">
        <f t="shared" ref="N684:N689" si="211">M684*J684*K684*L684</f>
        <v>0</v>
      </c>
      <c r="O684" s="60">
        <f t="shared" ref="O684:O689" si="212">J684*K684*L684</f>
        <v>0</v>
      </c>
    </row>
    <row r="685" spans="1:15" s="38" customFormat="1" ht="10.7" customHeight="1" outlineLevel="1" x14ac:dyDescent="0.25">
      <c r="A685" s="124"/>
      <c r="B685" s="142"/>
      <c r="C685" s="115"/>
      <c r="D685" s="115"/>
      <c r="E685" s="115"/>
      <c r="F685" s="115"/>
      <c r="G685" s="60" t="s">
        <v>127</v>
      </c>
      <c r="H685" s="124"/>
      <c r="I685" s="124"/>
      <c r="J685" s="60"/>
      <c r="K685" s="60"/>
      <c r="L685" s="60"/>
      <c r="M685" s="60"/>
      <c r="N685" s="60">
        <f t="shared" si="211"/>
        <v>0</v>
      </c>
      <c r="O685" s="60">
        <f t="shared" si="212"/>
        <v>0</v>
      </c>
    </row>
    <row r="686" spans="1:15" s="38" customFormat="1" ht="10.7" customHeight="1" outlineLevel="1" x14ac:dyDescent="0.25">
      <c r="A686" s="124"/>
      <c r="B686" s="142"/>
      <c r="C686" s="115"/>
      <c r="D686" s="115"/>
      <c r="E686" s="115"/>
      <c r="F686" s="115"/>
      <c r="G686" s="60" t="s">
        <v>128</v>
      </c>
      <c r="H686" s="124"/>
      <c r="I686" s="124"/>
      <c r="J686" s="60"/>
      <c r="K686" s="60"/>
      <c r="L686" s="60"/>
      <c r="M686" s="60"/>
      <c r="N686" s="60">
        <f t="shared" si="211"/>
        <v>0</v>
      </c>
      <c r="O686" s="60">
        <f t="shared" si="212"/>
        <v>0</v>
      </c>
    </row>
    <row r="687" spans="1:15" s="38" customFormat="1" ht="10.7" customHeight="1" outlineLevel="1" x14ac:dyDescent="0.25">
      <c r="A687" s="124"/>
      <c r="B687" s="142"/>
      <c r="C687" s="115"/>
      <c r="D687" s="115"/>
      <c r="E687" s="115"/>
      <c r="F687" s="115"/>
      <c r="G687" s="60" t="s">
        <v>129</v>
      </c>
      <c r="H687" s="124"/>
      <c r="I687" s="124"/>
      <c r="J687" s="60"/>
      <c r="K687" s="60"/>
      <c r="L687" s="60"/>
      <c r="M687" s="60"/>
      <c r="N687" s="60">
        <f t="shared" si="211"/>
        <v>0</v>
      </c>
      <c r="O687" s="60">
        <f t="shared" si="212"/>
        <v>0</v>
      </c>
    </row>
    <row r="688" spans="1:15" s="38" customFormat="1" ht="10.7" customHeight="1" outlineLevel="1" x14ac:dyDescent="0.25">
      <c r="A688" s="124"/>
      <c r="B688" s="142"/>
      <c r="C688" s="115"/>
      <c r="D688" s="115"/>
      <c r="E688" s="115"/>
      <c r="F688" s="115"/>
      <c r="G688" s="60" t="s">
        <v>130</v>
      </c>
      <c r="H688" s="124"/>
      <c r="I688" s="124"/>
      <c r="J688" s="60"/>
      <c r="K688" s="60"/>
      <c r="L688" s="60"/>
      <c r="M688" s="60"/>
      <c r="N688" s="60">
        <f t="shared" si="211"/>
        <v>0</v>
      </c>
      <c r="O688" s="60">
        <f t="shared" si="212"/>
        <v>0</v>
      </c>
    </row>
    <row r="689" spans="1:15" s="38" customFormat="1" ht="12" customHeight="1" outlineLevel="1" thickBot="1" x14ac:dyDescent="0.3">
      <c r="A689" s="125"/>
      <c r="B689" s="143"/>
      <c r="C689" s="131"/>
      <c r="D689" s="131"/>
      <c r="E689" s="131"/>
      <c r="F689" s="131"/>
      <c r="G689" s="60" t="s">
        <v>131</v>
      </c>
      <c r="H689" s="134"/>
      <c r="I689" s="134"/>
      <c r="J689" s="60"/>
      <c r="K689" s="60"/>
      <c r="L689" s="60"/>
      <c r="M689" s="60"/>
      <c r="N689" s="60">
        <f t="shared" si="211"/>
        <v>0</v>
      </c>
      <c r="O689" s="60">
        <f t="shared" si="212"/>
        <v>0</v>
      </c>
    </row>
    <row r="690" spans="1:15" s="38" customFormat="1" ht="14.45" customHeight="1" outlineLevel="1" x14ac:dyDescent="0.25">
      <c r="A690" s="140" t="s">
        <v>718</v>
      </c>
      <c r="B690" s="141" t="s">
        <v>719</v>
      </c>
      <c r="C690" s="130">
        <f>SUM(N690:N696)</f>
        <v>0</v>
      </c>
      <c r="D690" s="130">
        <f>SUM(O690:O696)</f>
        <v>0</v>
      </c>
      <c r="E690" s="130">
        <f t="shared" si="200"/>
        <v>0</v>
      </c>
      <c r="F690" s="130"/>
      <c r="G690" s="60" t="s">
        <v>125</v>
      </c>
      <c r="H690" s="123"/>
      <c r="I690" s="123"/>
      <c r="J690" s="60"/>
      <c r="K690" s="60"/>
      <c r="L690" s="60"/>
      <c r="M690" s="60"/>
      <c r="N690" s="60">
        <f>M690*J690*K690*L690</f>
        <v>0</v>
      </c>
      <c r="O690" s="60">
        <f>J690*K690*L690</f>
        <v>0</v>
      </c>
    </row>
    <row r="691" spans="1:15" s="38" customFormat="1" ht="11.45" customHeight="1" outlineLevel="1" x14ac:dyDescent="0.25">
      <c r="A691" s="124"/>
      <c r="B691" s="142"/>
      <c r="C691" s="115"/>
      <c r="D691" s="115"/>
      <c r="E691" s="115"/>
      <c r="F691" s="115"/>
      <c r="G691" s="60" t="s">
        <v>126</v>
      </c>
      <c r="H691" s="124"/>
      <c r="I691" s="124"/>
      <c r="J691" s="60"/>
      <c r="K691" s="60"/>
      <c r="L691" s="60"/>
      <c r="M691" s="60"/>
      <c r="N691" s="60">
        <f t="shared" ref="N691:N696" si="213">M691*J691*K691*L691</f>
        <v>0</v>
      </c>
      <c r="O691" s="60">
        <f t="shared" ref="O691:O696" si="214">J691*K691*L691</f>
        <v>0</v>
      </c>
    </row>
    <row r="692" spans="1:15" s="38" customFormat="1" ht="10.7" customHeight="1" outlineLevel="1" x14ac:dyDescent="0.25">
      <c r="A692" s="124"/>
      <c r="B692" s="142"/>
      <c r="C692" s="115"/>
      <c r="D692" s="115"/>
      <c r="E692" s="115"/>
      <c r="F692" s="115"/>
      <c r="G692" s="60" t="s">
        <v>127</v>
      </c>
      <c r="H692" s="124"/>
      <c r="I692" s="124"/>
      <c r="J692" s="60"/>
      <c r="K692" s="60"/>
      <c r="L692" s="60"/>
      <c r="M692" s="60"/>
      <c r="N692" s="60">
        <f t="shared" si="213"/>
        <v>0</v>
      </c>
      <c r="O692" s="60">
        <f t="shared" si="214"/>
        <v>0</v>
      </c>
    </row>
    <row r="693" spans="1:15" s="38" customFormat="1" ht="10.7" customHeight="1" outlineLevel="1" x14ac:dyDescent="0.25">
      <c r="A693" s="124"/>
      <c r="B693" s="142"/>
      <c r="C693" s="115"/>
      <c r="D693" s="115"/>
      <c r="E693" s="115"/>
      <c r="F693" s="115"/>
      <c r="G693" s="60" t="s">
        <v>128</v>
      </c>
      <c r="H693" s="124"/>
      <c r="I693" s="124"/>
      <c r="J693" s="60"/>
      <c r="K693" s="60"/>
      <c r="L693" s="60"/>
      <c r="M693" s="60"/>
      <c r="N693" s="60">
        <f t="shared" si="213"/>
        <v>0</v>
      </c>
      <c r="O693" s="60">
        <f t="shared" si="214"/>
        <v>0</v>
      </c>
    </row>
    <row r="694" spans="1:15" s="38" customFormat="1" ht="10.7" customHeight="1" outlineLevel="1" x14ac:dyDescent="0.25">
      <c r="A694" s="124"/>
      <c r="B694" s="142"/>
      <c r="C694" s="115"/>
      <c r="D694" s="115"/>
      <c r="E694" s="115"/>
      <c r="F694" s="115"/>
      <c r="G694" s="60" t="s">
        <v>129</v>
      </c>
      <c r="H694" s="124"/>
      <c r="I694" s="124"/>
      <c r="J694" s="60"/>
      <c r="K694" s="60"/>
      <c r="L694" s="60"/>
      <c r="M694" s="60"/>
      <c r="N694" s="60">
        <f t="shared" si="213"/>
        <v>0</v>
      </c>
      <c r="O694" s="60">
        <f t="shared" si="214"/>
        <v>0</v>
      </c>
    </row>
    <row r="695" spans="1:15" s="38" customFormat="1" ht="10.7" customHeight="1" outlineLevel="1" x14ac:dyDescent="0.25">
      <c r="A695" s="124"/>
      <c r="B695" s="142"/>
      <c r="C695" s="115"/>
      <c r="D695" s="115"/>
      <c r="E695" s="115"/>
      <c r="F695" s="115"/>
      <c r="G695" s="60" t="s">
        <v>130</v>
      </c>
      <c r="H695" s="124"/>
      <c r="I695" s="124"/>
      <c r="J695" s="60"/>
      <c r="K695" s="60"/>
      <c r="L695" s="60"/>
      <c r="M695" s="60"/>
      <c r="N695" s="60">
        <f t="shared" si="213"/>
        <v>0</v>
      </c>
      <c r="O695" s="60">
        <f t="shared" si="214"/>
        <v>0</v>
      </c>
    </row>
    <row r="696" spans="1:15" s="38" customFormat="1" ht="12" customHeight="1" outlineLevel="1" thickBot="1" x14ac:dyDescent="0.3">
      <c r="A696" s="125"/>
      <c r="B696" s="143"/>
      <c r="C696" s="131"/>
      <c r="D696" s="131"/>
      <c r="E696" s="131"/>
      <c r="F696" s="131"/>
      <c r="G696" s="60" t="s">
        <v>131</v>
      </c>
      <c r="H696" s="134"/>
      <c r="I696" s="134"/>
      <c r="J696" s="60"/>
      <c r="K696" s="60"/>
      <c r="L696" s="60"/>
      <c r="M696" s="60"/>
      <c r="N696" s="60">
        <f t="shared" si="213"/>
        <v>0</v>
      </c>
      <c r="O696" s="60">
        <f t="shared" si="214"/>
        <v>0</v>
      </c>
    </row>
    <row r="697" spans="1:15" s="38" customFormat="1" ht="14.45" customHeight="1" outlineLevel="1" x14ac:dyDescent="0.25">
      <c r="A697" s="140" t="s">
        <v>720</v>
      </c>
      <c r="B697" s="141" t="s">
        <v>721</v>
      </c>
      <c r="C697" s="130">
        <f>SUM(N697:N703)</f>
        <v>0</v>
      </c>
      <c r="D697" s="130">
        <f>SUM(O697:O703)</f>
        <v>0</v>
      </c>
      <c r="E697" s="130">
        <f t="shared" si="200"/>
        <v>0</v>
      </c>
      <c r="F697" s="130"/>
      <c r="G697" s="60" t="s">
        <v>125</v>
      </c>
      <c r="H697" s="123"/>
      <c r="I697" s="123"/>
      <c r="J697" s="60"/>
      <c r="K697" s="60"/>
      <c r="L697" s="60"/>
      <c r="M697" s="60"/>
      <c r="N697" s="60">
        <f>M697*J697*K697*L697</f>
        <v>0</v>
      </c>
      <c r="O697" s="60">
        <f>J697*K697*L697</f>
        <v>0</v>
      </c>
    </row>
    <row r="698" spans="1:15" s="38" customFormat="1" ht="11.45" customHeight="1" outlineLevel="1" x14ac:dyDescent="0.25">
      <c r="A698" s="124"/>
      <c r="B698" s="142"/>
      <c r="C698" s="115"/>
      <c r="D698" s="115"/>
      <c r="E698" s="115"/>
      <c r="F698" s="115"/>
      <c r="G698" s="60" t="s">
        <v>126</v>
      </c>
      <c r="H698" s="124"/>
      <c r="I698" s="124"/>
      <c r="J698" s="60"/>
      <c r="K698" s="60"/>
      <c r="L698" s="60"/>
      <c r="M698" s="60"/>
      <c r="N698" s="60">
        <f t="shared" ref="N698:N703" si="215">M698*J698*K698*L698</f>
        <v>0</v>
      </c>
      <c r="O698" s="60">
        <f t="shared" ref="O698:O703" si="216">J698*K698*L698</f>
        <v>0</v>
      </c>
    </row>
    <row r="699" spans="1:15" s="38" customFormat="1" ht="10.7" customHeight="1" outlineLevel="1" x14ac:dyDescent="0.25">
      <c r="A699" s="124"/>
      <c r="B699" s="142"/>
      <c r="C699" s="115"/>
      <c r="D699" s="115"/>
      <c r="E699" s="115"/>
      <c r="F699" s="115"/>
      <c r="G699" s="60" t="s">
        <v>127</v>
      </c>
      <c r="H699" s="124"/>
      <c r="I699" s="124"/>
      <c r="J699" s="60"/>
      <c r="K699" s="60"/>
      <c r="L699" s="60"/>
      <c r="M699" s="60"/>
      <c r="N699" s="60">
        <f t="shared" si="215"/>
        <v>0</v>
      </c>
      <c r="O699" s="60">
        <f t="shared" si="216"/>
        <v>0</v>
      </c>
    </row>
    <row r="700" spans="1:15" s="38" customFormat="1" ht="10.7" customHeight="1" outlineLevel="1" x14ac:dyDescent="0.25">
      <c r="A700" s="124"/>
      <c r="B700" s="142"/>
      <c r="C700" s="115"/>
      <c r="D700" s="115"/>
      <c r="E700" s="115"/>
      <c r="F700" s="115"/>
      <c r="G700" s="60" t="s">
        <v>128</v>
      </c>
      <c r="H700" s="124"/>
      <c r="I700" s="124"/>
      <c r="J700" s="60"/>
      <c r="K700" s="60"/>
      <c r="L700" s="60"/>
      <c r="M700" s="60"/>
      <c r="N700" s="60">
        <f t="shared" si="215"/>
        <v>0</v>
      </c>
      <c r="O700" s="60">
        <f t="shared" si="216"/>
        <v>0</v>
      </c>
    </row>
    <row r="701" spans="1:15" s="38" customFormat="1" ht="10.7" customHeight="1" outlineLevel="1" x14ac:dyDescent="0.25">
      <c r="A701" s="124"/>
      <c r="B701" s="142"/>
      <c r="C701" s="115"/>
      <c r="D701" s="115"/>
      <c r="E701" s="115"/>
      <c r="F701" s="115"/>
      <c r="G701" s="60" t="s">
        <v>129</v>
      </c>
      <c r="H701" s="124"/>
      <c r="I701" s="124"/>
      <c r="J701" s="60"/>
      <c r="K701" s="60"/>
      <c r="L701" s="60"/>
      <c r="M701" s="60"/>
      <c r="N701" s="60">
        <f t="shared" si="215"/>
        <v>0</v>
      </c>
      <c r="O701" s="60">
        <f t="shared" si="216"/>
        <v>0</v>
      </c>
    </row>
    <row r="702" spans="1:15" s="38" customFormat="1" ht="10.7" customHeight="1" outlineLevel="1" x14ac:dyDescent="0.25">
      <c r="A702" s="124"/>
      <c r="B702" s="142"/>
      <c r="C702" s="115"/>
      <c r="D702" s="115"/>
      <c r="E702" s="115"/>
      <c r="F702" s="115"/>
      <c r="G702" s="60" t="s">
        <v>130</v>
      </c>
      <c r="H702" s="124"/>
      <c r="I702" s="124"/>
      <c r="J702" s="60"/>
      <c r="K702" s="60"/>
      <c r="L702" s="60"/>
      <c r="M702" s="60"/>
      <c r="N702" s="60">
        <f t="shared" si="215"/>
        <v>0</v>
      </c>
      <c r="O702" s="60">
        <f t="shared" si="216"/>
        <v>0</v>
      </c>
    </row>
    <row r="703" spans="1:15" s="38" customFormat="1" ht="12" customHeight="1" outlineLevel="1" thickBot="1" x14ac:dyDescent="0.3">
      <c r="A703" s="125"/>
      <c r="B703" s="143"/>
      <c r="C703" s="131"/>
      <c r="D703" s="131"/>
      <c r="E703" s="131"/>
      <c r="F703" s="131"/>
      <c r="G703" s="60" t="s">
        <v>131</v>
      </c>
      <c r="H703" s="134"/>
      <c r="I703" s="134"/>
      <c r="J703" s="60"/>
      <c r="K703" s="60"/>
      <c r="L703" s="60"/>
      <c r="M703" s="60"/>
      <c r="N703" s="60">
        <f t="shared" si="215"/>
        <v>0</v>
      </c>
      <c r="O703" s="60">
        <f t="shared" si="216"/>
        <v>0</v>
      </c>
    </row>
    <row r="704" spans="1:15" s="38" customFormat="1" ht="14.45" customHeight="1" outlineLevel="1" x14ac:dyDescent="0.25">
      <c r="A704" s="140" t="s">
        <v>722</v>
      </c>
      <c r="B704" s="141" t="s">
        <v>723</v>
      </c>
      <c r="C704" s="130">
        <f>SUM(N704:N710)</f>
        <v>0</v>
      </c>
      <c r="D704" s="130">
        <f>SUM(O704:O710)</f>
        <v>0</v>
      </c>
      <c r="E704" s="130">
        <f t="shared" si="200"/>
        <v>0</v>
      </c>
      <c r="F704" s="130"/>
      <c r="G704" s="60" t="s">
        <v>125</v>
      </c>
      <c r="H704" s="123"/>
      <c r="I704" s="123"/>
      <c r="J704" s="60"/>
      <c r="K704" s="60"/>
      <c r="L704" s="60"/>
      <c r="M704" s="60"/>
      <c r="N704" s="60">
        <f>M704*J704*K704*L704</f>
        <v>0</v>
      </c>
      <c r="O704" s="60">
        <f>J704*K704*L704</f>
        <v>0</v>
      </c>
    </row>
    <row r="705" spans="1:15" s="38" customFormat="1" ht="11.45" customHeight="1" outlineLevel="1" x14ac:dyDescent="0.25">
      <c r="A705" s="124"/>
      <c r="B705" s="142"/>
      <c r="C705" s="115"/>
      <c r="D705" s="115"/>
      <c r="E705" s="115"/>
      <c r="F705" s="115"/>
      <c r="G705" s="60" t="s">
        <v>126</v>
      </c>
      <c r="H705" s="124"/>
      <c r="I705" s="124"/>
      <c r="J705" s="60"/>
      <c r="K705" s="60"/>
      <c r="L705" s="60"/>
      <c r="M705" s="60"/>
      <c r="N705" s="60">
        <f t="shared" ref="N705:N710" si="217">M705*J705*K705*L705</f>
        <v>0</v>
      </c>
      <c r="O705" s="60">
        <f t="shared" ref="O705:O710" si="218">J705*K705*L705</f>
        <v>0</v>
      </c>
    </row>
    <row r="706" spans="1:15" s="38" customFormat="1" ht="10.7" customHeight="1" outlineLevel="1" x14ac:dyDescent="0.25">
      <c r="A706" s="124"/>
      <c r="B706" s="142"/>
      <c r="C706" s="115"/>
      <c r="D706" s="115"/>
      <c r="E706" s="115"/>
      <c r="F706" s="115"/>
      <c r="G706" s="60" t="s">
        <v>127</v>
      </c>
      <c r="H706" s="124"/>
      <c r="I706" s="124"/>
      <c r="J706" s="60"/>
      <c r="K706" s="60"/>
      <c r="L706" s="60"/>
      <c r="M706" s="60"/>
      <c r="N706" s="60">
        <f t="shared" si="217"/>
        <v>0</v>
      </c>
      <c r="O706" s="60">
        <f t="shared" si="218"/>
        <v>0</v>
      </c>
    </row>
    <row r="707" spans="1:15" s="38" customFormat="1" ht="10.7" customHeight="1" outlineLevel="1" x14ac:dyDescent="0.25">
      <c r="A707" s="124"/>
      <c r="B707" s="142"/>
      <c r="C707" s="115"/>
      <c r="D707" s="115"/>
      <c r="E707" s="115"/>
      <c r="F707" s="115"/>
      <c r="G707" s="60" t="s">
        <v>128</v>
      </c>
      <c r="H707" s="124"/>
      <c r="I707" s="124"/>
      <c r="J707" s="60"/>
      <c r="K707" s="60"/>
      <c r="L707" s="60"/>
      <c r="M707" s="60"/>
      <c r="N707" s="60">
        <f t="shared" si="217"/>
        <v>0</v>
      </c>
      <c r="O707" s="60">
        <f t="shared" si="218"/>
        <v>0</v>
      </c>
    </row>
    <row r="708" spans="1:15" s="38" customFormat="1" ht="10.7" customHeight="1" outlineLevel="1" x14ac:dyDescent="0.25">
      <c r="A708" s="124"/>
      <c r="B708" s="142"/>
      <c r="C708" s="115"/>
      <c r="D708" s="115"/>
      <c r="E708" s="115"/>
      <c r="F708" s="115"/>
      <c r="G708" s="60" t="s">
        <v>129</v>
      </c>
      <c r="H708" s="124"/>
      <c r="I708" s="124"/>
      <c r="J708" s="60"/>
      <c r="K708" s="60"/>
      <c r="L708" s="60"/>
      <c r="M708" s="60"/>
      <c r="N708" s="60">
        <f t="shared" si="217"/>
        <v>0</v>
      </c>
      <c r="O708" s="60">
        <f t="shared" si="218"/>
        <v>0</v>
      </c>
    </row>
    <row r="709" spans="1:15" s="38" customFormat="1" ht="10.7" customHeight="1" outlineLevel="1" x14ac:dyDescent="0.25">
      <c r="A709" s="124"/>
      <c r="B709" s="142"/>
      <c r="C709" s="115"/>
      <c r="D709" s="115"/>
      <c r="E709" s="115"/>
      <c r="F709" s="115"/>
      <c r="G709" s="60" t="s">
        <v>130</v>
      </c>
      <c r="H709" s="124"/>
      <c r="I709" s="124"/>
      <c r="J709" s="60"/>
      <c r="K709" s="60"/>
      <c r="L709" s="60"/>
      <c r="M709" s="60"/>
      <c r="N709" s="60">
        <f t="shared" si="217"/>
        <v>0</v>
      </c>
      <c r="O709" s="60">
        <f t="shared" si="218"/>
        <v>0</v>
      </c>
    </row>
    <row r="710" spans="1:15" s="38" customFormat="1" ht="12" customHeight="1" outlineLevel="1" thickBot="1" x14ac:dyDescent="0.3">
      <c r="A710" s="125"/>
      <c r="B710" s="143"/>
      <c r="C710" s="131"/>
      <c r="D710" s="131"/>
      <c r="E710" s="131"/>
      <c r="F710" s="131"/>
      <c r="G710" s="60" t="s">
        <v>131</v>
      </c>
      <c r="H710" s="134"/>
      <c r="I710" s="134"/>
      <c r="J710" s="60"/>
      <c r="K710" s="60"/>
      <c r="L710" s="60"/>
      <c r="M710" s="60"/>
      <c r="N710" s="60">
        <f t="shared" si="217"/>
        <v>0</v>
      </c>
      <c r="O710" s="60">
        <f t="shared" si="218"/>
        <v>0</v>
      </c>
    </row>
    <row r="711" spans="1:15" s="38" customFormat="1" ht="14.45" customHeight="1" outlineLevel="1" x14ac:dyDescent="0.25">
      <c r="A711" s="140" t="s">
        <v>724</v>
      </c>
      <c r="B711" s="141" t="s">
        <v>725</v>
      </c>
      <c r="C711" s="130">
        <f>SUM(N711:N717)</f>
        <v>0</v>
      </c>
      <c r="D711" s="130">
        <f>SUM(O711:O717)</f>
        <v>0</v>
      </c>
      <c r="E711" s="130">
        <f t="shared" si="200"/>
        <v>0</v>
      </c>
      <c r="F711" s="130"/>
      <c r="G711" s="60" t="s">
        <v>125</v>
      </c>
      <c r="H711" s="123"/>
      <c r="I711" s="123"/>
      <c r="J711" s="60"/>
      <c r="K711" s="60"/>
      <c r="L711" s="60"/>
      <c r="M711" s="60"/>
      <c r="N711" s="60">
        <f>M711*J711*K711*L711</f>
        <v>0</v>
      </c>
      <c r="O711" s="60">
        <f>J711*K711*L711</f>
        <v>0</v>
      </c>
    </row>
    <row r="712" spans="1:15" s="38" customFormat="1" ht="11.45" customHeight="1" outlineLevel="1" x14ac:dyDescent="0.25">
      <c r="A712" s="124"/>
      <c r="B712" s="142"/>
      <c r="C712" s="115"/>
      <c r="D712" s="115"/>
      <c r="E712" s="115"/>
      <c r="F712" s="115"/>
      <c r="G712" s="60" t="s">
        <v>126</v>
      </c>
      <c r="H712" s="124"/>
      <c r="I712" s="124"/>
      <c r="J712" s="60"/>
      <c r="K712" s="60"/>
      <c r="L712" s="60"/>
      <c r="M712" s="60"/>
      <c r="N712" s="60">
        <f t="shared" ref="N712:N717" si="219">M712*J712*K712*L712</f>
        <v>0</v>
      </c>
      <c r="O712" s="60">
        <f t="shared" ref="O712:O717" si="220">J712*K712*L712</f>
        <v>0</v>
      </c>
    </row>
    <row r="713" spans="1:15" s="38" customFormat="1" ht="10.7" customHeight="1" outlineLevel="1" x14ac:dyDescent="0.25">
      <c r="A713" s="124"/>
      <c r="B713" s="142"/>
      <c r="C713" s="115"/>
      <c r="D713" s="115"/>
      <c r="E713" s="115"/>
      <c r="F713" s="115"/>
      <c r="G713" s="60" t="s">
        <v>127</v>
      </c>
      <c r="H713" s="124"/>
      <c r="I713" s="124"/>
      <c r="J713" s="60"/>
      <c r="K713" s="60"/>
      <c r="L713" s="60"/>
      <c r="M713" s="60"/>
      <c r="N713" s="60">
        <f t="shared" si="219"/>
        <v>0</v>
      </c>
      <c r="O713" s="60">
        <f t="shared" si="220"/>
        <v>0</v>
      </c>
    </row>
    <row r="714" spans="1:15" s="38" customFormat="1" ht="10.7" customHeight="1" outlineLevel="1" x14ac:dyDescent="0.25">
      <c r="A714" s="124"/>
      <c r="B714" s="142"/>
      <c r="C714" s="115"/>
      <c r="D714" s="115"/>
      <c r="E714" s="115"/>
      <c r="F714" s="115"/>
      <c r="G714" s="60" t="s">
        <v>128</v>
      </c>
      <c r="H714" s="124"/>
      <c r="I714" s="124"/>
      <c r="J714" s="60"/>
      <c r="K714" s="60"/>
      <c r="L714" s="60"/>
      <c r="M714" s="60"/>
      <c r="N714" s="60">
        <f t="shared" si="219"/>
        <v>0</v>
      </c>
      <c r="O714" s="60">
        <f t="shared" si="220"/>
        <v>0</v>
      </c>
    </row>
    <row r="715" spans="1:15" s="38" customFormat="1" ht="10.7" customHeight="1" outlineLevel="1" x14ac:dyDescent="0.25">
      <c r="A715" s="124"/>
      <c r="B715" s="142"/>
      <c r="C715" s="115"/>
      <c r="D715" s="115"/>
      <c r="E715" s="115"/>
      <c r="F715" s="115"/>
      <c r="G715" s="60" t="s">
        <v>129</v>
      </c>
      <c r="H715" s="124"/>
      <c r="I715" s="124"/>
      <c r="J715" s="60"/>
      <c r="K715" s="60"/>
      <c r="L715" s="60"/>
      <c r="M715" s="60"/>
      <c r="N715" s="60">
        <f t="shared" si="219"/>
        <v>0</v>
      </c>
      <c r="O715" s="60">
        <f t="shared" si="220"/>
        <v>0</v>
      </c>
    </row>
    <row r="716" spans="1:15" s="38" customFormat="1" ht="10.7" customHeight="1" outlineLevel="1" x14ac:dyDescent="0.25">
      <c r="A716" s="124"/>
      <c r="B716" s="142"/>
      <c r="C716" s="115"/>
      <c r="D716" s="115"/>
      <c r="E716" s="115"/>
      <c r="F716" s="115"/>
      <c r="G716" s="60" t="s">
        <v>130</v>
      </c>
      <c r="H716" s="124"/>
      <c r="I716" s="124"/>
      <c r="J716" s="60"/>
      <c r="K716" s="60"/>
      <c r="L716" s="60"/>
      <c r="M716" s="60"/>
      <c r="N716" s="60">
        <f t="shared" si="219"/>
        <v>0</v>
      </c>
      <c r="O716" s="60">
        <f t="shared" si="220"/>
        <v>0</v>
      </c>
    </row>
    <row r="717" spans="1:15" s="38" customFormat="1" ht="12" customHeight="1" outlineLevel="1" thickBot="1" x14ac:dyDescent="0.3">
      <c r="A717" s="125"/>
      <c r="B717" s="143"/>
      <c r="C717" s="131"/>
      <c r="D717" s="131"/>
      <c r="E717" s="131"/>
      <c r="F717" s="131"/>
      <c r="G717" s="60" t="s">
        <v>131</v>
      </c>
      <c r="H717" s="134"/>
      <c r="I717" s="134"/>
      <c r="J717" s="60"/>
      <c r="K717" s="60"/>
      <c r="L717" s="60"/>
      <c r="M717" s="60"/>
      <c r="N717" s="60">
        <f t="shared" si="219"/>
        <v>0</v>
      </c>
      <c r="O717" s="60">
        <f t="shared" si="220"/>
        <v>0</v>
      </c>
    </row>
    <row r="718" spans="1:15" s="38" customFormat="1" ht="14.45" customHeight="1" outlineLevel="1" x14ac:dyDescent="0.25">
      <c r="A718" s="140" t="s">
        <v>726</v>
      </c>
      <c r="B718" s="141" t="s">
        <v>727</v>
      </c>
      <c r="C718" s="130">
        <f>SUM(N718:N724)</f>
        <v>0</v>
      </c>
      <c r="D718" s="130">
        <f>SUM(O718:O724)</f>
        <v>0</v>
      </c>
      <c r="E718" s="130">
        <f t="shared" ref="E718:E739" si="221">D718/8</f>
        <v>0</v>
      </c>
      <c r="F718" s="130"/>
      <c r="G718" s="60" t="s">
        <v>125</v>
      </c>
      <c r="H718" s="123"/>
      <c r="I718" s="123"/>
      <c r="J718" s="60"/>
      <c r="K718" s="60"/>
      <c r="L718" s="60"/>
      <c r="M718" s="60"/>
      <c r="N718" s="60">
        <f>M718*J718*K718*L718</f>
        <v>0</v>
      </c>
      <c r="O718" s="60">
        <f>J718*K718*L718</f>
        <v>0</v>
      </c>
    </row>
    <row r="719" spans="1:15" s="38" customFormat="1" ht="11.45" customHeight="1" outlineLevel="1" x14ac:dyDescent="0.25">
      <c r="A719" s="124"/>
      <c r="B719" s="142"/>
      <c r="C719" s="115"/>
      <c r="D719" s="115"/>
      <c r="E719" s="115"/>
      <c r="F719" s="115"/>
      <c r="G719" s="60" t="s">
        <v>126</v>
      </c>
      <c r="H719" s="124"/>
      <c r="I719" s="124"/>
      <c r="J719" s="60"/>
      <c r="K719" s="60"/>
      <c r="L719" s="60"/>
      <c r="M719" s="60"/>
      <c r="N719" s="60">
        <f t="shared" ref="N719:N724" si="222">M719*J719*K719*L719</f>
        <v>0</v>
      </c>
      <c r="O719" s="60">
        <f t="shared" ref="O719:O724" si="223">J719*K719*L719</f>
        <v>0</v>
      </c>
    </row>
    <row r="720" spans="1:15" s="38" customFormat="1" ht="10.7" customHeight="1" outlineLevel="1" x14ac:dyDescent="0.25">
      <c r="A720" s="124"/>
      <c r="B720" s="142"/>
      <c r="C720" s="115"/>
      <c r="D720" s="115"/>
      <c r="E720" s="115"/>
      <c r="F720" s="115"/>
      <c r="G720" s="60" t="s">
        <v>127</v>
      </c>
      <c r="H720" s="124"/>
      <c r="I720" s="124"/>
      <c r="J720" s="60"/>
      <c r="K720" s="60"/>
      <c r="L720" s="60"/>
      <c r="M720" s="60"/>
      <c r="N720" s="60">
        <f t="shared" si="222"/>
        <v>0</v>
      </c>
      <c r="O720" s="60">
        <f t="shared" si="223"/>
        <v>0</v>
      </c>
    </row>
    <row r="721" spans="1:15" s="38" customFormat="1" ht="10.7" customHeight="1" outlineLevel="1" x14ac:dyDescent="0.25">
      <c r="A721" s="124"/>
      <c r="B721" s="142"/>
      <c r="C721" s="115"/>
      <c r="D721" s="115"/>
      <c r="E721" s="115"/>
      <c r="F721" s="115"/>
      <c r="G721" s="60" t="s">
        <v>128</v>
      </c>
      <c r="H721" s="124"/>
      <c r="I721" s="124"/>
      <c r="J721" s="60"/>
      <c r="K721" s="60"/>
      <c r="L721" s="60"/>
      <c r="M721" s="60"/>
      <c r="N721" s="60">
        <f t="shared" si="222"/>
        <v>0</v>
      </c>
      <c r="O721" s="60">
        <f t="shared" si="223"/>
        <v>0</v>
      </c>
    </row>
    <row r="722" spans="1:15" s="38" customFormat="1" ht="10.7" customHeight="1" outlineLevel="1" x14ac:dyDescent="0.25">
      <c r="A722" s="124"/>
      <c r="B722" s="142"/>
      <c r="C722" s="115"/>
      <c r="D722" s="115"/>
      <c r="E722" s="115"/>
      <c r="F722" s="115"/>
      <c r="G722" s="60" t="s">
        <v>129</v>
      </c>
      <c r="H722" s="124"/>
      <c r="I722" s="124"/>
      <c r="J722" s="60"/>
      <c r="K722" s="60"/>
      <c r="L722" s="60"/>
      <c r="M722" s="60"/>
      <c r="N722" s="60">
        <f t="shared" si="222"/>
        <v>0</v>
      </c>
      <c r="O722" s="60">
        <f t="shared" si="223"/>
        <v>0</v>
      </c>
    </row>
    <row r="723" spans="1:15" s="38" customFormat="1" ht="10.7" customHeight="1" outlineLevel="1" x14ac:dyDescent="0.25">
      <c r="A723" s="124"/>
      <c r="B723" s="142"/>
      <c r="C723" s="115"/>
      <c r="D723" s="115"/>
      <c r="E723" s="115"/>
      <c r="F723" s="115"/>
      <c r="G723" s="60" t="s">
        <v>130</v>
      </c>
      <c r="H723" s="124"/>
      <c r="I723" s="124"/>
      <c r="J723" s="60"/>
      <c r="K723" s="60"/>
      <c r="L723" s="60"/>
      <c r="M723" s="60"/>
      <c r="N723" s="60">
        <f t="shared" si="222"/>
        <v>0</v>
      </c>
      <c r="O723" s="60">
        <f t="shared" si="223"/>
        <v>0</v>
      </c>
    </row>
    <row r="724" spans="1:15" s="38" customFormat="1" ht="12" customHeight="1" outlineLevel="1" thickBot="1" x14ac:dyDescent="0.3">
      <c r="A724" s="125"/>
      <c r="B724" s="143"/>
      <c r="C724" s="131"/>
      <c r="D724" s="131"/>
      <c r="E724" s="131"/>
      <c r="F724" s="131"/>
      <c r="G724" s="60" t="s">
        <v>131</v>
      </c>
      <c r="H724" s="134"/>
      <c r="I724" s="134"/>
      <c r="J724" s="60"/>
      <c r="K724" s="60"/>
      <c r="L724" s="60"/>
      <c r="M724" s="60"/>
      <c r="N724" s="60">
        <f t="shared" si="222"/>
        <v>0</v>
      </c>
      <c r="O724" s="60">
        <f t="shared" si="223"/>
        <v>0</v>
      </c>
    </row>
    <row r="725" spans="1:15" s="38" customFormat="1" ht="14.45" customHeight="1" outlineLevel="1" x14ac:dyDescent="0.25">
      <c r="A725" s="140" t="s">
        <v>728</v>
      </c>
      <c r="B725" s="141" t="s">
        <v>729</v>
      </c>
      <c r="C725" s="130">
        <f>SUM(N725:N731)</f>
        <v>0</v>
      </c>
      <c r="D725" s="130">
        <f>SUM(O725:O731)</f>
        <v>0</v>
      </c>
      <c r="E725" s="130">
        <f t="shared" si="221"/>
        <v>0</v>
      </c>
      <c r="F725" s="130"/>
      <c r="G725" s="60" t="s">
        <v>125</v>
      </c>
      <c r="H725" s="123"/>
      <c r="I725" s="123"/>
      <c r="J725" s="60"/>
      <c r="K725" s="60"/>
      <c r="L725" s="60"/>
      <c r="M725" s="60"/>
      <c r="N725" s="60">
        <f>M725*J725*K725*L725</f>
        <v>0</v>
      </c>
      <c r="O725" s="60">
        <f>J725*K725*L725</f>
        <v>0</v>
      </c>
    </row>
    <row r="726" spans="1:15" s="38" customFormat="1" ht="11.45" customHeight="1" outlineLevel="1" x14ac:dyDescent="0.25">
      <c r="A726" s="124"/>
      <c r="B726" s="142"/>
      <c r="C726" s="115"/>
      <c r="D726" s="115"/>
      <c r="E726" s="115"/>
      <c r="F726" s="115"/>
      <c r="G726" s="60" t="s">
        <v>126</v>
      </c>
      <c r="H726" s="124"/>
      <c r="I726" s="124"/>
      <c r="J726" s="60"/>
      <c r="K726" s="60"/>
      <c r="L726" s="60"/>
      <c r="M726" s="60"/>
      <c r="N726" s="60">
        <f t="shared" ref="N726:N731" si="224">M726*J726*K726*L726</f>
        <v>0</v>
      </c>
      <c r="O726" s="60">
        <f t="shared" ref="O726:O731" si="225">J726*K726*L726</f>
        <v>0</v>
      </c>
    </row>
    <row r="727" spans="1:15" s="38" customFormat="1" ht="10.7" customHeight="1" outlineLevel="1" x14ac:dyDescent="0.25">
      <c r="A727" s="124"/>
      <c r="B727" s="142"/>
      <c r="C727" s="115"/>
      <c r="D727" s="115"/>
      <c r="E727" s="115"/>
      <c r="F727" s="115"/>
      <c r="G727" s="60" t="s">
        <v>127</v>
      </c>
      <c r="H727" s="124"/>
      <c r="I727" s="124"/>
      <c r="J727" s="60"/>
      <c r="K727" s="60"/>
      <c r="L727" s="60"/>
      <c r="M727" s="60"/>
      <c r="N727" s="60">
        <f t="shared" si="224"/>
        <v>0</v>
      </c>
      <c r="O727" s="60">
        <f t="shared" si="225"/>
        <v>0</v>
      </c>
    </row>
    <row r="728" spans="1:15" s="38" customFormat="1" ht="10.7" customHeight="1" outlineLevel="1" x14ac:dyDescent="0.25">
      <c r="A728" s="124"/>
      <c r="B728" s="142"/>
      <c r="C728" s="115"/>
      <c r="D728" s="115"/>
      <c r="E728" s="115"/>
      <c r="F728" s="115"/>
      <c r="G728" s="60" t="s">
        <v>128</v>
      </c>
      <c r="H728" s="124"/>
      <c r="I728" s="124"/>
      <c r="J728" s="60"/>
      <c r="K728" s="60"/>
      <c r="L728" s="60"/>
      <c r="M728" s="60"/>
      <c r="N728" s="60">
        <f t="shared" si="224"/>
        <v>0</v>
      </c>
      <c r="O728" s="60">
        <f t="shared" si="225"/>
        <v>0</v>
      </c>
    </row>
    <row r="729" spans="1:15" s="38" customFormat="1" ht="10.7" customHeight="1" outlineLevel="1" x14ac:dyDescent="0.25">
      <c r="A729" s="124"/>
      <c r="B729" s="142"/>
      <c r="C729" s="115"/>
      <c r="D729" s="115"/>
      <c r="E729" s="115"/>
      <c r="F729" s="115"/>
      <c r="G729" s="60" t="s">
        <v>129</v>
      </c>
      <c r="H729" s="124"/>
      <c r="I729" s="124"/>
      <c r="J729" s="60"/>
      <c r="K729" s="60"/>
      <c r="L729" s="60"/>
      <c r="M729" s="60"/>
      <c r="N729" s="60">
        <f t="shared" si="224"/>
        <v>0</v>
      </c>
      <c r="O729" s="60">
        <f t="shared" si="225"/>
        <v>0</v>
      </c>
    </row>
    <row r="730" spans="1:15" s="38" customFormat="1" ht="10.7" customHeight="1" outlineLevel="1" x14ac:dyDescent="0.25">
      <c r="A730" s="124"/>
      <c r="B730" s="142"/>
      <c r="C730" s="115"/>
      <c r="D730" s="115"/>
      <c r="E730" s="115"/>
      <c r="F730" s="115"/>
      <c r="G730" s="60" t="s">
        <v>130</v>
      </c>
      <c r="H730" s="124"/>
      <c r="I730" s="124"/>
      <c r="J730" s="60"/>
      <c r="K730" s="60"/>
      <c r="L730" s="60"/>
      <c r="M730" s="60"/>
      <c r="N730" s="60">
        <f t="shared" si="224"/>
        <v>0</v>
      </c>
      <c r="O730" s="60">
        <f t="shared" si="225"/>
        <v>0</v>
      </c>
    </row>
    <row r="731" spans="1:15" s="38" customFormat="1" ht="12" customHeight="1" outlineLevel="1" thickBot="1" x14ac:dyDescent="0.3">
      <c r="A731" s="125"/>
      <c r="B731" s="143"/>
      <c r="C731" s="131"/>
      <c r="D731" s="131"/>
      <c r="E731" s="131"/>
      <c r="F731" s="131"/>
      <c r="G731" s="60" t="s">
        <v>131</v>
      </c>
      <c r="H731" s="134"/>
      <c r="I731" s="134"/>
      <c r="J731" s="60"/>
      <c r="K731" s="60"/>
      <c r="L731" s="60"/>
      <c r="M731" s="60"/>
      <c r="N731" s="60">
        <f t="shared" si="224"/>
        <v>0</v>
      </c>
      <c r="O731" s="60">
        <f t="shared" si="225"/>
        <v>0</v>
      </c>
    </row>
    <row r="732" spans="1:15" s="38" customFormat="1" ht="14.45" customHeight="1" outlineLevel="1" x14ac:dyDescent="0.25">
      <c r="A732" s="140" t="s">
        <v>730</v>
      </c>
      <c r="B732" s="141" t="s">
        <v>731</v>
      </c>
      <c r="C732" s="130">
        <f>SUM(N732:N738)</f>
        <v>0</v>
      </c>
      <c r="D732" s="130">
        <f>SUM(O732:O738)</f>
        <v>0</v>
      </c>
      <c r="E732" s="130">
        <f t="shared" si="221"/>
        <v>0</v>
      </c>
      <c r="F732" s="130"/>
      <c r="G732" s="60" t="s">
        <v>125</v>
      </c>
      <c r="H732" s="123"/>
      <c r="I732" s="123"/>
      <c r="J732" s="60"/>
      <c r="K732" s="60"/>
      <c r="L732" s="60"/>
      <c r="M732" s="60"/>
      <c r="N732" s="60">
        <f>M732*J732*K732*L732</f>
        <v>0</v>
      </c>
      <c r="O732" s="60">
        <f>J732*K732*L732</f>
        <v>0</v>
      </c>
    </row>
    <row r="733" spans="1:15" s="38" customFormat="1" ht="11.45" customHeight="1" outlineLevel="1" x14ac:dyDescent="0.25">
      <c r="A733" s="124"/>
      <c r="B733" s="142"/>
      <c r="C733" s="115"/>
      <c r="D733" s="115"/>
      <c r="E733" s="115"/>
      <c r="F733" s="115"/>
      <c r="G733" s="60" t="s">
        <v>126</v>
      </c>
      <c r="H733" s="124"/>
      <c r="I733" s="124"/>
      <c r="J733" s="60"/>
      <c r="K733" s="60"/>
      <c r="L733" s="60"/>
      <c r="M733" s="60"/>
      <c r="N733" s="60">
        <f t="shared" ref="N733:N738" si="226">M733*J733*K733*L733</f>
        <v>0</v>
      </c>
      <c r="O733" s="60">
        <f t="shared" ref="O733:O738" si="227">J733*K733*L733</f>
        <v>0</v>
      </c>
    </row>
    <row r="734" spans="1:15" s="38" customFormat="1" ht="10.7" customHeight="1" outlineLevel="1" x14ac:dyDescent="0.25">
      <c r="A734" s="124"/>
      <c r="B734" s="142"/>
      <c r="C734" s="115"/>
      <c r="D734" s="115"/>
      <c r="E734" s="115"/>
      <c r="F734" s="115"/>
      <c r="G734" s="60" t="s">
        <v>127</v>
      </c>
      <c r="H734" s="124"/>
      <c r="I734" s="124"/>
      <c r="J734" s="60"/>
      <c r="K734" s="60"/>
      <c r="L734" s="60"/>
      <c r="M734" s="60"/>
      <c r="N734" s="60">
        <f t="shared" si="226"/>
        <v>0</v>
      </c>
      <c r="O734" s="60">
        <f t="shared" si="227"/>
        <v>0</v>
      </c>
    </row>
    <row r="735" spans="1:15" s="38" customFormat="1" ht="10.7" customHeight="1" outlineLevel="1" x14ac:dyDescent="0.25">
      <c r="A735" s="124"/>
      <c r="B735" s="142"/>
      <c r="C735" s="115"/>
      <c r="D735" s="115"/>
      <c r="E735" s="115"/>
      <c r="F735" s="115"/>
      <c r="G735" s="60" t="s">
        <v>128</v>
      </c>
      <c r="H735" s="124"/>
      <c r="I735" s="124"/>
      <c r="J735" s="60"/>
      <c r="K735" s="60"/>
      <c r="L735" s="60"/>
      <c r="M735" s="60"/>
      <c r="N735" s="60">
        <f t="shared" si="226"/>
        <v>0</v>
      </c>
      <c r="O735" s="60">
        <f t="shared" si="227"/>
        <v>0</v>
      </c>
    </row>
    <row r="736" spans="1:15" s="38" customFormat="1" ht="10.7" customHeight="1" outlineLevel="1" x14ac:dyDescent="0.25">
      <c r="A736" s="124"/>
      <c r="B736" s="142"/>
      <c r="C736" s="115"/>
      <c r="D736" s="115"/>
      <c r="E736" s="115"/>
      <c r="F736" s="115"/>
      <c r="G736" s="60" t="s">
        <v>129</v>
      </c>
      <c r="H736" s="124"/>
      <c r="I736" s="124"/>
      <c r="J736" s="60"/>
      <c r="K736" s="60"/>
      <c r="L736" s="60"/>
      <c r="M736" s="60"/>
      <c r="N736" s="60">
        <f t="shared" si="226"/>
        <v>0</v>
      </c>
      <c r="O736" s="60">
        <f t="shared" si="227"/>
        <v>0</v>
      </c>
    </row>
    <row r="737" spans="1:15" s="38" customFormat="1" ht="10.7" customHeight="1" outlineLevel="1" x14ac:dyDescent="0.25">
      <c r="A737" s="124"/>
      <c r="B737" s="142"/>
      <c r="C737" s="115"/>
      <c r="D737" s="115"/>
      <c r="E737" s="115"/>
      <c r="F737" s="115"/>
      <c r="G737" s="60" t="s">
        <v>130</v>
      </c>
      <c r="H737" s="124"/>
      <c r="I737" s="124"/>
      <c r="J737" s="60"/>
      <c r="K737" s="60"/>
      <c r="L737" s="60"/>
      <c r="M737" s="60"/>
      <c r="N737" s="60">
        <f t="shared" si="226"/>
        <v>0</v>
      </c>
      <c r="O737" s="60">
        <f t="shared" si="227"/>
        <v>0</v>
      </c>
    </row>
    <row r="738" spans="1:15" s="38" customFormat="1" ht="12" customHeight="1" outlineLevel="1" thickBot="1" x14ac:dyDescent="0.3">
      <c r="A738" s="125"/>
      <c r="B738" s="143"/>
      <c r="C738" s="131"/>
      <c r="D738" s="131"/>
      <c r="E738" s="131"/>
      <c r="F738" s="131"/>
      <c r="G738" s="60" t="s">
        <v>131</v>
      </c>
      <c r="H738" s="134"/>
      <c r="I738" s="134"/>
      <c r="J738" s="60"/>
      <c r="K738" s="60"/>
      <c r="L738" s="60"/>
      <c r="M738" s="60"/>
      <c r="N738" s="60">
        <f t="shared" si="226"/>
        <v>0</v>
      </c>
      <c r="O738" s="60">
        <f t="shared" si="227"/>
        <v>0</v>
      </c>
    </row>
    <row r="739" spans="1:15" s="38" customFormat="1" ht="14.45" customHeight="1" outlineLevel="1" x14ac:dyDescent="0.25">
      <c r="A739" s="140" t="s">
        <v>732</v>
      </c>
      <c r="B739" s="141" t="s">
        <v>733</v>
      </c>
      <c r="C739" s="130">
        <f>SUM(N739:N745)</f>
        <v>0</v>
      </c>
      <c r="D739" s="130">
        <f>SUM(O739:O745)</f>
        <v>0</v>
      </c>
      <c r="E739" s="130">
        <f t="shared" si="221"/>
        <v>0</v>
      </c>
      <c r="F739" s="130"/>
      <c r="G739" s="60" t="s">
        <v>125</v>
      </c>
      <c r="H739" s="123"/>
      <c r="I739" s="123"/>
      <c r="J739" s="60"/>
      <c r="K739" s="60"/>
      <c r="L739" s="60"/>
      <c r="M739" s="60"/>
      <c r="N739" s="60">
        <f>M739*J739*K739*L739</f>
        <v>0</v>
      </c>
      <c r="O739" s="60">
        <f>J739*K739*L739</f>
        <v>0</v>
      </c>
    </row>
    <row r="740" spans="1:15" s="38" customFormat="1" ht="11.45" customHeight="1" outlineLevel="1" x14ac:dyDescent="0.25">
      <c r="A740" s="124"/>
      <c r="B740" s="142"/>
      <c r="C740" s="115"/>
      <c r="D740" s="115"/>
      <c r="E740" s="115"/>
      <c r="F740" s="115"/>
      <c r="G740" s="60" t="s">
        <v>126</v>
      </c>
      <c r="H740" s="124"/>
      <c r="I740" s="124"/>
      <c r="J740" s="60"/>
      <c r="K740" s="60"/>
      <c r="L740" s="60"/>
      <c r="M740" s="60"/>
      <c r="N740" s="60">
        <f t="shared" ref="N740:N745" si="228">M740*J740*K740*L740</f>
        <v>0</v>
      </c>
      <c r="O740" s="60">
        <f t="shared" ref="O740:O745" si="229">J740*K740*L740</f>
        <v>0</v>
      </c>
    </row>
    <row r="741" spans="1:15" s="38" customFormat="1" ht="10.7" customHeight="1" outlineLevel="1" x14ac:dyDescent="0.25">
      <c r="A741" s="124"/>
      <c r="B741" s="142"/>
      <c r="C741" s="115"/>
      <c r="D741" s="115"/>
      <c r="E741" s="115"/>
      <c r="F741" s="115"/>
      <c r="G741" s="60" t="s">
        <v>127</v>
      </c>
      <c r="H741" s="124"/>
      <c r="I741" s="124"/>
      <c r="J741" s="60"/>
      <c r="K741" s="60"/>
      <c r="L741" s="60"/>
      <c r="M741" s="60"/>
      <c r="N741" s="60">
        <f t="shared" si="228"/>
        <v>0</v>
      </c>
      <c r="O741" s="60">
        <f t="shared" si="229"/>
        <v>0</v>
      </c>
    </row>
    <row r="742" spans="1:15" s="38" customFormat="1" ht="10.7" customHeight="1" outlineLevel="1" x14ac:dyDescent="0.25">
      <c r="A742" s="124"/>
      <c r="B742" s="142"/>
      <c r="C742" s="115"/>
      <c r="D742" s="115"/>
      <c r="E742" s="115"/>
      <c r="F742" s="115"/>
      <c r="G742" s="60" t="s">
        <v>128</v>
      </c>
      <c r="H742" s="124"/>
      <c r="I742" s="124"/>
      <c r="J742" s="60"/>
      <c r="K742" s="60"/>
      <c r="L742" s="60"/>
      <c r="M742" s="60"/>
      <c r="N742" s="60">
        <f t="shared" si="228"/>
        <v>0</v>
      </c>
      <c r="O742" s="60">
        <f t="shared" si="229"/>
        <v>0</v>
      </c>
    </row>
    <row r="743" spans="1:15" s="38" customFormat="1" ht="10.7" customHeight="1" outlineLevel="1" x14ac:dyDescent="0.25">
      <c r="A743" s="124"/>
      <c r="B743" s="142"/>
      <c r="C743" s="115"/>
      <c r="D743" s="115"/>
      <c r="E743" s="115"/>
      <c r="F743" s="115"/>
      <c r="G743" s="60" t="s">
        <v>129</v>
      </c>
      <c r="H743" s="124"/>
      <c r="I743" s="124"/>
      <c r="J743" s="60"/>
      <c r="K743" s="60"/>
      <c r="L743" s="60"/>
      <c r="M743" s="60"/>
      <c r="N743" s="60">
        <f t="shared" si="228"/>
        <v>0</v>
      </c>
      <c r="O743" s="60">
        <f t="shared" si="229"/>
        <v>0</v>
      </c>
    </row>
    <row r="744" spans="1:15" s="38" customFormat="1" ht="10.7" customHeight="1" outlineLevel="1" x14ac:dyDescent="0.25">
      <c r="A744" s="124"/>
      <c r="B744" s="142"/>
      <c r="C744" s="115"/>
      <c r="D744" s="115"/>
      <c r="E744" s="115"/>
      <c r="F744" s="115"/>
      <c r="G744" s="60" t="s">
        <v>130</v>
      </c>
      <c r="H744" s="124"/>
      <c r="I744" s="124"/>
      <c r="J744" s="60"/>
      <c r="K744" s="60"/>
      <c r="L744" s="60"/>
      <c r="M744" s="60"/>
      <c r="N744" s="60">
        <f t="shared" si="228"/>
        <v>0</v>
      </c>
      <c r="O744" s="60">
        <f t="shared" si="229"/>
        <v>0</v>
      </c>
    </row>
    <row r="745" spans="1:15" s="38" customFormat="1" ht="12" customHeight="1" outlineLevel="1" thickBot="1" x14ac:dyDescent="0.3">
      <c r="A745" s="125"/>
      <c r="B745" s="143"/>
      <c r="C745" s="131"/>
      <c r="D745" s="131"/>
      <c r="E745" s="131"/>
      <c r="F745" s="131"/>
      <c r="G745" s="60" t="s">
        <v>131</v>
      </c>
      <c r="H745" s="134"/>
      <c r="I745" s="134"/>
      <c r="J745" s="60"/>
      <c r="K745" s="60"/>
      <c r="L745" s="60"/>
      <c r="M745" s="60"/>
      <c r="N745" s="60">
        <f t="shared" si="228"/>
        <v>0</v>
      </c>
      <c r="O745" s="60">
        <f t="shared" si="229"/>
        <v>0</v>
      </c>
    </row>
    <row r="746" spans="1:15" s="39" customFormat="1" ht="15.75" x14ac:dyDescent="0.25">
      <c r="A746" s="40" t="s">
        <v>257</v>
      </c>
      <c r="B746" s="41" t="s">
        <v>734</v>
      </c>
      <c r="C746" s="42">
        <f>SUM(C747:C1194)</f>
        <v>0</v>
      </c>
      <c r="D746" s="42">
        <f>SUM(D747:D1194)</f>
        <v>0</v>
      </c>
      <c r="E746" s="42">
        <f>SUM(E747:E1194)</f>
        <v>0</v>
      </c>
      <c r="F746" s="57"/>
      <c r="G746" s="57"/>
      <c r="H746" s="57"/>
      <c r="I746" s="57"/>
      <c r="J746" s="57"/>
      <c r="K746" s="57"/>
      <c r="L746" s="57"/>
      <c r="M746" s="57"/>
      <c r="N746" s="57"/>
      <c r="O746" s="43"/>
    </row>
    <row r="747" spans="1:15" s="38" customFormat="1" ht="14.45" customHeight="1" outlineLevel="1" x14ac:dyDescent="0.25">
      <c r="A747" s="140" t="s">
        <v>259</v>
      </c>
      <c r="B747" s="141" t="s">
        <v>735</v>
      </c>
      <c r="C747" s="130">
        <f>SUM(N747:N753)</f>
        <v>0</v>
      </c>
      <c r="D747" s="130">
        <f>SUM(O747:O753)</f>
        <v>0</v>
      </c>
      <c r="E747" s="130">
        <f t="shared" ref="E747:E810" si="230">D747/8</f>
        <v>0</v>
      </c>
      <c r="F747" s="130"/>
      <c r="G747" s="60" t="s">
        <v>125</v>
      </c>
      <c r="H747" s="123"/>
      <c r="I747" s="123"/>
      <c r="J747" s="60"/>
      <c r="K747" s="60"/>
      <c r="L747" s="60"/>
      <c r="M747" s="60"/>
      <c r="N747" s="60">
        <f>M747*J747*K747*L747</f>
        <v>0</v>
      </c>
      <c r="O747" s="60">
        <f>J747*K747*L747</f>
        <v>0</v>
      </c>
    </row>
    <row r="748" spans="1:15" s="38" customFormat="1" ht="11.45" customHeight="1" outlineLevel="1" x14ac:dyDescent="0.25">
      <c r="A748" s="124"/>
      <c r="B748" s="142"/>
      <c r="C748" s="115"/>
      <c r="D748" s="115"/>
      <c r="E748" s="115"/>
      <c r="F748" s="115"/>
      <c r="G748" s="60" t="s">
        <v>126</v>
      </c>
      <c r="H748" s="124"/>
      <c r="I748" s="124"/>
      <c r="J748" s="60"/>
      <c r="K748" s="60"/>
      <c r="L748" s="60"/>
      <c r="M748" s="60"/>
      <c r="N748" s="60">
        <f t="shared" ref="N748:N753" si="231">M748*J748*K748*L748</f>
        <v>0</v>
      </c>
      <c r="O748" s="60">
        <f t="shared" ref="O748:O753" si="232">J748*K748*L748</f>
        <v>0</v>
      </c>
    </row>
    <row r="749" spans="1:15" s="38" customFormat="1" ht="10.7" customHeight="1" outlineLevel="1" x14ac:dyDescent="0.25">
      <c r="A749" s="124"/>
      <c r="B749" s="142"/>
      <c r="C749" s="115"/>
      <c r="D749" s="115"/>
      <c r="E749" s="115"/>
      <c r="F749" s="115"/>
      <c r="G749" s="60" t="s">
        <v>127</v>
      </c>
      <c r="H749" s="124"/>
      <c r="I749" s="124"/>
      <c r="J749" s="60"/>
      <c r="K749" s="60"/>
      <c r="L749" s="60"/>
      <c r="M749" s="60"/>
      <c r="N749" s="60">
        <f t="shared" si="231"/>
        <v>0</v>
      </c>
      <c r="O749" s="60">
        <f t="shared" si="232"/>
        <v>0</v>
      </c>
    </row>
    <row r="750" spans="1:15" s="38" customFormat="1" ht="10.7" customHeight="1" outlineLevel="1" x14ac:dyDescent="0.25">
      <c r="A750" s="124"/>
      <c r="B750" s="142"/>
      <c r="C750" s="115"/>
      <c r="D750" s="115"/>
      <c r="E750" s="115"/>
      <c r="F750" s="115"/>
      <c r="G750" s="60" t="s">
        <v>128</v>
      </c>
      <c r="H750" s="124"/>
      <c r="I750" s="124"/>
      <c r="J750" s="60"/>
      <c r="K750" s="60"/>
      <c r="L750" s="60"/>
      <c r="M750" s="60"/>
      <c r="N750" s="60">
        <f t="shared" si="231"/>
        <v>0</v>
      </c>
      <c r="O750" s="60">
        <f t="shared" si="232"/>
        <v>0</v>
      </c>
    </row>
    <row r="751" spans="1:15" s="38" customFormat="1" ht="10.7" customHeight="1" outlineLevel="1" x14ac:dyDescent="0.25">
      <c r="A751" s="124"/>
      <c r="B751" s="142"/>
      <c r="C751" s="115"/>
      <c r="D751" s="115"/>
      <c r="E751" s="115"/>
      <c r="F751" s="115"/>
      <c r="G751" s="60" t="s">
        <v>129</v>
      </c>
      <c r="H751" s="124"/>
      <c r="I751" s="124"/>
      <c r="J751" s="60"/>
      <c r="K751" s="60"/>
      <c r="L751" s="60"/>
      <c r="M751" s="60"/>
      <c r="N751" s="60">
        <f t="shared" si="231"/>
        <v>0</v>
      </c>
      <c r="O751" s="60">
        <f t="shared" si="232"/>
        <v>0</v>
      </c>
    </row>
    <row r="752" spans="1:15" s="38" customFormat="1" ht="10.7" customHeight="1" outlineLevel="1" x14ac:dyDescent="0.25">
      <c r="A752" s="124"/>
      <c r="B752" s="142"/>
      <c r="C752" s="115"/>
      <c r="D752" s="115"/>
      <c r="E752" s="115"/>
      <c r="F752" s="115"/>
      <c r="G752" s="60" t="s">
        <v>130</v>
      </c>
      <c r="H752" s="124"/>
      <c r="I752" s="124"/>
      <c r="J752" s="60"/>
      <c r="K752" s="60"/>
      <c r="L752" s="60"/>
      <c r="M752" s="60"/>
      <c r="N752" s="60">
        <f t="shared" si="231"/>
        <v>0</v>
      </c>
      <c r="O752" s="60">
        <f t="shared" si="232"/>
        <v>0</v>
      </c>
    </row>
    <row r="753" spans="1:15" s="38" customFormat="1" ht="12" customHeight="1" outlineLevel="1" thickBot="1" x14ac:dyDescent="0.3">
      <c r="A753" s="125"/>
      <c r="B753" s="143"/>
      <c r="C753" s="131"/>
      <c r="D753" s="131"/>
      <c r="E753" s="131"/>
      <c r="F753" s="131"/>
      <c r="G753" s="60" t="s">
        <v>131</v>
      </c>
      <c r="H753" s="134"/>
      <c r="I753" s="134"/>
      <c r="J753" s="60"/>
      <c r="K753" s="60"/>
      <c r="L753" s="60"/>
      <c r="M753" s="60"/>
      <c r="N753" s="60">
        <f t="shared" si="231"/>
        <v>0</v>
      </c>
      <c r="O753" s="60">
        <f t="shared" si="232"/>
        <v>0</v>
      </c>
    </row>
    <row r="754" spans="1:15" s="38" customFormat="1" ht="14.45" customHeight="1" outlineLevel="1" x14ac:dyDescent="0.25">
      <c r="A754" s="140" t="s">
        <v>736</v>
      </c>
      <c r="B754" s="141" t="s">
        <v>737</v>
      </c>
      <c r="C754" s="130">
        <f>SUM(N754:N760)</f>
        <v>0</v>
      </c>
      <c r="D754" s="130">
        <f>SUM(O754:O760)</f>
        <v>0</v>
      </c>
      <c r="E754" s="130">
        <f t="shared" si="230"/>
        <v>0</v>
      </c>
      <c r="F754" s="130"/>
      <c r="G754" s="60" t="s">
        <v>125</v>
      </c>
      <c r="H754" s="123"/>
      <c r="I754" s="123"/>
      <c r="J754" s="60"/>
      <c r="K754" s="60"/>
      <c r="L754" s="60"/>
      <c r="M754" s="60"/>
      <c r="N754" s="60">
        <f>M754*J754*K754*L754</f>
        <v>0</v>
      </c>
      <c r="O754" s="60">
        <f>J754*K754*L754</f>
        <v>0</v>
      </c>
    </row>
    <row r="755" spans="1:15" s="38" customFormat="1" ht="11.45" customHeight="1" outlineLevel="1" x14ac:dyDescent="0.25">
      <c r="A755" s="124"/>
      <c r="B755" s="142"/>
      <c r="C755" s="115"/>
      <c r="D755" s="115"/>
      <c r="E755" s="115"/>
      <c r="F755" s="115"/>
      <c r="G755" s="60" t="s">
        <v>126</v>
      </c>
      <c r="H755" s="124"/>
      <c r="I755" s="124"/>
      <c r="J755" s="60"/>
      <c r="K755" s="60"/>
      <c r="L755" s="60"/>
      <c r="M755" s="60"/>
      <c r="N755" s="60">
        <f t="shared" ref="N755:N760" si="233">M755*J755*K755*L755</f>
        <v>0</v>
      </c>
      <c r="O755" s="60">
        <f t="shared" ref="O755:O760" si="234">J755*K755*L755</f>
        <v>0</v>
      </c>
    </row>
    <row r="756" spans="1:15" s="38" customFormat="1" ht="10.7" customHeight="1" outlineLevel="1" x14ac:dyDescent="0.25">
      <c r="A756" s="124"/>
      <c r="B756" s="142"/>
      <c r="C756" s="115"/>
      <c r="D756" s="115"/>
      <c r="E756" s="115"/>
      <c r="F756" s="115"/>
      <c r="G756" s="60" t="s">
        <v>127</v>
      </c>
      <c r="H756" s="124"/>
      <c r="I756" s="124"/>
      <c r="J756" s="60"/>
      <c r="K756" s="60"/>
      <c r="L756" s="60"/>
      <c r="M756" s="60"/>
      <c r="N756" s="60">
        <f t="shared" si="233"/>
        <v>0</v>
      </c>
      <c r="O756" s="60">
        <f t="shared" si="234"/>
        <v>0</v>
      </c>
    </row>
    <row r="757" spans="1:15" s="38" customFormat="1" ht="10.7" customHeight="1" outlineLevel="1" x14ac:dyDescent="0.25">
      <c r="A757" s="124"/>
      <c r="B757" s="142"/>
      <c r="C757" s="115"/>
      <c r="D757" s="115"/>
      <c r="E757" s="115"/>
      <c r="F757" s="115"/>
      <c r="G757" s="60" t="s">
        <v>128</v>
      </c>
      <c r="H757" s="124"/>
      <c r="I757" s="124"/>
      <c r="J757" s="60"/>
      <c r="K757" s="60"/>
      <c r="L757" s="60"/>
      <c r="M757" s="60"/>
      <c r="N757" s="60">
        <f t="shared" si="233"/>
        <v>0</v>
      </c>
      <c r="O757" s="60">
        <f t="shared" si="234"/>
        <v>0</v>
      </c>
    </row>
    <row r="758" spans="1:15" s="38" customFormat="1" ht="10.7" customHeight="1" outlineLevel="1" x14ac:dyDescent="0.25">
      <c r="A758" s="124"/>
      <c r="B758" s="142"/>
      <c r="C758" s="115"/>
      <c r="D758" s="115"/>
      <c r="E758" s="115"/>
      <c r="F758" s="115"/>
      <c r="G758" s="60" t="s">
        <v>129</v>
      </c>
      <c r="H758" s="124"/>
      <c r="I758" s="124"/>
      <c r="J758" s="60"/>
      <c r="K758" s="60"/>
      <c r="L758" s="60"/>
      <c r="M758" s="60"/>
      <c r="N758" s="60">
        <f t="shared" si="233"/>
        <v>0</v>
      </c>
      <c r="O758" s="60">
        <f t="shared" si="234"/>
        <v>0</v>
      </c>
    </row>
    <row r="759" spans="1:15" s="38" customFormat="1" ht="10.7" customHeight="1" outlineLevel="1" x14ac:dyDescent="0.25">
      <c r="A759" s="124"/>
      <c r="B759" s="142"/>
      <c r="C759" s="115"/>
      <c r="D759" s="115"/>
      <c r="E759" s="115"/>
      <c r="F759" s="115"/>
      <c r="G759" s="60" t="s">
        <v>130</v>
      </c>
      <c r="H759" s="124"/>
      <c r="I759" s="124"/>
      <c r="J759" s="60"/>
      <c r="K759" s="60"/>
      <c r="L759" s="60"/>
      <c r="M759" s="60"/>
      <c r="N759" s="60">
        <f t="shared" si="233"/>
        <v>0</v>
      </c>
      <c r="O759" s="60">
        <f t="shared" si="234"/>
        <v>0</v>
      </c>
    </row>
    <row r="760" spans="1:15" s="38" customFormat="1" ht="12" customHeight="1" outlineLevel="1" thickBot="1" x14ac:dyDescent="0.3">
      <c r="A760" s="125"/>
      <c r="B760" s="143"/>
      <c r="C760" s="131"/>
      <c r="D760" s="131"/>
      <c r="E760" s="131"/>
      <c r="F760" s="131"/>
      <c r="G760" s="60" t="s">
        <v>131</v>
      </c>
      <c r="H760" s="134"/>
      <c r="I760" s="134"/>
      <c r="J760" s="60"/>
      <c r="K760" s="60"/>
      <c r="L760" s="60"/>
      <c r="M760" s="60"/>
      <c r="N760" s="60">
        <f t="shared" si="233"/>
        <v>0</v>
      </c>
      <c r="O760" s="60">
        <f t="shared" si="234"/>
        <v>0</v>
      </c>
    </row>
    <row r="761" spans="1:15" s="38" customFormat="1" ht="14.45" customHeight="1" outlineLevel="1" x14ac:dyDescent="0.25">
      <c r="A761" s="140" t="s">
        <v>738</v>
      </c>
      <c r="B761" s="141" t="s">
        <v>739</v>
      </c>
      <c r="C761" s="130">
        <f>SUM(N761:N767)</f>
        <v>0</v>
      </c>
      <c r="D761" s="130">
        <f>SUM(O761:O767)</f>
        <v>0</v>
      </c>
      <c r="E761" s="130">
        <f t="shared" si="230"/>
        <v>0</v>
      </c>
      <c r="F761" s="130"/>
      <c r="G761" s="60" t="s">
        <v>125</v>
      </c>
      <c r="H761" s="123"/>
      <c r="I761" s="123"/>
      <c r="J761" s="60"/>
      <c r="K761" s="60"/>
      <c r="L761" s="60"/>
      <c r="M761" s="60"/>
      <c r="N761" s="60">
        <f>M761*J761*K761*L761</f>
        <v>0</v>
      </c>
      <c r="O761" s="60">
        <f>J761*K761*L761</f>
        <v>0</v>
      </c>
    </row>
    <row r="762" spans="1:15" s="38" customFormat="1" ht="11.45" customHeight="1" outlineLevel="1" x14ac:dyDescent="0.25">
      <c r="A762" s="124"/>
      <c r="B762" s="142"/>
      <c r="C762" s="115"/>
      <c r="D762" s="115"/>
      <c r="E762" s="115"/>
      <c r="F762" s="115"/>
      <c r="G762" s="60" t="s">
        <v>126</v>
      </c>
      <c r="H762" s="124"/>
      <c r="I762" s="124"/>
      <c r="J762" s="60"/>
      <c r="K762" s="60"/>
      <c r="L762" s="60"/>
      <c r="M762" s="60"/>
      <c r="N762" s="60">
        <f t="shared" ref="N762:N767" si="235">M762*J762*K762*L762</f>
        <v>0</v>
      </c>
      <c r="O762" s="60">
        <f t="shared" ref="O762:O767" si="236">J762*K762*L762</f>
        <v>0</v>
      </c>
    </row>
    <row r="763" spans="1:15" s="38" customFormat="1" ht="10.7" customHeight="1" outlineLevel="1" x14ac:dyDescent="0.25">
      <c r="A763" s="124"/>
      <c r="B763" s="142"/>
      <c r="C763" s="115"/>
      <c r="D763" s="115"/>
      <c r="E763" s="115"/>
      <c r="F763" s="115"/>
      <c r="G763" s="60" t="s">
        <v>127</v>
      </c>
      <c r="H763" s="124"/>
      <c r="I763" s="124"/>
      <c r="J763" s="60"/>
      <c r="K763" s="60"/>
      <c r="L763" s="60"/>
      <c r="M763" s="60"/>
      <c r="N763" s="60">
        <f t="shared" si="235"/>
        <v>0</v>
      </c>
      <c r="O763" s="60">
        <f t="shared" si="236"/>
        <v>0</v>
      </c>
    </row>
    <row r="764" spans="1:15" s="38" customFormat="1" ht="10.7" customHeight="1" outlineLevel="1" x14ac:dyDescent="0.25">
      <c r="A764" s="124"/>
      <c r="B764" s="142"/>
      <c r="C764" s="115"/>
      <c r="D764" s="115"/>
      <c r="E764" s="115"/>
      <c r="F764" s="115"/>
      <c r="G764" s="60" t="s">
        <v>128</v>
      </c>
      <c r="H764" s="124"/>
      <c r="I764" s="124"/>
      <c r="J764" s="60"/>
      <c r="K764" s="60"/>
      <c r="L764" s="60"/>
      <c r="M764" s="60"/>
      <c r="N764" s="60">
        <f t="shared" si="235"/>
        <v>0</v>
      </c>
      <c r="O764" s="60">
        <f t="shared" si="236"/>
        <v>0</v>
      </c>
    </row>
    <row r="765" spans="1:15" s="38" customFormat="1" ht="10.7" customHeight="1" outlineLevel="1" x14ac:dyDescent="0.25">
      <c r="A765" s="124"/>
      <c r="B765" s="142"/>
      <c r="C765" s="115"/>
      <c r="D765" s="115"/>
      <c r="E765" s="115"/>
      <c r="F765" s="115"/>
      <c r="G765" s="60" t="s">
        <v>129</v>
      </c>
      <c r="H765" s="124"/>
      <c r="I765" s="124"/>
      <c r="J765" s="60"/>
      <c r="K765" s="60"/>
      <c r="L765" s="60"/>
      <c r="M765" s="60"/>
      <c r="N765" s="60">
        <f t="shared" si="235"/>
        <v>0</v>
      </c>
      <c r="O765" s="60">
        <f t="shared" si="236"/>
        <v>0</v>
      </c>
    </row>
    <row r="766" spans="1:15" s="38" customFormat="1" ht="10.7" customHeight="1" outlineLevel="1" x14ac:dyDescent="0.25">
      <c r="A766" s="124"/>
      <c r="B766" s="142"/>
      <c r="C766" s="115"/>
      <c r="D766" s="115"/>
      <c r="E766" s="115"/>
      <c r="F766" s="115"/>
      <c r="G766" s="60" t="s">
        <v>130</v>
      </c>
      <c r="H766" s="124"/>
      <c r="I766" s="124"/>
      <c r="J766" s="60"/>
      <c r="K766" s="60"/>
      <c r="L766" s="60"/>
      <c r="M766" s="60"/>
      <c r="N766" s="60">
        <f t="shared" si="235"/>
        <v>0</v>
      </c>
      <c r="O766" s="60">
        <f t="shared" si="236"/>
        <v>0</v>
      </c>
    </row>
    <row r="767" spans="1:15" s="38" customFormat="1" ht="12" customHeight="1" outlineLevel="1" thickBot="1" x14ac:dyDescent="0.3">
      <c r="A767" s="125"/>
      <c r="B767" s="143"/>
      <c r="C767" s="131"/>
      <c r="D767" s="131"/>
      <c r="E767" s="131"/>
      <c r="F767" s="131"/>
      <c r="G767" s="60" t="s">
        <v>131</v>
      </c>
      <c r="H767" s="134"/>
      <c r="I767" s="134"/>
      <c r="J767" s="60"/>
      <c r="K767" s="60"/>
      <c r="L767" s="60"/>
      <c r="M767" s="60"/>
      <c r="N767" s="60">
        <f t="shared" si="235"/>
        <v>0</v>
      </c>
      <c r="O767" s="60">
        <f t="shared" si="236"/>
        <v>0</v>
      </c>
    </row>
    <row r="768" spans="1:15" s="38" customFormat="1" ht="14.45" customHeight="1" outlineLevel="1" x14ac:dyDescent="0.25">
      <c r="A768" s="140" t="s">
        <v>740</v>
      </c>
      <c r="B768" s="141" t="s">
        <v>741</v>
      </c>
      <c r="C768" s="130">
        <f>SUM(N768:N774)</f>
        <v>0</v>
      </c>
      <c r="D768" s="130">
        <f>SUM(O768:O774)</f>
        <v>0</v>
      </c>
      <c r="E768" s="130">
        <f t="shared" si="230"/>
        <v>0</v>
      </c>
      <c r="F768" s="130"/>
      <c r="G768" s="60" t="s">
        <v>125</v>
      </c>
      <c r="H768" s="123"/>
      <c r="I768" s="123"/>
      <c r="J768" s="60"/>
      <c r="K768" s="60"/>
      <c r="L768" s="60"/>
      <c r="M768" s="60"/>
      <c r="N768" s="60">
        <f>M768*J768*K768*L768</f>
        <v>0</v>
      </c>
      <c r="O768" s="60">
        <f>J768*K768*L768</f>
        <v>0</v>
      </c>
    </row>
    <row r="769" spans="1:15" s="38" customFormat="1" ht="11.45" customHeight="1" outlineLevel="1" x14ac:dyDescent="0.25">
      <c r="A769" s="124"/>
      <c r="B769" s="142"/>
      <c r="C769" s="115"/>
      <c r="D769" s="115"/>
      <c r="E769" s="115"/>
      <c r="F769" s="115"/>
      <c r="G769" s="60" t="s">
        <v>126</v>
      </c>
      <c r="H769" s="124"/>
      <c r="I769" s="124"/>
      <c r="J769" s="60"/>
      <c r="K769" s="60"/>
      <c r="L769" s="60"/>
      <c r="M769" s="60"/>
      <c r="N769" s="60">
        <f t="shared" ref="N769:N774" si="237">M769*J769*K769*L769</f>
        <v>0</v>
      </c>
      <c r="O769" s="60">
        <f t="shared" ref="O769:O774" si="238">J769*K769*L769</f>
        <v>0</v>
      </c>
    </row>
    <row r="770" spans="1:15" s="38" customFormat="1" ht="10.7" customHeight="1" outlineLevel="1" x14ac:dyDescent="0.25">
      <c r="A770" s="124"/>
      <c r="B770" s="142"/>
      <c r="C770" s="115"/>
      <c r="D770" s="115"/>
      <c r="E770" s="115"/>
      <c r="F770" s="115"/>
      <c r="G770" s="60" t="s">
        <v>127</v>
      </c>
      <c r="H770" s="124"/>
      <c r="I770" s="124"/>
      <c r="J770" s="60"/>
      <c r="K770" s="60"/>
      <c r="L770" s="60"/>
      <c r="M770" s="60"/>
      <c r="N770" s="60">
        <f t="shared" si="237"/>
        <v>0</v>
      </c>
      <c r="O770" s="60">
        <f t="shared" si="238"/>
        <v>0</v>
      </c>
    </row>
    <row r="771" spans="1:15" s="38" customFormat="1" ht="10.7" customHeight="1" outlineLevel="1" x14ac:dyDescent="0.25">
      <c r="A771" s="124"/>
      <c r="B771" s="142"/>
      <c r="C771" s="115"/>
      <c r="D771" s="115"/>
      <c r="E771" s="115"/>
      <c r="F771" s="115"/>
      <c r="G771" s="60" t="s">
        <v>128</v>
      </c>
      <c r="H771" s="124"/>
      <c r="I771" s="124"/>
      <c r="J771" s="60"/>
      <c r="K771" s="60"/>
      <c r="L771" s="60"/>
      <c r="M771" s="60"/>
      <c r="N771" s="60">
        <f t="shared" si="237"/>
        <v>0</v>
      </c>
      <c r="O771" s="60">
        <f t="shared" si="238"/>
        <v>0</v>
      </c>
    </row>
    <row r="772" spans="1:15" s="38" customFormat="1" ht="10.7" customHeight="1" outlineLevel="1" x14ac:dyDescent="0.25">
      <c r="A772" s="124"/>
      <c r="B772" s="142"/>
      <c r="C772" s="115"/>
      <c r="D772" s="115"/>
      <c r="E772" s="115"/>
      <c r="F772" s="115"/>
      <c r="G772" s="60" t="s">
        <v>129</v>
      </c>
      <c r="H772" s="124"/>
      <c r="I772" s="124"/>
      <c r="J772" s="60"/>
      <c r="K772" s="60"/>
      <c r="L772" s="60"/>
      <c r="M772" s="60"/>
      <c r="N772" s="60">
        <f t="shared" si="237"/>
        <v>0</v>
      </c>
      <c r="O772" s="60">
        <f t="shared" si="238"/>
        <v>0</v>
      </c>
    </row>
    <row r="773" spans="1:15" s="38" customFormat="1" ht="10.7" customHeight="1" outlineLevel="1" x14ac:dyDescent="0.25">
      <c r="A773" s="124"/>
      <c r="B773" s="142"/>
      <c r="C773" s="115"/>
      <c r="D773" s="115"/>
      <c r="E773" s="115"/>
      <c r="F773" s="115"/>
      <c r="G773" s="60" t="s">
        <v>130</v>
      </c>
      <c r="H773" s="124"/>
      <c r="I773" s="124"/>
      <c r="J773" s="60"/>
      <c r="K773" s="60"/>
      <c r="L773" s="60"/>
      <c r="M773" s="60"/>
      <c r="N773" s="60">
        <f t="shared" si="237"/>
        <v>0</v>
      </c>
      <c r="O773" s="60">
        <f t="shared" si="238"/>
        <v>0</v>
      </c>
    </row>
    <row r="774" spans="1:15" s="38" customFormat="1" ht="12" customHeight="1" outlineLevel="1" thickBot="1" x14ac:dyDescent="0.3">
      <c r="A774" s="125"/>
      <c r="B774" s="143"/>
      <c r="C774" s="131"/>
      <c r="D774" s="131"/>
      <c r="E774" s="131"/>
      <c r="F774" s="131"/>
      <c r="G774" s="60" t="s">
        <v>131</v>
      </c>
      <c r="H774" s="134"/>
      <c r="I774" s="134"/>
      <c r="J774" s="60"/>
      <c r="K774" s="60"/>
      <c r="L774" s="60"/>
      <c r="M774" s="60"/>
      <c r="N774" s="60">
        <f t="shared" si="237"/>
        <v>0</v>
      </c>
      <c r="O774" s="60">
        <f t="shared" si="238"/>
        <v>0</v>
      </c>
    </row>
    <row r="775" spans="1:15" s="38" customFormat="1" ht="14.45" customHeight="1" outlineLevel="1" x14ac:dyDescent="0.25">
      <c r="A775" s="140" t="s">
        <v>742</v>
      </c>
      <c r="B775" s="141" t="s">
        <v>743</v>
      </c>
      <c r="C775" s="130">
        <f>SUM(N775:N781)</f>
        <v>0</v>
      </c>
      <c r="D775" s="130">
        <f>SUM(O775:O781)</f>
        <v>0</v>
      </c>
      <c r="E775" s="130">
        <f t="shared" si="230"/>
        <v>0</v>
      </c>
      <c r="F775" s="130"/>
      <c r="G775" s="60" t="s">
        <v>125</v>
      </c>
      <c r="H775" s="123"/>
      <c r="I775" s="123"/>
      <c r="J775" s="60"/>
      <c r="K775" s="60"/>
      <c r="L775" s="60"/>
      <c r="M775" s="60"/>
      <c r="N775" s="60">
        <f>M775*J775*K775*L775</f>
        <v>0</v>
      </c>
      <c r="O775" s="60">
        <f>J775*K775*L775</f>
        <v>0</v>
      </c>
    </row>
    <row r="776" spans="1:15" s="38" customFormat="1" ht="11.45" customHeight="1" outlineLevel="1" x14ac:dyDescent="0.25">
      <c r="A776" s="124"/>
      <c r="B776" s="142"/>
      <c r="C776" s="115"/>
      <c r="D776" s="115"/>
      <c r="E776" s="115"/>
      <c r="F776" s="115"/>
      <c r="G776" s="60" t="s">
        <v>126</v>
      </c>
      <c r="H776" s="124"/>
      <c r="I776" s="124"/>
      <c r="J776" s="60"/>
      <c r="K776" s="60"/>
      <c r="L776" s="60"/>
      <c r="M776" s="60"/>
      <c r="N776" s="60">
        <f t="shared" ref="N776:N781" si="239">M776*J776*K776*L776</f>
        <v>0</v>
      </c>
      <c r="O776" s="60">
        <f t="shared" ref="O776:O781" si="240">J776*K776*L776</f>
        <v>0</v>
      </c>
    </row>
    <row r="777" spans="1:15" s="38" customFormat="1" ht="10.7" customHeight="1" outlineLevel="1" x14ac:dyDescent="0.25">
      <c r="A777" s="124"/>
      <c r="B777" s="142"/>
      <c r="C777" s="115"/>
      <c r="D777" s="115"/>
      <c r="E777" s="115"/>
      <c r="F777" s="115"/>
      <c r="G777" s="60" t="s">
        <v>127</v>
      </c>
      <c r="H777" s="124"/>
      <c r="I777" s="124"/>
      <c r="J777" s="60"/>
      <c r="K777" s="60"/>
      <c r="L777" s="60"/>
      <c r="M777" s="60"/>
      <c r="N777" s="60">
        <f t="shared" si="239"/>
        <v>0</v>
      </c>
      <c r="O777" s="60">
        <f t="shared" si="240"/>
        <v>0</v>
      </c>
    </row>
    <row r="778" spans="1:15" s="38" customFormat="1" ht="10.7" customHeight="1" outlineLevel="1" x14ac:dyDescent="0.25">
      <c r="A778" s="124"/>
      <c r="B778" s="142"/>
      <c r="C778" s="115"/>
      <c r="D778" s="115"/>
      <c r="E778" s="115"/>
      <c r="F778" s="115"/>
      <c r="G778" s="60" t="s">
        <v>128</v>
      </c>
      <c r="H778" s="124"/>
      <c r="I778" s="124"/>
      <c r="J778" s="60"/>
      <c r="K778" s="60"/>
      <c r="L778" s="60"/>
      <c r="M778" s="60"/>
      <c r="N778" s="60">
        <f t="shared" si="239"/>
        <v>0</v>
      </c>
      <c r="O778" s="60">
        <f t="shared" si="240"/>
        <v>0</v>
      </c>
    </row>
    <row r="779" spans="1:15" s="38" customFormat="1" ht="10.7" customHeight="1" outlineLevel="1" x14ac:dyDescent="0.25">
      <c r="A779" s="124"/>
      <c r="B779" s="142"/>
      <c r="C779" s="115"/>
      <c r="D779" s="115"/>
      <c r="E779" s="115"/>
      <c r="F779" s="115"/>
      <c r="G779" s="60" t="s">
        <v>129</v>
      </c>
      <c r="H779" s="124"/>
      <c r="I779" s="124"/>
      <c r="J779" s="60"/>
      <c r="K779" s="60"/>
      <c r="L779" s="60"/>
      <c r="M779" s="60"/>
      <c r="N779" s="60">
        <f t="shared" si="239"/>
        <v>0</v>
      </c>
      <c r="O779" s="60">
        <f t="shared" si="240"/>
        <v>0</v>
      </c>
    </row>
    <row r="780" spans="1:15" s="38" customFormat="1" ht="10.7" customHeight="1" outlineLevel="1" x14ac:dyDescent="0.25">
      <c r="A780" s="124"/>
      <c r="B780" s="142"/>
      <c r="C780" s="115"/>
      <c r="D780" s="115"/>
      <c r="E780" s="115"/>
      <c r="F780" s="115"/>
      <c r="G780" s="60" t="s">
        <v>130</v>
      </c>
      <c r="H780" s="124"/>
      <c r="I780" s="124"/>
      <c r="J780" s="60"/>
      <c r="K780" s="60"/>
      <c r="L780" s="60"/>
      <c r="M780" s="60"/>
      <c r="N780" s="60">
        <f t="shared" si="239"/>
        <v>0</v>
      </c>
      <c r="O780" s="60">
        <f t="shared" si="240"/>
        <v>0</v>
      </c>
    </row>
    <row r="781" spans="1:15" s="38" customFormat="1" ht="12" customHeight="1" outlineLevel="1" thickBot="1" x14ac:dyDescent="0.3">
      <c r="A781" s="125"/>
      <c r="B781" s="143"/>
      <c r="C781" s="131"/>
      <c r="D781" s="131"/>
      <c r="E781" s="131"/>
      <c r="F781" s="131"/>
      <c r="G781" s="60" t="s">
        <v>131</v>
      </c>
      <c r="H781" s="134"/>
      <c r="I781" s="134"/>
      <c r="J781" s="60"/>
      <c r="K781" s="60"/>
      <c r="L781" s="60"/>
      <c r="M781" s="60"/>
      <c r="N781" s="60">
        <f t="shared" si="239"/>
        <v>0</v>
      </c>
      <c r="O781" s="60">
        <f t="shared" si="240"/>
        <v>0</v>
      </c>
    </row>
    <row r="782" spans="1:15" s="38" customFormat="1" ht="14.45" customHeight="1" outlineLevel="1" x14ac:dyDescent="0.25">
      <c r="A782" s="140" t="s">
        <v>744</v>
      </c>
      <c r="B782" s="141" t="s">
        <v>745</v>
      </c>
      <c r="C782" s="130">
        <f>SUM(N782:N788)</f>
        <v>0</v>
      </c>
      <c r="D782" s="130">
        <f>SUM(O782:O788)</f>
        <v>0</v>
      </c>
      <c r="E782" s="130">
        <f t="shared" si="230"/>
        <v>0</v>
      </c>
      <c r="F782" s="130"/>
      <c r="G782" s="60" t="s">
        <v>125</v>
      </c>
      <c r="H782" s="123"/>
      <c r="I782" s="123"/>
      <c r="J782" s="60"/>
      <c r="K782" s="60"/>
      <c r="L782" s="60"/>
      <c r="M782" s="60"/>
      <c r="N782" s="60">
        <f>M782*J782*K782*L782</f>
        <v>0</v>
      </c>
      <c r="O782" s="60">
        <f>J782*K782*L782</f>
        <v>0</v>
      </c>
    </row>
    <row r="783" spans="1:15" s="38" customFormat="1" ht="11.45" customHeight="1" outlineLevel="1" x14ac:dyDescent="0.25">
      <c r="A783" s="124"/>
      <c r="B783" s="142"/>
      <c r="C783" s="115"/>
      <c r="D783" s="115"/>
      <c r="E783" s="115"/>
      <c r="F783" s="115"/>
      <c r="G783" s="60" t="s">
        <v>126</v>
      </c>
      <c r="H783" s="124"/>
      <c r="I783" s="124"/>
      <c r="J783" s="60"/>
      <c r="K783" s="60"/>
      <c r="L783" s="60"/>
      <c r="M783" s="60"/>
      <c r="N783" s="60">
        <f t="shared" ref="N783:N788" si="241">M783*J783*K783*L783</f>
        <v>0</v>
      </c>
      <c r="O783" s="60">
        <f t="shared" ref="O783:O788" si="242">J783*K783*L783</f>
        <v>0</v>
      </c>
    </row>
    <row r="784" spans="1:15" s="38" customFormat="1" ht="10.7" customHeight="1" outlineLevel="1" x14ac:dyDescent="0.25">
      <c r="A784" s="124"/>
      <c r="B784" s="142"/>
      <c r="C784" s="115"/>
      <c r="D784" s="115"/>
      <c r="E784" s="115"/>
      <c r="F784" s="115"/>
      <c r="G784" s="60" t="s">
        <v>127</v>
      </c>
      <c r="H784" s="124"/>
      <c r="I784" s="124"/>
      <c r="J784" s="60"/>
      <c r="K784" s="60"/>
      <c r="L784" s="60"/>
      <c r="M784" s="60"/>
      <c r="N784" s="60">
        <f t="shared" si="241"/>
        <v>0</v>
      </c>
      <c r="O784" s="60">
        <f t="shared" si="242"/>
        <v>0</v>
      </c>
    </row>
    <row r="785" spans="1:15" s="38" customFormat="1" ht="10.7" customHeight="1" outlineLevel="1" x14ac:dyDescent="0.25">
      <c r="A785" s="124"/>
      <c r="B785" s="142"/>
      <c r="C785" s="115"/>
      <c r="D785" s="115"/>
      <c r="E785" s="115"/>
      <c r="F785" s="115"/>
      <c r="G785" s="60" t="s">
        <v>128</v>
      </c>
      <c r="H785" s="124"/>
      <c r="I785" s="124"/>
      <c r="J785" s="60"/>
      <c r="K785" s="60"/>
      <c r="L785" s="60"/>
      <c r="M785" s="60"/>
      <c r="N785" s="60">
        <f t="shared" si="241"/>
        <v>0</v>
      </c>
      <c r="O785" s="60">
        <f t="shared" si="242"/>
        <v>0</v>
      </c>
    </row>
    <row r="786" spans="1:15" s="38" customFormat="1" ht="10.7" customHeight="1" outlineLevel="1" x14ac:dyDescent="0.25">
      <c r="A786" s="124"/>
      <c r="B786" s="142"/>
      <c r="C786" s="115"/>
      <c r="D786" s="115"/>
      <c r="E786" s="115"/>
      <c r="F786" s="115"/>
      <c r="G786" s="60" t="s">
        <v>129</v>
      </c>
      <c r="H786" s="124"/>
      <c r="I786" s="124"/>
      <c r="J786" s="60"/>
      <c r="K786" s="60"/>
      <c r="L786" s="60"/>
      <c r="M786" s="60"/>
      <c r="N786" s="60">
        <f t="shared" si="241"/>
        <v>0</v>
      </c>
      <c r="O786" s="60">
        <f t="shared" si="242"/>
        <v>0</v>
      </c>
    </row>
    <row r="787" spans="1:15" s="38" customFormat="1" ht="10.7" customHeight="1" outlineLevel="1" x14ac:dyDescent="0.25">
      <c r="A787" s="124"/>
      <c r="B787" s="142"/>
      <c r="C787" s="115"/>
      <c r="D787" s="115"/>
      <c r="E787" s="115"/>
      <c r="F787" s="115"/>
      <c r="G787" s="60" t="s">
        <v>130</v>
      </c>
      <c r="H787" s="124"/>
      <c r="I787" s="124"/>
      <c r="J787" s="60"/>
      <c r="K787" s="60"/>
      <c r="L787" s="60"/>
      <c r="M787" s="60"/>
      <c r="N787" s="60">
        <f t="shared" si="241"/>
        <v>0</v>
      </c>
      <c r="O787" s="60">
        <f t="shared" si="242"/>
        <v>0</v>
      </c>
    </row>
    <row r="788" spans="1:15" s="38" customFormat="1" ht="12" customHeight="1" outlineLevel="1" thickBot="1" x14ac:dyDescent="0.3">
      <c r="A788" s="125"/>
      <c r="B788" s="143"/>
      <c r="C788" s="131"/>
      <c r="D788" s="131"/>
      <c r="E788" s="131"/>
      <c r="F788" s="131"/>
      <c r="G788" s="60" t="s">
        <v>131</v>
      </c>
      <c r="H788" s="134"/>
      <c r="I788" s="134"/>
      <c r="J788" s="60"/>
      <c r="K788" s="60"/>
      <c r="L788" s="60"/>
      <c r="M788" s="60"/>
      <c r="N788" s="60">
        <f t="shared" si="241"/>
        <v>0</v>
      </c>
      <c r="O788" s="60">
        <f t="shared" si="242"/>
        <v>0</v>
      </c>
    </row>
    <row r="789" spans="1:15" s="38" customFormat="1" ht="14.45" customHeight="1" outlineLevel="1" x14ac:dyDescent="0.25">
      <c r="A789" s="140" t="s">
        <v>746</v>
      </c>
      <c r="B789" s="141" t="s">
        <v>747</v>
      </c>
      <c r="C789" s="130">
        <f>SUM(N789:N795)</f>
        <v>0</v>
      </c>
      <c r="D789" s="130">
        <f>SUM(O789:O795)</f>
        <v>0</v>
      </c>
      <c r="E789" s="130">
        <f t="shared" si="230"/>
        <v>0</v>
      </c>
      <c r="F789" s="130"/>
      <c r="G789" s="60" t="s">
        <v>125</v>
      </c>
      <c r="H789" s="123"/>
      <c r="I789" s="123"/>
      <c r="J789" s="60"/>
      <c r="K789" s="60"/>
      <c r="L789" s="60"/>
      <c r="M789" s="60"/>
      <c r="N789" s="60">
        <f>M789*J789*K789*L789</f>
        <v>0</v>
      </c>
      <c r="O789" s="60">
        <f>J789*K789*L789</f>
        <v>0</v>
      </c>
    </row>
    <row r="790" spans="1:15" s="38" customFormat="1" ht="11.45" customHeight="1" outlineLevel="1" x14ac:dyDescent="0.25">
      <c r="A790" s="124"/>
      <c r="B790" s="142"/>
      <c r="C790" s="115"/>
      <c r="D790" s="115"/>
      <c r="E790" s="115"/>
      <c r="F790" s="115"/>
      <c r="G790" s="60" t="s">
        <v>126</v>
      </c>
      <c r="H790" s="124"/>
      <c r="I790" s="124"/>
      <c r="J790" s="60"/>
      <c r="K790" s="60"/>
      <c r="L790" s="60"/>
      <c r="M790" s="60"/>
      <c r="N790" s="60">
        <f t="shared" ref="N790:N795" si="243">M790*J790*K790*L790</f>
        <v>0</v>
      </c>
      <c r="O790" s="60">
        <f t="shared" ref="O790:O795" si="244">J790*K790*L790</f>
        <v>0</v>
      </c>
    </row>
    <row r="791" spans="1:15" s="38" customFormat="1" ht="10.7" customHeight="1" outlineLevel="1" x14ac:dyDescent="0.25">
      <c r="A791" s="124"/>
      <c r="B791" s="142"/>
      <c r="C791" s="115"/>
      <c r="D791" s="115"/>
      <c r="E791" s="115"/>
      <c r="F791" s="115"/>
      <c r="G791" s="60" t="s">
        <v>127</v>
      </c>
      <c r="H791" s="124"/>
      <c r="I791" s="124"/>
      <c r="J791" s="60"/>
      <c r="K791" s="60"/>
      <c r="L791" s="60"/>
      <c r="M791" s="60"/>
      <c r="N791" s="60">
        <f t="shared" si="243"/>
        <v>0</v>
      </c>
      <c r="O791" s="60">
        <f t="shared" si="244"/>
        <v>0</v>
      </c>
    </row>
    <row r="792" spans="1:15" s="38" customFormat="1" ht="10.7" customHeight="1" outlineLevel="1" x14ac:dyDescent="0.25">
      <c r="A792" s="124"/>
      <c r="B792" s="142"/>
      <c r="C792" s="115"/>
      <c r="D792" s="115"/>
      <c r="E792" s="115"/>
      <c r="F792" s="115"/>
      <c r="G792" s="60" t="s">
        <v>128</v>
      </c>
      <c r="H792" s="124"/>
      <c r="I792" s="124"/>
      <c r="J792" s="60"/>
      <c r="K792" s="60"/>
      <c r="L792" s="60"/>
      <c r="M792" s="60"/>
      <c r="N792" s="60">
        <f t="shared" si="243"/>
        <v>0</v>
      </c>
      <c r="O792" s="60">
        <f t="shared" si="244"/>
        <v>0</v>
      </c>
    </row>
    <row r="793" spans="1:15" s="38" customFormat="1" ht="10.7" customHeight="1" outlineLevel="1" x14ac:dyDescent="0.25">
      <c r="A793" s="124"/>
      <c r="B793" s="142"/>
      <c r="C793" s="115"/>
      <c r="D793" s="115"/>
      <c r="E793" s="115"/>
      <c r="F793" s="115"/>
      <c r="G793" s="60" t="s">
        <v>129</v>
      </c>
      <c r="H793" s="124"/>
      <c r="I793" s="124"/>
      <c r="J793" s="60"/>
      <c r="K793" s="60"/>
      <c r="L793" s="60"/>
      <c r="M793" s="60"/>
      <c r="N793" s="60">
        <f t="shared" si="243"/>
        <v>0</v>
      </c>
      <c r="O793" s="60">
        <f t="shared" si="244"/>
        <v>0</v>
      </c>
    </row>
    <row r="794" spans="1:15" s="38" customFormat="1" ht="10.7" customHeight="1" outlineLevel="1" x14ac:dyDescent="0.25">
      <c r="A794" s="124"/>
      <c r="B794" s="142"/>
      <c r="C794" s="115"/>
      <c r="D794" s="115"/>
      <c r="E794" s="115"/>
      <c r="F794" s="115"/>
      <c r="G794" s="60" t="s">
        <v>130</v>
      </c>
      <c r="H794" s="124"/>
      <c r="I794" s="124"/>
      <c r="J794" s="60"/>
      <c r="K794" s="60"/>
      <c r="L794" s="60"/>
      <c r="M794" s="60"/>
      <c r="N794" s="60">
        <f t="shared" si="243"/>
        <v>0</v>
      </c>
      <c r="O794" s="60">
        <f t="shared" si="244"/>
        <v>0</v>
      </c>
    </row>
    <row r="795" spans="1:15" s="38" customFormat="1" ht="12" customHeight="1" outlineLevel="1" thickBot="1" x14ac:dyDescent="0.3">
      <c r="A795" s="125"/>
      <c r="B795" s="143"/>
      <c r="C795" s="131"/>
      <c r="D795" s="131"/>
      <c r="E795" s="131"/>
      <c r="F795" s="131"/>
      <c r="G795" s="60" t="s">
        <v>131</v>
      </c>
      <c r="H795" s="134"/>
      <c r="I795" s="134"/>
      <c r="J795" s="60"/>
      <c r="K795" s="60"/>
      <c r="L795" s="60"/>
      <c r="M795" s="60"/>
      <c r="N795" s="60">
        <f t="shared" si="243"/>
        <v>0</v>
      </c>
      <c r="O795" s="60">
        <f t="shared" si="244"/>
        <v>0</v>
      </c>
    </row>
    <row r="796" spans="1:15" s="38" customFormat="1" ht="14.45" customHeight="1" outlineLevel="1" x14ac:dyDescent="0.25">
      <c r="A796" s="140" t="s">
        <v>748</v>
      </c>
      <c r="B796" s="141" t="s">
        <v>749</v>
      </c>
      <c r="C796" s="130">
        <f>SUM(N796:N802)</f>
        <v>0</v>
      </c>
      <c r="D796" s="130">
        <f>SUM(O796:O802)</f>
        <v>0</v>
      </c>
      <c r="E796" s="130">
        <f t="shared" si="230"/>
        <v>0</v>
      </c>
      <c r="F796" s="130"/>
      <c r="G796" s="60" t="s">
        <v>125</v>
      </c>
      <c r="H796" s="123"/>
      <c r="I796" s="123"/>
      <c r="J796" s="60"/>
      <c r="K796" s="60"/>
      <c r="L796" s="60"/>
      <c r="M796" s="60"/>
      <c r="N796" s="60">
        <f>M796*J796*K796*L796</f>
        <v>0</v>
      </c>
      <c r="O796" s="60">
        <f>J796*K796*L796</f>
        <v>0</v>
      </c>
    </row>
    <row r="797" spans="1:15" s="38" customFormat="1" ht="11.45" customHeight="1" outlineLevel="1" x14ac:dyDescent="0.25">
      <c r="A797" s="124"/>
      <c r="B797" s="142"/>
      <c r="C797" s="115"/>
      <c r="D797" s="115"/>
      <c r="E797" s="115"/>
      <c r="F797" s="115"/>
      <c r="G797" s="60" t="s">
        <v>126</v>
      </c>
      <c r="H797" s="124"/>
      <c r="I797" s="124"/>
      <c r="J797" s="60"/>
      <c r="K797" s="60"/>
      <c r="L797" s="60"/>
      <c r="M797" s="60"/>
      <c r="N797" s="60">
        <f t="shared" ref="N797:N802" si="245">M797*J797*K797*L797</f>
        <v>0</v>
      </c>
      <c r="O797" s="60">
        <f t="shared" ref="O797:O802" si="246">J797*K797*L797</f>
        <v>0</v>
      </c>
    </row>
    <row r="798" spans="1:15" s="38" customFormat="1" ht="10.7" customHeight="1" outlineLevel="1" x14ac:dyDescent="0.25">
      <c r="A798" s="124"/>
      <c r="B798" s="142"/>
      <c r="C798" s="115"/>
      <c r="D798" s="115"/>
      <c r="E798" s="115"/>
      <c r="F798" s="115"/>
      <c r="G798" s="60" t="s">
        <v>127</v>
      </c>
      <c r="H798" s="124"/>
      <c r="I798" s="124"/>
      <c r="J798" s="60"/>
      <c r="K798" s="60"/>
      <c r="L798" s="60"/>
      <c r="M798" s="60"/>
      <c r="N798" s="60">
        <f t="shared" si="245"/>
        <v>0</v>
      </c>
      <c r="O798" s="60">
        <f t="shared" si="246"/>
        <v>0</v>
      </c>
    </row>
    <row r="799" spans="1:15" s="38" customFormat="1" ht="10.7" customHeight="1" outlineLevel="1" x14ac:dyDescent="0.25">
      <c r="A799" s="124"/>
      <c r="B799" s="142"/>
      <c r="C799" s="115"/>
      <c r="D799" s="115"/>
      <c r="E799" s="115"/>
      <c r="F799" s="115"/>
      <c r="G799" s="60" t="s">
        <v>128</v>
      </c>
      <c r="H799" s="124"/>
      <c r="I799" s="124"/>
      <c r="J799" s="60"/>
      <c r="K799" s="60"/>
      <c r="L799" s="60"/>
      <c r="M799" s="60"/>
      <c r="N799" s="60">
        <f t="shared" si="245"/>
        <v>0</v>
      </c>
      <c r="O799" s="60">
        <f t="shared" si="246"/>
        <v>0</v>
      </c>
    </row>
    <row r="800" spans="1:15" s="38" customFormat="1" ht="10.7" customHeight="1" outlineLevel="1" x14ac:dyDescent="0.25">
      <c r="A800" s="124"/>
      <c r="B800" s="142"/>
      <c r="C800" s="115"/>
      <c r="D800" s="115"/>
      <c r="E800" s="115"/>
      <c r="F800" s="115"/>
      <c r="G800" s="60" t="s">
        <v>129</v>
      </c>
      <c r="H800" s="124"/>
      <c r="I800" s="124"/>
      <c r="J800" s="60"/>
      <c r="K800" s="60"/>
      <c r="L800" s="60"/>
      <c r="M800" s="60"/>
      <c r="N800" s="60">
        <f t="shared" si="245"/>
        <v>0</v>
      </c>
      <c r="O800" s="60">
        <f t="shared" si="246"/>
        <v>0</v>
      </c>
    </row>
    <row r="801" spans="1:15" s="38" customFormat="1" ht="10.7" customHeight="1" outlineLevel="1" x14ac:dyDescent="0.25">
      <c r="A801" s="124"/>
      <c r="B801" s="142"/>
      <c r="C801" s="115"/>
      <c r="D801" s="115"/>
      <c r="E801" s="115"/>
      <c r="F801" s="115"/>
      <c r="G801" s="60" t="s">
        <v>130</v>
      </c>
      <c r="H801" s="124"/>
      <c r="I801" s="124"/>
      <c r="J801" s="60"/>
      <c r="K801" s="60"/>
      <c r="L801" s="60"/>
      <c r="M801" s="60"/>
      <c r="N801" s="60">
        <f t="shared" si="245"/>
        <v>0</v>
      </c>
      <c r="O801" s="60">
        <f t="shared" si="246"/>
        <v>0</v>
      </c>
    </row>
    <row r="802" spans="1:15" s="38" customFormat="1" ht="12" customHeight="1" outlineLevel="1" thickBot="1" x14ac:dyDescent="0.3">
      <c r="A802" s="125"/>
      <c r="B802" s="143"/>
      <c r="C802" s="131"/>
      <c r="D802" s="131"/>
      <c r="E802" s="131"/>
      <c r="F802" s="131"/>
      <c r="G802" s="60" t="s">
        <v>131</v>
      </c>
      <c r="H802" s="134"/>
      <c r="I802" s="134"/>
      <c r="J802" s="60"/>
      <c r="K802" s="60"/>
      <c r="L802" s="60"/>
      <c r="M802" s="60"/>
      <c r="N802" s="60">
        <f t="shared" si="245"/>
        <v>0</v>
      </c>
      <c r="O802" s="60">
        <f t="shared" si="246"/>
        <v>0</v>
      </c>
    </row>
    <row r="803" spans="1:15" s="38" customFormat="1" ht="14.45" customHeight="1" outlineLevel="1" x14ac:dyDescent="0.25">
      <c r="A803" s="140" t="s">
        <v>750</v>
      </c>
      <c r="B803" s="141" t="s">
        <v>751</v>
      </c>
      <c r="C803" s="130">
        <f>SUM(N803:N809)</f>
        <v>0</v>
      </c>
      <c r="D803" s="130">
        <f>SUM(O803:O809)</f>
        <v>0</v>
      </c>
      <c r="E803" s="130">
        <f t="shared" si="230"/>
        <v>0</v>
      </c>
      <c r="F803" s="130"/>
      <c r="G803" s="60" t="s">
        <v>125</v>
      </c>
      <c r="H803" s="123"/>
      <c r="I803" s="123"/>
      <c r="J803" s="60"/>
      <c r="K803" s="60"/>
      <c r="L803" s="60"/>
      <c r="M803" s="60"/>
      <c r="N803" s="60">
        <f>M803*J803*K803*L803</f>
        <v>0</v>
      </c>
      <c r="O803" s="60">
        <f>J803*K803*L803</f>
        <v>0</v>
      </c>
    </row>
    <row r="804" spans="1:15" s="38" customFormat="1" ht="11.45" customHeight="1" outlineLevel="1" x14ac:dyDescent="0.25">
      <c r="A804" s="124"/>
      <c r="B804" s="142"/>
      <c r="C804" s="115"/>
      <c r="D804" s="115"/>
      <c r="E804" s="115"/>
      <c r="F804" s="115"/>
      <c r="G804" s="60" t="s">
        <v>126</v>
      </c>
      <c r="H804" s="124"/>
      <c r="I804" s="124"/>
      <c r="J804" s="60"/>
      <c r="K804" s="60"/>
      <c r="L804" s="60"/>
      <c r="M804" s="60"/>
      <c r="N804" s="60">
        <f t="shared" ref="N804:N809" si="247">M804*J804*K804*L804</f>
        <v>0</v>
      </c>
      <c r="O804" s="60">
        <f t="shared" ref="O804:O809" si="248">J804*K804*L804</f>
        <v>0</v>
      </c>
    </row>
    <row r="805" spans="1:15" s="38" customFormat="1" ht="10.7" customHeight="1" outlineLevel="1" x14ac:dyDescent="0.25">
      <c r="A805" s="124"/>
      <c r="B805" s="142"/>
      <c r="C805" s="115"/>
      <c r="D805" s="115"/>
      <c r="E805" s="115"/>
      <c r="F805" s="115"/>
      <c r="G805" s="60" t="s">
        <v>127</v>
      </c>
      <c r="H805" s="124"/>
      <c r="I805" s="124"/>
      <c r="J805" s="60"/>
      <c r="K805" s="60"/>
      <c r="L805" s="60"/>
      <c r="M805" s="60"/>
      <c r="N805" s="60">
        <f t="shared" si="247"/>
        <v>0</v>
      </c>
      <c r="O805" s="60">
        <f t="shared" si="248"/>
        <v>0</v>
      </c>
    </row>
    <row r="806" spans="1:15" s="38" customFormat="1" ht="10.7" customHeight="1" outlineLevel="1" x14ac:dyDescent="0.25">
      <c r="A806" s="124"/>
      <c r="B806" s="142"/>
      <c r="C806" s="115"/>
      <c r="D806" s="115"/>
      <c r="E806" s="115"/>
      <c r="F806" s="115"/>
      <c r="G806" s="60" t="s">
        <v>128</v>
      </c>
      <c r="H806" s="124"/>
      <c r="I806" s="124"/>
      <c r="J806" s="60"/>
      <c r="K806" s="60"/>
      <c r="L806" s="60"/>
      <c r="M806" s="60"/>
      <c r="N806" s="60">
        <f t="shared" si="247"/>
        <v>0</v>
      </c>
      <c r="O806" s="60">
        <f t="shared" si="248"/>
        <v>0</v>
      </c>
    </row>
    <row r="807" spans="1:15" s="38" customFormat="1" ht="10.7" customHeight="1" outlineLevel="1" x14ac:dyDescent="0.25">
      <c r="A807" s="124"/>
      <c r="B807" s="142"/>
      <c r="C807" s="115"/>
      <c r="D807" s="115"/>
      <c r="E807" s="115"/>
      <c r="F807" s="115"/>
      <c r="G807" s="60" t="s">
        <v>129</v>
      </c>
      <c r="H807" s="124"/>
      <c r="I807" s="124"/>
      <c r="J807" s="60"/>
      <c r="K807" s="60"/>
      <c r="L807" s="60"/>
      <c r="M807" s="60"/>
      <c r="N807" s="60">
        <f t="shared" si="247"/>
        <v>0</v>
      </c>
      <c r="O807" s="60">
        <f t="shared" si="248"/>
        <v>0</v>
      </c>
    </row>
    <row r="808" spans="1:15" s="38" customFormat="1" ht="10.7" customHeight="1" outlineLevel="1" x14ac:dyDescent="0.25">
      <c r="A808" s="124"/>
      <c r="B808" s="142"/>
      <c r="C808" s="115"/>
      <c r="D808" s="115"/>
      <c r="E808" s="115"/>
      <c r="F808" s="115"/>
      <c r="G808" s="60" t="s">
        <v>130</v>
      </c>
      <c r="H808" s="124"/>
      <c r="I808" s="124"/>
      <c r="J808" s="60"/>
      <c r="K808" s="60"/>
      <c r="L808" s="60"/>
      <c r="M808" s="60"/>
      <c r="N808" s="60">
        <f t="shared" si="247"/>
        <v>0</v>
      </c>
      <c r="O808" s="60">
        <f t="shared" si="248"/>
        <v>0</v>
      </c>
    </row>
    <row r="809" spans="1:15" s="38" customFormat="1" ht="12" customHeight="1" outlineLevel="1" thickBot="1" x14ac:dyDescent="0.3">
      <c r="A809" s="125"/>
      <c r="B809" s="143"/>
      <c r="C809" s="131"/>
      <c r="D809" s="131"/>
      <c r="E809" s="131"/>
      <c r="F809" s="131"/>
      <c r="G809" s="60" t="s">
        <v>131</v>
      </c>
      <c r="H809" s="134"/>
      <c r="I809" s="134"/>
      <c r="J809" s="60"/>
      <c r="K809" s="60"/>
      <c r="L809" s="60"/>
      <c r="M809" s="60"/>
      <c r="N809" s="60">
        <f t="shared" si="247"/>
        <v>0</v>
      </c>
      <c r="O809" s="60">
        <f t="shared" si="248"/>
        <v>0</v>
      </c>
    </row>
    <row r="810" spans="1:15" s="38" customFormat="1" ht="14.45" customHeight="1" outlineLevel="1" x14ac:dyDescent="0.25">
      <c r="A810" s="140" t="s">
        <v>752</v>
      </c>
      <c r="B810" s="141" t="s">
        <v>753</v>
      </c>
      <c r="C810" s="130">
        <f>SUM(N810:N816)</f>
        <v>0</v>
      </c>
      <c r="D810" s="130">
        <f>SUM(O810:O816)</f>
        <v>0</v>
      </c>
      <c r="E810" s="130">
        <f t="shared" si="230"/>
        <v>0</v>
      </c>
      <c r="F810" s="130"/>
      <c r="G810" s="60" t="s">
        <v>125</v>
      </c>
      <c r="H810" s="123"/>
      <c r="I810" s="123"/>
      <c r="J810" s="60"/>
      <c r="K810" s="60"/>
      <c r="L810" s="60"/>
      <c r="M810" s="60"/>
      <c r="N810" s="60">
        <f>M810*J810*K810*L810</f>
        <v>0</v>
      </c>
      <c r="O810" s="60">
        <f>J810*K810*L810</f>
        <v>0</v>
      </c>
    </row>
    <row r="811" spans="1:15" s="38" customFormat="1" ht="11.45" customHeight="1" outlineLevel="1" x14ac:dyDescent="0.25">
      <c r="A811" s="124"/>
      <c r="B811" s="142"/>
      <c r="C811" s="115"/>
      <c r="D811" s="115"/>
      <c r="E811" s="115"/>
      <c r="F811" s="115"/>
      <c r="G811" s="60" t="s">
        <v>126</v>
      </c>
      <c r="H811" s="124"/>
      <c r="I811" s="124"/>
      <c r="J811" s="60"/>
      <c r="K811" s="60"/>
      <c r="L811" s="60"/>
      <c r="M811" s="60"/>
      <c r="N811" s="60">
        <f t="shared" ref="N811:N816" si="249">M811*J811*K811*L811</f>
        <v>0</v>
      </c>
      <c r="O811" s="60">
        <f t="shared" ref="O811:O816" si="250">J811*K811*L811</f>
        <v>0</v>
      </c>
    </row>
    <row r="812" spans="1:15" s="38" customFormat="1" ht="10.7" customHeight="1" outlineLevel="1" x14ac:dyDescent="0.25">
      <c r="A812" s="124"/>
      <c r="B812" s="142"/>
      <c r="C812" s="115"/>
      <c r="D812" s="115"/>
      <c r="E812" s="115"/>
      <c r="F812" s="115"/>
      <c r="G812" s="60" t="s">
        <v>127</v>
      </c>
      <c r="H812" s="124"/>
      <c r="I812" s="124"/>
      <c r="J812" s="60"/>
      <c r="K812" s="60"/>
      <c r="L812" s="60"/>
      <c r="M812" s="60"/>
      <c r="N812" s="60">
        <f t="shared" si="249"/>
        <v>0</v>
      </c>
      <c r="O812" s="60">
        <f t="shared" si="250"/>
        <v>0</v>
      </c>
    </row>
    <row r="813" spans="1:15" s="38" customFormat="1" ht="10.7" customHeight="1" outlineLevel="1" x14ac:dyDescent="0.25">
      <c r="A813" s="124"/>
      <c r="B813" s="142"/>
      <c r="C813" s="115"/>
      <c r="D813" s="115"/>
      <c r="E813" s="115"/>
      <c r="F813" s="115"/>
      <c r="G813" s="60" t="s">
        <v>128</v>
      </c>
      <c r="H813" s="124"/>
      <c r="I813" s="124"/>
      <c r="J813" s="60"/>
      <c r="K813" s="60"/>
      <c r="L813" s="60"/>
      <c r="M813" s="60"/>
      <c r="N813" s="60">
        <f t="shared" si="249"/>
        <v>0</v>
      </c>
      <c r="O813" s="60">
        <f t="shared" si="250"/>
        <v>0</v>
      </c>
    </row>
    <row r="814" spans="1:15" s="38" customFormat="1" ht="10.7" customHeight="1" outlineLevel="1" x14ac:dyDescent="0.25">
      <c r="A814" s="124"/>
      <c r="B814" s="142"/>
      <c r="C814" s="115"/>
      <c r="D814" s="115"/>
      <c r="E814" s="115"/>
      <c r="F814" s="115"/>
      <c r="G814" s="60" t="s">
        <v>129</v>
      </c>
      <c r="H814" s="124"/>
      <c r="I814" s="124"/>
      <c r="J814" s="60"/>
      <c r="K814" s="60"/>
      <c r="L814" s="60"/>
      <c r="M814" s="60"/>
      <c r="N814" s="60">
        <f t="shared" si="249"/>
        <v>0</v>
      </c>
      <c r="O814" s="60">
        <f t="shared" si="250"/>
        <v>0</v>
      </c>
    </row>
    <row r="815" spans="1:15" s="38" customFormat="1" ht="10.7" customHeight="1" outlineLevel="1" x14ac:dyDescent="0.25">
      <c r="A815" s="124"/>
      <c r="B815" s="142"/>
      <c r="C815" s="115"/>
      <c r="D815" s="115"/>
      <c r="E815" s="115"/>
      <c r="F815" s="115"/>
      <c r="G815" s="60" t="s">
        <v>130</v>
      </c>
      <c r="H815" s="124"/>
      <c r="I815" s="124"/>
      <c r="J815" s="60"/>
      <c r="K815" s="60"/>
      <c r="L815" s="60"/>
      <c r="M815" s="60"/>
      <c r="N815" s="60">
        <f t="shared" si="249"/>
        <v>0</v>
      </c>
      <c r="O815" s="60">
        <f t="shared" si="250"/>
        <v>0</v>
      </c>
    </row>
    <row r="816" spans="1:15" s="38" customFormat="1" ht="12" customHeight="1" outlineLevel="1" thickBot="1" x14ac:dyDescent="0.3">
      <c r="A816" s="125"/>
      <c r="B816" s="143"/>
      <c r="C816" s="131"/>
      <c r="D816" s="131"/>
      <c r="E816" s="131"/>
      <c r="F816" s="131"/>
      <c r="G816" s="60" t="s">
        <v>131</v>
      </c>
      <c r="H816" s="134"/>
      <c r="I816" s="134"/>
      <c r="J816" s="60"/>
      <c r="K816" s="60"/>
      <c r="L816" s="60"/>
      <c r="M816" s="60"/>
      <c r="N816" s="60">
        <f t="shared" si="249"/>
        <v>0</v>
      </c>
      <c r="O816" s="60">
        <f t="shared" si="250"/>
        <v>0</v>
      </c>
    </row>
    <row r="817" spans="1:15" s="38" customFormat="1" ht="14.45" customHeight="1" outlineLevel="1" x14ac:dyDescent="0.25">
      <c r="A817" s="140" t="s">
        <v>754</v>
      </c>
      <c r="B817" s="141" t="s">
        <v>755</v>
      </c>
      <c r="C817" s="130">
        <f>SUM(N817:N823)</f>
        <v>0</v>
      </c>
      <c r="D817" s="130">
        <f>SUM(O817:O823)</f>
        <v>0</v>
      </c>
      <c r="E817" s="130">
        <f t="shared" ref="E817:E880" si="251">D817/8</f>
        <v>0</v>
      </c>
      <c r="F817" s="130"/>
      <c r="G817" s="60" t="s">
        <v>125</v>
      </c>
      <c r="H817" s="123"/>
      <c r="I817" s="123"/>
      <c r="J817" s="60"/>
      <c r="K817" s="60"/>
      <c r="L817" s="60"/>
      <c r="M817" s="60"/>
      <c r="N817" s="60">
        <f>M817*J817*K817*L817</f>
        <v>0</v>
      </c>
      <c r="O817" s="60">
        <f>J817*K817*L817</f>
        <v>0</v>
      </c>
    </row>
    <row r="818" spans="1:15" s="38" customFormat="1" ht="11.45" customHeight="1" outlineLevel="1" x14ac:dyDescent="0.25">
      <c r="A818" s="124"/>
      <c r="B818" s="142"/>
      <c r="C818" s="115"/>
      <c r="D818" s="115"/>
      <c r="E818" s="115"/>
      <c r="F818" s="115"/>
      <c r="G818" s="60" t="s">
        <v>126</v>
      </c>
      <c r="H818" s="124"/>
      <c r="I818" s="124"/>
      <c r="J818" s="60"/>
      <c r="K818" s="60"/>
      <c r="L818" s="60"/>
      <c r="M818" s="60"/>
      <c r="N818" s="60">
        <f t="shared" ref="N818:N823" si="252">M818*J818*K818*L818</f>
        <v>0</v>
      </c>
      <c r="O818" s="60">
        <f t="shared" ref="O818:O823" si="253">J818*K818*L818</f>
        <v>0</v>
      </c>
    </row>
    <row r="819" spans="1:15" s="38" customFormat="1" ht="10.7" customHeight="1" outlineLevel="1" x14ac:dyDescent="0.25">
      <c r="A819" s="124"/>
      <c r="B819" s="142"/>
      <c r="C819" s="115"/>
      <c r="D819" s="115"/>
      <c r="E819" s="115"/>
      <c r="F819" s="115"/>
      <c r="G819" s="60" t="s">
        <v>127</v>
      </c>
      <c r="H819" s="124"/>
      <c r="I819" s="124"/>
      <c r="J819" s="60"/>
      <c r="K819" s="60"/>
      <c r="L819" s="60"/>
      <c r="M819" s="60"/>
      <c r="N819" s="60">
        <f t="shared" si="252"/>
        <v>0</v>
      </c>
      <c r="O819" s="60">
        <f t="shared" si="253"/>
        <v>0</v>
      </c>
    </row>
    <row r="820" spans="1:15" s="38" customFormat="1" ht="10.7" customHeight="1" outlineLevel="1" x14ac:dyDescent="0.25">
      <c r="A820" s="124"/>
      <c r="B820" s="142"/>
      <c r="C820" s="115"/>
      <c r="D820" s="115"/>
      <c r="E820" s="115"/>
      <c r="F820" s="115"/>
      <c r="G820" s="60" t="s">
        <v>128</v>
      </c>
      <c r="H820" s="124"/>
      <c r="I820" s="124"/>
      <c r="J820" s="60"/>
      <c r="K820" s="60"/>
      <c r="L820" s="60"/>
      <c r="M820" s="60"/>
      <c r="N820" s="60">
        <f t="shared" si="252"/>
        <v>0</v>
      </c>
      <c r="O820" s="60">
        <f t="shared" si="253"/>
        <v>0</v>
      </c>
    </row>
    <row r="821" spans="1:15" s="38" customFormat="1" ht="10.7" customHeight="1" outlineLevel="1" x14ac:dyDescent="0.25">
      <c r="A821" s="124"/>
      <c r="B821" s="142"/>
      <c r="C821" s="115"/>
      <c r="D821" s="115"/>
      <c r="E821" s="115"/>
      <c r="F821" s="115"/>
      <c r="G821" s="60" t="s">
        <v>129</v>
      </c>
      <c r="H821" s="124"/>
      <c r="I821" s="124"/>
      <c r="J821" s="60"/>
      <c r="K821" s="60"/>
      <c r="L821" s="60"/>
      <c r="M821" s="60"/>
      <c r="N821" s="60">
        <f t="shared" si="252"/>
        <v>0</v>
      </c>
      <c r="O821" s="60">
        <f t="shared" si="253"/>
        <v>0</v>
      </c>
    </row>
    <row r="822" spans="1:15" s="38" customFormat="1" ht="10.7" customHeight="1" outlineLevel="1" x14ac:dyDescent="0.25">
      <c r="A822" s="124"/>
      <c r="B822" s="142"/>
      <c r="C822" s="115"/>
      <c r="D822" s="115"/>
      <c r="E822" s="115"/>
      <c r="F822" s="115"/>
      <c r="G822" s="60" t="s">
        <v>130</v>
      </c>
      <c r="H822" s="124"/>
      <c r="I822" s="124"/>
      <c r="J822" s="60"/>
      <c r="K822" s="60"/>
      <c r="L822" s="60"/>
      <c r="M822" s="60"/>
      <c r="N822" s="60">
        <f t="shared" si="252"/>
        <v>0</v>
      </c>
      <c r="O822" s="60">
        <f t="shared" si="253"/>
        <v>0</v>
      </c>
    </row>
    <row r="823" spans="1:15" s="38" customFormat="1" ht="12" customHeight="1" outlineLevel="1" thickBot="1" x14ac:dyDescent="0.3">
      <c r="A823" s="125"/>
      <c r="B823" s="143"/>
      <c r="C823" s="131"/>
      <c r="D823" s="131"/>
      <c r="E823" s="131"/>
      <c r="F823" s="131"/>
      <c r="G823" s="60" t="s">
        <v>131</v>
      </c>
      <c r="H823" s="134"/>
      <c r="I823" s="134"/>
      <c r="J823" s="60"/>
      <c r="K823" s="60"/>
      <c r="L823" s="60"/>
      <c r="M823" s="60"/>
      <c r="N823" s="60">
        <f t="shared" si="252"/>
        <v>0</v>
      </c>
      <c r="O823" s="60">
        <f t="shared" si="253"/>
        <v>0</v>
      </c>
    </row>
    <row r="824" spans="1:15" s="38" customFormat="1" ht="14.45" customHeight="1" outlineLevel="1" x14ac:dyDescent="0.25">
      <c r="A824" s="140" t="s">
        <v>756</v>
      </c>
      <c r="B824" s="141" t="s">
        <v>757</v>
      </c>
      <c r="C824" s="130">
        <f>SUM(N824:N830)</f>
        <v>0</v>
      </c>
      <c r="D824" s="130">
        <f>SUM(O824:O830)</f>
        <v>0</v>
      </c>
      <c r="E824" s="130">
        <f t="shared" si="251"/>
        <v>0</v>
      </c>
      <c r="F824" s="130"/>
      <c r="G824" s="60" t="s">
        <v>125</v>
      </c>
      <c r="H824" s="123"/>
      <c r="I824" s="123"/>
      <c r="J824" s="60"/>
      <c r="K824" s="60"/>
      <c r="L824" s="60"/>
      <c r="M824" s="60"/>
      <c r="N824" s="60">
        <f>M824*J824*K824*L824</f>
        <v>0</v>
      </c>
      <c r="O824" s="60">
        <f>J824*K824*L824</f>
        <v>0</v>
      </c>
    </row>
    <row r="825" spans="1:15" s="38" customFormat="1" ht="11.45" customHeight="1" outlineLevel="1" x14ac:dyDescent="0.25">
      <c r="A825" s="124"/>
      <c r="B825" s="142"/>
      <c r="C825" s="115"/>
      <c r="D825" s="115"/>
      <c r="E825" s="115"/>
      <c r="F825" s="115"/>
      <c r="G825" s="60" t="s">
        <v>126</v>
      </c>
      <c r="H825" s="124"/>
      <c r="I825" s="124"/>
      <c r="J825" s="60"/>
      <c r="K825" s="60"/>
      <c r="L825" s="60"/>
      <c r="M825" s="60"/>
      <c r="N825" s="60">
        <f t="shared" ref="N825:N830" si="254">M825*J825*K825*L825</f>
        <v>0</v>
      </c>
      <c r="O825" s="60">
        <f t="shared" ref="O825:O830" si="255">J825*K825*L825</f>
        <v>0</v>
      </c>
    </row>
    <row r="826" spans="1:15" s="38" customFormat="1" ht="10.7" customHeight="1" outlineLevel="1" x14ac:dyDescent="0.25">
      <c r="A826" s="124"/>
      <c r="B826" s="142"/>
      <c r="C826" s="115"/>
      <c r="D826" s="115"/>
      <c r="E826" s="115"/>
      <c r="F826" s="115"/>
      <c r="G826" s="60" t="s">
        <v>127</v>
      </c>
      <c r="H826" s="124"/>
      <c r="I826" s="124"/>
      <c r="J826" s="60"/>
      <c r="K826" s="60"/>
      <c r="L826" s="60"/>
      <c r="M826" s="60"/>
      <c r="N826" s="60">
        <f t="shared" si="254"/>
        <v>0</v>
      </c>
      <c r="O826" s="60">
        <f t="shared" si="255"/>
        <v>0</v>
      </c>
    </row>
    <row r="827" spans="1:15" s="38" customFormat="1" ht="10.7" customHeight="1" outlineLevel="1" x14ac:dyDescent="0.25">
      <c r="A827" s="124"/>
      <c r="B827" s="142"/>
      <c r="C827" s="115"/>
      <c r="D827" s="115"/>
      <c r="E827" s="115"/>
      <c r="F827" s="115"/>
      <c r="G827" s="60" t="s">
        <v>128</v>
      </c>
      <c r="H827" s="124"/>
      <c r="I827" s="124"/>
      <c r="J827" s="60"/>
      <c r="K827" s="60"/>
      <c r="L827" s="60"/>
      <c r="M827" s="60"/>
      <c r="N827" s="60">
        <f t="shared" si="254"/>
        <v>0</v>
      </c>
      <c r="O827" s="60">
        <f t="shared" si="255"/>
        <v>0</v>
      </c>
    </row>
    <row r="828" spans="1:15" s="38" customFormat="1" ht="10.7" customHeight="1" outlineLevel="1" x14ac:dyDescent="0.25">
      <c r="A828" s="124"/>
      <c r="B828" s="142"/>
      <c r="C828" s="115"/>
      <c r="D828" s="115"/>
      <c r="E828" s="115"/>
      <c r="F828" s="115"/>
      <c r="G828" s="60" t="s">
        <v>129</v>
      </c>
      <c r="H828" s="124"/>
      <c r="I828" s="124"/>
      <c r="J828" s="60"/>
      <c r="K828" s="60"/>
      <c r="L828" s="60"/>
      <c r="M828" s="60"/>
      <c r="N828" s="60">
        <f t="shared" si="254"/>
        <v>0</v>
      </c>
      <c r="O828" s="60">
        <f t="shared" si="255"/>
        <v>0</v>
      </c>
    </row>
    <row r="829" spans="1:15" s="38" customFormat="1" ht="10.7" customHeight="1" outlineLevel="1" x14ac:dyDescent="0.25">
      <c r="A829" s="124"/>
      <c r="B829" s="142"/>
      <c r="C829" s="115"/>
      <c r="D829" s="115"/>
      <c r="E829" s="115"/>
      <c r="F829" s="115"/>
      <c r="G829" s="60" t="s">
        <v>130</v>
      </c>
      <c r="H829" s="124"/>
      <c r="I829" s="124"/>
      <c r="J829" s="60"/>
      <c r="K829" s="60"/>
      <c r="L829" s="60"/>
      <c r="M829" s="60"/>
      <c r="N829" s="60">
        <f t="shared" si="254"/>
        <v>0</v>
      </c>
      <c r="O829" s="60">
        <f t="shared" si="255"/>
        <v>0</v>
      </c>
    </row>
    <row r="830" spans="1:15" s="38" customFormat="1" ht="12" customHeight="1" outlineLevel="1" thickBot="1" x14ac:dyDescent="0.3">
      <c r="A830" s="125"/>
      <c r="B830" s="143"/>
      <c r="C830" s="131"/>
      <c r="D830" s="131"/>
      <c r="E830" s="131"/>
      <c r="F830" s="131"/>
      <c r="G830" s="60" t="s">
        <v>131</v>
      </c>
      <c r="H830" s="134"/>
      <c r="I830" s="134"/>
      <c r="J830" s="60"/>
      <c r="K830" s="60"/>
      <c r="L830" s="60"/>
      <c r="M830" s="60"/>
      <c r="N830" s="60">
        <f t="shared" si="254"/>
        <v>0</v>
      </c>
      <c r="O830" s="60">
        <f t="shared" si="255"/>
        <v>0</v>
      </c>
    </row>
    <row r="831" spans="1:15" s="38" customFormat="1" ht="14.45" customHeight="1" outlineLevel="1" x14ac:dyDescent="0.25">
      <c r="A831" s="140" t="s">
        <v>758</v>
      </c>
      <c r="B831" s="141" t="s">
        <v>759</v>
      </c>
      <c r="C831" s="130">
        <f>SUM(N831:N837)</f>
        <v>0</v>
      </c>
      <c r="D831" s="130">
        <f>SUM(O831:O837)</f>
        <v>0</v>
      </c>
      <c r="E831" s="130">
        <f t="shared" si="251"/>
        <v>0</v>
      </c>
      <c r="F831" s="130"/>
      <c r="G831" s="60" t="s">
        <v>125</v>
      </c>
      <c r="H831" s="123"/>
      <c r="I831" s="123"/>
      <c r="J831" s="60"/>
      <c r="K831" s="60"/>
      <c r="L831" s="60"/>
      <c r="M831" s="60"/>
      <c r="N831" s="60">
        <f>M831*J831*K831*L831</f>
        <v>0</v>
      </c>
      <c r="O831" s="60">
        <f>J831*K831*L831</f>
        <v>0</v>
      </c>
    </row>
    <row r="832" spans="1:15" s="38" customFormat="1" ht="11.45" customHeight="1" outlineLevel="1" x14ac:dyDescent="0.25">
      <c r="A832" s="124"/>
      <c r="B832" s="142"/>
      <c r="C832" s="115"/>
      <c r="D832" s="115"/>
      <c r="E832" s="115"/>
      <c r="F832" s="115"/>
      <c r="G832" s="60" t="s">
        <v>126</v>
      </c>
      <c r="H832" s="124"/>
      <c r="I832" s="124"/>
      <c r="J832" s="60"/>
      <c r="K832" s="60"/>
      <c r="L832" s="60"/>
      <c r="M832" s="60"/>
      <c r="N832" s="60">
        <f t="shared" ref="N832:N837" si="256">M832*J832*K832*L832</f>
        <v>0</v>
      </c>
      <c r="O832" s="60">
        <f t="shared" ref="O832:O837" si="257">J832*K832*L832</f>
        <v>0</v>
      </c>
    </row>
    <row r="833" spans="1:15" s="38" customFormat="1" ht="10.7" customHeight="1" outlineLevel="1" x14ac:dyDescent="0.25">
      <c r="A833" s="124"/>
      <c r="B833" s="142"/>
      <c r="C833" s="115"/>
      <c r="D833" s="115"/>
      <c r="E833" s="115"/>
      <c r="F833" s="115"/>
      <c r="G833" s="60" t="s">
        <v>127</v>
      </c>
      <c r="H833" s="124"/>
      <c r="I833" s="124"/>
      <c r="J833" s="60"/>
      <c r="K833" s="60"/>
      <c r="L833" s="60"/>
      <c r="M833" s="60"/>
      <c r="N833" s="60">
        <f t="shared" si="256"/>
        <v>0</v>
      </c>
      <c r="O833" s="60">
        <f t="shared" si="257"/>
        <v>0</v>
      </c>
    </row>
    <row r="834" spans="1:15" s="38" customFormat="1" ht="10.7" customHeight="1" outlineLevel="1" x14ac:dyDescent="0.25">
      <c r="A834" s="124"/>
      <c r="B834" s="142"/>
      <c r="C834" s="115"/>
      <c r="D834" s="115"/>
      <c r="E834" s="115"/>
      <c r="F834" s="115"/>
      <c r="G834" s="60" t="s">
        <v>128</v>
      </c>
      <c r="H834" s="124"/>
      <c r="I834" s="124"/>
      <c r="J834" s="60"/>
      <c r="K834" s="60"/>
      <c r="L834" s="60"/>
      <c r="M834" s="60"/>
      <c r="N834" s="60">
        <f t="shared" si="256"/>
        <v>0</v>
      </c>
      <c r="O834" s="60">
        <f t="shared" si="257"/>
        <v>0</v>
      </c>
    </row>
    <row r="835" spans="1:15" s="38" customFormat="1" ht="10.7" customHeight="1" outlineLevel="1" x14ac:dyDescent="0.25">
      <c r="A835" s="124"/>
      <c r="B835" s="142"/>
      <c r="C835" s="115"/>
      <c r="D835" s="115"/>
      <c r="E835" s="115"/>
      <c r="F835" s="115"/>
      <c r="G835" s="60" t="s">
        <v>129</v>
      </c>
      <c r="H835" s="124"/>
      <c r="I835" s="124"/>
      <c r="J835" s="60"/>
      <c r="K835" s="60"/>
      <c r="L835" s="60"/>
      <c r="M835" s="60"/>
      <c r="N835" s="60">
        <f t="shared" si="256"/>
        <v>0</v>
      </c>
      <c r="O835" s="60">
        <f t="shared" si="257"/>
        <v>0</v>
      </c>
    </row>
    <row r="836" spans="1:15" s="38" customFormat="1" ht="10.7" customHeight="1" outlineLevel="1" x14ac:dyDescent="0.25">
      <c r="A836" s="124"/>
      <c r="B836" s="142"/>
      <c r="C836" s="115"/>
      <c r="D836" s="115"/>
      <c r="E836" s="115"/>
      <c r="F836" s="115"/>
      <c r="G836" s="60" t="s">
        <v>130</v>
      </c>
      <c r="H836" s="124"/>
      <c r="I836" s="124"/>
      <c r="J836" s="60"/>
      <c r="K836" s="60"/>
      <c r="L836" s="60"/>
      <c r="M836" s="60"/>
      <c r="N836" s="60">
        <f t="shared" si="256"/>
        <v>0</v>
      </c>
      <c r="O836" s="60">
        <f t="shared" si="257"/>
        <v>0</v>
      </c>
    </row>
    <row r="837" spans="1:15" s="38" customFormat="1" ht="12" customHeight="1" outlineLevel="1" thickBot="1" x14ac:dyDescent="0.3">
      <c r="A837" s="125"/>
      <c r="B837" s="143"/>
      <c r="C837" s="131"/>
      <c r="D837" s="131"/>
      <c r="E837" s="131"/>
      <c r="F837" s="131"/>
      <c r="G837" s="60" t="s">
        <v>131</v>
      </c>
      <c r="H837" s="134"/>
      <c r="I837" s="134"/>
      <c r="J837" s="60"/>
      <c r="K837" s="60"/>
      <c r="L837" s="60"/>
      <c r="M837" s="60"/>
      <c r="N837" s="60">
        <f t="shared" si="256"/>
        <v>0</v>
      </c>
      <c r="O837" s="60">
        <f t="shared" si="257"/>
        <v>0</v>
      </c>
    </row>
    <row r="838" spans="1:15" s="38" customFormat="1" ht="14.45" customHeight="1" outlineLevel="1" x14ac:dyDescent="0.25">
      <c r="A838" s="140" t="s">
        <v>760</v>
      </c>
      <c r="B838" s="141" t="s">
        <v>761</v>
      </c>
      <c r="C838" s="130">
        <f>SUM(N838:N844)</f>
        <v>0</v>
      </c>
      <c r="D838" s="130">
        <f>SUM(O838:O844)</f>
        <v>0</v>
      </c>
      <c r="E838" s="130">
        <f t="shared" si="251"/>
        <v>0</v>
      </c>
      <c r="F838" s="130"/>
      <c r="G838" s="60" t="s">
        <v>125</v>
      </c>
      <c r="H838" s="123"/>
      <c r="I838" s="123"/>
      <c r="J838" s="60"/>
      <c r="K838" s="60"/>
      <c r="L838" s="60"/>
      <c r="M838" s="60"/>
      <c r="N838" s="60">
        <f>M838*J838*K838*L838</f>
        <v>0</v>
      </c>
      <c r="O838" s="60">
        <f>J838*K838*L838</f>
        <v>0</v>
      </c>
    </row>
    <row r="839" spans="1:15" s="38" customFormat="1" ht="11.45" customHeight="1" outlineLevel="1" x14ac:dyDescent="0.25">
      <c r="A839" s="124"/>
      <c r="B839" s="142"/>
      <c r="C839" s="115"/>
      <c r="D839" s="115"/>
      <c r="E839" s="115"/>
      <c r="F839" s="115"/>
      <c r="G839" s="60" t="s">
        <v>126</v>
      </c>
      <c r="H839" s="124"/>
      <c r="I839" s="124"/>
      <c r="J839" s="60"/>
      <c r="K839" s="60"/>
      <c r="L839" s="60"/>
      <c r="M839" s="60"/>
      <c r="N839" s="60">
        <f t="shared" ref="N839:N844" si="258">M839*J839*K839*L839</f>
        <v>0</v>
      </c>
      <c r="O839" s="60">
        <f t="shared" ref="O839:O844" si="259">J839*K839*L839</f>
        <v>0</v>
      </c>
    </row>
    <row r="840" spans="1:15" s="38" customFormat="1" ht="10.7" customHeight="1" outlineLevel="1" x14ac:dyDescent="0.25">
      <c r="A840" s="124"/>
      <c r="B840" s="142"/>
      <c r="C840" s="115"/>
      <c r="D840" s="115"/>
      <c r="E840" s="115"/>
      <c r="F840" s="115"/>
      <c r="G840" s="60" t="s">
        <v>127</v>
      </c>
      <c r="H840" s="124"/>
      <c r="I840" s="124"/>
      <c r="J840" s="60"/>
      <c r="K840" s="60"/>
      <c r="L840" s="60"/>
      <c r="M840" s="60"/>
      <c r="N840" s="60">
        <f t="shared" si="258"/>
        <v>0</v>
      </c>
      <c r="O840" s="60">
        <f t="shared" si="259"/>
        <v>0</v>
      </c>
    </row>
    <row r="841" spans="1:15" s="38" customFormat="1" ht="10.7" customHeight="1" outlineLevel="1" x14ac:dyDescent="0.25">
      <c r="A841" s="124"/>
      <c r="B841" s="142"/>
      <c r="C841" s="115"/>
      <c r="D841" s="115"/>
      <c r="E841" s="115"/>
      <c r="F841" s="115"/>
      <c r="G841" s="60" t="s">
        <v>128</v>
      </c>
      <c r="H841" s="124"/>
      <c r="I841" s="124"/>
      <c r="J841" s="60"/>
      <c r="K841" s="60"/>
      <c r="L841" s="60"/>
      <c r="M841" s="60"/>
      <c r="N841" s="60">
        <f t="shared" si="258"/>
        <v>0</v>
      </c>
      <c r="O841" s="60">
        <f t="shared" si="259"/>
        <v>0</v>
      </c>
    </row>
    <row r="842" spans="1:15" s="38" customFormat="1" ht="10.7" customHeight="1" outlineLevel="1" x14ac:dyDescent="0.25">
      <c r="A842" s="124"/>
      <c r="B842" s="142"/>
      <c r="C842" s="115"/>
      <c r="D842" s="115"/>
      <c r="E842" s="115"/>
      <c r="F842" s="115"/>
      <c r="G842" s="60" t="s">
        <v>129</v>
      </c>
      <c r="H842" s="124"/>
      <c r="I842" s="124"/>
      <c r="J842" s="60"/>
      <c r="K842" s="60"/>
      <c r="L842" s="60"/>
      <c r="M842" s="60"/>
      <c r="N842" s="60">
        <f t="shared" si="258"/>
        <v>0</v>
      </c>
      <c r="O842" s="60">
        <f t="shared" si="259"/>
        <v>0</v>
      </c>
    </row>
    <row r="843" spans="1:15" s="38" customFormat="1" ht="10.7" customHeight="1" outlineLevel="1" x14ac:dyDescent="0.25">
      <c r="A843" s="124"/>
      <c r="B843" s="142"/>
      <c r="C843" s="115"/>
      <c r="D843" s="115"/>
      <c r="E843" s="115"/>
      <c r="F843" s="115"/>
      <c r="G843" s="60" t="s">
        <v>130</v>
      </c>
      <c r="H843" s="124"/>
      <c r="I843" s="124"/>
      <c r="J843" s="60"/>
      <c r="K843" s="60"/>
      <c r="L843" s="60"/>
      <c r="M843" s="60"/>
      <c r="N843" s="60">
        <f t="shared" si="258"/>
        <v>0</v>
      </c>
      <c r="O843" s="60">
        <f t="shared" si="259"/>
        <v>0</v>
      </c>
    </row>
    <row r="844" spans="1:15" s="38" customFormat="1" ht="12" customHeight="1" outlineLevel="1" thickBot="1" x14ac:dyDescent="0.3">
      <c r="A844" s="125"/>
      <c r="B844" s="143"/>
      <c r="C844" s="131"/>
      <c r="D844" s="131"/>
      <c r="E844" s="131"/>
      <c r="F844" s="131"/>
      <c r="G844" s="60" t="s">
        <v>131</v>
      </c>
      <c r="H844" s="134"/>
      <c r="I844" s="134"/>
      <c r="J844" s="60"/>
      <c r="K844" s="60"/>
      <c r="L844" s="60"/>
      <c r="M844" s="60"/>
      <c r="N844" s="60">
        <f t="shared" si="258"/>
        <v>0</v>
      </c>
      <c r="O844" s="60">
        <f t="shared" si="259"/>
        <v>0</v>
      </c>
    </row>
    <row r="845" spans="1:15" s="38" customFormat="1" ht="14.45" customHeight="1" outlineLevel="1" x14ac:dyDescent="0.25">
      <c r="A845" s="140" t="s">
        <v>762</v>
      </c>
      <c r="B845" s="141" t="s">
        <v>763</v>
      </c>
      <c r="C845" s="130">
        <f>SUM(N845:N851)</f>
        <v>0</v>
      </c>
      <c r="D845" s="130">
        <f>SUM(O845:O851)</f>
        <v>0</v>
      </c>
      <c r="E845" s="130">
        <f t="shared" si="251"/>
        <v>0</v>
      </c>
      <c r="F845" s="130"/>
      <c r="G845" s="60" t="s">
        <v>125</v>
      </c>
      <c r="H845" s="123"/>
      <c r="I845" s="123"/>
      <c r="J845" s="60"/>
      <c r="K845" s="60"/>
      <c r="L845" s="60"/>
      <c r="M845" s="60"/>
      <c r="N845" s="60">
        <f>M845*J845*K845*L845</f>
        <v>0</v>
      </c>
      <c r="O845" s="60">
        <f>J845*K845*L845</f>
        <v>0</v>
      </c>
    </row>
    <row r="846" spans="1:15" s="38" customFormat="1" ht="11.45" customHeight="1" outlineLevel="1" x14ac:dyDescent="0.25">
      <c r="A846" s="124"/>
      <c r="B846" s="142"/>
      <c r="C846" s="115"/>
      <c r="D846" s="115"/>
      <c r="E846" s="115"/>
      <c r="F846" s="115"/>
      <c r="G846" s="60" t="s">
        <v>126</v>
      </c>
      <c r="H846" s="124"/>
      <c r="I846" s="124"/>
      <c r="J846" s="60"/>
      <c r="K846" s="60"/>
      <c r="L846" s="60"/>
      <c r="M846" s="60"/>
      <c r="N846" s="60">
        <f t="shared" ref="N846:N851" si="260">M846*J846*K846*L846</f>
        <v>0</v>
      </c>
      <c r="O846" s="60">
        <f t="shared" ref="O846:O851" si="261">J846*K846*L846</f>
        <v>0</v>
      </c>
    </row>
    <row r="847" spans="1:15" s="38" customFormat="1" ht="10.7" customHeight="1" outlineLevel="1" x14ac:dyDescent="0.25">
      <c r="A847" s="124"/>
      <c r="B847" s="142"/>
      <c r="C847" s="115"/>
      <c r="D847" s="115"/>
      <c r="E847" s="115"/>
      <c r="F847" s="115"/>
      <c r="G847" s="60" t="s">
        <v>127</v>
      </c>
      <c r="H847" s="124"/>
      <c r="I847" s="124"/>
      <c r="J847" s="60"/>
      <c r="K847" s="60"/>
      <c r="L847" s="60"/>
      <c r="M847" s="60"/>
      <c r="N847" s="60">
        <f t="shared" si="260"/>
        <v>0</v>
      </c>
      <c r="O847" s="60">
        <f t="shared" si="261"/>
        <v>0</v>
      </c>
    </row>
    <row r="848" spans="1:15" s="38" customFormat="1" ht="10.7" customHeight="1" outlineLevel="1" x14ac:dyDescent="0.25">
      <c r="A848" s="124"/>
      <c r="B848" s="142"/>
      <c r="C848" s="115"/>
      <c r="D848" s="115"/>
      <c r="E848" s="115"/>
      <c r="F848" s="115"/>
      <c r="G848" s="60" t="s">
        <v>128</v>
      </c>
      <c r="H848" s="124"/>
      <c r="I848" s="124"/>
      <c r="J848" s="60"/>
      <c r="K848" s="60"/>
      <c r="L848" s="60"/>
      <c r="M848" s="60"/>
      <c r="N848" s="60">
        <f t="shared" si="260"/>
        <v>0</v>
      </c>
      <c r="O848" s="60">
        <f t="shared" si="261"/>
        <v>0</v>
      </c>
    </row>
    <row r="849" spans="1:15" s="38" customFormat="1" ht="10.7" customHeight="1" outlineLevel="1" x14ac:dyDescent="0.25">
      <c r="A849" s="124"/>
      <c r="B849" s="142"/>
      <c r="C849" s="115"/>
      <c r="D849" s="115"/>
      <c r="E849" s="115"/>
      <c r="F849" s="115"/>
      <c r="G849" s="60" t="s">
        <v>129</v>
      </c>
      <c r="H849" s="124"/>
      <c r="I849" s="124"/>
      <c r="J849" s="60"/>
      <c r="K849" s="60"/>
      <c r="L849" s="60"/>
      <c r="M849" s="60"/>
      <c r="N849" s="60">
        <f t="shared" si="260"/>
        <v>0</v>
      </c>
      <c r="O849" s="60">
        <f t="shared" si="261"/>
        <v>0</v>
      </c>
    </row>
    <row r="850" spans="1:15" s="38" customFormat="1" ht="10.7" customHeight="1" outlineLevel="1" x14ac:dyDescent="0.25">
      <c r="A850" s="124"/>
      <c r="B850" s="142"/>
      <c r="C850" s="115"/>
      <c r="D850" s="115"/>
      <c r="E850" s="115"/>
      <c r="F850" s="115"/>
      <c r="G850" s="60" t="s">
        <v>130</v>
      </c>
      <c r="H850" s="124"/>
      <c r="I850" s="124"/>
      <c r="J850" s="60"/>
      <c r="K850" s="60"/>
      <c r="L850" s="60"/>
      <c r="M850" s="60"/>
      <c r="N850" s="60">
        <f t="shared" si="260"/>
        <v>0</v>
      </c>
      <c r="O850" s="60">
        <f t="shared" si="261"/>
        <v>0</v>
      </c>
    </row>
    <row r="851" spans="1:15" s="38" customFormat="1" ht="12" customHeight="1" outlineLevel="1" thickBot="1" x14ac:dyDescent="0.3">
      <c r="A851" s="125"/>
      <c r="B851" s="143"/>
      <c r="C851" s="131"/>
      <c r="D851" s="131"/>
      <c r="E851" s="131"/>
      <c r="F851" s="131"/>
      <c r="G851" s="60" t="s">
        <v>131</v>
      </c>
      <c r="H851" s="134"/>
      <c r="I851" s="134"/>
      <c r="J851" s="60"/>
      <c r="K851" s="60"/>
      <c r="L851" s="60"/>
      <c r="M851" s="60"/>
      <c r="N851" s="60">
        <f t="shared" si="260"/>
        <v>0</v>
      </c>
      <c r="O851" s="60">
        <f t="shared" si="261"/>
        <v>0</v>
      </c>
    </row>
    <row r="852" spans="1:15" s="38" customFormat="1" ht="14.45" customHeight="1" outlineLevel="1" x14ac:dyDescent="0.25">
      <c r="A852" s="140" t="s">
        <v>764</v>
      </c>
      <c r="B852" s="141" t="s">
        <v>765</v>
      </c>
      <c r="C852" s="130">
        <f>SUM(N852:N858)</f>
        <v>0</v>
      </c>
      <c r="D852" s="130">
        <f>SUM(O852:O858)</f>
        <v>0</v>
      </c>
      <c r="E852" s="130">
        <f t="shared" si="251"/>
        <v>0</v>
      </c>
      <c r="F852" s="130"/>
      <c r="G852" s="60" t="s">
        <v>125</v>
      </c>
      <c r="H852" s="123"/>
      <c r="I852" s="123"/>
      <c r="J852" s="60"/>
      <c r="K852" s="60"/>
      <c r="L852" s="60"/>
      <c r="M852" s="60"/>
      <c r="N852" s="60">
        <f>M852*J852*K852*L852</f>
        <v>0</v>
      </c>
      <c r="O852" s="60">
        <f>J852*K852*L852</f>
        <v>0</v>
      </c>
    </row>
    <row r="853" spans="1:15" s="38" customFormat="1" ht="11.45" customHeight="1" outlineLevel="1" x14ac:dyDescent="0.25">
      <c r="A853" s="124"/>
      <c r="B853" s="142"/>
      <c r="C853" s="115"/>
      <c r="D853" s="115"/>
      <c r="E853" s="115"/>
      <c r="F853" s="115"/>
      <c r="G853" s="60" t="s">
        <v>126</v>
      </c>
      <c r="H853" s="124"/>
      <c r="I853" s="124"/>
      <c r="J853" s="60"/>
      <c r="K853" s="60"/>
      <c r="L853" s="60"/>
      <c r="M853" s="60"/>
      <c r="N853" s="60">
        <f t="shared" ref="N853:N858" si="262">M853*J853*K853*L853</f>
        <v>0</v>
      </c>
      <c r="O853" s="60">
        <f t="shared" ref="O853:O858" si="263">J853*K853*L853</f>
        <v>0</v>
      </c>
    </row>
    <row r="854" spans="1:15" s="38" customFormat="1" ht="10.7" customHeight="1" outlineLevel="1" x14ac:dyDescent="0.25">
      <c r="A854" s="124"/>
      <c r="B854" s="142"/>
      <c r="C854" s="115"/>
      <c r="D854" s="115"/>
      <c r="E854" s="115"/>
      <c r="F854" s="115"/>
      <c r="G854" s="60" t="s">
        <v>127</v>
      </c>
      <c r="H854" s="124"/>
      <c r="I854" s="124"/>
      <c r="J854" s="60"/>
      <c r="K854" s="60"/>
      <c r="L854" s="60"/>
      <c r="M854" s="60"/>
      <c r="N854" s="60">
        <f t="shared" si="262"/>
        <v>0</v>
      </c>
      <c r="O854" s="60">
        <f t="shared" si="263"/>
        <v>0</v>
      </c>
    </row>
    <row r="855" spans="1:15" s="38" customFormat="1" ht="10.7" customHeight="1" outlineLevel="1" x14ac:dyDescent="0.25">
      <c r="A855" s="124"/>
      <c r="B855" s="142"/>
      <c r="C855" s="115"/>
      <c r="D855" s="115"/>
      <c r="E855" s="115"/>
      <c r="F855" s="115"/>
      <c r="G855" s="60" t="s">
        <v>128</v>
      </c>
      <c r="H855" s="124"/>
      <c r="I855" s="124"/>
      <c r="J855" s="60"/>
      <c r="K855" s="60"/>
      <c r="L855" s="60"/>
      <c r="M855" s="60"/>
      <c r="N855" s="60">
        <f t="shared" si="262"/>
        <v>0</v>
      </c>
      <c r="O855" s="60">
        <f t="shared" si="263"/>
        <v>0</v>
      </c>
    </row>
    <row r="856" spans="1:15" s="38" customFormat="1" ht="10.7" customHeight="1" outlineLevel="1" x14ac:dyDescent="0.25">
      <c r="A856" s="124"/>
      <c r="B856" s="142"/>
      <c r="C856" s="115"/>
      <c r="D856" s="115"/>
      <c r="E856" s="115"/>
      <c r="F856" s="115"/>
      <c r="G856" s="60" t="s">
        <v>129</v>
      </c>
      <c r="H856" s="124"/>
      <c r="I856" s="124"/>
      <c r="J856" s="60"/>
      <c r="K856" s="60"/>
      <c r="L856" s="60"/>
      <c r="M856" s="60"/>
      <c r="N856" s="60">
        <f t="shared" si="262"/>
        <v>0</v>
      </c>
      <c r="O856" s="60">
        <f t="shared" si="263"/>
        <v>0</v>
      </c>
    </row>
    <row r="857" spans="1:15" s="38" customFormat="1" ht="10.7" customHeight="1" outlineLevel="1" x14ac:dyDescent="0.25">
      <c r="A857" s="124"/>
      <c r="B857" s="142"/>
      <c r="C857" s="115"/>
      <c r="D857" s="115"/>
      <c r="E857" s="115"/>
      <c r="F857" s="115"/>
      <c r="G857" s="60" t="s">
        <v>130</v>
      </c>
      <c r="H857" s="124"/>
      <c r="I857" s="124"/>
      <c r="J857" s="60"/>
      <c r="K857" s="60"/>
      <c r="L857" s="60"/>
      <c r="M857" s="60"/>
      <c r="N857" s="60">
        <f t="shared" si="262"/>
        <v>0</v>
      </c>
      <c r="O857" s="60">
        <f t="shared" si="263"/>
        <v>0</v>
      </c>
    </row>
    <row r="858" spans="1:15" s="38" customFormat="1" ht="12" customHeight="1" outlineLevel="1" thickBot="1" x14ac:dyDescent="0.3">
      <c r="A858" s="125"/>
      <c r="B858" s="143"/>
      <c r="C858" s="131"/>
      <c r="D858" s="131"/>
      <c r="E858" s="131"/>
      <c r="F858" s="131"/>
      <c r="G858" s="60" t="s">
        <v>131</v>
      </c>
      <c r="H858" s="134"/>
      <c r="I858" s="134"/>
      <c r="J858" s="60"/>
      <c r="K858" s="60"/>
      <c r="L858" s="60"/>
      <c r="M858" s="60"/>
      <c r="N858" s="60">
        <f t="shared" si="262"/>
        <v>0</v>
      </c>
      <c r="O858" s="60">
        <f t="shared" si="263"/>
        <v>0</v>
      </c>
    </row>
    <row r="859" spans="1:15" s="38" customFormat="1" ht="14.45" customHeight="1" outlineLevel="1" x14ac:dyDescent="0.25">
      <c r="A859" s="140" t="s">
        <v>766</v>
      </c>
      <c r="B859" s="141" t="s">
        <v>767</v>
      </c>
      <c r="C859" s="130">
        <f>SUM(N859:N865)</f>
        <v>0</v>
      </c>
      <c r="D859" s="130">
        <f>SUM(O859:O865)</f>
        <v>0</v>
      </c>
      <c r="E859" s="130">
        <f t="shared" si="251"/>
        <v>0</v>
      </c>
      <c r="F859" s="130"/>
      <c r="G859" s="60" t="s">
        <v>125</v>
      </c>
      <c r="H859" s="123"/>
      <c r="I859" s="123"/>
      <c r="J859" s="60"/>
      <c r="K859" s="60"/>
      <c r="L859" s="60"/>
      <c r="M859" s="60"/>
      <c r="N859" s="60">
        <f>M859*J859*K859*L859</f>
        <v>0</v>
      </c>
      <c r="O859" s="60">
        <f>J859*K859*L859</f>
        <v>0</v>
      </c>
    </row>
    <row r="860" spans="1:15" s="38" customFormat="1" ht="11.45" customHeight="1" outlineLevel="1" x14ac:dyDescent="0.25">
      <c r="A860" s="124"/>
      <c r="B860" s="142"/>
      <c r="C860" s="115"/>
      <c r="D860" s="115"/>
      <c r="E860" s="115"/>
      <c r="F860" s="115"/>
      <c r="G860" s="60" t="s">
        <v>126</v>
      </c>
      <c r="H860" s="124"/>
      <c r="I860" s="124"/>
      <c r="J860" s="60"/>
      <c r="K860" s="60"/>
      <c r="L860" s="60"/>
      <c r="M860" s="60"/>
      <c r="N860" s="60">
        <f t="shared" ref="N860:N865" si="264">M860*J860*K860*L860</f>
        <v>0</v>
      </c>
      <c r="O860" s="60">
        <f t="shared" ref="O860:O865" si="265">J860*K860*L860</f>
        <v>0</v>
      </c>
    </row>
    <row r="861" spans="1:15" s="38" customFormat="1" ht="10.7" customHeight="1" outlineLevel="1" x14ac:dyDescent="0.25">
      <c r="A861" s="124"/>
      <c r="B861" s="142"/>
      <c r="C861" s="115"/>
      <c r="D861" s="115"/>
      <c r="E861" s="115"/>
      <c r="F861" s="115"/>
      <c r="G861" s="60" t="s">
        <v>127</v>
      </c>
      <c r="H861" s="124"/>
      <c r="I861" s="124"/>
      <c r="J861" s="60"/>
      <c r="K861" s="60"/>
      <c r="L861" s="60"/>
      <c r="M861" s="60"/>
      <c r="N861" s="60">
        <f t="shared" si="264"/>
        <v>0</v>
      </c>
      <c r="O861" s="60">
        <f t="shared" si="265"/>
        <v>0</v>
      </c>
    </row>
    <row r="862" spans="1:15" s="38" customFormat="1" ht="10.7" customHeight="1" outlineLevel="1" x14ac:dyDescent="0.25">
      <c r="A862" s="124"/>
      <c r="B862" s="142"/>
      <c r="C862" s="115"/>
      <c r="D862" s="115"/>
      <c r="E862" s="115"/>
      <c r="F862" s="115"/>
      <c r="G862" s="60" t="s">
        <v>128</v>
      </c>
      <c r="H862" s="124"/>
      <c r="I862" s="124"/>
      <c r="J862" s="60"/>
      <c r="K862" s="60"/>
      <c r="L862" s="60"/>
      <c r="M862" s="60"/>
      <c r="N862" s="60">
        <f t="shared" si="264"/>
        <v>0</v>
      </c>
      <c r="O862" s="60">
        <f t="shared" si="265"/>
        <v>0</v>
      </c>
    </row>
    <row r="863" spans="1:15" s="38" customFormat="1" ht="10.7" customHeight="1" outlineLevel="1" x14ac:dyDescent="0.25">
      <c r="A863" s="124"/>
      <c r="B863" s="142"/>
      <c r="C863" s="115"/>
      <c r="D863" s="115"/>
      <c r="E863" s="115"/>
      <c r="F863" s="115"/>
      <c r="G863" s="60" t="s">
        <v>129</v>
      </c>
      <c r="H863" s="124"/>
      <c r="I863" s="124"/>
      <c r="J863" s="60"/>
      <c r="K863" s="60"/>
      <c r="L863" s="60"/>
      <c r="M863" s="60"/>
      <c r="N863" s="60">
        <f t="shared" si="264"/>
        <v>0</v>
      </c>
      <c r="O863" s="60">
        <f t="shared" si="265"/>
        <v>0</v>
      </c>
    </row>
    <row r="864" spans="1:15" s="38" customFormat="1" ht="10.7" customHeight="1" outlineLevel="1" x14ac:dyDescent="0.25">
      <c r="A864" s="124"/>
      <c r="B864" s="142"/>
      <c r="C864" s="115"/>
      <c r="D864" s="115"/>
      <c r="E864" s="115"/>
      <c r="F864" s="115"/>
      <c r="G864" s="60" t="s">
        <v>130</v>
      </c>
      <c r="H864" s="124"/>
      <c r="I864" s="124"/>
      <c r="J864" s="60"/>
      <c r="K864" s="60"/>
      <c r="L864" s="60"/>
      <c r="M864" s="60"/>
      <c r="N864" s="60">
        <f t="shared" si="264"/>
        <v>0</v>
      </c>
      <c r="O864" s="60">
        <f t="shared" si="265"/>
        <v>0</v>
      </c>
    </row>
    <row r="865" spans="1:15" s="38" customFormat="1" ht="12" customHeight="1" outlineLevel="1" thickBot="1" x14ac:dyDescent="0.3">
      <c r="A865" s="125"/>
      <c r="B865" s="143"/>
      <c r="C865" s="131"/>
      <c r="D865" s="131"/>
      <c r="E865" s="131"/>
      <c r="F865" s="131"/>
      <c r="G865" s="60" t="s">
        <v>131</v>
      </c>
      <c r="H865" s="134"/>
      <c r="I865" s="134"/>
      <c r="J865" s="60"/>
      <c r="K865" s="60"/>
      <c r="L865" s="60"/>
      <c r="M865" s="60"/>
      <c r="N865" s="60">
        <f t="shared" si="264"/>
        <v>0</v>
      </c>
      <c r="O865" s="60">
        <f t="shared" si="265"/>
        <v>0</v>
      </c>
    </row>
    <row r="866" spans="1:15" s="38" customFormat="1" ht="14.45" customHeight="1" outlineLevel="1" x14ac:dyDescent="0.25">
      <c r="A866" s="140" t="s">
        <v>768</v>
      </c>
      <c r="B866" s="141" t="s">
        <v>769</v>
      </c>
      <c r="C866" s="130">
        <f>SUM(N866:N872)</f>
        <v>0</v>
      </c>
      <c r="D866" s="130">
        <f>SUM(O866:O872)</f>
        <v>0</v>
      </c>
      <c r="E866" s="130">
        <f t="shared" si="251"/>
        <v>0</v>
      </c>
      <c r="F866" s="130"/>
      <c r="G866" s="60" t="s">
        <v>125</v>
      </c>
      <c r="H866" s="123"/>
      <c r="I866" s="123"/>
      <c r="J866" s="60"/>
      <c r="K866" s="60"/>
      <c r="L866" s="60"/>
      <c r="M866" s="60"/>
      <c r="N866" s="60">
        <f>M866*J866*K866*L866</f>
        <v>0</v>
      </c>
      <c r="O866" s="60">
        <f>J866*K866*L866</f>
        <v>0</v>
      </c>
    </row>
    <row r="867" spans="1:15" s="38" customFormat="1" ht="11.45" customHeight="1" outlineLevel="1" x14ac:dyDescent="0.25">
      <c r="A867" s="124"/>
      <c r="B867" s="142"/>
      <c r="C867" s="115"/>
      <c r="D867" s="115"/>
      <c r="E867" s="115"/>
      <c r="F867" s="115"/>
      <c r="G867" s="60" t="s">
        <v>126</v>
      </c>
      <c r="H867" s="124"/>
      <c r="I867" s="124"/>
      <c r="J867" s="60"/>
      <c r="K867" s="60"/>
      <c r="L867" s="60"/>
      <c r="M867" s="60"/>
      <c r="N867" s="60">
        <f t="shared" ref="N867:N872" si="266">M867*J867*K867*L867</f>
        <v>0</v>
      </c>
      <c r="O867" s="60">
        <f t="shared" ref="O867:O872" si="267">J867*K867*L867</f>
        <v>0</v>
      </c>
    </row>
    <row r="868" spans="1:15" s="38" customFormat="1" ht="10.7" customHeight="1" outlineLevel="1" x14ac:dyDescent="0.25">
      <c r="A868" s="124"/>
      <c r="B868" s="142"/>
      <c r="C868" s="115"/>
      <c r="D868" s="115"/>
      <c r="E868" s="115"/>
      <c r="F868" s="115"/>
      <c r="G868" s="60" t="s">
        <v>127</v>
      </c>
      <c r="H868" s="124"/>
      <c r="I868" s="124"/>
      <c r="J868" s="60"/>
      <c r="K868" s="60"/>
      <c r="L868" s="60"/>
      <c r="M868" s="60"/>
      <c r="N868" s="60">
        <f t="shared" si="266"/>
        <v>0</v>
      </c>
      <c r="O868" s="60">
        <f t="shared" si="267"/>
        <v>0</v>
      </c>
    </row>
    <row r="869" spans="1:15" s="38" customFormat="1" ht="10.7" customHeight="1" outlineLevel="1" x14ac:dyDescent="0.25">
      <c r="A869" s="124"/>
      <c r="B869" s="142"/>
      <c r="C869" s="115"/>
      <c r="D869" s="115"/>
      <c r="E869" s="115"/>
      <c r="F869" s="115"/>
      <c r="G869" s="60" t="s">
        <v>128</v>
      </c>
      <c r="H869" s="124"/>
      <c r="I869" s="124"/>
      <c r="J869" s="60"/>
      <c r="K869" s="60"/>
      <c r="L869" s="60"/>
      <c r="M869" s="60"/>
      <c r="N869" s="60">
        <f t="shared" si="266"/>
        <v>0</v>
      </c>
      <c r="O869" s="60">
        <f t="shared" si="267"/>
        <v>0</v>
      </c>
    </row>
    <row r="870" spans="1:15" s="38" customFormat="1" ht="10.7" customHeight="1" outlineLevel="1" x14ac:dyDescent="0.25">
      <c r="A870" s="124"/>
      <c r="B870" s="142"/>
      <c r="C870" s="115"/>
      <c r="D870" s="115"/>
      <c r="E870" s="115"/>
      <c r="F870" s="115"/>
      <c r="G870" s="60" t="s">
        <v>129</v>
      </c>
      <c r="H870" s="124"/>
      <c r="I870" s="124"/>
      <c r="J870" s="60"/>
      <c r="K870" s="60"/>
      <c r="L870" s="60"/>
      <c r="M870" s="60"/>
      <c r="N870" s="60">
        <f t="shared" si="266"/>
        <v>0</v>
      </c>
      <c r="O870" s="60">
        <f t="shared" si="267"/>
        <v>0</v>
      </c>
    </row>
    <row r="871" spans="1:15" s="38" customFormat="1" ht="10.7" customHeight="1" outlineLevel="1" x14ac:dyDescent="0.25">
      <c r="A871" s="124"/>
      <c r="B871" s="142"/>
      <c r="C871" s="115"/>
      <c r="D871" s="115"/>
      <c r="E871" s="115"/>
      <c r="F871" s="115"/>
      <c r="G871" s="60" t="s">
        <v>130</v>
      </c>
      <c r="H871" s="124"/>
      <c r="I871" s="124"/>
      <c r="J871" s="60"/>
      <c r="K871" s="60"/>
      <c r="L871" s="60"/>
      <c r="M871" s="60"/>
      <c r="N871" s="60">
        <f t="shared" si="266"/>
        <v>0</v>
      </c>
      <c r="O871" s="60">
        <f t="shared" si="267"/>
        <v>0</v>
      </c>
    </row>
    <row r="872" spans="1:15" s="38" customFormat="1" ht="12" customHeight="1" outlineLevel="1" thickBot="1" x14ac:dyDescent="0.3">
      <c r="A872" s="125"/>
      <c r="B872" s="143"/>
      <c r="C872" s="131"/>
      <c r="D872" s="131"/>
      <c r="E872" s="131"/>
      <c r="F872" s="131"/>
      <c r="G872" s="60" t="s">
        <v>131</v>
      </c>
      <c r="H872" s="134"/>
      <c r="I872" s="134"/>
      <c r="J872" s="60"/>
      <c r="K872" s="60"/>
      <c r="L872" s="60"/>
      <c r="M872" s="60"/>
      <c r="N872" s="60">
        <f t="shared" si="266"/>
        <v>0</v>
      </c>
      <c r="O872" s="60">
        <f t="shared" si="267"/>
        <v>0</v>
      </c>
    </row>
    <row r="873" spans="1:15" s="38" customFormat="1" ht="14.45" customHeight="1" outlineLevel="1" x14ac:dyDescent="0.25">
      <c r="A873" s="140" t="s">
        <v>770</v>
      </c>
      <c r="B873" s="141" t="s">
        <v>771</v>
      </c>
      <c r="C873" s="130">
        <f>SUM(N873:N879)</f>
        <v>0</v>
      </c>
      <c r="D873" s="130">
        <f>SUM(O873:O879)</f>
        <v>0</v>
      </c>
      <c r="E873" s="130">
        <f t="shared" si="251"/>
        <v>0</v>
      </c>
      <c r="F873" s="130"/>
      <c r="G873" s="60" t="s">
        <v>125</v>
      </c>
      <c r="H873" s="123"/>
      <c r="I873" s="123"/>
      <c r="J873" s="60"/>
      <c r="K873" s="60"/>
      <c r="L873" s="60"/>
      <c r="M873" s="60"/>
      <c r="N873" s="60">
        <f>M873*J873*K873*L873</f>
        <v>0</v>
      </c>
      <c r="O873" s="60">
        <f>J873*K873*L873</f>
        <v>0</v>
      </c>
    </row>
    <row r="874" spans="1:15" s="38" customFormat="1" ht="11.45" customHeight="1" outlineLevel="1" x14ac:dyDescent="0.25">
      <c r="A874" s="124"/>
      <c r="B874" s="142"/>
      <c r="C874" s="115"/>
      <c r="D874" s="115"/>
      <c r="E874" s="115"/>
      <c r="F874" s="115"/>
      <c r="G874" s="60" t="s">
        <v>126</v>
      </c>
      <c r="H874" s="124"/>
      <c r="I874" s="124"/>
      <c r="J874" s="60"/>
      <c r="K874" s="60"/>
      <c r="L874" s="60"/>
      <c r="M874" s="60"/>
      <c r="N874" s="60">
        <f t="shared" ref="N874:N879" si="268">M874*J874*K874*L874</f>
        <v>0</v>
      </c>
      <c r="O874" s="60">
        <f t="shared" ref="O874:O879" si="269">J874*K874*L874</f>
        <v>0</v>
      </c>
    </row>
    <row r="875" spans="1:15" s="38" customFormat="1" ht="10.7" customHeight="1" outlineLevel="1" x14ac:dyDescent="0.25">
      <c r="A875" s="124"/>
      <c r="B875" s="142"/>
      <c r="C875" s="115"/>
      <c r="D875" s="115"/>
      <c r="E875" s="115"/>
      <c r="F875" s="115"/>
      <c r="G875" s="60" t="s">
        <v>127</v>
      </c>
      <c r="H875" s="124"/>
      <c r="I875" s="124"/>
      <c r="J875" s="60"/>
      <c r="K875" s="60"/>
      <c r="L875" s="60"/>
      <c r="M875" s="60"/>
      <c r="N875" s="60">
        <f t="shared" si="268"/>
        <v>0</v>
      </c>
      <c r="O875" s="60">
        <f t="shared" si="269"/>
        <v>0</v>
      </c>
    </row>
    <row r="876" spans="1:15" s="38" customFormat="1" ht="10.7" customHeight="1" outlineLevel="1" x14ac:dyDescent="0.25">
      <c r="A876" s="124"/>
      <c r="B876" s="142"/>
      <c r="C876" s="115"/>
      <c r="D876" s="115"/>
      <c r="E876" s="115"/>
      <c r="F876" s="115"/>
      <c r="G876" s="60" t="s">
        <v>128</v>
      </c>
      <c r="H876" s="124"/>
      <c r="I876" s="124"/>
      <c r="J876" s="60"/>
      <c r="K876" s="60"/>
      <c r="L876" s="60"/>
      <c r="M876" s="60"/>
      <c r="N876" s="60">
        <f t="shared" si="268"/>
        <v>0</v>
      </c>
      <c r="O876" s="60">
        <f t="shared" si="269"/>
        <v>0</v>
      </c>
    </row>
    <row r="877" spans="1:15" s="38" customFormat="1" ht="10.7" customHeight="1" outlineLevel="1" x14ac:dyDescent="0.25">
      <c r="A877" s="124"/>
      <c r="B877" s="142"/>
      <c r="C877" s="115"/>
      <c r="D877" s="115"/>
      <c r="E877" s="115"/>
      <c r="F877" s="115"/>
      <c r="G877" s="60" t="s">
        <v>129</v>
      </c>
      <c r="H877" s="124"/>
      <c r="I877" s="124"/>
      <c r="J877" s="60"/>
      <c r="K877" s="60"/>
      <c r="L877" s="60"/>
      <c r="M877" s="60"/>
      <c r="N877" s="60">
        <f t="shared" si="268"/>
        <v>0</v>
      </c>
      <c r="O877" s="60">
        <f t="shared" si="269"/>
        <v>0</v>
      </c>
    </row>
    <row r="878" spans="1:15" s="38" customFormat="1" ht="10.7" customHeight="1" outlineLevel="1" x14ac:dyDescent="0.25">
      <c r="A878" s="124"/>
      <c r="B878" s="142"/>
      <c r="C878" s="115"/>
      <c r="D878" s="115"/>
      <c r="E878" s="115"/>
      <c r="F878" s="115"/>
      <c r="G878" s="60" t="s">
        <v>130</v>
      </c>
      <c r="H878" s="124"/>
      <c r="I878" s="124"/>
      <c r="J878" s="60"/>
      <c r="K878" s="60"/>
      <c r="L878" s="60"/>
      <c r="M878" s="60"/>
      <c r="N878" s="60">
        <f t="shared" si="268"/>
        <v>0</v>
      </c>
      <c r="O878" s="60">
        <f t="shared" si="269"/>
        <v>0</v>
      </c>
    </row>
    <row r="879" spans="1:15" s="38" customFormat="1" ht="12" customHeight="1" outlineLevel="1" thickBot="1" x14ac:dyDescent="0.3">
      <c r="A879" s="125"/>
      <c r="B879" s="143"/>
      <c r="C879" s="131"/>
      <c r="D879" s="131"/>
      <c r="E879" s="131"/>
      <c r="F879" s="131"/>
      <c r="G879" s="60" t="s">
        <v>131</v>
      </c>
      <c r="H879" s="134"/>
      <c r="I879" s="134"/>
      <c r="J879" s="60"/>
      <c r="K879" s="60"/>
      <c r="L879" s="60"/>
      <c r="M879" s="60"/>
      <c r="N879" s="60">
        <f t="shared" si="268"/>
        <v>0</v>
      </c>
      <c r="O879" s="60">
        <f t="shared" si="269"/>
        <v>0</v>
      </c>
    </row>
    <row r="880" spans="1:15" s="38" customFormat="1" ht="14.45" customHeight="1" outlineLevel="1" x14ac:dyDescent="0.25">
      <c r="A880" s="140" t="s">
        <v>772</v>
      </c>
      <c r="B880" s="141" t="s">
        <v>773</v>
      </c>
      <c r="C880" s="130">
        <f>SUM(N880:N886)</f>
        <v>0</v>
      </c>
      <c r="D880" s="130">
        <f>SUM(O880:O886)</f>
        <v>0</v>
      </c>
      <c r="E880" s="130">
        <f t="shared" si="251"/>
        <v>0</v>
      </c>
      <c r="F880" s="130"/>
      <c r="G880" s="60" t="s">
        <v>125</v>
      </c>
      <c r="H880" s="123"/>
      <c r="I880" s="123"/>
      <c r="J880" s="60"/>
      <c r="K880" s="60"/>
      <c r="L880" s="60"/>
      <c r="M880" s="60"/>
      <c r="N880" s="60">
        <f>M880*J880*K880*L880</f>
        <v>0</v>
      </c>
      <c r="O880" s="60">
        <f>J880*K880*L880</f>
        <v>0</v>
      </c>
    </row>
    <row r="881" spans="1:15" s="38" customFormat="1" ht="11.45" customHeight="1" outlineLevel="1" x14ac:dyDescent="0.25">
      <c r="A881" s="124"/>
      <c r="B881" s="142"/>
      <c r="C881" s="115"/>
      <c r="D881" s="115"/>
      <c r="E881" s="115"/>
      <c r="F881" s="115"/>
      <c r="G881" s="60" t="s">
        <v>126</v>
      </c>
      <c r="H881" s="124"/>
      <c r="I881" s="124"/>
      <c r="J881" s="60"/>
      <c r="K881" s="60"/>
      <c r="L881" s="60"/>
      <c r="M881" s="60"/>
      <c r="N881" s="60">
        <f t="shared" ref="N881:N886" si="270">M881*J881*K881*L881</f>
        <v>0</v>
      </c>
      <c r="O881" s="60">
        <f t="shared" ref="O881:O886" si="271">J881*K881*L881</f>
        <v>0</v>
      </c>
    </row>
    <row r="882" spans="1:15" s="38" customFormat="1" ht="10.7" customHeight="1" outlineLevel="1" x14ac:dyDescent="0.25">
      <c r="A882" s="124"/>
      <c r="B882" s="142"/>
      <c r="C882" s="115"/>
      <c r="D882" s="115"/>
      <c r="E882" s="115"/>
      <c r="F882" s="115"/>
      <c r="G882" s="60" t="s">
        <v>127</v>
      </c>
      <c r="H882" s="124"/>
      <c r="I882" s="124"/>
      <c r="J882" s="60"/>
      <c r="K882" s="60"/>
      <c r="L882" s="60"/>
      <c r="M882" s="60"/>
      <c r="N882" s="60">
        <f t="shared" si="270"/>
        <v>0</v>
      </c>
      <c r="O882" s="60">
        <f t="shared" si="271"/>
        <v>0</v>
      </c>
    </row>
    <row r="883" spans="1:15" s="38" customFormat="1" ht="10.7" customHeight="1" outlineLevel="1" x14ac:dyDescent="0.25">
      <c r="A883" s="124"/>
      <c r="B883" s="142"/>
      <c r="C883" s="115"/>
      <c r="D883" s="115"/>
      <c r="E883" s="115"/>
      <c r="F883" s="115"/>
      <c r="G883" s="60" t="s">
        <v>128</v>
      </c>
      <c r="H883" s="124"/>
      <c r="I883" s="124"/>
      <c r="J883" s="60"/>
      <c r="K883" s="60"/>
      <c r="L883" s="60"/>
      <c r="M883" s="60"/>
      <c r="N883" s="60">
        <f t="shared" si="270"/>
        <v>0</v>
      </c>
      <c r="O883" s="60">
        <f t="shared" si="271"/>
        <v>0</v>
      </c>
    </row>
    <row r="884" spans="1:15" s="38" customFormat="1" ht="10.7" customHeight="1" outlineLevel="1" x14ac:dyDescent="0.25">
      <c r="A884" s="124"/>
      <c r="B884" s="142"/>
      <c r="C884" s="115"/>
      <c r="D884" s="115"/>
      <c r="E884" s="115"/>
      <c r="F884" s="115"/>
      <c r="G884" s="60" t="s">
        <v>129</v>
      </c>
      <c r="H884" s="124"/>
      <c r="I884" s="124"/>
      <c r="J884" s="60"/>
      <c r="K884" s="60"/>
      <c r="L884" s="60"/>
      <c r="M884" s="60"/>
      <c r="N884" s="60">
        <f t="shared" si="270"/>
        <v>0</v>
      </c>
      <c r="O884" s="60">
        <f t="shared" si="271"/>
        <v>0</v>
      </c>
    </row>
    <row r="885" spans="1:15" s="38" customFormat="1" ht="10.7" customHeight="1" outlineLevel="1" x14ac:dyDescent="0.25">
      <c r="A885" s="124"/>
      <c r="B885" s="142"/>
      <c r="C885" s="115"/>
      <c r="D885" s="115"/>
      <c r="E885" s="115"/>
      <c r="F885" s="115"/>
      <c r="G885" s="60" t="s">
        <v>130</v>
      </c>
      <c r="H885" s="124"/>
      <c r="I885" s="124"/>
      <c r="J885" s="60"/>
      <c r="K885" s="60"/>
      <c r="L885" s="60"/>
      <c r="M885" s="60"/>
      <c r="N885" s="60">
        <f t="shared" si="270"/>
        <v>0</v>
      </c>
      <c r="O885" s="60">
        <f t="shared" si="271"/>
        <v>0</v>
      </c>
    </row>
    <row r="886" spans="1:15" s="38" customFormat="1" ht="12" customHeight="1" outlineLevel="1" thickBot="1" x14ac:dyDescent="0.3">
      <c r="A886" s="125"/>
      <c r="B886" s="143"/>
      <c r="C886" s="131"/>
      <c r="D886" s="131"/>
      <c r="E886" s="131"/>
      <c r="F886" s="131"/>
      <c r="G886" s="60" t="s">
        <v>131</v>
      </c>
      <c r="H886" s="134"/>
      <c r="I886" s="134"/>
      <c r="J886" s="60"/>
      <c r="K886" s="60"/>
      <c r="L886" s="60"/>
      <c r="M886" s="60"/>
      <c r="N886" s="60">
        <f t="shared" si="270"/>
        <v>0</v>
      </c>
      <c r="O886" s="60">
        <f t="shared" si="271"/>
        <v>0</v>
      </c>
    </row>
    <row r="887" spans="1:15" s="38" customFormat="1" ht="14.45" customHeight="1" outlineLevel="1" x14ac:dyDescent="0.25">
      <c r="A887" s="140" t="s">
        <v>774</v>
      </c>
      <c r="B887" s="141" t="s">
        <v>775</v>
      </c>
      <c r="C887" s="130">
        <f>SUM(N887:N893)</f>
        <v>0</v>
      </c>
      <c r="D887" s="130">
        <f>SUM(O887:O893)</f>
        <v>0</v>
      </c>
      <c r="E887" s="130">
        <f t="shared" ref="E887:E950" si="272">D887/8</f>
        <v>0</v>
      </c>
      <c r="F887" s="130"/>
      <c r="G887" s="60" t="s">
        <v>125</v>
      </c>
      <c r="H887" s="123"/>
      <c r="I887" s="123"/>
      <c r="J887" s="60"/>
      <c r="K887" s="60"/>
      <c r="L887" s="60"/>
      <c r="M887" s="60"/>
      <c r="N887" s="60">
        <f>M887*J887*K887*L887</f>
        <v>0</v>
      </c>
      <c r="O887" s="60">
        <f>J887*K887*L887</f>
        <v>0</v>
      </c>
    </row>
    <row r="888" spans="1:15" s="38" customFormat="1" ht="11.45" customHeight="1" outlineLevel="1" x14ac:dyDescent="0.25">
      <c r="A888" s="124"/>
      <c r="B888" s="142"/>
      <c r="C888" s="115"/>
      <c r="D888" s="115"/>
      <c r="E888" s="115"/>
      <c r="F888" s="115"/>
      <c r="G888" s="60" t="s">
        <v>126</v>
      </c>
      <c r="H888" s="124"/>
      <c r="I888" s="124"/>
      <c r="J888" s="60"/>
      <c r="K888" s="60"/>
      <c r="L888" s="60"/>
      <c r="M888" s="60"/>
      <c r="N888" s="60">
        <f t="shared" ref="N888:N893" si="273">M888*J888*K888*L888</f>
        <v>0</v>
      </c>
      <c r="O888" s="60">
        <f t="shared" ref="O888:O893" si="274">J888*K888*L888</f>
        <v>0</v>
      </c>
    </row>
    <row r="889" spans="1:15" s="38" customFormat="1" ht="10.7" customHeight="1" outlineLevel="1" x14ac:dyDescent="0.25">
      <c r="A889" s="124"/>
      <c r="B889" s="142"/>
      <c r="C889" s="115"/>
      <c r="D889" s="115"/>
      <c r="E889" s="115"/>
      <c r="F889" s="115"/>
      <c r="G889" s="60" t="s">
        <v>127</v>
      </c>
      <c r="H889" s="124"/>
      <c r="I889" s="124"/>
      <c r="J889" s="60"/>
      <c r="K889" s="60"/>
      <c r="L889" s="60"/>
      <c r="M889" s="60"/>
      <c r="N889" s="60">
        <f t="shared" si="273"/>
        <v>0</v>
      </c>
      <c r="O889" s="60">
        <f t="shared" si="274"/>
        <v>0</v>
      </c>
    </row>
    <row r="890" spans="1:15" s="38" customFormat="1" ht="10.7" customHeight="1" outlineLevel="1" x14ac:dyDescent="0.25">
      <c r="A890" s="124"/>
      <c r="B890" s="142"/>
      <c r="C890" s="115"/>
      <c r="D890" s="115"/>
      <c r="E890" s="115"/>
      <c r="F890" s="115"/>
      <c r="G890" s="60" t="s">
        <v>128</v>
      </c>
      <c r="H890" s="124"/>
      <c r="I890" s="124"/>
      <c r="J890" s="60"/>
      <c r="K890" s="60"/>
      <c r="L890" s="60"/>
      <c r="M890" s="60"/>
      <c r="N890" s="60">
        <f t="shared" si="273"/>
        <v>0</v>
      </c>
      <c r="O890" s="60">
        <f t="shared" si="274"/>
        <v>0</v>
      </c>
    </row>
    <row r="891" spans="1:15" s="38" customFormat="1" ht="10.7" customHeight="1" outlineLevel="1" x14ac:dyDescent="0.25">
      <c r="A891" s="124"/>
      <c r="B891" s="142"/>
      <c r="C891" s="115"/>
      <c r="D891" s="115"/>
      <c r="E891" s="115"/>
      <c r="F891" s="115"/>
      <c r="G891" s="60" t="s">
        <v>129</v>
      </c>
      <c r="H891" s="124"/>
      <c r="I891" s="124"/>
      <c r="J891" s="60"/>
      <c r="K891" s="60"/>
      <c r="L891" s="60"/>
      <c r="M891" s="60"/>
      <c r="N891" s="60">
        <f t="shared" si="273"/>
        <v>0</v>
      </c>
      <c r="O891" s="60">
        <f t="shared" si="274"/>
        <v>0</v>
      </c>
    </row>
    <row r="892" spans="1:15" s="38" customFormat="1" ht="10.7" customHeight="1" outlineLevel="1" x14ac:dyDescent="0.25">
      <c r="A892" s="124"/>
      <c r="B892" s="142"/>
      <c r="C892" s="115"/>
      <c r="D892" s="115"/>
      <c r="E892" s="115"/>
      <c r="F892" s="115"/>
      <c r="G892" s="60" t="s">
        <v>130</v>
      </c>
      <c r="H892" s="124"/>
      <c r="I892" s="124"/>
      <c r="J892" s="60"/>
      <c r="K892" s="60"/>
      <c r="L892" s="60"/>
      <c r="M892" s="60"/>
      <c r="N892" s="60">
        <f t="shared" si="273"/>
        <v>0</v>
      </c>
      <c r="O892" s="60">
        <f t="shared" si="274"/>
        <v>0</v>
      </c>
    </row>
    <row r="893" spans="1:15" s="38" customFormat="1" ht="12" customHeight="1" outlineLevel="1" thickBot="1" x14ac:dyDescent="0.3">
      <c r="A893" s="125"/>
      <c r="B893" s="143"/>
      <c r="C893" s="131"/>
      <c r="D893" s="131"/>
      <c r="E893" s="131"/>
      <c r="F893" s="131"/>
      <c r="G893" s="60" t="s">
        <v>131</v>
      </c>
      <c r="H893" s="134"/>
      <c r="I893" s="134"/>
      <c r="J893" s="60"/>
      <c r="K893" s="60"/>
      <c r="L893" s="60"/>
      <c r="M893" s="60"/>
      <c r="N893" s="60">
        <f t="shared" si="273"/>
        <v>0</v>
      </c>
      <c r="O893" s="60">
        <f t="shared" si="274"/>
        <v>0</v>
      </c>
    </row>
    <row r="894" spans="1:15" s="38" customFormat="1" ht="14.45" customHeight="1" outlineLevel="1" x14ac:dyDescent="0.25">
      <c r="A894" s="140" t="s">
        <v>776</v>
      </c>
      <c r="B894" s="141" t="s">
        <v>777</v>
      </c>
      <c r="C894" s="130">
        <f>SUM(N894:N900)</f>
        <v>0</v>
      </c>
      <c r="D894" s="130">
        <f>SUM(O894:O900)</f>
        <v>0</v>
      </c>
      <c r="E894" s="130">
        <f t="shared" si="272"/>
        <v>0</v>
      </c>
      <c r="F894" s="130"/>
      <c r="G894" s="60" t="s">
        <v>125</v>
      </c>
      <c r="H894" s="123"/>
      <c r="I894" s="123"/>
      <c r="J894" s="60"/>
      <c r="K894" s="60"/>
      <c r="L894" s="60"/>
      <c r="M894" s="60"/>
      <c r="N894" s="60">
        <f>M894*J894*K894*L894</f>
        <v>0</v>
      </c>
      <c r="O894" s="60">
        <f>J894*K894*L894</f>
        <v>0</v>
      </c>
    </row>
    <row r="895" spans="1:15" s="38" customFormat="1" ht="11.45" customHeight="1" outlineLevel="1" x14ac:dyDescent="0.25">
      <c r="A895" s="124"/>
      <c r="B895" s="142"/>
      <c r="C895" s="115"/>
      <c r="D895" s="115"/>
      <c r="E895" s="115"/>
      <c r="F895" s="115"/>
      <c r="G895" s="60" t="s">
        <v>126</v>
      </c>
      <c r="H895" s="124"/>
      <c r="I895" s="124"/>
      <c r="J895" s="60"/>
      <c r="K895" s="60"/>
      <c r="L895" s="60"/>
      <c r="M895" s="60"/>
      <c r="N895" s="60">
        <f t="shared" ref="N895:N900" si="275">M895*J895*K895*L895</f>
        <v>0</v>
      </c>
      <c r="O895" s="60">
        <f t="shared" ref="O895:O900" si="276">J895*K895*L895</f>
        <v>0</v>
      </c>
    </row>
    <row r="896" spans="1:15" s="38" customFormat="1" ht="10.7" customHeight="1" outlineLevel="1" x14ac:dyDescent="0.25">
      <c r="A896" s="124"/>
      <c r="B896" s="142"/>
      <c r="C896" s="115"/>
      <c r="D896" s="115"/>
      <c r="E896" s="115"/>
      <c r="F896" s="115"/>
      <c r="G896" s="60" t="s">
        <v>127</v>
      </c>
      <c r="H896" s="124"/>
      <c r="I896" s="124"/>
      <c r="J896" s="60"/>
      <c r="K896" s="60"/>
      <c r="L896" s="60"/>
      <c r="M896" s="60"/>
      <c r="N896" s="60">
        <f t="shared" si="275"/>
        <v>0</v>
      </c>
      <c r="O896" s="60">
        <f t="shared" si="276"/>
        <v>0</v>
      </c>
    </row>
    <row r="897" spans="1:15" s="38" customFormat="1" ht="10.7" customHeight="1" outlineLevel="1" x14ac:dyDescent="0.25">
      <c r="A897" s="124"/>
      <c r="B897" s="142"/>
      <c r="C897" s="115"/>
      <c r="D897" s="115"/>
      <c r="E897" s="115"/>
      <c r="F897" s="115"/>
      <c r="G897" s="60" t="s">
        <v>128</v>
      </c>
      <c r="H897" s="124"/>
      <c r="I897" s="124"/>
      <c r="J897" s="60"/>
      <c r="K897" s="60"/>
      <c r="L897" s="60"/>
      <c r="M897" s="60"/>
      <c r="N897" s="60">
        <f t="shared" si="275"/>
        <v>0</v>
      </c>
      <c r="O897" s="60">
        <f t="shared" si="276"/>
        <v>0</v>
      </c>
    </row>
    <row r="898" spans="1:15" s="38" customFormat="1" ht="10.7" customHeight="1" outlineLevel="1" x14ac:dyDescent="0.25">
      <c r="A898" s="124"/>
      <c r="B898" s="142"/>
      <c r="C898" s="115"/>
      <c r="D898" s="115"/>
      <c r="E898" s="115"/>
      <c r="F898" s="115"/>
      <c r="G898" s="60" t="s">
        <v>129</v>
      </c>
      <c r="H898" s="124"/>
      <c r="I898" s="124"/>
      <c r="J898" s="60"/>
      <c r="K898" s="60"/>
      <c r="L898" s="60"/>
      <c r="M898" s="60"/>
      <c r="N898" s="60">
        <f t="shared" si="275"/>
        <v>0</v>
      </c>
      <c r="O898" s="60">
        <f t="shared" si="276"/>
        <v>0</v>
      </c>
    </row>
    <row r="899" spans="1:15" s="38" customFormat="1" ht="10.7" customHeight="1" outlineLevel="1" x14ac:dyDescent="0.25">
      <c r="A899" s="124"/>
      <c r="B899" s="142"/>
      <c r="C899" s="115"/>
      <c r="D899" s="115"/>
      <c r="E899" s="115"/>
      <c r="F899" s="115"/>
      <c r="G899" s="60" t="s">
        <v>130</v>
      </c>
      <c r="H899" s="124"/>
      <c r="I899" s="124"/>
      <c r="J899" s="60"/>
      <c r="K899" s="60"/>
      <c r="L899" s="60"/>
      <c r="M899" s="60"/>
      <c r="N899" s="60">
        <f t="shared" si="275"/>
        <v>0</v>
      </c>
      <c r="O899" s="60">
        <f t="shared" si="276"/>
        <v>0</v>
      </c>
    </row>
    <row r="900" spans="1:15" s="38" customFormat="1" ht="12" customHeight="1" outlineLevel="1" thickBot="1" x14ac:dyDescent="0.3">
      <c r="A900" s="125"/>
      <c r="B900" s="143"/>
      <c r="C900" s="131"/>
      <c r="D900" s="131"/>
      <c r="E900" s="131"/>
      <c r="F900" s="131"/>
      <c r="G900" s="60" t="s">
        <v>131</v>
      </c>
      <c r="H900" s="134"/>
      <c r="I900" s="134"/>
      <c r="J900" s="60"/>
      <c r="K900" s="60"/>
      <c r="L900" s="60"/>
      <c r="M900" s="60"/>
      <c r="N900" s="60">
        <f t="shared" si="275"/>
        <v>0</v>
      </c>
      <c r="O900" s="60">
        <f t="shared" si="276"/>
        <v>0</v>
      </c>
    </row>
    <row r="901" spans="1:15" s="38" customFormat="1" ht="14.45" customHeight="1" outlineLevel="1" x14ac:dyDescent="0.25">
      <c r="A901" s="140" t="s">
        <v>778</v>
      </c>
      <c r="B901" s="141" t="s">
        <v>779</v>
      </c>
      <c r="C901" s="130">
        <f>SUM(N901:N907)</f>
        <v>0</v>
      </c>
      <c r="D901" s="130">
        <f>SUM(O901:O907)</f>
        <v>0</v>
      </c>
      <c r="E901" s="130">
        <f t="shared" si="272"/>
        <v>0</v>
      </c>
      <c r="F901" s="130"/>
      <c r="G901" s="60" t="s">
        <v>125</v>
      </c>
      <c r="H901" s="123"/>
      <c r="I901" s="123"/>
      <c r="J901" s="60"/>
      <c r="K901" s="60"/>
      <c r="L901" s="60"/>
      <c r="M901" s="60"/>
      <c r="N901" s="60">
        <f>M901*J901*K901*L901</f>
        <v>0</v>
      </c>
      <c r="O901" s="60">
        <f>J901*K901*L901</f>
        <v>0</v>
      </c>
    </row>
    <row r="902" spans="1:15" s="38" customFormat="1" ht="11.45" customHeight="1" outlineLevel="1" x14ac:dyDescent="0.25">
      <c r="A902" s="124"/>
      <c r="B902" s="142"/>
      <c r="C902" s="115"/>
      <c r="D902" s="115"/>
      <c r="E902" s="115"/>
      <c r="F902" s="115"/>
      <c r="G902" s="60" t="s">
        <v>126</v>
      </c>
      <c r="H902" s="124"/>
      <c r="I902" s="124"/>
      <c r="J902" s="60"/>
      <c r="K902" s="60"/>
      <c r="L902" s="60"/>
      <c r="M902" s="60"/>
      <c r="N902" s="60">
        <f t="shared" ref="N902:N907" si="277">M902*J902*K902*L902</f>
        <v>0</v>
      </c>
      <c r="O902" s="60">
        <f t="shared" ref="O902:O907" si="278">J902*K902*L902</f>
        <v>0</v>
      </c>
    </row>
    <row r="903" spans="1:15" s="38" customFormat="1" ht="10.7" customHeight="1" outlineLevel="1" x14ac:dyDescent="0.25">
      <c r="A903" s="124"/>
      <c r="B903" s="142"/>
      <c r="C903" s="115"/>
      <c r="D903" s="115"/>
      <c r="E903" s="115"/>
      <c r="F903" s="115"/>
      <c r="G903" s="60" t="s">
        <v>127</v>
      </c>
      <c r="H903" s="124"/>
      <c r="I903" s="124"/>
      <c r="J903" s="60"/>
      <c r="K903" s="60"/>
      <c r="L903" s="60"/>
      <c r="M903" s="60"/>
      <c r="N903" s="60">
        <f t="shared" si="277"/>
        <v>0</v>
      </c>
      <c r="O903" s="60">
        <f t="shared" si="278"/>
        <v>0</v>
      </c>
    </row>
    <row r="904" spans="1:15" s="38" customFormat="1" ht="10.7" customHeight="1" outlineLevel="1" x14ac:dyDescent="0.25">
      <c r="A904" s="124"/>
      <c r="B904" s="142"/>
      <c r="C904" s="115"/>
      <c r="D904" s="115"/>
      <c r="E904" s="115"/>
      <c r="F904" s="115"/>
      <c r="G904" s="60" t="s">
        <v>128</v>
      </c>
      <c r="H904" s="124"/>
      <c r="I904" s="124"/>
      <c r="J904" s="60"/>
      <c r="K904" s="60"/>
      <c r="L904" s="60"/>
      <c r="M904" s="60"/>
      <c r="N904" s="60">
        <f t="shared" si="277"/>
        <v>0</v>
      </c>
      <c r="O904" s="60">
        <f t="shared" si="278"/>
        <v>0</v>
      </c>
    </row>
    <row r="905" spans="1:15" s="38" customFormat="1" ht="10.7" customHeight="1" outlineLevel="1" x14ac:dyDescent="0.25">
      <c r="A905" s="124"/>
      <c r="B905" s="142"/>
      <c r="C905" s="115"/>
      <c r="D905" s="115"/>
      <c r="E905" s="115"/>
      <c r="F905" s="115"/>
      <c r="G905" s="60" t="s">
        <v>129</v>
      </c>
      <c r="H905" s="124"/>
      <c r="I905" s="124"/>
      <c r="J905" s="60"/>
      <c r="K905" s="60"/>
      <c r="L905" s="60"/>
      <c r="M905" s="60"/>
      <c r="N905" s="60">
        <f t="shared" si="277"/>
        <v>0</v>
      </c>
      <c r="O905" s="60">
        <f t="shared" si="278"/>
        <v>0</v>
      </c>
    </row>
    <row r="906" spans="1:15" s="38" customFormat="1" ht="10.7" customHeight="1" outlineLevel="1" x14ac:dyDescent="0.25">
      <c r="A906" s="124"/>
      <c r="B906" s="142"/>
      <c r="C906" s="115"/>
      <c r="D906" s="115"/>
      <c r="E906" s="115"/>
      <c r="F906" s="115"/>
      <c r="G906" s="60" t="s">
        <v>130</v>
      </c>
      <c r="H906" s="124"/>
      <c r="I906" s="124"/>
      <c r="J906" s="60"/>
      <c r="K906" s="60"/>
      <c r="L906" s="60"/>
      <c r="M906" s="60"/>
      <c r="N906" s="60">
        <f t="shared" si="277"/>
        <v>0</v>
      </c>
      <c r="O906" s="60">
        <f t="shared" si="278"/>
        <v>0</v>
      </c>
    </row>
    <row r="907" spans="1:15" s="38" customFormat="1" ht="12" customHeight="1" outlineLevel="1" thickBot="1" x14ac:dyDescent="0.3">
      <c r="A907" s="125"/>
      <c r="B907" s="143"/>
      <c r="C907" s="131"/>
      <c r="D907" s="131"/>
      <c r="E907" s="131"/>
      <c r="F907" s="131"/>
      <c r="G907" s="60" t="s">
        <v>131</v>
      </c>
      <c r="H907" s="134"/>
      <c r="I907" s="134"/>
      <c r="J907" s="60"/>
      <c r="K907" s="60"/>
      <c r="L907" s="60"/>
      <c r="M907" s="60"/>
      <c r="N907" s="60">
        <f t="shared" si="277"/>
        <v>0</v>
      </c>
      <c r="O907" s="60">
        <f t="shared" si="278"/>
        <v>0</v>
      </c>
    </row>
    <row r="908" spans="1:15" s="38" customFormat="1" ht="14.45" customHeight="1" outlineLevel="1" x14ac:dyDescent="0.25">
      <c r="A908" s="140" t="s">
        <v>780</v>
      </c>
      <c r="B908" s="141" t="s">
        <v>781</v>
      </c>
      <c r="C908" s="130">
        <f>SUM(N908:N914)</f>
        <v>0</v>
      </c>
      <c r="D908" s="130">
        <f>SUM(O908:O914)</f>
        <v>0</v>
      </c>
      <c r="E908" s="130">
        <f t="shared" si="272"/>
        <v>0</v>
      </c>
      <c r="F908" s="130"/>
      <c r="G908" s="60" t="s">
        <v>125</v>
      </c>
      <c r="H908" s="123"/>
      <c r="I908" s="123"/>
      <c r="J908" s="60"/>
      <c r="K908" s="60"/>
      <c r="L908" s="60"/>
      <c r="M908" s="60"/>
      <c r="N908" s="60">
        <f>M908*J908*K908*L908</f>
        <v>0</v>
      </c>
      <c r="O908" s="60">
        <f>J908*K908*L908</f>
        <v>0</v>
      </c>
    </row>
    <row r="909" spans="1:15" s="38" customFormat="1" ht="11.45" customHeight="1" outlineLevel="1" x14ac:dyDescent="0.25">
      <c r="A909" s="124"/>
      <c r="B909" s="142"/>
      <c r="C909" s="115"/>
      <c r="D909" s="115"/>
      <c r="E909" s="115"/>
      <c r="F909" s="115"/>
      <c r="G909" s="60" t="s">
        <v>126</v>
      </c>
      <c r="H909" s="124"/>
      <c r="I909" s="124"/>
      <c r="J909" s="60"/>
      <c r="K909" s="60"/>
      <c r="L909" s="60"/>
      <c r="M909" s="60"/>
      <c r="N909" s="60">
        <f t="shared" ref="N909:N914" si="279">M909*J909*K909*L909</f>
        <v>0</v>
      </c>
      <c r="O909" s="60">
        <f t="shared" ref="O909:O914" si="280">J909*K909*L909</f>
        <v>0</v>
      </c>
    </row>
    <row r="910" spans="1:15" s="38" customFormat="1" ht="10.7" customHeight="1" outlineLevel="1" x14ac:dyDescent="0.25">
      <c r="A910" s="124"/>
      <c r="B910" s="142"/>
      <c r="C910" s="115"/>
      <c r="D910" s="115"/>
      <c r="E910" s="115"/>
      <c r="F910" s="115"/>
      <c r="G910" s="60" t="s">
        <v>127</v>
      </c>
      <c r="H910" s="124"/>
      <c r="I910" s="124"/>
      <c r="J910" s="60"/>
      <c r="K910" s="60"/>
      <c r="L910" s="60"/>
      <c r="M910" s="60"/>
      <c r="N910" s="60">
        <f t="shared" si="279"/>
        <v>0</v>
      </c>
      <c r="O910" s="60">
        <f t="shared" si="280"/>
        <v>0</v>
      </c>
    </row>
    <row r="911" spans="1:15" s="38" customFormat="1" ht="10.7" customHeight="1" outlineLevel="1" x14ac:dyDescent="0.25">
      <c r="A911" s="124"/>
      <c r="B911" s="142"/>
      <c r="C911" s="115"/>
      <c r="D911" s="115"/>
      <c r="E911" s="115"/>
      <c r="F911" s="115"/>
      <c r="G911" s="60" t="s">
        <v>128</v>
      </c>
      <c r="H911" s="124"/>
      <c r="I911" s="124"/>
      <c r="J911" s="60"/>
      <c r="K911" s="60"/>
      <c r="L911" s="60"/>
      <c r="M911" s="60"/>
      <c r="N911" s="60">
        <f t="shared" si="279"/>
        <v>0</v>
      </c>
      <c r="O911" s="60">
        <f t="shared" si="280"/>
        <v>0</v>
      </c>
    </row>
    <row r="912" spans="1:15" s="38" customFormat="1" ht="10.7" customHeight="1" outlineLevel="1" x14ac:dyDescent="0.25">
      <c r="A912" s="124"/>
      <c r="B912" s="142"/>
      <c r="C912" s="115"/>
      <c r="D912" s="115"/>
      <c r="E912" s="115"/>
      <c r="F912" s="115"/>
      <c r="G912" s="60" t="s">
        <v>129</v>
      </c>
      <c r="H912" s="124"/>
      <c r="I912" s="124"/>
      <c r="J912" s="60"/>
      <c r="K912" s="60"/>
      <c r="L912" s="60"/>
      <c r="M912" s="60"/>
      <c r="N912" s="60">
        <f t="shared" si="279"/>
        <v>0</v>
      </c>
      <c r="O912" s="60">
        <f t="shared" si="280"/>
        <v>0</v>
      </c>
    </row>
    <row r="913" spans="1:15" s="38" customFormat="1" ht="10.7" customHeight="1" outlineLevel="1" x14ac:dyDescent="0.25">
      <c r="A913" s="124"/>
      <c r="B913" s="142"/>
      <c r="C913" s="115"/>
      <c r="D913" s="115"/>
      <c r="E913" s="115"/>
      <c r="F913" s="115"/>
      <c r="G913" s="60" t="s">
        <v>130</v>
      </c>
      <c r="H913" s="124"/>
      <c r="I913" s="124"/>
      <c r="J913" s="60"/>
      <c r="K913" s="60"/>
      <c r="L913" s="60"/>
      <c r="M913" s="60"/>
      <c r="N913" s="60">
        <f t="shared" si="279"/>
        <v>0</v>
      </c>
      <c r="O913" s="60">
        <f t="shared" si="280"/>
        <v>0</v>
      </c>
    </row>
    <row r="914" spans="1:15" s="38" customFormat="1" ht="12" customHeight="1" outlineLevel="1" thickBot="1" x14ac:dyDescent="0.3">
      <c r="A914" s="125"/>
      <c r="B914" s="143"/>
      <c r="C914" s="131"/>
      <c r="D914" s="131"/>
      <c r="E914" s="131"/>
      <c r="F914" s="131"/>
      <c r="G914" s="60" t="s">
        <v>131</v>
      </c>
      <c r="H914" s="134"/>
      <c r="I914" s="134"/>
      <c r="J914" s="60"/>
      <c r="K914" s="60"/>
      <c r="L914" s="60"/>
      <c r="M914" s="60"/>
      <c r="N914" s="60">
        <f t="shared" si="279"/>
        <v>0</v>
      </c>
      <c r="O914" s="60">
        <f t="shared" si="280"/>
        <v>0</v>
      </c>
    </row>
    <row r="915" spans="1:15" s="38" customFormat="1" ht="14.45" customHeight="1" outlineLevel="1" x14ac:dyDescent="0.25">
      <c r="A915" s="140" t="s">
        <v>782</v>
      </c>
      <c r="B915" s="141" t="s">
        <v>783</v>
      </c>
      <c r="C915" s="130">
        <f>SUM(N915:N921)</f>
        <v>0</v>
      </c>
      <c r="D915" s="130">
        <f>SUM(O915:O921)</f>
        <v>0</v>
      </c>
      <c r="E915" s="130">
        <f t="shared" si="272"/>
        <v>0</v>
      </c>
      <c r="F915" s="130"/>
      <c r="G915" s="60" t="s">
        <v>125</v>
      </c>
      <c r="H915" s="123"/>
      <c r="I915" s="123"/>
      <c r="J915" s="60"/>
      <c r="K915" s="60"/>
      <c r="L915" s="60"/>
      <c r="M915" s="60"/>
      <c r="N915" s="60">
        <f>M915*J915*K915*L915</f>
        <v>0</v>
      </c>
      <c r="O915" s="60">
        <f>J915*K915*L915</f>
        <v>0</v>
      </c>
    </row>
    <row r="916" spans="1:15" s="38" customFormat="1" ht="11.45" customHeight="1" outlineLevel="1" x14ac:dyDescent="0.25">
      <c r="A916" s="124"/>
      <c r="B916" s="142"/>
      <c r="C916" s="115"/>
      <c r="D916" s="115"/>
      <c r="E916" s="115"/>
      <c r="F916" s="115"/>
      <c r="G916" s="60" t="s">
        <v>126</v>
      </c>
      <c r="H916" s="124"/>
      <c r="I916" s="124"/>
      <c r="J916" s="60"/>
      <c r="K916" s="60"/>
      <c r="L916" s="60"/>
      <c r="M916" s="60"/>
      <c r="N916" s="60">
        <f t="shared" ref="N916:N921" si="281">M916*J916*K916*L916</f>
        <v>0</v>
      </c>
      <c r="O916" s="60">
        <f t="shared" ref="O916:O921" si="282">J916*K916*L916</f>
        <v>0</v>
      </c>
    </row>
    <row r="917" spans="1:15" s="38" customFormat="1" ht="10.7" customHeight="1" outlineLevel="1" x14ac:dyDescent="0.25">
      <c r="A917" s="124"/>
      <c r="B917" s="142"/>
      <c r="C917" s="115"/>
      <c r="D917" s="115"/>
      <c r="E917" s="115"/>
      <c r="F917" s="115"/>
      <c r="G917" s="60" t="s">
        <v>127</v>
      </c>
      <c r="H917" s="124"/>
      <c r="I917" s="124"/>
      <c r="J917" s="60"/>
      <c r="K917" s="60"/>
      <c r="L917" s="60"/>
      <c r="M917" s="60"/>
      <c r="N917" s="60">
        <f t="shared" si="281"/>
        <v>0</v>
      </c>
      <c r="O917" s="60">
        <f t="shared" si="282"/>
        <v>0</v>
      </c>
    </row>
    <row r="918" spans="1:15" s="38" customFormat="1" ht="10.7" customHeight="1" outlineLevel="1" x14ac:dyDescent="0.25">
      <c r="A918" s="124"/>
      <c r="B918" s="142"/>
      <c r="C918" s="115"/>
      <c r="D918" s="115"/>
      <c r="E918" s="115"/>
      <c r="F918" s="115"/>
      <c r="G918" s="60" t="s">
        <v>128</v>
      </c>
      <c r="H918" s="124"/>
      <c r="I918" s="124"/>
      <c r="J918" s="60"/>
      <c r="K918" s="60"/>
      <c r="L918" s="60"/>
      <c r="M918" s="60"/>
      <c r="N918" s="60">
        <f t="shared" si="281"/>
        <v>0</v>
      </c>
      <c r="O918" s="60">
        <f t="shared" si="282"/>
        <v>0</v>
      </c>
    </row>
    <row r="919" spans="1:15" s="38" customFormat="1" ht="10.7" customHeight="1" outlineLevel="1" x14ac:dyDescent="0.25">
      <c r="A919" s="124"/>
      <c r="B919" s="142"/>
      <c r="C919" s="115"/>
      <c r="D919" s="115"/>
      <c r="E919" s="115"/>
      <c r="F919" s="115"/>
      <c r="G919" s="60" t="s">
        <v>129</v>
      </c>
      <c r="H919" s="124"/>
      <c r="I919" s="124"/>
      <c r="J919" s="60"/>
      <c r="K919" s="60"/>
      <c r="L919" s="60"/>
      <c r="M919" s="60"/>
      <c r="N919" s="60">
        <f t="shared" si="281"/>
        <v>0</v>
      </c>
      <c r="O919" s="60">
        <f t="shared" si="282"/>
        <v>0</v>
      </c>
    </row>
    <row r="920" spans="1:15" s="38" customFormat="1" ht="10.7" customHeight="1" outlineLevel="1" x14ac:dyDescent="0.25">
      <c r="A920" s="124"/>
      <c r="B920" s="142"/>
      <c r="C920" s="115"/>
      <c r="D920" s="115"/>
      <c r="E920" s="115"/>
      <c r="F920" s="115"/>
      <c r="G920" s="60" t="s">
        <v>130</v>
      </c>
      <c r="H920" s="124"/>
      <c r="I920" s="124"/>
      <c r="J920" s="60"/>
      <c r="K920" s="60"/>
      <c r="L920" s="60"/>
      <c r="M920" s="60"/>
      <c r="N920" s="60">
        <f t="shared" si="281"/>
        <v>0</v>
      </c>
      <c r="O920" s="60">
        <f t="shared" si="282"/>
        <v>0</v>
      </c>
    </row>
    <row r="921" spans="1:15" s="38" customFormat="1" ht="12" customHeight="1" outlineLevel="1" thickBot="1" x14ac:dyDescent="0.3">
      <c r="A921" s="125"/>
      <c r="B921" s="143"/>
      <c r="C921" s="131"/>
      <c r="D921" s="131"/>
      <c r="E921" s="131"/>
      <c r="F921" s="131"/>
      <c r="G921" s="60" t="s">
        <v>131</v>
      </c>
      <c r="H921" s="134"/>
      <c r="I921" s="134"/>
      <c r="J921" s="60"/>
      <c r="K921" s="60"/>
      <c r="L921" s="60"/>
      <c r="M921" s="60"/>
      <c r="N921" s="60">
        <f t="shared" si="281"/>
        <v>0</v>
      </c>
      <c r="O921" s="60">
        <f t="shared" si="282"/>
        <v>0</v>
      </c>
    </row>
    <row r="922" spans="1:15" s="38" customFormat="1" ht="14.45" customHeight="1" outlineLevel="1" x14ac:dyDescent="0.25">
      <c r="A922" s="140" t="s">
        <v>784</v>
      </c>
      <c r="B922" s="141" t="s">
        <v>785</v>
      </c>
      <c r="C922" s="130">
        <f>SUM(N922:N928)</f>
        <v>0</v>
      </c>
      <c r="D922" s="130">
        <f>SUM(O922:O928)</f>
        <v>0</v>
      </c>
      <c r="E922" s="130">
        <f t="shared" si="272"/>
        <v>0</v>
      </c>
      <c r="F922" s="130"/>
      <c r="G922" s="60" t="s">
        <v>125</v>
      </c>
      <c r="H922" s="123"/>
      <c r="I922" s="123"/>
      <c r="J922" s="60"/>
      <c r="K922" s="60"/>
      <c r="L922" s="60"/>
      <c r="M922" s="60"/>
      <c r="N922" s="60">
        <f>M922*J922*K922*L922</f>
        <v>0</v>
      </c>
      <c r="O922" s="60">
        <f>J922*K922*L922</f>
        <v>0</v>
      </c>
    </row>
    <row r="923" spans="1:15" s="38" customFormat="1" ht="11.45" customHeight="1" outlineLevel="1" x14ac:dyDescent="0.25">
      <c r="A923" s="124"/>
      <c r="B923" s="142"/>
      <c r="C923" s="115"/>
      <c r="D923" s="115"/>
      <c r="E923" s="115"/>
      <c r="F923" s="115"/>
      <c r="G923" s="60" t="s">
        <v>126</v>
      </c>
      <c r="H923" s="124"/>
      <c r="I923" s="124"/>
      <c r="J923" s="60"/>
      <c r="K923" s="60"/>
      <c r="L923" s="60"/>
      <c r="M923" s="60"/>
      <c r="N923" s="60">
        <f t="shared" ref="N923:N928" si="283">M923*J923*K923*L923</f>
        <v>0</v>
      </c>
      <c r="O923" s="60">
        <f t="shared" ref="O923:O928" si="284">J923*K923*L923</f>
        <v>0</v>
      </c>
    </row>
    <row r="924" spans="1:15" s="38" customFormat="1" ht="10.7" customHeight="1" outlineLevel="1" x14ac:dyDescent="0.25">
      <c r="A924" s="124"/>
      <c r="B924" s="142"/>
      <c r="C924" s="115"/>
      <c r="D924" s="115"/>
      <c r="E924" s="115"/>
      <c r="F924" s="115"/>
      <c r="G924" s="60" t="s">
        <v>127</v>
      </c>
      <c r="H924" s="124"/>
      <c r="I924" s="124"/>
      <c r="J924" s="60"/>
      <c r="K924" s="60"/>
      <c r="L924" s="60"/>
      <c r="M924" s="60"/>
      <c r="N924" s="60">
        <f t="shared" si="283"/>
        <v>0</v>
      </c>
      <c r="O924" s="60">
        <f t="shared" si="284"/>
        <v>0</v>
      </c>
    </row>
    <row r="925" spans="1:15" s="38" customFormat="1" ht="10.7" customHeight="1" outlineLevel="1" x14ac:dyDescent="0.25">
      <c r="A925" s="124"/>
      <c r="B925" s="142"/>
      <c r="C925" s="115"/>
      <c r="D925" s="115"/>
      <c r="E925" s="115"/>
      <c r="F925" s="115"/>
      <c r="G925" s="60" t="s">
        <v>128</v>
      </c>
      <c r="H925" s="124"/>
      <c r="I925" s="124"/>
      <c r="J925" s="60"/>
      <c r="K925" s="60"/>
      <c r="L925" s="60"/>
      <c r="M925" s="60"/>
      <c r="N925" s="60">
        <f t="shared" si="283"/>
        <v>0</v>
      </c>
      <c r="O925" s="60">
        <f t="shared" si="284"/>
        <v>0</v>
      </c>
    </row>
    <row r="926" spans="1:15" s="38" customFormat="1" ht="10.7" customHeight="1" outlineLevel="1" x14ac:dyDescent="0.25">
      <c r="A926" s="124"/>
      <c r="B926" s="142"/>
      <c r="C926" s="115"/>
      <c r="D926" s="115"/>
      <c r="E926" s="115"/>
      <c r="F926" s="115"/>
      <c r="G926" s="60" t="s">
        <v>129</v>
      </c>
      <c r="H926" s="124"/>
      <c r="I926" s="124"/>
      <c r="J926" s="60"/>
      <c r="K926" s="60"/>
      <c r="L926" s="60"/>
      <c r="M926" s="60"/>
      <c r="N926" s="60">
        <f t="shared" si="283"/>
        <v>0</v>
      </c>
      <c r="O926" s="60">
        <f t="shared" si="284"/>
        <v>0</v>
      </c>
    </row>
    <row r="927" spans="1:15" s="38" customFormat="1" ht="10.7" customHeight="1" outlineLevel="1" x14ac:dyDescent="0.25">
      <c r="A927" s="124"/>
      <c r="B927" s="142"/>
      <c r="C927" s="115"/>
      <c r="D927" s="115"/>
      <c r="E927" s="115"/>
      <c r="F927" s="115"/>
      <c r="G927" s="60" t="s">
        <v>130</v>
      </c>
      <c r="H927" s="124"/>
      <c r="I927" s="124"/>
      <c r="J927" s="60"/>
      <c r="K927" s="60"/>
      <c r="L927" s="60"/>
      <c r="M927" s="60"/>
      <c r="N927" s="60">
        <f t="shared" si="283"/>
        <v>0</v>
      </c>
      <c r="O927" s="60">
        <f t="shared" si="284"/>
        <v>0</v>
      </c>
    </row>
    <row r="928" spans="1:15" s="38" customFormat="1" ht="12" customHeight="1" outlineLevel="1" thickBot="1" x14ac:dyDescent="0.3">
      <c r="A928" s="125"/>
      <c r="B928" s="143"/>
      <c r="C928" s="131"/>
      <c r="D928" s="131"/>
      <c r="E928" s="131"/>
      <c r="F928" s="131"/>
      <c r="G928" s="60" t="s">
        <v>131</v>
      </c>
      <c r="H928" s="134"/>
      <c r="I928" s="134"/>
      <c r="J928" s="60"/>
      <c r="K928" s="60"/>
      <c r="L928" s="60"/>
      <c r="M928" s="60"/>
      <c r="N928" s="60">
        <f t="shared" si="283"/>
        <v>0</v>
      </c>
      <c r="O928" s="60">
        <f t="shared" si="284"/>
        <v>0</v>
      </c>
    </row>
    <row r="929" spans="1:15" s="38" customFormat="1" ht="14.45" customHeight="1" outlineLevel="1" x14ac:dyDescent="0.25">
      <c r="A929" s="140" t="s">
        <v>786</v>
      </c>
      <c r="B929" s="141" t="s">
        <v>787</v>
      </c>
      <c r="C929" s="130">
        <f>SUM(N929:N935)</f>
        <v>0</v>
      </c>
      <c r="D929" s="130">
        <f>SUM(O929:O935)</f>
        <v>0</v>
      </c>
      <c r="E929" s="130">
        <f t="shared" si="272"/>
        <v>0</v>
      </c>
      <c r="F929" s="130"/>
      <c r="G929" s="60" t="s">
        <v>125</v>
      </c>
      <c r="H929" s="123"/>
      <c r="I929" s="123"/>
      <c r="J929" s="60"/>
      <c r="K929" s="60"/>
      <c r="L929" s="60"/>
      <c r="M929" s="60"/>
      <c r="N929" s="60">
        <f>M929*J929*K929*L929</f>
        <v>0</v>
      </c>
      <c r="O929" s="60">
        <f>J929*K929*L929</f>
        <v>0</v>
      </c>
    </row>
    <row r="930" spans="1:15" s="38" customFormat="1" ht="11.45" customHeight="1" outlineLevel="1" x14ac:dyDescent="0.25">
      <c r="A930" s="124"/>
      <c r="B930" s="142"/>
      <c r="C930" s="115"/>
      <c r="D930" s="115"/>
      <c r="E930" s="115"/>
      <c r="F930" s="115"/>
      <c r="G930" s="60" t="s">
        <v>126</v>
      </c>
      <c r="H930" s="124"/>
      <c r="I930" s="124"/>
      <c r="J930" s="60"/>
      <c r="K930" s="60"/>
      <c r="L930" s="60"/>
      <c r="M930" s="60"/>
      <c r="N930" s="60">
        <f t="shared" ref="N930:N935" si="285">M930*J930*K930*L930</f>
        <v>0</v>
      </c>
      <c r="O930" s="60">
        <f t="shared" ref="O930:O935" si="286">J930*K930*L930</f>
        <v>0</v>
      </c>
    </row>
    <row r="931" spans="1:15" s="38" customFormat="1" ht="10.7" customHeight="1" outlineLevel="1" x14ac:dyDescent="0.25">
      <c r="A931" s="124"/>
      <c r="B931" s="142"/>
      <c r="C931" s="115"/>
      <c r="D931" s="115"/>
      <c r="E931" s="115"/>
      <c r="F931" s="115"/>
      <c r="G931" s="60" t="s">
        <v>127</v>
      </c>
      <c r="H931" s="124"/>
      <c r="I931" s="124"/>
      <c r="J931" s="60"/>
      <c r="K931" s="60"/>
      <c r="L931" s="60"/>
      <c r="M931" s="60"/>
      <c r="N931" s="60">
        <f t="shared" si="285"/>
        <v>0</v>
      </c>
      <c r="O931" s="60">
        <f t="shared" si="286"/>
        <v>0</v>
      </c>
    </row>
    <row r="932" spans="1:15" s="38" customFormat="1" ht="10.7" customHeight="1" outlineLevel="1" x14ac:dyDescent="0.25">
      <c r="A932" s="124"/>
      <c r="B932" s="142"/>
      <c r="C932" s="115"/>
      <c r="D932" s="115"/>
      <c r="E932" s="115"/>
      <c r="F932" s="115"/>
      <c r="G932" s="60" t="s">
        <v>128</v>
      </c>
      <c r="H932" s="124"/>
      <c r="I932" s="124"/>
      <c r="J932" s="60"/>
      <c r="K932" s="60"/>
      <c r="L932" s="60"/>
      <c r="M932" s="60"/>
      <c r="N932" s="60">
        <f t="shared" si="285"/>
        <v>0</v>
      </c>
      <c r="O932" s="60">
        <f t="shared" si="286"/>
        <v>0</v>
      </c>
    </row>
    <row r="933" spans="1:15" s="38" customFormat="1" ht="10.7" customHeight="1" outlineLevel="1" x14ac:dyDescent="0.25">
      <c r="A933" s="124"/>
      <c r="B933" s="142"/>
      <c r="C933" s="115"/>
      <c r="D933" s="115"/>
      <c r="E933" s="115"/>
      <c r="F933" s="115"/>
      <c r="G933" s="60" t="s">
        <v>129</v>
      </c>
      <c r="H933" s="124"/>
      <c r="I933" s="124"/>
      <c r="J933" s="60"/>
      <c r="K933" s="60"/>
      <c r="L933" s="60"/>
      <c r="M933" s="60"/>
      <c r="N933" s="60">
        <f t="shared" si="285"/>
        <v>0</v>
      </c>
      <c r="O933" s="60">
        <f t="shared" si="286"/>
        <v>0</v>
      </c>
    </row>
    <row r="934" spans="1:15" s="38" customFormat="1" ht="10.7" customHeight="1" outlineLevel="1" x14ac:dyDescent="0.25">
      <c r="A934" s="124"/>
      <c r="B934" s="142"/>
      <c r="C934" s="115"/>
      <c r="D934" s="115"/>
      <c r="E934" s="115"/>
      <c r="F934" s="115"/>
      <c r="G934" s="60" t="s">
        <v>130</v>
      </c>
      <c r="H934" s="124"/>
      <c r="I934" s="124"/>
      <c r="J934" s="60"/>
      <c r="K934" s="60"/>
      <c r="L934" s="60"/>
      <c r="M934" s="60"/>
      <c r="N934" s="60">
        <f t="shared" si="285"/>
        <v>0</v>
      </c>
      <c r="O934" s="60">
        <f t="shared" si="286"/>
        <v>0</v>
      </c>
    </row>
    <row r="935" spans="1:15" s="38" customFormat="1" ht="12" customHeight="1" outlineLevel="1" thickBot="1" x14ac:dyDescent="0.3">
      <c r="A935" s="125"/>
      <c r="B935" s="143"/>
      <c r="C935" s="131"/>
      <c r="D935" s="131"/>
      <c r="E935" s="131"/>
      <c r="F935" s="131"/>
      <c r="G935" s="60" t="s">
        <v>131</v>
      </c>
      <c r="H935" s="134"/>
      <c r="I935" s="134"/>
      <c r="J935" s="60"/>
      <c r="K935" s="60"/>
      <c r="L935" s="60"/>
      <c r="M935" s="60"/>
      <c r="N935" s="60">
        <f t="shared" si="285"/>
        <v>0</v>
      </c>
      <c r="O935" s="60">
        <f t="shared" si="286"/>
        <v>0</v>
      </c>
    </row>
    <row r="936" spans="1:15" s="38" customFormat="1" ht="14.45" customHeight="1" outlineLevel="1" x14ac:dyDescent="0.25">
      <c r="A936" s="140" t="s">
        <v>788</v>
      </c>
      <c r="B936" s="141" t="s">
        <v>789</v>
      </c>
      <c r="C936" s="130">
        <f>SUM(N936:N942)</f>
        <v>0</v>
      </c>
      <c r="D936" s="130">
        <f>SUM(O936:O942)</f>
        <v>0</v>
      </c>
      <c r="E936" s="130">
        <f t="shared" si="272"/>
        <v>0</v>
      </c>
      <c r="F936" s="130"/>
      <c r="G936" s="60" t="s">
        <v>125</v>
      </c>
      <c r="H936" s="123"/>
      <c r="I936" s="123"/>
      <c r="J936" s="60"/>
      <c r="K936" s="60"/>
      <c r="L936" s="60"/>
      <c r="M936" s="60"/>
      <c r="N936" s="60">
        <f>M936*J936*K936*L936</f>
        <v>0</v>
      </c>
      <c r="O936" s="60">
        <f>J936*K936*L936</f>
        <v>0</v>
      </c>
    </row>
    <row r="937" spans="1:15" s="38" customFormat="1" ht="11.45" customHeight="1" outlineLevel="1" x14ac:dyDescent="0.25">
      <c r="A937" s="124"/>
      <c r="B937" s="142"/>
      <c r="C937" s="115"/>
      <c r="D937" s="115"/>
      <c r="E937" s="115"/>
      <c r="F937" s="115"/>
      <c r="G937" s="60" t="s">
        <v>126</v>
      </c>
      <c r="H937" s="124"/>
      <c r="I937" s="124"/>
      <c r="J937" s="60"/>
      <c r="K937" s="60"/>
      <c r="L937" s="60"/>
      <c r="M937" s="60"/>
      <c r="N937" s="60">
        <f t="shared" ref="N937:N942" si="287">M937*J937*K937*L937</f>
        <v>0</v>
      </c>
      <c r="O937" s="60">
        <f t="shared" ref="O937:O942" si="288">J937*K937*L937</f>
        <v>0</v>
      </c>
    </row>
    <row r="938" spans="1:15" s="38" customFormat="1" ht="10.7" customHeight="1" outlineLevel="1" x14ac:dyDescent="0.25">
      <c r="A938" s="124"/>
      <c r="B938" s="142"/>
      <c r="C938" s="115"/>
      <c r="D938" s="115"/>
      <c r="E938" s="115"/>
      <c r="F938" s="115"/>
      <c r="G938" s="60" t="s">
        <v>127</v>
      </c>
      <c r="H938" s="124"/>
      <c r="I938" s="124"/>
      <c r="J938" s="60"/>
      <c r="K938" s="60"/>
      <c r="L938" s="60"/>
      <c r="M938" s="60"/>
      <c r="N938" s="60">
        <f t="shared" si="287"/>
        <v>0</v>
      </c>
      <c r="O938" s="60">
        <f t="shared" si="288"/>
        <v>0</v>
      </c>
    </row>
    <row r="939" spans="1:15" s="38" customFormat="1" ht="10.7" customHeight="1" outlineLevel="1" x14ac:dyDescent="0.25">
      <c r="A939" s="124"/>
      <c r="B939" s="142"/>
      <c r="C939" s="115"/>
      <c r="D939" s="115"/>
      <c r="E939" s="115"/>
      <c r="F939" s="115"/>
      <c r="G939" s="60" t="s">
        <v>128</v>
      </c>
      <c r="H939" s="124"/>
      <c r="I939" s="124"/>
      <c r="J939" s="60"/>
      <c r="K939" s="60"/>
      <c r="L939" s="60"/>
      <c r="M939" s="60"/>
      <c r="N939" s="60">
        <f t="shared" si="287"/>
        <v>0</v>
      </c>
      <c r="O939" s="60">
        <f t="shared" si="288"/>
        <v>0</v>
      </c>
    </row>
    <row r="940" spans="1:15" s="38" customFormat="1" ht="10.7" customHeight="1" outlineLevel="1" x14ac:dyDescent="0.25">
      <c r="A940" s="124"/>
      <c r="B940" s="142"/>
      <c r="C940" s="115"/>
      <c r="D940" s="115"/>
      <c r="E940" s="115"/>
      <c r="F940" s="115"/>
      <c r="G940" s="60" t="s">
        <v>129</v>
      </c>
      <c r="H940" s="124"/>
      <c r="I940" s="124"/>
      <c r="J940" s="60"/>
      <c r="K940" s="60"/>
      <c r="L940" s="60"/>
      <c r="M940" s="60"/>
      <c r="N940" s="60">
        <f t="shared" si="287"/>
        <v>0</v>
      </c>
      <c r="O940" s="60">
        <f t="shared" si="288"/>
        <v>0</v>
      </c>
    </row>
    <row r="941" spans="1:15" s="38" customFormat="1" ht="10.7" customHeight="1" outlineLevel="1" x14ac:dyDescent="0.25">
      <c r="A941" s="124"/>
      <c r="B941" s="142"/>
      <c r="C941" s="115"/>
      <c r="D941" s="115"/>
      <c r="E941" s="115"/>
      <c r="F941" s="115"/>
      <c r="G941" s="60" t="s">
        <v>130</v>
      </c>
      <c r="H941" s="124"/>
      <c r="I941" s="124"/>
      <c r="J941" s="60"/>
      <c r="K941" s="60"/>
      <c r="L941" s="60"/>
      <c r="M941" s="60"/>
      <c r="N941" s="60">
        <f t="shared" si="287"/>
        <v>0</v>
      </c>
      <c r="O941" s="60">
        <f t="shared" si="288"/>
        <v>0</v>
      </c>
    </row>
    <row r="942" spans="1:15" s="38" customFormat="1" ht="12" customHeight="1" outlineLevel="1" thickBot="1" x14ac:dyDescent="0.3">
      <c r="A942" s="125"/>
      <c r="B942" s="143"/>
      <c r="C942" s="131"/>
      <c r="D942" s="131"/>
      <c r="E942" s="131"/>
      <c r="F942" s="131"/>
      <c r="G942" s="60" t="s">
        <v>131</v>
      </c>
      <c r="H942" s="134"/>
      <c r="I942" s="134"/>
      <c r="J942" s="60"/>
      <c r="K942" s="60"/>
      <c r="L942" s="60"/>
      <c r="M942" s="60"/>
      <c r="N942" s="60">
        <f t="shared" si="287"/>
        <v>0</v>
      </c>
      <c r="O942" s="60">
        <f t="shared" si="288"/>
        <v>0</v>
      </c>
    </row>
    <row r="943" spans="1:15" s="38" customFormat="1" ht="14.45" customHeight="1" outlineLevel="1" x14ac:dyDescent="0.25">
      <c r="A943" s="140" t="s">
        <v>790</v>
      </c>
      <c r="B943" s="141" t="s">
        <v>791</v>
      </c>
      <c r="C943" s="130">
        <f>SUM(N943:N949)</f>
        <v>0</v>
      </c>
      <c r="D943" s="130">
        <f>SUM(O943:O949)</f>
        <v>0</v>
      </c>
      <c r="E943" s="130">
        <f t="shared" si="272"/>
        <v>0</v>
      </c>
      <c r="F943" s="130"/>
      <c r="G943" s="60" t="s">
        <v>125</v>
      </c>
      <c r="H943" s="123"/>
      <c r="I943" s="123"/>
      <c r="J943" s="60"/>
      <c r="K943" s="60"/>
      <c r="L943" s="60"/>
      <c r="M943" s="60"/>
      <c r="N943" s="60">
        <f>M943*J943*K943*L943</f>
        <v>0</v>
      </c>
      <c r="O943" s="60">
        <f>J943*K943*L943</f>
        <v>0</v>
      </c>
    </row>
    <row r="944" spans="1:15" s="38" customFormat="1" ht="11.45" customHeight="1" outlineLevel="1" x14ac:dyDescent="0.25">
      <c r="A944" s="124"/>
      <c r="B944" s="142"/>
      <c r="C944" s="115"/>
      <c r="D944" s="115"/>
      <c r="E944" s="115"/>
      <c r="F944" s="115"/>
      <c r="G944" s="60" t="s">
        <v>126</v>
      </c>
      <c r="H944" s="124"/>
      <c r="I944" s="124"/>
      <c r="J944" s="60"/>
      <c r="K944" s="60"/>
      <c r="L944" s="60"/>
      <c r="M944" s="60"/>
      <c r="N944" s="60">
        <f t="shared" ref="N944:N949" si="289">M944*J944*K944*L944</f>
        <v>0</v>
      </c>
      <c r="O944" s="60">
        <f t="shared" ref="O944:O949" si="290">J944*K944*L944</f>
        <v>0</v>
      </c>
    </row>
    <row r="945" spans="1:15" s="38" customFormat="1" ht="10.7" customHeight="1" outlineLevel="1" x14ac:dyDescent="0.25">
      <c r="A945" s="124"/>
      <c r="B945" s="142"/>
      <c r="C945" s="115"/>
      <c r="D945" s="115"/>
      <c r="E945" s="115"/>
      <c r="F945" s="115"/>
      <c r="G945" s="60" t="s">
        <v>127</v>
      </c>
      <c r="H945" s="124"/>
      <c r="I945" s="124"/>
      <c r="J945" s="60"/>
      <c r="K945" s="60"/>
      <c r="L945" s="60"/>
      <c r="M945" s="60"/>
      <c r="N945" s="60">
        <f t="shared" si="289"/>
        <v>0</v>
      </c>
      <c r="O945" s="60">
        <f t="shared" si="290"/>
        <v>0</v>
      </c>
    </row>
    <row r="946" spans="1:15" s="38" customFormat="1" ht="10.7" customHeight="1" outlineLevel="1" x14ac:dyDescent="0.25">
      <c r="A946" s="124"/>
      <c r="B946" s="142"/>
      <c r="C946" s="115"/>
      <c r="D946" s="115"/>
      <c r="E946" s="115"/>
      <c r="F946" s="115"/>
      <c r="G946" s="60" t="s">
        <v>128</v>
      </c>
      <c r="H946" s="124"/>
      <c r="I946" s="124"/>
      <c r="J946" s="60"/>
      <c r="K946" s="60"/>
      <c r="L946" s="60"/>
      <c r="M946" s="60"/>
      <c r="N946" s="60">
        <f t="shared" si="289"/>
        <v>0</v>
      </c>
      <c r="O946" s="60">
        <f t="shared" si="290"/>
        <v>0</v>
      </c>
    </row>
    <row r="947" spans="1:15" s="38" customFormat="1" ht="10.7" customHeight="1" outlineLevel="1" x14ac:dyDescent="0.25">
      <c r="A947" s="124"/>
      <c r="B947" s="142"/>
      <c r="C947" s="115"/>
      <c r="D947" s="115"/>
      <c r="E947" s="115"/>
      <c r="F947" s="115"/>
      <c r="G947" s="60" t="s">
        <v>129</v>
      </c>
      <c r="H947" s="124"/>
      <c r="I947" s="124"/>
      <c r="J947" s="60"/>
      <c r="K947" s="60"/>
      <c r="L947" s="60"/>
      <c r="M947" s="60"/>
      <c r="N947" s="60">
        <f t="shared" si="289"/>
        <v>0</v>
      </c>
      <c r="O947" s="60">
        <f t="shared" si="290"/>
        <v>0</v>
      </c>
    </row>
    <row r="948" spans="1:15" s="38" customFormat="1" ht="10.7" customHeight="1" outlineLevel="1" x14ac:dyDescent="0.25">
      <c r="A948" s="124"/>
      <c r="B948" s="142"/>
      <c r="C948" s="115"/>
      <c r="D948" s="115"/>
      <c r="E948" s="115"/>
      <c r="F948" s="115"/>
      <c r="G948" s="60" t="s">
        <v>130</v>
      </c>
      <c r="H948" s="124"/>
      <c r="I948" s="124"/>
      <c r="J948" s="60"/>
      <c r="K948" s="60"/>
      <c r="L948" s="60"/>
      <c r="M948" s="60"/>
      <c r="N948" s="60">
        <f t="shared" si="289"/>
        <v>0</v>
      </c>
      <c r="O948" s="60">
        <f t="shared" si="290"/>
        <v>0</v>
      </c>
    </row>
    <row r="949" spans="1:15" s="38" customFormat="1" ht="12" customHeight="1" outlineLevel="1" thickBot="1" x14ac:dyDescent="0.3">
      <c r="A949" s="125"/>
      <c r="B949" s="143"/>
      <c r="C949" s="131"/>
      <c r="D949" s="131"/>
      <c r="E949" s="131"/>
      <c r="F949" s="131"/>
      <c r="G949" s="60" t="s">
        <v>131</v>
      </c>
      <c r="H949" s="134"/>
      <c r="I949" s="134"/>
      <c r="J949" s="60"/>
      <c r="K949" s="60"/>
      <c r="L949" s="60"/>
      <c r="M949" s="60"/>
      <c r="N949" s="60">
        <f t="shared" si="289"/>
        <v>0</v>
      </c>
      <c r="O949" s="60">
        <f t="shared" si="290"/>
        <v>0</v>
      </c>
    </row>
    <row r="950" spans="1:15" s="38" customFormat="1" ht="14.45" customHeight="1" outlineLevel="1" x14ac:dyDescent="0.25">
      <c r="A950" s="140" t="s">
        <v>792</v>
      </c>
      <c r="B950" s="141" t="s">
        <v>793</v>
      </c>
      <c r="C950" s="130">
        <f>SUM(N950:N956)</f>
        <v>0</v>
      </c>
      <c r="D950" s="130">
        <f>SUM(O950:O956)</f>
        <v>0</v>
      </c>
      <c r="E950" s="130">
        <f t="shared" si="272"/>
        <v>0</v>
      </c>
      <c r="F950" s="130"/>
      <c r="G950" s="60" t="s">
        <v>125</v>
      </c>
      <c r="H950" s="123"/>
      <c r="I950" s="123"/>
      <c r="J950" s="60"/>
      <c r="K950" s="60"/>
      <c r="L950" s="60"/>
      <c r="M950" s="60"/>
      <c r="N950" s="60">
        <f>M950*J950*K950*L950</f>
        <v>0</v>
      </c>
      <c r="O950" s="60">
        <f>J950*K950*L950</f>
        <v>0</v>
      </c>
    </row>
    <row r="951" spans="1:15" s="38" customFormat="1" ht="11.45" customHeight="1" outlineLevel="1" x14ac:dyDescent="0.25">
      <c r="A951" s="124"/>
      <c r="B951" s="142"/>
      <c r="C951" s="115"/>
      <c r="D951" s="115"/>
      <c r="E951" s="115"/>
      <c r="F951" s="115"/>
      <c r="G951" s="60" t="s">
        <v>126</v>
      </c>
      <c r="H951" s="124"/>
      <c r="I951" s="124"/>
      <c r="J951" s="60"/>
      <c r="K951" s="60"/>
      <c r="L951" s="60"/>
      <c r="M951" s="60"/>
      <c r="N951" s="60">
        <f t="shared" ref="N951:N956" si="291">M951*J951*K951*L951</f>
        <v>0</v>
      </c>
      <c r="O951" s="60">
        <f t="shared" ref="O951:O956" si="292">J951*K951*L951</f>
        <v>0</v>
      </c>
    </row>
    <row r="952" spans="1:15" s="38" customFormat="1" ht="10.7" customHeight="1" outlineLevel="1" x14ac:dyDescent="0.25">
      <c r="A952" s="124"/>
      <c r="B952" s="142"/>
      <c r="C952" s="115"/>
      <c r="D952" s="115"/>
      <c r="E952" s="115"/>
      <c r="F952" s="115"/>
      <c r="G952" s="60" t="s">
        <v>127</v>
      </c>
      <c r="H952" s="124"/>
      <c r="I952" s="124"/>
      <c r="J952" s="60"/>
      <c r="K952" s="60"/>
      <c r="L952" s="60"/>
      <c r="M952" s="60"/>
      <c r="N952" s="60">
        <f t="shared" si="291"/>
        <v>0</v>
      </c>
      <c r="O952" s="60">
        <f t="shared" si="292"/>
        <v>0</v>
      </c>
    </row>
    <row r="953" spans="1:15" s="38" customFormat="1" ht="10.7" customHeight="1" outlineLevel="1" x14ac:dyDescent="0.25">
      <c r="A953" s="124"/>
      <c r="B953" s="142"/>
      <c r="C953" s="115"/>
      <c r="D953" s="115"/>
      <c r="E953" s="115"/>
      <c r="F953" s="115"/>
      <c r="G953" s="60" t="s">
        <v>128</v>
      </c>
      <c r="H953" s="124"/>
      <c r="I953" s="124"/>
      <c r="J953" s="60"/>
      <c r="K953" s="60"/>
      <c r="L953" s="60"/>
      <c r="M953" s="60"/>
      <c r="N953" s="60">
        <f t="shared" si="291"/>
        <v>0</v>
      </c>
      <c r="O953" s="60">
        <f t="shared" si="292"/>
        <v>0</v>
      </c>
    </row>
    <row r="954" spans="1:15" s="38" customFormat="1" ht="10.7" customHeight="1" outlineLevel="1" x14ac:dyDescent="0.25">
      <c r="A954" s="124"/>
      <c r="B954" s="142"/>
      <c r="C954" s="115"/>
      <c r="D954" s="115"/>
      <c r="E954" s="115"/>
      <c r="F954" s="115"/>
      <c r="G954" s="60" t="s">
        <v>129</v>
      </c>
      <c r="H954" s="124"/>
      <c r="I954" s="124"/>
      <c r="J954" s="60"/>
      <c r="K954" s="60"/>
      <c r="L954" s="60"/>
      <c r="M954" s="60"/>
      <c r="N954" s="60">
        <f t="shared" si="291"/>
        <v>0</v>
      </c>
      <c r="O954" s="60">
        <f t="shared" si="292"/>
        <v>0</v>
      </c>
    </row>
    <row r="955" spans="1:15" s="38" customFormat="1" ht="10.7" customHeight="1" outlineLevel="1" x14ac:dyDescent="0.25">
      <c r="A955" s="124"/>
      <c r="B955" s="142"/>
      <c r="C955" s="115"/>
      <c r="D955" s="115"/>
      <c r="E955" s="115"/>
      <c r="F955" s="115"/>
      <c r="G955" s="60" t="s">
        <v>130</v>
      </c>
      <c r="H955" s="124"/>
      <c r="I955" s="124"/>
      <c r="J955" s="60"/>
      <c r="K955" s="60"/>
      <c r="L955" s="60"/>
      <c r="M955" s="60"/>
      <c r="N955" s="60">
        <f t="shared" si="291"/>
        <v>0</v>
      </c>
      <c r="O955" s="60">
        <f t="shared" si="292"/>
        <v>0</v>
      </c>
    </row>
    <row r="956" spans="1:15" s="38" customFormat="1" ht="12" customHeight="1" outlineLevel="1" thickBot="1" x14ac:dyDescent="0.3">
      <c r="A956" s="125"/>
      <c r="B956" s="143"/>
      <c r="C956" s="131"/>
      <c r="D956" s="131"/>
      <c r="E956" s="131"/>
      <c r="F956" s="131"/>
      <c r="G956" s="60" t="s">
        <v>131</v>
      </c>
      <c r="H956" s="134"/>
      <c r="I956" s="134"/>
      <c r="J956" s="60"/>
      <c r="K956" s="60"/>
      <c r="L956" s="60"/>
      <c r="M956" s="60"/>
      <c r="N956" s="60">
        <f t="shared" si="291"/>
        <v>0</v>
      </c>
      <c r="O956" s="60">
        <f t="shared" si="292"/>
        <v>0</v>
      </c>
    </row>
    <row r="957" spans="1:15" s="38" customFormat="1" ht="14.45" customHeight="1" outlineLevel="1" x14ac:dyDescent="0.25">
      <c r="A957" s="140" t="s">
        <v>794</v>
      </c>
      <c r="B957" s="141" t="s">
        <v>795</v>
      </c>
      <c r="C957" s="130">
        <f>SUM(N957:N963)</f>
        <v>0</v>
      </c>
      <c r="D957" s="130">
        <f>SUM(O957:O963)</f>
        <v>0</v>
      </c>
      <c r="E957" s="130">
        <f t="shared" ref="E957:E1020" si="293">D957/8</f>
        <v>0</v>
      </c>
      <c r="F957" s="130"/>
      <c r="G957" s="60" t="s">
        <v>125</v>
      </c>
      <c r="H957" s="123"/>
      <c r="I957" s="123"/>
      <c r="J957" s="60"/>
      <c r="K957" s="60"/>
      <c r="L957" s="60"/>
      <c r="M957" s="60"/>
      <c r="N957" s="60">
        <f>M957*J957*K957*L957</f>
        <v>0</v>
      </c>
      <c r="O957" s="60">
        <f>J957*K957*L957</f>
        <v>0</v>
      </c>
    </row>
    <row r="958" spans="1:15" s="38" customFormat="1" ht="11.45" customHeight="1" outlineLevel="1" x14ac:dyDescent="0.25">
      <c r="A958" s="124"/>
      <c r="B958" s="142"/>
      <c r="C958" s="115"/>
      <c r="D958" s="115"/>
      <c r="E958" s="115"/>
      <c r="F958" s="115"/>
      <c r="G958" s="60" t="s">
        <v>126</v>
      </c>
      <c r="H958" s="124"/>
      <c r="I958" s="124"/>
      <c r="J958" s="60"/>
      <c r="K958" s="60"/>
      <c r="L958" s="60"/>
      <c r="M958" s="60"/>
      <c r="N958" s="60">
        <f t="shared" ref="N958:N963" si="294">M958*J958*K958*L958</f>
        <v>0</v>
      </c>
      <c r="O958" s="60">
        <f t="shared" ref="O958:O963" si="295">J958*K958*L958</f>
        <v>0</v>
      </c>
    </row>
    <row r="959" spans="1:15" s="38" customFormat="1" ht="10.7" customHeight="1" outlineLevel="1" x14ac:dyDescent="0.25">
      <c r="A959" s="124"/>
      <c r="B959" s="142"/>
      <c r="C959" s="115"/>
      <c r="D959" s="115"/>
      <c r="E959" s="115"/>
      <c r="F959" s="115"/>
      <c r="G959" s="60" t="s">
        <v>127</v>
      </c>
      <c r="H959" s="124"/>
      <c r="I959" s="124"/>
      <c r="J959" s="60"/>
      <c r="K959" s="60"/>
      <c r="L959" s="60"/>
      <c r="M959" s="60"/>
      <c r="N959" s="60">
        <f t="shared" si="294"/>
        <v>0</v>
      </c>
      <c r="O959" s="60">
        <f t="shared" si="295"/>
        <v>0</v>
      </c>
    </row>
    <row r="960" spans="1:15" s="38" customFormat="1" ht="10.7" customHeight="1" outlineLevel="1" x14ac:dyDescent="0.25">
      <c r="A960" s="124"/>
      <c r="B960" s="142"/>
      <c r="C960" s="115"/>
      <c r="D960" s="115"/>
      <c r="E960" s="115"/>
      <c r="F960" s="115"/>
      <c r="G960" s="60" t="s">
        <v>128</v>
      </c>
      <c r="H960" s="124"/>
      <c r="I960" s="124"/>
      <c r="J960" s="60"/>
      <c r="K960" s="60"/>
      <c r="L960" s="60"/>
      <c r="M960" s="60"/>
      <c r="N960" s="60">
        <f t="shared" si="294"/>
        <v>0</v>
      </c>
      <c r="O960" s="60">
        <f t="shared" si="295"/>
        <v>0</v>
      </c>
    </row>
    <row r="961" spans="1:15" s="38" customFormat="1" ht="10.7" customHeight="1" outlineLevel="1" x14ac:dyDescent="0.25">
      <c r="A961" s="124"/>
      <c r="B961" s="142"/>
      <c r="C961" s="115"/>
      <c r="D961" s="115"/>
      <c r="E961" s="115"/>
      <c r="F961" s="115"/>
      <c r="G961" s="60" t="s">
        <v>129</v>
      </c>
      <c r="H961" s="124"/>
      <c r="I961" s="124"/>
      <c r="J961" s="60"/>
      <c r="K961" s="60"/>
      <c r="L961" s="60"/>
      <c r="M961" s="60"/>
      <c r="N961" s="60">
        <f t="shared" si="294"/>
        <v>0</v>
      </c>
      <c r="O961" s="60">
        <f t="shared" si="295"/>
        <v>0</v>
      </c>
    </row>
    <row r="962" spans="1:15" s="38" customFormat="1" ht="10.7" customHeight="1" outlineLevel="1" x14ac:dyDescent="0.25">
      <c r="A962" s="124"/>
      <c r="B962" s="142"/>
      <c r="C962" s="115"/>
      <c r="D962" s="115"/>
      <c r="E962" s="115"/>
      <c r="F962" s="115"/>
      <c r="G962" s="60" t="s">
        <v>130</v>
      </c>
      <c r="H962" s="124"/>
      <c r="I962" s="124"/>
      <c r="J962" s="60"/>
      <c r="K962" s="60"/>
      <c r="L962" s="60"/>
      <c r="M962" s="60"/>
      <c r="N962" s="60">
        <f t="shared" si="294"/>
        <v>0</v>
      </c>
      <c r="O962" s="60">
        <f t="shared" si="295"/>
        <v>0</v>
      </c>
    </row>
    <row r="963" spans="1:15" s="38" customFormat="1" ht="12" customHeight="1" outlineLevel="1" thickBot="1" x14ac:dyDescent="0.3">
      <c r="A963" s="125"/>
      <c r="B963" s="143"/>
      <c r="C963" s="131"/>
      <c r="D963" s="131"/>
      <c r="E963" s="131"/>
      <c r="F963" s="131"/>
      <c r="G963" s="60" t="s">
        <v>131</v>
      </c>
      <c r="H963" s="134"/>
      <c r="I963" s="134"/>
      <c r="J963" s="60"/>
      <c r="K963" s="60"/>
      <c r="L963" s="60"/>
      <c r="M963" s="60"/>
      <c r="N963" s="60">
        <f t="shared" si="294"/>
        <v>0</v>
      </c>
      <c r="O963" s="60">
        <f t="shared" si="295"/>
        <v>0</v>
      </c>
    </row>
    <row r="964" spans="1:15" s="38" customFormat="1" ht="14.45" customHeight="1" outlineLevel="1" x14ac:dyDescent="0.25">
      <c r="A964" s="140" t="s">
        <v>796</v>
      </c>
      <c r="B964" s="141" t="s">
        <v>797</v>
      </c>
      <c r="C964" s="130">
        <f>SUM(N964:N970)</f>
        <v>0</v>
      </c>
      <c r="D964" s="130">
        <f>SUM(O964:O970)</f>
        <v>0</v>
      </c>
      <c r="E964" s="130">
        <f t="shared" si="293"/>
        <v>0</v>
      </c>
      <c r="F964" s="130"/>
      <c r="G964" s="60" t="s">
        <v>125</v>
      </c>
      <c r="H964" s="123"/>
      <c r="I964" s="123"/>
      <c r="J964" s="60"/>
      <c r="K964" s="60"/>
      <c r="L964" s="60"/>
      <c r="M964" s="60"/>
      <c r="N964" s="60">
        <f>M964*J964*K964*L964</f>
        <v>0</v>
      </c>
      <c r="O964" s="60">
        <f>J964*K964*L964</f>
        <v>0</v>
      </c>
    </row>
    <row r="965" spans="1:15" s="38" customFormat="1" ht="11.45" customHeight="1" outlineLevel="1" x14ac:dyDescent="0.25">
      <c r="A965" s="124"/>
      <c r="B965" s="142"/>
      <c r="C965" s="115"/>
      <c r="D965" s="115"/>
      <c r="E965" s="115"/>
      <c r="F965" s="115"/>
      <c r="G965" s="60" t="s">
        <v>126</v>
      </c>
      <c r="H965" s="124"/>
      <c r="I965" s="124"/>
      <c r="J965" s="60"/>
      <c r="K965" s="60"/>
      <c r="L965" s="60"/>
      <c r="M965" s="60"/>
      <c r="N965" s="60">
        <f t="shared" ref="N965:N970" si="296">M965*J965*K965*L965</f>
        <v>0</v>
      </c>
      <c r="O965" s="60">
        <f t="shared" ref="O965:O970" si="297">J965*K965*L965</f>
        <v>0</v>
      </c>
    </row>
    <row r="966" spans="1:15" s="38" customFormat="1" ht="10.7" customHeight="1" outlineLevel="1" x14ac:dyDescent="0.25">
      <c r="A966" s="124"/>
      <c r="B966" s="142"/>
      <c r="C966" s="115"/>
      <c r="D966" s="115"/>
      <c r="E966" s="115"/>
      <c r="F966" s="115"/>
      <c r="G966" s="60" t="s">
        <v>127</v>
      </c>
      <c r="H966" s="124"/>
      <c r="I966" s="124"/>
      <c r="J966" s="60"/>
      <c r="K966" s="60"/>
      <c r="L966" s="60"/>
      <c r="M966" s="60"/>
      <c r="N966" s="60">
        <f t="shared" si="296"/>
        <v>0</v>
      </c>
      <c r="O966" s="60">
        <f t="shared" si="297"/>
        <v>0</v>
      </c>
    </row>
    <row r="967" spans="1:15" s="38" customFormat="1" ht="10.7" customHeight="1" outlineLevel="1" x14ac:dyDescent="0.25">
      <c r="A967" s="124"/>
      <c r="B967" s="142"/>
      <c r="C967" s="115"/>
      <c r="D967" s="115"/>
      <c r="E967" s="115"/>
      <c r="F967" s="115"/>
      <c r="G967" s="60" t="s">
        <v>128</v>
      </c>
      <c r="H967" s="124"/>
      <c r="I967" s="124"/>
      <c r="J967" s="60"/>
      <c r="K967" s="60"/>
      <c r="L967" s="60"/>
      <c r="M967" s="60"/>
      <c r="N967" s="60">
        <f t="shared" si="296"/>
        <v>0</v>
      </c>
      <c r="O967" s="60">
        <f t="shared" si="297"/>
        <v>0</v>
      </c>
    </row>
    <row r="968" spans="1:15" s="38" customFormat="1" ht="10.7" customHeight="1" outlineLevel="1" x14ac:dyDescent="0.25">
      <c r="A968" s="124"/>
      <c r="B968" s="142"/>
      <c r="C968" s="115"/>
      <c r="D968" s="115"/>
      <c r="E968" s="115"/>
      <c r="F968" s="115"/>
      <c r="G968" s="60" t="s">
        <v>129</v>
      </c>
      <c r="H968" s="124"/>
      <c r="I968" s="124"/>
      <c r="J968" s="60"/>
      <c r="K968" s="60"/>
      <c r="L968" s="60"/>
      <c r="M968" s="60"/>
      <c r="N968" s="60">
        <f t="shared" si="296"/>
        <v>0</v>
      </c>
      <c r="O968" s="60">
        <f t="shared" si="297"/>
        <v>0</v>
      </c>
    </row>
    <row r="969" spans="1:15" s="38" customFormat="1" ht="10.7" customHeight="1" outlineLevel="1" x14ac:dyDescent="0.25">
      <c r="A969" s="124"/>
      <c r="B969" s="142"/>
      <c r="C969" s="115"/>
      <c r="D969" s="115"/>
      <c r="E969" s="115"/>
      <c r="F969" s="115"/>
      <c r="G969" s="60" t="s">
        <v>130</v>
      </c>
      <c r="H969" s="124"/>
      <c r="I969" s="124"/>
      <c r="J969" s="60"/>
      <c r="K969" s="60"/>
      <c r="L969" s="60"/>
      <c r="M969" s="60"/>
      <c r="N969" s="60">
        <f t="shared" si="296"/>
        <v>0</v>
      </c>
      <c r="O969" s="60">
        <f t="shared" si="297"/>
        <v>0</v>
      </c>
    </row>
    <row r="970" spans="1:15" s="38" customFormat="1" ht="12" customHeight="1" outlineLevel="1" thickBot="1" x14ac:dyDescent="0.3">
      <c r="A970" s="125"/>
      <c r="B970" s="143"/>
      <c r="C970" s="131"/>
      <c r="D970" s="131"/>
      <c r="E970" s="131"/>
      <c r="F970" s="131"/>
      <c r="G970" s="60" t="s">
        <v>131</v>
      </c>
      <c r="H970" s="134"/>
      <c r="I970" s="134"/>
      <c r="J970" s="60"/>
      <c r="K970" s="60"/>
      <c r="L970" s="60"/>
      <c r="M970" s="60"/>
      <c r="N970" s="60">
        <f t="shared" si="296"/>
        <v>0</v>
      </c>
      <c r="O970" s="60">
        <f t="shared" si="297"/>
        <v>0</v>
      </c>
    </row>
    <row r="971" spans="1:15" s="38" customFormat="1" ht="14.45" customHeight="1" outlineLevel="1" x14ac:dyDescent="0.25">
      <c r="A971" s="140" t="s">
        <v>798</v>
      </c>
      <c r="B971" s="141" t="s">
        <v>799</v>
      </c>
      <c r="C971" s="130">
        <f>SUM(N971:N977)</f>
        <v>0</v>
      </c>
      <c r="D971" s="130">
        <f>SUM(O971:O977)</f>
        <v>0</v>
      </c>
      <c r="E971" s="130">
        <f t="shared" si="293"/>
        <v>0</v>
      </c>
      <c r="F971" s="130"/>
      <c r="G971" s="60" t="s">
        <v>125</v>
      </c>
      <c r="H971" s="123"/>
      <c r="I971" s="123"/>
      <c r="J971" s="60"/>
      <c r="K971" s="60"/>
      <c r="L971" s="60"/>
      <c r="M971" s="60"/>
      <c r="N971" s="60">
        <f>M971*J971*K971*L971</f>
        <v>0</v>
      </c>
      <c r="O971" s="60">
        <f>J971*K971*L971</f>
        <v>0</v>
      </c>
    </row>
    <row r="972" spans="1:15" s="38" customFormat="1" ht="11.45" customHeight="1" outlineLevel="1" x14ac:dyDescent="0.25">
      <c r="A972" s="124"/>
      <c r="B972" s="142"/>
      <c r="C972" s="115"/>
      <c r="D972" s="115"/>
      <c r="E972" s="115"/>
      <c r="F972" s="115"/>
      <c r="G972" s="60" t="s">
        <v>126</v>
      </c>
      <c r="H972" s="124"/>
      <c r="I972" s="124"/>
      <c r="J972" s="60"/>
      <c r="K972" s="60"/>
      <c r="L972" s="60"/>
      <c r="M972" s="60"/>
      <c r="N972" s="60">
        <f t="shared" ref="N972:N977" si="298">M972*J972*K972*L972</f>
        <v>0</v>
      </c>
      <c r="O972" s="60">
        <f t="shared" ref="O972:O977" si="299">J972*K972*L972</f>
        <v>0</v>
      </c>
    </row>
    <row r="973" spans="1:15" s="38" customFormat="1" ht="10.7" customHeight="1" outlineLevel="1" x14ac:dyDescent="0.25">
      <c r="A973" s="124"/>
      <c r="B973" s="142"/>
      <c r="C973" s="115"/>
      <c r="D973" s="115"/>
      <c r="E973" s="115"/>
      <c r="F973" s="115"/>
      <c r="G973" s="60" t="s">
        <v>127</v>
      </c>
      <c r="H973" s="124"/>
      <c r="I973" s="124"/>
      <c r="J973" s="60"/>
      <c r="K973" s="60"/>
      <c r="L973" s="60"/>
      <c r="M973" s="60"/>
      <c r="N973" s="60">
        <f t="shared" si="298"/>
        <v>0</v>
      </c>
      <c r="O973" s="60">
        <f t="shared" si="299"/>
        <v>0</v>
      </c>
    </row>
    <row r="974" spans="1:15" s="38" customFormat="1" ht="10.7" customHeight="1" outlineLevel="1" x14ac:dyDescent="0.25">
      <c r="A974" s="124"/>
      <c r="B974" s="142"/>
      <c r="C974" s="115"/>
      <c r="D974" s="115"/>
      <c r="E974" s="115"/>
      <c r="F974" s="115"/>
      <c r="G974" s="60" t="s">
        <v>128</v>
      </c>
      <c r="H974" s="124"/>
      <c r="I974" s="124"/>
      <c r="J974" s="60"/>
      <c r="K974" s="60"/>
      <c r="L974" s="60"/>
      <c r="M974" s="60"/>
      <c r="N974" s="60">
        <f t="shared" si="298"/>
        <v>0</v>
      </c>
      <c r="O974" s="60">
        <f t="shared" si="299"/>
        <v>0</v>
      </c>
    </row>
    <row r="975" spans="1:15" s="38" customFormat="1" ht="10.7" customHeight="1" outlineLevel="1" x14ac:dyDescent="0.25">
      <c r="A975" s="124"/>
      <c r="B975" s="142"/>
      <c r="C975" s="115"/>
      <c r="D975" s="115"/>
      <c r="E975" s="115"/>
      <c r="F975" s="115"/>
      <c r="G975" s="60" t="s">
        <v>129</v>
      </c>
      <c r="H975" s="124"/>
      <c r="I975" s="124"/>
      <c r="J975" s="60"/>
      <c r="K975" s="60"/>
      <c r="L975" s="60"/>
      <c r="M975" s="60"/>
      <c r="N975" s="60">
        <f t="shared" si="298"/>
        <v>0</v>
      </c>
      <c r="O975" s="60">
        <f t="shared" si="299"/>
        <v>0</v>
      </c>
    </row>
    <row r="976" spans="1:15" s="38" customFormat="1" ht="10.7" customHeight="1" outlineLevel="1" x14ac:dyDescent="0.25">
      <c r="A976" s="124"/>
      <c r="B976" s="142"/>
      <c r="C976" s="115"/>
      <c r="D976" s="115"/>
      <c r="E976" s="115"/>
      <c r="F976" s="115"/>
      <c r="G976" s="60" t="s">
        <v>130</v>
      </c>
      <c r="H976" s="124"/>
      <c r="I976" s="124"/>
      <c r="J976" s="60"/>
      <c r="K976" s="60"/>
      <c r="L976" s="60"/>
      <c r="M976" s="60"/>
      <c r="N976" s="60">
        <f t="shared" si="298"/>
        <v>0</v>
      </c>
      <c r="O976" s="60">
        <f t="shared" si="299"/>
        <v>0</v>
      </c>
    </row>
    <row r="977" spans="1:15" s="38" customFormat="1" ht="12" customHeight="1" outlineLevel="1" thickBot="1" x14ac:dyDescent="0.3">
      <c r="A977" s="125"/>
      <c r="B977" s="143"/>
      <c r="C977" s="131"/>
      <c r="D977" s="131"/>
      <c r="E977" s="131"/>
      <c r="F977" s="131"/>
      <c r="G977" s="60" t="s">
        <v>131</v>
      </c>
      <c r="H977" s="134"/>
      <c r="I977" s="134"/>
      <c r="J977" s="60"/>
      <c r="K977" s="60"/>
      <c r="L977" s="60"/>
      <c r="M977" s="60"/>
      <c r="N977" s="60">
        <f t="shared" si="298"/>
        <v>0</v>
      </c>
      <c r="O977" s="60">
        <f t="shared" si="299"/>
        <v>0</v>
      </c>
    </row>
    <row r="978" spans="1:15" s="38" customFormat="1" ht="14.45" customHeight="1" outlineLevel="1" x14ac:dyDescent="0.25">
      <c r="A978" s="140" t="s">
        <v>800</v>
      </c>
      <c r="B978" s="141" t="s">
        <v>801</v>
      </c>
      <c r="C978" s="130">
        <f>SUM(N978:N984)</f>
        <v>0</v>
      </c>
      <c r="D978" s="130">
        <f>SUM(O978:O984)</f>
        <v>0</v>
      </c>
      <c r="E978" s="130">
        <f t="shared" si="293"/>
        <v>0</v>
      </c>
      <c r="F978" s="130"/>
      <c r="G978" s="60" t="s">
        <v>125</v>
      </c>
      <c r="H978" s="123"/>
      <c r="I978" s="123"/>
      <c r="J978" s="60"/>
      <c r="K978" s="60"/>
      <c r="L978" s="60"/>
      <c r="M978" s="60"/>
      <c r="N978" s="60">
        <f>M978*J978*K978*L978</f>
        <v>0</v>
      </c>
      <c r="O978" s="60">
        <f>J978*K978*L978</f>
        <v>0</v>
      </c>
    </row>
    <row r="979" spans="1:15" s="38" customFormat="1" ht="11.45" customHeight="1" outlineLevel="1" x14ac:dyDescent="0.25">
      <c r="A979" s="124"/>
      <c r="B979" s="142"/>
      <c r="C979" s="115"/>
      <c r="D979" s="115"/>
      <c r="E979" s="115"/>
      <c r="F979" s="115"/>
      <c r="G979" s="60" t="s">
        <v>126</v>
      </c>
      <c r="H979" s="124"/>
      <c r="I979" s="124"/>
      <c r="J979" s="60"/>
      <c r="K979" s="60"/>
      <c r="L979" s="60"/>
      <c r="M979" s="60"/>
      <c r="N979" s="60">
        <f t="shared" ref="N979:N984" si="300">M979*J979*K979*L979</f>
        <v>0</v>
      </c>
      <c r="O979" s="60">
        <f t="shared" ref="O979:O984" si="301">J979*K979*L979</f>
        <v>0</v>
      </c>
    </row>
    <row r="980" spans="1:15" s="38" customFormat="1" ht="10.7" customHeight="1" outlineLevel="1" x14ac:dyDescent="0.25">
      <c r="A980" s="124"/>
      <c r="B980" s="142"/>
      <c r="C980" s="115"/>
      <c r="D980" s="115"/>
      <c r="E980" s="115"/>
      <c r="F980" s="115"/>
      <c r="G980" s="60" t="s">
        <v>127</v>
      </c>
      <c r="H980" s="124"/>
      <c r="I980" s="124"/>
      <c r="J980" s="60"/>
      <c r="K980" s="60"/>
      <c r="L980" s="60"/>
      <c r="M980" s="60"/>
      <c r="N980" s="60">
        <f t="shared" si="300"/>
        <v>0</v>
      </c>
      <c r="O980" s="60">
        <f t="shared" si="301"/>
        <v>0</v>
      </c>
    </row>
    <row r="981" spans="1:15" s="38" customFormat="1" ht="10.7" customHeight="1" outlineLevel="1" x14ac:dyDescent="0.25">
      <c r="A981" s="124"/>
      <c r="B981" s="142"/>
      <c r="C981" s="115"/>
      <c r="D981" s="115"/>
      <c r="E981" s="115"/>
      <c r="F981" s="115"/>
      <c r="G981" s="60" t="s">
        <v>128</v>
      </c>
      <c r="H981" s="124"/>
      <c r="I981" s="124"/>
      <c r="J981" s="60"/>
      <c r="K981" s="60"/>
      <c r="L981" s="60"/>
      <c r="M981" s="60"/>
      <c r="N981" s="60">
        <f t="shared" si="300"/>
        <v>0</v>
      </c>
      <c r="O981" s="60">
        <f t="shared" si="301"/>
        <v>0</v>
      </c>
    </row>
    <row r="982" spans="1:15" s="38" customFormat="1" ht="10.7" customHeight="1" outlineLevel="1" x14ac:dyDescent="0.25">
      <c r="A982" s="124"/>
      <c r="B982" s="142"/>
      <c r="C982" s="115"/>
      <c r="D982" s="115"/>
      <c r="E982" s="115"/>
      <c r="F982" s="115"/>
      <c r="G982" s="60" t="s">
        <v>129</v>
      </c>
      <c r="H982" s="124"/>
      <c r="I982" s="124"/>
      <c r="J982" s="60"/>
      <c r="K982" s="60"/>
      <c r="L982" s="60"/>
      <c r="M982" s="60"/>
      <c r="N982" s="60">
        <f t="shared" si="300"/>
        <v>0</v>
      </c>
      <c r="O982" s="60">
        <f t="shared" si="301"/>
        <v>0</v>
      </c>
    </row>
    <row r="983" spans="1:15" s="38" customFormat="1" ht="10.7" customHeight="1" outlineLevel="1" x14ac:dyDescent="0.25">
      <c r="A983" s="124"/>
      <c r="B983" s="142"/>
      <c r="C983" s="115"/>
      <c r="D983" s="115"/>
      <c r="E983" s="115"/>
      <c r="F983" s="115"/>
      <c r="G983" s="60" t="s">
        <v>130</v>
      </c>
      <c r="H983" s="124"/>
      <c r="I983" s="124"/>
      <c r="J983" s="60"/>
      <c r="K983" s="60"/>
      <c r="L983" s="60"/>
      <c r="M983" s="60"/>
      <c r="N983" s="60">
        <f t="shared" si="300"/>
        <v>0</v>
      </c>
      <c r="O983" s="60">
        <f t="shared" si="301"/>
        <v>0</v>
      </c>
    </row>
    <row r="984" spans="1:15" s="38" customFormat="1" ht="12" customHeight="1" outlineLevel="1" thickBot="1" x14ac:dyDescent="0.3">
      <c r="A984" s="125"/>
      <c r="B984" s="143"/>
      <c r="C984" s="131"/>
      <c r="D984" s="131"/>
      <c r="E984" s="131"/>
      <c r="F984" s="131"/>
      <c r="G984" s="60" t="s">
        <v>131</v>
      </c>
      <c r="H984" s="134"/>
      <c r="I984" s="134"/>
      <c r="J984" s="60"/>
      <c r="K984" s="60"/>
      <c r="L984" s="60"/>
      <c r="M984" s="60"/>
      <c r="N984" s="60">
        <f t="shared" si="300"/>
        <v>0</v>
      </c>
      <c r="O984" s="60">
        <f t="shared" si="301"/>
        <v>0</v>
      </c>
    </row>
    <row r="985" spans="1:15" s="38" customFormat="1" ht="14.45" customHeight="1" outlineLevel="1" x14ac:dyDescent="0.25">
      <c r="A985" s="140" t="s">
        <v>802</v>
      </c>
      <c r="B985" s="141" t="s">
        <v>803</v>
      </c>
      <c r="C985" s="130">
        <f>SUM(N985:N991)</f>
        <v>0</v>
      </c>
      <c r="D985" s="130">
        <f>SUM(O985:O991)</f>
        <v>0</v>
      </c>
      <c r="E985" s="130">
        <f t="shared" si="293"/>
        <v>0</v>
      </c>
      <c r="F985" s="130"/>
      <c r="G985" s="60" t="s">
        <v>125</v>
      </c>
      <c r="H985" s="123"/>
      <c r="I985" s="123"/>
      <c r="J985" s="60"/>
      <c r="K985" s="60"/>
      <c r="L985" s="60"/>
      <c r="M985" s="60"/>
      <c r="N985" s="60">
        <f>M985*J985*K985*L985</f>
        <v>0</v>
      </c>
      <c r="O985" s="60">
        <f>J985*K985*L985</f>
        <v>0</v>
      </c>
    </row>
    <row r="986" spans="1:15" s="38" customFormat="1" ht="11.45" customHeight="1" outlineLevel="1" x14ac:dyDescent="0.25">
      <c r="A986" s="124"/>
      <c r="B986" s="142"/>
      <c r="C986" s="115"/>
      <c r="D986" s="115"/>
      <c r="E986" s="115"/>
      <c r="F986" s="115"/>
      <c r="G986" s="60" t="s">
        <v>126</v>
      </c>
      <c r="H986" s="124"/>
      <c r="I986" s="124"/>
      <c r="J986" s="60"/>
      <c r="K986" s="60"/>
      <c r="L986" s="60"/>
      <c r="M986" s="60"/>
      <c r="N986" s="60">
        <f t="shared" ref="N986:N991" si="302">M986*J986*K986*L986</f>
        <v>0</v>
      </c>
      <c r="O986" s="60">
        <f t="shared" ref="O986:O991" si="303">J986*K986*L986</f>
        <v>0</v>
      </c>
    </row>
    <row r="987" spans="1:15" s="38" customFormat="1" ht="10.7" customHeight="1" outlineLevel="1" x14ac:dyDescent="0.25">
      <c r="A987" s="124"/>
      <c r="B987" s="142"/>
      <c r="C987" s="115"/>
      <c r="D987" s="115"/>
      <c r="E987" s="115"/>
      <c r="F987" s="115"/>
      <c r="G987" s="60" t="s">
        <v>127</v>
      </c>
      <c r="H987" s="124"/>
      <c r="I987" s="124"/>
      <c r="J987" s="60"/>
      <c r="K987" s="60"/>
      <c r="L987" s="60"/>
      <c r="M987" s="60"/>
      <c r="N987" s="60">
        <f t="shared" si="302"/>
        <v>0</v>
      </c>
      <c r="O987" s="60">
        <f t="shared" si="303"/>
        <v>0</v>
      </c>
    </row>
    <row r="988" spans="1:15" s="38" customFormat="1" ht="10.7" customHeight="1" outlineLevel="1" x14ac:dyDescent="0.25">
      <c r="A988" s="124"/>
      <c r="B988" s="142"/>
      <c r="C988" s="115"/>
      <c r="D988" s="115"/>
      <c r="E988" s="115"/>
      <c r="F988" s="115"/>
      <c r="G988" s="60" t="s">
        <v>128</v>
      </c>
      <c r="H988" s="124"/>
      <c r="I988" s="124"/>
      <c r="J988" s="60"/>
      <c r="K988" s="60"/>
      <c r="L988" s="60"/>
      <c r="M988" s="60"/>
      <c r="N988" s="60">
        <f t="shared" si="302"/>
        <v>0</v>
      </c>
      <c r="O988" s="60">
        <f t="shared" si="303"/>
        <v>0</v>
      </c>
    </row>
    <row r="989" spans="1:15" s="38" customFormat="1" ht="10.7" customHeight="1" outlineLevel="1" x14ac:dyDescent="0.25">
      <c r="A989" s="124"/>
      <c r="B989" s="142"/>
      <c r="C989" s="115"/>
      <c r="D989" s="115"/>
      <c r="E989" s="115"/>
      <c r="F989" s="115"/>
      <c r="G989" s="60" t="s">
        <v>129</v>
      </c>
      <c r="H989" s="124"/>
      <c r="I989" s="124"/>
      <c r="J989" s="60"/>
      <c r="K989" s="60"/>
      <c r="L989" s="60"/>
      <c r="M989" s="60"/>
      <c r="N989" s="60">
        <f t="shared" si="302"/>
        <v>0</v>
      </c>
      <c r="O989" s="60">
        <f t="shared" si="303"/>
        <v>0</v>
      </c>
    </row>
    <row r="990" spans="1:15" s="38" customFormat="1" ht="10.7" customHeight="1" outlineLevel="1" x14ac:dyDescent="0.25">
      <c r="A990" s="124"/>
      <c r="B990" s="142"/>
      <c r="C990" s="115"/>
      <c r="D990" s="115"/>
      <c r="E990" s="115"/>
      <c r="F990" s="115"/>
      <c r="G990" s="60" t="s">
        <v>130</v>
      </c>
      <c r="H990" s="124"/>
      <c r="I990" s="124"/>
      <c r="J990" s="60"/>
      <c r="K990" s="60"/>
      <c r="L990" s="60"/>
      <c r="M990" s="60"/>
      <c r="N990" s="60">
        <f t="shared" si="302"/>
        <v>0</v>
      </c>
      <c r="O990" s="60">
        <f t="shared" si="303"/>
        <v>0</v>
      </c>
    </row>
    <row r="991" spans="1:15" s="38" customFormat="1" ht="12" customHeight="1" outlineLevel="1" thickBot="1" x14ac:dyDescent="0.3">
      <c r="A991" s="125"/>
      <c r="B991" s="143"/>
      <c r="C991" s="131"/>
      <c r="D991" s="131"/>
      <c r="E991" s="131"/>
      <c r="F991" s="131"/>
      <c r="G991" s="60" t="s">
        <v>131</v>
      </c>
      <c r="H991" s="134"/>
      <c r="I991" s="134"/>
      <c r="J991" s="60"/>
      <c r="K991" s="60"/>
      <c r="L991" s="60"/>
      <c r="M991" s="60"/>
      <c r="N991" s="60">
        <f t="shared" si="302"/>
        <v>0</v>
      </c>
      <c r="O991" s="60">
        <f t="shared" si="303"/>
        <v>0</v>
      </c>
    </row>
    <row r="992" spans="1:15" s="38" customFormat="1" ht="14.45" customHeight="1" outlineLevel="1" x14ac:dyDescent="0.25">
      <c r="A992" s="140" t="s">
        <v>804</v>
      </c>
      <c r="B992" s="141" t="s">
        <v>805</v>
      </c>
      <c r="C992" s="130">
        <f>SUM(N992:N998)</f>
        <v>0</v>
      </c>
      <c r="D992" s="130">
        <f>SUM(O992:O998)</f>
        <v>0</v>
      </c>
      <c r="E992" s="130">
        <f t="shared" si="293"/>
        <v>0</v>
      </c>
      <c r="F992" s="130"/>
      <c r="G992" s="60" t="s">
        <v>125</v>
      </c>
      <c r="H992" s="123"/>
      <c r="I992" s="123"/>
      <c r="J992" s="60"/>
      <c r="K992" s="60"/>
      <c r="L992" s="60"/>
      <c r="M992" s="60"/>
      <c r="N992" s="60">
        <f>M992*J992*K992*L992</f>
        <v>0</v>
      </c>
      <c r="O992" s="60">
        <f>J992*K992*L992</f>
        <v>0</v>
      </c>
    </row>
    <row r="993" spans="1:15" s="38" customFormat="1" ht="11.45" customHeight="1" outlineLevel="1" x14ac:dyDescent="0.25">
      <c r="A993" s="124"/>
      <c r="B993" s="142"/>
      <c r="C993" s="115"/>
      <c r="D993" s="115"/>
      <c r="E993" s="115"/>
      <c r="F993" s="115"/>
      <c r="G993" s="60" t="s">
        <v>126</v>
      </c>
      <c r="H993" s="124"/>
      <c r="I993" s="124"/>
      <c r="J993" s="60"/>
      <c r="K993" s="60"/>
      <c r="L993" s="60"/>
      <c r="M993" s="60"/>
      <c r="N993" s="60">
        <f t="shared" ref="N993:N998" si="304">M993*J993*K993*L993</f>
        <v>0</v>
      </c>
      <c r="O993" s="60">
        <f t="shared" ref="O993:O998" si="305">J993*K993*L993</f>
        <v>0</v>
      </c>
    </row>
    <row r="994" spans="1:15" s="38" customFormat="1" ht="10.7" customHeight="1" outlineLevel="1" x14ac:dyDescent="0.25">
      <c r="A994" s="124"/>
      <c r="B994" s="142"/>
      <c r="C994" s="115"/>
      <c r="D994" s="115"/>
      <c r="E994" s="115"/>
      <c r="F994" s="115"/>
      <c r="G994" s="60" t="s">
        <v>127</v>
      </c>
      <c r="H994" s="124"/>
      <c r="I994" s="124"/>
      <c r="J994" s="60"/>
      <c r="K994" s="60"/>
      <c r="L994" s="60"/>
      <c r="M994" s="60"/>
      <c r="N994" s="60">
        <f t="shared" si="304"/>
        <v>0</v>
      </c>
      <c r="O994" s="60">
        <f t="shared" si="305"/>
        <v>0</v>
      </c>
    </row>
    <row r="995" spans="1:15" s="38" customFormat="1" ht="10.7" customHeight="1" outlineLevel="1" x14ac:dyDescent="0.25">
      <c r="A995" s="124"/>
      <c r="B995" s="142"/>
      <c r="C995" s="115"/>
      <c r="D995" s="115"/>
      <c r="E995" s="115"/>
      <c r="F995" s="115"/>
      <c r="G995" s="60" t="s">
        <v>128</v>
      </c>
      <c r="H995" s="124"/>
      <c r="I995" s="124"/>
      <c r="J995" s="60"/>
      <c r="K995" s="60"/>
      <c r="L995" s="60"/>
      <c r="M995" s="60"/>
      <c r="N995" s="60">
        <f t="shared" si="304"/>
        <v>0</v>
      </c>
      <c r="O995" s="60">
        <f t="shared" si="305"/>
        <v>0</v>
      </c>
    </row>
    <row r="996" spans="1:15" s="38" customFormat="1" ht="10.7" customHeight="1" outlineLevel="1" x14ac:dyDescent="0.25">
      <c r="A996" s="124"/>
      <c r="B996" s="142"/>
      <c r="C996" s="115"/>
      <c r="D996" s="115"/>
      <c r="E996" s="115"/>
      <c r="F996" s="115"/>
      <c r="G996" s="60" t="s">
        <v>129</v>
      </c>
      <c r="H996" s="124"/>
      <c r="I996" s="124"/>
      <c r="J996" s="60"/>
      <c r="K996" s="60"/>
      <c r="L996" s="60"/>
      <c r="M996" s="60"/>
      <c r="N996" s="60">
        <f t="shared" si="304"/>
        <v>0</v>
      </c>
      <c r="O996" s="60">
        <f t="shared" si="305"/>
        <v>0</v>
      </c>
    </row>
    <row r="997" spans="1:15" s="38" customFormat="1" ht="10.7" customHeight="1" outlineLevel="1" x14ac:dyDescent="0.25">
      <c r="A997" s="124"/>
      <c r="B997" s="142"/>
      <c r="C997" s="115"/>
      <c r="D997" s="115"/>
      <c r="E997" s="115"/>
      <c r="F997" s="115"/>
      <c r="G997" s="60" t="s">
        <v>130</v>
      </c>
      <c r="H997" s="124"/>
      <c r="I997" s="124"/>
      <c r="J997" s="60"/>
      <c r="K997" s="60"/>
      <c r="L997" s="60"/>
      <c r="M997" s="60"/>
      <c r="N997" s="60">
        <f t="shared" si="304"/>
        <v>0</v>
      </c>
      <c r="O997" s="60">
        <f t="shared" si="305"/>
        <v>0</v>
      </c>
    </row>
    <row r="998" spans="1:15" s="38" customFormat="1" ht="12" customHeight="1" outlineLevel="1" thickBot="1" x14ac:dyDescent="0.3">
      <c r="A998" s="125"/>
      <c r="B998" s="143"/>
      <c r="C998" s="131"/>
      <c r="D998" s="131"/>
      <c r="E998" s="131"/>
      <c r="F998" s="131"/>
      <c r="G998" s="60" t="s">
        <v>131</v>
      </c>
      <c r="H998" s="134"/>
      <c r="I998" s="134"/>
      <c r="J998" s="60"/>
      <c r="K998" s="60"/>
      <c r="L998" s="60"/>
      <c r="M998" s="60"/>
      <c r="N998" s="60">
        <f t="shared" si="304"/>
        <v>0</v>
      </c>
      <c r="O998" s="60">
        <f t="shared" si="305"/>
        <v>0</v>
      </c>
    </row>
    <row r="999" spans="1:15" s="38" customFormat="1" ht="14.45" customHeight="1" outlineLevel="1" x14ac:dyDescent="0.25">
      <c r="A999" s="140" t="s">
        <v>806</v>
      </c>
      <c r="B999" s="141" t="s">
        <v>807</v>
      </c>
      <c r="C999" s="130">
        <f>SUM(N999:N1005)</f>
        <v>0</v>
      </c>
      <c r="D999" s="130">
        <f>SUM(O999:O1005)</f>
        <v>0</v>
      </c>
      <c r="E999" s="130">
        <f t="shared" si="293"/>
        <v>0</v>
      </c>
      <c r="F999" s="130"/>
      <c r="G999" s="60" t="s">
        <v>125</v>
      </c>
      <c r="H999" s="123"/>
      <c r="I999" s="123"/>
      <c r="J999" s="60"/>
      <c r="K999" s="60"/>
      <c r="L999" s="60"/>
      <c r="M999" s="60"/>
      <c r="N999" s="60">
        <f>M999*J999*K999*L999</f>
        <v>0</v>
      </c>
      <c r="O999" s="60">
        <f>J999*K999*L999</f>
        <v>0</v>
      </c>
    </row>
    <row r="1000" spans="1:15" s="38" customFormat="1" ht="11.45" customHeight="1" outlineLevel="1" x14ac:dyDescent="0.25">
      <c r="A1000" s="124"/>
      <c r="B1000" s="142"/>
      <c r="C1000" s="115"/>
      <c r="D1000" s="115"/>
      <c r="E1000" s="115"/>
      <c r="F1000" s="115"/>
      <c r="G1000" s="60" t="s">
        <v>126</v>
      </c>
      <c r="H1000" s="124"/>
      <c r="I1000" s="124"/>
      <c r="J1000" s="60"/>
      <c r="K1000" s="60"/>
      <c r="L1000" s="60"/>
      <c r="M1000" s="60"/>
      <c r="N1000" s="60">
        <f t="shared" ref="N1000:N1005" si="306">M1000*J1000*K1000*L1000</f>
        <v>0</v>
      </c>
      <c r="O1000" s="60">
        <f t="shared" ref="O1000:O1005" si="307">J1000*K1000*L1000</f>
        <v>0</v>
      </c>
    </row>
    <row r="1001" spans="1:15" s="38" customFormat="1" ht="10.7" customHeight="1" outlineLevel="1" x14ac:dyDescent="0.25">
      <c r="A1001" s="124"/>
      <c r="B1001" s="142"/>
      <c r="C1001" s="115"/>
      <c r="D1001" s="115"/>
      <c r="E1001" s="115"/>
      <c r="F1001" s="115"/>
      <c r="G1001" s="60" t="s">
        <v>127</v>
      </c>
      <c r="H1001" s="124"/>
      <c r="I1001" s="124"/>
      <c r="J1001" s="60"/>
      <c r="K1001" s="60"/>
      <c r="L1001" s="60"/>
      <c r="M1001" s="60"/>
      <c r="N1001" s="60">
        <f t="shared" si="306"/>
        <v>0</v>
      </c>
      <c r="O1001" s="60">
        <f t="shared" si="307"/>
        <v>0</v>
      </c>
    </row>
    <row r="1002" spans="1:15" s="38" customFormat="1" ht="10.7" customHeight="1" outlineLevel="1" x14ac:dyDescent="0.25">
      <c r="A1002" s="124"/>
      <c r="B1002" s="142"/>
      <c r="C1002" s="115"/>
      <c r="D1002" s="115"/>
      <c r="E1002" s="115"/>
      <c r="F1002" s="115"/>
      <c r="G1002" s="60" t="s">
        <v>128</v>
      </c>
      <c r="H1002" s="124"/>
      <c r="I1002" s="124"/>
      <c r="J1002" s="60"/>
      <c r="K1002" s="60"/>
      <c r="L1002" s="60"/>
      <c r="M1002" s="60"/>
      <c r="N1002" s="60">
        <f t="shared" si="306"/>
        <v>0</v>
      </c>
      <c r="O1002" s="60">
        <f t="shared" si="307"/>
        <v>0</v>
      </c>
    </row>
    <row r="1003" spans="1:15" s="38" customFormat="1" ht="10.7" customHeight="1" outlineLevel="1" x14ac:dyDescent="0.25">
      <c r="A1003" s="124"/>
      <c r="B1003" s="142"/>
      <c r="C1003" s="115"/>
      <c r="D1003" s="115"/>
      <c r="E1003" s="115"/>
      <c r="F1003" s="115"/>
      <c r="G1003" s="60" t="s">
        <v>129</v>
      </c>
      <c r="H1003" s="124"/>
      <c r="I1003" s="124"/>
      <c r="J1003" s="60"/>
      <c r="K1003" s="60"/>
      <c r="L1003" s="60"/>
      <c r="M1003" s="60"/>
      <c r="N1003" s="60">
        <f t="shared" si="306"/>
        <v>0</v>
      </c>
      <c r="O1003" s="60">
        <f t="shared" si="307"/>
        <v>0</v>
      </c>
    </row>
    <row r="1004" spans="1:15" s="38" customFormat="1" ht="10.7" customHeight="1" outlineLevel="1" x14ac:dyDescent="0.25">
      <c r="A1004" s="124"/>
      <c r="B1004" s="142"/>
      <c r="C1004" s="115"/>
      <c r="D1004" s="115"/>
      <c r="E1004" s="115"/>
      <c r="F1004" s="115"/>
      <c r="G1004" s="60" t="s">
        <v>130</v>
      </c>
      <c r="H1004" s="124"/>
      <c r="I1004" s="124"/>
      <c r="J1004" s="60"/>
      <c r="K1004" s="60"/>
      <c r="L1004" s="60"/>
      <c r="M1004" s="60"/>
      <c r="N1004" s="60">
        <f t="shared" si="306"/>
        <v>0</v>
      </c>
      <c r="O1004" s="60">
        <f t="shared" si="307"/>
        <v>0</v>
      </c>
    </row>
    <row r="1005" spans="1:15" s="38" customFormat="1" ht="12" customHeight="1" outlineLevel="1" thickBot="1" x14ac:dyDescent="0.3">
      <c r="A1005" s="125"/>
      <c r="B1005" s="143"/>
      <c r="C1005" s="131"/>
      <c r="D1005" s="131"/>
      <c r="E1005" s="131"/>
      <c r="F1005" s="131"/>
      <c r="G1005" s="60" t="s">
        <v>131</v>
      </c>
      <c r="H1005" s="134"/>
      <c r="I1005" s="134"/>
      <c r="J1005" s="60"/>
      <c r="K1005" s="60"/>
      <c r="L1005" s="60"/>
      <c r="M1005" s="60"/>
      <c r="N1005" s="60">
        <f t="shared" si="306"/>
        <v>0</v>
      </c>
      <c r="O1005" s="60">
        <f t="shared" si="307"/>
        <v>0</v>
      </c>
    </row>
    <row r="1006" spans="1:15" s="38" customFormat="1" ht="14.45" customHeight="1" outlineLevel="1" x14ac:dyDescent="0.25">
      <c r="A1006" s="140" t="s">
        <v>808</v>
      </c>
      <c r="B1006" s="141" t="s">
        <v>809</v>
      </c>
      <c r="C1006" s="130">
        <f>SUM(N1006:N1012)</f>
        <v>0</v>
      </c>
      <c r="D1006" s="130">
        <f>SUM(O1006:O1012)</f>
        <v>0</v>
      </c>
      <c r="E1006" s="130">
        <f t="shared" si="293"/>
        <v>0</v>
      </c>
      <c r="F1006" s="130"/>
      <c r="G1006" s="60" t="s">
        <v>125</v>
      </c>
      <c r="H1006" s="123"/>
      <c r="I1006" s="123"/>
      <c r="J1006" s="60"/>
      <c r="K1006" s="60"/>
      <c r="L1006" s="60"/>
      <c r="M1006" s="60"/>
      <c r="N1006" s="60">
        <f>M1006*J1006*K1006*L1006</f>
        <v>0</v>
      </c>
      <c r="O1006" s="60">
        <f>J1006*K1006*L1006</f>
        <v>0</v>
      </c>
    </row>
    <row r="1007" spans="1:15" s="38" customFormat="1" ht="11.45" customHeight="1" outlineLevel="1" x14ac:dyDescent="0.25">
      <c r="A1007" s="124"/>
      <c r="B1007" s="142"/>
      <c r="C1007" s="115"/>
      <c r="D1007" s="115"/>
      <c r="E1007" s="115"/>
      <c r="F1007" s="115"/>
      <c r="G1007" s="60" t="s">
        <v>126</v>
      </c>
      <c r="H1007" s="124"/>
      <c r="I1007" s="124"/>
      <c r="J1007" s="60"/>
      <c r="K1007" s="60"/>
      <c r="L1007" s="60"/>
      <c r="M1007" s="60"/>
      <c r="N1007" s="60">
        <f t="shared" ref="N1007:N1012" si="308">M1007*J1007*K1007*L1007</f>
        <v>0</v>
      </c>
      <c r="O1007" s="60">
        <f t="shared" ref="O1007:O1012" si="309">J1007*K1007*L1007</f>
        <v>0</v>
      </c>
    </row>
    <row r="1008" spans="1:15" s="38" customFormat="1" ht="10.7" customHeight="1" outlineLevel="1" x14ac:dyDescent="0.25">
      <c r="A1008" s="124"/>
      <c r="B1008" s="142"/>
      <c r="C1008" s="115"/>
      <c r="D1008" s="115"/>
      <c r="E1008" s="115"/>
      <c r="F1008" s="115"/>
      <c r="G1008" s="60" t="s">
        <v>127</v>
      </c>
      <c r="H1008" s="124"/>
      <c r="I1008" s="124"/>
      <c r="J1008" s="60"/>
      <c r="K1008" s="60"/>
      <c r="L1008" s="60"/>
      <c r="M1008" s="60"/>
      <c r="N1008" s="60">
        <f t="shared" si="308"/>
        <v>0</v>
      </c>
      <c r="O1008" s="60">
        <f t="shared" si="309"/>
        <v>0</v>
      </c>
    </row>
    <row r="1009" spans="1:15" s="38" customFormat="1" ht="10.7" customHeight="1" outlineLevel="1" x14ac:dyDescent="0.25">
      <c r="A1009" s="124"/>
      <c r="B1009" s="142"/>
      <c r="C1009" s="115"/>
      <c r="D1009" s="115"/>
      <c r="E1009" s="115"/>
      <c r="F1009" s="115"/>
      <c r="G1009" s="60" t="s">
        <v>128</v>
      </c>
      <c r="H1009" s="124"/>
      <c r="I1009" s="124"/>
      <c r="J1009" s="60"/>
      <c r="K1009" s="60"/>
      <c r="L1009" s="60"/>
      <c r="M1009" s="60"/>
      <c r="N1009" s="60">
        <f t="shared" si="308"/>
        <v>0</v>
      </c>
      <c r="O1009" s="60">
        <f t="shared" si="309"/>
        <v>0</v>
      </c>
    </row>
    <row r="1010" spans="1:15" s="38" customFormat="1" ht="10.7" customHeight="1" outlineLevel="1" x14ac:dyDescent="0.25">
      <c r="A1010" s="124"/>
      <c r="B1010" s="142"/>
      <c r="C1010" s="115"/>
      <c r="D1010" s="115"/>
      <c r="E1010" s="115"/>
      <c r="F1010" s="115"/>
      <c r="G1010" s="60" t="s">
        <v>129</v>
      </c>
      <c r="H1010" s="124"/>
      <c r="I1010" s="124"/>
      <c r="J1010" s="60"/>
      <c r="K1010" s="60"/>
      <c r="L1010" s="60"/>
      <c r="M1010" s="60"/>
      <c r="N1010" s="60">
        <f t="shared" si="308"/>
        <v>0</v>
      </c>
      <c r="O1010" s="60">
        <f t="shared" si="309"/>
        <v>0</v>
      </c>
    </row>
    <row r="1011" spans="1:15" s="38" customFormat="1" ht="10.7" customHeight="1" outlineLevel="1" x14ac:dyDescent="0.25">
      <c r="A1011" s="124"/>
      <c r="B1011" s="142"/>
      <c r="C1011" s="115"/>
      <c r="D1011" s="115"/>
      <c r="E1011" s="115"/>
      <c r="F1011" s="115"/>
      <c r="G1011" s="60" t="s">
        <v>130</v>
      </c>
      <c r="H1011" s="124"/>
      <c r="I1011" s="124"/>
      <c r="J1011" s="60"/>
      <c r="K1011" s="60"/>
      <c r="L1011" s="60"/>
      <c r="M1011" s="60"/>
      <c r="N1011" s="60">
        <f t="shared" si="308"/>
        <v>0</v>
      </c>
      <c r="O1011" s="60">
        <f t="shared" si="309"/>
        <v>0</v>
      </c>
    </row>
    <row r="1012" spans="1:15" s="38" customFormat="1" ht="12" customHeight="1" outlineLevel="1" thickBot="1" x14ac:dyDescent="0.3">
      <c r="A1012" s="125"/>
      <c r="B1012" s="143"/>
      <c r="C1012" s="131"/>
      <c r="D1012" s="131"/>
      <c r="E1012" s="131"/>
      <c r="F1012" s="131"/>
      <c r="G1012" s="60" t="s">
        <v>131</v>
      </c>
      <c r="H1012" s="134"/>
      <c r="I1012" s="134"/>
      <c r="J1012" s="60"/>
      <c r="K1012" s="60"/>
      <c r="L1012" s="60"/>
      <c r="M1012" s="60"/>
      <c r="N1012" s="60">
        <f t="shared" si="308"/>
        <v>0</v>
      </c>
      <c r="O1012" s="60">
        <f t="shared" si="309"/>
        <v>0</v>
      </c>
    </row>
    <row r="1013" spans="1:15" s="38" customFormat="1" ht="14.45" customHeight="1" outlineLevel="1" x14ac:dyDescent="0.25">
      <c r="A1013" s="140" t="s">
        <v>810</v>
      </c>
      <c r="B1013" s="141" t="s">
        <v>811</v>
      </c>
      <c r="C1013" s="130">
        <f>SUM(N1013:N1019)</f>
        <v>0</v>
      </c>
      <c r="D1013" s="130">
        <f>SUM(O1013:O1019)</f>
        <v>0</v>
      </c>
      <c r="E1013" s="130">
        <f t="shared" si="293"/>
        <v>0</v>
      </c>
      <c r="F1013" s="130"/>
      <c r="G1013" s="60" t="s">
        <v>125</v>
      </c>
      <c r="H1013" s="123"/>
      <c r="I1013" s="123"/>
      <c r="J1013" s="60"/>
      <c r="K1013" s="60"/>
      <c r="L1013" s="60"/>
      <c r="M1013" s="60"/>
      <c r="N1013" s="60">
        <f>M1013*J1013*K1013*L1013</f>
        <v>0</v>
      </c>
      <c r="O1013" s="60">
        <f>J1013*K1013*L1013</f>
        <v>0</v>
      </c>
    </row>
    <row r="1014" spans="1:15" s="38" customFormat="1" ht="11.45" customHeight="1" outlineLevel="1" x14ac:dyDescent="0.25">
      <c r="A1014" s="124"/>
      <c r="B1014" s="142"/>
      <c r="C1014" s="115"/>
      <c r="D1014" s="115"/>
      <c r="E1014" s="115"/>
      <c r="F1014" s="115"/>
      <c r="G1014" s="60" t="s">
        <v>126</v>
      </c>
      <c r="H1014" s="124"/>
      <c r="I1014" s="124"/>
      <c r="J1014" s="60"/>
      <c r="K1014" s="60"/>
      <c r="L1014" s="60"/>
      <c r="M1014" s="60"/>
      <c r="N1014" s="60">
        <f t="shared" ref="N1014:N1019" si="310">M1014*J1014*K1014*L1014</f>
        <v>0</v>
      </c>
      <c r="O1014" s="60">
        <f t="shared" ref="O1014:O1019" si="311">J1014*K1014*L1014</f>
        <v>0</v>
      </c>
    </row>
    <row r="1015" spans="1:15" s="38" customFormat="1" ht="10.7" customHeight="1" outlineLevel="1" x14ac:dyDescent="0.25">
      <c r="A1015" s="124"/>
      <c r="B1015" s="142"/>
      <c r="C1015" s="115"/>
      <c r="D1015" s="115"/>
      <c r="E1015" s="115"/>
      <c r="F1015" s="115"/>
      <c r="G1015" s="60" t="s">
        <v>127</v>
      </c>
      <c r="H1015" s="124"/>
      <c r="I1015" s="124"/>
      <c r="J1015" s="60"/>
      <c r="K1015" s="60"/>
      <c r="L1015" s="60"/>
      <c r="M1015" s="60"/>
      <c r="N1015" s="60">
        <f t="shared" si="310"/>
        <v>0</v>
      </c>
      <c r="O1015" s="60">
        <f t="shared" si="311"/>
        <v>0</v>
      </c>
    </row>
    <row r="1016" spans="1:15" s="38" customFormat="1" ht="10.7" customHeight="1" outlineLevel="1" x14ac:dyDescent="0.25">
      <c r="A1016" s="124"/>
      <c r="B1016" s="142"/>
      <c r="C1016" s="115"/>
      <c r="D1016" s="115"/>
      <c r="E1016" s="115"/>
      <c r="F1016" s="115"/>
      <c r="G1016" s="60" t="s">
        <v>128</v>
      </c>
      <c r="H1016" s="124"/>
      <c r="I1016" s="124"/>
      <c r="J1016" s="60"/>
      <c r="K1016" s="60"/>
      <c r="L1016" s="60"/>
      <c r="M1016" s="60"/>
      <c r="N1016" s="60">
        <f t="shared" si="310"/>
        <v>0</v>
      </c>
      <c r="O1016" s="60">
        <f t="shared" si="311"/>
        <v>0</v>
      </c>
    </row>
    <row r="1017" spans="1:15" s="38" customFormat="1" ht="10.7" customHeight="1" outlineLevel="1" x14ac:dyDescent="0.25">
      <c r="A1017" s="124"/>
      <c r="B1017" s="142"/>
      <c r="C1017" s="115"/>
      <c r="D1017" s="115"/>
      <c r="E1017" s="115"/>
      <c r="F1017" s="115"/>
      <c r="G1017" s="60" t="s">
        <v>129</v>
      </c>
      <c r="H1017" s="124"/>
      <c r="I1017" s="124"/>
      <c r="J1017" s="60"/>
      <c r="K1017" s="60"/>
      <c r="L1017" s="60"/>
      <c r="M1017" s="60"/>
      <c r="N1017" s="60">
        <f t="shared" si="310"/>
        <v>0</v>
      </c>
      <c r="O1017" s="60">
        <f t="shared" si="311"/>
        <v>0</v>
      </c>
    </row>
    <row r="1018" spans="1:15" s="38" customFormat="1" ht="10.7" customHeight="1" outlineLevel="1" x14ac:dyDescent="0.25">
      <c r="A1018" s="124"/>
      <c r="B1018" s="142"/>
      <c r="C1018" s="115"/>
      <c r="D1018" s="115"/>
      <c r="E1018" s="115"/>
      <c r="F1018" s="115"/>
      <c r="G1018" s="60" t="s">
        <v>130</v>
      </c>
      <c r="H1018" s="124"/>
      <c r="I1018" s="124"/>
      <c r="J1018" s="60"/>
      <c r="K1018" s="60"/>
      <c r="L1018" s="60"/>
      <c r="M1018" s="60"/>
      <c r="N1018" s="60">
        <f t="shared" si="310"/>
        <v>0</v>
      </c>
      <c r="O1018" s="60">
        <f t="shared" si="311"/>
        <v>0</v>
      </c>
    </row>
    <row r="1019" spans="1:15" s="38" customFormat="1" ht="12" customHeight="1" outlineLevel="1" thickBot="1" x14ac:dyDescent="0.3">
      <c r="A1019" s="125"/>
      <c r="B1019" s="143"/>
      <c r="C1019" s="131"/>
      <c r="D1019" s="131"/>
      <c r="E1019" s="131"/>
      <c r="F1019" s="131"/>
      <c r="G1019" s="60" t="s">
        <v>131</v>
      </c>
      <c r="H1019" s="134"/>
      <c r="I1019" s="134"/>
      <c r="J1019" s="60"/>
      <c r="K1019" s="60"/>
      <c r="L1019" s="60"/>
      <c r="M1019" s="60"/>
      <c r="N1019" s="60">
        <f t="shared" si="310"/>
        <v>0</v>
      </c>
      <c r="O1019" s="60">
        <f t="shared" si="311"/>
        <v>0</v>
      </c>
    </row>
    <row r="1020" spans="1:15" s="38" customFormat="1" ht="14.45" customHeight="1" outlineLevel="1" x14ac:dyDescent="0.25">
      <c r="A1020" s="140" t="s">
        <v>812</v>
      </c>
      <c r="B1020" s="141" t="s">
        <v>813</v>
      </c>
      <c r="C1020" s="130">
        <f>SUM(N1020:N1026)</f>
        <v>0</v>
      </c>
      <c r="D1020" s="130">
        <f>SUM(O1020:O1026)</f>
        <v>0</v>
      </c>
      <c r="E1020" s="130">
        <f t="shared" si="293"/>
        <v>0</v>
      </c>
      <c r="F1020" s="130"/>
      <c r="G1020" s="60" t="s">
        <v>125</v>
      </c>
      <c r="H1020" s="123"/>
      <c r="I1020" s="123"/>
      <c r="J1020" s="60"/>
      <c r="K1020" s="60"/>
      <c r="L1020" s="60"/>
      <c r="M1020" s="60"/>
      <c r="N1020" s="60">
        <f>M1020*J1020*K1020*L1020</f>
        <v>0</v>
      </c>
      <c r="O1020" s="60">
        <f>J1020*K1020*L1020</f>
        <v>0</v>
      </c>
    </row>
    <row r="1021" spans="1:15" s="38" customFormat="1" ht="11.45" customHeight="1" outlineLevel="1" x14ac:dyDescent="0.25">
      <c r="A1021" s="124"/>
      <c r="B1021" s="142"/>
      <c r="C1021" s="115"/>
      <c r="D1021" s="115"/>
      <c r="E1021" s="115"/>
      <c r="F1021" s="115"/>
      <c r="G1021" s="60" t="s">
        <v>126</v>
      </c>
      <c r="H1021" s="124"/>
      <c r="I1021" s="124"/>
      <c r="J1021" s="60"/>
      <c r="K1021" s="60"/>
      <c r="L1021" s="60"/>
      <c r="M1021" s="60"/>
      <c r="N1021" s="60">
        <f t="shared" ref="N1021:N1026" si="312">M1021*J1021*K1021*L1021</f>
        <v>0</v>
      </c>
      <c r="O1021" s="60">
        <f t="shared" ref="O1021:O1026" si="313">J1021*K1021*L1021</f>
        <v>0</v>
      </c>
    </row>
    <row r="1022" spans="1:15" s="38" customFormat="1" ht="10.7" customHeight="1" outlineLevel="1" x14ac:dyDescent="0.25">
      <c r="A1022" s="124"/>
      <c r="B1022" s="142"/>
      <c r="C1022" s="115"/>
      <c r="D1022" s="115"/>
      <c r="E1022" s="115"/>
      <c r="F1022" s="115"/>
      <c r="G1022" s="60" t="s">
        <v>127</v>
      </c>
      <c r="H1022" s="124"/>
      <c r="I1022" s="124"/>
      <c r="J1022" s="60"/>
      <c r="K1022" s="60"/>
      <c r="L1022" s="60"/>
      <c r="M1022" s="60"/>
      <c r="N1022" s="60">
        <f t="shared" si="312"/>
        <v>0</v>
      </c>
      <c r="O1022" s="60">
        <f t="shared" si="313"/>
        <v>0</v>
      </c>
    </row>
    <row r="1023" spans="1:15" s="38" customFormat="1" ht="10.7" customHeight="1" outlineLevel="1" x14ac:dyDescent="0.25">
      <c r="A1023" s="124"/>
      <c r="B1023" s="142"/>
      <c r="C1023" s="115"/>
      <c r="D1023" s="115"/>
      <c r="E1023" s="115"/>
      <c r="F1023" s="115"/>
      <c r="G1023" s="60" t="s">
        <v>128</v>
      </c>
      <c r="H1023" s="124"/>
      <c r="I1023" s="124"/>
      <c r="J1023" s="60"/>
      <c r="K1023" s="60"/>
      <c r="L1023" s="60"/>
      <c r="M1023" s="60"/>
      <c r="N1023" s="60">
        <f t="shared" si="312"/>
        <v>0</v>
      </c>
      <c r="O1023" s="60">
        <f t="shared" si="313"/>
        <v>0</v>
      </c>
    </row>
    <row r="1024" spans="1:15" s="38" customFormat="1" ht="10.7" customHeight="1" outlineLevel="1" x14ac:dyDescent="0.25">
      <c r="A1024" s="124"/>
      <c r="B1024" s="142"/>
      <c r="C1024" s="115"/>
      <c r="D1024" s="115"/>
      <c r="E1024" s="115"/>
      <c r="F1024" s="115"/>
      <c r="G1024" s="60" t="s">
        <v>129</v>
      </c>
      <c r="H1024" s="124"/>
      <c r="I1024" s="124"/>
      <c r="J1024" s="60"/>
      <c r="K1024" s="60"/>
      <c r="L1024" s="60"/>
      <c r="M1024" s="60"/>
      <c r="N1024" s="60">
        <f t="shared" si="312"/>
        <v>0</v>
      </c>
      <c r="O1024" s="60">
        <f t="shared" si="313"/>
        <v>0</v>
      </c>
    </row>
    <row r="1025" spans="1:15" s="38" customFormat="1" ht="10.7" customHeight="1" outlineLevel="1" x14ac:dyDescent="0.25">
      <c r="A1025" s="124"/>
      <c r="B1025" s="142"/>
      <c r="C1025" s="115"/>
      <c r="D1025" s="115"/>
      <c r="E1025" s="115"/>
      <c r="F1025" s="115"/>
      <c r="G1025" s="60" t="s">
        <v>130</v>
      </c>
      <c r="H1025" s="124"/>
      <c r="I1025" s="124"/>
      <c r="J1025" s="60"/>
      <c r="K1025" s="60"/>
      <c r="L1025" s="60"/>
      <c r="M1025" s="60"/>
      <c r="N1025" s="60">
        <f t="shared" si="312"/>
        <v>0</v>
      </c>
      <c r="O1025" s="60">
        <f t="shared" si="313"/>
        <v>0</v>
      </c>
    </row>
    <row r="1026" spans="1:15" s="38" customFormat="1" ht="12" customHeight="1" outlineLevel="1" thickBot="1" x14ac:dyDescent="0.3">
      <c r="A1026" s="125"/>
      <c r="B1026" s="143"/>
      <c r="C1026" s="131"/>
      <c r="D1026" s="131"/>
      <c r="E1026" s="131"/>
      <c r="F1026" s="131"/>
      <c r="G1026" s="60" t="s">
        <v>131</v>
      </c>
      <c r="H1026" s="134"/>
      <c r="I1026" s="134"/>
      <c r="J1026" s="60"/>
      <c r="K1026" s="60"/>
      <c r="L1026" s="60"/>
      <c r="M1026" s="60"/>
      <c r="N1026" s="60">
        <f t="shared" si="312"/>
        <v>0</v>
      </c>
      <c r="O1026" s="60">
        <f t="shared" si="313"/>
        <v>0</v>
      </c>
    </row>
    <row r="1027" spans="1:15" s="38" customFormat="1" ht="14.45" customHeight="1" outlineLevel="1" x14ac:dyDescent="0.25">
      <c r="A1027" s="140" t="s">
        <v>814</v>
      </c>
      <c r="B1027" s="141" t="s">
        <v>815</v>
      </c>
      <c r="C1027" s="130">
        <f>SUM(N1027:N1033)</f>
        <v>0</v>
      </c>
      <c r="D1027" s="130">
        <f>SUM(O1027:O1033)</f>
        <v>0</v>
      </c>
      <c r="E1027" s="130">
        <f t="shared" ref="E1027:E1090" si="314">D1027/8</f>
        <v>0</v>
      </c>
      <c r="F1027" s="130"/>
      <c r="G1027" s="60" t="s">
        <v>125</v>
      </c>
      <c r="H1027" s="123"/>
      <c r="I1027" s="123"/>
      <c r="J1027" s="60"/>
      <c r="K1027" s="60"/>
      <c r="L1027" s="60"/>
      <c r="M1027" s="60"/>
      <c r="N1027" s="60">
        <f>M1027*J1027*K1027*L1027</f>
        <v>0</v>
      </c>
      <c r="O1027" s="60">
        <f>J1027*K1027*L1027</f>
        <v>0</v>
      </c>
    </row>
    <row r="1028" spans="1:15" s="38" customFormat="1" ht="11.45" customHeight="1" outlineLevel="1" x14ac:dyDescent="0.25">
      <c r="A1028" s="124"/>
      <c r="B1028" s="142"/>
      <c r="C1028" s="115"/>
      <c r="D1028" s="115"/>
      <c r="E1028" s="115"/>
      <c r="F1028" s="115"/>
      <c r="G1028" s="60" t="s">
        <v>126</v>
      </c>
      <c r="H1028" s="124"/>
      <c r="I1028" s="124"/>
      <c r="J1028" s="60"/>
      <c r="K1028" s="60"/>
      <c r="L1028" s="60"/>
      <c r="M1028" s="60"/>
      <c r="N1028" s="60">
        <f t="shared" ref="N1028:N1033" si="315">M1028*J1028*K1028*L1028</f>
        <v>0</v>
      </c>
      <c r="O1028" s="60">
        <f t="shared" ref="O1028:O1033" si="316">J1028*K1028*L1028</f>
        <v>0</v>
      </c>
    </row>
    <row r="1029" spans="1:15" s="38" customFormat="1" ht="10.7" customHeight="1" outlineLevel="1" x14ac:dyDescent="0.25">
      <c r="A1029" s="124"/>
      <c r="B1029" s="142"/>
      <c r="C1029" s="115"/>
      <c r="D1029" s="115"/>
      <c r="E1029" s="115"/>
      <c r="F1029" s="115"/>
      <c r="G1029" s="60" t="s">
        <v>127</v>
      </c>
      <c r="H1029" s="124"/>
      <c r="I1029" s="124"/>
      <c r="J1029" s="60"/>
      <c r="K1029" s="60"/>
      <c r="L1029" s="60"/>
      <c r="M1029" s="60"/>
      <c r="N1029" s="60">
        <f t="shared" si="315"/>
        <v>0</v>
      </c>
      <c r="O1029" s="60">
        <f t="shared" si="316"/>
        <v>0</v>
      </c>
    </row>
    <row r="1030" spans="1:15" s="38" customFormat="1" ht="10.7" customHeight="1" outlineLevel="1" x14ac:dyDescent="0.25">
      <c r="A1030" s="124"/>
      <c r="B1030" s="142"/>
      <c r="C1030" s="115"/>
      <c r="D1030" s="115"/>
      <c r="E1030" s="115"/>
      <c r="F1030" s="115"/>
      <c r="G1030" s="60" t="s">
        <v>128</v>
      </c>
      <c r="H1030" s="124"/>
      <c r="I1030" s="124"/>
      <c r="J1030" s="60"/>
      <c r="K1030" s="60"/>
      <c r="L1030" s="60"/>
      <c r="M1030" s="60"/>
      <c r="N1030" s="60">
        <f t="shared" si="315"/>
        <v>0</v>
      </c>
      <c r="O1030" s="60">
        <f t="shared" si="316"/>
        <v>0</v>
      </c>
    </row>
    <row r="1031" spans="1:15" s="38" customFormat="1" ht="10.7" customHeight="1" outlineLevel="1" x14ac:dyDescent="0.25">
      <c r="A1031" s="124"/>
      <c r="B1031" s="142"/>
      <c r="C1031" s="115"/>
      <c r="D1031" s="115"/>
      <c r="E1031" s="115"/>
      <c r="F1031" s="115"/>
      <c r="G1031" s="60" t="s">
        <v>129</v>
      </c>
      <c r="H1031" s="124"/>
      <c r="I1031" s="124"/>
      <c r="J1031" s="60"/>
      <c r="K1031" s="60"/>
      <c r="L1031" s="60"/>
      <c r="M1031" s="60"/>
      <c r="N1031" s="60">
        <f t="shared" si="315"/>
        <v>0</v>
      </c>
      <c r="O1031" s="60">
        <f t="shared" si="316"/>
        <v>0</v>
      </c>
    </row>
    <row r="1032" spans="1:15" s="38" customFormat="1" ht="10.7" customHeight="1" outlineLevel="1" x14ac:dyDescent="0.25">
      <c r="A1032" s="124"/>
      <c r="B1032" s="142"/>
      <c r="C1032" s="115"/>
      <c r="D1032" s="115"/>
      <c r="E1032" s="115"/>
      <c r="F1032" s="115"/>
      <c r="G1032" s="60" t="s">
        <v>130</v>
      </c>
      <c r="H1032" s="124"/>
      <c r="I1032" s="124"/>
      <c r="J1032" s="60"/>
      <c r="K1032" s="60"/>
      <c r="L1032" s="60"/>
      <c r="M1032" s="60"/>
      <c r="N1032" s="60">
        <f t="shared" si="315"/>
        <v>0</v>
      </c>
      <c r="O1032" s="60">
        <f t="shared" si="316"/>
        <v>0</v>
      </c>
    </row>
    <row r="1033" spans="1:15" s="38" customFormat="1" ht="12" customHeight="1" outlineLevel="1" thickBot="1" x14ac:dyDescent="0.3">
      <c r="A1033" s="125"/>
      <c r="B1033" s="143"/>
      <c r="C1033" s="131"/>
      <c r="D1033" s="131"/>
      <c r="E1033" s="131"/>
      <c r="F1033" s="131"/>
      <c r="G1033" s="60" t="s">
        <v>131</v>
      </c>
      <c r="H1033" s="134"/>
      <c r="I1033" s="134"/>
      <c r="J1033" s="60"/>
      <c r="K1033" s="60"/>
      <c r="L1033" s="60"/>
      <c r="M1033" s="60"/>
      <c r="N1033" s="60">
        <f t="shared" si="315"/>
        <v>0</v>
      </c>
      <c r="O1033" s="60">
        <f t="shared" si="316"/>
        <v>0</v>
      </c>
    </row>
    <row r="1034" spans="1:15" s="38" customFormat="1" ht="14.45" customHeight="1" outlineLevel="1" x14ac:dyDescent="0.25">
      <c r="A1034" s="140" t="s">
        <v>816</v>
      </c>
      <c r="B1034" s="141" t="s">
        <v>817</v>
      </c>
      <c r="C1034" s="130">
        <f>SUM(N1034:N1040)</f>
        <v>0</v>
      </c>
      <c r="D1034" s="130">
        <f>SUM(O1034:O1040)</f>
        <v>0</v>
      </c>
      <c r="E1034" s="130">
        <f t="shared" si="314"/>
        <v>0</v>
      </c>
      <c r="F1034" s="130"/>
      <c r="G1034" s="60" t="s">
        <v>125</v>
      </c>
      <c r="H1034" s="123"/>
      <c r="I1034" s="123"/>
      <c r="J1034" s="60"/>
      <c r="K1034" s="60"/>
      <c r="L1034" s="60"/>
      <c r="M1034" s="60"/>
      <c r="N1034" s="60">
        <f>M1034*J1034*K1034*L1034</f>
        <v>0</v>
      </c>
      <c r="O1034" s="60">
        <f>J1034*K1034*L1034</f>
        <v>0</v>
      </c>
    </row>
    <row r="1035" spans="1:15" s="38" customFormat="1" ht="11.45" customHeight="1" outlineLevel="1" x14ac:dyDescent="0.25">
      <c r="A1035" s="124"/>
      <c r="B1035" s="142"/>
      <c r="C1035" s="115"/>
      <c r="D1035" s="115"/>
      <c r="E1035" s="115"/>
      <c r="F1035" s="115"/>
      <c r="G1035" s="60" t="s">
        <v>126</v>
      </c>
      <c r="H1035" s="124"/>
      <c r="I1035" s="124"/>
      <c r="J1035" s="60"/>
      <c r="K1035" s="60"/>
      <c r="L1035" s="60"/>
      <c r="M1035" s="60"/>
      <c r="N1035" s="60">
        <f t="shared" ref="N1035:N1040" si="317">M1035*J1035*K1035*L1035</f>
        <v>0</v>
      </c>
      <c r="O1035" s="60">
        <f t="shared" ref="O1035:O1040" si="318">J1035*K1035*L1035</f>
        <v>0</v>
      </c>
    </row>
    <row r="1036" spans="1:15" s="38" customFormat="1" ht="10.7" customHeight="1" outlineLevel="1" x14ac:dyDescent="0.25">
      <c r="A1036" s="124"/>
      <c r="B1036" s="142"/>
      <c r="C1036" s="115"/>
      <c r="D1036" s="115"/>
      <c r="E1036" s="115"/>
      <c r="F1036" s="115"/>
      <c r="G1036" s="60" t="s">
        <v>127</v>
      </c>
      <c r="H1036" s="124"/>
      <c r="I1036" s="124"/>
      <c r="J1036" s="60"/>
      <c r="K1036" s="60"/>
      <c r="L1036" s="60"/>
      <c r="M1036" s="60"/>
      <c r="N1036" s="60">
        <f t="shared" si="317"/>
        <v>0</v>
      </c>
      <c r="O1036" s="60">
        <f t="shared" si="318"/>
        <v>0</v>
      </c>
    </row>
    <row r="1037" spans="1:15" s="38" customFormat="1" ht="10.7" customHeight="1" outlineLevel="1" x14ac:dyDescent="0.25">
      <c r="A1037" s="124"/>
      <c r="B1037" s="142"/>
      <c r="C1037" s="115"/>
      <c r="D1037" s="115"/>
      <c r="E1037" s="115"/>
      <c r="F1037" s="115"/>
      <c r="G1037" s="60" t="s">
        <v>128</v>
      </c>
      <c r="H1037" s="124"/>
      <c r="I1037" s="124"/>
      <c r="J1037" s="60"/>
      <c r="K1037" s="60"/>
      <c r="L1037" s="60"/>
      <c r="M1037" s="60"/>
      <c r="N1037" s="60">
        <f t="shared" si="317"/>
        <v>0</v>
      </c>
      <c r="O1037" s="60">
        <f t="shared" si="318"/>
        <v>0</v>
      </c>
    </row>
    <row r="1038" spans="1:15" s="38" customFormat="1" ht="10.7" customHeight="1" outlineLevel="1" x14ac:dyDescent="0.25">
      <c r="A1038" s="124"/>
      <c r="B1038" s="142"/>
      <c r="C1038" s="115"/>
      <c r="D1038" s="115"/>
      <c r="E1038" s="115"/>
      <c r="F1038" s="115"/>
      <c r="G1038" s="60" t="s">
        <v>129</v>
      </c>
      <c r="H1038" s="124"/>
      <c r="I1038" s="124"/>
      <c r="J1038" s="60"/>
      <c r="K1038" s="60"/>
      <c r="L1038" s="60"/>
      <c r="M1038" s="60"/>
      <c r="N1038" s="60">
        <f t="shared" si="317"/>
        <v>0</v>
      </c>
      <c r="O1038" s="60">
        <f t="shared" si="318"/>
        <v>0</v>
      </c>
    </row>
    <row r="1039" spans="1:15" s="38" customFormat="1" ht="10.7" customHeight="1" outlineLevel="1" x14ac:dyDescent="0.25">
      <c r="A1039" s="124"/>
      <c r="B1039" s="142"/>
      <c r="C1039" s="115"/>
      <c r="D1039" s="115"/>
      <c r="E1039" s="115"/>
      <c r="F1039" s="115"/>
      <c r="G1039" s="60" t="s">
        <v>130</v>
      </c>
      <c r="H1039" s="124"/>
      <c r="I1039" s="124"/>
      <c r="J1039" s="60"/>
      <c r="K1039" s="60"/>
      <c r="L1039" s="60"/>
      <c r="M1039" s="60"/>
      <c r="N1039" s="60">
        <f t="shared" si="317"/>
        <v>0</v>
      </c>
      <c r="O1039" s="60">
        <f t="shared" si="318"/>
        <v>0</v>
      </c>
    </row>
    <row r="1040" spans="1:15" s="38" customFormat="1" ht="12" customHeight="1" outlineLevel="1" thickBot="1" x14ac:dyDescent="0.3">
      <c r="A1040" s="125"/>
      <c r="B1040" s="143"/>
      <c r="C1040" s="131"/>
      <c r="D1040" s="131"/>
      <c r="E1040" s="131"/>
      <c r="F1040" s="131"/>
      <c r="G1040" s="60" t="s">
        <v>131</v>
      </c>
      <c r="H1040" s="134"/>
      <c r="I1040" s="134"/>
      <c r="J1040" s="60"/>
      <c r="K1040" s="60"/>
      <c r="L1040" s="60"/>
      <c r="M1040" s="60"/>
      <c r="N1040" s="60">
        <f t="shared" si="317"/>
        <v>0</v>
      </c>
      <c r="O1040" s="60">
        <f t="shared" si="318"/>
        <v>0</v>
      </c>
    </row>
    <row r="1041" spans="1:15" s="38" customFormat="1" ht="14.45" customHeight="1" outlineLevel="1" x14ac:dyDescent="0.25">
      <c r="A1041" s="140" t="s">
        <v>818</v>
      </c>
      <c r="B1041" s="141" t="s">
        <v>819</v>
      </c>
      <c r="C1041" s="130">
        <f>SUM(N1041:N1047)</f>
        <v>0</v>
      </c>
      <c r="D1041" s="130">
        <f>SUM(O1041:O1047)</f>
        <v>0</v>
      </c>
      <c r="E1041" s="130">
        <f t="shared" si="314"/>
        <v>0</v>
      </c>
      <c r="F1041" s="130"/>
      <c r="G1041" s="60" t="s">
        <v>125</v>
      </c>
      <c r="H1041" s="123"/>
      <c r="I1041" s="123"/>
      <c r="J1041" s="60"/>
      <c r="K1041" s="60"/>
      <c r="L1041" s="60"/>
      <c r="M1041" s="60"/>
      <c r="N1041" s="60">
        <f>M1041*J1041*K1041*L1041</f>
        <v>0</v>
      </c>
      <c r="O1041" s="60">
        <f>J1041*K1041*L1041</f>
        <v>0</v>
      </c>
    </row>
    <row r="1042" spans="1:15" s="38" customFormat="1" ht="11.45" customHeight="1" outlineLevel="1" x14ac:dyDescent="0.25">
      <c r="A1042" s="124"/>
      <c r="B1042" s="142"/>
      <c r="C1042" s="115"/>
      <c r="D1042" s="115"/>
      <c r="E1042" s="115"/>
      <c r="F1042" s="115"/>
      <c r="G1042" s="60" t="s">
        <v>126</v>
      </c>
      <c r="H1042" s="124"/>
      <c r="I1042" s="124"/>
      <c r="J1042" s="60"/>
      <c r="K1042" s="60"/>
      <c r="L1042" s="60"/>
      <c r="M1042" s="60"/>
      <c r="N1042" s="60">
        <f t="shared" ref="N1042:N1047" si="319">M1042*J1042*K1042*L1042</f>
        <v>0</v>
      </c>
      <c r="O1042" s="60">
        <f t="shared" ref="O1042:O1047" si="320">J1042*K1042*L1042</f>
        <v>0</v>
      </c>
    </row>
    <row r="1043" spans="1:15" s="38" customFormat="1" ht="10.7" customHeight="1" outlineLevel="1" x14ac:dyDescent="0.25">
      <c r="A1043" s="124"/>
      <c r="B1043" s="142"/>
      <c r="C1043" s="115"/>
      <c r="D1043" s="115"/>
      <c r="E1043" s="115"/>
      <c r="F1043" s="115"/>
      <c r="G1043" s="60" t="s">
        <v>127</v>
      </c>
      <c r="H1043" s="124"/>
      <c r="I1043" s="124"/>
      <c r="J1043" s="60"/>
      <c r="K1043" s="60"/>
      <c r="L1043" s="60"/>
      <c r="M1043" s="60"/>
      <c r="N1043" s="60">
        <f t="shared" si="319"/>
        <v>0</v>
      </c>
      <c r="O1043" s="60">
        <f t="shared" si="320"/>
        <v>0</v>
      </c>
    </row>
    <row r="1044" spans="1:15" s="38" customFormat="1" ht="10.7" customHeight="1" outlineLevel="1" x14ac:dyDescent="0.25">
      <c r="A1044" s="124"/>
      <c r="B1044" s="142"/>
      <c r="C1044" s="115"/>
      <c r="D1044" s="115"/>
      <c r="E1044" s="115"/>
      <c r="F1044" s="115"/>
      <c r="G1044" s="60" t="s">
        <v>128</v>
      </c>
      <c r="H1044" s="124"/>
      <c r="I1044" s="124"/>
      <c r="J1044" s="60"/>
      <c r="K1044" s="60"/>
      <c r="L1044" s="60"/>
      <c r="M1044" s="60"/>
      <c r="N1044" s="60">
        <f t="shared" si="319"/>
        <v>0</v>
      </c>
      <c r="O1044" s="60">
        <f t="shared" si="320"/>
        <v>0</v>
      </c>
    </row>
    <row r="1045" spans="1:15" s="38" customFormat="1" ht="10.7" customHeight="1" outlineLevel="1" x14ac:dyDescent="0.25">
      <c r="A1045" s="124"/>
      <c r="B1045" s="142"/>
      <c r="C1045" s="115"/>
      <c r="D1045" s="115"/>
      <c r="E1045" s="115"/>
      <c r="F1045" s="115"/>
      <c r="G1045" s="60" t="s">
        <v>129</v>
      </c>
      <c r="H1045" s="124"/>
      <c r="I1045" s="124"/>
      <c r="J1045" s="60"/>
      <c r="K1045" s="60"/>
      <c r="L1045" s="60"/>
      <c r="M1045" s="60"/>
      <c r="N1045" s="60">
        <f t="shared" si="319"/>
        <v>0</v>
      </c>
      <c r="O1045" s="60">
        <f t="shared" si="320"/>
        <v>0</v>
      </c>
    </row>
    <row r="1046" spans="1:15" s="38" customFormat="1" ht="10.7" customHeight="1" outlineLevel="1" x14ac:dyDescent="0.25">
      <c r="A1046" s="124"/>
      <c r="B1046" s="142"/>
      <c r="C1046" s="115"/>
      <c r="D1046" s="115"/>
      <c r="E1046" s="115"/>
      <c r="F1046" s="115"/>
      <c r="G1046" s="60" t="s">
        <v>130</v>
      </c>
      <c r="H1046" s="124"/>
      <c r="I1046" s="124"/>
      <c r="J1046" s="60"/>
      <c r="K1046" s="60"/>
      <c r="L1046" s="60"/>
      <c r="M1046" s="60"/>
      <c r="N1046" s="60">
        <f t="shared" si="319"/>
        <v>0</v>
      </c>
      <c r="O1046" s="60">
        <f t="shared" si="320"/>
        <v>0</v>
      </c>
    </row>
    <row r="1047" spans="1:15" s="38" customFormat="1" ht="12" customHeight="1" outlineLevel="1" thickBot="1" x14ac:dyDescent="0.3">
      <c r="A1047" s="125"/>
      <c r="B1047" s="143"/>
      <c r="C1047" s="131"/>
      <c r="D1047" s="131"/>
      <c r="E1047" s="131"/>
      <c r="F1047" s="131"/>
      <c r="G1047" s="60" t="s">
        <v>131</v>
      </c>
      <c r="H1047" s="134"/>
      <c r="I1047" s="134"/>
      <c r="J1047" s="60"/>
      <c r="K1047" s="60"/>
      <c r="L1047" s="60"/>
      <c r="M1047" s="60"/>
      <c r="N1047" s="60">
        <f t="shared" si="319"/>
        <v>0</v>
      </c>
      <c r="O1047" s="60">
        <f t="shared" si="320"/>
        <v>0</v>
      </c>
    </row>
    <row r="1048" spans="1:15" s="38" customFormat="1" ht="14.45" customHeight="1" outlineLevel="1" x14ac:dyDescent="0.25">
      <c r="A1048" s="140" t="s">
        <v>820</v>
      </c>
      <c r="B1048" s="141" t="s">
        <v>821</v>
      </c>
      <c r="C1048" s="130">
        <f>SUM(N1048:N1054)</f>
        <v>0</v>
      </c>
      <c r="D1048" s="130">
        <f>SUM(O1048:O1054)</f>
        <v>0</v>
      </c>
      <c r="E1048" s="130">
        <f t="shared" si="314"/>
        <v>0</v>
      </c>
      <c r="F1048" s="130"/>
      <c r="G1048" s="60" t="s">
        <v>125</v>
      </c>
      <c r="H1048" s="123"/>
      <c r="I1048" s="123"/>
      <c r="J1048" s="60"/>
      <c r="K1048" s="60"/>
      <c r="L1048" s="60"/>
      <c r="M1048" s="60"/>
      <c r="N1048" s="60">
        <f>M1048*J1048*K1048*L1048</f>
        <v>0</v>
      </c>
      <c r="O1048" s="60">
        <f>J1048*K1048*L1048</f>
        <v>0</v>
      </c>
    </row>
    <row r="1049" spans="1:15" s="38" customFormat="1" ht="11.45" customHeight="1" outlineLevel="1" x14ac:dyDescent="0.25">
      <c r="A1049" s="124"/>
      <c r="B1049" s="142"/>
      <c r="C1049" s="115"/>
      <c r="D1049" s="115"/>
      <c r="E1049" s="115"/>
      <c r="F1049" s="115"/>
      <c r="G1049" s="60" t="s">
        <v>126</v>
      </c>
      <c r="H1049" s="124"/>
      <c r="I1049" s="124"/>
      <c r="J1049" s="60"/>
      <c r="K1049" s="60"/>
      <c r="L1049" s="60"/>
      <c r="M1049" s="60"/>
      <c r="N1049" s="60">
        <f t="shared" ref="N1049:N1054" si="321">M1049*J1049*K1049*L1049</f>
        <v>0</v>
      </c>
      <c r="O1049" s="60">
        <f t="shared" ref="O1049:O1054" si="322">J1049*K1049*L1049</f>
        <v>0</v>
      </c>
    </row>
    <row r="1050" spans="1:15" s="38" customFormat="1" ht="10.7" customHeight="1" outlineLevel="1" x14ac:dyDescent="0.25">
      <c r="A1050" s="124"/>
      <c r="B1050" s="142"/>
      <c r="C1050" s="115"/>
      <c r="D1050" s="115"/>
      <c r="E1050" s="115"/>
      <c r="F1050" s="115"/>
      <c r="G1050" s="60" t="s">
        <v>127</v>
      </c>
      <c r="H1050" s="124"/>
      <c r="I1050" s="124"/>
      <c r="J1050" s="60"/>
      <c r="K1050" s="60"/>
      <c r="L1050" s="60"/>
      <c r="M1050" s="60"/>
      <c r="N1050" s="60">
        <f t="shared" si="321"/>
        <v>0</v>
      </c>
      <c r="O1050" s="60">
        <f t="shared" si="322"/>
        <v>0</v>
      </c>
    </row>
    <row r="1051" spans="1:15" s="38" customFormat="1" ht="10.7" customHeight="1" outlineLevel="1" x14ac:dyDescent="0.25">
      <c r="A1051" s="124"/>
      <c r="B1051" s="142"/>
      <c r="C1051" s="115"/>
      <c r="D1051" s="115"/>
      <c r="E1051" s="115"/>
      <c r="F1051" s="115"/>
      <c r="G1051" s="60" t="s">
        <v>128</v>
      </c>
      <c r="H1051" s="124"/>
      <c r="I1051" s="124"/>
      <c r="J1051" s="60"/>
      <c r="K1051" s="60"/>
      <c r="L1051" s="60"/>
      <c r="M1051" s="60"/>
      <c r="N1051" s="60">
        <f t="shared" si="321"/>
        <v>0</v>
      </c>
      <c r="O1051" s="60">
        <f t="shared" si="322"/>
        <v>0</v>
      </c>
    </row>
    <row r="1052" spans="1:15" s="38" customFormat="1" ht="10.7" customHeight="1" outlineLevel="1" x14ac:dyDescent="0.25">
      <c r="A1052" s="124"/>
      <c r="B1052" s="142"/>
      <c r="C1052" s="115"/>
      <c r="D1052" s="115"/>
      <c r="E1052" s="115"/>
      <c r="F1052" s="115"/>
      <c r="G1052" s="60" t="s">
        <v>129</v>
      </c>
      <c r="H1052" s="124"/>
      <c r="I1052" s="124"/>
      <c r="J1052" s="60"/>
      <c r="K1052" s="60"/>
      <c r="L1052" s="60"/>
      <c r="M1052" s="60"/>
      <c r="N1052" s="60">
        <f t="shared" si="321"/>
        <v>0</v>
      </c>
      <c r="O1052" s="60">
        <f t="shared" si="322"/>
        <v>0</v>
      </c>
    </row>
    <row r="1053" spans="1:15" s="38" customFormat="1" ht="10.7" customHeight="1" outlineLevel="1" x14ac:dyDescent="0.25">
      <c r="A1053" s="124"/>
      <c r="B1053" s="142"/>
      <c r="C1053" s="115"/>
      <c r="D1053" s="115"/>
      <c r="E1053" s="115"/>
      <c r="F1053" s="115"/>
      <c r="G1053" s="60" t="s">
        <v>130</v>
      </c>
      <c r="H1053" s="124"/>
      <c r="I1053" s="124"/>
      <c r="J1053" s="60"/>
      <c r="K1053" s="60"/>
      <c r="L1053" s="60"/>
      <c r="M1053" s="60"/>
      <c r="N1053" s="60">
        <f t="shared" si="321"/>
        <v>0</v>
      </c>
      <c r="O1053" s="60">
        <f t="shared" si="322"/>
        <v>0</v>
      </c>
    </row>
    <row r="1054" spans="1:15" s="38" customFormat="1" ht="12" customHeight="1" outlineLevel="1" thickBot="1" x14ac:dyDescent="0.3">
      <c r="A1054" s="125"/>
      <c r="B1054" s="143"/>
      <c r="C1054" s="131"/>
      <c r="D1054" s="131"/>
      <c r="E1054" s="131"/>
      <c r="F1054" s="131"/>
      <c r="G1054" s="60" t="s">
        <v>131</v>
      </c>
      <c r="H1054" s="134"/>
      <c r="I1054" s="134"/>
      <c r="J1054" s="60"/>
      <c r="K1054" s="60"/>
      <c r="L1054" s="60"/>
      <c r="M1054" s="60"/>
      <c r="N1054" s="60">
        <f t="shared" si="321"/>
        <v>0</v>
      </c>
      <c r="O1054" s="60">
        <f t="shared" si="322"/>
        <v>0</v>
      </c>
    </row>
    <row r="1055" spans="1:15" s="38" customFormat="1" ht="14.45" customHeight="1" outlineLevel="1" x14ac:dyDescent="0.25">
      <c r="A1055" s="140" t="s">
        <v>822</v>
      </c>
      <c r="B1055" s="141" t="s">
        <v>823</v>
      </c>
      <c r="C1055" s="130">
        <f>SUM(N1055:N1061)</f>
        <v>0</v>
      </c>
      <c r="D1055" s="130">
        <f>SUM(O1055:O1061)</f>
        <v>0</v>
      </c>
      <c r="E1055" s="130">
        <f t="shared" si="314"/>
        <v>0</v>
      </c>
      <c r="F1055" s="130"/>
      <c r="G1055" s="60" t="s">
        <v>125</v>
      </c>
      <c r="H1055" s="123"/>
      <c r="I1055" s="123"/>
      <c r="J1055" s="60"/>
      <c r="K1055" s="60"/>
      <c r="L1055" s="60"/>
      <c r="M1055" s="60"/>
      <c r="N1055" s="60">
        <f>M1055*J1055*K1055*L1055</f>
        <v>0</v>
      </c>
      <c r="O1055" s="60">
        <f>J1055*K1055*L1055</f>
        <v>0</v>
      </c>
    </row>
    <row r="1056" spans="1:15" s="38" customFormat="1" ht="11.45" customHeight="1" outlineLevel="1" x14ac:dyDescent="0.25">
      <c r="A1056" s="124"/>
      <c r="B1056" s="142"/>
      <c r="C1056" s="115"/>
      <c r="D1056" s="115"/>
      <c r="E1056" s="115"/>
      <c r="F1056" s="115"/>
      <c r="G1056" s="60" t="s">
        <v>126</v>
      </c>
      <c r="H1056" s="124"/>
      <c r="I1056" s="124"/>
      <c r="J1056" s="60"/>
      <c r="K1056" s="60"/>
      <c r="L1056" s="60"/>
      <c r="M1056" s="60"/>
      <c r="N1056" s="60">
        <f t="shared" ref="N1056:N1061" si="323">M1056*J1056*K1056*L1056</f>
        <v>0</v>
      </c>
      <c r="O1056" s="60">
        <f t="shared" ref="O1056:O1061" si="324">J1056*K1056*L1056</f>
        <v>0</v>
      </c>
    </row>
    <row r="1057" spans="1:15" s="38" customFormat="1" ht="10.7" customHeight="1" outlineLevel="1" x14ac:dyDescent="0.25">
      <c r="A1057" s="124"/>
      <c r="B1057" s="142"/>
      <c r="C1057" s="115"/>
      <c r="D1057" s="115"/>
      <c r="E1057" s="115"/>
      <c r="F1057" s="115"/>
      <c r="G1057" s="60" t="s">
        <v>127</v>
      </c>
      <c r="H1057" s="124"/>
      <c r="I1057" s="124"/>
      <c r="J1057" s="60"/>
      <c r="K1057" s="60"/>
      <c r="L1057" s="60"/>
      <c r="M1057" s="60"/>
      <c r="N1057" s="60">
        <f t="shared" si="323"/>
        <v>0</v>
      </c>
      <c r="O1057" s="60">
        <f t="shared" si="324"/>
        <v>0</v>
      </c>
    </row>
    <row r="1058" spans="1:15" s="38" customFormat="1" ht="10.7" customHeight="1" outlineLevel="1" x14ac:dyDescent="0.25">
      <c r="A1058" s="124"/>
      <c r="B1058" s="142"/>
      <c r="C1058" s="115"/>
      <c r="D1058" s="115"/>
      <c r="E1058" s="115"/>
      <c r="F1058" s="115"/>
      <c r="G1058" s="60" t="s">
        <v>128</v>
      </c>
      <c r="H1058" s="124"/>
      <c r="I1058" s="124"/>
      <c r="J1058" s="60"/>
      <c r="K1058" s="60"/>
      <c r="L1058" s="60"/>
      <c r="M1058" s="60"/>
      <c r="N1058" s="60">
        <f t="shared" si="323"/>
        <v>0</v>
      </c>
      <c r="O1058" s="60">
        <f t="shared" si="324"/>
        <v>0</v>
      </c>
    </row>
    <row r="1059" spans="1:15" s="38" customFormat="1" ht="10.7" customHeight="1" outlineLevel="1" x14ac:dyDescent="0.25">
      <c r="A1059" s="124"/>
      <c r="B1059" s="142"/>
      <c r="C1059" s="115"/>
      <c r="D1059" s="115"/>
      <c r="E1059" s="115"/>
      <c r="F1059" s="115"/>
      <c r="G1059" s="60" t="s">
        <v>129</v>
      </c>
      <c r="H1059" s="124"/>
      <c r="I1059" s="124"/>
      <c r="J1059" s="60"/>
      <c r="K1059" s="60"/>
      <c r="L1059" s="60"/>
      <c r="M1059" s="60"/>
      <c r="N1059" s="60">
        <f t="shared" si="323"/>
        <v>0</v>
      </c>
      <c r="O1059" s="60">
        <f t="shared" si="324"/>
        <v>0</v>
      </c>
    </row>
    <row r="1060" spans="1:15" s="38" customFormat="1" ht="10.7" customHeight="1" outlineLevel="1" x14ac:dyDescent="0.25">
      <c r="A1060" s="124"/>
      <c r="B1060" s="142"/>
      <c r="C1060" s="115"/>
      <c r="D1060" s="115"/>
      <c r="E1060" s="115"/>
      <c r="F1060" s="115"/>
      <c r="G1060" s="60" t="s">
        <v>130</v>
      </c>
      <c r="H1060" s="124"/>
      <c r="I1060" s="124"/>
      <c r="J1060" s="60"/>
      <c r="K1060" s="60"/>
      <c r="L1060" s="60"/>
      <c r="M1060" s="60"/>
      <c r="N1060" s="60">
        <f t="shared" si="323"/>
        <v>0</v>
      </c>
      <c r="O1060" s="60">
        <f t="shared" si="324"/>
        <v>0</v>
      </c>
    </row>
    <row r="1061" spans="1:15" s="38" customFormat="1" ht="12" customHeight="1" outlineLevel="1" thickBot="1" x14ac:dyDescent="0.3">
      <c r="A1061" s="125"/>
      <c r="B1061" s="143"/>
      <c r="C1061" s="131"/>
      <c r="D1061" s="131"/>
      <c r="E1061" s="131"/>
      <c r="F1061" s="131"/>
      <c r="G1061" s="60" t="s">
        <v>131</v>
      </c>
      <c r="H1061" s="134"/>
      <c r="I1061" s="134"/>
      <c r="J1061" s="60"/>
      <c r="K1061" s="60"/>
      <c r="L1061" s="60"/>
      <c r="M1061" s="60"/>
      <c r="N1061" s="60">
        <f t="shared" si="323"/>
        <v>0</v>
      </c>
      <c r="O1061" s="60">
        <f t="shared" si="324"/>
        <v>0</v>
      </c>
    </row>
    <row r="1062" spans="1:15" s="38" customFormat="1" ht="14.45" customHeight="1" outlineLevel="1" x14ac:dyDescent="0.25">
      <c r="A1062" s="140" t="s">
        <v>824</v>
      </c>
      <c r="B1062" s="141" t="s">
        <v>825</v>
      </c>
      <c r="C1062" s="130">
        <f>SUM(N1062:N1068)</f>
        <v>0</v>
      </c>
      <c r="D1062" s="130">
        <f>SUM(O1062:O1068)</f>
        <v>0</v>
      </c>
      <c r="E1062" s="130">
        <f t="shared" si="314"/>
        <v>0</v>
      </c>
      <c r="F1062" s="130"/>
      <c r="G1062" s="60" t="s">
        <v>125</v>
      </c>
      <c r="H1062" s="123"/>
      <c r="I1062" s="123"/>
      <c r="J1062" s="60"/>
      <c r="K1062" s="60"/>
      <c r="L1062" s="60"/>
      <c r="M1062" s="60"/>
      <c r="N1062" s="60">
        <f>M1062*J1062*K1062*L1062</f>
        <v>0</v>
      </c>
      <c r="O1062" s="60">
        <f>J1062*K1062*L1062</f>
        <v>0</v>
      </c>
    </row>
    <row r="1063" spans="1:15" s="38" customFormat="1" ht="11.45" customHeight="1" outlineLevel="1" x14ac:dyDescent="0.25">
      <c r="A1063" s="124"/>
      <c r="B1063" s="142"/>
      <c r="C1063" s="115"/>
      <c r="D1063" s="115"/>
      <c r="E1063" s="115"/>
      <c r="F1063" s="115"/>
      <c r="G1063" s="60" t="s">
        <v>126</v>
      </c>
      <c r="H1063" s="124"/>
      <c r="I1063" s="124"/>
      <c r="J1063" s="60"/>
      <c r="K1063" s="60"/>
      <c r="L1063" s="60"/>
      <c r="M1063" s="60"/>
      <c r="N1063" s="60">
        <f t="shared" ref="N1063:N1068" si="325">M1063*J1063*K1063*L1063</f>
        <v>0</v>
      </c>
      <c r="O1063" s="60">
        <f t="shared" ref="O1063:O1068" si="326">J1063*K1063*L1063</f>
        <v>0</v>
      </c>
    </row>
    <row r="1064" spans="1:15" s="38" customFormat="1" ht="10.7" customHeight="1" outlineLevel="1" x14ac:dyDescent="0.25">
      <c r="A1064" s="124"/>
      <c r="B1064" s="142"/>
      <c r="C1064" s="115"/>
      <c r="D1064" s="115"/>
      <c r="E1064" s="115"/>
      <c r="F1064" s="115"/>
      <c r="G1064" s="60" t="s">
        <v>127</v>
      </c>
      <c r="H1064" s="124"/>
      <c r="I1064" s="124"/>
      <c r="J1064" s="60"/>
      <c r="K1064" s="60"/>
      <c r="L1064" s="60"/>
      <c r="M1064" s="60"/>
      <c r="N1064" s="60">
        <f t="shared" si="325"/>
        <v>0</v>
      </c>
      <c r="O1064" s="60">
        <f t="shared" si="326"/>
        <v>0</v>
      </c>
    </row>
    <row r="1065" spans="1:15" s="38" customFormat="1" ht="10.7" customHeight="1" outlineLevel="1" x14ac:dyDescent="0.25">
      <c r="A1065" s="124"/>
      <c r="B1065" s="142"/>
      <c r="C1065" s="115"/>
      <c r="D1065" s="115"/>
      <c r="E1065" s="115"/>
      <c r="F1065" s="115"/>
      <c r="G1065" s="60" t="s">
        <v>128</v>
      </c>
      <c r="H1065" s="124"/>
      <c r="I1065" s="124"/>
      <c r="J1065" s="60"/>
      <c r="K1065" s="60"/>
      <c r="L1065" s="60"/>
      <c r="M1065" s="60"/>
      <c r="N1065" s="60">
        <f t="shared" si="325"/>
        <v>0</v>
      </c>
      <c r="O1065" s="60">
        <f t="shared" si="326"/>
        <v>0</v>
      </c>
    </row>
    <row r="1066" spans="1:15" s="38" customFormat="1" ht="10.7" customHeight="1" outlineLevel="1" x14ac:dyDescent="0.25">
      <c r="A1066" s="124"/>
      <c r="B1066" s="142"/>
      <c r="C1066" s="115"/>
      <c r="D1066" s="115"/>
      <c r="E1066" s="115"/>
      <c r="F1066" s="115"/>
      <c r="G1066" s="60" t="s">
        <v>129</v>
      </c>
      <c r="H1066" s="124"/>
      <c r="I1066" s="124"/>
      <c r="J1066" s="60"/>
      <c r="K1066" s="60"/>
      <c r="L1066" s="60"/>
      <c r="M1066" s="60"/>
      <c r="N1066" s="60">
        <f t="shared" si="325"/>
        <v>0</v>
      </c>
      <c r="O1066" s="60">
        <f t="shared" si="326"/>
        <v>0</v>
      </c>
    </row>
    <row r="1067" spans="1:15" s="38" customFormat="1" ht="10.7" customHeight="1" outlineLevel="1" x14ac:dyDescent="0.25">
      <c r="A1067" s="124"/>
      <c r="B1067" s="142"/>
      <c r="C1067" s="115"/>
      <c r="D1067" s="115"/>
      <c r="E1067" s="115"/>
      <c r="F1067" s="115"/>
      <c r="G1067" s="60" t="s">
        <v>130</v>
      </c>
      <c r="H1067" s="124"/>
      <c r="I1067" s="124"/>
      <c r="J1067" s="60"/>
      <c r="K1067" s="60"/>
      <c r="L1067" s="60"/>
      <c r="M1067" s="60"/>
      <c r="N1067" s="60">
        <f t="shared" si="325"/>
        <v>0</v>
      </c>
      <c r="O1067" s="60">
        <f t="shared" si="326"/>
        <v>0</v>
      </c>
    </row>
    <row r="1068" spans="1:15" s="38" customFormat="1" ht="12" customHeight="1" outlineLevel="1" thickBot="1" x14ac:dyDescent="0.3">
      <c r="A1068" s="125"/>
      <c r="B1068" s="143"/>
      <c r="C1068" s="131"/>
      <c r="D1068" s="131"/>
      <c r="E1068" s="131"/>
      <c r="F1068" s="131"/>
      <c r="G1068" s="60" t="s">
        <v>131</v>
      </c>
      <c r="H1068" s="134"/>
      <c r="I1068" s="134"/>
      <c r="J1068" s="60"/>
      <c r="K1068" s="60"/>
      <c r="L1068" s="60"/>
      <c r="M1068" s="60"/>
      <c r="N1068" s="60">
        <f t="shared" si="325"/>
        <v>0</v>
      </c>
      <c r="O1068" s="60">
        <f t="shared" si="326"/>
        <v>0</v>
      </c>
    </row>
    <row r="1069" spans="1:15" s="38" customFormat="1" ht="14.45" customHeight="1" outlineLevel="1" x14ac:dyDescent="0.25">
      <c r="A1069" s="140" t="s">
        <v>826</v>
      </c>
      <c r="B1069" s="141" t="s">
        <v>827</v>
      </c>
      <c r="C1069" s="130">
        <f>SUM(N1069:N1075)</f>
        <v>0</v>
      </c>
      <c r="D1069" s="130">
        <f>SUM(O1069:O1075)</f>
        <v>0</v>
      </c>
      <c r="E1069" s="130">
        <f t="shared" si="314"/>
        <v>0</v>
      </c>
      <c r="F1069" s="130"/>
      <c r="G1069" s="60" t="s">
        <v>125</v>
      </c>
      <c r="H1069" s="123"/>
      <c r="I1069" s="123"/>
      <c r="J1069" s="60"/>
      <c r="K1069" s="60"/>
      <c r="L1069" s="60"/>
      <c r="M1069" s="60"/>
      <c r="N1069" s="60">
        <f>M1069*J1069*K1069*L1069</f>
        <v>0</v>
      </c>
      <c r="O1069" s="60">
        <f>J1069*K1069*L1069</f>
        <v>0</v>
      </c>
    </row>
    <row r="1070" spans="1:15" s="38" customFormat="1" ht="11.45" customHeight="1" outlineLevel="1" x14ac:dyDescent="0.25">
      <c r="A1070" s="124"/>
      <c r="B1070" s="142"/>
      <c r="C1070" s="115"/>
      <c r="D1070" s="115"/>
      <c r="E1070" s="115"/>
      <c r="F1070" s="115"/>
      <c r="G1070" s="60" t="s">
        <v>126</v>
      </c>
      <c r="H1070" s="124"/>
      <c r="I1070" s="124"/>
      <c r="J1070" s="60"/>
      <c r="K1070" s="60"/>
      <c r="L1070" s="60"/>
      <c r="M1070" s="60"/>
      <c r="N1070" s="60">
        <f t="shared" ref="N1070:N1075" si="327">M1070*J1070*K1070*L1070</f>
        <v>0</v>
      </c>
      <c r="O1070" s="60">
        <f t="shared" ref="O1070:O1075" si="328">J1070*K1070*L1070</f>
        <v>0</v>
      </c>
    </row>
    <row r="1071" spans="1:15" s="38" customFormat="1" ht="10.7" customHeight="1" outlineLevel="1" x14ac:dyDescent="0.25">
      <c r="A1071" s="124"/>
      <c r="B1071" s="142"/>
      <c r="C1071" s="115"/>
      <c r="D1071" s="115"/>
      <c r="E1071" s="115"/>
      <c r="F1071" s="115"/>
      <c r="G1071" s="60" t="s">
        <v>127</v>
      </c>
      <c r="H1071" s="124"/>
      <c r="I1071" s="124"/>
      <c r="J1071" s="60"/>
      <c r="K1071" s="60"/>
      <c r="L1071" s="60"/>
      <c r="M1071" s="60"/>
      <c r="N1071" s="60">
        <f t="shared" si="327"/>
        <v>0</v>
      </c>
      <c r="O1071" s="60">
        <f t="shared" si="328"/>
        <v>0</v>
      </c>
    </row>
    <row r="1072" spans="1:15" s="38" customFormat="1" ht="10.7" customHeight="1" outlineLevel="1" x14ac:dyDescent="0.25">
      <c r="A1072" s="124"/>
      <c r="B1072" s="142"/>
      <c r="C1072" s="115"/>
      <c r="D1072" s="115"/>
      <c r="E1072" s="115"/>
      <c r="F1072" s="115"/>
      <c r="G1072" s="60" t="s">
        <v>128</v>
      </c>
      <c r="H1072" s="124"/>
      <c r="I1072" s="124"/>
      <c r="J1072" s="60"/>
      <c r="K1072" s="60"/>
      <c r="L1072" s="60"/>
      <c r="M1072" s="60"/>
      <c r="N1072" s="60">
        <f t="shared" si="327"/>
        <v>0</v>
      </c>
      <c r="O1072" s="60">
        <f t="shared" si="328"/>
        <v>0</v>
      </c>
    </row>
    <row r="1073" spans="1:15" s="38" customFormat="1" ht="10.7" customHeight="1" outlineLevel="1" x14ac:dyDescent="0.25">
      <c r="A1073" s="124"/>
      <c r="B1073" s="142"/>
      <c r="C1073" s="115"/>
      <c r="D1073" s="115"/>
      <c r="E1073" s="115"/>
      <c r="F1073" s="115"/>
      <c r="G1073" s="60" t="s">
        <v>129</v>
      </c>
      <c r="H1073" s="124"/>
      <c r="I1073" s="124"/>
      <c r="J1073" s="60"/>
      <c r="K1073" s="60"/>
      <c r="L1073" s="60"/>
      <c r="M1073" s="60"/>
      <c r="N1073" s="60">
        <f t="shared" si="327"/>
        <v>0</v>
      </c>
      <c r="O1073" s="60">
        <f t="shared" si="328"/>
        <v>0</v>
      </c>
    </row>
    <row r="1074" spans="1:15" s="38" customFormat="1" ht="10.7" customHeight="1" outlineLevel="1" x14ac:dyDescent="0.25">
      <c r="A1074" s="124"/>
      <c r="B1074" s="142"/>
      <c r="C1074" s="115"/>
      <c r="D1074" s="115"/>
      <c r="E1074" s="115"/>
      <c r="F1074" s="115"/>
      <c r="G1074" s="60" t="s">
        <v>130</v>
      </c>
      <c r="H1074" s="124"/>
      <c r="I1074" s="124"/>
      <c r="J1074" s="60"/>
      <c r="K1074" s="60"/>
      <c r="L1074" s="60"/>
      <c r="M1074" s="60"/>
      <c r="N1074" s="60">
        <f t="shared" si="327"/>
        <v>0</v>
      </c>
      <c r="O1074" s="60">
        <f t="shared" si="328"/>
        <v>0</v>
      </c>
    </row>
    <row r="1075" spans="1:15" s="38" customFormat="1" ht="12" customHeight="1" outlineLevel="1" thickBot="1" x14ac:dyDescent="0.3">
      <c r="A1075" s="125"/>
      <c r="B1075" s="143"/>
      <c r="C1075" s="131"/>
      <c r="D1075" s="131"/>
      <c r="E1075" s="131"/>
      <c r="F1075" s="131"/>
      <c r="G1075" s="60" t="s">
        <v>131</v>
      </c>
      <c r="H1075" s="134"/>
      <c r="I1075" s="134"/>
      <c r="J1075" s="60"/>
      <c r="K1075" s="60"/>
      <c r="L1075" s="60"/>
      <c r="M1075" s="60"/>
      <c r="N1075" s="60">
        <f t="shared" si="327"/>
        <v>0</v>
      </c>
      <c r="O1075" s="60">
        <f t="shared" si="328"/>
        <v>0</v>
      </c>
    </row>
    <row r="1076" spans="1:15" s="38" customFormat="1" ht="14.45" customHeight="1" outlineLevel="1" x14ac:dyDescent="0.25">
      <c r="A1076" s="140" t="s">
        <v>828</v>
      </c>
      <c r="B1076" s="141" t="s">
        <v>829</v>
      </c>
      <c r="C1076" s="130">
        <f>SUM(N1076:N1082)</f>
        <v>0</v>
      </c>
      <c r="D1076" s="130">
        <f>SUM(O1076:O1082)</f>
        <v>0</v>
      </c>
      <c r="E1076" s="130">
        <f t="shared" si="314"/>
        <v>0</v>
      </c>
      <c r="F1076" s="130"/>
      <c r="G1076" s="60" t="s">
        <v>125</v>
      </c>
      <c r="H1076" s="123"/>
      <c r="I1076" s="123"/>
      <c r="J1076" s="60"/>
      <c r="K1076" s="60"/>
      <c r="L1076" s="60"/>
      <c r="M1076" s="60"/>
      <c r="N1076" s="60">
        <f>M1076*J1076*K1076*L1076</f>
        <v>0</v>
      </c>
      <c r="O1076" s="60">
        <f>J1076*K1076*L1076</f>
        <v>0</v>
      </c>
    </row>
    <row r="1077" spans="1:15" s="38" customFormat="1" ht="11.45" customHeight="1" outlineLevel="1" x14ac:dyDescent="0.25">
      <c r="A1077" s="124"/>
      <c r="B1077" s="142"/>
      <c r="C1077" s="115"/>
      <c r="D1077" s="115"/>
      <c r="E1077" s="115"/>
      <c r="F1077" s="115"/>
      <c r="G1077" s="60" t="s">
        <v>126</v>
      </c>
      <c r="H1077" s="124"/>
      <c r="I1077" s="124"/>
      <c r="J1077" s="60"/>
      <c r="K1077" s="60"/>
      <c r="L1077" s="60"/>
      <c r="M1077" s="60"/>
      <c r="N1077" s="60">
        <f t="shared" ref="N1077:N1082" si="329">M1077*J1077*K1077*L1077</f>
        <v>0</v>
      </c>
      <c r="O1077" s="60">
        <f t="shared" ref="O1077:O1082" si="330">J1077*K1077*L1077</f>
        <v>0</v>
      </c>
    </row>
    <row r="1078" spans="1:15" s="38" customFormat="1" ht="10.7" customHeight="1" outlineLevel="1" x14ac:dyDescent="0.25">
      <c r="A1078" s="124"/>
      <c r="B1078" s="142"/>
      <c r="C1078" s="115"/>
      <c r="D1078" s="115"/>
      <c r="E1078" s="115"/>
      <c r="F1078" s="115"/>
      <c r="G1078" s="60" t="s">
        <v>127</v>
      </c>
      <c r="H1078" s="124"/>
      <c r="I1078" s="124"/>
      <c r="J1078" s="60"/>
      <c r="K1078" s="60"/>
      <c r="L1078" s="60"/>
      <c r="M1078" s="60"/>
      <c r="N1078" s="60">
        <f t="shared" si="329"/>
        <v>0</v>
      </c>
      <c r="O1078" s="60">
        <f t="shared" si="330"/>
        <v>0</v>
      </c>
    </row>
    <row r="1079" spans="1:15" s="38" customFormat="1" ht="10.7" customHeight="1" outlineLevel="1" x14ac:dyDescent="0.25">
      <c r="A1079" s="124"/>
      <c r="B1079" s="142"/>
      <c r="C1079" s="115"/>
      <c r="D1079" s="115"/>
      <c r="E1079" s="115"/>
      <c r="F1079" s="115"/>
      <c r="G1079" s="60" t="s">
        <v>128</v>
      </c>
      <c r="H1079" s="124"/>
      <c r="I1079" s="124"/>
      <c r="J1079" s="60"/>
      <c r="K1079" s="60"/>
      <c r="L1079" s="60"/>
      <c r="M1079" s="60"/>
      <c r="N1079" s="60">
        <f t="shared" si="329"/>
        <v>0</v>
      </c>
      <c r="O1079" s="60">
        <f t="shared" si="330"/>
        <v>0</v>
      </c>
    </row>
    <row r="1080" spans="1:15" s="38" customFormat="1" ht="10.7" customHeight="1" outlineLevel="1" x14ac:dyDescent="0.25">
      <c r="A1080" s="124"/>
      <c r="B1080" s="142"/>
      <c r="C1080" s="115"/>
      <c r="D1080" s="115"/>
      <c r="E1080" s="115"/>
      <c r="F1080" s="115"/>
      <c r="G1080" s="60" t="s">
        <v>129</v>
      </c>
      <c r="H1080" s="124"/>
      <c r="I1080" s="124"/>
      <c r="J1080" s="60"/>
      <c r="K1080" s="60"/>
      <c r="L1080" s="60"/>
      <c r="M1080" s="60"/>
      <c r="N1080" s="60">
        <f t="shared" si="329"/>
        <v>0</v>
      </c>
      <c r="O1080" s="60">
        <f t="shared" si="330"/>
        <v>0</v>
      </c>
    </row>
    <row r="1081" spans="1:15" s="38" customFormat="1" ht="10.7" customHeight="1" outlineLevel="1" x14ac:dyDescent="0.25">
      <c r="A1081" s="124"/>
      <c r="B1081" s="142"/>
      <c r="C1081" s="115"/>
      <c r="D1081" s="115"/>
      <c r="E1081" s="115"/>
      <c r="F1081" s="115"/>
      <c r="G1081" s="60" t="s">
        <v>130</v>
      </c>
      <c r="H1081" s="124"/>
      <c r="I1081" s="124"/>
      <c r="J1081" s="60"/>
      <c r="K1081" s="60"/>
      <c r="L1081" s="60"/>
      <c r="M1081" s="60"/>
      <c r="N1081" s="60">
        <f t="shared" si="329"/>
        <v>0</v>
      </c>
      <c r="O1081" s="60">
        <f t="shared" si="330"/>
        <v>0</v>
      </c>
    </row>
    <row r="1082" spans="1:15" s="38" customFormat="1" ht="12" customHeight="1" outlineLevel="1" thickBot="1" x14ac:dyDescent="0.3">
      <c r="A1082" s="125"/>
      <c r="B1082" s="143"/>
      <c r="C1082" s="131"/>
      <c r="D1082" s="131"/>
      <c r="E1082" s="131"/>
      <c r="F1082" s="131"/>
      <c r="G1082" s="60" t="s">
        <v>131</v>
      </c>
      <c r="H1082" s="134"/>
      <c r="I1082" s="134"/>
      <c r="J1082" s="60"/>
      <c r="K1082" s="60"/>
      <c r="L1082" s="60"/>
      <c r="M1082" s="60"/>
      <c r="N1082" s="60">
        <f t="shared" si="329"/>
        <v>0</v>
      </c>
      <c r="O1082" s="60">
        <f t="shared" si="330"/>
        <v>0</v>
      </c>
    </row>
    <row r="1083" spans="1:15" s="38" customFormat="1" ht="14.45" customHeight="1" outlineLevel="1" x14ac:dyDescent="0.25">
      <c r="A1083" s="140" t="s">
        <v>830</v>
      </c>
      <c r="B1083" s="141" t="s">
        <v>831</v>
      </c>
      <c r="C1083" s="130">
        <f>SUM(N1083:N1089)</f>
        <v>0</v>
      </c>
      <c r="D1083" s="130">
        <f>SUM(O1083:O1089)</f>
        <v>0</v>
      </c>
      <c r="E1083" s="130">
        <f t="shared" si="314"/>
        <v>0</v>
      </c>
      <c r="F1083" s="130"/>
      <c r="G1083" s="60" t="s">
        <v>125</v>
      </c>
      <c r="H1083" s="123"/>
      <c r="I1083" s="123"/>
      <c r="J1083" s="60"/>
      <c r="K1083" s="60"/>
      <c r="L1083" s="60"/>
      <c r="M1083" s="60"/>
      <c r="N1083" s="60">
        <f>M1083*J1083*K1083*L1083</f>
        <v>0</v>
      </c>
      <c r="O1083" s="60">
        <f>J1083*K1083*L1083</f>
        <v>0</v>
      </c>
    </row>
    <row r="1084" spans="1:15" s="38" customFormat="1" ht="11.45" customHeight="1" outlineLevel="1" x14ac:dyDescent="0.25">
      <c r="A1084" s="124"/>
      <c r="B1084" s="142"/>
      <c r="C1084" s="115"/>
      <c r="D1084" s="115"/>
      <c r="E1084" s="115"/>
      <c r="F1084" s="115"/>
      <c r="G1084" s="60" t="s">
        <v>126</v>
      </c>
      <c r="H1084" s="124"/>
      <c r="I1084" s="124"/>
      <c r="J1084" s="60"/>
      <c r="K1084" s="60"/>
      <c r="L1084" s="60"/>
      <c r="M1084" s="60"/>
      <c r="N1084" s="60">
        <f t="shared" ref="N1084:N1089" si="331">M1084*J1084*K1084*L1084</f>
        <v>0</v>
      </c>
      <c r="O1084" s="60">
        <f t="shared" ref="O1084:O1089" si="332">J1084*K1084*L1084</f>
        <v>0</v>
      </c>
    </row>
    <row r="1085" spans="1:15" s="38" customFormat="1" ht="10.7" customHeight="1" outlineLevel="1" x14ac:dyDescent="0.25">
      <c r="A1085" s="124"/>
      <c r="B1085" s="142"/>
      <c r="C1085" s="115"/>
      <c r="D1085" s="115"/>
      <c r="E1085" s="115"/>
      <c r="F1085" s="115"/>
      <c r="G1085" s="60" t="s">
        <v>127</v>
      </c>
      <c r="H1085" s="124"/>
      <c r="I1085" s="124"/>
      <c r="J1085" s="60"/>
      <c r="K1085" s="60"/>
      <c r="L1085" s="60"/>
      <c r="M1085" s="60"/>
      <c r="N1085" s="60">
        <f t="shared" si="331"/>
        <v>0</v>
      </c>
      <c r="O1085" s="60">
        <f t="shared" si="332"/>
        <v>0</v>
      </c>
    </row>
    <row r="1086" spans="1:15" s="38" customFormat="1" ht="10.7" customHeight="1" outlineLevel="1" x14ac:dyDescent="0.25">
      <c r="A1086" s="124"/>
      <c r="B1086" s="142"/>
      <c r="C1086" s="115"/>
      <c r="D1086" s="115"/>
      <c r="E1086" s="115"/>
      <c r="F1086" s="115"/>
      <c r="G1086" s="60" t="s">
        <v>128</v>
      </c>
      <c r="H1086" s="124"/>
      <c r="I1086" s="124"/>
      <c r="J1086" s="60"/>
      <c r="K1086" s="60"/>
      <c r="L1086" s="60"/>
      <c r="M1086" s="60"/>
      <c r="N1086" s="60">
        <f t="shared" si="331"/>
        <v>0</v>
      </c>
      <c r="O1086" s="60">
        <f t="shared" si="332"/>
        <v>0</v>
      </c>
    </row>
    <row r="1087" spans="1:15" s="38" customFormat="1" ht="10.7" customHeight="1" outlineLevel="1" x14ac:dyDescent="0.25">
      <c r="A1087" s="124"/>
      <c r="B1087" s="142"/>
      <c r="C1087" s="115"/>
      <c r="D1087" s="115"/>
      <c r="E1087" s="115"/>
      <c r="F1087" s="115"/>
      <c r="G1087" s="60" t="s">
        <v>129</v>
      </c>
      <c r="H1087" s="124"/>
      <c r="I1087" s="124"/>
      <c r="J1087" s="60"/>
      <c r="K1087" s="60"/>
      <c r="L1087" s="60"/>
      <c r="M1087" s="60"/>
      <c r="N1087" s="60">
        <f t="shared" si="331"/>
        <v>0</v>
      </c>
      <c r="O1087" s="60">
        <f t="shared" si="332"/>
        <v>0</v>
      </c>
    </row>
    <row r="1088" spans="1:15" s="38" customFormat="1" ht="10.7" customHeight="1" outlineLevel="1" x14ac:dyDescent="0.25">
      <c r="A1088" s="124"/>
      <c r="B1088" s="142"/>
      <c r="C1088" s="115"/>
      <c r="D1088" s="115"/>
      <c r="E1088" s="115"/>
      <c r="F1088" s="115"/>
      <c r="G1088" s="60" t="s">
        <v>130</v>
      </c>
      <c r="H1088" s="124"/>
      <c r="I1088" s="124"/>
      <c r="J1088" s="60"/>
      <c r="K1088" s="60"/>
      <c r="L1088" s="60"/>
      <c r="M1088" s="60"/>
      <c r="N1088" s="60">
        <f t="shared" si="331"/>
        <v>0</v>
      </c>
      <c r="O1088" s="60">
        <f t="shared" si="332"/>
        <v>0</v>
      </c>
    </row>
    <row r="1089" spans="1:15" s="38" customFormat="1" ht="12" customHeight="1" outlineLevel="1" thickBot="1" x14ac:dyDescent="0.3">
      <c r="A1089" s="125"/>
      <c r="B1089" s="143"/>
      <c r="C1089" s="131"/>
      <c r="D1089" s="131"/>
      <c r="E1089" s="131"/>
      <c r="F1089" s="131"/>
      <c r="G1089" s="60" t="s">
        <v>131</v>
      </c>
      <c r="H1089" s="134"/>
      <c r="I1089" s="134"/>
      <c r="J1089" s="60"/>
      <c r="K1089" s="60"/>
      <c r="L1089" s="60"/>
      <c r="M1089" s="60"/>
      <c r="N1089" s="60">
        <f t="shared" si="331"/>
        <v>0</v>
      </c>
      <c r="O1089" s="60">
        <f t="shared" si="332"/>
        <v>0</v>
      </c>
    </row>
    <row r="1090" spans="1:15" s="38" customFormat="1" ht="14.45" customHeight="1" outlineLevel="1" x14ac:dyDescent="0.25">
      <c r="A1090" s="140" t="s">
        <v>832</v>
      </c>
      <c r="B1090" s="141" t="s">
        <v>833</v>
      </c>
      <c r="C1090" s="130">
        <f>SUM(N1090:N1096)</f>
        <v>0</v>
      </c>
      <c r="D1090" s="130">
        <f>SUM(O1090:O1096)</f>
        <v>0</v>
      </c>
      <c r="E1090" s="130">
        <f t="shared" si="314"/>
        <v>0</v>
      </c>
      <c r="F1090" s="130"/>
      <c r="G1090" s="60" t="s">
        <v>125</v>
      </c>
      <c r="H1090" s="123"/>
      <c r="I1090" s="123"/>
      <c r="J1090" s="60"/>
      <c r="K1090" s="60"/>
      <c r="L1090" s="60"/>
      <c r="M1090" s="60"/>
      <c r="N1090" s="60">
        <f>M1090*J1090*K1090*L1090</f>
        <v>0</v>
      </c>
      <c r="O1090" s="60">
        <f>J1090*K1090*L1090</f>
        <v>0</v>
      </c>
    </row>
    <row r="1091" spans="1:15" s="38" customFormat="1" ht="11.45" customHeight="1" outlineLevel="1" x14ac:dyDescent="0.25">
      <c r="A1091" s="124"/>
      <c r="B1091" s="142"/>
      <c r="C1091" s="115"/>
      <c r="D1091" s="115"/>
      <c r="E1091" s="115"/>
      <c r="F1091" s="115"/>
      <c r="G1091" s="60" t="s">
        <v>126</v>
      </c>
      <c r="H1091" s="124"/>
      <c r="I1091" s="124"/>
      <c r="J1091" s="60"/>
      <c r="K1091" s="60"/>
      <c r="L1091" s="60"/>
      <c r="M1091" s="60"/>
      <c r="N1091" s="60">
        <f t="shared" ref="N1091:N1096" si="333">M1091*J1091*K1091*L1091</f>
        <v>0</v>
      </c>
      <c r="O1091" s="60">
        <f t="shared" ref="O1091:O1096" si="334">J1091*K1091*L1091</f>
        <v>0</v>
      </c>
    </row>
    <row r="1092" spans="1:15" s="38" customFormat="1" ht="10.7" customHeight="1" outlineLevel="1" x14ac:dyDescent="0.25">
      <c r="A1092" s="124"/>
      <c r="B1092" s="142"/>
      <c r="C1092" s="115"/>
      <c r="D1092" s="115"/>
      <c r="E1092" s="115"/>
      <c r="F1092" s="115"/>
      <c r="G1092" s="60" t="s">
        <v>127</v>
      </c>
      <c r="H1092" s="124"/>
      <c r="I1092" s="124"/>
      <c r="J1092" s="60"/>
      <c r="K1092" s="60"/>
      <c r="L1092" s="60"/>
      <c r="M1092" s="60"/>
      <c r="N1092" s="60">
        <f t="shared" si="333"/>
        <v>0</v>
      </c>
      <c r="O1092" s="60">
        <f t="shared" si="334"/>
        <v>0</v>
      </c>
    </row>
    <row r="1093" spans="1:15" s="38" customFormat="1" ht="10.7" customHeight="1" outlineLevel="1" x14ac:dyDescent="0.25">
      <c r="A1093" s="124"/>
      <c r="B1093" s="142"/>
      <c r="C1093" s="115"/>
      <c r="D1093" s="115"/>
      <c r="E1093" s="115"/>
      <c r="F1093" s="115"/>
      <c r="G1093" s="60" t="s">
        <v>128</v>
      </c>
      <c r="H1093" s="124"/>
      <c r="I1093" s="124"/>
      <c r="J1093" s="60"/>
      <c r="K1093" s="60"/>
      <c r="L1093" s="60"/>
      <c r="M1093" s="60"/>
      <c r="N1093" s="60">
        <f t="shared" si="333"/>
        <v>0</v>
      </c>
      <c r="O1093" s="60">
        <f t="shared" si="334"/>
        <v>0</v>
      </c>
    </row>
    <row r="1094" spans="1:15" s="38" customFormat="1" ht="10.7" customHeight="1" outlineLevel="1" x14ac:dyDescent="0.25">
      <c r="A1094" s="124"/>
      <c r="B1094" s="142"/>
      <c r="C1094" s="115"/>
      <c r="D1094" s="115"/>
      <c r="E1094" s="115"/>
      <c r="F1094" s="115"/>
      <c r="G1094" s="60" t="s">
        <v>129</v>
      </c>
      <c r="H1094" s="124"/>
      <c r="I1094" s="124"/>
      <c r="J1094" s="60"/>
      <c r="K1094" s="60"/>
      <c r="L1094" s="60"/>
      <c r="M1094" s="60"/>
      <c r="N1094" s="60">
        <f t="shared" si="333"/>
        <v>0</v>
      </c>
      <c r="O1094" s="60">
        <f t="shared" si="334"/>
        <v>0</v>
      </c>
    </row>
    <row r="1095" spans="1:15" s="38" customFormat="1" ht="10.7" customHeight="1" outlineLevel="1" x14ac:dyDescent="0.25">
      <c r="A1095" s="124"/>
      <c r="B1095" s="142"/>
      <c r="C1095" s="115"/>
      <c r="D1095" s="115"/>
      <c r="E1095" s="115"/>
      <c r="F1095" s="115"/>
      <c r="G1095" s="60" t="s">
        <v>130</v>
      </c>
      <c r="H1095" s="124"/>
      <c r="I1095" s="124"/>
      <c r="J1095" s="60"/>
      <c r="K1095" s="60"/>
      <c r="L1095" s="60"/>
      <c r="M1095" s="60"/>
      <c r="N1095" s="60">
        <f t="shared" si="333"/>
        <v>0</v>
      </c>
      <c r="O1095" s="60">
        <f t="shared" si="334"/>
        <v>0</v>
      </c>
    </row>
    <row r="1096" spans="1:15" s="38" customFormat="1" ht="12" customHeight="1" outlineLevel="1" thickBot="1" x14ac:dyDescent="0.3">
      <c r="A1096" s="125"/>
      <c r="B1096" s="143"/>
      <c r="C1096" s="131"/>
      <c r="D1096" s="131"/>
      <c r="E1096" s="131"/>
      <c r="F1096" s="131"/>
      <c r="G1096" s="60" t="s">
        <v>131</v>
      </c>
      <c r="H1096" s="134"/>
      <c r="I1096" s="134"/>
      <c r="J1096" s="60"/>
      <c r="K1096" s="60"/>
      <c r="L1096" s="60"/>
      <c r="M1096" s="60"/>
      <c r="N1096" s="60">
        <f t="shared" si="333"/>
        <v>0</v>
      </c>
      <c r="O1096" s="60">
        <f t="shared" si="334"/>
        <v>0</v>
      </c>
    </row>
    <row r="1097" spans="1:15" s="38" customFormat="1" ht="14.45" customHeight="1" outlineLevel="1" x14ac:dyDescent="0.25">
      <c r="A1097" s="140" t="s">
        <v>834</v>
      </c>
      <c r="B1097" s="141" t="s">
        <v>835</v>
      </c>
      <c r="C1097" s="130">
        <f>SUM(N1097:N1103)</f>
        <v>0</v>
      </c>
      <c r="D1097" s="130">
        <f>SUM(O1097:O1103)</f>
        <v>0</v>
      </c>
      <c r="E1097" s="130">
        <f t="shared" ref="E1097:E1160" si="335">D1097/8</f>
        <v>0</v>
      </c>
      <c r="F1097" s="130"/>
      <c r="G1097" s="60" t="s">
        <v>125</v>
      </c>
      <c r="H1097" s="123"/>
      <c r="I1097" s="123"/>
      <c r="J1097" s="60"/>
      <c r="K1097" s="60"/>
      <c r="L1097" s="60"/>
      <c r="M1097" s="60"/>
      <c r="N1097" s="60">
        <f>M1097*J1097*K1097*L1097</f>
        <v>0</v>
      </c>
      <c r="O1097" s="60">
        <f>J1097*K1097*L1097</f>
        <v>0</v>
      </c>
    </row>
    <row r="1098" spans="1:15" s="38" customFormat="1" ht="11.45" customHeight="1" outlineLevel="1" x14ac:dyDescent="0.25">
      <c r="A1098" s="124"/>
      <c r="B1098" s="142"/>
      <c r="C1098" s="115"/>
      <c r="D1098" s="115"/>
      <c r="E1098" s="115"/>
      <c r="F1098" s="115"/>
      <c r="G1098" s="60" t="s">
        <v>126</v>
      </c>
      <c r="H1098" s="124"/>
      <c r="I1098" s="124"/>
      <c r="J1098" s="60"/>
      <c r="K1098" s="60"/>
      <c r="L1098" s="60"/>
      <c r="M1098" s="60"/>
      <c r="N1098" s="60">
        <f t="shared" ref="N1098:N1103" si="336">M1098*J1098*K1098*L1098</f>
        <v>0</v>
      </c>
      <c r="O1098" s="60">
        <f t="shared" ref="O1098:O1103" si="337">J1098*K1098*L1098</f>
        <v>0</v>
      </c>
    </row>
    <row r="1099" spans="1:15" s="38" customFormat="1" ht="10.7" customHeight="1" outlineLevel="1" x14ac:dyDescent="0.25">
      <c r="A1099" s="124"/>
      <c r="B1099" s="142"/>
      <c r="C1099" s="115"/>
      <c r="D1099" s="115"/>
      <c r="E1099" s="115"/>
      <c r="F1099" s="115"/>
      <c r="G1099" s="60" t="s">
        <v>127</v>
      </c>
      <c r="H1099" s="124"/>
      <c r="I1099" s="124"/>
      <c r="J1099" s="60"/>
      <c r="K1099" s="60"/>
      <c r="L1099" s="60"/>
      <c r="M1099" s="60"/>
      <c r="N1099" s="60">
        <f t="shared" si="336"/>
        <v>0</v>
      </c>
      <c r="O1099" s="60">
        <f t="shared" si="337"/>
        <v>0</v>
      </c>
    </row>
    <row r="1100" spans="1:15" s="38" customFormat="1" ht="10.7" customHeight="1" outlineLevel="1" x14ac:dyDescent="0.25">
      <c r="A1100" s="124"/>
      <c r="B1100" s="142"/>
      <c r="C1100" s="115"/>
      <c r="D1100" s="115"/>
      <c r="E1100" s="115"/>
      <c r="F1100" s="115"/>
      <c r="G1100" s="60" t="s">
        <v>128</v>
      </c>
      <c r="H1100" s="124"/>
      <c r="I1100" s="124"/>
      <c r="J1100" s="60"/>
      <c r="K1100" s="60"/>
      <c r="L1100" s="60"/>
      <c r="M1100" s="60"/>
      <c r="N1100" s="60">
        <f t="shared" si="336"/>
        <v>0</v>
      </c>
      <c r="O1100" s="60">
        <f t="shared" si="337"/>
        <v>0</v>
      </c>
    </row>
    <row r="1101" spans="1:15" s="38" customFormat="1" ht="10.7" customHeight="1" outlineLevel="1" x14ac:dyDescent="0.25">
      <c r="A1101" s="124"/>
      <c r="B1101" s="142"/>
      <c r="C1101" s="115"/>
      <c r="D1101" s="115"/>
      <c r="E1101" s="115"/>
      <c r="F1101" s="115"/>
      <c r="G1101" s="60" t="s">
        <v>129</v>
      </c>
      <c r="H1101" s="124"/>
      <c r="I1101" s="124"/>
      <c r="J1101" s="60"/>
      <c r="K1101" s="60"/>
      <c r="L1101" s="60"/>
      <c r="M1101" s="60"/>
      <c r="N1101" s="60">
        <f t="shared" si="336"/>
        <v>0</v>
      </c>
      <c r="O1101" s="60">
        <f t="shared" si="337"/>
        <v>0</v>
      </c>
    </row>
    <row r="1102" spans="1:15" s="38" customFormat="1" ht="10.7" customHeight="1" outlineLevel="1" x14ac:dyDescent="0.25">
      <c r="A1102" s="124"/>
      <c r="B1102" s="142"/>
      <c r="C1102" s="115"/>
      <c r="D1102" s="115"/>
      <c r="E1102" s="115"/>
      <c r="F1102" s="115"/>
      <c r="G1102" s="60" t="s">
        <v>130</v>
      </c>
      <c r="H1102" s="124"/>
      <c r="I1102" s="124"/>
      <c r="J1102" s="60"/>
      <c r="K1102" s="60"/>
      <c r="L1102" s="60"/>
      <c r="M1102" s="60"/>
      <c r="N1102" s="60">
        <f t="shared" si="336"/>
        <v>0</v>
      </c>
      <c r="O1102" s="60">
        <f t="shared" si="337"/>
        <v>0</v>
      </c>
    </row>
    <row r="1103" spans="1:15" s="38" customFormat="1" ht="12" customHeight="1" outlineLevel="1" thickBot="1" x14ac:dyDescent="0.3">
      <c r="A1103" s="125"/>
      <c r="B1103" s="143"/>
      <c r="C1103" s="131"/>
      <c r="D1103" s="131"/>
      <c r="E1103" s="131"/>
      <c r="F1103" s="131"/>
      <c r="G1103" s="60" t="s">
        <v>131</v>
      </c>
      <c r="H1103" s="134"/>
      <c r="I1103" s="134"/>
      <c r="J1103" s="60"/>
      <c r="K1103" s="60"/>
      <c r="L1103" s="60"/>
      <c r="M1103" s="60"/>
      <c r="N1103" s="60">
        <f t="shared" si="336"/>
        <v>0</v>
      </c>
      <c r="O1103" s="60">
        <f t="shared" si="337"/>
        <v>0</v>
      </c>
    </row>
    <row r="1104" spans="1:15" s="38" customFormat="1" ht="14.45" customHeight="1" outlineLevel="1" x14ac:dyDescent="0.25">
      <c r="A1104" s="140" t="s">
        <v>836</v>
      </c>
      <c r="B1104" s="141" t="s">
        <v>837</v>
      </c>
      <c r="C1104" s="130">
        <f>SUM(N1104:N1110)</f>
        <v>0</v>
      </c>
      <c r="D1104" s="130">
        <f>SUM(O1104:O1110)</f>
        <v>0</v>
      </c>
      <c r="E1104" s="130">
        <f t="shared" si="335"/>
        <v>0</v>
      </c>
      <c r="F1104" s="130"/>
      <c r="G1104" s="60" t="s">
        <v>125</v>
      </c>
      <c r="H1104" s="123"/>
      <c r="I1104" s="123"/>
      <c r="J1104" s="60"/>
      <c r="K1104" s="60"/>
      <c r="L1104" s="60"/>
      <c r="M1104" s="60"/>
      <c r="N1104" s="60">
        <f>M1104*J1104*K1104*L1104</f>
        <v>0</v>
      </c>
      <c r="O1104" s="60">
        <f>J1104*K1104*L1104</f>
        <v>0</v>
      </c>
    </row>
    <row r="1105" spans="1:15" s="38" customFormat="1" ht="11.45" customHeight="1" outlineLevel="1" x14ac:dyDescent="0.25">
      <c r="A1105" s="124"/>
      <c r="B1105" s="142"/>
      <c r="C1105" s="115"/>
      <c r="D1105" s="115"/>
      <c r="E1105" s="115"/>
      <c r="F1105" s="115"/>
      <c r="G1105" s="60" t="s">
        <v>126</v>
      </c>
      <c r="H1105" s="124"/>
      <c r="I1105" s="124"/>
      <c r="J1105" s="60"/>
      <c r="K1105" s="60"/>
      <c r="L1105" s="60"/>
      <c r="M1105" s="60"/>
      <c r="N1105" s="60">
        <f t="shared" ref="N1105:N1110" si="338">M1105*J1105*K1105*L1105</f>
        <v>0</v>
      </c>
      <c r="O1105" s="60">
        <f t="shared" ref="O1105:O1110" si="339">J1105*K1105*L1105</f>
        <v>0</v>
      </c>
    </row>
    <row r="1106" spans="1:15" s="38" customFormat="1" ht="10.7" customHeight="1" outlineLevel="1" x14ac:dyDescent="0.25">
      <c r="A1106" s="124"/>
      <c r="B1106" s="142"/>
      <c r="C1106" s="115"/>
      <c r="D1106" s="115"/>
      <c r="E1106" s="115"/>
      <c r="F1106" s="115"/>
      <c r="G1106" s="60" t="s">
        <v>127</v>
      </c>
      <c r="H1106" s="124"/>
      <c r="I1106" s="124"/>
      <c r="J1106" s="60"/>
      <c r="K1106" s="60"/>
      <c r="L1106" s="60"/>
      <c r="M1106" s="60"/>
      <c r="N1106" s="60">
        <f t="shared" si="338"/>
        <v>0</v>
      </c>
      <c r="O1106" s="60">
        <f t="shared" si="339"/>
        <v>0</v>
      </c>
    </row>
    <row r="1107" spans="1:15" s="38" customFormat="1" ht="10.7" customHeight="1" outlineLevel="1" x14ac:dyDescent="0.25">
      <c r="A1107" s="124"/>
      <c r="B1107" s="142"/>
      <c r="C1107" s="115"/>
      <c r="D1107" s="115"/>
      <c r="E1107" s="115"/>
      <c r="F1107" s="115"/>
      <c r="G1107" s="60" t="s">
        <v>128</v>
      </c>
      <c r="H1107" s="124"/>
      <c r="I1107" s="124"/>
      <c r="J1107" s="60"/>
      <c r="K1107" s="60"/>
      <c r="L1107" s="60"/>
      <c r="M1107" s="60"/>
      <c r="N1107" s="60">
        <f t="shared" si="338"/>
        <v>0</v>
      </c>
      <c r="O1107" s="60">
        <f t="shared" si="339"/>
        <v>0</v>
      </c>
    </row>
    <row r="1108" spans="1:15" s="38" customFormat="1" ht="10.7" customHeight="1" outlineLevel="1" x14ac:dyDescent="0.25">
      <c r="A1108" s="124"/>
      <c r="B1108" s="142"/>
      <c r="C1108" s="115"/>
      <c r="D1108" s="115"/>
      <c r="E1108" s="115"/>
      <c r="F1108" s="115"/>
      <c r="G1108" s="60" t="s">
        <v>129</v>
      </c>
      <c r="H1108" s="124"/>
      <c r="I1108" s="124"/>
      <c r="J1108" s="60"/>
      <c r="K1108" s="60"/>
      <c r="L1108" s="60"/>
      <c r="M1108" s="60"/>
      <c r="N1108" s="60">
        <f t="shared" si="338"/>
        <v>0</v>
      </c>
      <c r="O1108" s="60">
        <f t="shared" si="339"/>
        <v>0</v>
      </c>
    </row>
    <row r="1109" spans="1:15" s="38" customFormat="1" ht="10.7" customHeight="1" outlineLevel="1" x14ac:dyDescent="0.25">
      <c r="A1109" s="124"/>
      <c r="B1109" s="142"/>
      <c r="C1109" s="115"/>
      <c r="D1109" s="115"/>
      <c r="E1109" s="115"/>
      <c r="F1109" s="115"/>
      <c r="G1109" s="60" t="s">
        <v>130</v>
      </c>
      <c r="H1109" s="124"/>
      <c r="I1109" s="124"/>
      <c r="J1109" s="60"/>
      <c r="K1109" s="60"/>
      <c r="L1109" s="60"/>
      <c r="M1109" s="60"/>
      <c r="N1109" s="60">
        <f t="shared" si="338"/>
        <v>0</v>
      </c>
      <c r="O1109" s="60">
        <f t="shared" si="339"/>
        <v>0</v>
      </c>
    </row>
    <row r="1110" spans="1:15" s="38" customFormat="1" ht="12" customHeight="1" outlineLevel="1" thickBot="1" x14ac:dyDescent="0.3">
      <c r="A1110" s="125"/>
      <c r="B1110" s="143"/>
      <c r="C1110" s="131"/>
      <c r="D1110" s="131"/>
      <c r="E1110" s="131"/>
      <c r="F1110" s="131"/>
      <c r="G1110" s="60" t="s">
        <v>131</v>
      </c>
      <c r="H1110" s="134"/>
      <c r="I1110" s="134"/>
      <c r="J1110" s="60"/>
      <c r="K1110" s="60"/>
      <c r="L1110" s="60"/>
      <c r="M1110" s="60"/>
      <c r="N1110" s="60">
        <f t="shared" si="338"/>
        <v>0</v>
      </c>
      <c r="O1110" s="60">
        <f t="shared" si="339"/>
        <v>0</v>
      </c>
    </row>
    <row r="1111" spans="1:15" s="38" customFormat="1" ht="14.45" customHeight="1" outlineLevel="1" x14ac:dyDescent="0.25">
      <c r="A1111" s="140" t="s">
        <v>838</v>
      </c>
      <c r="B1111" s="141" t="s">
        <v>839</v>
      </c>
      <c r="C1111" s="130">
        <f>SUM(N1111:N1117)</f>
        <v>0</v>
      </c>
      <c r="D1111" s="130">
        <f>SUM(O1111:O1117)</f>
        <v>0</v>
      </c>
      <c r="E1111" s="130">
        <f t="shared" si="335"/>
        <v>0</v>
      </c>
      <c r="F1111" s="130"/>
      <c r="G1111" s="60" t="s">
        <v>125</v>
      </c>
      <c r="H1111" s="123"/>
      <c r="I1111" s="123"/>
      <c r="J1111" s="60"/>
      <c r="K1111" s="60"/>
      <c r="L1111" s="60"/>
      <c r="M1111" s="60"/>
      <c r="N1111" s="60">
        <f>M1111*J1111*K1111*L1111</f>
        <v>0</v>
      </c>
      <c r="O1111" s="60">
        <f>J1111*K1111*L1111</f>
        <v>0</v>
      </c>
    </row>
    <row r="1112" spans="1:15" s="38" customFormat="1" ht="11.45" customHeight="1" outlineLevel="1" x14ac:dyDescent="0.25">
      <c r="A1112" s="124"/>
      <c r="B1112" s="142"/>
      <c r="C1112" s="115"/>
      <c r="D1112" s="115"/>
      <c r="E1112" s="115"/>
      <c r="F1112" s="115"/>
      <c r="G1112" s="60" t="s">
        <v>126</v>
      </c>
      <c r="H1112" s="124"/>
      <c r="I1112" s="124"/>
      <c r="J1112" s="60"/>
      <c r="K1112" s="60"/>
      <c r="L1112" s="60"/>
      <c r="M1112" s="60"/>
      <c r="N1112" s="60">
        <f t="shared" ref="N1112:N1117" si="340">M1112*J1112*K1112*L1112</f>
        <v>0</v>
      </c>
      <c r="O1112" s="60">
        <f t="shared" ref="O1112:O1117" si="341">J1112*K1112*L1112</f>
        <v>0</v>
      </c>
    </row>
    <row r="1113" spans="1:15" s="38" customFormat="1" ht="10.7" customHeight="1" outlineLevel="1" x14ac:dyDescent="0.25">
      <c r="A1113" s="124"/>
      <c r="B1113" s="142"/>
      <c r="C1113" s="115"/>
      <c r="D1113" s="115"/>
      <c r="E1113" s="115"/>
      <c r="F1113" s="115"/>
      <c r="G1113" s="60" t="s">
        <v>127</v>
      </c>
      <c r="H1113" s="124"/>
      <c r="I1113" s="124"/>
      <c r="J1113" s="60"/>
      <c r="K1113" s="60"/>
      <c r="L1113" s="60"/>
      <c r="M1113" s="60"/>
      <c r="N1113" s="60">
        <f t="shared" si="340"/>
        <v>0</v>
      </c>
      <c r="O1113" s="60">
        <f t="shared" si="341"/>
        <v>0</v>
      </c>
    </row>
    <row r="1114" spans="1:15" s="38" customFormat="1" ht="10.7" customHeight="1" outlineLevel="1" x14ac:dyDescent="0.25">
      <c r="A1114" s="124"/>
      <c r="B1114" s="142"/>
      <c r="C1114" s="115"/>
      <c r="D1114" s="115"/>
      <c r="E1114" s="115"/>
      <c r="F1114" s="115"/>
      <c r="G1114" s="60" t="s">
        <v>128</v>
      </c>
      <c r="H1114" s="124"/>
      <c r="I1114" s="124"/>
      <c r="J1114" s="60"/>
      <c r="K1114" s="60"/>
      <c r="L1114" s="60"/>
      <c r="M1114" s="60"/>
      <c r="N1114" s="60">
        <f t="shared" si="340"/>
        <v>0</v>
      </c>
      <c r="O1114" s="60">
        <f t="shared" si="341"/>
        <v>0</v>
      </c>
    </row>
    <row r="1115" spans="1:15" s="38" customFormat="1" ht="10.7" customHeight="1" outlineLevel="1" x14ac:dyDescent="0.25">
      <c r="A1115" s="124"/>
      <c r="B1115" s="142"/>
      <c r="C1115" s="115"/>
      <c r="D1115" s="115"/>
      <c r="E1115" s="115"/>
      <c r="F1115" s="115"/>
      <c r="G1115" s="60" t="s">
        <v>129</v>
      </c>
      <c r="H1115" s="124"/>
      <c r="I1115" s="124"/>
      <c r="J1115" s="60"/>
      <c r="K1115" s="60"/>
      <c r="L1115" s="60"/>
      <c r="M1115" s="60"/>
      <c r="N1115" s="60">
        <f t="shared" si="340"/>
        <v>0</v>
      </c>
      <c r="O1115" s="60">
        <f t="shared" si="341"/>
        <v>0</v>
      </c>
    </row>
    <row r="1116" spans="1:15" s="38" customFormat="1" ht="10.7" customHeight="1" outlineLevel="1" x14ac:dyDescent="0.25">
      <c r="A1116" s="124"/>
      <c r="B1116" s="142"/>
      <c r="C1116" s="115"/>
      <c r="D1116" s="115"/>
      <c r="E1116" s="115"/>
      <c r="F1116" s="115"/>
      <c r="G1116" s="60" t="s">
        <v>130</v>
      </c>
      <c r="H1116" s="124"/>
      <c r="I1116" s="124"/>
      <c r="J1116" s="60"/>
      <c r="K1116" s="60"/>
      <c r="L1116" s="60"/>
      <c r="M1116" s="60"/>
      <c r="N1116" s="60">
        <f t="shared" si="340"/>
        <v>0</v>
      </c>
      <c r="O1116" s="60">
        <f t="shared" si="341"/>
        <v>0</v>
      </c>
    </row>
    <row r="1117" spans="1:15" s="38" customFormat="1" ht="12" customHeight="1" outlineLevel="1" thickBot="1" x14ac:dyDescent="0.3">
      <c r="A1117" s="125"/>
      <c r="B1117" s="143"/>
      <c r="C1117" s="131"/>
      <c r="D1117" s="131"/>
      <c r="E1117" s="131"/>
      <c r="F1117" s="131"/>
      <c r="G1117" s="60" t="s">
        <v>131</v>
      </c>
      <c r="H1117" s="134"/>
      <c r="I1117" s="134"/>
      <c r="J1117" s="60"/>
      <c r="K1117" s="60"/>
      <c r="L1117" s="60"/>
      <c r="M1117" s="60"/>
      <c r="N1117" s="60">
        <f t="shared" si="340"/>
        <v>0</v>
      </c>
      <c r="O1117" s="60">
        <f t="shared" si="341"/>
        <v>0</v>
      </c>
    </row>
    <row r="1118" spans="1:15" s="38" customFormat="1" ht="14.45" customHeight="1" outlineLevel="1" x14ac:dyDescent="0.25">
      <c r="A1118" s="140" t="s">
        <v>840</v>
      </c>
      <c r="B1118" s="141" t="s">
        <v>841</v>
      </c>
      <c r="C1118" s="130">
        <f>SUM(N1118:N1124)</f>
        <v>0</v>
      </c>
      <c r="D1118" s="130">
        <f>SUM(O1118:O1124)</f>
        <v>0</v>
      </c>
      <c r="E1118" s="130">
        <f t="shared" si="335"/>
        <v>0</v>
      </c>
      <c r="F1118" s="130"/>
      <c r="G1118" s="60" t="s">
        <v>125</v>
      </c>
      <c r="H1118" s="123"/>
      <c r="I1118" s="123"/>
      <c r="J1118" s="60"/>
      <c r="K1118" s="60"/>
      <c r="L1118" s="60"/>
      <c r="M1118" s="60"/>
      <c r="N1118" s="60">
        <f>M1118*J1118*K1118*L1118</f>
        <v>0</v>
      </c>
      <c r="O1118" s="60">
        <f>J1118*K1118*L1118</f>
        <v>0</v>
      </c>
    </row>
    <row r="1119" spans="1:15" s="38" customFormat="1" ht="11.45" customHeight="1" outlineLevel="1" x14ac:dyDescent="0.25">
      <c r="A1119" s="124"/>
      <c r="B1119" s="142"/>
      <c r="C1119" s="115"/>
      <c r="D1119" s="115"/>
      <c r="E1119" s="115"/>
      <c r="F1119" s="115"/>
      <c r="G1119" s="60" t="s">
        <v>126</v>
      </c>
      <c r="H1119" s="124"/>
      <c r="I1119" s="124"/>
      <c r="J1119" s="60"/>
      <c r="K1119" s="60"/>
      <c r="L1119" s="60"/>
      <c r="M1119" s="60"/>
      <c r="N1119" s="60">
        <f t="shared" ref="N1119:N1124" si="342">M1119*J1119*K1119*L1119</f>
        <v>0</v>
      </c>
      <c r="O1119" s="60">
        <f t="shared" ref="O1119:O1124" si="343">J1119*K1119*L1119</f>
        <v>0</v>
      </c>
    </row>
    <row r="1120" spans="1:15" s="38" customFormat="1" ht="10.7" customHeight="1" outlineLevel="1" x14ac:dyDescent="0.25">
      <c r="A1120" s="124"/>
      <c r="B1120" s="142"/>
      <c r="C1120" s="115"/>
      <c r="D1120" s="115"/>
      <c r="E1120" s="115"/>
      <c r="F1120" s="115"/>
      <c r="G1120" s="60" t="s">
        <v>127</v>
      </c>
      <c r="H1120" s="124"/>
      <c r="I1120" s="124"/>
      <c r="J1120" s="60"/>
      <c r="K1120" s="60"/>
      <c r="L1120" s="60"/>
      <c r="M1120" s="60"/>
      <c r="N1120" s="60">
        <f t="shared" si="342"/>
        <v>0</v>
      </c>
      <c r="O1120" s="60">
        <f t="shared" si="343"/>
        <v>0</v>
      </c>
    </row>
    <row r="1121" spans="1:15" s="38" customFormat="1" ht="10.7" customHeight="1" outlineLevel="1" x14ac:dyDescent="0.25">
      <c r="A1121" s="124"/>
      <c r="B1121" s="142"/>
      <c r="C1121" s="115"/>
      <c r="D1121" s="115"/>
      <c r="E1121" s="115"/>
      <c r="F1121" s="115"/>
      <c r="G1121" s="60" t="s">
        <v>128</v>
      </c>
      <c r="H1121" s="124"/>
      <c r="I1121" s="124"/>
      <c r="J1121" s="60"/>
      <c r="K1121" s="60"/>
      <c r="L1121" s="60"/>
      <c r="M1121" s="60"/>
      <c r="N1121" s="60">
        <f t="shared" si="342"/>
        <v>0</v>
      </c>
      <c r="O1121" s="60">
        <f t="shared" si="343"/>
        <v>0</v>
      </c>
    </row>
    <row r="1122" spans="1:15" s="38" customFormat="1" ht="10.7" customHeight="1" outlineLevel="1" x14ac:dyDescent="0.25">
      <c r="A1122" s="124"/>
      <c r="B1122" s="142"/>
      <c r="C1122" s="115"/>
      <c r="D1122" s="115"/>
      <c r="E1122" s="115"/>
      <c r="F1122" s="115"/>
      <c r="G1122" s="60" t="s">
        <v>129</v>
      </c>
      <c r="H1122" s="124"/>
      <c r="I1122" s="124"/>
      <c r="J1122" s="60"/>
      <c r="K1122" s="60"/>
      <c r="L1122" s="60"/>
      <c r="M1122" s="60"/>
      <c r="N1122" s="60">
        <f t="shared" si="342"/>
        <v>0</v>
      </c>
      <c r="O1122" s="60">
        <f t="shared" si="343"/>
        <v>0</v>
      </c>
    </row>
    <row r="1123" spans="1:15" s="38" customFormat="1" ht="10.7" customHeight="1" outlineLevel="1" x14ac:dyDescent="0.25">
      <c r="A1123" s="124"/>
      <c r="B1123" s="142"/>
      <c r="C1123" s="115"/>
      <c r="D1123" s="115"/>
      <c r="E1123" s="115"/>
      <c r="F1123" s="115"/>
      <c r="G1123" s="60" t="s">
        <v>130</v>
      </c>
      <c r="H1123" s="124"/>
      <c r="I1123" s="124"/>
      <c r="J1123" s="60"/>
      <c r="K1123" s="60"/>
      <c r="L1123" s="60"/>
      <c r="M1123" s="60"/>
      <c r="N1123" s="60">
        <f t="shared" si="342"/>
        <v>0</v>
      </c>
      <c r="O1123" s="60">
        <f t="shared" si="343"/>
        <v>0</v>
      </c>
    </row>
    <row r="1124" spans="1:15" s="38" customFormat="1" ht="12" customHeight="1" outlineLevel="1" thickBot="1" x14ac:dyDescent="0.3">
      <c r="A1124" s="125"/>
      <c r="B1124" s="143"/>
      <c r="C1124" s="131"/>
      <c r="D1124" s="131"/>
      <c r="E1124" s="131"/>
      <c r="F1124" s="131"/>
      <c r="G1124" s="60" t="s">
        <v>131</v>
      </c>
      <c r="H1124" s="134"/>
      <c r="I1124" s="134"/>
      <c r="J1124" s="60"/>
      <c r="K1124" s="60"/>
      <c r="L1124" s="60"/>
      <c r="M1124" s="60"/>
      <c r="N1124" s="60">
        <f t="shared" si="342"/>
        <v>0</v>
      </c>
      <c r="O1124" s="60">
        <f t="shared" si="343"/>
        <v>0</v>
      </c>
    </row>
    <row r="1125" spans="1:15" s="38" customFormat="1" ht="14.45" customHeight="1" outlineLevel="1" x14ac:dyDescent="0.25">
      <c r="A1125" s="140" t="s">
        <v>842</v>
      </c>
      <c r="B1125" s="141" t="s">
        <v>843</v>
      </c>
      <c r="C1125" s="130">
        <f>SUM(N1125:N1131)</f>
        <v>0</v>
      </c>
      <c r="D1125" s="130">
        <f>SUM(O1125:O1131)</f>
        <v>0</v>
      </c>
      <c r="E1125" s="130">
        <f t="shared" si="335"/>
        <v>0</v>
      </c>
      <c r="F1125" s="130"/>
      <c r="G1125" s="60" t="s">
        <v>125</v>
      </c>
      <c r="H1125" s="123"/>
      <c r="I1125" s="123"/>
      <c r="J1125" s="60"/>
      <c r="K1125" s="60"/>
      <c r="L1125" s="60"/>
      <c r="M1125" s="60"/>
      <c r="N1125" s="60">
        <f>M1125*J1125*K1125*L1125</f>
        <v>0</v>
      </c>
      <c r="O1125" s="60">
        <f>J1125*K1125*L1125</f>
        <v>0</v>
      </c>
    </row>
    <row r="1126" spans="1:15" s="38" customFormat="1" ht="11.45" customHeight="1" outlineLevel="1" x14ac:dyDescent="0.25">
      <c r="A1126" s="124"/>
      <c r="B1126" s="142"/>
      <c r="C1126" s="115"/>
      <c r="D1126" s="115"/>
      <c r="E1126" s="115"/>
      <c r="F1126" s="115"/>
      <c r="G1126" s="60" t="s">
        <v>126</v>
      </c>
      <c r="H1126" s="124"/>
      <c r="I1126" s="124"/>
      <c r="J1126" s="60"/>
      <c r="K1126" s="60"/>
      <c r="L1126" s="60"/>
      <c r="M1126" s="60"/>
      <c r="N1126" s="60">
        <f t="shared" ref="N1126:N1131" si="344">M1126*J1126*K1126*L1126</f>
        <v>0</v>
      </c>
      <c r="O1126" s="60">
        <f t="shared" ref="O1126:O1131" si="345">J1126*K1126*L1126</f>
        <v>0</v>
      </c>
    </row>
    <row r="1127" spans="1:15" s="38" customFormat="1" ht="10.7" customHeight="1" outlineLevel="1" x14ac:dyDescent="0.25">
      <c r="A1127" s="124"/>
      <c r="B1127" s="142"/>
      <c r="C1127" s="115"/>
      <c r="D1127" s="115"/>
      <c r="E1127" s="115"/>
      <c r="F1127" s="115"/>
      <c r="G1127" s="60" t="s">
        <v>127</v>
      </c>
      <c r="H1127" s="124"/>
      <c r="I1127" s="124"/>
      <c r="J1127" s="60"/>
      <c r="K1127" s="60"/>
      <c r="L1127" s="60"/>
      <c r="M1127" s="60"/>
      <c r="N1127" s="60">
        <f t="shared" si="344"/>
        <v>0</v>
      </c>
      <c r="O1127" s="60">
        <f t="shared" si="345"/>
        <v>0</v>
      </c>
    </row>
    <row r="1128" spans="1:15" s="38" customFormat="1" ht="10.7" customHeight="1" outlineLevel="1" x14ac:dyDescent="0.25">
      <c r="A1128" s="124"/>
      <c r="B1128" s="142"/>
      <c r="C1128" s="115"/>
      <c r="D1128" s="115"/>
      <c r="E1128" s="115"/>
      <c r="F1128" s="115"/>
      <c r="G1128" s="60" t="s">
        <v>128</v>
      </c>
      <c r="H1128" s="124"/>
      <c r="I1128" s="124"/>
      <c r="J1128" s="60"/>
      <c r="K1128" s="60"/>
      <c r="L1128" s="60"/>
      <c r="M1128" s="60"/>
      <c r="N1128" s="60">
        <f t="shared" si="344"/>
        <v>0</v>
      </c>
      <c r="O1128" s="60">
        <f t="shared" si="345"/>
        <v>0</v>
      </c>
    </row>
    <row r="1129" spans="1:15" s="38" customFormat="1" ht="10.7" customHeight="1" outlineLevel="1" x14ac:dyDescent="0.25">
      <c r="A1129" s="124"/>
      <c r="B1129" s="142"/>
      <c r="C1129" s="115"/>
      <c r="D1129" s="115"/>
      <c r="E1129" s="115"/>
      <c r="F1129" s="115"/>
      <c r="G1129" s="60" t="s">
        <v>129</v>
      </c>
      <c r="H1129" s="124"/>
      <c r="I1129" s="124"/>
      <c r="J1129" s="60"/>
      <c r="K1129" s="60"/>
      <c r="L1129" s="60"/>
      <c r="M1129" s="60"/>
      <c r="N1129" s="60">
        <f t="shared" si="344"/>
        <v>0</v>
      </c>
      <c r="O1129" s="60">
        <f t="shared" si="345"/>
        <v>0</v>
      </c>
    </row>
    <row r="1130" spans="1:15" s="38" customFormat="1" ht="10.7" customHeight="1" outlineLevel="1" x14ac:dyDescent="0.25">
      <c r="A1130" s="124"/>
      <c r="B1130" s="142"/>
      <c r="C1130" s="115"/>
      <c r="D1130" s="115"/>
      <c r="E1130" s="115"/>
      <c r="F1130" s="115"/>
      <c r="G1130" s="60" t="s">
        <v>130</v>
      </c>
      <c r="H1130" s="124"/>
      <c r="I1130" s="124"/>
      <c r="J1130" s="60"/>
      <c r="K1130" s="60"/>
      <c r="L1130" s="60"/>
      <c r="M1130" s="60"/>
      <c r="N1130" s="60">
        <f t="shared" si="344"/>
        <v>0</v>
      </c>
      <c r="O1130" s="60">
        <f t="shared" si="345"/>
        <v>0</v>
      </c>
    </row>
    <row r="1131" spans="1:15" s="38" customFormat="1" ht="12" customHeight="1" outlineLevel="1" thickBot="1" x14ac:dyDescent="0.3">
      <c r="A1131" s="125"/>
      <c r="B1131" s="143"/>
      <c r="C1131" s="131"/>
      <c r="D1131" s="131"/>
      <c r="E1131" s="131"/>
      <c r="F1131" s="131"/>
      <c r="G1131" s="60" t="s">
        <v>131</v>
      </c>
      <c r="H1131" s="134"/>
      <c r="I1131" s="134"/>
      <c r="J1131" s="60"/>
      <c r="K1131" s="60"/>
      <c r="L1131" s="60"/>
      <c r="M1131" s="60"/>
      <c r="N1131" s="60">
        <f t="shared" si="344"/>
        <v>0</v>
      </c>
      <c r="O1131" s="60">
        <f t="shared" si="345"/>
        <v>0</v>
      </c>
    </row>
    <row r="1132" spans="1:15" s="38" customFormat="1" ht="14.45" customHeight="1" outlineLevel="1" x14ac:dyDescent="0.25">
      <c r="A1132" s="140" t="s">
        <v>844</v>
      </c>
      <c r="B1132" s="141" t="s">
        <v>845</v>
      </c>
      <c r="C1132" s="130">
        <f>SUM(N1132:N1138)</f>
        <v>0</v>
      </c>
      <c r="D1132" s="130">
        <f>SUM(O1132:O1138)</f>
        <v>0</v>
      </c>
      <c r="E1132" s="130">
        <f t="shared" si="335"/>
        <v>0</v>
      </c>
      <c r="F1132" s="130"/>
      <c r="G1132" s="60" t="s">
        <v>125</v>
      </c>
      <c r="H1132" s="123"/>
      <c r="I1132" s="123"/>
      <c r="J1132" s="60"/>
      <c r="K1132" s="60"/>
      <c r="L1132" s="60"/>
      <c r="M1132" s="60"/>
      <c r="N1132" s="60">
        <f>M1132*J1132*K1132*L1132</f>
        <v>0</v>
      </c>
      <c r="O1132" s="60">
        <f>J1132*K1132*L1132</f>
        <v>0</v>
      </c>
    </row>
    <row r="1133" spans="1:15" s="38" customFormat="1" ht="11.45" customHeight="1" outlineLevel="1" x14ac:dyDescent="0.25">
      <c r="A1133" s="124"/>
      <c r="B1133" s="142"/>
      <c r="C1133" s="115"/>
      <c r="D1133" s="115"/>
      <c r="E1133" s="115"/>
      <c r="F1133" s="115"/>
      <c r="G1133" s="60" t="s">
        <v>126</v>
      </c>
      <c r="H1133" s="124"/>
      <c r="I1133" s="124"/>
      <c r="J1133" s="60"/>
      <c r="K1133" s="60"/>
      <c r="L1133" s="60"/>
      <c r="M1133" s="60"/>
      <c r="N1133" s="60">
        <f t="shared" ref="N1133:N1138" si="346">M1133*J1133*K1133*L1133</f>
        <v>0</v>
      </c>
      <c r="O1133" s="60">
        <f t="shared" ref="O1133:O1138" si="347">J1133*K1133*L1133</f>
        <v>0</v>
      </c>
    </row>
    <row r="1134" spans="1:15" s="38" customFormat="1" ht="10.7" customHeight="1" outlineLevel="1" x14ac:dyDescent="0.25">
      <c r="A1134" s="124"/>
      <c r="B1134" s="142"/>
      <c r="C1134" s="115"/>
      <c r="D1134" s="115"/>
      <c r="E1134" s="115"/>
      <c r="F1134" s="115"/>
      <c r="G1134" s="60" t="s">
        <v>127</v>
      </c>
      <c r="H1134" s="124"/>
      <c r="I1134" s="124"/>
      <c r="J1134" s="60"/>
      <c r="K1134" s="60"/>
      <c r="L1134" s="60"/>
      <c r="M1134" s="60"/>
      <c r="N1134" s="60">
        <f t="shared" si="346"/>
        <v>0</v>
      </c>
      <c r="O1134" s="60">
        <f t="shared" si="347"/>
        <v>0</v>
      </c>
    </row>
    <row r="1135" spans="1:15" s="38" customFormat="1" ht="10.7" customHeight="1" outlineLevel="1" x14ac:dyDescent="0.25">
      <c r="A1135" s="124"/>
      <c r="B1135" s="142"/>
      <c r="C1135" s="115"/>
      <c r="D1135" s="115"/>
      <c r="E1135" s="115"/>
      <c r="F1135" s="115"/>
      <c r="G1135" s="60" t="s">
        <v>128</v>
      </c>
      <c r="H1135" s="124"/>
      <c r="I1135" s="124"/>
      <c r="J1135" s="60"/>
      <c r="K1135" s="60"/>
      <c r="L1135" s="60"/>
      <c r="M1135" s="60"/>
      <c r="N1135" s="60">
        <f t="shared" si="346"/>
        <v>0</v>
      </c>
      <c r="O1135" s="60">
        <f t="shared" si="347"/>
        <v>0</v>
      </c>
    </row>
    <row r="1136" spans="1:15" s="38" customFormat="1" ht="10.7" customHeight="1" outlineLevel="1" x14ac:dyDescent="0.25">
      <c r="A1136" s="124"/>
      <c r="B1136" s="142"/>
      <c r="C1136" s="115"/>
      <c r="D1136" s="115"/>
      <c r="E1136" s="115"/>
      <c r="F1136" s="115"/>
      <c r="G1136" s="60" t="s">
        <v>129</v>
      </c>
      <c r="H1136" s="124"/>
      <c r="I1136" s="124"/>
      <c r="J1136" s="60"/>
      <c r="K1136" s="60"/>
      <c r="L1136" s="60"/>
      <c r="M1136" s="60"/>
      <c r="N1136" s="60">
        <f t="shared" si="346"/>
        <v>0</v>
      </c>
      <c r="O1136" s="60">
        <f t="shared" si="347"/>
        <v>0</v>
      </c>
    </row>
    <row r="1137" spans="1:15" s="38" customFormat="1" ht="10.7" customHeight="1" outlineLevel="1" x14ac:dyDescent="0.25">
      <c r="A1137" s="124"/>
      <c r="B1137" s="142"/>
      <c r="C1137" s="115"/>
      <c r="D1137" s="115"/>
      <c r="E1137" s="115"/>
      <c r="F1137" s="115"/>
      <c r="G1137" s="60" t="s">
        <v>130</v>
      </c>
      <c r="H1137" s="124"/>
      <c r="I1137" s="124"/>
      <c r="J1137" s="60"/>
      <c r="K1137" s="60"/>
      <c r="L1137" s="60"/>
      <c r="M1137" s="60"/>
      <c r="N1137" s="60">
        <f t="shared" si="346"/>
        <v>0</v>
      </c>
      <c r="O1137" s="60">
        <f t="shared" si="347"/>
        <v>0</v>
      </c>
    </row>
    <row r="1138" spans="1:15" s="38" customFormat="1" ht="12" customHeight="1" outlineLevel="1" thickBot="1" x14ac:dyDescent="0.3">
      <c r="A1138" s="125"/>
      <c r="B1138" s="143"/>
      <c r="C1138" s="131"/>
      <c r="D1138" s="131"/>
      <c r="E1138" s="131"/>
      <c r="F1138" s="131"/>
      <c r="G1138" s="60" t="s">
        <v>131</v>
      </c>
      <c r="H1138" s="134"/>
      <c r="I1138" s="134"/>
      <c r="J1138" s="60"/>
      <c r="K1138" s="60"/>
      <c r="L1138" s="60"/>
      <c r="M1138" s="60"/>
      <c r="N1138" s="60">
        <f t="shared" si="346"/>
        <v>0</v>
      </c>
      <c r="O1138" s="60">
        <f t="shared" si="347"/>
        <v>0</v>
      </c>
    </row>
    <row r="1139" spans="1:15" s="38" customFormat="1" ht="14.45" customHeight="1" outlineLevel="1" x14ac:dyDescent="0.25">
      <c r="A1139" s="140" t="s">
        <v>846</v>
      </c>
      <c r="B1139" s="141" t="s">
        <v>847</v>
      </c>
      <c r="C1139" s="130">
        <f>SUM(N1139:N1145)</f>
        <v>0</v>
      </c>
      <c r="D1139" s="130">
        <f>SUM(O1139:O1145)</f>
        <v>0</v>
      </c>
      <c r="E1139" s="130">
        <f t="shared" si="335"/>
        <v>0</v>
      </c>
      <c r="F1139" s="130"/>
      <c r="G1139" s="60" t="s">
        <v>125</v>
      </c>
      <c r="H1139" s="123"/>
      <c r="I1139" s="123"/>
      <c r="J1139" s="60"/>
      <c r="K1139" s="60"/>
      <c r="L1139" s="60"/>
      <c r="M1139" s="60"/>
      <c r="N1139" s="60">
        <f>M1139*J1139*K1139*L1139</f>
        <v>0</v>
      </c>
      <c r="O1139" s="60">
        <f>J1139*K1139*L1139</f>
        <v>0</v>
      </c>
    </row>
    <row r="1140" spans="1:15" s="38" customFormat="1" ht="11.45" customHeight="1" outlineLevel="1" x14ac:dyDescent="0.25">
      <c r="A1140" s="124"/>
      <c r="B1140" s="142"/>
      <c r="C1140" s="115"/>
      <c r="D1140" s="115"/>
      <c r="E1140" s="115"/>
      <c r="F1140" s="115"/>
      <c r="G1140" s="60" t="s">
        <v>126</v>
      </c>
      <c r="H1140" s="124"/>
      <c r="I1140" s="124"/>
      <c r="J1140" s="60"/>
      <c r="K1140" s="60"/>
      <c r="L1140" s="60"/>
      <c r="M1140" s="60"/>
      <c r="N1140" s="60">
        <f t="shared" ref="N1140:N1145" si="348">M1140*J1140*K1140*L1140</f>
        <v>0</v>
      </c>
      <c r="O1140" s="60">
        <f t="shared" ref="O1140:O1145" si="349">J1140*K1140*L1140</f>
        <v>0</v>
      </c>
    </row>
    <row r="1141" spans="1:15" s="38" customFormat="1" ht="10.7" customHeight="1" outlineLevel="1" x14ac:dyDescent="0.25">
      <c r="A1141" s="124"/>
      <c r="B1141" s="142"/>
      <c r="C1141" s="115"/>
      <c r="D1141" s="115"/>
      <c r="E1141" s="115"/>
      <c r="F1141" s="115"/>
      <c r="G1141" s="60" t="s">
        <v>127</v>
      </c>
      <c r="H1141" s="124"/>
      <c r="I1141" s="124"/>
      <c r="J1141" s="60"/>
      <c r="K1141" s="60"/>
      <c r="L1141" s="60"/>
      <c r="M1141" s="60"/>
      <c r="N1141" s="60">
        <f t="shared" si="348"/>
        <v>0</v>
      </c>
      <c r="O1141" s="60">
        <f t="shared" si="349"/>
        <v>0</v>
      </c>
    </row>
    <row r="1142" spans="1:15" s="38" customFormat="1" ht="10.7" customHeight="1" outlineLevel="1" x14ac:dyDescent="0.25">
      <c r="A1142" s="124"/>
      <c r="B1142" s="142"/>
      <c r="C1142" s="115"/>
      <c r="D1142" s="115"/>
      <c r="E1142" s="115"/>
      <c r="F1142" s="115"/>
      <c r="G1142" s="60" t="s">
        <v>128</v>
      </c>
      <c r="H1142" s="124"/>
      <c r="I1142" s="124"/>
      <c r="J1142" s="60"/>
      <c r="K1142" s="60"/>
      <c r="L1142" s="60"/>
      <c r="M1142" s="60"/>
      <c r="N1142" s="60">
        <f t="shared" si="348"/>
        <v>0</v>
      </c>
      <c r="O1142" s="60">
        <f t="shared" si="349"/>
        <v>0</v>
      </c>
    </row>
    <row r="1143" spans="1:15" s="38" customFormat="1" ht="10.7" customHeight="1" outlineLevel="1" x14ac:dyDescent="0.25">
      <c r="A1143" s="124"/>
      <c r="B1143" s="142"/>
      <c r="C1143" s="115"/>
      <c r="D1143" s="115"/>
      <c r="E1143" s="115"/>
      <c r="F1143" s="115"/>
      <c r="G1143" s="60" t="s">
        <v>129</v>
      </c>
      <c r="H1143" s="124"/>
      <c r="I1143" s="124"/>
      <c r="J1143" s="60"/>
      <c r="K1143" s="60"/>
      <c r="L1143" s="60"/>
      <c r="M1143" s="60"/>
      <c r="N1143" s="60">
        <f t="shared" si="348"/>
        <v>0</v>
      </c>
      <c r="O1143" s="60">
        <f t="shared" si="349"/>
        <v>0</v>
      </c>
    </row>
    <row r="1144" spans="1:15" s="38" customFormat="1" ht="10.7" customHeight="1" outlineLevel="1" x14ac:dyDescent="0.25">
      <c r="A1144" s="124"/>
      <c r="B1144" s="142"/>
      <c r="C1144" s="115"/>
      <c r="D1144" s="115"/>
      <c r="E1144" s="115"/>
      <c r="F1144" s="115"/>
      <c r="G1144" s="60" t="s">
        <v>130</v>
      </c>
      <c r="H1144" s="124"/>
      <c r="I1144" s="124"/>
      <c r="J1144" s="60"/>
      <c r="K1144" s="60"/>
      <c r="L1144" s="60"/>
      <c r="M1144" s="60"/>
      <c r="N1144" s="60">
        <f t="shared" si="348"/>
        <v>0</v>
      </c>
      <c r="O1144" s="60">
        <f t="shared" si="349"/>
        <v>0</v>
      </c>
    </row>
    <row r="1145" spans="1:15" s="38" customFormat="1" ht="12" customHeight="1" outlineLevel="1" thickBot="1" x14ac:dyDescent="0.3">
      <c r="A1145" s="125"/>
      <c r="B1145" s="143"/>
      <c r="C1145" s="131"/>
      <c r="D1145" s="131"/>
      <c r="E1145" s="131"/>
      <c r="F1145" s="131"/>
      <c r="G1145" s="60" t="s">
        <v>131</v>
      </c>
      <c r="H1145" s="134"/>
      <c r="I1145" s="134"/>
      <c r="J1145" s="60"/>
      <c r="K1145" s="60"/>
      <c r="L1145" s="60"/>
      <c r="M1145" s="60"/>
      <c r="N1145" s="60">
        <f t="shared" si="348"/>
        <v>0</v>
      </c>
      <c r="O1145" s="60">
        <f t="shared" si="349"/>
        <v>0</v>
      </c>
    </row>
    <row r="1146" spans="1:15" s="38" customFormat="1" ht="14.45" customHeight="1" outlineLevel="1" x14ac:dyDescent="0.25">
      <c r="A1146" s="140" t="s">
        <v>848</v>
      </c>
      <c r="B1146" s="141" t="s">
        <v>849</v>
      </c>
      <c r="C1146" s="130">
        <f>SUM(N1146:N1152)</f>
        <v>0</v>
      </c>
      <c r="D1146" s="130">
        <f>SUM(O1146:O1152)</f>
        <v>0</v>
      </c>
      <c r="E1146" s="130">
        <f t="shared" si="335"/>
        <v>0</v>
      </c>
      <c r="F1146" s="130"/>
      <c r="G1146" s="60" t="s">
        <v>125</v>
      </c>
      <c r="H1146" s="123"/>
      <c r="I1146" s="123"/>
      <c r="J1146" s="60"/>
      <c r="K1146" s="60"/>
      <c r="L1146" s="60"/>
      <c r="M1146" s="60"/>
      <c r="N1146" s="60">
        <f>M1146*J1146*K1146*L1146</f>
        <v>0</v>
      </c>
      <c r="O1146" s="60">
        <f>J1146*K1146*L1146</f>
        <v>0</v>
      </c>
    </row>
    <row r="1147" spans="1:15" s="38" customFormat="1" ht="11.45" customHeight="1" outlineLevel="1" x14ac:dyDescent="0.25">
      <c r="A1147" s="124"/>
      <c r="B1147" s="142"/>
      <c r="C1147" s="115"/>
      <c r="D1147" s="115"/>
      <c r="E1147" s="115"/>
      <c r="F1147" s="115"/>
      <c r="G1147" s="60" t="s">
        <v>126</v>
      </c>
      <c r="H1147" s="124"/>
      <c r="I1147" s="124"/>
      <c r="J1147" s="60"/>
      <c r="K1147" s="60"/>
      <c r="L1147" s="60"/>
      <c r="M1147" s="60"/>
      <c r="N1147" s="60">
        <f t="shared" ref="N1147:N1152" si="350">M1147*J1147*K1147*L1147</f>
        <v>0</v>
      </c>
      <c r="O1147" s="60">
        <f t="shared" ref="O1147:O1152" si="351">J1147*K1147*L1147</f>
        <v>0</v>
      </c>
    </row>
    <row r="1148" spans="1:15" s="38" customFormat="1" ht="10.7" customHeight="1" outlineLevel="1" x14ac:dyDescent="0.25">
      <c r="A1148" s="124"/>
      <c r="B1148" s="142"/>
      <c r="C1148" s="115"/>
      <c r="D1148" s="115"/>
      <c r="E1148" s="115"/>
      <c r="F1148" s="115"/>
      <c r="G1148" s="60" t="s">
        <v>127</v>
      </c>
      <c r="H1148" s="124"/>
      <c r="I1148" s="124"/>
      <c r="J1148" s="60"/>
      <c r="K1148" s="60"/>
      <c r="L1148" s="60"/>
      <c r="M1148" s="60"/>
      <c r="N1148" s="60">
        <f t="shared" si="350"/>
        <v>0</v>
      </c>
      <c r="O1148" s="60">
        <f t="shared" si="351"/>
        <v>0</v>
      </c>
    </row>
    <row r="1149" spans="1:15" s="38" customFormat="1" ht="10.7" customHeight="1" outlineLevel="1" x14ac:dyDescent="0.25">
      <c r="A1149" s="124"/>
      <c r="B1149" s="142"/>
      <c r="C1149" s="115"/>
      <c r="D1149" s="115"/>
      <c r="E1149" s="115"/>
      <c r="F1149" s="115"/>
      <c r="G1149" s="60" t="s">
        <v>128</v>
      </c>
      <c r="H1149" s="124"/>
      <c r="I1149" s="124"/>
      <c r="J1149" s="60"/>
      <c r="K1149" s="60"/>
      <c r="L1149" s="60"/>
      <c r="M1149" s="60"/>
      <c r="N1149" s="60">
        <f t="shared" si="350"/>
        <v>0</v>
      </c>
      <c r="O1149" s="60">
        <f t="shared" si="351"/>
        <v>0</v>
      </c>
    </row>
    <row r="1150" spans="1:15" s="38" customFormat="1" ht="10.7" customHeight="1" outlineLevel="1" x14ac:dyDescent="0.25">
      <c r="A1150" s="124"/>
      <c r="B1150" s="142"/>
      <c r="C1150" s="115"/>
      <c r="D1150" s="115"/>
      <c r="E1150" s="115"/>
      <c r="F1150" s="115"/>
      <c r="G1150" s="60" t="s">
        <v>129</v>
      </c>
      <c r="H1150" s="124"/>
      <c r="I1150" s="124"/>
      <c r="J1150" s="60"/>
      <c r="K1150" s="60"/>
      <c r="L1150" s="60"/>
      <c r="M1150" s="60"/>
      <c r="N1150" s="60">
        <f t="shared" si="350"/>
        <v>0</v>
      </c>
      <c r="O1150" s="60">
        <f t="shared" si="351"/>
        <v>0</v>
      </c>
    </row>
    <row r="1151" spans="1:15" s="38" customFormat="1" ht="10.7" customHeight="1" outlineLevel="1" x14ac:dyDescent="0.25">
      <c r="A1151" s="124"/>
      <c r="B1151" s="142"/>
      <c r="C1151" s="115"/>
      <c r="D1151" s="115"/>
      <c r="E1151" s="115"/>
      <c r="F1151" s="115"/>
      <c r="G1151" s="60" t="s">
        <v>130</v>
      </c>
      <c r="H1151" s="124"/>
      <c r="I1151" s="124"/>
      <c r="J1151" s="60"/>
      <c r="K1151" s="60"/>
      <c r="L1151" s="60"/>
      <c r="M1151" s="60"/>
      <c r="N1151" s="60">
        <f t="shared" si="350"/>
        <v>0</v>
      </c>
      <c r="O1151" s="60">
        <f t="shared" si="351"/>
        <v>0</v>
      </c>
    </row>
    <row r="1152" spans="1:15" s="38" customFormat="1" ht="12" customHeight="1" outlineLevel="1" thickBot="1" x14ac:dyDescent="0.3">
      <c r="A1152" s="125"/>
      <c r="B1152" s="143"/>
      <c r="C1152" s="131"/>
      <c r="D1152" s="131"/>
      <c r="E1152" s="131"/>
      <c r="F1152" s="131"/>
      <c r="G1152" s="60" t="s">
        <v>131</v>
      </c>
      <c r="H1152" s="134"/>
      <c r="I1152" s="134"/>
      <c r="J1152" s="60"/>
      <c r="K1152" s="60"/>
      <c r="L1152" s="60"/>
      <c r="M1152" s="60"/>
      <c r="N1152" s="60">
        <f t="shared" si="350"/>
        <v>0</v>
      </c>
      <c r="O1152" s="60">
        <f t="shared" si="351"/>
        <v>0</v>
      </c>
    </row>
    <row r="1153" spans="1:15" s="38" customFormat="1" ht="14.45" customHeight="1" outlineLevel="1" x14ac:dyDescent="0.25">
      <c r="A1153" s="140" t="s">
        <v>850</v>
      </c>
      <c r="B1153" s="141" t="s">
        <v>851</v>
      </c>
      <c r="C1153" s="130">
        <f>SUM(N1153:N1159)</f>
        <v>0</v>
      </c>
      <c r="D1153" s="130">
        <f>SUM(O1153:O1159)</f>
        <v>0</v>
      </c>
      <c r="E1153" s="130">
        <f t="shared" si="335"/>
        <v>0</v>
      </c>
      <c r="F1153" s="130"/>
      <c r="G1153" s="60" t="s">
        <v>125</v>
      </c>
      <c r="H1153" s="123"/>
      <c r="I1153" s="123"/>
      <c r="J1153" s="60"/>
      <c r="K1153" s="60"/>
      <c r="L1153" s="60"/>
      <c r="M1153" s="60"/>
      <c r="N1153" s="60">
        <f>M1153*J1153*K1153*L1153</f>
        <v>0</v>
      </c>
      <c r="O1153" s="60">
        <f>J1153*K1153*L1153</f>
        <v>0</v>
      </c>
    </row>
    <row r="1154" spans="1:15" s="38" customFormat="1" ht="11.45" customHeight="1" outlineLevel="1" x14ac:dyDescent="0.25">
      <c r="A1154" s="124"/>
      <c r="B1154" s="142"/>
      <c r="C1154" s="115"/>
      <c r="D1154" s="115"/>
      <c r="E1154" s="115"/>
      <c r="F1154" s="115"/>
      <c r="G1154" s="60" t="s">
        <v>126</v>
      </c>
      <c r="H1154" s="124"/>
      <c r="I1154" s="124"/>
      <c r="J1154" s="60"/>
      <c r="K1154" s="60"/>
      <c r="L1154" s="60"/>
      <c r="M1154" s="60"/>
      <c r="N1154" s="60">
        <f t="shared" ref="N1154:N1159" si="352">M1154*J1154*K1154*L1154</f>
        <v>0</v>
      </c>
      <c r="O1154" s="60">
        <f t="shared" ref="O1154:O1159" si="353">J1154*K1154*L1154</f>
        <v>0</v>
      </c>
    </row>
    <row r="1155" spans="1:15" s="38" customFormat="1" ht="10.7" customHeight="1" outlineLevel="1" x14ac:dyDescent="0.25">
      <c r="A1155" s="124"/>
      <c r="B1155" s="142"/>
      <c r="C1155" s="115"/>
      <c r="D1155" s="115"/>
      <c r="E1155" s="115"/>
      <c r="F1155" s="115"/>
      <c r="G1155" s="60" t="s">
        <v>127</v>
      </c>
      <c r="H1155" s="124"/>
      <c r="I1155" s="124"/>
      <c r="J1155" s="60"/>
      <c r="K1155" s="60"/>
      <c r="L1155" s="60"/>
      <c r="M1155" s="60"/>
      <c r="N1155" s="60">
        <f t="shared" si="352"/>
        <v>0</v>
      </c>
      <c r="O1155" s="60">
        <f t="shared" si="353"/>
        <v>0</v>
      </c>
    </row>
    <row r="1156" spans="1:15" s="38" customFormat="1" ht="10.7" customHeight="1" outlineLevel="1" x14ac:dyDescent="0.25">
      <c r="A1156" s="124"/>
      <c r="B1156" s="142"/>
      <c r="C1156" s="115"/>
      <c r="D1156" s="115"/>
      <c r="E1156" s="115"/>
      <c r="F1156" s="115"/>
      <c r="G1156" s="60" t="s">
        <v>128</v>
      </c>
      <c r="H1156" s="124"/>
      <c r="I1156" s="124"/>
      <c r="J1156" s="60"/>
      <c r="K1156" s="60"/>
      <c r="L1156" s="60"/>
      <c r="M1156" s="60"/>
      <c r="N1156" s="60">
        <f t="shared" si="352"/>
        <v>0</v>
      </c>
      <c r="O1156" s="60">
        <f t="shared" si="353"/>
        <v>0</v>
      </c>
    </row>
    <row r="1157" spans="1:15" s="38" customFormat="1" ht="10.7" customHeight="1" outlineLevel="1" x14ac:dyDescent="0.25">
      <c r="A1157" s="124"/>
      <c r="B1157" s="142"/>
      <c r="C1157" s="115"/>
      <c r="D1157" s="115"/>
      <c r="E1157" s="115"/>
      <c r="F1157" s="115"/>
      <c r="G1157" s="60" t="s">
        <v>129</v>
      </c>
      <c r="H1157" s="124"/>
      <c r="I1157" s="124"/>
      <c r="J1157" s="60"/>
      <c r="K1157" s="60"/>
      <c r="L1157" s="60"/>
      <c r="M1157" s="60"/>
      <c r="N1157" s="60">
        <f t="shared" si="352"/>
        <v>0</v>
      </c>
      <c r="O1157" s="60">
        <f t="shared" si="353"/>
        <v>0</v>
      </c>
    </row>
    <row r="1158" spans="1:15" s="38" customFormat="1" ht="10.7" customHeight="1" outlineLevel="1" x14ac:dyDescent="0.25">
      <c r="A1158" s="124"/>
      <c r="B1158" s="142"/>
      <c r="C1158" s="115"/>
      <c r="D1158" s="115"/>
      <c r="E1158" s="115"/>
      <c r="F1158" s="115"/>
      <c r="G1158" s="60" t="s">
        <v>130</v>
      </c>
      <c r="H1158" s="124"/>
      <c r="I1158" s="124"/>
      <c r="J1158" s="60"/>
      <c r="K1158" s="60"/>
      <c r="L1158" s="60"/>
      <c r="M1158" s="60"/>
      <c r="N1158" s="60">
        <f t="shared" si="352"/>
        <v>0</v>
      </c>
      <c r="O1158" s="60">
        <f t="shared" si="353"/>
        <v>0</v>
      </c>
    </row>
    <row r="1159" spans="1:15" s="38" customFormat="1" ht="12" customHeight="1" outlineLevel="1" thickBot="1" x14ac:dyDescent="0.3">
      <c r="A1159" s="125"/>
      <c r="B1159" s="143"/>
      <c r="C1159" s="131"/>
      <c r="D1159" s="131"/>
      <c r="E1159" s="131"/>
      <c r="F1159" s="131"/>
      <c r="G1159" s="60" t="s">
        <v>131</v>
      </c>
      <c r="H1159" s="134"/>
      <c r="I1159" s="134"/>
      <c r="J1159" s="60"/>
      <c r="K1159" s="60"/>
      <c r="L1159" s="60"/>
      <c r="M1159" s="60"/>
      <c r="N1159" s="60">
        <f t="shared" si="352"/>
        <v>0</v>
      </c>
      <c r="O1159" s="60">
        <f t="shared" si="353"/>
        <v>0</v>
      </c>
    </row>
    <row r="1160" spans="1:15" s="38" customFormat="1" ht="14.45" customHeight="1" outlineLevel="1" x14ac:dyDescent="0.25">
      <c r="A1160" s="140" t="s">
        <v>852</v>
      </c>
      <c r="B1160" s="141" t="s">
        <v>853</v>
      </c>
      <c r="C1160" s="130">
        <f>SUM(N1160:N1166)</f>
        <v>0</v>
      </c>
      <c r="D1160" s="130">
        <f>SUM(O1160:O1166)</f>
        <v>0</v>
      </c>
      <c r="E1160" s="130">
        <f t="shared" si="335"/>
        <v>0</v>
      </c>
      <c r="F1160" s="130"/>
      <c r="G1160" s="60" t="s">
        <v>125</v>
      </c>
      <c r="H1160" s="123"/>
      <c r="I1160" s="123"/>
      <c r="J1160" s="60"/>
      <c r="K1160" s="60"/>
      <c r="L1160" s="60"/>
      <c r="M1160" s="60"/>
      <c r="N1160" s="60">
        <f>M1160*J1160*K1160*L1160</f>
        <v>0</v>
      </c>
      <c r="O1160" s="60">
        <f>J1160*K1160*L1160</f>
        <v>0</v>
      </c>
    </row>
    <row r="1161" spans="1:15" s="38" customFormat="1" ht="11.45" customHeight="1" outlineLevel="1" x14ac:dyDescent="0.25">
      <c r="A1161" s="124"/>
      <c r="B1161" s="142"/>
      <c r="C1161" s="115"/>
      <c r="D1161" s="115"/>
      <c r="E1161" s="115"/>
      <c r="F1161" s="115"/>
      <c r="G1161" s="60" t="s">
        <v>126</v>
      </c>
      <c r="H1161" s="124"/>
      <c r="I1161" s="124"/>
      <c r="J1161" s="60"/>
      <c r="K1161" s="60"/>
      <c r="L1161" s="60"/>
      <c r="M1161" s="60"/>
      <c r="N1161" s="60">
        <f t="shared" ref="N1161:N1166" si="354">M1161*J1161*K1161*L1161</f>
        <v>0</v>
      </c>
      <c r="O1161" s="60">
        <f t="shared" ref="O1161:O1166" si="355">J1161*K1161*L1161</f>
        <v>0</v>
      </c>
    </row>
    <row r="1162" spans="1:15" s="38" customFormat="1" ht="10.7" customHeight="1" outlineLevel="1" x14ac:dyDescent="0.25">
      <c r="A1162" s="124"/>
      <c r="B1162" s="142"/>
      <c r="C1162" s="115"/>
      <c r="D1162" s="115"/>
      <c r="E1162" s="115"/>
      <c r="F1162" s="115"/>
      <c r="G1162" s="60" t="s">
        <v>127</v>
      </c>
      <c r="H1162" s="124"/>
      <c r="I1162" s="124"/>
      <c r="J1162" s="60"/>
      <c r="K1162" s="60"/>
      <c r="L1162" s="60"/>
      <c r="M1162" s="60"/>
      <c r="N1162" s="60">
        <f t="shared" si="354"/>
        <v>0</v>
      </c>
      <c r="O1162" s="60">
        <f t="shared" si="355"/>
        <v>0</v>
      </c>
    </row>
    <row r="1163" spans="1:15" s="38" customFormat="1" ht="10.7" customHeight="1" outlineLevel="1" x14ac:dyDescent="0.25">
      <c r="A1163" s="124"/>
      <c r="B1163" s="142"/>
      <c r="C1163" s="115"/>
      <c r="D1163" s="115"/>
      <c r="E1163" s="115"/>
      <c r="F1163" s="115"/>
      <c r="G1163" s="60" t="s">
        <v>128</v>
      </c>
      <c r="H1163" s="124"/>
      <c r="I1163" s="124"/>
      <c r="J1163" s="60"/>
      <c r="K1163" s="60"/>
      <c r="L1163" s="60"/>
      <c r="M1163" s="60"/>
      <c r="N1163" s="60">
        <f t="shared" si="354"/>
        <v>0</v>
      </c>
      <c r="O1163" s="60">
        <f t="shared" si="355"/>
        <v>0</v>
      </c>
    </row>
    <row r="1164" spans="1:15" s="38" customFormat="1" ht="10.7" customHeight="1" outlineLevel="1" x14ac:dyDescent="0.25">
      <c r="A1164" s="124"/>
      <c r="B1164" s="142"/>
      <c r="C1164" s="115"/>
      <c r="D1164" s="115"/>
      <c r="E1164" s="115"/>
      <c r="F1164" s="115"/>
      <c r="G1164" s="60" t="s">
        <v>129</v>
      </c>
      <c r="H1164" s="124"/>
      <c r="I1164" s="124"/>
      <c r="J1164" s="60"/>
      <c r="K1164" s="60"/>
      <c r="L1164" s="60"/>
      <c r="M1164" s="60"/>
      <c r="N1164" s="60">
        <f t="shared" si="354"/>
        <v>0</v>
      </c>
      <c r="O1164" s="60">
        <f t="shared" si="355"/>
        <v>0</v>
      </c>
    </row>
    <row r="1165" spans="1:15" s="38" customFormat="1" ht="10.7" customHeight="1" outlineLevel="1" x14ac:dyDescent="0.25">
      <c r="A1165" s="124"/>
      <c r="B1165" s="142"/>
      <c r="C1165" s="115"/>
      <c r="D1165" s="115"/>
      <c r="E1165" s="115"/>
      <c r="F1165" s="115"/>
      <c r="G1165" s="60" t="s">
        <v>130</v>
      </c>
      <c r="H1165" s="124"/>
      <c r="I1165" s="124"/>
      <c r="J1165" s="60"/>
      <c r="K1165" s="60"/>
      <c r="L1165" s="60"/>
      <c r="M1165" s="60"/>
      <c r="N1165" s="60">
        <f t="shared" si="354"/>
        <v>0</v>
      </c>
      <c r="O1165" s="60">
        <f t="shared" si="355"/>
        <v>0</v>
      </c>
    </row>
    <row r="1166" spans="1:15" s="38" customFormat="1" ht="12" customHeight="1" outlineLevel="1" thickBot="1" x14ac:dyDescent="0.3">
      <c r="A1166" s="125"/>
      <c r="B1166" s="143"/>
      <c r="C1166" s="131"/>
      <c r="D1166" s="131"/>
      <c r="E1166" s="131"/>
      <c r="F1166" s="131"/>
      <c r="G1166" s="60" t="s">
        <v>131</v>
      </c>
      <c r="H1166" s="134"/>
      <c r="I1166" s="134"/>
      <c r="J1166" s="60"/>
      <c r="K1166" s="60"/>
      <c r="L1166" s="60"/>
      <c r="M1166" s="60"/>
      <c r="N1166" s="60">
        <f t="shared" si="354"/>
        <v>0</v>
      </c>
      <c r="O1166" s="60">
        <f t="shared" si="355"/>
        <v>0</v>
      </c>
    </row>
    <row r="1167" spans="1:15" s="38" customFormat="1" ht="14.45" customHeight="1" outlineLevel="1" x14ac:dyDescent="0.25">
      <c r="A1167" s="140" t="s">
        <v>854</v>
      </c>
      <c r="B1167" s="141" t="s">
        <v>855</v>
      </c>
      <c r="C1167" s="130">
        <f>SUM(N1167:N1173)</f>
        <v>0</v>
      </c>
      <c r="D1167" s="130">
        <f>SUM(O1167:O1173)</f>
        <v>0</v>
      </c>
      <c r="E1167" s="130">
        <f t="shared" ref="E1167:E1188" si="356">D1167/8</f>
        <v>0</v>
      </c>
      <c r="F1167" s="130"/>
      <c r="G1167" s="60" t="s">
        <v>125</v>
      </c>
      <c r="H1167" s="123"/>
      <c r="I1167" s="123"/>
      <c r="J1167" s="60"/>
      <c r="K1167" s="60"/>
      <c r="L1167" s="60"/>
      <c r="M1167" s="60"/>
      <c r="N1167" s="60">
        <f>M1167*J1167*K1167*L1167</f>
        <v>0</v>
      </c>
      <c r="O1167" s="60">
        <f>J1167*K1167*L1167</f>
        <v>0</v>
      </c>
    </row>
    <row r="1168" spans="1:15" s="38" customFormat="1" ht="11.45" customHeight="1" outlineLevel="1" x14ac:dyDescent="0.25">
      <c r="A1168" s="124"/>
      <c r="B1168" s="142"/>
      <c r="C1168" s="115"/>
      <c r="D1168" s="115"/>
      <c r="E1168" s="115"/>
      <c r="F1168" s="115"/>
      <c r="G1168" s="60" t="s">
        <v>126</v>
      </c>
      <c r="H1168" s="124"/>
      <c r="I1168" s="124"/>
      <c r="J1168" s="60"/>
      <c r="K1168" s="60"/>
      <c r="L1168" s="60"/>
      <c r="M1168" s="60"/>
      <c r="N1168" s="60">
        <f t="shared" ref="N1168:N1173" si="357">M1168*J1168*K1168*L1168</f>
        <v>0</v>
      </c>
      <c r="O1168" s="60">
        <f t="shared" ref="O1168:O1173" si="358">J1168*K1168*L1168</f>
        <v>0</v>
      </c>
    </row>
    <row r="1169" spans="1:15" s="38" customFormat="1" ht="10.7" customHeight="1" outlineLevel="1" x14ac:dyDescent="0.25">
      <c r="A1169" s="124"/>
      <c r="B1169" s="142"/>
      <c r="C1169" s="115"/>
      <c r="D1169" s="115"/>
      <c r="E1169" s="115"/>
      <c r="F1169" s="115"/>
      <c r="G1169" s="60" t="s">
        <v>127</v>
      </c>
      <c r="H1169" s="124"/>
      <c r="I1169" s="124"/>
      <c r="J1169" s="60"/>
      <c r="K1169" s="60"/>
      <c r="L1169" s="60"/>
      <c r="M1169" s="60"/>
      <c r="N1169" s="60">
        <f t="shared" si="357"/>
        <v>0</v>
      </c>
      <c r="O1169" s="60">
        <f t="shared" si="358"/>
        <v>0</v>
      </c>
    </row>
    <row r="1170" spans="1:15" s="38" customFormat="1" ht="10.7" customHeight="1" outlineLevel="1" x14ac:dyDescent="0.25">
      <c r="A1170" s="124"/>
      <c r="B1170" s="142"/>
      <c r="C1170" s="115"/>
      <c r="D1170" s="115"/>
      <c r="E1170" s="115"/>
      <c r="F1170" s="115"/>
      <c r="G1170" s="60" t="s">
        <v>128</v>
      </c>
      <c r="H1170" s="124"/>
      <c r="I1170" s="124"/>
      <c r="J1170" s="60"/>
      <c r="K1170" s="60"/>
      <c r="L1170" s="60"/>
      <c r="M1170" s="60"/>
      <c r="N1170" s="60">
        <f t="shared" si="357"/>
        <v>0</v>
      </c>
      <c r="O1170" s="60">
        <f t="shared" si="358"/>
        <v>0</v>
      </c>
    </row>
    <row r="1171" spans="1:15" s="38" customFormat="1" ht="10.7" customHeight="1" outlineLevel="1" x14ac:dyDescent="0.25">
      <c r="A1171" s="124"/>
      <c r="B1171" s="142"/>
      <c r="C1171" s="115"/>
      <c r="D1171" s="115"/>
      <c r="E1171" s="115"/>
      <c r="F1171" s="115"/>
      <c r="G1171" s="60" t="s">
        <v>129</v>
      </c>
      <c r="H1171" s="124"/>
      <c r="I1171" s="124"/>
      <c r="J1171" s="60"/>
      <c r="K1171" s="60"/>
      <c r="L1171" s="60"/>
      <c r="M1171" s="60"/>
      <c r="N1171" s="60">
        <f t="shared" si="357"/>
        <v>0</v>
      </c>
      <c r="O1171" s="60">
        <f t="shared" si="358"/>
        <v>0</v>
      </c>
    </row>
    <row r="1172" spans="1:15" s="38" customFormat="1" ht="10.7" customHeight="1" outlineLevel="1" x14ac:dyDescent="0.25">
      <c r="A1172" s="124"/>
      <c r="B1172" s="142"/>
      <c r="C1172" s="115"/>
      <c r="D1172" s="115"/>
      <c r="E1172" s="115"/>
      <c r="F1172" s="115"/>
      <c r="G1172" s="60" t="s">
        <v>130</v>
      </c>
      <c r="H1172" s="124"/>
      <c r="I1172" s="124"/>
      <c r="J1172" s="60"/>
      <c r="K1172" s="60"/>
      <c r="L1172" s="60"/>
      <c r="M1172" s="60"/>
      <c r="N1172" s="60">
        <f t="shared" si="357"/>
        <v>0</v>
      </c>
      <c r="O1172" s="60">
        <f t="shared" si="358"/>
        <v>0</v>
      </c>
    </row>
    <row r="1173" spans="1:15" s="38" customFormat="1" ht="12" customHeight="1" outlineLevel="1" thickBot="1" x14ac:dyDescent="0.3">
      <c r="A1173" s="125"/>
      <c r="B1173" s="143"/>
      <c r="C1173" s="131"/>
      <c r="D1173" s="131"/>
      <c r="E1173" s="131"/>
      <c r="F1173" s="131"/>
      <c r="G1173" s="60" t="s">
        <v>131</v>
      </c>
      <c r="H1173" s="134"/>
      <c r="I1173" s="134"/>
      <c r="J1173" s="60"/>
      <c r="K1173" s="60"/>
      <c r="L1173" s="60"/>
      <c r="M1173" s="60"/>
      <c r="N1173" s="60">
        <f t="shared" si="357"/>
        <v>0</v>
      </c>
      <c r="O1173" s="60">
        <f t="shared" si="358"/>
        <v>0</v>
      </c>
    </row>
    <row r="1174" spans="1:15" s="38" customFormat="1" ht="14.45" customHeight="1" outlineLevel="1" x14ac:dyDescent="0.25">
      <c r="A1174" s="140" t="s">
        <v>856</v>
      </c>
      <c r="B1174" s="141" t="s">
        <v>857</v>
      </c>
      <c r="C1174" s="130">
        <f>SUM(N1174:N1180)</f>
        <v>0</v>
      </c>
      <c r="D1174" s="130">
        <f>SUM(O1174:O1180)</f>
        <v>0</v>
      </c>
      <c r="E1174" s="130">
        <f t="shared" si="356"/>
        <v>0</v>
      </c>
      <c r="F1174" s="130"/>
      <c r="G1174" s="60" t="s">
        <v>125</v>
      </c>
      <c r="H1174" s="123"/>
      <c r="I1174" s="123"/>
      <c r="J1174" s="60"/>
      <c r="K1174" s="60"/>
      <c r="L1174" s="60"/>
      <c r="M1174" s="60"/>
      <c r="N1174" s="60">
        <f>M1174*J1174*K1174*L1174</f>
        <v>0</v>
      </c>
      <c r="O1174" s="60">
        <f>J1174*K1174*L1174</f>
        <v>0</v>
      </c>
    </row>
    <row r="1175" spans="1:15" s="38" customFormat="1" ht="11.45" customHeight="1" outlineLevel="1" x14ac:dyDescent="0.25">
      <c r="A1175" s="124"/>
      <c r="B1175" s="142"/>
      <c r="C1175" s="115"/>
      <c r="D1175" s="115"/>
      <c r="E1175" s="115"/>
      <c r="F1175" s="115"/>
      <c r="G1175" s="60" t="s">
        <v>126</v>
      </c>
      <c r="H1175" s="124"/>
      <c r="I1175" s="124"/>
      <c r="J1175" s="60"/>
      <c r="K1175" s="60"/>
      <c r="L1175" s="60"/>
      <c r="M1175" s="60"/>
      <c r="N1175" s="60">
        <f t="shared" ref="N1175:N1180" si="359">M1175*J1175*K1175*L1175</f>
        <v>0</v>
      </c>
      <c r="O1175" s="60">
        <f t="shared" ref="O1175:O1180" si="360">J1175*K1175*L1175</f>
        <v>0</v>
      </c>
    </row>
    <row r="1176" spans="1:15" s="38" customFormat="1" ht="10.7" customHeight="1" outlineLevel="1" x14ac:dyDescent="0.25">
      <c r="A1176" s="124"/>
      <c r="B1176" s="142"/>
      <c r="C1176" s="115"/>
      <c r="D1176" s="115"/>
      <c r="E1176" s="115"/>
      <c r="F1176" s="115"/>
      <c r="G1176" s="60" t="s">
        <v>127</v>
      </c>
      <c r="H1176" s="124"/>
      <c r="I1176" s="124"/>
      <c r="J1176" s="60"/>
      <c r="K1176" s="60"/>
      <c r="L1176" s="60"/>
      <c r="M1176" s="60"/>
      <c r="N1176" s="60">
        <f t="shared" si="359"/>
        <v>0</v>
      </c>
      <c r="O1176" s="60">
        <f t="shared" si="360"/>
        <v>0</v>
      </c>
    </row>
    <row r="1177" spans="1:15" s="38" customFormat="1" ht="10.7" customHeight="1" outlineLevel="1" x14ac:dyDescent="0.25">
      <c r="A1177" s="124"/>
      <c r="B1177" s="142"/>
      <c r="C1177" s="115"/>
      <c r="D1177" s="115"/>
      <c r="E1177" s="115"/>
      <c r="F1177" s="115"/>
      <c r="G1177" s="60" t="s">
        <v>128</v>
      </c>
      <c r="H1177" s="124"/>
      <c r="I1177" s="124"/>
      <c r="J1177" s="60"/>
      <c r="K1177" s="60"/>
      <c r="L1177" s="60"/>
      <c r="M1177" s="60"/>
      <c r="N1177" s="60">
        <f t="shared" si="359"/>
        <v>0</v>
      </c>
      <c r="O1177" s="60">
        <f t="shared" si="360"/>
        <v>0</v>
      </c>
    </row>
    <row r="1178" spans="1:15" s="38" customFormat="1" ht="10.7" customHeight="1" outlineLevel="1" x14ac:dyDescent="0.25">
      <c r="A1178" s="124"/>
      <c r="B1178" s="142"/>
      <c r="C1178" s="115"/>
      <c r="D1178" s="115"/>
      <c r="E1178" s="115"/>
      <c r="F1178" s="115"/>
      <c r="G1178" s="60" t="s">
        <v>129</v>
      </c>
      <c r="H1178" s="124"/>
      <c r="I1178" s="124"/>
      <c r="J1178" s="60"/>
      <c r="K1178" s="60"/>
      <c r="L1178" s="60"/>
      <c r="M1178" s="60"/>
      <c r="N1178" s="60">
        <f t="shared" si="359"/>
        <v>0</v>
      </c>
      <c r="O1178" s="60">
        <f t="shared" si="360"/>
        <v>0</v>
      </c>
    </row>
    <row r="1179" spans="1:15" s="38" customFormat="1" ht="10.7" customHeight="1" outlineLevel="1" x14ac:dyDescent="0.25">
      <c r="A1179" s="124"/>
      <c r="B1179" s="142"/>
      <c r="C1179" s="115"/>
      <c r="D1179" s="115"/>
      <c r="E1179" s="115"/>
      <c r="F1179" s="115"/>
      <c r="G1179" s="60" t="s">
        <v>130</v>
      </c>
      <c r="H1179" s="124"/>
      <c r="I1179" s="124"/>
      <c r="J1179" s="60"/>
      <c r="K1179" s="60"/>
      <c r="L1179" s="60"/>
      <c r="M1179" s="60"/>
      <c r="N1179" s="60">
        <f t="shared" si="359"/>
        <v>0</v>
      </c>
      <c r="O1179" s="60">
        <f t="shared" si="360"/>
        <v>0</v>
      </c>
    </row>
    <row r="1180" spans="1:15" s="38" customFormat="1" ht="12" customHeight="1" outlineLevel="1" thickBot="1" x14ac:dyDescent="0.3">
      <c r="A1180" s="125"/>
      <c r="B1180" s="143"/>
      <c r="C1180" s="131"/>
      <c r="D1180" s="131"/>
      <c r="E1180" s="131"/>
      <c r="F1180" s="131"/>
      <c r="G1180" s="60" t="s">
        <v>131</v>
      </c>
      <c r="H1180" s="134"/>
      <c r="I1180" s="134"/>
      <c r="J1180" s="60"/>
      <c r="K1180" s="60"/>
      <c r="L1180" s="60"/>
      <c r="M1180" s="60"/>
      <c r="N1180" s="60">
        <f t="shared" si="359"/>
        <v>0</v>
      </c>
      <c r="O1180" s="60">
        <f t="shared" si="360"/>
        <v>0</v>
      </c>
    </row>
    <row r="1181" spans="1:15" s="38" customFormat="1" ht="14.45" customHeight="1" outlineLevel="1" x14ac:dyDescent="0.25">
      <c r="A1181" s="140" t="s">
        <v>858</v>
      </c>
      <c r="B1181" s="141" t="s">
        <v>859</v>
      </c>
      <c r="C1181" s="130">
        <f>SUM(N1181:N1187)</f>
        <v>0</v>
      </c>
      <c r="D1181" s="130">
        <f>SUM(O1181:O1187)</f>
        <v>0</v>
      </c>
      <c r="E1181" s="130">
        <f t="shared" si="356"/>
        <v>0</v>
      </c>
      <c r="F1181" s="130"/>
      <c r="G1181" s="60" t="s">
        <v>125</v>
      </c>
      <c r="H1181" s="123"/>
      <c r="I1181" s="123"/>
      <c r="J1181" s="60"/>
      <c r="K1181" s="60"/>
      <c r="L1181" s="60"/>
      <c r="M1181" s="60"/>
      <c r="N1181" s="60">
        <f>M1181*J1181*K1181*L1181</f>
        <v>0</v>
      </c>
      <c r="O1181" s="60">
        <f>J1181*K1181*L1181</f>
        <v>0</v>
      </c>
    </row>
    <row r="1182" spans="1:15" s="38" customFormat="1" ht="11.45" customHeight="1" outlineLevel="1" x14ac:dyDescent="0.25">
      <c r="A1182" s="124"/>
      <c r="B1182" s="142"/>
      <c r="C1182" s="115"/>
      <c r="D1182" s="115"/>
      <c r="E1182" s="115"/>
      <c r="F1182" s="115"/>
      <c r="G1182" s="60" t="s">
        <v>126</v>
      </c>
      <c r="H1182" s="124"/>
      <c r="I1182" s="124"/>
      <c r="J1182" s="60"/>
      <c r="K1182" s="60"/>
      <c r="L1182" s="60"/>
      <c r="M1182" s="60"/>
      <c r="N1182" s="60">
        <f t="shared" ref="N1182:N1187" si="361">M1182*J1182*K1182*L1182</f>
        <v>0</v>
      </c>
      <c r="O1182" s="60">
        <f t="shared" ref="O1182:O1187" si="362">J1182*K1182*L1182</f>
        <v>0</v>
      </c>
    </row>
    <row r="1183" spans="1:15" s="38" customFormat="1" ht="10.7" customHeight="1" outlineLevel="1" x14ac:dyDescent="0.25">
      <c r="A1183" s="124"/>
      <c r="B1183" s="142"/>
      <c r="C1183" s="115"/>
      <c r="D1183" s="115"/>
      <c r="E1183" s="115"/>
      <c r="F1183" s="115"/>
      <c r="G1183" s="60" t="s">
        <v>127</v>
      </c>
      <c r="H1183" s="124"/>
      <c r="I1183" s="124"/>
      <c r="J1183" s="60"/>
      <c r="K1183" s="60"/>
      <c r="L1183" s="60"/>
      <c r="M1183" s="60"/>
      <c r="N1183" s="60">
        <f t="shared" si="361"/>
        <v>0</v>
      </c>
      <c r="O1183" s="60">
        <f t="shared" si="362"/>
        <v>0</v>
      </c>
    </row>
    <row r="1184" spans="1:15" s="38" customFormat="1" ht="10.7" customHeight="1" outlineLevel="1" x14ac:dyDescent="0.25">
      <c r="A1184" s="124"/>
      <c r="B1184" s="142"/>
      <c r="C1184" s="115"/>
      <c r="D1184" s="115"/>
      <c r="E1184" s="115"/>
      <c r="F1184" s="115"/>
      <c r="G1184" s="60" t="s">
        <v>128</v>
      </c>
      <c r="H1184" s="124"/>
      <c r="I1184" s="124"/>
      <c r="J1184" s="60"/>
      <c r="K1184" s="60"/>
      <c r="L1184" s="60"/>
      <c r="M1184" s="60"/>
      <c r="N1184" s="60">
        <f t="shared" si="361"/>
        <v>0</v>
      </c>
      <c r="O1184" s="60">
        <f t="shared" si="362"/>
        <v>0</v>
      </c>
    </row>
    <row r="1185" spans="1:15" s="38" customFormat="1" ht="10.7" customHeight="1" outlineLevel="1" x14ac:dyDescent="0.25">
      <c r="A1185" s="124"/>
      <c r="B1185" s="142"/>
      <c r="C1185" s="115"/>
      <c r="D1185" s="115"/>
      <c r="E1185" s="115"/>
      <c r="F1185" s="115"/>
      <c r="G1185" s="60" t="s">
        <v>129</v>
      </c>
      <c r="H1185" s="124"/>
      <c r="I1185" s="124"/>
      <c r="J1185" s="60"/>
      <c r="K1185" s="60"/>
      <c r="L1185" s="60"/>
      <c r="M1185" s="60"/>
      <c r="N1185" s="60">
        <f t="shared" si="361"/>
        <v>0</v>
      </c>
      <c r="O1185" s="60">
        <f t="shared" si="362"/>
        <v>0</v>
      </c>
    </row>
    <row r="1186" spans="1:15" s="38" customFormat="1" ht="10.7" customHeight="1" outlineLevel="1" x14ac:dyDescent="0.25">
      <c r="A1186" s="124"/>
      <c r="B1186" s="142"/>
      <c r="C1186" s="115"/>
      <c r="D1186" s="115"/>
      <c r="E1186" s="115"/>
      <c r="F1186" s="115"/>
      <c r="G1186" s="60" t="s">
        <v>130</v>
      </c>
      <c r="H1186" s="124"/>
      <c r="I1186" s="124"/>
      <c r="J1186" s="60"/>
      <c r="K1186" s="60"/>
      <c r="L1186" s="60"/>
      <c r="M1186" s="60"/>
      <c r="N1186" s="60">
        <f t="shared" si="361"/>
        <v>0</v>
      </c>
      <c r="O1186" s="60">
        <f t="shared" si="362"/>
        <v>0</v>
      </c>
    </row>
    <row r="1187" spans="1:15" s="38" customFormat="1" ht="12" customHeight="1" outlineLevel="1" thickBot="1" x14ac:dyDescent="0.3">
      <c r="A1187" s="125"/>
      <c r="B1187" s="143"/>
      <c r="C1187" s="131"/>
      <c r="D1187" s="131"/>
      <c r="E1187" s="131"/>
      <c r="F1187" s="131"/>
      <c r="G1187" s="60" t="s">
        <v>131</v>
      </c>
      <c r="H1187" s="134"/>
      <c r="I1187" s="134"/>
      <c r="J1187" s="60"/>
      <c r="K1187" s="60"/>
      <c r="L1187" s="60"/>
      <c r="M1187" s="60"/>
      <c r="N1187" s="60">
        <f t="shared" si="361"/>
        <v>0</v>
      </c>
      <c r="O1187" s="60">
        <f t="shared" si="362"/>
        <v>0</v>
      </c>
    </row>
    <row r="1188" spans="1:15" s="38" customFormat="1" ht="14.45" customHeight="1" outlineLevel="1" x14ac:dyDescent="0.25">
      <c r="A1188" s="140" t="s">
        <v>860</v>
      </c>
      <c r="B1188" s="141" t="s">
        <v>861</v>
      </c>
      <c r="C1188" s="130">
        <f>SUM(N1188:N1194)</f>
        <v>0</v>
      </c>
      <c r="D1188" s="130">
        <f>SUM(O1188:O1194)</f>
        <v>0</v>
      </c>
      <c r="E1188" s="130">
        <f t="shared" si="356"/>
        <v>0</v>
      </c>
      <c r="F1188" s="130"/>
      <c r="G1188" s="60" t="s">
        <v>125</v>
      </c>
      <c r="H1188" s="123"/>
      <c r="I1188" s="123"/>
      <c r="J1188" s="60"/>
      <c r="K1188" s="60"/>
      <c r="L1188" s="60"/>
      <c r="M1188" s="60"/>
      <c r="N1188" s="60">
        <f>M1188*J1188*K1188*L1188</f>
        <v>0</v>
      </c>
      <c r="O1188" s="60">
        <f>J1188*K1188*L1188</f>
        <v>0</v>
      </c>
    </row>
    <row r="1189" spans="1:15" s="38" customFormat="1" ht="11.45" customHeight="1" outlineLevel="1" x14ac:dyDescent="0.25">
      <c r="A1189" s="124"/>
      <c r="B1189" s="142"/>
      <c r="C1189" s="115"/>
      <c r="D1189" s="115"/>
      <c r="E1189" s="115"/>
      <c r="F1189" s="115"/>
      <c r="G1189" s="60" t="s">
        <v>126</v>
      </c>
      <c r="H1189" s="124"/>
      <c r="I1189" s="124"/>
      <c r="J1189" s="60"/>
      <c r="K1189" s="60"/>
      <c r="L1189" s="60"/>
      <c r="M1189" s="60"/>
      <c r="N1189" s="60">
        <f t="shared" ref="N1189:N1194" si="363">M1189*J1189*K1189*L1189</f>
        <v>0</v>
      </c>
      <c r="O1189" s="60">
        <f t="shared" ref="O1189:O1194" si="364">J1189*K1189*L1189</f>
        <v>0</v>
      </c>
    </row>
    <row r="1190" spans="1:15" s="38" customFormat="1" ht="10.7" customHeight="1" outlineLevel="1" x14ac:dyDescent="0.25">
      <c r="A1190" s="124"/>
      <c r="B1190" s="142"/>
      <c r="C1190" s="115"/>
      <c r="D1190" s="115"/>
      <c r="E1190" s="115"/>
      <c r="F1190" s="115"/>
      <c r="G1190" s="60" t="s">
        <v>127</v>
      </c>
      <c r="H1190" s="124"/>
      <c r="I1190" s="124"/>
      <c r="J1190" s="60"/>
      <c r="K1190" s="60"/>
      <c r="L1190" s="60"/>
      <c r="M1190" s="60"/>
      <c r="N1190" s="60">
        <f t="shared" si="363"/>
        <v>0</v>
      </c>
      <c r="O1190" s="60">
        <f t="shared" si="364"/>
        <v>0</v>
      </c>
    </row>
    <row r="1191" spans="1:15" s="38" customFormat="1" ht="10.7" customHeight="1" outlineLevel="1" x14ac:dyDescent="0.25">
      <c r="A1191" s="124"/>
      <c r="B1191" s="142"/>
      <c r="C1191" s="115"/>
      <c r="D1191" s="115"/>
      <c r="E1191" s="115"/>
      <c r="F1191" s="115"/>
      <c r="G1191" s="60" t="s">
        <v>128</v>
      </c>
      <c r="H1191" s="124"/>
      <c r="I1191" s="124"/>
      <c r="J1191" s="60"/>
      <c r="K1191" s="60"/>
      <c r="L1191" s="60"/>
      <c r="M1191" s="60"/>
      <c r="N1191" s="60">
        <f t="shared" si="363"/>
        <v>0</v>
      </c>
      <c r="O1191" s="60">
        <f t="shared" si="364"/>
        <v>0</v>
      </c>
    </row>
    <row r="1192" spans="1:15" s="38" customFormat="1" ht="10.7" customHeight="1" outlineLevel="1" x14ac:dyDescent="0.25">
      <c r="A1192" s="124"/>
      <c r="B1192" s="142"/>
      <c r="C1192" s="115"/>
      <c r="D1192" s="115"/>
      <c r="E1192" s="115"/>
      <c r="F1192" s="115"/>
      <c r="G1192" s="60" t="s">
        <v>129</v>
      </c>
      <c r="H1192" s="124"/>
      <c r="I1192" s="124"/>
      <c r="J1192" s="60"/>
      <c r="K1192" s="60"/>
      <c r="L1192" s="60"/>
      <c r="M1192" s="60"/>
      <c r="N1192" s="60">
        <f t="shared" si="363"/>
        <v>0</v>
      </c>
      <c r="O1192" s="60">
        <f t="shared" si="364"/>
        <v>0</v>
      </c>
    </row>
    <row r="1193" spans="1:15" s="38" customFormat="1" ht="10.7" customHeight="1" outlineLevel="1" x14ac:dyDescent="0.25">
      <c r="A1193" s="124"/>
      <c r="B1193" s="142"/>
      <c r="C1193" s="115"/>
      <c r="D1193" s="115"/>
      <c r="E1193" s="115"/>
      <c r="F1193" s="115"/>
      <c r="G1193" s="60" t="s">
        <v>130</v>
      </c>
      <c r="H1193" s="124"/>
      <c r="I1193" s="124"/>
      <c r="J1193" s="60"/>
      <c r="K1193" s="60"/>
      <c r="L1193" s="60"/>
      <c r="M1193" s="60"/>
      <c r="N1193" s="60">
        <f t="shared" si="363"/>
        <v>0</v>
      </c>
      <c r="O1193" s="60">
        <f t="shared" si="364"/>
        <v>0</v>
      </c>
    </row>
    <row r="1194" spans="1:15" s="38" customFormat="1" ht="12" customHeight="1" outlineLevel="1" thickBot="1" x14ac:dyDescent="0.3">
      <c r="A1194" s="125"/>
      <c r="B1194" s="143"/>
      <c r="C1194" s="131"/>
      <c r="D1194" s="131"/>
      <c r="E1194" s="131"/>
      <c r="F1194" s="131"/>
      <c r="G1194" s="60" t="s">
        <v>131</v>
      </c>
      <c r="H1194" s="134"/>
      <c r="I1194" s="134"/>
      <c r="J1194" s="60"/>
      <c r="K1194" s="60"/>
      <c r="L1194" s="60"/>
      <c r="M1194" s="60"/>
      <c r="N1194" s="60">
        <f t="shared" si="363"/>
        <v>0</v>
      </c>
      <c r="O1194" s="60">
        <f t="shared" si="364"/>
        <v>0</v>
      </c>
    </row>
    <row r="1195" spans="1:15" s="39" customFormat="1" ht="15.75" x14ac:dyDescent="0.25">
      <c r="A1195" s="40" t="s">
        <v>261</v>
      </c>
      <c r="B1195" s="41" t="s">
        <v>862</v>
      </c>
      <c r="C1195" s="42">
        <f>SUM(C1196)</f>
        <v>0</v>
      </c>
      <c r="D1195" s="42">
        <f>SUM(D1196)</f>
        <v>0</v>
      </c>
      <c r="E1195" s="42">
        <f>SUM(E1196)</f>
        <v>0</v>
      </c>
      <c r="F1195" s="57"/>
      <c r="G1195" s="57"/>
      <c r="H1195" s="57"/>
      <c r="I1195" s="57"/>
      <c r="J1195" s="57"/>
      <c r="K1195" s="57"/>
      <c r="L1195" s="57"/>
      <c r="M1195" s="57"/>
      <c r="N1195" s="57"/>
      <c r="O1195" s="43"/>
    </row>
    <row r="1196" spans="1:15" s="38" customFormat="1" ht="14.45" customHeight="1" outlineLevel="1" x14ac:dyDescent="0.25">
      <c r="A1196" s="140" t="s">
        <v>263</v>
      </c>
      <c r="B1196" s="141" t="s">
        <v>863</v>
      </c>
      <c r="C1196" s="130">
        <f>SUM(N1196:N1202)</f>
        <v>0</v>
      </c>
      <c r="D1196" s="130">
        <f>SUM(O1196:O1202)</f>
        <v>0</v>
      </c>
      <c r="E1196" s="130">
        <f t="shared" ref="E1196" si="365">D1196/8</f>
        <v>0</v>
      </c>
      <c r="F1196" s="130"/>
      <c r="G1196" s="60" t="s">
        <v>125</v>
      </c>
      <c r="H1196" s="123"/>
      <c r="I1196" s="123"/>
      <c r="J1196" s="60"/>
      <c r="K1196" s="60"/>
      <c r="L1196" s="60"/>
      <c r="M1196" s="60"/>
      <c r="N1196" s="60">
        <f>M1196*J1196*K1196*L1196</f>
        <v>0</v>
      </c>
      <c r="O1196" s="60">
        <f>J1196*K1196*L1196</f>
        <v>0</v>
      </c>
    </row>
    <row r="1197" spans="1:15" s="38" customFormat="1" ht="11.45" customHeight="1" outlineLevel="1" x14ac:dyDescent="0.25">
      <c r="A1197" s="124"/>
      <c r="B1197" s="142"/>
      <c r="C1197" s="115"/>
      <c r="D1197" s="115"/>
      <c r="E1197" s="115"/>
      <c r="F1197" s="115"/>
      <c r="G1197" s="60" t="s">
        <v>126</v>
      </c>
      <c r="H1197" s="124"/>
      <c r="I1197" s="124"/>
      <c r="J1197" s="60"/>
      <c r="K1197" s="60"/>
      <c r="L1197" s="60"/>
      <c r="M1197" s="60"/>
      <c r="N1197" s="60">
        <f t="shared" ref="N1197:N1202" si="366">M1197*J1197*K1197*L1197</f>
        <v>0</v>
      </c>
      <c r="O1197" s="60">
        <f t="shared" ref="O1197:O1202" si="367">J1197*K1197*L1197</f>
        <v>0</v>
      </c>
    </row>
    <row r="1198" spans="1:15" s="38" customFormat="1" ht="10.7" customHeight="1" outlineLevel="1" x14ac:dyDescent="0.25">
      <c r="A1198" s="124"/>
      <c r="B1198" s="142"/>
      <c r="C1198" s="115"/>
      <c r="D1198" s="115"/>
      <c r="E1198" s="115"/>
      <c r="F1198" s="115"/>
      <c r="G1198" s="60" t="s">
        <v>127</v>
      </c>
      <c r="H1198" s="124"/>
      <c r="I1198" s="124"/>
      <c r="J1198" s="60"/>
      <c r="K1198" s="60"/>
      <c r="L1198" s="60"/>
      <c r="M1198" s="60"/>
      <c r="N1198" s="60">
        <f t="shared" si="366"/>
        <v>0</v>
      </c>
      <c r="O1198" s="60">
        <f t="shared" si="367"/>
        <v>0</v>
      </c>
    </row>
    <row r="1199" spans="1:15" s="38" customFormat="1" ht="10.7" customHeight="1" outlineLevel="1" x14ac:dyDescent="0.25">
      <c r="A1199" s="124"/>
      <c r="B1199" s="142"/>
      <c r="C1199" s="115"/>
      <c r="D1199" s="115"/>
      <c r="E1199" s="115"/>
      <c r="F1199" s="115"/>
      <c r="G1199" s="60" t="s">
        <v>128</v>
      </c>
      <c r="H1199" s="124"/>
      <c r="I1199" s="124"/>
      <c r="J1199" s="60"/>
      <c r="K1199" s="60"/>
      <c r="L1199" s="60"/>
      <c r="M1199" s="60"/>
      <c r="N1199" s="60">
        <f t="shared" si="366"/>
        <v>0</v>
      </c>
      <c r="O1199" s="60">
        <f t="shared" si="367"/>
        <v>0</v>
      </c>
    </row>
    <row r="1200" spans="1:15" s="38" customFormat="1" ht="10.7" customHeight="1" outlineLevel="1" x14ac:dyDescent="0.25">
      <c r="A1200" s="124"/>
      <c r="B1200" s="142"/>
      <c r="C1200" s="115"/>
      <c r="D1200" s="115"/>
      <c r="E1200" s="115"/>
      <c r="F1200" s="115"/>
      <c r="G1200" s="60" t="s">
        <v>129</v>
      </c>
      <c r="H1200" s="124"/>
      <c r="I1200" s="124"/>
      <c r="J1200" s="60"/>
      <c r="K1200" s="60"/>
      <c r="L1200" s="60"/>
      <c r="M1200" s="60"/>
      <c r="N1200" s="60">
        <f t="shared" si="366"/>
        <v>0</v>
      </c>
      <c r="O1200" s="60">
        <f t="shared" si="367"/>
        <v>0</v>
      </c>
    </row>
    <row r="1201" spans="1:15" s="38" customFormat="1" ht="10.7" customHeight="1" outlineLevel="1" x14ac:dyDescent="0.25">
      <c r="A1201" s="124"/>
      <c r="B1201" s="142"/>
      <c r="C1201" s="115"/>
      <c r="D1201" s="115"/>
      <c r="E1201" s="115"/>
      <c r="F1201" s="115"/>
      <c r="G1201" s="60" t="s">
        <v>130</v>
      </c>
      <c r="H1201" s="124"/>
      <c r="I1201" s="124"/>
      <c r="J1201" s="60"/>
      <c r="K1201" s="60"/>
      <c r="L1201" s="60"/>
      <c r="M1201" s="60"/>
      <c r="N1201" s="60">
        <f t="shared" si="366"/>
        <v>0</v>
      </c>
      <c r="O1201" s="60">
        <f t="shared" si="367"/>
        <v>0</v>
      </c>
    </row>
    <row r="1202" spans="1:15" s="38" customFormat="1" ht="12" customHeight="1" outlineLevel="1" thickBot="1" x14ac:dyDescent="0.3">
      <c r="A1202" s="125"/>
      <c r="B1202" s="143"/>
      <c r="C1202" s="131"/>
      <c r="D1202" s="131"/>
      <c r="E1202" s="131"/>
      <c r="F1202" s="131"/>
      <c r="G1202" s="60" t="s">
        <v>131</v>
      </c>
      <c r="H1202" s="134"/>
      <c r="I1202" s="134"/>
      <c r="J1202" s="60"/>
      <c r="K1202" s="60"/>
      <c r="L1202" s="60"/>
      <c r="M1202" s="60"/>
      <c r="N1202" s="60">
        <f t="shared" si="366"/>
        <v>0</v>
      </c>
      <c r="O1202" s="60">
        <f t="shared" si="367"/>
        <v>0</v>
      </c>
    </row>
    <row r="1203" spans="1:15" s="39" customFormat="1" ht="15.75" x14ac:dyDescent="0.25">
      <c r="A1203" s="40" t="s">
        <v>315</v>
      </c>
      <c r="B1203" s="41" t="s">
        <v>253</v>
      </c>
      <c r="C1203" s="42">
        <f>SUM(C1204:C1217)</f>
        <v>0</v>
      </c>
      <c r="D1203" s="42">
        <f>SUM(D1204:D1217)</f>
        <v>0</v>
      </c>
      <c r="E1203" s="42">
        <f>SUM(E1204:E1217)</f>
        <v>0</v>
      </c>
      <c r="F1203" s="57"/>
      <c r="G1203" s="57"/>
      <c r="H1203" s="57"/>
      <c r="I1203" s="57"/>
      <c r="J1203" s="57"/>
      <c r="K1203" s="57"/>
      <c r="L1203" s="57"/>
      <c r="M1203" s="57"/>
      <c r="N1203" s="57"/>
      <c r="O1203" s="43"/>
    </row>
    <row r="1204" spans="1:15" s="38" customFormat="1" ht="14.45" customHeight="1" outlineLevel="1" x14ac:dyDescent="0.25">
      <c r="A1204" s="140" t="s">
        <v>68</v>
      </c>
      <c r="B1204" s="141" t="s">
        <v>254</v>
      </c>
      <c r="C1204" s="130">
        <f>SUM(N1204:N1210)</f>
        <v>0</v>
      </c>
      <c r="D1204" s="130">
        <f>SUM(O1204:O1210)</f>
        <v>0</v>
      </c>
      <c r="E1204" s="130">
        <f t="shared" ref="E1204:E1211" si="368">D1204/8</f>
        <v>0</v>
      </c>
      <c r="F1204" s="130"/>
      <c r="G1204" s="60" t="s">
        <v>125</v>
      </c>
      <c r="H1204" s="123"/>
      <c r="I1204" s="123"/>
      <c r="J1204" s="60"/>
      <c r="K1204" s="60"/>
      <c r="L1204" s="60"/>
      <c r="M1204" s="60"/>
      <c r="N1204" s="60">
        <f>M1204*J1204*K1204*L1204</f>
        <v>0</v>
      </c>
      <c r="O1204" s="60">
        <f>J1204*K1204*L1204</f>
        <v>0</v>
      </c>
    </row>
    <row r="1205" spans="1:15" s="38" customFormat="1" ht="11.45" customHeight="1" outlineLevel="1" x14ac:dyDescent="0.25">
      <c r="A1205" s="124"/>
      <c r="B1205" s="142"/>
      <c r="C1205" s="115"/>
      <c r="D1205" s="115"/>
      <c r="E1205" s="115"/>
      <c r="F1205" s="115"/>
      <c r="G1205" s="60" t="s">
        <v>126</v>
      </c>
      <c r="H1205" s="124"/>
      <c r="I1205" s="124"/>
      <c r="J1205" s="60"/>
      <c r="K1205" s="60"/>
      <c r="L1205" s="60"/>
      <c r="M1205" s="60"/>
      <c r="N1205" s="60">
        <f t="shared" ref="N1205:N1210" si="369">M1205*J1205*K1205*L1205</f>
        <v>0</v>
      </c>
      <c r="O1205" s="60">
        <f t="shared" ref="O1205:O1210" si="370">J1205*K1205*L1205</f>
        <v>0</v>
      </c>
    </row>
    <row r="1206" spans="1:15" s="38" customFormat="1" ht="10.7" customHeight="1" outlineLevel="1" x14ac:dyDescent="0.25">
      <c r="A1206" s="124"/>
      <c r="B1206" s="142"/>
      <c r="C1206" s="115"/>
      <c r="D1206" s="115"/>
      <c r="E1206" s="115"/>
      <c r="F1206" s="115"/>
      <c r="G1206" s="60" t="s">
        <v>127</v>
      </c>
      <c r="H1206" s="124"/>
      <c r="I1206" s="124"/>
      <c r="J1206" s="60"/>
      <c r="K1206" s="60"/>
      <c r="L1206" s="60"/>
      <c r="M1206" s="60"/>
      <c r="N1206" s="60">
        <f t="shared" si="369"/>
        <v>0</v>
      </c>
      <c r="O1206" s="60">
        <f t="shared" si="370"/>
        <v>0</v>
      </c>
    </row>
    <row r="1207" spans="1:15" s="38" customFormat="1" ht="10.7" customHeight="1" outlineLevel="1" x14ac:dyDescent="0.25">
      <c r="A1207" s="124"/>
      <c r="B1207" s="142"/>
      <c r="C1207" s="115"/>
      <c r="D1207" s="115"/>
      <c r="E1207" s="115"/>
      <c r="F1207" s="115"/>
      <c r="G1207" s="60" t="s">
        <v>128</v>
      </c>
      <c r="H1207" s="124"/>
      <c r="I1207" s="124"/>
      <c r="J1207" s="60"/>
      <c r="K1207" s="60"/>
      <c r="L1207" s="60"/>
      <c r="M1207" s="60"/>
      <c r="N1207" s="60">
        <f t="shared" si="369"/>
        <v>0</v>
      </c>
      <c r="O1207" s="60">
        <f t="shared" si="370"/>
        <v>0</v>
      </c>
    </row>
    <row r="1208" spans="1:15" s="38" customFormat="1" ht="10.7" customHeight="1" outlineLevel="1" x14ac:dyDescent="0.25">
      <c r="A1208" s="124"/>
      <c r="B1208" s="142"/>
      <c r="C1208" s="115"/>
      <c r="D1208" s="115"/>
      <c r="E1208" s="115"/>
      <c r="F1208" s="115"/>
      <c r="G1208" s="60" t="s">
        <v>129</v>
      </c>
      <c r="H1208" s="124"/>
      <c r="I1208" s="124"/>
      <c r="J1208" s="60"/>
      <c r="K1208" s="60"/>
      <c r="L1208" s="60"/>
      <c r="M1208" s="60"/>
      <c r="N1208" s="60">
        <f t="shared" si="369"/>
        <v>0</v>
      </c>
      <c r="O1208" s="60">
        <f t="shared" si="370"/>
        <v>0</v>
      </c>
    </row>
    <row r="1209" spans="1:15" s="38" customFormat="1" ht="10.7" customHeight="1" outlineLevel="1" x14ac:dyDescent="0.25">
      <c r="A1209" s="124"/>
      <c r="B1209" s="142"/>
      <c r="C1209" s="115"/>
      <c r="D1209" s="115"/>
      <c r="E1209" s="115"/>
      <c r="F1209" s="115"/>
      <c r="G1209" s="60" t="s">
        <v>130</v>
      </c>
      <c r="H1209" s="124"/>
      <c r="I1209" s="124"/>
      <c r="J1209" s="60"/>
      <c r="K1209" s="60"/>
      <c r="L1209" s="60"/>
      <c r="M1209" s="60"/>
      <c r="N1209" s="60">
        <f t="shared" si="369"/>
        <v>0</v>
      </c>
      <c r="O1209" s="60">
        <f t="shared" si="370"/>
        <v>0</v>
      </c>
    </row>
    <row r="1210" spans="1:15" s="38" customFormat="1" ht="12" customHeight="1" outlineLevel="1" thickBot="1" x14ac:dyDescent="0.3">
      <c r="A1210" s="125"/>
      <c r="B1210" s="143"/>
      <c r="C1210" s="131"/>
      <c r="D1210" s="131"/>
      <c r="E1210" s="131"/>
      <c r="F1210" s="131"/>
      <c r="G1210" s="60" t="s">
        <v>131</v>
      </c>
      <c r="H1210" s="134"/>
      <c r="I1210" s="134"/>
      <c r="J1210" s="60"/>
      <c r="K1210" s="60"/>
      <c r="L1210" s="60"/>
      <c r="M1210" s="60"/>
      <c r="N1210" s="60">
        <f t="shared" si="369"/>
        <v>0</v>
      </c>
      <c r="O1210" s="60">
        <f t="shared" si="370"/>
        <v>0</v>
      </c>
    </row>
    <row r="1211" spans="1:15" s="38" customFormat="1" ht="14.45" customHeight="1" outlineLevel="1" x14ac:dyDescent="0.25">
      <c r="A1211" s="140" t="s">
        <v>864</v>
      </c>
      <c r="B1211" s="141" t="s">
        <v>380</v>
      </c>
      <c r="C1211" s="130">
        <f>SUM(N1211:N1217)</f>
        <v>0</v>
      </c>
      <c r="D1211" s="130">
        <f>SUM(O1211:O1217)</f>
        <v>0</v>
      </c>
      <c r="E1211" s="130">
        <f t="shared" si="368"/>
        <v>0</v>
      </c>
      <c r="F1211" s="130"/>
      <c r="G1211" s="60" t="s">
        <v>125</v>
      </c>
      <c r="H1211" s="123"/>
      <c r="I1211" s="123"/>
      <c r="J1211" s="60"/>
      <c r="K1211" s="60"/>
      <c r="L1211" s="60"/>
      <c r="M1211" s="60"/>
      <c r="N1211" s="60">
        <f>M1211*J1211*K1211*L1211</f>
        <v>0</v>
      </c>
      <c r="O1211" s="60">
        <f>J1211*K1211*L1211</f>
        <v>0</v>
      </c>
    </row>
    <row r="1212" spans="1:15" s="38" customFormat="1" ht="11.45" customHeight="1" outlineLevel="1" x14ac:dyDescent="0.25">
      <c r="A1212" s="124"/>
      <c r="B1212" s="142"/>
      <c r="C1212" s="115"/>
      <c r="D1212" s="115"/>
      <c r="E1212" s="115"/>
      <c r="F1212" s="115"/>
      <c r="G1212" s="60" t="s">
        <v>126</v>
      </c>
      <c r="H1212" s="124"/>
      <c r="I1212" s="124"/>
      <c r="J1212" s="60"/>
      <c r="K1212" s="60"/>
      <c r="L1212" s="60"/>
      <c r="M1212" s="60"/>
      <c r="N1212" s="60">
        <f t="shared" ref="N1212:N1217" si="371">M1212*J1212*K1212*L1212</f>
        <v>0</v>
      </c>
      <c r="O1212" s="60">
        <f t="shared" ref="O1212:O1217" si="372">J1212*K1212*L1212</f>
        <v>0</v>
      </c>
    </row>
    <row r="1213" spans="1:15" s="38" customFormat="1" ht="10.7" customHeight="1" outlineLevel="1" x14ac:dyDescent="0.25">
      <c r="A1213" s="124"/>
      <c r="B1213" s="142"/>
      <c r="C1213" s="115"/>
      <c r="D1213" s="115"/>
      <c r="E1213" s="115"/>
      <c r="F1213" s="115"/>
      <c r="G1213" s="60" t="s">
        <v>127</v>
      </c>
      <c r="H1213" s="124"/>
      <c r="I1213" s="124"/>
      <c r="J1213" s="60"/>
      <c r="K1213" s="60"/>
      <c r="L1213" s="60"/>
      <c r="M1213" s="60"/>
      <c r="N1213" s="60">
        <f t="shared" si="371"/>
        <v>0</v>
      </c>
      <c r="O1213" s="60">
        <f t="shared" si="372"/>
        <v>0</v>
      </c>
    </row>
    <row r="1214" spans="1:15" s="38" customFormat="1" ht="10.7" customHeight="1" outlineLevel="1" x14ac:dyDescent="0.25">
      <c r="A1214" s="124"/>
      <c r="B1214" s="142"/>
      <c r="C1214" s="115"/>
      <c r="D1214" s="115"/>
      <c r="E1214" s="115"/>
      <c r="F1214" s="115"/>
      <c r="G1214" s="60" t="s">
        <v>128</v>
      </c>
      <c r="H1214" s="124"/>
      <c r="I1214" s="124"/>
      <c r="J1214" s="60"/>
      <c r="K1214" s="60"/>
      <c r="L1214" s="60"/>
      <c r="M1214" s="60"/>
      <c r="N1214" s="60">
        <f t="shared" si="371"/>
        <v>0</v>
      </c>
      <c r="O1214" s="60">
        <f t="shared" si="372"/>
        <v>0</v>
      </c>
    </row>
    <row r="1215" spans="1:15" s="38" customFormat="1" ht="10.7" customHeight="1" outlineLevel="1" x14ac:dyDescent="0.25">
      <c r="A1215" s="124"/>
      <c r="B1215" s="142"/>
      <c r="C1215" s="115"/>
      <c r="D1215" s="115"/>
      <c r="E1215" s="115"/>
      <c r="F1215" s="115"/>
      <c r="G1215" s="60" t="s">
        <v>129</v>
      </c>
      <c r="H1215" s="124"/>
      <c r="I1215" s="124"/>
      <c r="J1215" s="60"/>
      <c r="K1215" s="60"/>
      <c r="L1215" s="60"/>
      <c r="M1215" s="60"/>
      <c r="N1215" s="60">
        <f t="shared" si="371"/>
        <v>0</v>
      </c>
      <c r="O1215" s="60">
        <f t="shared" si="372"/>
        <v>0</v>
      </c>
    </row>
    <row r="1216" spans="1:15" s="38" customFormat="1" ht="10.7" customHeight="1" outlineLevel="1" x14ac:dyDescent="0.25">
      <c r="A1216" s="124"/>
      <c r="B1216" s="142"/>
      <c r="C1216" s="115"/>
      <c r="D1216" s="115"/>
      <c r="E1216" s="115"/>
      <c r="F1216" s="115"/>
      <c r="G1216" s="60" t="s">
        <v>130</v>
      </c>
      <c r="H1216" s="124"/>
      <c r="I1216" s="124"/>
      <c r="J1216" s="60"/>
      <c r="K1216" s="60"/>
      <c r="L1216" s="60"/>
      <c r="M1216" s="60"/>
      <c r="N1216" s="60">
        <f t="shared" si="371"/>
        <v>0</v>
      </c>
      <c r="O1216" s="60">
        <f t="shared" si="372"/>
        <v>0</v>
      </c>
    </row>
    <row r="1217" spans="1:15" s="38" customFormat="1" ht="12" customHeight="1" outlineLevel="1" thickBot="1" x14ac:dyDescent="0.3">
      <c r="A1217" s="125"/>
      <c r="B1217" s="143"/>
      <c r="C1217" s="131"/>
      <c r="D1217" s="131"/>
      <c r="E1217" s="131"/>
      <c r="F1217" s="131"/>
      <c r="G1217" s="60" t="s">
        <v>131</v>
      </c>
      <c r="H1217" s="134"/>
      <c r="I1217" s="134"/>
      <c r="J1217" s="60"/>
      <c r="K1217" s="60"/>
      <c r="L1217" s="60"/>
      <c r="M1217" s="60"/>
      <c r="N1217" s="60">
        <f t="shared" si="371"/>
        <v>0</v>
      </c>
      <c r="O1217" s="60">
        <f t="shared" si="372"/>
        <v>0</v>
      </c>
    </row>
    <row r="1218" spans="1:15" s="39" customFormat="1" ht="15.75" x14ac:dyDescent="0.25">
      <c r="A1218" s="40" t="s">
        <v>318</v>
      </c>
      <c r="B1218" s="41" t="s">
        <v>258</v>
      </c>
      <c r="C1218" s="42">
        <f>SUM(C1219)</f>
        <v>0</v>
      </c>
      <c r="D1218" s="42">
        <f>SUM(D1219)</f>
        <v>0</v>
      </c>
      <c r="E1218" s="42">
        <f>SUM(E1219)</f>
        <v>0</v>
      </c>
      <c r="F1218" s="57"/>
      <c r="G1218" s="57"/>
      <c r="H1218" s="57"/>
      <c r="I1218" s="57"/>
      <c r="J1218" s="57"/>
      <c r="K1218" s="57"/>
      <c r="L1218" s="57"/>
      <c r="M1218" s="57"/>
      <c r="N1218" s="57"/>
      <c r="O1218" s="43"/>
    </row>
    <row r="1219" spans="1:15" s="38" customFormat="1" ht="14.45" customHeight="1" outlineLevel="1" x14ac:dyDescent="0.25">
      <c r="A1219" s="140" t="s">
        <v>320</v>
      </c>
      <c r="B1219" s="141" t="s">
        <v>865</v>
      </c>
      <c r="C1219" s="130">
        <f>SUM(N1219:N1225)</f>
        <v>0</v>
      </c>
      <c r="D1219" s="130">
        <f>SUM(O1219:O1225)</f>
        <v>0</v>
      </c>
      <c r="E1219" s="130">
        <f t="shared" ref="E1219" si="373">D1219/8</f>
        <v>0</v>
      </c>
      <c r="F1219" s="130"/>
      <c r="G1219" s="60" t="s">
        <v>125</v>
      </c>
      <c r="H1219" s="123"/>
      <c r="I1219" s="123"/>
      <c r="J1219" s="60"/>
      <c r="K1219" s="60"/>
      <c r="L1219" s="60"/>
      <c r="M1219" s="60"/>
      <c r="N1219" s="60">
        <f>M1219*J1219*K1219*L1219</f>
        <v>0</v>
      </c>
      <c r="O1219" s="60">
        <f>J1219*K1219*L1219</f>
        <v>0</v>
      </c>
    </row>
    <row r="1220" spans="1:15" s="38" customFormat="1" ht="11.45" customHeight="1" outlineLevel="1" x14ac:dyDescent="0.25">
      <c r="A1220" s="124"/>
      <c r="B1220" s="142"/>
      <c r="C1220" s="115"/>
      <c r="D1220" s="115"/>
      <c r="E1220" s="115"/>
      <c r="F1220" s="115"/>
      <c r="G1220" s="60" t="s">
        <v>126</v>
      </c>
      <c r="H1220" s="124"/>
      <c r="I1220" s="124"/>
      <c r="J1220" s="60"/>
      <c r="K1220" s="60"/>
      <c r="L1220" s="60"/>
      <c r="M1220" s="60"/>
      <c r="N1220" s="60">
        <f t="shared" ref="N1220:N1225" si="374">M1220*J1220*K1220*L1220</f>
        <v>0</v>
      </c>
      <c r="O1220" s="60">
        <f t="shared" ref="O1220:O1225" si="375">J1220*K1220*L1220</f>
        <v>0</v>
      </c>
    </row>
    <row r="1221" spans="1:15" s="38" customFormat="1" ht="10.7" customHeight="1" outlineLevel="1" x14ac:dyDescent="0.25">
      <c r="A1221" s="124"/>
      <c r="B1221" s="142"/>
      <c r="C1221" s="115"/>
      <c r="D1221" s="115"/>
      <c r="E1221" s="115"/>
      <c r="F1221" s="115"/>
      <c r="G1221" s="60" t="s">
        <v>127</v>
      </c>
      <c r="H1221" s="124"/>
      <c r="I1221" s="124"/>
      <c r="J1221" s="60"/>
      <c r="K1221" s="60"/>
      <c r="L1221" s="60"/>
      <c r="M1221" s="60"/>
      <c r="N1221" s="60">
        <f t="shared" si="374"/>
        <v>0</v>
      </c>
      <c r="O1221" s="60">
        <f t="shared" si="375"/>
        <v>0</v>
      </c>
    </row>
    <row r="1222" spans="1:15" s="38" customFormat="1" ht="10.7" customHeight="1" outlineLevel="1" x14ac:dyDescent="0.25">
      <c r="A1222" s="124"/>
      <c r="B1222" s="142"/>
      <c r="C1222" s="115"/>
      <c r="D1222" s="115"/>
      <c r="E1222" s="115"/>
      <c r="F1222" s="115"/>
      <c r="G1222" s="60" t="s">
        <v>128</v>
      </c>
      <c r="H1222" s="124"/>
      <c r="I1222" s="124"/>
      <c r="J1222" s="60"/>
      <c r="K1222" s="60"/>
      <c r="L1222" s="60"/>
      <c r="M1222" s="60"/>
      <c r="N1222" s="60">
        <f t="shared" si="374"/>
        <v>0</v>
      </c>
      <c r="O1222" s="60">
        <f t="shared" si="375"/>
        <v>0</v>
      </c>
    </row>
    <row r="1223" spans="1:15" s="38" customFormat="1" ht="10.7" customHeight="1" outlineLevel="1" x14ac:dyDescent="0.25">
      <c r="A1223" s="124"/>
      <c r="B1223" s="142"/>
      <c r="C1223" s="115"/>
      <c r="D1223" s="115"/>
      <c r="E1223" s="115"/>
      <c r="F1223" s="115"/>
      <c r="G1223" s="60" t="s">
        <v>129</v>
      </c>
      <c r="H1223" s="124"/>
      <c r="I1223" s="124"/>
      <c r="J1223" s="60"/>
      <c r="K1223" s="60"/>
      <c r="L1223" s="60"/>
      <c r="M1223" s="60"/>
      <c r="N1223" s="60">
        <f t="shared" si="374"/>
        <v>0</v>
      </c>
      <c r="O1223" s="60">
        <f t="shared" si="375"/>
        <v>0</v>
      </c>
    </row>
    <row r="1224" spans="1:15" s="38" customFormat="1" ht="10.7" customHeight="1" outlineLevel="1" x14ac:dyDescent="0.25">
      <c r="A1224" s="124"/>
      <c r="B1224" s="142"/>
      <c r="C1224" s="115"/>
      <c r="D1224" s="115"/>
      <c r="E1224" s="115"/>
      <c r="F1224" s="115"/>
      <c r="G1224" s="60" t="s">
        <v>130</v>
      </c>
      <c r="H1224" s="124"/>
      <c r="I1224" s="124"/>
      <c r="J1224" s="60"/>
      <c r="K1224" s="60"/>
      <c r="L1224" s="60"/>
      <c r="M1224" s="60"/>
      <c r="N1224" s="60">
        <f t="shared" si="374"/>
        <v>0</v>
      </c>
      <c r="O1224" s="60">
        <f t="shared" si="375"/>
        <v>0</v>
      </c>
    </row>
    <row r="1225" spans="1:15" s="38" customFormat="1" ht="12" customHeight="1" outlineLevel="1" thickBot="1" x14ac:dyDescent="0.3">
      <c r="A1225" s="125"/>
      <c r="B1225" s="143"/>
      <c r="C1225" s="131"/>
      <c r="D1225" s="131"/>
      <c r="E1225" s="131"/>
      <c r="F1225" s="131"/>
      <c r="G1225" s="60" t="s">
        <v>131</v>
      </c>
      <c r="H1225" s="134"/>
      <c r="I1225" s="134"/>
      <c r="J1225" s="60"/>
      <c r="K1225" s="60"/>
      <c r="L1225" s="60"/>
      <c r="M1225" s="60"/>
      <c r="N1225" s="60">
        <f t="shared" si="374"/>
        <v>0</v>
      </c>
      <c r="O1225" s="60">
        <f t="shared" si="375"/>
        <v>0</v>
      </c>
    </row>
    <row r="1226" spans="1:15" s="39" customFormat="1" ht="15.75" x14ac:dyDescent="0.25">
      <c r="A1226" s="40" t="s">
        <v>322</v>
      </c>
      <c r="B1226" s="41" t="s">
        <v>262</v>
      </c>
      <c r="C1226" s="42">
        <f>SUM(C1227:C1408)</f>
        <v>0</v>
      </c>
      <c r="D1226" s="42">
        <f>SUM(D1227:D1408)</f>
        <v>0</v>
      </c>
      <c r="E1226" s="42">
        <f>SUM(E1227:E1408)</f>
        <v>0</v>
      </c>
      <c r="F1226" s="42"/>
      <c r="G1226" s="42"/>
      <c r="H1226" s="42"/>
      <c r="I1226" s="42"/>
      <c r="J1226" s="42"/>
      <c r="K1226" s="42"/>
      <c r="L1226" s="42"/>
      <c r="M1226" s="42"/>
      <c r="N1226" s="42"/>
      <c r="O1226" s="47"/>
    </row>
    <row r="1227" spans="1:15" s="38" customFormat="1" ht="14.45" customHeight="1" outlineLevel="1" x14ac:dyDescent="0.25">
      <c r="A1227" s="140" t="s">
        <v>71</v>
      </c>
      <c r="B1227" s="141" t="s">
        <v>866</v>
      </c>
      <c r="C1227" s="130">
        <f>SUM(N1227:N1233)</f>
        <v>0</v>
      </c>
      <c r="D1227" s="130">
        <f>SUM(O1227:O1233)</f>
        <v>0</v>
      </c>
      <c r="E1227" s="130">
        <f t="shared" ref="E1227:E1290" si="376">D1227/8</f>
        <v>0</v>
      </c>
      <c r="F1227" s="130"/>
      <c r="G1227" s="60" t="s">
        <v>125</v>
      </c>
      <c r="H1227" s="123"/>
      <c r="I1227" s="123"/>
      <c r="J1227" s="60"/>
      <c r="K1227" s="60"/>
      <c r="L1227" s="60"/>
      <c r="M1227" s="60"/>
      <c r="N1227" s="60">
        <f>M1227*J1227*K1227*L1227</f>
        <v>0</v>
      </c>
      <c r="O1227" s="60">
        <f>J1227*K1227*L1227</f>
        <v>0</v>
      </c>
    </row>
    <row r="1228" spans="1:15" s="38" customFormat="1" ht="11.45" customHeight="1" outlineLevel="1" x14ac:dyDescent="0.25">
      <c r="A1228" s="124"/>
      <c r="B1228" s="142"/>
      <c r="C1228" s="115"/>
      <c r="D1228" s="115"/>
      <c r="E1228" s="115"/>
      <c r="F1228" s="115"/>
      <c r="G1228" s="60" t="s">
        <v>126</v>
      </c>
      <c r="H1228" s="124"/>
      <c r="I1228" s="124"/>
      <c r="J1228" s="60"/>
      <c r="K1228" s="60"/>
      <c r="L1228" s="60"/>
      <c r="M1228" s="60"/>
      <c r="N1228" s="60">
        <f t="shared" ref="N1228:N1233" si="377">M1228*J1228*K1228*L1228</f>
        <v>0</v>
      </c>
      <c r="O1228" s="60">
        <f t="shared" ref="O1228:O1233" si="378">J1228*K1228*L1228</f>
        <v>0</v>
      </c>
    </row>
    <row r="1229" spans="1:15" s="38" customFormat="1" ht="10.7" customHeight="1" outlineLevel="1" x14ac:dyDescent="0.25">
      <c r="A1229" s="124"/>
      <c r="B1229" s="142"/>
      <c r="C1229" s="115"/>
      <c r="D1229" s="115"/>
      <c r="E1229" s="115"/>
      <c r="F1229" s="115"/>
      <c r="G1229" s="60" t="s">
        <v>127</v>
      </c>
      <c r="H1229" s="124"/>
      <c r="I1229" s="124"/>
      <c r="J1229" s="60"/>
      <c r="K1229" s="60"/>
      <c r="L1229" s="60"/>
      <c r="M1229" s="60"/>
      <c r="N1229" s="60">
        <f t="shared" si="377"/>
        <v>0</v>
      </c>
      <c r="O1229" s="60">
        <f t="shared" si="378"/>
        <v>0</v>
      </c>
    </row>
    <row r="1230" spans="1:15" s="38" customFormat="1" ht="10.7" customHeight="1" outlineLevel="1" x14ac:dyDescent="0.25">
      <c r="A1230" s="124"/>
      <c r="B1230" s="142"/>
      <c r="C1230" s="115"/>
      <c r="D1230" s="115"/>
      <c r="E1230" s="115"/>
      <c r="F1230" s="115"/>
      <c r="G1230" s="60" t="s">
        <v>128</v>
      </c>
      <c r="H1230" s="124"/>
      <c r="I1230" s="124"/>
      <c r="J1230" s="60"/>
      <c r="K1230" s="60"/>
      <c r="L1230" s="60"/>
      <c r="M1230" s="60"/>
      <c r="N1230" s="60">
        <f t="shared" si="377"/>
        <v>0</v>
      </c>
      <c r="O1230" s="60">
        <f t="shared" si="378"/>
        <v>0</v>
      </c>
    </row>
    <row r="1231" spans="1:15" s="38" customFormat="1" ht="10.7" customHeight="1" outlineLevel="1" x14ac:dyDescent="0.25">
      <c r="A1231" s="124"/>
      <c r="B1231" s="142"/>
      <c r="C1231" s="115"/>
      <c r="D1231" s="115"/>
      <c r="E1231" s="115"/>
      <c r="F1231" s="115"/>
      <c r="G1231" s="60" t="s">
        <v>129</v>
      </c>
      <c r="H1231" s="124"/>
      <c r="I1231" s="124"/>
      <c r="J1231" s="60"/>
      <c r="K1231" s="60"/>
      <c r="L1231" s="60"/>
      <c r="M1231" s="60"/>
      <c r="N1231" s="60">
        <f t="shared" si="377"/>
        <v>0</v>
      </c>
      <c r="O1231" s="60">
        <f t="shared" si="378"/>
        <v>0</v>
      </c>
    </row>
    <row r="1232" spans="1:15" s="38" customFormat="1" ht="10.7" customHeight="1" outlineLevel="1" x14ac:dyDescent="0.25">
      <c r="A1232" s="124"/>
      <c r="B1232" s="142"/>
      <c r="C1232" s="115"/>
      <c r="D1232" s="115"/>
      <c r="E1232" s="115"/>
      <c r="F1232" s="115"/>
      <c r="G1232" s="60" t="s">
        <v>130</v>
      </c>
      <c r="H1232" s="124"/>
      <c r="I1232" s="124"/>
      <c r="J1232" s="60"/>
      <c r="K1232" s="60"/>
      <c r="L1232" s="60"/>
      <c r="M1232" s="60"/>
      <c r="N1232" s="60">
        <f t="shared" si="377"/>
        <v>0</v>
      </c>
      <c r="O1232" s="60">
        <f t="shared" si="378"/>
        <v>0</v>
      </c>
    </row>
    <row r="1233" spans="1:15" s="38" customFormat="1" ht="12" customHeight="1" outlineLevel="1" thickBot="1" x14ac:dyDescent="0.3">
      <c r="A1233" s="125"/>
      <c r="B1233" s="143"/>
      <c r="C1233" s="131"/>
      <c r="D1233" s="131"/>
      <c r="E1233" s="131"/>
      <c r="F1233" s="131"/>
      <c r="G1233" s="60" t="s">
        <v>131</v>
      </c>
      <c r="H1233" s="134"/>
      <c r="I1233" s="134"/>
      <c r="J1233" s="60"/>
      <c r="K1233" s="60"/>
      <c r="L1233" s="60"/>
      <c r="M1233" s="60"/>
      <c r="N1233" s="60">
        <f t="shared" si="377"/>
        <v>0</v>
      </c>
      <c r="O1233" s="60">
        <f t="shared" si="378"/>
        <v>0</v>
      </c>
    </row>
    <row r="1234" spans="1:15" s="38" customFormat="1" ht="14.45" customHeight="1" outlineLevel="1" x14ac:dyDescent="0.25">
      <c r="A1234" s="140" t="s">
        <v>867</v>
      </c>
      <c r="B1234" s="141" t="s">
        <v>382</v>
      </c>
      <c r="C1234" s="130">
        <f>SUM(N1234:N1240)</f>
        <v>0</v>
      </c>
      <c r="D1234" s="130">
        <f>SUM(O1234:O1240)</f>
        <v>0</v>
      </c>
      <c r="E1234" s="130">
        <f t="shared" si="376"/>
        <v>0</v>
      </c>
      <c r="F1234" s="130"/>
      <c r="G1234" s="60" t="s">
        <v>125</v>
      </c>
      <c r="H1234" s="123"/>
      <c r="I1234" s="123"/>
      <c r="J1234" s="60"/>
      <c r="K1234" s="60"/>
      <c r="L1234" s="60"/>
      <c r="M1234" s="60"/>
      <c r="N1234" s="60">
        <f>M1234*J1234*K1234*L1234</f>
        <v>0</v>
      </c>
      <c r="O1234" s="60">
        <f>J1234*K1234*L1234</f>
        <v>0</v>
      </c>
    </row>
    <row r="1235" spans="1:15" s="38" customFormat="1" ht="11.45" customHeight="1" outlineLevel="1" x14ac:dyDescent="0.25">
      <c r="A1235" s="124"/>
      <c r="B1235" s="142"/>
      <c r="C1235" s="115"/>
      <c r="D1235" s="115"/>
      <c r="E1235" s="115"/>
      <c r="F1235" s="115"/>
      <c r="G1235" s="60" t="s">
        <v>126</v>
      </c>
      <c r="H1235" s="124"/>
      <c r="I1235" s="124"/>
      <c r="J1235" s="60"/>
      <c r="K1235" s="60"/>
      <c r="L1235" s="60"/>
      <c r="M1235" s="60"/>
      <c r="N1235" s="60">
        <f t="shared" ref="N1235:N1240" si="379">M1235*J1235*K1235*L1235</f>
        <v>0</v>
      </c>
      <c r="O1235" s="60">
        <f t="shared" ref="O1235:O1240" si="380">J1235*K1235*L1235</f>
        <v>0</v>
      </c>
    </row>
    <row r="1236" spans="1:15" s="38" customFormat="1" ht="10.7" customHeight="1" outlineLevel="1" x14ac:dyDescent="0.25">
      <c r="A1236" s="124"/>
      <c r="B1236" s="142"/>
      <c r="C1236" s="115"/>
      <c r="D1236" s="115"/>
      <c r="E1236" s="115"/>
      <c r="F1236" s="115"/>
      <c r="G1236" s="60" t="s">
        <v>127</v>
      </c>
      <c r="H1236" s="124"/>
      <c r="I1236" s="124"/>
      <c r="J1236" s="60"/>
      <c r="K1236" s="60"/>
      <c r="L1236" s="60"/>
      <c r="M1236" s="60"/>
      <c r="N1236" s="60">
        <f t="shared" si="379"/>
        <v>0</v>
      </c>
      <c r="O1236" s="60">
        <f t="shared" si="380"/>
        <v>0</v>
      </c>
    </row>
    <row r="1237" spans="1:15" s="38" customFormat="1" ht="10.7" customHeight="1" outlineLevel="1" x14ac:dyDescent="0.25">
      <c r="A1237" s="124"/>
      <c r="B1237" s="142"/>
      <c r="C1237" s="115"/>
      <c r="D1237" s="115"/>
      <c r="E1237" s="115"/>
      <c r="F1237" s="115"/>
      <c r="G1237" s="60" t="s">
        <v>128</v>
      </c>
      <c r="H1237" s="124"/>
      <c r="I1237" s="124"/>
      <c r="J1237" s="60"/>
      <c r="K1237" s="60"/>
      <c r="L1237" s="60"/>
      <c r="M1237" s="60"/>
      <c r="N1237" s="60">
        <f t="shared" si="379"/>
        <v>0</v>
      </c>
      <c r="O1237" s="60">
        <f t="shared" si="380"/>
        <v>0</v>
      </c>
    </row>
    <row r="1238" spans="1:15" s="38" customFormat="1" ht="10.7" customHeight="1" outlineLevel="1" x14ac:dyDescent="0.25">
      <c r="A1238" s="124"/>
      <c r="B1238" s="142"/>
      <c r="C1238" s="115"/>
      <c r="D1238" s="115"/>
      <c r="E1238" s="115"/>
      <c r="F1238" s="115"/>
      <c r="G1238" s="60" t="s">
        <v>129</v>
      </c>
      <c r="H1238" s="124"/>
      <c r="I1238" s="124"/>
      <c r="J1238" s="60"/>
      <c r="K1238" s="60"/>
      <c r="L1238" s="60"/>
      <c r="M1238" s="60"/>
      <c r="N1238" s="60">
        <f t="shared" si="379"/>
        <v>0</v>
      </c>
      <c r="O1238" s="60">
        <f t="shared" si="380"/>
        <v>0</v>
      </c>
    </row>
    <row r="1239" spans="1:15" s="38" customFormat="1" ht="10.7" customHeight="1" outlineLevel="1" x14ac:dyDescent="0.25">
      <c r="A1239" s="124"/>
      <c r="B1239" s="142"/>
      <c r="C1239" s="115"/>
      <c r="D1239" s="115"/>
      <c r="E1239" s="115"/>
      <c r="F1239" s="115"/>
      <c r="G1239" s="60" t="s">
        <v>130</v>
      </c>
      <c r="H1239" s="124"/>
      <c r="I1239" s="124"/>
      <c r="J1239" s="60"/>
      <c r="K1239" s="60"/>
      <c r="L1239" s="60"/>
      <c r="M1239" s="60"/>
      <c r="N1239" s="60">
        <f t="shared" si="379"/>
        <v>0</v>
      </c>
      <c r="O1239" s="60">
        <f t="shared" si="380"/>
        <v>0</v>
      </c>
    </row>
    <row r="1240" spans="1:15" s="38" customFormat="1" ht="12" customHeight="1" outlineLevel="1" thickBot="1" x14ac:dyDescent="0.3">
      <c r="A1240" s="125"/>
      <c r="B1240" s="143"/>
      <c r="C1240" s="131"/>
      <c r="D1240" s="131"/>
      <c r="E1240" s="131"/>
      <c r="F1240" s="131"/>
      <c r="G1240" s="60" t="s">
        <v>131</v>
      </c>
      <c r="H1240" s="134"/>
      <c r="I1240" s="134"/>
      <c r="J1240" s="60"/>
      <c r="K1240" s="60"/>
      <c r="L1240" s="60"/>
      <c r="M1240" s="60"/>
      <c r="N1240" s="60">
        <f t="shared" si="379"/>
        <v>0</v>
      </c>
      <c r="O1240" s="60">
        <f t="shared" si="380"/>
        <v>0</v>
      </c>
    </row>
    <row r="1241" spans="1:15" s="38" customFormat="1" ht="14.45" customHeight="1" outlineLevel="1" x14ac:dyDescent="0.25">
      <c r="A1241" s="140" t="s">
        <v>868</v>
      </c>
      <c r="B1241" s="141" t="s">
        <v>443</v>
      </c>
      <c r="C1241" s="130">
        <f>SUM(N1241:N1247)</f>
        <v>0</v>
      </c>
      <c r="D1241" s="130">
        <f>SUM(O1241:O1247)</f>
        <v>0</v>
      </c>
      <c r="E1241" s="130">
        <f t="shared" si="376"/>
        <v>0</v>
      </c>
      <c r="F1241" s="130"/>
      <c r="G1241" s="60" t="s">
        <v>125</v>
      </c>
      <c r="H1241" s="123"/>
      <c r="I1241" s="123"/>
      <c r="J1241" s="60"/>
      <c r="K1241" s="60"/>
      <c r="L1241" s="60"/>
      <c r="M1241" s="60"/>
      <c r="N1241" s="60">
        <f>M1241*J1241*K1241*L1241</f>
        <v>0</v>
      </c>
      <c r="O1241" s="60">
        <f>J1241*K1241*L1241</f>
        <v>0</v>
      </c>
    </row>
    <row r="1242" spans="1:15" s="38" customFormat="1" ht="11.45" customHeight="1" outlineLevel="1" x14ac:dyDescent="0.25">
      <c r="A1242" s="124"/>
      <c r="B1242" s="142"/>
      <c r="C1242" s="115"/>
      <c r="D1242" s="115"/>
      <c r="E1242" s="115"/>
      <c r="F1242" s="115"/>
      <c r="G1242" s="60" t="s">
        <v>126</v>
      </c>
      <c r="H1242" s="124"/>
      <c r="I1242" s="124"/>
      <c r="J1242" s="60"/>
      <c r="K1242" s="60"/>
      <c r="L1242" s="60"/>
      <c r="M1242" s="60"/>
      <c r="N1242" s="60">
        <f t="shared" ref="N1242:N1247" si="381">M1242*J1242*K1242*L1242</f>
        <v>0</v>
      </c>
      <c r="O1242" s="60">
        <f t="shared" ref="O1242:O1247" si="382">J1242*K1242*L1242</f>
        <v>0</v>
      </c>
    </row>
    <row r="1243" spans="1:15" s="38" customFormat="1" ht="10.7" customHeight="1" outlineLevel="1" x14ac:dyDescent="0.25">
      <c r="A1243" s="124"/>
      <c r="B1243" s="142"/>
      <c r="C1243" s="115"/>
      <c r="D1243" s="115"/>
      <c r="E1243" s="115"/>
      <c r="F1243" s="115"/>
      <c r="G1243" s="60" t="s">
        <v>127</v>
      </c>
      <c r="H1243" s="124"/>
      <c r="I1243" s="124"/>
      <c r="J1243" s="60"/>
      <c r="K1243" s="60"/>
      <c r="L1243" s="60"/>
      <c r="M1243" s="60"/>
      <c r="N1243" s="60">
        <f t="shared" si="381"/>
        <v>0</v>
      </c>
      <c r="O1243" s="60">
        <f t="shared" si="382"/>
        <v>0</v>
      </c>
    </row>
    <row r="1244" spans="1:15" s="38" customFormat="1" ht="10.7" customHeight="1" outlineLevel="1" x14ac:dyDescent="0.25">
      <c r="A1244" s="124"/>
      <c r="B1244" s="142"/>
      <c r="C1244" s="115"/>
      <c r="D1244" s="115"/>
      <c r="E1244" s="115"/>
      <c r="F1244" s="115"/>
      <c r="G1244" s="60" t="s">
        <v>128</v>
      </c>
      <c r="H1244" s="124"/>
      <c r="I1244" s="124"/>
      <c r="J1244" s="60"/>
      <c r="K1244" s="60"/>
      <c r="L1244" s="60"/>
      <c r="M1244" s="60"/>
      <c r="N1244" s="60">
        <f t="shared" si="381"/>
        <v>0</v>
      </c>
      <c r="O1244" s="60">
        <f t="shared" si="382"/>
        <v>0</v>
      </c>
    </row>
    <row r="1245" spans="1:15" s="38" customFormat="1" ht="10.7" customHeight="1" outlineLevel="1" x14ac:dyDescent="0.25">
      <c r="A1245" s="124"/>
      <c r="B1245" s="142"/>
      <c r="C1245" s="115"/>
      <c r="D1245" s="115"/>
      <c r="E1245" s="115"/>
      <c r="F1245" s="115"/>
      <c r="G1245" s="60" t="s">
        <v>129</v>
      </c>
      <c r="H1245" s="124"/>
      <c r="I1245" s="124"/>
      <c r="J1245" s="60"/>
      <c r="K1245" s="60"/>
      <c r="L1245" s="60"/>
      <c r="M1245" s="60"/>
      <c r="N1245" s="60">
        <f t="shared" si="381"/>
        <v>0</v>
      </c>
      <c r="O1245" s="60">
        <f t="shared" si="382"/>
        <v>0</v>
      </c>
    </row>
    <row r="1246" spans="1:15" s="38" customFormat="1" ht="10.7" customHeight="1" outlineLevel="1" x14ac:dyDescent="0.25">
      <c r="A1246" s="124"/>
      <c r="B1246" s="142"/>
      <c r="C1246" s="115"/>
      <c r="D1246" s="115"/>
      <c r="E1246" s="115"/>
      <c r="F1246" s="115"/>
      <c r="G1246" s="60" t="s">
        <v>130</v>
      </c>
      <c r="H1246" s="124"/>
      <c r="I1246" s="124"/>
      <c r="J1246" s="60"/>
      <c r="K1246" s="60"/>
      <c r="L1246" s="60"/>
      <c r="M1246" s="60"/>
      <c r="N1246" s="60">
        <f t="shared" si="381"/>
        <v>0</v>
      </c>
      <c r="O1246" s="60">
        <f t="shared" si="382"/>
        <v>0</v>
      </c>
    </row>
    <row r="1247" spans="1:15" s="38" customFormat="1" ht="12" customHeight="1" outlineLevel="1" thickBot="1" x14ac:dyDescent="0.3">
      <c r="A1247" s="125"/>
      <c r="B1247" s="143"/>
      <c r="C1247" s="131"/>
      <c r="D1247" s="131"/>
      <c r="E1247" s="131"/>
      <c r="F1247" s="131"/>
      <c r="G1247" s="60" t="s">
        <v>131</v>
      </c>
      <c r="H1247" s="134"/>
      <c r="I1247" s="134"/>
      <c r="J1247" s="60"/>
      <c r="K1247" s="60"/>
      <c r="L1247" s="60"/>
      <c r="M1247" s="60"/>
      <c r="N1247" s="60">
        <f t="shared" si="381"/>
        <v>0</v>
      </c>
      <c r="O1247" s="60">
        <f t="shared" si="382"/>
        <v>0</v>
      </c>
    </row>
    <row r="1248" spans="1:15" s="38" customFormat="1" ht="14.45" customHeight="1" outlineLevel="1" x14ac:dyDescent="0.25">
      <c r="A1248" s="140" t="s">
        <v>869</v>
      </c>
      <c r="B1248" s="141" t="s">
        <v>870</v>
      </c>
      <c r="C1248" s="130">
        <f>SUM(N1248:N1254)</f>
        <v>0</v>
      </c>
      <c r="D1248" s="130">
        <f>SUM(O1248:O1254)</f>
        <v>0</v>
      </c>
      <c r="E1248" s="130">
        <f t="shared" si="376"/>
        <v>0</v>
      </c>
      <c r="F1248" s="130"/>
      <c r="G1248" s="60" t="s">
        <v>125</v>
      </c>
      <c r="H1248" s="123"/>
      <c r="I1248" s="123"/>
      <c r="J1248" s="60"/>
      <c r="K1248" s="60"/>
      <c r="L1248" s="60"/>
      <c r="M1248" s="60"/>
      <c r="N1248" s="60">
        <f>M1248*J1248*K1248*L1248</f>
        <v>0</v>
      </c>
      <c r="O1248" s="60">
        <f>J1248*K1248*L1248</f>
        <v>0</v>
      </c>
    </row>
    <row r="1249" spans="1:15" s="38" customFormat="1" ht="11.45" customHeight="1" outlineLevel="1" x14ac:dyDescent="0.25">
      <c r="A1249" s="124"/>
      <c r="B1249" s="142"/>
      <c r="C1249" s="115"/>
      <c r="D1249" s="115"/>
      <c r="E1249" s="115"/>
      <c r="F1249" s="115"/>
      <c r="G1249" s="60" t="s">
        <v>126</v>
      </c>
      <c r="H1249" s="124"/>
      <c r="I1249" s="124"/>
      <c r="J1249" s="60"/>
      <c r="K1249" s="60"/>
      <c r="L1249" s="60"/>
      <c r="M1249" s="60"/>
      <c r="N1249" s="60">
        <f t="shared" ref="N1249:N1254" si="383">M1249*J1249*K1249*L1249</f>
        <v>0</v>
      </c>
      <c r="O1249" s="60">
        <f t="shared" ref="O1249:O1254" si="384">J1249*K1249*L1249</f>
        <v>0</v>
      </c>
    </row>
    <row r="1250" spans="1:15" s="38" customFormat="1" ht="10.7" customHeight="1" outlineLevel="1" x14ac:dyDescent="0.25">
      <c r="A1250" s="124"/>
      <c r="B1250" s="142"/>
      <c r="C1250" s="115"/>
      <c r="D1250" s="115"/>
      <c r="E1250" s="115"/>
      <c r="F1250" s="115"/>
      <c r="G1250" s="60" t="s">
        <v>127</v>
      </c>
      <c r="H1250" s="124"/>
      <c r="I1250" s="124"/>
      <c r="J1250" s="60"/>
      <c r="K1250" s="60"/>
      <c r="L1250" s="60"/>
      <c r="M1250" s="60"/>
      <c r="N1250" s="60">
        <f t="shared" si="383"/>
        <v>0</v>
      </c>
      <c r="O1250" s="60">
        <f t="shared" si="384"/>
        <v>0</v>
      </c>
    </row>
    <row r="1251" spans="1:15" s="38" customFormat="1" ht="10.7" customHeight="1" outlineLevel="1" x14ac:dyDescent="0.25">
      <c r="A1251" s="124"/>
      <c r="B1251" s="142"/>
      <c r="C1251" s="115"/>
      <c r="D1251" s="115"/>
      <c r="E1251" s="115"/>
      <c r="F1251" s="115"/>
      <c r="G1251" s="60" t="s">
        <v>128</v>
      </c>
      <c r="H1251" s="124"/>
      <c r="I1251" s="124"/>
      <c r="J1251" s="60"/>
      <c r="K1251" s="60"/>
      <c r="L1251" s="60"/>
      <c r="M1251" s="60"/>
      <c r="N1251" s="60">
        <f t="shared" si="383"/>
        <v>0</v>
      </c>
      <c r="O1251" s="60">
        <f t="shared" si="384"/>
        <v>0</v>
      </c>
    </row>
    <row r="1252" spans="1:15" s="38" customFormat="1" ht="10.7" customHeight="1" outlineLevel="1" x14ac:dyDescent="0.25">
      <c r="A1252" s="124"/>
      <c r="B1252" s="142"/>
      <c r="C1252" s="115"/>
      <c r="D1252" s="115"/>
      <c r="E1252" s="115"/>
      <c r="F1252" s="115"/>
      <c r="G1252" s="60" t="s">
        <v>129</v>
      </c>
      <c r="H1252" s="124"/>
      <c r="I1252" s="124"/>
      <c r="J1252" s="60"/>
      <c r="K1252" s="60"/>
      <c r="L1252" s="60"/>
      <c r="M1252" s="60"/>
      <c r="N1252" s="60">
        <f t="shared" si="383"/>
        <v>0</v>
      </c>
      <c r="O1252" s="60">
        <f t="shared" si="384"/>
        <v>0</v>
      </c>
    </row>
    <row r="1253" spans="1:15" s="38" customFormat="1" ht="10.7" customHeight="1" outlineLevel="1" x14ac:dyDescent="0.25">
      <c r="A1253" s="124"/>
      <c r="B1253" s="142"/>
      <c r="C1253" s="115"/>
      <c r="D1253" s="115"/>
      <c r="E1253" s="115"/>
      <c r="F1253" s="115"/>
      <c r="G1253" s="60" t="s">
        <v>130</v>
      </c>
      <c r="H1253" s="124"/>
      <c r="I1253" s="124"/>
      <c r="J1253" s="60"/>
      <c r="K1253" s="60"/>
      <c r="L1253" s="60"/>
      <c r="M1253" s="60"/>
      <c r="N1253" s="60">
        <f t="shared" si="383"/>
        <v>0</v>
      </c>
      <c r="O1253" s="60">
        <f t="shared" si="384"/>
        <v>0</v>
      </c>
    </row>
    <row r="1254" spans="1:15" s="38" customFormat="1" ht="12" customHeight="1" outlineLevel="1" thickBot="1" x14ac:dyDescent="0.3">
      <c r="A1254" s="125"/>
      <c r="B1254" s="143"/>
      <c r="C1254" s="131"/>
      <c r="D1254" s="131"/>
      <c r="E1254" s="131"/>
      <c r="F1254" s="131"/>
      <c r="G1254" s="60" t="s">
        <v>131</v>
      </c>
      <c r="H1254" s="134"/>
      <c r="I1254" s="134"/>
      <c r="J1254" s="60"/>
      <c r="K1254" s="60"/>
      <c r="L1254" s="60"/>
      <c r="M1254" s="60"/>
      <c r="N1254" s="60">
        <f t="shared" si="383"/>
        <v>0</v>
      </c>
      <c r="O1254" s="60">
        <f t="shared" si="384"/>
        <v>0</v>
      </c>
    </row>
    <row r="1255" spans="1:15" s="38" customFormat="1" ht="14.45" customHeight="1" outlineLevel="1" x14ac:dyDescent="0.25">
      <c r="A1255" s="140" t="s">
        <v>871</v>
      </c>
      <c r="B1255" s="141" t="s">
        <v>872</v>
      </c>
      <c r="C1255" s="130">
        <f>SUM(N1255:N1261)</f>
        <v>0</v>
      </c>
      <c r="D1255" s="130">
        <f>SUM(O1255:O1261)</f>
        <v>0</v>
      </c>
      <c r="E1255" s="130">
        <f t="shared" si="376"/>
        <v>0</v>
      </c>
      <c r="F1255" s="130"/>
      <c r="G1255" s="60" t="s">
        <v>125</v>
      </c>
      <c r="H1255" s="123"/>
      <c r="I1255" s="123"/>
      <c r="J1255" s="60"/>
      <c r="K1255" s="60"/>
      <c r="L1255" s="60"/>
      <c r="M1255" s="60"/>
      <c r="N1255" s="60">
        <f>M1255*J1255*K1255*L1255</f>
        <v>0</v>
      </c>
      <c r="O1255" s="60">
        <f>J1255*K1255*L1255</f>
        <v>0</v>
      </c>
    </row>
    <row r="1256" spans="1:15" s="38" customFormat="1" ht="11.45" customHeight="1" outlineLevel="1" x14ac:dyDescent="0.25">
      <c r="A1256" s="124"/>
      <c r="B1256" s="142"/>
      <c r="C1256" s="115"/>
      <c r="D1256" s="115"/>
      <c r="E1256" s="115"/>
      <c r="F1256" s="115"/>
      <c r="G1256" s="60" t="s">
        <v>126</v>
      </c>
      <c r="H1256" s="124"/>
      <c r="I1256" s="124"/>
      <c r="J1256" s="60"/>
      <c r="K1256" s="60"/>
      <c r="L1256" s="60"/>
      <c r="M1256" s="60"/>
      <c r="N1256" s="60">
        <f t="shared" ref="N1256:N1261" si="385">M1256*J1256*K1256*L1256</f>
        <v>0</v>
      </c>
      <c r="O1256" s="60">
        <f t="shared" ref="O1256:O1261" si="386">J1256*K1256*L1256</f>
        <v>0</v>
      </c>
    </row>
    <row r="1257" spans="1:15" s="38" customFormat="1" ht="10.7" customHeight="1" outlineLevel="1" x14ac:dyDescent="0.25">
      <c r="A1257" s="124"/>
      <c r="B1257" s="142"/>
      <c r="C1257" s="115"/>
      <c r="D1257" s="115"/>
      <c r="E1257" s="115"/>
      <c r="F1257" s="115"/>
      <c r="G1257" s="60" t="s">
        <v>127</v>
      </c>
      <c r="H1257" s="124"/>
      <c r="I1257" s="124"/>
      <c r="J1257" s="60"/>
      <c r="K1257" s="60"/>
      <c r="L1257" s="60"/>
      <c r="M1257" s="60"/>
      <c r="N1257" s="60">
        <f t="shared" si="385"/>
        <v>0</v>
      </c>
      <c r="O1257" s="60">
        <f t="shared" si="386"/>
        <v>0</v>
      </c>
    </row>
    <row r="1258" spans="1:15" s="38" customFormat="1" ht="10.7" customHeight="1" outlineLevel="1" x14ac:dyDescent="0.25">
      <c r="A1258" s="124"/>
      <c r="B1258" s="142"/>
      <c r="C1258" s="115"/>
      <c r="D1258" s="115"/>
      <c r="E1258" s="115"/>
      <c r="F1258" s="115"/>
      <c r="G1258" s="60" t="s">
        <v>128</v>
      </c>
      <c r="H1258" s="124"/>
      <c r="I1258" s="124"/>
      <c r="J1258" s="60"/>
      <c r="K1258" s="60"/>
      <c r="L1258" s="60"/>
      <c r="M1258" s="60"/>
      <c r="N1258" s="60">
        <f t="shared" si="385"/>
        <v>0</v>
      </c>
      <c r="O1258" s="60">
        <f t="shared" si="386"/>
        <v>0</v>
      </c>
    </row>
    <row r="1259" spans="1:15" s="38" customFormat="1" ht="10.7" customHeight="1" outlineLevel="1" x14ac:dyDescent="0.25">
      <c r="A1259" s="124"/>
      <c r="B1259" s="142"/>
      <c r="C1259" s="115"/>
      <c r="D1259" s="115"/>
      <c r="E1259" s="115"/>
      <c r="F1259" s="115"/>
      <c r="G1259" s="60" t="s">
        <v>129</v>
      </c>
      <c r="H1259" s="124"/>
      <c r="I1259" s="124"/>
      <c r="J1259" s="60"/>
      <c r="K1259" s="60"/>
      <c r="L1259" s="60"/>
      <c r="M1259" s="60"/>
      <c r="N1259" s="60">
        <f t="shared" si="385"/>
        <v>0</v>
      </c>
      <c r="O1259" s="60">
        <f t="shared" si="386"/>
        <v>0</v>
      </c>
    </row>
    <row r="1260" spans="1:15" s="38" customFormat="1" ht="10.7" customHeight="1" outlineLevel="1" x14ac:dyDescent="0.25">
      <c r="A1260" s="124"/>
      <c r="B1260" s="142"/>
      <c r="C1260" s="115"/>
      <c r="D1260" s="115"/>
      <c r="E1260" s="115"/>
      <c r="F1260" s="115"/>
      <c r="G1260" s="60" t="s">
        <v>130</v>
      </c>
      <c r="H1260" s="124"/>
      <c r="I1260" s="124"/>
      <c r="J1260" s="60"/>
      <c r="K1260" s="60"/>
      <c r="L1260" s="60"/>
      <c r="M1260" s="60"/>
      <c r="N1260" s="60">
        <f t="shared" si="385"/>
        <v>0</v>
      </c>
      <c r="O1260" s="60">
        <f t="shared" si="386"/>
        <v>0</v>
      </c>
    </row>
    <row r="1261" spans="1:15" s="38" customFormat="1" ht="12" customHeight="1" outlineLevel="1" thickBot="1" x14ac:dyDescent="0.3">
      <c r="A1261" s="125"/>
      <c r="B1261" s="143"/>
      <c r="C1261" s="131"/>
      <c r="D1261" s="131"/>
      <c r="E1261" s="131"/>
      <c r="F1261" s="131"/>
      <c r="G1261" s="60" t="s">
        <v>131</v>
      </c>
      <c r="H1261" s="134"/>
      <c r="I1261" s="134"/>
      <c r="J1261" s="60"/>
      <c r="K1261" s="60"/>
      <c r="L1261" s="60"/>
      <c r="M1261" s="60"/>
      <c r="N1261" s="60">
        <f t="shared" si="385"/>
        <v>0</v>
      </c>
      <c r="O1261" s="60">
        <f t="shared" si="386"/>
        <v>0</v>
      </c>
    </row>
    <row r="1262" spans="1:15" s="38" customFormat="1" ht="14.45" customHeight="1" outlineLevel="1" x14ac:dyDescent="0.25">
      <c r="A1262" s="140" t="s">
        <v>873</v>
      </c>
      <c r="B1262" s="141" t="s">
        <v>874</v>
      </c>
      <c r="C1262" s="130">
        <f>SUM(N1262:N1268)</f>
        <v>0</v>
      </c>
      <c r="D1262" s="130">
        <f>SUM(O1262:O1268)</f>
        <v>0</v>
      </c>
      <c r="E1262" s="130">
        <f t="shared" si="376"/>
        <v>0</v>
      </c>
      <c r="F1262" s="130"/>
      <c r="G1262" s="60" t="s">
        <v>125</v>
      </c>
      <c r="H1262" s="123"/>
      <c r="I1262" s="123"/>
      <c r="J1262" s="60"/>
      <c r="K1262" s="60"/>
      <c r="L1262" s="60"/>
      <c r="M1262" s="60"/>
      <c r="N1262" s="60">
        <f>M1262*J1262*K1262*L1262</f>
        <v>0</v>
      </c>
      <c r="O1262" s="60">
        <f>J1262*K1262*L1262</f>
        <v>0</v>
      </c>
    </row>
    <row r="1263" spans="1:15" s="38" customFormat="1" ht="11.45" customHeight="1" outlineLevel="1" x14ac:dyDescent="0.25">
      <c r="A1263" s="124"/>
      <c r="B1263" s="142"/>
      <c r="C1263" s="115"/>
      <c r="D1263" s="115"/>
      <c r="E1263" s="115"/>
      <c r="F1263" s="115"/>
      <c r="G1263" s="60" t="s">
        <v>126</v>
      </c>
      <c r="H1263" s="124"/>
      <c r="I1263" s="124"/>
      <c r="J1263" s="60"/>
      <c r="K1263" s="60"/>
      <c r="L1263" s="60"/>
      <c r="M1263" s="60"/>
      <c r="N1263" s="60">
        <f t="shared" ref="N1263:N1268" si="387">M1263*J1263*K1263*L1263</f>
        <v>0</v>
      </c>
      <c r="O1263" s="60">
        <f t="shared" ref="O1263:O1268" si="388">J1263*K1263*L1263</f>
        <v>0</v>
      </c>
    </row>
    <row r="1264" spans="1:15" s="38" customFormat="1" ht="10.7" customHeight="1" outlineLevel="1" x14ac:dyDescent="0.25">
      <c r="A1264" s="124"/>
      <c r="B1264" s="142"/>
      <c r="C1264" s="115"/>
      <c r="D1264" s="115"/>
      <c r="E1264" s="115"/>
      <c r="F1264" s="115"/>
      <c r="G1264" s="60" t="s">
        <v>127</v>
      </c>
      <c r="H1264" s="124"/>
      <c r="I1264" s="124"/>
      <c r="J1264" s="60"/>
      <c r="K1264" s="60"/>
      <c r="L1264" s="60"/>
      <c r="M1264" s="60"/>
      <c r="N1264" s="60">
        <f t="shared" si="387"/>
        <v>0</v>
      </c>
      <c r="O1264" s="60">
        <f t="shared" si="388"/>
        <v>0</v>
      </c>
    </row>
    <row r="1265" spans="1:15" s="38" customFormat="1" ht="10.7" customHeight="1" outlineLevel="1" x14ac:dyDescent="0.25">
      <c r="A1265" s="124"/>
      <c r="B1265" s="142"/>
      <c r="C1265" s="115"/>
      <c r="D1265" s="115"/>
      <c r="E1265" s="115"/>
      <c r="F1265" s="115"/>
      <c r="G1265" s="60" t="s">
        <v>128</v>
      </c>
      <c r="H1265" s="124"/>
      <c r="I1265" s="124"/>
      <c r="J1265" s="60"/>
      <c r="K1265" s="60"/>
      <c r="L1265" s="60"/>
      <c r="M1265" s="60"/>
      <c r="N1265" s="60">
        <f t="shared" si="387"/>
        <v>0</v>
      </c>
      <c r="O1265" s="60">
        <f t="shared" si="388"/>
        <v>0</v>
      </c>
    </row>
    <row r="1266" spans="1:15" s="38" customFormat="1" ht="10.7" customHeight="1" outlineLevel="1" x14ac:dyDescent="0.25">
      <c r="A1266" s="124"/>
      <c r="B1266" s="142"/>
      <c r="C1266" s="115"/>
      <c r="D1266" s="115"/>
      <c r="E1266" s="115"/>
      <c r="F1266" s="115"/>
      <c r="G1266" s="60" t="s">
        <v>129</v>
      </c>
      <c r="H1266" s="124"/>
      <c r="I1266" s="124"/>
      <c r="J1266" s="60"/>
      <c r="K1266" s="60"/>
      <c r="L1266" s="60"/>
      <c r="M1266" s="60"/>
      <c r="N1266" s="60">
        <f t="shared" si="387"/>
        <v>0</v>
      </c>
      <c r="O1266" s="60">
        <f t="shared" si="388"/>
        <v>0</v>
      </c>
    </row>
    <row r="1267" spans="1:15" s="38" customFormat="1" ht="10.7" customHeight="1" outlineLevel="1" x14ac:dyDescent="0.25">
      <c r="A1267" s="124"/>
      <c r="B1267" s="142"/>
      <c r="C1267" s="115"/>
      <c r="D1267" s="115"/>
      <c r="E1267" s="115"/>
      <c r="F1267" s="115"/>
      <c r="G1267" s="60" t="s">
        <v>130</v>
      </c>
      <c r="H1267" s="124"/>
      <c r="I1267" s="124"/>
      <c r="J1267" s="60"/>
      <c r="K1267" s="60"/>
      <c r="L1267" s="60"/>
      <c r="M1267" s="60"/>
      <c r="N1267" s="60">
        <f t="shared" si="387"/>
        <v>0</v>
      </c>
      <c r="O1267" s="60">
        <f t="shared" si="388"/>
        <v>0</v>
      </c>
    </row>
    <row r="1268" spans="1:15" s="38" customFormat="1" ht="12" customHeight="1" outlineLevel="1" thickBot="1" x14ac:dyDescent="0.3">
      <c r="A1268" s="125"/>
      <c r="B1268" s="143"/>
      <c r="C1268" s="131"/>
      <c r="D1268" s="131"/>
      <c r="E1268" s="131"/>
      <c r="F1268" s="131"/>
      <c r="G1268" s="60" t="s">
        <v>131</v>
      </c>
      <c r="H1268" s="134"/>
      <c r="I1268" s="134"/>
      <c r="J1268" s="60"/>
      <c r="K1268" s="60"/>
      <c r="L1268" s="60"/>
      <c r="M1268" s="60"/>
      <c r="N1268" s="60">
        <f t="shared" si="387"/>
        <v>0</v>
      </c>
      <c r="O1268" s="60">
        <f t="shared" si="388"/>
        <v>0</v>
      </c>
    </row>
    <row r="1269" spans="1:15" s="38" customFormat="1" ht="14.45" customHeight="1" outlineLevel="1" x14ac:dyDescent="0.25">
      <c r="A1269" s="140" t="s">
        <v>875</v>
      </c>
      <c r="B1269" s="141" t="s">
        <v>282</v>
      </c>
      <c r="C1269" s="130">
        <f>SUM(N1269:N1275)</f>
        <v>0</v>
      </c>
      <c r="D1269" s="130">
        <f>SUM(O1269:O1275)</f>
        <v>0</v>
      </c>
      <c r="E1269" s="130">
        <f t="shared" si="376"/>
        <v>0</v>
      </c>
      <c r="F1269" s="130"/>
      <c r="G1269" s="60" t="s">
        <v>125</v>
      </c>
      <c r="H1269" s="123"/>
      <c r="I1269" s="123"/>
      <c r="J1269" s="60"/>
      <c r="K1269" s="60"/>
      <c r="L1269" s="60"/>
      <c r="M1269" s="60"/>
      <c r="N1269" s="60">
        <f>M1269*J1269*K1269*L1269</f>
        <v>0</v>
      </c>
      <c r="O1269" s="60">
        <f>J1269*K1269*L1269</f>
        <v>0</v>
      </c>
    </row>
    <row r="1270" spans="1:15" s="38" customFormat="1" ht="11.45" customHeight="1" outlineLevel="1" x14ac:dyDescent="0.25">
      <c r="A1270" s="124"/>
      <c r="B1270" s="142"/>
      <c r="C1270" s="115"/>
      <c r="D1270" s="115"/>
      <c r="E1270" s="115"/>
      <c r="F1270" s="115"/>
      <c r="G1270" s="60" t="s">
        <v>126</v>
      </c>
      <c r="H1270" s="124"/>
      <c r="I1270" s="124"/>
      <c r="J1270" s="60"/>
      <c r="K1270" s="60"/>
      <c r="L1270" s="60"/>
      <c r="M1270" s="60"/>
      <c r="N1270" s="60">
        <f t="shared" ref="N1270:N1275" si="389">M1270*J1270*K1270*L1270</f>
        <v>0</v>
      </c>
      <c r="O1270" s="60">
        <f t="shared" ref="O1270:O1275" si="390">J1270*K1270*L1270</f>
        <v>0</v>
      </c>
    </row>
    <row r="1271" spans="1:15" s="38" customFormat="1" ht="10.7" customHeight="1" outlineLevel="1" x14ac:dyDescent="0.25">
      <c r="A1271" s="124"/>
      <c r="B1271" s="142"/>
      <c r="C1271" s="115"/>
      <c r="D1271" s="115"/>
      <c r="E1271" s="115"/>
      <c r="F1271" s="115"/>
      <c r="G1271" s="60" t="s">
        <v>127</v>
      </c>
      <c r="H1271" s="124"/>
      <c r="I1271" s="124"/>
      <c r="J1271" s="60"/>
      <c r="K1271" s="60"/>
      <c r="L1271" s="60"/>
      <c r="M1271" s="60"/>
      <c r="N1271" s="60">
        <f t="shared" si="389"/>
        <v>0</v>
      </c>
      <c r="O1271" s="60">
        <f t="shared" si="390"/>
        <v>0</v>
      </c>
    </row>
    <row r="1272" spans="1:15" s="38" customFormat="1" ht="10.7" customHeight="1" outlineLevel="1" x14ac:dyDescent="0.25">
      <c r="A1272" s="124"/>
      <c r="B1272" s="142"/>
      <c r="C1272" s="115"/>
      <c r="D1272" s="115"/>
      <c r="E1272" s="115"/>
      <c r="F1272" s="115"/>
      <c r="G1272" s="60" t="s">
        <v>128</v>
      </c>
      <c r="H1272" s="124"/>
      <c r="I1272" s="124"/>
      <c r="J1272" s="60"/>
      <c r="K1272" s="60"/>
      <c r="L1272" s="60"/>
      <c r="M1272" s="60"/>
      <c r="N1272" s="60">
        <f t="shared" si="389"/>
        <v>0</v>
      </c>
      <c r="O1272" s="60">
        <f t="shared" si="390"/>
        <v>0</v>
      </c>
    </row>
    <row r="1273" spans="1:15" s="38" customFormat="1" ht="10.7" customHeight="1" outlineLevel="1" x14ac:dyDescent="0.25">
      <c r="A1273" s="124"/>
      <c r="B1273" s="142"/>
      <c r="C1273" s="115"/>
      <c r="D1273" s="115"/>
      <c r="E1273" s="115"/>
      <c r="F1273" s="115"/>
      <c r="G1273" s="60" t="s">
        <v>129</v>
      </c>
      <c r="H1273" s="124"/>
      <c r="I1273" s="124"/>
      <c r="J1273" s="60"/>
      <c r="K1273" s="60"/>
      <c r="L1273" s="60"/>
      <c r="M1273" s="60"/>
      <c r="N1273" s="60">
        <f t="shared" si="389"/>
        <v>0</v>
      </c>
      <c r="O1273" s="60">
        <f t="shared" si="390"/>
        <v>0</v>
      </c>
    </row>
    <row r="1274" spans="1:15" s="38" customFormat="1" ht="10.7" customHeight="1" outlineLevel="1" x14ac:dyDescent="0.25">
      <c r="A1274" s="124"/>
      <c r="B1274" s="142"/>
      <c r="C1274" s="115"/>
      <c r="D1274" s="115"/>
      <c r="E1274" s="115"/>
      <c r="F1274" s="115"/>
      <c r="G1274" s="60" t="s">
        <v>130</v>
      </c>
      <c r="H1274" s="124"/>
      <c r="I1274" s="124"/>
      <c r="J1274" s="60"/>
      <c r="K1274" s="60"/>
      <c r="L1274" s="60"/>
      <c r="M1274" s="60"/>
      <c r="N1274" s="60">
        <f t="shared" si="389"/>
        <v>0</v>
      </c>
      <c r="O1274" s="60">
        <f t="shared" si="390"/>
        <v>0</v>
      </c>
    </row>
    <row r="1275" spans="1:15" s="38" customFormat="1" ht="12" customHeight="1" outlineLevel="1" thickBot="1" x14ac:dyDescent="0.3">
      <c r="A1275" s="125"/>
      <c r="B1275" s="143"/>
      <c r="C1275" s="131"/>
      <c r="D1275" s="131"/>
      <c r="E1275" s="131"/>
      <c r="F1275" s="131"/>
      <c r="G1275" s="60" t="s">
        <v>131</v>
      </c>
      <c r="H1275" s="134"/>
      <c r="I1275" s="134"/>
      <c r="J1275" s="60"/>
      <c r="K1275" s="60"/>
      <c r="L1275" s="60"/>
      <c r="M1275" s="60"/>
      <c r="N1275" s="60">
        <f t="shared" si="389"/>
        <v>0</v>
      </c>
      <c r="O1275" s="60">
        <f t="shared" si="390"/>
        <v>0</v>
      </c>
    </row>
    <row r="1276" spans="1:15" s="38" customFormat="1" ht="14.45" customHeight="1" outlineLevel="1" x14ac:dyDescent="0.25">
      <c r="A1276" s="140" t="s">
        <v>876</v>
      </c>
      <c r="B1276" s="141" t="s">
        <v>284</v>
      </c>
      <c r="C1276" s="130">
        <f>SUM(N1276:N1282)</f>
        <v>0</v>
      </c>
      <c r="D1276" s="130">
        <f>SUM(O1276:O1282)</f>
        <v>0</v>
      </c>
      <c r="E1276" s="130">
        <f t="shared" si="376"/>
        <v>0</v>
      </c>
      <c r="F1276" s="130"/>
      <c r="G1276" s="60" t="s">
        <v>125</v>
      </c>
      <c r="H1276" s="123"/>
      <c r="I1276" s="123"/>
      <c r="J1276" s="60"/>
      <c r="K1276" s="60"/>
      <c r="L1276" s="60"/>
      <c r="M1276" s="60"/>
      <c r="N1276" s="60">
        <f>M1276*J1276*K1276*L1276</f>
        <v>0</v>
      </c>
      <c r="O1276" s="60">
        <f>J1276*K1276*L1276</f>
        <v>0</v>
      </c>
    </row>
    <row r="1277" spans="1:15" s="38" customFormat="1" ht="11.45" customHeight="1" outlineLevel="1" x14ac:dyDescent="0.25">
      <c r="A1277" s="124"/>
      <c r="B1277" s="142"/>
      <c r="C1277" s="115"/>
      <c r="D1277" s="115"/>
      <c r="E1277" s="115"/>
      <c r="F1277" s="115"/>
      <c r="G1277" s="60" t="s">
        <v>126</v>
      </c>
      <c r="H1277" s="124"/>
      <c r="I1277" s="124"/>
      <c r="J1277" s="60"/>
      <c r="K1277" s="60"/>
      <c r="L1277" s="60"/>
      <c r="M1277" s="60"/>
      <c r="N1277" s="60">
        <f t="shared" ref="N1277:N1282" si="391">M1277*J1277*K1277*L1277</f>
        <v>0</v>
      </c>
      <c r="O1277" s="60">
        <f t="shared" ref="O1277:O1282" si="392">J1277*K1277*L1277</f>
        <v>0</v>
      </c>
    </row>
    <row r="1278" spans="1:15" s="38" customFormat="1" ht="10.7" customHeight="1" outlineLevel="1" x14ac:dyDescent="0.25">
      <c r="A1278" s="124"/>
      <c r="B1278" s="142"/>
      <c r="C1278" s="115"/>
      <c r="D1278" s="115"/>
      <c r="E1278" s="115"/>
      <c r="F1278" s="115"/>
      <c r="G1278" s="60" t="s">
        <v>127</v>
      </c>
      <c r="H1278" s="124"/>
      <c r="I1278" s="124"/>
      <c r="J1278" s="60"/>
      <c r="K1278" s="60"/>
      <c r="L1278" s="60"/>
      <c r="M1278" s="60"/>
      <c r="N1278" s="60">
        <f t="shared" si="391"/>
        <v>0</v>
      </c>
      <c r="O1278" s="60">
        <f t="shared" si="392"/>
        <v>0</v>
      </c>
    </row>
    <row r="1279" spans="1:15" s="38" customFormat="1" ht="10.7" customHeight="1" outlineLevel="1" x14ac:dyDescent="0.25">
      <c r="A1279" s="124"/>
      <c r="B1279" s="142"/>
      <c r="C1279" s="115"/>
      <c r="D1279" s="115"/>
      <c r="E1279" s="115"/>
      <c r="F1279" s="115"/>
      <c r="G1279" s="60" t="s">
        <v>128</v>
      </c>
      <c r="H1279" s="124"/>
      <c r="I1279" s="124"/>
      <c r="J1279" s="60"/>
      <c r="K1279" s="60"/>
      <c r="L1279" s="60"/>
      <c r="M1279" s="60"/>
      <c r="N1279" s="60">
        <f t="shared" si="391"/>
        <v>0</v>
      </c>
      <c r="O1279" s="60">
        <f t="shared" si="392"/>
        <v>0</v>
      </c>
    </row>
    <row r="1280" spans="1:15" s="38" customFormat="1" ht="10.7" customHeight="1" outlineLevel="1" x14ac:dyDescent="0.25">
      <c r="A1280" s="124"/>
      <c r="B1280" s="142"/>
      <c r="C1280" s="115"/>
      <c r="D1280" s="115"/>
      <c r="E1280" s="115"/>
      <c r="F1280" s="115"/>
      <c r="G1280" s="60" t="s">
        <v>129</v>
      </c>
      <c r="H1280" s="124"/>
      <c r="I1280" s="124"/>
      <c r="J1280" s="60"/>
      <c r="K1280" s="60"/>
      <c r="L1280" s="60"/>
      <c r="M1280" s="60"/>
      <c r="N1280" s="60">
        <f t="shared" si="391"/>
        <v>0</v>
      </c>
      <c r="O1280" s="60">
        <f t="shared" si="392"/>
        <v>0</v>
      </c>
    </row>
    <row r="1281" spans="1:15" s="38" customFormat="1" ht="10.7" customHeight="1" outlineLevel="1" x14ac:dyDescent="0.25">
      <c r="A1281" s="124"/>
      <c r="B1281" s="142"/>
      <c r="C1281" s="115"/>
      <c r="D1281" s="115"/>
      <c r="E1281" s="115"/>
      <c r="F1281" s="115"/>
      <c r="G1281" s="60" t="s">
        <v>130</v>
      </c>
      <c r="H1281" s="124"/>
      <c r="I1281" s="124"/>
      <c r="J1281" s="60"/>
      <c r="K1281" s="60"/>
      <c r="L1281" s="60"/>
      <c r="M1281" s="60"/>
      <c r="N1281" s="60">
        <f t="shared" si="391"/>
        <v>0</v>
      </c>
      <c r="O1281" s="60">
        <f t="shared" si="392"/>
        <v>0</v>
      </c>
    </row>
    <row r="1282" spans="1:15" s="38" customFormat="1" ht="12" customHeight="1" outlineLevel="1" thickBot="1" x14ac:dyDescent="0.3">
      <c r="A1282" s="125"/>
      <c r="B1282" s="143"/>
      <c r="C1282" s="131"/>
      <c r="D1282" s="131"/>
      <c r="E1282" s="131"/>
      <c r="F1282" s="131"/>
      <c r="G1282" s="60" t="s">
        <v>131</v>
      </c>
      <c r="H1282" s="134"/>
      <c r="I1282" s="134"/>
      <c r="J1282" s="60"/>
      <c r="K1282" s="60"/>
      <c r="L1282" s="60"/>
      <c r="M1282" s="60"/>
      <c r="N1282" s="60">
        <f t="shared" si="391"/>
        <v>0</v>
      </c>
      <c r="O1282" s="60">
        <f t="shared" si="392"/>
        <v>0</v>
      </c>
    </row>
    <row r="1283" spans="1:15" s="38" customFormat="1" ht="14.45" customHeight="1" outlineLevel="1" x14ac:dyDescent="0.25">
      <c r="A1283" s="140" t="s">
        <v>877</v>
      </c>
      <c r="B1283" s="141" t="s">
        <v>286</v>
      </c>
      <c r="C1283" s="130">
        <f>SUM(N1283:N1289)</f>
        <v>0</v>
      </c>
      <c r="D1283" s="130">
        <f>SUM(O1283:O1289)</f>
        <v>0</v>
      </c>
      <c r="E1283" s="130">
        <f t="shared" si="376"/>
        <v>0</v>
      </c>
      <c r="F1283" s="130"/>
      <c r="G1283" s="60" t="s">
        <v>125</v>
      </c>
      <c r="H1283" s="123"/>
      <c r="I1283" s="123"/>
      <c r="J1283" s="60"/>
      <c r="K1283" s="60"/>
      <c r="L1283" s="60"/>
      <c r="M1283" s="60"/>
      <c r="N1283" s="60">
        <f>M1283*J1283*K1283*L1283</f>
        <v>0</v>
      </c>
      <c r="O1283" s="60">
        <f>J1283*K1283*L1283</f>
        <v>0</v>
      </c>
    </row>
    <row r="1284" spans="1:15" s="38" customFormat="1" ht="11.45" customHeight="1" outlineLevel="1" x14ac:dyDescent="0.25">
      <c r="A1284" s="124"/>
      <c r="B1284" s="142"/>
      <c r="C1284" s="115"/>
      <c r="D1284" s="115"/>
      <c r="E1284" s="115"/>
      <c r="F1284" s="115"/>
      <c r="G1284" s="60" t="s">
        <v>126</v>
      </c>
      <c r="H1284" s="124"/>
      <c r="I1284" s="124"/>
      <c r="J1284" s="60"/>
      <c r="K1284" s="60"/>
      <c r="L1284" s="60"/>
      <c r="M1284" s="60"/>
      <c r="N1284" s="60">
        <f t="shared" ref="N1284:N1289" si="393">M1284*J1284*K1284*L1284</f>
        <v>0</v>
      </c>
      <c r="O1284" s="60">
        <f t="shared" ref="O1284:O1289" si="394">J1284*K1284*L1284</f>
        <v>0</v>
      </c>
    </row>
    <row r="1285" spans="1:15" s="38" customFormat="1" ht="10.7" customHeight="1" outlineLevel="1" x14ac:dyDescent="0.25">
      <c r="A1285" s="124"/>
      <c r="B1285" s="142"/>
      <c r="C1285" s="115"/>
      <c r="D1285" s="115"/>
      <c r="E1285" s="115"/>
      <c r="F1285" s="115"/>
      <c r="G1285" s="60" t="s">
        <v>127</v>
      </c>
      <c r="H1285" s="124"/>
      <c r="I1285" s="124"/>
      <c r="J1285" s="60"/>
      <c r="K1285" s="60"/>
      <c r="L1285" s="60"/>
      <c r="M1285" s="60"/>
      <c r="N1285" s="60">
        <f t="shared" si="393"/>
        <v>0</v>
      </c>
      <c r="O1285" s="60">
        <f t="shared" si="394"/>
        <v>0</v>
      </c>
    </row>
    <row r="1286" spans="1:15" s="38" customFormat="1" ht="10.7" customHeight="1" outlineLevel="1" x14ac:dyDescent="0.25">
      <c r="A1286" s="124"/>
      <c r="B1286" s="142"/>
      <c r="C1286" s="115"/>
      <c r="D1286" s="115"/>
      <c r="E1286" s="115"/>
      <c r="F1286" s="115"/>
      <c r="G1286" s="60" t="s">
        <v>128</v>
      </c>
      <c r="H1286" s="124"/>
      <c r="I1286" s="124"/>
      <c r="J1286" s="60"/>
      <c r="K1286" s="60"/>
      <c r="L1286" s="60"/>
      <c r="M1286" s="60"/>
      <c r="N1286" s="60">
        <f t="shared" si="393"/>
        <v>0</v>
      </c>
      <c r="O1286" s="60">
        <f t="shared" si="394"/>
        <v>0</v>
      </c>
    </row>
    <row r="1287" spans="1:15" s="38" customFormat="1" ht="10.7" customHeight="1" outlineLevel="1" x14ac:dyDescent="0.25">
      <c r="A1287" s="124"/>
      <c r="B1287" s="142"/>
      <c r="C1287" s="115"/>
      <c r="D1287" s="115"/>
      <c r="E1287" s="115"/>
      <c r="F1287" s="115"/>
      <c r="G1287" s="60" t="s">
        <v>129</v>
      </c>
      <c r="H1287" s="124"/>
      <c r="I1287" s="124"/>
      <c r="J1287" s="60"/>
      <c r="K1287" s="60"/>
      <c r="L1287" s="60"/>
      <c r="M1287" s="60"/>
      <c r="N1287" s="60">
        <f t="shared" si="393"/>
        <v>0</v>
      </c>
      <c r="O1287" s="60">
        <f t="shared" si="394"/>
        <v>0</v>
      </c>
    </row>
    <row r="1288" spans="1:15" s="38" customFormat="1" ht="10.7" customHeight="1" outlineLevel="1" x14ac:dyDescent="0.25">
      <c r="A1288" s="124"/>
      <c r="B1288" s="142"/>
      <c r="C1288" s="115"/>
      <c r="D1288" s="115"/>
      <c r="E1288" s="115"/>
      <c r="F1288" s="115"/>
      <c r="G1288" s="60" t="s">
        <v>130</v>
      </c>
      <c r="H1288" s="124"/>
      <c r="I1288" s="124"/>
      <c r="J1288" s="60"/>
      <c r="K1288" s="60"/>
      <c r="L1288" s="60"/>
      <c r="M1288" s="60"/>
      <c r="N1288" s="60">
        <f t="shared" si="393"/>
        <v>0</v>
      </c>
      <c r="O1288" s="60">
        <f t="shared" si="394"/>
        <v>0</v>
      </c>
    </row>
    <row r="1289" spans="1:15" s="38" customFormat="1" ht="12" customHeight="1" outlineLevel="1" thickBot="1" x14ac:dyDescent="0.3">
      <c r="A1289" s="125"/>
      <c r="B1289" s="143"/>
      <c r="C1289" s="131"/>
      <c r="D1289" s="131"/>
      <c r="E1289" s="131"/>
      <c r="F1289" s="131"/>
      <c r="G1289" s="60" t="s">
        <v>131</v>
      </c>
      <c r="H1289" s="134"/>
      <c r="I1289" s="134"/>
      <c r="J1289" s="60"/>
      <c r="K1289" s="60"/>
      <c r="L1289" s="60"/>
      <c r="M1289" s="60"/>
      <c r="N1289" s="60">
        <f t="shared" si="393"/>
        <v>0</v>
      </c>
      <c r="O1289" s="60">
        <f t="shared" si="394"/>
        <v>0</v>
      </c>
    </row>
    <row r="1290" spans="1:15" s="38" customFormat="1" ht="14.45" customHeight="1" outlineLevel="1" x14ac:dyDescent="0.25">
      <c r="A1290" s="140" t="s">
        <v>878</v>
      </c>
      <c r="B1290" s="141" t="s">
        <v>462</v>
      </c>
      <c r="C1290" s="130">
        <f>SUM(N1290:N1296)</f>
        <v>0</v>
      </c>
      <c r="D1290" s="130">
        <f>SUM(O1290:O1296)</f>
        <v>0</v>
      </c>
      <c r="E1290" s="130">
        <f t="shared" si="376"/>
        <v>0</v>
      </c>
      <c r="F1290" s="130"/>
      <c r="G1290" s="60" t="s">
        <v>125</v>
      </c>
      <c r="H1290" s="123"/>
      <c r="I1290" s="123"/>
      <c r="J1290" s="60"/>
      <c r="K1290" s="60"/>
      <c r="L1290" s="60"/>
      <c r="M1290" s="60"/>
      <c r="N1290" s="60">
        <f>M1290*J1290*K1290*L1290</f>
        <v>0</v>
      </c>
      <c r="O1290" s="60">
        <f>J1290*K1290*L1290</f>
        <v>0</v>
      </c>
    </row>
    <row r="1291" spans="1:15" s="38" customFormat="1" ht="11.45" customHeight="1" outlineLevel="1" x14ac:dyDescent="0.25">
      <c r="A1291" s="124"/>
      <c r="B1291" s="142"/>
      <c r="C1291" s="115"/>
      <c r="D1291" s="115"/>
      <c r="E1291" s="115"/>
      <c r="F1291" s="115"/>
      <c r="G1291" s="60" t="s">
        <v>126</v>
      </c>
      <c r="H1291" s="124"/>
      <c r="I1291" s="124"/>
      <c r="J1291" s="60"/>
      <c r="K1291" s="60"/>
      <c r="L1291" s="60"/>
      <c r="M1291" s="60"/>
      <c r="N1291" s="60">
        <f t="shared" ref="N1291:N1296" si="395">M1291*J1291*K1291*L1291</f>
        <v>0</v>
      </c>
      <c r="O1291" s="60">
        <f t="shared" ref="O1291:O1296" si="396">J1291*K1291*L1291</f>
        <v>0</v>
      </c>
    </row>
    <row r="1292" spans="1:15" s="38" customFormat="1" ht="10.7" customHeight="1" outlineLevel="1" x14ac:dyDescent="0.25">
      <c r="A1292" s="124"/>
      <c r="B1292" s="142"/>
      <c r="C1292" s="115"/>
      <c r="D1292" s="115"/>
      <c r="E1292" s="115"/>
      <c r="F1292" s="115"/>
      <c r="G1292" s="60" t="s">
        <v>127</v>
      </c>
      <c r="H1292" s="124"/>
      <c r="I1292" s="124"/>
      <c r="J1292" s="60"/>
      <c r="K1292" s="60"/>
      <c r="L1292" s="60"/>
      <c r="M1292" s="60"/>
      <c r="N1292" s="60">
        <f t="shared" si="395"/>
        <v>0</v>
      </c>
      <c r="O1292" s="60">
        <f t="shared" si="396"/>
        <v>0</v>
      </c>
    </row>
    <row r="1293" spans="1:15" s="38" customFormat="1" ht="10.7" customHeight="1" outlineLevel="1" x14ac:dyDescent="0.25">
      <c r="A1293" s="124"/>
      <c r="B1293" s="142"/>
      <c r="C1293" s="115"/>
      <c r="D1293" s="115"/>
      <c r="E1293" s="115"/>
      <c r="F1293" s="115"/>
      <c r="G1293" s="60" t="s">
        <v>128</v>
      </c>
      <c r="H1293" s="124"/>
      <c r="I1293" s="124"/>
      <c r="J1293" s="60"/>
      <c r="K1293" s="60"/>
      <c r="L1293" s="60"/>
      <c r="M1293" s="60"/>
      <c r="N1293" s="60">
        <f t="shared" si="395"/>
        <v>0</v>
      </c>
      <c r="O1293" s="60">
        <f t="shared" si="396"/>
        <v>0</v>
      </c>
    </row>
    <row r="1294" spans="1:15" s="38" customFormat="1" ht="10.7" customHeight="1" outlineLevel="1" x14ac:dyDescent="0.25">
      <c r="A1294" s="124"/>
      <c r="B1294" s="142"/>
      <c r="C1294" s="115"/>
      <c r="D1294" s="115"/>
      <c r="E1294" s="115"/>
      <c r="F1294" s="115"/>
      <c r="G1294" s="60" t="s">
        <v>129</v>
      </c>
      <c r="H1294" s="124"/>
      <c r="I1294" s="124"/>
      <c r="J1294" s="60"/>
      <c r="K1294" s="60"/>
      <c r="L1294" s="60"/>
      <c r="M1294" s="60"/>
      <c r="N1294" s="60">
        <f t="shared" si="395"/>
        <v>0</v>
      </c>
      <c r="O1294" s="60">
        <f t="shared" si="396"/>
        <v>0</v>
      </c>
    </row>
    <row r="1295" spans="1:15" s="38" customFormat="1" ht="10.7" customHeight="1" outlineLevel="1" x14ac:dyDescent="0.25">
      <c r="A1295" s="124"/>
      <c r="B1295" s="142"/>
      <c r="C1295" s="115"/>
      <c r="D1295" s="115"/>
      <c r="E1295" s="115"/>
      <c r="F1295" s="115"/>
      <c r="G1295" s="60" t="s">
        <v>130</v>
      </c>
      <c r="H1295" s="124"/>
      <c r="I1295" s="124"/>
      <c r="J1295" s="60"/>
      <c r="K1295" s="60"/>
      <c r="L1295" s="60"/>
      <c r="M1295" s="60"/>
      <c r="N1295" s="60">
        <f t="shared" si="395"/>
        <v>0</v>
      </c>
      <c r="O1295" s="60">
        <f t="shared" si="396"/>
        <v>0</v>
      </c>
    </row>
    <row r="1296" spans="1:15" s="38" customFormat="1" ht="12" customHeight="1" outlineLevel="1" thickBot="1" x14ac:dyDescent="0.3">
      <c r="A1296" s="125"/>
      <c r="B1296" s="143"/>
      <c r="C1296" s="131"/>
      <c r="D1296" s="131"/>
      <c r="E1296" s="131"/>
      <c r="F1296" s="131"/>
      <c r="G1296" s="60" t="s">
        <v>131</v>
      </c>
      <c r="H1296" s="134"/>
      <c r="I1296" s="134"/>
      <c r="J1296" s="60"/>
      <c r="K1296" s="60"/>
      <c r="L1296" s="60"/>
      <c r="M1296" s="60"/>
      <c r="N1296" s="60">
        <f t="shared" si="395"/>
        <v>0</v>
      </c>
      <c r="O1296" s="60">
        <f t="shared" si="396"/>
        <v>0</v>
      </c>
    </row>
    <row r="1297" spans="1:15" s="38" customFormat="1" ht="14.45" customHeight="1" outlineLevel="1" x14ac:dyDescent="0.25">
      <c r="A1297" s="140" t="s">
        <v>879</v>
      </c>
      <c r="B1297" s="141" t="s">
        <v>288</v>
      </c>
      <c r="C1297" s="130">
        <f>SUM(N1297:N1303)</f>
        <v>0</v>
      </c>
      <c r="D1297" s="130">
        <f>SUM(O1297:O1303)</f>
        <v>0</v>
      </c>
      <c r="E1297" s="130">
        <f t="shared" ref="E1297:E1360" si="397">D1297/8</f>
        <v>0</v>
      </c>
      <c r="F1297" s="130"/>
      <c r="G1297" s="60" t="s">
        <v>125</v>
      </c>
      <c r="H1297" s="123"/>
      <c r="I1297" s="123"/>
      <c r="J1297" s="60"/>
      <c r="K1297" s="60"/>
      <c r="L1297" s="60"/>
      <c r="M1297" s="60"/>
      <c r="N1297" s="60">
        <f>M1297*J1297*K1297*L1297</f>
        <v>0</v>
      </c>
      <c r="O1297" s="60">
        <f>J1297*K1297*L1297</f>
        <v>0</v>
      </c>
    </row>
    <row r="1298" spans="1:15" s="38" customFormat="1" ht="11.45" customHeight="1" outlineLevel="1" x14ac:dyDescent="0.25">
      <c r="A1298" s="124"/>
      <c r="B1298" s="142"/>
      <c r="C1298" s="115"/>
      <c r="D1298" s="115"/>
      <c r="E1298" s="115"/>
      <c r="F1298" s="115"/>
      <c r="G1298" s="60" t="s">
        <v>126</v>
      </c>
      <c r="H1298" s="124"/>
      <c r="I1298" s="124"/>
      <c r="J1298" s="60"/>
      <c r="K1298" s="60"/>
      <c r="L1298" s="60"/>
      <c r="M1298" s="60"/>
      <c r="N1298" s="60">
        <f t="shared" ref="N1298:N1303" si="398">M1298*J1298*K1298*L1298</f>
        <v>0</v>
      </c>
      <c r="O1298" s="60">
        <f t="shared" ref="O1298:O1303" si="399">J1298*K1298*L1298</f>
        <v>0</v>
      </c>
    </row>
    <row r="1299" spans="1:15" s="38" customFormat="1" ht="10.7" customHeight="1" outlineLevel="1" x14ac:dyDescent="0.25">
      <c r="A1299" s="124"/>
      <c r="B1299" s="142"/>
      <c r="C1299" s="115"/>
      <c r="D1299" s="115"/>
      <c r="E1299" s="115"/>
      <c r="F1299" s="115"/>
      <c r="G1299" s="60" t="s">
        <v>127</v>
      </c>
      <c r="H1299" s="124"/>
      <c r="I1299" s="124"/>
      <c r="J1299" s="60"/>
      <c r="K1299" s="60"/>
      <c r="L1299" s="60"/>
      <c r="M1299" s="60"/>
      <c r="N1299" s="60">
        <f t="shared" si="398"/>
        <v>0</v>
      </c>
      <c r="O1299" s="60">
        <f t="shared" si="399"/>
        <v>0</v>
      </c>
    </row>
    <row r="1300" spans="1:15" s="38" customFormat="1" ht="10.7" customHeight="1" outlineLevel="1" x14ac:dyDescent="0.25">
      <c r="A1300" s="124"/>
      <c r="B1300" s="142"/>
      <c r="C1300" s="115"/>
      <c r="D1300" s="115"/>
      <c r="E1300" s="115"/>
      <c r="F1300" s="115"/>
      <c r="G1300" s="60" t="s">
        <v>128</v>
      </c>
      <c r="H1300" s="124"/>
      <c r="I1300" s="124"/>
      <c r="J1300" s="60"/>
      <c r="K1300" s="60"/>
      <c r="L1300" s="60"/>
      <c r="M1300" s="60"/>
      <c r="N1300" s="60">
        <f t="shared" si="398"/>
        <v>0</v>
      </c>
      <c r="O1300" s="60">
        <f t="shared" si="399"/>
        <v>0</v>
      </c>
    </row>
    <row r="1301" spans="1:15" s="38" customFormat="1" ht="10.7" customHeight="1" outlineLevel="1" x14ac:dyDescent="0.25">
      <c r="A1301" s="124"/>
      <c r="B1301" s="142"/>
      <c r="C1301" s="115"/>
      <c r="D1301" s="115"/>
      <c r="E1301" s="115"/>
      <c r="F1301" s="115"/>
      <c r="G1301" s="60" t="s">
        <v>129</v>
      </c>
      <c r="H1301" s="124"/>
      <c r="I1301" s="124"/>
      <c r="J1301" s="60"/>
      <c r="K1301" s="60"/>
      <c r="L1301" s="60"/>
      <c r="M1301" s="60"/>
      <c r="N1301" s="60">
        <f t="shared" si="398"/>
        <v>0</v>
      </c>
      <c r="O1301" s="60">
        <f t="shared" si="399"/>
        <v>0</v>
      </c>
    </row>
    <row r="1302" spans="1:15" s="38" customFormat="1" ht="10.7" customHeight="1" outlineLevel="1" x14ac:dyDescent="0.25">
      <c r="A1302" s="124"/>
      <c r="B1302" s="142"/>
      <c r="C1302" s="115"/>
      <c r="D1302" s="115"/>
      <c r="E1302" s="115"/>
      <c r="F1302" s="115"/>
      <c r="G1302" s="60" t="s">
        <v>130</v>
      </c>
      <c r="H1302" s="124"/>
      <c r="I1302" s="124"/>
      <c r="J1302" s="60"/>
      <c r="K1302" s="60"/>
      <c r="L1302" s="60"/>
      <c r="M1302" s="60"/>
      <c r="N1302" s="60">
        <f t="shared" si="398"/>
        <v>0</v>
      </c>
      <c r="O1302" s="60">
        <f t="shared" si="399"/>
        <v>0</v>
      </c>
    </row>
    <row r="1303" spans="1:15" s="38" customFormat="1" ht="12" customHeight="1" outlineLevel="1" thickBot="1" x14ac:dyDescent="0.3">
      <c r="A1303" s="125"/>
      <c r="B1303" s="143"/>
      <c r="C1303" s="131"/>
      <c r="D1303" s="131"/>
      <c r="E1303" s="131"/>
      <c r="F1303" s="131"/>
      <c r="G1303" s="60" t="s">
        <v>131</v>
      </c>
      <c r="H1303" s="134"/>
      <c r="I1303" s="134"/>
      <c r="J1303" s="60"/>
      <c r="K1303" s="60"/>
      <c r="L1303" s="60"/>
      <c r="M1303" s="60"/>
      <c r="N1303" s="60">
        <f t="shared" si="398"/>
        <v>0</v>
      </c>
      <c r="O1303" s="60">
        <f t="shared" si="399"/>
        <v>0</v>
      </c>
    </row>
    <row r="1304" spans="1:15" s="38" customFormat="1" ht="14.45" customHeight="1" outlineLevel="1" x14ac:dyDescent="0.25">
      <c r="A1304" s="140" t="s">
        <v>880</v>
      </c>
      <c r="B1304" s="141" t="s">
        <v>290</v>
      </c>
      <c r="C1304" s="130">
        <f>SUM(N1304:N1310)</f>
        <v>0</v>
      </c>
      <c r="D1304" s="130">
        <f>SUM(O1304:O1310)</f>
        <v>0</v>
      </c>
      <c r="E1304" s="130">
        <f t="shared" si="397"/>
        <v>0</v>
      </c>
      <c r="F1304" s="130"/>
      <c r="G1304" s="60" t="s">
        <v>125</v>
      </c>
      <c r="H1304" s="123"/>
      <c r="I1304" s="123"/>
      <c r="J1304" s="60"/>
      <c r="K1304" s="60"/>
      <c r="L1304" s="60"/>
      <c r="M1304" s="60"/>
      <c r="N1304" s="60">
        <f>M1304*J1304*K1304*L1304</f>
        <v>0</v>
      </c>
      <c r="O1304" s="60">
        <f>J1304*K1304*L1304</f>
        <v>0</v>
      </c>
    </row>
    <row r="1305" spans="1:15" s="38" customFormat="1" ht="11.45" customHeight="1" outlineLevel="1" x14ac:dyDescent="0.25">
      <c r="A1305" s="124"/>
      <c r="B1305" s="142"/>
      <c r="C1305" s="115"/>
      <c r="D1305" s="115"/>
      <c r="E1305" s="115"/>
      <c r="F1305" s="115"/>
      <c r="G1305" s="60" t="s">
        <v>126</v>
      </c>
      <c r="H1305" s="124"/>
      <c r="I1305" s="124"/>
      <c r="J1305" s="60"/>
      <c r="K1305" s="60"/>
      <c r="L1305" s="60"/>
      <c r="M1305" s="60"/>
      <c r="N1305" s="60">
        <f t="shared" ref="N1305:N1310" si="400">M1305*J1305*K1305*L1305</f>
        <v>0</v>
      </c>
      <c r="O1305" s="60">
        <f t="shared" ref="O1305:O1310" si="401">J1305*K1305*L1305</f>
        <v>0</v>
      </c>
    </row>
    <row r="1306" spans="1:15" s="38" customFormat="1" ht="10.7" customHeight="1" outlineLevel="1" x14ac:dyDescent="0.25">
      <c r="A1306" s="124"/>
      <c r="B1306" s="142"/>
      <c r="C1306" s="115"/>
      <c r="D1306" s="115"/>
      <c r="E1306" s="115"/>
      <c r="F1306" s="115"/>
      <c r="G1306" s="60" t="s">
        <v>127</v>
      </c>
      <c r="H1306" s="124"/>
      <c r="I1306" s="124"/>
      <c r="J1306" s="60"/>
      <c r="K1306" s="60"/>
      <c r="L1306" s="60"/>
      <c r="M1306" s="60"/>
      <c r="N1306" s="60">
        <f t="shared" si="400"/>
        <v>0</v>
      </c>
      <c r="O1306" s="60">
        <f t="shared" si="401"/>
        <v>0</v>
      </c>
    </row>
    <row r="1307" spans="1:15" s="38" customFormat="1" ht="10.7" customHeight="1" outlineLevel="1" x14ac:dyDescent="0.25">
      <c r="A1307" s="124"/>
      <c r="B1307" s="142"/>
      <c r="C1307" s="115"/>
      <c r="D1307" s="115"/>
      <c r="E1307" s="115"/>
      <c r="F1307" s="115"/>
      <c r="G1307" s="60" t="s">
        <v>128</v>
      </c>
      <c r="H1307" s="124"/>
      <c r="I1307" s="124"/>
      <c r="J1307" s="60"/>
      <c r="K1307" s="60"/>
      <c r="L1307" s="60"/>
      <c r="M1307" s="60"/>
      <c r="N1307" s="60">
        <f t="shared" si="400"/>
        <v>0</v>
      </c>
      <c r="O1307" s="60">
        <f t="shared" si="401"/>
        <v>0</v>
      </c>
    </row>
    <row r="1308" spans="1:15" s="38" customFormat="1" ht="10.7" customHeight="1" outlineLevel="1" x14ac:dyDescent="0.25">
      <c r="A1308" s="124"/>
      <c r="B1308" s="142"/>
      <c r="C1308" s="115"/>
      <c r="D1308" s="115"/>
      <c r="E1308" s="115"/>
      <c r="F1308" s="115"/>
      <c r="G1308" s="60" t="s">
        <v>129</v>
      </c>
      <c r="H1308" s="124"/>
      <c r="I1308" s="124"/>
      <c r="J1308" s="60"/>
      <c r="K1308" s="60"/>
      <c r="L1308" s="60"/>
      <c r="M1308" s="60"/>
      <c r="N1308" s="60">
        <f t="shared" si="400"/>
        <v>0</v>
      </c>
      <c r="O1308" s="60">
        <f t="shared" si="401"/>
        <v>0</v>
      </c>
    </row>
    <row r="1309" spans="1:15" s="38" customFormat="1" ht="10.7" customHeight="1" outlineLevel="1" x14ac:dyDescent="0.25">
      <c r="A1309" s="124"/>
      <c r="B1309" s="142"/>
      <c r="C1309" s="115"/>
      <c r="D1309" s="115"/>
      <c r="E1309" s="115"/>
      <c r="F1309" s="115"/>
      <c r="G1309" s="60" t="s">
        <v>130</v>
      </c>
      <c r="H1309" s="124"/>
      <c r="I1309" s="124"/>
      <c r="J1309" s="60"/>
      <c r="K1309" s="60"/>
      <c r="L1309" s="60"/>
      <c r="M1309" s="60"/>
      <c r="N1309" s="60">
        <f t="shared" si="400"/>
        <v>0</v>
      </c>
      <c r="O1309" s="60">
        <f t="shared" si="401"/>
        <v>0</v>
      </c>
    </row>
    <row r="1310" spans="1:15" s="38" customFormat="1" ht="12" customHeight="1" outlineLevel="1" thickBot="1" x14ac:dyDescent="0.3">
      <c r="A1310" s="125"/>
      <c r="B1310" s="143"/>
      <c r="C1310" s="131"/>
      <c r="D1310" s="131"/>
      <c r="E1310" s="131"/>
      <c r="F1310" s="131"/>
      <c r="G1310" s="60" t="s">
        <v>131</v>
      </c>
      <c r="H1310" s="134"/>
      <c r="I1310" s="134"/>
      <c r="J1310" s="60"/>
      <c r="K1310" s="60"/>
      <c r="L1310" s="60"/>
      <c r="M1310" s="60"/>
      <c r="N1310" s="60">
        <f t="shared" si="400"/>
        <v>0</v>
      </c>
      <c r="O1310" s="60">
        <f t="shared" si="401"/>
        <v>0</v>
      </c>
    </row>
    <row r="1311" spans="1:15" s="38" customFormat="1" ht="14.45" customHeight="1" outlineLevel="1" x14ac:dyDescent="0.25">
      <c r="A1311" s="140" t="s">
        <v>881</v>
      </c>
      <c r="B1311" s="141" t="s">
        <v>882</v>
      </c>
      <c r="C1311" s="130">
        <f>SUM(N1311:N1317)</f>
        <v>0</v>
      </c>
      <c r="D1311" s="130">
        <f>SUM(O1311:O1317)</f>
        <v>0</v>
      </c>
      <c r="E1311" s="130">
        <f t="shared" si="397"/>
        <v>0</v>
      </c>
      <c r="F1311" s="130"/>
      <c r="G1311" s="60" t="s">
        <v>125</v>
      </c>
      <c r="H1311" s="123"/>
      <c r="I1311" s="123"/>
      <c r="J1311" s="60"/>
      <c r="K1311" s="60"/>
      <c r="L1311" s="60"/>
      <c r="M1311" s="60"/>
      <c r="N1311" s="60">
        <f>M1311*J1311*K1311*L1311</f>
        <v>0</v>
      </c>
      <c r="O1311" s="60">
        <f>J1311*K1311*L1311</f>
        <v>0</v>
      </c>
    </row>
    <row r="1312" spans="1:15" s="38" customFormat="1" ht="11.45" customHeight="1" outlineLevel="1" x14ac:dyDescent="0.25">
      <c r="A1312" s="124"/>
      <c r="B1312" s="142"/>
      <c r="C1312" s="115"/>
      <c r="D1312" s="115"/>
      <c r="E1312" s="115"/>
      <c r="F1312" s="115"/>
      <c r="G1312" s="60" t="s">
        <v>126</v>
      </c>
      <c r="H1312" s="124"/>
      <c r="I1312" s="124"/>
      <c r="J1312" s="60"/>
      <c r="K1312" s="60"/>
      <c r="L1312" s="60"/>
      <c r="M1312" s="60"/>
      <c r="N1312" s="60">
        <f t="shared" ref="N1312:N1317" si="402">M1312*J1312*K1312*L1312</f>
        <v>0</v>
      </c>
      <c r="O1312" s="60">
        <f t="shared" ref="O1312:O1317" si="403">J1312*K1312*L1312</f>
        <v>0</v>
      </c>
    </row>
    <row r="1313" spans="1:15" s="38" customFormat="1" ht="10.7" customHeight="1" outlineLevel="1" x14ac:dyDescent="0.25">
      <c r="A1313" s="124"/>
      <c r="B1313" s="142"/>
      <c r="C1313" s="115"/>
      <c r="D1313" s="115"/>
      <c r="E1313" s="115"/>
      <c r="F1313" s="115"/>
      <c r="G1313" s="60" t="s">
        <v>127</v>
      </c>
      <c r="H1313" s="124"/>
      <c r="I1313" s="124"/>
      <c r="J1313" s="60"/>
      <c r="K1313" s="60"/>
      <c r="L1313" s="60"/>
      <c r="M1313" s="60"/>
      <c r="N1313" s="60">
        <f t="shared" si="402"/>
        <v>0</v>
      </c>
      <c r="O1313" s="60">
        <f t="shared" si="403"/>
        <v>0</v>
      </c>
    </row>
    <row r="1314" spans="1:15" s="38" customFormat="1" ht="10.7" customHeight="1" outlineLevel="1" x14ac:dyDescent="0.25">
      <c r="A1314" s="124"/>
      <c r="B1314" s="142"/>
      <c r="C1314" s="115"/>
      <c r="D1314" s="115"/>
      <c r="E1314" s="115"/>
      <c r="F1314" s="115"/>
      <c r="G1314" s="60" t="s">
        <v>128</v>
      </c>
      <c r="H1314" s="124"/>
      <c r="I1314" s="124"/>
      <c r="J1314" s="60"/>
      <c r="K1314" s="60"/>
      <c r="L1314" s="60"/>
      <c r="M1314" s="60"/>
      <c r="N1314" s="60">
        <f t="shared" si="402"/>
        <v>0</v>
      </c>
      <c r="O1314" s="60">
        <f t="shared" si="403"/>
        <v>0</v>
      </c>
    </row>
    <row r="1315" spans="1:15" s="38" customFormat="1" ht="10.7" customHeight="1" outlineLevel="1" x14ac:dyDescent="0.25">
      <c r="A1315" s="124"/>
      <c r="B1315" s="142"/>
      <c r="C1315" s="115"/>
      <c r="D1315" s="115"/>
      <c r="E1315" s="115"/>
      <c r="F1315" s="115"/>
      <c r="G1315" s="60" t="s">
        <v>129</v>
      </c>
      <c r="H1315" s="124"/>
      <c r="I1315" s="124"/>
      <c r="J1315" s="60"/>
      <c r="K1315" s="60"/>
      <c r="L1315" s="60"/>
      <c r="M1315" s="60"/>
      <c r="N1315" s="60">
        <f t="shared" si="402"/>
        <v>0</v>
      </c>
      <c r="O1315" s="60">
        <f t="shared" si="403"/>
        <v>0</v>
      </c>
    </row>
    <row r="1316" spans="1:15" s="38" customFormat="1" ht="10.7" customHeight="1" outlineLevel="1" x14ac:dyDescent="0.25">
      <c r="A1316" s="124"/>
      <c r="B1316" s="142"/>
      <c r="C1316" s="115"/>
      <c r="D1316" s="115"/>
      <c r="E1316" s="115"/>
      <c r="F1316" s="115"/>
      <c r="G1316" s="60" t="s">
        <v>130</v>
      </c>
      <c r="H1316" s="124"/>
      <c r="I1316" s="124"/>
      <c r="J1316" s="60"/>
      <c r="K1316" s="60"/>
      <c r="L1316" s="60"/>
      <c r="M1316" s="60"/>
      <c r="N1316" s="60">
        <f t="shared" si="402"/>
        <v>0</v>
      </c>
      <c r="O1316" s="60">
        <f t="shared" si="403"/>
        <v>0</v>
      </c>
    </row>
    <row r="1317" spans="1:15" s="38" customFormat="1" ht="12" customHeight="1" outlineLevel="1" thickBot="1" x14ac:dyDescent="0.3">
      <c r="A1317" s="125"/>
      <c r="B1317" s="143"/>
      <c r="C1317" s="131"/>
      <c r="D1317" s="131"/>
      <c r="E1317" s="131"/>
      <c r="F1317" s="131"/>
      <c r="G1317" s="60" t="s">
        <v>131</v>
      </c>
      <c r="H1317" s="134"/>
      <c r="I1317" s="134"/>
      <c r="J1317" s="60"/>
      <c r="K1317" s="60"/>
      <c r="L1317" s="60"/>
      <c r="M1317" s="60"/>
      <c r="N1317" s="60">
        <f t="shared" si="402"/>
        <v>0</v>
      </c>
      <c r="O1317" s="60">
        <f t="shared" si="403"/>
        <v>0</v>
      </c>
    </row>
    <row r="1318" spans="1:15" s="38" customFormat="1" ht="14.45" customHeight="1" outlineLevel="1" x14ac:dyDescent="0.25">
      <c r="A1318" s="140" t="s">
        <v>883</v>
      </c>
      <c r="B1318" s="141" t="s">
        <v>294</v>
      </c>
      <c r="C1318" s="130">
        <f>SUM(N1318:N1324)</f>
        <v>0</v>
      </c>
      <c r="D1318" s="130">
        <f>SUM(O1318:O1324)</f>
        <v>0</v>
      </c>
      <c r="E1318" s="130">
        <f t="shared" si="397"/>
        <v>0</v>
      </c>
      <c r="F1318" s="130"/>
      <c r="G1318" s="60" t="s">
        <v>125</v>
      </c>
      <c r="H1318" s="123"/>
      <c r="I1318" s="123"/>
      <c r="J1318" s="60"/>
      <c r="K1318" s="60"/>
      <c r="L1318" s="60"/>
      <c r="M1318" s="60"/>
      <c r="N1318" s="60">
        <f>M1318*J1318*K1318*L1318</f>
        <v>0</v>
      </c>
      <c r="O1318" s="60">
        <f>J1318*K1318*L1318</f>
        <v>0</v>
      </c>
    </row>
    <row r="1319" spans="1:15" s="38" customFormat="1" ht="11.45" customHeight="1" outlineLevel="1" x14ac:dyDescent="0.25">
      <c r="A1319" s="124"/>
      <c r="B1319" s="142"/>
      <c r="C1319" s="115"/>
      <c r="D1319" s="115"/>
      <c r="E1319" s="115"/>
      <c r="F1319" s="115"/>
      <c r="G1319" s="60" t="s">
        <v>126</v>
      </c>
      <c r="H1319" s="124"/>
      <c r="I1319" s="124"/>
      <c r="J1319" s="60"/>
      <c r="K1319" s="60"/>
      <c r="L1319" s="60"/>
      <c r="M1319" s="60"/>
      <c r="N1319" s="60">
        <f t="shared" ref="N1319:N1324" si="404">M1319*J1319*K1319*L1319</f>
        <v>0</v>
      </c>
      <c r="O1319" s="60">
        <f t="shared" ref="O1319:O1324" si="405">J1319*K1319*L1319</f>
        <v>0</v>
      </c>
    </row>
    <row r="1320" spans="1:15" s="38" customFormat="1" ht="10.7" customHeight="1" outlineLevel="1" x14ac:dyDescent="0.25">
      <c r="A1320" s="124"/>
      <c r="B1320" s="142"/>
      <c r="C1320" s="115"/>
      <c r="D1320" s="115"/>
      <c r="E1320" s="115"/>
      <c r="F1320" s="115"/>
      <c r="G1320" s="60" t="s">
        <v>127</v>
      </c>
      <c r="H1320" s="124"/>
      <c r="I1320" s="124"/>
      <c r="J1320" s="60"/>
      <c r="K1320" s="60"/>
      <c r="L1320" s="60"/>
      <c r="M1320" s="60"/>
      <c r="N1320" s="60">
        <f t="shared" si="404"/>
        <v>0</v>
      </c>
      <c r="O1320" s="60">
        <f t="shared" si="405"/>
        <v>0</v>
      </c>
    </row>
    <row r="1321" spans="1:15" s="38" customFormat="1" ht="10.7" customHeight="1" outlineLevel="1" x14ac:dyDescent="0.25">
      <c r="A1321" s="124"/>
      <c r="B1321" s="142"/>
      <c r="C1321" s="115"/>
      <c r="D1321" s="115"/>
      <c r="E1321" s="115"/>
      <c r="F1321" s="115"/>
      <c r="G1321" s="60" t="s">
        <v>128</v>
      </c>
      <c r="H1321" s="124"/>
      <c r="I1321" s="124"/>
      <c r="J1321" s="60"/>
      <c r="K1321" s="60"/>
      <c r="L1321" s="60"/>
      <c r="M1321" s="60"/>
      <c r="N1321" s="60">
        <f t="shared" si="404"/>
        <v>0</v>
      </c>
      <c r="O1321" s="60">
        <f t="shared" si="405"/>
        <v>0</v>
      </c>
    </row>
    <row r="1322" spans="1:15" s="38" customFormat="1" ht="10.7" customHeight="1" outlineLevel="1" x14ac:dyDescent="0.25">
      <c r="A1322" s="124"/>
      <c r="B1322" s="142"/>
      <c r="C1322" s="115"/>
      <c r="D1322" s="115"/>
      <c r="E1322" s="115"/>
      <c r="F1322" s="115"/>
      <c r="G1322" s="60" t="s">
        <v>129</v>
      </c>
      <c r="H1322" s="124"/>
      <c r="I1322" s="124"/>
      <c r="J1322" s="60"/>
      <c r="K1322" s="60"/>
      <c r="L1322" s="60"/>
      <c r="M1322" s="60"/>
      <c r="N1322" s="60">
        <f t="shared" si="404"/>
        <v>0</v>
      </c>
      <c r="O1322" s="60">
        <f t="shared" si="405"/>
        <v>0</v>
      </c>
    </row>
    <row r="1323" spans="1:15" s="38" customFormat="1" ht="10.7" customHeight="1" outlineLevel="1" x14ac:dyDescent="0.25">
      <c r="A1323" s="124"/>
      <c r="B1323" s="142"/>
      <c r="C1323" s="115"/>
      <c r="D1323" s="115"/>
      <c r="E1323" s="115"/>
      <c r="F1323" s="115"/>
      <c r="G1323" s="60" t="s">
        <v>130</v>
      </c>
      <c r="H1323" s="124"/>
      <c r="I1323" s="124"/>
      <c r="J1323" s="60"/>
      <c r="K1323" s="60"/>
      <c r="L1323" s="60"/>
      <c r="M1323" s="60"/>
      <c r="N1323" s="60">
        <f t="shared" si="404"/>
        <v>0</v>
      </c>
      <c r="O1323" s="60">
        <f t="shared" si="405"/>
        <v>0</v>
      </c>
    </row>
    <row r="1324" spans="1:15" s="38" customFormat="1" ht="12" customHeight="1" outlineLevel="1" thickBot="1" x14ac:dyDescent="0.3">
      <c r="A1324" s="125"/>
      <c r="B1324" s="143"/>
      <c r="C1324" s="131"/>
      <c r="D1324" s="131"/>
      <c r="E1324" s="131"/>
      <c r="F1324" s="131"/>
      <c r="G1324" s="60" t="s">
        <v>131</v>
      </c>
      <c r="H1324" s="134"/>
      <c r="I1324" s="134"/>
      <c r="J1324" s="60"/>
      <c r="K1324" s="60"/>
      <c r="L1324" s="60"/>
      <c r="M1324" s="60"/>
      <c r="N1324" s="60">
        <f t="shared" si="404"/>
        <v>0</v>
      </c>
      <c r="O1324" s="60">
        <f t="shared" si="405"/>
        <v>0</v>
      </c>
    </row>
    <row r="1325" spans="1:15" s="38" customFormat="1" ht="14.45" customHeight="1" outlineLevel="1" x14ac:dyDescent="0.25">
      <c r="A1325" s="140" t="s">
        <v>884</v>
      </c>
      <c r="B1325" s="141" t="s">
        <v>296</v>
      </c>
      <c r="C1325" s="130">
        <f>SUM(N1325:N1331)</f>
        <v>0</v>
      </c>
      <c r="D1325" s="130">
        <f>SUM(O1325:O1331)</f>
        <v>0</v>
      </c>
      <c r="E1325" s="130">
        <f t="shared" si="397"/>
        <v>0</v>
      </c>
      <c r="F1325" s="130"/>
      <c r="G1325" s="60" t="s">
        <v>125</v>
      </c>
      <c r="H1325" s="123"/>
      <c r="I1325" s="123"/>
      <c r="J1325" s="60"/>
      <c r="K1325" s="60"/>
      <c r="L1325" s="60"/>
      <c r="M1325" s="60"/>
      <c r="N1325" s="60">
        <f>M1325*J1325*K1325*L1325</f>
        <v>0</v>
      </c>
      <c r="O1325" s="60">
        <f>J1325*K1325*L1325</f>
        <v>0</v>
      </c>
    </row>
    <row r="1326" spans="1:15" s="38" customFormat="1" ht="11.45" customHeight="1" outlineLevel="1" x14ac:dyDescent="0.25">
      <c r="A1326" s="124"/>
      <c r="B1326" s="142"/>
      <c r="C1326" s="115"/>
      <c r="D1326" s="115"/>
      <c r="E1326" s="115"/>
      <c r="F1326" s="115"/>
      <c r="G1326" s="60" t="s">
        <v>126</v>
      </c>
      <c r="H1326" s="124"/>
      <c r="I1326" s="124"/>
      <c r="J1326" s="60"/>
      <c r="K1326" s="60"/>
      <c r="L1326" s="60"/>
      <c r="M1326" s="60"/>
      <c r="N1326" s="60">
        <f t="shared" ref="N1326:N1331" si="406">M1326*J1326*K1326*L1326</f>
        <v>0</v>
      </c>
      <c r="O1326" s="60">
        <f t="shared" ref="O1326:O1331" si="407">J1326*K1326*L1326</f>
        <v>0</v>
      </c>
    </row>
    <row r="1327" spans="1:15" s="38" customFormat="1" ht="10.7" customHeight="1" outlineLevel="1" x14ac:dyDescent="0.25">
      <c r="A1327" s="124"/>
      <c r="B1327" s="142"/>
      <c r="C1327" s="115"/>
      <c r="D1327" s="115"/>
      <c r="E1327" s="115"/>
      <c r="F1327" s="115"/>
      <c r="G1327" s="60" t="s">
        <v>127</v>
      </c>
      <c r="H1327" s="124"/>
      <c r="I1327" s="124"/>
      <c r="J1327" s="60"/>
      <c r="K1327" s="60"/>
      <c r="L1327" s="60"/>
      <c r="M1327" s="60"/>
      <c r="N1327" s="60">
        <f t="shared" si="406"/>
        <v>0</v>
      </c>
      <c r="O1327" s="60">
        <f t="shared" si="407"/>
        <v>0</v>
      </c>
    </row>
    <row r="1328" spans="1:15" s="38" customFormat="1" ht="10.7" customHeight="1" outlineLevel="1" x14ac:dyDescent="0.25">
      <c r="A1328" s="124"/>
      <c r="B1328" s="142"/>
      <c r="C1328" s="115"/>
      <c r="D1328" s="115"/>
      <c r="E1328" s="115"/>
      <c r="F1328" s="115"/>
      <c r="G1328" s="60" t="s">
        <v>128</v>
      </c>
      <c r="H1328" s="124"/>
      <c r="I1328" s="124"/>
      <c r="J1328" s="60"/>
      <c r="K1328" s="60"/>
      <c r="L1328" s="60"/>
      <c r="M1328" s="60"/>
      <c r="N1328" s="60">
        <f t="shared" si="406"/>
        <v>0</v>
      </c>
      <c r="O1328" s="60">
        <f t="shared" si="407"/>
        <v>0</v>
      </c>
    </row>
    <row r="1329" spans="1:15" s="38" customFormat="1" ht="10.7" customHeight="1" outlineLevel="1" x14ac:dyDescent="0.25">
      <c r="A1329" s="124"/>
      <c r="B1329" s="142"/>
      <c r="C1329" s="115"/>
      <c r="D1329" s="115"/>
      <c r="E1329" s="115"/>
      <c r="F1329" s="115"/>
      <c r="G1329" s="60" t="s">
        <v>129</v>
      </c>
      <c r="H1329" s="124"/>
      <c r="I1329" s="124"/>
      <c r="J1329" s="60"/>
      <c r="K1329" s="60"/>
      <c r="L1329" s="60"/>
      <c r="M1329" s="60"/>
      <c r="N1329" s="60">
        <f t="shared" si="406"/>
        <v>0</v>
      </c>
      <c r="O1329" s="60">
        <f t="shared" si="407"/>
        <v>0</v>
      </c>
    </row>
    <row r="1330" spans="1:15" s="38" customFormat="1" ht="10.7" customHeight="1" outlineLevel="1" x14ac:dyDescent="0.25">
      <c r="A1330" s="124"/>
      <c r="B1330" s="142"/>
      <c r="C1330" s="115"/>
      <c r="D1330" s="115"/>
      <c r="E1330" s="115"/>
      <c r="F1330" s="115"/>
      <c r="G1330" s="60" t="s">
        <v>130</v>
      </c>
      <c r="H1330" s="124"/>
      <c r="I1330" s="124"/>
      <c r="J1330" s="60"/>
      <c r="K1330" s="60"/>
      <c r="L1330" s="60"/>
      <c r="M1330" s="60"/>
      <c r="N1330" s="60">
        <f t="shared" si="406"/>
        <v>0</v>
      </c>
      <c r="O1330" s="60">
        <f t="shared" si="407"/>
        <v>0</v>
      </c>
    </row>
    <row r="1331" spans="1:15" s="38" customFormat="1" ht="12" customHeight="1" outlineLevel="1" thickBot="1" x14ac:dyDescent="0.3">
      <c r="A1331" s="125"/>
      <c r="B1331" s="143"/>
      <c r="C1331" s="131"/>
      <c r="D1331" s="131"/>
      <c r="E1331" s="131"/>
      <c r="F1331" s="131"/>
      <c r="G1331" s="60" t="s">
        <v>131</v>
      </c>
      <c r="H1331" s="134"/>
      <c r="I1331" s="134"/>
      <c r="J1331" s="60"/>
      <c r="K1331" s="60"/>
      <c r="L1331" s="60"/>
      <c r="M1331" s="60"/>
      <c r="N1331" s="60">
        <f t="shared" si="406"/>
        <v>0</v>
      </c>
      <c r="O1331" s="60">
        <f t="shared" si="407"/>
        <v>0</v>
      </c>
    </row>
    <row r="1332" spans="1:15" s="38" customFormat="1" ht="14.45" customHeight="1" outlineLevel="1" x14ac:dyDescent="0.25">
      <c r="A1332" s="140" t="s">
        <v>885</v>
      </c>
      <c r="B1332" s="141" t="s">
        <v>886</v>
      </c>
      <c r="C1332" s="130">
        <f>SUM(N1332:N1338)</f>
        <v>0</v>
      </c>
      <c r="D1332" s="130">
        <f>SUM(O1332:O1338)</f>
        <v>0</v>
      </c>
      <c r="E1332" s="130">
        <f t="shared" si="397"/>
        <v>0</v>
      </c>
      <c r="F1332" s="130"/>
      <c r="G1332" s="60" t="s">
        <v>125</v>
      </c>
      <c r="H1332" s="123"/>
      <c r="I1332" s="123"/>
      <c r="J1332" s="60"/>
      <c r="K1332" s="60"/>
      <c r="L1332" s="60"/>
      <c r="M1332" s="60"/>
      <c r="N1332" s="60">
        <f>M1332*J1332*K1332*L1332</f>
        <v>0</v>
      </c>
      <c r="O1332" s="60">
        <f>J1332*K1332*L1332</f>
        <v>0</v>
      </c>
    </row>
    <row r="1333" spans="1:15" s="38" customFormat="1" ht="11.45" customHeight="1" outlineLevel="1" x14ac:dyDescent="0.25">
      <c r="A1333" s="124"/>
      <c r="B1333" s="142"/>
      <c r="C1333" s="115"/>
      <c r="D1333" s="115"/>
      <c r="E1333" s="115"/>
      <c r="F1333" s="115"/>
      <c r="G1333" s="60" t="s">
        <v>126</v>
      </c>
      <c r="H1333" s="124"/>
      <c r="I1333" s="124"/>
      <c r="J1333" s="60"/>
      <c r="K1333" s="60"/>
      <c r="L1333" s="60"/>
      <c r="M1333" s="60"/>
      <c r="N1333" s="60">
        <f t="shared" ref="N1333:N1338" si="408">M1333*J1333*K1333*L1333</f>
        <v>0</v>
      </c>
      <c r="O1333" s="60">
        <f t="shared" ref="O1333:O1338" si="409">J1333*K1333*L1333</f>
        <v>0</v>
      </c>
    </row>
    <row r="1334" spans="1:15" s="38" customFormat="1" ht="10.7" customHeight="1" outlineLevel="1" x14ac:dyDescent="0.25">
      <c r="A1334" s="124"/>
      <c r="B1334" s="142"/>
      <c r="C1334" s="115"/>
      <c r="D1334" s="115"/>
      <c r="E1334" s="115"/>
      <c r="F1334" s="115"/>
      <c r="G1334" s="60" t="s">
        <v>127</v>
      </c>
      <c r="H1334" s="124"/>
      <c r="I1334" s="124"/>
      <c r="J1334" s="60"/>
      <c r="K1334" s="60"/>
      <c r="L1334" s="60"/>
      <c r="M1334" s="60"/>
      <c r="N1334" s="60">
        <f t="shared" si="408"/>
        <v>0</v>
      </c>
      <c r="O1334" s="60">
        <f t="shared" si="409"/>
        <v>0</v>
      </c>
    </row>
    <row r="1335" spans="1:15" s="38" customFormat="1" ht="10.7" customHeight="1" outlineLevel="1" x14ac:dyDescent="0.25">
      <c r="A1335" s="124"/>
      <c r="B1335" s="142"/>
      <c r="C1335" s="115"/>
      <c r="D1335" s="115"/>
      <c r="E1335" s="115"/>
      <c r="F1335" s="115"/>
      <c r="G1335" s="60" t="s">
        <v>128</v>
      </c>
      <c r="H1335" s="124"/>
      <c r="I1335" s="124"/>
      <c r="J1335" s="60"/>
      <c r="K1335" s="60"/>
      <c r="L1335" s="60"/>
      <c r="M1335" s="60"/>
      <c r="N1335" s="60">
        <f t="shared" si="408"/>
        <v>0</v>
      </c>
      <c r="O1335" s="60">
        <f t="shared" si="409"/>
        <v>0</v>
      </c>
    </row>
    <row r="1336" spans="1:15" s="38" customFormat="1" ht="10.7" customHeight="1" outlineLevel="1" x14ac:dyDescent="0.25">
      <c r="A1336" s="124"/>
      <c r="B1336" s="142"/>
      <c r="C1336" s="115"/>
      <c r="D1336" s="115"/>
      <c r="E1336" s="115"/>
      <c r="F1336" s="115"/>
      <c r="G1336" s="60" t="s">
        <v>129</v>
      </c>
      <c r="H1336" s="124"/>
      <c r="I1336" s="124"/>
      <c r="J1336" s="60"/>
      <c r="K1336" s="60"/>
      <c r="L1336" s="60"/>
      <c r="M1336" s="60"/>
      <c r="N1336" s="60">
        <f t="shared" si="408"/>
        <v>0</v>
      </c>
      <c r="O1336" s="60">
        <f t="shared" si="409"/>
        <v>0</v>
      </c>
    </row>
    <row r="1337" spans="1:15" s="38" customFormat="1" ht="10.7" customHeight="1" outlineLevel="1" x14ac:dyDescent="0.25">
      <c r="A1337" s="124"/>
      <c r="B1337" s="142"/>
      <c r="C1337" s="115"/>
      <c r="D1337" s="115"/>
      <c r="E1337" s="115"/>
      <c r="F1337" s="115"/>
      <c r="G1337" s="60" t="s">
        <v>130</v>
      </c>
      <c r="H1337" s="124"/>
      <c r="I1337" s="124"/>
      <c r="J1337" s="60"/>
      <c r="K1337" s="60"/>
      <c r="L1337" s="60"/>
      <c r="M1337" s="60"/>
      <c r="N1337" s="60">
        <f t="shared" si="408"/>
        <v>0</v>
      </c>
      <c r="O1337" s="60">
        <f t="shared" si="409"/>
        <v>0</v>
      </c>
    </row>
    <row r="1338" spans="1:15" s="38" customFormat="1" ht="12" customHeight="1" outlineLevel="1" thickBot="1" x14ac:dyDescent="0.3">
      <c r="A1338" s="125"/>
      <c r="B1338" s="143"/>
      <c r="C1338" s="131"/>
      <c r="D1338" s="131"/>
      <c r="E1338" s="131"/>
      <c r="F1338" s="131"/>
      <c r="G1338" s="60" t="s">
        <v>131</v>
      </c>
      <c r="H1338" s="134"/>
      <c r="I1338" s="134"/>
      <c r="J1338" s="60"/>
      <c r="K1338" s="60"/>
      <c r="L1338" s="60"/>
      <c r="M1338" s="60"/>
      <c r="N1338" s="60">
        <f t="shared" si="408"/>
        <v>0</v>
      </c>
      <c r="O1338" s="60">
        <f t="shared" si="409"/>
        <v>0</v>
      </c>
    </row>
    <row r="1339" spans="1:15" s="38" customFormat="1" ht="14.45" customHeight="1" outlineLevel="1" x14ac:dyDescent="0.25">
      <c r="A1339" s="140" t="s">
        <v>887</v>
      </c>
      <c r="B1339" s="141" t="s">
        <v>888</v>
      </c>
      <c r="C1339" s="130">
        <f>SUM(N1339:N1345)</f>
        <v>0</v>
      </c>
      <c r="D1339" s="130">
        <f>SUM(O1339:O1345)</f>
        <v>0</v>
      </c>
      <c r="E1339" s="130">
        <f t="shared" si="397"/>
        <v>0</v>
      </c>
      <c r="F1339" s="130"/>
      <c r="G1339" s="60" t="s">
        <v>125</v>
      </c>
      <c r="H1339" s="123"/>
      <c r="I1339" s="123"/>
      <c r="J1339" s="60"/>
      <c r="K1339" s="60"/>
      <c r="L1339" s="60"/>
      <c r="M1339" s="60"/>
      <c r="N1339" s="60">
        <f>M1339*J1339*K1339*L1339</f>
        <v>0</v>
      </c>
      <c r="O1339" s="60">
        <f>J1339*K1339*L1339</f>
        <v>0</v>
      </c>
    </row>
    <row r="1340" spans="1:15" s="38" customFormat="1" ht="11.45" customHeight="1" outlineLevel="1" x14ac:dyDescent="0.25">
      <c r="A1340" s="124"/>
      <c r="B1340" s="142"/>
      <c r="C1340" s="115"/>
      <c r="D1340" s="115"/>
      <c r="E1340" s="115"/>
      <c r="F1340" s="115"/>
      <c r="G1340" s="60" t="s">
        <v>126</v>
      </c>
      <c r="H1340" s="124"/>
      <c r="I1340" s="124"/>
      <c r="J1340" s="60"/>
      <c r="K1340" s="60"/>
      <c r="L1340" s="60"/>
      <c r="M1340" s="60"/>
      <c r="N1340" s="60">
        <f t="shared" ref="N1340:N1345" si="410">M1340*J1340*K1340*L1340</f>
        <v>0</v>
      </c>
      <c r="O1340" s="60">
        <f t="shared" ref="O1340:O1345" si="411">J1340*K1340*L1340</f>
        <v>0</v>
      </c>
    </row>
    <row r="1341" spans="1:15" s="38" customFormat="1" ht="10.7" customHeight="1" outlineLevel="1" x14ac:dyDescent="0.25">
      <c r="A1341" s="124"/>
      <c r="B1341" s="142"/>
      <c r="C1341" s="115"/>
      <c r="D1341" s="115"/>
      <c r="E1341" s="115"/>
      <c r="F1341" s="115"/>
      <c r="G1341" s="60" t="s">
        <v>127</v>
      </c>
      <c r="H1341" s="124"/>
      <c r="I1341" s="124"/>
      <c r="J1341" s="60"/>
      <c r="K1341" s="60"/>
      <c r="L1341" s="60"/>
      <c r="M1341" s="60"/>
      <c r="N1341" s="60">
        <f t="shared" si="410"/>
        <v>0</v>
      </c>
      <c r="O1341" s="60">
        <f t="shared" si="411"/>
        <v>0</v>
      </c>
    </row>
    <row r="1342" spans="1:15" s="38" customFormat="1" ht="10.7" customHeight="1" outlineLevel="1" x14ac:dyDescent="0.25">
      <c r="A1342" s="124"/>
      <c r="B1342" s="142"/>
      <c r="C1342" s="115"/>
      <c r="D1342" s="115"/>
      <c r="E1342" s="115"/>
      <c r="F1342" s="115"/>
      <c r="G1342" s="60" t="s">
        <v>128</v>
      </c>
      <c r="H1342" s="124"/>
      <c r="I1342" s="124"/>
      <c r="J1342" s="60"/>
      <c r="K1342" s="60"/>
      <c r="L1342" s="60"/>
      <c r="M1342" s="60"/>
      <c r="N1342" s="60">
        <f t="shared" si="410"/>
        <v>0</v>
      </c>
      <c r="O1342" s="60">
        <f t="shared" si="411"/>
        <v>0</v>
      </c>
    </row>
    <row r="1343" spans="1:15" s="38" customFormat="1" ht="10.7" customHeight="1" outlineLevel="1" x14ac:dyDescent="0.25">
      <c r="A1343" s="124"/>
      <c r="B1343" s="142"/>
      <c r="C1343" s="115"/>
      <c r="D1343" s="115"/>
      <c r="E1343" s="115"/>
      <c r="F1343" s="115"/>
      <c r="G1343" s="60" t="s">
        <v>129</v>
      </c>
      <c r="H1343" s="124"/>
      <c r="I1343" s="124"/>
      <c r="J1343" s="60"/>
      <c r="K1343" s="60"/>
      <c r="L1343" s="60"/>
      <c r="M1343" s="60"/>
      <c r="N1343" s="60">
        <f t="shared" si="410"/>
        <v>0</v>
      </c>
      <c r="O1343" s="60">
        <f t="shared" si="411"/>
        <v>0</v>
      </c>
    </row>
    <row r="1344" spans="1:15" s="38" customFormat="1" ht="10.7" customHeight="1" outlineLevel="1" x14ac:dyDescent="0.25">
      <c r="A1344" s="124"/>
      <c r="B1344" s="142"/>
      <c r="C1344" s="115"/>
      <c r="D1344" s="115"/>
      <c r="E1344" s="115"/>
      <c r="F1344" s="115"/>
      <c r="G1344" s="60" t="s">
        <v>130</v>
      </c>
      <c r="H1344" s="124"/>
      <c r="I1344" s="124"/>
      <c r="J1344" s="60"/>
      <c r="K1344" s="60"/>
      <c r="L1344" s="60"/>
      <c r="M1344" s="60"/>
      <c r="N1344" s="60">
        <f t="shared" si="410"/>
        <v>0</v>
      </c>
      <c r="O1344" s="60">
        <f t="shared" si="411"/>
        <v>0</v>
      </c>
    </row>
    <row r="1345" spans="1:15" s="38" customFormat="1" ht="12" customHeight="1" outlineLevel="1" thickBot="1" x14ac:dyDescent="0.3">
      <c r="A1345" s="125"/>
      <c r="B1345" s="143"/>
      <c r="C1345" s="131"/>
      <c r="D1345" s="131"/>
      <c r="E1345" s="131"/>
      <c r="F1345" s="131"/>
      <c r="G1345" s="60" t="s">
        <v>131</v>
      </c>
      <c r="H1345" s="134"/>
      <c r="I1345" s="134"/>
      <c r="J1345" s="60"/>
      <c r="K1345" s="60"/>
      <c r="L1345" s="60"/>
      <c r="M1345" s="60"/>
      <c r="N1345" s="60">
        <f t="shared" si="410"/>
        <v>0</v>
      </c>
      <c r="O1345" s="60">
        <f t="shared" si="411"/>
        <v>0</v>
      </c>
    </row>
    <row r="1346" spans="1:15" s="38" customFormat="1" ht="14.45" customHeight="1" outlineLevel="1" x14ac:dyDescent="0.25">
      <c r="A1346" s="140" t="s">
        <v>889</v>
      </c>
      <c r="B1346" s="141" t="s">
        <v>300</v>
      </c>
      <c r="C1346" s="130">
        <f>SUM(N1346:N1352)</f>
        <v>0</v>
      </c>
      <c r="D1346" s="130">
        <f>SUM(O1346:O1352)</f>
        <v>0</v>
      </c>
      <c r="E1346" s="130">
        <f t="shared" si="397"/>
        <v>0</v>
      </c>
      <c r="F1346" s="130"/>
      <c r="G1346" s="60" t="s">
        <v>125</v>
      </c>
      <c r="H1346" s="123"/>
      <c r="I1346" s="123"/>
      <c r="J1346" s="60"/>
      <c r="K1346" s="60"/>
      <c r="L1346" s="60"/>
      <c r="M1346" s="60"/>
      <c r="N1346" s="60">
        <f>M1346*J1346*K1346*L1346</f>
        <v>0</v>
      </c>
      <c r="O1346" s="60">
        <f>J1346*K1346*L1346</f>
        <v>0</v>
      </c>
    </row>
    <row r="1347" spans="1:15" s="38" customFormat="1" ht="11.45" customHeight="1" outlineLevel="1" x14ac:dyDescent="0.25">
      <c r="A1347" s="124"/>
      <c r="B1347" s="142"/>
      <c r="C1347" s="115"/>
      <c r="D1347" s="115"/>
      <c r="E1347" s="115"/>
      <c r="F1347" s="115"/>
      <c r="G1347" s="60" t="s">
        <v>126</v>
      </c>
      <c r="H1347" s="124"/>
      <c r="I1347" s="124"/>
      <c r="J1347" s="60"/>
      <c r="K1347" s="60"/>
      <c r="L1347" s="60"/>
      <c r="M1347" s="60"/>
      <c r="N1347" s="60">
        <f t="shared" ref="N1347:N1352" si="412">M1347*J1347*K1347*L1347</f>
        <v>0</v>
      </c>
      <c r="O1347" s="60">
        <f t="shared" ref="O1347:O1352" si="413">J1347*K1347*L1347</f>
        <v>0</v>
      </c>
    </row>
    <row r="1348" spans="1:15" s="38" customFormat="1" ht="10.7" customHeight="1" outlineLevel="1" x14ac:dyDescent="0.25">
      <c r="A1348" s="124"/>
      <c r="B1348" s="142"/>
      <c r="C1348" s="115"/>
      <c r="D1348" s="115"/>
      <c r="E1348" s="115"/>
      <c r="F1348" s="115"/>
      <c r="G1348" s="60" t="s">
        <v>127</v>
      </c>
      <c r="H1348" s="124"/>
      <c r="I1348" s="124"/>
      <c r="J1348" s="60"/>
      <c r="K1348" s="60"/>
      <c r="L1348" s="60"/>
      <c r="M1348" s="60"/>
      <c r="N1348" s="60">
        <f t="shared" si="412"/>
        <v>0</v>
      </c>
      <c r="O1348" s="60">
        <f t="shared" si="413"/>
        <v>0</v>
      </c>
    </row>
    <row r="1349" spans="1:15" s="38" customFormat="1" ht="10.7" customHeight="1" outlineLevel="1" x14ac:dyDescent="0.25">
      <c r="A1349" s="124"/>
      <c r="B1349" s="142"/>
      <c r="C1349" s="115"/>
      <c r="D1349" s="115"/>
      <c r="E1349" s="115"/>
      <c r="F1349" s="115"/>
      <c r="G1349" s="60" t="s">
        <v>128</v>
      </c>
      <c r="H1349" s="124"/>
      <c r="I1349" s="124"/>
      <c r="J1349" s="60"/>
      <c r="K1349" s="60"/>
      <c r="L1349" s="60"/>
      <c r="M1349" s="60"/>
      <c r="N1349" s="60">
        <f t="shared" si="412"/>
        <v>0</v>
      </c>
      <c r="O1349" s="60">
        <f t="shared" si="413"/>
        <v>0</v>
      </c>
    </row>
    <row r="1350" spans="1:15" s="38" customFormat="1" ht="10.7" customHeight="1" outlineLevel="1" x14ac:dyDescent="0.25">
      <c r="A1350" s="124"/>
      <c r="B1350" s="142"/>
      <c r="C1350" s="115"/>
      <c r="D1350" s="115"/>
      <c r="E1350" s="115"/>
      <c r="F1350" s="115"/>
      <c r="G1350" s="60" t="s">
        <v>129</v>
      </c>
      <c r="H1350" s="124"/>
      <c r="I1350" s="124"/>
      <c r="J1350" s="60"/>
      <c r="K1350" s="60"/>
      <c r="L1350" s="60"/>
      <c r="M1350" s="60"/>
      <c r="N1350" s="60">
        <f t="shared" si="412"/>
        <v>0</v>
      </c>
      <c r="O1350" s="60">
        <f t="shared" si="413"/>
        <v>0</v>
      </c>
    </row>
    <row r="1351" spans="1:15" s="38" customFormat="1" ht="10.7" customHeight="1" outlineLevel="1" x14ac:dyDescent="0.25">
      <c r="A1351" s="124"/>
      <c r="B1351" s="142"/>
      <c r="C1351" s="115"/>
      <c r="D1351" s="115"/>
      <c r="E1351" s="115"/>
      <c r="F1351" s="115"/>
      <c r="G1351" s="60" t="s">
        <v>130</v>
      </c>
      <c r="H1351" s="124"/>
      <c r="I1351" s="124"/>
      <c r="J1351" s="60"/>
      <c r="K1351" s="60"/>
      <c r="L1351" s="60"/>
      <c r="M1351" s="60"/>
      <c r="N1351" s="60">
        <f t="shared" si="412"/>
        <v>0</v>
      </c>
      <c r="O1351" s="60">
        <f t="shared" si="413"/>
        <v>0</v>
      </c>
    </row>
    <row r="1352" spans="1:15" s="38" customFormat="1" ht="12" customHeight="1" outlineLevel="1" thickBot="1" x14ac:dyDescent="0.3">
      <c r="A1352" s="125"/>
      <c r="B1352" s="143"/>
      <c r="C1352" s="131"/>
      <c r="D1352" s="131"/>
      <c r="E1352" s="131"/>
      <c r="F1352" s="131"/>
      <c r="G1352" s="60" t="s">
        <v>131</v>
      </c>
      <c r="H1352" s="134"/>
      <c r="I1352" s="134"/>
      <c r="J1352" s="60"/>
      <c r="K1352" s="60"/>
      <c r="L1352" s="60"/>
      <c r="M1352" s="60"/>
      <c r="N1352" s="60">
        <f t="shared" si="412"/>
        <v>0</v>
      </c>
      <c r="O1352" s="60">
        <f t="shared" si="413"/>
        <v>0</v>
      </c>
    </row>
    <row r="1353" spans="1:15" s="38" customFormat="1" ht="14.45" customHeight="1" outlineLevel="1" x14ac:dyDescent="0.25">
      <c r="A1353" s="140" t="s">
        <v>890</v>
      </c>
      <c r="B1353" s="141" t="s">
        <v>302</v>
      </c>
      <c r="C1353" s="130">
        <f>SUM(N1353:N1359)</f>
        <v>0</v>
      </c>
      <c r="D1353" s="130">
        <f>SUM(O1353:O1359)</f>
        <v>0</v>
      </c>
      <c r="E1353" s="130">
        <f t="shared" si="397"/>
        <v>0</v>
      </c>
      <c r="F1353" s="130"/>
      <c r="G1353" s="60" t="s">
        <v>125</v>
      </c>
      <c r="H1353" s="123"/>
      <c r="I1353" s="123"/>
      <c r="J1353" s="60"/>
      <c r="K1353" s="60"/>
      <c r="L1353" s="60"/>
      <c r="M1353" s="60"/>
      <c r="N1353" s="60">
        <f>M1353*J1353*K1353*L1353</f>
        <v>0</v>
      </c>
      <c r="O1353" s="60">
        <f>J1353*K1353*L1353</f>
        <v>0</v>
      </c>
    </row>
    <row r="1354" spans="1:15" s="38" customFormat="1" ht="11.45" customHeight="1" outlineLevel="1" x14ac:dyDescent="0.25">
      <c r="A1354" s="124"/>
      <c r="B1354" s="142"/>
      <c r="C1354" s="115"/>
      <c r="D1354" s="115"/>
      <c r="E1354" s="115"/>
      <c r="F1354" s="115"/>
      <c r="G1354" s="60" t="s">
        <v>126</v>
      </c>
      <c r="H1354" s="124"/>
      <c r="I1354" s="124"/>
      <c r="J1354" s="60"/>
      <c r="K1354" s="60"/>
      <c r="L1354" s="60"/>
      <c r="M1354" s="60"/>
      <c r="N1354" s="60">
        <f t="shared" ref="N1354:N1359" si="414">M1354*J1354*K1354*L1354</f>
        <v>0</v>
      </c>
      <c r="O1354" s="60">
        <f t="shared" ref="O1354:O1359" si="415">J1354*K1354*L1354</f>
        <v>0</v>
      </c>
    </row>
    <row r="1355" spans="1:15" s="38" customFormat="1" ht="10.7" customHeight="1" outlineLevel="1" x14ac:dyDescent="0.25">
      <c r="A1355" s="124"/>
      <c r="B1355" s="142"/>
      <c r="C1355" s="115"/>
      <c r="D1355" s="115"/>
      <c r="E1355" s="115"/>
      <c r="F1355" s="115"/>
      <c r="G1355" s="60" t="s">
        <v>127</v>
      </c>
      <c r="H1355" s="124"/>
      <c r="I1355" s="124"/>
      <c r="J1355" s="60"/>
      <c r="K1355" s="60"/>
      <c r="L1355" s="60"/>
      <c r="M1355" s="60"/>
      <c r="N1355" s="60">
        <f t="shared" si="414"/>
        <v>0</v>
      </c>
      <c r="O1355" s="60">
        <f t="shared" si="415"/>
        <v>0</v>
      </c>
    </row>
    <row r="1356" spans="1:15" s="38" customFormat="1" ht="10.7" customHeight="1" outlineLevel="1" x14ac:dyDescent="0.25">
      <c r="A1356" s="124"/>
      <c r="B1356" s="142"/>
      <c r="C1356" s="115"/>
      <c r="D1356" s="115"/>
      <c r="E1356" s="115"/>
      <c r="F1356" s="115"/>
      <c r="G1356" s="60" t="s">
        <v>128</v>
      </c>
      <c r="H1356" s="124"/>
      <c r="I1356" s="124"/>
      <c r="J1356" s="60"/>
      <c r="K1356" s="60"/>
      <c r="L1356" s="60"/>
      <c r="M1356" s="60"/>
      <c r="N1356" s="60">
        <f t="shared" si="414"/>
        <v>0</v>
      </c>
      <c r="O1356" s="60">
        <f t="shared" si="415"/>
        <v>0</v>
      </c>
    </row>
    <row r="1357" spans="1:15" s="38" customFormat="1" ht="10.7" customHeight="1" outlineLevel="1" x14ac:dyDescent="0.25">
      <c r="A1357" s="124"/>
      <c r="B1357" s="142"/>
      <c r="C1357" s="115"/>
      <c r="D1357" s="115"/>
      <c r="E1357" s="115"/>
      <c r="F1357" s="115"/>
      <c r="G1357" s="60" t="s">
        <v>129</v>
      </c>
      <c r="H1357" s="124"/>
      <c r="I1357" s="124"/>
      <c r="J1357" s="60"/>
      <c r="K1357" s="60"/>
      <c r="L1357" s="60"/>
      <c r="M1357" s="60"/>
      <c r="N1357" s="60">
        <f t="shared" si="414"/>
        <v>0</v>
      </c>
      <c r="O1357" s="60">
        <f t="shared" si="415"/>
        <v>0</v>
      </c>
    </row>
    <row r="1358" spans="1:15" s="38" customFormat="1" ht="10.7" customHeight="1" outlineLevel="1" x14ac:dyDescent="0.25">
      <c r="A1358" s="124"/>
      <c r="B1358" s="142"/>
      <c r="C1358" s="115"/>
      <c r="D1358" s="115"/>
      <c r="E1358" s="115"/>
      <c r="F1358" s="115"/>
      <c r="G1358" s="60" t="s">
        <v>130</v>
      </c>
      <c r="H1358" s="124"/>
      <c r="I1358" s="124"/>
      <c r="J1358" s="60"/>
      <c r="K1358" s="60"/>
      <c r="L1358" s="60"/>
      <c r="M1358" s="60"/>
      <c r="N1358" s="60">
        <f t="shared" si="414"/>
        <v>0</v>
      </c>
      <c r="O1358" s="60">
        <f t="shared" si="415"/>
        <v>0</v>
      </c>
    </row>
    <row r="1359" spans="1:15" s="38" customFormat="1" ht="12" customHeight="1" outlineLevel="1" thickBot="1" x14ac:dyDescent="0.3">
      <c r="A1359" s="125"/>
      <c r="B1359" s="143"/>
      <c r="C1359" s="131"/>
      <c r="D1359" s="131"/>
      <c r="E1359" s="131"/>
      <c r="F1359" s="131"/>
      <c r="G1359" s="60" t="s">
        <v>131</v>
      </c>
      <c r="H1359" s="134"/>
      <c r="I1359" s="134"/>
      <c r="J1359" s="60"/>
      <c r="K1359" s="60"/>
      <c r="L1359" s="60"/>
      <c r="M1359" s="60"/>
      <c r="N1359" s="60">
        <f t="shared" si="414"/>
        <v>0</v>
      </c>
      <c r="O1359" s="60">
        <f t="shared" si="415"/>
        <v>0</v>
      </c>
    </row>
    <row r="1360" spans="1:15" s="38" customFormat="1" ht="14.45" customHeight="1" outlineLevel="1" x14ac:dyDescent="0.25">
      <c r="A1360" s="140" t="s">
        <v>891</v>
      </c>
      <c r="B1360" s="141" t="s">
        <v>304</v>
      </c>
      <c r="C1360" s="130">
        <f>SUM(N1360:N1366)</f>
        <v>0</v>
      </c>
      <c r="D1360" s="130">
        <f>SUM(O1360:O1366)</f>
        <v>0</v>
      </c>
      <c r="E1360" s="130">
        <f t="shared" si="397"/>
        <v>0</v>
      </c>
      <c r="F1360" s="130"/>
      <c r="G1360" s="60" t="s">
        <v>125</v>
      </c>
      <c r="H1360" s="123"/>
      <c r="I1360" s="123"/>
      <c r="J1360" s="60"/>
      <c r="K1360" s="60"/>
      <c r="L1360" s="60"/>
      <c r="M1360" s="60"/>
      <c r="N1360" s="60">
        <f>M1360*J1360*K1360*L1360</f>
        <v>0</v>
      </c>
      <c r="O1360" s="60">
        <f>J1360*K1360*L1360</f>
        <v>0</v>
      </c>
    </row>
    <row r="1361" spans="1:15" s="38" customFormat="1" ht="11.45" customHeight="1" outlineLevel="1" x14ac:dyDescent="0.25">
      <c r="A1361" s="124"/>
      <c r="B1361" s="142"/>
      <c r="C1361" s="115"/>
      <c r="D1361" s="115"/>
      <c r="E1361" s="115"/>
      <c r="F1361" s="115"/>
      <c r="G1361" s="60" t="s">
        <v>126</v>
      </c>
      <c r="H1361" s="124"/>
      <c r="I1361" s="124"/>
      <c r="J1361" s="60"/>
      <c r="K1361" s="60"/>
      <c r="L1361" s="60"/>
      <c r="M1361" s="60"/>
      <c r="N1361" s="60">
        <f t="shared" ref="N1361:N1366" si="416">M1361*J1361*K1361*L1361</f>
        <v>0</v>
      </c>
      <c r="O1361" s="60">
        <f t="shared" ref="O1361:O1366" si="417">J1361*K1361*L1361</f>
        <v>0</v>
      </c>
    </row>
    <row r="1362" spans="1:15" s="38" customFormat="1" ht="10.7" customHeight="1" outlineLevel="1" x14ac:dyDescent="0.25">
      <c r="A1362" s="124"/>
      <c r="B1362" s="142"/>
      <c r="C1362" s="115"/>
      <c r="D1362" s="115"/>
      <c r="E1362" s="115"/>
      <c r="F1362" s="115"/>
      <c r="G1362" s="60" t="s">
        <v>127</v>
      </c>
      <c r="H1362" s="124"/>
      <c r="I1362" s="124"/>
      <c r="J1362" s="60"/>
      <c r="K1362" s="60"/>
      <c r="L1362" s="60"/>
      <c r="M1362" s="60"/>
      <c r="N1362" s="60">
        <f t="shared" si="416"/>
        <v>0</v>
      </c>
      <c r="O1362" s="60">
        <f t="shared" si="417"/>
        <v>0</v>
      </c>
    </row>
    <row r="1363" spans="1:15" s="38" customFormat="1" ht="10.7" customHeight="1" outlineLevel="1" x14ac:dyDescent="0.25">
      <c r="A1363" s="124"/>
      <c r="B1363" s="142"/>
      <c r="C1363" s="115"/>
      <c r="D1363" s="115"/>
      <c r="E1363" s="115"/>
      <c r="F1363" s="115"/>
      <c r="G1363" s="60" t="s">
        <v>128</v>
      </c>
      <c r="H1363" s="124"/>
      <c r="I1363" s="124"/>
      <c r="J1363" s="60"/>
      <c r="K1363" s="60"/>
      <c r="L1363" s="60"/>
      <c r="M1363" s="60"/>
      <c r="N1363" s="60">
        <f t="shared" si="416"/>
        <v>0</v>
      </c>
      <c r="O1363" s="60">
        <f t="shared" si="417"/>
        <v>0</v>
      </c>
    </row>
    <row r="1364" spans="1:15" s="38" customFormat="1" ht="10.7" customHeight="1" outlineLevel="1" x14ac:dyDescent="0.25">
      <c r="A1364" s="124"/>
      <c r="B1364" s="142"/>
      <c r="C1364" s="115"/>
      <c r="D1364" s="115"/>
      <c r="E1364" s="115"/>
      <c r="F1364" s="115"/>
      <c r="G1364" s="60" t="s">
        <v>129</v>
      </c>
      <c r="H1364" s="124"/>
      <c r="I1364" s="124"/>
      <c r="J1364" s="60"/>
      <c r="K1364" s="60"/>
      <c r="L1364" s="60"/>
      <c r="M1364" s="60"/>
      <c r="N1364" s="60">
        <f t="shared" si="416"/>
        <v>0</v>
      </c>
      <c r="O1364" s="60">
        <f t="shared" si="417"/>
        <v>0</v>
      </c>
    </row>
    <row r="1365" spans="1:15" s="38" customFormat="1" ht="10.7" customHeight="1" outlineLevel="1" x14ac:dyDescent="0.25">
      <c r="A1365" s="124"/>
      <c r="B1365" s="142"/>
      <c r="C1365" s="115"/>
      <c r="D1365" s="115"/>
      <c r="E1365" s="115"/>
      <c r="F1365" s="115"/>
      <c r="G1365" s="60" t="s">
        <v>130</v>
      </c>
      <c r="H1365" s="124"/>
      <c r="I1365" s="124"/>
      <c r="J1365" s="60"/>
      <c r="K1365" s="60"/>
      <c r="L1365" s="60"/>
      <c r="M1365" s="60"/>
      <c r="N1365" s="60">
        <f t="shared" si="416"/>
        <v>0</v>
      </c>
      <c r="O1365" s="60">
        <f t="shared" si="417"/>
        <v>0</v>
      </c>
    </row>
    <row r="1366" spans="1:15" s="38" customFormat="1" ht="12" customHeight="1" outlineLevel="1" thickBot="1" x14ac:dyDescent="0.3">
      <c r="A1366" s="125"/>
      <c r="B1366" s="143"/>
      <c r="C1366" s="131"/>
      <c r="D1366" s="131"/>
      <c r="E1366" s="131"/>
      <c r="F1366" s="131"/>
      <c r="G1366" s="60" t="s">
        <v>131</v>
      </c>
      <c r="H1366" s="134"/>
      <c r="I1366" s="134"/>
      <c r="J1366" s="60"/>
      <c r="K1366" s="60"/>
      <c r="L1366" s="60"/>
      <c r="M1366" s="60"/>
      <c r="N1366" s="60">
        <f t="shared" si="416"/>
        <v>0</v>
      </c>
      <c r="O1366" s="60">
        <f t="shared" si="417"/>
        <v>0</v>
      </c>
    </row>
    <row r="1367" spans="1:15" s="38" customFormat="1" ht="14.45" customHeight="1" outlineLevel="1" x14ac:dyDescent="0.25">
      <c r="A1367" s="140" t="s">
        <v>892</v>
      </c>
      <c r="B1367" s="141" t="s">
        <v>306</v>
      </c>
      <c r="C1367" s="130">
        <f>SUM(N1367:N1373)</f>
        <v>0</v>
      </c>
      <c r="D1367" s="130">
        <f>SUM(O1367:O1373)</f>
        <v>0</v>
      </c>
      <c r="E1367" s="130">
        <f t="shared" ref="E1367:E1402" si="418">D1367/8</f>
        <v>0</v>
      </c>
      <c r="F1367" s="130"/>
      <c r="G1367" s="60" t="s">
        <v>125</v>
      </c>
      <c r="H1367" s="123"/>
      <c r="I1367" s="123"/>
      <c r="J1367" s="60"/>
      <c r="K1367" s="60"/>
      <c r="L1367" s="60"/>
      <c r="M1367" s="60"/>
      <c r="N1367" s="60">
        <f>M1367*J1367*K1367*L1367</f>
        <v>0</v>
      </c>
      <c r="O1367" s="60">
        <f>J1367*K1367*L1367</f>
        <v>0</v>
      </c>
    </row>
    <row r="1368" spans="1:15" s="38" customFormat="1" ht="11.45" customHeight="1" outlineLevel="1" x14ac:dyDescent="0.25">
      <c r="A1368" s="124"/>
      <c r="B1368" s="142"/>
      <c r="C1368" s="115"/>
      <c r="D1368" s="115"/>
      <c r="E1368" s="115"/>
      <c r="F1368" s="115"/>
      <c r="G1368" s="60" t="s">
        <v>126</v>
      </c>
      <c r="H1368" s="124"/>
      <c r="I1368" s="124"/>
      <c r="J1368" s="60"/>
      <c r="K1368" s="60"/>
      <c r="L1368" s="60"/>
      <c r="M1368" s="60"/>
      <c r="N1368" s="60">
        <f t="shared" ref="N1368:N1373" si="419">M1368*J1368*K1368*L1368</f>
        <v>0</v>
      </c>
      <c r="O1368" s="60">
        <f t="shared" ref="O1368:O1373" si="420">J1368*K1368*L1368</f>
        <v>0</v>
      </c>
    </row>
    <row r="1369" spans="1:15" s="38" customFormat="1" ht="10.7" customHeight="1" outlineLevel="1" x14ac:dyDescent="0.25">
      <c r="A1369" s="124"/>
      <c r="B1369" s="142"/>
      <c r="C1369" s="115"/>
      <c r="D1369" s="115"/>
      <c r="E1369" s="115"/>
      <c r="F1369" s="115"/>
      <c r="G1369" s="60" t="s">
        <v>127</v>
      </c>
      <c r="H1369" s="124"/>
      <c r="I1369" s="124"/>
      <c r="J1369" s="60"/>
      <c r="K1369" s="60"/>
      <c r="L1369" s="60"/>
      <c r="M1369" s="60"/>
      <c r="N1369" s="60">
        <f t="shared" si="419"/>
        <v>0</v>
      </c>
      <c r="O1369" s="60">
        <f t="shared" si="420"/>
        <v>0</v>
      </c>
    </row>
    <row r="1370" spans="1:15" s="38" customFormat="1" ht="10.7" customHeight="1" outlineLevel="1" x14ac:dyDescent="0.25">
      <c r="A1370" s="124"/>
      <c r="B1370" s="142"/>
      <c r="C1370" s="115"/>
      <c r="D1370" s="115"/>
      <c r="E1370" s="115"/>
      <c r="F1370" s="115"/>
      <c r="G1370" s="60" t="s">
        <v>128</v>
      </c>
      <c r="H1370" s="124"/>
      <c r="I1370" s="124"/>
      <c r="J1370" s="60"/>
      <c r="K1370" s="60"/>
      <c r="L1370" s="60"/>
      <c r="M1370" s="60"/>
      <c r="N1370" s="60">
        <f t="shared" si="419"/>
        <v>0</v>
      </c>
      <c r="O1370" s="60">
        <f t="shared" si="420"/>
        <v>0</v>
      </c>
    </row>
    <row r="1371" spans="1:15" s="38" customFormat="1" ht="10.7" customHeight="1" outlineLevel="1" x14ac:dyDescent="0.25">
      <c r="A1371" s="124"/>
      <c r="B1371" s="142"/>
      <c r="C1371" s="115"/>
      <c r="D1371" s="115"/>
      <c r="E1371" s="115"/>
      <c r="F1371" s="115"/>
      <c r="G1371" s="60" t="s">
        <v>129</v>
      </c>
      <c r="H1371" s="124"/>
      <c r="I1371" s="124"/>
      <c r="J1371" s="60"/>
      <c r="K1371" s="60"/>
      <c r="L1371" s="60"/>
      <c r="M1371" s="60"/>
      <c r="N1371" s="60">
        <f t="shared" si="419"/>
        <v>0</v>
      </c>
      <c r="O1371" s="60">
        <f t="shared" si="420"/>
        <v>0</v>
      </c>
    </row>
    <row r="1372" spans="1:15" s="38" customFormat="1" ht="10.7" customHeight="1" outlineLevel="1" x14ac:dyDescent="0.25">
      <c r="A1372" s="124"/>
      <c r="B1372" s="142"/>
      <c r="C1372" s="115"/>
      <c r="D1372" s="115"/>
      <c r="E1372" s="115"/>
      <c r="F1372" s="115"/>
      <c r="G1372" s="60" t="s">
        <v>130</v>
      </c>
      <c r="H1372" s="124"/>
      <c r="I1372" s="124"/>
      <c r="J1372" s="60"/>
      <c r="K1372" s="60"/>
      <c r="L1372" s="60"/>
      <c r="M1372" s="60"/>
      <c r="N1372" s="60">
        <f t="shared" si="419"/>
        <v>0</v>
      </c>
      <c r="O1372" s="60">
        <f t="shared" si="420"/>
        <v>0</v>
      </c>
    </row>
    <row r="1373" spans="1:15" s="38" customFormat="1" ht="12" customHeight="1" outlineLevel="1" thickBot="1" x14ac:dyDescent="0.3">
      <c r="A1373" s="125"/>
      <c r="B1373" s="143"/>
      <c r="C1373" s="131"/>
      <c r="D1373" s="131"/>
      <c r="E1373" s="131"/>
      <c r="F1373" s="131"/>
      <c r="G1373" s="60" t="s">
        <v>131</v>
      </c>
      <c r="H1373" s="134"/>
      <c r="I1373" s="134"/>
      <c r="J1373" s="60"/>
      <c r="K1373" s="60"/>
      <c r="L1373" s="60"/>
      <c r="M1373" s="60"/>
      <c r="N1373" s="60">
        <f t="shared" si="419"/>
        <v>0</v>
      </c>
      <c r="O1373" s="60">
        <f t="shared" si="420"/>
        <v>0</v>
      </c>
    </row>
    <row r="1374" spans="1:15" s="38" customFormat="1" ht="14.45" customHeight="1" outlineLevel="1" x14ac:dyDescent="0.25">
      <c r="A1374" s="140" t="s">
        <v>893</v>
      </c>
      <c r="B1374" s="141" t="s">
        <v>308</v>
      </c>
      <c r="C1374" s="130">
        <f>SUM(N1374:N1380)</f>
        <v>0</v>
      </c>
      <c r="D1374" s="130">
        <f>SUM(O1374:O1380)</f>
        <v>0</v>
      </c>
      <c r="E1374" s="130">
        <f t="shared" si="418"/>
        <v>0</v>
      </c>
      <c r="F1374" s="130"/>
      <c r="G1374" s="60" t="s">
        <v>125</v>
      </c>
      <c r="H1374" s="123"/>
      <c r="I1374" s="123"/>
      <c r="J1374" s="60"/>
      <c r="K1374" s="60"/>
      <c r="L1374" s="60"/>
      <c r="M1374" s="60"/>
      <c r="N1374" s="60">
        <f>M1374*J1374*K1374*L1374</f>
        <v>0</v>
      </c>
      <c r="O1374" s="60">
        <f>J1374*K1374*L1374</f>
        <v>0</v>
      </c>
    </row>
    <row r="1375" spans="1:15" s="38" customFormat="1" ht="11.45" customHeight="1" outlineLevel="1" x14ac:dyDescent="0.25">
      <c r="A1375" s="124"/>
      <c r="B1375" s="142"/>
      <c r="C1375" s="115"/>
      <c r="D1375" s="115"/>
      <c r="E1375" s="115"/>
      <c r="F1375" s="115"/>
      <c r="G1375" s="60" t="s">
        <v>126</v>
      </c>
      <c r="H1375" s="124"/>
      <c r="I1375" s="124"/>
      <c r="J1375" s="60"/>
      <c r="K1375" s="60"/>
      <c r="L1375" s="60"/>
      <c r="M1375" s="60"/>
      <c r="N1375" s="60">
        <f t="shared" ref="N1375:N1380" si="421">M1375*J1375*K1375*L1375</f>
        <v>0</v>
      </c>
      <c r="O1375" s="60">
        <f t="shared" ref="O1375:O1380" si="422">J1375*K1375*L1375</f>
        <v>0</v>
      </c>
    </row>
    <row r="1376" spans="1:15" s="38" customFormat="1" ht="10.7" customHeight="1" outlineLevel="1" x14ac:dyDescent="0.25">
      <c r="A1376" s="124"/>
      <c r="B1376" s="142"/>
      <c r="C1376" s="115"/>
      <c r="D1376" s="115"/>
      <c r="E1376" s="115"/>
      <c r="F1376" s="115"/>
      <c r="G1376" s="60" t="s">
        <v>127</v>
      </c>
      <c r="H1376" s="124"/>
      <c r="I1376" s="124"/>
      <c r="J1376" s="60"/>
      <c r="K1376" s="60"/>
      <c r="L1376" s="60"/>
      <c r="M1376" s="60"/>
      <c r="N1376" s="60">
        <f t="shared" si="421"/>
        <v>0</v>
      </c>
      <c r="O1376" s="60">
        <f t="shared" si="422"/>
        <v>0</v>
      </c>
    </row>
    <row r="1377" spans="1:15" s="38" customFormat="1" ht="10.7" customHeight="1" outlineLevel="1" x14ac:dyDescent="0.25">
      <c r="A1377" s="124"/>
      <c r="B1377" s="142"/>
      <c r="C1377" s="115"/>
      <c r="D1377" s="115"/>
      <c r="E1377" s="115"/>
      <c r="F1377" s="115"/>
      <c r="G1377" s="60" t="s">
        <v>128</v>
      </c>
      <c r="H1377" s="124"/>
      <c r="I1377" s="124"/>
      <c r="J1377" s="60"/>
      <c r="K1377" s="60"/>
      <c r="L1377" s="60"/>
      <c r="M1377" s="60"/>
      <c r="N1377" s="60">
        <f t="shared" si="421"/>
        <v>0</v>
      </c>
      <c r="O1377" s="60">
        <f t="shared" si="422"/>
        <v>0</v>
      </c>
    </row>
    <row r="1378" spans="1:15" s="38" customFormat="1" ht="10.7" customHeight="1" outlineLevel="1" x14ac:dyDescent="0.25">
      <c r="A1378" s="124"/>
      <c r="B1378" s="142"/>
      <c r="C1378" s="115"/>
      <c r="D1378" s="115"/>
      <c r="E1378" s="115"/>
      <c r="F1378" s="115"/>
      <c r="G1378" s="60" t="s">
        <v>129</v>
      </c>
      <c r="H1378" s="124"/>
      <c r="I1378" s="124"/>
      <c r="J1378" s="60"/>
      <c r="K1378" s="60"/>
      <c r="L1378" s="60"/>
      <c r="M1378" s="60"/>
      <c r="N1378" s="60">
        <f t="shared" si="421"/>
        <v>0</v>
      </c>
      <c r="O1378" s="60">
        <f t="shared" si="422"/>
        <v>0</v>
      </c>
    </row>
    <row r="1379" spans="1:15" s="38" customFormat="1" ht="10.7" customHeight="1" outlineLevel="1" x14ac:dyDescent="0.25">
      <c r="A1379" s="124"/>
      <c r="B1379" s="142"/>
      <c r="C1379" s="115"/>
      <c r="D1379" s="115"/>
      <c r="E1379" s="115"/>
      <c r="F1379" s="115"/>
      <c r="G1379" s="60" t="s">
        <v>130</v>
      </c>
      <c r="H1379" s="124"/>
      <c r="I1379" s="124"/>
      <c r="J1379" s="60"/>
      <c r="K1379" s="60"/>
      <c r="L1379" s="60"/>
      <c r="M1379" s="60"/>
      <c r="N1379" s="60">
        <f t="shared" si="421"/>
        <v>0</v>
      </c>
      <c r="O1379" s="60">
        <f t="shared" si="422"/>
        <v>0</v>
      </c>
    </row>
    <row r="1380" spans="1:15" s="38" customFormat="1" ht="12" customHeight="1" outlineLevel="1" thickBot="1" x14ac:dyDescent="0.3">
      <c r="A1380" s="125"/>
      <c r="B1380" s="143"/>
      <c r="C1380" s="131"/>
      <c r="D1380" s="131"/>
      <c r="E1380" s="131"/>
      <c r="F1380" s="131"/>
      <c r="G1380" s="60" t="s">
        <v>131</v>
      </c>
      <c r="H1380" s="134"/>
      <c r="I1380" s="134"/>
      <c r="J1380" s="60"/>
      <c r="K1380" s="60"/>
      <c r="L1380" s="60"/>
      <c r="M1380" s="60"/>
      <c r="N1380" s="60">
        <f t="shared" si="421"/>
        <v>0</v>
      </c>
      <c r="O1380" s="60">
        <f t="shared" si="422"/>
        <v>0</v>
      </c>
    </row>
    <row r="1381" spans="1:15" s="38" customFormat="1" ht="14.45" customHeight="1" outlineLevel="1" x14ac:dyDescent="0.25">
      <c r="A1381" s="140" t="s">
        <v>894</v>
      </c>
      <c r="B1381" s="141" t="s">
        <v>895</v>
      </c>
      <c r="C1381" s="130">
        <f>SUM(N1381:N1387)</f>
        <v>0</v>
      </c>
      <c r="D1381" s="130">
        <f>SUM(O1381:O1387)</f>
        <v>0</v>
      </c>
      <c r="E1381" s="130">
        <f t="shared" si="418"/>
        <v>0</v>
      </c>
      <c r="F1381" s="130"/>
      <c r="G1381" s="60" t="s">
        <v>125</v>
      </c>
      <c r="H1381" s="123"/>
      <c r="I1381" s="123"/>
      <c r="J1381" s="60"/>
      <c r="K1381" s="60"/>
      <c r="L1381" s="60"/>
      <c r="M1381" s="60"/>
      <c r="N1381" s="60">
        <f>M1381*J1381*K1381*L1381</f>
        <v>0</v>
      </c>
      <c r="O1381" s="60">
        <f>J1381*K1381*L1381</f>
        <v>0</v>
      </c>
    </row>
    <row r="1382" spans="1:15" s="38" customFormat="1" ht="11.45" customHeight="1" outlineLevel="1" x14ac:dyDescent="0.25">
      <c r="A1382" s="124"/>
      <c r="B1382" s="142"/>
      <c r="C1382" s="115"/>
      <c r="D1382" s="115"/>
      <c r="E1382" s="115"/>
      <c r="F1382" s="115"/>
      <c r="G1382" s="60" t="s">
        <v>126</v>
      </c>
      <c r="H1382" s="124"/>
      <c r="I1382" s="124"/>
      <c r="J1382" s="60"/>
      <c r="K1382" s="60"/>
      <c r="L1382" s="60"/>
      <c r="M1382" s="60"/>
      <c r="N1382" s="60">
        <f t="shared" ref="N1382:N1387" si="423">M1382*J1382*K1382*L1382</f>
        <v>0</v>
      </c>
      <c r="O1382" s="60">
        <f t="shared" ref="O1382:O1387" si="424">J1382*K1382*L1382</f>
        <v>0</v>
      </c>
    </row>
    <row r="1383" spans="1:15" s="38" customFormat="1" ht="10.7" customHeight="1" outlineLevel="1" x14ac:dyDescent="0.25">
      <c r="A1383" s="124"/>
      <c r="B1383" s="142"/>
      <c r="C1383" s="115"/>
      <c r="D1383" s="115"/>
      <c r="E1383" s="115"/>
      <c r="F1383" s="115"/>
      <c r="G1383" s="60" t="s">
        <v>127</v>
      </c>
      <c r="H1383" s="124"/>
      <c r="I1383" s="124"/>
      <c r="J1383" s="60"/>
      <c r="K1383" s="60"/>
      <c r="L1383" s="60"/>
      <c r="M1383" s="60"/>
      <c r="N1383" s="60">
        <f t="shared" si="423"/>
        <v>0</v>
      </c>
      <c r="O1383" s="60">
        <f t="shared" si="424"/>
        <v>0</v>
      </c>
    </row>
    <row r="1384" spans="1:15" s="38" customFormat="1" ht="10.7" customHeight="1" outlineLevel="1" x14ac:dyDescent="0.25">
      <c r="A1384" s="124"/>
      <c r="B1384" s="142"/>
      <c r="C1384" s="115"/>
      <c r="D1384" s="115"/>
      <c r="E1384" s="115"/>
      <c r="F1384" s="115"/>
      <c r="G1384" s="60" t="s">
        <v>128</v>
      </c>
      <c r="H1384" s="124"/>
      <c r="I1384" s="124"/>
      <c r="J1384" s="60"/>
      <c r="K1384" s="60"/>
      <c r="L1384" s="60"/>
      <c r="M1384" s="60"/>
      <c r="N1384" s="60">
        <f t="shared" si="423"/>
        <v>0</v>
      </c>
      <c r="O1384" s="60">
        <f t="shared" si="424"/>
        <v>0</v>
      </c>
    </row>
    <row r="1385" spans="1:15" s="38" customFormat="1" ht="10.7" customHeight="1" outlineLevel="1" x14ac:dyDescent="0.25">
      <c r="A1385" s="124"/>
      <c r="B1385" s="142"/>
      <c r="C1385" s="115"/>
      <c r="D1385" s="115"/>
      <c r="E1385" s="115"/>
      <c r="F1385" s="115"/>
      <c r="G1385" s="60" t="s">
        <v>129</v>
      </c>
      <c r="H1385" s="124"/>
      <c r="I1385" s="124"/>
      <c r="J1385" s="60"/>
      <c r="K1385" s="60"/>
      <c r="L1385" s="60"/>
      <c r="M1385" s="60"/>
      <c r="N1385" s="60">
        <f t="shared" si="423"/>
        <v>0</v>
      </c>
      <c r="O1385" s="60">
        <f t="shared" si="424"/>
        <v>0</v>
      </c>
    </row>
    <row r="1386" spans="1:15" s="38" customFormat="1" ht="10.7" customHeight="1" outlineLevel="1" x14ac:dyDescent="0.25">
      <c r="A1386" s="124"/>
      <c r="B1386" s="142"/>
      <c r="C1386" s="115"/>
      <c r="D1386" s="115"/>
      <c r="E1386" s="115"/>
      <c r="F1386" s="115"/>
      <c r="G1386" s="60" t="s">
        <v>130</v>
      </c>
      <c r="H1386" s="124"/>
      <c r="I1386" s="124"/>
      <c r="J1386" s="60"/>
      <c r="K1386" s="60"/>
      <c r="L1386" s="60"/>
      <c r="M1386" s="60"/>
      <c r="N1386" s="60">
        <f t="shared" si="423"/>
        <v>0</v>
      </c>
      <c r="O1386" s="60">
        <f t="shared" si="424"/>
        <v>0</v>
      </c>
    </row>
    <row r="1387" spans="1:15" s="38" customFormat="1" ht="12" customHeight="1" outlineLevel="1" thickBot="1" x14ac:dyDescent="0.3">
      <c r="A1387" s="125"/>
      <c r="B1387" s="143"/>
      <c r="C1387" s="131"/>
      <c r="D1387" s="131"/>
      <c r="E1387" s="131"/>
      <c r="F1387" s="131"/>
      <c r="G1387" s="60" t="s">
        <v>131</v>
      </c>
      <c r="H1387" s="134"/>
      <c r="I1387" s="134"/>
      <c r="J1387" s="60"/>
      <c r="K1387" s="60"/>
      <c r="L1387" s="60"/>
      <c r="M1387" s="60"/>
      <c r="N1387" s="60">
        <f t="shared" si="423"/>
        <v>0</v>
      </c>
      <c r="O1387" s="60">
        <f t="shared" si="424"/>
        <v>0</v>
      </c>
    </row>
    <row r="1388" spans="1:15" s="38" customFormat="1" ht="14.45" customHeight="1" outlineLevel="1" x14ac:dyDescent="0.25">
      <c r="A1388" s="140" t="s">
        <v>896</v>
      </c>
      <c r="B1388" s="141" t="s">
        <v>897</v>
      </c>
      <c r="C1388" s="130">
        <f>SUM(N1388:N1394)</f>
        <v>0</v>
      </c>
      <c r="D1388" s="130">
        <f>SUM(O1388:O1394)</f>
        <v>0</v>
      </c>
      <c r="E1388" s="130">
        <f t="shared" si="418"/>
        <v>0</v>
      </c>
      <c r="F1388" s="130"/>
      <c r="G1388" s="60" t="s">
        <v>125</v>
      </c>
      <c r="H1388" s="123"/>
      <c r="I1388" s="123"/>
      <c r="J1388" s="60"/>
      <c r="K1388" s="60"/>
      <c r="L1388" s="60"/>
      <c r="M1388" s="60"/>
      <c r="N1388" s="60">
        <f>M1388*J1388*K1388*L1388</f>
        <v>0</v>
      </c>
      <c r="O1388" s="60">
        <f>J1388*K1388*L1388</f>
        <v>0</v>
      </c>
    </row>
    <row r="1389" spans="1:15" s="38" customFormat="1" ht="11.45" customHeight="1" outlineLevel="1" x14ac:dyDescent="0.25">
      <c r="A1389" s="124"/>
      <c r="B1389" s="142"/>
      <c r="C1389" s="115"/>
      <c r="D1389" s="115"/>
      <c r="E1389" s="115"/>
      <c r="F1389" s="115"/>
      <c r="G1389" s="60" t="s">
        <v>126</v>
      </c>
      <c r="H1389" s="124"/>
      <c r="I1389" s="124"/>
      <c r="J1389" s="60"/>
      <c r="K1389" s="60"/>
      <c r="L1389" s="60"/>
      <c r="M1389" s="60"/>
      <c r="N1389" s="60">
        <f t="shared" ref="N1389:N1394" si="425">M1389*J1389*K1389*L1389</f>
        <v>0</v>
      </c>
      <c r="O1389" s="60">
        <f t="shared" ref="O1389:O1394" si="426">J1389*K1389*L1389</f>
        <v>0</v>
      </c>
    </row>
    <row r="1390" spans="1:15" s="38" customFormat="1" ht="10.7" customHeight="1" outlineLevel="1" x14ac:dyDescent="0.25">
      <c r="A1390" s="124"/>
      <c r="B1390" s="142"/>
      <c r="C1390" s="115"/>
      <c r="D1390" s="115"/>
      <c r="E1390" s="115"/>
      <c r="F1390" s="115"/>
      <c r="G1390" s="60" t="s">
        <v>127</v>
      </c>
      <c r="H1390" s="124"/>
      <c r="I1390" s="124"/>
      <c r="J1390" s="60"/>
      <c r="K1390" s="60"/>
      <c r="L1390" s="60"/>
      <c r="M1390" s="60"/>
      <c r="N1390" s="60">
        <f t="shared" si="425"/>
        <v>0</v>
      </c>
      <c r="O1390" s="60">
        <f t="shared" si="426"/>
        <v>0</v>
      </c>
    </row>
    <row r="1391" spans="1:15" s="38" customFormat="1" ht="10.7" customHeight="1" outlineLevel="1" x14ac:dyDescent="0.25">
      <c r="A1391" s="124"/>
      <c r="B1391" s="142"/>
      <c r="C1391" s="115"/>
      <c r="D1391" s="115"/>
      <c r="E1391" s="115"/>
      <c r="F1391" s="115"/>
      <c r="G1391" s="60" t="s">
        <v>128</v>
      </c>
      <c r="H1391" s="124"/>
      <c r="I1391" s="124"/>
      <c r="J1391" s="60"/>
      <c r="K1391" s="60"/>
      <c r="L1391" s="60"/>
      <c r="M1391" s="60"/>
      <c r="N1391" s="60">
        <f t="shared" si="425"/>
        <v>0</v>
      </c>
      <c r="O1391" s="60">
        <f t="shared" si="426"/>
        <v>0</v>
      </c>
    </row>
    <row r="1392" spans="1:15" s="38" customFormat="1" ht="10.7" customHeight="1" outlineLevel="1" x14ac:dyDescent="0.25">
      <c r="A1392" s="124"/>
      <c r="B1392" s="142"/>
      <c r="C1392" s="115"/>
      <c r="D1392" s="115"/>
      <c r="E1392" s="115"/>
      <c r="F1392" s="115"/>
      <c r="G1392" s="60" t="s">
        <v>129</v>
      </c>
      <c r="H1392" s="124"/>
      <c r="I1392" s="124"/>
      <c r="J1392" s="60"/>
      <c r="K1392" s="60"/>
      <c r="L1392" s="60"/>
      <c r="M1392" s="60"/>
      <c r="N1392" s="60">
        <f t="shared" si="425"/>
        <v>0</v>
      </c>
      <c r="O1392" s="60">
        <f t="shared" si="426"/>
        <v>0</v>
      </c>
    </row>
    <row r="1393" spans="1:15" s="38" customFormat="1" ht="10.7" customHeight="1" outlineLevel="1" x14ac:dyDescent="0.25">
      <c r="A1393" s="124"/>
      <c r="B1393" s="142"/>
      <c r="C1393" s="115"/>
      <c r="D1393" s="115"/>
      <c r="E1393" s="115"/>
      <c r="F1393" s="115"/>
      <c r="G1393" s="60" t="s">
        <v>130</v>
      </c>
      <c r="H1393" s="124"/>
      <c r="I1393" s="124"/>
      <c r="J1393" s="60"/>
      <c r="K1393" s="60"/>
      <c r="L1393" s="60"/>
      <c r="M1393" s="60"/>
      <c r="N1393" s="60">
        <f t="shared" si="425"/>
        <v>0</v>
      </c>
      <c r="O1393" s="60">
        <f t="shared" si="426"/>
        <v>0</v>
      </c>
    </row>
    <row r="1394" spans="1:15" s="38" customFormat="1" ht="12" customHeight="1" outlineLevel="1" thickBot="1" x14ac:dyDescent="0.3">
      <c r="A1394" s="125"/>
      <c r="B1394" s="143"/>
      <c r="C1394" s="131"/>
      <c r="D1394" s="131"/>
      <c r="E1394" s="131"/>
      <c r="F1394" s="131"/>
      <c r="G1394" s="60" t="s">
        <v>131</v>
      </c>
      <c r="H1394" s="134"/>
      <c r="I1394" s="134"/>
      <c r="J1394" s="60"/>
      <c r="K1394" s="60"/>
      <c r="L1394" s="60"/>
      <c r="M1394" s="60"/>
      <c r="N1394" s="60">
        <f t="shared" si="425"/>
        <v>0</v>
      </c>
      <c r="O1394" s="60">
        <f t="shared" si="426"/>
        <v>0</v>
      </c>
    </row>
    <row r="1395" spans="1:15" s="38" customFormat="1" ht="14.45" customHeight="1" outlineLevel="1" x14ac:dyDescent="0.25">
      <c r="A1395" s="140" t="s">
        <v>898</v>
      </c>
      <c r="B1395" s="141" t="s">
        <v>899</v>
      </c>
      <c r="C1395" s="130">
        <f>SUM(N1395:N1401)</f>
        <v>0</v>
      </c>
      <c r="D1395" s="130">
        <f>SUM(O1395:O1401)</f>
        <v>0</v>
      </c>
      <c r="E1395" s="130">
        <f t="shared" si="418"/>
        <v>0</v>
      </c>
      <c r="F1395" s="130"/>
      <c r="G1395" s="60" t="s">
        <v>125</v>
      </c>
      <c r="H1395" s="123"/>
      <c r="I1395" s="123"/>
      <c r="J1395" s="60"/>
      <c r="K1395" s="60"/>
      <c r="L1395" s="60"/>
      <c r="M1395" s="60"/>
      <c r="N1395" s="60">
        <f>M1395*J1395*K1395*L1395</f>
        <v>0</v>
      </c>
      <c r="O1395" s="60">
        <f>J1395*K1395*L1395</f>
        <v>0</v>
      </c>
    </row>
    <row r="1396" spans="1:15" s="38" customFormat="1" ht="11.45" customHeight="1" outlineLevel="1" x14ac:dyDescent="0.25">
      <c r="A1396" s="124"/>
      <c r="B1396" s="142"/>
      <c r="C1396" s="115"/>
      <c r="D1396" s="115"/>
      <c r="E1396" s="115"/>
      <c r="F1396" s="115"/>
      <c r="G1396" s="60" t="s">
        <v>126</v>
      </c>
      <c r="H1396" s="124"/>
      <c r="I1396" s="124"/>
      <c r="J1396" s="60"/>
      <c r="K1396" s="60"/>
      <c r="L1396" s="60"/>
      <c r="M1396" s="60"/>
      <c r="N1396" s="60">
        <f t="shared" ref="N1396:N1401" si="427">M1396*J1396*K1396*L1396</f>
        <v>0</v>
      </c>
      <c r="O1396" s="60">
        <f t="shared" ref="O1396:O1401" si="428">J1396*K1396*L1396</f>
        <v>0</v>
      </c>
    </row>
    <row r="1397" spans="1:15" s="38" customFormat="1" ht="10.7" customHeight="1" outlineLevel="1" x14ac:dyDescent="0.25">
      <c r="A1397" s="124"/>
      <c r="B1397" s="142"/>
      <c r="C1397" s="115"/>
      <c r="D1397" s="115"/>
      <c r="E1397" s="115"/>
      <c r="F1397" s="115"/>
      <c r="G1397" s="60" t="s">
        <v>127</v>
      </c>
      <c r="H1397" s="124"/>
      <c r="I1397" s="124"/>
      <c r="J1397" s="60"/>
      <c r="K1397" s="60"/>
      <c r="L1397" s="60"/>
      <c r="M1397" s="60"/>
      <c r="N1397" s="60">
        <f t="shared" si="427"/>
        <v>0</v>
      </c>
      <c r="O1397" s="60">
        <f t="shared" si="428"/>
        <v>0</v>
      </c>
    </row>
    <row r="1398" spans="1:15" s="38" customFormat="1" ht="10.7" customHeight="1" outlineLevel="1" x14ac:dyDescent="0.25">
      <c r="A1398" s="124"/>
      <c r="B1398" s="142"/>
      <c r="C1398" s="115"/>
      <c r="D1398" s="115"/>
      <c r="E1398" s="115"/>
      <c r="F1398" s="115"/>
      <c r="G1398" s="60" t="s">
        <v>128</v>
      </c>
      <c r="H1398" s="124"/>
      <c r="I1398" s="124"/>
      <c r="J1398" s="60"/>
      <c r="K1398" s="60"/>
      <c r="L1398" s="60"/>
      <c r="M1398" s="60"/>
      <c r="N1398" s="60">
        <f t="shared" si="427"/>
        <v>0</v>
      </c>
      <c r="O1398" s="60">
        <f t="shared" si="428"/>
        <v>0</v>
      </c>
    </row>
    <row r="1399" spans="1:15" s="38" customFormat="1" ht="10.7" customHeight="1" outlineLevel="1" x14ac:dyDescent="0.25">
      <c r="A1399" s="124"/>
      <c r="B1399" s="142"/>
      <c r="C1399" s="115"/>
      <c r="D1399" s="115"/>
      <c r="E1399" s="115"/>
      <c r="F1399" s="115"/>
      <c r="G1399" s="60" t="s">
        <v>129</v>
      </c>
      <c r="H1399" s="124"/>
      <c r="I1399" s="124"/>
      <c r="J1399" s="60"/>
      <c r="K1399" s="60"/>
      <c r="L1399" s="60"/>
      <c r="M1399" s="60"/>
      <c r="N1399" s="60">
        <f t="shared" si="427"/>
        <v>0</v>
      </c>
      <c r="O1399" s="60">
        <f t="shared" si="428"/>
        <v>0</v>
      </c>
    </row>
    <row r="1400" spans="1:15" s="38" customFormat="1" ht="10.7" customHeight="1" outlineLevel="1" x14ac:dyDescent="0.25">
      <c r="A1400" s="124"/>
      <c r="B1400" s="142"/>
      <c r="C1400" s="115"/>
      <c r="D1400" s="115"/>
      <c r="E1400" s="115"/>
      <c r="F1400" s="115"/>
      <c r="G1400" s="60" t="s">
        <v>130</v>
      </c>
      <c r="H1400" s="124"/>
      <c r="I1400" s="124"/>
      <c r="J1400" s="60"/>
      <c r="K1400" s="60"/>
      <c r="L1400" s="60"/>
      <c r="M1400" s="60"/>
      <c r="N1400" s="60">
        <f t="shared" si="427"/>
        <v>0</v>
      </c>
      <c r="O1400" s="60">
        <f t="shared" si="428"/>
        <v>0</v>
      </c>
    </row>
    <row r="1401" spans="1:15" s="38" customFormat="1" ht="12" customHeight="1" outlineLevel="1" thickBot="1" x14ac:dyDescent="0.3">
      <c r="A1401" s="125"/>
      <c r="B1401" s="143"/>
      <c r="C1401" s="131"/>
      <c r="D1401" s="131"/>
      <c r="E1401" s="131"/>
      <c r="F1401" s="131"/>
      <c r="G1401" s="60" t="s">
        <v>131</v>
      </c>
      <c r="H1401" s="134"/>
      <c r="I1401" s="134"/>
      <c r="J1401" s="60"/>
      <c r="K1401" s="60"/>
      <c r="L1401" s="60"/>
      <c r="M1401" s="60"/>
      <c r="N1401" s="60">
        <f t="shared" si="427"/>
        <v>0</v>
      </c>
      <c r="O1401" s="60">
        <f t="shared" si="428"/>
        <v>0</v>
      </c>
    </row>
    <row r="1402" spans="1:15" s="38" customFormat="1" ht="14.45" customHeight="1" outlineLevel="1" x14ac:dyDescent="0.25">
      <c r="A1402" s="140" t="s">
        <v>900</v>
      </c>
      <c r="B1402" s="141" t="s">
        <v>901</v>
      </c>
      <c r="C1402" s="130">
        <f>SUM(N1402:N1408)</f>
        <v>0</v>
      </c>
      <c r="D1402" s="130">
        <f>SUM(O1402:O1408)</f>
        <v>0</v>
      </c>
      <c r="E1402" s="130">
        <f t="shared" si="418"/>
        <v>0</v>
      </c>
      <c r="F1402" s="130"/>
      <c r="G1402" s="60" t="s">
        <v>125</v>
      </c>
      <c r="H1402" s="123"/>
      <c r="I1402" s="123"/>
      <c r="J1402" s="60"/>
      <c r="K1402" s="60"/>
      <c r="L1402" s="60"/>
      <c r="M1402" s="60"/>
      <c r="N1402" s="60">
        <f>M1402*J1402*K1402*L1402</f>
        <v>0</v>
      </c>
      <c r="O1402" s="60">
        <f>J1402*K1402*L1402</f>
        <v>0</v>
      </c>
    </row>
    <row r="1403" spans="1:15" s="38" customFormat="1" ht="11.45" customHeight="1" outlineLevel="1" x14ac:dyDescent="0.25">
      <c r="A1403" s="124"/>
      <c r="B1403" s="142"/>
      <c r="C1403" s="115"/>
      <c r="D1403" s="115"/>
      <c r="E1403" s="115"/>
      <c r="F1403" s="115"/>
      <c r="G1403" s="60" t="s">
        <v>126</v>
      </c>
      <c r="H1403" s="124"/>
      <c r="I1403" s="124"/>
      <c r="J1403" s="60"/>
      <c r="K1403" s="60"/>
      <c r="L1403" s="60"/>
      <c r="M1403" s="60"/>
      <c r="N1403" s="60">
        <f t="shared" ref="N1403:N1408" si="429">M1403*J1403*K1403*L1403</f>
        <v>0</v>
      </c>
      <c r="O1403" s="60">
        <f t="shared" ref="O1403:O1408" si="430">J1403*K1403*L1403</f>
        <v>0</v>
      </c>
    </row>
    <row r="1404" spans="1:15" s="38" customFormat="1" ht="10.7" customHeight="1" outlineLevel="1" x14ac:dyDescent="0.25">
      <c r="A1404" s="124"/>
      <c r="B1404" s="142"/>
      <c r="C1404" s="115"/>
      <c r="D1404" s="115"/>
      <c r="E1404" s="115"/>
      <c r="F1404" s="115"/>
      <c r="G1404" s="60" t="s">
        <v>127</v>
      </c>
      <c r="H1404" s="124"/>
      <c r="I1404" s="124"/>
      <c r="J1404" s="60"/>
      <c r="K1404" s="60"/>
      <c r="L1404" s="60"/>
      <c r="M1404" s="60"/>
      <c r="N1404" s="60">
        <f t="shared" si="429"/>
        <v>0</v>
      </c>
      <c r="O1404" s="60">
        <f t="shared" si="430"/>
        <v>0</v>
      </c>
    </row>
    <row r="1405" spans="1:15" s="38" customFormat="1" ht="10.7" customHeight="1" outlineLevel="1" x14ac:dyDescent="0.25">
      <c r="A1405" s="124"/>
      <c r="B1405" s="142"/>
      <c r="C1405" s="115"/>
      <c r="D1405" s="115"/>
      <c r="E1405" s="115"/>
      <c r="F1405" s="115"/>
      <c r="G1405" s="60" t="s">
        <v>128</v>
      </c>
      <c r="H1405" s="124"/>
      <c r="I1405" s="124"/>
      <c r="J1405" s="60"/>
      <c r="K1405" s="60"/>
      <c r="L1405" s="60"/>
      <c r="M1405" s="60"/>
      <c r="N1405" s="60">
        <f t="shared" si="429"/>
        <v>0</v>
      </c>
      <c r="O1405" s="60">
        <f t="shared" si="430"/>
        <v>0</v>
      </c>
    </row>
    <row r="1406" spans="1:15" s="38" customFormat="1" ht="10.7" customHeight="1" outlineLevel="1" x14ac:dyDescent="0.25">
      <c r="A1406" s="124"/>
      <c r="B1406" s="142"/>
      <c r="C1406" s="115"/>
      <c r="D1406" s="115"/>
      <c r="E1406" s="115"/>
      <c r="F1406" s="115"/>
      <c r="G1406" s="60" t="s">
        <v>129</v>
      </c>
      <c r="H1406" s="124"/>
      <c r="I1406" s="124"/>
      <c r="J1406" s="60"/>
      <c r="K1406" s="60"/>
      <c r="L1406" s="60"/>
      <c r="M1406" s="60"/>
      <c r="N1406" s="60">
        <f t="shared" si="429"/>
        <v>0</v>
      </c>
      <c r="O1406" s="60">
        <f t="shared" si="430"/>
        <v>0</v>
      </c>
    </row>
    <row r="1407" spans="1:15" s="38" customFormat="1" ht="10.7" customHeight="1" outlineLevel="1" x14ac:dyDescent="0.25">
      <c r="A1407" s="124"/>
      <c r="B1407" s="142"/>
      <c r="C1407" s="115"/>
      <c r="D1407" s="115"/>
      <c r="E1407" s="115"/>
      <c r="F1407" s="115"/>
      <c r="G1407" s="60" t="s">
        <v>130</v>
      </c>
      <c r="H1407" s="124"/>
      <c r="I1407" s="124"/>
      <c r="J1407" s="60"/>
      <c r="K1407" s="60"/>
      <c r="L1407" s="60"/>
      <c r="M1407" s="60"/>
      <c r="N1407" s="60">
        <f t="shared" si="429"/>
        <v>0</v>
      </c>
      <c r="O1407" s="60">
        <f t="shared" si="430"/>
        <v>0</v>
      </c>
    </row>
    <row r="1408" spans="1:15" s="38" customFormat="1" ht="12" customHeight="1" outlineLevel="1" thickBot="1" x14ac:dyDescent="0.3">
      <c r="A1408" s="125"/>
      <c r="B1408" s="143"/>
      <c r="C1408" s="131"/>
      <c r="D1408" s="131"/>
      <c r="E1408" s="131"/>
      <c r="F1408" s="131"/>
      <c r="G1408" s="60" t="s">
        <v>131</v>
      </c>
      <c r="H1408" s="134"/>
      <c r="I1408" s="134"/>
      <c r="J1408" s="60"/>
      <c r="K1408" s="60"/>
      <c r="L1408" s="60"/>
      <c r="M1408" s="60"/>
      <c r="N1408" s="60">
        <f t="shared" si="429"/>
        <v>0</v>
      </c>
      <c r="O1408" s="60">
        <f t="shared" si="430"/>
        <v>0</v>
      </c>
    </row>
    <row r="1409" spans="1:15" s="39" customFormat="1" ht="15.75" x14ac:dyDescent="0.25">
      <c r="A1409" s="40" t="s">
        <v>325</v>
      </c>
      <c r="B1409" s="41" t="s">
        <v>902</v>
      </c>
      <c r="C1409" s="42">
        <f>SUM(C1410)</f>
        <v>0</v>
      </c>
      <c r="D1409" s="42">
        <f>SUM(D1410)</f>
        <v>0</v>
      </c>
      <c r="E1409" s="42">
        <f>SUM(E1410)</f>
        <v>0</v>
      </c>
      <c r="F1409" s="42"/>
      <c r="G1409" s="42"/>
      <c r="H1409" s="42"/>
      <c r="I1409" s="42"/>
      <c r="J1409" s="42"/>
      <c r="K1409" s="42"/>
      <c r="L1409" s="42"/>
      <c r="M1409" s="42"/>
      <c r="N1409" s="42"/>
      <c r="O1409" s="47"/>
    </row>
    <row r="1410" spans="1:15" s="38" customFormat="1" ht="14.45" customHeight="1" outlineLevel="1" x14ac:dyDescent="0.25">
      <c r="A1410" s="140" t="s">
        <v>327</v>
      </c>
      <c r="B1410" s="141" t="s">
        <v>903</v>
      </c>
      <c r="C1410" s="130">
        <f>SUM(N1410:N1416)</f>
        <v>0</v>
      </c>
      <c r="D1410" s="130">
        <f>SUM(O1410:O1416)</f>
        <v>0</v>
      </c>
      <c r="E1410" s="130">
        <f t="shared" ref="E1410:E1417" si="431">D1410/8</f>
        <v>0</v>
      </c>
      <c r="F1410" s="130"/>
      <c r="G1410" s="60" t="s">
        <v>125</v>
      </c>
      <c r="H1410" s="123"/>
      <c r="I1410" s="123"/>
      <c r="J1410" s="60"/>
      <c r="K1410" s="60"/>
      <c r="L1410" s="60"/>
      <c r="M1410" s="60"/>
      <c r="N1410" s="60">
        <f>M1410*J1410*K1410*L1410</f>
        <v>0</v>
      </c>
      <c r="O1410" s="60">
        <f>J1410*K1410*L1410</f>
        <v>0</v>
      </c>
    </row>
    <row r="1411" spans="1:15" s="38" customFormat="1" ht="11.45" customHeight="1" outlineLevel="1" x14ac:dyDescent="0.25">
      <c r="A1411" s="124"/>
      <c r="B1411" s="142"/>
      <c r="C1411" s="115"/>
      <c r="D1411" s="115"/>
      <c r="E1411" s="115"/>
      <c r="F1411" s="115"/>
      <c r="G1411" s="60" t="s">
        <v>126</v>
      </c>
      <c r="H1411" s="124"/>
      <c r="I1411" s="124"/>
      <c r="J1411" s="60"/>
      <c r="K1411" s="60"/>
      <c r="L1411" s="60"/>
      <c r="M1411" s="60"/>
      <c r="N1411" s="60">
        <f t="shared" ref="N1411:N1416" si="432">M1411*J1411*K1411*L1411</f>
        <v>0</v>
      </c>
      <c r="O1411" s="60">
        <f t="shared" ref="O1411:O1416" si="433">J1411*K1411*L1411</f>
        <v>0</v>
      </c>
    </row>
    <row r="1412" spans="1:15" s="38" customFormat="1" ht="10.7" customHeight="1" outlineLevel="1" x14ac:dyDescent="0.25">
      <c r="A1412" s="124"/>
      <c r="B1412" s="142"/>
      <c r="C1412" s="115"/>
      <c r="D1412" s="115"/>
      <c r="E1412" s="115"/>
      <c r="F1412" s="115"/>
      <c r="G1412" s="60" t="s">
        <v>127</v>
      </c>
      <c r="H1412" s="124"/>
      <c r="I1412" s="124"/>
      <c r="J1412" s="60"/>
      <c r="K1412" s="60"/>
      <c r="L1412" s="60"/>
      <c r="M1412" s="60"/>
      <c r="N1412" s="60">
        <f t="shared" si="432"/>
        <v>0</v>
      </c>
      <c r="O1412" s="60">
        <f t="shared" si="433"/>
        <v>0</v>
      </c>
    </row>
    <row r="1413" spans="1:15" s="38" customFormat="1" ht="10.7" customHeight="1" outlineLevel="1" x14ac:dyDescent="0.25">
      <c r="A1413" s="124"/>
      <c r="B1413" s="142"/>
      <c r="C1413" s="115"/>
      <c r="D1413" s="115"/>
      <c r="E1413" s="115"/>
      <c r="F1413" s="115"/>
      <c r="G1413" s="60" t="s">
        <v>128</v>
      </c>
      <c r="H1413" s="124"/>
      <c r="I1413" s="124"/>
      <c r="J1413" s="60"/>
      <c r="K1413" s="60"/>
      <c r="L1413" s="60"/>
      <c r="M1413" s="60"/>
      <c r="N1413" s="60">
        <f t="shared" si="432"/>
        <v>0</v>
      </c>
      <c r="O1413" s="60">
        <f t="shared" si="433"/>
        <v>0</v>
      </c>
    </row>
    <row r="1414" spans="1:15" s="38" customFormat="1" ht="10.7" customHeight="1" outlineLevel="1" x14ac:dyDescent="0.25">
      <c r="A1414" s="124"/>
      <c r="B1414" s="142"/>
      <c r="C1414" s="115"/>
      <c r="D1414" s="115"/>
      <c r="E1414" s="115"/>
      <c r="F1414" s="115"/>
      <c r="G1414" s="60" t="s">
        <v>129</v>
      </c>
      <c r="H1414" s="124"/>
      <c r="I1414" s="124"/>
      <c r="J1414" s="60"/>
      <c r="K1414" s="60"/>
      <c r="L1414" s="60"/>
      <c r="M1414" s="60"/>
      <c r="N1414" s="60">
        <f t="shared" si="432"/>
        <v>0</v>
      </c>
      <c r="O1414" s="60">
        <f t="shared" si="433"/>
        <v>0</v>
      </c>
    </row>
    <row r="1415" spans="1:15" s="38" customFormat="1" ht="10.7" customHeight="1" outlineLevel="1" x14ac:dyDescent="0.25">
      <c r="A1415" s="124"/>
      <c r="B1415" s="142"/>
      <c r="C1415" s="115"/>
      <c r="D1415" s="115"/>
      <c r="E1415" s="115"/>
      <c r="F1415" s="115"/>
      <c r="G1415" s="60" t="s">
        <v>130</v>
      </c>
      <c r="H1415" s="124"/>
      <c r="I1415" s="124"/>
      <c r="J1415" s="60"/>
      <c r="K1415" s="60"/>
      <c r="L1415" s="60"/>
      <c r="M1415" s="60"/>
      <c r="N1415" s="60">
        <f t="shared" si="432"/>
        <v>0</v>
      </c>
      <c r="O1415" s="60">
        <f t="shared" si="433"/>
        <v>0</v>
      </c>
    </row>
    <row r="1416" spans="1:15" s="38" customFormat="1" ht="12" customHeight="1" outlineLevel="1" thickBot="1" x14ac:dyDescent="0.3">
      <c r="A1416" s="125"/>
      <c r="B1416" s="143"/>
      <c r="C1416" s="131"/>
      <c r="D1416" s="131"/>
      <c r="E1416" s="131"/>
      <c r="F1416" s="131"/>
      <c r="G1416" s="60" t="s">
        <v>131</v>
      </c>
      <c r="H1416" s="134"/>
      <c r="I1416" s="134"/>
      <c r="J1416" s="60"/>
      <c r="K1416" s="60"/>
      <c r="L1416" s="60"/>
      <c r="M1416" s="60"/>
      <c r="N1416" s="60">
        <f t="shared" si="432"/>
        <v>0</v>
      </c>
      <c r="O1416" s="60">
        <f t="shared" si="433"/>
        <v>0</v>
      </c>
    </row>
    <row r="1417" spans="1:15" s="38" customFormat="1" ht="14.45" customHeight="1" outlineLevel="1" x14ac:dyDescent="0.25">
      <c r="A1417" s="140" t="s">
        <v>904</v>
      </c>
      <c r="B1417" s="141" t="s">
        <v>905</v>
      </c>
      <c r="C1417" s="130">
        <f>SUM(N1417:N1423)</f>
        <v>0</v>
      </c>
      <c r="D1417" s="130">
        <f>SUM(O1417:O1423)</f>
        <v>0</v>
      </c>
      <c r="E1417" s="130">
        <f t="shared" si="431"/>
        <v>0</v>
      </c>
      <c r="F1417" s="130"/>
      <c r="G1417" s="60" t="s">
        <v>125</v>
      </c>
      <c r="H1417" s="123"/>
      <c r="I1417" s="123"/>
      <c r="J1417" s="60"/>
      <c r="K1417" s="60"/>
      <c r="L1417" s="60"/>
      <c r="M1417" s="60"/>
      <c r="N1417" s="60">
        <f>M1417*J1417*K1417*L1417</f>
        <v>0</v>
      </c>
      <c r="O1417" s="60">
        <f>J1417*K1417*L1417</f>
        <v>0</v>
      </c>
    </row>
    <row r="1418" spans="1:15" s="38" customFormat="1" ht="11.45" customHeight="1" outlineLevel="1" x14ac:dyDescent="0.25">
      <c r="A1418" s="124"/>
      <c r="B1418" s="142"/>
      <c r="C1418" s="115"/>
      <c r="D1418" s="115"/>
      <c r="E1418" s="115"/>
      <c r="F1418" s="115"/>
      <c r="G1418" s="60" t="s">
        <v>126</v>
      </c>
      <c r="H1418" s="124"/>
      <c r="I1418" s="124"/>
      <c r="J1418" s="60"/>
      <c r="K1418" s="60"/>
      <c r="L1418" s="60"/>
      <c r="M1418" s="60"/>
      <c r="N1418" s="60">
        <f t="shared" ref="N1418:N1423" si="434">M1418*J1418*K1418*L1418</f>
        <v>0</v>
      </c>
      <c r="O1418" s="60">
        <f t="shared" ref="O1418:O1423" si="435">J1418*K1418*L1418</f>
        <v>0</v>
      </c>
    </row>
    <row r="1419" spans="1:15" s="38" customFormat="1" ht="10.7" customHeight="1" outlineLevel="1" x14ac:dyDescent="0.25">
      <c r="A1419" s="124"/>
      <c r="B1419" s="142"/>
      <c r="C1419" s="115"/>
      <c r="D1419" s="115"/>
      <c r="E1419" s="115"/>
      <c r="F1419" s="115"/>
      <c r="G1419" s="60" t="s">
        <v>127</v>
      </c>
      <c r="H1419" s="124"/>
      <c r="I1419" s="124"/>
      <c r="J1419" s="60"/>
      <c r="K1419" s="60"/>
      <c r="L1419" s="60"/>
      <c r="M1419" s="60"/>
      <c r="N1419" s="60">
        <f t="shared" si="434"/>
        <v>0</v>
      </c>
      <c r="O1419" s="60">
        <f t="shared" si="435"/>
        <v>0</v>
      </c>
    </row>
    <row r="1420" spans="1:15" s="38" customFormat="1" ht="10.7" customHeight="1" outlineLevel="1" x14ac:dyDescent="0.25">
      <c r="A1420" s="124"/>
      <c r="B1420" s="142"/>
      <c r="C1420" s="115"/>
      <c r="D1420" s="115"/>
      <c r="E1420" s="115"/>
      <c r="F1420" s="115"/>
      <c r="G1420" s="60" t="s">
        <v>128</v>
      </c>
      <c r="H1420" s="124"/>
      <c r="I1420" s="124"/>
      <c r="J1420" s="60"/>
      <c r="K1420" s="60"/>
      <c r="L1420" s="60"/>
      <c r="M1420" s="60"/>
      <c r="N1420" s="60">
        <f t="shared" si="434"/>
        <v>0</v>
      </c>
      <c r="O1420" s="60">
        <f t="shared" si="435"/>
        <v>0</v>
      </c>
    </row>
    <row r="1421" spans="1:15" s="38" customFormat="1" ht="10.7" customHeight="1" outlineLevel="1" x14ac:dyDescent="0.25">
      <c r="A1421" s="124"/>
      <c r="B1421" s="142"/>
      <c r="C1421" s="115"/>
      <c r="D1421" s="115"/>
      <c r="E1421" s="115"/>
      <c r="F1421" s="115"/>
      <c r="G1421" s="60" t="s">
        <v>129</v>
      </c>
      <c r="H1421" s="124"/>
      <c r="I1421" s="124"/>
      <c r="J1421" s="60"/>
      <c r="K1421" s="60"/>
      <c r="L1421" s="60"/>
      <c r="M1421" s="60"/>
      <c r="N1421" s="60">
        <f t="shared" si="434"/>
        <v>0</v>
      </c>
      <c r="O1421" s="60">
        <f t="shared" si="435"/>
        <v>0</v>
      </c>
    </row>
    <row r="1422" spans="1:15" s="38" customFormat="1" ht="10.7" customHeight="1" outlineLevel="1" x14ac:dyDescent="0.25">
      <c r="A1422" s="124"/>
      <c r="B1422" s="142"/>
      <c r="C1422" s="115"/>
      <c r="D1422" s="115"/>
      <c r="E1422" s="115"/>
      <c r="F1422" s="115"/>
      <c r="G1422" s="60" t="s">
        <v>130</v>
      </c>
      <c r="H1422" s="124"/>
      <c r="I1422" s="124"/>
      <c r="J1422" s="60"/>
      <c r="K1422" s="60"/>
      <c r="L1422" s="60"/>
      <c r="M1422" s="60"/>
      <c r="N1422" s="60">
        <f t="shared" si="434"/>
        <v>0</v>
      </c>
      <c r="O1422" s="60">
        <f t="shared" si="435"/>
        <v>0</v>
      </c>
    </row>
    <row r="1423" spans="1:15" s="38" customFormat="1" ht="12" customHeight="1" outlineLevel="1" thickBot="1" x14ac:dyDescent="0.3">
      <c r="A1423" s="125"/>
      <c r="B1423" s="143"/>
      <c r="C1423" s="131"/>
      <c r="D1423" s="131"/>
      <c r="E1423" s="131"/>
      <c r="F1423" s="131"/>
      <c r="G1423" s="60" t="s">
        <v>131</v>
      </c>
      <c r="H1423" s="134"/>
      <c r="I1423" s="134"/>
      <c r="J1423" s="60"/>
      <c r="K1423" s="60"/>
      <c r="L1423" s="60"/>
      <c r="M1423" s="60"/>
      <c r="N1423" s="60">
        <f t="shared" si="434"/>
        <v>0</v>
      </c>
      <c r="O1423" s="60">
        <f t="shared" si="435"/>
        <v>0</v>
      </c>
    </row>
    <row r="1424" spans="1:15" s="39" customFormat="1" ht="15.75" x14ac:dyDescent="0.25">
      <c r="A1424" s="40" t="s">
        <v>329</v>
      </c>
      <c r="B1424" s="41" t="s">
        <v>906</v>
      </c>
      <c r="C1424" s="42">
        <f>SUM(C1453:C1466)</f>
        <v>0</v>
      </c>
      <c r="D1424" s="42">
        <f>SUM(D1453:D1466)</f>
        <v>0</v>
      </c>
      <c r="E1424" s="42">
        <f>SUM(E1453:E1466)</f>
        <v>0</v>
      </c>
      <c r="F1424" s="42"/>
      <c r="G1424" s="42"/>
      <c r="H1424" s="42"/>
      <c r="I1424" s="42"/>
      <c r="J1424" s="42"/>
      <c r="K1424" s="42"/>
      <c r="L1424" s="42"/>
      <c r="M1424" s="42"/>
      <c r="N1424" s="42"/>
      <c r="O1424" s="47"/>
    </row>
    <row r="1425" spans="1:15" s="38" customFormat="1" ht="14.45" customHeight="1" outlineLevel="1" x14ac:dyDescent="0.25">
      <c r="A1425" s="140" t="s">
        <v>331</v>
      </c>
      <c r="B1425" s="141" t="s">
        <v>907</v>
      </c>
      <c r="C1425" s="130">
        <f>SUM(N1425:N1431)</f>
        <v>0</v>
      </c>
      <c r="D1425" s="130">
        <f>SUM(O1425:O1431)</f>
        <v>0</v>
      </c>
      <c r="E1425" s="130">
        <f t="shared" ref="E1425:E1467" si="436">D1425/8</f>
        <v>0</v>
      </c>
      <c r="F1425" s="130"/>
      <c r="G1425" s="60" t="s">
        <v>125</v>
      </c>
      <c r="H1425" s="123"/>
      <c r="I1425" s="123"/>
      <c r="J1425" s="60"/>
      <c r="K1425" s="60"/>
      <c r="L1425" s="60"/>
      <c r="M1425" s="60"/>
      <c r="N1425" s="60">
        <f>M1425*J1425*K1425*L1425</f>
        <v>0</v>
      </c>
      <c r="O1425" s="60">
        <f>J1425*K1425*L1425</f>
        <v>0</v>
      </c>
    </row>
    <row r="1426" spans="1:15" s="38" customFormat="1" ht="11.45" customHeight="1" outlineLevel="1" x14ac:dyDescent="0.25">
      <c r="A1426" s="124"/>
      <c r="B1426" s="142"/>
      <c r="C1426" s="115"/>
      <c r="D1426" s="115"/>
      <c r="E1426" s="115"/>
      <c r="F1426" s="115"/>
      <c r="G1426" s="60" t="s">
        <v>126</v>
      </c>
      <c r="H1426" s="124"/>
      <c r="I1426" s="124"/>
      <c r="J1426" s="60"/>
      <c r="K1426" s="60"/>
      <c r="L1426" s="60"/>
      <c r="M1426" s="60"/>
      <c r="N1426" s="60">
        <f t="shared" ref="N1426:N1431" si="437">M1426*J1426*K1426*L1426</f>
        <v>0</v>
      </c>
      <c r="O1426" s="60">
        <f t="shared" ref="O1426:O1431" si="438">J1426*K1426*L1426</f>
        <v>0</v>
      </c>
    </row>
    <row r="1427" spans="1:15" s="38" customFormat="1" ht="10.7" customHeight="1" outlineLevel="1" x14ac:dyDescent="0.25">
      <c r="A1427" s="124"/>
      <c r="B1427" s="142"/>
      <c r="C1427" s="115"/>
      <c r="D1427" s="115"/>
      <c r="E1427" s="115"/>
      <c r="F1427" s="115"/>
      <c r="G1427" s="60" t="s">
        <v>127</v>
      </c>
      <c r="H1427" s="124"/>
      <c r="I1427" s="124"/>
      <c r="J1427" s="60"/>
      <c r="K1427" s="60"/>
      <c r="L1427" s="60"/>
      <c r="M1427" s="60"/>
      <c r="N1427" s="60">
        <f t="shared" si="437"/>
        <v>0</v>
      </c>
      <c r="O1427" s="60">
        <f t="shared" si="438"/>
        <v>0</v>
      </c>
    </row>
    <row r="1428" spans="1:15" s="38" customFormat="1" ht="10.7" customHeight="1" outlineLevel="1" x14ac:dyDescent="0.25">
      <c r="A1428" s="124"/>
      <c r="B1428" s="142"/>
      <c r="C1428" s="115"/>
      <c r="D1428" s="115"/>
      <c r="E1428" s="115"/>
      <c r="F1428" s="115"/>
      <c r="G1428" s="60" t="s">
        <v>128</v>
      </c>
      <c r="H1428" s="124"/>
      <c r="I1428" s="124"/>
      <c r="J1428" s="60"/>
      <c r="K1428" s="60"/>
      <c r="L1428" s="60"/>
      <c r="M1428" s="60"/>
      <c r="N1428" s="60">
        <f t="shared" si="437"/>
        <v>0</v>
      </c>
      <c r="O1428" s="60">
        <f t="shared" si="438"/>
        <v>0</v>
      </c>
    </row>
    <row r="1429" spans="1:15" s="38" customFormat="1" ht="10.7" customHeight="1" outlineLevel="1" x14ac:dyDescent="0.25">
      <c r="A1429" s="124"/>
      <c r="B1429" s="142"/>
      <c r="C1429" s="115"/>
      <c r="D1429" s="115"/>
      <c r="E1429" s="115"/>
      <c r="F1429" s="115"/>
      <c r="G1429" s="60" t="s">
        <v>129</v>
      </c>
      <c r="H1429" s="124"/>
      <c r="I1429" s="124"/>
      <c r="J1429" s="60"/>
      <c r="K1429" s="60"/>
      <c r="L1429" s="60"/>
      <c r="M1429" s="60"/>
      <c r="N1429" s="60">
        <f t="shared" si="437"/>
        <v>0</v>
      </c>
      <c r="O1429" s="60">
        <f t="shared" si="438"/>
        <v>0</v>
      </c>
    </row>
    <row r="1430" spans="1:15" s="38" customFormat="1" ht="10.7" customHeight="1" outlineLevel="1" x14ac:dyDescent="0.25">
      <c r="A1430" s="124"/>
      <c r="B1430" s="142"/>
      <c r="C1430" s="115"/>
      <c r="D1430" s="115"/>
      <c r="E1430" s="115"/>
      <c r="F1430" s="115"/>
      <c r="G1430" s="60" t="s">
        <v>130</v>
      </c>
      <c r="H1430" s="124"/>
      <c r="I1430" s="124"/>
      <c r="J1430" s="60"/>
      <c r="K1430" s="60"/>
      <c r="L1430" s="60"/>
      <c r="M1430" s="60"/>
      <c r="N1430" s="60">
        <f t="shared" si="437"/>
        <v>0</v>
      </c>
      <c r="O1430" s="60">
        <f t="shared" si="438"/>
        <v>0</v>
      </c>
    </row>
    <row r="1431" spans="1:15" s="38" customFormat="1" ht="12" customHeight="1" outlineLevel="1" thickBot="1" x14ac:dyDescent="0.3">
      <c r="A1431" s="125"/>
      <c r="B1431" s="143"/>
      <c r="C1431" s="131"/>
      <c r="D1431" s="131"/>
      <c r="E1431" s="131"/>
      <c r="F1431" s="131"/>
      <c r="G1431" s="60" t="s">
        <v>131</v>
      </c>
      <c r="H1431" s="134"/>
      <c r="I1431" s="134"/>
      <c r="J1431" s="60"/>
      <c r="K1431" s="60"/>
      <c r="L1431" s="60"/>
      <c r="M1431" s="60"/>
      <c r="N1431" s="60">
        <f t="shared" si="437"/>
        <v>0</v>
      </c>
      <c r="O1431" s="60">
        <f t="shared" si="438"/>
        <v>0</v>
      </c>
    </row>
    <row r="1432" spans="1:15" s="38" customFormat="1" ht="14.45" customHeight="1" outlineLevel="1" x14ac:dyDescent="0.25">
      <c r="A1432" s="140" t="s">
        <v>333</v>
      </c>
      <c r="B1432" s="141" t="s">
        <v>908</v>
      </c>
      <c r="C1432" s="130">
        <f>SUM(N1432:N1438)</f>
        <v>0</v>
      </c>
      <c r="D1432" s="130">
        <f>SUM(O1432:O1438)</f>
        <v>0</v>
      </c>
      <c r="E1432" s="130">
        <f t="shared" si="436"/>
        <v>0</v>
      </c>
      <c r="F1432" s="130"/>
      <c r="G1432" s="60" t="s">
        <v>125</v>
      </c>
      <c r="H1432" s="123"/>
      <c r="I1432" s="123"/>
      <c r="J1432" s="60"/>
      <c r="K1432" s="60"/>
      <c r="L1432" s="60"/>
      <c r="M1432" s="60"/>
      <c r="N1432" s="60">
        <f>M1432*J1432*K1432*L1432</f>
        <v>0</v>
      </c>
      <c r="O1432" s="60">
        <f>J1432*K1432*L1432</f>
        <v>0</v>
      </c>
    </row>
    <row r="1433" spans="1:15" s="38" customFormat="1" ht="11.45" customHeight="1" outlineLevel="1" x14ac:dyDescent="0.25">
      <c r="A1433" s="124"/>
      <c r="B1433" s="142"/>
      <c r="C1433" s="115"/>
      <c r="D1433" s="115"/>
      <c r="E1433" s="115"/>
      <c r="F1433" s="115"/>
      <c r="G1433" s="60" t="s">
        <v>126</v>
      </c>
      <c r="H1433" s="124"/>
      <c r="I1433" s="124"/>
      <c r="J1433" s="60"/>
      <c r="K1433" s="60"/>
      <c r="L1433" s="60"/>
      <c r="M1433" s="60"/>
      <c r="N1433" s="60">
        <f t="shared" ref="N1433:N1438" si="439">M1433*J1433*K1433*L1433</f>
        <v>0</v>
      </c>
      <c r="O1433" s="60">
        <f t="shared" ref="O1433:O1438" si="440">J1433*K1433*L1433</f>
        <v>0</v>
      </c>
    </row>
    <row r="1434" spans="1:15" s="38" customFormat="1" ht="10.7" customHeight="1" outlineLevel="1" x14ac:dyDescent="0.25">
      <c r="A1434" s="124"/>
      <c r="B1434" s="142"/>
      <c r="C1434" s="115"/>
      <c r="D1434" s="115"/>
      <c r="E1434" s="115"/>
      <c r="F1434" s="115"/>
      <c r="G1434" s="60" t="s">
        <v>127</v>
      </c>
      <c r="H1434" s="124"/>
      <c r="I1434" s="124"/>
      <c r="J1434" s="60"/>
      <c r="K1434" s="60"/>
      <c r="L1434" s="60"/>
      <c r="M1434" s="60"/>
      <c r="N1434" s="60">
        <f t="shared" si="439"/>
        <v>0</v>
      </c>
      <c r="O1434" s="60">
        <f t="shared" si="440"/>
        <v>0</v>
      </c>
    </row>
    <row r="1435" spans="1:15" s="38" customFormat="1" ht="10.7" customHeight="1" outlineLevel="1" x14ac:dyDescent="0.25">
      <c r="A1435" s="124"/>
      <c r="B1435" s="142"/>
      <c r="C1435" s="115"/>
      <c r="D1435" s="115"/>
      <c r="E1435" s="115"/>
      <c r="F1435" s="115"/>
      <c r="G1435" s="60" t="s">
        <v>128</v>
      </c>
      <c r="H1435" s="124"/>
      <c r="I1435" s="124"/>
      <c r="J1435" s="60"/>
      <c r="K1435" s="60"/>
      <c r="L1435" s="60"/>
      <c r="M1435" s="60"/>
      <c r="N1435" s="60">
        <f t="shared" si="439"/>
        <v>0</v>
      </c>
      <c r="O1435" s="60">
        <f t="shared" si="440"/>
        <v>0</v>
      </c>
    </row>
    <row r="1436" spans="1:15" s="38" customFormat="1" ht="10.7" customHeight="1" outlineLevel="1" x14ac:dyDescent="0.25">
      <c r="A1436" s="124"/>
      <c r="B1436" s="142"/>
      <c r="C1436" s="115"/>
      <c r="D1436" s="115"/>
      <c r="E1436" s="115"/>
      <c r="F1436" s="115"/>
      <c r="G1436" s="60" t="s">
        <v>129</v>
      </c>
      <c r="H1436" s="124"/>
      <c r="I1436" s="124"/>
      <c r="J1436" s="60"/>
      <c r="K1436" s="60"/>
      <c r="L1436" s="60"/>
      <c r="M1436" s="60"/>
      <c r="N1436" s="60">
        <f t="shared" si="439"/>
        <v>0</v>
      </c>
      <c r="O1436" s="60">
        <f t="shared" si="440"/>
        <v>0</v>
      </c>
    </row>
    <row r="1437" spans="1:15" s="38" customFormat="1" ht="10.7" customHeight="1" outlineLevel="1" x14ac:dyDescent="0.25">
      <c r="A1437" s="124"/>
      <c r="B1437" s="142"/>
      <c r="C1437" s="115"/>
      <c r="D1437" s="115"/>
      <c r="E1437" s="115"/>
      <c r="F1437" s="115"/>
      <c r="G1437" s="60" t="s">
        <v>130</v>
      </c>
      <c r="H1437" s="124"/>
      <c r="I1437" s="124"/>
      <c r="J1437" s="60"/>
      <c r="K1437" s="60"/>
      <c r="L1437" s="60"/>
      <c r="M1437" s="60"/>
      <c r="N1437" s="60">
        <f t="shared" si="439"/>
        <v>0</v>
      </c>
      <c r="O1437" s="60">
        <f t="shared" si="440"/>
        <v>0</v>
      </c>
    </row>
    <row r="1438" spans="1:15" s="38" customFormat="1" ht="12" customHeight="1" outlineLevel="1" thickBot="1" x14ac:dyDescent="0.3">
      <c r="A1438" s="125"/>
      <c r="B1438" s="143"/>
      <c r="C1438" s="131"/>
      <c r="D1438" s="131"/>
      <c r="E1438" s="131"/>
      <c r="F1438" s="131"/>
      <c r="G1438" s="60" t="s">
        <v>131</v>
      </c>
      <c r="H1438" s="134"/>
      <c r="I1438" s="134"/>
      <c r="J1438" s="60"/>
      <c r="K1438" s="60"/>
      <c r="L1438" s="60"/>
      <c r="M1438" s="60"/>
      <c r="N1438" s="60">
        <f t="shared" si="439"/>
        <v>0</v>
      </c>
      <c r="O1438" s="60">
        <f t="shared" si="440"/>
        <v>0</v>
      </c>
    </row>
    <row r="1439" spans="1:15" s="38" customFormat="1" ht="14.45" customHeight="1" outlineLevel="1" x14ac:dyDescent="0.25">
      <c r="A1439" s="140" t="s">
        <v>909</v>
      </c>
      <c r="B1439" s="141" t="s">
        <v>910</v>
      </c>
      <c r="C1439" s="130">
        <f>SUM(N1439:N1445)</f>
        <v>0</v>
      </c>
      <c r="D1439" s="130">
        <f>SUM(O1439:O1445)</f>
        <v>0</v>
      </c>
      <c r="E1439" s="130">
        <f t="shared" si="436"/>
        <v>0</v>
      </c>
      <c r="F1439" s="130"/>
      <c r="G1439" s="60" t="s">
        <v>125</v>
      </c>
      <c r="H1439" s="123"/>
      <c r="I1439" s="123"/>
      <c r="J1439" s="60"/>
      <c r="K1439" s="60"/>
      <c r="L1439" s="60"/>
      <c r="M1439" s="60"/>
      <c r="N1439" s="60">
        <f>M1439*J1439*K1439*L1439</f>
        <v>0</v>
      </c>
      <c r="O1439" s="60">
        <f>J1439*K1439*L1439</f>
        <v>0</v>
      </c>
    </row>
    <row r="1440" spans="1:15" s="38" customFormat="1" ht="11.45" customHeight="1" outlineLevel="1" x14ac:dyDescent="0.25">
      <c r="A1440" s="124"/>
      <c r="B1440" s="142"/>
      <c r="C1440" s="115"/>
      <c r="D1440" s="115"/>
      <c r="E1440" s="115"/>
      <c r="F1440" s="115"/>
      <c r="G1440" s="60" t="s">
        <v>126</v>
      </c>
      <c r="H1440" s="124"/>
      <c r="I1440" s="124"/>
      <c r="J1440" s="60"/>
      <c r="K1440" s="60"/>
      <c r="L1440" s="60"/>
      <c r="M1440" s="60"/>
      <c r="N1440" s="60">
        <f t="shared" ref="N1440:N1445" si="441">M1440*J1440*K1440*L1440</f>
        <v>0</v>
      </c>
      <c r="O1440" s="60">
        <f t="shared" ref="O1440:O1445" si="442">J1440*K1440*L1440</f>
        <v>0</v>
      </c>
    </row>
    <row r="1441" spans="1:15" s="38" customFormat="1" ht="10.7" customHeight="1" outlineLevel="1" x14ac:dyDescent="0.25">
      <c r="A1441" s="124"/>
      <c r="B1441" s="142"/>
      <c r="C1441" s="115"/>
      <c r="D1441" s="115"/>
      <c r="E1441" s="115"/>
      <c r="F1441" s="115"/>
      <c r="G1441" s="60" t="s">
        <v>127</v>
      </c>
      <c r="H1441" s="124"/>
      <c r="I1441" s="124"/>
      <c r="J1441" s="60"/>
      <c r="K1441" s="60"/>
      <c r="L1441" s="60"/>
      <c r="M1441" s="60"/>
      <c r="N1441" s="60">
        <f t="shared" si="441"/>
        <v>0</v>
      </c>
      <c r="O1441" s="60">
        <f t="shared" si="442"/>
        <v>0</v>
      </c>
    </row>
    <row r="1442" spans="1:15" s="38" customFormat="1" ht="10.7" customHeight="1" outlineLevel="1" x14ac:dyDescent="0.25">
      <c r="A1442" s="124"/>
      <c r="B1442" s="142"/>
      <c r="C1442" s="115"/>
      <c r="D1442" s="115"/>
      <c r="E1442" s="115"/>
      <c r="F1442" s="115"/>
      <c r="G1442" s="60" t="s">
        <v>128</v>
      </c>
      <c r="H1442" s="124"/>
      <c r="I1442" s="124"/>
      <c r="J1442" s="60"/>
      <c r="K1442" s="60"/>
      <c r="L1442" s="60"/>
      <c r="M1442" s="60"/>
      <c r="N1442" s="60">
        <f t="shared" si="441"/>
        <v>0</v>
      </c>
      <c r="O1442" s="60">
        <f t="shared" si="442"/>
        <v>0</v>
      </c>
    </row>
    <row r="1443" spans="1:15" s="38" customFormat="1" ht="10.7" customHeight="1" outlineLevel="1" x14ac:dyDescent="0.25">
      <c r="A1443" s="124"/>
      <c r="B1443" s="142"/>
      <c r="C1443" s="115"/>
      <c r="D1443" s="115"/>
      <c r="E1443" s="115"/>
      <c r="F1443" s="115"/>
      <c r="G1443" s="60" t="s">
        <v>129</v>
      </c>
      <c r="H1443" s="124"/>
      <c r="I1443" s="124"/>
      <c r="J1443" s="60"/>
      <c r="K1443" s="60"/>
      <c r="L1443" s="60"/>
      <c r="M1443" s="60"/>
      <c r="N1443" s="60">
        <f t="shared" si="441"/>
        <v>0</v>
      </c>
      <c r="O1443" s="60">
        <f t="shared" si="442"/>
        <v>0</v>
      </c>
    </row>
    <row r="1444" spans="1:15" s="38" customFormat="1" ht="10.7" customHeight="1" outlineLevel="1" x14ac:dyDescent="0.25">
      <c r="A1444" s="124"/>
      <c r="B1444" s="142"/>
      <c r="C1444" s="115"/>
      <c r="D1444" s="115"/>
      <c r="E1444" s="115"/>
      <c r="F1444" s="115"/>
      <c r="G1444" s="60" t="s">
        <v>130</v>
      </c>
      <c r="H1444" s="124"/>
      <c r="I1444" s="124"/>
      <c r="J1444" s="60"/>
      <c r="K1444" s="60"/>
      <c r="L1444" s="60"/>
      <c r="M1444" s="60"/>
      <c r="N1444" s="60">
        <f t="shared" si="441"/>
        <v>0</v>
      </c>
      <c r="O1444" s="60">
        <f t="shared" si="442"/>
        <v>0</v>
      </c>
    </row>
    <row r="1445" spans="1:15" s="38" customFormat="1" ht="12" customHeight="1" outlineLevel="1" thickBot="1" x14ac:dyDescent="0.3">
      <c r="A1445" s="125"/>
      <c r="B1445" s="143"/>
      <c r="C1445" s="131"/>
      <c r="D1445" s="131"/>
      <c r="E1445" s="131"/>
      <c r="F1445" s="131"/>
      <c r="G1445" s="60" t="s">
        <v>131</v>
      </c>
      <c r="H1445" s="134"/>
      <c r="I1445" s="134"/>
      <c r="J1445" s="60"/>
      <c r="K1445" s="60"/>
      <c r="L1445" s="60"/>
      <c r="M1445" s="60"/>
      <c r="N1445" s="60">
        <f t="shared" si="441"/>
        <v>0</v>
      </c>
      <c r="O1445" s="60">
        <f t="shared" si="442"/>
        <v>0</v>
      </c>
    </row>
    <row r="1446" spans="1:15" s="38" customFormat="1" ht="14.45" customHeight="1" outlineLevel="1" x14ac:dyDescent="0.25">
      <c r="A1446" s="140" t="s">
        <v>911</v>
      </c>
      <c r="B1446" s="141" t="s">
        <v>912</v>
      </c>
      <c r="C1446" s="130">
        <f>SUM(N1446:N1452)</f>
        <v>0</v>
      </c>
      <c r="D1446" s="130">
        <f>SUM(O1446:O1452)</f>
        <v>0</v>
      </c>
      <c r="E1446" s="130">
        <f t="shared" si="436"/>
        <v>0</v>
      </c>
      <c r="F1446" s="130"/>
      <c r="G1446" s="60" t="s">
        <v>125</v>
      </c>
      <c r="H1446" s="123"/>
      <c r="I1446" s="123"/>
      <c r="J1446" s="60"/>
      <c r="K1446" s="60"/>
      <c r="L1446" s="60"/>
      <c r="M1446" s="60"/>
      <c r="N1446" s="60">
        <f>M1446*J1446*K1446*L1446</f>
        <v>0</v>
      </c>
      <c r="O1446" s="60">
        <f>J1446*K1446*L1446</f>
        <v>0</v>
      </c>
    </row>
    <row r="1447" spans="1:15" s="38" customFormat="1" ht="11.45" customHeight="1" outlineLevel="1" x14ac:dyDescent="0.25">
      <c r="A1447" s="124"/>
      <c r="B1447" s="142"/>
      <c r="C1447" s="115"/>
      <c r="D1447" s="115"/>
      <c r="E1447" s="115"/>
      <c r="F1447" s="115"/>
      <c r="G1447" s="60" t="s">
        <v>126</v>
      </c>
      <c r="H1447" s="124"/>
      <c r="I1447" s="124"/>
      <c r="J1447" s="60"/>
      <c r="K1447" s="60"/>
      <c r="L1447" s="60"/>
      <c r="M1447" s="60"/>
      <c r="N1447" s="60">
        <f t="shared" ref="N1447:N1452" si="443">M1447*J1447*K1447*L1447</f>
        <v>0</v>
      </c>
      <c r="O1447" s="60">
        <f t="shared" ref="O1447:O1452" si="444">J1447*K1447*L1447</f>
        <v>0</v>
      </c>
    </row>
    <row r="1448" spans="1:15" s="38" customFormat="1" ht="10.7" customHeight="1" outlineLevel="1" x14ac:dyDescent="0.25">
      <c r="A1448" s="124"/>
      <c r="B1448" s="142"/>
      <c r="C1448" s="115"/>
      <c r="D1448" s="115"/>
      <c r="E1448" s="115"/>
      <c r="F1448" s="115"/>
      <c r="G1448" s="60" t="s">
        <v>127</v>
      </c>
      <c r="H1448" s="124"/>
      <c r="I1448" s="124"/>
      <c r="J1448" s="60"/>
      <c r="K1448" s="60"/>
      <c r="L1448" s="60"/>
      <c r="M1448" s="60"/>
      <c r="N1448" s="60">
        <f t="shared" si="443"/>
        <v>0</v>
      </c>
      <c r="O1448" s="60">
        <f t="shared" si="444"/>
        <v>0</v>
      </c>
    </row>
    <row r="1449" spans="1:15" s="38" customFormat="1" ht="10.7" customHeight="1" outlineLevel="1" x14ac:dyDescent="0.25">
      <c r="A1449" s="124"/>
      <c r="B1449" s="142"/>
      <c r="C1449" s="115"/>
      <c r="D1449" s="115"/>
      <c r="E1449" s="115"/>
      <c r="F1449" s="115"/>
      <c r="G1449" s="60" t="s">
        <v>128</v>
      </c>
      <c r="H1449" s="124"/>
      <c r="I1449" s="124"/>
      <c r="J1449" s="60"/>
      <c r="K1449" s="60"/>
      <c r="L1449" s="60"/>
      <c r="M1449" s="60"/>
      <c r="N1449" s="60">
        <f t="shared" si="443"/>
        <v>0</v>
      </c>
      <c r="O1449" s="60">
        <f t="shared" si="444"/>
        <v>0</v>
      </c>
    </row>
    <row r="1450" spans="1:15" s="38" customFormat="1" ht="10.7" customHeight="1" outlineLevel="1" x14ac:dyDescent="0.25">
      <c r="A1450" s="124"/>
      <c r="B1450" s="142"/>
      <c r="C1450" s="115"/>
      <c r="D1450" s="115"/>
      <c r="E1450" s="115"/>
      <c r="F1450" s="115"/>
      <c r="G1450" s="60" t="s">
        <v>129</v>
      </c>
      <c r="H1450" s="124"/>
      <c r="I1450" s="124"/>
      <c r="J1450" s="60"/>
      <c r="K1450" s="60"/>
      <c r="L1450" s="60"/>
      <c r="M1450" s="60"/>
      <c r="N1450" s="60">
        <f t="shared" si="443"/>
        <v>0</v>
      </c>
      <c r="O1450" s="60">
        <f t="shared" si="444"/>
        <v>0</v>
      </c>
    </row>
    <row r="1451" spans="1:15" s="38" customFormat="1" ht="10.7" customHeight="1" outlineLevel="1" x14ac:dyDescent="0.25">
      <c r="A1451" s="124"/>
      <c r="B1451" s="142"/>
      <c r="C1451" s="115"/>
      <c r="D1451" s="115"/>
      <c r="E1451" s="115"/>
      <c r="F1451" s="115"/>
      <c r="G1451" s="60" t="s">
        <v>130</v>
      </c>
      <c r="H1451" s="124"/>
      <c r="I1451" s="124"/>
      <c r="J1451" s="60"/>
      <c r="K1451" s="60"/>
      <c r="L1451" s="60"/>
      <c r="M1451" s="60"/>
      <c r="N1451" s="60">
        <f t="shared" si="443"/>
        <v>0</v>
      </c>
      <c r="O1451" s="60">
        <f t="shared" si="444"/>
        <v>0</v>
      </c>
    </row>
    <row r="1452" spans="1:15" s="38" customFormat="1" ht="12" customHeight="1" outlineLevel="1" thickBot="1" x14ac:dyDescent="0.3">
      <c r="A1452" s="125"/>
      <c r="B1452" s="143"/>
      <c r="C1452" s="131"/>
      <c r="D1452" s="131"/>
      <c r="E1452" s="131"/>
      <c r="F1452" s="131"/>
      <c r="G1452" s="60" t="s">
        <v>131</v>
      </c>
      <c r="H1452" s="134"/>
      <c r="I1452" s="134"/>
      <c r="J1452" s="60"/>
      <c r="K1452" s="60"/>
      <c r="L1452" s="60"/>
      <c r="M1452" s="60"/>
      <c r="N1452" s="60">
        <f t="shared" si="443"/>
        <v>0</v>
      </c>
      <c r="O1452" s="60">
        <f t="shared" si="444"/>
        <v>0</v>
      </c>
    </row>
    <row r="1453" spans="1:15" s="38" customFormat="1" ht="14.45" customHeight="1" outlineLevel="1" x14ac:dyDescent="0.25">
      <c r="A1453" s="140" t="s">
        <v>913</v>
      </c>
      <c r="B1453" s="141" t="s">
        <v>914</v>
      </c>
      <c r="C1453" s="130">
        <f>SUM(N1453:N1459)</f>
        <v>0</v>
      </c>
      <c r="D1453" s="130">
        <f>SUM(O1453:O1459)</f>
        <v>0</v>
      </c>
      <c r="E1453" s="130">
        <f t="shared" si="436"/>
        <v>0</v>
      </c>
      <c r="F1453" s="130"/>
      <c r="G1453" s="60" t="s">
        <v>125</v>
      </c>
      <c r="H1453" s="123"/>
      <c r="I1453" s="123"/>
      <c r="J1453" s="60"/>
      <c r="K1453" s="60"/>
      <c r="L1453" s="60"/>
      <c r="M1453" s="60"/>
      <c r="N1453" s="60">
        <f>M1453*J1453*K1453*L1453</f>
        <v>0</v>
      </c>
      <c r="O1453" s="60">
        <f>J1453*K1453*L1453</f>
        <v>0</v>
      </c>
    </row>
    <row r="1454" spans="1:15" s="38" customFormat="1" ht="11.45" customHeight="1" outlineLevel="1" x14ac:dyDescent="0.25">
      <c r="A1454" s="124"/>
      <c r="B1454" s="142"/>
      <c r="C1454" s="115"/>
      <c r="D1454" s="115"/>
      <c r="E1454" s="115"/>
      <c r="F1454" s="115"/>
      <c r="G1454" s="60" t="s">
        <v>126</v>
      </c>
      <c r="H1454" s="124"/>
      <c r="I1454" s="124"/>
      <c r="J1454" s="60"/>
      <c r="K1454" s="60"/>
      <c r="L1454" s="60"/>
      <c r="M1454" s="60"/>
      <c r="N1454" s="60">
        <f t="shared" ref="N1454:N1459" si="445">M1454*J1454*K1454*L1454</f>
        <v>0</v>
      </c>
      <c r="O1454" s="60">
        <f t="shared" ref="O1454:O1459" si="446">J1454*K1454*L1454</f>
        <v>0</v>
      </c>
    </row>
    <row r="1455" spans="1:15" s="38" customFormat="1" ht="10.7" customHeight="1" outlineLevel="1" x14ac:dyDescent="0.25">
      <c r="A1455" s="124"/>
      <c r="B1455" s="142"/>
      <c r="C1455" s="115"/>
      <c r="D1455" s="115"/>
      <c r="E1455" s="115"/>
      <c r="F1455" s="115"/>
      <c r="G1455" s="60" t="s">
        <v>127</v>
      </c>
      <c r="H1455" s="124"/>
      <c r="I1455" s="124"/>
      <c r="J1455" s="60"/>
      <c r="K1455" s="60"/>
      <c r="L1455" s="60"/>
      <c r="M1455" s="60"/>
      <c r="N1455" s="60">
        <f t="shared" si="445"/>
        <v>0</v>
      </c>
      <c r="O1455" s="60">
        <f t="shared" si="446"/>
        <v>0</v>
      </c>
    </row>
    <row r="1456" spans="1:15" s="38" customFormat="1" ht="10.7" customHeight="1" outlineLevel="1" x14ac:dyDescent="0.25">
      <c r="A1456" s="124"/>
      <c r="B1456" s="142"/>
      <c r="C1456" s="115"/>
      <c r="D1456" s="115"/>
      <c r="E1456" s="115"/>
      <c r="F1456" s="115"/>
      <c r="G1456" s="60" t="s">
        <v>128</v>
      </c>
      <c r="H1456" s="124"/>
      <c r="I1456" s="124"/>
      <c r="J1456" s="60"/>
      <c r="K1456" s="60"/>
      <c r="L1456" s="60"/>
      <c r="M1456" s="60"/>
      <c r="N1456" s="60">
        <f t="shared" si="445"/>
        <v>0</v>
      </c>
      <c r="O1456" s="60">
        <f t="shared" si="446"/>
        <v>0</v>
      </c>
    </row>
    <row r="1457" spans="1:15" s="38" customFormat="1" ht="10.7" customHeight="1" outlineLevel="1" x14ac:dyDescent="0.25">
      <c r="A1457" s="124"/>
      <c r="B1457" s="142"/>
      <c r="C1457" s="115"/>
      <c r="D1457" s="115"/>
      <c r="E1457" s="115"/>
      <c r="F1457" s="115"/>
      <c r="G1457" s="60" t="s">
        <v>129</v>
      </c>
      <c r="H1457" s="124"/>
      <c r="I1457" s="124"/>
      <c r="J1457" s="60"/>
      <c r="K1457" s="60"/>
      <c r="L1457" s="60"/>
      <c r="M1457" s="60"/>
      <c r="N1457" s="60">
        <f t="shared" si="445"/>
        <v>0</v>
      </c>
      <c r="O1457" s="60">
        <f t="shared" si="446"/>
        <v>0</v>
      </c>
    </row>
    <row r="1458" spans="1:15" s="38" customFormat="1" ht="10.7" customHeight="1" outlineLevel="1" x14ac:dyDescent="0.25">
      <c r="A1458" s="124"/>
      <c r="B1458" s="142"/>
      <c r="C1458" s="115"/>
      <c r="D1458" s="115"/>
      <c r="E1458" s="115"/>
      <c r="F1458" s="115"/>
      <c r="G1458" s="60" t="s">
        <v>130</v>
      </c>
      <c r="H1458" s="124"/>
      <c r="I1458" s="124"/>
      <c r="J1458" s="60"/>
      <c r="K1458" s="60"/>
      <c r="L1458" s="60"/>
      <c r="M1458" s="60"/>
      <c r="N1458" s="60">
        <f t="shared" si="445"/>
        <v>0</v>
      </c>
      <c r="O1458" s="60">
        <f t="shared" si="446"/>
        <v>0</v>
      </c>
    </row>
    <row r="1459" spans="1:15" s="38" customFormat="1" ht="12" customHeight="1" outlineLevel="1" thickBot="1" x14ac:dyDescent="0.3">
      <c r="A1459" s="125"/>
      <c r="B1459" s="143"/>
      <c r="C1459" s="131"/>
      <c r="D1459" s="131"/>
      <c r="E1459" s="131"/>
      <c r="F1459" s="131"/>
      <c r="G1459" s="60" t="s">
        <v>131</v>
      </c>
      <c r="H1459" s="134"/>
      <c r="I1459" s="134"/>
      <c r="J1459" s="60"/>
      <c r="K1459" s="60"/>
      <c r="L1459" s="60"/>
      <c r="M1459" s="60"/>
      <c r="N1459" s="60">
        <f t="shared" si="445"/>
        <v>0</v>
      </c>
      <c r="O1459" s="60">
        <f t="shared" si="446"/>
        <v>0</v>
      </c>
    </row>
    <row r="1460" spans="1:15" s="38" customFormat="1" ht="14.45" customHeight="1" outlineLevel="1" x14ac:dyDescent="0.25">
      <c r="A1460" s="140" t="s">
        <v>915</v>
      </c>
      <c r="B1460" s="141" t="s">
        <v>916</v>
      </c>
      <c r="C1460" s="130">
        <f>SUM(N1460:N1466)</f>
        <v>0</v>
      </c>
      <c r="D1460" s="130">
        <f>SUM(O1460:O1466)</f>
        <v>0</v>
      </c>
      <c r="E1460" s="130">
        <f t="shared" si="436"/>
        <v>0</v>
      </c>
      <c r="F1460" s="130"/>
      <c r="G1460" s="60" t="s">
        <v>125</v>
      </c>
      <c r="H1460" s="123"/>
      <c r="I1460" s="123"/>
      <c r="J1460" s="60"/>
      <c r="K1460" s="60"/>
      <c r="L1460" s="60"/>
      <c r="M1460" s="60"/>
      <c r="N1460" s="60">
        <f>M1460*J1460*K1460*L1460</f>
        <v>0</v>
      </c>
      <c r="O1460" s="60">
        <f>J1460*K1460*L1460</f>
        <v>0</v>
      </c>
    </row>
    <row r="1461" spans="1:15" s="38" customFormat="1" ht="11.45" customHeight="1" outlineLevel="1" x14ac:dyDescent="0.25">
      <c r="A1461" s="124"/>
      <c r="B1461" s="142"/>
      <c r="C1461" s="115"/>
      <c r="D1461" s="115"/>
      <c r="E1461" s="115"/>
      <c r="F1461" s="115"/>
      <c r="G1461" s="60" t="s">
        <v>126</v>
      </c>
      <c r="H1461" s="124"/>
      <c r="I1461" s="124"/>
      <c r="J1461" s="60"/>
      <c r="K1461" s="60"/>
      <c r="L1461" s="60"/>
      <c r="M1461" s="60"/>
      <c r="N1461" s="60">
        <f t="shared" ref="N1461:N1466" si="447">M1461*J1461*K1461*L1461</f>
        <v>0</v>
      </c>
      <c r="O1461" s="60">
        <f t="shared" ref="O1461:O1466" si="448">J1461*K1461*L1461</f>
        <v>0</v>
      </c>
    </row>
    <row r="1462" spans="1:15" s="38" customFormat="1" ht="10.7" customHeight="1" outlineLevel="1" x14ac:dyDescent="0.25">
      <c r="A1462" s="124"/>
      <c r="B1462" s="142"/>
      <c r="C1462" s="115"/>
      <c r="D1462" s="115"/>
      <c r="E1462" s="115"/>
      <c r="F1462" s="115"/>
      <c r="G1462" s="60" t="s">
        <v>127</v>
      </c>
      <c r="H1462" s="124"/>
      <c r="I1462" s="124"/>
      <c r="J1462" s="60"/>
      <c r="K1462" s="60"/>
      <c r="L1462" s="60"/>
      <c r="M1462" s="60"/>
      <c r="N1462" s="60">
        <f t="shared" si="447"/>
        <v>0</v>
      </c>
      <c r="O1462" s="60">
        <f t="shared" si="448"/>
        <v>0</v>
      </c>
    </row>
    <row r="1463" spans="1:15" s="38" customFormat="1" ht="10.7" customHeight="1" outlineLevel="1" x14ac:dyDescent="0.25">
      <c r="A1463" s="124"/>
      <c r="B1463" s="142"/>
      <c r="C1463" s="115"/>
      <c r="D1463" s="115"/>
      <c r="E1463" s="115"/>
      <c r="F1463" s="115"/>
      <c r="G1463" s="60" t="s">
        <v>128</v>
      </c>
      <c r="H1463" s="124"/>
      <c r="I1463" s="124"/>
      <c r="J1463" s="60"/>
      <c r="K1463" s="60"/>
      <c r="L1463" s="60"/>
      <c r="M1463" s="60"/>
      <c r="N1463" s="60">
        <f t="shared" si="447"/>
        <v>0</v>
      </c>
      <c r="O1463" s="60">
        <f t="shared" si="448"/>
        <v>0</v>
      </c>
    </row>
    <row r="1464" spans="1:15" s="38" customFormat="1" ht="10.7" customHeight="1" outlineLevel="1" x14ac:dyDescent="0.25">
      <c r="A1464" s="124"/>
      <c r="B1464" s="142"/>
      <c r="C1464" s="115"/>
      <c r="D1464" s="115"/>
      <c r="E1464" s="115"/>
      <c r="F1464" s="115"/>
      <c r="G1464" s="60" t="s">
        <v>129</v>
      </c>
      <c r="H1464" s="124"/>
      <c r="I1464" s="124"/>
      <c r="J1464" s="60"/>
      <c r="K1464" s="60"/>
      <c r="L1464" s="60"/>
      <c r="M1464" s="60"/>
      <c r="N1464" s="60">
        <f t="shared" si="447"/>
        <v>0</v>
      </c>
      <c r="O1464" s="60">
        <f t="shared" si="448"/>
        <v>0</v>
      </c>
    </row>
    <row r="1465" spans="1:15" s="38" customFormat="1" ht="10.7" customHeight="1" outlineLevel="1" x14ac:dyDescent="0.25">
      <c r="A1465" s="124"/>
      <c r="B1465" s="142"/>
      <c r="C1465" s="115"/>
      <c r="D1465" s="115"/>
      <c r="E1465" s="115"/>
      <c r="F1465" s="115"/>
      <c r="G1465" s="60" t="s">
        <v>130</v>
      </c>
      <c r="H1465" s="124"/>
      <c r="I1465" s="124"/>
      <c r="J1465" s="60"/>
      <c r="K1465" s="60"/>
      <c r="L1465" s="60"/>
      <c r="M1465" s="60"/>
      <c r="N1465" s="60">
        <f t="shared" si="447"/>
        <v>0</v>
      </c>
      <c r="O1465" s="60">
        <f t="shared" si="448"/>
        <v>0</v>
      </c>
    </row>
    <row r="1466" spans="1:15" s="38" customFormat="1" ht="12" customHeight="1" outlineLevel="1" thickBot="1" x14ac:dyDescent="0.3">
      <c r="A1466" s="125"/>
      <c r="B1466" s="143"/>
      <c r="C1466" s="131"/>
      <c r="D1466" s="131"/>
      <c r="E1466" s="131"/>
      <c r="F1466" s="131"/>
      <c r="G1466" s="60" t="s">
        <v>131</v>
      </c>
      <c r="H1466" s="134"/>
      <c r="I1466" s="134"/>
      <c r="J1466" s="60"/>
      <c r="K1466" s="60"/>
      <c r="L1466" s="60"/>
      <c r="M1466" s="60"/>
      <c r="N1466" s="60">
        <f t="shared" si="447"/>
        <v>0</v>
      </c>
      <c r="O1466" s="60">
        <f t="shared" si="448"/>
        <v>0</v>
      </c>
    </row>
    <row r="1467" spans="1:15" s="38" customFormat="1" ht="14.45" customHeight="1" outlineLevel="1" x14ac:dyDescent="0.25">
      <c r="A1467" s="140" t="s">
        <v>917</v>
      </c>
      <c r="B1467" s="141" t="s">
        <v>918</v>
      </c>
      <c r="C1467" s="130">
        <f>SUM(N1467:N1473)</f>
        <v>0</v>
      </c>
      <c r="D1467" s="130">
        <f>SUM(O1467:O1473)</f>
        <v>0</v>
      </c>
      <c r="E1467" s="130">
        <f t="shared" si="436"/>
        <v>0</v>
      </c>
      <c r="F1467" s="130"/>
      <c r="G1467" s="60" t="s">
        <v>125</v>
      </c>
      <c r="H1467" s="123"/>
      <c r="I1467" s="123"/>
      <c r="J1467" s="60"/>
      <c r="K1467" s="60"/>
      <c r="L1467" s="60"/>
      <c r="M1467" s="60"/>
      <c r="N1467" s="60">
        <f>M1467*J1467*K1467*L1467</f>
        <v>0</v>
      </c>
      <c r="O1467" s="60">
        <f>J1467*K1467*L1467</f>
        <v>0</v>
      </c>
    </row>
    <row r="1468" spans="1:15" s="38" customFormat="1" ht="11.45" customHeight="1" outlineLevel="1" x14ac:dyDescent="0.25">
      <c r="A1468" s="124"/>
      <c r="B1468" s="142"/>
      <c r="C1468" s="115"/>
      <c r="D1468" s="115"/>
      <c r="E1468" s="115"/>
      <c r="F1468" s="115"/>
      <c r="G1468" s="60" t="s">
        <v>126</v>
      </c>
      <c r="H1468" s="124"/>
      <c r="I1468" s="124"/>
      <c r="J1468" s="60"/>
      <c r="K1468" s="60"/>
      <c r="L1468" s="60"/>
      <c r="M1468" s="60"/>
      <c r="N1468" s="60">
        <f t="shared" ref="N1468:N1473" si="449">M1468*J1468*K1468*L1468</f>
        <v>0</v>
      </c>
      <c r="O1468" s="60">
        <f t="shared" ref="O1468:O1473" si="450">J1468*K1468*L1468</f>
        <v>0</v>
      </c>
    </row>
    <row r="1469" spans="1:15" s="38" customFormat="1" ht="10.7" customHeight="1" outlineLevel="1" x14ac:dyDescent="0.25">
      <c r="A1469" s="124"/>
      <c r="B1469" s="142"/>
      <c r="C1469" s="115"/>
      <c r="D1469" s="115"/>
      <c r="E1469" s="115"/>
      <c r="F1469" s="115"/>
      <c r="G1469" s="60" t="s">
        <v>127</v>
      </c>
      <c r="H1469" s="124"/>
      <c r="I1469" s="124"/>
      <c r="J1469" s="60"/>
      <c r="K1469" s="60"/>
      <c r="L1469" s="60"/>
      <c r="M1469" s="60"/>
      <c r="N1469" s="60">
        <f t="shared" si="449"/>
        <v>0</v>
      </c>
      <c r="O1469" s="60">
        <f t="shared" si="450"/>
        <v>0</v>
      </c>
    </row>
    <row r="1470" spans="1:15" s="38" customFormat="1" ht="10.7" customHeight="1" outlineLevel="1" x14ac:dyDescent="0.25">
      <c r="A1470" s="124"/>
      <c r="B1470" s="142"/>
      <c r="C1470" s="115"/>
      <c r="D1470" s="115"/>
      <c r="E1470" s="115"/>
      <c r="F1470" s="115"/>
      <c r="G1470" s="60" t="s">
        <v>128</v>
      </c>
      <c r="H1470" s="124"/>
      <c r="I1470" s="124"/>
      <c r="J1470" s="60"/>
      <c r="K1470" s="60"/>
      <c r="L1470" s="60"/>
      <c r="M1470" s="60"/>
      <c r="N1470" s="60">
        <f t="shared" si="449"/>
        <v>0</v>
      </c>
      <c r="O1470" s="60">
        <f t="shared" si="450"/>
        <v>0</v>
      </c>
    </row>
    <row r="1471" spans="1:15" s="38" customFormat="1" ht="10.7" customHeight="1" outlineLevel="1" x14ac:dyDescent="0.25">
      <c r="A1471" s="124"/>
      <c r="B1471" s="142"/>
      <c r="C1471" s="115"/>
      <c r="D1471" s="115"/>
      <c r="E1471" s="115"/>
      <c r="F1471" s="115"/>
      <c r="G1471" s="60" t="s">
        <v>129</v>
      </c>
      <c r="H1471" s="124"/>
      <c r="I1471" s="124"/>
      <c r="J1471" s="60"/>
      <c r="K1471" s="60"/>
      <c r="L1471" s="60"/>
      <c r="M1471" s="60"/>
      <c r="N1471" s="60">
        <f t="shared" si="449"/>
        <v>0</v>
      </c>
      <c r="O1471" s="60">
        <f t="shared" si="450"/>
        <v>0</v>
      </c>
    </row>
    <row r="1472" spans="1:15" s="38" customFormat="1" ht="10.7" customHeight="1" outlineLevel="1" x14ac:dyDescent="0.25">
      <c r="A1472" s="124"/>
      <c r="B1472" s="142"/>
      <c r="C1472" s="115"/>
      <c r="D1472" s="115"/>
      <c r="E1472" s="115"/>
      <c r="F1472" s="115"/>
      <c r="G1472" s="60" t="s">
        <v>130</v>
      </c>
      <c r="H1472" s="124"/>
      <c r="I1472" s="124"/>
      <c r="J1472" s="60"/>
      <c r="K1472" s="60"/>
      <c r="L1472" s="60"/>
      <c r="M1472" s="60"/>
      <c r="N1472" s="60">
        <f t="shared" si="449"/>
        <v>0</v>
      </c>
      <c r="O1472" s="60">
        <f t="shared" si="450"/>
        <v>0</v>
      </c>
    </row>
    <row r="1473" spans="1:15" s="38" customFormat="1" ht="12" customHeight="1" outlineLevel="1" thickBot="1" x14ac:dyDescent="0.3">
      <c r="A1473" s="125"/>
      <c r="B1473" s="143"/>
      <c r="C1473" s="131"/>
      <c r="D1473" s="131"/>
      <c r="E1473" s="131"/>
      <c r="F1473" s="131"/>
      <c r="G1473" s="60" t="s">
        <v>131</v>
      </c>
      <c r="H1473" s="134"/>
      <c r="I1473" s="134"/>
      <c r="J1473" s="60"/>
      <c r="K1473" s="60"/>
      <c r="L1473" s="60"/>
      <c r="M1473" s="60"/>
      <c r="N1473" s="60">
        <f t="shared" si="449"/>
        <v>0</v>
      </c>
      <c r="O1473" s="60">
        <f t="shared" si="450"/>
        <v>0</v>
      </c>
    </row>
    <row r="1474" spans="1:15" s="39" customFormat="1" ht="15.75" x14ac:dyDescent="0.25">
      <c r="A1474" s="40" t="s">
        <v>335</v>
      </c>
      <c r="B1474" s="41" t="s">
        <v>316</v>
      </c>
      <c r="C1474" s="42">
        <f>SUM(C1475)</f>
        <v>0</v>
      </c>
      <c r="D1474" s="42">
        <f>SUM(D1475)</f>
        <v>0</v>
      </c>
      <c r="E1474" s="42">
        <f>SUM(E1475)</f>
        <v>0</v>
      </c>
      <c r="F1474" s="42"/>
      <c r="G1474" s="42"/>
      <c r="H1474" s="42"/>
      <c r="I1474" s="42"/>
      <c r="J1474" s="42"/>
      <c r="K1474" s="42"/>
      <c r="L1474" s="42"/>
      <c r="M1474" s="42"/>
      <c r="N1474" s="42"/>
      <c r="O1474" s="47"/>
    </row>
    <row r="1475" spans="1:15" s="38" customFormat="1" ht="14.45" customHeight="1" outlineLevel="1" x14ac:dyDescent="0.25">
      <c r="A1475" s="140" t="s">
        <v>337</v>
      </c>
      <c r="B1475" s="141" t="s">
        <v>919</v>
      </c>
      <c r="C1475" s="130">
        <f>SUM(N1475:N1481)</f>
        <v>0</v>
      </c>
      <c r="D1475" s="130">
        <f>SUM(O1475:O1481)</f>
        <v>0</v>
      </c>
      <c r="E1475" s="130">
        <f t="shared" ref="E1475" si="451">D1475/8</f>
        <v>0</v>
      </c>
      <c r="F1475" s="130"/>
      <c r="G1475" s="60" t="s">
        <v>125</v>
      </c>
      <c r="H1475" s="123"/>
      <c r="I1475" s="123"/>
      <c r="J1475" s="60"/>
      <c r="K1475" s="60"/>
      <c r="L1475" s="60"/>
      <c r="M1475" s="60"/>
      <c r="N1475" s="60">
        <f>M1475*J1475*K1475*L1475</f>
        <v>0</v>
      </c>
      <c r="O1475" s="60">
        <f>J1475*K1475*L1475</f>
        <v>0</v>
      </c>
    </row>
    <row r="1476" spans="1:15" s="38" customFormat="1" ht="11.45" customHeight="1" outlineLevel="1" x14ac:dyDescent="0.25">
      <c r="A1476" s="124"/>
      <c r="B1476" s="142"/>
      <c r="C1476" s="115"/>
      <c r="D1476" s="115"/>
      <c r="E1476" s="115"/>
      <c r="F1476" s="115"/>
      <c r="G1476" s="60" t="s">
        <v>126</v>
      </c>
      <c r="H1476" s="124"/>
      <c r="I1476" s="124"/>
      <c r="J1476" s="60"/>
      <c r="K1476" s="60"/>
      <c r="L1476" s="60"/>
      <c r="M1476" s="60"/>
      <c r="N1476" s="60">
        <f t="shared" ref="N1476:N1481" si="452">M1476*J1476*K1476*L1476</f>
        <v>0</v>
      </c>
      <c r="O1476" s="60">
        <f t="shared" ref="O1476:O1481" si="453">J1476*K1476*L1476</f>
        <v>0</v>
      </c>
    </row>
    <row r="1477" spans="1:15" s="38" customFormat="1" ht="10.7" customHeight="1" outlineLevel="1" x14ac:dyDescent="0.25">
      <c r="A1477" s="124"/>
      <c r="B1477" s="142"/>
      <c r="C1477" s="115"/>
      <c r="D1477" s="115"/>
      <c r="E1477" s="115"/>
      <c r="F1477" s="115"/>
      <c r="G1477" s="60" t="s">
        <v>127</v>
      </c>
      <c r="H1477" s="124"/>
      <c r="I1477" s="124"/>
      <c r="J1477" s="60"/>
      <c r="K1477" s="60"/>
      <c r="L1477" s="60"/>
      <c r="M1477" s="60"/>
      <c r="N1477" s="60">
        <f t="shared" si="452"/>
        <v>0</v>
      </c>
      <c r="O1477" s="60">
        <f t="shared" si="453"/>
        <v>0</v>
      </c>
    </row>
    <row r="1478" spans="1:15" s="38" customFormat="1" ht="10.7" customHeight="1" outlineLevel="1" x14ac:dyDescent="0.25">
      <c r="A1478" s="124"/>
      <c r="B1478" s="142"/>
      <c r="C1478" s="115"/>
      <c r="D1478" s="115"/>
      <c r="E1478" s="115"/>
      <c r="F1478" s="115"/>
      <c r="G1478" s="60" t="s">
        <v>128</v>
      </c>
      <c r="H1478" s="124"/>
      <c r="I1478" s="124"/>
      <c r="J1478" s="60"/>
      <c r="K1478" s="60"/>
      <c r="L1478" s="60"/>
      <c r="M1478" s="60"/>
      <c r="N1478" s="60">
        <f t="shared" si="452"/>
        <v>0</v>
      </c>
      <c r="O1478" s="60">
        <f t="shared" si="453"/>
        <v>0</v>
      </c>
    </row>
    <row r="1479" spans="1:15" s="38" customFormat="1" ht="10.7" customHeight="1" outlineLevel="1" x14ac:dyDescent="0.25">
      <c r="A1479" s="124"/>
      <c r="B1479" s="142"/>
      <c r="C1479" s="115"/>
      <c r="D1479" s="115"/>
      <c r="E1479" s="115"/>
      <c r="F1479" s="115"/>
      <c r="G1479" s="60" t="s">
        <v>129</v>
      </c>
      <c r="H1479" s="124"/>
      <c r="I1479" s="124"/>
      <c r="J1479" s="60"/>
      <c r="K1479" s="60"/>
      <c r="L1479" s="60"/>
      <c r="M1479" s="60"/>
      <c r="N1479" s="60">
        <f t="shared" si="452"/>
        <v>0</v>
      </c>
      <c r="O1479" s="60">
        <f t="shared" si="453"/>
        <v>0</v>
      </c>
    </row>
    <row r="1480" spans="1:15" s="38" customFormat="1" ht="10.7" customHeight="1" outlineLevel="1" x14ac:dyDescent="0.25">
      <c r="A1480" s="124"/>
      <c r="B1480" s="142"/>
      <c r="C1480" s="115"/>
      <c r="D1480" s="115"/>
      <c r="E1480" s="115"/>
      <c r="F1480" s="115"/>
      <c r="G1480" s="60" t="s">
        <v>130</v>
      </c>
      <c r="H1480" s="124"/>
      <c r="I1480" s="124"/>
      <c r="J1480" s="60"/>
      <c r="K1480" s="60"/>
      <c r="L1480" s="60"/>
      <c r="M1480" s="60"/>
      <c r="N1480" s="60">
        <f t="shared" si="452"/>
        <v>0</v>
      </c>
      <c r="O1480" s="60">
        <f t="shared" si="453"/>
        <v>0</v>
      </c>
    </row>
    <row r="1481" spans="1:15" s="38" customFormat="1" ht="12" customHeight="1" outlineLevel="1" thickBot="1" x14ac:dyDescent="0.3">
      <c r="A1481" s="125"/>
      <c r="B1481" s="143"/>
      <c r="C1481" s="131"/>
      <c r="D1481" s="131"/>
      <c r="E1481" s="131"/>
      <c r="F1481" s="131"/>
      <c r="G1481" s="60" t="s">
        <v>131</v>
      </c>
      <c r="H1481" s="134"/>
      <c r="I1481" s="134"/>
      <c r="J1481" s="60"/>
      <c r="K1481" s="60"/>
      <c r="L1481" s="60"/>
      <c r="M1481" s="60"/>
      <c r="N1481" s="60">
        <f t="shared" si="452"/>
        <v>0</v>
      </c>
      <c r="O1481" s="60">
        <f t="shared" si="453"/>
        <v>0</v>
      </c>
    </row>
    <row r="1482" spans="1:15" s="39" customFormat="1" ht="15.75" x14ac:dyDescent="0.25">
      <c r="A1482" s="40" t="s">
        <v>920</v>
      </c>
      <c r="B1482" s="41" t="s">
        <v>319</v>
      </c>
      <c r="C1482" s="42">
        <f>SUM(C1483)</f>
        <v>0</v>
      </c>
      <c r="D1482" s="42">
        <f>SUM(D1483)</f>
        <v>0</v>
      </c>
      <c r="E1482" s="42">
        <f>SUM(E1483)</f>
        <v>0</v>
      </c>
      <c r="F1482" s="42"/>
      <c r="G1482" s="42"/>
      <c r="H1482" s="42"/>
      <c r="I1482" s="42"/>
      <c r="J1482" s="42"/>
      <c r="K1482" s="42"/>
      <c r="L1482" s="42"/>
      <c r="M1482" s="42"/>
      <c r="N1482" s="42"/>
      <c r="O1482" s="47"/>
    </row>
    <row r="1483" spans="1:15" s="38" customFormat="1" ht="14.45" customHeight="1" outlineLevel="1" x14ac:dyDescent="0.25">
      <c r="A1483" s="140" t="s">
        <v>921</v>
      </c>
      <c r="B1483" s="141" t="s">
        <v>384</v>
      </c>
      <c r="C1483" s="130">
        <f>SUM(N1483:N1489)</f>
        <v>0</v>
      </c>
      <c r="D1483" s="130">
        <f>SUM(O1483:O1489)</f>
        <v>0</v>
      </c>
      <c r="E1483" s="130">
        <f t="shared" ref="E1483" si="454">D1483/8</f>
        <v>0</v>
      </c>
      <c r="F1483" s="130"/>
      <c r="G1483" s="60" t="s">
        <v>125</v>
      </c>
      <c r="H1483" s="123"/>
      <c r="I1483" s="123"/>
      <c r="J1483" s="60"/>
      <c r="K1483" s="60"/>
      <c r="L1483" s="60"/>
      <c r="M1483" s="60"/>
      <c r="N1483" s="60">
        <f>M1483*J1483*K1483*L1483</f>
        <v>0</v>
      </c>
      <c r="O1483" s="60">
        <f>J1483*K1483*L1483</f>
        <v>0</v>
      </c>
    </row>
    <row r="1484" spans="1:15" s="38" customFormat="1" ht="11.45" customHeight="1" outlineLevel="1" x14ac:dyDescent="0.25">
      <c r="A1484" s="124"/>
      <c r="B1484" s="142"/>
      <c r="C1484" s="115"/>
      <c r="D1484" s="115"/>
      <c r="E1484" s="115"/>
      <c r="F1484" s="115"/>
      <c r="G1484" s="60" t="s">
        <v>126</v>
      </c>
      <c r="H1484" s="124"/>
      <c r="I1484" s="124"/>
      <c r="J1484" s="60"/>
      <c r="K1484" s="60"/>
      <c r="L1484" s="60"/>
      <c r="M1484" s="60"/>
      <c r="N1484" s="60">
        <f t="shared" ref="N1484:N1489" si="455">M1484*J1484*K1484*L1484</f>
        <v>0</v>
      </c>
      <c r="O1484" s="60">
        <f t="shared" ref="O1484:O1489" si="456">J1484*K1484*L1484</f>
        <v>0</v>
      </c>
    </row>
    <row r="1485" spans="1:15" s="38" customFormat="1" ht="10.7" customHeight="1" outlineLevel="1" x14ac:dyDescent="0.25">
      <c r="A1485" s="124"/>
      <c r="B1485" s="142"/>
      <c r="C1485" s="115"/>
      <c r="D1485" s="115"/>
      <c r="E1485" s="115"/>
      <c r="F1485" s="115"/>
      <c r="G1485" s="60" t="s">
        <v>127</v>
      </c>
      <c r="H1485" s="124"/>
      <c r="I1485" s="124"/>
      <c r="J1485" s="60"/>
      <c r="K1485" s="60"/>
      <c r="L1485" s="60"/>
      <c r="M1485" s="60"/>
      <c r="N1485" s="60">
        <f t="shared" si="455"/>
        <v>0</v>
      </c>
      <c r="O1485" s="60">
        <f t="shared" si="456"/>
        <v>0</v>
      </c>
    </row>
    <row r="1486" spans="1:15" s="38" customFormat="1" ht="10.7" customHeight="1" outlineLevel="1" x14ac:dyDescent="0.25">
      <c r="A1486" s="124"/>
      <c r="B1486" s="142"/>
      <c r="C1486" s="115"/>
      <c r="D1486" s="115"/>
      <c r="E1486" s="115"/>
      <c r="F1486" s="115"/>
      <c r="G1486" s="60" t="s">
        <v>128</v>
      </c>
      <c r="H1486" s="124"/>
      <c r="I1486" s="124"/>
      <c r="J1486" s="60"/>
      <c r="K1486" s="60"/>
      <c r="L1486" s="60"/>
      <c r="M1486" s="60"/>
      <c r="N1486" s="60">
        <f t="shared" si="455"/>
        <v>0</v>
      </c>
      <c r="O1486" s="60">
        <f t="shared" si="456"/>
        <v>0</v>
      </c>
    </row>
    <row r="1487" spans="1:15" s="38" customFormat="1" ht="10.7" customHeight="1" outlineLevel="1" x14ac:dyDescent="0.25">
      <c r="A1487" s="124"/>
      <c r="B1487" s="142"/>
      <c r="C1487" s="115"/>
      <c r="D1487" s="115"/>
      <c r="E1487" s="115"/>
      <c r="F1487" s="115"/>
      <c r="G1487" s="60" t="s">
        <v>129</v>
      </c>
      <c r="H1487" s="124"/>
      <c r="I1487" s="124"/>
      <c r="J1487" s="60"/>
      <c r="K1487" s="60"/>
      <c r="L1487" s="60"/>
      <c r="M1487" s="60"/>
      <c r="N1487" s="60">
        <f t="shared" si="455"/>
        <v>0</v>
      </c>
      <c r="O1487" s="60">
        <f t="shared" si="456"/>
        <v>0</v>
      </c>
    </row>
    <row r="1488" spans="1:15" s="38" customFormat="1" ht="10.7" customHeight="1" outlineLevel="1" x14ac:dyDescent="0.25">
      <c r="A1488" s="124"/>
      <c r="B1488" s="142"/>
      <c r="C1488" s="115"/>
      <c r="D1488" s="115"/>
      <c r="E1488" s="115"/>
      <c r="F1488" s="115"/>
      <c r="G1488" s="60" t="s">
        <v>130</v>
      </c>
      <c r="H1488" s="124"/>
      <c r="I1488" s="124"/>
      <c r="J1488" s="60"/>
      <c r="K1488" s="60"/>
      <c r="L1488" s="60"/>
      <c r="M1488" s="60"/>
      <c r="N1488" s="60">
        <f t="shared" si="455"/>
        <v>0</v>
      </c>
      <c r="O1488" s="60">
        <f t="shared" si="456"/>
        <v>0</v>
      </c>
    </row>
    <row r="1489" spans="1:15" s="38" customFormat="1" ht="12" customHeight="1" outlineLevel="1" thickBot="1" x14ac:dyDescent="0.3">
      <c r="A1489" s="125"/>
      <c r="B1489" s="143"/>
      <c r="C1489" s="131"/>
      <c r="D1489" s="131"/>
      <c r="E1489" s="131"/>
      <c r="F1489" s="131"/>
      <c r="G1489" s="60" t="s">
        <v>131</v>
      </c>
      <c r="H1489" s="134"/>
      <c r="I1489" s="134"/>
      <c r="J1489" s="60"/>
      <c r="K1489" s="60"/>
      <c r="L1489" s="60"/>
      <c r="M1489" s="60"/>
      <c r="N1489" s="60">
        <f t="shared" si="455"/>
        <v>0</v>
      </c>
      <c r="O1489" s="60">
        <f t="shared" si="456"/>
        <v>0</v>
      </c>
    </row>
    <row r="1490" spans="1:15" s="39" customFormat="1" ht="15.75" x14ac:dyDescent="0.25">
      <c r="A1490" s="40" t="s">
        <v>922</v>
      </c>
      <c r="B1490" s="41" t="s">
        <v>923</v>
      </c>
      <c r="C1490" s="42">
        <f>SUM(C1491)</f>
        <v>0</v>
      </c>
      <c r="D1490" s="42">
        <f>SUM(D1491)</f>
        <v>0</v>
      </c>
      <c r="E1490" s="42">
        <f>SUM(E1491)</f>
        <v>0</v>
      </c>
      <c r="F1490" s="42"/>
      <c r="G1490" s="42"/>
      <c r="H1490" s="42"/>
      <c r="I1490" s="42"/>
      <c r="J1490" s="42"/>
      <c r="K1490" s="42"/>
      <c r="L1490" s="42"/>
      <c r="M1490" s="42"/>
      <c r="N1490" s="42"/>
      <c r="O1490" s="47"/>
    </row>
    <row r="1491" spans="1:15" s="38" customFormat="1" ht="14.45" customHeight="1" outlineLevel="1" x14ac:dyDescent="0.25">
      <c r="A1491" s="140" t="s">
        <v>924</v>
      </c>
      <c r="B1491" s="141" t="s">
        <v>925</v>
      </c>
      <c r="C1491" s="130">
        <f>SUM(N1491:N1497)</f>
        <v>0</v>
      </c>
      <c r="D1491" s="130">
        <f>SUM(O1491:O1497)</f>
        <v>0</v>
      </c>
      <c r="E1491" s="130">
        <f t="shared" ref="E1491" si="457">D1491/8</f>
        <v>0</v>
      </c>
      <c r="F1491" s="130"/>
      <c r="G1491" s="60" t="s">
        <v>125</v>
      </c>
      <c r="H1491" s="123"/>
      <c r="I1491" s="123"/>
      <c r="J1491" s="60"/>
      <c r="K1491" s="60"/>
      <c r="L1491" s="60"/>
      <c r="M1491" s="60"/>
      <c r="N1491" s="60">
        <f>M1491*J1491*K1491*L1491</f>
        <v>0</v>
      </c>
      <c r="O1491" s="60">
        <f>J1491*K1491*L1491</f>
        <v>0</v>
      </c>
    </row>
    <row r="1492" spans="1:15" s="38" customFormat="1" ht="11.45" customHeight="1" outlineLevel="1" x14ac:dyDescent="0.25">
      <c r="A1492" s="124"/>
      <c r="B1492" s="142"/>
      <c r="C1492" s="115"/>
      <c r="D1492" s="115"/>
      <c r="E1492" s="115"/>
      <c r="F1492" s="115"/>
      <c r="G1492" s="60" t="s">
        <v>126</v>
      </c>
      <c r="H1492" s="124"/>
      <c r="I1492" s="124"/>
      <c r="J1492" s="60"/>
      <c r="K1492" s="60"/>
      <c r="L1492" s="60"/>
      <c r="M1492" s="60"/>
      <c r="N1492" s="60">
        <f t="shared" ref="N1492:N1497" si="458">M1492*J1492*K1492*L1492</f>
        <v>0</v>
      </c>
      <c r="O1492" s="60">
        <f t="shared" ref="O1492:O1497" si="459">J1492*K1492*L1492</f>
        <v>0</v>
      </c>
    </row>
    <row r="1493" spans="1:15" s="38" customFormat="1" ht="10.7" customHeight="1" outlineLevel="1" x14ac:dyDescent="0.25">
      <c r="A1493" s="124"/>
      <c r="B1493" s="142"/>
      <c r="C1493" s="115"/>
      <c r="D1493" s="115"/>
      <c r="E1493" s="115"/>
      <c r="F1493" s="115"/>
      <c r="G1493" s="60" t="s">
        <v>127</v>
      </c>
      <c r="H1493" s="124"/>
      <c r="I1493" s="124"/>
      <c r="J1493" s="60"/>
      <c r="K1493" s="60"/>
      <c r="L1493" s="60"/>
      <c r="M1493" s="60"/>
      <c r="N1493" s="60">
        <f t="shared" si="458"/>
        <v>0</v>
      </c>
      <c r="O1493" s="60">
        <f t="shared" si="459"/>
        <v>0</v>
      </c>
    </row>
    <row r="1494" spans="1:15" s="38" customFormat="1" ht="10.7" customHeight="1" outlineLevel="1" x14ac:dyDescent="0.25">
      <c r="A1494" s="124"/>
      <c r="B1494" s="142"/>
      <c r="C1494" s="115"/>
      <c r="D1494" s="115"/>
      <c r="E1494" s="115"/>
      <c r="F1494" s="115"/>
      <c r="G1494" s="60" t="s">
        <v>128</v>
      </c>
      <c r="H1494" s="124"/>
      <c r="I1494" s="124"/>
      <c r="J1494" s="60"/>
      <c r="K1494" s="60"/>
      <c r="L1494" s="60"/>
      <c r="M1494" s="60"/>
      <c r="N1494" s="60">
        <f t="shared" si="458"/>
        <v>0</v>
      </c>
      <c r="O1494" s="60">
        <f t="shared" si="459"/>
        <v>0</v>
      </c>
    </row>
    <row r="1495" spans="1:15" s="38" customFormat="1" ht="10.7" customHeight="1" outlineLevel="1" x14ac:dyDescent="0.25">
      <c r="A1495" s="124"/>
      <c r="B1495" s="142"/>
      <c r="C1495" s="115"/>
      <c r="D1495" s="115"/>
      <c r="E1495" s="115"/>
      <c r="F1495" s="115"/>
      <c r="G1495" s="60" t="s">
        <v>129</v>
      </c>
      <c r="H1495" s="124"/>
      <c r="I1495" s="124"/>
      <c r="J1495" s="60"/>
      <c r="K1495" s="60"/>
      <c r="L1495" s="60"/>
      <c r="M1495" s="60"/>
      <c r="N1495" s="60">
        <f t="shared" si="458"/>
        <v>0</v>
      </c>
      <c r="O1495" s="60">
        <f t="shared" si="459"/>
        <v>0</v>
      </c>
    </row>
    <row r="1496" spans="1:15" s="38" customFormat="1" ht="10.7" customHeight="1" outlineLevel="1" x14ac:dyDescent="0.25">
      <c r="A1496" s="124"/>
      <c r="B1496" s="142"/>
      <c r="C1496" s="115"/>
      <c r="D1496" s="115"/>
      <c r="E1496" s="115"/>
      <c r="F1496" s="115"/>
      <c r="G1496" s="60" t="s">
        <v>130</v>
      </c>
      <c r="H1496" s="124"/>
      <c r="I1496" s="124"/>
      <c r="J1496" s="60"/>
      <c r="K1496" s="60"/>
      <c r="L1496" s="60"/>
      <c r="M1496" s="60"/>
      <c r="N1496" s="60">
        <f t="shared" si="458"/>
        <v>0</v>
      </c>
      <c r="O1496" s="60">
        <f t="shared" si="459"/>
        <v>0</v>
      </c>
    </row>
    <row r="1497" spans="1:15" s="38" customFormat="1" ht="12" customHeight="1" outlineLevel="1" thickBot="1" x14ac:dyDescent="0.3">
      <c r="A1497" s="125"/>
      <c r="B1497" s="143"/>
      <c r="C1497" s="131"/>
      <c r="D1497" s="131"/>
      <c r="E1497" s="131"/>
      <c r="F1497" s="131"/>
      <c r="G1497" s="60" t="s">
        <v>131</v>
      </c>
      <c r="H1497" s="134"/>
      <c r="I1497" s="134"/>
      <c r="J1497" s="60"/>
      <c r="K1497" s="60"/>
      <c r="L1497" s="60"/>
      <c r="M1497" s="60"/>
      <c r="N1497" s="60">
        <f t="shared" si="458"/>
        <v>0</v>
      </c>
      <c r="O1497" s="60">
        <f t="shared" si="459"/>
        <v>0</v>
      </c>
    </row>
    <row r="1498" spans="1:15" s="39" customFormat="1" ht="31.5" x14ac:dyDescent="0.25">
      <c r="A1498" s="40" t="s">
        <v>926</v>
      </c>
      <c r="B1498" s="41" t="s">
        <v>323</v>
      </c>
      <c r="C1498" s="42">
        <f>SUM(C1499)</f>
        <v>0</v>
      </c>
      <c r="D1498" s="42">
        <f>SUM(D1499)</f>
        <v>0</v>
      </c>
      <c r="E1498" s="42">
        <f>SUM(E1499)</f>
        <v>0</v>
      </c>
      <c r="F1498" s="42"/>
      <c r="G1498" s="42"/>
      <c r="H1498" s="42"/>
      <c r="I1498" s="42"/>
      <c r="J1498" s="42"/>
      <c r="K1498" s="42"/>
      <c r="L1498" s="42"/>
      <c r="M1498" s="42"/>
      <c r="N1498" s="42"/>
      <c r="O1498" s="47"/>
    </row>
    <row r="1499" spans="1:15" s="38" customFormat="1" ht="14.45" customHeight="1" outlineLevel="1" x14ac:dyDescent="0.25">
      <c r="A1499" s="140" t="s">
        <v>927</v>
      </c>
      <c r="B1499" s="141" t="s">
        <v>928</v>
      </c>
      <c r="C1499" s="130">
        <f>SUM(N1499:N1505)</f>
        <v>0</v>
      </c>
      <c r="D1499" s="130">
        <f>SUM(O1499:O1505)</f>
        <v>0</v>
      </c>
      <c r="E1499" s="130">
        <f t="shared" ref="E1499" si="460">D1499/8</f>
        <v>0</v>
      </c>
      <c r="F1499" s="130"/>
      <c r="G1499" s="60" t="s">
        <v>125</v>
      </c>
      <c r="H1499" s="123"/>
      <c r="I1499" s="123"/>
      <c r="J1499" s="60"/>
      <c r="K1499" s="60"/>
      <c r="L1499" s="60"/>
      <c r="M1499" s="60"/>
      <c r="N1499" s="60">
        <f>M1499*J1499*K1499*L1499</f>
        <v>0</v>
      </c>
      <c r="O1499" s="60">
        <f>J1499*K1499*L1499</f>
        <v>0</v>
      </c>
    </row>
    <row r="1500" spans="1:15" s="38" customFormat="1" ht="11.45" customHeight="1" outlineLevel="1" x14ac:dyDescent="0.25">
      <c r="A1500" s="124"/>
      <c r="B1500" s="142"/>
      <c r="C1500" s="115"/>
      <c r="D1500" s="115"/>
      <c r="E1500" s="115"/>
      <c r="F1500" s="115"/>
      <c r="G1500" s="60" t="s">
        <v>126</v>
      </c>
      <c r="H1500" s="124"/>
      <c r="I1500" s="124"/>
      <c r="J1500" s="60"/>
      <c r="K1500" s="60"/>
      <c r="L1500" s="60"/>
      <c r="M1500" s="60"/>
      <c r="N1500" s="60">
        <f t="shared" ref="N1500:N1505" si="461">M1500*J1500*K1500*L1500</f>
        <v>0</v>
      </c>
      <c r="O1500" s="60">
        <f t="shared" ref="O1500:O1505" si="462">J1500*K1500*L1500</f>
        <v>0</v>
      </c>
    </row>
    <row r="1501" spans="1:15" s="38" customFormat="1" ht="10.7" customHeight="1" outlineLevel="1" x14ac:dyDescent="0.25">
      <c r="A1501" s="124"/>
      <c r="B1501" s="142"/>
      <c r="C1501" s="115"/>
      <c r="D1501" s="115"/>
      <c r="E1501" s="115"/>
      <c r="F1501" s="115"/>
      <c r="G1501" s="60" t="s">
        <v>127</v>
      </c>
      <c r="H1501" s="124"/>
      <c r="I1501" s="124"/>
      <c r="J1501" s="60"/>
      <c r="K1501" s="60"/>
      <c r="L1501" s="60"/>
      <c r="M1501" s="60"/>
      <c r="N1501" s="60">
        <f t="shared" si="461"/>
        <v>0</v>
      </c>
      <c r="O1501" s="60">
        <f t="shared" si="462"/>
        <v>0</v>
      </c>
    </row>
    <row r="1502" spans="1:15" s="38" customFormat="1" ht="10.7" customHeight="1" outlineLevel="1" x14ac:dyDescent="0.25">
      <c r="A1502" s="124"/>
      <c r="B1502" s="142"/>
      <c r="C1502" s="115"/>
      <c r="D1502" s="115"/>
      <c r="E1502" s="115"/>
      <c r="F1502" s="115"/>
      <c r="G1502" s="60" t="s">
        <v>128</v>
      </c>
      <c r="H1502" s="124"/>
      <c r="I1502" s="124"/>
      <c r="J1502" s="60"/>
      <c r="K1502" s="60"/>
      <c r="L1502" s="60"/>
      <c r="M1502" s="60"/>
      <c r="N1502" s="60">
        <f t="shared" si="461"/>
        <v>0</v>
      </c>
      <c r="O1502" s="60">
        <f t="shared" si="462"/>
        <v>0</v>
      </c>
    </row>
    <row r="1503" spans="1:15" s="38" customFormat="1" ht="10.7" customHeight="1" outlineLevel="1" x14ac:dyDescent="0.25">
      <c r="A1503" s="124"/>
      <c r="B1503" s="142"/>
      <c r="C1503" s="115"/>
      <c r="D1503" s="115"/>
      <c r="E1503" s="115"/>
      <c r="F1503" s="115"/>
      <c r="G1503" s="60" t="s">
        <v>129</v>
      </c>
      <c r="H1503" s="124"/>
      <c r="I1503" s="124"/>
      <c r="J1503" s="60"/>
      <c r="K1503" s="60"/>
      <c r="L1503" s="60"/>
      <c r="M1503" s="60"/>
      <c r="N1503" s="60">
        <f t="shared" si="461"/>
        <v>0</v>
      </c>
      <c r="O1503" s="60">
        <f t="shared" si="462"/>
        <v>0</v>
      </c>
    </row>
    <row r="1504" spans="1:15" s="38" customFormat="1" ht="10.7" customHeight="1" outlineLevel="1" x14ac:dyDescent="0.25">
      <c r="A1504" s="124"/>
      <c r="B1504" s="142"/>
      <c r="C1504" s="115"/>
      <c r="D1504" s="115"/>
      <c r="E1504" s="115"/>
      <c r="F1504" s="115"/>
      <c r="G1504" s="60" t="s">
        <v>130</v>
      </c>
      <c r="H1504" s="124"/>
      <c r="I1504" s="124"/>
      <c r="J1504" s="60"/>
      <c r="K1504" s="60"/>
      <c r="L1504" s="60"/>
      <c r="M1504" s="60"/>
      <c r="N1504" s="60">
        <f t="shared" si="461"/>
        <v>0</v>
      </c>
      <c r="O1504" s="60">
        <f t="shared" si="462"/>
        <v>0</v>
      </c>
    </row>
    <row r="1505" spans="1:15" s="38" customFormat="1" ht="12" customHeight="1" outlineLevel="1" thickBot="1" x14ac:dyDescent="0.3">
      <c r="A1505" s="125"/>
      <c r="B1505" s="143"/>
      <c r="C1505" s="131"/>
      <c r="D1505" s="131"/>
      <c r="E1505" s="131"/>
      <c r="F1505" s="131"/>
      <c r="G1505" s="60" t="s">
        <v>131</v>
      </c>
      <c r="H1505" s="134"/>
      <c r="I1505" s="134"/>
      <c r="J1505" s="60"/>
      <c r="K1505" s="60"/>
      <c r="L1505" s="60"/>
      <c r="M1505" s="60"/>
      <c r="N1505" s="60">
        <f t="shared" si="461"/>
        <v>0</v>
      </c>
      <c r="O1505" s="60">
        <f t="shared" si="462"/>
        <v>0</v>
      </c>
    </row>
    <row r="1506" spans="1:15" s="39" customFormat="1" ht="15.75" x14ac:dyDescent="0.25">
      <c r="A1506" s="40" t="s">
        <v>929</v>
      </c>
      <c r="B1506" s="41" t="s">
        <v>326</v>
      </c>
      <c r="C1506" s="42">
        <f>SUM(C1507)</f>
        <v>0</v>
      </c>
      <c r="D1506" s="42">
        <f>SUM(D1507)</f>
        <v>0</v>
      </c>
      <c r="E1506" s="42">
        <f>SUM(E1507)</f>
        <v>0</v>
      </c>
      <c r="F1506" s="42"/>
      <c r="G1506" s="42"/>
      <c r="H1506" s="42"/>
      <c r="I1506" s="42"/>
      <c r="J1506" s="42"/>
      <c r="K1506" s="42"/>
      <c r="L1506" s="42"/>
      <c r="M1506" s="42"/>
      <c r="N1506" s="42"/>
      <c r="O1506" s="47"/>
    </row>
    <row r="1507" spans="1:15" s="38" customFormat="1" ht="14.45" customHeight="1" outlineLevel="1" x14ac:dyDescent="0.25">
      <c r="A1507" s="140" t="s">
        <v>930</v>
      </c>
      <c r="B1507" s="141" t="s">
        <v>328</v>
      </c>
      <c r="C1507" s="130">
        <f>SUM(N1507:N1513)</f>
        <v>0</v>
      </c>
      <c r="D1507" s="130">
        <f>SUM(O1507:O1513)</f>
        <v>0</v>
      </c>
      <c r="E1507" s="130">
        <f t="shared" ref="E1507" si="463">D1507/8</f>
        <v>0</v>
      </c>
      <c r="F1507" s="130"/>
      <c r="G1507" s="60" t="s">
        <v>125</v>
      </c>
      <c r="H1507" s="123"/>
      <c r="I1507" s="123"/>
      <c r="J1507" s="60"/>
      <c r="K1507" s="60"/>
      <c r="L1507" s="60"/>
      <c r="M1507" s="60"/>
      <c r="N1507" s="60">
        <f>M1507*J1507*K1507*L1507</f>
        <v>0</v>
      </c>
      <c r="O1507" s="60">
        <f>J1507*K1507*L1507</f>
        <v>0</v>
      </c>
    </row>
    <row r="1508" spans="1:15" s="38" customFormat="1" ht="11.45" customHeight="1" outlineLevel="1" x14ac:dyDescent="0.25">
      <c r="A1508" s="124"/>
      <c r="B1508" s="142"/>
      <c r="C1508" s="115"/>
      <c r="D1508" s="115"/>
      <c r="E1508" s="115"/>
      <c r="F1508" s="115"/>
      <c r="G1508" s="60" t="s">
        <v>126</v>
      </c>
      <c r="H1508" s="124"/>
      <c r="I1508" s="124"/>
      <c r="J1508" s="60"/>
      <c r="K1508" s="60"/>
      <c r="L1508" s="60"/>
      <c r="M1508" s="60"/>
      <c r="N1508" s="60">
        <f t="shared" ref="N1508:N1513" si="464">M1508*J1508*K1508*L1508</f>
        <v>0</v>
      </c>
      <c r="O1508" s="60">
        <f t="shared" ref="O1508:O1513" si="465">J1508*K1508*L1508</f>
        <v>0</v>
      </c>
    </row>
    <row r="1509" spans="1:15" s="38" customFormat="1" ht="10.7" customHeight="1" outlineLevel="1" x14ac:dyDescent="0.25">
      <c r="A1509" s="124"/>
      <c r="B1509" s="142"/>
      <c r="C1509" s="115"/>
      <c r="D1509" s="115"/>
      <c r="E1509" s="115"/>
      <c r="F1509" s="115"/>
      <c r="G1509" s="60" t="s">
        <v>127</v>
      </c>
      <c r="H1509" s="124"/>
      <c r="I1509" s="124"/>
      <c r="J1509" s="60"/>
      <c r="K1509" s="60"/>
      <c r="L1509" s="60"/>
      <c r="M1509" s="60"/>
      <c r="N1509" s="60">
        <f t="shared" si="464"/>
        <v>0</v>
      </c>
      <c r="O1509" s="60">
        <f t="shared" si="465"/>
        <v>0</v>
      </c>
    </row>
    <row r="1510" spans="1:15" s="38" customFormat="1" ht="10.7" customHeight="1" outlineLevel="1" x14ac:dyDescent="0.25">
      <c r="A1510" s="124"/>
      <c r="B1510" s="142"/>
      <c r="C1510" s="115"/>
      <c r="D1510" s="115"/>
      <c r="E1510" s="115"/>
      <c r="F1510" s="115"/>
      <c r="G1510" s="60" t="s">
        <v>128</v>
      </c>
      <c r="H1510" s="124"/>
      <c r="I1510" s="124"/>
      <c r="J1510" s="60"/>
      <c r="K1510" s="60"/>
      <c r="L1510" s="60"/>
      <c r="M1510" s="60"/>
      <c r="N1510" s="60">
        <f t="shared" si="464"/>
        <v>0</v>
      </c>
      <c r="O1510" s="60">
        <f t="shared" si="465"/>
        <v>0</v>
      </c>
    </row>
    <row r="1511" spans="1:15" s="38" customFormat="1" ht="10.7" customHeight="1" outlineLevel="1" x14ac:dyDescent="0.25">
      <c r="A1511" s="124"/>
      <c r="B1511" s="142"/>
      <c r="C1511" s="115"/>
      <c r="D1511" s="115"/>
      <c r="E1511" s="115"/>
      <c r="F1511" s="115"/>
      <c r="G1511" s="60" t="s">
        <v>129</v>
      </c>
      <c r="H1511" s="124"/>
      <c r="I1511" s="124"/>
      <c r="J1511" s="60"/>
      <c r="K1511" s="60"/>
      <c r="L1511" s="60"/>
      <c r="M1511" s="60"/>
      <c r="N1511" s="60">
        <f t="shared" si="464"/>
        <v>0</v>
      </c>
      <c r="O1511" s="60">
        <f t="shared" si="465"/>
        <v>0</v>
      </c>
    </row>
    <row r="1512" spans="1:15" s="38" customFormat="1" ht="10.7" customHeight="1" outlineLevel="1" x14ac:dyDescent="0.25">
      <c r="A1512" s="124"/>
      <c r="B1512" s="142"/>
      <c r="C1512" s="115"/>
      <c r="D1512" s="115"/>
      <c r="E1512" s="115"/>
      <c r="F1512" s="115"/>
      <c r="G1512" s="60" t="s">
        <v>130</v>
      </c>
      <c r="H1512" s="124"/>
      <c r="I1512" s="124"/>
      <c r="J1512" s="60"/>
      <c r="K1512" s="60"/>
      <c r="L1512" s="60"/>
      <c r="M1512" s="60"/>
      <c r="N1512" s="60">
        <f t="shared" si="464"/>
        <v>0</v>
      </c>
      <c r="O1512" s="60">
        <f t="shared" si="465"/>
        <v>0</v>
      </c>
    </row>
    <row r="1513" spans="1:15" s="38" customFormat="1" ht="12" customHeight="1" outlineLevel="1" thickBot="1" x14ac:dyDescent="0.3">
      <c r="A1513" s="125"/>
      <c r="B1513" s="143"/>
      <c r="C1513" s="131"/>
      <c r="D1513" s="131"/>
      <c r="E1513" s="131"/>
      <c r="F1513" s="131"/>
      <c r="G1513" s="60" t="s">
        <v>131</v>
      </c>
      <c r="H1513" s="134"/>
      <c r="I1513" s="134"/>
      <c r="J1513" s="60"/>
      <c r="K1513" s="60"/>
      <c r="L1513" s="60"/>
      <c r="M1513" s="60"/>
      <c r="N1513" s="60">
        <f t="shared" si="464"/>
        <v>0</v>
      </c>
      <c r="O1513" s="60">
        <f t="shared" si="465"/>
        <v>0</v>
      </c>
    </row>
    <row r="1514" spans="1:15" s="39" customFormat="1" ht="15.75" x14ac:dyDescent="0.25">
      <c r="A1514" s="40" t="s">
        <v>931</v>
      </c>
      <c r="B1514" s="41" t="s">
        <v>964</v>
      </c>
      <c r="C1514" s="42">
        <f>SUM(C1515:C1535)</f>
        <v>0</v>
      </c>
      <c r="D1514" s="42">
        <f>SUM(D1515:D1535)</f>
        <v>0</v>
      </c>
      <c r="E1514" s="42">
        <f>SUM(E1515:E1535)</f>
        <v>0</v>
      </c>
      <c r="F1514" s="42"/>
      <c r="G1514" s="42"/>
      <c r="H1514" s="42"/>
      <c r="I1514" s="42"/>
      <c r="J1514" s="42"/>
      <c r="K1514" s="42"/>
      <c r="L1514" s="42"/>
      <c r="M1514" s="42"/>
      <c r="N1514" s="42"/>
      <c r="O1514" s="47"/>
    </row>
    <row r="1515" spans="1:15" s="38" customFormat="1" ht="14.45" customHeight="1" outlineLevel="1" x14ac:dyDescent="0.25">
      <c r="A1515" s="140" t="s">
        <v>933</v>
      </c>
      <c r="B1515" s="141" t="s">
        <v>934</v>
      </c>
      <c r="C1515" s="130">
        <f>SUM(N1515:N1521)</f>
        <v>0</v>
      </c>
      <c r="D1515" s="130">
        <f>SUM(O1515:O1521)</f>
        <v>0</v>
      </c>
      <c r="E1515" s="130">
        <f t="shared" ref="E1515:E1529" si="466">D1515/8</f>
        <v>0</v>
      </c>
      <c r="F1515" s="130"/>
      <c r="G1515" s="60" t="s">
        <v>125</v>
      </c>
      <c r="H1515" s="123"/>
      <c r="I1515" s="123"/>
      <c r="J1515" s="60"/>
      <c r="K1515" s="60"/>
      <c r="L1515" s="60"/>
      <c r="M1515" s="60"/>
      <c r="N1515" s="60">
        <f>M1515*J1515*K1515*L1515</f>
        <v>0</v>
      </c>
      <c r="O1515" s="60">
        <f>J1515*K1515*L1515</f>
        <v>0</v>
      </c>
    </row>
    <row r="1516" spans="1:15" s="38" customFormat="1" ht="11.45" customHeight="1" outlineLevel="1" x14ac:dyDescent="0.25">
      <c r="A1516" s="124"/>
      <c r="B1516" s="142"/>
      <c r="C1516" s="115"/>
      <c r="D1516" s="115"/>
      <c r="E1516" s="115"/>
      <c r="F1516" s="115"/>
      <c r="G1516" s="60" t="s">
        <v>126</v>
      </c>
      <c r="H1516" s="124"/>
      <c r="I1516" s="124"/>
      <c r="J1516" s="60"/>
      <c r="K1516" s="60"/>
      <c r="L1516" s="60"/>
      <c r="M1516" s="60"/>
      <c r="N1516" s="60">
        <f t="shared" ref="N1516:N1521" si="467">M1516*J1516*K1516*L1516</f>
        <v>0</v>
      </c>
      <c r="O1516" s="60">
        <f t="shared" ref="O1516:O1521" si="468">J1516*K1516*L1516</f>
        <v>0</v>
      </c>
    </row>
    <row r="1517" spans="1:15" s="38" customFormat="1" ht="10.7" customHeight="1" outlineLevel="1" x14ac:dyDescent="0.25">
      <c r="A1517" s="124"/>
      <c r="B1517" s="142"/>
      <c r="C1517" s="115"/>
      <c r="D1517" s="115"/>
      <c r="E1517" s="115"/>
      <c r="F1517" s="115"/>
      <c r="G1517" s="60" t="s">
        <v>127</v>
      </c>
      <c r="H1517" s="124"/>
      <c r="I1517" s="124"/>
      <c r="J1517" s="60"/>
      <c r="K1517" s="60"/>
      <c r="L1517" s="60"/>
      <c r="M1517" s="60"/>
      <c r="N1517" s="60">
        <f t="shared" si="467"/>
        <v>0</v>
      </c>
      <c r="O1517" s="60">
        <f t="shared" si="468"/>
        <v>0</v>
      </c>
    </row>
    <row r="1518" spans="1:15" s="38" customFormat="1" ht="10.7" customHeight="1" outlineLevel="1" x14ac:dyDescent="0.25">
      <c r="A1518" s="124"/>
      <c r="B1518" s="142"/>
      <c r="C1518" s="115"/>
      <c r="D1518" s="115"/>
      <c r="E1518" s="115"/>
      <c r="F1518" s="115"/>
      <c r="G1518" s="60" t="s">
        <v>128</v>
      </c>
      <c r="H1518" s="124"/>
      <c r="I1518" s="124"/>
      <c r="J1518" s="60"/>
      <c r="K1518" s="60"/>
      <c r="L1518" s="60"/>
      <c r="M1518" s="60"/>
      <c r="N1518" s="60">
        <f t="shared" si="467"/>
        <v>0</v>
      </c>
      <c r="O1518" s="60">
        <f t="shared" si="468"/>
        <v>0</v>
      </c>
    </row>
    <row r="1519" spans="1:15" s="38" customFormat="1" ht="10.7" customHeight="1" outlineLevel="1" x14ac:dyDescent="0.25">
      <c r="A1519" s="124"/>
      <c r="B1519" s="142"/>
      <c r="C1519" s="115"/>
      <c r="D1519" s="115"/>
      <c r="E1519" s="115"/>
      <c r="F1519" s="115"/>
      <c r="G1519" s="60" t="s">
        <v>129</v>
      </c>
      <c r="H1519" s="124"/>
      <c r="I1519" s="124"/>
      <c r="J1519" s="60"/>
      <c r="K1519" s="60"/>
      <c r="L1519" s="60"/>
      <c r="M1519" s="60"/>
      <c r="N1519" s="60">
        <f t="shared" si="467"/>
        <v>0</v>
      </c>
      <c r="O1519" s="60">
        <f t="shared" si="468"/>
        <v>0</v>
      </c>
    </row>
    <row r="1520" spans="1:15" s="38" customFormat="1" ht="10.7" customHeight="1" outlineLevel="1" x14ac:dyDescent="0.25">
      <c r="A1520" s="124"/>
      <c r="B1520" s="142"/>
      <c r="C1520" s="115"/>
      <c r="D1520" s="115"/>
      <c r="E1520" s="115"/>
      <c r="F1520" s="115"/>
      <c r="G1520" s="60" t="s">
        <v>130</v>
      </c>
      <c r="H1520" s="124"/>
      <c r="I1520" s="124"/>
      <c r="J1520" s="60"/>
      <c r="K1520" s="60"/>
      <c r="L1520" s="60"/>
      <c r="M1520" s="60"/>
      <c r="N1520" s="60">
        <f t="shared" si="467"/>
        <v>0</v>
      </c>
      <c r="O1520" s="60">
        <f t="shared" si="468"/>
        <v>0</v>
      </c>
    </row>
    <row r="1521" spans="1:15" s="38" customFormat="1" ht="12" customHeight="1" outlineLevel="1" thickBot="1" x14ac:dyDescent="0.3">
      <c r="A1521" s="125"/>
      <c r="B1521" s="143"/>
      <c r="C1521" s="131"/>
      <c r="D1521" s="131"/>
      <c r="E1521" s="131"/>
      <c r="F1521" s="131"/>
      <c r="G1521" s="60" t="s">
        <v>131</v>
      </c>
      <c r="H1521" s="134"/>
      <c r="I1521" s="134"/>
      <c r="J1521" s="60"/>
      <c r="K1521" s="60"/>
      <c r="L1521" s="60"/>
      <c r="M1521" s="60"/>
      <c r="N1521" s="60">
        <f t="shared" si="467"/>
        <v>0</v>
      </c>
      <c r="O1521" s="60">
        <f t="shared" si="468"/>
        <v>0</v>
      </c>
    </row>
    <row r="1522" spans="1:15" s="38" customFormat="1" ht="14.45" customHeight="1" outlineLevel="1" x14ac:dyDescent="0.25">
      <c r="A1522" s="140" t="s">
        <v>935</v>
      </c>
      <c r="B1522" s="141" t="s">
        <v>936</v>
      </c>
      <c r="C1522" s="130">
        <f>SUM(N1522:N1528)</f>
        <v>0</v>
      </c>
      <c r="D1522" s="130">
        <f>SUM(O1522:O1528)</f>
        <v>0</v>
      </c>
      <c r="E1522" s="130">
        <f t="shared" si="466"/>
        <v>0</v>
      </c>
      <c r="F1522" s="130"/>
      <c r="G1522" s="60" t="s">
        <v>125</v>
      </c>
      <c r="H1522" s="123"/>
      <c r="I1522" s="123"/>
      <c r="J1522" s="60"/>
      <c r="K1522" s="60"/>
      <c r="L1522" s="60"/>
      <c r="M1522" s="60"/>
      <c r="N1522" s="60">
        <f>M1522*J1522*K1522*L1522</f>
        <v>0</v>
      </c>
      <c r="O1522" s="60">
        <f>J1522*K1522*L1522</f>
        <v>0</v>
      </c>
    </row>
    <row r="1523" spans="1:15" s="38" customFormat="1" ht="11.45" customHeight="1" outlineLevel="1" x14ac:dyDescent="0.25">
      <c r="A1523" s="124"/>
      <c r="B1523" s="142"/>
      <c r="C1523" s="115"/>
      <c r="D1523" s="115"/>
      <c r="E1523" s="115"/>
      <c r="F1523" s="115"/>
      <c r="G1523" s="60" t="s">
        <v>126</v>
      </c>
      <c r="H1523" s="124"/>
      <c r="I1523" s="124"/>
      <c r="J1523" s="60"/>
      <c r="K1523" s="60"/>
      <c r="L1523" s="60"/>
      <c r="M1523" s="60"/>
      <c r="N1523" s="60">
        <f t="shared" ref="N1523:N1528" si="469">M1523*J1523*K1523*L1523</f>
        <v>0</v>
      </c>
      <c r="O1523" s="60">
        <f t="shared" ref="O1523:O1528" si="470">J1523*K1523*L1523</f>
        <v>0</v>
      </c>
    </row>
    <row r="1524" spans="1:15" s="38" customFormat="1" ht="10.7" customHeight="1" outlineLevel="1" x14ac:dyDescent="0.25">
      <c r="A1524" s="124"/>
      <c r="B1524" s="142"/>
      <c r="C1524" s="115"/>
      <c r="D1524" s="115"/>
      <c r="E1524" s="115"/>
      <c r="F1524" s="115"/>
      <c r="G1524" s="60" t="s">
        <v>127</v>
      </c>
      <c r="H1524" s="124"/>
      <c r="I1524" s="124"/>
      <c r="J1524" s="60"/>
      <c r="K1524" s="60"/>
      <c r="L1524" s="60"/>
      <c r="M1524" s="60"/>
      <c r="N1524" s="60">
        <f t="shared" si="469"/>
        <v>0</v>
      </c>
      <c r="O1524" s="60">
        <f t="shared" si="470"/>
        <v>0</v>
      </c>
    </row>
    <row r="1525" spans="1:15" s="38" customFormat="1" ht="10.7" customHeight="1" outlineLevel="1" x14ac:dyDescent="0.25">
      <c r="A1525" s="124"/>
      <c r="B1525" s="142"/>
      <c r="C1525" s="115"/>
      <c r="D1525" s="115"/>
      <c r="E1525" s="115"/>
      <c r="F1525" s="115"/>
      <c r="G1525" s="60" t="s">
        <v>128</v>
      </c>
      <c r="H1525" s="124"/>
      <c r="I1525" s="124"/>
      <c r="J1525" s="60"/>
      <c r="K1525" s="60"/>
      <c r="L1525" s="60"/>
      <c r="M1525" s="60"/>
      <c r="N1525" s="60">
        <f t="shared" si="469"/>
        <v>0</v>
      </c>
      <c r="O1525" s="60">
        <f t="shared" si="470"/>
        <v>0</v>
      </c>
    </row>
    <row r="1526" spans="1:15" s="38" customFormat="1" ht="10.7" customHeight="1" outlineLevel="1" x14ac:dyDescent="0.25">
      <c r="A1526" s="124"/>
      <c r="B1526" s="142"/>
      <c r="C1526" s="115"/>
      <c r="D1526" s="115"/>
      <c r="E1526" s="115"/>
      <c r="F1526" s="115"/>
      <c r="G1526" s="60" t="s">
        <v>129</v>
      </c>
      <c r="H1526" s="124"/>
      <c r="I1526" s="124"/>
      <c r="J1526" s="60"/>
      <c r="K1526" s="60"/>
      <c r="L1526" s="60"/>
      <c r="M1526" s="60"/>
      <c r="N1526" s="60">
        <f t="shared" si="469"/>
        <v>0</v>
      </c>
      <c r="O1526" s="60">
        <f t="shared" si="470"/>
        <v>0</v>
      </c>
    </row>
    <row r="1527" spans="1:15" s="38" customFormat="1" ht="10.7" customHeight="1" outlineLevel="1" x14ac:dyDescent="0.25">
      <c r="A1527" s="124"/>
      <c r="B1527" s="142"/>
      <c r="C1527" s="115"/>
      <c r="D1527" s="115"/>
      <c r="E1527" s="115"/>
      <c r="F1527" s="115"/>
      <c r="G1527" s="60" t="s">
        <v>130</v>
      </c>
      <c r="H1527" s="124"/>
      <c r="I1527" s="124"/>
      <c r="J1527" s="60"/>
      <c r="K1527" s="60"/>
      <c r="L1527" s="60"/>
      <c r="M1527" s="60"/>
      <c r="N1527" s="60">
        <f t="shared" si="469"/>
        <v>0</v>
      </c>
      <c r="O1527" s="60">
        <f t="shared" si="470"/>
        <v>0</v>
      </c>
    </row>
    <row r="1528" spans="1:15" s="38" customFormat="1" ht="12" customHeight="1" outlineLevel="1" thickBot="1" x14ac:dyDescent="0.3">
      <c r="A1528" s="125"/>
      <c r="B1528" s="143"/>
      <c r="C1528" s="131"/>
      <c r="D1528" s="131"/>
      <c r="E1528" s="131"/>
      <c r="F1528" s="131"/>
      <c r="G1528" s="60" t="s">
        <v>131</v>
      </c>
      <c r="H1528" s="134"/>
      <c r="I1528" s="134"/>
      <c r="J1528" s="60"/>
      <c r="K1528" s="60"/>
      <c r="L1528" s="60"/>
      <c r="M1528" s="60"/>
      <c r="N1528" s="60">
        <f t="shared" si="469"/>
        <v>0</v>
      </c>
      <c r="O1528" s="60">
        <f t="shared" si="470"/>
        <v>0</v>
      </c>
    </row>
    <row r="1529" spans="1:15" s="38" customFormat="1" ht="14.45" customHeight="1" outlineLevel="1" x14ac:dyDescent="0.25">
      <c r="A1529" s="140" t="s">
        <v>937</v>
      </c>
      <c r="B1529" s="141" t="s">
        <v>938</v>
      </c>
      <c r="C1529" s="130">
        <f>SUM(N1529:N1535)</f>
        <v>0</v>
      </c>
      <c r="D1529" s="130">
        <f>SUM(O1529:O1535)</f>
        <v>0</v>
      </c>
      <c r="E1529" s="130">
        <f t="shared" si="466"/>
        <v>0</v>
      </c>
      <c r="F1529" s="130"/>
      <c r="G1529" s="60" t="s">
        <v>125</v>
      </c>
      <c r="H1529" s="123"/>
      <c r="I1529" s="123"/>
      <c r="J1529" s="60"/>
      <c r="K1529" s="60"/>
      <c r="L1529" s="60"/>
      <c r="M1529" s="60"/>
      <c r="N1529" s="60">
        <f>M1529*J1529*K1529*L1529</f>
        <v>0</v>
      </c>
      <c r="O1529" s="60">
        <f>J1529*K1529*L1529</f>
        <v>0</v>
      </c>
    </row>
    <row r="1530" spans="1:15" s="38" customFormat="1" ht="11.45" customHeight="1" outlineLevel="1" x14ac:dyDescent="0.25">
      <c r="A1530" s="124"/>
      <c r="B1530" s="142"/>
      <c r="C1530" s="115"/>
      <c r="D1530" s="115"/>
      <c r="E1530" s="115"/>
      <c r="F1530" s="115"/>
      <c r="G1530" s="60" t="s">
        <v>126</v>
      </c>
      <c r="H1530" s="124"/>
      <c r="I1530" s="124"/>
      <c r="J1530" s="60"/>
      <c r="K1530" s="60"/>
      <c r="L1530" s="60"/>
      <c r="M1530" s="60"/>
      <c r="N1530" s="60">
        <f t="shared" ref="N1530:N1535" si="471">M1530*J1530*K1530*L1530</f>
        <v>0</v>
      </c>
      <c r="O1530" s="60">
        <f t="shared" ref="O1530:O1535" si="472">J1530*K1530*L1530</f>
        <v>0</v>
      </c>
    </row>
    <row r="1531" spans="1:15" s="38" customFormat="1" ht="10.7" customHeight="1" outlineLevel="1" x14ac:dyDescent="0.25">
      <c r="A1531" s="124"/>
      <c r="B1531" s="142"/>
      <c r="C1531" s="115"/>
      <c r="D1531" s="115"/>
      <c r="E1531" s="115"/>
      <c r="F1531" s="115"/>
      <c r="G1531" s="60" t="s">
        <v>127</v>
      </c>
      <c r="H1531" s="124"/>
      <c r="I1531" s="124"/>
      <c r="J1531" s="60"/>
      <c r="K1531" s="60"/>
      <c r="L1531" s="60"/>
      <c r="M1531" s="60"/>
      <c r="N1531" s="60">
        <f t="shared" si="471"/>
        <v>0</v>
      </c>
      <c r="O1531" s="60">
        <f t="shared" si="472"/>
        <v>0</v>
      </c>
    </row>
    <row r="1532" spans="1:15" s="38" customFormat="1" ht="10.7" customHeight="1" outlineLevel="1" x14ac:dyDescent="0.25">
      <c r="A1532" s="124"/>
      <c r="B1532" s="142"/>
      <c r="C1532" s="115"/>
      <c r="D1532" s="115"/>
      <c r="E1532" s="115"/>
      <c r="F1532" s="115"/>
      <c r="G1532" s="60" t="s">
        <v>128</v>
      </c>
      <c r="H1532" s="124"/>
      <c r="I1532" s="124"/>
      <c r="J1532" s="60"/>
      <c r="K1532" s="60"/>
      <c r="L1532" s="60"/>
      <c r="M1532" s="60"/>
      <c r="N1532" s="60">
        <f t="shared" si="471"/>
        <v>0</v>
      </c>
      <c r="O1532" s="60">
        <f t="shared" si="472"/>
        <v>0</v>
      </c>
    </row>
    <row r="1533" spans="1:15" s="38" customFormat="1" ht="10.7" customHeight="1" outlineLevel="1" x14ac:dyDescent="0.25">
      <c r="A1533" s="124"/>
      <c r="B1533" s="142"/>
      <c r="C1533" s="115"/>
      <c r="D1533" s="115"/>
      <c r="E1533" s="115"/>
      <c r="F1533" s="115"/>
      <c r="G1533" s="60" t="s">
        <v>129</v>
      </c>
      <c r="H1533" s="124"/>
      <c r="I1533" s="124"/>
      <c r="J1533" s="60"/>
      <c r="K1533" s="60"/>
      <c r="L1533" s="60"/>
      <c r="M1533" s="60"/>
      <c r="N1533" s="60">
        <f t="shared" si="471"/>
        <v>0</v>
      </c>
      <c r="O1533" s="60">
        <f t="shared" si="472"/>
        <v>0</v>
      </c>
    </row>
    <row r="1534" spans="1:15" s="38" customFormat="1" ht="10.7" customHeight="1" outlineLevel="1" x14ac:dyDescent="0.25">
      <c r="A1534" s="124"/>
      <c r="B1534" s="142"/>
      <c r="C1534" s="115"/>
      <c r="D1534" s="115"/>
      <c r="E1534" s="115"/>
      <c r="F1534" s="115"/>
      <c r="G1534" s="60" t="s">
        <v>130</v>
      </c>
      <c r="H1534" s="124"/>
      <c r="I1534" s="124"/>
      <c r="J1534" s="60"/>
      <c r="K1534" s="60"/>
      <c r="L1534" s="60"/>
      <c r="M1534" s="60"/>
      <c r="N1534" s="60">
        <f t="shared" si="471"/>
        <v>0</v>
      </c>
      <c r="O1534" s="60">
        <f t="shared" si="472"/>
        <v>0</v>
      </c>
    </row>
    <row r="1535" spans="1:15" s="38" customFormat="1" ht="12" customHeight="1" outlineLevel="1" thickBot="1" x14ac:dyDescent="0.3">
      <c r="A1535" s="125"/>
      <c r="B1535" s="143"/>
      <c r="C1535" s="131"/>
      <c r="D1535" s="131"/>
      <c r="E1535" s="131"/>
      <c r="F1535" s="131"/>
      <c r="G1535" s="60" t="s">
        <v>131</v>
      </c>
      <c r="H1535" s="134"/>
      <c r="I1535" s="134"/>
      <c r="J1535" s="60"/>
      <c r="K1535" s="60"/>
      <c r="L1535" s="60"/>
      <c r="M1535" s="60"/>
      <c r="N1535" s="60">
        <f t="shared" si="471"/>
        <v>0</v>
      </c>
      <c r="O1535" s="60">
        <f t="shared" si="472"/>
        <v>0</v>
      </c>
    </row>
    <row r="1536" spans="1:15" s="39" customFormat="1" ht="15.75" x14ac:dyDescent="0.25">
      <c r="A1536" s="40" t="s">
        <v>939</v>
      </c>
      <c r="B1536" s="41" t="s">
        <v>330</v>
      </c>
      <c r="C1536" s="42">
        <f>SUM(C1537:C1550)</f>
        <v>0</v>
      </c>
      <c r="D1536" s="42">
        <f>SUM(D1537:D1550)</f>
        <v>0</v>
      </c>
      <c r="E1536" s="42">
        <f>SUM(E1537:E1550)</f>
        <v>0</v>
      </c>
      <c r="F1536" s="42"/>
      <c r="G1536" s="42"/>
      <c r="H1536" s="42"/>
      <c r="I1536" s="42"/>
      <c r="J1536" s="42"/>
      <c r="K1536" s="42"/>
      <c r="L1536" s="42"/>
      <c r="M1536" s="42"/>
      <c r="N1536" s="42"/>
      <c r="O1536" s="47"/>
    </row>
    <row r="1537" spans="1:15" s="38" customFormat="1" ht="14.45" customHeight="1" outlineLevel="1" x14ac:dyDescent="0.25">
      <c r="A1537" s="140" t="s">
        <v>940</v>
      </c>
      <c r="B1537" s="141" t="s">
        <v>941</v>
      </c>
      <c r="C1537" s="130">
        <f>SUM(N1537:N1543)</f>
        <v>0</v>
      </c>
      <c r="D1537" s="130">
        <f>SUM(O1537:O1543)</f>
        <v>0</v>
      </c>
      <c r="E1537" s="130">
        <f t="shared" ref="E1537:E1544" si="473">D1537/8</f>
        <v>0</v>
      </c>
      <c r="F1537" s="130"/>
      <c r="G1537" s="60" t="s">
        <v>125</v>
      </c>
      <c r="H1537" s="123"/>
      <c r="I1537" s="123"/>
      <c r="J1537" s="60"/>
      <c r="K1537" s="60"/>
      <c r="L1537" s="60"/>
      <c r="M1537" s="60"/>
      <c r="N1537" s="60">
        <f>M1537*J1537*K1537*L1537</f>
        <v>0</v>
      </c>
      <c r="O1537" s="60">
        <f>J1537*K1537*L1537</f>
        <v>0</v>
      </c>
    </row>
    <row r="1538" spans="1:15" s="38" customFormat="1" ht="11.45" customHeight="1" outlineLevel="1" x14ac:dyDescent="0.25">
      <c r="A1538" s="124"/>
      <c r="B1538" s="142"/>
      <c r="C1538" s="115"/>
      <c r="D1538" s="115"/>
      <c r="E1538" s="115"/>
      <c r="F1538" s="115"/>
      <c r="G1538" s="60" t="s">
        <v>126</v>
      </c>
      <c r="H1538" s="124"/>
      <c r="I1538" s="124"/>
      <c r="J1538" s="60"/>
      <c r="K1538" s="60"/>
      <c r="L1538" s="60"/>
      <c r="M1538" s="60"/>
      <c r="N1538" s="60">
        <f t="shared" ref="N1538:N1543" si="474">M1538*J1538*K1538*L1538</f>
        <v>0</v>
      </c>
      <c r="O1538" s="60">
        <f t="shared" ref="O1538:O1543" si="475">J1538*K1538*L1538</f>
        <v>0</v>
      </c>
    </row>
    <row r="1539" spans="1:15" s="38" customFormat="1" ht="10.7" customHeight="1" outlineLevel="1" x14ac:dyDescent="0.25">
      <c r="A1539" s="124"/>
      <c r="B1539" s="142"/>
      <c r="C1539" s="115"/>
      <c r="D1539" s="115"/>
      <c r="E1539" s="115"/>
      <c r="F1539" s="115"/>
      <c r="G1539" s="60" t="s">
        <v>127</v>
      </c>
      <c r="H1539" s="124"/>
      <c r="I1539" s="124"/>
      <c r="J1539" s="60"/>
      <c r="K1539" s="60"/>
      <c r="L1539" s="60"/>
      <c r="M1539" s="60"/>
      <c r="N1539" s="60">
        <f t="shared" si="474"/>
        <v>0</v>
      </c>
      <c r="O1539" s="60">
        <f t="shared" si="475"/>
        <v>0</v>
      </c>
    </row>
    <row r="1540" spans="1:15" s="38" customFormat="1" ht="10.7" customHeight="1" outlineLevel="1" x14ac:dyDescent="0.25">
      <c r="A1540" s="124"/>
      <c r="B1540" s="142"/>
      <c r="C1540" s="115"/>
      <c r="D1540" s="115"/>
      <c r="E1540" s="115"/>
      <c r="F1540" s="115"/>
      <c r="G1540" s="60" t="s">
        <v>128</v>
      </c>
      <c r="H1540" s="124"/>
      <c r="I1540" s="124"/>
      <c r="J1540" s="60"/>
      <c r="K1540" s="60"/>
      <c r="L1540" s="60"/>
      <c r="M1540" s="60"/>
      <c r="N1540" s="60">
        <f t="shared" si="474"/>
        <v>0</v>
      </c>
      <c r="O1540" s="60">
        <f t="shared" si="475"/>
        <v>0</v>
      </c>
    </row>
    <row r="1541" spans="1:15" s="38" customFormat="1" ht="10.7" customHeight="1" outlineLevel="1" x14ac:dyDescent="0.25">
      <c r="A1541" s="124"/>
      <c r="B1541" s="142"/>
      <c r="C1541" s="115"/>
      <c r="D1541" s="115"/>
      <c r="E1541" s="115"/>
      <c r="F1541" s="115"/>
      <c r="G1541" s="60" t="s">
        <v>129</v>
      </c>
      <c r="H1541" s="124"/>
      <c r="I1541" s="124"/>
      <c r="J1541" s="60"/>
      <c r="K1541" s="60"/>
      <c r="L1541" s="60"/>
      <c r="M1541" s="60"/>
      <c r="N1541" s="60">
        <f t="shared" si="474"/>
        <v>0</v>
      </c>
      <c r="O1541" s="60">
        <f t="shared" si="475"/>
        <v>0</v>
      </c>
    </row>
    <row r="1542" spans="1:15" s="38" customFormat="1" ht="10.7" customHeight="1" outlineLevel="1" x14ac:dyDescent="0.25">
      <c r="A1542" s="124"/>
      <c r="B1542" s="142"/>
      <c r="C1542" s="115"/>
      <c r="D1542" s="115"/>
      <c r="E1542" s="115"/>
      <c r="F1542" s="115"/>
      <c r="G1542" s="60" t="s">
        <v>130</v>
      </c>
      <c r="H1542" s="124"/>
      <c r="I1542" s="124"/>
      <c r="J1542" s="60"/>
      <c r="K1542" s="60"/>
      <c r="L1542" s="60"/>
      <c r="M1542" s="60"/>
      <c r="N1542" s="60">
        <f t="shared" si="474"/>
        <v>0</v>
      </c>
      <c r="O1542" s="60">
        <f t="shared" si="475"/>
        <v>0</v>
      </c>
    </row>
    <row r="1543" spans="1:15" s="38" customFormat="1" ht="12" customHeight="1" outlineLevel="1" thickBot="1" x14ac:dyDescent="0.3">
      <c r="A1543" s="125"/>
      <c r="B1543" s="143"/>
      <c r="C1543" s="131"/>
      <c r="D1543" s="131"/>
      <c r="E1543" s="131"/>
      <c r="F1543" s="131"/>
      <c r="G1543" s="60" t="s">
        <v>131</v>
      </c>
      <c r="H1543" s="134"/>
      <c r="I1543" s="134"/>
      <c r="J1543" s="60"/>
      <c r="K1543" s="60"/>
      <c r="L1543" s="60"/>
      <c r="M1543" s="60"/>
      <c r="N1543" s="60">
        <f t="shared" si="474"/>
        <v>0</v>
      </c>
      <c r="O1543" s="60">
        <f t="shared" si="475"/>
        <v>0</v>
      </c>
    </row>
    <row r="1544" spans="1:15" s="38" customFormat="1" ht="14.45" customHeight="1" outlineLevel="1" x14ac:dyDescent="0.25">
      <c r="A1544" s="140" t="s">
        <v>942</v>
      </c>
      <c r="B1544" s="141" t="s">
        <v>943</v>
      </c>
      <c r="C1544" s="130">
        <f>SUM(N1544:N1550)</f>
        <v>0</v>
      </c>
      <c r="D1544" s="130">
        <f>SUM(O1544:O1550)</f>
        <v>0</v>
      </c>
      <c r="E1544" s="130">
        <f t="shared" si="473"/>
        <v>0</v>
      </c>
      <c r="F1544" s="130"/>
      <c r="G1544" s="60" t="s">
        <v>125</v>
      </c>
      <c r="H1544" s="123"/>
      <c r="I1544" s="123"/>
      <c r="J1544" s="60"/>
      <c r="K1544" s="60"/>
      <c r="L1544" s="60"/>
      <c r="M1544" s="60"/>
      <c r="N1544" s="60">
        <f>M1544*J1544*K1544*L1544</f>
        <v>0</v>
      </c>
      <c r="O1544" s="60">
        <f>J1544*K1544*L1544</f>
        <v>0</v>
      </c>
    </row>
    <row r="1545" spans="1:15" s="38" customFormat="1" ht="11.45" customHeight="1" outlineLevel="1" x14ac:dyDescent="0.25">
      <c r="A1545" s="124"/>
      <c r="B1545" s="142"/>
      <c r="C1545" s="115"/>
      <c r="D1545" s="115"/>
      <c r="E1545" s="115"/>
      <c r="F1545" s="115"/>
      <c r="G1545" s="60" t="s">
        <v>126</v>
      </c>
      <c r="H1545" s="124"/>
      <c r="I1545" s="124"/>
      <c r="J1545" s="60"/>
      <c r="K1545" s="60"/>
      <c r="L1545" s="60"/>
      <c r="M1545" s="60"/>
      <c r="N1545" s="60">
        <f t="shared" ref="N1545:N1550" si="476">M1545*J1545*K1545*L1545</f>
        <v>0</v>
      </c>
      <c r="O1545" s="60">
        <f t="shared" ref="O1545:O1550" si="477">J1545*K1545*L1545</f>
        <v>0</v>
      </c>
    </row>
    <row r="1546" spans="1:15" s="38" customFormat="1" ht="10.7" customHeight="1" outlineLevel="1" x14ac:dyDescent="0.25">
      <c r="A1546" s="124"/>
      <c r="B1546" s="142"/>
      <c r="C1546" s="115"/>
      <c r="D1546" s="115"/>
      <c r="E1546" s="115"/>
      <c r="F1546" s="115"/>
      <c r="G1546" s="60" t="s">
        <v>127</v>
      </c>
      <c r="H1546" s="124"/>
      <c r="I1546" s="124"/>
      <c r="J1546" s="60"/>
      <c r="K1546" s="60"/>
      <c r="L1546" s="60"/>
      <c r="M1546" s="60"/>
      <c r="N1546" s="60">
        <f t="shared" si="476"/>
        <v>0</v>
      </c>
      <c r="O1546" s="60">
        <f t="shared" si="477"/>
        <v>0</v>
      </c>
    </row>
    <row r="1547" spans="1:15" s="38" customFormat="1" ht="10.7" customHeight="1" outlineLevel="1" x14ac:dyDescent="0.25">
      <c r="A1547" s="124"/>
      <c r="B1547" s="142"/>
      <c r="C1547" s="115"/>
      <c r="D1547" s="115"/>
      <c r="E1547" s="115"/>
      <c r="F1547" s="115"/>
      <c r="G1547" s="60" t="s">
        <v>128</v>
      </c>
      <c r="H1547" s="124"/>
      <c r="I1547" s="124"/>
      <c r="J1547" s="60"/>
      <c r="K1547" s="60"/>
      <c r="L1547" s="60"/>
      <c r="M1547" s="60"/>
      <c r="N1547" s="60">
        <f t="shared" si="476"/>
        <v>0</v>
      </c>
      <c r="O1547" s="60">
        <f t="shared" si="477"/>
        <v>0</v>
      </c>
    </row>
    <row r="1548" spans="1:15" s="38" customFormat="1" ht="10.7" customHeight="1" outlineLevel="1" x14ac:dyDescent="0.25">
      <c r="A1548" s="124"/>
      <c r="B1548" s="142"/>
      <c r="C1548" s="115"/>
      <c r="D1548" s="115"/>
      <c r="E1548" s="115"/>
      <c r="F1548" s="115"/>
      <c r="G1548" s="60" t="s">
        <v>129</v>
      </c>
      <c r="H1548" s="124"/>
      <c r="I1548" s="124"/>
      <c r="J1548" s="60"/>
      <c r="K1548" s="60"/>
      <c r="L1548" s="60"/>
      <c r="M1548" s="60"/>
      <c r="N1548" s="60">
        <f t="shared" si="476"/>
        <v>0</v>
      </c>
      <c r="O1548" s="60">
        <f t="shared" si="477"/>
        <v>0</v>
      </c>
    </row>
    <row r="1549" spans="1:15" s="38" customFormat="1" ht="10.7" customHeight="1" outlineLevel="1" x14ac:dyDescent="0.25">
      <c r="A1549" s="124"/>
      <c r="B1549" s="142"/>
      <c r="C1549" s="115"/>
      <c r="D1549" s="115"/>
      <c r="E1549" s="115"/>
      <c r="F1549" s="115"/>
      <c r="G1549" s="60" t="s">
        <v>130</v>
      </c>
      <c r="H1549" s="124"/>
      <c r="I1549" s="124"/>
      <c r="J1549" s="60"/>
      <c r="K1549" s="60"/>
      <c r="L1549" s="60"/>
      <c r="M1549" s="60"/>
      <c r="N1549" s="60">
        <f t="shared" si="476"/>
        <v>0</v>
      </c>
      <c r="O1549" s="60">
        <f t="shared" si="477"/>
        <v>0</v>
      </c>
    </row>
    <row r="1550" spans="1:15" s="38" customFormat="1" ht="12" customHeight="1" outlineLevel="1" thickBot="1" x14ac:dyDescent="0.3">
      <c r="A1550" s="125"/>
      <c r="B1550" s="143"/>
      <c r="C1550" s="131"/>
      <c r="D1550" s="131"/>
      <c r="E1550" s="131"/>
      <c r="F1550" s="131"/>
      <c r="G1550" s="60" t="s">
        <v>131</v>
      </c>
      <c r="H1550" s="134"/>
      <c r="I1550" s="134"/>
      <c r="J1550" s="60"/>
      <c r="K1550" s="60"/>
      <c r="L1550" s="60"/>
      <c r="M1550" s="60"/>
      <c r="N1550" s="60">
        <f t="shared" si="476"/>
        <v>0</v>
      </c>
      <c r="O1550" s="60">
        <f t="shared" si="477"/>
        <v>0</v>
      </c>
    </row>
    <row r="1551" spans="1:15" s="39" customFormat="1" ht="15.75" x14ac:dyDescent="0.25">
      <c r="A1551" s="40" t="s">
        <v>944</v>
      </c>
      <c r="B1551" s="41" t="s">
        <v>945</v>
      </c>
      <c r="C1551" s="42">
        <f>SUM(C1552)</f>
        <v>0</v>
      </c>
      <c r="D1551" s="42">
        <f>SUM(D1552)</f>
        <v>0</v>
      </c>
      <c r="E1551" s="42">
        <f>SUM(E1552)</f>
        <v>0</v>
      </c>
      <c r="F1551" s="42"/>
      <c r="G1551" s="42"/>
      <c r="H1551" s="42"/>
      <c r="I1551" s="42"/>
      <c r="J1551" s="42"/>
      <c r="K1551" s="42"/>
      <c r="L1551" s="42"/>
      <c r="M1551" s="42"/>
      <c r="N1551" s="42"/>
      <c r="O1551" s="47"/>
    </row>
    <row r="1552" spans="1:15" s="38" customFormat="1" ht="14.45" customHeight="1" outlineLevel="1" x14ac:dyDescent="0.25">
      <c r="A1552" s="140" t="s">
        <v>946</v>
      </c>
      <c r="B1552" s="141" t="s">
        <v>504</v>
      </c>
      <c r="C1552" s="130">
        <f>SUM(N1552:N1558)</f>
        <v>0</v>
      </c>
      <c r="D1552" s="130">
        <f>SUM(O1552:O1558)</f>
        <v>0</v>
      </c>
      <c r="E1552" s="130">
        <f t="shared" ref="E1552" si="478">D1552/8</f>
        <v>0</v>
      </c>
      <c r="F1552" s="130"/>
      <c r="G1552" s="60" t="s">
        <v>125</v>
      </c>
      <c r="H1552" s="123"/>
      <c r="I1552" s="123"/>
      <c r="J1552" s="60"/>
      <c r="K1552" s="60"/>
      <c r="L1552" s="60"/>
      <c r="M1552" s="60"/>
      <c r="N1552" s="60">
        <f>M1552*J1552*K1552*L1552</f>
        <v>0</v>
      </c>
      <c r="O1552" s="60">
        <f>J1552*K1552*L1552</f>
        <v>0</v>
      </c>
    </row>
    <row r="1553" spans="1:15" s="38" customFormat="1" ht="11.45" customHeight="1" outlineLevel="1" x14ac:dyDescent="0.25">
      <c r="A1553" s="124"/>
      <c r="B1553" s="142"/>
      <c r="C1553" s="115"/>
      <c r="D1553" s="115"/>
      <c r="E1553" s="115"/>
      <c r="F1553" s="115"/>
      <c r="G1553" s="60" t="s">
        <v>126</v>
      </c>
      <c r="H1553" s="124"/>
      <c r="I1553" s="124"/>
      <c r="J1553" s="60"/>
      <c r="K1553" s="60"/>
      <c r="L1553" s="60"/>
      <c r="M1553" s="60"/>
      <c r="N1553" s="60">
        <f t="shared" ref="N1553:N1558" si="479">M1553*J1553*K1553*L1553</f>
        <v>0</v>
      </c>
      <c r="O1553" s="60">
        <f t="shared" ref="O1553:O1558" si="480">J1553*K1553*L1553</f>
        <v>0</v>
      </c>
    </row>
    <row r="1554" spans="1:15" s="38" customFormat="1" ht="10.7" customHeight="1" outlineLevel="1" x14ac:dyDescent="0.25">
      <c r="A1554" s="124"/>
      <c r="B1554" s="142"/>
      <c r="C1554" s="115"/>
      <c r="D1554" s="115"/>
      <c r="E1554" s="115"/>
      <c r="F1554" s="115"/>
      <c r="G1554" s="60" t="s">
        <v>127</v>
      </c>
      <c r="H1554" s="124"/>
      <c r="I1554" s="124"/>
      <c r="J1554" s="60"/>
      <c r="K1554" s="60"/>
      <c r="L1554" s="60"/>
      <c r="M1554" s="60"/>
      <c r="N1554" s="60">
        <f t="shared" si="479"/>
        <v>0</v>
      </c>
      <c r="O1554" s="60">
        <f t="shared" si="480"/>
        <v>0</v>
      </c>
    </row>
    <row r="1555" spans="1:15" s="38" customFormat="1" ht="10.7" customHeight="1" outlineLevel="1" x14ac:dyDescent="0.25">
      <c r="A1555" s="124"/>
      <c r="B1555" s="142"/>
      <c r="C1555" s="115"/>
      <c r="D1555" s="115"/>
      <c r="E1555" s="115"/>
      <c r="F1555" s="115"/>
      <c r="G1555" s="60" t="s">
        <v>128</v>
      </c>
      <c r="H1555" s="124"/>
      <c r="I1555" s="124"/>
      <c r="J1555" s="60"/>
      <c r="K1555" s="60"/>
      <c r="L1555" s="60"/>
      <c r="M1555" s="60"/>
      <c r="N1555" s="60">
        <f t="shared" si="479"/>
        <v>0</v>
      </c>
      <c r="O1555" s="60">
        <f t="shared" si="480"/>
        <v>0</v>
      </c>
    </row>
    <row r="1556" spans="1:15" s="38" customFormat="1" ht="10.7" customHeight="1" outlineLevel="1" x14ac:dyDescent="0.25">
      <c r="A1556" s="124"/>
      <c r="B1556" s="142"/>
      <c r="C1556" s="115"/>
      <c r="D1556" s="115"/>
      <c r="E1556" s="115"/>
      <c r="F1556" s="115"/>
      <c r="G1556" s="60" t="s">
        <v>129</v>
      </c>
      <c r="H1556" s="124"/>
      <c r="I1556" s="124"/>
      <c r="J1556" s="60"/>
      <c r="K1556" s="60"/>
      <c r="L1556" s="60"/>
      <c r="M1556" s="60"/>
      <c r="N1556" s="60">
        <f t="shared" si="479"/>
        <v>0</v>
      </c>
      <c r="O1556" s="60">
        <f t="shared" si="480"/>
        <v>0</v>
      </c>
    </row>
    <row r="1557" spans="1:15" s="38" customFormat="1" ht="10.7" customHeight="1" outlineLevel="1" x14ac:dyDescent="0.25">
      <c r="A1557" s="124"/>
      <c r="B1557" s="142"/>
      <c r="C1557" s="115"/>
      <c r="D1557" s="115"/>
      <c r="E1557" s="115"/>
      <c r="F1557" s="115"/>
      <c r="G1557" s="60" t="s">
        <v>130</v>
      </c>
      <c r="H1557" s="124"/>
      <c r="I1557" s="124"/>
      <c r="J1557" s="60"/>
      <c r="K1557" s="60"/>
      <c r="L1557" s="60"/>
      <c r="M1557" s="60"/>
      <c r="N1557" s="60">
        <f t="shared" si="479"/>
        <v>0</v>
      </c>
      <c r="O1557" s="60">
        <f t="shared" si="480"/>
        <v>0</v>
      </c>
    </row>
    <row r="1558" spans="1:15" s="38" customFormat="1" ht="12" customHeight="1" outlineLevel="1" thickBot="1" x14ac:dyDescent="0.3">
      <c r="A1558" s="125"/>
      <c r="B1558" s="143"/>
      <c r="C1558" s="131"/>
      <c r="D1558" s="131"/>
      <c r="E1558" s="131"/>
      <c r="F1558" s="131"/>
      <c r="G1558" s="60" t="s">
        <v>131</v>
      </c>
      <c r="H1558" s="134"/>
      <c r="I1558" s="134"/>
      <c r="J1558" s="60"/>
      <c r="K1558" s="60"/>
      <c r="L1558" s="60"/>
      <c r="M1558" s="60"/>
      <c r="N1558" s="60">
        <f t="shared" si="479"/>
        <v>0</v>
      </c>
      <c r="O1558" s="60">
        <f t="shared" si="480"/>
        <v>0</v>
      </c>
    </row>
    <row r="1559" spans="1:15" s="39" customFormat="1" ht="15.75" x14ac:dyDescent="0.25">
      <c r="A1559" s="40" t="s">
        <v>947</v>
      </c>
      <c r="B1559" s="41" t="s">
        <v>948</v>
      </c>
      <c r="C1559" s="42">
        <f>SUM(C1560:C1608)</f>
        <v>0</v>
      </c>
      <c r="D1559" s="42">
        <f>SUM(D1560:D1608)</f>
        <v>0</v>
      </c>
      <c r="E1559" s="42">
        <f>SUM(E1560:E1608)</f>
        <v>0</v>
      </c>
      <c r="F1559" s="42"/>
      <c r="G1559" s="42"/>
      <c r="H1559" s="42"/>
      <c r="I1559" s="42"/>
      <c r="J1559" s="42"/>
      <c r="K1559" s="42"/>
      <c r="L1559" s="42"/>
      <c r="M1559" s="42"/>
      <c r="N1559" s="42"/>
      <c r="O1559" s="47"/>
    </row>
    <row r="1560" spans="1:15" s="38" customFormat="1" ht="14.45" customHeight="1" outlineLevel="1" x14ac:dyDescent="0.25">
      <c r="A1560" s="140" t="s">
        <v>949</v>
      </c>
      <c r="B1560" s="141" t="s">
        <v>950</v>
      </c>
      <c r="C1560" s="130">
        <f>SUM(N1560:N1566)</f>
        <v>0</v>
      </c>
      <c r="D1560" s="130">
        <f>SUM(O1560:O1566)</f>
        <v>0</v>
      </c>
      <c r="E1560" s="130">
        <f t="shared" ref="E1560:E1602" si="481">D1560/8</f>
        <v>0</v>
      </c>
      <c r="F1560" s="130"/>
      <c r="G1560" s="60" t="s">
        <v>125</v>
      </c>
      <c r="H1560" s="123"/>
      <c r="I1560" s="123"/>
      <c r="J1560" s="60"/>
      <c r="K1560" s="60"/>
      <c r="L1560" s="60"/>
      <c r="M1560" s="60"/>
      <c r="N1560" s="60">
        <f>M1560*J1560*K1560*L1560</f>
        <v>0</v>
      </c>
      <c r="O1560" s="60">
        <f>J1560*K1560*L1560</f>
        <v>0</v>
      </c>
    </row>
    <row r="1561" spans="1:15" s="38" customFormat="1" ht="11.45" customHeight="1" outlineLevel="1" x14ac:dyDescent="0.25">
      <c r="A1561" s="124"/>
      <c r="B1561" s="142"/>
      <c r="C1561" s="115"/>
      <c r="D1561" s="115"/>
      <c r="E1561" s="115"/>
      <c r="F1561" s="115"/>
      <c r="G1561" s="60" t="s">
        <v>126</v>
      </c>
      <c r="H1561" s="124"/>
      <c r="I1561" s="124"/>
      <c r="J1561" s="60"/>
      <c r="K1561" s="60"/>
      <c r="L1561" s="60"/>
      <c r="M1561" s="60"/>
      <c r="N1561" s="60">
        <f t="shared" ref="N1561:N1566" si="482">M1561*J1561*K1561*L1561</f>
        <v>0</v>
      </c>
      <c r="O1561" s="60">
        <f t="shared" ref="O1561:O1566" si="483">J1561*K1561*L1561</f>
        <v>0</v>
      </c>
    </row>
    <row r="1562" spans="1:15" s="38" customFormat="1" ht="10.7" customHeight="1" outlineLevel="1" x14ac:dyDescent="0.25">
      <c r="A1562" s="124"/>
      <c r="B1562" s="142"/>
      <c r="C1562" s="115"/>
      <c r="D1562" s="115"/>
      <c r="E1562" s="115"/>
      <c r="F1562" s="115"/>
      <c r="G1562" s="60" t="s">
        <v>127</v>
      </c>
      <c r="H1562" s="124"/>
      <c r="I1562" s="124"/>
      <c r="J1562" s="60"/>
      <c r="K1562" s="60"/>
      <c r="L1562" s="60"/>
      <c r="M1562" s="60"/>
      <c r="N1562" s="60">
        <f t="shared" si="482"/>
        <v>0</v>
      </c>
      <c r="O1562" s="60">
        <f t="shared" si="483"/>
        <v>0</v>
      </c>
    </row>
    <row r="1563" spans="1:15" s="38" customFormat="1" ht="10.7" customHeight="1" outlineLevel="1" x14ac:dyDescent="0.25">
      <c r="A1563" s="124"/>
      <c r="B1563" s="142"/>
      <c r="C1563" s="115"/>
      <c r="D1563" s="115"/>
      <c r="E1563" s="115"/>
      <c r="F1563" s="115"/>
      <c r="G1563" s="60" t="s">
        <v>128</v>
      </c>
      <c r="H1563" s="124"/>
      <c r="I1563" s="124"/>
      <c r="J1563" s="60"/>
      <c r="K1563" s="60"/>
      <c r="L1563" s="60"/>
      <c r="M1563" s="60"/>
      <c r="N1563" s="60">
        <f t="shared" si="482"/>
        <v>0</v>
      </c>
      <c r="O1563" s="60">
        <f t="shared" si="483"/>
        <v>0</v>
      </c>
    </row>
    <row r="1564" spans="1:15" s="38" customFormat="1" ht="10.7" customHeight="1" outlineLevel="1" x14ac:dyDescent="0.25">
      <c r="A1564" s="124"/>
      <c r="B1564" s="142"/>
      <c r="C1564" s="115"/>
      <c r="D1564" s="115"/>
      <c r="E1564" s="115"/>
      <c r="F1564" s="115"/>
      <c r="G1564" s="60" t="s">
        <v>129</v>
      </c>
      <c r="H1564" s="124"/>
      <c r="I1564" s="124"/>
      <c r="J1564" s="60"/>
      <c r="K1564" s="60"/>
      <c r="L1564" s="60"/>
      <c r="M1564" s="60"/>
      <c r="N1564" s="60">
        <f t="shared" si="482"/>
        <v>0</v>
      </c>
      <c r="O1564" s="60">
        <f t="shared" si="483"/>
        <v>0</v>
      </c>
    </row>
    <row r="1565" spans="1:15" s="38" customFormat="1" ht="10.7" customHeight="1" outlineLevel="1" x14ac:dyDescent="0.25">
      <c r="A1565" s="124"/>
      <c r="B1565" s="142"/>
      <c r="C1565" s="115"/>
      <c r="D1565" s="115"/>
      <c r="E1565" s="115"/>
      <c r="F1565" s="115"/>
      <c r="G1565" s="60" t="s">
        <v>130</v>
      </c>
      <c r="H1565" s="124"/>
      <c r="I1565" s="124"/>
      <c r="J1565" s="60"/>
      <c r="K1565" s="60"/>
      <c r="L1565" s="60"/>
      <c r="M1565" s="60"/>
      <c r="N1565" s="60">
        <f t="shared" si="482"/>
        <v>0</v>
      </c>
      <c r="O1565" s="60">
        <f t="shared" si="483"/>
        <v>0</v>
      </c>
    </row>
    <row r="1566" spans="1:15" s="38" customFormat="1" ht="12" customHeight="1" outlineLevel="1" thickBot="1" x14ac:dyDescent="0.3">
      <c r="A1566" s="125"/>
      <c r="B1566" s="143"/>
      <c r="C1566" s="131"/>
      <c r="D1566" s="131"/>
      <c r="E1566" s="131"/>
      <c r="F1566" s="131"/>
      <c r="G1566" s="60" t="s">
        <v>131</v>
      </c>
      <c r="H1566" s="134"/>
      <c r="I1566" s="134"/>
      <c r="J1566" s="60"/>
      <c r="K1566" s="60"/>
      <c r="L1566" s="60"/>
      <c r="M1566" s="60"/>
      <c r="N1566" s="60">
        <f t="shared" si="482"/>
        <v>0</v>
      </c>
      <c r="O1566" s="60">
        <f t="shared" si="483"/>
        <v>0</v>
      </c>
    </row>
    <row r="1567" spans="1:15" s="38" customFormat="1" ht="14.45" customHeight="1" outlineLevel="1" x14ac:dyDescent="0.25">
      <c r="A1567" s="140" t="s">
        <v>951</v>
      </c>
      <c r="B1567" s="141" t="s">
        <v>952</v>
      </c>
      <c r="C1567" s="130">
        <f>SUM(N1567:N1573)</f>
        <v>0</v>
      </c>
      <c r="D1567" s="130">
        <f>SUM(O1567:O1573)</f>
        <v>0</v>
      </c>
      <c r="E1567" s="130">
        <f t="shared" si="481"/>
        <v>0</v>
      </c>
      <c r="F1567" s="130"/>
      <c r="G1567" s="60" t="s">
        <v>125</v>
      </c>
      <c r="H1567" s="123"/>
      <c r="I1567" s="123"/>
      <c r="J1567" s="60"/>
      <c r="K1567" s="60"/>
      <c r="L1567" s="60"/>
      <c r="M1567" s="60"/>
      <c r="N1567" s="60">
        <f>M1567*J1567*K1567*L1567</f>
        <v>0</v>
      </c>
      <c r="O1567" s="60">
        <f>J1567*K1567*L1567</f>
        <v>0</v>
      </c>
    </row>
    <row r="1568" spans="1:15" s="38" customFormat="1" ht="11.45" customHeight="1" outlineLevel="1" x14ac:dyDescent="0.25">
      <c r="A1568" s="124"/>
      <c r="B1568" s="142"/>
      <c r="C1568" s="115"/>
      <c r="D1568" s="115"/>
      <c r="E1568" s="115"/>
      <c r="F1568" s="115"/>
      <c r="G1568" s="60" t="s">
        <v>126</v>
      </c>
      <c r="H1568" s="124"/>
      <c r="I1568" s="124"/>
      <c r="J1568" s="60"/>
      <c r="K1568" s="60"/>
      <c r="L1568" s="60"/>
      <c r="M1568" s="60"/>
      <c r="N1568" s="60">
        <f t="shared" ref="N1568:N1573" si="484">M1568*J1568*K1568*L1568</f>
        <v>0</v>
      </c>
      <c r="O1568" s="60">
        <f t="shared" ref="O1568:O1573" si="485">J1568*K1568*L1568</f>
        <v>0</v>
      </c>
    </row>
    <row r="1569" spans="1:15" s="38" customFormat="1" ht="10.7" customHeight="1" outlineLevel="1" x14ac:dyDescent="0.25">
      <c r="A1569" s="124"/>
      <c r="B1569" s="142"/>
      <c r="C1569" s="115"/>
      <c r="D1569" s="115"/>
      <c r="E1569" s="115"/>
      <c r="F1569" s="115"/>
      <c r="G1569" s="60" t="s">
        <v>127</v>
      </c>
      <c r="H1569" s="124"/>
      <c r="I1569" s="124"/>
      <c r="J1569" s="60"/>
      <c r="K1569" s="60"/>
      <c r="L1569" s="60"/>
      <c r="M1569" s="60"/>
      <c r="N1569" s="60">
        <f t="shared" si="484"/>
        <v>0</v>
      </c>
      <c r="O1569" s="60">
        <f t="shared" si="485"/>
        <v>0</v>
      </c>
    </row>
    <row r="1570" spans="1:15" s="38" customFormat="1" ht="10.7" customHeight="1" outlineLevel="1" x14ac:dyDescent="0.25">
      <c r="A1570" s="124"/>
      <c r="B1570" s="142"/>
      <c r="C1570" s="115"/>
      <c r="D1570" s="115"/>
      <c r="E1570" s="115"/>
      <c r="F1570" s="115"/>
      <c r="G1570" s="60" t="s">
        <v>128</v>
      </c>
      <c r="H1570" s="124"/>
      <c r="I1570" s="124"/>
      <c r="J1570" s="60"/>
      <c r="K1570" s="60"/>
      <c r="L1570" s="60"/>
      <c r="M1570" s="60"/>
      <c r="N1570" s="60">
        <f t="shared" si="484"/>
        <v>0</v>
      </c>
      <c r="O1570" s="60">
        <f t="shared" si="485"/>
        <v>0</v>
      </c>
    </row>
    <row r="1571" spans="1:15" s="38" customFormat="1" ht="10.7" customHeight="1" outlineLevel="1" x14ac:dyDescent="0.25">
      <c r="A1571" s="124"/>
      <c r="B1571" s="142"/>
      <c r="C1571" s="115"/>
      <c r="D1571" s="115"/>
      <c r="E1571" s="115"/>
      <c r="F1571" s="115"/>
      <c r="G1571" s="60" t="s">
        <v>129</v>
      </c>
      <c r="H1571" s="124"/>
      <c r="I1571" s="124"/>
      <c r="J1571" s="60"/>
      <c r="K1571" s="60"/>
      <c r="L1571" s="60"/>
      <c r="M1571" s="60"/>
      <c r="N1571" s="60">
        <f t="shared" si="484"/>
        <v>0</v>
      </c>
      <c r="O1571" s="60">
        <f t="shared" si="485"/>
        <v>0</v>
      </c>
    </row>
    <row r="1572" spans="1:15" s="38" customFormat="1" ht="10.7" customHeight="1" outlineLevel="1" x14ac:dyDescent="0.25">
      <c r="A1572" s="124"/>
      <c r="B1572" s="142"/>
      <c r="C1572" s="115"/>
      <c r="D1572" s="115"/>
      <c r="E1572" s="115"/>
      <c r="F1572" s="115"/>
      <c r="G1572" s="60" t="s">
        <v>130</v>
      </c>
      <c r="H1572" s="124"/>
      <c r="I1572" s="124"/>
      <c r="J1572" s="60"/>
      <c r="K1572" s="60"/>
      <c r="L1572" s="60"/>
      <c r="M1572" s="60"/>
      <c r="N1572" s="60">
        <f t="shared" si="484"/>
        <v>0</v>
      </c>
      <c r="O1572" s="60">
        <f t="shared" si="485"/>
        <v>0</v>
      </c>
    </row>
    <row r="1573" spans="1:15" s="38" customFormat="1" ht="12" customHeight="1" outlineLevel="1" thickBot="1" x14ac:dyDescent="0.3">
      <c r="A1573" s="125"/>
      <c r="B1573" s="143"/>
      <c r="C1573" s="131"/>
      <c r="D1573" s="131"/>
      <c r="E1573" s="131"/>
      <c r="F1573" s="131"/>
      <c r="G1573" s="60" t="s">
        <v>131</v>
      </c>
      <c r="H1573" s="134"/>
      <c r="I1573" s="134"/>
      <c r="J1573" s="60"/>
      <c r="K1573" s="60"/>
      <c r="L1573" s="60"/>
      <c r="M1573" s="60"/>
      <c r="N1573" s="60">
        <f t="shared" si="484"/>
        <v>0</v>
      </c>
      <c r="O1573" s="60">
        <f t="shared" si="485"/>
        <v>0</v>
      </c>
    </row>
    <row r="1574" spans="1:15" s="38" customFormat="1" ht="14.45" customHeight="1" outlineLevel="1" x14ac:dyDescent="0.25">
      <c r="A1574" s="140" t="s">
        <v>953</v>
      </c>
      <c r="B1574" s="141" t="s">
        <v>954</v>
      </c>
      <c r="C1574" s="130">
        <f>SUM(N1574:N1580)</f>
        <v>0</v>
      </c>
      <c r="D1574" s="130">
        <f>SUM(O1574:O1580)</f>
        <v>0</v>
      </c>
      <c r="E1574" s="130">
        <f t="shared" si="481"/>
        <v>0</v>
      </c>
      <c r="F1574" s="130"/>
      <c r="G1574" s="60" t="s">
        <v>125</v>
      </c>
      <c r="H1574" s="123"/>
      <c r="I1574" s="123"/>
      <c r="J1574" s="60"/>
      <c r="K1574" s="60"/>
      <c r="L1574" s="60"/>
      <c r="M1574" s="60"/>
      <c r="N1574" s="60">
        <f>M1574*J1574*K1574*L1574</f>
        <v>0</v>
      </c>
      <c r="O1574" s="60">
        <f>J1574*K1574*L1574</f>
        <v>0</v>
      </c>
    </row>
    <row r="1575" spans="1:15" s="38" customFormat="1" ht="11.45" customHeight="1" outlineLevel="1" x14ac:dyDescent="0.25">
      <c r="A1575" s="124"/>
      <c r="B1575" s="142"/>
      <c r="C1575" s="115"/>
      <c r="D1575" s="115"/>
      <c r="E1575" s="115"/>
      <c r="F1575" s="115"/>
      <c r="G1575" s="60" t="s">
        <v>126</v>
      </c>
      <c r="H1575" s="124"/>
      <c r="I1575" s="124"/>
      <c r="J1575" s="60"/>
      <c r="K1575" s="60"/>
      <c r="L1575" s="60"/>
      <c r="M1575" s="60"/>
      <c r="N1575" s="60">
        <f t="shared" ref="N1575:N1580" si="486">M1575*J1575*K1575*L1575</f>
        <v>0</v>
      </c>
      <c r="O1575" s="60">
        <f t="shared" ref="O1575:O1580" si="487">J1575*K1575*L1575</f>
        <v>0</v>
      </c>
    </row>
    <row r="1576" spans="1:15" s="38" customFormat="1" ht="10.7" customHeight="1" outlineLevel="1" x14ac:dyDescent="0.25">
      <c r="A1576" s="124"/>
      <c r="B1576" s="142"/>
      <c r="C1576" s="115"/>
      <c r="D1576" s="115"/>
      <c r="E1576" s="115"/>
      <c r="F1576" s="115"/>
      <c r="G1576" s="60" t="s">
        <v>127</v>
      </c>
      <c r="H1576" s="124"/>
      <c r="I1576" s="124"/>
      <c r="J1576" s="60"/>
      <c r="K1576" s="60"/>
      <c r="L1576" s="60"/>
      <c r="M1576" s="60"/>
      <c r="N1576" s="60">
        <f t="shared" si="486"/>
        <v>0</v>
      </c>
      <c r="O1576" s="60">
        <f t="shared" si="487"/>
        <v>0</v>
      </c>
    </row>
    <row r="1577" spans="1:15" s="38" customFormat="1" ht="10.7" customHeight="1" outlineLevel="1" x14ac:dyDescent="0.25">
      <c r="A1577" s="124"/>
      <c r="B1577" s="142"/>
      <c r="C1577" s="115"/>
      <c r="D1577" s="115"/>
      <c r="E1577" s="115"/>
      <c r="F1577" s="115"/>
      <c r="G1577" s="60" t="s">
        <v>128</v>
      </c>
      <c r="H1577" s="124"/>
      <c r="I1577" s="124"/>
      <c r="J1577" s="60"/>
      <c r="K1577" s="60"/>
      <c r="L1577" s="60"/>
      <c r="M1577" s="60"/>
      <c r="N1577" s="60">
        <f t="shared" si="486"/>
        <v>0</v>
      </c>
      <c r="O1577" s="60">
        <f t="shared" si="487"/>
        <v>0</v>
      </c>
    </row>
    <row r="1578" spans="1:15" s="38" customFormat="1" ht="10.7" customHeight="1" outlineLevel="1" x14ac:dyDescent="0.25">
      <c r="A1578" s="124"/>
      <c r="B1578" s="142"/>
      <c r="C1578" s="115"/>
      <c r="D1578" s="115"/>
      <c r="E1578" s="115"/>
      <c r="F1578" s="115"/>
      <c r="G1578" s="60" t="s">
        <v>129</v>
      </c>
      <c r="H1578" s="124"/>
      <c r="I1578" s="124"/>
      <c r="J1578" s="60"/>
      <c r="K1578" s="60"/>
      <c r="L1578" s="60"/>
      <c r="M1578" s="60"/>
      <c r="N1578" s="60">
        <f t="shared" si="486"/>
        <v>0</v>
      </c>
      <c r="O1578" s="60">
        <f t="shared" si="487"/>
        <v>0</v>
      </c>
    </row>
    <row r="1579" spans="1:15" s="38" customFormat="1" ht="10.7" customHeight="1" outlineLevel="1" x14ac:dyDescent="0.25">
      <c r="A1579" s="124"/>
      <c r="B1579" s="142"/>
      <c r="C1579" s="115"/>
      <c r="D1579" s="115"/>
      <c r="E1579" s="115"/>
      <c r="F1579" s="115"/>
      <c r="G1579" s="60" t="s">
        <v>130</v>
      </c>
      <c r="H1579" s="124"/>
      <c r="I1579" s="124"/>
      <c r="J1579" s="60"/>
      <c r="K1579" s="60"/>
      <c r="L1579" s="60"/>
      <c r="M1579" s="60"/>
      <c r="N1579" s="60">
        <f t="shared" si="486"/>
        <v>0</v>
      </c>
      <c r="O1579" s="60">
        <f t="shared" si="487"/>
        <v>0</v>
      </c>
    </row>
    <row r="1580" spans="1:15" s="38" customFormat="1" ht="12" customHeight="1" outlineLevel="1" thickBot="1" x14ac:dyDescent="0.3">
      <c r="A1580" s="125"/>
      <c r="B1580" s="143"/>
      <c r="C1580" s="131"/>
      <c r="D1580" s="131"/>
      <c r="E1580" s="131"/>
      <c r="F1580" s="131"/>
      <c r="G1580" s="60" t="s">
        <v>131</v>
      </c>
      <c r="H1580" s="134"/>
      <c r="I1580" s="134"/>
      <c r="J1580" s="60"/>
      <c r="K1580" s="60"/>
      <c r="L1580" s="60"/>
      <c r="M1580" s="60"/>
      <c r="N1580" s="60">
        <f t="shared" si="486"/>
        <v>0</v>
      </c>
      <c r="O1580" s="60">
        <f t="shared" si="487"/>
        <v>0</v>
      </c>
    </row>
    <row r="1581" spans="1:15" s="38" customFormat="1" ht="14.45" customHeight="1" outlineLevel="1" x14ac:dyDescent="0.25">
      <c r="A1581" s="140" t="s">
        <v>955</v>
      </c>
      <c r="B1581" s="141" t="s">
        <v>956</v>
      </c>
      <c r="C1581" s="130">
        <f>SUM(N1581:N1587)</f>
        <v>0</v>
      </c>
      <c r="D1581" s="130">
        <f>SUM(O1581:O1587)</f>
        <v>0</v>
      </c>
      <c r="E1581" s="130">
        <f t="shared" si="481"/>
        <v>0</v>
      </c>
      <c r="F1581" s="130"/>
      <c r="G1581" s="60" t="s">
        <v>125</v>
      </c>
      <c r="H1581" s="123"/>
      <c r="I1581" s="123"/>
      <c r="J1581" s="60"/>
      <c r="K1581" s="60"/>
      <c r="L1581" s="60"/>
      <c r="M1581" s="60"/>
      <c r="N1581" s="60">
        <f>M1581*J1581*K1581*L1581</f>
        <v>0</v>
      </c>
      <c r="O1581" s="60">
        <f>J1581*K1581*L1581</f>
        <v>0</v>
      </c>
    </row>
    <row r="1582" spans="1:15" s="38" customFormat="1" ht="11.45" customHeight="1" outlineLevel="1" x14ac:dyDescent="0.25">
      <c r="A1582" s="124"/>
      <c r="B1582" s="142"/>
      <c r="C1582" s="115"/>
      <c r="D1582" s="115"/>
      <c r="E1582" s="115"/>
      <c r="F1582" s="115"/>
      <c r="G1582" s="60" t="s">
        <v>126</v>
      </c>
      <c r="H1582" s="124"/>
      <c r="I1582" s="124"/>
      <c r="J1582" s="60"/>
      <c r="K1582" s="60"/>
      <c r="L1582" s="60"/>
      <c r="M1582" s="60"/>
      <c r="N1582" s="60">
        <f t="shared" ref="N1582:N1587" si="488">M1582*J1582*K1582*L1582</f>
        <v>0</v>
      </c>
      <c r="O1582" s="60">
        <f t="shared" ref="O1582:O1587" si="489">J1582*K1582*L1582</f>
        <v>0</v>
      </c>
    </row>
    <row r="1583" spans="1:15" s="38" customFormat="1" ht="10.7" customHeight="1" outlineLevel="1" x14ac:dyDescent="0.25">
      <c r="A1583" s="124"/>
      <c r="B1583" s="142"/>
      <c r="C1583" s="115"/>
      <c r="D1583" s="115"/>
      <c r="E1583" s="115"/>
      <c r="F1583" s="115"/>
      <c r="G1583" s="60" t="s">
        <v>127</v>
      </c>
      <c r="H1583" s="124"/>
      <c r="I1583" s="124"/>
      <c r="J1583" s="60"/>
      <c r="K1583" s="60"/>
      <c r="L1583" s="60"/>
      <c r="M1583" s="60"/>
      <c r="N1583" s="60">
        <f t="shared" si="488"/>
        <v>0</v>
      </c>
      <c r="O1583" s="60">
        <f t="shared" si="489"/>
        <v>0</v>
      </c>
    </row>
    <row r="1584" spans="1:15" s="38" customFormat="1" ht="10.7" customHeight="1" outlineLevel="1" x14ac:dyDescent="0.25">
      <c r="A1584" s="124"/>
      <c r="B1584" s="142"/>
      <c r="C1584" s="115"/>
      <c r="D1584" s="115"/>
      <c r="E1584" s="115"/>
      <c r="F1584" s="115"/>
      <c r="G1584" s="60" t="s">
        <v>128</v>
      </c>
      <c r="H1584" s="124"/>
      <c r="I1584" s="124"/>
      <c r="J1584" s="60"/>
      <c r="K1584" s="60"/>
      <c r="L1584" s="60"/>
      <c r="M1584" s="60"/>
      <c r="N1584" s="60">
        <f t="shared" si="488"/>
        <v>0</v>
      </c>
      <c r="O1584" s="60">
        <f t="shared" si="489"/>
        <v>0</v>
      </c>
    </row>
    <row r="1585" spans="1:15" s="38" customFormat="1" ht="10.7" customHeight="1" outlineLevel="1" x14ac:dyDescent="0.25">
      <c r="A1585" s="124"/>
      <c r="B1585" s="142"/>
      <c r="C1585" s="115"/>
      <c r="D1585" s="115"/>
      <c r="E1585" s="115"/>
      <c r="F1585" s="115"/>
      <c r="G1585" s="60" t="s">
        <v>129</v>
      </c>
      <c r="H1585" s="124"/>
      <c r="I1585" s="124"/>
      <c r="J1585" s="60"/>
      <c r="K1585" s="60"/>
      <c r="L1585" s="60"/>
      <c r="M1585" s="60"/>
      <c r="N1585" s="60">
        <f t="shared" si="488"/>
        <v>0</v>
      </c>
      <c r="O1585" s="60">
        <f t="shared" si="489"/>
        <v>0</v>
      </c>
    </row>
    <row r="1586" spans="1:15" s="38" customFormat="1" ht="10.7" customHeight="1" outlineLevel="1" x14ac:dyDescent="0.25">
      <c r="A1586" s="124"/>
      <c r="B1586" s="142"/>
      <c r="C1586" s="115"/>
      <c r="D1586" s="115"/>
      <c r="E1586" s="115"/>
      <c r="F1586" s="115"/>
      <c r="G1586" s="60" t="s">
        <v>130</v>
      </c>
      <c r="H1586" s="124"/>
      <c r="I1586" s="124"/>
      <c r="J1586" s="60"/>
      <c r="K1586" s="60"/>
      <c r="L1586" s="60"/>
      <c r="M1586" s="60"/>
      <c r="N1586" s="60">
        <f t="shared" si="488"/>
        <v>0</v>
      </c>
      <c r="O1586" s="60">
        <f t="shared" si="489"/>
        <v>0</v>
      </c>
    </row>
    <row r="1587" spans="1:15" s="38" customFormat="1" ht="12" customHeight="1" outlineLevel="1" thickBot="1" x14ac:dyDescent="0.3">
      <c r="A1587" s="125"/>
      <c r="B1587" s="143"/>
      <c r="C1587" s="131"/>
      <c r="D1587" s="131"/>
      <c r="E1587" s="131"/>
      <c r="F1587" s="131"/>
      <c r="G1587" s="60" t="s">
        <v>131</v>
      </c>
      <c r="H1587" s="134"/>
      <c r="I1587" s="134"/>
      <c r="J1587" s="60"/>
      <c r="K1587" s="60"/>
      <c r="L1587" s="60"/>
      <c r="M1587" s="60"/>
      <c r="N1587" s="60">
        <f t="shared" si="488"/>
        <v>0</v>
      </c>
      <c r="O1587" s="60">
        <f t="shared" si="489"/>
        <v>0</v>
      </c>
    </row>
    <row r="1588" spans="1:15" s="38" customFormat="1" ht="14.45" customHeight="1" outlineLevel="1" x14ac:dyDescent="0.25">
      <c r="A1588" s="140" t="s">
        <v>957</v>
      </c>
      <c r="B1588" s="141" t="s">
        <v>958</v>
      </c>
      <c r="C1588" s="130">
        <f>SUM(N1588:N1594)</f>
        <v>0</v>
      </c>
      <c r="D1588" s="130">
        <f>SUM(O1588:O1594)</f>
        <v>0</v>
      </c>
      <c r="E1588" s="130">
        <f t="shared" si="481"/>
        <v>0</v>
      </c>
      <c r="F1588" s="130"/>
      <c r="G1588" s="60" t="s">
        <v>125</v>
      </c>
      <c r="H1588" s="123"/>
      <c r="I1588" s="123"/>
      <c r="J1588" s="60"/>
      <c r="K1588" s="60"/>
      <c r="L1588" s="60"/>
      <c r="M1588" s="60"/>
      <c r="N1588" s="60">
        <f>M1588*J1588*K1588*L1588</f>
        <v>0</v>
      </c>
      <c r="O1588" s="60">
        <f>J1588*K1588*L1588</f>
        <v>0</v>
      </c>
    </row>
    <row r="1589" spans="1:15" s="38" customFormat="1" ht="11.45" customHeight="1" outlineLevel="1" x14ac:dyDescent="0.25">
      <c r="A1589" s="124"/>
      <c r="B1589" s="142"/>
      <c r="C1589" s="115"/>
      <c r="D1589" s="115"/>
      <c r="E1589" s="115"/>
      <c r="F1589" s="115"/>
      <c r="G1589" s="60" t="s">
        <v>126</v>
      </c>
      <c r="H1589" s="124"/>
      <c r="I1589" s="124"/>
      <c r="J1589" s="60"/>
      <c r="K1589" s="60"/>
      <c r="L1589" s="60"/>
      <c r="M1589" s="60"/>
      <c r="N1589" s="60">
        <f t="shared" ref="N1589:N1594" si="490">M1589*J1589*K1589*L1589</f>
        <v>0</v>
      </c>
      <c r="O1589" s="60">
        <f t="shared" ref="O1589:O1594" si="491">J1589*K1589*L1589</f>
        <v>0</v>
      </c>
    </row>
    <row r="1590" spans="1:15" s="38" customFormat="1" ht="10.7" customHeight="1" outlineLevel="1" x14ac:dyDescent="0.25">
      <c r="A1590" s="124"/>
      <c r="B1590" s="142"/>
      <c r="C1590" s="115"/>
      <c r="D1590" s="115"/>
      <c r="E1590" s="115"/>
      <c r="F1590" s="115"/>
      <c r="G1590" s="60" t="s">
        <v>127</v>
      </c>
      <c r="H1590" s="124"/>
      <c r="I1590" s="124"/>
      <c r="J1590" s="60"/>
      <c r="K1590" s="60"/>
      <c r="L1590" s="60"/>
      <c r="M1590" s="60"/>
      <c r="N1590" s="60">
        <f t="shared" si="490"/>
        <v>0</v>
      </c>
      <c r="O1590" s="60">
        <f t="shared" si="491"/>
        <v>0</v>
      </c>
    </row>
    <row r="1591" spans="1:15" s="38" customFormat="1" ht="10.7" customHeight="1" outlineLevel="1" x14ac:dyDescent="0.25">
      <c r="A1591" s="124"/>
      <c r="B1591" s="142"/>
      <c r="C1591" s="115"/>
      <c r="D1591" s="115"/>
      <c r="E1591" s="115"/>
      <c r="F1591" s="115"/>
      <c r="G1591" s="60" t="s">
        <v>128</v>
      </c>
      <c r="H1591" s="124"/>
      <c r="I1591" s="124"/>
      <c r="J1591" s="60"/>
      <c r="K1591" s="60"/>
      <c r="L1591" s="60"/>
      <c r="M1591" s="60"/>
      <c r="N1591" s="60">
        <f t="shared" si="490"/>
        <v>0</v>
      </c>
      <c r="O1591" s="60">
        <f t="shared" si="491"/>
        <v>0</v>
      </c>
    </row>
    <row r="1592" spans="1:15" s="38" customFormat="1" ht="10.7" customHeight="1" outlineLevel="1" x14ac:dyDescent="0.25">
      <c r="A1592" s="124"/>
      <c r="B1592" s="142"/>
      <c r="C1592" s="115"/>
      <c r="D1592" s="115"/>
      <c r="E1592" s="115"/>
      <c r="F1592" s="115"/>
      <c r="G1592" s="60" t="s">
        <v>129</v>
      </c>
      <c r="H1592" s="124"/>
      <c r="I1592" s="124"/>
      <c r="J1592" s="60"/>
      <c r="K1592" s="60"/>
      <c r="L1592" s="60"/>
      <c r="M1592" s="60"/>
      <c r="N1592" s="60">
        <f t="shared" si="490"/>
        <v>0</v>
      </c>
      <c r="O1592" s="60">
        <f t="shared" si="491"/>
        <v>0</v>
      </c>
    </row>
    <row r="1593" spans="1:15" s="38" customFormat="1" ht="10.7" customHeight="1" outlineLevel="1" x14ac:dyDescent="0.25">
      <c r="A1593" s="124"/>
      <c r="B1593" s="142"/>
      <c r="C1593" s="115"/>
      <c r="D1593" s="115"/>
      <c r="E1593" s="115"/>
      <c r="F1593" s="115"/>
      <c r="G1593" s="60" t="s">
        <v>130</v>
      </c>
      <c r="H1593" s="124"/>
      <c r="I1593" s="124"/>
      <c r="J1593" s="60"/>
      <c r="K1593" s="60"/>
      <c r="L1593" s="60"/>
      <c r="M1593" s="60"/>
      <c r="N1593" s="60">
        <f t="shared" si="490"/>
        <v>0</v>
      </c>
      <c r="O1593" s="60">
        <f t="shared" si="491"/>
        <v>0</v>
      </c>
    </row>
    <row r="1594" spans="1:15" s="38" customFormat="1" ht="12" customHeight="1" outlineLevel="1" thickBot="1" x14ac:dyDescent="0.3">
      <c r="A1594" s="125"/>
      <c r="B1594" s="143"/>
      <c r="C1594" s="131"/>
      <c r="D1594" s="131"/>
      <c r="E1594" s="131"/>
      <c r="F1594" s="131"/>
      <c r="G1594" s="60" t="s">
        <v>131</v>
      </c>
      <c r="H1594" s="134"/>
      <c r="I1594" s="134"/>
      <c r="J1594" s="60"/>
      <c r="K1594" s="60"/>
      <c r="L1594" s="60"/>
      <c r="M1594" s="60"/>
      <c r="N1594" s="60">
        <f t="shared" si="490"/>
        <v>0</v>
      </c>
      <c r="O1594" s="60">
        <f t="shared" si="491"/>
        <v>0</v>
      </c>
    </row>
    <row r="1595" spans="1:15" s="38" customFormat="1" ht="14.45" customHeight="1" outlineLevel="1" x14ac:dyDescent="0.25">
      <c r="A1595" s="140" t="s">
        <v>959</v>
      </c>
      <c r="B1595" s="141" t="s">
        <v>960</v>
      </c>
      <c r="C1595" s="130">
        <f>SUM(N1595:N1601)</f>
        <v>0</v>
      </c>
      <c r="D1595" s="130">
        <f>SUM(O1595:O1601)</f>
        <v>0</v>
      </c>
      <c r="E1595" s="130">
        <f t="shared" si="481"/>
        <v>0</v>
      </c>
      <c r="F1595" s="130"/>
      <c r="G1595" s="60" t="s">
        <v>125</v>
      </c>
      <c r="H1595" s="123"/>
      <c r="I1595" s="123"/>
      <c r="J1595" s="60"/>
      <c r="K1595" s="60"/>
      <c r="L1595" s="60"/>
      <c r="M1595" s="60"/>
      <c r="N1595" s="60">
        <f>M1595*J1595*K1595*L1595</f>
        <v>0</v>
      </c>
      <c r="O1595" s="60">
        <f>J1595*K1595*L1595</f>
        <v>0</v>
      </c>
    </row>
    <row r="1596" spans="1:15" s="38" customFormat="1" ht="11.45" customHeight="1" outlineLevel="1" x14ac:dyDescent="0.25">
      <c r="A1596" s="124"/>
      <c r="B1596" s="142"/>
      <c r="C1596" s="115"/>
      <c r="D1596" s="115"/>
      <c r="E1596" s="115"/>
      <c r="F1596" s="115"/>
      <c r="G1596" s="60" t="s">
        <v>126</v>
      </c>
      <c r="H1596" s="124"/>
      <c r="I1596" s="124"/>
      <c r="J1596" s="60"/>
      <c r="K1596" s="60"/>
      <c r="L1596" s="60"/>
      <c r="M1596" s="60"/>
      <c r="N1596" s="60">
        <f t="shared" ref="N1596:N1601" si="492">M1596*J1596*K1596*L1596</f>
        <v>0</v>
      </c>
      <c r="O1596" s="60">
        <f t="shared" ref="O1596:O1601" si="493">J1596*K1596*L1596</f>
        <v>0</v>
      </c>
    </row>
    <row r="1597" spans="1:15" s="38" customFormat="1" ht="10.7" customHeight="1" outlineLevel="1" x14ac:dyDescent="0.25">
      <c r="A1597" s="124"/>
      <c r="B1597" s="142"/>
      <c r="C1597" s="115"/>
      <c r="D1597" s="115"/>
      <c r="E1597" s="115"/>
      <c r="F1597" s="115"/>
      <c r="G1597" s="60" t="s">
        <v>127</v>
      </c>
      <c r="H1597" s="124"/>
      <c r="I1597" s="124"/>
      <c r="J1597" s="60"/>
      <c r="K1597" s="60"/>
      <c r="L1597" s="60"/>
      <c r="M1597" s="60"/>
      <c r="N1597" s="60">
        <f t="shared" si="492"/>
        <v>0</v>
      </c>
      <c r="O1597" s="60">
        <f t="shared" si="493"/>
        <v>0</v>
      </c>
    </row>
    <row r="1598" spans="1:15" s="38" customFormat="1" ht="10.7" customHeight="1" outlineLevel="1" x14ac:dyDescent="0.25">
      <c r="A1598" s="124"/>
      <c r="B1598" s="142"/>
      <c r="C1598" s="115"/>
      <c r="D1598" s="115"/>
      <c r="E1598" s="115"/>
      <c r="F1598" s="115"/>
      <c r="G1598" s="60" t="s">
        <v>128</v>
      </c>
      <c r="H1598" s="124"/>
      <c r="I1598" s="124"/>
      <c r="J1598" s="60"/>
      <c r="K1598" s="60"/>
      <c r="L1598" s="60"/>
      <c r="M1598" s="60"/>
      <c r="N1598" s="60">
        <f t="shared" si="492"/>
        <v>0</v>
      </c>
      <c r="O1598" s="60">
        <f t="shared" si="493"/>
        <v>0</v>
      </c>
    </row>
    <row r="1599" spans="1:15" s="38" customFormat="1" ht="10.7" customHeight="1" outlineLevel="1" x14ac:dyDescent="0.25">
      <c r="A1599" s="124"/>
      <c r="B1599" s="142"/>
      <c r="C1599" s="115"/>
      <c r="D1599" s="115"/>
      <c r="E1599" s="115"/>
      <c r="F1599" s="115"/>
      <c r="G1599" s="60" t="s">
        <v>129</v>
      </c>
      <c r="H1599" s="124"/>
      <c r="I1599" s="124"/>
      <c r="J1599" s="60"/>
      <c r="K1599" s="60"/>
      <c r="L1599" s="60"/>
      <c r="M1599" s="60"/>
      <c r="N1599" s="60">
        <f t="shared" si="492"/>
        <v>0</v>
      </c>
      <c r="O1599" s="60">
        <f t="shared" si="493"/>
        <v>0</v>
      </c>
    </row>
    <row r="1600" spans="1:15" s="38" customFormat="1" ht="10.7" customHeight="1" outlineLevel="1" x14ac:dyDescent="0.25">
      <c r="A1600" s="124"/>
      <c r="B1600" s="142"/>
      <c r="C1600" s="115"/>
      <c r="D1600" s="115"/>
      <c r="E1600" s="115"/>
      <c r="F1600" s="115"/>
      <c r="G1600" s="60" t="s">
        <v>130</v>
      </c>
      <c r="H1600" s="124"/>
      <c r="I1600" s="124"/>
      <c r="J1600" s="60"/>
      <c r="K1600" s="60"/>
      <c r="L1600" s="60"/>
      <c r="M1600" s="60"/>
      <c r="N1600" s="60">
        <f t="shared" si="492"/>
        <v>0</v>
      </c>
      <c r="O1600" s="60">
        <f t="shared" si="493"/>
        <v>0</v>
      </c>
    </row>
    <row r="1601" spans="1:15" s="38" customFormat="1" ht="12" customHeight="1" outlineLevel="1" thickBot="1" x14ac:dyDescent="0.3">
      <c r="A1601" s="125"/>
      <c r="B1601" s="143"/>
      <c r="C1601" s="131"/>
      <c r="D1601" s="131"/>
      <c r="E1601" s="131"/>
      <c r="F1601" s="131"/>
      <c r="G1601" s="60" t="s">
        <v>131</v>
      </c>
      <c r="H1601" s="134"/>
      <c r="I1601" s="134"/>
      <c r="J1601" s="60"/>
      <c r="K1601" s="60"/>
      <c r="L1601" s="60"/>
      <c r="M1601" s="60"/>
      <c r="N1601" s="60">
        <f t="shared" si="492"/>
        <v>0</v>
      </c>
      <c r="O1601" s="60">
        <f t="shared" si="493"/>
        <v>0</v>
      </c>
    </row>
    <row r="1602" spans="1:15" s="38" customFormat="1" ht="14.45" customHeight="1" outlineLevel="1" x14ac:dyDescent="0.25">
      <c r="A1602" s="140" t="s">
        <v>961</v>
      </c>
      <c r="B1602" s="141" t="s">
        <v>962</v>
      </c>
      <c r="C1602" s="130">
        <f>SUM(N1602:N1608)</f>
        <v>0</v>
      </c>
      <c r="D1602" s="130">
        <f>SUM(O1602:O1608)</f>
        <v>0</v>
      </c>
      <c r="E1602" s="130">
        <f t="shared" si="481"/>
        <v>0</v>
      </c>
      <c r="F1602" s="130"/>
      <c r="G1602" s="60" t="s">
        <v>125</v>
      </c>
      <c r="H1602" s="123"/>
      <c r="I1602" s="123"/>
      <c r="J1602" s="60"/>
      <c r="K1602" s="60"/>
      <c r="L1602" s="60"/>
      <c r="M1602" s="60"/>
      <c r="N1602" s="60">
        <f>M1602*J1602*K1602*L1602</f>
        <v>0</v>
      </c>
      <c r="O1602" s="60">
        <f>J1602*K1602*L1602</f>
        <v>0</v>
      </c>
    </row>
    <row r="1603" spans="1:15" s="38" customFormat="1" ht="11.45" customHeight="1" outlineLevel="1" x14ac:dyDescent="0.25">
      <c r="A1603" s="124"/>
      <c r="B1603" s="142"/>
      <c r="C1603" s="115"/>
      <c r="D1603" s="115"/>
      <c r="E1603" s="115"/>
      <c r="F1603" s="115"/>
      <c r="G1603" s="60" t="s">
        <v>126</v>
      </c>
      <c r="H1603" s="124"/>
      <c r="I1603" s="124"/>
      <c r="J1603" s="60"/>
      <c r="K1603" s="60"/>
      <c r="L1603" s="60"/>
      <c r="M1603" s="60"/>
      <c r="N1603" s="60">
        <f t="shared" ref="N1603:N1608" si="494">M1603*J1603*K1603*L1603</f>
        <v>0</v>
      </c>
      <c r="O1603" s="60">
        <f t="shared" ref="O1603:O1608" si="495">J1603*K1603*L1603</f>
        <v>0</v>
      </c>
    </row>
    <row r="1604" spans="1:15" s="38" customFormat="1" ht="10.7" customHeight="1" outlineLevel="1" x14ac:dyDescent="0.25">
      <c r="A1604" s="124"/>
      <c r="B1604" s="142"/>
      <c r="C1604" s="115"/>
      <c r="D1604" s="115"/>
      <c r="E1604" s="115"/>
      <c r="F1604" s="115"/>
      <c r="G1604" s="60" t="s">
        <v>127</v>
      </c>
      <c r="H1604" s="124"/>
      <c r="I1604" s="124"/>
      <c r="J1604" s="60"/>
      <c r="K1604" s="60"/>
      <c r="L1604" s="60"/>
      <c r="M1604" s="60"/>
      <c r="N1604" s="60">
        <f t="shared" si="494"/>
        <v>0</v>
      </c>
      <c r="O1604" s="60">
        <f t="shared" si="495"/>
        <v>0</v>
      </c>
    </row>
    <row r="1605" spans="1:15" s="38" customFormat="1" ht="10.7" customHeight="1" outlineLevel="1" x14ac:dyDescent="0.25">
      <c r="A1605" s="124"/>
      <c r="B1605" s="142"/>
      <c r="C1605" s="115"/>
      <c r="D1605" s="115"/>
      <c r="E1605" s="115"/>
      <c r="F1605" s="115"/>
      <c r="G1605" s="60" t="s">
        <v>128</v>
      </c>
      <c r="H1605" s="124"/>
      <c r="I1605" s="124"/>
      <c r="J1605" s="60"/>
      <c r="K1605" s="60"/>
      <c r="L1605" s="60"/>
      <c r="M1605" s="60"/>
      <c r="N1605" s="60">
        <f t="shared" si="494"/>
        <v>0</v>
      </c>
      <c r="O1605" s="60">
        <f t="shared" si="495"/>
        <v>0</v>
      </c>
    </row>
    <row r="1606" spans="1:15" s="38" customFormat="1" ht="10.7" customHeight="1" outlineLevel="1" x14ac:dyDescent="0.25">
      <c r="A1606" s="124"/>
      <c r="B1606" s="142"/>
      <c r="C1606" s="115"/>
      <c r="D1606" s="115"/>
      <c r="E1606" s="115"/>
      <c r="F1606" s="115"/>
      <c r="G1606" s="60" t="s">
        <v>129</v>
      </c>
      <c r="H1606" s="124"/>
      <c r="I1606" s="124"/>
      <c r="J1606" s="60"/>
      <c r="K1606" s="60"/>
      <c r="L1606" s="60"/>
      <c r="M1606" s="60"/>
      <c r="N1606" s="60">
        <f t="shared" si="494"/>
        <v>0</v>
      </c>
      <c r="O1606" s="60">
        <f t="shared" si="495"/>
        <v>0</v>
      </c>
    </row>
    <row r="1607" spans="1:15" s="38" customFormat="1" ht="10.7" customHeight="1" outlineLevel="1" x14ac:dyDescent="0.25">
      <c r="A1607" s="124"/>
      <c r="B1607" s="142"/>
      <c r="C1607" s="115"/>
      <c r="D1607" s="115"/>
      <c r="E1607" s="115"/>
      <c r="F1607" s="115"/>
      <c r="G1607" s="60" t="s">
        <v>130</v>
      </c>
      <c r="H1607" s="124"/>
      <c r="I1607" s="124"/>
      <c r="J1607" s="60"/>
      <c r="K1607" s="60"/>
      <c r="L1607" s="60"/>
      <c r="M1607" s="60"/>
      <c r="N1607" s="60">
        <f t="shared" si="494"/>
        <v>0</v>
      </c>
      <c r="O1607" s="60">
        <f t="shared" si="495"/>
        <v>0</v>
      </c>
    </row>
    <row r="1608" spans="1:15" s="38" customFormat="1" ht="12" customHeight="1" outlineLevel="1" thickBot="1" x14ac:dyDescent="0.3">
      <c r="A1608" s="125"/>
      <c r="B1608" s="143"/>
      <c r="C1608" s="131"/>
      <c r="D1608" s="131"/>
      <c r="E1608" s="131"/>
      <c r="F1608" s="131"/>
      <c r="G1608" s="60" t="s">
        <v>131</v>
      </c>
      <c r="H1608" s="134"/>
      <c r="I1608" s="134"/>
      <c r="J1608" s="60"/>
      <c r="K1608" s="60"/>
      <c r="L1608" s="60"/>
      <c r="M1608" s="60"/>
      <c r="N1608" s="60">
        <f t="shared" si="494"/>
        <v>0</v>
      </c>
      <c r="O1608" s="60">
        <f t="shared" si="495"/>
        <v>0</v>
      </c>
    </row>
    <row r="1609" spans="1:15" ht="19.5" thickBot="1" x14ac:dyDescent="0.35">
      <c r="A1609" s="144" t="s">
        <v>963</v>
      </c>
      <c r="B1609" s="145"/>
      <c r="C1609" s="49">
        <f>C10+C74+C181+C245+C260+C282+C297+C746+C1195+C1203+C1218+C1226+C1409+C1424+C1474+C1482+C1490+C1498+C1506+C1514+C1536+C1551+C1559</f>
        <v>0</v>
      </c>
      <c r="D1609" s="62">
        <f>D10+D74+D181+D245+D260+D282+D297+D746+D1195+D1203+D1218+D1226+D1409+D1424+D1474+D1482+D1490+D1498+D1506+D1514+D1536+D1551+D1559</f>
        <v>0</v>
      </c>
      <c r="E1609" s="62">
        <f>E10+E74+E181+E245+E260+E282+E297+E746+E1195+E1203+E1218+E1226+E1409+E1424+E1474+E1482+E1490+E1498+E1506+E1514+E1536+E1551+E1559</f>
        <v>0</v>
      </c>
      <c r="F1609" s="59"/>
      <c r="G1609" s="59"/>
      <c r="H1609" s="59"/>
      <c r="I1609" s="59"/>
      <c r="J1609" s="59"/>
      <c r="K1609" s="59"/>
      <c r="L1609" s="59"/>
      <c r="M1609" s="59"/>
      <c r="N1609" s="59"/>
      <c r="O1609" s="60"/>
    </row>
  </sheetData>
  <mergeCells count="1819">
    <mergeCell ref="E39:E45"/>
    <mergeCell ref="A9:O9"/>
    <mergeCell ref="A11:A17"/>
    <mergeCell ref="B11:B17"/>
    <mergeCell ref="C11:C17"/>
    <mergeCell ref="D11:D17"/>
    <mergeCell ref="F11:F17"/>
    <mergeCell ref="H11:H17"/>
    <mergeCell ref="I11:I17"/>
    <mergeCell ref="J7:J8"/>
    <mergeCell ref="K7:K8"/>
    <mergeCell ref="L7:L8"/>
    <mergeCell ref="M7:M8"/>
    <mergeCell ref="N7:N8"/>
    <mergeCell ref="O7:O8"/>
    <mergeCell ref="A2:O3"/>
    <mergeCell ref="C4:O4"/>
    <mergeCell ref="A5:A8"/>
    <mergeCell ref="B5:B8"/>
    <mergeCell ref="C5:C8"/>
    <mergeCell ref="D5:D8"/>
    <mergeCell ref="F5:F8"/>
    <mergeCell ref="G5:O6"/>
    <mergeCell ref="G7:G8"/>
    <mergeCell ref="H7:I7"/>
    <mergeCell ref="E5:E8"/>
    <mergeCell ref="E11:E17"/>
    <mergeCell ref="E67:E73"/>
    <mergeCell ref="I32:I38"/>
    <mergeCell ref="A39:A45"/>
    <mergeCell ref="B39:B45"/>
    <mergeCell ref="C39:C45"/>
    <mergeCell ref="D39:D45"/>
    <mergeCell ref="F39:F45"/>
    <mergeCell ref="H39:H45"/>
    <mergeCell ref="I39:I45"/>
    <mergeCell ref="A32:A38"/>
    <mergeCell ref="B32:B38"/>
    <mergeCell ref="C32:C38"/>
    <mergeCell ref="D32:D38"/>
    <mergeCell ref="F32:F38"/>
    <mergeCell ref="H32:H38"/>
    <mergeCell ref="I18:I24"/>
    <mergeCell ref="A25:A31"/>
    <mergeCell ref="B25:B31"/>
    <mergeCell ref="C25:C31"/>
    <mergeCell ref="D25:D31"/>
    <mergeCell ref="F25:F31"/>
    <mergeCell ref="H25:H31"/>
    <mergeCell ref="I25:I31"/>
    <mergeCell ref="A18:A24"/>
    <mergeCell ref="B18:B24"/>
    <mergeCell ref="C18:C24"/>
    <mergeCell ref="D18:D24"/>
    <mergeCell ref="F18:F24"/>
    <mergeCell ref="H18:H24"/>
    <mergeCell ref="E18:E24"/>
    <mergeCell ref="E25:E31"/>
    <mergeCell ref="E32:E38"/>
    <mergeCell ref="E96:E102"/>
    <mergeCell ref="I60:I66"/>
    <mergeCell ref="A67:A73"/>
    <mergeCell ref="B67:B73"/>
    <mergeCell ref="C67:C73"/>
    <mergeCell ref="D67:D73"/>
    <mergeCell ref="F67:F73"/>
    <mergeCell ref="H67:H73"/>
    <mergeCell ref="I67:I73"/>
    <mergeCell ref="A60:A66"/>
    <mergeCell ref="B60:B66"/>
    <mergeCell ref="C60:C66"/>
    <mergeCell ref="D60:D66"/>
    <mergeCell ref="F60:F66"/>
    <mergeCell ref="H60:H66"/>
    <mergeCell ref="I46:I52"/>
    <mergeCell ref="A53:A59"/>
    <mergeCell ref="B53:B59"/>
    <mergeCell ref="C53:C59"/>
    <mergeCell ref="D53:D59"/>
    <mergeCell ref="F53:F59"/>
    <mergeCell ref="H53:H59"/>
    <mergeCell ref="I53:I59"/>
    <mergeCell ref="A46:A52"/>
    <mergeCell ref="B46:B52"/>
    <mergeCell ref="C46:C52"/>
    <mergeCell ref="D46:D52"/>
    <mergeCell ref="F46:F52"/>
    <mergeCell ref="H46:H52"/>
    <mergeCell ref="E46:E52"/>
    <mergeCell ref="E53:E59"/>
    <mergeCell ref="E60:E66"/>
    <mergeCell ref="E125:E131"/>
    <mergeCell ref="I89:I95"/>
    <mergeCell ref="A96:A102"/>
    <mergeCell ref="B96:B102"/>
    <mergeCell ref="C96:C102"/>
    <mergeCell ref="D96:D102"/>
    <mergeCell ref="F96:F102"/>
    <mergeCell ref="H96:H102"/>
    <mergeCell ref="I96:I102"/>
    <mergeCell ref="A89:A95"/>
    <mergeCell ref="B89:B95"/>
    <mergeCell ref="C89:C95"/>
    <mergeCell ref="D89:D95"/>
    <mergeCell ref="F89:F95"/>
    <mergeCell ref="H89:H95"/>
    <mergeCell ref="I75:I81"/>
    <mergeCell ref="A82:A88"/>
    <mergeCell ref="B82:B88"/>
    <mergeCell ref="C82:C88"/>
    <mergeCell ref="D82:D88"/>
    <mergeCell ref="F82:F88"/>
    <mergeCell ref="H82:H88"/>
    <mergeCell ref="I82:I88"/>
    <mergeCell ref="A75:A81"/>
    <mergeCell ref="B75:B81"/>
    <mergeCell ref="C75:C81"/>
    <mergeCell ref="D75:D81"/>
    <mergeCell ref="F75:F81"/>
    <mergeCell ref="H75:H81"/>
    <mergeCell ref="E75:E81"/>
    <mergeCell ref="E82:E88"/>
    <mergeCell ref="E89:E95"/>
    <mergeCell ref="E153:E159"/>
    <mergeCell ref="I118:I124"/>
    <mergeCell ref="A125:A131"/>
    <mergeCell ref="B125:B131"/>
    <mergeCell ref="C125:C131"/>
    <mergeCell ref="D125:D131"/>
    <mergeCell ref="F125:F131"/>
    <mergeCell ref="H125:H131"/>
    <mergeCell ref="I125:I131"/>
    <mergeCell ref="A118:A124"/>
    <mergeCell ref="B118:B124"/>
    <mergeCell ref="C118:C124"/>
    <mergeCell ref="D118:D124"/>
    <mergeCell ref="F118:F124"/>
    <mergeCell ref="H118:H124"/>
    <mergeCell ref="I104:I110"/>
    <mergeCell ref="A111:A117"/>
    <mergeCell ref="B111:B117"/>
    <mergeCell ref="C111:C117"/>
    <mergeCell ref="D111:D117"/>
    <mergeCell ref="F111:F117"/>
    <mergeCell ref="H111:H117"/>
    <mergeCell ref="I111:I117"/>
    <mergeCell ref="A104:A110"/>
    <mergeCell ref="B104:B110"/>
    <mergeCell ref="C104:C110"/>
    <mergeCell ref="D104:D110"/>
    <mergeCell ref="F104:F110"/>
    <mergeCell ref="H104:H110"/>
    <mergeCell ref="E104:E110"/>
    <mergeCell ref="E111:E117"/>
    <mergeCell ref="E118:E124"/>
    <mergeCell ref="E182:E188"/>
    <mergeCell ref="I146:I152"/>
    <mergeCell ref="A153:A159"/>
    <mergeCell ref="B153:B159"/>
    <mergeCell ref="C153:C159"/>
    <mergeCell ref="D153:D159"/>
    <mergeCell ref="F153:F159"/>
    <mergeCell ref="H153:H159"/>
    <mergeCell ref="I153:I159"/>
    <mergeCell ref="A146:A152"/>
    <mergeCell ref="B146:B152"/>
    <mergeCell ref="C146:C152"/>
    <mergeCell ref="D146:D152"/>
    <mergeCell ref="F146:F152"/>
    <mergeCell ref="H146:H152"/>
    <mergeCell ref="I132:I138"/>
    <mergeCell ref="A139:A145"/>
    <mergeCell ref="B139:B145"/>
    <mergeCell ref="C139:C145"/>
    <mergeCell ref="D139:D145"/>
    <mergeCell ref="F139:F145"/>
    <mergeCell ref="H139:H145"/>
    <mergeCell ref="I139:I145"/>
    <mergeCell ref="A132:A138"/>
    <mergeCell ref="B132:B138"/>
    <mergeCell ref="C132:C138"/>
    <mergeCell ref="D132:D138"/>
    <mergeCell ref="F132:F138"/>
    <mergeCell ref="H132:H138"/>
    <mergeCell ref="E132:E138"/>
    <mergeCell ref="E139:E145"/>
    <mergeCell ref="E146:E152"/>
    <mergeCell ref="E210:E216"/>
    <mergeCell ref="I174:I180"/>
    <mergeCell ref="A182:A188"/>
    <mergeCell ref="B182:B188"/>
    <mergeCell ref="C182:C188"/>
    <mergeCell ref="D182:D188"/>
    <mergeCell ref="F182:F188"/>
    <mergeCell ref="H182:H188"/>
    <mergeCell ref="I182:I188"/>
    <mergeCell ref="A174:A180"/>
    <mergeCell ref="B174:B180"/>
    <mergeCell ref="C174:C180"/>
    <mergeCell ref="D174:D180"/>
    <mergeCell ref="F174:F180"/>
    <mergeCell ref="H174:H180"/>
    <mergeCell ref="I160:I166"/>
    <mergeCell ref="A167:A173"/>
    <mergeCell ref="B167:B173"/>
    <mergeCell ref="C167:C173"/>
    <mergeCell ref="D167:D173"/>
    <mergeCell ref="F167:F173"/>
    <mergeCell ref="H167:H173"/>
    <mergeCell ref="I167:I173"/>
    <mergeCell ref="A160:A166"/>
    <mergeCell ref="B160:B166"/>
    <mergeCell ref="C160:C166"/>
    <mergeCell ref="D160:D166"/>
    <mergeCell ref="F160:F166"/>
    <mergeCell ref="H160:H166"/>
    <mergeCell ref="E160:E166"/>
    <mergeCell ref="E167:E173"/>
    <mergeCell ref="E174:E180"/>
    <mergeCell ref="E238:E244"/>
    <mergeCell ref="I203:I209"/>
    <mergeCell ref="A210:A216"/>
    <mergeCell ref="B210:B216"/>
    <mergeCell ref="C210:C216"/>
    <mergeCell ref="D210:D216"/>
    <mergeCell ref="F210:F216"/>
    <mergeCell ref="H210:H216"/>
    <mergeCell ref="I210:I216"/>
    <mergeCell ref="A203:A209"/>
    <mergeCell ref="B203:B209"/>
    <mergeCell ref="C203:C209"/>
    <mergeCell ref="D203:D209"/>
    <mergeCell ref="F203:F209"/>
    <mergeCell ref="H203:H209"/>
    <mergeCell ref="I189:I195"/>
    <mergeCell ref="A196:A202"/>
    <mergeCell ref="B196:B202"/>
    <mergeCell ref="C196:C202"/>
    <mergeCell ref="D196:D202"/>
    <mergeCell ref="F196:F202"/>
    <mergeCell ref="H196:H202"/>
    <mergeCell ref="I196:I202"/>
    <mergeCell ref="A189:A195"/>
    <mergeCell ref="B189:B195"/>
    <mergeCell ref="C189:C195"/>
    <mergeCell ref="D189:D195"/>
    <mergeCell ref="F189:F195"/>
    <mergeCell ref="H189:H195"/>
    <mergeCell ref="E189:E195"/>
    <mergeCell ref="E196:E202"/>
    <mergeCell ref="E203:E209"/>
    <mergeCell ref="E268:E274"/>
    <mergeCell ref="I231:I237"/>
    <mergeCell ref="A238:A244"/>
    <mergeCell ref="B238:B244"/>
    <mergeCell ref="C238:C244"/>
    <mergeCell ref="D238:D244"/>
    <mergeCell ref="F238:F244"/>
    <mergeCell ref="H238:H244"/>
    <mergeCell ref="I238:I244"/>
    <mergeCell ref="A231:A237"/>
    <mergeCell ref="B231:B237"/>
    <mergeCell ref="C231:C237"/>
    <mergeCell ref="D231:D237"/>
    <mergeCell ref="F231:F237"/>
    <mergeCell ref="H231:H237"/>
    <mergeCell ref="I217:I223"/>
    <mergeCell ref="A224:A230"/>
    <mergeCell ref="B224:B230"/>
    <mergeCell ref="C224:C230"/>
    <mergeCell ref="D224:D230"/>
    <mergeCell ref="F224:F230"/>
    <mergeCell ref="H224:H230"/>
    <mergeCell ref="I224:I230"/>
    <mergeCell ref="A217:A223"/>
    <mergeCell ref="B217:B223"/>
    <mergeCell ref="C217:C223"/>
    <mergeCell ref="D217:D223"/>
    <mergeCell ref="F217:F223"/>
    <mergeCell ref="H217:H223"/>
    <mergeCell ref="E217:E223"/>
    <mergeCell ref="E224:E230"/>
    <mergeCell ref="E231:E237"/>
    <mergeCell ref="E298:E304"/>
    <mergeCell ref="I261:I267"/>
    <mergeCell ref="A268:A274"/>
    <mergeCell ref="B268:B274"/>
    <mergeCell ref="C268:C274"/>
    <mergeCell ref="D268:D274"/>
    <mergeCell ref="F268:F274"/>
    <mergeCell ref="H268:H274"/>
    <mergeCell ref="I268:I274"/>
    <mergeCell ref="A261:A267"/>
    <mergeCell ref="B261:B267"/>
    <mergeCell ref="C261:C267"/>
    <mergeCell ref="D261:D267"/>
    <mergeCell ref="F261:F267"/>
    <mergeCell ref="H261:H267"/>
    <mergeCell ref="I246:I252"/>
    <mergeCell ref="A253:A259"/>
    <mergeCell ref="B253:B259"/>
    <mergeCell ref="C253:C259"/>
    <mergeCell ref="D253:D259"/>
    <mergeCell ref="F253:F259"/>
    <mergeCell ref="H253:H259"/>
    <mergeCell ref="I253:I259"/>
    <mergeCell ref="A246:A252"/>
    <mergeCell ref="B246:B252"/>
    <mergeCell ref="C246:C252"/>
    <mergeCell ref="D246:D252"/>
    <mergeCell ref="F246:F252"/>
    <mergeCell ref="H246:H252"/>
    <mergeCell ref="E246:E252"/>
    <mergeCell ref="E253:E259"/>
    <mergeCell ref="E261:E267"/>
    <mergeCell ref="E326:E332"/>
    <mergeCell ref="I290:I296"/>
    <mergeCell ref="A298:A304"/>
    <mergeCell ref="B298:B304"/>
    <mergeCell ref="C298:C304"/>
    <mergeCell ref="D298:D304"/>
    <mergeCell ref="F298:F304"/>
    <mergeCell ref="H298:H304"/>
    <mergeCell ref="I298:I304"/>
    <mergeCell ref="A290:A296"/>
    <mergeCell ref="B290:B296"/>
    <mergeCell ref="C290:C296"/>
    <mergeCell ref="D290:D296"/>
    <mergeCell ref="F290:F296"/>
    <mergeCell ref="H290:H296"/>
    <mergeCell ref="I275:I281"/>
    <mergeCell ref="A283:A289"/>
    <mergeCell ref="B283:B289"/>
    <mergeCell ref="C283:C289"/>
    <mergeCell ref="D283:D289"/>
    <mergeCell ref="F283:F289"/>
    <mergeCell ref="H283:H289"/>
    <mergeCell ref="I283:I289"/>
    <mergeCell ref="A275:A281"/>
    <mergeCell ref="B275:B281"/>
    <mergeCell ref="C275:C281"/>
    <mergeCell ref="D275:D281"/>
    <mergeCell ref="F275:F281"/>
    <mergeCell ref="H275:H281"/>
    <mergeCell ref="E275:E281"/>
    <mergeCell ref="E283:E289"/>
    <mergeCell ref="E290:E296"/>
    <mergeCell ref="E354:E360"/>
    <mergeCell ref="I319:I325"/>
    <mergeCell ref="A326:A332"/>
    <mergeCell ref="B326:B332"/>
    <mergeCell ref="C326:C332"/>
    <mergeCell ref="D326:D332"/>
    <mergeCell ref="F326:F332"/>
    <mergeCell ref="H326:H332"/>
    <mergeCell ref="I326:I332"/>
    <mergeCell ref="A319:A325"/>
    <mergeCell ref="B319:B325"/>
    <mergeCell ref="C319:C325"/>
    <mergeCell ref="D319:D325"/>
    <mergeCell ref="F319:F325"/>
    <mergeCell ref="H319:H325"/>
    <mergeCell ref="I305:I311"/>
    <mergeCell ref="A312:A318"/>
    <mergeCell ref="B312:B318"/>
    <mergeCell ref="C312:C318"/>
    <mergeCell ref="D312:D318"/>
    <mergeCell ref="F312:F318"/>
    <mergeCell ref="H312:H318"/>
    <mergeCell ref="I312:I318"/>
    <mergeCell ref="A305:A311"/>
    <mergeCell ref="B305:B311"/>
    <mergeCell ref="C305:C311"/>
    <mergeCell ref="D305:D311"/>
    <mergeCell ref="F305:F311"/>
    <mergeCell ref="H305:H311"/>
    <mergeCell ref="E305:E311"/>
    <mergeCell ref="E312:E318"/>
    <mergeCell ref="E319:E325"/>
    <mergeCell ref="E382:E388"/>
    <mergeCell ref="I347:I353"/>
    <mergeCell ref="A354:A360"/>
    <mergeCell ref="B354:B360"/>
    <mergeCell ref="C354:C360"/>
    <mergeCell ref="D354:D360"/>
    <mergeCell ref="F354:F360"/>
    <mergeCell ref="H354:H360"/>
    <mergeCell ref="I354:I360"/>
    <mergeCell ref="A347:A353"/>
    <mergeCell ref="B347:B353"/>
    <mergeCell ref="C347:C353"/>
    <mergeCell ref="D347:D353"/>
    <mergeCell ref="F347:F353"/>
    <mergeCell ref="H347:H353"/>
    <mergeCell ref="I333:I339"/>
    <mergeCell ref="A340:A346"/>
    <mergeCell ref="B340:B346"/>
    <mergeCell ref="C340:C346"/>
    <mergeCell ref="D340:D346"/>
    <mergeCell ref="F340:F346"/>
    <mergeCell ref="H340:H346"/>
    <mergeCell ref="I340:I346"/>
    <mergeCell ref="A333:A339"/>
    <mergeCell ref="B333:B339"/>
    <mergeCell ref="C333:C339"/>
    <mergeCell ref="D333:D339"/>
    <mergeCell ref="F333:F339"/>
    <mergeCell ref="H333:H339"/>
    <mergeCell ref="E333:E339"/>
    <mergeCell ref="E340:E346"/>
    <mergeCell ref="E347:E353"/>
    <mergeCell ref="E410:E416"/>
    <mergeCell ref="I375:I381"/>
    <mergeCell ref="A382:A388"/>
    <mergeCell ref="B382:B388"/>
    <mergeCell ref="C382:C388"/>
    <mergeCell ref="D382:D388"/>
    <mergeCell ref="F382:F388"/>
    <mergeCell ref="H382:H388"/>
    <mergeCell ref="I382:I388"/>
    <mergeCell ref="A375:A381"/>
    <mergeCell ref="B375:B381"/>
    <mergeCell ref="C375:C381"/>
    <mergeCell ref="D375:D381"/>
    <mergeCell ref="F375:F381"/>
    <mergeCell ref="H375:H381"/>
    <mergeCell ref="I361:I367"/>
    <mergeCell ref="A368:A374"/>
    <mergeCell ref="B368:B374"/>
    <mergeCell ref="C368:C374"/>
    <mergeCell ref="D368:D374"/>
    <mergeCell ref="F368:F374"/>
    <mergeCell ref="H368:H374"/>
    <mergeCell ref="I368:I374"/>
    <mergeCell ref="A361:A367"/>
    <mergeCell ref="B361:B367"/>
    <mergeCell ref="C361:C367"/>
    <mergeCell ref="D361:D367"/>
    <mergeCell ref="F361:F367"/>
    <mergeCell ref="H361:H367"/>
    <mergeCell ref="E361:E367"/>
    <mergeCell ref="E368:E374"/>
    <mergeCell ref="E375:E381"/>
    <mergeCell ref="E438:E444"/>
    <mergeCell ref="I403:I409"/>
    <mergeCell ref="A410:A416"/>
    <mergeCell ref="B410:B416"/>
    <mergeCell ref="C410:C416"/>
    <mergeCell ref="D410:D416"/>
    <mergeCell ref="F410:F416"/>
    <mergeCell ref="H410:H416"/>
    <mergeCell ref="I410:I416"/>
    <mergeCell ref="A403:A409"/>
    <mergeCell ref="B403:B409"/>
    <mergeCell ref="C403:C409"/>
    <mergeCell ref="D403:D409"/>
    <mergeCell ref="F403:F409"/>
    <mergeCell ref="H403:H409"/>
    <mergeCell ref="I389:I395"/>
    <mergeCell ref="A396:A402"/>
    <mergeCell ref="B396:B402"/>
    <mergeCell ref="C396:C402"/>
    <mergeCell ref="D396:D402"/>
    <mergeCell ref="F396:F402"/>
    <mergeCell ref="H396:H402"/>
    <mergeCell ref="I396:I402"/>
    <mergeCell ref="A389:A395"/>
    <mergeCell ref="B389:B395"/>
    <mergeCell ref="C389:C395"/>
    <mergeCell ref="D389:D395"/>
    <mergeCell ref="F389:F395"/>
    <mergeCell ref="H389:H395"/>
    <mergeCell ref="E389:E395"/>
    <mergeCell ref="E396:E402"/>
    <mergeCell ref="E403:E409"/>
    <mergeCell ref="E466:E472"/>
    <mergeCell ref="I431:I437"/>
    <mergeCell ref="A438:A444"/>
    <mergeCell ref="B438:B444"/>
    <mergeCell ref="C438:C444"/>
    <mergeCell ref="D438:D444"/>
    <mergeCell ref="F438:F444"/>
    <mergeCell ref="H438:H444"/>
    <mergeCell ref="I438:I444"/>
    <mergeCell ref="A431:A437"/>
    <mergeCell ref="B431:B437"/>
    <mergeCell ref="C431:C437"/>
    <mergeCell ref="D431:D437"/>
    <mergeCell ref="F431:F437"/>
    <mergeCell ref="H431:H437"/>
    <mergeCell ref="I417:I423"/>
    <mergeCell ref="A424:A430"/>
    <mergeCell ref="B424:B430"/>
    <mergeCell ref="C424:C430"/>
    <mergeCell ref="D424:D430"/>
    <mergeCell ref="F424:F430"/>
    <mergeCell ref="H424:H430"/>
    <mergeCell ref="I424:I430"/>
    <mergeCell ref="A417:A423"/>
    <mergeCell ref="B417:B423"/>
    <mergeCell ref="C417:C423"/>
    <mergeCell ref="D417:D423"/>
    <mergeCell ref="F417:F423"/>
    <mergeCell ref="H417:H423"/>
    <mergeCell ref="E417:E423"/>
    <mergeCell ref="E424:E430"/>
    <mergeCell ref="E431:E437"/>
    <mergeCell ref="E494:E500"/>
    <mergeCell ref="I459:I465"/>
    <mergeCell ref="A466:A472"/>
    <mergeCell ref="B466:B472"/>
    <mergeCell ref="C466:C472"/>
    <mergeCell ref="D466:D472"/>
    <mergeCell ref="F466:F472"/>
    <mergeCell ref="H466:H472"/>
    <mergeCell ref="I466:I472"/>
    <mergeCell ref="A459:A465"/>
    <mergeCell ref="B459:B465"/>
    <mergeCell ref="C459:C465"/>
    <mergeCell ref="D459:D465"/>
    <mergeCell ref="F459:F465"/>
    <mergeCell ref="H459:H465"/>
    <mergeCell ref="I445:I451"/>
    <mergeCell ref="A452:A458"/>
    <mergeCell ref="B452:B458"/>
    <mergeCell ref="C452:C458"/>
    <mergeCell ref="D452:D458"/>
    <mergeCell ref="F452:F458"/>
    <mergeCell ref="H452:H458"/>
    <mergeCell ref="I452:I458"/>
    <mergeCell ref="A445:A451"/>
    <mergeCell ref="B445:B451"/>
    <mergeCell ref="C445:C451"/>
    <mergeCell ref="D445:D451"/>
    <mergeCell ref="F445:F451"/>
    <mergeCell ref="H445:H451"/>
    <mergeCell ref="E445:E451"/>
    <mergeCell ref="E452:E458"/>
    <mergeCell ref="E459:E465"/>
    <mergeCell ref="E522:E528"/>
    <mergeCell ref="I487:I493"/>
    <mergeCell ref="A494:A500"/>
    <mergeCell ref="B494:B500"/>
    <mergeCell ref="C494:C500"/>
    <mergeCell ref="D494:D500"/>
    <mergeCell ref="F494:F500"/>
    <mergeCell ref="H494:H500"/>
    <mergeCell ref="I494:I500"/>
    <mergeCell ref="A487:A493"/>
    <mergeCell ref="B487:B493"/>
    <mergeCell ref="C487:C493"/>
    <mergeCell ref="D487:D493"/>
    <mergeCell ref="F487:F493"/>
    <mergeCell ref="H487:H493"/>
    <mergeCell ref="I473:I479"/>
    <mergeCell ref="A480:A486"/>
    <mergeCell ref="B480:B486"/>
    <mergeCell ref="C480:C486"/>
    <mergeCell ref="D480:D486"/>
    <mergeCell ref="F480:F486"/>
    <mergeCell ref="H480:H486"/>
    <mergeCell ref="I480:I486"/>
    <mergeCell ref="A473:A479"/>
    <mergeCell ref="B473:B479"/>
    <mergeCell ref="C473:C479"/>
    <mergeCell ref="D473:D479"/>
    <mergeCell ref="F473:F479"/>
    <mergeCell ref="H473:H479"/>
    <mergeCell ref="E473:E479"/>
    <mergeCell ref="E480:E486"/>
    <mergeCell ref="E487:E493"/>
    <mergeCell ref="E550:E556"/>
    <mergeCell ref="I515:I521"/>
    <mergeCell ref="A522:A528"/>
    <mergeCell ref="B522:B528"/>
    <mergeCell ref="C522:C528"/>
    <mergeCell ref="D522:D528"/>
    <mergeCell ref="F522:F528"/>
    <mergeCell ref="H522:H528"/>
    <mergeCell ref="I522:I528"/>
    <mergeCell ref="A515:A521"/>
    <mergeCell ref="B515:B521"/>
    <mergeCell ref="C515:C521"/>
    <mergeCell ref="D515:D521"/>
    <mergeCell ref="F515:F521"/>
    <mergeCell ref="H515:H521"/>
    <mergeCell ref="I501:I507"/>
    <mergeCell ref="A508:A514"/>
    <mergeCell ref="B508:B514"/>
    <mergeCell ref="C508:C514"/>
    <mergeCell ref="D508:D514"/>
    <mergeCell ref="F508:F514"/>
    <mergeCell ref="H508:H514"/>
    <mergeCell ref="I508:I514"/>
    <mergeCell ref="A501:A507"/>
    <mergeCell ref="B501:B507"/>
    <mergeCell ref="C501:C507"/>
    <mergeCell ref="D501:D507"/>
    <mergeCell ref="F501:F507"/>
    <mergeCell ref="H501:H507"/>
    <mergeCell ref="E501:E507"/>
    <mergeCell ref="E508:E514"/>
    <mergeCell ref="E515:E521"/>
    <mergeCell ref="E578:E584"/>
    <mergeCell ref="I543:I549"/>
    <mergeCell ref="A550:A556"/>
    <mergeCell ref="B550:B556"/>
    <mergeCell ref="C550:C556"/>
    <mergeCell ref="D550:D556"/>
    <mergeCell ref="F550:F556"/>
    <mergeCell ref="H550:H556"/>
    <mergeCell ref="I550:I556"/>
    <mergeCell ref="A543:A549"/>
    <mergeCell ref="B543:B549"/>
    <mergeCell ref="C543:C549"/>
    <mergeCell ref="D543:D549"/>
    <mergeCell ref="F543:F549"/>
    <mergeCell ref="H543:H549"/>
    <mergeCell ref="I529:I535"/>
    <mergeCell ref="A536:A542"/>
    <mergeCell ref="B536:B542"/>
    <mergeCell ref="C536:C542"/>
    <mergeCell ref="D536:D542"/>
    <mergeCell ref="F536:F542"/>
    <mergeCell ref="H536:H542"/>
    <mergeCell ref="I536:I542"/>
    <mergeCell ref="A529:A535"/>
    <mergeCell ref="B529:B535"/>
    <mergeCell ref="C529:C535"/>
    <mergeCell ref="D529:D535"/>
    <mergeCell ref="F529:F535"/>
    <mergeCell ref="H529:H535"/>
    <mergeCell ref="E529:E535"/>
    <mergeCell ref="E536:E542"/>
    <mergeCell ref="E543:E549"/>
    <mergeCell ref="E606:E612"/>
    <mergeCell ref="I571:I577"/>
    <mergeCell ref="A578:A584"/>
    <mergeCell ref="B578:B584"/>
    <mergeCell ref="C578:C584"/>
    <mergeCell ref="D578:D584"/>
    <mergeCell ref="F578:F584"/>
    <mergeCell ref="H578:H584"/>
    <mergeCell ref="I578:I584"/>
    <mergeCell ref="A571:A577"/>
    <mergeCell ref="B571:B577"/>
    <mergeCell ref="C571:C577"/>
    <mergeCell ref="D571:D577"/>
    <mergeCell ref="F571:F577"/>
    <mergeCell ref="H571:H577"/>
    <mergeCell ref="I557:I563"/>
    <mergeCell ref="A564:A570"/>
    <mergeCell ref="B564:B570"/>
    <mergeCell ref="C564:C570"/>
    <mergeCell ref="D564:D570"/>
    <mergeCell ref="F564:F570"/>
    <mergeCell ref="H564:H570"/>
    <mergeCell ref="I564:I570"/>
    <mergeCell ref="A557:A563"/>
    <mergeCell ref="B557:B563"/>
    <mergeCell ref="C557:C563"/>
    <mergeCell ref="D557:D563"/>
    <mergeCell ref="F557:F563"/>
    <mergeCell ref="H557:H563"/>
    <mergeCell ref="E557:E563"/>
    <mergeCell ref="E564:E570"/>
    <mergeCell ref="E571:E577"/>
    <mergeCell ref="E634:E640"/>
    <mergeCell ref="I599:I605"/>
    <mergeCell ref="A606:A612"/>
    <mergeCell ref="B606:B612"/>
    <mergeCell ref="C606:C612"/>
    <mergeCell ref="D606:D612"/>
    <mergeCell ref="F606:F612"/>
    <mergeCell ref="H606:H612"/>
    <mergeCell ref="I606:I612"/>
    <mergeCell ref="A599:A605"/>
    <mergeCell ref="B599:B605"/>
    <mergeCell ref="C599:C605"/>
    <mergeCell ref="D599:D605"/>
    <mergeCell ref="F599:F605"/>
    <mergeCell ref="H599:H605"/>
    <mergeCell ref="I585:I591"/>
    <mergeCell ref="A592:A598"/>
    <mergeCell ref="B592:B598"/>
    <mergeCell ref="C592:C598"/>
    <mergeCell ref="D592:D598"/>
    <mergeCell ref="F592:F598"/>
    <mergeCell ref="H592:H598"/>
    <mergeCell ref="I592:I598"/>
    <mergeCell ref="A585:A591"/>
    <mergeCell ref="B585:B591"/>
    <mergeCell ref="C585:C591"/>
    <mergeCell ref="D585:D591"/>
    <mergeCell ref="F585:F591"/>
    <mergeCell ref="H585:H591"/>
    <mergeCell ref="E585:E591"/>
    <mergeCell ref="E592:E598"/>
    <mergeCell ref="E599:E605"/>
    <mergeCell ref="E662:E668"/>
    <mergeCell ref="I627:I633"/>
    <mergeCell ref="A634:A640"/>
    <mergeCell ref="B634:B640"/>
    <mergeCell ref="C634:C640"/>
    <mergeCell ref="D634:D640"/>
    <mergeCell ref="F634:F640"/>
    <mergeCell ref="H634:H640"/>
    <mergeCell ref="I634:I640"/>
    <mergeCell ref="A627:A633"/>
    <mergeCell ref="B627:B633"/>
    <mergeCell ref="C627:C633"/>
    <mergeCell ref="D627:D633"/>
    <mergeCell ref="F627:F633"/>
    <mergeCell ref="H627:H633"/>
    <mergeCell ref="I613:I619"/>
    <mergeCell ref="A620:A626"/>
    <mergeCell ref="B620:B626"/>
    <mergeCell ref="C620:C626"/>
    <mergeCell ref="D620:D626"/>
    <mergeCell ref="F620:F626"/>
    <mergeCell ref="H620:H626"/>
    <mergeCell ref="I620:I626"/>
    <mergeCell ref="A613:A619"/>
    <mergeCell ref="B613:B619"/>
    <mergeCell ref="C613:C619"/>
    <mergeCell ref="D613:D619"/>
    <mergeCell ref="F613:F619"/>
    <mergeCell ref="H613:H619"/>
    <mergeCell ref="E613:E619"/>
    <mergeCell ref="E620:E626"/>
    <mergeCell ref="E627:E633"/>
    <mergeCell ref="E690:E696"/>
    <mergeCell ref="I655:I661"/>
    <mergeCell ref="A662:A668"/>
    <mergeCell ref="B662:B668"/>
    <mergeCell ref="C662:C668"/>
    <mergeCell ref="D662:D668"/>
    <mergeCell ref="F662:F668"/>
    <mergeCell ref="H662:H668"/>
    <mergeCell ref="I662:I668"/>
    <mergeCell ref="A655:A661"/>
    <mergeCell ref="B655:B661"/>
    <mergeCell ref="C655:C661"/>
    <mergeCell ref="D655:D661"/>
    <mergeCell ref="F655:F661"/>
    <mergeCell ref="H655:H661"/>
    <mergeCell ref="I641:I647"/>
    <mergeCell ref="A648:A654"/>
    <mergeCell ref="B648:B654"/>
    <mergeCell ref="C648:C654"/>
    <mergeCell ref="D648:D654"/>
    <mergeCell ref="F648:F654"/>
    <mergeCell ref="H648:H654"/>
    <mergeCell ref="I648:I654"/>
    <mergeCell ref="A641:A647"/>
    <mergeCell ref="B641:B647"/>
    <mergeCell ref="C641:C647"/>
    <mergeCell ref="D641:D647"/>
    <mergeCell ref="F641:F647"/>
    <mergeCell ref="H641:H647"/>
    <mergeCell ref="E641:E647"/>
    <mergeCell ref="E648:E654"/>
    <mergeCell ref="E655:E661"/>
    <mergeCell ref="E718:E724"/>
    <mergeCell ref="I683:I689"/>
    <mergeCell ref="A690:A696"/>
    <mergeCell ref="B690:B696"/>
    <mergeCell ref="C690:C696"/>
    <mergeCell ref="D690:D696"/>
    <mergeCell ref="F690:F696"/>
    <mergeCell ref="H690:H696"/>
    <mergeCell ref="I690:I696"/>
    <mergeCell ref="A683:A689"/>
    <mergeCell ref="B683:B689"/>
    <mergeCell ref="C683:C689"/>
    <mergeCell ref="D683:D689"/>
    <mergeCell ref="F683:F689"/>
    <mergeCell ref="H683:H689"/>
    <mergeCell ref="I669:I675"/>
    <mergeCell ref="A676:A682"/>
    <mergeCell ref="B676:B682"/>
    <mergeCell ref="C676:C682"/>
    <mergeCell ref="D676:D682"/>
    <mergeCell ref="F676:F682"/>
    <mergeCell ref="H676:H682"/>
    <mergeCell ref="I676:I682"/>
    <mergeCell ref="A669:A675"/>
    <mergeCell ref="B669:B675"/>
    <mergeCell ref="C669:C675"/>
    <mergeCell ref="D669:D675"/>
    <mergeCell ref="F669:F675"/>
    <mergeCell ref="H669:H675"/>
    <mergeCell ref="E669:E675"/>
    <mergeCell ref="E676:E682"/>
    <mergeCell ref="E683:E689"/>
    <mergeCell ref="E747:E753"/>
    <mergeCell ref="I711:I717"/>
    <mergeCell ref="A718:A724"/>
    <mergeCell ref="B718:B724"/>
    <mergeCell ref="C718:C724"/>
    <mergeCell ref="D718:D724"/>
    <mergeCell ref="F718:F724"/>
    <mergeCell ref="H718:H724"/>
    <mergeCell ref="I718:I724"/>
    <mergeCell ref="A711:A717"/>
    <mergeCell ref="B711:B717"/>
    <mergeCell ref="C711:C717"/>
    <mergeCell ref="D711:D717"/>
    <mergeCell ref="F711:F717"/>
    <mergeCell ref="H711:H717"/>
    <mergeCell ref="I697:I703"/>
    <mergeCell ref="A704:A710"/>
    <mergeCell ref="B704:B710"/>
    <mergeCell ref="C704:C710"/>
    <mergeCell ref="D704:D710"/>
    <mergeCell ref="F704:F710"/>
    <mergeCell ref="H704:H710"/>
    <mergeCell ref="I704:I710"/>
    <mergeCell ref="A697:A703"/>
    <mergeCell ref="B697:B703"/>
    <mergeCell ref="C697:C703"/>
    <mergeCell ref="D697:D703"/>
    <mergeCell ref="F697:F703"/>
    <mergeCell ref="H697:H703"/>
    <mergeCell ref="E697:E703"/>
    <mergeCell ref="E704:E710"/>
    <mergeCell ref="E711:E717"/>
    <mergeCell ref="E775:E781"/>
    <mergeCell ref="I739:I745"/>
    <mergeCell ref="A747:A753"/>
    <mergeCell ref="B747:B753"/>
    <mergeCell ref="C747:C753"/>
    <mergeCell ref="D747:D753"/>
    <mergeCell ref="F747:F753"/>
    <mergeCell ref="H747:H753"/>
    <mergeCell ref="I747:I753"/>
    <mergeCell ref="A739:A745"/>
    <mergeCell ref="B739:B745"/>
    <mergeCell ref="C739:C745"/>
    <mergeCell ref="D739:D745"/>
    <mergeCell ref="F739:F745"/>
    <mergeCell ref="H739:H745"/>
    <mergeCell ref="I725:I731"/>
    <mergeCell ref="A732:A738"/>
    <mergeCell ref="B732:B738"/>
    <mergeCell ref="C732:C738"/>
    <mergeCell ref="D732:D738"/>
    <mergeCell ref="F732:F738"/>
    <mergeCell ref="H732:H738"/>
    <mergeCell ref="I732:I738"/>
    <mergeCell ref="A725:A731"/>
    <mergeCell ref="B725:B731"/>
    <mergeCell ref="C725:C731"/>
    <mergeCell ref="D725:D731"/>
    <mergeCell ref="F725:F731"/>
    <mergeCell ref="H725:H731"/>
    <mergeCell ref="E725:E731"/>
    <mergeCell ref="E732:E738"/>
    <mergeCell ref="E739:E745"/>
    <mergeCell ref="E803:E809"/>
    <mergeCell ref="I768:I774"/>
    <mergeCell ref="A775:A781"/>
    <mergeCell ref="B775:B781"/>
    <mergeCell ref="C775:C781"/>
    <mergeCell ref="D775:D781"/>
    <mergeCell ref="F775:F781"/>
    <mergeCell ref="H775:H781"/>
    <mergeCell ref="I775:I781"/>
    <mergeCell ref="A768:A774"/>
    <mergeCell ref="B768:B774"/>
    <mergeCell ref="C768:C774"/>
    <mergeCell ref="D768:D774"/>
    <mergeCell ref="F768:F774"/>
    <mergeCell ref="H768:H774"/>
    <mergeCell ref="I754:I760"/>
    <mergeCell ref="A761:A767"/>
    <mergeCell ref="B761:B767"/>
    <mergeCell ref="C761:C767"/>
    <mergeCell ref="D761:D767"/>
    <mergeCell ref="F761:F767"/>
    <mergeCell ref="H761:H767"/>
    <mergeCell ref="I761:I767"/>
    <mergeCell ref="A754:A760"/>
    <mergeCell ref="B754:B760"/>
    <mergeCell ref="C754:C760"/>
    <mergeCell ref="D754:D760"/>
    <mergeCell ref="F754:F760"/>
    <mergeCell ref="H754:H760"/>
    <mergeCell ref="E754:E760"/>
    <mergeCell ref="E761:E767"/>
    <mergeCell ref="E768:E774"/>
    <mergeCell ref="E831:E837"/>
    <mergeCell ref="I796:I802"/>
    <mergeCell ref="A803:A809"/>
    <mergeCell ref="B803:B809"/>
    <mergeCell ref="C803:C809"/>
    <mergeCell ref="D803:D809"/>
    <mergeCell ref="F803:F809"/>
    <mergeCell ref="H803:H809"/>
    <mergeCell ref="I803:I809"/>
    <mergeCell ref="A796:A802"/>
    <mergeCell ref="B796:B802"/>
    <mergeCell ref="C796:C802"/>
    <mergeCell ref="D796:D802"/>
    <mergeCell ref="F796:F802"/>
    <mergeCell ref="H796:H802"/>
    <mergeCell ref="I782:I788"/>
    <mergeCell ref="A789:A795"/>
    <mergeCell ref="B789:B795"/>
    <mergeCell ref="C789:C795"/>
    <mergeCell ref="D789:D795"/>
    <mergeCell ref="F789:F795"/>
    <mergeCell ref="H789:H795"/>
    <mergeCell ref="I789:I795"/>
    <mergeCell ref="A782:A788"/>
    <mergeCell ref="B782:B788"/>
    <mergeCell ref="C782:C788"/>
    <mergeCell ref="D782:D788"/>
    <mergeCell ref="F782:F788"/>
    <mergeCell ref="H782:H788"/>
    <mergeCell ref="E782:E788"/>
    <mergeCell ref="E789:E795"/>
    <mergeCell ref="E796:E802"/>
    <mergeCell ref="E859:E865"/>
    <mergeCell ref="I824:I830"/>
    <mergeCell ref="A831:A837"/>
    <mergeCell ref="B831:B837"/>
    <mergeCell ref="C831:C837"/>
    <mergeCell ref="D831:D837"/>
    <mergeCell ref="F831:F837"/>
    <mergeCell ref="H831:H837"/>
    <mergeCell ref="I831:I837"/>
    <mergeCell ref="A824:A830"/>
    <mergeCell ref="B824:B830"/>
    <mergeCell ref="C824:C830"/>
    <mergeCell ref="D824:D830"/>
    <mergeCell ref="F824:F830"/>
    <mergeCell ref="H824:H830"/>
    <mergeCell ref="I810:I816"/>
    <mergeCell ref="A817:A823"/>
    <mergeCell ref="B817:B823"/>
    <mergeCell ref="C817:C823"/>
    <mergeCell ref="D817:D823"/>
    <mergeCell ref="F817:F823"/>
    <mergeCell ref="H817:H823"/>
    <mergeCell ref="I817:I823"/>
    <mergeCell ref="A810:A816"/>
    <mergeCell ref="B810:B816"/>
    <mergeCell ref="C810:C816"/>
    <mergeCell ref="D810:D816"/>
    <mergeCell ref="F810:F816"/>
    <mergeCell ref="H810:H816"/>
    <mergeCell ref="E810:E816"/>
    <mergeCell ref="E817:E823"/>
    <mergeCell ref="E824:E830"/>
    <mergeCell ref="E887:E893"/>
    <mergeCell ref="I852:I858"/>
    <mergeCell ref="A859:A865"/>
    <mergeCell ref="B859:B865"/>
    <mergeCell ref="C859:C865"/>
    <mergeCell ref="D859:D865"/>
    <mergeCell ref="F859:F865"/>
    <mergeCell ref="H859:H865"/>
    <mergeCell ref="I859:I865"/>
    <mergeCell ref="A852:A858"/>
    <mergeCell ref="B852:B858"/>
    <mergeCell ref="C852:C858"/>
    <mergeCell ref="D852:D858"/>
    <mergeCell ref="F852:F858"/>
    <mergeCell ref="H852:H858"/>
    <mergeCell ref="I838:I844"/>
    <mergeCell ref="A845:A851"/>
    <mergeCell ref="B845:B851"/>
    <mergeCell ref="C845:C851"/>
    <mergeCell ref="D845:D851"/>
    <mergeCell ref="F845:F851"/>
    <mergeCell ref="H845:H851"/>
    <mergeCell ref="I845:I851"/>
    <mergeCell ref="A838:A844"/>
    <mergeCell ref="B838:B844"/>
    <mergeCell ref="C838:C844"/>
    <mergeCell ref="D838:D844"/>
    <mergeCell ref="F838:F844"/>
    <mergeCell ref="H838:H844"/>
    <mergeCell ref="E838:E844"/>
    <mergeCell ref="E845:E851"/>
    <mergeCell ref="E852:E858"/>
    <mergeCell ref="E915:E921"/>
    <mergeCell ref="I880:I886"/>
    <mergeCell ref="A887:A893"/>
    <mergeCell ref="B887:B893"/>
    <mergeCell ref="C887:C893"/>
    <mergeCell ref="D887:D893"/>
    <mergeCell ref="F887:F893"/>
    <mergeCell ref="H887:H893"/>
    <mergeCell ref="I887:I893"/>
    <mergeCell ref="A880:A886"/>
    <mergeCell ref="B880:B886"/>
    <mergeCell ref="C880:C886"/>
    <mergeCell ref="D880:D886"/>
    <mergeCell ref="F880:F886"/>
    <mergeCell ref="H880:H886"/>
    <mergeCell ref="I866:I872"/>
    <mergeCell ref="A873:A879"/>
    <mergeCell ref="B873:B879"/>
    <mergeCell ref="C873:C879"/>
    <mergeCell ref="D873:D879"/>
    <mergeCell ref="F873:F879"/>
    <mergeCell ref="H873:H879"/>
    <mergeCell ref="I873:I879"/>
    <mergeCell ref="A866:A872"/>
    <mergeCell ref="B866:B872"/>
    <mergeCell ref="C866:C872"/>
    <mergeCell ref="D866:D872"/>
    <mergeCell ref="F866:F872"/>
    <mergeCell ref="H866:H872"/>
    <mergeCell ref="E866:E872"/>
    <mergeCell ref="E873:E879"/>
    <mergeCell ref="E880:E886"/>
    <mergeCell ref="E943:E949"/>
    <mergeCell ref="I908:I914"/>
    <mergeCell ref="A915:A921"/>
    <mergeCell ref="B915:B921"/>
    <mergeCell ref="C915:C921"/>
    <mergeCell ref="D915:D921"/>
    <mergeCell ref="F915:F921"/>
    <mergeCell ref="H915:H921"/>
    <mergeCell ref="I915:I921"/>
    <mergeCell ref="A908:A914"/>
    <mergeCell ref="B908:B914"/>
    <mergeCell ref="C908:C914"/>
    <mergeCell ref="D908:D914"/>
    <mergeCell ref="F908:F914"/>
    <mergeCell ref="H908:H914"/>
    <mergeCell ref="I894:I900"/>
    <mergeCell ref="A901:A907"/>
    <mergeCell ref="B901:B907"/>
    <mergeCell ref="C901:C907"/>
    <mergeCell ref="D901:D907"/>
    <mergeCell ref="F901:F907"/>
    <mergeCell ref="H901:H907"/>
    <mergeCell ref="I901:I907"/>
    <mergeCell ref="A894:A900"/>
    <mergeCell ref="B894:B900"/>
    <mergeCell ref="C894:C900"/>
    <mergeCell ref="D894:D900"/>
    <mergeCell ref="F894:F900"/>
    <mergeCell ref="H894:H900"/>
    <mergeCell ref="E894:E900"/>
    <mergeCell ref="E901:E907"/>
    <mergeCell ref="E908:E914"/>
    <mergeCell ref="E971:E977"/>
    <mergeCell ref="I936:I942"/>
    <mergeCell ref="A943:A949"/>
    <mergeCell ref="B943:B949"/>
    <mergeCell ref="C943:C949"/>
    <mergeCell ref="D943:D949"/>
    <mergeCell ref="F943:F949"/>
    <mergeCell ref="H943:H949"/>
    <mergeCell ref="I943:I949"/>
    <mergeCell ref="A936:A942"/>
    <mergeCell ref="B936:B942"/>
    <mergeCell ref="C936:C942"/>
    <mergeCell ref="D936:D942"/>
    <mergeCell ref="F936:F942"/>
    <mergeCell ref="H936:H942"/>
    <mergeCell ref="I922:I928"/>
    <mergeCell ref="A929:A935"/>
    <mergeCell ref="B929:B935"/>
    <mergeCell ref="C929:C935"/>
    <mergeCell ref="D929:D935"/>
    <mergeCell ref="F929:F935"/>
    <mergeCell ref="H929:H935"/>
    <mergeCell ref="I929:I935"/>
    <mergeCell ref="A922:A928"/>
    <mergeCell ref="B922:B928"/>
    <mergeCell ref="C922:C928"/>
    <mergeCell ref="D922:D928"/>
    <mergeCell ref="F922:F928"/>
    <mergeCell ref="H922:H928"/>
    <mergeCell ref="E922:E928"/>
    <mergeCell ref="E929:E935"/>
    <mergeCell ref="E936:E942"/>
    <mergeCell ref="E999:E1005"/>
    <mergeCell ref="I964:I970"/>
    <mergeCell ref="A971:A977"/>
    <mergeCell ref="B971:B977"/>
    <mergeCell ref="C971:C977"/>
    <mergeCell ref="D971:D977"/>
    <mergeCell ref="F971:F977"/>
    <mergeCell ref="H971:H977"/>
    <mergeCell ref="I971:I977"/>
    <mergeCell ref="A964:A970"/>
    <mergeCell ref="B964:B970"/>
    <mergeCell ref="C964:C970"/>
    <mergeCell ref="D964:D970"/>
    <mergeCell ref="F964:F970"/>
    <mergeCell ref="H964:H970"/>
    <mergeCell ref="I950:I956"/>
    <mergeCell ref="A957:A963"/>
    <mergeCell ref="B957:B963"/>
    <mergeCell ref="C957:C963"/>
    <mergeCell ref="D957:D963"/>
    <mergeCell ref="F957:F963"/>
    <mergeCell ref="H957:H963"/>
    <mergeCell ref="I957:I963"/>
    <mergeCell ref="A950:A956"/>
    <mergeCell ref="B950:B956"/>
    <mergeCell ref="C950:C956"/>
    <mergeCell ref="D950:D956"/>
    <mergeCell ref="F950:F956"/>
    <mergeCell ref="H950:H956"/>
    <mergeCell ref="E950:E956"/>
    <mergeCell ref="E957:E963"/>
    <mergeCell ref="E964:E970"/>
    <mergeCell ref="E1027:E1033"/>
    <mergeCell ref="I992:I998"/>
    <mergeCell ref="A999:A1005"/>
    <mergeCell ref="B999:B1005"/>
    <mergeCell ref="C999:C1005"/>
    <mergeCell ref="D999:D1005"/>
    <mergeCell ref="F999:F1005"/>
    <mergeCell ref="H999:H1005"/>
    <mergeCell ref="I999:I1005"/>
    <mergeCell ref="A992:A998"/>
    <mergeCell ref="B992:B998"/>
    <mergeCell ref="C992:C998"/>
    <mergeCell ref="D992:D998"/>
    <mergeCell ref="F992:F998"/>
    <mergeCell ref="H992:H998"/>
    <mergeCell ref="I978:I984"/>
    <mergeCell ref="A985:A991"/>
    <mergeCell ref="B985:B991"/>
    <mergeCell ref="C985:C991"/>
    <mergeCell ref="D985:D991"/>
    <mergeCell ref="F985:F991"/>
    <mergeCell ref="H985:H991"/>
    <mergeCell ref="I985:I991"/>
    <mergeCell ref="A978:A984"/>
    <mergeCell ref="B978:B984"/>
    <mergeCell ref="C978:C984"/>
    <mergeCell ref="D978:D984"/>
    <mergeCell ref="F978:F984"/>
    <mergeCell ref="H978:H984"/>
    <mergeCell ref="E978:E984"/>
    <mergeCell ref="E985:E991"/>
    <mergeCell ref="E992:E998"/>
    <mergeCell ref="E1055:E1061"/>
    <mergeCell ref="I1020:I1026"/>
    <mergeCell ref="A1027:A1033"/>
    <mergeCell ref="B1027:B1033"/>
    <mergeCell ref="C1027:C1033"/>
    <mergeCell ref="D1027:D1033"/>
    <mergeCell ref="F1027:F1033"/>
    <mergeCell ref="H1027:H1033"/>
    <mergeCell ref="I1027:I1033"/>
    <mergeCell ref="A1020:A1026"/>
    <mergeCell ref="B1020:B1026"/>
    <mergeCell ref="C1020:C1026"/>
    <mergeCell ref="D1020:D1026"/>
    <mergeCell ref="F1020:F1026"/>
    <mergeCell ref="H1020:H1026"/>
    <mergeCell ref="I1006:I1012"/>
    <mergeCell ref="A1013:A1019"/>
    <mergeCell ref="B1013:B1019"/>
    <mergeCell ref="C1013:C1019"/>
    <mergeCell ref="D1013:D1019"/>
    <mergeCell ref="F1013:F1019"/>
    <mergeCell ref="H1013:H1019"/>
    <mergeCell ref="I1013:I1019"/>
    <mergeCell ref="A1006:A1012"/>
    <mergeCell ref="B1006:B1012"/>
    <mergeCell ref="C1006:C1012"/>
    <mergeCell ref="D1006:D1012"/>
    <mergeCell ref="F1006:F1012"/>
    <mergeCell ref="H1006:H1012"/>
    <mergeCell ref="E1006:E1012"/>
    <mergeCell ref="E1013:E1019"/>
    <mergeCell ref="E1020:E1026"/>
    <mergeCell ref="E1083:E1089"/>
    <mergeCell ref="I1048:I1054"/>
    <mergeCell ref="A1055:A1061"/>
    <mergeCell ref="B1055:B1061"/>
    <mergeCell ref="C1055:C1061"/>
    <mergeCell ref="D1055:D1061"/>
    <mergeCell ref="F1055:F1061"/>
    <mergeCell ref="H1055:H1061"/>
    <mergeCell ref="I1055:I1061"/>
    <mergeCell ref="A1048:A1054"/>
    <mergeCell ref="B1048:B1054"/>
    <mergeCell ref="C1048:C1054"/>
    <mergeCell ref="D1048:D1054"/>
    <mergeCell ref="F1048:F1054"/>
    <mergeCell ref="H1048:H1054"/>
    <mergeCell ref="I1034:I1040"/>
    <mergeCell ref="A1041:A1047"/>
    <mergeCell ref="B1041:B1047"/>
    <mergeCell ref="C1041:C1047"/>
    <mergeCell ref="D1041:D1047"/>
    <mergeCell ref="F1041:F1047"/>
    <mergeCell ref="H1041:H1047"/>
    <mergeCell ref="I1041:I1047"/>
    <mergeCell ref="A1034:A1040"/>
    <mergeCell ref="B1034:B1040"/>
    <mergeCell ref="C1034:C1040"/>
    <mergeCell ref="D1034:D1040"/>
    <mergeCell ref="F1034:F1040"/>
    <mergeCell ref="H1034:H1040"/>
    <mergeCell ref="E1034:E1040"/>
    <mergeCell ref="E1041:E1047"/>
    <mergeCell ref="E1048:E1054"/>
    <mergeCell ref="E1111:E1117"/>
    <mergeCell ref="I1076:I1082"/>
    <mergeCell ref="A1083:A1089"/>
    <mergeCell ref="B1083:B1089"/>
    <mergeCell ref="C1083:C1089"/>
    <mergeCell ref="D1083:D1089"/>
    <mergeCell ref="F1083:F1089"/>
    <mergeCell ref="H1083:H1089"/>
    <mergeCell ref="I1083:I1089"/>
    <mergeCell ref="A1076:A1082"/>
    <mergeCell ref="B1076:B1082"/>
    <mergeCell ref="C1076:C1082"/>
    <mergeCell ref="D1076:D1082"/>
    <mergeCell ref="F1076:F1082"/>
    <mergeCell ref="H1076:H1082"/>
    <mergeCell ref="I1062:I1068"/>
    <mergeCell ref="A1069:A1075"/>
    <mergeCell ref="B1069:B1075"/>
    <mergeCell ref="C1069:C1075"/>
    <mergeCell ref="D1069:D1075"/>
    <mergeCell ref="F1069:F1075"/>
    <mergeCell ref="H1069:H1075"/>
    <mergeCell ref="I1069:I1075"/>
    <mergeCell ref="A1062:A1068"/>
    <mergeCell ref="B1062:B1068"/>
    <mergeCell ref="C1062:C1068"/>
    <mergeCell ref="D1062:D1068"/>
    <mergeCell ref="F1062:F1068"/>
    <mergeCell ref="H1062:H1068"/>
    <mergeCell ref="E1062:E1068"/>
    <mergeCell ref="E1069:E1075"/>
    <mergeCell ref="E1076:E1082"/>
    <mergeCell ref="E1139:E1145"/>
    <mergeCell ref="I1104:I1110"/>
    <mergeCell ref="A1111:A1117"/>
    <mergeCell ref="B1111:B1117"/>
    <mergeCell ref="C1111:C1117"/>
    <mergeCell ref="D1111:D1117"/>
    <mergeCell ref="F1111:F1117"/>
    <mergeCell ref="H1111:H1117"/>
    <mergeCell ref="I1111:I1117"/>
    <mergeCell ref="A1104:A1110"/>
    <mergeCell ref="B1104:B1110"/>
    <mergeCell ref="C1104:C1110"/>
    <mergeCell ref="D1104:D1110"/>
    <mergeCell ref="F1104:F1110"/>
    <mergeCell ref="H1104:H1110"/>
    <mergeCell ref="I1090:I1096"/>
    <mergeCell ref="A1097:A1103"/>
    <mergeCell ref="B1097:B1103"/>
    <mergeCell ref="C1097:C1103"/>
    <mergeCell ref="D1097:D1103"/>
    <mergeCell ref="F1097:F1103"/>
    <mergeCell ref="H1097:H1103"/>
    <mergeCell ref="I1097:I1103"/>
    <mergeCell ref="A1090:A1096"/>
    <mergeCell ref="B1090:B1096"/>
    <mergeCell ref="C1090:C1096"/>
    <mergeCell ref="D1090:D1096"/>
    <mergeCell ref="F1090:F1096"/>
    <mergeCell ref="H1090:H1096"/>
    <mergeCell ref="E1090:E1096"/>
    <mergeCell ref="E1097:E1103"/>
    <mergeCell ref="E1104:E1110"/>
    <mergeCell ref="E1167:E1173"/>
    <mergeCell ref="I1132:I1138"/>
    <mergeCell ref="A1139:A1145"/>
    <mergeCell ref="B1139:B1145"/>
    <mergeCell ref="C1139:C1145"/>
    <mergeCell ref="D1139:D1145"/>
    <mergeCell ref="F1139:F1145"/>
    <mergeCell ref="H1139:H1145"/>
    <mergeCell ref="I1139:I1145"/>
    <mergeCell ref="A1132:A1138"/>
    <mergeCell ref="B1132:B1138"/>
    <mergeCell ref="C1132:C1138"/>
    <mergeCell ref="D1132:D1138"/>
    <mergeCell ref="F1132:F1138"/>
    <mergeCell ref="H1132:H1138"/>
    <mergeCell ref="I1118:I1124"/>
    <mergeCell ref="A1125:A1131"/>
    <mergeCell ref="B1125:B1131"/>
    <mergeCell ref="C1125:C1131"/>
    <mergeCell ref="D1125:D1131"/>
    <mergeCell ref="F1125:F1131"/>
    <mergeCell ref="H1125:H1131"/>
    <mergeCell ref="I1125:I1131"/>
    <mergeCell ref="A1118:A1124"/>
    <mergeCell ref="B1118:B1124"/>
    <mergeCell ref="C1118:C1124"/>
    <mergeCell ref="D1118:D1124"/>
    <mergeCell ref="F1118:F1124"/>
    <mergeCell ref="H1118:H1124"/>
    <mergeCell ref="E1118:E1124"/>
    <mergeCell ref="E1125:E1131"/>
    <mergeCell ref="E1132:E1138"/>
    <mergeCell ref="E1196:E1202"/>
    <mergeCell ref="I1160:I1166"/>
    <mergeCell ref="A1167:A1173"/>
    <mergeCell ref="B1167:B1173"/>
    <mergeCell ref="C1167:C1173"/>
    <mergeCell ref="D1167:D1173"/>
    <mergeCell ref="F1167:F1173"/>
    <mergeCell ref="H1167:H1173"/>
    <mergeCell ref="I1167:I1173"/>
    <mergeCell ref="A1160:A1166"/>
    <mergeCell ref="B1160:B1166"/>
    <mergeCell ref="C1160:C1166"/>
    <mergeCell ref="D1160:D1166"/>
    <mergeCell ref="F1160:F1166"/>
    <mergeCell ref="H1160:H1166"/>
    <mergeCell ref="I1146:I1152"/>
    <mergeCell ref="A1153:A1159"/>
    <mergeCell ref="B1153:B1159"/>
    <mergeCell ref="C1153:C1159"/>
    <mergeCell ref="D1153:D1159"/>
    <mergeCell ref="F1153:F1159"/>
    <mergeCell ref="H1153:H1159"/>
    <mergeCell ref="I1153:I1159"/>
    <mergeCell ref="A1146:A1152"/>
    <mergeCell ref="B1146:B1152"/>
    <mergeCell ref="C1146:C1152"/>
    <mergeCell ref="D1146:D1152"/>
    <mergeCell ref="F1146:F1152"/>
    <mergeCell ref="H1146:H1152"/>
    <mergeCell ref="E1146:E1152"/>
    <mergeCell ref="E1153:E1159"/>
    <mergeCell ref="E1160:E1166"/>
    <mergeCell ref="E1227:E1233"/>
    <mergeCell ref="I1188:I1194"/>
    <mergeCell ref="A1196:A1202"/>
    <mergeCell ref="B1196:B1202"/>
    <mergeCell ref="C1196:C1202"/>
    <mergeCell ref="D1196:D1202"/>
    <mergeCell ref="F1196:F1202"/>
    <mergeCell ref="H1196:H1202"/>
    <mergeCell ref="I1196:I1202"/>
    <mergeCell ref="A1188:A1194"/>
    <mergeCell ref="B1188:B1194"/>
    <mergeCell ref="C1188:C1194"/>
    <mergeCell ref="D1188:D1194"/>
    <mergeCell ref="F1188:F1194"/>
    <mergeCell ref="H1188:H1194"/>
    <mergeCell ref="I1174:I1180"/>
    <mergeCell ref="A1181:A1187"/>
    <mergeCell ref="B1181:B1187"/>
    <mergeCell ref="C1181:C1187"/>
    <mergeCell ref="D1181:D1187"/>
    <mergeCell ref="F1181:F1187"/>
    <mergeCell ref="H1181:H1187"/>
    <mergeCell ref="I1181:I1187"/>
    <mergeCell ref="A1174:A1180"/>
    <mergeCell ref="B1174:B1180"/>
    <mergeCell ref="C1174:C1180"/>
    <mergeCell ref="D1174:D1180"/>
    <mergeCell ref="F1174:F1180"/>
    <mergeCell ref="H1174:H1180"/>
    <mergeCell ref="E1174:E1180"/>
    <mergeCell ref="E1181:E1187"/>
    <mergeCell ref="E1188:E1194"/>
    <mergeCell ref="E1255:E1261"/>
    <mergeCell ref="I1219:I1225"/>
    <mergeCell ref="A1227:A1233"/>
    <mergeCell ref="B1227:B1233"/>
    <mergeCell ref="C1227:C1233"/>
    <mergeCell ref="D1227:D1233"/>
    <mergeCell ref="F1227:F1233"/>
    <mergeCell ref="H1227:H1233"/>
    <mergeCell ref="I1227:I1233"/>
    <mergeCell ref="A1219:A1225"/>
    <mergeCell ref="B1219:B1225"/>
    <mergeCell ref="C1219:C1225"/>
    <mergeCell ref="D1219:D1225"/>
    <mergeCell ref="F1219:F1225"/>
    <mergeCell ref="H1219:H1225"/>
    <mergeCell ref="I1204:I1210"/>
    <mergeCell ref="A1211:A1217"/>
    <mergeCell ref="B1211:B1217"/>
    <mergeCell ref="C1211:C1217"/>
    <mergeCell ref="D1211:D1217"/>
    <mergeCell ref="F1211:F1217"/>
    <mergeCell ref="H1211:H1217"/>
    <mergeCell ref="I1211:I1217"/>
    <mergeCell ref="A1204:A1210"/>
    <mergeCell ref="B1204:B1210"/>
    <mergeCell ref="C1204:C1210"/>
    <mergeCell ref="D1204:D1210"/>
    <mergeCell ref="F1204:F1210"/>
    <mergeCell ref="H1204:H1210"/>
    <mergeCell ref="E1204:E1210"/>
    <mergeCell ref="E1211:E1217"/>
    <mergeCell ref="E1219:E1225"/>
    <mergeCell ref="E1283:E1289"/>
    <mergeCell ref="I1248:I1254"/>
    <mergeCell ref="A1255:A1261"/>
    <mergeCell ref="B1255:B1261"/>
    <mergeCell ref="C1255:C1261"/>
    <mergeCell ref="D1255:D1261"/>
    <mergeCell ref="F1255:F1261"/>
    <mergeCell ref="H1255:H1261"/>
    <mergeCell ref="I1255:I1261"/>
    <mergeCell ref="A1248:A1254"/>
    <mergeCell ref="B1248:B1254"/>
    <mergeCell ref="C1248:C1254"/>
    <mergeCell ref="D1248:D1254"/>
    <mergeCell ref="F1248:F1254"/>
    <mergeCell ref="H1248:H1254"/>
    <mergeCell ref="I1234:I1240"/>
    <mergeCell ref="A1241:A1247"/>
    <mergeCell ref="B1241:B1247"/>
    <mergeCell ref="C1241:C1247"/>
    <mergeCell ref="D1241:D1247"/>
    <mergeCell ref="F1241:F1247"/>
    <mergeCell ref="H1241:H1247"/>
    <mergeCell ref="I1241:I1247"/>
    <mergeCell ref="A1234:A1240"/>
    <mergeCell ref="B1234:B1240"/>
    <mergeCell ref="C1234:C1240"/>
    <mergeCell ref="D1234:D1240"/>
    <mergeCell ref="F1234:F1240"/>
    <mergeCell ref="H1234:H1240"/>
    <mergeCell ref="E1234:E1240"/>
    <mergeCell ref="E1241:E1247"/>
    <mergeCell ref="E1248:E1254"/>
    <mergeCell ref="E1311:E1317"/>
    <mergeCell ref="I1276:I1282"/>
    <mergeCell ref="A1283:A1289"/>
    <mergeCell ref="B1283:B1289"/>
    <mergeCell ref="C1283:C1289"/>
    <mergeCell ref="D1283:D1289"/>
    <mergeCell ref="F1283:F1289"/>
    <mergeCell ref="H1283:H1289"/>
    <mergeCell ref="I1283:I1289"/>
    <mergeCell ref="A1276:A1282"/>
    <mergeCell ref="B1276:B1282"/>
    <mergeCell ref="C1276:C1282"/>
    <mergeCell ref="D1276:D1282"/>
    <mergeCell ref="F1276:F1282"/>
    <mergeCell ref="H1276:H1282"/>
    <mergeCell ref="I1262:I1268"/>
    <mergeCell ref="A1269:A1275"/>
    <mergeCell ref="B1269:B1275"/>
    <mergeCell ref="C1269:C1275"/>
    <mergeCell ref="D1269:D1275"/>
    <mergeCell ref="F1269:F1275"/>
    <mergeCell ref="H1269:H1275"/>
    <mergeCell ref="I1269:I1275"/>
    <mergeCell ref="A1262:A1268"/>
    <mergeCell ref="B1262:B1268"/>
    <mergeCell ref="C1262:C1268"/>
    <mergeCell ref="D1262:D1268"/>
    <mergeCell ref="F1262:F1268"/>
    <mergeCell ref="H1262:H1268"/>
    <mergeCell ref="E1262:E1268"/>
    <mergeCell ref="E1269:E1275"/>
    <mergeCell ref="E1276:E1282"/>
    <mergeCell ref="E1339:E1345"/>
    <mergeCell ref="I1304:I1310"/>
    <mergeCell ref="A1311:A1317"/>
    <mergeCell ref="B1311:B1317"/>
    <mergeCell ref="C1311:C1317"/>
    <mergeCell ref="D1311:D1317"/>
    <mergeCell ref="F1311:F1317"/>
    <mergeCell ref="H1311:H1317"/>
    <mergeCell ref="I1311:I1317"/>
    <mergeCell ref="A1304:A1310"/>
    <mergeCell ref="B1304:B1310"/>
    <mergeCell ref="C1304:C1310"/>
    <mergeCell ref="D1304:D1310"/>
    <mergeCell ref="F1304:F1310"/>
    <mergeCell ref="H1304:H1310"/>
    <mergeCell ref="I1290:I1296"/>
    <mergeCell ref="A1297:A1303"/>
    <mergeCell ref="B1297:B1303"/>
    <mergeCell ref="C1297:C1303"/>
    <mergeCell ref="D1297:D1303"/>
    <mergeCell ref="F1297:F1303"/>
    <mergeCell ref="H1297:H1303"/>
    <mergeCell ref="I1297:I1303"/>
    <mergeCell ref="A1290:A1296"/>
    <mergeCell ref="B1290:B1296"/>
    <mergeCell ref="C1290:C1296"/>
    <mergeCell ref="D1290:D1296"/>
    <mergeCell ref="F1290:F1296"/>
    <mergeCell ref="H1290:H1296"/>
    <mergeCell ref="E1290:E1296"/>
    <mergeCell ref="E1297:E1303"/>
    <mergeCell ref="E1304:E1310"/>
    <mergeCell ref="E1367:E1373"/>
    <mergeCell ref="I1332:I1338"/>
    <mergeCell ref="A1339:A1345"/>
    <mergeCell ref="B1339:B1345"/>
    <mergeCell ref="C1339:C1345"/>
    <mergeCell ref="D1339:D1345"/>
    <mergeCell ref="F1339:F1345"/>
    <mergeCell ref="H1339:H1345"/>
    <mergeCell ref="I1339:I1345"/>
    <mergeCell ref="A1332:A1338"/>
    <mergeCell ref="B1332:B1338"/>
    <mergeCell ref="C1332:C1338"/>
    <mergeCell ref="D1332:D1338"/>
    <mergeCell ref="F1332:F1338"/>
    <mergeCell ref="H1332:H1338"/>
    <mergeCell ref="I1318:I1324"/>
    <mergeCell ref="A1325:A1331"/>
    <mergeCell ref="B1325:B1331"/>
    <mergeCell ref="C1325:C1331"/>
    <mergeCell ref="D1325:D1331"/>
    <mergeCell ref="F1325:F1331"/>
    <mergeCell ref="H1325:H1331"/>
    <mergeCell ref="I1325:I1331"/>
    <mergeCell ref="A1318:A1324"/>
    <mergeCell ref="B1318:B1324"/>
    <mergeCell ref="C1318:C1324"/>
    <mergeCell ref="D1318:D1324"/>
    <mergeCell ref="F1318:F1324"/>
    <mergeCell ref="H1318:H1324"/>
    <mergeCell ref="E1318:E1324"/>
    <mergeCell ref="E1325:E1331"/>
    <mergeCell ref="E1332:E1338"/>
    <mergeCell ref="E1395:E1401"/>
    <mergeCell ref="I1360:I1366"/>
    <mergeCell ref="A1367:A1373"/>
    <mergeCell ref="B1367:B1373"/>
    <mergeCell ref="C1367:C1373"/>
    <mergeCell ref="D1367:D1373"/>
    <mergeCell ref="F1367:F1373"/>
    <mergeCell ref="H1367:H1373"/>
    <mergeCell ref="I1367:I1373"/>
    <mergeCell ref="A1360:A1366"/>
    <mergeCell ref="B1360:B1366"/>
    <mergeCell ref="C1360:C1366"/>
    <mergeCell ref="D1360:D1366"/>
    <mergeCell ref="F1360:F1366"/>
    <mergeCell ref="H1360:H1366"/>
    <mergeCell ref="I1346:I1352"/>
    <mergeCell ref="A1353:A1359"/>
    <mergeCell ref="B1353:B1359"/>
    <mergeCell ref="C1353:C1359"/>
    <mergeCell ref="D1353:D1359"/>
    <mergeCell ref="F1353:F1359"/>
    <mergeCell ref="H1353:H1359"/>
    <mergeCell ref="I1353:I1359"/>
    <mergeCell ref="A1346:A1352"/>
    <mergeCell ref="B1346:B1352"/>
    <mergeCell ref="C1346:C1352"/>
    <mergeCell ref="D1346:D1352"/>
    <mergeCell ref="F1346:F1352"/>
    <mergeCell ref="H1346:H1352"/>
    <mergeCell ref="E1346:E1352"/>
    <mergeCell ref="E1353:E1359"/>
    <mergeCell ref="E1360:E1366"/>
    <mergeCell ref="E1425:E1431"/>
    <mergeCell ref="I1388:I1394"/>
    <mergeCell ref="A1395:A1401"/>
    <mergeCell ref="B1395:B1401"/>
    <mergeCell ref="C1395:C1401"/>
    <mergeCell ref="D1395:D1401"/>
    <mergeCell ref="F1395:F1401"/>
    <mergeCell ref="H1395:H1401"/>
    <mergeCell ref="I1395:I1401"/>
    <mergeCell ref="A1388:A1394"/>
    <mergeCell ref="B1388:B1394"/>
    <mergeCell ref="C1388:C1394"/>
    <mergeCell ref="D1388:D1394"/>
    <mergeCell ref="F1388:F1394"/>
    <mergeCell ref="H1388:H1394"/>
    <mergeCell ref="I1374:I1380"/>
    <mergeCell ref="A1381:A1387"/>
    <mergeCell ref="B1381:B1387"/>
    <mergeCell ref="C1381:C1387"/>
    <mergeCell ref="D1381:D1387"/>
    <mergeCell ref="F1381:F1387"/>
    <mergeCell ref="H1381:H1387"/>
    <mergeCell ref="I1381:I1387"/>
    <mergeCell ref="A1374:A1380"/>
    <mergeCell ref="B1374:B1380"/>
    <mergeCell ref="C1374:C1380"/>
    <mergeCell ref="D1374:D1380"/>
    <mergeCell ref="F1374:F1380"/>
    <mergeCell ref="H1374:H1380"/>
    <mergeCell ref="E1374:E1380"/>
    <mergeCell ref="E1381:E1387"/>
    <mergeCell ref="E1388:E1394"/>
    <mergeCell ref="E1453:E1459"/>
    <mergeCell ref="I1417:I1423"/>
    <mergeCell ref="A1425:A1431"/>
    <mergeCell ref="B1425:B1431"/>
    <mergeCell ref="C1425:C1431"/>
    <mergeCell ref="D1425:D1431"/>
    <mergeCell ref="F1425:F1431"/>
    <mergeCell ref="H1425:H1431"/>
    <mergeCell ref="I1425:I1431"/>
    <mergeCell ref="A1417:A1423"/>
    <mergeCell ref="B1417:B1423"/>
    <mergeCell ref="C1417:C1423"/>
    <mergeCell ref="D1417:D1423"/>
    <mergeCell ref="F1417:F1423"/>
    <mergeCell ref="H1417:H1423"/>
    <mergeCell ref="I1402:I1408"/>
    <mergeCell ref="A1410:A1416"/>
    <mergeCell ref="B1410:B1416"/>
    <mergeCell ref="C1410:C1416"/>
    <mergeCell ref="D1410:D1416"/>
    <mergeCell ref="F1410:F1416"/>
    <mergeCell ref="H1410:H1416"/>
    <mergeCell ref="I1410:I1416"/>
    <mergeCell ref="A1402:A1408"/>
    <mergeCell ref="B1402:B1408"/>
    <mergeCell ref="C1402:C1408"/>
    <mergeCell ref="D1402:D1408"/>
    <mergeCell ref="F1402:F1408"/>
    <mergeCell ref="H1402:H1408"/>
    <mergeCell ref="E1402:E1408"/>
    <mergeCell ref="E1410:E1416"/>
    <mergeCell ref="E1417:E1423"/>
    <mergeCell ref="E1483:E1489"/>
    <mergeCell ref="I1446:I1452"/>
    <mergeCell ref="A1453:A1459"/>
    <mergeCell ref="B1453:B1459"/>
    <mergeCell ref="C1453:C1459"/>
    <mergeCell ref="D1453:D1459"/>
    <mergeCell ref="F1453:F1459"/>
    <mergeCell ref="H1453:H1459"/>
    <mergeCell ref="I1453:I1459"/>
    <mergeCell ref="A1446:A1452"/>
    <mergeCell ref="B1446:B1452"/>
    <mergeCell ref="C1446:C1452"/>
    <mergeCell ref="D1446:D1452"/>
    <mergeCell ref="F1446:F1452"/>
    <mergeCell ref="H1446:H1452"/>
    <mergeCell ref="I1432:I1438"/>
    <mergeCell ref="A1439:A1445"/>
    <mergeCell ref="B1439:B1445"/>
    <mergeCell ref="C1439:C1445"/>
    <mergeCell ref="D1439:D1445"/>
    <mergeCell ref="F1439:F1445"/>
    <mergeCell ref="H1439:H1445"/>
    <mergeCell ref="I1439:I1445"/>
    <mergeCell ref="A1432:A1438"/>
    <mergeCell ref="B1432:B1438"/>
    <mergeCell ref="C1432:C1438"/>
    <mergeCell ref="D1432:D1438"/>
    <mergeCell ref="F1432:F1438"/>
    <mergeCell ref="H1432:H1438"/>
    <mergeCell ref="E1432:E1438"/>
    <mergeCell ref="E1439:E1445"/>
    <mergeCell ref="E1446:E1452"/>
    <mergeCell ref="E1515:E1521"/>
    <mergeCell ref="I1475:I1481"/>
    <mergeCell ref="A1483:A1489"/>
    <mergeCell ref="B1483:B1489"/>
    <mergeCell ref="C1483:C1489"/>
    <mergeCell ref="D1483:D1489"/>
    <mergeCell ref="F1483:F1489"/>
    <mergeCell ref="H1483:H1489"/>
    <mergeCell ref="I1483:I1489"/>
    <mergeCell ref="A1475:A1481"/>
    <mergeCell ref="B1475:B1481"/>
    <mergeCell ref="C1475:C1481"/>
    <mergeCell ref="D1475:D1481"/>
    <mergeCell ref="F1475:F1481"/>
    <mergeCell ref="H1475:H1481"/>
    <mergeCell ref="I1460:I1466"/>
    <mergeCell ref="A1467:A1473"/>
    <mergeCell ref="B1467:B1473"/>
    <mergeCell ref="C1467:C1473"/>
    <mergeCell ref="D1467:D1473"/>
    <mergeCell ref="F1467:F1473"/>
    <mergeCell ref="H1467:H1473"/>
    <mergeCell ref="I1467:I1473"/>
    <mergeCell ref="A1460:A1466"/>
    <mergeCell ref="B1460:B1466"/>
    <mergeCell ref="C1460:C1466"/>
    <mergeCell ref="D1460:D1466"/>
    <mergeCell ref="F1460:F1466"/>
    <mergeCell ref="H1460:H1466"/>
    <mergeCell ref="E1460:E1466"/>
    <mergeCell ref="E1467:E1473"/>
    <mergeCell ref="E1475:E1481"/>
    <mergeCell ref="E1544:E1550"/>
    <mergeCell ref="I1507:I1513"/>
    <mergeCell ref="A1515:A1521"/>
    <mergeCell ref="B1515:B1521"/>
    <mergeCell ref="C1515:C1521"/>
    <mergeCell ref="D1515:D1521"/>
    <mergeCell ref="F1515:F1521"/>
    <mergeCell ref="H1515:H1521"/>
    <mergeCell ref="I1515:I1521"/>
    <mergeCell ref="A1507:A1513"/>
    <mergeCell ref="B1507:B1513"/>
    <mergeCell ref="C1507:C1513"/>
    <mergeCell ref="D1507:D1513"/>
    <mergeCell ref="F1507:F1513"/>
    <mergeCell ref="H1507:H1513"/>
    <mergeCell ref="I1491:I1497"/>
    <mergeCell ref="A1499:A1505"/>
    <mergeCell ref="B1499:B1505"/>
    <mergeCell ref="C1499:C1505"/>
    <mergeCell ref="D1499:D1505"/>
    <mergeCell ref="F1499:F1505"/>
    <mergeCell ref="H1499:H1505"/>
    <mergeCell ref="I1499:I1505"/>
    <mergeCell ref="A1491:A1497"/>
    <mergeCell ref="B1491:B1497"/>
    <mergeCell ref="C1491:C1497"/>
    <mergeCell ref="D1491:D1497"/>
    <mergeCell ref="F1491:F1497"/>
    <mergeCell ref="H1491:H1497"/>
    <mergeCell ref="E1491:E1497"/>
    <mergeCell ref="E1499:E1505"/>
    <mergeCell ref="E1507:E1513"/>
    <mergeCell ref="E1574:E1580"/>
    <mergeCell ref="I1537:I1543"/>
    <mergeCell ref="A1544:A1550"/>
    <mergeCell ref="B1544:B1550"/>
    <mergeCell ref="C1544:C1550"/>
    <mergeCell ref="D1544:D1550"/>
    <mergeCell ref="F1544:F1550"/>
    <mergeCell ref="H1544:H1550"/>
    <mergeCell ref="I1544:I1550"/>
    <mergeCell ref="A1537:A1543"/>
    <mergeCell ref="B1537:B1543"/>
    <mergeCell ref="C1537:C1543"/>
    <mergeCell ref="D1537:D1543"/>
    <mergeCell ref="F1537:F1543"/>
    <mergeCell ref="H1537:H1543"/>
    <mergeCell ref="I1522:I1528"/>
    <mergeCell ref="A1529:A1535"/>
    <mergeCell ref="B1529:B1535"/>
    <mergeCell ref="C1529:C1535"/>
    <mergeCell ref="D1529:D1535"/>
    <mergeCell ref="F1529:F1535"/>
    <mergeCell ref="H1529:H1535"/>
    <mergeCell ref="I1529:I1535"/>
    <mergeCell ref="A1522:A1528"/>
    <mergeCell ref="B1522:B1528"/>
    <mergeCell ref="C1522:C1528"/>
    <mergeCell ref="D1522:D1528"/>
    <mergeCell ref="F1522:F1528"/>
    <mergeCell ref="H1522:H1528"/>
    <mergeCell ref="E1522:E1528"/>
    <mergeCell ref="E1529:E1535"/>
    <mergeCell ref="E1537:E1543"/>
    <mergeCell ref="E1595:E1601"/>
    <mergeCell ref="I1567:I1573"/>
    <mergeCell ref="A1574:A1580"/>
    <mergeCell ref="B1574:B1580"/>
    <mergeCell ref="C1574:C1580"/>
    <mergeCell ref="D1574:D1580"/>
    <mergeCell ref="F1574:F1580"/>
    <mergeCell ref="H1574:H1580"/>
    <mergeCell ref="I1574:I1580"/>
    <mergeCell ref="A1567:A1573"/>
    <mergeCell ref="B1567:B1573"/>
    <mergeCell ref="C1567:C1573"/>
    <mergeCell ref="D1567:D1573"/>
    <mergeCell ref="F1567:F1573"/>
    <mergeCell ref="H1567:H1573"/>
    <mergeCell ref="I1552:I1558"/>
    <mergeCell ref="A1560:A1566"/>
    <mergeCell ref="B1560:B1566"/>
    <mergeCell ref="C1560:C1566"/>
    <mergeCell ref="D1560:D1566"/>
    <mergeCell ref="F1560:F1566"/>
    <mergeCell ref="H1560:H1566"/>
    <mergeCell ref="I1560:I1566"/>
    <mergeCell ref="A1552:A1558"/>
    <mergeCell ref="B1552:B1558"/>
    <mergeCell ref="C1552:C1558"/>
    <mergeCell ref="D1552:D1558"/>
    <mergeCell ref="F1552:F1558"/>
    <mergeCell ref="H1552:H1558"/>
    <mergeCell ref="E1552:E1558"/>
    <mergeCell ref="E1560:E1566"/>
    <mergeCell ref="E1567:E1573"/>
    <mergeCell ref="E1602:E1608"/>
    <mergeCell ref="A1609:B1609"/>
    <mergeCell ref="I1595:I1601"/>
    <mergeCell ref="A1602:A1608"/>
    <mergeCell ref="B1602:B1608"/>
    <mergeCell ref="C1602:C1608"/>
    <mergeCell ref="D1602:D1608"/>
    <mergeCell ref="F1602:F1608"/>
    <mergeCell ref="H1602:H1608"/>
    <mergeCell ref="I1602:I1608"/>
    <mergeCell ref="A1595:A1601"/>
    <mergeCell ref="B1595:B1601"/>
    <mergeCell ref="C1595:C1601"/>
    <mergeCell ref="D1595:D1601"/>
    <mergeCell ref="F1595:F1601"/>
    <mergeCell ref="H1595:H1601"/>
    <mergeCell ref="I1581:I1587"/>
    <mergeCell ref="A1588:A1594"/>
    <mergeCell ref="B1588:B1594"/>
    <mergeCell ref="C1588:C1594"/>
    <mergeCell ref="D1588:D1594"/>
    <mergeCell ref="F1588:F1594"/>
    <mergeCell ref="H1588:H1594"/>
    <mergeCell ref="I1588:I1594"/>
    <mergeCell ref="A1581:A1587"/>
    <mergeCell ref="B1581:B1587"/>
    <mergeCell ref="C1581:C1587"/>
    <mergeCell ref="D1581:D1587"/>
    <mergeCell ref="F1581:F1587"/>
    <mergeCell ref="H1581:H1587"/>
    <mergeCell ref="E1581:E1587"/>
    <mergeCell ref="E1588:E159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0096E8E7D588B24DAD98C2C685E53EFD" ma:contentTypeVersion="2" ma:contentTypeDescription="Создание документа." ma:contentTypeScope="" ma:versionID="4ccedb00303714f951193572c693cfb2">
  <xsd:schema xmlns:xsd="http://www.w3.org/2001/XMLSchema" xmlns:xs="http://www.w3.org/2001/XMLSchema" xmlns:p="http://schemas.microsoft.com/office/2006/metadata/properties" xmlns:ns2="370bd1f5-a59b-4c7c-bb46-3e525e5c7006" targetNamespace="http://schemas.microsoft.com/office/2006/metadata/properties" ma:root="true" ma:fieldsID="12a6924087d3c725f594e3bf0e64f691" ns2:_="">
    <xsd:import namespace="370bd1f5-a59b-4c7c-bb46-3e525e5c700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0bd1f5-a59b-4c7c-bb46-3e525e5c70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FBAC65-D66F-4DAA-B6B5-7E976CA09A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0bd1f5-a59b-4c7c-bb46-3e525e5c70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1884A7-6A96-4037-9BA4-E23D89C545B3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370bd1f5-a59b-4c7c-bb46-3e525e5c7006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2095169-59D1-4390-8B06-60F2DE76C5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Лист1</vt:lpstr>
      <vt:lpstr>КП</vt:lpstr>
      <vt:lpstr>СВОД</vt:lpstr>
      <vt:lpstr>ТЭО_ФО+ЛС+ССР</vt:lpstr>
      <vt:lpstr>ОТР_BOQ </vt:lpstr>
      <vt:lpstr>FEED_BOQ тит1</vt:lpstr>
      <vt:lpstr>FEED_BOQ тит2</vt:lpstr>
      <vt:lpstr>ПД_BOQ тит1.</vt:lpstr>
      <vt:lpstr>ПД_BOQ тит2</vt:lpstr>
      <vt:lpstr>РД_BOQ тит.1</vt:lpstr>
      <vt:lpstr>РД_BOQ тит.2</vt:lpstr>
      <vt:lpstr>РД_Ресурс.метод тит.1</vt:lpstr>
      <vt:lpstr>Лист2</vt:lpstr>
      <vt:lpstr>Лист3</vt:lpstr>
    </vt:vector>
  </TitlesOfParts>
  <Manager/>
  <Company>SIBUR-Himprom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Щербина Елена Александровна</dc:creator>
  <cp:keywords/>
  <dc:description/>
  <cp:lastModifiedBy>Крупников Антон Владимирович</cp:lastModifiedBy>
  <cp:revision/>
  <dcterms:created xsi:type="dcterms:W3CDTF">2020-01-23T09:51:30Z</dcterms:created>
  <dcterms:modified xsi:type="dcterms:W3CDTF">2025-06-16T03:20:19Z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0x0101000096E8E7D588B24DAD98C2C685E53EFD</vt:lpwstr>
  </property>
</Properties>
</file>