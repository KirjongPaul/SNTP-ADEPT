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T\01. Тендера\2025.06.15 Сибур\"/>
    </mc:Choice>
  </mc:AlternateContent>
  <bookViews>
    <workbookView xWindow="0" yWindow="0" windowWidth="38400" windowHeight="17580" tabRatio="880" firstSheet="1" activeTab="3"/>
  </bookViews>
  <sheets>
    <sheet name="Лист1" sheetId="1" state="hidden" r:id="rId1"/>
    <sheet name="СВОД" sheetId="7" r:id="rId2"/>
    <sheet name="КП" sheetId="18" r:id="rId3"/>
    <sheet name="РД" sheetId="20" r:id="rId4"/>
    <sheet name="DATA" sheetId="21" state="hidden" r:id="rId5"/>
    <sheet name=" ТРУДОЕМКОСТЬ" sheetId="22" state="hidden" r:id="rId6"/>
    <sheet name="Лист2" sheetId="2" state="hidden" r:id="rId7"/>
    <sheet name="Лист3" sheetId="3" state="hidden" r:id="rId8"/>
  </sheets>
  <definedNames>
    <definedName name="_xlnm.Print_Area" localSheetId="5">' ТРУДОЕМКОСТЬ'!$A$1:$F$111</definedName>
  </definedNames>
  <calcPr calcId="162913"/>
</workbook>
</file>

<file path=xl/calcChain.xml><?xml version="1.0" encoding="utf-8"?>
<calcChain xmlns="http://schemas.openxmlformats.org/spreadsheetml/2006/main">
  <c r="E19" i="18" l="1"/>
  <c r="E18" i="18"/>
  <c r="E17" i="18"/>
  <c r="E15" i="18"/>
  <c r="E11" i="18"/>
  <c r="E9" i="18"/>
  <c r="D17" i="18"/>
  <c r="D8" i="18" l="1"/>
  <c r="E7" i="18"/>
  <c r="E8" i="18" s="1"/>
  <c r="D9" i="18"/>
  <c r="E10" i="18" l="1"/>
  <c r="D11" i="18"/>
  <c r="D10" i="18"/>
  <c r="K393" i="20"/>
  <c r="K344" i="20"/>
  <c r="K345" i="20"/>
  <c r="K346" i="20"/>
  <c r="K347" i="20"/>
  <c r="K348" i="20"/>
  <c r="K349" i="20"/>
  <c r="K350" i="20"/>
  <c r="K301" i="20"/>
  <c r="K300" i="20"/>
  <c r="K294" i="20"/>
  <c r="K293" i="20"/>
  <c r="K374" i="20"/>
  <c r="K375" i="20"/>
  <c r="K376" i="20"/>
  <c r="K395" i="20"/>
  <c r="K396" i="20"/>
  <c r="K397" i="20"/>
  <c r="K398" i="20"/>
  <c r="K399" i="20"/>
  <c r="K400" i="20"/>
  <c r="K322" i="20"/>
  <c r="K323" i="20"/>
  <c r="K324" i="20"/>
  <c r="K325" i="20"/>
  <c r="K326" i="20"/>
  <c r="K327" i="20"/>
  <c r="K328" i="20"/>
  <c r="K215" i="20"/>
  <c r="K216" i="20"/>
  <c r="K217" i="20"/>
  <c r="K218" i="20"/>
  <c r="K219" i="20"/>
  <c r="K214" i="20"/>
  <c r="K11" i="20"/>
  <c r="D16" i="18" l="1"/>
  <c r="E16" i="18" s="1"/>
  <c r="D18" i="18" s="1"/>
  <c r="D12" i="18"/>
  <c r="K422" i="20"/>
  <c r="P422" i="20" s="1"/>
  <c r="K421" i="20"/>
  <c r="P421" i="20" s="1"/>
  <c r="K420" i="20"/>
  <c r="P420" i="20" s="1"/>
  <c r="K419" i="20"/>
  <c r="P419" i="20" s="1"/>
  <c r="K418" i="20"/>
  <c r="P418" i="20" s="1"/>
  <c r="K417" i="20"/>
  <c r="P417" i="20" s="1"/>
  <c r="K416" i="20"/>
  <c r="P416" i="20" s="1"/>
  <c r="K415" i="20"/>
  <c r="P415" i="20" s="1"/>
  <c r="K414" i="20"/>
  <c r="P414" i="20" s="1"/>
  <c r="K413" i="20"/>
  <c r="P413" i="20" s="1"/>
  <c r="K412" i="20"/>
  <c r="P412" i="20" s="1"/>
  <c r="K411" i="20"/>
  <c r="P411" i="20" s="1"/>
  <c r="K410" i="20"/>
  <c r="P410" i="20" s="1"/>
  <c r="K409" i="20"/>
  <c r="P409" i="20" s="1"/>
  <c r="K408" i="20"/>
  <c r="P408" i="20" s="1"/>
  <c r="K407" i="20"/>
  <c r="P407" i="20" s="1"/>
  <c r="K406" i="20"/>
  <c r="P406" i="20" s="1"/>
  <c r="K405" i="20"/>
  <c r="P405" i="20" s="1"/>
  <c r="K404" i="20"/>
  <c r="P404" i="20" s="1"/>
  <c r="K403" i="20"/>
  <c r="P403" i="20" s="1"/>
  <c r="K402" i="20"/>
  <c r="P402" i="20" s="1"/>
  <c r="K401" i="20"/>
  <c r="P401" i="20" s="1"/>
  <c r="P400" i="20"/>
  <c r="P399" i="20"/>
  <c r="P398" i="20"/>
  <c r="P397" i="20"/>
  <c r="P396" i="20"/>
  <c r="P395" i="20"/>
  <c r="K387" i="20"/>
  <c r="P387" i="20" s="1"/>
  <c r="K386" i="20"/>
  <c r="P386" i="20" s="1"/>
  <c r="K385" i="20"/>
  <c r="P385" i="20" s="1"/>
  <c r="K384" i="20"/>
  <c r="P384" i="20" s="1"/>
  <c r="K383" i="20"/>
  <c r="P383" i="20" s="1"/>
  <c r="K382" i="20"/>
  <c r="K381" i="20"/>
  <c r="P381" i="20" s="1"/>
  <c r="K357" i="20"/>
  <c r="P357" i="20" s="1"/>
  <c r="K356" i="20"/>
  <c r="P356" i="20" s="1"/>
  <c r="K355" i="20"/>
  <c r="P355" i="20" s="1"/>
  <c r="K354" i="20"/>
  <c r="P354" i="20" s="1"/>
  <c r="K353" i="20"/>
  <c r="P353" i="20" s="1"/>
  <c r="K352" i="20"/>
  <c r="P352" i="20" s="1"/>
  <c r="K351" i="20"/>
  <c r="P351" i="20" s="1"/>
  <c r="P350" i="20"/>
  <c r="P349" i="20"/>
  <c r="P348" i="20"/>
  <c r="P347" i="20"/>
  <c r="P346" i="20"/>
  <c r="P345" i="20"/>
  <c r="P344" i="20"/>
  <c r="P301" i="20"/>
  <c r="P300" i="20"/>
  <c r="K276" i="20"/>
  <c r="K275" i="20"/>
  <c r="K274" i="20"/>
  <c r="K273" i="20"/>
  <c r="K272" i="20"/>
  <c r="K271" i="20"/>
  <c r="K270" i="20"/>
  <c r="K269" i="20"/>
  <c r="K268" i="20"/>
  <c r="K267" i="20"/>
  <c r="K266" i="20"/>
  <c r="K265" i="20"/>
  <c r="K264" i="20"/>
  <c r="K263" i="20"/>
  <c r="K262" i="20"/>
  <c r="K261" i="20"/>
  <c r="K260" i="20"/>
  <c r="K259" i="20"/>
  <c r="K258" i="20"/>
  <c r="K257" i="20"/>
  <c r="K256" i="20"/>
  <c r="K255" i="20"/>
  <c r="K254" i="20"/>
  <c r="K253" i="20"/>
  <c r="K252" i="20"/>
  <c r="K251" i="20"/>
  <c r="K250" i="20"/>
  <c r="K249" i="20"/>
  <c r="K248" i="20"/>
  <c r="K247" i="20"/>
  <c r="K246" i="20"/>
  <c r="K245" i="20"/>
  <c r="K244" i="20"/>
  <c r="K243" i="20"/>
  <c r="K242" i="20"/>
  <c r="K241" i="20"/>
  <c r="K240" i="20"/>
  <c r="K239" i="20"/>
  <c r="K238" i="20"/>
  <c r="K237" i="20"/>
  <c r="K236" i="20"/>
  <c r="K235" i="20"/>
  <c r="K234" i="20"/>
  <c r="K233" i="20"/>
  <c r="K232" i="20"/>
  <c r="K231" i="20"/>
  <c r="K230" i="20"/>
  <c r="K229" i="20"/>
  <c r="K228" i="20"/>
  <c r="K159" i="20"/>
  <c r="P159" i="20" s="1"/>
  <c r="K158" i="20"/>
  <c r="P158" i="20" s="1"/>
  <c r="K157" i="20"/>
  <c r="P157" i="20" s="1"/>
  <c r="K156" i="20"/>
  <c r="P156" i="20" s="1"/>
  <c r="K155" i="20"/>
  <c r="P155" i="20" s="1"/>
  <c r="K154" i="20"/>
  <c r="P154" i="20" s="1"/>
  <c r="K153" i="20"/>
  <c r="P153" i="20" s="1"/>
  <c r="K152" i="20"/>
  <c r="P152" i="20" s="1"/>
  <c r="K151" i="20"/>
  <c r="P151" i="20" s="1"/>
  <c r="K150" i="20"/>
  <c r="P150" i="20" s="1"/>
  <c r="K149" i="20"/>
  <c r="P149" i="20" s="1"/>
  <c r="K148" i="20"/>
  <c r="P148" i="20" s="1"/>
  <c r="K147" i="20"/>
  <c r="P147" i="20" s="1"/>
  <c r="K146" i="20"/>
  <c r="P146" i="20" s="1"/>
  <c r="K145" i="20"/>
  <c r="P145" i="20" s="1"/>
  <c r="K144" i="20"/>
  <c r="P144" i="20" s="1"/>
  <c r="K143" i="20"/>
  <c r="P143" i="20" s="1"/>
  <c r="K142" i="20"/>
  <c r="P142" i="20" s="1"/>
  <c r="K141" i="20"/>
  <c r="P141" i="20" s="1"/>
  <c r="K140" i="20"/>
  <c r="P140" i="20" s="1"/>
  <c r="K139" i="20"/>
  <c r="P139" i="20" s="1"/>
  <c r="K138" i="20"/>
  <c r="P138" i="20" s="1"/>
  <c r="K137" i="20"/>
  <c r="P137" i="20" s="1"/>
  <c r="K136" i="20"/>
  <c r="P136" i="20" s="1"/>
  <c r="K135" i="20"/>
  <c r="P135" i="20" s="1"/>
  <c r="K134" i="20"/>
  <c r="P134" i="20" s="1"/>
  <c r="K133" i="20"/>
  <c r="P133" i="20" s="1"/>
  <c r="K132" i="20"/>
  <c r="P132" i="20" s="1"/>
  <c r="K131" i="20"/>
  <c r="P131" i="20" s="1"/>
  <c r="K130" i="20"/>
  <c r="P130" i="20" s="1"/>
  <c r="K129" i="20"/>
  <c r="P129" i="20" s="1"/>
  <c r="K128" i="20"/>
  <c r="P128" i="20" s="1"/>
  <c r="K127" i="20"/>
  <c r="P127" i="20" s="1"/>
  <c r="K126" i="20"/>
  <c r="P126" i="20" s="1"/>
  <c r="K125" i="20"/>
  <c r="P125" i="20" s="1"/>
  <c r="K124" i="20"/>
  <c r="P124" i="20" s="1"/>
  <c r="K123" i="20"/>
  <c r="P123" i="20" s="1"/>
  <c r="K122" i="20"/>
  <c r="P122" i="20" s="1"/>
  <c r="K121" i="20"/>
  <c r="P121" i="20" s="1"/>
  <c r="K120" i="20"/>
  <c r="P120" i="20" s="1"/>
  <c r="K119" i="20"/>
  <c r="P119" i="20" s="1"/>
  <c r="K118" i="20"/>
  <c r="P118" i="20" s="1"/>
  <c r="K117" i="20"/>
  <c r="P117" i="20" s="1"/>
  <c r="K116" i="20"/>
  <c r="P116" i="20" s="1"/>
  <c r="K115" i="20"/>
  <c r="P115" i="20" s="1"/>
  <c r="K114" i="20"/>
  <c r="P114" i="20" s="1"/>
  <c r="K113" i="20"/>
  <c r="P113" i="20" s="1"/>
  <c r="K112" i="20"/>
  <c r="P112" i="20" s="1"/>
  <c r="K111" i="20"/>
  <c r="P111" i="20" s="1"/>
  <c r="K110" i="20"/>
  <c r="P110" i="20" s="1"/>
  <c r="K109" i="20"/>
  <c r="P109" i="20" s="1"/>
  <c r="K108" i="20"/>
  <c r="P108" i="20" s="1"/>
  <c r="K107" i="20"/>
  <c r="P107" i="20" s="1"/>
  <c r="K106" i="20"/>
  <c r="P106" i="20" s="1"/>
  <c r="K105" i="20"/>
  <c r="P105" i="20" s="1"/>
  <c r="K104" i="20"/>
  <c r="P104" i="20" s="1"/>
  <c r="K103" i="20"/>
  <c r="P103" i="20" s="1"/>
  <c r="K102" i="20"/>
  <c r="P102" i="20" s="1"/>
  <c r="K101" i="20"/>
  <c r="P101" i="20" s="1"/>
  <c r="K100" i="20"/>
  <c r="P100" i="20" s="1"/>
  <c r="K99" i="20"/>
  <c r="P99" i="20" s="1"/>
  <c r="K98" i="20"/>
  <c r="P98" i="20" s="1"/>
  <c r="K97" i="20"/>
  <c r="P97" i="20" s="1"/>
  <c r="K96" i="20"/>
  <c r="P96" i="20" s="1"/>
  <c r="K95" i="20"/>
  <c r="P95" i="20" s="1"/>
  <c r="K94" i="20"/>
  <c r="P94" i="20" s="1"/>
  <c r="K93" i="20"/>
  <c r="P93" i="20" s="1"/>
  <c r="K92" i="20"/>
  <c r="P92" i="20" s="1"/>
  <c r="K91" i="20"/>
  <c r="P91" i="20" s="1"/>
  <c r="K90" i="20"/>
  <c r="P90" i="20" s="1"/>
  <c r="K89" i="20"/>
  <c r="P89" i="20" s="1"/>
  <c r="K88" i="20"/>
  <c r="P88" i="20" s="1"/>
  <c r="K87" i="20"/>
  <c r="P87" i="20" s="1"/>
  <c r="K86" i="20"/>
  <c r="P86" i="20" s="1"/>
  <c r="K85" i="20"/>
  <c r="P85" i="20" s="1"/>
  <c r="K84" i="20"/>
  <c r="P84" i="20" s="1"/>
  <c r="K83" i="20"/>
  <c r="P83" i="20" s="1"/>
  <c r="K81" i="20"/>
  <c r="P81" i="20" s="1"/>
  <c r="K80" i="20"/>
  <c r="P80" i="20" s="1"/>
  <c r="K79" i="20"/>
  <c r="P79" i="20" s="1"/>
  <c r="K78" i="20"/>
  <c r="P78" i="20" s="1"/>
  <c r="K77" i="20"/>
  <c r="P77" i="20" s="1"/>
  <c r="K76" i="20"/>
  <c r="P76" i="20" s="1"/>
  <c r="K75" i="20"/>
  <c r="P75" i="20" s="1"/>
  <c r="K74" i="20"/>
  <c r="P74" i="20" s="1"/>
  <c r="K73" i="20"/>
  <c r="P73" i="20" s="1"/>
  <c r="K72" i="20"/>
  <c r="P72" i="20" s="1"/>
  <c r="K71" i="20"/>
  <c r="P71" i="20" s="1"/>
  <c r="K70" i="20"/>
  <c r="P70" i="20" s="1"/>
  <c r="K69" i="20"/>
  <c r="P69" i="20" s="1"/>
  <c r="K68" i="20"/>
  <c r="P68" i="20" s="1"/>
  <c r="K67" i="20"/>
  <c r="P67" i="20" s="1"/>
  <c r="K66" i="20"/>
  <c r="P66" i="20" s="1"/>
  <c r="K65" i="20"/>
  <c r="P65" i="20" s="1"/>
  <c r="K64" i="20"/>
  <c r="P64" i="20" s="1"/>
  <c r="K63" i="20"/>
  <c r="P63" i="20" s="1"/>
  <c r="K62" i="20"/>
  <c r="P62" i="20" s="1"/>
  <c r="K61" i="20"/>
  <c r="P61" i="20" s="1"/>
  <c r="K23" i="20"/>
  <c r="P23" i="20" s="1"/>
  <c r="K16" i="20"/>
  <c r="P16" i="20" s="1"/>
  <c r="K52" i="20"/>
  <c r="P52" i="20" s="1"/>
  <c r="K51" i="20"/>
  <c r="P51" i="20" s="1"/>
  <c r="K50" i="20"/>
  <c r="P50" i="20" s="1"/>
  <c r="K49" i="20"/>
  <c r="P49" i="20" s="1"/>
  <c r="K48" i="20"/>
  <c r="P48" i="20" s="1"/>
  <c r="K47" i="20"/>
  <c r="P47" i="20" s="1"/>
  <c r="K46" i="20"/>
  <c r="P46" i="20" s="1"/>
  <c r="K45" i="20"/>
  <c r="P45" i="20" s="1"/>
  <c r="K44" i="20"/>
  <c r="P44" i="20" s="1"/>
  <c r="K43" i="20"/>
  <c r="P43" i="20" s="1"/>
  <c r="K42" i="20"/>
  <c r="P42" i="20" s="1"/>
  <c r="K41" i="20"/>
  <c r="P41" i="20" s="1"/>
  <c r="K40" i="20"/>
  <c r="P40" i="20" s="1"/>
  <c r="K39" i="20"/>
  <c r="P39" i="20" s="1"/>
  <c r="K38" i="20"/>
  <c r="P38" i="20" s="1"/>
  <c r="K37" i="20"/>
  <c r="P37" i="20" s="1"/>
  <c r="K36" i="20"/>
  <c r="P36" i="20" s="1"/>
  <c r="K35" i="20"/>
  <c r="P35" i="20" s="1"/>
  <c r="K34" i="20"/>
  <c r="P34" i="20" s="1"/>
  <c r="K33" i="20"/>
  <c r="P33" i="20" s="1"/>
  <c r="K32" i="20"/>
  <c r="P32" i="20" s="1"/>
  <c r="K22" i="20"/>
  <c r="P22" i="20" s="1"/>
  <c r="K21" i="20"/>
  <c r="P21" i="20" s="1"/>
  <c r="K20" i="20"/>
  <c r="P20" i="20" s="1"/>
  <c r="K19" i="20"/>
  <c r="P19" i="20" s="1"/>
  <c r="K18" i="20"/>
  <c r="P18" i="20" s="1"/>
  <c r="P394" i="20"/>
  <c r="P393" i="20"/>
  <c r="K392" i="20"/>
  <c r="P392" i="20" s="1"/>
  <c r="K391" i="20"/>
  <c r="P391" i="20" s="1"/>
  <c r="K390" i="20"/>
  <c r="P390" i="20" s="1"/>
  <c r="K389" i="20"/>
  <c r="P389" i="20" s="1"/>
  <c r="K388" i="20"/>
  <c r="P388" i="20" s="1"/>
  <c r="P382" i="20"/>
  <c r="K380" i="20"/>
  <c r="P380" i="20" s="1"/>
  <c r="K379" i="20"/>
  <c r="P379" i="20" s="1"/>
  <c r="K378" i="20"/>
  <c r="P378" i="20" s="1"/>
  <c r="K377" i="20"/>
  <c r="P377" i="20" s="1"/>
  <c r="P376" i="20"/>
  <c r="P375" i="20"/>
  <c r="P374" i="20"/>
  <c r="K372" i="20"/>
  <c r="P372" i="20" s="1"/>
  <c r="K371" i="20"/>
  <c r="P371" i="20" s="1"/>
  <c r="K370" i="20"/>
  <c r="P370" i="20" s="1"/>
  <c r="K369" i="20"/>
  <c r="P369" i="20" s="1"/>
  <c r="K368" i="20"/>
  <c r="P368" i="20" s="1"/>
  <c r="K367" i="20"/>
  <c r="P367" i="20" s="1"/>
  <c r="K366" i="20"/>
  <c r="P366" i="20" s="1"/>
  <c r="K364" i="20"/>
  <c r="P364" i="20" s="1"/>
  <c r="K363" i="20"/>
  <c r="P363" i="20" s="1"/>
  <c r="K362" i="20"/>
  <c r="P362" i="20" s="1"/>
  <c r="K361" i="20"/>
  <c r="P361" i="20" s="1"/>
  <c r="K360" i="20"/>
  <c r="P360" i="20" s="1"/>
  <c r="K359" i="20"/>
  <c r="P359" i="20" s="1"/>
  <c r="K358" i="20"/>
  <c r="P358" i="20" s="1"/>
  <c r="K343" i="20"/>
  <c r="P343" i="20" s="1"/>
  <c r="K342" i="20"/>
  <c r="P342" i="20" s="1"/>
  <c r="K341" i="20"/>
  <c r="P341" i="20" s="1"/>
  <c r="K340" i="20"/>
  <c r="P340" i="20" s="1"/>
  <c r="K339" i="20"/>
  <c r="P339" i="20" s="1"/>
  <c r="K338" i="20"/>
  <c r="P338" i="20" s="1"/>
  <c r="K337" i="20"/>
  <c r="P337" i="20" s="1"/>
  <c r="K331" i="20"/>
  <c r="P331" i="20" s="1"/>
  <c r="K330" i="20"/>
  <c r="P330" i="20" s="1"/>
  <c r="K285" i="20"/>
  <c r="K286" i="20"/>
  <c r="P286" i="20" s="1"/>
  <c r="K287" i="20"/>
  <c r="K288" i="20"/>
  <c r="P288" i="20" s="1"/>
  <c r="P289" i="20"/>
  <c r="P290" i="20"/>
  <c r="P291" i="20"/>
  <c r="K227" i="20"/>
  <c r="P227" i="20" s="1"/>
  <c r="K226" i="20"/>
  <c r="P226" i="20" s="1"/>
  <c r="K225" i="20"/>
  <c r="P225" i="20" s="1"/>
  <c r="K224" i="20"/>
  <c r="P224" i="20" s="1"/>
  <c r="K223" i="20"/>
  <c r="P223" i="20" s="1"/>
  <c r="K222" i="20"/>
  <c r="P222" i="20" s="1"/>
  <c r="K221" i="20"/>
  <c r="P221" i="20" s="1"/>
  <c r="P219" i="20"/>
  <c r="P218" i="20"/>
  <c r="P217" i="20"/>
  <c r="P216" i="20"/>
  <c r="P215" i="20"/>
  <c r="P214" i="20"/>
  <c r="K213" i="20"/>
  <c r="P213" i="20" s="1"/>
  <c r="K211" i="20"/>
  <c r="P211" i="20" s="1"/>
  <c r="K210" i="20"/>
  <c r="P210" i="20" s="1"/>
  <c r="K209" i="20"/>
  <c r="P209" i="20" s="1"/>
  <c r="K208" i="20"/>
  <c r="P208" i="20" s="1"/>
  <c r="K207" i="20"/>
  <c r="P207" i="20" s="1"/>
  <c r="K206" i="20"/>
  <c r="P206" i="20" s="1"/>
  <c r="K205" i="20"/>
  <c r="P205" i="20" s="1"/>
  <c r="K204" i="20"/>
  <c r="P204" i="20" s="1"/>
  <c r="K203" i="20"/>
  <c r="P203" i="20" s="1"/>
  <c r="K202" i="20"/>
  <c r="P202" i="20" s="1"/>
  <c r="K201" i="20"/>
  <c r="P201" i="20" s="1"/>
  <c r="K200" i="20"/>
  <c r="P200" i="20" s="1"/>
  <c r="K199" i="20"/>
  <c r="P199" i="20" s="1"/>
  <c r="K198" i="20"/>
  <c r="P198" i="20" s="1"/>
  <c r="K197" i="20"/>
  <c r="P197" i="20" s="1"/>
  <c r="K196" i="20"/>
  <c r="P196" i="20" s="1"/>
  <c r="K195" i="20"/>
  <c r="P195" i="20" s="1"/>
  <c r="K194" i="20"/>
  <c r="P194" i="20" s="1"/>
  <c r="K193" i="20"/>
  <c r="P193" i="20" s="1"/>
  <c r="K192" i="20"/>
  <c r="P192" i="20" s="1"/>
  <c r="K191" i="20"/>
  <c r="P191" i="20" s="1"/>
  <c r="K189" i="20"/>
  <c r="P189" i="20" s="1"/>
  <c r="K188" i="20"/>
  <c r="P188" i="20" s="1"/>
  <c r="K187" i="20"/>
  <c r="P187" i="20" s="1"/>
  <c r="K186" i="20"/>
  <c r="P186" i="20" s="1"/>
  <c r="K185" i="20"/>
  <c r="P185" i="20" s="1"/>
  <c r="K184" i="20"/>
  <c r="P184" i="20" s="1"/>
  <c r="K183" i="20"/>
  <c r="P183" i="20" s="1"/>
  <c r="K181" i="20"/>
  <c r="P181" i="20" s="1"/>
  <c r="K180" i="20"/>
  <c r="P180" i="20" s="1"/>
  <c r="K179" i="20"/>
  <c r="P179" i="20" s="1"/>
  <c r="K178" i="20"/>
  <c r="P178" i="20" s="1"/>
  <c r="K177" i="20"/>
  <c r="P177" i="20" s="1"/>
  <c r="K176" i="20"/>
  <c r="P176" i="20" s="1"/>
  <c r="K175" i="20"/>
  <c r="P175" i="20" s="1"/>
  <c r="K174" i="20"/>
  <c r="P174" i="20" s="1"/>
  <c r="K173" i="20"/>
  <c r="P173" i="20" s="1"/>
  <c r="K172" i="20"/>
  <c r="P172" i="20" s="1"/>
  <c r="K171" i="20"/>
  <c r="P171" i="20" s="1"/>
  <c r="K170" i="20"/>
  <c r="P170" i="20" s="1"/>
  <c r="K169" i="20"/>
  <c r="P169" i="20" s="1"/>
  <c r="K168" i="20"/>
  <c r="P168" i="20" s="1"/>
  <c r="K167" i="20"/>
  <c r="P167" i="20" s="1"/>
  <c r="K166" i="20"/>
  <c r="P166" i="20" s="1"/>
  <c r="K165" i="20"/>
  <c r="P165" i="20" s="1"/>
  <c r="K164" i="20"/>
  <c r="P164" i="20" s="1"/>
  <c r="K163" i="20"/>
  <c r="P163" i="20" s="1"/>
  <c r="K162" i="20"/>
  <c r="P162" i="20" s="1"/>
  <c r="K161" i="20"/>
  <c r="P161" i="20" s="1"/>
  <c r="K60" i="20"/>
  <c r="P60" i="20" s="1"/>
  <c r="K59" i="20"/>
  <c r="P59" i="20" s="1"/>
  <c r="K58" i="20"/>
  <c r="P58" i="20" s="1"/>
  <c r="K57" i="20"/>
  <c r="P57" i="20" s="1"/>
  <c r="K56" i="20"/>
  <c r="P56" i="20" s="1"/>
  <c r="K55" i="20"/>
  <c r="P55" i="20" s="1"/>
  <c r="K54" i="20"/>
  <c r="P54" i="20" s="1"/>
  <c r="E14" i="18" l="1"/>
  <c r="E12" i="18"/>
  <c r="D19" i="18"/>
  <c r="D14" i="18"/>
  <c r="D15" i="18" s="1"/>
  <c r="D388" i="20"/>
  <c r="D300" i="20"/>
  <c r="D175" i="20"/>
  <c r="D46" i="20"/>
  <c r="D221" i="20"/>
  <c r="D409" i="20"/>
  <c r="D75" i="20"/>
  <c r="D205" i="20"/>
  <c r="D39" i="20"/>
  <c r="D61" i="20"/>
  <c r="P287" i="20"/>
  <c r="D381" i="20"/>
  <c r="D416" i="20"/>
  <c r="D402" i="20"/>
  <c r="D395" i="20"/>
  <c r="D374" i="20"/>
  <c r="D366" i="20"/>
  <c r="D365" i="20" s="1"/>
  <c r="D344" i="20"/>
  <c r="D330" i="20"/>
  <c r="D351" i="20"/>
  <c r="D337" i="20"/>
  <c r="D358" i="20"/>
  <c r="D213" i="20"/>
  <c r="D212" i="20" s="1"/>
  <c r="D198" i="20"/>
  <c r="D191" i="20"/>
  <c r="D183" i="20"/>
  <c r="D182" i="20" s="1"/>
  <c r="D168" i="20"/>
  <c r="D161" i="20"/>
  <c r="D54" i="20"/>
  <c r="D132" i="20"/>
  <c r="D104" i="20"/>
  <c r="D97" i="20"/>
  <c r="D125" i="20"/>
  <c r="D83" i="20"/>
  <c r="D111" i="20"/>
  <c r="D68" i="20"/>
  <c r="D139" i="20"/>
  <c r="D146" i="20"/>
  <c r="D153" i="20"/>
  <c r="D118" i="20"/>
  <c r="D90" i="20"/>
  <c r="D32" i="20"/>
  <c r="P285" i="20"/>
  <c r="B13" i="18"/>
  <c r="B19" i="18"/>
  <c r="B14" i="18"/>
  <c r="B18" i="18"/>
  <c r="B16" i="18"/>
  <c r="B17" i="18"/>
  <c r="B11" i="18"/>
  <c r="B10" i="18"/>
  <c r="B9" i="18"/>
  <c r="B7" i="18"/>
  <c r="B8" i="18"/>
  <c r="B12" i="18"/>
  <c r="B15" i="18"/>
  <c r="K283" i="20"/>
  <c r="P283" i="20" s="1"/>
  <c r="K282" i="20"/>
  <c r="P282" i="20" s="1"/>
  <c r="K281" i="20"/>
  <c r="P281" i="20" s="1"/>
  <c r="K280" i="20"/>
  <c r="P280" i="20" s="1"/>
  <c r="K279" i="20"/>
  <c r="P279" i="20" s="1"/>
  <c r="K278" i="20"/>
  <c r="P278" i="20" s="1"/>
  <c r="K277" i="20"/>
  <c r="P277" i="20" s="1"/>
  <c r="P276" i="20"/>
  <c r="P275" i="20"/>
  <c r="P274" i="20"/>
  <c r="P273" i="20"/>
  <c r="P272" i="20"/>
  <c r="P271" i="20"/>
  <c r="P270" i="20"/>
  <c r="P269" i="20"/>
  <c r="P268" i="20"/>
  <c r="P267" i="20"/>
  <c r="P266" i="20"/>
  <c r="P265" i="20"/>
  <c r="P264" i="20"/>
  <c r="P263" i="20"/>
  <c r="P262" i="20"/>
  <c r="P261" i="20"/>
  <c r="P260" i="20"/>
  <c r="P259" i="20"/>
  <c r="P258" i="20"/>
  <c r="P257" i="20"/>
  <c r="P256" i="20"/>
  <c r="P255" i="20"/>
  <c r="P254" i="20"/>
  <c r="P253" i="20"/>
  <c r="P252" i="20"/>
  <c r="P251" i="20"/>
  <c r="P250" i="20"/>
  <c r="P249" i="20"/>
  <c r="P248" i="20"/>
  <c r="P247" i="20"/>
  <c r="P246" i="20"/>
  <c r="P245" i="20"/>
  <c r="P244" i="20"/>
  <c r="P243" i="20"/>
  <c r="P242" i="20"/>
  <c r="P241" i="20"/>
  <c r="P240" i="20"/>
  <c r="P239" i="20"/>
  <c r="P238" i="20"/>
  <c r="P237" i="20"/>
  <c r="P236" i="20"/>
  <c r="P235" i="20"/>
  <c r="P234" i="20"/>
  <c r="P233" i="20"/>
  <c r="P232" i="20"/>
  <c r="P231" i="20"/>
  <c r="P230" i="20"/>
  <c r="P229" i="20"/>
  <c r="P228" i="20"/>
  <c r="E13" i="18" l="1"/>
  <c r="D13" i="18"/>
  <c r="D249" i="20"/>
  <c r="E249" i="20" s="1"/>
  <c r="D235" i="20"/>
  <c r="E235" i="20" s="1"/>
  <c r="D263" i="20"/>
  <c r="D190" i="20"/>
  <c r="D329" i="20"/>
  <c r="D82" i="20"/>
  <c r="D53" i="20" s="1"/>
  <c r="D228" i="20"/>
  <c r="E228" i="20" s="1"/>
  <c r="D373" i="20"/>
  <c r="D285" i="20"/>
  <c r="D284" i="20" s="1"/>
  <c r="D277" i="20"/>
  <c r="E277" i="20" s="1"/>
  <c r="D270" i="20"/>
  <c r="E270" i="20" s="1"/>
  <c r="D256" i="20"/>
  <c r="E256" i="20" s="1"/>
  <c r="D242" i="20"/>
  <c r="E242" i="20" s="1"/>
  <c r="D160" i="20"/>
  <c r="E205" i="20"/>
  <c r="E221" i="20"/>
  <c r="E146" i="20"/>
  <c r="E83" i="20"/>
  <c r="E198" i="20"/>
  <c r="E351" i="20"/>
  <c r="E344" i="20"/>
  <c r="E111" i="20"/>
  <c r="E416" i="20"/>
  <c r="E153" i="20"/>
  <c r="E358" i="20"/>
  <c r="E132" i="20"/>
  <c r="E168" i="20"/>
  <c r="E381" i="20"/>
  <c r="E402" i="20"/>
  <c r="E388" i="20"/>
  <c r="E90" i="20"/>
  <c r="E337" i="20"/>
  <c r="E139" i="20"/>
  <c r="E374" i="20"/>
  <c r="E409" i="20"/>
  <c r="E395" i="20"/>
  <c r="E330" i="20"/>
  <c r="E183" i="20"/>
  <c r="E182" i="20" s="1"/>
  <c r="E97" i="20"/>
  <c r="E68" i="20"/>
  <c r="E125" i="20"/>
  <c r="E263" i="20"/>
  <c r="E175" i="20"/>
  <c r="E61" i="20"/>
  <c r="E118" i="20"/>
  <c r="E75" i="20"/>
  <c r="E104" i="20"/>
  <c r="D220" i="20" l="1"/>
  <c r="E329" i="20"/>
  <c r="E373" i="20"/>
  <c r="E82" i="20"/>
  <c r="E220" i="20"/>
  <c r="E161" i="20"/>
  <c r="E160" i="20" s="1"/>
  <c r="E191" i="20"/>
  <c r="E190" i="20" s="1"/>
  <c r="E366" i="20"/>
  <c r="E365" i="20" s="1"/>
  <c r="E54" i="20"/>
  <c r="E213" i="20"/>
  <c r="E212" i="20" s="1"/>
  <c r="K31" i="20"/>
  <c r="K30" i="20"/>
  <c r="K29" i="20"/>
  <c r="K28" i="20"/>
  <c r="K27" i="20"/>
  <c r="K26" i="20"/>
  <c r="K25" i="20"/>
  <c r="K15" i="20"/>
  <c r="K14" i="20"/>
  <c r="K13" i="20"/>
  <c r="K12" i="20"/>
  <c r="K314" i="20"/>
  <c r="K313" i="20"/>
  <c r="K312" i="20"/>
  <c r="K311" i="20"/>
  <c r="K310" i="20"/>
  <c r="K309" i="20"/>
  <c r="K308" i="20"/>
  <c r="K321" i="20"/>
  <c r="K320" i="20"/>
  <c r="K319" i="20"/>
  <c r="K318" i="20"/>
  <c r="K317" i="20"/>
  <c r="K316" i="20"/>
  <c r="K315" i="20"/>
  <c r="E53" i="20" l="1"/>
  <c r="N319" i="20"/>
  <c r="O319" i="20" s="1"/>
  <c r="N315" i="20"/>
  <c r="O315" i="20" s="1"/>
  <c r="N313" i="20"/>
  <c r="O313" i="20" s="1"/>
  <c r="N312" i="20"/>
  <c r="O312" i="20" s="1"/>
  <c r="N310" i="20"/>
  <c r="O310" i="20" s="1"/>
  <c r="N309" i="20"/>
  <c r="O309" i="20" s="1"/>
  <c r="N308" i="20"/>
  <c r="O308" i="20" s="1"/>
  <c r="N294" i="20"/>
  <c r="O294" i="20" s="1"/>
  <c r="N293" i="20"/>
  <c r="O293" i="20" s="1"/>
  <c r="N31" i="20"/>
  <c r="O31" i="20" s="1"/>
  <c r="N30" i="20"/>
  <c r="O30" i="20" s="1"/>
  <c r="N29" i="20"/>
  <c r="O29" i="20" s="1"/>
  <c r="P328" i="20"/>
  <c r="P327" i="20"/>
  <c r="P326" i="20"/>
  <c r="P325" i="20"/>
  <c r="P324" i="20"/>
  <c r="P323" i="20"/>
  <c r="P322" i="20"/>
  <c r="P321" i="20"/>
  <c r="P320" i="20"/>
  <c r="P319" i="20"/>
  <c r="P318" i="20"/>
  <c r="P317" i="20"/>
  <c r="P316" i="20"/>
  <c r="P315" i="20"/>
  <c r="P314" i="20"/>
  <c r="P313" i="20"/>
  <c r="P312" i="20"/>
  <c r="P311" i="20"/>
  <c r="P310" i="20"/>
  <c r="P309" i="20"/>
  <c r="P308" i="20"/>
  <c r="P294" i="20"/>
  <c r="P293" i="20"/>
  <c r="P31" i="20"/>
  <c r="P30" i="20"/>
  <c r="P29" i="20"/>
  <c r="P28" i="20"/>
  <c r="P27" i="20"/>
  <c r="P26" i="20"/>
  <c r="P25" i="20"/>
  <c r="D18" i="20"/>
  <c r="P15" i="20"/>
  <c r="P14" i="20"/>
  <c r="P13" i="20"/>
  <c r="P12" i="20"/>
  <c r="P11" i="20"/>
  <c r="D2" i="21"/>
  <c r="I2" i="21"/>
  <c r="J2" i="21"/>
  <c r="D3" i="21"/>
  <c r="I3" i="21"/>
  <c r="J3" i="21"/>
  <c r="D4" i="21"/>
  <c r="N317" i="20" s="1"/>
  <c r="O317" i="20" s="1"/>
  <c r="I4" i="21"/>
  <c r="J4" i="21"/>
  <c r="Q4" i="21"/>
  <c r="R4" i="21"/>
  <c r="S4" i="21"/>
  <c r="T4" i="21"/>
  <c r="U4" i="21"/>
  <c r="V4" i="21"/>
  <c r="W4" i="21"/>
  <c r="X4" i="21"/>
  <c r="Y4" i="21"/>
  <c r="D5" i="21"/>
  <c r="N14" i="20" s="1"/>
  <c r="O14" i="20" s="1"/>
  <c r="Q5" i="21"/>
  <c r="V5" i="21" s="1"/>
  <c r="R5" i="21"/>
  <c r="S5" i="21"/>
  <c r="T5" i="21"/>
  <c r="U5" i="21"/>
  <c r="W5" i="21"/>
  <c r="X5" i="21"/>
  <c r="D6" i="21"/>
  <c r="Q6" i="21"/>
  <c r="V6" i="21" s="1"/>
  <c r="R6" i="21"/>
  <c r="X6" i="21" s="1"/>
  <c r="T6" i="21"/>
  <c r="W6" i="21" s="1"/>
  <c r="U6" i="21"/>
  <c r="D7" i="21"/>
  <c r="Q7" i="21"/>
  <c r="R7" i="21"/>
  <c r="T7" i="21"/>
  <c r="U7" i="21"/>
  <c r="V7" i="21"/>
  <c r="W7" i="21"/>
  <c r="X7" i="21"/>
  <c r="Y7" i="21"/>
  <c r="D8" i="21"/>
  <c r="Q8" i="21"/>
  <c r="R8" i="21"/>
  <c r="T8" i="21"/>
  <c r="U8" i="21"/>
  <c r="V8" i="21"/>
  <c r="W8" i="21"/>
  <c r="X8" i="21"/>
  <c r="Y8" i="21"/>
  <c r="T9" i="21"/>
  <c r="Y9" i="21" s="1"/>
  <c r="U9" i="21"/>
  <c r="V9" i="21"/>
  <c r="X9" i="21"/>
  <c r="Z9" i="21"/>
  <c r="Q10" i="21"/>
  <c r="V10" i="21" s="1"/>
  <c r="R10" i="21"/>
  <c r="X10" i="21" s="1"/>
  <c r="T10" i="21"/>
  <c r="U10" i="21"/>
  <c r="W10" i="21"/>
  <c r="Q11" i="21"/>
  <c r="R11" i="21"/>
  <c r="T11" i="21"/>
  <c r="U11" i="21"/>
  <c r="V11" i="21"/>
  <c r="W11" i="21"/>
  <c r="X11" i="21"/>
  <c r="Y11" i="21"/>
  <c r="Q12" i="21"/>
  <c r="R12" i="21"/>
  <c r="T12" i="21"/>
  <c r="U12" i="21"/>
  <c r="V12" i="21"/>
  <c r="W12" i="21"/>
  <c r="X12" i="21"/>
  <c r="Y12" i="21"/>
  <c r="Q13" i="21"/>
  <c r="R13" i="21"/>
  <c r="X13" i="21" s="1"/>
  <c r="T13" i="21"/>
  <c r="W13" i="21" s="1"/>
  <c r="U13" i="21"/>
  <c r="V13" i="21"/>
  <c r="Q14" i="21"/>
  <c r="R14" i="21"/>
  <c r="T14" i="21"/>
  <c r="U14" i="21"/>
  <c r="V14" i="21"/>
  <c r="W14" i="21"/>
  <c r="X14" i="21"/>
  <c r="Y14" i="21"/>
  <c r="D15" i="21"/>
  <c r="Q15" i="21"/>
  <c r="R15" i="21"/>
  <c r="T15" i="21"/>
  <c r="U15" i="21"/>
  <c r="V15" i="21"/>
  <c r="W15" i="21"/>
  <c r="X15" i="21"/>
  <c r="Y15" i="21"/>
  <c r="D16" i="21"/>
  <c r="D17" i="21"/>
  <c r="D18" i="21"/>
  <c r="D19" i="21"/>
  <c r="D20" i="21"/>
  <c r="D21" i="21"/>
  <c r="D22" i="21"/>
  <c r="D23" i="21"/>
  <c r="N357" i="20" l="1"/>
  <c r="O357" i="20" s="1"/>
  <c r="N138" i="20"/>
  <c r="O138" i="20" s="1"/>
  <c r="N60" i="20"/>
  <c r="O60" i="20" s="1"/>
  <c r="N110" i="20"/>
  <c r="O110" i="20" s="1"/>
  <c r="N81" i="20"/>
  <c r="O81" i="20" s="1"/>
  <c r="N422" i="20"/>
  <c r="O422" i="20" s="1"/>
  <c r="N415" i="20"/>
  <c r="O415" i="20" s="1"/>
  <c r="N372" i="20"/>
  <c r="O372" i="20" s="1"/>
  <c r="N38" i="20"/>
  <c r="O38" i="20" s="1"/>
  <c r="N159" i="20"/>
  <c r="O159" i="20" s="1"/>
  <c r="N211" i="20"/>
  <c r="O211" i="20" s="1"/>
  <c r="N124" i="20"/>
  <c r="O124" i="20" s="1"/>
  <c r="N364" i="20"/>
  <c r="O364" i="20" s="1"/>
  <c r="N145" i="20"/>
  <c r="O145" i="20" s="1"/>
  <c r="N117" i="20"/>
  <c r="O117" i="20" s="1"/>
  <c r="N394" i="20"/>
  <c r="O394" i="20" s="1"/>
  <c r="N408" i="20"/>
  <c r="O408" i="20" s="1"/>
  <c r="N167" i="20"/>
  <c r="O167" i="20" s="1"/>
  <c r="N343" i="20"/>
  <c r="O343" i="20" s="1"/>
  <c r="N197" i="20"/>
  <c r="O197" i="20" s="1"/>
  <c r="N181" i="20"/>
  <c r="O181" i="20" s="1"/>
  <c r="N74" i="20"/>
  <c r="O74" i="20" s="1"/>
  <c r="N52" i="20"/>
  <c r="O52" i="20" s="1"/>
  <c r="N350" i="20"/>
  <c r="O350" i="20" s="1"/>
  <c r="N387" i="20"/>
  <c r="O387" i="20" s="1"/>
  <c r="N131" i="20"/>
  <c r="O131" i="20" s="1"/>
  <c r="N291" i="20"/>
  <c r="O291" i="20" s="1"/>
  <c r="N380" i="20"/>
  <c r="O380" i="20" s="1"/>
  <c r="N67" i="20"/>
  <c r="O67" i="20" s="1"/>
  <c r="N227" i="20"/>
  <c r="O227" i="20" s="1"/>
  <c r="N189" i="20"/>
  <c r="O189" i="20" s="1"/>
  <c r="N219" i="20"/>
  <c r="O219" i="20" s="1"/>
  <c r="N96" i="20"/>
  <c r="O96" i="20" s="1"/>
  <c r="N174" i="20"/>
  <c r="O174" i="20" s="1"/>
  <c r="N89" i="20"/>
  <c r="O89" i="20" s="1"/>
  <c r="N152" i="20"/>
  <c r="O152" i="20" s="1"/>
  <c r="N103" i="20"/>
  <c r="O103" i="20" s="1"/>
  <c r="N401" i="20"/>
  <c r="O401" i="20" s="1"/>
  <c r="N45" i="20"/>
  <c r="O45" i="20" s="1"/>
  <c r="N204" i="20"/>
  <c r="O204" i="20" s="1"/>
  <c r="N276" i="20"/>
  <c r="O276" i="20" s="1"/>
  <c r="N255" i="20"/>
  <c r="O255" i="20" s="1"/>
  <c r="N241" i="20"/>
  <c r="O241" i="20" s="1"/>
  <c r="N234" i="20"/>
  <c r="O234" i="20" s="1"/>
  <c r="N269" i="20"/>
  <c r="O269" i="20" s="1"/>
  <c r="N248" i="20"/>
  <c r="O248" i="20" s="1"/>
  <c r="N262" i="20"/>
  <c r="O262" i="20" s="1"/>
  <c r="N283" i="20"/>
  <c r="O283" i="20" s="1"/>
  <c r="F8" i="21"/>
  <c r="N200" i="20"/>
  <c r="O200" i="20" s="1"/>
  <c r="N77" i="20"/>
  <c r="O77" i="20" s="1"/>
  <c r="N390" i="20"/>
  <c r="O390" i="20" s="1"/>
  <c r="N127" i="20"/>
  <c r="O127" i="20" s="1"/>
  <c r="N404" i="20"/>
  <c r="O404" i="20" s="1"/>
  <c r="N148" i="20"/>
  <c r="O148" i="20" s="1"/>
  <c r="N120" i="20"/>
  <c r="O120" i="20" s="1"/>
  <c r="N397" i="20"/>
  <c r="O397" i="20" s="1"/>
  <c r="N418" i="20"/>
  <c r="O418" i="20" s="1"/>
  <c r="N353" i="20"/>
  <c r="O353" i="20" s="1"/>
  <c r="N215" i="20"/>
  <c r="O215" i="20" s="1"/>
  <c r="N48" i="20"/>
  <c r="O48" i="20" s="1"/>
  <c r="N85" i="20"/>
  <c r="O85" i="20" s="1"/>
  <c r="N223" i="20"/>
  <c r="O223" i="20" s="1"/>
  <c r="N106" i="20"/>
  <c r="O106" i="20" s="1"/>
  <c r="N193" i="20"/>
  <c r="O193" i="20" s="1"/>
  <c r="N20" i="20"/>
  <c r="O20" i="20" s="1"/>
  <c r="N99" i="20"/>
  <c r="O99" i="20" s="1"/>
  <c r="N92" i="20"/>
  <c r="O92" i="20" s="1"/>
  <c r="N287" i="20"/>
  <c r="O287" i="20" s="1"/>
  <c r="N411" i="20"/>
  <c r="O411" i="20" s="1"/>
  <c r="N177" i="20"/>
  <c r="O177" i="20" s="1"/>
  <c r="N155" i="20"/>
  <c r="O155" i="20" s="1"/>
  <c r="N56" i="20"/>
  <c r="O56" i="20" s="1"/>
  <c r="N207" i="20"/>
  <c r="O207" i="20" s="1"/>
  <c r="N360" i="20"/>
  <c r="O360" i="20" s="1"/>
  <c r="N141" i="20"/>
  <c r="O141" i="20" s="1"/>
  <c r="N368" i="20"/>
  <c r="O368" i="20" s="1"/>
  <c r="N170" i="20"/>
  <c r="O170" i="20" s="1"/>
  <c r="N339" i="20"/>
  <c r="O339" i="20" s="1"/>
  <c r="N376" i="20"/>
  <c r="O376" i="20" s="1"/>
  <c r="N185" i="20"/>
  <c r="O185" i="20" s="1"/>
  <c r="N63" i="20"/>
  <c r="O63" i="20" s="1"/>
  <c r="N41" i="20"/>
  <c r="O41" i="20" s="1"/>
  <c r="N163" i="20"/>
  <c r="O163" i="20" s="1"/>
  <c r="N134" i="20"/>
  <c r="O134" i="20" s="1"/>
  <c r="N34" i="20"/>
  <c r="O34" i="20" s="1"/>
  <c r="N346" i="20"/>
  <c r="O346" i="20" s="1"/>
  <c r="N70" i="20"/>
  <c r="O70" i="20" s="1"/>
  <c r="N383" i="20"/>
  <c r="O383" i="20" s="1"/>
  <c r="N113" i="20"/>
  <c r="O113" i="20" s="1"/>
  <c r="N244" i="20"/>
  <c r="O244" i="20" s="1"/>
  <c r="N272" i="20"/>
  <c r="O272" i="20" s="1"/>
  <c r="N258" i="20"/>
  <c r="O258" i="20" s="1"/>
  <c r="N265" i="20"/>
  <c r="O265" i="20" s="1"/>
  <c r="N251" i="20"/>
  <c r="O251" i="20" s="1"/>
  <c r="N230" i="20"/>
  <c r="O230" i="20" s="1"/>
  <c r="N237" i="20"/>
  <c r="O237" i="20" s="1"/>
  <c r="N279" i="20"/>
  <c r="O279" i="20" s="1"/>
  <c r="F4" i="21"/>
  <c r="N314" i="20"/>
  <c r="O314" i="20" s="1"/>
  <c r="N375" i="20"/>
  <c r="O375" i="20" s="1"/>
  <c r="N184" i="20"/>
  <c r="O184" i="20" s="1"/>
  <c r="N286" i="20"/>
  <c r="O286" i="20" s="1"/>
  <c r="N154" i="20"/>
  <c r="O154" i="20" s="1"/>
  <c r="N105" i="20"/>
  <c r="O105" i="20" s="1"/>
  <c r="N367" i="20"/>
  <c r="O367" i="20" s="1"/>
  <c r="N345" i="20"/>
  <c r="O345" i="20" s="1"/>
  <c r="N47" i="20"/>
  <c r="O47" i="20" s="1"/>
  <c r="N301" i="20"/>
  <c r="O301" i="20" s="1"/>
  <c r="N206" i="20"/>
  <c r="O206" i="20" s="1"/>
  <c r="N84" i="20"/>
  <c r="O84" i="20" s="1"/>
  <c r="N98" i="20"/>
  <c r="O98" i="20" s="1"/>
  <c r="N62" i="20"/>
  <c r="O62" i="20" s="1"/>
  <c r="N40" i="20"/>
  <c r="O40" i="20" s="1"/>
  <c r="N162" i="20"/>
  <c r="O162" i="20" s="1"/>
  <c r="N417" i="20"/>
  <c r="O417" i="20" s="1"/>
  <c r="N199" i="20"/>
  <c r="O199" i="20" s="1"/>
  <c r="N76" i="20"/>
  <c r="O76" i="20" s="1"/>
  <c r="N55" i="20"/>
  <c r="O55" i="20" s="1"/>
  <c r="N33" i="20"/>
  <c r="O33" i="20" s="1"/>
  <c r="N147" i="20"/>
  <c r="O147" i="20" s="1"/>
  <c r="N338" i="20"/>
  <c r="O338" i="20" s="1"/>
  <c r="N359" i="20"/>
  <c r="O359" i="20" s="1"/>
  <c r="N389" i="20"/>
  <c r="O389" i="20" s="1"/>
  <c r="N176" i="20"/>
  <c r="O176" i="20" s="1"/>
  <c r="N126" i="20"/>
  <c r="O126" i="20" s="1"/>
  <c r="N69" i="20"/>
  <c r="O69" i="20" s="1"/>
  <c r="N169" i="20"/>
  <c r="O169" i="20" s="1"/>
  <c r="N352" i="20"/>
  <c r="O352" i="20" s="1"/>
  <c r="N214" i="20"/>
  <c r="O214" i="20" s="1"/>
  <c r="N133" i="20"/>
  <c r="O133" i="20" s="1"/>
  <c r="N91" i="20"/>
  <c r="O91" i="20" s="1"/>
  <c r="N410" i="20"/>
  <c r="O410" i="20" s="1"/>
  <c r="N403" i="20"/>
  <c r="O403" i="20" s="1"/>
  <c r="N192" i="20"/>
  <c r="O192" i="20" s="1"/>
  <c r="N119" i="20"/>
  <c r="O119" i="20" s="1"/>
  <c r="N19" i="20"/>
  <c r="O19" i="20" s="1"/>
  <c r="N222" i="20"/>
  <c r="O222" i="20" s="1"/>
  <c r="N331" i="20"/>
  <c r="O331" i="20" s="1"/>
  <c r="N112" i="20"/>
  <c r="O112" i="20" s="1"/>
  <c r="N382" i="20"/>
  <c r="O382" i="20" s="1"/>
  <c r="N396" i="20"/>
  <c r="O396" i="20" s="1"/>
  <c r="N140" i="20"/>
  <c r="O140" i="20" s="1"/>
  <c r="N229" i="20"/>
  <c r="O229" i="20" s="1"/>
  <c r="N271" i="20"/>
  <c r="O271" i="20" s="1"/>
  <c r="N243" i="20"/>
  <c r="O243" i="20" s="1"/>
  <c r="N257" i="20"/>
  <c r="O257" i="20" s="1"/>
  <c r="N264" i="20"/>
  <c r="O264" i="20" s="1"/>
  <c r="N250" i="20"/>
  <c r="O250" i="20" s="1"/>
  <c r="N236" i="20"/>
  <c r="O236" i="20" s="1"/>
  <c r="N278" i="20"/>
  <c r="O278" i="20" s="1"/>
  <c r="F3" i="21"/>
  <c r="N318" i="20"/>
  <c r="O318" i="20" s="1"/>
  <c r="C315" i="20" s="1"/>
  <c r="D9" i="21"/>
  <c r="N11" i="20"/>
  <c r="O11" i="20" s="1"/>
  <c r="N330" i="20"/>
  <c r="O330" i="20" s="1"/>
  <c r="N111" i="20"/>
  <c r="O111" i="20" s="1"/>
  <c r="C111" i="20" s="1"/>
  <c r="N374" i="20"/>
  <c r="O374" i="20" s="1"/>
  <c r="N416" i="20"/>
  <c r="O416" i="20" s="1"/>
  <c r="N285" i="20"/>
  <c r="O285" i="20" s="1"/>
  <c r="N175" i="20"/>
  <c r="O175" i="20" s="1"/>
  <c r="N344" i="20"/>
  <c r="O344" i="20" s="1"/>
  <c r="N191" i="20"/>
  <c r="O191" i="20" s="1"/>
  <c r="N68" i="20"/>
  <c r="O68" i="20" s="1"/>
  <c r="N395" i="20"/>
  <c r="O395" i="20" s="1"/>
  <c r="N183" i="20"/>
  <c r="O183" i="20" s="1"/>
  <c r="N61" i="20"/>
  <c r="O61" i="20" s="1"/>
  <c r="N39" i="20"/>
  <c r="O39" i="20" s="1"/>
  <c r="N161" i="20"/>
  <c r="O161" i="20" s="1"/>
  <c r="N409" i="20"/>
  <c r="O409" i="20" s="1"/>
  <c r="N153" i="20"/>
  <c r="O153" i="20" s="1"/>
  <c r="N146" i="20"/>
  <c r="O146" i="20" s="1"/>
  <c r="N205" i="20"/>
  <c r="O205" i="20" s="1"/>
  <c r="N83" i="20"/>
  <c r="O83" i="20" s="1"/>
  <c r="N337" i="20"/>
  <c r="O337" i="20" s="1"/>
  <c r="N198" i="20"/>
  <c r="O198" i="20" s="1"/>
  <c r="N90" i="20"/>
  <c r="O90" i="20" s="1"/>
  <c r="N125" i="20"/>
  <c r="O125" i="20" s="1"/>
  <c r="N46" i="20"/>
  <c r="O46" i="20" s="1"/>
  <c r="N381" i="20"/>
  <c r="O381" i="20" s="1"/>
  <c r="N300" i="20"/>
  <c r="O300" i="20" s="1"/>
  <c r="C300" i="20" s="1"/>
  <c r="N118" i="20"/>
  <c r="O118" i="20" s="1"/>
  <c r="N18" i="20"/>
  <c r="O18" i="20" s="1"/>
  <c r="N75" i="20"/>
  <c r="O75" i="20" s="1"/>
  <c r="C75" i="20" s="1"/>
  <c r="N388" i="20"/>
  <c r="O388" i="20" s="1"/>
  <c r="N351" i="20"/>
  <c r="O351" i="20" s="1"/>
  <c r="N132" i="20"/>
  <c r="O132" i="20" s="1"/>
  <c r="C132" i="20" s="1"/>
  <c r="N213" i="20"/>
  <c r="O213" i="20" s="1"/>
  <c r="N366" i="20"/>
  <c r="O366" i="20" s="1"/>
  <c r="C366" i="20" s="1"/>
  <c r="C365" i="20" s="1"/>
  <c r="G19" i="18" s="1"/>
  <c r="N54" i="20"/>
  <c r="O54" i="20" s="1"/>
  <c r="C54" i="20" s="1"/>
  <c r="N104" i="20"/>
  <c r="O104" i="20" s="1"/>
  <c r="N32" i="20"/>
  <c r="O32" i="20" s="1"/>
  <c r="N168" i="20"/>
  <c r="O168" i="20" s="1"/>
  <c r="N97" i="20"/>
  <c r="O97" i="20" s="1"/>
  <c r="N358" i="20"/>
  <c r="O358" i="20" s="1"/>
  <c r="N139" i="20"/>
  <c r="O139" i="20" s="1"/>
  <c r="N402" i="20"/>
  <c r="O402" i="20" s="1"/>
  <c r="N221" i="20"/>
  <c r="O221" i="20" s="1"/>
  <c r="N277" i="20"/>
  <c r="O277" i="20" s="1"/>
  <c r="N228" i="20"/>
  <c r="O228" i="20" s="1"/>
  <c r="N256" i="20"/>
  <c r="O256" i="20" s="1"/>
  <c r="N242" i="20"/>
  <c r="O242" i="20" s="1"/>
  <c r="N249" i="20"/>
  <c r="O249" i="20" s="1"/>
  <c r="N270" i="20"/>
  <c r="O270" i="20" s="1"/>
  <c r="N263" i="20"/>
  <c r="O263" i="20" s="1"/>
  <c r="N235" i="20"/>
  <c r="O235" i="20" s="1"/>
  <c r="F2" i="21"/>
  <c r="N321" i="20"/>
  <c r="O321" i="20" s="1"/>
  <c r="N12" i="20"/>
  <c r="O12" i="20" s="1"/>
  <c r="N392" i="20"/>
  <c r="O392" i="20" s="1"/>
  <c r="N217" i="20"/>
  <c r="O217" i="20" s="1"/>
  <c r="N195" i="20"/>
  <c r="O195" i="20" s="1"/>
  <c r="N72" i="20"/>
  <c r="O72" i="20" s="1"/>
  <c r="N165" i="20"/>
  <c r="O165" i="20" s="1"/>
  <c r="N87" i="20"/>
  <c r="O87" i="20" s="1"/>
  <c r="N43" i="20"/>
  <c r="O43" i="20" s="1"/>
  <c r="N355" i="20"/>
  <c r="O355" i="20" s="1"/>
  <c r="N136" i="20"/>
  <c r="O136" i="20" s="1"/>
  <c r="N94" i="20"/>
  <c r="O94" i="20" s="1"/>
  <c r="N179" i="20"/>
  <c r="O179" i="20" s="1"/>
  <c r="N50" i="20"/>
  <c r="O50" i="20" s="1"/>
  <c r="N406" i="20"/>
  <c r="O406" i="20" s="1"/>
  <c r="N150" i="20"/>
  <c r="O150" i="20" s="1"/>
  <c r="N22" i="20"/>
  <c r="O22" i="20" s="1"/>
  <c r="N341" i="20"/>
  <c r="O341" i="20" s="1"/>
  <c r="N399" i="20"/>
  <c r="O399" i="20" s="1"/>
  <c r="N143" i="20"/>
  <c r="O143" i="20" s="1"/>
  <c r="N115" i="20"/>
  <c r="O115" i="20" s="1"/>
  <c r="N65" i="20"/>
  <c r="O65" i="20" s="1"/>
  <c r="N413" i="20"/>
  <c r="O413" i="20" s="1"/>
  <c r="N58" i="20"/>
  <c r="O58" i="20" s="1"/>
  <c r="N348" i="20"/>
  <c r="O348" i="20" s="1"/>
  <c r="N385" i="20"/>
  <c r="O385" i="20" s="1"/>
  <c r="N122" i="20"/>
  <c r="O122" i="20" s="1"/>
  <c r="N225" i="20"/>
  <c r="O225" i="20" s="1"/>
  <c r="N187" i="20"/>
  <c r="O187" i="20" s="1"/>
  <c r="N108" i="20"/>
  <c r="O108" i="20" s="1"/>
  <c r="N370" i="20"/>
  <c r="O370" i="20" s="1"/>
  <c r="N157" i="20"/>
  <c r="O157" i="20" s="1"/>
  <c r="N36" i="20"/>
  <c r="O36" i="20" s="1"/>
  <c r="N289" i="20"/>
  <c r="O289" i="20" s="1"/>
  <c r="N172" i="20"/>
  <c r="O172" i="20" s="1"/>
  <c r="N209" i="20"/>
  <c r="O209" i="20" s="1"/>
  <c r="N378" i="20"/>
  <c r="O378" i="20" s="1"/>
  <c r="N202" i="20"/>
  <c r="O202" i="20" s="1"/>
  <c r="N79" i="20"/>
  <c r="O79" i="20" s="1"/>
  <c r="N420" i="20"/>
  <c r="O420" i="20" s="1"/>
  <c r="N129" i="20"/>
  <c r="O129" i="20" s="1"/>
  <c r="N101" i="20"/>
  <c r="O101" i="20" s="1"/>
  <c r="N362" i="20"/>
  <c r="O362" i="20" s="1"/>
  <c r="N260" i="20"/>
  <c r="O260" i="20" s="1"/>
  <c r="N239" i="20"/>
  <c r="O239" i="20" s="1"/>
  <c r="N274" i="20"/>
  <c r="O274" i="20" s="1"/>
  <c r="N253" i="20"/>
  <c r="O253" i="20" s="1"/>
  <c r="N232" i="20"/>
  <c r="O232" i="20" s="1"/>
  <c r="N267" i="20"/>
  <c r="O267" i="20" s="1"/>
  <c r="N246" i="20"/>
  <c r="O246" i="20" s="1"/>
  <c r="N281" i="20"/>
  <c r="O281" i="20" s="1"/>
  <c r="F6" i="21"/>
  <c r="N13" i="20"/>
  <c r="N325" i="20"/>
  <c r="O325" i="20" s="1"/>
  <c r="N326" i="20"/>
  <c r="O326" i="20" s="1"/>
  <c r="N15" i="20"/>
  <c r="Y13" i="21"/>
  <c r="W9" i="21"/>
  <c r="N26" i="20"/>
  <c r="O26" i="20" s="1"/>
  <c r="N27" i="20"/>
  <c r="O27" i="20" s="1"/>
  <c r="N419" i="20"/>
  <c r="O419" i="20" s="1"/>
  <c r="N201" i="20"/>
  <c r="O201" i="20" s="1"/>
  <c r="N135" i="20"/>
  <c r="O135" i="20" s="1"/>
  <c r="N93" i="20"/>
  <c r="O93" i="20" s="1"/>
  <c r="N71" i="20"/>
  <c r="O71" i="20" s="1"/>
  <c r="N171" i="20"/>
  <c r="O171" i="20" s="1"/>
  <c r="N398" i="20"/>
  <c r="O398" i="20" s="1"/>
  <c r="N142" i="20"/>
  <c r="O142" i="20" s="1"/>
  <c r="N114" i="20"/>
  <c r="O114" i="20" s="1"/>
  <c r="N186" i="20"/>
  <c r="O186" i="20" s="1"/>
  <c r="N78" i="20"/>
  <c r="O78" i="20" s="1"/>
  <c r="N391" i="20"/>
  <c r="O391" i="20" s="1"/>
  <c r="N354" i="20"/>
  <c r="O354" i="20" s="1"/>
  <c r="N216" i="20"/>
  <c r="O216" i="20" s="1"/>
  <c r="N347" i="20"/>
  <c r="O347" i="20" s="1"/>
  <c r="N128" i="20"/>
  <c r="O128" i="20" s="1"/>
  <c r="N194" i="20"/>
  <c r="O194" i="20" s="1"/>
  <c r="N86" i="20"/>
  <c r="O86" i="20" s="1"/>
  <c r="N224" i="20"/>
  <c r="O224" i="20" s="1"/>
  <c r="N361" i="20"/>
  <c r="O361" i="20" s="1"/>
  <c r="N42" i="20"/>
  <c r="O42" i="20" s="1"/>
  <c r="N164" i="20"/>
  <c r="O164" i="20" s="1"/>
  <c r="N377" i="20"/>
  <c r="O377" i="20" s="1"/>
  <c r="N178" i="20"/>
  <c r="O178" i="20" s="1"/>
  <c r="N412" i="20"/>
  <c r="O412" i="20" s="1"/>
  <c r="N57" i="20"/>
  <c r="O57" i="20" s="1"/>
  <c r="N107" i="20"/>
  <c r="O107" i="20" s="1"/>
  <c r="N288" i="20"/>
  <c r="O288" i="20" s="1"/>
  <c r="N156" i="20"/>
  <c r="O156" i="20" s="1"/>
  <c r="N369" i="20"/>
  <c r="O369" i="20" s="1"/>
  <c r="N49" i="20"/>
  <c r="O49" i="20" s="1"/>
  <c r="N149" i="20"/>
  <c r="O149" i="20" s="1"/>
  <c r="N208" i="20"/>
  <c r="O208" i="20" s="1"/>
  <c r="N64" i="20"/>
  <c r="O64" i="20" s="1"/>
  <c r="N405" i="20"/>
  <c r="O405" i="20" s="1"/>
  <c r="N21" i="20"/>
  <c r="O21" i="20" s="1"/>
  <c r="N340" i="20"/>
  <c r="O340" i="20" s="1"/>
  <c r="N35" i="20"/>
  <c r="O35" i="20" s="1"/>
  <c r="N384" i="20"/>
  <c r="O384" i="20" s="1"/>
  <c r="N121" i="20"/>
  <c r="O121" i="20" s="1"/>
  <c r="N100" i="20"/>
  <c r="O100" i="20" s="1"/>
  <c r="N245" i="20"/>
  <c r="O245" i="20" s="1"/>
  <c r="N259" i="20"/>
  <c r="O259" i="20" s="1"/>
  <c r="N273" i="20"/>
  <c r="O273" i="20" s="1"/>
  <c r="N266" i="20"/>
  <c r="O266" i="20" s="1"/>
  <c r="N252" i="20"/>
  <c r="O252" i="20" s="1"/>
  <c r="N231" i="20"/>
  <c r="O231" i="20" s="1"/>
  <c r="N238" i="20"/>
  <c r="O238" i="20" s="1"/>
  <c r="N280" i="20"/>
  <c r="O280" i="20" s="1"/>
  <c r="F5" i="21"/>
  <c r="N311" i="20"/>
  <c r="O311" i="20" s="1"/>
  <c r="C308" i="20" s="1"/>
  <c r="N316" i="20"/>
  <c r="O316" i="20" s="1"/>
  <c r="N218" i="20"/>
  <c r="O218" i="20" s="1"/>
  <c r="N137" i="20"/>
  <c r="O137" i="20" s="1"/>
  <c r="N109" i="20"/>
  <c r="O109" i="20" s="1"/>
  <c r="N23" i="20"/>
  <c r="O23" i="20" s="1"/>
  <c r="N414" i="20"/>
  <c r="O414" i="20" s="1"/>
  <c r="N210" i="20"/>
  <c r="O210" i="20" s="1"/>
  <c r="N342" i="20"/>
  <c r="O342" i="20" s="1"/>
  <c r="N66" i="20"/>
  <c r="O66" i="20" s="1"/>
  <c r="N95" i="20"/>
  <c r="O95" i="20" s="1"/>
  <c r="N356" i="20"/>
  <c r="O356" i="20" s="1"/>
  <c r="N59" i="20"/>
  <c r="O59" i="20" s="1"/>
  <c r="N371" i="20"/>
  <c r="O371" i="20" s="1"/>
  <c r="N158" i="20"/>
  <c r="O158" i="20" s="1"/>
  <c r="N73" i="20"/>
  <c r="O73" i="20" s="1"/>
  <c r="N51" i="20"/>
  <c r="O51" i="20" s="1"/>
  <c r="N386" i="20"/>
  <c r="O386" i="20" s="1"/>
  <c r="N130" i="20"/>
  <c r="O130" i="20" s="1"/>
  <c r="N173" i="20"/>
  <c r="O173" i="20" s="1"/>
  <c r="N226" i="20"/>
  <c r="O226" i="20" s="1"/>
  <c r="N400" i="20"/>
  <c r="O400" i="20" s="1"/>
  <c r="N379" i="20"/>
  <c r="O379" i="20" s="1"/>
  <c r="N80" i="20"/>
  <c r="O80" i="20" s="1"/>
  <c r="N16" i="20"/>
  <c r="O16" i="20" s="1"/>
  <c r="N37" i="20"/>
  <c r="O37" i="20" s="1"/>
  <c r="N180" i="20"/>
  <c r="O180" i="20" s="1"/>
  <c r="N349" i="20"/>
  <c r="O349" i="20" s="1"/>
  <c r="N196" i="20"/>
  <c r="O196" i="20" s="1"/>
  <c r="N407" i="20"/>
  <c r="O407" i="20" s="1"/>
  <c r="N151" i="20"/>
  <c r="O151" i="20" s="1"/>
  <c r="N88" i="20"/>
  <c r="O88" i="20" s="1"/>
  <c r="N166" i="20"/>
  <c r="O166" i="20" s="1"/>
  <c r="N144" i="20"/>
  <c r="O144" i="20" s="1"/>
  <c r="N188" i="20"/>
  <c r="O188" i="20" s="1"/>
  <c r="N44" i="20"/>
  <c r="O44" i="20" s="1"/>
  <c r="N116" i="20"/>
  <c r="O116" i="20" s="1"/>
  <c r="N203" i="20"/>
  <c r="O203" i="20" s="1"/>
  <c r="N123" i="20"/>
  <c r="O123" i="20" s="1"/>
  <c r="N363" i="20"/>
  <c r="O363" i="20" s="1"/>
  <c r="N421" i="20"/>
  <c r="O421" i="20" s="1"/>
  <c r="N393" i="20"/>
  <c r="O393" i="20" s="1"/>
  <c r="N290" i="20"/>
  <c r="O290" i="20" s="1"/>
  <c r="N102" i="20"/>
  <c r="O102" i="20" s="1"/>
  <c r="N261" i="20"/>
  <c r="O261" i="20" s="1"/>
  <c r="N240" i="20"/>
  <c r="O240" i="20" s="1"/>
  <c r="N275" i="20"/>
  <c r="O275" i="20" s="1"/>
  <c r="N233" i="20"/>
  <c r="O233" i="20" s="1"/>
  <c r="N247" i="20"/>
  <c r="O247" i="20" s="1"/>
  <c r="N268" i="20"/>
  <c r="O268" i="20" s="1"/>
  <c r="N282" i="20"/>
  <c r="O282" i="20" s="1"/>
  <c r="N254" i="20"/>
  <c r="O254" i="20" s="1"/>
  <c r="F7" i="21"/>
  <c r="N320" i="20"/>
  <c r="O320" i="20" s="1"/>
  <c r="N322" i="20"/>
  <c r="O322" i="20" s="1"/>
  <c r="N323" i="20"/>
  <c r="O323" i="20" s="1"/>
  <c r="Y5" i="21"/>
  <c r="N324" i="20"/>
  <c r="O324" i="20" s="1"/>
  <c r="N327" i="20"/>
  <c r="O327" i="20" s="1"/>
  <c r="N25" i="20"/>
  <c r="O25" i="20" s="1"/>
  <c r="N328" i="20"/>
  <c r="O328" i="20" s="1"/>
  <c r="N28" i="20"/>
  <c r="O28" i="20" s="1"/>
  <c r="D25" i="20"/>
  <c r="C293" i="20"/>
  <c r="C292" i="20" s="1"/>
  <c r="G16" i="18" s="1"/>
  <c r="C322" i="20"/>
  <c r="D308" i="20"/>
  <c r="D315" i="20"/>
  <c r="D322" i="20"/>
  <c r="D293" i="20"/>
  <c r="D292" i="20" s="1"/>
  <c r="D11" i="20"/>
  <c r="O15" i="20"/>
  <c r="O13" i="20"/>
  <c r="D13" i="21"/>
  <c r="Y10" i="21"/>
  <c r="Y6" i="21"/>
  <c r="C416" i="20" l="1"/>
  <c r="C374" i="20"/>
  <c r="C25" i="20"/>
  <c r="C18" i="20"/>
  <c r="C32" i="20"/>
  <c r="C39" i="20"/>
  <c r="C388" i="20"/>
  <c r="C118" i="20"/>
  <c r="C381" i="20"/>
  <c r="C125" i="20"/>
  <c r="C337" i="20"/>
  <c r="C235" i="20"/>
  <c r="C83" i="20"/>
  <c r="C205" i="20"/>
  <c r="C146" i="20"/>
  <c r="C249" i="20"/>
  <c r="C153" i="20"/>
  <c r="C409" i="20"/>
  <c r="C161" i="20"/>
  <c r="C160" i="20" s="1"/>
  <c r="G8" i="18" s="1"/>
  <c r="C277" i="20"/>
  <c r="D10" i="20"/>
  <c r="D423" i="20" s="1"/>
  <c r="C221" i="20"/>
  <c r="C402" i="20"/>
  <c r="C191" i="20"/>
  <c r="C351" i="20"/>
  <c r="C46" i="20"/>
  <c r="C90" i="20"/>
  <c r="C198" i="20"/>
  <c r="C263" i="20"/>
  <c r="C270" i="20"/>
  <c r="C330" i="20"/>
  <c r="C329" i="20" s="1"/>
  <c r="G14" i="18" s="1"/>
  <c r="C242" i="20"/>
  <c r="C256" i="20"/>
  <c r="C228" i="20"/>
  <c r="C61" i="20"/>
  <c r="C183" i="20"/>
  <c r="C182" i="20" s="1"/>
  <c r="G7" i="18" s="1"/>
  <c r="C139" i="20"/>
  <c r="C358" i="20"/>
  <c r="C97" i="20"/>
  <c r="C344" i="20"/>
  <c r="C104" i="20"/>
  <c r="C213" i="20"/>
  <c r="C212" i="20" s="1"/>
  <c r="G10" i="18" s="1"/>
  <c r="C395" i="20"/>
  <c r="C285" i="20"/>
  <c r="C284" i="20" s="1"/>
  <c r="G17" i="18" s="1"/>
  <c r="C68" i="20"/>
  <c r="C168" i="20"/>
  <c r="C175" i="20"/>
  <c r="D307" i="20"/>
  <c r="C307" i="20"/>
  <c r="G18" i="18" s="1"/>
  <c r="C11" i="20"/>
  <c r="D14" i="21"/>
  <c r="D24" i="21" s="1"/>
  <c r="C373" i="20" l="1"/>
  <c r="G13" i="18" s="1"/>
  <c r="C190" i="20"/>
  <c r="G9" i="18" s="1"/>
  <c r="C220" i="20"/>
  <c r="G11" i="18" s="1"/>
  <c r="C10" i="20"/>
  <c r="G15" i="18" s="1"/>
  <c r="C82" i="20"/>
  <c r="C53" i="20" s="1"/>
  <c r="G12" i="18" s="1"/>
  <c r="E18" i="20"/>
  <c r="E285" i="20"/>
  <c r="E284" i="20" s="1"/>
  <c r="E46" i="20"/>
  <c r="E11" i="20"/>
  <c r="E32" i="20"/>
  <c r="E39" i="20"/>
  <c r="E25" i="20"/>
  <c r="E322" i="20"/>
  <c r="G20" i="18" l="1"/>
  <c r="C7" i="7" s="1"/>
  <c r="C423" i="20"/>
  <c r="F423" i="20" s="1"/>
  <c r="E10" i="20"/>
  <c r="E300" i="20"/>
  <c r="E315" i="20"/>
  <c r="E308" i="20" l="1"/>
  <c r="E307" i="20" s="1"/>
  <c r="E293" i="20"/>
  <c r="E292" i="20" s="1"/>
  <c r="E423" i="20" l="1"/>
  <c r="C8" i="7"/>
</calcChain>
</file>

<file path=xl/comments1.xml><?xml version="1.0" encoding="utf-8"?>
<comments xmlns="http://schemas.openxmlformats.org/spreadsheetml/2006/main">
  <authors>
    <author>А.В.</author>
  </authors>
  <commentList>
    <comment ref="Y9" authorId="0" shapeId="0">
      <text>
        <r>
          <rPr>
            <b/>
            <sz val="9"/>
            <color indexed="81"/>
            <rFont val="Tahoma"/>
            <family val="2"/>
            <charset val="204"/>
          </rPr>
          <t>А.В.:</t>
        </r>
        <r>
          <rPr>
            <sz val="9"/>
            <color indexed="81"/>
            <rFont val="Tahoma"/>
            <family val="2"/>
            <charset val="204"/>
          </rPr>
          <t xml:space="preserve">
Меньше 3П ПАО Газпром</t>
        </r>
      </text>
    </comment>
    <comment ref="Z9" authorId="0" shapeId="0">
      <text>
        <r>
          <rPr>
            <b/>
            <sz val="9"/>
            <color indexed="81"/>
            <rFont val="Tahoma"/>
            <family val="2"/>
            <charset val="204"/>
          </rPr>
          <t>А.В.:</t>
        </r>
        <r>
          <rPr>
            <sz val="9"/>
            <color indexed="81"/>
            <rFont val="Tahoma"/>
            <family val="2"/>
            <charset val="204"/>
          </rPr>
          <t xml:space="preserve">
Больше рамки НИПИГАЗ</t>
        </r>
      </text>
    </comment>
  </commentList>
</comments>
</file>

<file path=xl/sharedStrings.xml><?xml version="1.0" encoding="utf-8"?>
<sst xmlns="http://schemas.openxmlformats.org/spreadsheetml/2006/main" count="1127" uniqueCount="532">
  <si>
    <t xml:space="preserve">
</t>
  </si>
  <si>
    <t>Форма для заполнения по тендерной процедуре №ТП.....</t>
  </si>
  <si>
    <t xml:space="preserve">Разработка проектной и рабочей документации объекта
"Перевод установки получения масляных альдегидов методом оксосинтеза
на Rh катализатор с наращением мощности по 2-ЭГ и 2-ЭГК на АО «Сибур-Химпром»
</t>
  </si>
  <si>
    <t>№
п/п</t>
  </si>
  <si>
    <t xml:space="preserve">Наименование показателей </t>
  </si>
  <si>
    <t>Претендент</t>
  </si>
  <si>
    <t xml:space="preserve"> Соответствие техническому заданию.</t>
  </si>
  <si>
    <t>п. 4.10 Смета на строительство объектов капитального строительства</t>
  </si>
  <si>
    <t>1.</t>
  </si>
  <si>
    <t>Разработка сметной документации в 2-х форматах:
- ресурсным методом
-базисно индексным методом</t>
  </si>
  <si>
    <t>2.</t>
  </si>
  <si>
    <t>Базисно-индексный метод:</t>
  </si>
  <si>
    <t>2.1</t>
  </si>
  <si>
    <t>По основным (ценообразующим) материалам и вспомогательному оборудованию провести мониторинг рынка поставщиков</t>
  </si>
  <si>
    <t>2.2</t>
  </si>
  <si>
    <t>Предоставить ведомости объемов работ к каждому  расчету за подписью разработчика марки проекта.</t>
  </si>
  <si>
    <t>2.3</t>
  </si>
  <si>
    <t xml:space="preserve">Предоставить ведомости материалов с построчной стоимостью ресурсов </t>
  </si>
  <si>
    <t>2.4</t>
  </si>
  <si>
    <t xml:space="preserve">Предоставить ведомости оборудования с построчной стоимостью ресурсов </t>
  </si>
  <si>
    <t>2.5</t>
  </si>
  <si>
    <t>В локальных сметных расчетах учесть разделение ТМЦ поставки Заказчик / Подрядчик.</t>
  </si>
  <si>
    <t>2.6</t>
  </si>
  <si>
    <t>Базисно-индексным методом: локальные сметные расчеты выполнить в сметно-нормативной базе ФЕР-2001 в ред.2017 (с изм.1-4) в программном комплексе «Гранд-Смета» с применением индексов пересчета по статьям затрат Пермского Регионального Центра Ценообразования (ПРЦЦС).</t>
  </si>
  <si>
    <t>2.7</t>
  </si>
  <si>
    <t xml:space="preserve">Сметную документацию (для БИМ) сформировать в составе:  
- сводный сметный расчет;  
- объектные сметные расчеты; 
- локальные сметные расчеты ;
- ведомости объемов работ; 
- ведомости ресурсов;  
- ведомости оборудования </t>
  </si>
  <si>
    <t>3.</t>
  </si>
  <si>
    <t>Ресурсный метод:</t>
  </si>
  <si>
    <t>3.1</t>
  </si>
  <si>
    <t>Ресурсные ведомости под каждую единичную расценку (ЕР) и титул</t>
  </si>
  <si>
    <t>3.2</t>
  </si>
  <si>
    <t>Для определения  стоимости ресурсов использовать текущие цены на ресурсы, согласованные с Заказчиком.</t>
  </si>
  <si>
    <t>3.3</t>
  </si>
  <si>
    <t>Ресурсным методом: расчеты выполнить в сметно-нормативной базе ГЭСН-2001 в ред.2017 (с изм.1-4) в программном комплексе «Гранд-Смета»</t>
  </si>
  <si>
    <t>3.4</t>
  </si>
  <si>
    <t xml:space="preserve">Локальные сметные расчеты  составить   под каждую ЕР ресурсным методом на основании ВОР (Ведомостей объемов работ), сформированных  в соответствии  с BOQ  (Описанием выполняемых работ). </t>
  </si>
  <si>
    <t>3.5</t>
  </si>
  <si>
    <t xml:space="preserve">Пусконаладочные  работы (ПНР, ППНР) на стадии РД определить расчетом, разработать  ЕР. ЕР  и их основания должны содержать в том числе информацию по видам очистки технологических трубопроводов ,среды промывок и испытаний.   Информацию по работам в действующих электроустановках.    </t>
  </si>
  <si>
    <t>3.6</t>
  </si>
  <si>
    <t xml:space="preserve">Сметную документацию (для ресурсного метода) сформировать в составе:  
- свод стоимости ;  
- сводный перечень ЕР и объемов по проекту ; 
- свод стоимости  по каждому титульному объекту ;
- расчет стоимости каждого титульного объекта на основании Ведомости объемов работ под каждый титул; 
- реестр  Единичных расценок;  
- локальный сметный расчет (ЛСР) под каждую единичную расценку (ЕР) ,  
- ведомость объемов работ по каждой единичной расценке, сформированной на основании  Описания выполняемых работ  -   BOQ ; 
</t>
  </si>
  <si>
    <t>4.</t>
  </si>
  <si>
    <t>Разработать по-титульно, по-марочно, единичные показатели по проекту.</t>
  </si>
  <si>
    <t>5.</t>
  </si>
  <si>
    <t>Выполнить экспертизу сметной документации Сметным центром ООО «Сибур».</t>
  </si>
  <si>
    <t>6.</t>
  </si>
  <si>
    <t>Предоставить пояснительную записку по формированию стоимости с указанием перечня затрат, возможных к реализации, но не учтенных в стоимости строительства</t>
  </si>
  <si>
    <t>Форма для заполнения по тендерной процедуре №…….</t>
  </si>
  <si>
    <t xml:space="preserve"> Этапы  №
п/п</t>
  </si>
  <si>
    <t xml:space="preserve">Наименование Этапа </t>
  </si>
  <si>
    <t>Отчетная документация</t>
  </si>
  <si>
    <t>Дата начала</t>
  </si>
  <si>
    <t>Дата окончания*</t>
  </si>
  <si>
    <t>Перечень пунктов из формы ТКП  входящих в этап</t>
  </si>
  <si>
    <t>Стоимость, руб. без НДС</t>
  </si>
  <si>
    <t>Перечень пунктов из</t>
  </si>
  <si>
    <t>Отчеты</t>
  </si>
  <si>
    <t>Документация</t>
  </si>
  <si>
    <t>7.1.</t>
  </si>
  <si>
    <t>Итого стоимость предложения</t>
  </si>
  <si>
    <t>( подпись, M.П.)</t>
  </si>
  <si>
    <t>(заполняется участником)</t>
  </si>
  <si>
    <t>Трудозатраты чел.час</t>
  </si>
  <si>
    <t>Трудозатраты чел.дни</t>
  </si>
  <si>
    <t>Наименование подрядчика</t>
  </si>
  <si>
    <t>Обоснование расчета*</t>
  </si>
  <si>
    <t>Должность</t>
  </si>
  <si>
    <t>Оценка количества листов документации</t>
  </si>
  <si>
    <t>чел.</t>
  </si>
  <si>
    <t>Дней</t>
  </si>
  <si>
    <t>Часов</t>
  </si>
  <si>
    <t>Ст-ть чел. часа (руб.) без НДС</t>
  </si>
  <si>
    <t>Итого Ст-ть (руб.) без НДС</t>
  </si>
  <si>
    <t>Итого кол. чел.час</t>
  </si>
  <si>
    <t>(текст.) ф.А4</t>
  </si>
  <si>
    <t>(граф.) ф.А1</t>
  </si>
  <si>
    <t>1.1.</t>
  </si>
  <si>
    <t>ГИП</t>
  </si>
  <si>
    <t>Нач. отдела</t>
  </si>
  <si>
    <t>Гл. специалист</t>
  </si>
  <si>
    <t>Рук. Группы</t>
  </si>
  <si>
    <t>Вед. инженер</t>
  </si>
  <si>
    <t>Старший инженер</t>
  </si>
  <si>
    <t>Инженер</t>
  </si>
  <si>
    <t>1.2.</t>
  </si>
  <si>
    <t>2.1.</t>
  </si>
  <si>
    <t>2.2.</t>
  </si>
  <si>
    <t>2.3.</t>
  </si>
  <si>
    <t>2.4.</t>
  </si>
  <si>
    <t>2.6.</t>
  </si>
  <si>
    <t>2.7.</t>
  </si>
  <si>
    <t>2.8.</t>
  </si>
  <si>
    <t>2.9.</t>
  </si>
  <si>
    <t>3.1.</t>
  </si>
  <si>
    <t>3.2.</t>
  </si>
  <si>
    <t>4.1.</t>
  </si>
  <si>
    <t>5.1.</t>
  </si>
  <si>
    <t>6.1.</t>
  </si>
  <si>
    <t>7.</t>
  </si>
  <si>
    <t>Сессии VE (Value Engineering)</t>
  </si>
  <si>
    <t>Отчетная документация по проекту</t>
  </si>
  <si>
    <t>2.5.</t>
  </si>
  <si>
    <t xml:space="preserve"> Соответствие техническому заданию стадии ОТР</t>
  </si>
  <si>
    <t>Расчет ключевых физических объемов</t>
  </si>
  <si>
    <t>Наименование организации</t>
  </si>
  <si>
    <t>Перечень основного и вспомогательного оборудования</t>
  </si>
  <si>
    <t>1.3.</t>
  </si>
  <si>
    <t>5.2.</t>
  </si>
  <si>
    <t>Форма для заполнения по тендерной процедуре № __________</t>
  </si>
  <si>
    <t>Раздел 1. Пояснительная записка.</t>
  </si>
  <si>
    <t>Раздел 2. Схема планировочной организации земельного участка.</t>
  </si>
  <si>
    <t>Раздел 3. Архитектурные решения.</t>
  </si>
  <si>
    <t>Раздел 4. Конструктивные и объемно-планировочные решения.</t>
  </si>
  <si>
    <t>Раздел 5. Сведения об инженерном оборудовании, сетях инженерно-технического обеспечения, перечень инженерно-технических мероприятий, содержание технологических решений.</t>
  </si>
  <si>
    <t xml:space="preserve">   Инженерно-геодезические изыскания</t>
  </si>
  <si>
    <t xml:space="preserve">  Инженерно-геологические изыскания </t>
  </si>
  <si>
    <t>3.3.</t>
  </si>
  <si>
    <t>Инженерные Изыскания</t>
  </si>
  <si>
    <t>Эксплуатационная документация</t>
  </si>
  <si>
    <t>Декларация промышленной безопасности</t>
  </si>
  <si>
    <t>10.</t>
  </si>
  <si>
    <t>10.1.</t>
  </si>
  <si>
    <t>Участие в первой сессии VE (Value Engineering)</t>
  </si>
  <si>
    <t>Участие во второй сессии VE (Value Engineering)</t>
  </si>
  <si>
    <t>Разработка, ведение, актуализация MDR, графика КСП, КСГ, графика мобилизации</t>
  </si>
  <si>
    <t xml:space="preserve">Формирование перечня Ключевых физических объемов изделий, материалов, работ </t>
  </si>
  <si>
    <t>Комплект АТХ (Автоматизация технологии производства)</t>
  </si>
  <si>
    <t>1.4.</t>
  </si>
  <si>
    <t>1.5.</t>
  </si>
  <si>
    <t xml:space="preserve">Предоставление ведомостей материалов с построчной стоимостью ресурсов (BOM) </t>
  </si>
  <si>
    <t xml:space="preserve">Предоставление ведомостей оборудования с построчной стоимостью ресурсов (BOE) </t>
  </si>
  <si>
    <t>11.</t>
  </si>
  <si>
    <t>11.1.</t>
  </si>
  <si>
    <t xml:space="preserve">Предоставление ведомостей дефектов (BOD) </t>
  </si>
  <si>
    <t xml:space="preserve">Предоставить ведомости объемов работ в формате BOQ (Описание выполняемых работ/объемы) </t>
  </si>
  <si>
    <t>Монтажно-техническая документация (ТХ, ТК, ТХМ, ТХР, ТИ, ППМ)</t>
  </si>
  <si>
    <t>Документация механизации и оборудования (Р, СБ)</t>
  </si>
  <si>
    <t>Документация КИПиА (АК, АТХ, ТХА)</t>
  </si>
  <si>
    <t>Электротехническая документация (ЭМ, ЭО, ЭН, ЭС, ЭК, МЗ, ЗЗ, ЭГ)</t>
  </si>
  <si>
    <t>Документация сетей связи (СС, ОС, ПС, ПТ, СОУЭ, РТ)</t>
  </si>
  <si>
    <t>2.5.1.</t>
  </si>
  <si>
    <t>2.5.2.</t>
  </si>
  <si>
    <t>2.5.3.</t>
  </si>
  <si>
    <t>2.5.4.</t>
  </si>
  <si>
    <t>2.5.5.</t>
  </si>
  <si>
    <t>2.5.6.</t>
  </si>
  <si>
    <t>2.5.7.</t>
  </si>
  <si>
    <t>8.</t>
  </si>
  <si>
    <t>9.</t>
  </si>
  <si>
    <t>12.</t>
  </si>
  <si>
    <t>13.</t>
  </si>
  <si>
    <t>1.6.</t>
  </si>
  <si>
    <t>7.2.</t>
  </si>
  <si>
    <t>8.1.</t>
  </si>
  <si>
    <t>9.1.</t>
  </si>
  <si>
    <t>11.2.</t>
  </si>
  <si>
    <t>11.3.</t>
  </si>
  <si>
    <t>11.4.</t>
  </si>
  <si>
    <t>11.5.</t>
  </si>
  <si>
    <t>12.1.</t>
  </si>
  <si>
    <t>12.2.</t>
  </si>
  <si>
    <t>13.1.</t>
  </si>
  <si>
    <t>13.2.</t>
  </si>
  <si>
    <t>Итого стоимость предложения на разработку</t>
  </si>
  <si>
    <t>1.1.-1.6.</t>
  </si>
  <si>
    <t>11.1.-11.5.</t>
  </si>
  <si>
    <t>* - Датой окончания является дата подписания Заказчиком акта приемки выполненных работ</t>
  </si>
  <si>
    <t>ИТОГО</t>
  </si>
  <si>
    <t>Covid - мероприятия/прививочный сертификат</t>
  </si>
  <si>
    <t>Медосмотры</t>
  </si>
  <si>
    <t>Лицензии для ПО</t>
  </si>
  <si>
    <t>Аттестация специалистов/обучение</t>
  </si>
  <si>
    <t>Аренда офиса</t>
  </si>
  <si>
    <t>Ежедневный проезд до места работы</t>
  </si>
  <si>
    <t>Проживание</t>
  </si>
  <si>
    <t>Суточные/питание</t>
  </si>
  <si>
    <t>Техник 3 категории</t>
  </si>
  <si>
    <t>Билеты</t>
  </si>
  <si>
    <t>Техник 2 категории</t>
  </si>
  <si>
    <t>Стоимость 5 чел</t>
  </si>
  <si>
    <t>Техник 1 категории</t>
  </si>
  <si>
    <t>Офис в нижнекамске, средняя</t>
  </si>
  <si>
    <t>Инженер 3 категории</t>
  </si>
  <si>
    <t>Инженер 2 категории</t>
  </si>
  <si>
    <t>Инженер 1 категории</t>
  </si>
  <si>
    <t>Ведущий специалист</t>
  </si>
  <si>
    <t>Руководитель группы</t>
  </si>
  <si>
    <t>Главный специалист</t>
  </si>
  <si>
    <t>Заместитель нач. отдела</t>
  </si>
  <si>
    <t>Начальник отдела</t>
  </si>
  <si>
    <t>Главный инженер проекта</t>
  </si>
  <si>
    <t>Индекс ср. взв.ставок</t>
  </si>
  <si>
    <t>наименование
должностей</t>
  </si>
  <si>
    <t>Рамка
НИПИГАЗ</t>
  </si>
  <si>
    <t>ГПП</t>
  </si>
  <si>
    <t>Сибур Рамка
ЭТО</t>
  </si>
  <si>
    <t>С5</t>
  </si>
  <si>
    <t>ГПП ставки для формы 3П (0,45; 8%)</t>
  </si>
  <si>
    <t>Рамка 
Сибур ЭТО</t>
  </si>
  <si>
    <t>Среднеотраслевая шкала индексов средневзвешенных ставок непосредственных исполнителей устанавливается с учетом положений п. 5.3 МУ о разработке СБЦ (приказ Минстроя России от 04.06.2015)</t>
  </si>
  <si>
    <t xml:space="preserve">Стоимость разработки ПД, РД рассчитывается как произведение стоимости 1 (одного) чел-часа на нормативы трудоемкости разработки 1 листа в приведенном формате (чел/час) (нормативы трудоемкости указаны в Приложении №1.1 к Форме КП) и количества листов Документации по маркам основных комплектов чертежей соответствующего формата, фактически передаваемых Подрядчиком Заказчику при сдаче выполненных работ с возможным применением соответствующих коэффициентов - повышающих и понижающих (п.4.1, п.4.2 Формы КП), чел./час*норм.трудоемкости*кол-во_листов.  
</t>
  </si>
  <si>
    <t>РАСЧЁТ СТОИМОСТИ РАЗРАБОТКИ ПРОЕКТНОЙ и РАБОЧЕЙ ДОКУМЕНТАЦИИ:</t>
  </si>
  <si>
    <t>А4</t>
  </si>
  <si>
    <t>все разделы</t>
  </si>
  <si>
    <t>Текстовая часть</t>
  </si>
  <si>
    <t>23.1</t>
  </si>
  <si>
    <t>Сбор Исходных данных</t>
  </si>
  <si>
    <t>23.</t>
  </si>
  <si>
    <t>А1</t>
  </si>
  <si>
    <t>Графическая часть</t>
  </si>
  <si>
    <t>22.2</t>
  </si>
  <si>
    <t>22.1</t>
  </si>
  <si>
    <t>Мероприятия по информационной и техничекой безопасности в рамках защиты от преступных посягательств</t>
  </si>
  <si>
    <t>22.</t>
  </si>
  <si>
    <t>-</t>
  </si>
  <si>
    <t>ОТР расчитывается по стоимостям разделов документации с последующим применением понижающего коээфициента повторного применения на стадии ПД и РД (см.  п.5 Формы КП"Приемка объема работ")</t>
  </si>
  <si>
    <t>21.1</t>
  </si>
  <si>
    <t>ОТР</t>
  </si>
  <si>
    <t>21.</t>
  </si>
  <si>
    <t>Спецификация на материалы и оборудование, ВОР</t>
  </si>
  <si>
    <t>20.1</t>
  </si>
  <si>
    <t>Спецификация на материалы и оборудование</t>
  </si>
  <si>
    <t>20.</t>
  </si>
  <si>
    <t xml:space="preserve">Результаты Расчета </t>
  </si>
  <si>
    <t>19.1</t>
  </si>
  <si>
    <t>Расчеты (по ТЗ или по требованию Заказчика)</t>
  </si>
  <si>
    <t>19.</t>
  </si>
  <si>
    <t>Проведение исследования HAZOP, графическая часть</t>
  </si>
  <si>
    <t>18.2.</t>
  </si>
  <si>
    <t>Проведение исследования HAZOP, тестовая часть</t>
  </si>
  <si>
    <t>18.1.</t>
  </si>
  <si>
    <t>HAZOP (включая проведение сессии, формирование отчета)</t>
  </si>
  <si>
    <t>18.</t>
  </si>
  <si>
    <t>ОЛ</t>
  </si>
  <si>
    <t>Опросные листы, графическая часть</t>
  </si>
  <si>
    <t>17.2</t>
  </si>
  <si>
    <t>Опросные листы, текстовая часть</t>
  </si>
  <si>
    <t>17.1</t>
  </si>
  <si>
    <t>РАЗРАБОТКА ОПРОСНЫХ ЛИСТОВ</t>
  </si>
  <si>
    <t>17.</t>
  </si>
  <si>
    <t>ТЗ</t>
  </si>
  <si>
    <t>Техническое задание. Графическая часть.</t>
  </si>
  <si>
    <t>16.2</t>
  </si>
  <si>
    <t>Техническое задание. Текстовая часть.</t>
  </si>
  <si>
    <t>16.1</t>
  </si>
  <si>
    <t>ПОДГОТОВКА ТЕХНИЧЕСКИХ ЗАДАНИЙ</t>
  </si>
  <si>
    <t>16.</t>
  </si>
  <si>
    <t>ГП</t>
  </si>
  <si>
    <t>Генплан. Графическая часть</t>
  </si>
  <si>
    <t>15.2</t>
  </si>
  <si>
    <t>Генплан. Текстовая часть</t>
  </si>
  <si>
    <t>15.1</t>
  </si>
  <si>
    <t>ГЕНЕРАЛЬНЫЙ ПЛАН</t>
  </si>
  <si>
    <t>15.</t>
  </si>
  <si>
    <t>ТБЭ</t>
  </si>
  <si>
    <t>ТБЭ. Графическая часть</t>
  </si>
  <si>
    <t>14.8</t>
  </si>
  <si>
    <t>ТБЭ.Текстовая часть</t>
  </si>
  <si>
    <t>14.7</t>
  </si>
  <si>
    <t>ГОЧС</t>
  </si>
  <si>
    <t>ГОЧС. Графическая часть</t>
  </si>
  <si>
    <t>14.6</t>
  </si>
  <si>
    <t>ГОЧС. Текстовая часть</t>
  </si>
  <si>
    <t>14.5</t>
  </si>
  <si>
    <t>ПБ</t>
  </si>
  <si>
    <t>Промышленная безопасность. Графическая часть.</t>
  </si>
  <si>
    <t>14.4</t>
  </si>
  <si>
    <t>Промышленная безопасность. Тестовая часть.</t>
  </si>
  <si>
    <t>14.3</t>
  </si>
  <si>
    <t>ПМЛА, ПЛА</t>
  </si>
  <si>
    <t>ПМЛА, ПЛА. План мероприятий по локализации и ликвидации последствий аварий на ОПО. Графическая час</t>
  </si>
  <si>
    <t>14.2</t>
  </si>
  <si>
    <t>ПМЛА, ПЛА. План  мероприятий по локализации и ликвидации последствий аварий на ОПО. Тестовая часть.</t>
  </si>
  <si>
    <t>14.1</t>
  </si>
  <si>
    <t>ИНАЯ ДОКУМЕНТАЦИЯ В СЛУЧАЯХ, ПРЕДУСМОТРЕННЫХ ФЕДЕРАЛЬНЫМ ЗАКОНОМ</t>
  </si>
  <si>
    <t>14.</t>
  </si>
  <si>
    <t>КА</t>
  </si>
  <si>
    <t>Таблица Конъюктурного анализа</t>
  </si>
  <si>
    <t>13.2</t>
  </si>
  <si>
    <t xml:space="preserve"> ЛСР, ОСР, 
ССРСС, ПЗ
</t>
  </si>
  <si>
    <t>Сметная документация.</t>
  </si>
  <si>
    <t>13.1</t>
  </si>
  <si>
    <t>СМЕТНАЯ ДОКУМЕНТАЦИЯ</t>
  </si>
  <si>
    <t>ЭЭ</t>
  </si>
  <si>
    <t>ЭЭ. Графическая часть</t>
  </si>
  <si>
    <t>ЭЭ. Текстовая часть</t>
  </si>
  <si>
    <t xml:space="preserve">МЕРОПРИЯТИЯ ПО ОБЕСПЕЧЕНИЮ СОБЛЮДЕНИЯ ТРЕБОВАНИЙ ЭНЕРГЕТИЧЕСКОЙ
ЭФФЕКТИВНОСТИ </t>
  </si>
  <si>
    <t>МОПБ</t>
  </si>
  <si>
    <t>Мероприятия по обеспечению пожарной безопасности. Графическая часть</t>
  </si>
  <si>
    <t>Мероприятия по обеспечению пожарной безопасности. Текстовая часть</t>
  </si>
  <si>
    <t>МЕРОПРИЯТИЯ ПО ОБЕСПЕЧЕНИЮ ПОЖАРНОЙ БЕЗОПАСНОСТИ</t>
  </si>
  <si>
    <t>ООС, ОВОС</t>
  </si>
  <si>
    <t>ООС, ОВОС. .Графическая часть</t>
  </si>
  <si>
    <t>10.2.</t>
  </si>
  <si>
    <t>ООС,  ОВОС</t>
  </si>
  <si>
    <t>ООС, ОВОС. Текстовая часть</t>
  </si>
  <si>
    <t>ПЕРЕЧЕНЬ МЕРОПРИЯТИЙ ПО ОХРАНЕ ОКРУЖАЮЩЕЙ СРЕДЫ</t>
  </si>
  <si>
    <t>Консервация. Графическая часть.</t>
  </si>
  <si>
    <t>9.4</t>
  </si>
  <si>
    <t>Консервация. Текстовая часть.</t>
  </si>
  <si>
    <t>9,3</t>
  </si>
  <si>
    <t>ПОД</t>
  </si>
  <si>
    <t>ПОД. Графическая часть</t>
  </si>
  <si>
    <t>9.2.</t>
  </si>
  <si>
    <t>ПОД. Текстовая часть</t>
  </si>
  <si>
    <t>ПРОЕКТ ОРГАНИЗАЦИИ ПО СНОСУ И ДЕМОНТАЖУ, КОНСЕРВАЦИЯ</t>
  </si>
  <si>
    <t>ПОС</t>
  </si>
  <si>
    <t>ПОС. Графическая часть</t>
  </si>
  <si>
    <t>8.2.</t>
  </si>
  <si>
    <t>ПОС. Текстовая часть</t>
  </si>
  <si>
    <t>ПРОЕКТ ОРГАНИЗАЦИИ СТРОИТЕЛЬСТВА ОБЪЕКТОВ КАП. СТРОИТЕЛЬСТВА</t>
  </si>
  <si>
    <t>ПЗ</t>
  </si>
  <si>
    <t>Общая Пояснительная записка. Текстовая часть</t>
  </si>
  <si>
    <t>7.1</t>
  </si>
  <si>
    <t>ПОЯСНИТЕЛЬНАЯ ЗАПИСКА</t>
  </si>
  <si>
    <t>ПТ</t>
  </si>
  <si>
    <t>Сети и системы пожаротушения. Графическая часть.</t>
  </si>
  <si>
    <t>6.12</t>
  </si>
  <si>
    <t>Сети и системы пожаротушения. Текстовая часть.</t>
  </si>
  <si>
    <t>6.11</t>
  </si>
  <si>
    <t>ОВ</t>
  </si>
  <si>
    <t>Отопление и вентиляция, кондиционирование. Графическая часть.</t>
  </si>
  <si>
    <t>6.10</t>
  </si>
  <si>
    <t>Отопление и вентиляция, кондиционирование. Текстовая часть</t>
  </si>
  <si>
    <t>6.9</t>
  </si>
  <si>
    <t>ГСН, ГСВ</t>
  </si>
  <si>
    <t>Наружные газопроводы и газоснабжение. Графическая часть.</t>
  </si>
  <si>
    <t>6.8</t>
  </si>
  <si>
    <t>Наружные газопроводы и газоснабжение. Текстовая часть.</t>
  </si>
  <si>
    <t>6.7</t>
  </si>
  <si>
    <t>ТС</t>
  </si>
  <si>
    <t>Тепловые сети. Графическая часть.</t>
  </si>
  <si>
    <t>6.6</t>
  </si>
  <si>
    <t>Тепловые сети. Текстовая часть</t>
  </si>
  <si>
    <t>6.5</t>
  </si>
  <si>
    <t>ВК</t>
  </si>
  <si>
    <t>Водоснабжение и канализация. Графическая часть.</t>
  </si>
  <si>
    <t>6.4</t>
  </si>
  <si>
    <t xml:space="preserve">Водоснабжение и канализация. Текстовая часть   </t>
  </si>
  <si>
    <t>6.3</t>
  </si>
  <si>
    <t>НВК</t>
  </si>
  <si>
    <t>Наружные сети водоснабжения и канализации. Графическая часть</t>
  </si>
  <si>
    <t>6.2</t>
  </si>
  <si>
    <t>Наружные сети водоснабжения и канализации. Текстовая часть</t>
  </si>
  <si>
    <t>6.1</t>
  </si>
  <si>
    <t>СЕКТОР ИНЖЕНЕРНЫХ СЕТЕЙ</t>
  </si>
  <si>
    <t>АИ</t>
  </si>
  <si>
    <t>Архитектурные решения интерьера. Графическая часть</t>
  </si>
  <si>
    <t>5.8</t>
  </si>
  <si>
    <t>Архитектурные решения интерьера. Текстовая часть</t>
  </si>
  <si>
    <t>5.7</t>
  </si>
  <si>
    <t>АР</t>
  </si>
  <si>
    <t>Архитектурные решения. Графическая часть.</t>
  </si>
  <si>
    <t>5.6</t>
  </si>
  <si>
    <t>Архитектурные решения. Текстовая часть</t>
  </si>
  <si>
    <t>5.5</t>
  </si>
  <si>
    <t>АС</t>
  </si>
  <si>
    <t>Архитектурно-строительные решения. Графическая часть.</t>
  </si>
  <si>
    <t>5.4</t>
  </si>
  <si>
    <t>Архитектурно-строительные решения. Текстовая часть</t>
  </si>
  <si>
    <t>5.3</t>
  </si>
  <si>
    <t>КЖ, КМ, КД</t>
  </si>
  <si>
    <t>Конструкции железобетонные, металлические, деревянные. Графическая часть.</t>
  </si>
  <si>
    <t>5.2</t>
  </si>
  <si>
    <t>Конструкции железобетонные, металлические, деревянные. Текстовая часть.</t>
  </si>
  <si>
    <t>5.1</t>
  </si>
  <si>
    <t>СТРОИТЕЛЬНО - КОНСТРУКТОРСКИЙ ОТДЕЛ</t>
  </si>
  <si>
    <t>РТ</t>
  </si>
  <si>
    <t>Радиосвязь, радиовещание и телевидение. Графическая часть</t>
  </si>
  <si>
    <t>4.4</t>
  </si>
  <si>
    <t>Радиосвязь, радиовещание и телевидение. Текстовая часть</t>
  </si>
  <si>
    <t>4.3</t>
  </si>
  <si>
    <t>СС, ОС, ПС,СОУЭ,</t>
  </si>
  <si>
    <t>Сети связи. Охранная и пожарная сигнализации. Графическая часть</t>
  </si>
  <si>
    <t>4.2</t>
  </si>
  <si>
    <t>СС, ОС, ПС, СОУЭ,</t>
  </si>
  <si>
    <t>Сети связи. Охранная и пожарная сигнализации. Текстовая часть</t>
  </si>
  <si>
    <t>4.1</t>
  </si>
  <si>
    <t>СЕТИ СВЯЗИ</t>
  </si>
  <si>
    <t>МЗ, ЗЗ, ЭГ</t>
  </si>
  <si>
    <t>Молниезащита, Заземление. Графическая часть</t>
  </si>
  <si>
    <t>3.12</t>
  </si>
  <si>
    <t>ЭГ</t>
  </si>
  <si>
    <t>Молниезащита, Заземление. Тестовая часть</t>
  </si>
  <si>
    <t>3.11</t>
  </si>
  <si>
    <t>ЭОГ</t>
  </si>
  <si>
    <t>Электрообогрев. Графическая часть.</t>
  </si>
  <si>
    <t>3.10</t>
  </si>
  <si>
    <t>Электрообогрев. Текстовая часть.</t>
  </si>
  <si>
    <t>3.9</t>
  </si>
  <si>
    <t>ЭВ, ЭК</t>
  </si>
  <si>
    <t>Воздушние, кабельные линии электро передач. Графическая часть.</t>
  </si>
  <si>
    <t>3.8</t>
  </si>
  <si>
    <t>Воздушние, кабельные линии электро передач. Текстовая часть.</t>
  </si>
  <si>
    <t>3.7</t>
  </si>
  <si>
    <t>ЭС</t>
  </si>
  <si>
    <t>Электроснабжение. Графическая часть</t>
  </si>
  <si>
    <t>Электроснабжение. Текстовая часть</t>
  </si>
  <si>
    <t>ЭО, ЭН</t>
  </si>
  <si>
    <t>Электрическое освещение. Графическая часть.</t>
  </si>
  <si>
    <t>Электрическое освещение. Текстовая часть.</t>
  </si>
  <si>
    <t>ЭМ</t>
  </si>
  <si>
    <t>Силовое электрооборудование. Графическая часть.</t>
  </si>
  <si>
    <t>Силовое электрооборудование. Текстовая часть.</t>
  </si>
  <si>
    <t>ЭЛЕКТРОТЕХНИЧЕСКИЙ ОТДЕЛ</t>
  </si>
  <si>
    <t>Разработка ТЗ на ВУ АСУТП. Графическая часть.</t>
  </si>
  <si>
    <t>Разработка ТЗ на ВУ АСУТП. Текстовая часть.</t>
  </si>
  <si>
    <t>АК, АТХ</t>
  </si>
  <si>
    <t>Автоматизация технологически процессов. Графическая часть.</t>
  </si>
  <si>
    <t>а</t>
  </si>
  <si>
    <t>Автоматизация технологически процессов. Текстовая часть.</t>
  </si>
  <si>
    <t xml:space="preserve">КИПиА </t>
  </si>
  <si>
    <t>СБ</t>
  </si>
  <si>
    <t>Сборочные и монтажные чертежи</t>
  </si>
  <si>
    <t>1.12</t>
  </si>
  <si>
    <t>Сборочные и монтажны чертежи</t>
  </si>
  <si>
    <t>1.11</t>
  </si>
  <si>
    <t>ТИ</t>
  </si>
  <si>
    <t>Тепловая изоляция. Графическая часть</t>
  </si>
  <si>
    <t>1.10</t>
  </si>
  <si>
    <t>РР</t>
  </si>
  <si>
    <t>Расчет Материального баланса. Графическая чать.</t>
  </si>
  <si>
    <t>1.9</t>
  </si>
  <si>
    <t>Расчет Материального баланса. Тестовая чать.</t>
  </si>
  <si>
    <t>1.8</t>
  </si>
  <si>
    <t>АЗ, АЗО</t>
  </si>
  <si>
    <t xml:space="preserve">
Антикоррозионная защита. Графическая часть.</t>
  </si>
  <si>
    <t>1.7</t>
  </si>
  <si>
    <t xml:space="preserve">
Антикоррозионная защита. Текстовая часть.
</t>
  </si>
  <si>
    <t>1.6</t>
  </si>
  <si>
    <t>Тепловая изоляция. Текстовая часть</t>
  </si>
  <si>
    <t>1.5</t>
  </si>
  <si>
    <t>ТК</t>
  </si>
  <si>
    <t>Технологические коммуникации. Графическая часть.</t>
  </si>
  <si>
    <t>1.4</t>
  </si>
  <si>
    <t>Технологические коммуникации. Текстовая часть</t>
  </si>
  <si>
    <t>1.3</t>
  </si>
  <si>
    <t>ТХ</t>
  </si>
  <si>
    <t>Технология производства. Графическая часть</t>
  </si>
  <si>
    <t>1.2</t>
  </si>
  <si>
    <t xml:space="preserve">Технология производства. Текстовая часть </t>
  </si>
  <si>
    <t>1.1</t>
  </si>
  <si>
    <t>МОНТАЖНО - ТЕХНОЛОГИЧЕСКИЙ ОТДЕЛ</t>
  </si>
  <si>
    <t>Норматив трудозатрат, (чел./час). РД.</t>
  </si>
  <si>
    <t>Норматив трудозатрат, (чел./час). ПД</t>
  </si>
  <si>
    <t>Формат листа</t>
  </si>
  <si>
    <t>Марка чертежа</t>
  </si>
  <si>
    <t>Наименование</t>
  </si>
  <si>
    <t>№ п/п</t>
  </si>
  <si>
    <t>ФИКСИРОВАННАЯ ТРУДОЕМКОСТЬ НА ГРАФИЧЕСКИЙ И ТЕКСТОВОЙ ЛИСТ (единица измерения) ПРОЕКТНОЙ И РАБОЧЕЙ ДОКУМЕНТАЦИИ.</t>
  </si>
  <si>
    <t>Приложение №1.1 к Форме КП</t>
  </si>
  <si>
    <t>K=</t>
  </si>
  <si>
    <t>ПД, РД</t>
  </si>
  <si>
    <t>АН</t>
  </si>
  <si>
    <t>ИИ</t>
  </si>
  <si>
    <t>Разработка рабочей документации по проекту «Техническое перевооружение узла очистки, осушки и регазификации этилена на площадке Казанской компрессорной станции магистрального продуктопровода (этилен) Нижнекамск-Казань Татарстанского линейно-производственного управления ООО «УЭТП-НКНХ»</t>
  </si>
  <si>
    <t xml:space="preserve">Разработка рабочей документации по проекту «Техническое перевооружение узла очистки, осушки и регазификации этилена на площадке Казанской компрессорной станции магистрального продуктопровода (этилен) Нижнекамск-Казань Татарстанского линейно-производственного управления ООО «УЭТП-НКНХ»
</t>
  </si>
  <si>
    <t>Разработка рабочей документации по проекту «Техническое перевооружение узла очистки, осушки и регазификации этилена на площадке Казанской компрессорной станции магистрального продуктопровода (этилен) Нижнекамск-Казань Татарстанского линейно-производственного управления ООО «УЭТП-НКНХ». Календарный план.</t>
  </si>
  <si>
    <t>Пояснительная записка для ЭПБ на техническое перевооружение</t>
  </si>
  <si>
    <t xml:space="preserve">      подраздел 5.1 Система электроснабжения</t>
  </si>
  <si>
    <t xml:space="preserve">      подраздел 5.2 Система водоснабжения</t>
  </si>
  <si>
    <t xml:space="preserve">     подраздел 5.3 Система водоотведения</t>
  </si>
  <si>
    <t xml:space="preserve">     подраздел 5.4 Отопление, вентиляция и кондиционирование воздуха, тепловые сети</t>
  </si>
  <si>
    <t xml:space="preserve">     подраздел 5.5 Сети связи</t>
  </si>
  <si>
    <t xml:space="preserve">      подраздел 5.6 Система газоснабжения</t>
  </si>
  <si>
    <t xml:space="preserve">      подраздел 5.7 Технологические решения</t>
  </si>
  <si>
    <t xml:space="preserve">      Раздел 6. Проект организации строительства. (деталировка согласно ТЗ)</t>
  </si>
  <si>
    <t xml:space="preserve">     Раздел 7. Проект организации по сносу или демонтажу зданий, строений, сооружений объектов капитального строительства.</t>
  </si>
  <si>
    <t xml:space="preserve">    Раздел 8. Перечень мероприятий по охране окружающей среды</t>
  </si>
  <si>
    <t xml:space="preserve">    Раздел 9. Мероприятия по обеспечению пожарной безопасности </t>
  </si>
  <si>
    <t xml:space="preserve">  Обследования состояния грунтов оснований зданий и сооружений (при необходимости)</t>
  </si>
  <si>
    <t>Сбор исходных данных.</t>
  </si>
  <si>
    <t xml:space="preserve">    Сбор, приемка исходных данных на площадке </t>
  </si>
  <si>
    <t>Инструментальное обследование существующего оборудования</t>
  </si>
  <si>
    <t>5.3.</t>
  </si>
  <si>
    <t>Инструментальное обследование существующих трубопроводов</t>
  </si>
  <si>
    <t>Проектное технологическое обследование объекта</t>
  </si>
  <si>
    <t>Разработка рабочей документации</t>
  </si>
  <si>
    <t xml:space="preserve"> Комплект ГП (Генеральный план)</t>
  </si>
  <si>
    <t>7.4.</t>
  </si>
  <si>
    <t>7.6.</t>
  </si>
  <si>
    <t>7.7.</t>
  </si>
  <si>
    <t>7.8.</t>
  </si>
  <si>
    <t>7.3.</t>
  </si>
  <si>
    <t>7.5.</t>
  </si>
  <si>
    <t>7.9.</t>
  </si>
  <si>
    <t>Строительно-инженерная документация (КЖ0, КЖ, КМ, АР)</t>
  </si>
  <si>
    <t>Документация инженерных сетей (ТС, ОВ, ГС)</t>
  </si>
  <si>
    <t>8</t>
  </si>
  <si>
    <t>9</t>
  </si>
  <si>
    <t>10</t>
  </si>
  <si>
    <t>10.3.</t>
  </si>
  <si>
    <t xml:space="preserve">   Участие в совещаниях, необходимых для разработки РД и верификации физ.объемов</t>
  </si>
  <si>
    <t xml:space="preserve"> Приемка ТКП поставщиков технологического оборудования с составлением сводной сравнительной таблицы вопросов/замечаний без ограничений по кол-ву ТКП и волн</t>
  </si>
  <si>
    <t xml:space="preserve"> Приемка ТКП поставщиков вспомогательного оборудования систем с составлением сводной сравнительной таблицы вопросов/замечаний без ограничений по кол-ву ТКП и волн</t>
  </si>
  <si>
    <t xml:space="preserve">   Разработка ИТТ/ТЗ на АСУТП. Приемка и согласование документации на АСУТП.</t>
  </si>
  <si>
    <t>Электронный документооборот</t>
  </si>
  <si>
    <t>Организация, ведение, поддержание электронного документооборота ЭДО</t>
  </si>
  <si>
    <t>Выполнение проектных расчетов. Оформление передача заказчику.</t>
  </si>
  <si>
    <t>Выполнение технологических расчетов. Оформление. Формирование файлов разработки. Передача Заказчику оформленных расчетов и исходных файлов.</t>
  </si>
  <si>
    <t>Выполнение прочностных расчетов трубопроводов. Оформление. Формирование файлов разработки. Передача Заказчику оформленных расчетов и исходных файлов.</t>
  </si>
  <si>
    <t>Выполнение прочностных расчетов технологического оборудования. Оформление. Формирование файлов разработки. Передача Заказчику оформленных расчетов и исходных файлов.</t>
  </si>
  <si>
    <t>Выполнение прочностных расчетов строительных конструкций. Оформление. Формирование файлов разработки. Передача Заказчику оформленных расчетов и исходных файлов.</t>
  </si>
  <si>
    <t>Выполнение расчетов оборудования и сетей электроснабжения, освещения. Оформление. Формирование файлов разработки. Передача Заказчику оформленных расчетов и исходных файлов.</t>
  </si>
  <si>
    <t>Выполнение расчетов оборудования и сетей КИП, АСУТП. Оформление. Формирование файлов разработки. Передача Заказчику оформленных расчетов и исходных файлов.</t>
  </si>
  <si>
    <t>Выполнение расчетов оборудования и сетей ОиВ, НВК, ВК. Оформление. Формирование файлов разработки. Передача Заказчику оформленных расчетов и исходных файлов.</t>
  </si>
  <si>
    <t>Смежные работы</t>
  </si>
  <si>
    <t>12</t>
  </si>
  <si>
    <t>13.3.</t>
  </si>
  <si>
    <t>13.4.</t>
  </si>
  <si>
    <t>13.5.</t>
  </si>
  <si>
    <t>13.6.</t>
  </si>
  <si>
    <t>13.7.</t>
  </si>
  <si>
    <t>2.1.-2.9</t>
  </si>
  <si>
    <t>3.1.-3.3.</t>
  </si>
  <si>
    <t>5.1.-5.3.</t>
  </si>
  <si>
    <t>6.1.-6.2.</t>
  </si>
  <si>
    <t>7.1.-7.8.</t>
  </si>
  <si>
    <t>9.1.-9.2.</t>
  </si>
  <si>
    <t>10.1.-10.5.</t>
  </si>
  <si>
    <t>12.1</t>
  </si>
  <si>
    <t>13.1.-13.7.</t>
  </si>
  <si>
    <t>Акт</t>
  </si>
  <si>
    <t>Расчеты</t>
  </si>
  <si>
    <t xml:space="preserve">Проведение экспертизы промышленной безопасности декларации промышленной безопасности </t>
  </si>
  <si>
    <t xml:space="preserve">Корректировка технологического регламента </t>
  </si>
  <si>
    <t>Разработка технологического процесса и расчет материально-теплового баланса. Выполнение расчета материально-технического баланса в ПО HYSYS/Aspen.
Гидравлические расчеты.</t>
  </si>
  <si>
    <t xml:space="preserve">  Инструментальные Обследования существующих строительных конструкций / усиление, проведение экспертизы. Выполнение расчета на прогрессирующие обрушения.</t>
  </si>
  <si>
    <t>Обследование существующих строительных конструкций</t>
  </si>
  <si>
    <t>Проектное технологическое обследование объекта. Замеры существующих конструкций, оборудования, трубопроводов. Проведение 3d сканирования (визуальное обследование трубопроводов, оборудования). Обработка материалов. Формирование файла.</t>
  </si>
  <si>
    <t>ОАО "Сибнефтетранспроект"</t>
  </si>
  <si>
    <t>Главный инженер</t>
  </si>
  <si>
    <t>Крупников Антон Владимирович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</si>
</sst>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\ _₽_-;\-* #,##0.00\ _₽_-;_-* &quot;-&quot;??\ _₽_-;_-@_-"/>
    <numFmt numFmtId="165" formatCode="_-* #,##0.00_р_._-;\-* #,##0.00_р_._-;_-* &quot;-&quot;??_р_._-;_-@_-"/>
    <numFmt numFmtId="166" formatCode="_(* #,##0.00_);_(* \(#,##0.00\);_(* &quot;-&quot;??_);_(@_)"/>
    <numFmt numFmtId="167" formatCode="#,##0.00\ &quot;₽&quot;"/>
    <numFmt numFmtId="168" formatCode="#,##0.0"/>
    <numFmt numFmtId="169" formatCode="#,##0.000"/>
  </numFmts>
  <fonts count="4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family val="2"/>
      <charset val="204"/>
    </font>
    <font>
      <sz val="10"/>
      <name val="Helv"/>
    </font>
    <font>
      <sz val="10"/>
      <name val="Helv"/>
      <charset val="204"/>
    </font>
    <font>
      <sz val="10"/>
      <name val="Arial"/>
      <family val="2"/>
      <charset val="204"/>
    </font>
    <font>
      <sz val="10"/>
      <name val="Arial Cyr"/>
    </font>
    <font>
      <sz val="10"/>
      <name val="System"/>
      <family val="2"/>
      <charset val="204"/>
    </font>
    <font>
      <sz val="10"/>
      <name val="Arial Cyr"/>
      <charset val="204"/>
    </font>
    <font>
      <b/>
      <sz val="16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6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2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0"/>
      <name val="Times New Roman"/>
      <family val="1"/>
      <charset val="204"/>
    </font>
    <font>
      <i/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2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9" fillId="0" borderId="0" applyNumberFormat="0" applyFill="0" applyBorder="0" applyAlignment="0" applyProtection="0"/>
    <xf numFmtId="0" fontId="7" fillId="0" borderId="0"/>
    <xf numFmtId="0" fontId="10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0" fillId="0" borderId="0"/>
    <xf numFmtId="0" fontId="31" fillId="0" borderId="0"/>
  </cellStyleXfs>
  <cellXfs count="309">
    <xf numFmtId="0" fontId="0" fillId="0" borderId="0" xfId="0"/>
    <xf numFmtId="3" fontId="3" fillId="4" borderId="1" xfId="3" applyNumberFormat="1" applyFont="1" applyFill="1" applyBorder="1" applyAlignment="1">
      <alignment horizontal="left" vertical="center"/>
    </xf>
    <xf numFmtId="3" fontId="3" fillId="4" borderId="8" xfId="3" applyNumberFormat="1" applyFont="1" applyFill="1" applyBorder="1" applyAlignment="1">
      <alignment horizontal="left" vertical="center" wrapText="1"/>
    </xf>
    <xf numFmtId="0" fontId="11" fillId="2" borderId="0" xfId="1" applyFont="1" applyFill="1" applyAlignment="1">
      <alignment vertical="top" wrapText="1"/>
    </xf>
    <xf numFmtId="3" fontId="3" fillId="4" borderId="8" xfId="3" applyNumberFormat="1" applyFont="1" applyFill="1" applyBorder="1" applyAlignment="1">
      <alignment horizontal="center" vertical="center" wrapText="1"/>
    </xf>
    <xf numFmtId="0" fontId="2" fillId="2" borderId="0" xfId="1" applyFont="1" applyFill="1" applyAlignment="1">
      <alignment vertical="top" wrapText="1"/>
    </xf>
    <xf numFmtId="0" fontId="2" fillId="5" borderId="9" xfId="1" applyFont="1" applyFill="1" applyBorder="1" applyAlignment="1">
      <alignment vertical="top"/>
    </xf>
    <xf numFmtId="0" fontId="2" fillId="5" borderId="9" xfId="1" applyFont="1" applyFill="1" applyBorder="1" applyAlignment="1">
      <alignment vertical="top" wrapText="1"/>
    </xf>
    <xf numFmtId="49" fontId="2" fillId="5" borderId="10" xfId="1" applyNumberFormat="1" applyFont="1" applyFill="1" applyBorder="1" applyAlignment="1">
      <alignment vertical="top"/>
    </xf>
    <xf numFmtId="4" fontId="2" fillId="5" borderId="12" xfId="1" applyNumberFormat="1" applyFont="1" applyFill="1" applyBorder="1" applyAlignment="1">
      <alignment horizontal="center" vertical="top"/>
    </xf>
    <xf numFmtId="4" fontId="2" fillId="5" borderId="13" xfId="1" applyNumberFormat="1" applyFont="1" applyFill="1" applyBorder="1" applyAlignment="1">
      <alignment horizontal="center" vertical="top"/>
    </xf>
    <xf numFmtId="49" fontId="2" fillId="5" borderId="14" xfId="1" applyNumberFormat="1" applyFont="1" applyFill="1" applyBorder="1" applyAlignment="1">
      <alignment vertical="top"/>
    </xf>
    <xf numFmtId="4" fontId="2" fillId="5" borderId="15" xfId="1" applyNumberFormat="1" applyFont="1" applyFill="1" applyBorder="1" applyAlignment="1">
      <alignment horizontal="center" vertical="top"/>
    </xf>
    <xf numFmtId="0" fontId="2" fillId="5" borderId="11" xfId="1" applyFont="1" applyFill="1" applyBorder="1" applyAlignment="1">
      <alignment vertical="top" wrapText="1"/>
    </xf>
    <xf numFmtId="49" fontId="2" fillId="5" borderId="16" xfId="1" applyNumberFormat="1" applyFont="1" applyFill="1" applyBorder="1" applyAlignment="1">
      <alignment vertical="top"/>
    </xf>
    <xf numFmtId="0" fontId="2" fillId="5" borderId="17" xfId="1" applyFont="1" applyFill="1" applyBorder="1" applyAlignment="1">
      <alignment vertical="top" wrapText="1"/>
    </xf>
    <xf numFmtId="4" fontId="2" fillId="5" borderId="18" xfId="1" applyNumberFormat="1" applyFont="1" applyFill="1" applyBorder="1" applyAlignment="1">
      <alignment horizontal="center" vertical="top"/>
    </xf>
    <xf numFmtId="0" fontId="2" fillId="5" borderId="19" xfId="1" applyFont="1" applyFill="1" applyBorder="1" applyAlignment="1">
      <alignment vertical="top" wrapText="1"/>
    </xf>
    <xf numFmtId="0" fontId="12" fillId="5" borderId="17" xfId="1" applyFont="1" applyFill="1" applyBorder="1" applyAlignment="1">
      <alignment vertical="top" wrapText="1"/>
    </xf>
    <xf numFmtId="0" fontId="13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13" fillId="2" borderId="0" xfId="1" applyFont="1" applyFill="1" applyAlignment="1">
      <alignment horizontal="center" vertical="top" wrapText="1"/>
    </xf>
    <xf numFmtId="0" fontId="16" fillId="0" borderId="0" xfId="1" applyFont="1" applyAlignment="1">
      <alignment horizontal="center" vertical="top" wrapText="1"/>
    </xf>
    <xf numFmtId="0" fontId="16" fillId="0" borderId="0" xfId="1" applyFont="1" applyAlignment="1">
      <alignment vertical="top" wrapText="1"/>
    </xf>
    <xf numFmtId="0" fontId="17" fillId="0" borderId="0" xfId="1" applyFont="1" applyAlignment="1">
      <alignment horizontal="center" vertical="top" wrapText="1"/>
    </xf>
    <xf numFmtId="3" fontId="17" fillId="0" borderId="9" xfId="3" applyNumberFormat="1" applyFont="1" applyBorder="1" applyAlignment="1">
      <alignment horizontal="center" vertical="center"/>
    </xf>
    <xf numFmtId="0" fontId="19" fillId="0" borderId="0" xfId="0" applyFont="1"/>
    <xf numFmtId="0" fontId="20" fillId="0" borderId="0" xfId="30" applyFont="1" applyAlignment="1" applyProtection="1">
      <alignment horizontal="left"/>
      <protection locked="0"/>
    </xf>
    <xf numFmtId="0" fontId="17" fillId="0" borderId="0" xfId="30" applyFont="1" applyAlignment="1" applyProtection="1">
      <alignment horizontal="left"/>
      <protection locked="0"/>
    </xf>
    <xf numFmtId="0" fontId="19" fillId="0" borderId="0" xfId="0" applyFont="1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17" fillId="0" borderId="22" xfId="30" applyFont="1" applyBorder="1" applyAlignment="1" applyProtection="1">
      <alignment horizontal="center" vertical="top"/>
      <protection locked="0"/>
    </xf>
    <xf numFmtId="4" fontId="3" fillId="10" borderId="25" xfId="3" applyNumberFormat="1" applyFont="1" applyFill="1" applyBorder="1" applyAlignment="1">
      <alignment horizontal="center" vertical="center"/>
    </xf>
    <xf numFmtId="3" fontId="3" fillId="10" borderId="12" xfId="3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2" fontId="3" fillId="10" borderId="25" xfId="0" applyNumberFormat="1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vertical="center"/>
    </xf>
    <xf numFmtId="0" fontId="3" fillId="10" borderId="25" xfId="0" applyFont="1" applyFill="1" applyBorder="1" applyAlignment="1">
      <alignment vertical="center"/>
    </xf>
    <xf numFmtId="49" fontId="17" fillId="8" borderId="9" xfId="0" applyNumberFormat="1" applyFont="1" applyFill="1" applyBorder="1" applyAlignment="1">
      <alignment horizontal="center" vertical="top"/>
    </xf>
    <xf numFmtId="0" fontId="18" fillId="8" borderId="9" xfId="0" applyFont="1" applyFill="1" applyBorder="1" applyAlignment="1">
      <alignment horizontal="right" indent="1"/>
    </xf>
    <xf numFmtId="4" fontId="3" fillId="10" borderId="32" xfId="3" applyNumberFormat="1" applyFont="1" applyFill="1" applyBorder="1" applyAlignment="1">
      <alignment horizontal="center" vertical="center"/>
    </xf>
    <xf numFmtId="2" fontId="3" fillId="10" borderId="32" xfId="0" applyNumberFormat="1" applyFont="1" applyFill="1" applyBorder="1" applyAlignment="1">
      <alignment horizontal="center" vertical="center"/>
    </xf>
    <xf numFmtId="167" fontId="18" fillId="9" borderId="20" xfId="0" applyNumberFormat="1" applyFont="1" applyFill="1" applyBorder="1" applyAlignment="1">
      <alignment horizontal="center"/>
    </xf>
    <xf numFmtId="4" fontId="25" fillId="9" borderId="31" xfId="1" applyNumberFormat="1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wrapText="1" indent="1"/>
    </xf>
    <xf numFmtId="4" fontId="15" fillId="0" borderId="0" xfId="0" applyNumberFormat="1" applyFont="1"/>
    <xf numFmtId="4" fontId="15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/>
    </xf>
    <xf numFmtId="0" fontId="13" fillId="7" borderId="0" xfId="1" applyFont="1" applyFill="1" applyAlignment="1">
      <alignment horizontal="center" vertical="top" wrapText="1"/>
    </xf>
    <xf numFmtId="2" fontId="13" fillId="9" borderId="31" xfId="0" applyNumberFormat="1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32" fillId="11" borderId="0" xfId="0" applyFont="1" applyFill="1" applyAlignment="1">
      <alignment vertical="center" wrapText="1"/>
    </xf>
    <xf numFmtId="17" fontId="32" fillId="11" borderId="0" xfId="0" applyNumberFormat="1" applyFont="1" applyFill="1" applyAlignment="1">
      <alignment vertical="center" wrapText="1"/>
    </xf>
    <xf numFmtId="16" fontId="32" fillId="11" borderId="0" xfId="0" applyNumberFormat="1" applyFont="1" applyFill="1" applyAlignment="1">
      <alignment vertical="center" wrapText="1"/>
    </xf>
    <xf numFmtId="4" fontId="33" fillId="0" borderId="9" xfId="0" applyNumberFormat="1" applyFont="1" applyBorder="1" applyAlignment="1">
      <alignment horizontal="center"/>
    </xf>
    <xf numFmtId="4" fontId="25" fillId="9" borderId="9" xfId="1" applyNumberFormat="1" applyFont="1" applyFill="1" applyBorder="1" applyAlignment="1">
      <alignment horizontal="center" vertical="center"/>
    </xf>
    <xf numFmtId="4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9" fillId="0" borderId="9" xfId="0" applyFont="1" applyBorder="1" applyAlignment="1">
      <alignment horizontal="center"/>
    </xf>
    <xf numFmtId="4" fontId="19" fillId="0" borderId="9" xfId="0" applyNumberFormat="1" applyFont="1" applyBorder="1" applyAlignment="1">
      <alignment horizontal="center"/>
    </xf>
    <xf numFmtId="3" fontId="19" fillId="0" borderId="9" xfId="0" applyNumberFormat="1" applyFont="1" applyBorder="1" applyAlignment="1">
      <alignment horizontal="center"/>
    </xf>
    <xf numFmtId="3" fontId="19" fillId="0" borderId="9" xfId="0" applyNumberFormat="1" applyFont="1" applyBorder="1" applyAlignment="1">
      <alignment horizontal="center" wrapText="1"/>
    </xf>
    <xf numFmtId="3" fontId="19" fillId="0" borderId="9" xfId="0" applyNumberFormat="1" applyFont="1" applyFill="1" applyBorder="1" applyAlignment="1">
      <alignment horizontal="center"/>
    </xf>
    <xf numFmtId="0" fontId="34" fillId="0" borderId="9" xfId="31" applyFont="1" applyFill="1" applyBorder="1" applyAlignment="1" applyProtection="1">
      <alignment horizontal="center"/>
    </xf>
    <xf numFmtId="4" fontId="19" fillId="9" borderId="9" xfId="0" applyNumberFormat="1" applyFont="1" applyFill="1" applyBorder="1" applyAlignment="1">
      <alignment horizontal="center"/>
    </xf>
    <xf numFmtId="3" fontId="19" fillId="7" borderId="9" xfId="0" applyNumberFormat="1" applyFont="1" applyFill="1" applyBorder="1" applyAlignment="1">
      <alignment horizontal="center"/>
    </xf>
    <xf numFmtId="3" fontId="19" fillId="7" borderId="9" xfId="0" applyNumberFormat="1" applyFont="1" applyFill="1" applyBorder="1" applyAlignment="1">
      <alignment horizontal="center" wrapText="1"/>
    </xf>
    <xf numFmtId="4" fontId="19" fillId="7" borderId="9" xfId="0" applyNumberFormat="1" applyFont="1" applyFill="1" applyBorder="1" applyAlignment="1">
      <alignment horizontal="center"/>
    </xf>
    <xf numFmtId="0" fontId="34" fillId="7" borderId="9" xfId="31" applyFont="1" applyFill="1" applyBorder="1" applyAlignment="1" applyProtection="1">
      <alignment horizontal="center"/>
    </xf>
    <xf numFmtId="0" fontId="0" fillId="0" borderId="9" xfId="0" applyBorder="1" applyAlignment="1">
      <alignment horizontal="center"/>
    </xf>
    <xf numFmtId="4" fontId="25" fillId="9" borderId="38" xfId="1" applyNumberFormat="1" applyFont="1" applyFill="1" applyBorder="1" applyAlignment="1">
      <alignment horizontal="center" vertical="center"/>
    </xf>
    <xf numFmtId="0" fontId="0" fillId="0" borderId="9" xfId="0" applyBorder="1"/>
    <xf numFmtId="0" fontId="37" fillId="0" borderId="9" xfId="3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36" fillId="0" borderId="0" xfId="0" applyFont="1" applyBorder="1"/>
    <xf numFmtId="168" fontId="40" fillId="0" borderId="0" xfId="0" applyNumberFormat="1" applyFont="1" applyFill="1" applyBorder="1" applyAlignment="1">
      <alignment horizontal="center" vertical="center" wrapText="1"/>
    </xf>
    <xf numFmtId="10" fontId="40" fillId="0" borderId="0" xfId="0" applyNumberFormat="1" applyFont="1" applyFill="1" applyBorder="1" applyAlignment="1">
      <alignment horizontal="center" vertical="center" wrapText="1"/>
    </xf>
    <xf numFmtId="0" fontId="41" fillId="0" borderId="0" xfId="30" applyFont="1" applyFill="1" applyBorder="1" applyAlignment="1">
      <alignment horizontal="center" vertical="top"/>
    </xf>
    <xf numFmtId="0" fontId="41" fillId="0" borderId="0" xfId="0" applyFont="1"/>
    <xf numFmtId="0" fontId="41" fillId="0" borderId="0" xfId="30" applyFont="1" applyAlignment="1">
      <alignment horizontal="left"/>
    </xf>
    <xf numFmtId="0" fontId="2" fillId="0" borderId="22" xfId="30" applyFont="1" applyBorder="1" applyAlignment="1">
      <alignment horizontal="center" vertical="top"/>
    </xf>
    <xf numFmtId="0" fontId="41" fillId="0" borderId="0" xfId="0" applyFont="1" applyAlignment="1">
      <alignment vertical="center"/>
    </xf>
    <xf numFmtId="0" fontId="36" fillId="0" borderId="0" xfId="0" applyFont="1"/>
    <xf numFmtId="0" fontId="42" fillId="0" borderId="0" xfId="0" applyFont="1" applyFill="1"/>
    <xf numFmtId="0" fontId="42" fillId="5" borderId="0" xfId="0" applyFont="1" applyFill="1"/>
    <xf numFmtId="0" fontId="24" fillId="0" borderId="0" xfId="0" applyFont="1"/>
    <xf numFmtId="0" fontId="14" fillId="5" borderId="41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43" fillId="5" borderId="21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/>
    </xf>
    <xf numFmtId="0" fontId="43" fillId="5" borderId="21" xfId="0" applyFont="1" applyFill="1" applyBorder="1" applyAlignment="1">
      <alignment wrapText="1"/>
    </xf>
    <xf numFmtId="49" fontId="30" fillId="5" borderId="43" xfId="0" applyNumberFormat="1" applyFont="1" applyFill="1" applyBorder="1" applyAlignment="1">
      <alignment horizontal="center" vertical="center"/>
    </xf>
    <xf numFmtId="0" fontId="13" fillId="14" borderId="18" xfId="0" applyFont="1" applyFill="1" applyBorder="1" applyAlignment="1">
      <alignment horizontal="center"/>
    </xf>
    <xf numFmtId="0" fontId="13" fillId="14" borderId="44" xfId="0" applyFont="1" applyFill="1" applyBorder="1" applyAlignment="1">
      <alignment horizontal="center"/>
    </xf>
    <xf numFmtId="0" fontId="23" fillId="14" borderId="45" xfId="0" applyFont="1" applyFill="1" applyBorder="1" applyAlignment="1"/>
    <xf numFmtId="0" fontId="23" fillId="14" borderId="17" xfId="0" applyFont="1" applyFill="1" applyBorder="1" applyAlignment="1"/>
    <xf numFmtId="0" fontId="24" fillId="14" borderId="16" xfId="0" applyFont="1" applyFill="1" applyBorder="1" applyAlignment="1">
      <alignment horizontal="center"/>
    </xf>
    <xf numFmtId="0" fontId="0" fillId="0" borderId="46" xfId="0" applyBorder="1"/>
    <xf numFmtId="0" fontId="14" fillId="5" borderId="15" xfId="0" applyFont="1" applyFill="1" applyBorder="1" applyAlignment="1">
      <alignment horizontal="center"/>
    </xf>
    <xf numFmtId="0" fontId="43" fillId="5" borderId="47" xfId="0" applyFont="1" applyFill="1" applyBorder="1" applyAlignment="1">
      <alignment horizontal="center" vertical="center"/>
    </xf>
    <xf numFmtId="0" fontId="15" fillId="5" borderId="48" xfId="0" applyFont="1" applyFill="1" applyBorder="1" applyAlignment="1">
      <alignment horizontal="center"/>
    </xf>
    <xf numFmtId="0" fontId="43" fillId="5" borderId="48" xfId="0" applyFont="1" applyFill="1" applyBorder="1" applyAlignment="1">
      <alignment wrapText="1"/>
    </xf>
    <xf numFmtId="49" fontId="30" fillId="5" borderId="49" xfId="0" applyNumberFormat="1" applyFont="1" applyFill="1" applyBorder="1" applyAlignment="1">
      <alignment horizontal="center" vertical="center"/>
    </xf>
    <xf numFmtId="0" fontId="0" fillId="0" borderId="50" xfId="0" applyBorder="1"/>
    <xf numFmtId="0" fontId="14" fillId="5" borderId="18" xfId="0" applyFont="1" applyFill="1" applyBorder="1" applyAlignment="1">
      <alignment horizontal="center"/>
    </xf>
    <xf numFmtId="0" fontId="43" fillId="5" borderId="9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/>
    </xf>
    <xf numFmtId="0" fontId="43" fillId="5" borderId="9" xfId="0" applyFont="1" applyFill="1" applyBorder="1" applyAlignment="1">
      <alignment wrapText="1"/>
    </xf>
    <xf numFmtId="49" fontId="30" fillId="5" borderId="36" xfId="0" applyNumberFormat="1" applyFont="1" applyFill="1" applyBorder="1" applyAlignment="1">
      <alignment horizontal="center" vertical="center"/>
    </xf>
    <xf numFmtId="0" fontId="43" fillId="5" borderId="51" xfId="0" applyFont="1" applyFill="1" applyBorder="1" applyAlignment="1">
      <alignment horizontal="center" vertical="center"/>
    </xf>
    <xf numFmtId="0" fontId="43" fillId="5" borderId="52" xfId="0" applyFont="1" applyFill="1" applyBorder="1" applyAlignment="1">
      <alignment horizontal="center" vertical="center"/>
    </xf>
    <xf numFmtId="0" fontId="43" fillId="5" borderId="48" xfId="0" applyFont="1" applyFill="1" applyBorder="1" applyAlignment="1">
      <alignment horizontal="center" vertical="center"/>
    </xf>
    <xf numFmtId="0" fontId="24" fillId="5" borderId="0" xfId="0" applyFont="1" applyFill="1"/>
    <xf numFmtId="0" fontId="14" fillId="5" borderId="53" xfId="0" applyFont="1" applyFill="1" applyBorder="1" applyAlignment="1">
      <alignment horizontal="center"/>
    </xf>
    <xf numFmtId="0" fontId="43" fillId="5" borderId="48" xfId="0" applyFont="1" applyFill="1" applyBorder="1" applyAlignment="1">
      <alignment vertical="center" wrapText="1"/>
    </xf>
    <xf numFmtId="0" fontId="13" fillId="14" borderId="54" xfId="0" applyFont="1" applyFill="1" applyBorder="1" applyAlignment="1">
      <alignment horizontal="center"/>
    </xf>
    <xf numFmtId="0" fontId="13" fillId="14" borderId="55" xfId="0" applyFont="1" applyFill="1" applyBorder="1" applyAlignment="1">
      <alignment horizontal="center"/>
    </xf>
    <xf numFmtId="0" fontId="24" fillId="14" borderId="56" xfId="0" applyFont="1" applyFill="1" applyBorder="1" applyAlignment="1">
      <alignment horizontal="center"/>
    </xf>
    <xf numFmtId="0" fontId="23" fillId="5" borderId="48" xfId="0" applyFont="1" applyFill="1" applyBorder="1" applyAlignment="1"/>
    <xf numFmtId="0" fontId="43" fillId="5" borderId="9" xfId="0" applyFont="1" applyFill="1" applyBorder="1" applyAlignment="1">
      <alignment vertical="center" wrapText="1"/>
    </xf>
    <xf numFmtId="0" fontId="0" fillId="0" borderId="0" xfId="0" applyFill="1"/>
    <xf numFmtId="0" fontId="0" fillId="0" borderId="46" xfId="0" applyFill="1" applyBorder="1"/>
    <xf numFmtId="0" fontId="43" fillId="5" borderId="21" xfId="0" applyFont="1" applyFill="1" applyBorder="1" applyAlignment="1">
      <alignment vertical="center" wrapText="1"/>
    </xf>
    <xf numFmtId="0" fontId="14" fillId="5" borderId="37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43" fillId="5" borderId="57" xfId="0" applyFont="1" applyFill="1" applyBorder="1" applyAlignment="1">
      <alignment horizontal="center" vertical="center"/>
    </xf>
    <xf numFmtId="0" fontId="43" fillId="5" borderId="58" xfId="0" applyFont="1" applyFill="1" applyBorder="1" applyAlignment="1">
      <alignment horizontal="center" vertical="center"/>
    </xf>
    <xf numFmtId="0" fontId="14" fillId="5" borderId="28" xfId="0" applyFont="1" applyFill="1" applyBorder="1" applyAlignment="1">
      <alignment horizontal="center"/>
    </xf>
    <xf numFmtId="0" fontId="43" fillId="5" borderId="17" xfId="0" applyFont="1" applyFill="1" applyBorder="1" applyAlignment="1">
      <alignment horizontal="center" vertical="center"/>
    </xf>
    <xf numFmtId="0" fontId="43" fillId="5" borderId="48" xfId="0" applyFont="1" applyFill="1" applyBorder="1" applyAlignment="1">
      <alignment horizontal="center" vertical="center" wrapText="1"/>
    </xf>
    <xf numFmtId="0" fontId="43" fillId="5" borderId="59" xfId="0" applyFont="1" applyFill="1" applyBorder="1" applyAlignment="1">
      <alignment vertical="center" wrapText="1"/>
    </xf>
    <xf numFmtId="0" fontId="14" fillId="5" borderId="13" xfId="0" applyFont="1" applyFill="1" applyBorder="1" applyAlignment="1">
      <alignment horizontal="center" vertical="center"/>
    </xf>
    <xf numFmtId="0" fontId="43" fillId="5" borderId="59" xfId="0" applyFont="1" applyFill="1" applyBorder="1" applyAlignment="1">
      <alignment horizontal="center" vertical="center" wrapText="1"/>
    </xf>
    <xf numFmtId="0" fontId="13" fillId="14" borderId="27" xfId="0" applyFont="1" applyFill="1" applyBorder="1" applyAlignment="1">
      <alignment horizontal="center"/>
    </xf>
    <xf numFmtId="0" fontId="14" fillId="5" borderId="60" xfId="0" applyFont="1" applyFill="1" applyBorder="1" applyAlignment="1">
      <alignment horizontal="center"/>
    </xf>
    <xf numFmtId="0" fontId="43" fillId="5" borderId="61" xfId="0" applyFont="1" applyFill="1" applyBorder="1" applyAlignment="1">
      <alignment horizontal="center" vertical="center"/>
    </xf>
    <xf numFmtId="0" fontId="43" fillId="5" borderId="62" xfId="0" applyFont="1" applyFill="1" applyBorder="1" applyAlignment="1">
      <alignment horizontal="center" vertical="center"/>
    </xf>
    <xf numFmtId="0" fontId="43" fillId="5" borderId="59" xfId="0" applyFont="1" applyFill="1" applyBorder="1" applyAlignment="1">
      <alignment horizontal="center" vertical="center"/>
    </xf>
    <xf numFmtId="49" fontId="30" fillId="5" borderId="63" xfId="0" applyNumberFormat="1" applyFont="1" applyFill="1" applyBorder="1" applyAlignment="1">
      <alignment horizontal="center" vertical="center"/>
    </xf>
    <xf numFmtId="0" fontId="43" fillId="5" borderId="34" xfId="0" applyFont="1" applyFill="1" applyBorder="1" applyAlignment="1">
      <alignment horizontal="center" vertical="center"/>
    </xf>
    <xf numFmtId="0" fontId="43" fillId="5" borderId="64" xfId="0" applyFont="1" applyFill="1" applyBorder="1" applyAlignment="1">
      <alignment horizontal="center" vertical="center"/>
    </xf>
    <xf numFmtId="0" fontId="30" fillId="5" borderId="49" xfId="0" applyFont="1" applyFill="1" applyBorder="1" applyAlignment="1">
      <alignment horizontal="center"/>
    </xf>
    <xf numFmtId="0" fontId="30" fillId="5" borderId="36" xfId="0" applyFont="1" applyFill="1" applyBorder="1" applyAlignment="1">
      <alignment horizontal="center"/>
    </xf>
    <xf numFmtId="0" fontId="13" fillId="14" borderId="42" xfId="0" applyFont="1" applyFill="1" applyBorder="1" applyAlignment="1">
      <alignment horizontal="center"/>
    </xf>
    <xf numFmtId="0" fontId="13" fillId="14" borderId="65" xfId="0" applyFont="1" applyFill="1" applyBorder="1" applyAlignment="1">
      <alignment horizontal="center"/>
    </xf>
    <xf numFmtId="0" fontId="14" fillId="5" borderId="64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43" fillId="5" borderId="22" xfId="0" applyFont="1" applyFill="1" applyBorder="1" applyAlignment="1">
      <alignment vertical="center" wrapText="1"/>
    </xf>
    <xf numFmtId="49" fontId="30" fillId="5" borderId="66" xfId="0" applyNumberFormat="1" applyFont="1" applyFill="1" applyBorder="1" applyAlignment="1">
      <alignment horizontal="center" vertical="center"/>
    </xf>
    <xf numFmtId="0" fontId="24" fillId="6" borderId="16" xfId="0" applyFont="1" applyFill="1" applyBorder="1" applyAlignment="1">
      <alignment horizontal="center"/>
    </xf>
    <xf numFmtId="0" fontId="14" fillId="5" borderId="62" xfId="0" applyFont="1" applyFill="1" applyBorder="1" applyAlignment="1">
      <alignment horizontal="center"/>
    </xf>
    <xf numFmtId="0" fontId="24" fillId="0" borderId="50" xfId="0" applyFont="1" applyBorder="1"/>
    <xf numFmtId="0" fontId="43" fillId="5" borderId="9" xfId="0" applyFont="1" applyFill="1" applyBorder="1" applyAlignment="1">
      <alignment horizontal="center" vertical="center" wrapText="1"/>
    </xf>
    <xf numFmtId="0" fontId="43" fillId="5" borderId="17" xfId="0" applyFont="1" applyFill="1" applyBorder="1" applyAlignment="1">
      <alignment vertical="center" wrapText="1"/>
    </xf>
    <xf numFmtId="49" fontId="30" fillId="5" borderId="16" xfId="0" applyNumberFormat="1" applyFont="1" applyFill="1" applyBorder="1" applyAlignment="1">
      <alignment horizontal="center" vertical="center"/>
    </xf>
    <xf numFmtId="0" fontId="14" fillId="5" borderId="67" xfId="0" applyFont="1" applyFill="1" applyBorder="1" applyAlignment="1">
      <alignment horizontal="center"/>
    </xf>
    <xf numFmtId="0" fontId="14" fillId="5" borderId="68" xfId="0" applyFont="1" applyFill="1" applyBorder="1" applyAlignment="1">
      <alignment horizontal="center"/>
    </xf>
    <xf numFmtId="0" fontId="43" fillId="5" borderId="9" xfId="0" applyFont="1" applyFill="1" applyBorder="1" applyAlignment="1">
      <alignment horizontal="left" vertical="center" wrapText="1"/>
    </xf>
    <xf numFmtId="0" fontId="43" fillId="5" borderId="17" xfId="0" applyFont="1" applyFill="1" applyBorder="1" applyAlignment="1"/>
    <xf numFmtId="0" fontId="44" fillId="13" borderId="69" xfId="0" applyFont="1" applyFill="1" applyBorder="1" applyAlignment="1">
      <alignment horizontal="center" vertical="center" wrapText="1"/>
    </xf>
    <xf numFmtId="0" fontId="44" fillId="13" borderId="70" xfId="0" applyFont="1" applyFill="1" applyBorder="1" applyAlignment="1">
      <alignment horizontal="center" vertical="center" wrapText="1"/>
    </xf>
    <xf numFmtId="0" fontId="44" fillId="13" borderId="7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169" fontId="15" fillId="7" borderId="9" xfId="0" applyNumberFormat="1" applyFont="1" applyFill="1" applyBorder="1" applyAlignment="1">
      <alignment horizontal="center" vertical="center"/>
    </xf>
    <xf numFmtId="4" fontId="25" fillId="12" borderId="31" xfId="1" applyNumberFormat="1" applyFont="1" applyFill="1" applyBorder="1" applyAlignment="1">
      <alignment horizontal="center" vertical="center"/>
    </xf>
    <xf numFmtId="3" fontId="25" fillId="9" borderId="31" xfId="1" applyNumberFormat="1" applyFont="1" applyFill="1" applyBorder="1" applyAlignment="1">
      <alignment horizontal="center" vertical="center"/>
    </xf>
    <xf numFmtId="4" fontId="3" fillId="10" borderId="25" xfId="0" applyNumberFormat="1" applyFont="1" applyFill="1" applyBorder="1" applyAlignment="1">
      <alignment horizontal="center" vertical="center"/>
    </xf>
    <xf numFmtId="4" fontId="18" fillId="9" borderId="23" xfId="0" applyNumberFormat="1" applyFont="1" applyFill="1" applyBorder="1" applyAlignment="1">
      <alignment horizontal="center"/>
    </xf>
    <xf numFmtId="49" fontId="3" fillId="10" borderId="10" xfId="0" applyNumberFormat="1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left" vertical="center" wrapText="1"/>
    </xf>
    <xf numFmtId="2" fontId="3" fillId="16" borderId="32" xfId="0" applyNumberFormat="1" applyFont="1" applyFill="1" applyBorder="1" applyAlignment="1">
      <alignment horizontal="center" vertical="center"/>
    </xf>
    <xf numFmtId="2" fontId="13" fillId="16" borderId="31" xfId="0" applyNumberFormat="1" applyFont="1" applyFill="1" applyBorder="1" applyAlignment="1">
      <alignment horizontal="center" vertical="center"/>
    </xf>
    <xf numFmtId="0" fontId="3" fillId="10" borderId="75" xfId="0" applyFont="1" applyFill="1" applyBorder="1" applyAlignment="1">
      <alignment horizontal="left" vertical="center" wrapText="1"/>
    </xf>
    <xf numFmtId="2" fontId="3" fillId="16" borderId="25" xfId="0" applyNumberFormat="1" applyFont="1" applyFill="1" applyBorder="1" applyAlignment="1">
      <alignment horizontal="center" vertical="center"/>
    </xf>
    <xf numFmtId="3" fontId="3" fillId="10" borderId="25" xfId="3" applyNumberFormat="1" applyFont="1" applyFill="1" applyBorder="1" applyAlignment="1">
      <alignment horizontal="center" vertical="center"/>
    </xf>
    <xf numFmtId="3" fontId="3" fillId="10" borderId="26" xfId="3" applyNumberFormat="1" applyFont="1" applyFill="1" applyBorder="1" applyAlignment="1">
      <alignment vertical="center"/>
    </xf>
    <xf numFmtId="49" fontId="45" fillId="0" borderId="23" xfId="0" applyNumberFormat="1" applyFont="1" applyBorder="1" applyAlignment="1">
      <alignment horizontal="center" vertical="center"/>
    </xf>
    <xf numFmtId="0" fontId="45" fillId="5" borderId="23" xfId="0" applyFont="1" applyFill="1" applyBorder="1" applyAlignment="1">
      <alignment horizontal="left" vertical="center" wrapText="1" indent="1"/>
    </xf>
    <xf numFmtId="3" fontId="2" fillId="0" borderId="9" xfId="3" applyNumberFormat="1" applyFont="1" applyBorder="1" applyAlignment="1">
      <alignment horizontal="center" vertical="center"/>
    </xf>
    <xf numFmtId="2" fontId="46" fillId="0" borderId="9" xfId="0" applyNumberFormat="1" applyFont="1" applyBorder="1" applyAlignment="1">
      <alignment horizontal="left" vertical="center" wrapText="1" indent="1"/>
    </xf>
    <xf numFmtId="0" fontId="46" fillId="0" borderId="9" xfId="0" applyFont="1" applyBorder="1" applyAlignment="1">
      <alignment horizontal="left" wrapText="1" indent="1"/>
    </xf>
    <xf numFmtId="3" fontId="46" fillId="0" borderId="9" xfId="0" applyNumberFormat="1" applyFont="1" applyBorder="1" applyAlignment="1">
      <alignment horizontal="left" vertical="center" wrapText="1" indent="1"/>
    </xf>
    <xf numFmtId="0" fontId="46" fillId="0" borderId="9" xfId="0" applyFont="1" applyFill="1" applyBorder="1" applyAlignment="1">
      <alignment horizontal="left" wrapText="1" indent="1"/>
    </xf>
    <xf numFmtId="0" fontId="46" fillId="0" borderId="9" xfId="0" applyFont="1" applyBorder="1" applyAlignment="1">
      <alignment horizontal="left" vertical="center" wrapText="1" indent="1"/>
    </xf>
    <xf numFmtId="16" fontId="46" fillId="0" borderId="9" xfId="0" applyNumberFormat="1" applyFont="1" applyBorder="1" applyAlignment="1">
      <alignment horizontal="left" wrapText="1" indent="1"/>
    </xf>
    <xf numFmtId="16" fontId="46" fillId="0" borderId="9" xfId="0" quotePrefix="1" applyNumberFormat="1" applyFont="1" applyBorder="1" applyAlignment="1">
      <alignment horizontal="left" wrapText="1" indent="1"/>
    </xf>
    <xf numFmtId="167" fontId="19" fillId="0" borderId="0" xfId="0" applyNumberFormat="1" applyFont="1"/>
    <xf numFmtId="167" fontId="0" fillId="0" borderId="0" xfId="0" applyNumberFormat="1"/>
    <xf numFmtId="4" fontId="13" fillId="9" borderId="37" xfId="0" applyNumberFormat="1" applyFont="1" applyFill="1" applyBorder="1" applyAlignment="1">
      <alignment horizontal="center" vertical="center"/>
    </xf>
    <xf numFmtId="14" fontId="22" fillId="12" borderId="9" xfId="0" applyNumberFormat="1" applyFont="1" applyFill="1" applyBorder="1" applyAlignment="1">
      <alignment horizontal="center" wrapText="1"/>
    </xf>
    <xf numFmtId="14" fontId="22" fillId="0" borderId="9" xfId="0" applyNumberFormat="1" applyFont="1" applyBorder="1" applyAlignment="1">
      <alignment horizontal="center" wrapText="1"/>
    </xf>
    <xf numFmtId="0" fontId="11" fillId="2" borderId="0" xfId="1" applyFont="1" applyFill="1" applyAlignment="1">
      <alignment horizontal="center" vertical="top" wrapText="1"/>
    </xf>
    <xf numFmtId="0" fontId="11" fillId="2" borderId="7" xfId="1" applyFont="1" applyFill="1" applyBorder="1" applyAlignment="1">
      <alignment horizontal="center" vertical="top" wrapText="1"/>
    </xf>
    <xf numFmtId="3" fontId="3" fillId="6" borderId="1" xfId="2" applyNumberFormat="1" applyFont="1" applyFill="1" applyBorder="1" applyAlignment="1">
      <alignment horizontal="center" vertical="center" wrapText="1"/>
    </xf>
    <xf numFmtId="3" fontId="3" fillId="6" borderId="2" xfId="2" applyNumberFormat="1" applyFont="1" applyFill="1" applyBorder="1" applyAlignment="1">
      <alignment horizontal="center" vertical="center" wrapText="1"/>
    </xf>
    <xf numFmtId="3" fontId="3" fillId="6" borderId="5" xfId="2" applyNumberFormat="1" applyFont="1" applyFill="1" applyBorder="1" applyAlignment="1">
      <alignment horizontal="center" vertical="center" wrapText="1"/>
    </xf>
    <xf numFmtId="3" fontId="3" fillId="6" borderId="6" xfId="2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  <xf numFmtId="167" fontId="16" fillId="8" borderId="9" xfId="3" applyNumberFormat="1" applyFont="1" applyFill="1" applyBorder="1" applyAlignment="1">
      <alignment horizontal="center" vertical="center"/>
    </xf>
    <xf numFmtId="0" fontId="17" fillId="0" borderId="0" xfId="1" applyFont="1" applyAlignment="1">
      <alignment horizontal="center" vertical="top" wrapText="1"/>
    </xf>
    <xf numFmtId="0" fontId="16" fillId="7" borderId="0" xfId="1" applyFont="1" applyFill="1" applyAlignment="1">
      <alignment horizontal="center" vertical="top" wrapText="1"/>
    </xf>
    <xf numFmtId="3" fontId="16" fillId="6" borderId="9" xfId="2" applyNumberFormat="1" applyFont="1" applyFill="1" applyBorder="1" applyAlignment="1">
      <alignment horizontal="center" vertical="center" wrapText="1"/>
    </xf>
    <xf numFmtId="3" fontId="16" fillId="6" borderId="21" xfId="2" applyNumberFormat="1" applyFont="1" applyFill="1" applyBorder="1" applyAlignment="1">
      <alignment horizontal="center" vertical="center" wrapText="1"/>
    </xf>
    <xf numFmtId="167" fontId="16" fillId="0" borderId="9" xfId="3" applyNumberFormat="1" applyFont="1" applyBorder="1" applyAlignment="1">
      <alignment horizontal="center" vertical="center"/>
    </xf>
    <xf numFmtId="167" fontId="16" fillId="8" borderId="34" xfId="3" applyNumberFormat="1" applyFont="1" applyFill="1" applyBorder="1" applyAlignment="1">
      <alignment horizontal="center" vertical="center"/>
    </xf>
    <xf numFmtId="167" fontId="16" fillId="8" borderId="35" xfId="3" applyNumberFormat="1" applyFont="1" applyFill="1" applyBorder="1" applyAlignment="1">
      <alignment horizontal="center" vertical="center"/>
    </xf>
    <xf numFmtId="3" fontId="29" fillId="6" borderId="9" xfId="2" applyNumberFormat="1" applyFont="1" applyFill="1" applyBorder="1" applyAlignment="1">
      <alignment horizontal="center" vertical="center" wrapText="1"/>
    </xf>
    <xf numFmtId="3" fontId="29" fillId="6" borderId="21" xfId="2" applyNumberFormat="1" applyFont="1" applyFill="1" applyBorder="1" applyAlignment="1">
      <alignment horizontal="center" vertical="center" wrapText="1"/>
    </xf>
    <xf numFmtId="3" fontId="28" fillId="6" borderId="9" xfId="2" applyNumberFormat="1" applyFont="1" applyFill="1" applyBorder="1" applyAlignment="1">
      <alignment horizontal="center" vertical="center" wrapText="1"/>
    </xf>
    <xf numFmtId="3" fontId="28" fillId="6" borderId="21" xfId="2" applyNumberFormat="1" applyFont="1" applyFill="1" applyBorder="1" applyAlignment="1">
      <alignment horizontal="center" vertical="center" wrapText="1"/>
    </xf>
    <xf numFmtId="167" fontId="3" fillId="0" borderId="34" xfId="3" applyNumberFormat="1" applyFont="1" applyBorder="1" applyAlignment="1">
      <alignment horizontal="center" vertical="center"/>
    </xf>
    <xf numFmtId="167" fontId="3" fillId="0" borderId="35" xfId="3" applyNumberFormat="1" applyFont="1" applyBorder="1" applyAlignment="1">
      <alignment horizontal="center" vertical="center"/>
    </xf>
    <xf numFmtId="0" fontId="16" fillId="0" borderId="0" xfId="1" applyFont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49" fontId="14" fillId="5" borderId="28" xfId="1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4" fillId="5" borderId="28" xfId="29" applyFont="1" applyFill="1" applyBorder="1" applyAlignment="1">
      <alignment horizontal="left" vertical="center" wrapText="1"/>
    </xf>
    <xf numFmtId="0" fontId="14" fillId="5" borderId="30" xfId="29" applyFont="1" applyFill="1" applyBorder="1" applyAlignment="1">
      <alignment horizontal="left" vertical="center" wrapText="1"/>
    </xf>
    <xf numFmtId="0" fontId="14" fillId="5" borderId="27" xfId="29" applyFont="1" applyFill="1" applyBorder="1" applyAlignment="1">
      <alignment horizontal="left" vertical="center" wrapText="1"/>
    </xf>
    <xf numFmtId="4" fontId="14" fillId="9" borderId="28" xfId="1" applyNumberFormat="1" applyFont="1" applyFill="1" applyBorder="1" applyAlignment="1">
      <alignment horizontal="center" vertical="center" wrapText="1"/>
    </xf>
    <xf numFmtId="4" fontId="0" fillId="0" borderId="30" xfId="0" applyNumberFormat="1" applyBorder="1" applyAlignment="1">
      <alignment horizontal="center" vertical="center" wrapText="1"/>
    </xf>
    <xf numFmtId="4" fontId="0" fillId="0" borderId="27" xfId="0" applyNumberForma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" fontId="25" fillId="9" borderId="28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0" borderId="28" xfId="29" applyFont="1" applyFill="1" applyBorder="1" applyAlignment="1">
      <alignment horizontal="left" vertical="center" wrapText="1"/>
    </xf>
    <xf numFmtId="0" fontId="14" fillId="0" borderId="30" xfId="29" applyFont="1" applyFill="1" applyBorder="1" applyAlignment="1">
      <alignment horizontal="left" vertical="center" wrapText="1"/>
    </xf>
    <xf numFmtId="0" fontId="14" fillId="0" borderId="27" xfId="29" applyFont="1" applyFill="1" applyBorder="1" applyAlignment="1">
      <alignment horizontal="left" vertical="center" wrapText="1"/>
    </xf>
    <xf numFmtId="49" fontId="14" fillId="0" borderId="28" xfId="1" applyNumberFormat="1" applyFont="1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49" fontId="14" fillId="0" borderId="30" xfId="1" applyNumberFormat="1" applyFont="1" applyFill="1" applyBorder="1" applyAlignment="1">
      <alignment horizontal="center" vertical="center"/>
    </xf>
    <xf numFmtId="49" fontId="14" fillId="0" borderId="27" xfId="1" applyNumberFormat="1" applyFont="1" applyFill="1" applyBorder="1" applyAlignment="1">
      <alignment horizontal="center" vertical="center"/>
    </xf>
    <xf numFmtId="4" fontId="25" fillId="9" borderId="5" xfId="1" applyNumberFormat="1" applyFont="1" applyFill="1" applyBorder="1" applyAlignment="1">
      <alignment horizontal="center" vertical="center"/>
    </xf>
    <xf numFmtId="4" fontId="25" fillId="9" borderId="30" xfId="1" applyNumberFormat="1" applyFont="1" applyFill="1" applyBorder="1" applyAlignment="1">
      <alignment horizontal="center" vertical="center"/>
    </xf>
    <xf numFmtId="4" fontId="25" fillId="9" borderId="6" xfId="1" applyNumberFormat="1" applyFont="1" applyFill="1" applyBorder="1" applyAlignment="1">
      <alignment horizontal="center" vertical="center"/>
    </xf>
    <xf numFmtId="4" fontId="42" fillId="0" borderId="30" xfId="0" applyNumberFormat="1" applyFont="1" applyBorder="1" applyAlignment="1">
      <alignment horizontal="center" vertical="center" wrapText="1"/>
    </xf>
    <xf numFmtId="4" fontId="42" fillId="0" borderId="27" xfId="0" applyNumberFormat="1" applyFont="1" applyBorder="1" applyAlignment="1">
      <alignment horizontal="center" vertical="center" wrapText="1"/>
    </xf>
    <xf numFmtId="49" fontId="14" fillId="5" borderId="30" xfId="1" applyNumberFormat="1" applyFont="1" applyFill="1" applyBorder="1" applyAlignment="1">
      <alignment horizontal="center" vertical="center"/>
    </xf>
    <xf numFmtId="49" fontId="14" fillId="5" borderId="27" xfId="1" applyNumberFormat="1" applyFont="1" applyFill="1" applyBorder="1" applyAlignment="1">
      <alignment horizontal="center" vertical="center"/>
    </xf>
    <xf numFmtId="4" fontId="14" fillId="9" borderId="30" xfId="1" applyNumberFormat="1" applyFont="1" applyFill="1" applyBorder="1" applyAlignment="1">
      <alignment horizontal="center" vertical="center" wrapText="1"/>
    </xf>
    <xf numFmtId="4" fontId="14" fillId="9" borderId="27" xfId="1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49" fontId="14" fillId="5" borderId="74" xfId="1" applyNumberFormat="1" applyFont="1" applyFill="1" applyBorder="1" applyAlignment="1">
      <alignment horizontal="center" vertical="center"/>
    </xf>
    <xf numFmtId="49" fontId="14" fillId="5" borderId="46" xfId="1" applyNumberFormat="1" applyFont="1" applyFill="1" applyBorder="1" applyAlignment="1">
      <alignment horizontal="center" vertical="center"/>
    </xf>
    <xf numFmtId="49" fontId="14" fillId="5" borderId="72" xfId="1" applyNumberFormat="1" applyFont="1" applyFill="1" applyBorder="1" applyAlignment="1">
      <alignment horizontal="center" vertical="center"/>
    </xf>
    <xf numFmtId="0" fontId="14" fillId="5" borderId="5" xfId="29" applyFont="1" applyFill="1" applyBorder="1" applyAlignment="1">
      <alignment horizontal="left" vertical="center" wrapText="1"/>
    </xf>
    <xf numFmtId="0" fontId="14" fillId="5" borderId="6" xfId="29" applyFont="1" applyFill="1" applyBorder="1" applyAlignment="1">
      <alignment horizontal="left" vertical="center" wrapText="1"/>
    </xf>
    <xf numFmtId="4" fontId="14" fillId="9" borderId="68" xfId="1" applyNumberFormat="1" applyFont="1" applyFill="1" applyBorder="1" applyAlignment="1">
      <alignment horizontal="center" vertical="center" wrapText="1"/>
    </xf>
    <xf numFmtId="4" fontId="14" fillId="9" borderId="50" xfId="1" applyNumberFormat="1" applyFont="1" applyFill="1" applyBorder="1" applyAlignment="1">
      <alignment horizontal="center" vertical="center" wrapText="1"/>
    </xf>
    <xf numFmtId="4" fontId="14" fillId="9" borderId="73" xfId="1" applyNumberFormat="1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right"/>
    </xf>
    <xf numFmtId="0" fontId="23" fillId="0" borderId="20" xfId="0" applyFont="1" applyBorder="1" applyAlignment="1">
      <alignment horizontal="right"/>
    </xf>
    <xf numFmtId="0" fontId="13" fillId="3" borderId="3" xfId="1" applyFont="1" applyFill="1" applyBorder="1" applyAlignment="1">
      <alignment horizontal="left" vertical="center" wrapText="1"/>
    </xf>
    <xf numFmtId="0" fontId="13" fillId="3" borderId="4" xfId="1" applyFont="1" applyFill="1" applyBorder="1" applyAlignment="1">
      <alignment horizontal="left" vertical="center" wrapText="1"/>
    </xf>
    <xf numFmtId="0" fontId="13" fillId="3" borderId="20" xfId="1" applyFont="1" applyFill="1" applyBorder="1" applyAlignment="1">
      <alignment horizontal="left" vertical="center" wrapText="1"/>
    </xf>
    <xf numFmtId="0" fontId="26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7" borderId="0" xfId="1" applyFont="1" applyFill="1" applyAlignment="1">
      <alignment horizontal="center" vertical="top" wrapText="1"/>
    </xf>
    <xf numFmtId="0" fontId="13" fillId="7" borderId="7" xfId="1" applyFont="1" applyFill="1" applyBorder="1" applyAlignment="1">
      <alignment horizontal="center" vertical="top" wrapText="1"/>
    </xf>
    <xf numFmtId="4" fontId="13" fillId="9" borderId="3" xfId="1" applyNumberFormat="1" applyFont="1" applyFill="1" applyBorder="1" applyAlignment="1">
      <alignment horizontal="center" vertical="center"/>
    </xf>
    <xf numFmtId="4" fontId="13" fillId="9" borderId="4" xfId="1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3" fontId="28" fillId="6" borderId="5" xfId="2" applyNumberFormat="1" applyFont="1" applyFill="1" applyBorder="1" applyAlignment="1">
      <alignment horizontal="center" vertical="center" wrapText="1"/>
    </xf>
    <xf numFmtId="3" fontId="28" fillId="6" borderId="30" xfId="2" applyNumberFormat="1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3" fontId="28" fillId="6" borderId="1" xfId="2" applyNumberFormat="1" applyFont="1" applyFill="1" applyBorder="1" applyAlignment="1">
      <alignment horizontal="center" vertical="center" wrapText="1"/>
    </xf>
    <xf numFmtId="3" fontId="28" fillId="6" borderId="8" xfId="2" applyNumberFormat="1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7" fillId="15" borderId="5" xfId="0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36" fillId="0" borderId="9" xfId="0" applyFont="1" applyBorder="1" applyAlignment="1">
      <alignment horizontal="center"/>
    </xf>
    <xf numFmtId="0" fontId="35" fillId="0" borderId="9" xfId="31" applyFont="1" applyFill="1" applyBorder="1" applyAlignment="1" applyProtection="1">
      <alignment horizontal="left" indent="1"/>
    </xf>
    <xf numFmtId="0" fontId="36" fillId="9" borderId="9" xfId="0" applyFont="1" applyFill="1" applyBorder="1" applyAlignment="1">
      <alignment horizontal="center" vertical="center"/>
    </xf>
    <xf numFmtId="0" fontId="36" fillId="12" borderId="9" xfId="0" applyFont="1" applyFill="1" applyBorder="1" applyAlignment="1">
      <alignment horizontal="center" vertical="center"/>
    </xf>
    <xf numFmtId="0" fontId="37" fillId="0" borderId="9" xfId="31" applyFont="1" applyFill="1" applyBorder="1" applyAlignment="1" applyProtection="1">
      <alignment horizontal="center" wrapText="1"/>
    </xf>
    <xf numFmtId="0" fontId="37" fillId="0" borderId="9" xfId="0" applyFont="1" applyFill="1" applyBorder="1" applyAlignment="1" applyProtection="1">
      <alignment horizontal="center" vertical="center" wrapText="1"/>
    </xf>
    <xf numFmtId="0" fontId="35" fillId="12" borderId="9" xfId="0" applyFont="1" applyFill="1" applyBorder="1" applyAlignment="1" applyProtection="1">
      <alignment horizontal="center" vertical="center" wrapText="1"/>
    </xf>
    <xf numFmtId="0" fontId="36" fillId="12" borderId="9" xfId="0" applyFont="1" applyFill="1" applyBorder="1" applyAlignment="1">
      <alignment horizontal="center" vertical="center" wrapText="1"/>
    </xf>
    <xf numFmtId="0" fontId="35" fillId="7" borderId="9" xfId="31" applyFont="1" applyFill="1" applyBorder="1" applyAlignment="1" applyProtection="1">
      <alignment horizontal="left" indent="1"/>
    </xf>
    <xf numFmtId="0" fontId="32" fillId="11" borderId="0" xfId="0" applyFont="1" applyFill="1" applyAlignment="1">
      <alignment vertical="center" wrapText="1"/>
    </xf>
    <xf numFmtId="0" fontId="24" fillId="0" borderId="0" xfId="0" applyFont="1" applyAlignment="1">
      <alignment horizontal="right" vertical="center"/>
    </xf>
    <xf numFmtId="0" fontId="0" fillId="0" borderId="0" xfId="0" applyAlignment="1"/>
    <xf numFmtId="0" fontId="23" fillId="0" borderId="0" xfId="0" applyFont="1" applyAlignment="1">
      <alignment horizontal="center" vertical="center" wrapText="1"/>
    </xf>
    <xf numFmtId="0" fontId="24" fillId="13" borderId="40" xfId="0" applyFont="1" applyFill="1" applyBorder="1" applyAlignment="1">
      <alignment horizontal="left"/>
    </xf>
    <xf numFmtId="0" fontId="24" fillId="13" borderId="39" xfId="0" applyFont="1" applyFill="1" applyBorder="1" applyAlignment="1">
      <alignment horizontal="left"/>
    </xf>
    <xf numFmtId="49" fontId="35" fillId="5" borderId="3" xfId="0" applyNumberFormat="1" applyFont="1" applyFill="1" applyBorder="1" applyAlignment="1">
      <alignment horizontal="left" vertical="top" wrapText="1"/>
    </xf>
    <xf numFmtId="49" fontId="41" fillId="5" borderId="4" xfId="0" applyNumberFormat="1" applyFont="1" applyFill="1" applyBorder="1" applyAlignment="1">
      <alignment horizontal="left" vertical="top" wrapText="1"/>
    </xf>
    <xf numFmtId="0" fontId="0" fillId="5" borderId="20" xfId="0" applyFill="1" applyBorder="1" applyAlignment="1"/>
    <xf numFmtId="14" fontId="17" fillId="0" borderId="0" xfId="30" applyNumberFormat="1" applyFont="1" applyAlignment="1" applyProtection="1">
      <alignment horizontal="left"/>
      <protection locked="0"/>
    </xf>
  </cellXfs>
  <cellStyles count="32">
    <cellStyle name="_2009  прил 1-3 и 6-16 к регл контрактования" xfId="4"/>
    <cellStyle name="_ДДС 3 формы" xfId="5"/>
    <cellStyle name="_Заявка на ДК на 08.12.09г. Лот Предаттестационная подготовка ИТР по ПБ" xfId="6"/>
    <cellStyle name="_Заявка на рассмотрение ДК Предаттестационная подготовка ИТР по ПБ" xfId="7"/>
    <cellStyle name="_Критерии квалификационного отбора 2010" xfId="8"/>
    <cellStyle name="_Критерии квалификационного отбора_Кап. строительство" xfId="9"/>
    <cellStyle name="_Критерии по стирке" xfId="10"/>
    <cellStyle name="_Лот Разработка Пож Декларации1" xfId="11"/>
    <cellStyle name="_Приложение №1" xfId="12"/>
    <cellStyle name="_Приложение №2" xfId="13"/>
    <cellStyle name="_Раздел №6 - Критерии квалификационного отбора_ АС ИТ 171007-1" xfId="14"/>
    <cellStyle name="_Раздел №8 - Прочее (производственная деятельность)" xfId="15"/>
    <cellStyle name="_Раздел №9 - Прочее" xfId="16"/>
    <cellStyle name="=C:\WINNT35\SYSTEM32\COMMAND.COM" xfId="17"/>
    <cellStyle name="AFE" xfId="18"/>
    <cellStyle name="normal" xfId="19"/>
    <cellStyle name="Normal 2" xfId="25"/>
    <cellStyle name="Percent 2" xfId="26"/>
    <cellStyle name="Обычный" xfId="0" builtinId="0"/>
    <cellStyle name="Обычный 12" xfId="31"/>
    <cellStyle name="Обычный 2" xfId="20"/>
    <cellStyle name="Обычный 3" xfId="21"/>
    <cellStyle name="Обычный 4" xfId="1"/>
    <cellStyle name="Обычный 4 2" xfId="29"/>
    <cellStyle name="Обычный_Конкурентная карта №54" xfId="30"/>
    <cellStyle name="Обычный_Критерии квалификационного отбора" xfId="3"/>
    <cellStyle name="Процентный 2" xfId="28"/>
    <cellStyle name="Стиль 1" xfId="2"/>
    <cellStyle name="Финансовый 2" xfId="22"/>
    <cellStyle name="Финансовый 3" xfId="23"/>
    <cellStyle name="Финансовый 4" xfId="24"/>
    <cellStyle name="Финансовый 5" xf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B12" sqref="B12"/>
    </sheetView>
  </sheetViews>
  <sheetFormatPr defaultRowHeight="15" x14ac:dyDescent="0.25"/>
  <cols>
    <col min="1" max="1" width="3.42578125" customWidth="1"/>
    <col min="2" max="2" width="60.42578125" customWidth="1"/>
    <col min="3" max="3" width="31.5703125" customWidth="1"/>
  </cols>
  <sheetData>
    <row r="1" spans="1:3" ht="40.5" x14ac:dyDescent="0.25">
      <c r="A1" s="3" t="s">
        <v>0</v>
      </c>
      <c r="B1" s="3"/>
      <c r="C1" s="5" t="s">
        <v>1</v>
      </c>
    </row>
    <row r="2" spans="1:3" x14ac:dyDescent="0.25">
      <c r="A2" s="200" t="s">
        <v>2</v>
      </c>
      <c r="B2" s="200"/>
      <c r="C2" s="200"/>
    </row>
    <row r="3" spans="1:3" ht="15.75" thickBot="1" x14ac:dyDescent="0.3">
      <c r="A3" s="201"/>
      <c r="B3" s="201"/>
      <c r="C3" s="201"/>
    </row>
    <row r="4" spans="1:3" x14ac:dyDescent="0.25">
      <c r="A4" s="202" t="s">
        <v>3</v>
      </c>
      <c r="B4" s="204" t="s">
        <v>4</v>
      </c>
      <c r="C4" s="202" t="s">
        <v>5</v>
      </c>
    </row>
    <row r="5" spans="1:3" ht="15.75" thickBot="1" x14ac:dyDescent="0.3">
      <c r="A5" s="203"/>
      <c r="B5" s="205"/>
      <c r="C5" s="203"/>
    </row>
    <row r="6" spans="1:3" ht="16.5" thickBot="1" x14ac:dyDescent="0.3">
      <c r="A6" s="206" t="s">
        <v>6</v>
      </c>
      <c r="B6" s="207"/>
      <c r="C6" s="207"/>
    </row>
    <row r="7" spans="1:3" ht="16.5" thickBot="1" x14ac:dyDescent="0.3">
      <c r="A7" s="1" t="s">
        <v>7</v>
      </c>
      <c r="B7" s="2"/>
      <c r="C7" s="4"/>
    </row>
    <row r="8" spans="1:3" ht="47.25" x14ac:dyDescent="0.25">
      <c r="A8" s="8" t="s">
        <v>8</v>
      </c>
      <c r="B8" s="13" t="s">
        <v>9</v>
      </c>
      <c r="C8" s="9"/>
    </row>
    <row r="9" spans="1:3" ht="15.75" x14ac:dyDescent="0.25">
      <c r="A9" s="14" t="s">
        <v>10</v>
      </c>
      <c r="B9" s="18" t="s">
        <v>11</v>
      </c>
      <c r="C9" s="16"/>
    </row>
    <row r="10" spans="1:3" ht="47.25" x14ac:dyDescent="0.25">
      <c r="A10" s="14" t="s">
        <v>12</v>
      </c>
      <c r="B10" s="15" t="s">
        <v>13</v>
      </c>
      <c r="C10" s="16"/>
    </row>
    <row r="11" spans="1:3" ht="31.5" x14ac:dyDescent="0.25">
      <c r="A11" s="14" t="s">
        <v>14</v>
      </c>
      <c r="B11" s="15" t="s">
        <v>15</v>
      </c>
      <c r="C11" s="16"/>
    </row>
    <row r="12" spans="1:3" ht="31.5" x14ac:dyDescent="0.25">
      <c r="A12" s="14" t="s">
        <v>16</v>
      </c>
      <c r="B12" s="15" t="s">
        <v>17</v>
      </c>
      <c r="C12" s="16"/>
    </row>
    <row r="13" spans="1:3" ht="31.5" x14ac:dyDescent="0.25">
      <c r="A13" s="14" t="s">
        <v>18</v>
      </c>
      <c r="B13" s="15" t="s">
        <v>19</v>
      </c>
      <c r="C13" s="16"/>
    </row>
    <row r="14" spans="1:3" ht="31.5" x14ac:dyDescent="0.25">
      <c r="A14" s="14" t="s">
        <v>20</v>
      </c>
      <c r="B14" s="15" t="s">
        <v>21</v>
      </c>
      <c r="C14" s="16"/>
    </row>
    <row r="15" spans="1:3" ht="94.5" x14ac:dyDescent="0.25">
      <c r="A15" s="14" t="s">
        <v>22</v>
      </c>
      <c r="B15" s="15" t="s">
        <v>23</v>
      </c>
      <c r="C15" s="16"/>
    </row>
    <row r="16" spans="1:3" ht="126" x14ac:dyDescent="0.25">
      <c r="A16" s="14" t="s">
        <v>24</v>
      </c>
      <c r="B16" s="15" t="s">
        <v>25</v>
      </c>
      <c r="C16" s="16"/>
    </row>
    <row r="17" spans="1:3" ht="15.75" x14ac:dyDescent="0.25">
      <c r="A17" s="14" t="s">
        <v>26</v>
      </c>
      <c r="B17" s="18" t="s">
        <v>27</v>
      </c>
      <c r="C17" s="16"/>
    </row>
    <row r="18" spans="1:3" ht="31.5" x14ac:dyDescent="0.25">
      <c r="A18" s="14" t="s">
        <v>28</v>
      </c>
      <c r="B18" s="15" t="s">
        <v>29</v>
      </c>
      <c r="C18" s="16"/>
    </row>
    <row r="19" spans="1:3" ht="31.5" x14ac:dyDescent="0.25">
      <c r="A19" s="14" t="s">
        <v>30</v>
      </c>
      <c r="B19" s="15" t="s">
        <v>31</v>
      </c>
      <c r="C19" s="16"/>
    </row>
    <row r="20" spans="1:3" ht="47.25" x14ac:dyDescent="0.25">
      <c r="A20" s="14" t="s">
        <v>32</v>
      </c>
      <c r="B20" s="15" t="s">
        <v>33</v>
      </c>
      <c r="C20" s="16"/>
    </row>
    <row r="21" spans="1:3" ht="63" x14ac:dyDescent="0.25">
      <c r="A21" s="14" t="s">
        <v>34</v>
      </c>
      <c r="B21" s="15" t="s">
        <v>35</v>
      </c>
      <c r="C21" s="16"/>
    </row>
    <row r="22" spans="1:3" ht="94.5" x14ac:dyDescent="0.25">
      <c r="A22" s="14" t="s">
        <v>36</v>
      </c>
      <c r="B22" s="15" t="s">
        <v>37</v>
      </c>
      <c r="C22" s="10"/>
    </row>
    <row r="23" spans="1:3" ht="220.5" x14ac:dyDescent="0.25">
      <c r="A23" s="14" t="s">
        <v>38</v>
      </c>
      <c r="B23" s="7" t="s">
        <v>39</v>
      </c>
      <c r="C23" s="10"/>
    </row>
    <row r="24" spans="1:3" ht="15.75" x14ac:dyDescent="0.25">
      <c r="A24" s="14" t="s">
        <v>40</v>
      </c>
      <c r="B24" s="6" t="s">
        <v>41</v>
      </c>
      <c r="C24" s="10"/>
    </row>
    <row r="25" spans="1:3" ht="15.75" x14ac:dyDescent="0.25">
      <c r="A25" s="14" t="s">
        <v>42</v>
      </c>
      <c r="B25" s="6" t="s">
        <v>43</v>
      </c>
      <c r="C25" s="10"/>
    </row>
    <row r="26" spans="1:3" ht="48" thickBot="1" x14ac:dyDescent="0.3">
      <c r="A26" s="11" t="s">
        <v>44</v>
      </c>
      <c r="B26" s="17" t="s">
        <v>45</v>
      </c>
      <c r="C26" s="12"/>
    </row>
  </sheetData>
  <mergeCells count="5">
    <mergeCell ref="A2:C3"/>
    <mergeCell ref="A4:A5"/>
    <mergeCell ref="B4:B5"/>
    <mergeCell ref="C4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5"/>
  <sheetViews>
    <sheetView zoomScale="175" zoomScaleNormal="175" workbookViewId="0">
      <selection activeCell="B15" sqref="B15"/>
    </sheetView>
  </sheetViews>
  <sheetFormatPr defaultRowHeight="15" x14ac:dyDescent="0.25"/>
  <cols>
    <col min="1" max="1" width="17.5703125" customWidth="1"/>
    <col min="2" max="2" width="51" customWidth="1"/>
    <col min="3" max="3" width="17.42578125" customWidth="1"/>
    <col min="4" max="4" width="34.85546875" customWidth="1"/>
    <col min="6" max="6" width="13.5703125" bestFit="1" customWidth="1"/>
  </cols>
  <sheetData>
    <row r="1" spans="1:6" ht="37.5" x14ac:dyDescent="0.25">
      <c r="A1" s="24" t="s">
        <v>0</v>
      </c>
      <c r="B1" s="25"/>
      <c r="C1" s="209" t="s">
        <v>107</v>
      </c>
      <c r="D1" s="209"/>
    </row>
    <row r="2" spans="1:6" ht="18.75" x14ac:dyDescent="0.25">
      <c r="A2" s="24"/>
      <c r="B2" s="25"/>
      <c r="C2" s="26"/>
      <c r="D2" s="26"/>
    </row>
    <row r="3" spans="1:6" ht="24.75" customHeight="1" x14ac:dyDescent="0.25">
      <c r="A3" s="210" t="s">
        <v>455</v>
      </c>
      <c r="B3" s="210"/>
      <c r="C3" s="210"/>
      <c r="D3" s="210"/>
    </row>
    <row r="4" spans="1:6" ht="63.75" customHeight="1" x14ac:dyDescent="0.25">
      <c r="A4" s="210"/>
      <c r="B4" s="210"/>
      <c r="C4" s="210"/>
      <c r="D4" s="210"/>
    </row>
    <row r="5" spans="1:6" x14ac:dyDescent="0.25">
      <c r="A5" s="211" t="s">
        <v>3</v>
      </c>
      <c r="B5" s="211" t="s">
        <v>4</v>
      </c>
      <c r="C5" s="211" t="s">
        <v>53</v>
      </c>
      <c r="D5" s="211"/>
    </row>
    <row r="6" spans="1:6" x14ac:dyDescent="0.25">
      <c r="A6" s="212"/>
      <c r="B6" s="212"/>
      <c r="C6" s="212"/>
      <c r="D6" s="212"/>
    </row>
    <row r="7" spans="1:6" ht="18.75" x14ac:dyDescent="0.3">
      <c r="A7" s="27">
        <v>1</v>
      </c>
      <c r="B7" s="48" t="s">
        <v>58</v>
      </c>
      <c r="C7" s="213">
        <f>КП!G20</f>
        <v>82828574.564799994</v>
      </c>
      <c r="D7" s="213"/>
      <c r="F7" s="196"/>
    </row>
    <row r="8" spans="1:6" ht="18.75" x14ac:dyDescent="0.3">
      <c r="A8" s="41"/>
      <c r="B8" s="42" t="s">
        <v>58</v>
      </c>
      <c r="C8" s="208">
        <f>C7</f>
        <v>82828574.564799994</v>
      </c>
      <c r="D8" s="208"/>
    </row>
    <row r="9" spans="1:6" ht="18.75" x14ac:dyDescent="0.3">
      <c r="A9" s="28"/>
      <c r="B9" s="28"/>
      <c r="C9" s="28"/>
      <c r="D9" s="28"/>
    </row>
    <row r="10" spans="1:6" ht="18.75" x14ac:dyDescent="0.3">
      <c r="A10" s="28"/>
      <c r="B10" s="28"/>
      <c r="C10" s="28"/>
      <c r="D10" s="28"/>
    </row>
    <row r="11" spans="1:6" ht="20.25" x14ac:dyDescent="0.3">
      <c r="A11" s="28"/>
      <c r="B11" s="29" t="s">
        <v>529</v>
      </c>
      <c r="C11" s="28"/>
      <c r="D11" s="28"/>
    </row>
    <row r="12" spans="1:6" ht="20.25" x14ac:dyDescent="0.3">
      <c r="A12" s="28"/>
      <c r="B12" s="29"/>
      <c r="C12" s="28"/>
      <c r="D12" s="28"/>
    </row>
    <row r="13" spans="1:6" ht="20.25" customHeight="1" x14ac:dyDescent="0.3">
      <c r="A13" s="28"/>
      <c r="B13" s="30" t="s">
        <v>530</v>
      </c>
      <c r="C13" s="31"/>
      <c r="D13" s="31"/>
    </row>
    <row r="14" spans="1:6" ht="20.25" customHeight="1" x14ac:dyDescent="0.3">
      <c r="A14" s="28"/>
      <c r="B14" s="30" t="s">
        <v>531</v>
      </c>
      <c r="C14" s="32"/>
      <c r="D14" s="31"/>
    </row>
    <row r="15" spans="1:6" ht="20.25" customHeight="1" x14ac:dyDescent="0.3">
      <c r="A15" s="28"/>
      <c r="B15" s="308">
        <v>45825</v>
      </c>
      <c r="C15" s="31"/>
      <c r="D15" s="33" t="s">
        <v>59</v>
      </c>
    </row>
  </sheetData>
  <mergeCells count="7">
    <mergeCell ref="C8:D8"/>
    <mergeCell ref="C1:D1"/>
    <mergeCell ref="A3:D4"/>
    <mergeCell ref="A5:A6"/>
    <mergeCell ref="B5:B6"/>
    <mergeCell ref="C5:D6"/>
    <mergeCell ref="C7:D7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28"/>
  <sheetViews>
    <sheetView topLeftCell="A4" zoomScale="145" zoomScaleNormal="145" workbookViewId="0">
      <pane ySplit="3" topLeftCell="A19" activePane="bottomLeft" state="frozen"/>
      <selection activeCell="D11" sqref="D11:D17"/>
      <selection pane="bottomLeft" activeCell="B28" sqref="B28"/>
    </sheetView>
  </sheetViews>
  <sheetFormatPr defaultRowHeight="15" outlineLevelRow="1" x14ac:dyDescent="0.25"/>
  <cols>
    <col min="1" max="1" width="11.42578125" customWidth="1"/>
    <col min="2" max="2" width="43.5703125" customWidth="1"/>
    <col min="3" max="3" width="18.140625" customWidth="1"/>
    <col min="4" max="4" width="17" customWidth="1"/>
    <col min="5" max="5" width="18" customWidth="1"/>
    <col min="6" max="6" width="15.140625" customWidth="1"/>
    <col min="7" max="7" width="17.42578125" customWidth="1"/>
    <col min="8" max="8" width="3.42578125" customWidth="1"/>
    <col min="10" max="11" width="0" hidden="1" customWidth="1"/>
    <col min="12" max="12" width="16" bestFit="1" customWidth="1"/>
  </cols>
  <sheetData>
    <row r="1" spans="1:8" ht="37.5" x14ac:dyDescent="0.25">
      <c r="A1" s="24" t="s">
        <v>0</v>
      </c>
      <c r="B1" s="25"/>
      <c r="C1" s="25"/>
      <c r="D1" s="25"/>
      <c r="E1" s="25"/>
      <c r="F1" s="25"/>
      <c r="G1" s="209" t="s">
        <v>46</v>
      </c>
      <c r="H1" s="209"/>
    </row>
    <row r="2" spans="1:8" ht="18.75" x14ac:dyDescent="0.25">
      <c r="A2" s="24"/>
      <c r="B2" s="25"/>
      <c r="C2" s="25"/>
      <c r="D2" s="25"/>
      <c r="E2" s="25"/>
      <c r="F2" s="25"/>
      <c r="G2" s="26"/>
      <c r="H2" s="26"/>
    </row>
    <row r="3" spans="1:8" x14ac:dyDescent="0.25">
      <c r="A3" s="222" t="s">
        <v>456</v>
      </c>
      <c r="B3" s="222"/>
      <c r="C3" s="222"/>
      <c r="D3" s="222"/>
      <c r="E3" s="222"/>
      <c r="F3" s="222"/>
      <c r="G3" s="222"/>
      <c r="H3" s="222"/>
    </row>
    <row r="4" spans="1:8" ht="91.5" customHeight="1" x14ac:dyDescent="0.25">
      <c r="A4" s="222"/>
      <c r="B4" s="222"/>
      <c r="C4" s="222"/>
      <c r="D4" s="222"/>
      <c r="E4" s="222"/>
      <c r="F4" s="222"/>
      <c r="G4" s="222"/>
      <c r="H4" s="222"/>
    </row>
    <row r="5" spans="1:8" ht="29.25" customHeight="1" x14ac:dyDescent="0.25">
      <c r="A5" s="218" t="s">
        <v>47</v>
      </c>
      <c r="B5" s="218" t="s">
        <v>48</v>
      </c>
      <c r="C5" s="219" t="s">
        <v>49</v>
      </c>
      <c r="D5" s="218" t="s">
        <v>50</v>
      </c>
      <c r="E5" s="218" t="s">
        <v>51</v>
      </c>
      <c r="F5" s="216" t="s">
        <v>52</v>
      </c>
      <c r="G5" s="218" t="s">
        <v>53</v>
      </c>
      <c r="H5" s="218"/>
    </row>
    <row r="6" spans="1:8" ht="24.75" customHeight="1" x14ac:dyDescent="0.25">
      <c r="A6" s="219"/>
      <c r="B6" s="219"/>
      <c r="C6" s="223"/>
      <c r="D6" s="219" t="s">
        <v>54</v>
      </c>
      <c r="E6" s="219" t="s">
        <v>54</v>
      </c>
      <c r="F6" s="217" t="s">
        <v>54</v>
      </c>
      <c r="G6" s="219"/>
      <c r="H6" s="219"/>
    </row>
    <row r="7" spans="1:8" ht="29.25" customHeight="1" outlineLevel="1" x14ac:dyDescent="0.25">
      <c r="A7" s="187">
        <v>1</v>
      </c>
      <c r="B7" s="192" t="str">
        <f>РД!B182</f>
        <v>Сбор исходных данных.</v>
      </c>
      <c r="C7" s="189" t="s">
        <v>55</v>
      </c>
      <c r="D7" s="198">
        <v>45839</v>
      </c>
      <c r="E7" s="199">
        <f>E9</f>
        <v>45912</v>
      </c>
      <c r="F7" s="189" t="s">
        <v>94</v>
      </c>
      <c r="G7" s="220">
        <f>РД!C182</f>
        <v>2466021.4655999998</v>
      </c>
      <c r="H7" s="221"/>
    </row>
    <row r="8" spans="1:8" ht="29.25" customHeight="1" outlineLevel="1" x14ac:dyDescent="0.25">
      <c r="A8" s="187">
        <v>2</v>
      </c>
      <c r="B8" s="188" t="str">
        <f>РД!B160</f>
        <v>Инженерные Изыскания</v>
      </c>
      <c r="C8" s="189" t="s">
        <v>55</v>
      </c>
      <c r="D8" s="199">
        <f>D7+14</f>
        <v>45853</v>
      </c>
      <c r="E8" s="199">
        <f>E7</f>
        <v>45912</v>
      </c>
      <c r="F8" s="189" t="s">
        <v>513</v>
      </c>
      <c r="G8" s="220">
        <f>РД!C160</f>
        <v>8533475.5999999996</v>
      </c>
      <c r="H8" s="221"/>
    </row>
    <row r="9" spans="1:8" ht="29.25" customHeight="1" outlineLevel="1" x14ac:dyDescent="0.25">
      <c r="A9" s="187">
        <v>3</v>
      </c>
      <c r="B9" s="192" t="str">
        <f>РД!B190</f>
        <v>Обследование существующих строительных конструкций</v>
      </c>
      <c r="C9" s="189" t="s">
        <v>55</v>
      </c>
      <c r="D9" s="199">
        <f>D7+14</f>
        <v>45853</v>
      </c>
      <c r="E9" s="199">
        <f>D9+45+14</f>
        <v>45912</v>
      </c>
      <c r="F9" s="189" t="s">
        <v>514</v>
      </c>
      <c r="G9" s="220">
        <f>РД!C190</f>
        <v>6258438.2400000002</v>
      </c>
      <c r="H9" s="221"/>
    </row>
    <row r="10" spans="1:8" ht="29.25" customHeight="1" outlineLevel="1" x14ac:dyDescent="0.25">
      <c r="A10" s="187">
        <v>4</v>
      </c>
      <c r="B10" s="192" t="str">
        <f>РД!B212</f>
        <v>Проектное технологическое обследование объекта</v>
      </c>
      <c r="C10" s="189" t="s">
        <v>55</v>
      </c>
      <c r="D10" s="199">
        <f>D9</f>
        <v>45853</v>
      </c>
      <c r="E10" s="199">
        <f>E9</f>
        <v>45912</v>
      </c>
      <c r="F10" s="189" t="s">
        <v>515</v>
      </c>
      <c r="G10" s="220">
        <f>РД!C212</f>
        <v>5138011.9456000002</v>
      </c>
      <c r="H10" s="221"/>
    </row>
    <row r="11" spans="1:8" ht="29.25" customHeight="1" outlineLevel="1" x14ac:dyDescent="0.25">
      <c r="A11" s="187">
        <v>5</v>
      </c>
      <c r="B11" s="192" t="str">
        <f>РД!B220</f>
        <v>Разработка рабочей документации</v>
      </c>
      <c r="C11" s="191" t="s">
        <v>56</v>
      </c>
      <c r="D11" s="199">
        <f>E8-18</f>
        <v>45894</v>
      </c>
      <c r="E11" s="198">
        <f>D11+46+14</f>
        <v>45954</v>
      </c>
      <c r="F11" s="189" t="s">
        <v>516</v>
      </c>
      <c r="G11" s="220">
        <f>РД!C220</f>
        <v>25983500.049600001</v>
      </c>
      <c r="H11" s="221"/>
    </row>
    <row r="12" spans="1:8" ht="29.25" customHeight="1" outlineLevel="1" x14ac:dyDescent="0.25">
      <c r="A12" s="187">
        <v>6</v>
      </c>
      <c r="B12" s="190" t="str">
        <f>РД!B53</f>
        <v>Пояснительная записка для ЭПБ на техническое перевооружение</v>
      </c>
      <c r="C12" s="191" t="s">
        <v>56</v>
      </c>
      <c r="D12" s="199">
        <f>D11</f>
        <v>45894</v>
      </c>
      <c r="E12" s="199">
        <f>E11</f>
        <v>45954</v>
      </c>
      <c r="F12" s="189" t="s">
        <v>512</v>
      </c>
      <c r="G12" s="220">
        <f>РД!C53</f>
        <v>6422003.9264000002</v>
      </c>
      <c r="H12" s="221"/>
    </row>
    <row r="13" spans="1:8" ht="29.25" customHeight="1" outlineLevel="1" x14ac:dyDescent="0.25">
      <c r="A13" s="187">
        <v>7</v>
      </c>
      <c r="B13" s="192" t="str">
        <f>РД!B373</f>
        <v>Выполнение проектных расчетов. Оформление передача заказчику.</v>
      </c>
      <c r="C13" s="189" t="s">
        <v>522</v>
      </c>
      <c r="D13" s="199">
        <f>D14</f>
        <v>45894</v>
      </c>
      <c r="E13" s="199">
        <f>E14</f>
        <v>45954</v>
      </c>
      <c r="F13" s="189" t="s">
        <v>520</v>
      </c>
      <c r="G13" s="220">
        <f>РД!C373</f>
        <v>5919023.3215999994</v>
      </c>
      <c r="H13" s="221"/>
    </row>
    <row r="14" spans="1:8" ht="29.25" customHeight="1" outlineLevel="1" x14ac:dyDescent="0.25">
      <c r="A14" s="187">
        <v>8</v>
      </c>
      <c r="B14" s="192" t="str">
        <f>РД!B329</f>
        <v>Смежные работы</v>
      </c>
      <c r="C14" s="189" t="s">
        <v>55</v>
      </c>
      <c r="D14" s="199">
        <f>D11</f>
        <v>45894</v>
      </c>
      <c r="E14" s="199">
        <f>E11</f>
        <v>45954</v>
      </c>
      <c r="F14" s="189" t="s">
        <v>164</v>
      </c>
      <c r="G14" s="220">
        <f>РД!C329</f>
        <v>12971781.200000001</v>
      </c>
      <c r="H14" s="221"/>
    </row>
    <row r="15" spans="1:8" ht="29.25" customHeight="1" outlineLevel="1" x14ac:dyDescent="0.25">
      <c r="A15" s="187">
        <v>9</v>
      </c>
      <c r="B15" s="188" t="str">
        <f>РД!B10</f>
        <v>Расчет ключевых физических объемов</v>
      </c>
      <c r="C15" s="189" t="s">
        <v>55</v>
      </c>
      <c r="D15" s="199">
        <f>D14+14</f>
        <v>45908</v>
      </c>
      <c r="E15" s="199">
        <f>E14-14+7</f>
        <v>45947</v>
      </c>
      <c r="F15" s="189" t="s">
        <v>163</v>
      </c>
      <c r="G15" s="220">
        <f>РД!C10</f>
        <v>4567418.2287999997</v>
      </c>
      <c r="H15" s="221"/>
    </row>
    <row r="16" spans="1:8" ht="29.25" customHeight="1" outlineLevel="1" x14ac:dyDescent="0.25">
      <c r="A16" s="187">
        <v>10</v>
      </c>
      <c r="B16" s="192" t="str">
        <f>РД!B292</f>
        <v>Сессии VE (Value Engineering)</v>
      </c>
      <c r="C16" s="189" t="s">
        <v>55</v>
      </c>
      <c r="D16" s="199">
        <f>D11+30</f>
        <v>45924</v>
      </c>
      <c r="E16" s="199">
        <f>D16+14</f>
        <v>45938</v>
      </c>
      <c r="F16" s="189" t="s">
        <v>517</v>
      </c>
      <c r="G16" s="220">
        <f>РД!C292</f>
        <v>224446.08000000002</v>
      </c>
      <c r="H16" s="221"/>
    </row>
    <row r="17" spans="1:12" ht="29.25" customHeight="1" outlineLevel="1" x14ac:dyDescent="0.25">
      <c r="A17" s="187">
        <v>11</v>
      </c>
      <c r="B17" s="192" t="str">
        <f>РД!B284</f>
        <v>Отчетная документация по проекту</v>
      </c>
      <c r="C17" s="189" t="s">
        <v>55</v>
      </c>
      <c r="D17" s="199">
        <f>D8</f>
        <v>45853</v>
      </c>
      <c r="E17" s="199">
        <f>E18</f>
        <v>45978</v>
      </c>
      <c r="F17" s="189" t="s">
        <v>152</v>
      </c>
      <c r="G17" s="220">
        <f>РД!C284</f>
        <v>565123.19999999995</v>
      </c>
      <c r="H17" s="221"/>
    </row>
    <row r="18" spans="1:12" ht="29.25" customHeight="1" outlineLevel="1" x14ac:dyDescent="0.25">
      <c r="A18" s="187">
        <v>12</v>
      </c>
      <c r="B18" s="192" t="str">
        <f>РД!B307</f>
        <v>Эксплуатационная документация</v>
      </c>
      <c r="C18" s="191" t="s">
        <v>56</v>
      </c>
      <c r="D18" s="199">
        <f>E16+7</f>
        <v>45945</v>
      </c>
      <c r="E18" s="199">
        <f>D18+19+14</f>
        <v>45978</v>
      </c>
      <c r="F18" s="193" t="s">
        <v>518</v>
      </c>
      <c r="G18" s="220">
        <f>РД!C307</f>
        <v>3052887.5471999999</v>
      </c>
      <c r="H18" s="221"/>
    </row>
    <row r="19" spans="1:12" ht="29.25" customHeight="1" outlineLevel="1" x14ac:dyDescent="0.25">
      <c r="A19" s="187">
        <v>13</v>
      </c>
      <c r="B19" s="192" t="str">
        <f>РД!B365</f>
        <v>Электронный документооборот</v>
      </c>
      <c r="C19" s="189" t="s">
        <v>521</v>
      </c>
      <c r="D19" s="199">
        <f>D18</f>
        <v>45945</v>
      </c>
      <c r="E19" s="199">
        <f>E18</f>
        <v>45978</v>
      </c>
      <c r="F19" s="194" t="s">
        <v>519</v>
      </c>
      <c r="G19" s="220">
        <f>РД!C365</f>
        <v>726443.75999999989</v>
      </c>
      <c r="H19" s="221"/>
    </row>
    <row r="20" spans="1:12" ht="18.75" x14ac:dyDescent="0.3">
      <c r="A20" s="41"/>
      <c r="B20" s="42" t="s">
        <v>58</v>
      </c>
      <c r="C20" s="42"/>
      <c r="D20" s="42"/>
      <c r="E20" s="42"/>
      <c r="F20" s="42"/>
      <c r="G20" s="214">
        <f>SUM(G7:H19)</f>
        <v>82828574.564799994</v>
      </c>
      <c r="H20" s="215"/>
      <c r="L20" s="196"/>
    </row>
    <row r="21" spans="1:12" ht="18.75" x14ac:dyDescent="0.3">
      <c r="A21" s="28"/>
      <c r="B21" s="28" t="s">
        <v>165</v>
      </c>
      <c r="C21" s="28"/>
      <c r="D21" s="28"/>
      <c r="E21" s="28"/>
      <c r="F21" s="28"/>
      <c r="G21" s="195"/>
      <c r="H21" s="28"/>
    </row>
    <row r="22" spans="1:12" ht="18.75" x14ac:dyDescent="0.3">
      <c r="A22" s="28"/>
      <c r="B22" s="28"/>
      <c r="C22" s="28"/>
      <c r="D22" s="28"/>
      <c r="E22" s="28"/>
      <c r="F22" s="28"/>
      <c r="G22" s="28"/>
      <c r="H22" s="28"/>
    </row>
    <row r="23" spans="1:12" ht="20.25" x14ac:dyDescent="0.3">
      <c r="A23" s="28"/>
      <c r="B23" s="29" t="s">
        <v>103</v>
      </c>
      <c r="C23" s="29"/>
      <c r="D23" s="29"/>
      <c r="E23" s="29"/>
      <c r="F23" s="29"/>
      <c r="G23" s="28"/>
      <c r="H23" s="28"/>
    </row>
    <row r="24" spans="1:12" ht="20.25" x14ac:dyDescent="0.3">
      <c r="A24" s="28"/>
      <c r="B24" s="29"/>
      <c r="C24" s="29"/>
      <c r="D24" s="29"/>
      <c r="E24" s="29"/>
      <c r="F24" s="29"/>
      <c r="G24" s="28"/>
      <c r="H24" s="28"/>
    </row>
    <row r="25" spans="1:12" ht="18.75" x14ac:dyDescent="0.3">
      <c r="A25" s="28"/>
      <c r="B25" s="30" t="s">
        <v>529</v>
      </c>
      <c r="C25" s="30"/>
      <c r="D25" s="30"/>
      <c r="E25" s="30"/>
      <c r="F25" s="30"/>
      <c r="G25" s="31"/>
      <c r="H25" s="31"/>
    </row>
    <row r="26" spans="1:12" ht="18.75" x14ac:dyDescent="0.3">
      <c r="A26" s="28"/>
      <c r="B26" s="30" t="s">
        <v>530</v>
      </c>
      <c r="C26" s="30"/>
      <c r="D26" s="30"/>
      <c r="E26" s="30"/>
      <c r="F26" s="30"/>
      <c r="G26" s="31"/>
      <c r="H26" s="31"/>
    </row>
    <row r="27" spans="1:12" ht="18.75" x14ac:dyDescent="0.3">
      <c r="A27" s="28"/>
      <c r="B27" s="30" t="s">
        <v>531</v>
      </c>
      <c r="C27" s="30"/>
      <c r="D27" s="30"/>
      <c r="E27" s="30"/>
      <c r="F27" s="30"/>
      <c r="G27" s="32"/>
      <c r="H27" s="31"/>
    </row>
    <row r="28" spans="1:12" ht="18.75" x14ac:dyDescent="0.3">
      <c r="A28" s="28"/>
      <c r="B28" s="308">
        <v>45825</v>
      </c>
      <c r="C28" s="30"/>
      <c r="D28" s="30"/>
      <c r="E28" s="30"/>
      <c r="F28" s="30"/>
      <c r="G28" s="33" t="s">
        <v>59</v>
      </c>
      <c r="H28" s="33"/>
    </row>
  </sheetData>
  <mergeCells count="23">
    <mergeCell ref="G13:H13"/>
    <mergeCell ref="G1:H1"/>
    <mergeCell ref="A3:H4"/>
    <mergeCell ref="A5:A6"/>
    <mergeCell ref="B5:B6"/>
    <mergeCell ref="G5:H6"/>
    <mergeCell ref="C5:C6"/>
    <mergeCell ref="G20:H20"/>
    <mergeCell ref="F5:F6"/>
    <mergeCell ref="D5:D6"/>
    <mergeCell ref="E5:E6"/>
    <mergeCell ref="G9:H9"/>
    <mergeCell ref="G17:H17"/>
    <mergeCell ref="G10:H10"/>
    <mergeCell ref="G11:H11"/>
    <mergeCell ref="G16:H16"/>
    <mergeCell ref="G18:H18"/>
    <mergeCell ref="G14:H14"/>
    <mergeCell ref="G15:H15"/>
    <mergeCell ref="G12:H12"/>
    <mergeCell ref="G8:H8"/>
    <mergeCell ref="G7:H7"/>
    <mergeCell ref="G19:H19"/>
  </mergeCells>
  <pageMargins left="0.7" right="0.7" top="0.75" bottom="0.7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23"/>
  <sheetViews>
    <sheetView tabSelected="1" topLeftCell="A2" zoomScale="130" zoomScaleNormal="130" workbookViewId="0">
      <pane ySplit="7" topLeftCell="A414" activePane="bottomLeft" state="frozen"/>
      <selection activeCell="D17" sqref="D17"/>
      <selection pane="bottomLeft" activeCell="A5" sqref="A5:A8"/>
    </sheetView>
  </sheetViews>
  <sheetFormatPr defaultColWidth="9.140625" defaultRowHeight="15" outlineLevelRow="1" outlineLevelCol="1" x14ac:dyDescent="0.25"/>
  <cols>
    <col min="1" max="1" width="8.42578125" style="22" customWidth="1"/>
    <col min="2" max="2" width="79.42578125" style="21" customWidth="1"/>
    <col min="3" max="3" width="21" style="21" customWidth="1"/>
    <col min="4" max="4" width="15.140625" style="21" customWidth="1"/>
    <col min="5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0" width="8.140625" style="21" customWidth="1"/>
    <col min="11" max="11" width="8.85546875" style="21" customWidth="1"/>
    <col min="12" max="12" width="8.85546875" style="21" hidden="1" customWidth="1" outlineLevel="1"/>
    <col min="13" max="13" width="13.42578125" style="21" customWidth="1" collapsed="1"/>
    <col min="14" max="14" width="19.42578125" style="21" customWidth="1"/>
    <col min="15" max="16" width="18.140625" style="21" customWidth="1"/>
    <col min="17" max="17" width="17.42578125" style="49" customWidth="1"/>
    <col min="18" max="19" width="9.140625" style="21" customWidth="1" outlineLevel="1"/>
    <col min="20" max="16384" width="9.140625" style="21"/>
  </cols>
  <sheetData>
    <row r="1" spans="1:20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20" ht="15" customHeight="1" x14ac:dyDescent="0.25">
      <c r="A2" s="273" t="s">
        <v>454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</row>
    <row r="3" spans="1:20" ht="36" customHeight="1" thickBot="1" x14ac:dyDescent="0.3">
      <c r="A3" s="274"/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</row>
    <row r="4" spans="1:20" ht="13.7" customHeight="1" thickBot="1" x14ac:dyDescent="0.3">
      <c r="A4" s="52"/>
      <c r="B4" s="52"/>
      <c r="C4" s="275" t="s">
        <v>60</v>
      </c>
      <c r="D4" s="276"/>
      <c r="E4" s="276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8"/>
    </row>
    <row r="5" spans="1:20" s="36" customFormat="1" ht="19.5" customHeight="1" x14ac:dyDescent="0.25">
      <c r="A5" s="279" t="s">
        <v>3</v>
      </c>
      <c r="B5" s="279" t="s">
        <v>4</v>
      </c>
      <c r="C5" s="279" t="s">
        <v>53</v>
      </c>
      <c r="D5" s="279" t="s">
        <v>61</v>
      </c>
      <c r="E5" s="279" t="s">
        <v>62</v>
      </c>
      <c r="F5" s="279" t="s">
        <v>63</v>
      </c>
      <c r="G5" s="282" t="s">
        <v>64</v>
      </c>
      <c r="H5" s="283"/>
      <c r="I5" s="283"/>
      <c r="J5" s="283"/>
      <c r="K5" s="283"/>
      <c r="L5" s="283"/>
      <c r="M5" s="283"/>
      <c r="N5" s="283"/>
      <c r="O5" s="283"/>
      <c r="P5" s="284"/>
      <c r="Q5" s="50"/>
    </row>
    <row r="6" spans="1:20" s="36" customFormat="1" ht="19.5" customHeight="1" thickBot="1" x14ac:dyDescent="0.3">
      <c r="A6" s="280"/>
      <c r="B6" s="280"/>
      <c r="C6" s="280"/>
      <c r="D6" s="233"/>
      <c r="E6" s="233"/>
      <c r="F6" s="281"/>
      <c r="G6" s="285"/>
      <c r="H6" s="286"/>
      <c r="I6" s="286"/>
      <c r="J6" s="286"/>
      <c r="K6" s="286"/>
      <c r="L6" s="286"/>
      <c r="M6" s="286"/>
      <c r="N6" s="286"/>
      <c r="O6" s="286"/>
      <c r="P6" s="287"/>
      <c r="Q6" s="50"/>
    </row>
    <row r="7" spans="1:20" s="36" customFormat="1" ht="25.35" customHeight="1" thickBot="1" x14ac:dyDescent="0.3">
      <c r="A7" s="233"/>
      <c r="B7" s="233"/>
      <c r="C7" s="233"/>
      <c r="D7" s="233"/>
      <c r="E7" s="233"/>
      <c r="F7" s="233"/>
      <c r="G7" s="271" t="s">
        <v>65</v>
      </c>
      <c r="H7" s="269" t="s">
        <v>66</v>
      </c>
      <c r="I7" s="270"/>
      <c r="J7" s="271" t="s">
        <v>67</v>
      </c>
      <c r="K7" s="271" t="s">
        <v>68</v>
      </c>
      <c r="L7" s="288" t="s">
        <v>68</v>
      </c>
      <c r="M7" s="271" t="s">
        <v>69</v>
      </c>
      <c r="N7" s="271" t="s">
        <v>70</v>
      </c>
      <c r="O7" s="271" t="s">
        <v>71</v>
      </c>
      <c r="P7" s="271" t="s">
        <v>72</v>
      </c>
      <c r="Q7" s="50"/>
    </row>
    <row r="8" spans="1:20" s="36" customFormat="1" ht="19.5" customHeight="1" thickBot="1" x14ac:dyDescent="0.3">
      <c r="A8" s="272"/>
      <c r="B8" s="272"/>
      <c r="C8" s="272"/>
      <c r="D8" s="272"/>
      <c r="E8" s="272"/>
      <c r="F8" s="272"/>
      <c r="G8" s="272"/>
      <c r="H8" s="47" t="s">
        <v>73</v>
      </c>
      <c r="I8" s="47" t="s">
        <v>74</v>
      </c>
      <c r="J8" s="272"/>
      <c r="K8" s="272"/>
      <c r="L8" s="289"/>
      <c r="M8" s="272"/>
      <c r="N8" s="272"/>
      <c r="O8" s="272"/>
      <c r="P8" s="272"/>
      <c r="Q8" s="50"/>
      <c r="R8" s="171" t="s">
        <v>450</v>
      </c>
      <c r="S8" s="172">
        <v>1</v>
      </c>
    </row>
    <row r="9" spans="1:20" s="36" customFormat="1" ht="19.5" customHeight="1" thickBot="1" x14ac:dyDescent="0.3">
      <c r="A9" s="266" t="s">
        <v>101</v>
      </c>
      <c r="B9" s="267"/>
      <c r="C9" s="267"/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8"/>
      <c r="Q9" s="50"/>
    </row>
    <row r="10" spans="1:20" s="37" customFormat="1" ht="15.75" x14ac:dyDescent="0.25">
      <c r="A10" s="183" t="s">
        <v>8</v>
      </c>
      <c r="B10" s="184" t="s">
        <v>102</v>
      </c>
      <c r="C10" s="34">
        <f>SUBTOTAL(9,C11:C52)</f>
        <v>4567418.2287999997</v>
      </c>
      <c r="D10" s="34">
        <f>SUBTOTAL(9,D11:D52)</f>
        <v>1653.2799999999997</v>
      </c>
      <c r="E10" s="34">
        <f>SUBTOTAL(9,E11:E52)</f>
        <v>206.65999999999997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35"/>
      <c r="Q10" s="51"/>
      <c r="T10" s="36"/>
    </row>
    <row r="11" spans="1:20" s="36" customFormat="1" ht="14.45" customHeight="1" outlineLevel="1" x14ac:dyDescent="0.25">
      <c r="A11" s="224" t="s">
        <v>75</v>
      </c>
      <c r="B11" s="227" t="s">
        <v>124</v>
      </c>
      <c r="C11" s="230">
        <f>SUM(,O11:O17)</f>
        <v>2064002.5936000003</v>
      </c>
      <c r="D11" s="230">
        <f>SUM(,P11:P17)</f>
        <v>780.16</v>
      </c>
      <c r="E11" s="230">
        <f>D11/8</f>
        <v>97.52</v>
      </c>
      <c r="F11" s="230"/>
      <c r="G11" s="46" t="s">
        <v>76</v>
      </c>
      <c r="H11" s="235"/>
      <c r="I11" s="235"/>
      <c r="J11" s="46">
        <v>1</v>
      </c>
      <c r="K11" s="46">
        <f>L11*$S$8</f>
        <v>0.42</v>
      </c>
      <c r="L11" s="173">
        <v>0.42</v>
      </c>
      <c r="M11" s="174">
        <v>8</v>
      </c>
      <c r="N11" s="46">
        <f>DATA!$D$2</f>
        <v>5009.96</v>
      </c>
      <c r="O11" s="46">
        <f t="shared" ref="O11:O16" si="0">N11*J11*K11*M11</f>
        <v>16833.4656</v>
      </c>
      <c r="P11" s="46">
        <f t="shared" ref="P11:P16" si="1">J11*K11*M11</f>
        <v>3.36</v>
      </c>
      <c r="Q11" s="50"/>
    </row>
    <row r="12" spans="1:20" s="36" customFormat="1" ht="11.45" customHeight="1" outlineLevel="1" x14ac:dyDescent="0.25">
      <c r="A12" s="225"/>
      <c r="B12" s="254"/>
      <c r="C12" s="231"/>
      <c r="D12" s="231"/>
      <c r="E12" s="231"/>
      <c r="F12" s="233"/>
      <c r="G12" s="46" t="s">
        <v>77</v>
      </c>
      <c r="H12" s="225"/>
      <c r="I12" s="225"/>
      <c r="J12" s="46">
        <v>5</v>
      </c>
      <c r="K12" s="46">
        <f t="shared" ref="K12:K16" si="2">L12*$S$8</f>
        <v>0.42</v>
      </c>
      <c r="L12" s="173">
        <v>0.42</v>
      </c>
      <c r="M12" s="174">
        <v>8</v>
      </c>
      <c r="N12" s="46">
        <f>DATA!$D$3</f>
        <v>4508.96</v>
      </c>
      <c r="O12" s="46">
        <f t="shared" si="0"/>
        <v>75750.527999999991</v>
      </c>
      <c r="P12" s="46">
        <f t="shared" si="1"/>
        <v>16.8</v>
      </c>
      <c r="Q12" s="50"/>
    </row>
    <row r="13" spans="1:20" s="36" customFormat="1" ht="10.7" customHeight="1" outlineLevel="1" x14ac:dyDescent="0.25">
      <c r="A13" s="225"/>
      <c r="B13" s="254"/>
      <c r="C13" s="231"/>
      <c r="D13" s="231"/>
      <c r="E13" s="231"/>
      <c r="F13" s="233"/>
      <c r="G13" s="46" t="s">
        <v>78</v>
      </c>
      <c r="H13" s="225"/>
      <c r="I13" s="225"/>
      <c r="J13" s="46">
        <v>5</v>
      </c>
      <c r="K13" s="46">
        <f t="shared" si="2"/>
        <v>1.5</v>
      </c>
      <c r="L13" s="173">
        <v>1.5</v>
      </c>
      <c r="M13" s="174">
        <v>8</v>
      </c>
      <c r="N13" s="46">
        <f>DATA!$D$4</f>
        <v>3757.47</v>
      </c>
      <c r="O13" s="46">
        <f t="shared" si="0"/>
        <v>225448.19999999998</v>
      </c>
      <c r="P13" s="46">
        <f t="shared" si="1"/>
        <v>60</v>
      </c>
      <c r="Q13" s="50"/>
    </row>
    <row r="14" spans="1:20" s="36" customFormat="1" ht="10.7" customHeight="1" outlineLevel="1" x14ac:dyDescent="0.25">
      <c r="A14" s="225"/>
      <c r="B14" s="254"/>
      <c r="C14" s="231"/>
      <c r="D14" s="231"/>
      <c r="E14" s="231"/>
      <c r="F14" s="233"/>
      <c r="G14" s="46" t="s">
        <v>79</v>
      </c>
      <c r="H14" s="225"/>
      <c r="I14" s="225"/>
      <c r="J14" s="46">
        <v>5</v>
      </c>
      <c r="K14" s="46">
        <f t="shared" si="2"/>
        <v>1.5</v>
      </c>
      <c r="L14" s="173">
        <v>1.5</v>
      </c>
      <c r="M14" s="174">
        <v>8</v>
      </c>
      <c r="N14" s="46">
        <f>DATA!$D$5</f>
        <v>3381.72</v>
      </c>
      <c r="O14" s="46">
        <f t="shared" si="0"/>
        <v>202903.19999999998</v>
      </c>
      <c r="P14" s="46">
        <f t="shared" si="1"/>
        <v>60</v>
      </c>
      <c r="Q14" s="50"/>
    </row>
    <row r="15" spans="1:20" s="36" customFormat="1" ht="10.7" customHeight="1" outlineLevel="1" x14ac:dyDescent="0.25">
      <c r="A15" s="225"/>
      <c r="B15" s="254"/>
      <c r="C15" s="231"/>
      <c r="D15" s="231"/>
      <c r="E15" s="231"/>
      <c r="F15" s="233"/>
      <c r="G15" s="46" t="s">
        <v>80</v>
      </c>
      <c r="H15" s="225"/>
      <c r="I15" s="225"/>
      <c r="J15" s="46">
        <v>5</v>
      </c>
      <c r="K15" s="46">
        <f t="shared" si="2"/>
        <v>10</v>
      </c>
      <c r="L15" s="173">
        <v>10</v>
      </c>
      <c r="M15" s="174">
        <v>8</v>
      </c>
      <c r="N15" s="46">
        <f>DATA!$D$6</f>
        <v>2504.98</v>
      </c>
      <c r="O15" s="46">
        <f t="shared" si="0"/>
        <v>1001992</v>
      </c>
      <c r="P15" s="46">
        <f t="shared" si="1"/>
        <v>400</v>
      </c>
      <c r="Q15" s="50"/>
    </row>
    <row r="16" spans="1:20" s="36" customFormat="1" ht="10.7" customHeight="1" outlineLevel="1" x14ac:dyDescent="0.25">
      <c r="A16" s="225"/>
      <c r="B16" s="254"/>
      <c r="C16" s="231"/>
      <c r="D16" s="231"/>
      <c r="E16" s="231"/>
      <c r="F16" s="233"/>
      <c r="G16" s="46" t="s">
        <v>81</v>
      </c>
      <c r="H16" s="225"/>
      <c r="I16" s="225"/>
      <c r="J16" s="46">
        <v>3</v>
      </c>
      <c r="K16" s="46">
        <f t="shared" si="2"/>
        <v>10</v>
      </c>
      <c r="L16" s="173">
        <v>10</v>
      </c>
      <c r="M16" s="174">
        <v>8</v>
      </c>
      <c r="N16" s="46">
        <f>DATA!$D$7</f>
        <v>2254.48</v>
      </c>
      <c r="O16" s="46">
        <f t="shared" si="0"/>
        <v>541075.20000000007</v>
      </c>
      <c r="P16" s="46">
        <f t="shared" si="1"/>
        <v>240</v>
      </c>
      <c r="Q16" s="50"/>
    </row>
    <row r="17" spans="1:20" s="36" customFormat="1" ht="12" customHeight="1" outlineLevel="1" x14ac:dyDescent="0.25">
      <c r="A17" s="226"/>
      <c r="B17" s="255"/>
      <c r="C17" s="232"/>
      <c r="D17" s="232"/>
      <c r="E17" s="232"/>
      <c r="F17" s="234"/>
      <c r="G17" s="46" t="s">
        <v>82</v>
      </c>
      <c r="H17" s="226"/>
      <c r="I17" s="226"/>
      <c r="J17" s="46"/>
      <c r="K17" s="46"/>
      <c r="L17" s="173"/>
      <c r="M17" s="174"/>
      <c r="N17" s="46"/>
      <c r="O17" s="46"/>
      <c r="P17" s="46"/>
      <c r="Q17" s="50"/>
    </row>
    <row r="18" spans="1:20" s="36" customFormat="1" ht="14.45" customHeight="1" outlineLevel="1" x14ac:dyDescent="0.25">
      <c r="A18" s="224" t="s">
        <v>83</v>
      </c>
      <c r="B18" s="227" t="s">
        <v>133</v>
      </c>
      <c r="C18" s="230">
        <f>SUM(,O18:O24)</f>
        <v>929748.03359999997</v>
      </c>
      <c r="D18" s="230">
        <f>SUM(,P18:P24)</f>
        <v>308.15999999999997</v>
      </c>
      <c r="E18" s="230">
        <f t="shared" ref="E18" si="3">D18/8</f>
        <v>38.519999999999996</v>
      </c>
      <c r="F18" s="230"/>
      <c r="G18" s="46" t="s">
        <v>76</v>
      </c>
      <c r="H18" s="235"/>
      <c r="I18" s="235"/>
      <c r="J18" s="46">
        <v>1</v>
      </c>
      <c r="K18" s="46">
        <f>L18*$S$8</f>
        <v>0.42</v>
      </c>
      <c r="L18" s="173">
        <v>0.42</v>
      </c>
      <c r="M18" s="174">
        <v>8</v>
      </c>
      <c r="N18" s="46">
        <f>DATA!$D$2</f>
        <v>5009.96</v>
      </c>
      <c r="O18" s="46">
        <f t="shared" ref="O18:O23" si="4">N18*J18*K18*M18</f>
        <v>16833.4656</v>
      </c>
      <c r="P18" s="46">
        <f t="shared" ref="P18:P23" si="5">J18*K18*M18</f>
        <v>3.36</v>
      </c>
    </row>
    <row r="19" spans="1:20" s="36" customFormat="1" ht="11.45" customHeight="1" outlineLevel="1" x14ac:dyDescent="0.25">
      <c r="A19" s="225"/>
      <c r="B19" s="254"/>
      <c r="C19" s="231"/>
      <c r="D19" s="231"/>
      <c r="E19" s="231"/>
      <c r="F19" s="233"/>
      <c r="G19" s="46" t="s">
        <v>77</v>
      </c>
      <c r="H19" s="225"/>
      <c r="I19" s="225"/>
      <c r="J19" s="46">
        <v>5</v>
      </c>
      <c r="K19" s="46">
        <f t="shared" ref="K19:K23" si="6">L19*$S$8</f>
        <v>0.42</v>
      </c>
      <c r="L19" s="173">
        <v>0.42</v>
      </c>
      <c r="M19" s="174">
        <v>8</v>
      </c>
      <c r="N19" s="46">
        <f>DATA!$D$3</f>
        <v>4508.96</v>
      </c>
      <c r="O19" s="46">
        <f t="shared" si="4"/>
        <v>75750.527999999991</v>
      </c>
      <c r="P19" s="46">
        <f t="shared" si="5"/>
        <v>16.8</v>
      </c>
    </row>
    <row r="20" spans="1:20" s="36" customFormat="1" ht="10.7" customHeight="1" outlineLevel="1" x14ac:dyDescent="0.25">
      <c r="A20" s="225"/>
      <c r="B20" s="254"/>
      <c r="C20" s="231"/>
      <c r="D20" s="231"/>
      <c r="E20" s="231"/>
      <c r="F20" s="233"/>
      <c r="G20" s="46" t="s">
        <v>78</v>
      </c>
      <c r="H20" s="225"/>
      <c r="I20" s="225"/>
      <c r="J20" s="46">
        <v>5</v>
      </c>
      <c r="K20" s="46">
        <f t="shared" si="6"/>
        <v>1.5</v>
      </c>
      <c r="L20" s="173">
        <v>1.5</v>
      </c>
      <c r="M20" s="174">
        <v>8</v>
      </c>
      <c r="N20" s="46">
        <f>DATA!$D$4</f>
        <v>3757.47</v>
      </c>
      <c r="O20" s="46">
        <f t="shared" si="4"/>
        <v>225448.19999999998</v>
      </c>
      <c r="P20" s="46">
        <f t="shared" si="5"/>
        <v>60</v>
      </c>
    </row>
    <row r="21" spans="1:20" s="36" customFormat="1" ht="10.7" customHeight="1" outlineLevel="1" x14ac:dyDescent="0.25">
      <c r="A21" s="225"/>
      <c r="B21" s="254"/>
      <c r="C21" s="231"/>
      <c r="D21" s="231"/>
      <c r="E21" s="231"/>
      <c r="F21" s="233"/>
      <c r="G21" s="46" t="s">
        <v>79</v>
      </c>
      <c r="H21" s="225"/>
      <c r="I21" s="225"/>
      <c r="J21" s="46">
        <v>5</v>
      </c>
      <c r="K21" s="46">
        <f t="shared" si="6"/>
        <v>1.5</v>
      </c>
      <c r="L21" s="173">
        <v>1.5</v>
      </c>
      <c r="M21" s="174">
        <v>8</v>
      </c>
      <c r="N21" s="46">
        <f>DATA!$D$5</f>
        <v>3381.72</v>
      </c>
      <c r="O21" s="46">
        <f t="shared" si="4"/>
        <v>202903.19999999998</v>
      </c>
      <c r="P21" s="46">
        <f t="shared" si="5"/>
        <v>60</v>
      </c>
    </row>
    <row r="22" spans="1:20" s="36" customFormat="1" ht="10.7" customHeight="1" outlineLevel="1" x14ac:dyDescent="0.25">
      <c r="A22" s="225"/>
      <c r="B22" s="254"/>
      <c r="C22" s="231"/>
      <c r="D22" s="231"/>
      <c r="E22" s="231"/>
      <c r="F22" s="233"/>
      <c r="G22" s="46" t="s">
        <v>80</v>
      </c>
      <c r="H22" s="225"/>
      <c r="I22" s="225"/>
      <c r="J22" s="46">
        <v>5</v>
      </c>
      <c r="K22" s="46">
        <f t="shared" si="6"/>
        <v>3</v>
      </c>
      <c r="L22" s="173">
        <v>3</v>
      </c>
      <c r="M22" s="174">
        <v>8</v>
      </c>
      <c r="N22" s="46">
        <f>DATA!$D$6</f>
        <v>2504.98</v>
      </c>
      <c r="O22" s="46">
        <f t="shared" si="4"/>
        <v>300597.59999999998</v>
      </c>
      <c r="P22" s="46">
        <f t="shared" si="5"/>
        <v>120</v>
      </c>
    </row>
    <row r="23" spans="1:20" s="36" customFormat="1" ht="10.7" customHeight="1" outlineLevel="1" x14ac:dyDescent="0.25">
      <c r="A23" s="225"/>
      <c r="B23" s="254"/>
      <c r="C23" s="231"/>
      <c r="D23" s="231"/>
      <c r="E23" s="231"/>
      <c r="F23" s="233"/>
      <c r="G23" s="46" t="s">
        <v>81</v>
      </c>
      <c r="H23" s="225"/>
      <c r="I23" s="225"/>
      <c r="J23" s="46">
        <v>2</v>
      </c>
      <c r="K23" s="46">
        <f t="shared" si="6"/>
        <v>3</v>
      </c>
      <c r="L23" s="173">
        <v>3</v>
      </c>
      <c r="M23" s="174">
        <v>8</v>
      </c>
      <c r="N23" s="46">
        <f>DATA!$D$7</f>
        <v>2254.48</v>
      </c>
      <c r="O23" s="46">
        <f t="shared" si="4"/>
        <v>108215.04000000001</v>
      </c>
      <c r="P23" s="46">
        <f t="shared" si="5"/>
        <v>48</v>
      </c>
    </row>
    <row r="24" spans="1:20" s="36" customFormat="1" ht="12" customHeight="1" outlineLevel="1" x14ac:dyDescent="0.25">
      <c r="A24" s="226"/>
      <c r="B24" s="255"/>
      <c r="C24" s="232"/>
      <c r="D24" s="232"/>
      <c r="E24" s="232"/>
      <c r="F24" s="234"/>
      <c r="G24" s="46" t="s">
        <v>82</v>
      </c>
      <c r="H24" s="226"/>
      <c r="I24" s="226"/>
      <c r="J24" s="46"/>
      <c r="K24" s="46"/>
      <c r="L24" s="173"/>
      <c r="M24" s="174"/>
      <c r="N24" s="46"/>
      <c r="O24" s="46"/>
      <c r="P24" s="46"/>
    </row>
    <row r="25" spans="1:20" s="36" customFormat="1" ht="14.45" customHeight="1" outlineLevel="1" x14ac:dyDescent="0.25">
      <c r="A25" s="224" t="s">
        <v>105</v>
      </c>
      <c r="B25" s="227" t="s">
        <v>128</v>
      </c>
      <c r="C25" s="230">
        <f>SUM(,O25:O31)</f>
        <v>604240.87679999997</v>
      </c>
      <c r="D25" s="230">
        <f>SUM(,P25:P31)</f>
        <v>226.07999999999998</v>
      </c>
      <c r="E25" s="230">
        <f t="shared" ref="E25" si="7">D25/8</f>
        <v>28.259999999999998</v>
      </c>
      <c r="F25" s="230"/>
      <c r="G25" s="46" t="s">
        <v>76</v>
      </c>
      <c r="H25" s="235"/>
      <c r="I25" s="235"/>
      <c r="J25" s="46">
        <v>1</v>
      </c>
      <c r="K25" s="46">
        <f>L25*$S$8</f>
        <v>0.42</v>
      </c>
      <c r="L25" s="173">
        <v>0.42</v>
      </c>
      <c r="M25" s="174">
        <v>8</v>
      </c>
      <c r="N25" s="46">
        <f>DATA!$D$2</f>
        <v>5009.96</v>
      </c>
      <c r="O25" s="46">
        <f t="shared" ref="O25:O31" si="8">N25*J25*K25*M25</f>
        <v>16833.4656</v>
      </c>
      <c r="P25" s="46">
        <f t="shared" ref="P25:P31" si="9">J25*K25*M25</f>
        <v>3.36</v>
      </c>
    </row>
    <row r="26" spans="1:20" s="36" customFormat="1" ht="11.45" customHeight="1" outlineLevel="1" x14ac:dyDescent="0.25">
      <c r="A26" s="225"/>
      <c r="B26" s="254"/>
      <c r="C26" s="231"/>
      <c r="D26" s="231"/>
      <c r="E26" s="231"/>
      <c r="F26" s="233"/>
      <c r="G26" s="46" t="s">
        <v>77</v>
      </c>
      <c r="H26" s="225"/>
      <c r="I26" s="225"/>
      <c r="J26" s="46">
        <v>2</v>
      </c>
      <c r="K26" s="46">
        <f t="shared" ref="K26:K31" si="10">L26*$S$8</f>
        <v>0.42</v>
      </c>
      <c r="L26" s="173">
        <v>0.42</v>
      </c>
      <c r="M26" s="174">
        <v>8</v>
      </c>
      <c r="N26" s="46">
        <f>DATA!$D$3</f>
        <v>4508.96</v>
      </c>
      <c r="O26" s="46">
        <f t="shared" si="8"/>
        <v>30300.211199999998</v>
      </c>
      <c r="P26" s="46">
        <f t="shared" si="9"/>
        <v>6.72</v>
      </c>
    </row>
    <row r="27" spans="1:20" s="36" customFormat="1" ht="10.7" customHeight="1" outlineLevel="1" x14ac:dyDescent="0.25">
      <c r="A27" s="225"/>
      <c r="B27" s="254"/>
      <c r="C27" s="231"/>
      <c r="D27" s="231"/>
      <c r="E27" s="231"/>
      <c r="F27" s="233"/>
      <c r="G27" s="46" t="s">
        <v>78</v>
      </c>
      <c r="H27" s="225"/>
      <c r="I27" s="225"/>
      <c r="J27" s="46">
        <v>2</v>
      </c>
      <c r="K27" s="46">
        <f t="shared" si="10"/>
        <v>1.5</v>
      </c>
      <c r="L27" s="173">
        <v>1.5</v>
      </c>
      <c r="M27" s="174">
        <v>8</v>
      </c>
      <c r="N27" s="46">
        <f>DATA!$D$4</f>
        <v>3757.47</v>
      </c>
      <c r="O27" s="46">
        <f t="shared" si="8"/>
        <v>90179.28</v>
      </c>
      <c r="P27" s="46">
        <f t="shared" si="9"/>
        <v>24</v>
      </c>
    </row>
    <row r="28" spans="1:20" s="36" customFormat="1" ht="10.7" customHeight="1" outlineLevel="1" x14ac:dyDescent="0.25">
      <c r="A28" s="225"/>
      <c r="B28" s="254"/>
      <c r="C28" s="231"/>
      <c r="D28" s="231"/>
      <c r="E28" s="231"/>
      <c r="F28" s="233"/>
      <c r="G28" s="46" t="s">
        <v>79</v>
      </c>
      <c r="H28" s="225"/>
      <c r="I28" s="225"/>
      <c r="J28" s="46">
        <v>2</v>
      </c>
      <c r="K28" s="46">
        <f t="shared" si="10"/>
        <v>1.5</v>
      </c>
      <c r="L28" s="173">
        <v>1.5</v>
      </c>
      <c r="M28" s="174">
        <v>8</v>
      </c>
      <c r="N28" s="46">
        <f>DATA!$D$5</f>
        <v>3381.72</v>
      </c>
      <c r="O28" s="46">
        <f t="shared" si="8"/>
        <v>81161.279999999999</v>
      </c>
      <c r="P28" s="46">
        <f t="shared" si="9"/>
        <v>24</v>
      </c>
    </row>
    <row r="29" spans="1:20" s="36" customFormat="1" ht="10.7" customHeight="1" outlineLevel="1" x14ac:dyDescent="0.25">
      <c r="A29" s="225"/>
      <c r="B29" s="254"/>
      <c r="C29" s="231"/>
      <c r="D29" s="231"/>
      <c r="E29" s="231"/>
      <c r="F29" s="233"/>
      <c r="G29" s="46" t="s">
        <v>80</v>
      </c>
      <c r="H29" s="225"/>
      <c r="I29" s="225"/>
      <c r="J29" s="46">
        <v>1</v>
      </c>
      <c r="K29" s="46">
        <f t="shared" si="10"/>
        <v>7</v>
      </c>
      <c r="L29" s="173">
        <v>7</v>
      </c>
      <c r="M29" s="174">
        <v>8</v>
      </c>
      <c r="N29" s="46">
        <f>DATA!$D$6</f>
        <v>2504.98</v>
      </c>
      <c r="O29" s="46">
        <f t="shared" si="8"/>
        <v>140278.88</v>
      </c>
      <c r="P29" s="46">
        <f t="shared" si="9"/>
        <v>56</v>
      </c>
    </row>
    <row r="30" spans="1:20" s="36" customFormat="1" ht="10.7" customHeight="1" outlineLevel="1" x14ac:dyDescent="0.25">
      <c r="A30" s="225"/>
      <c r="B30" s="254"/>
      <c r="C30" s="231"/>
      <c r="D30" s="231"/>
      <c r="E30" s="231"/>
      <c r="F30" s="233"/>
      <c r="G30" s="46" t="s">
        <v>81</v>
      </c>
      <c r="H30" s="225"/>
      <c r="I30" s="225"/>
      <c r="J30" s="46">
        <v>1</v>
      </c>
      <c r="K30" s="46">
        <f t="shared" si="10"/>
        <v>7</v>
      </c>
      <c r="L30" s="173">
        <v>7</v>
      </c>
      <c r="M30" s="174">
        <v>8</v>
      </c>
      <c r="N30" s="46">
        <f>DATA!$D$7</f>
        <v>2254.48</v>
      </c>
      <c r="O30" s="46">
        <f t="shared" si="8"/>
        <v>126250.88</v>
      </c>
      <c r="P30" s="46">
        <f t="shared" si="9"/>
        <v>56</v>
      </c>
      <c r="T30" s="21"/>
    </row>
    <row r="31" spans="1:20" s="36" customFormat="1" ht="12" customHeight="1" outlineLevel="1" x14ac:dyDescent="0.25">
      <c r="A31" s="226"/>
      <c r="B31" s="255"/>
      <c r="C31" s="232"/>
      <c r="D31" s="232"/>
      <c r="E31" s="232"/>
      <c r="F31" s="234"/>
      <c r="G31" s="46" t="s">
        <v>82</v>
      </c>
      <c r="H31" s="226"/>
      <c r="I31" s="226"/>
      <c r="J31" s="46">
        <v>1</v>
      </c>
      <c r="K31" s="46">
        <f t="shared" si="10"/>
        <v>7</v>
      </c>
      <c r="L31" s="173">
        <v>7</v>
      </c>
      <c r="M31" s="174">
        <v>8</v>
      </c>
      <c r="N31" s="46">
        <f>DATA!$D$8</f>
        <v>2129.23</v>
      </c>
      <c r="O31" s="46">
        <f t="shared" si="8"/>
        <v>119236.88</v>
      </c>
      <c r="P31" s="46">
        <f t="shared" si="9"/>
        <v>56</v>
      </c>
      <c r="T31" s="21"/>
    </row>
    <row r="32" spans="1:20" s="36" customFormat="1" ht="14.45" customHeight="1" outlineLevel="1" x14ac:dyDescent="0.25">
      <c r="A32" s="224" t="s">
        <v>126</v>
      </c>
      <c r="B32" s="227" t="s">
        <v>129</v>
      </c>
      <c r="C32" s="230">
        <f>SUM(,O32:O38)</f>
        <v>343222.15680000006</v>
      </c>
      <c r="D32" s="230">
        <f>SUM(,P32:P38)</f>
        <v>118.08</v>
      </c>
      <c r="E32" s="230">
        <f t="shared" ref="E32" si="11">D32/8</f>
        <v>14.76</v>
      </c>
      <c r="F32" s="230"/>
      <c r="G32" s="46" t="s">
        <v>76</v>
      </c>
      <c r="H32" s="235"/>
      <c r="I32" s="235"/>
      <c r="J32" s="46">
        <v>1</v>
      </c>
      <c r="K32" s="46">
        <f>L32*$S$8</f>
        <v>0.42</v>
      </c>
      <c r="L32" s="173">
        <v>0.42</v>
      </c>
      <c r="M32" s="174">
        <v>8</v>
      </c>
      <c r="N32" s="46">
        <f>DATA!$D$2</f>
        <v>5009.96</v>
      </c>
      <c r="O32" s="46">
        <f t="shared" ref="O32:O38" si="12">N32*J32*K32*M32</f>
        <v>16833.4656</v>
      </c>
      <c r="P32" s="46">
        <f t="shared" ref="P32:P38" si="13">J32*K32*M32</f>
        <v>3.36</v>
      </c>
      <c r="R32" s="37"/>
      <c r="S32" s="37"/>
      <c r="T32" s="21"/>
    </row>
    <row r="33" spans="1:20" s="36" customFormat="1" ht="11.45" customHeight="1" outlineLevel="1" x14ac:dyDescent="0.25">
      <c r="A33" s="225"/>
      <c r="B33" s="254"/>
      <c r="C33" s="231"/>
      <c r="D33" s="231"/>
      <c r="E33" s="231"/>
      <c r="F33" s="233"/>
      <c r="G33" s="46" t="s">
        <v>77</v>
      </c>
      <c r="H33" s="225"/>
      <c r="I33" s="225"/>
      <c r="J33" s="46">
        <v>2</v>
      </c>
      <c r="K33" s="46">
        <f t="shared" ref="K33:K38" si="14">L33*$S$8</f>
        <v>0.42</v>
      </c>
      <c r="L33" s="173">
        <v>0.42</v>
      </c>
      <c r="M33" s="174">
        <v>8</v>
      </c>
      <c r="N33" s="46">
        <f>DATA!$D$3</f>
        <v>4508.96</v>
      </c>
      <c r="O33" s="46">
        <f t="shared" si="12"/>
        <v>30300.211199999998</v>
      </c>
      <c r="P33" s="46">
        <f t="shared" si="13"/>
        <v>6.72</v>
      </c>
      <c r="T33" s="21"/>
    </row>
    <row r="34" spans="1:20" s="36" customFormat="1" ht="10.7" customHeight="1" outlineLevel="1" x14ac:dyDescent="0.25">
      <c r="A34" s="225"/>
      <c r="B34" s="254"/>
      <c r="C34" s="231"/>
      <c r="D34" s="231"/>
      <c r="E34" s="231"/>
      <c r="F34" s="233"/>
      <c r="G34" s="46" t="s">
        <v>78</v>
      </c>
      <c r="H34" s="225"/>
      <c r="I34" s="225"/>
      <c r="J34" s="46">
        <v>2</v>
      </c>
      <c r="K34" s="46">
        <f t="shared" si="14"/>
        <v>1.5</v>
      </c>
      <c r="L34" s="173">
        <v>1.5</v>
      </c>
      <c r="M34" s="174">
        <v>8</v>
      </c>
      <c r="N34" s="46">
        <f>DATA!$D$4</f>
        <v>3757.47</v>
      </c>
      <c r="O34" s="46">
        <f t="shared" si="12"/>
        <v>90179.28</v>
      </c>
      <c r="P34" s="46">
        <f t="shared" si="13"/>
        <v>24</v>
      </c>
      <c r="T34" s="21"/>
    </row>
    <row r="35" spans="1:20" s="36" customFormat="1" ht="10.7" customHeight="1" outlineLevel="1" x14ac:dyDescent="0.25">
      <c r="A35" s="225"/>
      <c r="B35" s="254"/>
      <c r="C35" s="231"/>
      <c r="D35" s="231"/>
      <c r="E35" s="231"/>
      <c r="F35" s="233"/>
      <c r="G35" s="46" t="s">
        <v>79</v>
      </c>
      <c r="H35" s="225"/>
      <c r="I35" s="225"/>
      <c r="J35" s="46">
        <v>1</v>
      </c>
      <c r="K35" s="46">
        <f t="shared" si="14"/>
        <v>1.5</v>
      </c>
      <c r="L35" s="173">
        <v>1.5</v>
      </c>
      <c r="M35" s="174">
        <v>8</v>
      </c>
      <c r="N35" s="46">
        <f>DATA!$D$5</f>
        <v>3381.72</v>
      </c>
      <c r="O35" s="46">
        <f t="shared" si="12"/>
        <v>40580.639999999999</v>
      </c>
      <c r="P35" s="46">
        <f t="shared" si="13"/>
        <v>12</v>
      </c>
      <c r="T35" s="21"/>
    </row>
    <row r="36" spans="1:20" s="36" customFormat="1" ht="10.7" customHeight="1" outlineLevel="1" x14ac:dyDescent="0.25">
      <c r="A36" s="225"/>
      <c r="B36" s="254"/>
      <c r="C36" s="231"/>
      <c r="D36" s="231"/>
      <c r="E36" s="231"/>
      <c r="F36" s="233"/>
      <c r="G36" s="46" t="s">
        <v>80</v>
      </c>
      <c r="H36" s="225"/>
      <c r="I36" s="225"/>
      <c r="J36" s="46">
        <v>1</v>
      </c>
      <c r="K36" s="46">
        <f t="shared" si="14"/>
        <v>3</v>
      </c>
      <c r="L36" s="173">
        <v>3</v>
      </c>
      <c r="M36" s="174">
        <v>8</v>
      </c>
      <c r="N36" s="46">
        <f>DATA!$D$6</f>
        <v>2504.98</v>
      </c>
      <c r="O36" s="46">
        <f t="shared" si="12"/>
        <v>60119.520000000004</v>
      </c>
      <c r="P36" s="46">
        <f t="shared" si="13"/>
        <v>24</v>
      </c>
      <c r="T36" s="21"/>
    </row>
    <row r="37" spans="1:20" s="36" customFormat="1" ht="10.7" customHeight="1" outlineLevel="1" x14ac:dyDescent="0.25">
      <c r="A37" s="225"/>
      <c r="B37" s="254"/>
      <c r="C37" s="231"/>
      <c r="D37" s="231"/>
      <c r="E37" s="231"/>
      <c r="F37" s="233"/>
      <c r="G37" s="46" t="s">
        <v>81</v>
      </c>
      <c r="H37" s="225"/>
      <c r="I37" s="225"/>
      <c r="J37" s="46">
        <v>1</v>
      </c>
      <c r="K37" s="46">
        <f t="shared" si="14"/>
        <v>3</v>
      </c>
      <c r="L37" s="173">
        <v>3</v>
      </c>
      <c r="M37" s="174">
        <v>8</v>
      </c>
      <c r="N37" s="46">
        <f>DATA!$D$7</f>
        <v>2254.48</v>
      </c>
      <c r="O37" s="46">
        <f t="shared" si="12"/>
        <v>54107.520000000004</v>
      </c>
      <c r="P37" s="46">
        <f t="shared" si="13"/>
        <v>24</v>
      </c>
      <c r="T37" s="21"/>
    </row>
    <row r="38" spans="1:20" s="36" customFormat="1" ht="12" customHeight="1" outlineLevel="1" x14ac:dyDescent="0.25">
      <c r="A38" s="226"/>
      <c r="B38" s="255"/>
      <c r="C38" s="232"/>
      <c r="D38" s="232"/>
      <c r="E38" s="232"/>
      <c r="F38" s="234"/>
      <c r="G38" s="46" t="s">
        <v>82</v>
      </c>
      <c r="H38" s="226"/>
      <c r="I38" s="226"/>
      <c r="J38" s="46">
        <v>1</v>
      </c>
      <c r="K38" s="46">
        <f t="shared" si="14"/>
        <v>3</v>
      </c>
      <c r="L38" s="173">
        <v>3</v>
      </c>
      <c r="M38" s="174">
        <v>8</v>
      </c>
      <c r="N38" s="46">
        <f>DATA!$D$8</f>
        <v>2129.23</v>
      </c>
      <c r="O38" s="46">
        <f t="shared" si="12"/>
        <v>51101.520000000004</v>
      </c>
      <c r="P38" s="46">
        <f t="shared" si="13"/>
        <v>24</v>
      </c>
      <c r="T38" s="21"/>
    </row>
    <row r="39" spans="1:20" s="36" customFormat="1" ht="14.45" customHeight="1" outlineLevel="1" x14ac:dyDescent="0.25">
      <c r="A39" s="224" t="s">
        <v>127</v>
      </c>
      <c r="B39" s="227" t="s">
        <v>132</v>
      </c>
      <c r="C39" s="230">
        <f>SUM(,O39:O45)</f>
        <v>343222.15680000006</v>
      </c>
      <c r="D39" s="230">
        <f>SUM(,P39:P45)</f>
        <v>118.08</v>
      </c>
      <c r="E39" s="230">
        <f t="shared" ref="E39" si="15">D39/8</f>
        <v>14.76</v>
      </c>
      <c r="F39" s="230"/>
      <c r="G39" s="46" t="s">
        <v>76</v>
      </c>
      <c r="H39" s="235"/>
      <c r="I39" s="235"/>
      <c r="J39" s="46">
        <v>1</v>
      </c>
      <c r="K39" s="46">
        <f>L39*$S$8</f>
        <v>0.42</v>
      </c>
      <c r="L39" s="173">
        <v>0.42</v>
      </c>
      <c r="M39" s="174">
        <v>8</v>
      </c>
      <c r="N39" s="46">
        <f>DATA!$D$2</f>
        <v>5009.96</v>
      </c>
      <c r="O39" s="46">
        <f t="shared" ref="O39:O45" si="16">N39*J39*K39*M39</f>
        <v>16833.4656</v>
      </c>
      <c r="P39" s="46">
        <f t="shared" ref="P39:P45" si="17">J39*K39*M39</f>
        <v>3.36</v>
      </c>
      <c r="Q39" s="50"/>
      <c r="T39" s="21"/>
    </row>
    <row r="40" spans="1:20" s="36" customFormat="1" ht="11.45" customHeight="1" outlineLevel="1" x14ac:dyDescent="0.25">
      <c r="A40" s="225"/>
      <c r="B40" s="254"/>
      <c r="C40" s="231"/>
      <c r="D40" s="231"/>
      <c r="E40" s="231"/>
      <c r="F40" s="233"/>
      <c r="G40" s="46" t="s">
        <v>77</v>
      </c>
      <c r="H40" s="225"/>
      <c r="I40" s="225"/>
      <c r="J40" s="46">
        <v>2</v>
      </c>
      <c r="K40" s="46">
        <f t="shared" ref="K40:K45" si="18">L40*$S$8</f>
        <v>0.42</v>
      </c>
      <c r="L40" s="173">
        <v>0.42</v>
      </c>
      <c r="M40" s="174">
        <v>8</v>
      </c>
      <c r="N40" s="46">
        <f>DATA!$D$3</f>
        <v>4508.96</v>
      </c>
      <c r="O40" s="46">
        <f t="shared" si="16"/>
        <v>30300.211199999998</v>
      </c>
      <c r="P40" s="46">
        <f t="shared" si="17"/>
        <v>6.72</v>
      </c>
      <c r="Q40" s="50"/>
      <c r="T40" s="21"/>
    </row>
    <row r="41" spans="1:20" s="36" customFormat="1" ht="10.7" customHeight="1" outlineLevel="1" x14ac:dyDescent="0.25">
      <c r="A41" s="225"/>
      <c r="B41" s="254"/>
      <c r="C41" s="231"/>
      <c r="D41" s="231"/>
      <c r="E41" s="231"/>
      <c r="F41" s="233"/>
      <c r="G41" s="46" t="s">
        <v>78</v>
      </c>
      <c r="H41" s="225"/>
      <c r="I41" s="225"/>
      <c r="J41" s="46">
        <v>2</v>
      </c>
      <c r="K41" s="46">
        <f t="shared" si="18"/>
        <v>1.5</v>
      </c>
      <c r="L41" s="173">
        <v>1.5</v>
      </c>
      <c r="M41" s="174">
        <v>8</v>
      </c>
      <c r="N41" s="46">
        <f>DATA!$D$4</f>
        <v>3757.47</v>
      </c>
      <c r="O41" s="46">
        <f t="shared" si="16"/>
        <v>90179.28</v>
      </c>
      <c r="P41" s="46">
        <f t="shared" si="17"/>
        <v>24</v>
      </c>
      <c r="Q41" s="50"/>
      <c r="T41" s="21"/>
    </row>
    <row r="42" spans="1:20" s="36" customFormat="1" ht="10.7" customHeight="1" outlineLevel="1" x14ac:dyDescent="0.25">
      <c r="A42" s="225"/>
      <c r="B42" s="254"/>
      <c r="C42" s="231"/>
      <c r="D42" s="231"/>
      <c r="E42" s="231"/>
      <c r="F42" s="233"/>
      <c r="G42" s="46" t="s">
        <v>79</v>
      </c>
      <c r="H42" s="225"/>
      <c r="I42" s="225"/>
      <c r="J42" s="46">
        <v>1</v>
      </c>
      <c r="K42" s="46">
        <f t="shared" si="18"/>
        <v>1.5</v>
      </c>
      <c r="L42" s="173">
        <v>1.5</v>
      </c>
      <c r="M42" s="174">
        <v>8</v>
      </c>
      <c r="N42" s="46">
        <f>DATA!$D$5</f>
        <v>3381.72</v>
      </c>
      <c r="O42" s="46">
        <f t="shared" si="16"/>
        <v>40580.639999999999</v>
      </c>
      <c r="P42" s="46">
        <f t="shared" si="17"/>
        <v>12</v>
      </c>
      <c r="Q42" s="50"/>
      <c r="T42" s="21"/>
    </row>
    <row r="43" spans="1:20" s="36" customFormat="1" ht="10.7" customHeight="1" outlineLevel="1" x14ac:dyDescent="0.25">
      <c r="A43" s="225"/>
      <c r="B43" s="254"/>
      <c r="C43" s="231"/>
      <c r="D43" s="231"/>
      <c r="E43" s="231"/>
      <c r="F43" s="233"/>
      <c r="G43" s="46" t="s">
        <v>80</v>
      </c>
      <c r="H43" s="225"/>
      <c r="I43" s="225"/>
      <c r="J43" s="46">
        <v>1</v>
      </c>
      <c r="K43" s="46">
        <f t="shared" si="18"/>
        <v>3</v>
      </c>
      <c r="L43" s="173">
        <v>3</v>
      </c>
      <c r="M43" s="174">
        <v>8</v>
      </c>
      <c r="N43" s="46">
        <f>DATA!$D$6</f>
        <v>2504.98</v>
      </c>
      <c r="O43" s="46">
        <f t="shared" si="16"/>
        <v>60119.520000000004</v>
      </c>
      <c r="P43" s="46">
        <f t="shared" si="17"/>
        <v>24</v>
      </c>
      <c r="Q43" s="50"/>
      <c r="T43" s="21"/>
    </row>
    <row r="44" spans="1:20" s="36" customFormat="1" ht="10.7" customHeight="1" outlineLevel="1" x14ac:dyDescent="0.25">
      <c r="A44" s="225"/>
      <c r="B44" s="254"/>
      <c r="C44" s="231"/>
      <c r="D44" s="231"/>
      <c r="E44" s="231"/>
      <c r="F44" s="233"/>
      <c r="G44" s="46" t="s">
        <v>81</v>
      </c>
      <c r="H44" s="225"/>
      <c r="I44" s="225"/>
      <c r="J44" s="46">
        <v>1</v>
      </c>
      <c r="K44" s="46">
        <f t="shared" si="18"/>
        <v>3</v>
      </c>
      <c r="L44" s="173">
        <v>3</v>
      </c>
      <c r="M44" s="174">
        <v>8</v>
      </c>
      <c r="N44" s="46">
        <f>DATA!$D$7</f>
        <v>2254.48</v>
      </c>
      <c r="O44" s="46">
        <f t="shared" si="16"/>
        <v>54107.520000000004</v>
      </c>
      <c r="P44" s="46">
        <f t="shared" si="17"/>
        <v>24</v>
      </c>
      <c r="Q44" s="50"/>
      <c r="T44" s="21"/>
    </row>
    <row r="45" spans="1:20" s="36" customFormat="1" ht="12" customHeight="1" outlineLevel="1" thickBot="1" x14ac:dyDescent="0.3">
      <c r="A45" s="226"/>
      <c r="B45" s="255"/>
      <c r="C45" s="232"/>
      <c r="D45" s="232"/>
      <c r="E45" s="232"/>
      <c r="F45" s="234"/>
      <c r="G45" s="46" t="s">
        <v>82</v>
      </c>
      <c r="H45" s="236"/>
      <c r="I45" s="236"/>
      <c r="J45" s="46">
        <v>1</v>
      </c>
      <c r="K45" s="46">
        <f t="shared" si="18"/>
        <v>3</v>
      </c>
      <c r="L45" s="173">
        <v>3</v>
      </c>
      <c r="M45" s="174">
        <v>8</v>
      </c>
      <c r="N45" s="46">
        <f>DATA!$D$8</f>
        <v>2129.23</v>
      </c>
      <c r="O45" s="46">
        <f t="shared" si="16"/>
        <v>51101.520000000004</v>
      </c>
      <c r="P45" s="46">
        <f t="shared" si="17"/>
        <v>24</v>
      </c>
      <c r="Q45" s="50"/>
      <c r="T45" s="21"/>
    </row>
    <row r="46" spans="1:20" s="36" customFormat="1" ht="14.45" customHeight="1" outlineLevel="1" x14ac:dyDescent="0.25">
      <c r="A46" s="224" t="s">
        <v>150</v>
      </c>
      <c r="B46" s="227" t="s">
        <v>104</v>
      </c>
      <c r="C46" s="230">
        <f>SUM(,O46:O52)</f>
        <v>282982.41120000003</v>
      </c>
      <c r="D46" s="230">
        <f>SUM(,P46:P52)</f>
        <v>102.72</v>
      </c>
      <c r="E46" s="230">
        <f t="shared" ref="E46" si="19">D46/8</f>
        <v>12.84</v>
      </c>
      <c r="F46" s="230"/>
      <c r="G46" s="46" t="s">
        <v>76</v>
      </c>
      <c r="H46" s="235"/>
      <c r="I46" s="235"/>
      <c r="J46" s="46">
        <v>1</v>
      </c>
      <c r="K46" s="46">
        <f>L46*$S$8</f>
        <v>0.42</v>
      </c>
      <c r="L46" s="173">
        <v>0.42</v>
      </c>
      <c r="M46" s="174">
        <v>8</v>
      </c>
      <c r="N46" s="46">
        <f>DATA!$D$2</f>
        <v>5009.96</v>
      </c>
      <c r="O46" s="46">
        <f t="shared" ref="O46:O52" si="20">N46*J46*K46*M46</f>
        <v>16833.4656</v>
      </c>
      <c r="P46" s="46">
        <f t="shared" ref="P46:P52" si="21">J46*K46*M46</f>
        <v>3.36</v>
      </c>
      <c r="Q46" s="50"/>
      <c r="T46" s="21"/>
    </row>
    <row r="47" spans="1:20" s="36" customFormat="1" ht="11.45" customHeight="1" outlineLevel="1" x14ac:dyDescent="0.25">
      <c r="A47" s="225"/>
      <c r="B47" s="254"/>
      <c r="C47" s="231"/>
      <c r="D47" s="231"/>
      <c r="E47" s="231"/>
      <c r="F47" s="233"/>
      <c r="G47" s="46" t="s">
        <v>77</v>
      </c>
      <c r="H47" s="225"/>
      <c r="I47" s="225"/>
      <c r="J47" s="46">
        <v>1</v>
      </c>
      <c r="K47" s="46">
        <f t="shared" ref="K47:K52" si="22">L47*$S$8</f>
        <v>0.42</v>
      </c>
      <c r="L47" s="173">
        <v>0.42</v>
      </c>
      <c r="M47" s="174">
        <v>8</v>
      </c>
      <c r="N47" s="46">
        <f>DATA!$D$3</f>
        <v>4508.96</v>
      </c>
      <c r="O47" s="46">
        <f t="shared" si="20"/>
        <v>15150.105599999999</v>
      </c>
      <c r="P47" s="46">
        <f t="shared" si="21"/>
        <v>3.36</v>
      </c>
      <c r="Q47" s="50"/>
      <c r="T47" s="21"/>
    </row>
    <row r="48" spans="1:20" s="36" customFormat="1" ht="10.7" customHeight="1" outlineLevel="1" x14ac:dyDescent="0.25">
      <c r="A48" s="225"/>
      <c r="B48" s="254"/>
      <c r="C48" s="231"/>
      <c r="D48" s="231"/>
      <c r="E48" s="231"/>
      <c r="F48" s="233"/>
      <c r="G48" s="46" t="s">
        <v>78</v>
      </c>
      <c r="H48" s="225"/>
      <c r="I48" s="225"/>
      <c r="J48" s="46">
        <v>1</v>
      </c>
      <c r="K48" s="46">
        <f t="shared" si="22"/>
        <v>1.5</v>
      </c>
      <c r="L48" s="173">
        <v>1.5</v>
      </c>
      <c r="M48" s="174">
        <v>8</v>
      </c>
      <c r="N48" s="46">
        <f>DATA!$D$4</f>
        <v>3757.47</v>
      </c>
      <c r="O48" s="46">
        <f t="shared" si="20"/>
        <v>45089.64</v>
      </c>
      <c r="P48" s="46">
        <f t="shared" si="21"/>
        <v>12</v>
      </c>
      <c r="Q48" s="50"/>
      <c r="T48" s="21"/>
    </row>
    <row r="49" spans="1:20" s="36" customFormat="1" ht="10.7" customHeight="1" outlineLevel="1" x14ac:dyDescent="0.25">
      <c r="A49" s="225"/>
      <c r="B49" s="254"/>
      <c r="C49" s="231"/>
      <c r="D49" s="231"/>
      <c r="E49" s="231"/>
      <c r="F49" s="233"/>
      <c r="G49" s="46" t="s">
        <v>79</v>
      </c>
      <c r="H49" s="225"/>
      <c r="I49" s="225"/>
      <c r="J49" s="46">
        <v>1</v>
      </c>
      <c r="K49" s="46">
        <f t="shared" si="22"/>
        <v>1.5</v>
      </c>
      <c r="L49" s="173">
        <v>1.5</v>
      </c>
      <c r="M49" s="174">
        <v>8</v>
      </c>
      <c r="N49" s="46">
        <f>DATA!$D$5</f>
        <v>3381.72</v>
      </c>
      <c r="O49" s="46">
        <f t="shared" si="20"/>
        <v>40580.639999999999</v>
      </c>
      <c r="P49" s="46">
        <f t="shared" si="21"/>
        <v>12</v>
      </c>
      <c r="Q49" s="50"/>
      <c r="T49" s="21"/>
    </row>
    <row r="50" spans="1:20" s="36" customFormat="1" ht="10.7" customHeight="1" outlineLevel="1" x14ac:dyDescent="0.25">
      <c r="A50" s="225"/>
      <c r="B50" s="254"/>
      <c r="C50" s="231"/>
      <c r="D50" s="231"/>
      <c r="E50" s="231"/>
      <c r="F50" s="233"/>
      <c r="G50" s="46" t="s">
        <v>80</v>
      </c>
      <c r="H50" s="225"/>
      <c r="I50" s="225"/>
      <c r="J50" s="46">
        <v>1</v>
      </c>
      <c r="K50" s="46">
        <f t="shared" si="22"/>
        <v>3</v>
      </c>
      <c r="L50" s="173">
        <v>3</v>
      </c>
      <c r="M50" s="174">
        <v>8</v>
      </c>
      <c r="N50" s="46">
        <f>DATA!$D$6</f>
        <v>2504.98</v>
      </c>
      <c r="O50" s="46">
        <f t="shared" si="20"/>
        <v>60119.520000000004</v>
      </c>
      <c r="P50" s="46">
        <f t="shared" si="21"/>
        <v>24</v>
      </c>
      <c r="Q50" s="50"/>
      <c r="T50" s="21"/>
    </row>
    <row r="51" spans="1:20" s="36" customFormat="1" ht="10.7" customHeight="1" outlineLevel="1" x14ac:dyDescent="0.25">
      <c r="A51" s="225"/>
      <c r="B51" s="254"/>
      <c r="C51" s="231"/>
      <c r="D51" s="231"/>
      <c r="E51" s="231"/>
      <c r="F51" s="233"/>
      <c r="G51" s="46" t="s">
        <v>81</v>
      </c>
      <c r="H51" s="225"/>
      <c r="I51" s="225"/>
      <c r="J51" s="46">
        <v>1</v>
      </c>
      <c r="K51" s="46">
        <f t="shared" si="22"/>
        <v>3</v>
      </c>
      <c r="L51" s="173">
        <v>3</v>
      </c>
      <c r="M51" s="174">
        <v>8</v>
      </c>
      <c r="N51" s="46">
        <f>DATA!$D$7</f>
        <v>2254.48</v>
      </c>
      <c r="O51" s="46">
        <f t="shared" si="20"/>
        <v>54107.520000000004</v>
      </c>
      <c r="P51" s="46">
        <f t="shared" si="21"/>
        <v>24</v>
      </c>
      <c r="Q51" s="50"/>
      <c r="T51" s="21"/>
    </row>
    <row r="52" spans="1:20" s="36" customFormat="1" ht="12" customHeight="1" outlineLevel="1" thickBot="1" x14ac:dyDescent="0.3">
      <c r="A52" s="226"/>
      <c r="B52" s="255"/>
      <c r="C52" s="232"/>
      <c r="D52" s="232"/>
      <c r="E52" s="232"/>
      <c r="F52" s="234"/>
      <c r="G52" s="46" t="s">
        <v>82</v>
      </c>
      <c r="H52" s="236"/>
      <c r="I52" s="236"/>
      <c r="J52" s="46">
        <v>1</v>
      </c>
      <c r="K52" s="46">
        <f t="shared" si="22"/>
        <v>3</v>
      </c>
      <c r="L52" s="173">
        <v>3</v>
      </c>
      <c r="M52" s="174">
        <v>8</v>
      </c>
      <c r="N52" s="46">
        <f>DATA!$D$8</f>
        <v>2129.23</v>
      </c>
      <c r="O52" s="46">
        <f t="shared" si="20"/>
        <v>51101.520000000004</v>
      </c>
      <c r="P52" s="46">
        <f t="shared" si="21"/>
        <v>24</v>
      </c>
      <c r="Q52" s="50"/>
      <c r="T52" s="21"/>
    </row>
    <row r="53" spans="1:20" s="37" customFormat="1" ht="16.5" thickBot="1" x14ac:dyDescent="0.3">
      <c r="A53" s="177" t="s">
        <v>10</v>
      </c>
      <c r="B53" s="181" t="s">
        <v>457</v>
      </c>
      <c r="C53" s="175">
        <f>SUBTOTAL(9,C54:C159)</f>
        <v>6422003.9264000002</v>
      </c>
      <c r="D53" s="175">
        <f>SUBTOTAL(9,D54:D159)</f>
        <v>2315.84</v>
      </c>
      <c r="E53" s="175">
        <f>SUBTOTAL(9,E54:E159)</f>
        <v>199.60000000000002</v>
      </c>
      <c r="F53" s="44"/>
      <c r="G53" s="44"/>
      <c r="H53" s="44"/>
      <c r="I53" s="44"/>
      <c r="J53" s="44"/>
      <c r="K53" s="44"/>
      <c r="L53" s="179"/>
      <c r="M53" s="44"/>
      <c r="N53" s="44"/>
      <c r="O53" s="44"/>
      <c r="P53" s="39"/>
    </row>
    <row r="54" spans="1:20" s="36" customFormat="1" ht="14.45" customHeight="1" outlineLevel="1" x14ac:dyDescent="0.25">
      <c r="A54" s="256" t="s">
        <v>84</v>
      </c>
      <c r="B54" s="259" t="s">
        <v>108</v>
      </c>
      <c r="C54" s="261">
        <f>SUM(,O54:O60)</f>
        <v>282982.41120000003</v>
      </c>
      <c r="D54" s="230">
        <f>SUM(,P54:P60)</f>
        <v>102.72</v>
      </c>
      <c r="E54" s="230">
        <f t="shared" ref="E54:E75" si="23">D54/8</f>
        <v>12.84</v>
      </c>
      <c r="F54" s="230"/>
      <c r="G54" s="46" t="s">
        <v>76</v>
      </c>
      <c r="H54" s="235"/>
      <c r="I54" s="235"/>
      <c r="J54" s="46">
        <v>1</v>
      </c>
      <c r="K54" s="46">
        <f>L54*$S$8</f>
        <v>0.42</v>
      </c>
      <c r="L54" s="173">
        <v>0.42</v>
      </c>
      <c r="M54" s="174">
        <v>8</v>
      </c>
      <c r="N54" s="46">
        <f>DATA!$D$2</f>
        <v>5009.96</v>
      </c>
      <c r="O54" s="46">
        <f t="shared" ref="O54:O60" si="24">N54*J54*K54*M54</f>
        <v>16833.4656</v>
      </c>
      <c r="P54" s="46">
        <f t="shared" ref="P54:P60" si="25">J54*K54*M54</f>
        <v>3.36</v>
      </c>
    </row>
    <row r="55" spans="1:20" s="36" customFormat="1" ht="11.45" customHeight="1" outlineLevel="1" x14ac:dyDescent="0.25">
      <c r="A55" s="257"/>
      <c r="B55" s="228"/>
      <c r="C55" s="262"/>
      <c r="D55" s="252"/>
      <c r="E55" s="252"/>
      <c r="F55" s="252"/>
      <c r="G55" s="46" t="s">
        <v>77</v>
      </c>
      <c r="H55" s="246"/>
      <c r="I55" s="246"/>
      <c r="J55" s="46">
        <v>1</v>
      </c>
      <c r="K55" s="46">
        <f t="shared" ref="K55:K60" si="26">L55*$S$8</f>
        <v>0.42</v>
      </c>
      <c r="L55" s="173">
        <v>0.42</v>
      </c>
      <c r="M55" s="174">
        <v>8</v>
      </c>
      <c r="N55" s="46">
        <f>DATA!$D$3</f>
        <v>4508.96</v>
      </c>
      <c r="O55" s="46">
        <f t="shared" si="24"/>
        <v>15150.105599999999</v>
      </c>
      <c r="P55" s="46">
        <f t="shared" si="25"/>
        <v>3.36</v>
      </c>
    </row>
    <row r="56" spans="1:20" s="36" customFormat="1" ht="10.7" customHeight="1" outlineLevel="1" x14ac:dyDescent="0.25">
      <c r="A56" s="257"/>
      <c r="B56" s="228"/>
      <c r="C56" s="262"/>
      <c r="D56" s="252"/>
      <c r="E56" s="252"/>
      <c r="F56" s="252"/>
      <c r="G56" s="46" t="s">
        <v>78</v>
      </c>
      <c r="H56" s="246"/>
      <c r="I56" s="246"/>
      <c r="J56" s="46">
        <v>1</v>
      </c>
      <c r="K56" s="46">
        <f t="shared" si="26"/>
        <v>1.5</v>
      </c>
      <c r="L56" s="173">
        <v>1.5</v>
      </c>
      <c r="M56" s="174">
        <v>8</v>
      </c>
      <c r="N56" s="46">
        <f>DATA!$D$4</f>
        <v>3757.47</v>
      </c>
      <c r="O56" s="46">
        <f t="shared" si="24"/>
        <v>45089.64</v>
      </c>
      <c r="P56" s="46">
        <f t="shared" si="25"/>
        <v>12</v>
      </c>
    </row>
    <row r="57" spans="1:20" s="36" customFormat="1" ht="10.7" customHeight="1" outlineLevel="1" x14ac:dyDescent="0.25">
      <c r="A57" s="257"/>
      <c r="B57" s="228"/>
      <c r="C57" s="262"/>
      <c r="D57" s="252"/>
      <c r="E57" s="252"/>
      <c r="F57" s="252"/>
      <c r="G57" s="46" t="s">
        <v>79</v>
      </c>
      <c r="H57" s="246"/>
      <c r="I57" s="246"/>
      <c r="J57" s="46">
        <v>1</v>
      </c>
      <c r="K57" s="46">
        <f t="shared" si="26"/>
        <v>1.5</v>
      </c>
      <c r="L57" s="173">
        <v>1.5</v>
      </c>
      <c r="M57" s="174">
        <v>8</v>
      </c>
      <c r="N57" s="46">
        <f>DATA!$D$5</f>
        <v>3381.72</v>
      </c>
      <c r="O57" s="46">
        <f t="shared" si="24"/>
        <v>40580.639999999999</v>
      </c>
      <c r="P57" s="46">
        <f t="shared" si="25"/>
        <v>12</v>
      </c>
    </row>
    <row r="58" spans="1:20" s="36" customFormat="1" ht="10.7" customHeight="1" outlineLevel="1" x14ac:dyDescent="0.25">
      <c r="A58" s="257"/>
      <c r="B58" s="228"/>
      <c r="C58" s="262"/>
      <c r="D58" s="252"/>
      <c r="E58" s="252"/>
      <c r="F58" s="252"/>
      <c r="G58" s="46" t="s">
        <v>80</v>
      </c>
      <c r="H58" s="246"/>
      <c r="I58" s="246"/>
      <c r="J58" s="46">
        <v>1</v>
      </c>
      <c r="K58" s="46">
        <f t="shared" si="26"/>
        <v>3</v>
      </c>
      <c r="L58" s="173">
        <v>3</v>
      </c>
      <c r="M58" s="174">
        <v>8</v>
      </c>
      <c r="N58" s="46">
        <f>DATA!$D$6</f>
        <v>2504.98</v>
      </c>
      <c r="O58" s="46">
        <f t="shared" si="24"/>
        <v>60119.520000000004</v>
      </c>
      <c r="P58" s="46">
        <f t="shared" si="25"/>
        <v>24</v>
      </c>
    </row>
    <row r="59" spans="1:20" s="36" customFormat="1" ht="10.7" customHeight="1" outlineLevel="1" x14ac:dyDescent="0.25">
      <c r="A59" s="257"/>
      <c r="B59" s="228"/>
      <c r="C59" s="262"/>
      <c r="D59" s="252"/>
      <c r="E59" s="252"/>
      <c r="F59" s="252"/>
      <c r="G59" s="46" t="s">
        <v>81</v>
      </c>
      <c r="H59" s="246"/>
      <c r="I59" s="246"/>
      <c r="J59" s="46">
        <v>1</v>
      </c>
      <c r="K59" s="46">
        <f t="shared" si="26"/>
        <v>3</v>
      </c>
      <c r="L59" s="173">
        <v>3</v>
      </c>
      <c r="M59" s="174">
        <v>8</v>
      </c>
      <c r="N59" s="46">
        <f>DATA!$D$7</f>
        <v>2254.48</v>
      </c>
      <c r="O59" s="46">
        <f t="shared" si="24"/>
        <v>54107.520000000004</v>
      </c>
      <c r="P59" s="46">
        <f t="shared" si="25"/>
        <v>24</v>
      </c>
    </row>
    <row r="60" spans="1:20" s="36" customFormat="1" ht="12" customHeight="1" outlineLevel="1" thickBot="1" x14ac:dyDescent="0.3">
      <c r="A60" s="258"/>
      <c r="B60" s="260"/>
      <c r="C60" s="263"/>
      <c r="D60" s="253"/>
      <c r="E60" s="253"/>
      <c r="F60" s="253"/>
      <c r="G60" s="46" t="s">
        <v>82</v>
      </c>
      <c r="H60" s="247"/>
      <c r="I60" s="247"/>
      <c r="J60" s="46">
        <v>1</v>
      </c>
      <c r="K60" s="46">
        <f t="shared" si="26"/>
        <v>3</v>
      </c>
      <c r="L60" s="173">
        <v>3</v>
      </c>
      <c r="M60" s="174">
        <v>8</v>
      </c>
      <c r="N60" s="46">
        <f>DATA!$D$8</f>
        <v>2129.23</v>
      </c>
      <c r="O60" s="46">
        <f t="shared" si="24"/>
        <v>51101.520000000004</v>
      </c>
      <c r="P60" s="46">
        <f t="shared" si="25"/>
        <v>24</v>
      </c>
    </row>
    <row r="61" spans="1:20" s="36" customFormat="1" ht="14.45" customHeight="1" outlineLevel="1" x14ac:dyDescent="0.25">
      <c r="A61" s="224" t="s">
        <v>85</v>
      </c>
      <c r="B61" s="228" t="s">
        <v>109</v>
      </c>
      <c r="C61" s="230">
        <f>SUM(,O61:O67)</f>
        <v>323062.09120000002</v>
      </c>
      <c r="D61" s="230">
        <f>SUM(,P61:P67)</f>
        <v>118.72</v>
      </c>
      <c r="E61" s="230">
        <f t="shared" si="23"/>
        <v>14.84</v>
      </c>
      <c r="F61" s="230"/>
      <c r="G61" s="46" t="s">
        <v>76</v>
      </c>
      <c r="H61" s="245"/>
      <c r="I61" s="245"/>
      <c r="J61" s="46">
        <v>1</v>
      </c>
      <c r="K61" s="46">
        <f>L61*$S$8</f>
        <v>0.42</v>
      </c>
      <c r="L61" s="173">
        <v>0.42</v>
      </c>
      <c r="M61" s="174">
        <v>8</v>
      </c>
      <c r="N61" s="46">
        <f>DATA!$D$2</f>
        <v>5009.96</v>
      </c>
      <c r="O61" s="46">
        <f t="shared" ref="O61:O67" si="27">N61*J61*K61*M61</f>
        <v>16833.4656</v>
      </c>
      <c r="P61" s="46">
        <f t="shared" ref="P61:P67" si="28">J61*K61*M61</f>
        <v>3.36</v>
      </c>
    </row>
    <row r="62" spans="1:20" s="36" customFormat="1" ht="11.45" customHeight="1" outlineLevel="1" x14ac:dyDescent="0.25">
      <c r="A62" s="250"/>
      <c r="B62" s="228"/>
      <c r="C62" s="252"/>
      <c r="D62" s="252"/>
      <c r="E62" s="252"/>
      <c r="F62" s="252"/>
      <c r="G62" s="46" t="s">
        <v>77</v>
      </c>
      <c r="H62" s="246"/>
      <c r="I62" s="246"/>
      <c r="J62" s="46">
        <v>1</v>
      </c>
      <c r="K62" s="46">
        <f t="shared" ref="K62:K67" si="29">L62*$S$8</f>
        <v>0.42</v>
      </c>
      <c r="L62" s="173">
        <v>0.42</v>
      </c>
      <c r="M62" s="174">
        <v>8</v>
      </c>
      <c r="N62" s="46">
        <f>DATA!$D$3</f>
        <v>4508.96</v>
      </c>
      <c r="O62" s="46">
        <f t="shared" si="27"/>
        <v>15150.105599999999</v>
      </c>
      <c r="P62" s="46">
        <f t="shared" si="28"/>
        <v>3.36</v>
      </c>
    </row>
    <row r="63" spans="1:20" s="36" customFormat="1" ht="10.7" customHeight="1" outlineLevel="1" x14ac:dyDescent="0.25">
      <c r="A63" s="250"/>
      <c r="B63" s="228"/>
      <c r="C63" s="252"/>
      <c r="D63" s="252"/>
      <c r="E63" s="252"/>
      <c r="F63" s="252"/>
      <c r="G63" s="46" t="s">
        <v>78</v>
      </c>
      <c r="H63" s="246"/>
      <c r="I63" s="246"/>
      <c r="J63" s="46">
        <v>1</v>
      </c>
      <c r="K63" s="46">
        <f t="shared" si="29"/>
        <v>1.5</v>
      </c>
      <c r="L63" s="173">
        <v>1.5</v>
      </c>
      <c r="M63" s="174">
        <v>8</v>
      </c>
      <c r="N63" s="46">
        <f>DATA!$D$4</f>
        <v>3757.47</v>
      </c>
      <c r="O63" s="46">
        <f t="shared" si="27"/>
        <v>45089.64</v>
      </c>
      <c r="P63" s="46">
        <f t="shared" si="28"/>
        <v>12</v>
      </c>
    </row>
    <row r="64" spans="1:20" s="36" customFormat="1" ht="10.7" customHeight="1" outlineLevel="1" x14ac:dyDescent="0.25">
      <c r="A64" s="250"/>
      <c r="B64" s="228"/>
      <c r="C64" s="252"/>
      <c r="D64" s="252"/>
      <c r="E64" s="252"/>
      <c r="F64" s="252"/>
      <c r="G64" s="46" t="s">
        <v>79</v>
      </c>
      <c r="H64" s="246"/>
      <c r="I64" s="246"/>
      <c r="J64" s="46">
        <v>1</v>
      </c>
      <c r="K64" s="46">
        <f t="shared" si="29"/>
        <v>1.5</v>
      </c>
      <c r="L64" s="173">
        <v>1.5</v>
      </c>
      <c r="M64" s="174">
        <v>8</v>
      </c>
      <c r="N64" s="46">
        <f>DATA!$D$5</f>
        <v>3381.72</v>
      </c>
      <c r="O64" s="46">
        <f t="shared" si="27"/>
        <v>40580.639999999999</v>
      </c>
      <c r="P64" s="46">
        <f t="shared" si="28"/>
        <v>12</v>
      </c>
    </row>
    <row r="65" spans="1:16" s="36" customFormat="1" ht="10.7" customHeight="1" outlineLevel="1" x14ac:dyDescent="0.25">
      <c r="A65" s="250"/>
      <c r="B65" s="228"/>
      <c r="C65" s="252"/>
      <c r="D65" s="252"/>
      <c r="E65" s="252"/>
      <c r="F65" s="252"/>
      <c r="G65" s="46" t="s">
        <v>80</v>
      </c>
      <c r="H65" s="246"/>
      <c r="I65" s="246"/>
      <c r="J65" s="46">
        <v>1</v>
      </c>
      <c r="K65" s="46">
        <f t="shared" si="29"/>
        <v>5</v>
      </c>
      <c r="L65" s="173">
        <v>5</v>
      </c>
      <c r="M65" s="174">
        <v>8</v>
      </c>
      <c r="N65" s="46">
        <f>DATA!$D$6</f>
        <v>2504.98</v>
      </c>
      <c r="O65" s="46">
        <f t="shared" si="27"/>
        <v>100199.2</v>
      </c>
      <c r="P65" s="46">
        <f t="shared" si="28"/>
        <v>40</v>
      </c>
    </row>
    <row r="66" spans="1:16" s="36" customFormat="1" ht="10.7" customHeight="1" outlineLevel="1" x14ac:dyDescent="0.25">
      <c r="A66" s="250"/>
      <c r="B66" s="228"/>
      <c r="C66" s="252"/>
      <c r="D66" s="252"/>
      <c r="E66" s="252"/>
      <c r="F66" s="252"/>
      <c r="G66" s="46" t="s">
        <v>81</v>
      </c>
      <c r="H66" s="246"/>
      <c r="I66" s="246"/>
      <c r="J66" s="46">
        <v>1</v>
      </c>
      <c r="K66" s="46">
        <f t="shared" si="29"/>
        <v>3</v>
      </c>
      <c r="L66" s="173">
        <v>3</v>
      </c>
      <c r="M66" s="174">
        <v>8</v>
      </c>
      <c r="N66" s="46">
        <f>DATA!$D$7</f>
        <v>2254.48</v>
      </c>
      <c r="O66" s="46">
        <f t="shared" si="27"/>
        <v>54107.520000000004</v>
      </c>
      <c r="P66" s="46">
        <f t="shared" si="28"/>
        <v>24</v>
      </c>
    </row>
    <row r="67" spans="1:16" s="36" customFormat="1" ht="12" customHeight="1" outlineLevel="1" thickBot="1" x14ac:dyDescent="0.3">
      <c r="A67" s="251"/>
      <c r="B67" s="229"/>
      <c r="C67" s="253"/>
      <c r="D67" s="253"/>
      <c r="E67" s="253"/>
      <c r="F67" s="253"/>
      <c r="G67" s="46" t="s">
        <v>82</v>
      </c>
      <c r="H67" s="247"/>
      <c r="I67" s="247"/>
      <c r="J67" s="46">
        <v>1</v>
      </c>
      <c r="K67" s="46">
        <f t="shared" si="29"/>
        <v>3</v>
      </c>
      <c r="L67" s="173">
        <v>3</v>
      </c>
      <c r="M67" s="174">
        <v>8</v>
      </c>
      <c r="N67" s="46">
        <f>DATA!$D$8</f>
        <v>2129.23</v>
      </c>
      <c r="O67" s="46">
        <f t="shared" si="27"/>
        <v>51101.520000000004</v>
      </c>
      <c r="P67" s="46">
        <f t="shared" si="28"/>
        <v>24</v>
      </c>
    </row>
    <row r="68" spans="1:16" s="36" customFormat="1" ht="14.45" customHeight="1" outlineLevel="1" x14ac:dyDescent="0.25">
      <c r="A68" s="224" t="s">
        <v>86</v>
      </c>
      <c r="B68" s="227" t="s">
        <v>110</v>
      </c>
      <c r="C68" s="230">
        <f>SUM(,O68:O74)</f>
        <v>247912.73119999998</v>
      </c>
      <c r="D68" s="230">
        <f>SUM(,P68:P74)</f>
        <v>86.72</v>
      </c>
      <c r="E68" s="230">
        <f t="shared" si="23"/>
        <v>10.84</v>
      </c>
      <c r="F68" s="230"/>
      <c r="G68" s="46" t="s">
        <v>76</v>
      </c>
      <c r="H68" s="245"/>
      <c r="I68" s="245"/>
      <c r="J68" s="46">
        <v>1</v>
      </c>
      <c r="K68" s="46">
        <f>L68*$S$8</f>
        <v>0.42</v>
      </c>
      <c r="L68" s="173">
        <v>0.42</v>
      </c>
      <c r="M68" s="174">
        <v>8</v>
      </c>
      <c r="N68" s="46">
        <f>DATA!$D$2</f>
        <v>5009.96</v>
      </c>
      <c r="O68" s="46">
        <f t="shared" ref="O68:O74" si="30">N68*J68*K68*M68</f>
        <v>16833.4656</v>
      </c>
      <c r="P68" s="46">
        <f t="shared" ref="P68:P74" si="31">J68*K68*M68</f>
        <v>3.36</v>
      </c>
    </row>
    <row r="69" spans="1:16" s="36" customFormat="1" ht="11.45" customHeight="1" outlineLevel="1" x14ac:dyDescent="0.25">
      <c r="A69" s="250"/>
      <c r="B69" s="228"/>
      <c r="C69" s="252"/>
      <c r="D69" s="252"/>
      <c r="E69" s="252"/>
      <c r="F69" s="252"/>
      <c r="G69" s="46" t="s">
        <v>77</v>
      </c>
      <c r="H69" s="246"/>
      <c r="I69" s="246"/>
      <c r="J69" s="46">
        <v>1</v>
      </c>
      <c r="K69" s="46">
        <f t="shared" ref="K69:K74" si="32">L69*$S$8</f>
        <v>0.42</v>
      </c>
      <c r="L69" s="173">
        <v>0.42</v>
      </c>
      <c r="M69" s="174">
        <v>8</v>
      </c>
      <c r="N69" s="46">
        <f>DATA!$D$3</f>
        <v>4508.96</v>
      </c>
      <c r="O69" s="46">
        <f t="shared" si="30"/>
        <v>15150.105599999999</v>
      </c>
      <c r="P69" s="46">
        <f t="shared" si="31"/>
        <v>3.36</v>
      </c>
    </row>
    <row r="70" spans="1:16" s="36" customFormat="1" ht="10.7" customHeight="1" outlineLevel="1" x14ac:dyDescent="0.25">
      <c r="A70" s="250"/>
      <c r="B70" s="228"/>
      <c r="C70" s="252"/>
      <c r="D70" s="252"/>
      <c r="E70" s="252"/>
      <c r="F70" s="252"/>
      <c r="G70" s="46" t="s">
        <v>78</v>
      </c>
      <c r="H70" s="246"/>
      <c r="I70" s="246"/>
      <c r="J70" s="46">
        <v>1</v>
      </c>
      <c r="K70" s="46">
        <f t="shared" si="32"/>
        <v>1.5</v>
      </c>
      <c r="L70" s="173">
        <v>1.5</v>
      </c>
      <c r="M70" s="174">
        <v>8</v>
      </c>
      <c r="N70" s="46">
        <f>DATA!$D$4</f>
        <v>3757.47</v>
      </c>
      <c r="O70" s="46">
        <f t="shared" si="30"/>
        <v>45089.64</v>
      </c>
      <c r="P70" s="46">
        <f t="shared" si="31"/>
        <v>12</v>
      </c>
    </row>
    <row r="71" spans="1:16" s="36" customFormat="1" ht="10.7" customHeight="1" outlineLevel="1" x14ac:dyDescent="0.25">
      <c r="A71" s="250"/>
      <c r="B71" s="228"/>
      <c r="C71" s="252"/>
      <c r="D71" s="252"/>
      <c r="E71" s="252"/>
      <c r="F71" s="252"/>
      <c r="G71" s="46" t="s">
        <v>79</v>
      </c>
      <c r="H71" s="246"/>
      <c r="I71" s="246"/>
      <c r="J71" s="46">
        <v>1</v>
      </c>
      <c r="K71" s="46">
        <f t="shared" si="32"/>
        <v>1.5</v>
      </c>
      <c r="L71" s="173">
        <v>1.5</v>
      </c>
      <c r="M71" s="174">
        <v>8</v>
      </c>
      <c r="N71" s="46">
        <f>DATA!$D$5</f>
        <v>3381.72</v>
      </c>
      <c r="O71" s="46">
        <f t="shared" si="30"/>
        <v>40580.639999999999</v>
      </c>
      <c r="P71" s="46">
        <f t="shared" si="31"/>
        <v>12</v>
      </c>
    </row>
    <row r="72" spans="1:16" s="36" customFormat="1" ht="10.7" customHeight="1" outlineLevel="1" x14ac:dyDescent="0.25">
      <c r="A72" s="250"/>
      <c r="B72" s="228"/>
      <c r="C72" s="252"/>
      <c r="D72" s="252"/>
      <c r="E72" s="252"/>
      <c r="F72" s="252"/>
      <c r="G72" s="46" t="s">
        <v>80</v>
      </c>
      <c r="H72" s="246"/>
      <c r="I72" s="246"/>
      <c r="J72" s="46">
        <v>1</v>
      </c>
      <c r="K72" s="46">
        <f t="shared" si="32"/>
        <v>3</v>
      </c>
      <c r="L72" s="173">
        <v>3</v>
      </c>
      <c r="M72" s="174">
        <v>8</v>
      </c>
      <c r="N72" s="46">
        <f>DATA!$D$6</f>
        <v>2504.98</v>
      </c>
      <c r="O72" s="46">
        <f t="shared" si="30"/>
        <v>60119.520000000004</v>
      </c>
      <c r="P72" s="46">
        <f t="shared" si="31"/>
        <v>24</v>
      </c>
    </row>
    <row r="73" spans="1:16" s="36" customFormat="1" ht="10.7" customHeight="1" outlineLevel="1" x14ac:dyDescent="0.25">
      <c r="A73" s="250"/>
      <c r="B73" s="228"/>
      <c r="C73" s="252"/>
      <c r="D73" s="252"/>
      <c r="E73" s="252"/>
      <c r="F73" s="252"/>
      <c r="G73" s="46" t="s">
        <v>81</v>
      </c>
      <c r="H73" s="246"/>
      <c r="I73" s="246"/>
      <c r="J73" s="46">
        <v>1</v>
      </c>
      <c r="K73" s="46">
        <f t="shared" si="32"/>
        <v>2</v>
      </c>
      <c r="L73" s="173">
        <v>2</v>
      </c>
      <c r="M73" s="174">
        <v>8</v>
      </c>
      <c r="N73" s="46">
        <f>DATA!$D$7</f>
        <v>2254.48</v>
      </c>
      <c r="O73" s="46">
        <f t="shared" si="30"/>
        <v>36071.68</v>
      </c>
      <c r="P73" s="46">
        <f t="shared" si="31"/>
        <v>16</v>
      </c>
    </row>
    <row r="74" spans="1:16" s="36" customFormat="1" ht="12" customHeight="1" outlineLevel="1" thickBot="1" x14ac:dyDescent="0.3">
      <c r="A74" s="251"/>
      <c r="B74" s="229"/>
      <c r="C74" s="253"/>
      <c r="D74" s="253"/>
      <c r="E74" s="253"/>
      <c r="F74" s="253"/>
      <c r="G74" s="46" t="s">
        <v>82</v>
      </c>
      <c r="H74" s="247"/>
      <c r="I74" s="247"/>
      <c r="J74" s="46">
        <v>1</v>
      </c>
      <c r="K74" s="46">
        <f t="shared" si="32"/>
        <v>2</v>
      </c>
      <c r="L74" s="173">
        <v>2</v>
      </c>
      <c r="M74" s="174">
        <v>8</v>
      </c>
      <c r="N74" s="46">
        <f>DATA!$D$8</f>
        <v>2129.23</v>
      </c>
      <c r="O74" s="46">
        <f t="shared" si="30"/>
        <v>34067.68</v>
      </c>
      <c r="P74" s="46">
        <f t="shared" si="31"/>
        <v>16</v>
      </c>
    </row>
    <row r="75" spans="1:16" s="36" customFormat="1" ht="14.45" customHeight="1" outlineLevel="1" x14ac:dyDescent="0.25">
      <c r="A75" s="224" t="s">
        <v>87</v>
      </c>
      <c r="B75" s="227" t="s">
        <v>111</v>
      </c>
      <c r="C75" s="230">
        <f>SUM(,O75:O81)</f>
        <v>418251.29119999998</v>
      </c>
      <c r="D75" s="230">
        <f>SUM(,P75:P81)</f>
        <v>158.72</v>
      </c>
      <c r="E75" s="230">
        <f t="shared" si="23"/>
        <v>19.84</v>
      </c>
      <c r="F75" s="230"/>
      <c r="G75" s="46" t="s">
        <v>76</v>
      </c>
      <c r="H75" s="245"/>
      <c r="I75" s="245"/>
      <c r="J75" s="46">
        <v>1</v>
      </c>
      <c r="K75" s="46">
        <f>L75*$S$8</f>
        <v>0.42</v>
      </c>
      <c r="L75" s="173">
        <v>0.42</v>
      </c>
      <c r="M75" s="174">
        <v>8</v>
      </c>
      <c r="N75" s="46">
        <f>DATA!$D$2</f>
        <v>5009.96</v>
      </c>
      <c r="O75" s="46">
        <f t="shared" ref="O75:O81" si="33">N75*J75*K75*M75</f>
        <v>16833.4656</v>
      </c>
      <c r="P75" s="46">
        <f t="shared" ref="P75:P81" si="34">J75*K75*M75</f>
        <v>3.36</v>
      </c>
    </row>
    <row r="76" spans="1:16" s="36" customFormat="1" ht="11.45" customHeight="1" outlineLevel="1" x14ac:dyDescent="0.25">
      <c r="A76" s="250"/>
      <c r="B76" s="228"/>
      <c r="C76" s="252"/>
      <c r="D76" s="252"/>
      <c r="E76" s="252"/>
      <c r="F76" s="252"/>
      <c r="G76" s="46" t="s">
        <v>77</v>
      </c>
      <c r="H76" s="246"/>
      <c r="I76" s="246"/>
      <c r="J76" s="46">
        <v>1</v>
      </c>
      <c r="K76" s="46">
        <f t="shared" ref="K76:K81" si="35">L76*$S$8</f>
        <v>0.42</v>
      </c>
      <c r="L76" s="173">
        <v>0.42</v>
      </c>
      <c r="M76" s="174">
        <v>8</v>
      </c>
      <c r="N76" s="46">
        <f>DATA!$D$3</f>
        <v>4508.96</v>
      </c>
      <c r="O76" s="46">
        <f t="shared" si="33"/>
        <v>15150.105599999999</v>
      </c>
      <c r="P76" s="46">
        <f t="shared" si="34"/>
        <v>3.36</v>
      </c>
    </row>
    <row r="77" spans="1:16" s="36" customFormat="1" ht="10.7" customHeight="1" outlineLevel="1" x14ac:dyDescent="0.25">
      <c r="A77" s="250"/>
      <c r="B77" s="228"/>
      <c r="C77" s="252"/>
      <c r="D77" s="252"/>
      <c r="E77" s="252"/>
      <c r="F77" s="252"/>
      <c r="G77" s="46" t="s">
        <v>78</v>
      </c>
      <c r="H77" s="246"/>
      <c r="I77" s="246"/>
      <c r="J77" s="46">
        <v>1</v>
      </c>
      <c r="K77" s="46">
        <f t="shared" si="35"/>
        <v>1.5</v>
      </c>
      <c r="L77" s="173">
        <v>1.5</v>
      </c>
      <c r="M77" s="174">
        <v>8</v>
      </c>
      <c r="N77" s="46">
        <f>DATA!$D$4</f>
        <v>3757.47</v>
      </c>
      <c r="O77" s="46">
        <f t="shared" si="33"/>
        <v>45089.64</v>
      </c>
      <c r="P77" s="46">
        <f t="shared" si="34"/>
        <v>12</v>
      </c>
    </row>
    <row r="78" spans="1:16" s="36" customFormat="1" ht="10.7" customHeight="1" outlineLevel="1" x14ac:dyDescent="0.25">
      <c r="A78" s="250"/>
      <c r="B78" s="228"/>
      <c r="C78" s="252"/>
      <c r="D78" s="252"/>
      <c r="E78" s="252"/>
      <c r="F78" s="252"/>
      <c r="G78" s="46" t="s">
        <v>79</v>
      </c>
      <c r="H78" s="246"/>
      <c r="I78" s="246"/>
      <c r="J78" s="46">
        <v>1</v>
      </c>
      <c r="K78" s="46">
        <f t="shared" si="35"/>
        <v>1.5</v>
      </c>
      <c r="L78" s="173">
        <v>1.5</v>
      </c>
      <c r="M78" s="174">
        <v>8</v>
      </c>
      <c r="N78" s="46">
        <f>DATA!$D$5</f>
        <v>3381.72</v>
      </c>
      <c r="O78" s="46">
        <f t="shared" si="33"/>
        <v>40580.639999999999</v>
      </c>
      <c r="P78" s="46">
        <f t="shared" si="34"/>
        <v>12</v>
      </c>
    </row>
    <row r="79" spans="1:16" s="36" customFormat="1" ht="10.7" customHeight="1" outlineLevel="1" x14ac:dyDescent="0.25">
      <c r="A79" s="250"/>
      <c r="B79" s="228"/>
      <c r="C79" s="252"/>
      <c r="D79" s="252"/>
      <c r="E79" s="252"/>
      <c r="F79" s="252"/>
      <c r="G79" s="46" t="s">
        <v>80</v>
      </c>
      <c r="H79" s="246"/>
      <c r="I79" s="246"/>
      <c r="J79" s="46">
        <v>1</v>
      </c>
      <c r="K79" s="46">
        <f t="shared" si="35"/>
        <v>7</v>
      </c>
      <c r="L79" s="173">
        <v>7</v>
      </c>
      <c r="M79" s="174">
        <v>8</v>
      </c>
      <c r="N79" s="46">
        <f>DATA!$D$6</f>
        <v>2504.98</v>
      </c>
      <c r="O79" s="46">
        <f t="shared" si="33"/>
        <v>140278.88</v>
      </c>
      <c r="P79" s="46">
        <f t="shared" si="34"/>
        <v>56</v>
      </c>
    </row>
    <row r="80" spans="1:16" s="36" customFormat="1" ht="10.7" customHeight="1" outlineLevel="1" x14ac:dyDescent="0.25">
      <c r="A80" s="250"/>
      <c r="B80" s="228"/>
      <c r="C80" s="252"/>
      <c r="D80" s="252"/>
      <c r="E80" s="252"/>
      <c r="F80" s="252"/>
      <c r="G80" s="46" t="s">
        <v>81</v>
      </c>
      <c r="H80" s="246"/>
      <c r="I80" s="246"/>
      <c r="J80" s="46">
        <v>1</v>
      </c>
      <c r="K80" s="46">
        <f t="shared" si="35"/>
        <v>7</v>
      </c>
      <c r="L80" s="173">
        <v>7</v>
      </c>
      <c r="M80" s="174">
        <v>8</v>
      </c>
      <c r="N80" s="46">
        <f>DATA!$D$7</f>
        <v>2254.48</v>
      </c>
      <c r="O80" s="46">
        <f t="shared" si="33"/>
        <v>126250.88</v>
      </c>
      <c r="P80" s="46">
        <f t="shared" si="34"/>
        <v>56</v>
      </c>
    </row>
    <row r="81" spans="1:16" s="36" customFormat="1" ht="12" customHeight="1" outlineLevel="1" thickBot="1" x14ac:dyDescent="0.3">
      <c r="A81" s="250"/>
      <c r="B81" s="228"/>
      <c r="C81" s="253"/>
      <c r="D81" s="253"/>
      <c r="E81" s="253"/>
      <c r="F81" s="253"/>
      <c r="G81" s="46" t="s">
        <v>82</v>
      </c>
      <c r="H81" s="247"/>
      <c r="I81" s="247"/>
      <c r="J81" s="46">
        <v>1</v>
      </c>
      <c r="K81" s="46">
        <f t="shared" si="35"/>
        <v>2</v>
      </c>
      <c r="L81" s="173">
        <v>2</v>
      </c>
      <c r="M81" s="174">
        <v>8</v>
      </c>
      <c r="N81" s="46">
        <f>DATA!$D$8</f>
        <v>2129.23</v>
      </c>
      <c r="O81" s="46">
        <f t="shared" si="33"/>
        <v>34067.68</v>
      </c>
      <c r="P81" s="46">
        <f t="shared" si="34"/>
        <v>16</v>
      </c>
    </row>
    <row r="82" spans="1:16" s="36" customFormat="1" ht="45.75" outlineLevel="1" thickBot="1" x14ac:dyDescent="0.3">
      <c r="A82" s="185" t="s">
        <v>100</v>
      </c>
      <c r="B82" s="186" t="s">
        <v>112</v>
      </c>
      <c r="C82" s="197">
        <f>SUM(,C83:C131)</f>
        <v>2003922.8783999998</v>
      </c>
      <c r="D82" s="197">
        <f>SUM(,D83:D131)</f>
        <v>719.04000000000008</v>
      </c>
      <c r="E82" s="197">
        <f>SUBTOTAL(9,E83:E131)</f>
        <v>89.88000000000001</v>
      </c>
      <c r="F82" s="53"/>
      <c r="G82" s="53"/>
      <c r="H82" s="53"/>
      <c r="I82" s="53"/>
      <c r="J82" s="53"/>
      <c r="K82" s="53"/>
      <c r="L82" s="180"/>
      <c r="M82" s="53"/>
      <c r="N82" s="53"/>
      <c r="O82" s="53"/>
      <c r="P82" s="46"/>
    </row>
    <row r="83" spans="1:16" s="36" customFormat="1" ht="14.45" customHeight="1" outlineLevel="1" x14ac:dyDescent="0.25">
      <c r="A83" s="250" t="s">
        <v>139</v>
      </c>
      <c r="B83" s="228" t="s">
        <v>458</v>
      </c>
      <c r="C83" s="230">
        <f>SUM(,O83:O89)</f>
        <v>382179.61119999998</v>
      </c>
      <c r="D83" s="230">
        <f>SUM(,P83:P89)</f>
        <v>142.72</v>
      </c>
      <c r="E83" s="230">
        <f t="shared" ref="E83:E146" si="36">D83/8</f>
        <v>17.84</v>
      </c>
      <c r="F83" s="230"/>
      <c r="G83" s="46" t="s">
        <v>76</v>
      </c>
      <c r="H83" s="235"/>
      <c r="I83" s="235"/>
      <c r="J83" s="46">
        <v>1</v>
      </c>
      <c r="K83" s="46">
        <f>L83*$S$8</f>
        <v>0.42</v>
      </c>
      <c r="L83" s="173">
        <v>0.42</v>
      </c>
      <c r="M83" s="174">
        <v>8</v>
      </c>
      <c r="N83" s="46">
        <f>DATA!$D$2</f>
        <v>5009.96</v>
      </c>
      <c r="O83" s="46">
        <f t="shared" ref="O83:O89" si="37">N83*J83*K83*M83</f>
        <v>16833.4656</v>
      </c>
      <c r="P83" s="46">
        <f t="shared" ref="P83:P89" si="38">J83*K83*M83</f>
        <v>3.36</v>
      </c>
    </row>
    <row r="84" spans="1:16" s="36" customFormat="1" ht="11.45" customHeight="1" outlineLevel="1" x14ac:dyDescent="0.25">
      <c r="A84" s="250"/>
      <c r="B84" s="228"/>
      <c r="C84" s="252"/>
      <c r="D84" s="252"/>
      <c r="E84" s="252"/>
      <c r="F84" s="252"/>
      <c r="G84" s="46" t="s">
        <v>77</v>
      </c>
      <c r="H84" s="246"/>
      <c r="I84" s="246"/>
      <c r="J84" s="46">
        <v>1</v>
      </c>
      <c r="K84" s="46">
        <f t="shared" ref="K84:K89" si="39">L84*$S$8</f>
        <v>0.42</v>
      </c>
      <c r="L84" s="173">
        <v>0.42</v>
      </c>
      <c r="M84" s="174">
        <v>8</v>
      </c>
      <c r="N84" s="46">
        <f>DATA!$D$3</f>
        <v>4508.96</v>
      </c>
      <c r="O84" s="46">
        <f t="shared" si="37"/>
        <v>15150.105599999999</v>
      </c>
      <c r="P84" s="46">
        <f t="shared" si="38"/>
        <v>3.36</v>
      </c>
    </row>
    <row r="85" spans="1:16" s="36" customFormat="1" ht="10.7" customHeight="1" outlineLevel="1" x14ac:dyDescent="0.25">
      <c r="A85" s="250"/>
      <c r="B85" s="228"/>
      <c r="C85" s="252"/>
      <c r="D85" s="252"/>
      <c r="E85" s="252"/>
      <c r="F85" s="252"/>
      <c r="G85" s="46" t="s">
        <v>78</v>
      </c>
      <c r="H85" s="246"/>
      <c r="I85" s="246"/>
      <c r="J85" s="46">
        <v>1</v>
      </c>
      <c r="K85" s="46">
        <f t="shared" si="39"/>
        <v>1.5</v>
      </c>
      <c r="L85" s="173">
        <v>1.5</v>
      </c>
      <c r="M85" s="174">
        <v>8</v>
      </c>
      <c r="N85" s="46">
        <f>DATA!$D$4</f>
        <v>3757.47</v>
      </c>
      <c r="O85" s="46">
        <f t="shared" si="37"/>
        <v>45089.64</v>
      </c>
      <c r="P85" s="46">
        <f t="shared" si="38"/>
        <v>12</v>
      </c>
    </row>
    <row r="86" spans="1:16" s="36" customFormat="1" ht="10.7" customHeight="1" outlineLevel="1" x14ac:dyDescent="0.25">
      <c r="A86" s="250"/>
      <c r="B86" s="228"/>
      <c r="C86" s="252"/>
      <c r="D86" s="252"/>
      <c r="E86" s="252"/>
      <c r="F86" s="252"/>
      <c r="G86" s="46" t="s">
        <v>79</v>
      </c>
      <c r="H86" s="246"/>
      <c r="I86" s="246"/>
      <c r="J86" s="46">
        <v>1</v>
      </c>
      <c r="K86" s="46">
        <f t="shared" si="39"/>
        <v>1.5</v>
      </c>
      <c r="L86" s="173">
        <v>1.5</v>
      </c>
      <c r="M86" s="174">
        <v>8</v>
      </c>
      <c r="N86" s="46">
        <f>DATA!$D$5</f>
        <v>3381.72</v>
      </c>
      <c r="O86" s="46">
        <f t="shared" si="37"/>
        <v>40580.639999999999</v>
      </c>
      <c r="P86" s="46">
        <f t="shared" si="38"/>
        <v>12</v>
      </c>
    </row>
    <row r="87" spans="1:16" s="36" customFormat="1" ht="10.7" customHeight="1" outlineLevel="1" x14ac:dyDescent="0.25">
      <c r="A87" s="250"/>
      <c r="B87" s="228"/>
      <c r="C87" s="252"/>
      <c r="D87" s="252"/>
      <c r="E87" s="252"/>
      <c r="F87" s="252"/>
      <c r="G87" s="46" t="s">
        <v>80</v>
      </c>
      <c r="H87" s="246"/>
      <c r="I87" s="246"/>
      <c r="J87" s="46">
        <v>1</v>
      </c>
      <c r="K87" s="46">
        <f t="shared" si="39"/>
        <v>7</v>
      </c>
      <c r="L87" s="173">
        <v>7</v>
      </c>
      <c r="M87" s="174">
        <v>8</v>
      </c>
      <c r="N87" s="46">
        <f>DATA!$D$6</f>
        <v>2504.98</v>
      </c>
      <c r="O87" s="46">
        <f t="shared" si="37"/>
        <v>140278.88</v>
      </c>
      <c r="P87" s="46">
        <f t="shared" si="38"/>
        <v>56</v>
      </c>
    </row>
    <row r="88" spans="1:16" s="36" customFormat="1" ht="10.7" customHeight="1" outlineLevel="1" x14ac:dyDescent="0.25">
      <c r="A88" s="250"/>
      <c r="B88" s="228"/>
      <c r="C88" s="252"/>
      <c r="D88" s="252"/>
      <c r="E88" s="252"/>
      <c r="F88" s="252"/>
      <c r="G88" s="46" t="s">
        <v>81</v>
      </c>
      <c r="H88" s="246"/>
      <c r="I88" s="246"/>
      <c r="J88" s="46">
        <v>1</v>
      </c>
      <c r="K88" s="46">
        <f t="shared" si="39"/>
        <v>5</v>
      </c>
      <c r="L88" s="173">
        <v>5</v>
      </c>
      <c r="M88" s="174">
        <v>8</v>
      </c>
      <c r="N88" s="46">
        <f>DATA!$D$7</f>
        <v>2254.48</v>
      </c>
      <c r="O88" s="46">
        <f t="shared" si="37"/>
        <v>90179.199999999997</v>
      </c>
      <c r="P88" s="46">
        <f t="shared" si="38"/>
        <v>40</v>
      </c>
    </row>
    <row r="89" spans="1:16" s="36" customFormat="1" ht="12" customHeight="1" outlineLevel="1" thickBot="1" x14ac:dyDescent="0.3">
      <c r="A89" s="251"/>
      <c r="B89" s="229"/>
      <c r="C89" s="253"/>
      <c r="D89" s="253"/>
      <c r="E89" s="253"/>
      <c r="F89" s="253"/>
      <c r="G89" s="46" t="s">
        <v>82</v>
      </c>
      <c r="H89" s="247"/>
      <c r="I89" s="247"/>
      <c r="J89" s="46">
        <v>1</v>
      </c>
      <c r="K89" s="46">
        <f t="shared" si="39"/>
        <v>2</v>
      </c>
      <c r="L89" s="173">
        <v>2</v>
      </c>
      <c r="M89" s="174">
        <v>8</v>
      </c>
      <c r="N89" s="46">
        <f>DATA!$D$8</f>
        <v>2129.23</v>
      </c>
      <c r="O89" s="46">
        <f t="shared" si="37"/>
        <v>34067.68</v>
      </c>
      <c r="P89" s="46">
        <f t="shared" si="38"/>
        <v>16</v>
      </c>
    </row>
    <row r="90" spans="1:16" s="36" customFormat="1" ht="14.45" customHeight="1" outlineLevel="1" x14ac:dyDescent="0.25">
      <c r="A90" s="224" t="s">
        <v>140</v>
      </c>
      <c r="B90" s="227" t="s">
        <v>459</v>
      </c>
      <c r="C90" s="230">
        <f>SUM(,O90:O96)</f>
        <v>137693.6912</v>
      </c>
      <c r="D90" s="230">
        <f>SUM(,P90:P96)</f>
        <v>38.72</v>
      </c>
      <c r="E90" s="230">
        <f t="shared" si="36"/>
        <v>4.84</v>
      </c>
      <c r="F90" s="230"/>
      <c r="G90" s="46" t="s">
        <v>76</v>
      </c>
      <c r="H90" s="245"/>
      <c r="I90" s="245"/>
      <c r="J90" s="46">
        <v>1</v>
      </c>
      <c r="K90" s="46">
        <f>L90*$S$8</f>
        <v>0.42</v>
      </c>
      <c r="L90" s="173">
        <v>0.42</v>
      </c>
      <c r="M90" s="174">
        <v>8</v>
      </c>
      <c r="N90" s="46">
        <f>DATA!$D$2</f>
        <v>5009.96</v>
      </c>
      <c r="O90" s="46">
        <f t="shared" ref="O90:O96" si="40">N90*J90*K90*M90</f>
        <v>16833.4656</v>
      </c>
      <c r="P90" s="46">
        <f t="shared" ref="P90:P96" si="41">J90*K90*M90</f>
        <v>3.36</v>
      </c>
    </row>
    <row r="91" spans="1:16" s="36" customFormat="1" ht="11.45" customHeight="1" outlineLevel="1" x14ac:dyDescent="0.25">
      <c r="A91" s="250"/>
      <c r="B91" s="228"/>
      <c r="C91" s="252"/>
      <c r="D91" s="252"/>
      <c r="E91" s="252"/>
      <c r="F91" s="252"/>
      <c r="G91" s="46" t="s">
        <v>77</v>
      </c>
      <c r="H91" s="246"/>
      <c r="I91" s="246"/>
      <c r="J91" s="46">
        <v>1</v>
      </c>
      <c r="K91" s="46">
        <f t="shared" ref="K91:K96" si="42">L91*$S$8</f>
        <v>0.42</v>
      </c>
      <c r="L91" s="173">
        <v>0.42</v>
      </c>
      <c r="M91" s="174">
        <v>8</v>
      </c>
      <c r="N91" s="46">
        <f>DATA!$D$3</f>
        <v>4508.96</v>
      </c>
      <c r="O91" s="46">
        <f t="shared" si="40"/>
        <v>15150.105599999999</v>
      </c>
      <c r="P91" s="46">
        <f t="shared" si="41"/>
        <v>3.36</v>
      </c>
    </row>
    <row r="92" spans="1:16" s="36" customFormat="1" ht="10.7" customHeight="1" outlineLevel="1" x14ac:dyDescent="0.25">
      <c r="A92" s="250"/>
      <c r="B92" s="228"/>
      <c r="C92" s="252"/>
      <c r="D92" s="252"/>
      <c r="E92" s="252"/>
      <c r="F92" s="252"/>
      <c r="G92" s="46" t="s">
        <v>78</v>
      </c>
      <c r="H92" s="246"/>
      <c r="I92" s="246"/>
      <c r="J92" s="46">
        <v>1</v>
      </c>
      <c r="K92" s="46">
        <f t="shared" si="42"/>
        <v>1.5</v>
      </c>
      <c r="L92" s="173">
        <v>1.5</v>
      </c>
      <c r="M92" s="174">
        <v>8</v>
      </c>
      <c r="N92" s="46">
        <f>DATA!$D$4</f>
        <v>3757.47</v>
      </c>
      <c r="O92" s="46">
        <f t="shared" si="40"/>
        <v>45089.64</v>
      </c>
      <c r="P92" s="46">
        <f t="shared" si="41"/>
        <v>12</v>
      </c>
    </row>
    <row r="93" spans="1:16" s="36" customFormat="1" ht="10.7" customHeight="1" outlineLevel="1" x14ac:dyDescent="0.25">
      <c r="A93" s="250"/>
      <c r="B93" s="228"/>
      <c r="C93" s="252"/>
      <c r="D93" s="252"/>
      <c r="E93" s="252"/>
      <c r="F93" s="252"/>
      <c r="G93" s="46" t="s">
        <v>79</v>
      </c>
      <c r="H93" s="246"/>
      <c r="I93" s="246"/>
      <c r="J93" s="46">
        <v>1</v>
      </c>
      <c r="K93" s="46">
        <f t="shared" si="42"/>
        <v>1.5</v>
      </c>
      <c r="L93" s="173">
        <v>1.5</v>
      </c>
      <c r="M93" s="174">
        <v>8</v>
      </c>
      <c r="N93" s="46">
        <f>DATA!$D$5</f>
        <v>3381.72</v>
      </c>
      <c r="O93" s="46">
        <f t="shared" si="40"/>
        <v>40580.639999999999</v>
      </c>
      <c r="P93" s="46">
        <f t="shared" si="41"/>
        <v>12</v>
      </c>
    </row>
    <row r="94" spans="1:16" s="36" customFormat="1" ht="10.7" customHeight="1" outlineLevel="1" x14ac:dyDescent="0.25">
      <c r="A94" s="250"/>
      <c r="B94" s="228"/>
      <c r="C94" s="252"/>
      <c r="D94" s="252"/>
      <c r="E94" s="252"/>
      <c r="F94" s="252"/>
      <c r="G94" s="46" t="s">
        <v>80</v>
      </c>
      <c r="H94" s="246"/>
      <c r="I94" s="246"/>
      <c r="J94" s="46">
        <v>1</v>
      </c>
      <c r="K94" s="46">
        <f t="shared" si="42"/>
        <v>1</v>
      </c>
      <c r="L94" s="173">
        <v>1</v>
      </c>
      <c r="M94" s="174">
        <v>8</v>
      </c>
      <c r="N94" s="46">
        <f>DATA!$D$6</f>
        <v>2504.98</v>
      </c>
      <c r="O94" s="46">
        <f t="shared" si="40"/>
        <v>20039.84</v>
      </c>
      <c r="P94" s="46">
        <f t="shared" si="41"/>
        <v>8</v>
      </c>
    </row>
    <row r="95" spans="1:16" s="36" customFormat="1" ht="10.7" customHeight="1" outlineLevel="1" x14ac:dyDescent="0.25">
      <c r="A95" s="250"/>
      <c r="B95" s="228"/>
      <c r="C95" s="252"/>
      <c r="D95" s="252"/>
      <c r="E95" s="252"/>
      <c r="F95" s="252"/>
      <c r="G95" s="46" t="s">
        <v>81</v>
      </c>
      <c r="H95" s="246"/>
      <c r="I95" s="246"/>
      <c r="J95" s="46">
        <v>1</v>
      </c>
      <c r="K95" s="46">
        <f t="shared" si="42"/>
        <v>0</v>
      </c>
      <c r="L95" s="173">
        <v>0</v>
      </c>
      <c r="M95" s="174">
        <v>8</v>
      </c>
      <c r="N95" s="46">
        <f>DATA!$D$7</f>
        <v>2254.48</v>
      </c>
      <c r="O95" s="46">
        <f t="shared" si="40"/>
        <v>0</v>
      </c>
      <c r="P95" s="46">
        <f t="shared" si="41"/>
        <v>0</v>
      </c>
    </row>
    <row r="96" spans="1:16" s="36" customFormat="1" ht="12" customHeight="1" outlineLevel="1" thickBot="1" x14ac:dyDescent="0.3">
      <c r="A96" s="251"/>
      <c r="B96" s="229"/>
      <c r="C96" s="253"/>
      <c r="D96" s="253"/>
      <c r="E96" s="253"/>
      <c r="F96" s="253"/>
      <c r="G96" s="46" t="s">
        <v>82</v>
      </c>
      <c r="H96" s="247"/>
      <c r="I96" s="247"/>
      <c r="J96" s="46">
        <v>1</v>
      </c>
      <c r="K96" s="46">
        <f t="shared" si="42"/>
        <v>0</v>
      </c>
      <c r="L96" s="173">
        <v>0</v>
      </c>
      <c r="M96" s="174">
        <v>8</v>
      </c>
      <c r="N96" s="46">
        <f>DATA!$D$8</f>
        <v>2129.23</v>
      </c>
      <c r="O96" s="46">
        <f t="shared" si="40"/>
        <v>0</v>
      </c>
      <c r="P96" s="46">
        <f t="shared" si="41"/>
        <v>0</v>
      </c>
    </row>
    <row r="97" spans="1:16" s="36" customFormat="1" ht="14.45" customHeight="1" outlineLevel="1" x14ac:dyDescent="0.25">
      <c r="A97" s="224" t="s">
        <v>141</v>
      </c>
      <c r="B97" s="227" t="s">
        <v>460</v>
      </c>
      <c r="C97" s="230">
        <f>SUM(,O97:O103)</f>
        <v>137693.6912</v>
      </c>
      <c r="D97" s="230">
        <f>SUM(,P97:P103)</f>
        <v>38.72</v>
      </c>
      <c r="E97" s="230">
        <f t="shared" si="36"/>
        <v>4.84</v>
      </c>
      <c r="F97" s="230"/>
      <c r="G97" s="46" t="s">
        <v>76</v>
      </c>
      <c r="H97" s="245"/>
      <c r="I97" s="245"/>
      <c r="J97" s="46">
        <v>1</v>
      </c>
      <c r="K97" s="46">
        <f>L97*$S$8</f>
        <v>0.42</v>
      </c>
      <c r="L97" s="173">
        <v>0.42</v>
      </c>
      <c r="M97" s="174">
        <v>8</v>
      </c>
      <c r="N97" s="46">
        <f>DATA!$D$2</f>
        <v>5009.96</v>
      </c>
      <c r="O97" s="46">
        <f t="shared" ref="O97:O110" si="43">N97*J97*K97*M97</f>
        <v>16833.4656</v>
      </c>
      <c r="P97" s="46">
        <f t="shared" ref="P97:P110" si="44">J97*K97*M97</f>
        <v>3.36</v>
      </c>
    </row>
    <row r="98" spans="1:16" s="36" customFormat="1" ht="11.45" customHeight="1" outlineLevel="1" x14ac:dyDescent="0.25">
      <c r="A98" s="250"/>
      <c r="B98" s="228"/>
      <c r="C98" s="252"/>
      <c r="D98" s="252"/>
      <c r="E98" s="252"/>
      <c r="F98" s="252"/>
      <c r="G98" s="46" t="s">
        <v>77</v>
      </c>
      <c r="H98" s="246"/>
      <c r="I98" s="246"/>
      <c r="J98" s="46">
        <v>1</v>
      </c>
      <c r="K98" s="46">
        <f t="shared" ref="K98:K103" si="45">L98*$S$8</f>
        <v>0.42</v>
      </c>
      <c r="L98" s="173">
        <v>0.42</v>
      </c>
      <c r="M98" s="174">
        <v>8</v>
      </c>
      <c r="N98" s="46">
        <f>DATA!$D$3</f>
        <v>4508.96</v>
      </c>
      <c r="O98" s="46">
        <f t="shared" si="43"/>
        <v>15150.105599999999</v>
      </c>
      <c r="P98" s="46">
        <f t="shared" si="44"/>
        <v>3.36</v>
      </c>
    </row>
    <row r="99" spans="1:16" s="36" customFormat="1" ht="10.7" customHeight="1" outlineLevel="1" x14ac:dyDescent="0.25">
      <c r="A99" s="250"/>
      <c r="B99" s="228"/>
      <c r="C99" s="252"/>
      <c r="D99" s="252"/>
      <c r="E99" s="252"/>
      <c r="F99" s="252"/>
      <c r="G99" s="46" t="s">
        <v>78</v>
      </c>
      <c r="H99" s="246"/>
      <c r="I99" s="246"/>
      <c r="J99" s="46">
        <v>1</v>
      </c>
      <c r="K99" s="46">
        <f t="shared" si="45"/>
        <v>1.5</v>
      </c>
      <c r="L99" s="173">
        <v>1.5</v>
      </c>
      <c r="M99" s="174">
        <v>8</v>
      </c>
      <c r="N99" s="46">
        <f>DATA!$D$4</f>
        <v>3757.47</v>
      </c>
      <c r="O99" s="46">
        <f t="shared" si="43"/>
        <v>45089.64</v>
      </c>
      <c r="P99" s="46">
        <f t="shared" si="44"/>
        <v>12</v>
      </c>
    </row>
    <row r="100" spans="1:16" s="36" customFormat="1" ht="10.7" customHeight="1" outlineLevel="1" x14ac:dyDescent="0.25">
      <c r="A100" s="250"/>
      <c r="B100" s="228"/>
      <c r="C100" s="252"/>
      <c r="D100" s="252"/>
      <c r="E100" s="252"/>
      <c r="F100" s="252"/>
      <c r="G100" s="46" t="s">
        <v>79</v>
      </c>
      <c r="H100" s="246"/>
      <c r="I100" s="246"/>
      <c r="J100" s="46">
        <v>1</v>
      </c>
      <c r="K100" s="46">
        <f t="shared" si="45"/>
        <v>1.5</v>
      </c>
      <c r="L100" s="173">
        <v>1.5</v>
      </c>
      <c r="M100" s="174">
        <v>8</v>
      </c>
      <c r="N100" s="46">
        <f>DATA!$D$5</f>
        <v>3381.72</v>
      </c>
      <c r="O100" s="46">
        <f t="shared" si="43"/>
        <v>40580.639999999999</v>
      </c>
      <c r="P100" s="46">
        <f t="shared" si="44"/>
        <v>12</v>
      </c>
    </row>
    <row r="101" spans="1:16" s="36" customFormat="1" ht="10.7" customHeight="1" outlineLevel="1" x14ac:dyDescent="0.25">
      <c r="A101" s="250"/>
      <c r="B101" s="228"/>
      <c r="C101" s="252"/>
      <c r="D101" s="252"/>
      <c r="E101" s="252"/>
      <c r="F101" s="252"/>
      <c r="G101" s="46" t="s">
        <v>80</v>
      </c>
      <c r="H101" s="246"/>
      <c r="I101" s="246"/>
      <c r="J101" s="46">
        <v>1</v>
      </c>
      <c r="K101" s="46">
        <f t="shared" si="45"/>
        <v>1</v>
      </c>
      <c r="L101" s="173">
        <v>1</v>
      </c>
      <c r="M101" s="174">
        <v>8</v>
      </c>
      <c r="N101" s="46">
        <f>DATA!$D$6</f>
        <v>2504.98</v>
      </c>
      <c r="O101" s="46">
        <f t="shared" si="43"/>
        <v>20039.84</v>
      </c>
      <c r="P101" s="46">
        <f t="shared" si="44"/>
        <v>8</v>
      </c>
    </row>
    <row r="102" spans="1:16" s="36" customFormat="1" ht="10.7" customHeight="1" outlineLevel="1" x14ac:dyDescent="0.25">
      <c r="A102" s="250"/>
      <c r="B102" s="228"/>
      <c r="C102" s="252"/>
      <c r="D102" s="252"/>
      <c r="E102" s="252"/>
      <c r="F102" s="252"/>
      <c r="G102" s="46" t="s">
        <v>81</v>
      </c>
      <c r="H102" s="246"/>
      <c r="I102" s="246"/>
      <c r="J102" s="46">
        <v>1</v>
      </c>
      <c r="K102" s="46">
        <f t="shared" si="45"/>
        <v>0</v>
      </c>
      <c r="L102" s="173">
        <v>0</v>
      </c>
      <c r="M102" s="174">
        <v>8</v>
      </c>
      <c r="N102" s="46">
        <f>DATA!$D$7</f>
        <v>2254.48</v>
      </c>
      <c r="O102" s="46">
        <f t="shared" si="43"/>
        <v>0</v>
      </c>
      <c r="P102" s="46">
        <f t="shared" si="44"/>
        <v>0</v>
      </c>
    </row>
    <row r="103" spans="1:16" s="36" customFormat="1" ht="12" customHeight="1" outlineLevel="1" thickBot="1" x14ac:dyDescent="0.3">
      <c r="A103" s="251"/>
      <c r="B103" s="229"/>
      <c r="C103" s="253"/>
      <c r="D103" s="253"/>
      <c r="E103" s="253"/>
      <c r="F103" s="253"/>
      <c r="G103" s="46" t="s">
        <v>82</v>
      </c>
      <c r="H103" s="247"/>
      <c r="I103" s="247"/>
      <c r="J103" s="46">
        <v>1</v>
      </c>
      <c r="K103" s="46">
        <f t="shared" si="45"/>
        <v>0</v>
      </c>
      <c r="L103" s="173">
        <v>0</v>
      </c>
      <c r="M103" s="174">
        <v>8</v>
      </c>
      <c r="N103" s="46">
        <f>DATA!$D$8</f>
        <v>2129.23</v>
      </c>
      <c r="O103" s="46">
        <f t="shared" si="43"/>
        <v>0</v>
      </c>
      <c r="P103" s="46">
        <f t="shared" si="44"/>
        <v>0</v>
      </c>
    </row>
    <row r="104" spans="1:16" s="36" customFormat="1" ht="14.45" customHeight="1" outlineLevel="1" x14ac:dyDescent="0.25">
      <c r="A104" s="224" t="s">
        <v>142</v>
      </c>
      <c r="B104" s="227" t="s">
        <v>461</v>
      </c>
      <c r="C104" s="230">
        <f>SUM(,O104:O110)</f>
        <v>177773.37119999999</v>
      </c>
      <c r="D104" s="230">
        <f>SUM(,P104:P110)</f>
        <v>54.72</v>
      </c>
      <c r="E104" s="230">
        <f t="shared" si="36"/>
        <v>6.84</v>
      </c>
      <c r="F104" s="230"/>
      <c r="G104" s="46" t="s">
        <v>76</v>
      </c>
      <c r="H104" s="245"/>
      <c r="I104" s="245"/>
      <c r="J104" s="46">
        <v>1</v>
      </c>
      <c r="K104" s="46">
        <f>L104*$S$8</f>
        <v>0.42</v>
      </c>
      <c r="L104" s="173">
        <v>0.42</v>
      </c>
      <c r="M104" s="174">
        <v>8</v>
      </c>
      <c r="N104" s="46">
        <f>DATA!$D$2</f>
        <v>5009.96</v>
      </c>
      <c r="O104" s="46">
        <f t="shared" si="43"/>
        <v>16833.4656</v>
      </c>
      <c r="P104" s="46">
        <f t="shared" si="44"/>
        <v>3.36</v>
      </c>
    </row>
    <row r="105" spans="1:16" s="36" customFormat="1" ht="11.45" customHeight="1" outlineLevel="1" x14ac:dyDescent="0.25">
      <c r="A105" s="250"/>
      <c r="B105" s="228"/>
      <c r="C105" s="252"/>
      <c r="D105" s="252"/>
      <c r="E105" s="252"/>
      <c r="F105" s="252"/>
      <c r="G105" s="46" t="s">
        <v>77</v>
      </c>
      <c r="H105" s="246"/>
      <c r="I105" s="246"/>
      <c r="J105" s="46">
        <v>1</v>
      </c>
      <c r="K105" s="46">
        <f t="shared" ref="K105:K110" si="46">L105*$S$8</f>
        <v>0.42</v>
      </c>
      <c r="L105" s="173">
        <v>0.42</v>
      </c>
      <c r="M105" s="174">
        <v>8</v>
      </c>
      <c r="N105" s="46">
        <f>DATA!$D$3</f>
        <v>4508.96</v>
      </c>
      <c r="O105" s="46">
        <f t="shared" si="43"/>
        <v>15150.105599999999</v>
      </c>
      <c r="P105" s="46">
        <f t="shared" si="44"/>
        <v>3.36</v>
      </c>
    </row>
    <row r="106" spans="1:16" s="36" customFormat="1" ht="10.7" customHeight="1" outlineLevel="1" x14ac:dyDescent="0.25">
      <c r="A106" s="250"/>
      <c r="B106" s="228"/>
      <c r="C106" s="252"/>
      <c r="D106" s="252"/>
      <c r="E106" s="252"/>
      <c r="F106" s="252"/>
      <c r="G106" s="46" t="s">
        <v>78</v>
      </c>
      <c r="H106" s="246"/>
      <c r="I106" s="246"/>
      <c r="J106" s="46">
        <v>1</v>
      </c>
      <c r="K106" s="46">
        <f t="shared" si="46"/>
        <v>1.5</v>
      </c>
      <c r="L106" s="173">
        <v>1.5</v>
      </c>
      <c r="M106" s="174">
        <v>8</v>
      </c>
      <c r="N106" s="46">
        <f>DATA!$D$4</f>
        <v>3757.47</v>
      </c>
      <c r="O106" s="46">
        <f t="shared" si="43"/>
        <v>45089.64</v>
      </c>
      <c r="P106" s="46">
        <f t="shared" si="44"/>
        <v>12</v>
      </c>
    </row>
    <row r="107" spans="1:16" s="36" customFormat="1" ht="10.7" customHeight="1" outlineLevel="1" x14ac:dyDescent="0.25">
      <c r="A107" s="250"/>
      <c r="B107" s="228"/>
      <c r="C107" s="252"/>
      <c r="D107" s="252"/>
      <c r="E107" s="252"/>
      <c r="F107" s="252"/>
      <c r="G107" s="46" t="s">
        <v>79</v>
      </c>
      <c r="H107" s="246"/>
      <c r="I107" s="246"/>
      <c r="J107" s="46">
        <v>1</v>
      </c>
      <c r="K107" s="46">
        <f t="shared" si="46"/>
        <v>1.5</v>
      </c>
      <c r="L107" s="173">
        <v>1.5</v>
      </c>
      <c r="M107" s="174">
        <v>8</v>
      </c>
      <c r="N107" s="46">
        <f>DATA!$D$5</f>
        <v>3381.72</v>
      </c>
      <c r="O107" s="46">
        <f t="shared" si="43"/>
        <v>40580.639999999999</v>
      </c>
      <c r="P107" s="46">
        <f t="shared" si="44"/>
        <v>12</v>
      </c>
    </row>
    <row r="108" spans="1:16" s="36" customFormat="1" ht="10.7" customHeight="1" outlineLevel="1" x14ac:dyDescent="0.25">
      <c r="A108" s="250"/>
      <c r="B108" s="228"/>
      <c r="C108" s="252"/>
      <c r="D108" s="252"/>
      <c r="E108" s="252"/>
      <c r="F108" s="252"/>
      <c r="G108" s="46" t="s">
        <v>80</v>
      </c>
      <c r="H108" s="246"/>
      <c r="I108" s="246"/>
      <c r="J108" s="46">
        <v>1</v>
      </c>
      <c r="K108" s="46">
        <f t="shared" si="46"/>
        <v>3</v>
      </c>
      <c r="L108" s="173">
        <v>3</v>
      </c>
      <c r="M108" s="174">
        <v>8</v>
      </c>
      <c r="N108" s="46">
        <f>DATA!$D$6</f>
        <v>2504.98</v>
      </c>
      <c r="O108" s="46">
        <f t="shared" si="43"/>
        <v>60119.520000000004</v>
      </c>
      <c r="P108" s="46">
        <f t="shared" si="44"/>
        <v>24</v>
      </c>
    </row>
    <row r="109" spans="1:16" s="36" customFormat="1" ht="10.7" customHeight="1" outlineLevel="1" x14ac:dyDescent="0.25">
      <c r="A109" s="250"/>
      <c r="B109" s="228"/>
      <c r="C109" s="252"/>
      <c r="D109" s="252"/>
      <c r="E109" s="252"/>
      <c r="F109" s="252"/>
      <c r="G109" s="46" t="s">
        <v>81</v>
      </c>
      <c r="H109" s="246"/>
      <c r="I109" s="246"/>
      <c r="J109" s="46">
        <v>1</v>
      </c>
      <c r="K109" s="46">
        <f t="shared" si="46"/>
        <v>0</v>
      </c>
      <c r="L109" s="173">
        <v>0</v>
      </c>
      <c r="M109" s="174">
        <v>8</v>
      </c>
      <c r="N109" s="46">
        <f>DATA!$D$7</f>
        <v>2254.48</v>
      </c>
      <c r="O109" s="46">
        <f t="shared" si="43"/>
        <v>0</v>
      </c>
      <c r="P109" s="46">
        <f t="shared" si="44"/>
        <v>0</v>
      </c>
    </row>
    <row r="110" spans="1:16" s="36" customFormat="1" ht="12" customHeight="1" outlineLevel="1" thickBot="1" x14ac:dyDescent="0.3">
      <c r="A110" s="251"/>
      <c r="B110" s="229"/>
      <c r="C110" s="253"/>
      <c r="D110" s="253"/>
      <c r="E110" s="253"/>
      <c r="F110" s="253"/>
      <c r="G110" s="46" t="s">
        <v>82</v>
      </c>
      <c r="H110" s="247"/>
      <c r="I110" s="247"/>
      <c r="J110" s="46">
        <v>1</v>
      </c>
      <c r="K110" s="46">
        <f t="shared" si="46"/>
        <v>0</v>
      </c>
      <c r="L110" s="173">
        <v>0</v>
      </c>
      <c r="M110" s="174">
        <v>8</v>
      </c>
      <c r="N110" s="46">
        <f>DATA!$D$8</f>
        <v>2129.23</v>
      </c>
      <c r="O110" s="46">
        <f t="shared" si="43"/>
        <v>0</v>
      </c>
      <c r="P110" s="46">
        <f t="shared" si="44"/>
        <v>0</v>
      </c>
    </row>
    <row r="111" spans="1:16" s="36" customFormat="1" ht="14.45" customHeight="1" outlineLevel="1" x14ac:dyDescent="0.25">
      <c r="A111" s="224" t="s">
        <v>143</v>
      </c>
      <c r="B111" s="227" t="s">
        <v>462</v>
      </c>
      <c r="C111" s="230">
        <f>SUM(,O111:O117)</f>
        <v>382179.61119999998</v>
      </c>
      <c r="D111" s="230">
        <f>SUM(,P111:P117)</f>
        <v>142.72</v>
      </c>
      <c r="E111" s="230">
        <f t="shared" si="36"/>
        <v>17.84</v>
      </c>
      <c r="F111" s="230"/>
      <c r="G111" s="46" t="s">
        <v>76</v>
      </c>
      <c r="H111" s="245"/>
      <c r="I111" s="245"/>
      <c r="J111" s="46">
        <v>1</v>
      </c>
      <c r="K111" s="46">
        <f>L111*$S$8</f>
        <v>0.42</v>
      </c>
      <c r="L111" s="173">
        <v>0.42</v>
      </c>
      <c r="M111" s="174">
        <v>8</v>
      </c>
      <c r="N111" s="46">
        <f>DATA!$D$2</f>
        <v>5009.96</v>
      </c>
      <c r="O111" s="46">
        <f t="shared" ref="O111:O146" si="47">N111*J111*K111*M111</f>
        <v>16833.4656</v>
      </c>
      <c r="P111" s="46">
        <f t="shared" ref="P111:P146" si="48">J111*K111*M111</f>
        <v>3.36</v>
      </c>
    </row>
    <row r="112" spans="1:16" s="36" customFormat="1" ht="11.45" customHeight="1" outlineLevel="1" x14ac:dyDescent="0.25">
      <c r="A112" s="250"/>
      <c r="B112" s="228"/>
      <c r="C112" s="252"/>
      <c r="D112" s="252"/>
      <c r="E112" s="252"/>
      <c r="F112" s="252"/>
      <c r="G112" s="46" t="s">
        <v>77</v>
      </c>
      <c r="H112" s="246"/>
      <c r="I112" s="246"/>
      <c r="J112" s="46">
        <v>1</v>
      </c>
      <c r="K112" s="46">
        <f t="shared" ref="K112:K117" si="49">L112*$S$8</f>
        <v>0.42</v>
      </c>
      <c r="L112" s="173">
        <v>0.42</v>
      </c>
      <c r="M112" s="174">
        <v>8</v>
      </c>
      <c r="N112" s="46">
        <f>DATA!$D$3</f>
        <v>4508.96</v>
      </c>
      <c r="O112" s="46">
        <f t="shared" si="47"/>
        <v>15150.105599999999</v>
      </c>
      <c r="P112" s="46">
        <f t="shared" si="48"/>
        <v>3.36</v>
      </c>
    </row>
    <row r="113" spans="1:16" s="36" customFormat="1" ht="10.7" customHeight="1" outlineLevel="1" x14ac:dyDescent="0.25">
      <c r="A113" s="250"/>
      <c r="B113" s="228"/>
      <c r="C113" s="252"/>
      <c r="D113" s="252"/>
      <c r="E113" s="252"/>
      <c r="F113" s="252"/>
      <c r="G113" s="46" t="s">
        <v>78</v>
      </c>
      <c r="H113" s="246"/>
      <c r="I113" s="246"/>
      <c r="J113" s="46">
        <v>1</v>
      </c>
      <c r="K113" s="46">
        <f t="shared" si="49"/>
        <v>1.5</v>
      </c>
      <c r="L113" s="173">
        <v>1.5</v>
      </c>
      <c r="M113" s="174">
        <v>8</v>
      </c>
      <c r="N113" s="46">
        <f>DATA!$D$4</f>
        <v>3757.47</v>
      </c>
      <c r="O113" s="46">
        <f t="shared" si="47"/>
        <v>45089.64</v>
      </c>
      <c r="P113" s="46">
        <f t="shared" si="48"/>
        <v>12</v>
      </c>
    </row>
    <row r="114" spans="1:16" s="36" customFormat="1" ht="10.7" customHeight="1" outlineLevel="1" x14ac:dyDescent="0.25">
      <c r="A114" s="250"/>
      <c r="B114" s="228"/>
      <c r="C114" s="252"/>
      <c r="D114" s="252"/>
      <c r="E114" s="252"/>
      <c r="F114" s="252"/>
      <c r="G114" s="46" t="s">
        <v>79</v>
      </c>
      <c r="H114" s="246"/>
      <c r="I114" s="246"/>
      <c r="J114" s="46">
        <v>1</v>
      </c>
      <c r="K114" s="46">
        <f t="shared" si="49"/>
        <v>1.5</v>
      </c>
      <c r="L114" s="173">
        <v>1.5</v>
      </c>
      <c r="M114" s="174">
        <v>8</v>
      </c>
      <c r="N114" s="46">
        <f>DATA!$D$5</f>
        <v>3381.72</v>
      </c>
      <c r="O114" s="46">
        <f t="shared" si="47"/>
        <v>40580.639999999999</v>
      </c>
      <c r="P114" s="46">
        <f t="shared" si="48"/>
        <v>12</v>
      </c>
    </row>
    <row r="115" spans="1:16" s="36" customFormat="1" ht="10.7" customHeight="1" outlineLevel="1" x14ac:dyDescent="0.25">
      <c r="A115" s="250"/>
      <c r="B115" s="228"/>
      <c r="C115" s="252"/>
      <c r="D115" s="252"/>
      <c r="E115" s="252"/>
      <c r="F115" s="252"/>
      <c r="G115" s="46" t="s">
        <v>80</v>
      </c>
      <c r="H115" s="246"/>
      <c r="I115" s="246"/>
      <c r="J115" s="46">
        <v>1</v>
      </c>
      <c r="K115" s="46">
        <f t="shared" si="49"/>
        <v>7</v>
      </c>
      <c r="L115" s="173">
        <v>7</v>
      </c>
      <c r="M115" s="174">
        <v>8</v>
      </c>
      <c r="N115" s="46">
        <f>DATA!$D$6</f>
        <v>2504.98</v>
      </c>
      <c r="O115" s="46">
        <f t="shared" si="47"/>
        <v>140278.88</v>
      </c>
      <c r="P115" s="46">
        <f t="shared" si="48"/>
        <v>56</v>
      </c>
    </row>
    <row r="116" spans="1:16" s="36" customFormat="1" ht="10.7" customHeight="1" outlineLevel="1" x14ac:dyDescent="0.25">
      <c r="A116" s="250"/>
      <c r="B116" s="228"/>
      <c r="C116" s="252"/>
      <c r="D116" s="252"/>
      <c r="E116" s="252"/>
      <c r="F116" s="252"/>
      <c r="G116" s="46" t="s">
        <v>81</v>
      </c>
      <c r="H116" s="246"/>
      <c r="I116" s="246"/>
      <c r="J116" s="46">
        <v>1</v>
      </c>
      <c r="K116" s="46">
        <f t="shared" si="49"/>
        <v>5</v>
      </c>
      <c r="L116" s="173">
        <v>5</v>
      </c>
      <c r="M116" s="174">
        <v>8</v>
      </c>
      <c r="N116" s="46">
        <f>DATA!$D$7</f>
        <v>2254.48</v>
      </c>
      <c r="O116" s="46">
        <f t="shared" si="47"/>
        <v>90179.199999999997</v>
      </c>
      <c r="P116" s="46">
        <f t="shared" si="48"/>
        <v>40</v>
      </c>
    </row>
    <row r="117" spans="1:16" s="36" customFormat="1" ht="12" customHeight="1" outlineLevel="1" thickBot="1" x14ac:dyDescent="0.3">
      <c r="A117" s="251"/>
      <c r="B117" s="229"/>
      <c r="C117" s="253"/>
      <c r="D117" s="253"/>
      <c r="E117" s="253"/>
      <c r="F117" s="253"/>
      <c r="G117" s="46" t="s">
        <v>82</v>
      </c>
      <c r="H117" s="247"/>
      <c r="I117" s="247"/>
      <c r="J117" s="46">
        <v>1</v>
      </c>
      <c r="K117" s="46">
        <f t="shared" si="49"/>
        <v>2</v>
      </c>
      <c r="L117" s="173">
        <v>2</v>
      </c>
      <c r="M117" s="174">
        <v>8</v>
      </c>
      <c r="N117" s="46">
        <f>DATA!$D$8</f>
        <v>2129.23</v>
      </c>
      <c r="O117" s="46">
        <f t="shared" si="47"/>
        <v>34067.68</v>
      </c>
      <c r="P117" s="46">
        <f t="shared" si="48"/>
        <v>16</v>
      </c>
    </row>
    <row r="118" spans="1:16" s="36" customFormat="1" ht="14.45" customHeight="1" outlineLevel="1" x14ac:dyDescent="0.25">
      <c r="A118" s="224" t="s">
        <v>144</v>
      </c>
      <c r="B118" s="227" t="s">
        <v>463</v>
      </c>
      <c r="C118" s="230">
        <f>SUM(,O118:O124)</f>
        <v>282982.41120000003</v>
      </c>
      <c r="D118" s="230">
        <f>SUM(,P118:P124)</f>
        <v>102.72</v>
      </c>
      <c r="E118" s="230">
        <f t="shared" si="36"/>
        <v>12.84</v>
      </c>
      <c r="F118" s="230"/>
      <c r="G118" s="46" t="s">
        <v>76</v>
      </c>
      <c r="H118" s="245"/>
      <c r="I118" s="245"/>
      <c r="J118" s="46">
        <v>1</v>
      </c>
      <c r="K118" s="46">
        <f>L118*$S$8</f>
        <v>0.42</v>
      </c>
      <c r="L118" s="173">
        <v>0.42</v>
      </c>
      <c r="M118" s="174">
        <v>8</v>
      </c>
      <c r="N118" s="46">
        <f>DATA!$D$2</f>
        <v>5009.96</v>
      </c>
      <c r="O118" s="46">
        <f t="shared" si="47"/>
        <v>16833.4656</v>
      </c>
      <c r="P118" s="46">
        <f t="shared" si="48"/>
        <v>3.36</v>
      </c>
    </row>
    <row r="119" spans="1:16" s="36" customFormat="1" ht="11.45" customHeight="1" outlineLevel="1" x14ac:dyDescent="0.25">
      <c r="A119" s="250"/>
      <c r="B119" s="228"/>
      <c r="C119" s="252"/>
      <c r="D119" s="252"/>
      <c r="E119" s="252"/>
      <c r="F119" s="252"/>
      <c r="G119" s="46" t="s">
        <v>77</v>
      </c>
      <c r="H119" s="246"/>
      <c r="I119" s="246"/>
      <c r="J119" s="46">
        <v>1</v>
      </c>
      <c r="K119" s="46">
        <f t="shared" ref="K119:K124" si="50">L119*$S$8</f>
        <v>0.42</v>
      </c>
      <c r="L119" s="173">
        <v>0.42</v>
      </c>
      <c r="M119" s="174">
        <v>8</v>
      </c>
      <c r="N119" s="46">
        <f>DATA!$D$3</f>
        <v>4508.96</v>
      </c>
      <c r="O119" s="46">
        <f t="shared" si="47"/>
        <v>15150.105599999999</v>
      </c>
      <c r="P119" s="46">
        <f t="shared" si="48"/>
        <v>3.36</v>
      </c>
    </row>
    <row r="120" spans="1:16" s="36" customFormat="1" ht="10.7" customHeight="1" outlineLevel="1" x14ac:dyDescent="0.25">
      <c r="A120" s="250"/>
      <c r="B120" s="228"/>
      <c r="C120" s="252"/>
      <c r="D120" s="252"/>
      <c r="E120" s="252"/>
      <c r="F120" s="252"/>
      <c r="G120" s="46" t="s">
        <v>78</v>
      </c>
      <c r="H120" s="246"/>
      <c r="I120" s="246"/>
      <c r="J120" s="46">
        <v>1</v>
      </c>
      <c r="K120" s="46">
        <f t="shared" si="50"/>
        <v>1.5</v>
      </c>
      <c r="L120" s="173">
        <v>1.5</v>
      </c>
      <c r="M120" s="174">
        <v>8</v>
      </c>
      <c r="N120" s="46">
        <f>DATA!$D$4</f>
        <v>3757.47</v>
      </c>
      <c r="O120" s="46">
        <f t="shared" si="47"/>
        <v>45089.64</v>
      </c>
      <c r="P120" s="46">
        <f t="shared" si="48"/>
        <v>12</v>
      </c>
    </row>
    <row r="121" spans="1:16" s="36" customFormat="1" ht="10.7" customHeight="1" outlineLevel="1" x14ac:dyDescent="0.25">
      <c r="A121" s="250"/>
      <c r="B121" s="228"/>
      <c r="C121" s="252"/>
      <c r="D121" s="252"/>
      <c r="E121" s="252"/>
      <c r="F121" s="252"/>
      <c r="G121" s="46" t="s">
        <v>79</v>
      </c>
      <c r="H121" s="246"/>
      <c r="I121" s="246"/>
      <c r="J121" s="46">
        <v>1</v>
      </c>
      <c r="K121" s="46">
        <f t="shared" si="50"/>
        <v>1.5</v>
      </c>
      <c r="L121" s="173">
        <v>1.5</v>
      </c>
      <c r="M121" s="174">
        <v>8</v>
      </c>
      <c r="N121" s="46">
        <f>DATA!$D$5</f>
        <v>3381.72</v>
      </c>
      <c r="O121" s="46">
        <f t="shared" si="47"/>
        <v>40580.639999999999</v>
      </c>
      <c r="P121" s="46">
        <f t="shared" si="48"/>
        <v>12</v>
      </c>
    </row>
    <row r="122" spans="1:16" s="36" customFormat="1" ht="10.7" customHeight="1" outlineLevel="1" x14ac:dyDescent="0.25">
      <c r="A122" s="250"/>
      <c r="B122" s="228"/>
      <c r="C122" s="252"/>
      <c r="D122" s="252"/>
      <c r="E122" s="252"/>
      <c r="F122" s="252"/>
      <c r="G122" s="46" t="s">
        <v>80</v>
      </c>
      <c r="H122" s="246"/>
      <c r="I122" s="246"/>
      <c r="J122" s="46">
        <v>1</v>
      </c>
      <c r="K122" s="46">
        <f t="shared" si="50"/>
        <v>3</v>
      </c>
      <c r="L122" s="173">
        <v>3</v>
      </c>
      <c r="M122" s="174">
        <v>8</v>
      </c>
      <c r="N122" s="46">
        <f>DATA!$D$6</f>
        <v>2504.98</v>
      </c>
      <c r="O122" s="46">
        <f t="shared" si="47"/>
        <v>60119.520000000004</v>
      </c>
      <c r="P122" s="46">
        <f t="shared" si="48"/>
        <v>24</v>
      </c>
    </row>
    <row r="123" spans="1:16" s="36" customFormat="1" ht="10.7" customHeight="1" outlineLevel="1" x14ac:dyDescent="0.25">
      <c r="A123" s="250"/>
      <c r="B123" s="228"/>
      <c r="C123" s="252"/>
      <c r="D123" s="252"/>
      <c r="E123" s="252"/>
      <c r="F123" s="252"/>
      <c r="G123" s="46" t="s">
        <v>81</v>
      </c>
      <c r="H123" s="246"/>
      <c r="I123" s="246"/>
      <c r="J123" s="46">
        <v>1</v>
      </c>
      <c r="K123" s="46">
        <f t="shared" si="50"/>
        <v>3</v>
      </c>
      <c r="L123" s="173">
        <v>3</v>
      </c>
      <c r="M123" s="174">
        <v>8</v>
      </c>
      <c r="N123" s="46">
        <f>DATA!$D$7</f>
        <v>2254.48</v>
      </c>
      <c r="O123" s="46">
        <f t="shared" si="47"/>
        <v>54107.520000000004</v>
      </c>
      <c r="P123" s="46">
        <f t="shared" si="48"/>
        <v>24</v>
      </c>
    </row>
    <row r="124" spans="1:16" s="36" customFormat="1" ht="12" customHeight="1" outlineLevel="1" thickBot="1" x14ac:dyDescent="0.3">
      <c r="A124" s="251"/>
      <c r="B124" s="229"/>
      <c r="C124" s="253"/>
      <c r="D124" s="253"/>
      <c r="E124" s="253"/>
      <c r="F124" s="253"/>
      <c r="G124" s="46" t="s">
        <v>82</v>
      </c>
      <c r="H124" s="247"/>
      <c r="I124" s="247"/>
      <c r="J124" s="46">
        <v>1</v>
      </c>
      <c r="K124" s="46">
        <f t="shared" si="50"/>
        <v>3</v>
      </c>
      <c r="L124" s="173">
        <v>3</v>
      </c>
      <c r="M124" s="174">
        <v>8</v>
      </c>
      <c r="N124" s="46">
        <f>DATA!$D$8</f>
        <v>2129.23</v>
      </c>
      <c r="O124" s="46">
        <f t="shared" si="47"/>
        <v>51101.520000000004</v>
      </c>
      <c r="P124" s="46">
        <f t="shared" si="48"/>
        <v>24</v>
      </c>
    </row>
    <row r="125" spans="1:16" s="36" customFormat="1" ht="14.45" customHeight="1" outlineLevel="1" x14ac:dyDescent="0.25">
      <c r="A125" s="224" t="s">
        <v>145</v>
      </c>
      <c r="B125" s="227" t="s">
        <v>464</v>
      </c>
      <c r="C125" s="230">
        <f>SUM(,O125:O131)</f>
        <v>503420.49119999999</v>
      </c>
      <c r="D125" s="230">
        <f>SUM(,P125:P131)</f>
        <v>198.72</v>
      </c>
      <c r="E125" s="230">
        <f t="shared" si="36"/>
        <v>24.84</v>
      </c>
      <c r="F125" s="230"/>
      <c r="G125" s="46" t="s">
        <v>76</v>
      </c>
      <c r="H125" s="245"/>
      <c r="I125" s="245"/>
      <c r="J125" s="46">
        <v>1</v>
      </c>
      <c r="K125" s="46">
        <f>L125*$S$8</f>
        <v>0.42</v>
      </c>
      <c r="L125" s="173">
        <v>0.42</v>
      </c>
      <c r="M125" s="174">
        <v>8</v>
      </c>
      <c r="N125" s="46">
        <f>DATA!$D$2</f>
        <v>5009.96</v>
      </c>
      <c r="O125" s="46">
        <f t="shared" si="47"/>
        <v>16833.4656</v>
      </c>
      <c r="P125" s="46">
        <f t="shared" si="48"/>
        <v>3.36</v>
      </c>
    </row>
    <row r="126" spans="1:16" s="36" customFormat="1" ht="11.45" customHeight="1" outlineLevel="1" x14ac:dyDescent="0.25">
      <c r="A126" s="250"/>
      <c r="B126" s="228"/>
      <c r="C126" s="252"/>
      <c r="D126" s="252"/>
      <c r="E126" s="252"/>
      <c r="F126" s="252"/>
      <c r="G126" s="46" t="s">
        <v>77</v>
      </c>
      <c r="H126" s="246"/>
      <c r="I126" s="246"/>
      <c r="J126" s="46">
        <v>1</v>
      </c>
      <c r="K126" s="46">
        <f t="shared" ref="K126:K131" si="51">L126*$S$8</f>
        <v>0.42</v>
      </c>
      <c r="L126" s="173">
        <v>0.42</v>
      </c>
      <c r="M126" s="174">
        <v>8</v>
      </c>
      <c r="N126" s="46">
        <f>DATA!$D$3</f>
        <v>4508.96</v>
      </c>
      <c r="O126" s="46">
        <f t="shared" si="47"/>
        <v>15150.105599999999</v>
      </c>
      <c r="P126" s="46">
        <f t="shared" si="48"/>
        <v>3.36</v>
      </c>
    </row>
    <row r="127" spans="1:16" s="36" customFormat="1" ht="10.7" customHeight="1" outlineLevel="1" x14ac:dyDescent="0.25">
      <c r="A127" s="250"/>
      <c r="B127" s="228"/>
      <c r="C127" s="252"/>
      <c r="D127" s="252"/>
      <c r="E127" s="252"/>
      <c r="F127" s="252"/>
      <c r="G127" s="46" t="s">
        <v>78</v>
      </c>
      <c r="H127" s="246"/>
      <c r="I127" s="246"/>
      <c r="J127" s="46">
        <v>1</v>
      </c>
      <c r="K127" s="46">
        <f t="shared" si="51"/>
        <v>1.5</v>
      </c>
      <c r="L127" s="173">
        <v>1.5</v>
      </c>
      <c r="M127" s="174">
        <v>8</v>
      </c>
      <c r="N127" s="46">
        <f>DATA!$D$4</f>
        <v>3757.47</v>
      </c>
      <c r="O127" s="46">
        <f t="shared" si="47"/>
        <v>45089.64</v>
      </c>
      <c r="P127" s="46">
        <f t="shared" si="48"/>
        <v>12</v>
      </c>
    </row>
    <row r="128" spans="1:16" s="36" customFormat="1" ht="10.7" customHeight="1" outlineLevel="1" x14ac:dyDescent="0.25">
      <c r="A128" s="250"/>
      <c r="B128" s="228"/>
      <c r="C128" s="252"/>
      <c r="D128" s="252"/>
      <c r="E128" s="252"/>
      <c r="F128" s="252"/>
      <c r="G128" s="46" t="s">
        <v>79</v>
      </c>
      <c r="H128" s="246"/>
      <c r="I128" s="246"/>
      <c r="J128" s="46">
        <v>1</v>
      </c>
      <c r="K128" s="46">
        <f t="shared" si="51"/>
        <v>1.5</v>
      </c>
      <c r="L128" s="173">
        <v>1.5</v>
      </c>
      <c r="M128" s="174">
        <v>8</v>
      </c>
      <c r="N128" s="46">
        <f>DATA!$D$5</f>
        <v>3381.72</v>
      </c>
      <c r="O128" s="46">
        <f t="shared" si="47"/>
        <v>40580.639999999999</v>
      </c>
      <c r="P128" s="46">
        <f t="shared" si="48"/>
        <v>12</v>
      </c>
    </row>
    <row r="129" spans="1:16" s="36" customFormat="1" ht="10.7" customHeight="1" outlineLevel="1" x14ac:dyDescent="0.25">
      <c r="A129" s="250"/>
      <c r="B129" s="228"/>
      <c r="C129" s="252"/>
      <c r="D129" s="252"/>
      <c r="E129" s="252"/>
      <c r="F129" s="252"/>
      <c r="G129" s="46" t="s">
        <v>80</v>
      </c>
      <c r="H129" s="246"/>
      <c r="I129" s="246"/>
      <c r="J129" s="46">
        <v>1</v>
      </c>
      <c r="K129" s="46">
        <f t="shared" si="51"/>
        <v>7</v>
      </c>
      <c r="L129" s="173">
        <v>7</v>
      </c>
      <c r="M129" s="174">
        <v>8</v>
      </c>
      <c r="N129" s="46">
        <f>DATA!$D$6</f>
        <v>2504.98</v>
      </c>
      <c r="O129" s="46">
        <f t="shared" si="47"/>
        <v>140278.88</v>
      </c>
      <c r="P129" s="46">
        <f t="shared" si="48"/>
        <v>56</v>
      </c>
    </row>
    <row r="130" spans="1:16" s="36" customFormat="1" ht="10.7" customHeight="1" outlineLevel="1" x14ac:dyDescent="0.25">
      <c r="A130" s="250"/>
      <c r="B130" s="228"/>
      <c r="C130" s="252"/>
      <c r="D130" s="252"/>
      <c r="E130" s="252"/>
      <c r="F130" s="252"/>
      <c r="G130" s="46" t="s">
        <v>81</v>
      </c>
      <c r="H130" s="246"/>
      <c r="I130" s="246"/>
      <c r="J130" s="46">
        <v>1</v>
      </c>
      <c r="K130" s="46">
        <f t="shared" si="51"/>
        <v>7</v>
      </c>
      <c r="L130" s="173">
        <v>7</v>
      </c>
      <c r="M130" s="174">
        <v>8</v>
      </c>
      <c r="N130" s="46">
        <f>DATA!$D$7</f>
        <v>2254.48</v>
      </c>
      <c r="O130" s="46">
        <f t="shared" si="47"/>
        <v>126250.88</v>
      </c>
      <c r="P130" s="46">
        <f t="shared" si="48"/>
        <v>56</v>
      </c>
    </row>
    <row r="131" spans="1:16" s="36" customFormat="1" ht="12" customHeight="1" outlineLevel="1" thickBot="1" x14ac:dyDescent="0.3">
      <c r="A131" s="251"/>
      <c r="B131" s="229"/>
      <c r="C131" s="253"/>
      <c r="D131" s="253"/>
      <c r="E131" s="253"/>
      <c r="F131" s="253"/>
      <c r="G131" s="46" t="s">
        <v>82</v>
      </c>
      <c r="H131" s="247"/>
      <c r="I131" s="247"/>
      <c r="J131" s="46">
        <v>1</v>
      </c>
      <c r="K131" s="46">
        <f t="shared" si="51"/>
        <v>7</v>
      </c>
      <c r="L131" s="173">
        <v>7</v>
      </c>
      <c r="M131" s="174">
        <v>8</v>
      </c>
      <c r="N131" s="46">
        <f>DATA!$D$8</f>
        <v>2129.23</v>
      </c>
      <c r="O131" s="46">
        <f t="shared" si="47"/>
        <v>119236.88</v>
      </c>
      <c r="P131" s="46">
        <f t="shared" si="48"/>
        <v>56</v>
      </c>
    </row>
    <row r="132" spans="1:16" s="36" customFormat="1" ht="14.45" customHeight="1" outlineLevel="1" x14ac:dyDescent="0.25">
      <c r="A132" s="224" t="s">
        <v>88</v>
      </c>
      <c r="B132" s="227" t="s">
        <v>465</v>
      </c>
      <c r="C132" s="230">
        <f>SUM(,O132:O138)</f>
        <v>157733.5312</v>
      </c>
      <c r="D132" s="230">
        <f>SUM(,P132:P138)</f>
        <v>46.72</v>
      </c>
      <c r="E132" s="230">
        <f t="shared" si="36"/>
        <v>5.84</v>
      </c>
      <c r="F132" s="230"/>
      <c r="G132" s="46" t="s">
        <v>76</v>
      </c>
      <c r="H132" s="245"/>
      <c r="I132" s="245"/>
      <c r="J132" s="46">
        <v>1</v>
      </c>
      <c r="K132" s="46">
        <f>L132*$S$8</f>
        <v>0.42</v>
      </c>
      <c r="L132" s="173">
        <v>0.42</v>
      </c>
      <c r="M132" s="174">
        <v>8</v>
      </c>
      <c r="N132" s="46">
        <f>DATA!$D$2</f>
        <v>5009.96</v>
      </c>
      <c r="O132" s="46">
        <f t="shared" si="47"/>
        <v>16833.4656</v>
      </c>
      <c r="P132" s="46">
        <f t="shared" si="48"/>
        <v>3.36</v>
      </c>
    </row>
    <row r="133" spans="1:16" s="36" customFormat="1" ht="11.45" customHeight="1" outlineLevel="1" x14ac:dyDescent="0.25">
      <c r="A133" s="250"/>
      <c r="B133" s="228"/>
      <c r="C133" s="252"/>
      <c r="D133" s="252"/>
      <c r="E133" s="252"/>
      <c r="F133" s="252"/>
      <c r="G133" s="46" t="s">
        <v>77</v>
      </c>
      <c r="H133" s="246"/>
      <c r="I133" s="246"/>
      <c r="J133" s="46">
        <v>1</v>
      </c>
      <c r="K133" s="46">
        <f t="shared" ref="K133:K138" si="52">L133*$S$8</f>
        <v>0.42</v>
      </c>
      <c r="L133" s="173">
        <v>0.42</v>
      </c>
      <c r="M133" s="174">
        <v>8</v>
      </c>
      <c r="N133" s="46">
        <f>DATA!$D$3</f>
        <v>4508.96</v>
      </c>
      <c r="O133" s="46">
        <f t="shared" si="47"/>
        <v>15150.105599999999</v>
      </c>
      <c r="P133" s="46">
        <f t="shared" si="48"/>
        <v>3.36</v>
      </c>
    </row>
    <row r="134" spans="1:16" s="36" customFormat="1" ht="10.7" customHeight="1" outlineLevel="1" x14ac:dyDescent="0.25">
      <c r="A134" s="250"/>
      <c r="B134" s="228"/>
      <c r="C134" s="252"/>
      <c r="D134" s="252"/>
      <c r="E134" s="252"/>
      <c r="F134" s="252"/>
      <c r="G134" s="46" t="s">
        <v>78</v>
      </c>
      <c r="H134" s="246"/>
      <c r="I134" s="246"/>
      <c r="J134" s="46">
        <v>1</v>
      </c>
      <c r="K134" s="46">
        <f t="shared" si="52"/>
        <v>1.5</v>
      </c>
      <c r="L134" s="173">
        <v>1.5</v>
      </c>
      <c r="M134" s="174">
        <v>8</v>
      </c>
      <c r="N134" s="46">
        <f>DATA!$D$4</f>
        <v>3757.47</v>
      </c>
      <c r="O134" s="46">
        <f t="shared" si="47"/>
        <v>45089.64</v>
      </c>
      <c r="P134" s="46">
        <f t="shared" si="48"/>
        <v>12</v>
      </c>
    </row>
    <row r="135" spans="1:16" s="36" customFormat="1" ht="10.7" customHeight="1" outlineLevel="1" x14ac:dyDescent="0.25">
      <c r="A135" s="250"/>
      <c r="B135" s="228"/>
      <c r="C135" s="252"/>
      <c r="D135" s="252"/>
      <c r="E135" s="252"/>
      <c r="F135" s="252"/>
      <c r="G135" s="46" t="s">
        <v>79</v>
      </c>
      <c r="H135" s="246"/>
      <c r="I135" s="246"/>
      <c r="J135" s="46">
        <v>1</v>
      </c>
      <c r="K135" s="46">
        <f t="shared" si="52"/>
        <v>1.5</v>
      </c>
      <c r="L135" s="173">
        <v>1.5</v>
      </c>
      <c r="M135" s="174">
        <v>8</v>
      </c>
      <c r="N135" s="46">
        <f>DATA!$D$5</f>
        <v>3381.72</v>
      </c>
      <c r="O135" s="46">
        <f t="shared" si="47"/>
        <v>40580.639999999999</v>
      </c>
      <c r="P135" s="46">
        <f t="shared" si="48"/>
        <v>12</v>
      </c>
    </row>
    <row r="136" spans="1:16" s="36" customFormat="1" ht="10.7" customHeight="1" outlineLevel="1" x14ac:dyDescent="0.25">
      <c r="A136" s="250"/>
      <c r="B136" s="228"/>
      <c r="C136" s="252"/>
      <c r="D136" s="252"/>
      <c r="E136" s="252"/>
      <c r="F136" s="252"/>
      <c r="G136" s="46" t="s">
        <v>80</v>
      </c>
      <c r="H136" s="246"/>
      <c r="I136" s="246"/>
      <c r="J136" s="46">
        <v>1</v>
      </c>
      <c r="K136" s="46">
        <f t="shared" si="52"/>
        <v>2</v>
      </c>
      <c r="L136" s="173">
        <v>2</v>
      </c>
      <c r="M136" s="174">
        <v>8</v>
      </c>
      <c r="N136" s="46">
        <f>DATA!$D$6</f>
        <v>2504.98</v>
      </c>
      <c r="O136" s="46">
        <f t="shared" si="47"/>
        <v>40079.68</v>
      </c>
      <c r="P136" s="46">
        <f t="shared" si="48"/>
        <v>16</v>
      </c>
    </row>
    <row r="137" spans="1:16" s="36" customFormat="1" ht="10.7" customHeight="1" outlineLevel="1" x14ac:dyDescent="0.25">
      <c r="A137" s="250"/>
      <c r="B137" s="228"/>
      <c r="C137" s="252"/>
      <c r="D137" s="252"/>
      <c r="E137" s="252"/>
      <c r="F137" s="252"/>
      <c r="G137" s="46" t="s">
        <v>81</v>
      </c>
      <c r="H137" s="246"/>
      <c r="I137" s="246"/>
      <c r="J137" s="46">
        <v>1</v>
      </c>
      <c r="K137" s="46">
        <f t="shared" si="52"/>
        <v>0</v>
      </c>
      <c r="L137" s="173">
        <v>0</v>
      </c>
      <c r="M137" s="174">
        <v>8</v>
      </c>
      <c r="N137" s="46">
        <f>DATA!$D$7</f>
        <v>2254.48</v>
      </c>
      <c r="O137" s="46">
        <f t="shared" si="47"/>
        <v>0</v>
      </c>
      <c r="P137" s="46">
        <f t="shared" si="48"/>
        <v>0</v>
      </c>
    </row>
    <row r="138" spans="1:16" s="36" customFormat="1" ht="12" customHeight="1" outlineLevel="1" thickBot="1" x14ac:dyDescent="0.3">
      <c r="A138" s="251"/>
      <c r="B138" s="229"/>
      <c r="C138" s="253"/>
      <c r="D138" s="253"/>
      <c r="E138" s="253"/>
      <c r="F138" s="253"/>
      <c r="G138" s="46" t="s">
        <v>82</v>
      </c>
      <c r="H138" s="247"/>
      <c r="I138" s="247"/>
      <c r="J138" s="46">
        <v>1</v>
      </c>
      <c r="K138" s="46">
        <f t="shared" si="52"/>
        <v>0</v>
      </c>
      <c r="L138" s="173">
        <v>0</v>
      </c>
      <c r="M138" s="174">
        <v>8</v>
      </c>
      <c r="N138" s="46">
        <f>DATA!$D$8</f>
        <v>2129.23</v>
      </c>
      <c r="O138" s="46">
        <f t="shared" si="47"/>
        <v>0</v>
      </c>
      <c r="P138" s="46">
        <f t="shared" si="48"/>
        <v>0</v>
      </c>
    </row>
    <row r="139" spans="1:16" s="36" customFormat="1" ht="14.45" customHeight="1" outlineLevel="1" x14ac:dyDescent="0.25">
      <c r="A139" s="224" t="s">
        <v>89</v>
      </c>
      <c r="B139" s="227" t="s">
        <v>466</v>
      </c>
      <c r="C139" s="230">
        <f>SUM(,O139:O145)</f>
        <v>157733.5312</v>
      </c>
      <c r="D139" s="230">
        <f>SUM(,P139:P145)</f>
        <v>46.72</v>
      </c>
      <c r="E139" s="230">
        <f t="shared" si="36"/>
        <v>5.84</v>
      </c>
      <c r="F139" s="230"/>
      <c r="G139" s="46" t="s">
        <v>76</v>
      </c>
      <c r="H139" s="245"/>
      <c r="I139" s="245"/>
      <c r="J139" s="46">
        <v>1</v>
      </c>
      <c r="K139" s="46">
        <f>L139*$S$8</f>
        <v>0.42</v>
      </c>
      <c r="L139" s="173">
        <v>0.42</v>
      </c>
      <c r="M139" s="174">
        <v>8</v>
      </c>
      <c r="N139" s="46">
        <f>DATA!$D$2</f>
        <v>5009.96</v>
      </c>
      <c r="O139" s="46">
        <f t="shared" si="47"/>
        <v>16833.4656</v>
      </c>
      <c r="P139" s="46">
        <f t="shared" si="48"/>
        <v>3.36</v>
      </c>
    </row>
    <row r="140" spans="1:16" s="36" customFormat="1" ht="11.45" customHeight="1" outlineLevel="1" x14ac:dyDescent="0.25">
      <c r="A140" s="250"/>
      <c r="B140" s="228"/>
      <c r="C140" s="252"/>
      <c r="D140" s="252"/>
      <c r="E140" s="252"/>
      <c r="F140" s="252"/>
      <c r="G140" s="46" t="s">
        <v>77</v>
      </c>
      <c r="H140" s="246"/>
      <c r="I140" s="246"/>
      <c r="J140" s="46">
        <v>1</v>
      </c>
      <c r="K140" s="46">
        <f t="shared" ref="K140:K145" si="53">L140*$S$8</f>
        <v>0.42</v>
      </c>
      <c r="L140" s="173">
        <v>0.42</v>
      </c>
      <c r="M140" s="174">
        <v>8</v>
      </c>
      <c r="N140" s="46">
        <f>DATA!$D$3</f>
        <v>4508.96</v>
      </c>
      <c r="O140" s="46">
        <f t="shared" si="47"/>
        <v>15150.105599999999</v>
      </c>
      <c r="P140" s="46">
        <f t="shared" si="48"/>
        <v>3.36</v>
      </c>
    </row>
    <row r="141" spans="1:16" s="36" customFormat="1" ht="10.7" customHeight="1" outlineLevel="1" x14ac:dyDescent="0.25">
      <c r="A141" s="250"/>
      <c r="B141" s="228"/>
      <c r="C141" s="252"/>
      <c r="D141" s="252"/>
      <c r="E141" s="252"/>
      <c r="F141" s="252"/>
      <c r="G141" s="46" t="s">
        <v>78</v>
      </c>
      <c r="H141" s="246"/>
      <c r="I141" s="246"/>
      <c r="J141" s="46">
        <v>1</v>
      </c>
      <c r="K141" s="46">
        <f t="shared" si="53"/>
        <v>1.5</v>
      </c>
      <c r="L141" s="173">
        <v>1.5</v>
      </c>
      <c r="M141" s="174">
        <v>8</v>
      </c>
      <c r="N141" s="46">
        <f>DATA!$D$4</f>
        <v>3757.47</v>
      </c>
      <c r="O141" s="46">
        <f t="shared" si="47"/>
        <v>45089.64</v>
      </c>
      <c r="P141" s="46">
        <f t="shared" si="48"/>
        <v>12</v>
      </c>
    </row>
    <row r="142" spans="1:16" s="36" customFormat="1" ht="10.7" customHeight="1" outlineLevel="1" x14ac:dyDescent="0.25">
      <c r="A142" s="250"/>
      <c r="B142" s="228"/>
      <c r="C142" s="252"/>
      <c r="D142" s="252"/>
      <c r="E142" s="252"/>
      <c r="F142" s="252"/>
      <c r="G142" s="46" t="s">
        <v>79</v>
      </c>
      <c r="H142" s="246"/>
      <c r="I142" s="246"/>
      <c r="J142" s="46">
        <v>1</v>
      </c>
      <c r="K142" s="46">
        <f t="shared" si="53"/>
        <v>1.5</v>
      </c>
      <c r="L142" s="173">
        <v>1.5</v>
      </c>
      <c r="M142" s="174">
        <v>8</v>
      </c>
      <c r="N142" s="46">
        <f>DATA!$D$5</f>
        <v>3381.72</v>
      </c>
      <c r="O142" s="46">
        <f t="shared" si="47"/>
        <v>40580.639999999999</v>
      </c>
      <c r="P142" s="46">
        <f t="shared" si="48"/>
        <v>12</v>
      </c>
    </row>
    <row r="143" spans="1:16" s="36" customFormat="1" ht="10.7" customHeight="1" outlineLevel="1" x14ac:dyDescent="0.25">
      <c r="A143" s="250"/>
      <c r="B143" s="228"/>
      <c r="C143" s="252"/>
      <c r="D143" s="252"/>
      <c r="E143" s="252"/>
      <c r="F143" s="252"/>
      <c r="G143" s="46" t="s">
        <v>80</v>
      </c>
      <c r="H143" s="246"/>
      <c r="I143" s="246"/>
      <c r="J143" s="46">
        <v>1</v>
      </c>
      <c r="K143" s="46">
        <f t="shared" si="53"/>
        <v>2</v>
      </c>
      <c r="L143" s="173">
        <v>2</v>
      </c>
      <c r="M143" s="174">
        <v>8</v>
      </c>
      <c r="N143" s="46">
        <f>DATA!$D$6</f>
        <v>2504.98</v>
      </c>
      <c r="O143" s="46">
        <f t="shared" si="47"/>
        <v>40079.68</v>
      </c>
      <c r="P143" s="46">
        <f t="shared" si="48"/>
        <v>16</v>
      </c>
    </row>
    <row r="144" spans="1:16" s="36" customFormat="1" ht="10.7" customHeight="1" outlineLevel="1" x14ac:dyDescent="0.25">
      <c r="A144" s="250"/>
      <c r="B144" s="228"/>
      <c r="C144" s="252"/>
      <c r="D144" s="252"/>
      <c r="E144" s="252"/>
      <c r="F144" s="252"/>
      <c r="G144" s="46" t="s">
        <v>81</v>
      </c>
      <c r="H144" s="246"/>
      <c r="I144" s="246"/>
      <c r="J144" s="46">
        <v>1</v>
      </c>
      <c r="K144" s="46">
        <f t="shared" si="53"/>
        <v>0</v>
      </c>
      <c r="L144" s="173">
        <v>0</v>
      </c>
      <c r="M144" s="174">
        <v>8</v>
      </c>
      <c r="N144" s="46">
        <f>DATA!$D$7</f>
        <v>2254.48</v>
      </c>
      <c r="O144" s="46">
        <f t="shared" si="47"/>
        <v>0</v>
      </c>
      <c r="P144" s="46">
        <f t="shared" si="48"/>
        <v>0</v>
      </c>
    </row>
    <row r="145" spans="1:16" s="36" customFormat="1" ht="12" customHeight="1" outlineLevel="1" thickBot="1" x14ac:dyDescent="0.3">
      <c r="A145" s="251"/>
      <c r="B145" s="229"/>
      <c r="C145" s="253"/>
      <c r="D145" s="253"/>
      <c r="E145" s="253"/>
      <c r="F145" s="253"/>
      <c r="G145" s="46" t="s">
        <v>82</v>
      </c>
      <c r="H145" s="247"/>
      <c r="I145" s="247"/>
      <c r="J145" s="46">
        <v>1</v>
      </c>
      <c r="K145" s="46">
        <f t="shared" si="53"/>
        <v>0</v>
      </c>
      <c r="L145" s="173">
        <v>0</v>
      </c>
      <c r="M145" s="174">
        <v>8</v>
      </c>
      <c r="N145" s="46">
        <f>DATA!$D$8</f>
        <v>2129.23</v>
      </c>
      <c r="O145" s="46">
        <f t="shared" si="47"/>
        <v>0</v>
      </c>
      <c r="P145" s="46">
        <f t="shared" si="48"/>
        <v>0</v>
      </c>
    </row>
    <row r="146" spans="1:16" s="36" customFormat="1" ht="14.45" customHeight="1" outlineLevel="1" x14ac:dyDescent="0.25">
      <c r="A146" s="224" t="s">
        <v>90</v>
      </c>
      <c r="B146" s="227" t="s">
        <v>467</v>
      </c>
      <c r="C146" s="230">
        <f>SUM(,O146:O152)</f>
        <v>157733.5312</v>
      </c>
      <c r="D146" s="230">
        <f>SUM(,P146:P152)</f>
        <v>46.72</v>
      </c>
      <c r="E146" s="230">
        <f t="shared" si="36"/>
        <v>5.84</v>
      </c>
      <c r="F146" s="230"/>
      <c r="G146" s="46" t="s">
        <v>76</v>
      </c>
      <c r="H146" s="245"/>
      <c r="I146" s="245"/>
      <c r="J146" s="46">
        <v>1</v>
      </c>
      <c r="K146" s="46">
        <f>L146*$S$8</f>
        <v>0.42</v>
      </c>
      <c r="L146" s="173">
        <v>0.42</v>
      </c>
      <c r="M146" s="174">
        <v>8</v>
      </c>
      <c r="N146" s="46">
        <f>DATA!$D$2</f>
        <v>5009.96</v>
      </c>
      <c r="O146" s="46">
        <f t="shared" si="47"/>
        <v>16833.4656</v>
      </c>
      <c r="P146" s="46">
        <f t="shared" si="48"/>
        <v>3.36</v>
      </c>
    </row>
    <row r="147" spans="1:16" s="36" customFormat="1" ht="11.45" customHeight="1" outlineLevel="1" x14ac:dyDescent="0.25">
      <c r="A147" s="250"/>
      <c r="B147" s="228"/>
      <c r="C147" s="252"/>
      <c r="D147" s="252"/>
      <c r="E147" s="252"/>
      <c r="F147" s="252"/>
      <c r="G147" s="46" t="s">
        <v>77</v>
      </c>
      <c r="H147" s="246"/>
      <c r="I147" s="246"/>
      <c r="J147" s="46">
        <v>1</v>
      </c>
      <c r="K147" s="46">
        <f t="shared" ref="K147:K152" si="54">L147*$S$8</f>
        <v>0.42</v>
      </c>
      <c r="L147" s="173">
        <v>0.42</v>
      </c>
      <c r="M147" s="174">
        <v>8</v>
      </c>
      <c r="N147" s="46">
        <f>DATA!$D$3</f>
        <v>4508.96</v>
      </c>
      <c r="O147" s="46">
        <f t="shared" ref="O147:O159" si="55">N147*J147*K147*M147</f>
        <v>15150.105599999999</v>
      </c>
      <c r="P147" s="46">
        <f t="shared" ref="P147:P159" si="56">J147*K147*M147</f>
        <v>3.36</v>
      </c>
    </row>
    <row r="148" spans="1:16" s="36" customFormat="1" ht="10.7" customHeight="1" outlineLevel="1" x14ac:dyDescent="0.25">
      <c r="A148" s="250"/>
      <c r="B148" s="228"/>
      <c r="C148" s="252"/>
      <c r="D148" s="252"/>
      <c r="E148" s="252"/>
      <c r="F148" s="252"/>
      <c r="G148" s="46" t="s">
        <v>78</v>
      </c>
      <c r="H148" s="246"/>
      <c r="I148" s="246"/>
      <c r="J148" s="46">
        <v>1</v>
      </c>
      <c r="K148" s="46">
        <f t="shared" si="54"/>
        <v>1.5</v>
      </c>
      <c r="L148" s="173">
        <v>1.5</v>
      </c>
      <c r="M148" s="174">
        <v>8</v>
      </c>
      <c r="N148" s="46">
        <f>DATA!$D$4</f>
        <v>3757.47</v>
      </c>
      <c r="O148" s="46">
        <f t="shared" si="55"/>
        <v>45089.64</v>
      </c>
      <c r="P148" s="46">
        <f t="shared" si="56"/>
        <v>12</v>
      </c>
    </row>
    <row r="149" spans="1:16" s="36" customFormat="1" ht="10.7" customHeight="1" outlineLevel="1" x14ac:dyDescent="0.25">
      <c r="A149" s="250"/>
      <c r="B149" s="228"/>
      <c r="C149" s="252"/>
      <c r="D149" s="252"/>
      <c r="E149" s="252"/>
      <c r="F149" s="252"/>
      <c r="G149" s="46" t="s">
        <v>79</v>
      </c>
      <c r="H149" s="246"/>
      <c r="I149" s="246"/>
      <c r="J149" s="46">
        <v>1</v>
      </c>
      <c r="K149" s="46">
        <f t="shared" si="54"/>
        <v>1.5</v>
      </c>
      <c r="L149" s="173">
        <v>1.5</v>
      </c>
      <c r="M149" s="174">
        <v>8</v>
      </c>
      <c r="N149" s="46">
        <f>DATA!$D$5</f>
        <v>3381.72</v>
      </c>
      <c r="O149" s="46">
        <f t="shared" si="55"/>
        <v>40580.639999999999</v>
      </c>
      <c r="P149" s="46">
        <f t="shared" si="56"/>
        <v>12</v>
      </c>
    </row>
    <row r="150" spans="1:16" s="36" customFormat="1" ht="10.7" customHeight="1" outlineLevel="1" x14ac:dyDescent="0.25">
      <c r="A150" s="250"/>
      <c r="B150" s="228"/>
      <c r="C150" s="252"/>
      <c r="D150" s="252"/>
      <c r="E150" s="252"/>
      <c r="F150" s="252"/>
      <c r="G150" s="46" t="s">
        <v>80</v>
      </c>
      <c r="H150" s="246"/>
      <c r="I150" s="246"/>
      <c r="J150" s="46">
        <v>1</v>
      </c>
      <c r="K150" s="46">
        <f t="shared" si="54"/>
        <v>2</v>
      </c>
      <c r="L150" s="173">
        <v>2</v>
      </c>
      <c r="M150" s="174">
        <v>8</v>
      </c>
      <c r="N150" s="46">
        <f>DATA!$D$6</f>
        <v>2504.98</v>
      </c>
      <c r="O150" s="46">
        <f t="shared" si="55"/>
        <v>40079.68</v>
      </c>
      <c r="P150" s="46">
        <f t="shared" si="56"/>
        <v>16</v>
      </c>
    </row>
    <row r="151" spans="1:16" s="36" customFormat="1" ht="10.7" customHeight="1" outlineLevel="1" x14ac:dyDescent="0.25">
      <c r="A151" s="250"/>
      <c r="B151" s="228"/>
      <c r="C151" s="252"/>
      <c r="D151" s="252"/>
      <c r="E151" s="252"/>
      <c r="F151" s="252"/>
      <c r="G151" s="46" t="s">
        <v>81</v>
      </c>
      <c r="H151" s="246"/>
      <c r="I151" s="246"/>
      <c r="J151" s="46">
        <v>1</v>
      </c>
      <c r="K151" s="46">
        <f t="shared" si="54"/>
        <v>0</v>
      </c>
      <c r="L151" s="173">
        <v>0</v>
      </c>
      <c r="M151" s="174">
        <v>8</v>
      </c>
      <c r="N151" s="46">
        <f>DATA!$D$7</f>
        <v>2254.48</v>
      </c>
      <c r="O151" s="46">
        <f t="shared" si="55"/>
        <v>0</v>
      </c>
      <c r="P151" s="46">
        <f t="shared" si="56"/>
        <v>0</v>
      </c>
    </row>
    <row r="152" spans="1:16" s="36" customFormat="1" ht="12" customHeight="1" outlineLevel="1" thickBot="1" x14ac:dyDescent="0.3">
      <c r="A152" s="251"/>
      <c r="B152" s="229"/>
      <c r="C152" s="253"/>
      <c r="D152" s="253"/>
      <c r="E152" s="253"/>
      <c r="F152" s="253"/>
      <c r="G152" s="46" t="s">
        <v>82</v>
      </c>
      <c r="H152" s="247"/>
      <c r="I152" s="247"/>
      <c r="J152" s="46">
        <v>1</v>
      </c>
      <c r="K152" s="46">
        <f t="shared" si="54"/>
        <v>0</v>
      </c>
      <c r="L152" s="173">
        <v>0</v>
      </c>
      <c r="M152" s="174">
        <v>8</v>
      </c>
      <c r="N152" s="46">
        <f>DATA!$D$8</f>
        <v>2129.23</v>
      </c>
      <c r="O152" s="46">
        <f t="shared" si="55"/>
        <v>0</v>
      </c>
      <c r="P152" s="46">
        <f t="shared" si="56"/>
        <v>0</v>
      </c>
    </row>
    <row r="153" spans="1:16" s="36" customFormat="1" ht="14.45" customHeight="1" outlineLevel="1" x14ac:dyDescent="0.25">
      <c r="A153" s="224" t="s">
        <v>91</v>
      </c>
      <c r="B153" s="227" t="s">
        <v>468</v>
      </c>
      <c r="C153" s="230">
        <f>SUM(,O153:O159)</f>
        <v>668749.05119999999</v>
      </c>
      <c r="D153" s="230">
        <f>SUM(,P153:P159)</f>
        <v>270.72000000000003</v>
      </c>
      <c r="E153" s="230">
        <f t="shared" ref="E153" si="57">D153/8</f>
        <v>33.840000000000003</v>
      </c>
      <c r="F153" s="230"/>
      <c r="G153" s="46" t="s">
        <v>76</v>
      </c>
      <c r="H153" s="245"/>
      <c r="I153" s="245"/>
      <c r="J153" s="46">
        <v>1</v>
      </c>
      <c r="K153" s="46">
        <f>L153*$S$8</f>
        <v>0.42</v>
      </c>
      <c r="L153" s="173">
        <v>0.42</v>
      </c>
      <c r="M153" s="174">
        <v>8</v>
      </c>
      <c r="N153" s="46">
        <f>DATA!$D$2</f>
        <v>5009.96</v>
      </c>
      <c r="O153" s="46">
        <f t="shared" si="55"/>
        <v>16833.4656</v>
      </c>
      <c r="P153" s="46">
        <f t="shared" si="56"/>
        <v>3.36</v>
      </c>
    </row>
    <row r="154" spans="1:16" s="36" customFormat="1" ht="11.45" customHeight="1" outlineLevel="1" x14ac:dyDescent="0.25">
      <c r="A154" s="250"/>
      <c r="B154" s="228"/>
      <c r="C154" s="252"/>
      <c r="D154" s="252"/>
      <c r="E154" s="252"/>
      <c r="F154" s="252"/>
      <c r="G154" s="46" t="s">
        <v>77</v>
      </c>
      <c r="H154" s="246"/>
      <c r="I154" s="246"/>
      <c r="J154" s="46">
        <v>1</v>
      </c>
      <c r="K154" s="46">
        <f t="shared" ref="K154:K159" si="58">L154*$S$8</f>
        <v>0.42</v>
      </c>
      <c r="L154" s="173">
        <v>0.42</v>
      </c>
      <c r="M154" s="174">
        <v>8</v>
      </c>
      <c r="N154" s="46">
        <f>DATA!$D$3</f>
        <v>4508.96</v>
      </c>
      <c r="O154" s="46">
        <f t="shared" si="55"/>
        <v>15150.105599999999</v>
      </c>
      <c r="P154" s="46">
        <f t="shared" si="56"/>
        <v>3.36</v>
      </c>
    </row>
    <row r="155" spans="1:16" s="36" customFormat="1" ht="10.7" customHeight="1" outlineLevel="1" x14ac:dyDescent="0.25">
      <c r="A155" s="250"/>
      <c r="B155" s="228"/>
      <c r="C155" s="252"/>
      <c r="D155" s="252"/>
      <c r="E155" s="252"/>
      <c r="F155" s="252"/>
      <c r="G155" s="46" t="s">
        <v>78</v>
      </c>
      <c r="H155" s="246"/>
      <c r="I155" s="246"/>
      <c r="J155" s="46">
        <v>1</v>
      </c>
      <c r="K155" s="46">
        <f t="shared" si="58"/>
        <v>1.5</v>
      </c>
      <c r="L155" s="173">
        <v>1.5</v>
      </c>
      <c r="M155" s="174">
        <v>8</v>
      </c>
      <c r="N155" s="46">
        <f>DATA!$D$4</f>
        <v>3757.47</v>
      </c>
      <c r="O155" s="46">
        <f t="shared" si="55"/>
        <v>45089.64</v>
      </c>
      <c r="P155" s="46">
        <f t="shared" si="56"/>
        <v>12</v>
      </c>
    </row>
    <row r="156" spans="1:16" s="36" customFormat="1" ht="10.7" customHeight="1" outlineLevel="1" x14ac:dyDescent="0.25">
      <c r="A156" s="250"/>
      <c r="B156" s="228"/>
      <c r="C156" s="252"/>
      <c r="D156" s="252"/>
      <c r="E156" s="252"/>
      <c r="F156" s="252"/>
      <c r="G156" s="46" t="s">
        <v>79</v>
      </c>
      <c r="H156" s="246"/>
      <c r="I156" s="246"/>
      <c r="J156" s="46">
        <v>1</v>
      </c>
      <c r="K156" s="46">
        <f t="shared" si="58"/>
        <v>1.5</v>
      </c>
      <c r="L156" s="173">
        <v>1.5</v>
      </c>
      <c r="M156" s="174">
        <v>8</v>
      </c>
      <c r="N156" s="46">
        <f>DATA!$D$5</f>
        <v>3381.72</v>
      </c>
      <c r="O156" s="46">
        <f t="shared" si="55"/>
        <v>40580.639999999999</v>
      </c>
      <c r="P156" s="46">
        <f t="shared" si="56"/>
        <v>12</v>
      </c>
    </row>
    <row r="157" spans="1:16" s="36" customFormat="1" ht="10.7" customHeight="1" outlineLevel="1" x14ac:dyDescent="0.25">
      <c r="A157" s="250"/>
      <c r="B157" s="228"/>
      <c r="C157" s="252"/>
      <c r="D157" s="252"/>
      <c r="E157" s="252"/>
      <c r="F157" s="252"/>
      <c r="G157" s="46" t="s">
        <v>80</v>
      </c>
      <c r="H157" s="246"/>
      <c r="I157" s="246"/>
      <c r="J157" s="46">
        <v>1</v>
      </c>
      <c r="K157" s="46">
        <f t="shared" si="58"/>
        <v>10</v>
      </c>
      <c r="L157" s="173">
        <v>10</v>
      </c>
      <c r="M157" s="174">
        <v>8</v>
      </c>
      <c r="N157" s="46">
        <f>DATA!$D$6</f>
        <v>2504.98</v>
      </c>
      <c r="O157" s="46">
        <f t="shared" si="55"/>
        <v>200398.4</v>
      </c>
      <c r="P157" s="46">
        <f t="shared" si="56"/>
        <v>80</v>
      </c>
    </row>
    <row r="158" spans="1:16" s="36" customFormat="1" ht="10.7" customHeight="1" outlineLevel="1" x14ac:dyDescent="0.25">
      <c r="A158" s="250"/>
      <c r="B158" s="228"/>
      <c r="C158" s="252"/>
      <c r="D158" s="252"/>
      <c r="E158" s="252"/>
      <c r="F158" s="252"/>
      <c r="G158" s="46" t="s">
        <v>81</v>
      </c>
      <c r="H158" s="246"/>
      <c r="I158" s="246"/>
      <c r="J158" s="46">
        <v>1</v>
      </c>
      <c r="K158" s="46">
        <f t="shared" si="58"/>
        <v>10</v>
      </c>
      <c r="L158" s="173">
        <v>10</v>
      </c>
      <c r="M158" s="174">
        <v>8</v>
      </c>
      <c r="N158" s="46">
        <f>DATA!$D$7</f>
        <v>2254.48</v>
      </c>
      <c r="O158" s="46">
        <f t="shared" si="55"/>
        <v>180358.39999999999</v>
      </c>
      <c r="P158" s="46">
        <f t="shared" si="56"/>
        <v>80</v>
      </c>
    </row>
    <row r="159" spans="1:16" s="36" customFormat="1" ht="12" customHeight="1" outlineLevel="1" thickBot="1" x14ac:dyDescent="0.3">
      <c r="A159" s="251"/>
      <c r="B159" s="229"/>
      <c r="C159" s="253"/>
      <c r="D159" s="253"/>
      <c r="E159" s="253"/>
      <c r="F159" s="253"/>
      <c r="G159" s="46" t="s">
        <v>82</v>
      </c>
      <c r="H159" s="247"/>
      <c r="I159" s="247"/>
      <c r="J159" s="46">
        <v>1</v>
      </c>
      <c r="K159" s="46">
        <f t="shared" si="58"/>
        <v>10</v>
      </c>
      <c r="L159" s="173">
        <v>10</v>
      </c>
      <c r="M159" s="174">
        <v>8</v>
      </c>
      <c r="N159" s="46">
        <f>DATA!$D$8</f>
        <v>2129.23</v>
      </c>
      <c r="O159" s="46">
        <f t="shared" si="55"/>
        <v>170338.4</v>
      </c>
      <c r="P159" s="46">
        <f t="shared" si="56"/>
        <v>80</v>
      </c>
    </row>
    <row r="160" spans="1:16" s="37" customFormat="1" ht="15.75" x14ac:dyDescent="0.25">
      <c r="A160" s="177" t="s">
        <v>26</v>
      </c>
      <c r="B160" s="178" t="s">
        <v>116</v>
      </c>
      <c r="C160" s="175">
        <f>SUBTOTAL(9,C161:C181)</f>
        <v>8533475.5999999996</v>
      </c>
      <c r="D160" s="175">
        <f>SUBTOTAL(9,D161:D181)</f>
        <v>2548</v>
      </c>
      <c r="E160" s="175">
        <f>SUBTOTAL(9,E161:E181)</f>
        <v>318.5</v>
      </c>
      <c r="F160" s="44"/>
      <c r="G160" s="44"/>
      <c r="H160" s="44"/>
      <c r="I160" s="44"/>
      <c r="J160" s="44"/>
      <c r="K160" s="44"/>
      <c r="L160" s="179"/>
      <c r="M160" s="44"/>
      <c r="N160" s="44"/>
      <c r="O160" s="44"/>
      <c r="P160" s="39"/>
    </row>
    <row r="161" spans="1:16" s="36" customFormat="1" ht="14.45" customHeight="1" outlineLevel="1" x14ac:dyDescent="0.25">
      <c r="A161" s="224" t="s">
        <v>92</v>
      </c>
      <c r="B161" s="237" t="s">
        <v>113</v>
      </c>
      <c r="C161" s="230">
        <f>SUM(,O161:O167)</f>
        <v>2257341.4399999999</v>
      </c>
      <c r="D161" s="230">
        <f>SUM(,P161:P167)</f>
        <v>672</v>
      </c>
      <c r="E161" s="230">
        <f t="shared" ref="E161:E168" si="59">D161/8</f>
        <v>84</v>
      </c>
      <c r="F161" s="230"/>
      <c r="G161" s="46" t="s">
        <v>76</v>
      </c>
      <c r="H161" s="235"/>
      <c r="I161" s="235"/>
      <c r="J161" s="46">
        <v>1</v>
      </c>
      <c r="K161" s="46">
        <f>L161*$S$8</f>
        <v>1</v>
      </c>
      <c r="L161" s="173">
        <v>1</v>
      </c>
      <c r="M161" s="174">
        <v>8</v>
      </c>
      <c r="N161" s="46">
        <f>DATA!$D$2</f>
        <v>5009.96</v>
      </c>
      <c r="O161" s="46">
        <f t="shared" ref="O161:O181" si="60">N161*J161*K161*M161</f>
        <v>40079.68</v>
      </c>
      <c r="P161" s="46">
        <f t="shared" ref="P161:P181" si="61">J161*K161*M161</f>
        <v>8</v>
      </c>
    </row>
    <row r="162" spans="1:16" s="36" customFormat="1" ht="11.45" customHeight="1" outlineLevel="1" x14ac:dyDescent="0.25">
      <c r="A162" s="250"/>
      <c r="B162" s="238"/>
      <c r="C162" s="248"/>
      <c r="D162" s="231"/>
      <c r="E162" s="231"/>
      <c r="F162" s="233"/>
      <c r="G162" s="46" t="s">
        <v>77</v>
      </c>
      <c r="H162" s="225"/>
      <c r="I162" s="225"/>
      <c r="J162" s="46">
        <v>1</v>
      </c>
      <c r="K162" s="46">
        <f t="shared" ref="K162:K167" si="62">L162*$S$8</f>
        <v>1</v>
      </c>
      <c r="L162" s="173">
        <v>1</v>
      </c>
      <c r="M162" s="174">
        <v>8</v>
      </c>
      <c r="N162" s="46">
        <f>DATA!$D$3</f>
        <v>4508.96</v>
      </c>
      <c r="O162" s="46">
        <f t="shared" si="60"/>
        <v>36071.68</v>
      </c>
      <c r="P162" s="46">
        <f t="shared" si="61"/>
        <v>8</v>
      </c>
    </row>
    <row r="163" spans="1:16" s="36" customFormat="1" ht="10.7" customHeight="1" outlineLevel="1" x14ac:dyDescent="0.25">
      <c r="A163" s="250"/>
      <c r="B163" s="238"/>
      <c r="C163" s="248"/>
      <c r="D163" s="231"/>
      <c r="E163" s="231"/>
      <c r="F163" s="233"/>
      <c r="G163" s="46" t="s">
        <v>78</v>
      </c>
      <c r="H163" s="225"/>
      <c r="I163" s="225"/>
      <c r="J163" s="46">
        <v>1</v>
      </c>
      <c r="K163" s="46">
        <f t="shared" si="62"/>
        <v>4</v>
      </c>
      <c r="L163" s="173">
        <v>4</v>
      </c>
      <c r="M163" s="174">
        <v>8</v>
      </c>
      <c r="N163" s="46">
        <f>DATA!$D$4</f>
        <v>3757.47</v>
      </c>
      <c r="O163" s="46">
        <f t="shared" si="60"/>
        <v>120239.03999999999</v>
      </c>
      <c r="P163" s="46">
        <f t="shared" si="61"/>
        <v>32</v>
      </c>
    </row>
    <row r="164" spans="1:16" s="36" customFormat="1" ht="10.7" customHeight="1" outlineLevel="1" x14ac:dyDescent="0.25">
      <c r="A164" s="250"/>
      <c r="B164" s="238"/>
      <c r="C164" s="248"/>
      <c r="D164" s="231"/>
      <c r="E164" s="231"/>
      <c r="F164" s="233"/>
      <c r="G164" s="46" t="s">
        <v>79</v>
      </c>
      <c r="H164" s="225"/>
      <c r="I164" s="225"/>
      <c r="J164" s="46">
        <v>1</v>
      </c>
      <c r="K164" s="46">
        <f t="shared" si="62"/>
        <v>6</v>
      </c>
      <c r="L164" s="173">
        <v>6</v>
      </c>
      <c r="M164" s="174">
        <v>8</v>
      </c>
      <c r="N164" s="46">
        <f>DATA!$D$5</f>
        <v>3381.72</v>
      </c>
      <c r="O164" s="46">
        <f t="shared" si="60"/>
        <v>162322.56</v>
      </c>
      <c r="P164" s="46">
        <f t="shared" si="61"/>
        <v>48</v>
      </c>
    </row>
    <row r="165" spans="1:16" s="36" customFormat="1" ht="10.7" customHeight="1" outlineLevel="1" x14ac:dyDescent="0.25">
      <c r="A165" s="250"/>
      <c r="B165" s="238"/>
      <c r="C165" s="248"/>
      <c r="D165" s="231"/>
      <c r="E165" s="231"/>
      <c r="F165" s="233"/>
      <c r="G165" s="46" t="s">
        <v>80</v>
      </c>
      <c r="H165" s="225"/>
      <c r="I165" s="225"/>
      <c r="J165" s="46">
        <v>2</v>
      </c>
      <c r="K165" s="46">
        <f t="shared" si="62"/>
        <v>12</v>
      </c>
      <c r="L165" s="173">
        <v>12</v>
      </c>
      <c r="M165" s="174">
        <v>8</v>
      </c>
      <c r="N165" s="46">
        <f>DATA!$D$6+1000</f>
        <v>3504.98</v>
      </c>
      <c r="O165" s="46">
        <f t="shared" si="60"/>
        <v>672956.16</v>
      </c>
      <c r="P165" s="46">
        <f t="shared" si="61"/>
        <v>192</v>
      </c>
    </row>
    <row r="166" spans="1:16" s="36" customFormat="1" ht="10.7" customHeight="1" outlineLevel="1" x14ac:dyDescent="0.25">
      <c r="A166" s="250"/>
      <c r="B166" s="238"/>
      <c r="C166" s="248"/>
      <c r="D166" s="231"/>
      <c r="E166" s="231"/>
      <c r="F166" s="233"/>
      <c r="G166" s="46" t="s">
        <v>81</v>
      </c>
      <c r="H166" s="225"/>
      <c r="I166" s="225"/>
      <c r="J166" s="46">
        <v>2</v>
      </c>
      <c r="K166" s="46">
        <f t="shared" si="62"/>
        <v>12</v>
      </c>
      <c r="L166" s="173">
        <v>12</v>
      </c>
      <c r="M166" s="174">
        <v>8</v>
      </c>
      <c r="N166" s="46">
        <f>DATA!$D$7+1000</f>
        <v>3254.48</v>
      </c>
      <c r="O166" s="46">
        <f t="shared" si="60"/>
        <v>624860.16000000003</v>
      </c>
      <c r="P166" s="46">
        <f t="shared" si="61"/>
        <v>192</v>
      </c>
    </row>
    <row r="167" spans="1:16" s="36" customFormat="1" ht="12" customHeight="1" outlineLevel="1" thickBot="1" x14ac:dyDescent="0.3">
      <c r="A167" s="251"/>
      <c r="B167" s="239"/>
      <c r="C167" s="249"/>
      <c r="D167" s="232"/>
      <c r="E167" s="232"/>
      <c r="F167" s="234"/>
      <c r="G167" s="46" t="s">
        <v>82</v>
      </c>
      <c r="H167" s="236"/>
      <c r="I167" s="236"/>
      <c r="J167" s="46">
        <v>2</v>
      </c>
      <c r="K167" s="46">
        <f t="shared" si="62"/>
        <v>12</v>
      </c>
      <c r="L167" s="173">
        <v>12</v>
      </c>
      <c r="M167" s="174">
        <v>8</v>
      </c>
      <c r="N167" s="46">
        <f>DATA!$D$8+1000</f>
        <v>3129.23</v>
      </c>
      <c r="O167" s="46">
        <f t="shared" si="60"/>
        <v>600812.16</v>
      </c>
      <c r="P167" s="46">
        <f t="shared" si="61"/>
        <v>192</v>
      </c>
    </row>
    <row r="168" spans="1:16" s="36" customFormat="1" ht="14.45" customHeight="1" outlineLevel="1" x14ac:dyDescent="0.25">
      <c r="A168" s="224" t="s">
        <v>93</v>
      </c>
      <c r="B168" s="237" t="s">
        <v>114</v>
      </c>
      <c r="C168" s="230">
        <f>SUM(,O168:O174)</f>
        <v>3637320.8000000003</v>
      </c>
      <c r="D168" s="230">
        <f>SUM(,P168:P174)</f>
        <v>1088</v>
      </c>
      <c r="E168" s="230">
        <f t="shared" si="59"/>
        <v>136</v>
      </c>
      <c r="F168" s="230"/>
      <c r="G168" s="46" t="s">
        <v>76</v>
      </c>
      <c r="H168" s="235"/>
      <c r="I168" s="235"/>
      <c r="J168" s="46">
        <v>1</v>
      </c>
      <c r="K168" s="46">
        <f>L168*$S$8</f>
        <v>1</v>
      </c>
      <c r="L168" s="173">
        <v>1</v>
      </c>
      <c r="M168" s="174">
        <v>8</v>
      </c>
      <c r="N168" s="46">
        <f>DATA!$D$2</f>
        <v>5009.96</v>
      </c>
      <c r="O168" s="46">
        <f t="shared" si="60"/>
        <v>40079.68</v>
      </c>
      <c r="P168" s="46">
        <f t="shared" si="61"/>
        <v>8</v>
      </c>
    </row>
    <row r="169" spans="1:16" s="36" customFormat="1" ht="11.45" customHeight="1" outlineLevel="1" x14ac:dyDescent="0.25">
      <c r="A169" s="250"/>
      <c r="B169" s="238"/>
      <c r="C169" s="248"/>
      <c r="D169" s="231"/>
      <c r="E169" s="231"/>
      <c r="F169" s="233"/>
      <c r="G169" s="46" t="s">
        <v>77</v>
      </c>
      <c r="H169" s="225"/>
      <c r="I169" s="225"/>
      <c r="J169" s="46">
        <v>1</v>
      </c>
      <c r="K169" s="46">
        <f t="shared" ref="K169:K174" si="63">L169*$S$8</f>
        <v>1</v>
      </c>
      <c r="L169" s="173">
        <v>1</v>
      </c>
      <c r="M169" s="174">
        <v>8</v>
      </c>
      <c r="N169" s="46">
        <f>DATA!$D$3</f>
        <v>4508.96</v>
      </c>
      <c r="O169" s="46">
        <f t="shared" si="60"/>
        <v>36071.68</v>
      </c>
      <c r="P169" s="46">
        <f t="shared" si="61"/>
        <v>8</v>
      </c>
    </row>
    <row r="170" spans="1:16" s="36" customFormat="1" ht="10.7" customHeight="1" outlineLevel="1" x14ac:dyDescent="0.25">
      <c r="A170" s="250"/>
      <c r="B170" s="238"/>
      <c r="C170" s="248"/>
      <c r="D170" s="231"/>
      <c r="E170" s="231"/>
      <c r="F170" s="233"/>
      <c r="G170" s="46" t="s">
        <v>78</v>
      </c>
      <c r="H170" s="225"/>
      <c r="I170" s="225"/>
      <c r="J170" s="46">
        <v>1</v>
      </c>
      <c r="K170" s="46">
        <f t="shared" si="63"/>
        <v>6</v>
      </c>
      <c r="L170" s="173">
        <v>6</v>
      </c>
      <c r="M170" s="174">
        <v>8</v>
      </c>
      <c r="N170" s="46">
        <f>DATA!$D$4</f>
        <v>3757.47</v>
      </c>
      <c r="O170" s="46">
        <f t="shared" si="60"/>
        <v>180358.56</v>
      </c>
      <c r="P170" s="46">
        <f t="shared" si="61"/>
        <v>48</v>
      </c>
    </row>
    <row r="171" spans="1:16" s="36" customFormat="1" ht="10.7" customHeight="1" outlineLevel="1" x14ac:dyDescent="0.25">
      <c r="A171" s="250"/>
      <c r="B171" s="238"/>
      <c r="C171" s="248"/>
      <c r="D171" s="231"/>
      <c r="E171" s="231"/>
      <c r="F171" s="233"/>
      <c r="G171" s="46" t="s">
        <v>79</v>
      </c>
      <c r="H171" s="225"/>
      <c r="I171" s="225"/>
      <c r="J171" s="46">
        <v>1</v>
      </c>
      <c r="K171" s="46">
        <f t="shared" si="63"/>
        <v>8</v>
      </c>
      <c r="L171" s="173">
        <v>8</v>
      </c>
      <c r="M171" s="174">
        <v>8</v>
      </c>
      <c r="N171" s="46">
        <f>DATA!$D$5</f>
        <v>3381.72</v>
      </c>
      <c r="O171" s="46">
        <f t="shared" si="60"/>
        <v>216430.07999999999</v>
      </c>
      <c r="P171" s="46">
        <f t="shared" si="61"/>
        <v>64</v>
      </c>
    </row>
    <row r="172" spans="1:16" s="36" customFormat="1" ht="10.7" customHeight="1" outlineLevel="1" x14ac:dyDescent="0.25">
      <c r="A172" s="250"/>
      <c r="B172" s="238"/>
      <c r="C172" s="248"/>
      <c r="D172" s="231"/>
      <c r="E172" s="231"/>
      <c r="F172" s="233"/>
      <c r="G172" s="46" t="s">
        <v>80</v>
      </c>
      <c r="H172" s="225"/>
      <c r="I172" s="225"/>
      <c r="J172" s="46">
        <v>2</v>
      </c>
      <c r="K172" s="46">
        <f t="shared" si="63"/>
        <v>20</v>
      </c>
      <c r="L172" s="173">
        <v>20</v>
      </c>
      <c r="M172" s="174">
        <v>8</v>
      </c>
      <c r="N172" s="46">
        <f>DATA!$D$6+1000</f>
        <v>3504.98</v>
      </c>
      <c r="O172" s="46">
        <f t="shared" si="60"/>
        <v>1121593.6000000001</v>
      </c>
      <c r="P172" s="46">
        <f t="shared" si="61"/>
        <v>320</v>
      </c>
    </row>
    <row r="173" spans="1:16" s="36" customFormat="1" ht="10.7" customHeight="1" outlineLevel="1" x14ac:dyDescent="0.25">
      <c r="A173" s="250"/>
      <c r="B173" s="238"/>
      <c r="C173" s="248"/>
      <c r="D173" s="231"/>
      <c r="E173" s="231"/>
      <c r="F173" s="233"/>
      <c r="G173" s="46" t="s">
        <v>81</v>
      </c>
      <c r="H173" s="225"/>
      <c r="I173" s="225"/>
      <c r="J173" s="46">
        <v>2</v>
      </c>
      <c r="K173" s="46">
        <f t="shared" si="63"/>
        <v>20</v>
      </c>
      <c r="L173" s="173">
        <v>20</v>
      </c>
      <c r="M173" s="174">
        <v>8</v>
      </c>
      <c r="N173" s="46">
        <f>DATA!$D$7+1000</f>
        <v>3254.48</v>
      </c>
      <c r="O173" s="46">
        <f t="shared" si="60"/>
        <v>1041433.6</v>
      </c>
      <c r="P173" s="46">
        <f t="shared" si="61"/>
        <v>320</v>
      </c>
    </row>
    <row r="174" spans="1:16" s="36" customFormat="1" ht="12" customHeight="1" outlineLevel="1" thickBot="1" x14ac:dyDescent="0.3">
      <c r="A174" s="251"/>
      <c r="B174" s="239"/>
      <c r="C174" s="249"/>
      <c r="D174" s="232"/>
      <c r="E174" s="232"/>
      <c r="F174" s="234"/>
      <c r="G174" s="46" t="s">
        <v>82</v>
      </c>
      <c r="H174" s="236"/>
      <c r="I174" s="236"/>
      <c r="J174" s="46">
        <v>2</v>
      </c>
      <c r="K174" s="46">
        <f t="shared" si="63"/>
        <v>20</v>
      </c>
      <c r="L174" s="173">
        <v>20</v>
      </c>
      <c r="M174" s="174">
        <v>8</v>
      </c>
      <c r="N174" s="46">
        <f>DATA!$D$8+1000</f>
        <v>3129.23</v>
      </c>
      <c r="O174" s="46">
        <f t="shared" si="60"/>
        <v>1001353.6</v>
      </c>
      <c r="P174" s="46">
        <f t="shared" si="61"/>
        <v>320</v>
      </c>
    </row>
    <row r="175" spans="1:16" s="36" customFormat="1" ht="14.45" customHeight="1" outlineLevel="1" x14ac:dyDescent="0.25">
      <c r="A175" s="224" t="s">
        <v>115</v>
      </c>
      <c r="B175" s="237" t="s">
        <v>469</v>
      </c>
      <c r="C175" s="230">
        <f>SUM(,O175:O181)</f>
        <v>2638813.36</v>
      </c>
      <c r="D175" s="230">
        <f>SUM(,P175:P181)</f>
        <v>788</v>
      </c>
      <c r="E175" s="230">
        <f t="shared" ref="E175" si="64">D175/8</f>
        <v>98.5</v>
      </c>
      <c r="F175" s="230"/>
      <c r="G175" s="46" t="s">
        <v>76</v>
      </c>
      <c r="H175" s="235"/>
      <c r="I175" s="235"/>
      <c r="J175" s="46">
        <v>1</v>
      </c>
      <c r="K175" s="46">
        <f>L175*$S$8</f>
        <v>1</v>
      </c>
      <c r="L175" s="173">
        <v>1</v>
      </c>
      <c r="M175" s="174">
        <v>8</v>
      </c>
      <c r="N175" s="46">
        <f>DATA!$D$2</f>
        <v>5009.96</v>
      </c>
      <c r="O175" s="46">
        <f t="shared" si="60"/>
        <v>40079.68</v>
      </c>
      <c r="P175" s="46">
        <f t="shared" si="61"/>
        <v>8</v>
      </c>
    </row>
    <row r="176" spans="1:16" s="36" customFormat="1" ht="11.45" customHeight="1" outlineLevel="1" x14ac:dyDescent="0.25">
      <c r="A176" s="250"/>
      <c r="B176" s="238"/>
      <c r="C176" s="248"/>
      <c r="D176" s="231"/>
      <c r="E176" s="231"/>
      <c r="F176" s="233"/>
      <c r="G176" s="46" t="s">
        <v>77</v>
      </c>
      <c r="H176" s="225"/>
      <c r="I176" s="225"/>
      <c r="J176" s="46">
        <v>1</v>
      </c>
      <c r="K176" s="46">
        <f t="shared" ref="K176:K181" si="65">L176*$S$8</f>
        <v>1.5</v>
      </c>
      <c r="L176" s="173">
        <v>1.5</v>
      </c>
      <c r="M176" s="174">
        <v>8</v>
      </c>
      <c r="N176" s="46">
        <f>DATA!$D$3</f>
        <v>4508.96</v>
      </c>
      <c r="O176" s="46">
        <f t="shared" si="60"/>
        <v>54107.520000000004</v>
      </c>
      <c r="P176" s="46">
        <f t="shared" si="61"/>
        <v>12</v>
      </c>
    </row>
    <row r="177" spans="1:16" s="36" customFormat="1" ht="10.7" customHeight="1" outlineLevel="1" x14ac:dyDescent="0.25">
      <c r="A177" s="250"/>
      <c r="B177" s="238"/>
      <c r="C177" s="248"/>
      <c r="D177" s="231"/>
      <c r="E177" s="231"/>
      <c r="F177" s="233"/>
      <c r="G177" s="46" t="s">
        <v>78</v>
      </c>
      <c r="H177" s="225"/>
      <c r="I177" s="225"/>
      <c r="J177" s="46">
        <v>1</v>
      </c>
      <c r="K177" s="46">
        <f t="shared" si="65"/>
        <v>3</v>
      </c>
      <c r="L177" s="173">
        <v>3</v>
      </c>
      <c r="M177" s="174">
        <v>8</v>
      </c>
      <c r="N177" s="46">
        <f>DATA!$D$4</f>
        <v>3757.47</v>
      </c>
      <c r="O177" s="46">
        <f t="shared" si="60"/>
        <v>90179.28</v>
      </c>
      <c r="P177" s="46">
        <f t="shared" si="61"/>
        <v>24</v>
      </c>
    </row>
    <row r="178" spans="1:16" s="36" customFormat="1" ht="10.7" customHeight="1" outlineLevel="1" x14ac:dyDescent="0.25">
      <c r="A178" s="250"/>
      <c r="B178" s="238"/>
      <c r="C178" s="248"/>
      <c r="D178" s="231"/>
      <c r="E178" s="231"/>
      <c r="F178" s="233"/>
      <c r="G178" s="46" t="s">
        <v>79</v>
      </c>
      <c r="H178" s="225"/>
      <c r="I178" s="225"/>
      <c r="J178" s="46">
        <v>1</v>
      </c>
      <c r="K178" s="46">
        <f t="shared" si="65"/>
        <v>3</v>
      </c>
      <c r="L178" s="173">
        <v>3</v>
      </c>
      <c r="M178" s="174">
        <v>8</v>
      </c>
      <c r="N178" s="46">
        <f>DATA!$D$5</f>
        <v>3381.72</v>
      </c>
      <c r="O178" s="46">
        <f t="shared" si="60"/>
        <v>81161.279999999999</v>
      </c>
      <c r="P178" s="46">
        <f t="shared" si="61"/>
        <v>24</v>
      </c>
    </row>
    <row r="179" spans="1:16" s="36" customFormat="1" ht="10.7" customHeight="1" outlineLevel="1" x14ac:dyDescent="0.25">
      <c r="A179" s="250"/>
      <c r="B179" s="238"/>
      <c r="C179" s="248"/>
      <c r="D179" s="231"/>
      <c r="E179" s="231"/>
      <c r="F179" s="233"/>
      <c r="G179" s="46" t="s">
        <v>80</v>
      </c>
      <c r="H179" s="225"/>
      <c r="I179" s="225"/>
      <c r="J179" s="46">
        <v>2</v>
      </c>
      <c r="K179" s="46">
        <f t="shared" si="65"/>
        <v>15</v>
      </c>
      <c r="L179" s="173">
        <v>15</v>
      </c>
      <c r="M179" s="174">
        <v>8</v>
      </c>
      <c r="N179" s="46">
        <f>DATA!$D$6+1000</f>
        <v>3504.98</v>
      </c>
      <c r="O179" s="46">
        <f t="shared" si="60"/>
        <v>841195.2</v>
      </c>
      <c r="P179" s="46">
        <f t="shared" si="61"/>
        <v>240</v>
      </c>
    </row>
    <row r="180" spans="1:16" s="36" customFormat="1" ht="10.7" customHeight="1" outlineLevel="1" x14ac:dyDescent="0.25">
      <c r="A180" s="250"/>
      <c r="B180" s="238"/>
      <c r="C180" s="248"/>
      <c r="D180" s="231"/>
      <c r="E180" s="231"/>
      <c r="F180" s="233"/>
      <c r="G180" s="46" t="s">
        <v>81</v>
      </c>
      <c r="H180" s="225"/>
      <c r="I180" s="225"/>
      <c r="J180" s="46">
        <v>2</v>
      </c>
      <c r="K180" s="46">
        <f t="shared" si="65"/>
        <v>15</v>
      </c>
      <c r="L180" s="173">
        <v>15</v>
      </c>
      <c r="M180" s="174">
        <v>8</v>
      </c>
      <c r="N180" s="46">
        <f>DATA!$D$7+1000</f>
        <v>3254.48</v>
      </c>
      <c r="O180" s="46">
        <f t="shared" si="60"/>
        <v>781075.2</v>
      </c>
      <c r="P180" s="46">
        <f t="shared" si="61"/>
        <v>240</v>
      </c>
    </row>
    <row r="181" spans="1:16" s="36" customFormat="1" ht="12" customHeight="1" outlineLevel="1" thickBot="1" x14ac:dyDescent="0.3">
      <c r="A181" s="251"/>
      <c r="B181" s="239"/>
      <c r="C181" s="249"/>
      <c r="D181" s="232"/>
      <c r="E181" s="232"/>
      <c r="F181" s="234"/>
      <c r="G181" s="46" t="s">
        <v>82</v>
      </c>
      <c r="H181" s="236"/>
      <c r="I181" s="236"/>
      <c r="J181" s="46">
        <v>2</v>
      </c>
      <c r="K181" s="46">
        <f t="shared" si="65"/>
        <v>15</v>
      </c>
      <c r="L181" s="173">
        <v>15</v>
      </c>
      <c r="M181" s="174">
        <v>8</v>
      </c>
      <c r="N181" s="46">
        <f>DATA!$D$8+1000</f>
        <v>3129.23</v>
      </c>
      <c r="O181" s="46">
        <f t="shared" si="60"/>
        <v>751015.2</v>
      </c>
      <c r="P181" s="46">
        <f t="shared" si="61"/>
        <v>240</v>
      </c>
    </row>
    <row r="182" spans="1:16" s="37" customFormat="1" ht="15.75" x14ac:dyDescent="0.25">
      <c r="A182" s="177" t="s">
        <v>40</v>
      </c>
      <c r="B182" s="178" t="s">
        <v>470</v>
      </c>
      <c r="C182" s="175">
        <f>SUBTOTAL(9,C183)</f>
        <v>2466021.4655999998</v>
      </c>
      <c r="D182" s="175">
        <f>SUBTOTAL(9,D183)</f>
        <v>931.36</v>
      </c>
      <c r="E182" s="175">
        <f>SUBTOTAL(9,E183)</f>
        <v>116.42</v>
      </c>
      <c r="F182" s="44"/>
      <c r="G182" s="44"/>
      <c r="H182" s="44"/>
      <c r="I182" s="44"/>
      <c r="J182" s="44"/>
      <c r="K182" s="44"/>
      <c r="L182" s="179"/>
      <c r="M182" s="44"/>
      <c r="N182" s="44"/>
      <c r="O182" s="44"/>
      <c r="P182" s="39"/>
    </row>
    <row r="183" spans="1:16" s="36" customFormat="1" ht="14.45" customHeight="1" outlineLevel="1" x14ac:dyDescent="0.25">
      <c r="A183" s="224" t="s">
        <v>94</v>
      </c>
      <c r="B183" s="227" t="s">
        <v>471</v>
      </c>
      <c r="C183" s="230">
        <f>SUM(,O183:O189)</f>
        <v>2466021.4655999998</v>
      </c>
      <c r="D183" s="230">
        <f>SUM(,P183:P189)</f>
        <v>931.36</v>
      </c>
      <c r="E183" s="230">
        <f t="shared" ref="E183" si="66">D183/8</f>
        <v>116.42</v>
      </c>
      <c r="F183" s="230"/>
      <c r="G183" s="46" t="s">
        <v>76</v>
      </c>
      <c r="H183" s="235"/>
      <c r="I183" s="235"/>
      <c r="J183" s="46">
        <v>1</v>
      </c>
      <c r="K183" s="46">
        <f>L183*$S$8</f>
        <v>10</v>
      </c>
      <c r="L183" s="173">
        <v>10</v>
      </c>
      <c r="M183" s="174">
        <v>8</v>
      </c>
      <c r="N183" s="46">
        <f>DATA!$D$2</f>
        <v>5009.96</v>
      </c>
      <c r="O183" s="46">
        <f t="shared" ref="O183:O189" si="67">N183*J183*K183*M183</f>
        <v>400796.8</v>
      </c>
      <c r="P183" s="46">
        <f t="shared" ref="P183:P189" si="68">J183*K183*M183</f>
        <v>80</v>
      </c>
    </row>
    <row r="184" spans="1:16" s="36" customFormat="1" ht="11.45" customHeight="1" outlineLevel="1" x14ac:dyDescent="0.25">
      <c r="A184" s="225"/>
      <c r="B184" s="228"/>
      <c r="C184" s="231"/>
      <c r="D184" s="231"/>
      <c r="E184" s="231"/>
      <c r="F184" s="233"/>
      <c r="G184" s="46" t="s">
        <v>77</v>
      </c>
      <c r="H184" s="225"/>
      <c r="I184" s="225"/>
      <c r="J184" s="46">
        <v>1</v>
      </c>
      <c r="K184" s="46">
        <f t="shared" ref="K184:K189" si="69">L184*$S$8</f>
        <v>0.42</v>
      </c>
      <c r="L184" s="173">
        <v>0.42</v>
      </c>
      <c r="M184" s="174">
        <v>8</v>
      </c>
      <c r="N184" s="46">
        <f>DATA!$D$3</f>
        <v>4508.96</v>
      </c>
      <c r="O184" s="46">
        <f t="shared" si="67"/>
        <v>15150.105599999999</v>
      </c>
      <c r="P184" s="46">
        <f t="shared" si="68"/>
        <v>3.36</v>
      </c>
    </row>
    <row r="185" spans="1:16" s="36" customFormat="1" ht="10.7" customHeight="1" outlineLevel="1" x14ac:dyDescent="0.25">
      <c r="A185" s="225"/>
      <c r="B185" s="228"/>
      <c r="C185" s="231"/>
      <c r="D185" s="231"/>
      <c r="E185" s="231"/>
      <c r="F185" s="233"/>
      <c r="G185" s="46" t="s">
        <v>78</v>
      </c>
      <c r="H185" s="225"/>
      <c r="I185" s="225"/>
      <c r="J185" s="46">
        <v>1</v>
      </c>
      <c r="K185" s="46">
        <f t="shared" si="69"/>
        <v>3</v>
      </c>
      <c r="L185" s="173">
        <v>3</v>
      </c>
      <c r="M185" s="174">
        <v>8</v>
      </c>
      <c r="N185" s="46">
        <f>DATA!$D$4</f>
        <v>3757.47</v>
      </c>
      <c r="O185" s="46">
        <f t="shared" si="67"/>
        <v>90179.28</v>
      </c>
      <c r="P185" s="46">
        <f t="shared" si="68"/>
        <v>24</v>
      </c>
    </row>
    <row r="186" spans="1:16" s="36" customFormat="1" ht="10.7" customHeight="1" outlineLevel="1" x14ac:dyDescent="0.25">
      <c r="A186" s="225"/>
      <c r="B186" s="228"/>
      <c r="C186" s="231"/>
      <c r="D186" s="231"/>
      <c r="E186" s="231"/>
      <c r="F186" s="233"/>
      <c r="G186" s="46" t="s">
        <v>79</v>
      </c>
      <c r="H186" s="225"/>
      <c r="I186" s="225"/>
      <c r="J186" s="46">
        <v>1</v>
      </c>
      <c r="K186" s="46">
        <f t="shared" si="69"/>
        <v>3</v>
      </c>
      <c r="L186" s="173">
        <v>3</v>
      </c>
      <c r="M186" s="174">
        <v>8</v>
      </c>
      <c r="N186" s="46">
        <f>DATA!$D$5</f>
        <v>3381.72</v>
      </c>
      <c r="O186" s="46">
        <f t="shared" si="67"/>
        <v>81161.279999999999</v>
      </c>
      <c r="P186" s="46">
        <f t="shared" si="68"/>
        <v>24</v>
      </c>
    </row>
    <row r="187" spans="1:16" s="36" customFormat="1" ht="10.7" customHeight="1" outlineLevel="1" x14ac:dyDescent="0.25">
      <c r="A187" s="225"/>
      <c r="B187" s="228"/>
      <c r="C187" s="231"/>
      <c r="D187" s="231"/>
      <c r="E187" s="231"/>
      <c r="F187" s="233"/>
      <c r="G187" s="46" t="s">
        <v>80</v>
      </c>
      <c r="H187" s="225"/>
      <c r="I187" s="225"/>
      <c r="J187" s="46">
        <v>5</v>
      </c>
      <c r="K187" s="46">
        <f t="shared" si="69"/>
        <v>10</v>
      </c>
      <c r="L187" s="173">
        <v>10</v>
      </c>
      <c r="M187" s="174">
        <v>8</v>
      </c>
      <c r="N187" s="46">
        <f>DATA!$D$6</f>
        <v>2504.98</v>
      </c>
      <c r="O187" s="46">
        <f t="shared" si="67"/>
        <v>1001992</v>
      </c>
      <c r="P187" s="46">
        <f t="shared" si="68"/>
        <v>400</v>
      </c>
    </row>
    <row r="188" spans="1:16" s="36" customFormat="1" ht="10.7" customHeight="1" outlineLevel="1" x14ac:dyDescent="0.25">
      <c r="A188" s="225"/>
      <c r="B188" s="228"/>
      <c r="C188" s="231"/>
      <c r="D188" s="231"/>
      <c r="E188" s="231"/>
      <c r="F188" s="233"/>
      <c r="G188" s="46" t="s">
        <v>81</v>
      </c>
      <c r="H188" s="225"/>
      <c r="I188" s="225"/>
      <c r="J188" s="46">
        <v>5</v>
      </c>
      <c r="K188" s="46">
        <f t="shared" si="69"/>
        <v>5</v>
      </c>
      <c r="L188" s="173">
        <v>5</v>
      </c>
      <c r="M188" s="174">
        <v>8</v>
      </c>
      <c r="N188" s="46">
        <f>DATA!$D$7</f>
        <v>2254.48</v>
      </c>
      <c r="O188" s="46">
        <f t="shared" si="67"/>
        <v>450896</v>
      </c>
      <c r="P188" s="46">
        <f t="shared" si="68"/>
        <v>200</v>
      </c>
    </row>
    <row r="189" spans="1:16" s="36" customFormat="1" ht="12" customHeight="1" outlineLevel="1" thickBot="1" x14ac:dyDescent="0.3">
      <c r="A189" s="226"/>
      <c r="B189" s="229"/>
      <c r="C189" s="232"/>
      <c r="D189" s="232"/>
      <c r="E189" s="232"/>
      <c r="F189" s="234"/>
      <c r="G189" s="46" t="s">
        <v>82</v>
      </c>
      <c r="H189" s="236"/>
      <c r="I189" s="236"/>
      <c r="J189" s="46">
        <v>5</v>
      </c>
      <c r="K189" s="46">
        <f t="shared" si="69"/>
        <v>5</v>
      </c>
      <c r="L189" s="173">
        <v>5</v>
      </c>
      <c r="M189" s="174">
        <v>8</v>
      </c>
      <c r="N189" s="46">
        <f>DATA!$D$8</f>
        <v>2129.23</v>
      </c>
      <c r="O189" s="46">
        <f t="shared" si="67"/>
        <v>425846</v>
      </c>
      <c r="P189" s="46">
        <f t="shared" si="68"/>
        <v>200</v>
      </c>
    </row>
    <row r="190" spans="1:16" s="37" customFormat="1" ht="15.75" x14ac:dyDescent="0.25">
      <c r="A190" s="177" t="s">
        <v>42</v>
      </c>
      <c r="B190" s="178" t="s">
        <v>527</v>
      </c>
      <c r="C190" s="175">
        <f>SUBTOTAL(9,C191:C211)</f>
        <v>6258438.2400000002</v>
      </c>
      <c r="D190" s="175">
        <f>SUBTOTAL(9,D191:D211)</f>
        <v>2584</v>
      </c>
      <c r="E190" s="175">
        <f>SUBTOTAL(9,E191:E211)</f>
        <v>323</v>
      </c>
      <c r="F190" s="44"/>
      <c r="G190" s="44"/>
      <c r="H190" s="44"/>
      <c r="I190" s="44"/>
      <c r="J190" s="44"/>
      <c r="K190" s="44"/>
      <c r="L190" s="179"/>
      <c r="M190" s="44"/>
      <c r="N190" s="44"/>
      <c r="O190" s="44"/>
      <c r="P190" s="39"/>
    </row>
    <row r="191" spans="1:16" s="36" customFormat="1" ht="14.45" customHeight="1" outlineLevel="1" x14ac:dyDescent="0.25">
      <c r="A191" s="224" t="s">
        <v>95</v>
      </c>
      <c r="B191" s="237" t="s">
        <v>526</v>
      </c>
      <c r="C191" s="230">
        <f>SUM(,O191:O197)</f>
        <v>6258438.2400000002</v>
      </c>
      <c r="D191" s="230">
        <f>SUM(,P191:P197)</f>
        <v>2584</v>
      </c>
      <c r="E191" s="230">
        <f t="shared" ref="E191:E205" si="70">D191/8</f>
        <v>323</v>
      </c>
      <c r="F191" s="230"/>
      <c r="G191" s="46" t="s">
        <v>76</v>
      </c>
      <c r="H191" s="235"/>
      <c r="I191" s="235"/>
      <c r="J191" s="46">
        <v>1</v>
      </c>
      <c r="K191" s="46">
        <f>L191*$S$8</f>
        <v>1.5</v>
      </c>
      <c r="L191" s="173">
        <v>1.5</v>
      </c>
      <c r="M191" s="174">
        <v>8</v>
      </c>
      <c r="N191" s="46">
        <f>DATA!$D$2</f>
        <v>5009.96</v>
      </c>
      <c r="O191" s="46">
        <f t="shared" ref="O191:O211" si="71">N191*J191*K191*M191</f>
        <v>60119.520000000004</v>
      </c>
      <c r="P191" s="46">
        <f t="shared" ref="P191:P211" si="72">J191*K191*M191</f>
        <v>12</v>
      </c>
    </row>
    <row r="192" spans="1:16" s="36" customFormat="1" ht="11.45" customHeight="1" outlineLevel="1" x14ac:dyDescent="0.25">
      <c r="A192" s="225"/>
      <c r="B192" s="238"/>
      <c r="C192" s="231"/>
      <c r="D192" s="231"/>
      <c r="E192" s="231"/>
      <c r="F192" s="233"/>
      <c r="G192" s="46" t="s">
        <v>77</v>
      </c>
      <c r="H192" s="225"/>
      <c r="I192" s="225"/>
      <c r="J192" s="46">
        <v>1</v>
      </c>
      <c r="K192" s="46">
        <f t="shared" ref="K192:K197" si="73">L192*$S$8</f>
        <v>1.5</v>
      </c>
      <c r="L192" s="173">
        <v>1.5</v>
      </c>
      <c r="M192" s="174">
        <v>8</v>
      </c>
      <c r="N192" s="46">
        <f>DATA!$D$3</f>
        <v>4508.96</v>
      </c>
      <c r="O192" s="46">
        <f t="shared" si="71"/>
        <v>54107.520000000004</v>
      </c>
      <c r="P192" s="46">
        <f t="shared" si="72"/>
        <v>12</v>
      </c>
    </row>
    <row r="193" spans="1:16" s="36" customFormat="1" ht="10.7" customHeight="1" outlineLevel="1" x14ac:dyDescent="0.25">
      <c r="A193" s="225"/>
      <c r="B193" s="238"/>
      <c r="C193" s="231"/>
      <c r="D193" s="231"/>
      <c r="E193" s="231"/>
      <c r="F193" s="233"/>
      <c r="G193" s="46" t="s">
        <v>78</v>
      </c>
      <c r="H193" s="225"/>
      <c r="I193" s="225"/>
      <c r="J193" s="46">
        <v>1</v>
      </c>
      <c r="K193" s="46">
        <f t="shared" si="73"/>
        <v>14</v>
      </c>
      <c r="L193" s="173">
        <v>14</v>
      </c>
      <c r="M193" s="174">
        <v>8</v>
      </c>
      <c r="N193" s="46">
        <f>DATA!$D$4</f>
        <v>3757.47</v>
      </c>
      <c r="O193" s="46">
        <f t="shared" si="71"/>
        <v>420836.63999999996</v>
      </c>
      <c r="P193" s="46">
        <f t="shared" si="72"/>
        <v>112</v>
      </c>
    </row>
    <row r="194" spans="1:16" s="36" customFormat="1" ht="10.7" customHeight="1" outlineLevel="1" x14ac:dyDescent="0.25">
      <c r="A194" s="225"/>
      <c r="B194" s="238"/>
      <c r="C194" s="231"/>
      <c r="D194" s="231"/>
      <c r="E194" s="231"/>
      <c r="F194" s="233"/>
      <c r="G194" s="46" t="s">
        <v>79</v>
      </c>
      <c r="H194" s="225"/>
      <c r="I194" s="225"/>
      <c r="J194" s="46">
        <v>2</v>
      </c>
      <c r="K194" s="46">
        <f t="shared" si="73"/>
        <v>3</v>
      </c>
      <c r="L194" s="173">
        <v>3</v>
      </c>
      <c r="M194" s="174">
        <v>8</v>
      </c>
      <c r="N194" s="46">
        <f>DATA!$D$5</f>
        <v>3381.72</v>
      </c>
      <c r="O194" s="46">
        <f t="shared" si="71"/>
        <v>162322.56</v>
      </c>
      <c r="P194" s="46">
        <f t="shared" si="72"/>
        <v>48</v>
      </c>
    </row>
    <row r="195" spans="1:16" s="36" customFormat="1" ht="10.7" customHeight="1" outlineLevel="1" x14ac:dyDescent="0.25">
      <c r="A195" s="225"/>
      <c r="B195" s="238"/>
      <c r="C195" s="231"/>
      <c r="D195" s="231"/>
      <c r="E195" s="231"/>
      <c r="F195" s="233"/>
      <c r="G195" s="46" t="s">
        <v>80</v>
      </c>
      <c r="H195" s="225"/>
      <c r="I195" s="225"/>
      <c r="J195" s="46">
        <v>2</v>
      </c>
      <c r="K195" s="46">
        <f t="shared" si="73"/>
        <v>60</v>
      </c>
      <c r="L195" s="173">
        <v>60</v>
      </c>
      <c r="M195" s="174">
        <v>8</v>
      </c>
      <c r="N195" s="46">
        <f>DATA!$D$6</f>
        <v>2504.98</v>
      </c>
      <c r="O195" s="46">
        <f t="shared" si="71"/>
        <v>2404780.7999999998</v>
      </c>
      <c r="P195" s="46">
        <f t="shared" si="72"/>
        <v>960</v>
      </c>
    </row>
    <row r="196" spans="1:16" s="36" customFormat="1" ht="10.7" customHeight="1" outlineLevel="1" x14ac:dyDescent="0.25">
      <c r="A196" s="225"/>
      <c r="B196" s="238"/>
      <c r="C196" s="231"/>
      <c r="D196" s="231"/>
      <c r="E196" s="231"/>
      <c r="F196" s="233"/>
      <c r="G196" s="46" t="s">
        <v>81</v>
      </c>
      <c r="H196" s="225"/>
      <c r="I196" s="225"/>
      <c r="J196" s="46">
        <v>2</v>
      </c>
      <c r="K196" s="46">
        <f t="shared" si="73"/>
        <v>45</v>
      </c>
      <c r="L196" s="173">
        <v>45</v>
      </c>
      <c r="M196" s="174">
        <v>8</v>
      </c>
      <c r="N196" s="46">
        <f>DATA!$D$7</f>
        <v>2254.48</v>
      </c>
      <c r="O196" s="46">
        <f t="shared" si="71"/>
        <v>1623225.6</v>
      </c>
      <c r="P196" s="46">
        <f t="shared" si="72"/>
        <v>720</v>
      </c>
    </row>
    <row r="197" spans="1:16" s="36" customFormat="1" ht="12" customHeight="1" outlineLevel="1" thickBot="1" x14ac:dyDescent="0.3">
      <c r="A197" s="226"/>
      <c r="B197" s="239"/>
      <c r="C197" s="232"/>
      <c r="D197" s="232"/>
      <c r="E197" s="232"/>
      <c r="F197" s="234"/>
      <c r="G197" s="46" t="s">
        <v>82</v>
      </c>
      <c r="H197" s="236"/>
      <c r="I197" s="236"/>
      <c r="J197" s="46">
        <v>2</v>
      </c>
      <c r="K197" s="46">
        <f t="shared" si="73"/>
        <v>45</v>
      </c>
      <c r="L197" s="173">
        <v>45</v>
      </c>
      <c r="M197" s="174">
        <v>8</v>
      </c>
      <c r="N197" s="46">
        <f>DATA!$D$8</f>
        <v>2129.23</v>
      </c>
      <c r="O197" s="46">
        <f t="shared" si="71"/>
        <v>1533045.6</v>
      </c>
      <c r="P197" s="46">
        <f t="shared" si="72"/>
        <v>720</v>
      </c>
    </row>
    <row r="198" spans="1:16" s="36" customFormat="1" ht="9.75" customHeight="1" outlineLevel="1" x14ac:dyDescent="0.25">
      <c r="A198" s="224" t="s">
        <v>106</v>
      </c>
      <c r="B198" s="227" t="s">
        <v>472</v>
      </c>
      <c r="C198" s="230">
        <f>SUM(,O198:O204)</f>
        <v>0</v>
      </c>
      <c r="D198" s="230">
        <f>SUM(,P198:P204)</f>
        <v>0</v>
      </c>
      <c r="E198" s="230">
        <f t="shared" si="70"/>
        <v>0</v>
      </c>
      <c r="F198" s="230"/>
      <c r="G198" s="46" t="s">
        <v>76</v>
      </c>
      <c r="H198" s="235"/>
      <c r="I198" s="235"/>
      <c r="J198" s="46">
        <v>1</v>
      </c>
      <c r="K198" s="46">
        <f>L198*$S$8</f>
        <v>0</v>
      </c>
      <c r="L198" s="173"/>
      <c r="M198" s="174">
        <v>8</v>
      </c>
      <c r="N198" s="46">
        <f>DATA!$D$2</f>
        <v>5009.96</v>
      </c>
      <c r="O198" s="46">
        <f t="shared" si="71"/>
        <v>0</v>
      </c>
      <c r="P198" s="46">
        <f t="shared" si="72"/>
        <v>0</v>
      </c>
    </row>
    <row r="199" spans="1:16" s="36" customFormat="1" ht="11.45" customHeight="1" outlineLevel="1" x14ac:dyDescent="0.25">
      <c r="A199" s="225"/>
      <c r="B199" s="228"/>
      <c r="C199" s="231"/>
      <c r="D199" s="231"/>
      <c r="E199" s="231"/>
      <c r="F199" s="233"/>
      <c r="G199" s="46" t="s">
        <v>77</v>
      </c>
      <c r="H199" s="225"/>
      <c r="I199" s="225"/>
      <c r="J199" s="46">
        <v>1</v>
      </c>
      <c r="K199" s="46">
        <f t="shared" ref="K199:K204" si="74">L199*$S$8</f>
        <v>0</v>
      </c>
      <c r="L199" s="173"/>
      <c r="M199" s="174">
        <v>8</v>
      </c>
      <c r="N199" s="46">
        <f>DATA!$D$3</f>
        <v>4508.96</v>
      </c>
      <c r="O199" s="46">
        <f t="shared" si="71"/>
        <v>0</v>
      </c>
      <c r="P199" s="46">
        <f t="shared" si="72"/>
        <v>0</v>
      </c>
    </row>
    <row r="200" spans="1:16" s="36" customFormat="1" ht="10.7" customHeight="1" outlineLevel="1" x14ac:dyDescent="0.25">
      <c r="A200" s="225"/>
      <c r="B200" s="228"/>
      <c r="C200" s="231"/>
      <c r="D200" s="231"/>
      <c r="E200" s="231"/>
      <c r="F200" s="233"/>
      <c r="G200" s="46" t="s">
        <v>78</v>
      </c>
      <c r="H200" s="225"/>
      <c r="I200" s="225"/>
      <c r="J200" s="46">
        <v>1</v>
      </c>
      <c r="K200" s="46">
        <f t="shared" si="74"/>
        <v>0</v>
      </c>
      <c r="L200" s="173"/>
      <c r="M200" s="174">
        <v>8</v>
      </c>
      <c r="N200" s="46">
        <f>DATA!$D$4</f>
        <v>3757.47</v>
      </c>
      <c r="O200" s="46">
        <f t="shared" si="71"/>
        <v>0</v>
      </c>
      <c r="P200" s="46">
        <f t="shared" si="72"/>
        <v>0</v>
      </c>
    </row>
    <row r="201" spans="1:16" s="36" customFormat="1" ht="10.7" customHeight="1" outlineLevel="1" x14ac:dyDescent="0.25">
      <c r="A201" s="225"/>
      <c r="B201" s="228"/>
      <c r="C201" s="231"/>
      <c r="D201" s="231"/>
      <c r="E201" s="231"/>
      <c r="F201" s="233"/>
      <c r="G201" s="46" t="s">
        <v>79</v>
      </c>
      <c r="H201" s="225"/>
      <c r="I201" s="225"/>
      <c r="J201" s="46">
        <v>1</v>
      </c>
      <c r="K201" s="46">
        <f t="shared" si="74"/>
        <v>0</v>
      </c>
      <c r="L201" s="173"/>
      <c r="M201" s="174">
        <v>8</v>
      </c>
      <c r="N201" s="46">
        <f>DATA!$D$5</f>
        <v>3381.72</v>
      </c>
      <c r="O201" s="46">
        <f t="shared" si="71"/>
        <v>0</v>
      </c>
      <c r="P201" s="46">
        <f t="shared" si="72"/>
        <v>0</v>
      </c>
    </row>
    <row r="202" spans="1:16" s="36" customFormat="1" ht="10.7" customHeight="1" outlineLevel="1" x14ac:dyDescent="0.25">
      <c r="A202" s="225"/>
      <c r="B202" s="228"/>
      <c r="C202" s="231"/>
      <c r="D202" s="231"/>
      <c r="E202" s="231"/>
      <c r="F202" s="233"/>
      <c r="G202" s="46" t="s">
        <v>80</v>
      </c>
      <c r="H202" s="225"/>
      <c r="I202" s="225"/>
      <c r="J202" s="46">
        <v>1</v>
      </c>
      <c r="K202" s="46">
        <f t="shared" si="74"/>
        <v>0</v>
      </c>
      <c r="L202" s="173"/>
      <c r="M202" s="174">
        <v>8</v>
      </c>
      <c r="N202" s="46">
        <f>DATA!$D$6</f>
        <v>2504.98</v>
      </c>
      <c r="O202" s="46">
        <f t="shared" si="71"/>
        <v>0</v>
      </c>
      <c r="P202" s="46">
        <f t="shared" si="72"/>
        <v>0</v>
      </c>
    </row>
    <row r="203" spans="1:16" s="36" customFormat="1" ht="10.7" customHeight="1" outlineLevel="1" x14ac:dyDescent="0.25">
      <c r="A203" s="225"/>
      <c r="B203" s="228"/>
      <c r="C203" s="231"/>
      <c r="D203" s="231"/>
      <c r="E203" s="231"/>
      <c r="F203" s="233"/>
      <c r="G203" s="46" t="s">
        <v>81</v>
      </c>
      <c r="H203" s="225"/>
      <c r="I203" s="225"/>
      <c r="J203" s="46">
        <v>1</v>
      </c>
      <c r="K203" s="46">
        <f t="shared" si="74"/>
        <v>0</v>
      </c>
      <c r="L203" s="173"/>
      <c r="M203" s="174">
        <v>8</v>
      </c>
      <c r="N203" s="46">
        <f>DATA!$D$7</f>
        <v>2254.48</v>
      </c>
      <c r="O203" s="46">
        <f t="shared" si="71"/>
        <v>0</v>
      </c>
      <c r="P203" s="46">
        <f t="shared" si="72"/>
        <v>0</v>
      </c>
    </row>
    <row r="204" spans="1:16" s="36" customFormat="1" ht="12" customHeight="1" outlineLevel="1" thickBot="1" x14ac:dyDescent="0.3">
      <c r="A204" s="226"/>
      <c r="B204" s="229"/>
      <c r="C204" s="232"/>
      <c r="D204" s="232"/>
      <c r="E204" s="232"/>
      <c r="F204" s="234"/>
      <c r="G204" s="46" t="s">
        <v>82</v>
      </c>
      <c r="H204" s="236"/>
      <c r="I204" s="236"/>
      <c r="J204" s="46">
        <v>1</v>
      </c>
      <c r="K204" s="46">
        <f t="shared" si="74"/>
        <v>0</v>
      </c>
      <c r="L204" s="173"/>
      <c r="M204" s="174">
        <v>8</v>
      </c>
      <c r="N204" s="46">
        <f>DATA!$D$8</f>
        <v>2129.23</v>
      </c>
      <c r="O204" s="46">
        <f t="shared" si="71"/>
        <v>0</v>
      </c>
      <c r="P204" s="46">
        <f t="shared" si="72"/>
        <v>0</v>
      </c>
    </row>
    <row r="205" spans="1:16" s="36" customFormat="1" ht="14.45" customHeight="1" outlineLevel="1" x14ac:dyDescent="0.25">
      <c r="A205" s="224" t="s">
        <v>473</v>
      </c>
      <c r="B205" s="227" t="s">
        <v>474</v>
      </c>
      <c r="C205" s="230">
        <f>SUM(,O205:O211)</f>
        <v>0</v>
      </c>
      <c r="D205" s="230">
        <f>SUM(,P205:P211)</f>
        <v>0</v>
      </c>
      <c r="E205" s="230">
        <f t="shared" si="70"/>
        <v>0</v>
      </c>
      <c r="F205" s="230"/>
      <c r="G205" s="46" t="s">
        <v>76</v>
      </c>
      <c r="H205" s="235"/>
      <c r="I205" s="235"/>
      <c r="J205" s="46">
        <v>1</v>
      </c>
      <c r="K205" s="46">
        <f>L205*$S$8</f>
        <v>0</v>
      </c>
      <c r="L205" s="173"/>
      <c r="M205" s="174">
        <v>8</v>
      </c>
      <c r="N205" s="46">
        <f>DATA!$D$2</f>
        <v>5009.96</v>
      </c>
      <c r="O205" s="46">
        <f t="shared" si="71"/>
        <v>0</v>
      </c>
      <c r="P205" s="46">
        <f t="shared" si="72"/>
        <v>0</v>
      </c>
    </row>
    <row r="206" spans="1:16" s="36" customFormat="1" ht="11.45" customHeight="1" outlineLevel="1" x14ac:dyDescent="0.25">
      <c r="A206" s="225"/>
      <c r="B206" s="228"/>
      <c r="C206" s="231"/>
      <c r="D206" s="231"/>
      <c r="E206" s="231"/>
      <c r="F206" s="233"/>
      <c r="G206" s="46" t="s">
        <v>77</v>
      </c>
      <c r="H206" s="225"/>
      <c r="I206" s="225"/>
      <c r="J206" s="46">
        <v>1</v>
      </c>
      <c r="K206" s="46">
        <f t="shared" ref="K206:K211" si="75">L206*$S$8</f>
        <v>0</v>
      </c>
      <c r="L206" s="173"/>
      <c r="M206" s="174">
        <v>8</v>
      </c>
      <c r="N206" s="46">
        <f>DATA!$D$3</f>
        <v>4508.96</v>
      </c>
      <c r="O206" s="46">
        <f t="shared" si="71"/>
        <v>0</v>
      </c>
      <c r="P206" s="46">
        <f t="shared" si="72"/>
        <v>0</v>
      </c>
    </row>
    <row r="207" spans="1:16" s="36" customFormat="1" ht="10.7" customHeight="1" outlineLevel="1" x14ac:dyDescent="0.25">
      <c r="A207" s="225"/>
      <c r="B207" s="228"/>
      <c r="C207" s="231"/>
      <c r="D207" s="231"/>
      <c r="E207" s="231"/>
      <c r="F207" s="233"/>
      <c r="G207" s="46" t="s">
        <v>78</v>
      </c>
      <c r="H207" s="225"/>
      <c r="I207" s="225"/>
      <c r="J207" s="46">
        <v>1</v>
      </c>
      <c r="K207" s="46">
        <f t="shared" si="75"/>
        <v>0</v>
      </c>
      <c r="L207" s="173"/>
      <c r="M207" s="174">
        <v>8</v>
      </c>
      <c r="N207" s="46">
        <f>DATA!$D$4</f>
        <v>3757.47</v>
      </c>
      <c r="O207" s="46">
        <f t="shared" si="71"/>
        <v>0</v>
      </c>
      <c r="P207" s="46">
        <f t="shared" si="72"/>
        <v>0</v>
      </c>
    </row>
    <row r="208" spans="1:16" s="36" customFormat="1" ht="10.7" customHeight="1" outlineLevel="1" x14ac:dyDescent="0.25">
      <c r="A208" s="225"/>
      <c r="B208" s="228"/>
      <c r="C208" s="231"/>
      <c r="D208" s="231"/>
      <c r="E208" s="231"/>
      <c r="F208" s="233"/>
      <c r="G208" s="46" t="s">
        <v>79</v>
      </c>
      <c r="H208" s="225"/>
      <c r="I208" s="225"/>
      <c r="J208" s="46">
        <v>1</v>
      </c>
      <c r="K208" s="46">
        <f t="shared" si="75"/>
        <v>0</v>
      </c>
      <c r="L208" s="173"/>
      <c r="M208" s="174">
        <v>8</v>
      </c>
      <c r="N208" s="46">
        <f>DATA!$D$5</f>
        <v>3381.72</v>
      </c>
      <c r="O208" s="46">
        <f t="shared" si="71"/>
        <v>0</v>
      </c>
      <c r="P208" s="46">
        <f t="shared" si="72"/>
        <v>0</v>
      </c>
    </row>
    <row r="209" spans="1:16" s="36" customFormat="1" ht="10.7" customHeight="1" outlineLevel="1" x14ac:dyDescent="0.25">
      <c r="A209" s="225"/>
      <c r="B209" s="228"/>
      <c r="C209" s="231"/>
      <c r="D209" s="231"/>
      <c r="E209" s="231"/>
      <c r="F209" s="233"/>
      <c r="G209" s="46" t="s">
        <v>80</v>
      </c>
      <c r="H209" s="225"/>
      <c r="I209" s="225"/>
      <c r="J209" s="46">
        <v>1</v>
      </c>
      <c r="K209" s="46">
        <f t="shared" si="75"/>
        <v>0</v>
      </c>
      <c r="L209" s="173"/>
      <c r="M209" s="174">
        <v>8</v>
      </c>
      <c r="N209" s="46">
        <f>DATA!$D$6</f>
        <v>2504.98</v>
      </c>
      <c r="O209" s="46">
        <f t="shared" si="71"/>
        <v>0</v>
      </c>
      <c r="P209" s="46">
        <f t="shared" si="72"/>
        <v>0</v>
      </c>
    </row>
    <row r="210" spans="1:16" s="36" customFormat="1" ht="10.7" customHeight="1" outlineLevel="1" x14ac:dyDescent="0.25">
      <c r="A210" s="225"/>
      <c r="B210" s="228"/>
      <c r="C210" s="231"/>
      <c r="D210" s="231"/>
      <c r="E210" s="231"/>
      <c r="F210" s="233"/>
      <c r="G210" s="46" t="s">
        <v>81</v>
      </c>
      <c r="H210" s="225"/>
      <c r="I210" s="225"/>
      <c r="J210" s="46">
        <v>1</v>
      </c>
      <c r="K210" s="46">
        <f t="shared" si="75"/>
        <v>0</v>
      </c>
      <c r="L210" s="173"/>
      <c r="M210" s="174">
        <v>8</v>
      </c>
      <c r="N210" s="46">
        <f>DATA!$D$7</f>
        <v>2254.48</v>
      </c>
      <c r="O210" s="46">
        <f t="shared" si="71"/>
        <v>0</v>
      </c>
      <c r="P210" s="46">
        <f t="shared" si="72"/>
        <v>0</v>
      </c>
    </row>
    <row r="211" spans="1:16" s="36" customFormat="1" ht="12" customHeight="1" outlineLevel="1" thickBot="1" x14ac:dyDescent="0.3">
      <c r="A211" s="226"/>
      <c r="B211" s="229"/>
      <c r="C211" s="232"/>
      <c r="D211" s="232"/>
      <c r="E211" s="232"/>
      <c r="F211" s="234"/>
      <c r="G211" s="46" t="s">
        <v>82</v>
      </c>
      <c r="H211" s="236"/>
      <c r="I211" s="236"/>
      <c r="J211" s="46">
        <v>1</v>
      </c>
      <c r="K211" s="46">
        <f t="shared" si="75"/>
        <v>0</v>
      </c>
      <c r="L211" s="173"/>
      <c r="M211" s="174">
        <v>8</v>
      </c>
      <c r="N211" s="46">
        <f>DATA!$D$8</f>
        <v>2129.23</v>
      </c>
      <c r="O211" s="46">
        <f t="shared" si="71"/>
        <v>0</v>
      </c>
      <c r="P211" s="46">
        <f t="shared" si="72"/>
        <v>0</v>
      </c>
    </row>
    <row r="212" spans="1:16" s="37" customFormat="1" ht="15.75" x14ac:dyDescent="0.25">
      <c r="A212" s="177" t="s">
        <v>44</v>
      </c>
      <c r="B212" s="178" t="s">
        <v>475</v>
      </c>
      <c r="C212" s="175">
        <f>SUBTOTAL(9,C213:C219)</f>
        <v>5138011.9456000002</v>
      </c>
      <c r="D212" s="175">
        <f>SUBTOTAL(9,D213:D219)</f>
        <v>2055.36</v>
      </c>
      <c r="E212" s="175">
        <f>SUBTOTAL(9,E213:E219)</f>
        <v>256.92</v>
      </c>
      <c r="F212" s="44"/>
      <c r="G212" s="44"/>
      <c r="H212" s="44"/>
      <c r="I212" s="44"/>
      <c r="J212" s="44"/>
      <c r="K212" s="44"/>
      <c r="L212" s="179"/>
      <c r="M212" s="44"/>
      <c r="N212" s="44"/>
      <c r="O212" s="44"/>
      <c r="P212" s="39"/>
    </row>
    <row r="213" spans="1:16" s="36" customFormat="1" ht="14.45" customHeight="1" outlineLevel="1" x14ac:dyDescent="0.25">
      <c r="A213" s="224" t="s">
        <v>96</v>
      </c>
      <c r="B213" s="237" t="s">
        <v>528</v>
      </c>
      <c r="C213" s="230">
        <f>SUM(,O213:O219)</f>
        <v>5138011.9456000002</v>
      </c>
      <c r="D213" s="230">
        <f>SUM(,P213:P219)</f>
        <v>2055.36</v>
      </c>
      <c r="E213" s="230">
        <f t="shared" ref="E213" si="76">D213/8</f>
        <v>256.92</v>
      </c>
      <c r="F213" s="230"/>
      <c r="G213" s="46" t="s">
        <v>76</v>
      </c>
      <c r="H213" s="235"/>
      <c r="I213" s="235"/>
      <c r="J213" s="46">
        <v>1</v>
      </c>
      <c r="K213" s="46">
        <f>L213*$S$8</f>
        <v>1.92</v>
      </c>
      <c r="L213" s="173">
        <v>1.92</v>
      </c>
      <c r="M213" s="174">
        <v>8</v>
      </c>
      <c r="N213" s="46">
        <f>DATA!$D$2</f>
        <v>5009.96</v>
      </c>
      <c r="O213" s="46">
        <f t="shared" ref="O213:O219" si="77">N213*J213*K213*M213</f>
        <v>76952.9856</v>
      </c>
      <c r="P213" s="46">
        <f t="shared" ref="P213:P219" si="78">J213*K213*M213</f>
        <v>15.36</v>
      </c>
    </row>
    <row r="214" spans="1:16" s="36" customFormat="1" ht="11.45" customHeight="1" outlineLevel="1" x14ac:dyDescent="0.25">
      <c r="A214" s="225"/>
      <c r="B214" s="238"/>
      <c r="C214" s="231"/>
      <c r="D214" s="231"/>
      <c r="E214" s="231"/>
      <c r="F214" s="233"/>
      <c r="G214" s="46" t="s">
        <v>77</v>
      </c>
      <c r="H214" s="225"/>
      <c r="I214" s="225"/>
      <c r="J214" s="46">
        <v>1</v>
      </c>
      <c r="K214" s="46">
        <f>L214*$S$8</f>
        <v>3</v>
      </c>
      <c r="L214" s="173">
        <v>3</v>
      </c>
      <c r="M214" s="174">
        <v>8</v>
      </c>
      <c r="N214" s="46">
        <f>DATA!$D$3</f>
        <v>4508.96</v>
      </c>
      <c r="O214" s="46">
        <f t="shared" si="77"/>
        <v>108215.04000000001</v>
      </c>
      <c r="P214" s="46">
        <f t="shared" si="78"/>
        <v>24</v>
      </c>
    </row>
    <row r="215" spans="1:16" s="36" customFormat="1" ht="10.7" customHeight="1" outlineLevel="1" x14ac:dyDescent="0.25">
      <c r="A215" s="225"/>
      <c r="B215" s="238"/>
      <c r="C215" s="231"/>
      <c r="D215" s="231"/>
      <c r="E215" s="231"/>
      <c r="F215" s="233"/>
      <c r="G215" s="46" t="s">
        <v>78</v>
      </c>
      <c r="H215" s="225"/>
      <c r="I215" s="225"/>
      <c r="J215" s="46">
        <v>1</v>
      </c>
      <c r="K215" s="46">
        <f t="shared" ref="K215:K219" si="79">L215*$S$8</f>
        <v>8</v>
      </c>
      <c r="L215" s="173">
        <v>8</v>
      </c>
      <c r="M215" s="174">
        <v>8</v>
      </c>
      <c r="N215" s="46">
        <f>DATA!$D$4</f>
        <v>3757.47</v>
      </c>
      <c r="O215" s="46">
        <f t="shared" si="77"/>
        <v>240478.07999999999</v>
      </c>
      <c r="P215" s="46">
        <f t="shared" si="78"/>
        <v>64</v>
      </c>
    </row>
    <row r="216" spans="1:16" s="36" customFormat="1" ht="10.7" customHeight="1" outlineLevel="1" x14ac:dyDescent="0.25">
      <c r="A216" s="225"/>
      <c r="B216" s="238"/>
      <c r="C216" s="231"/>
      <c r="D216" s="231"/>
      <c r="E216" s="231"/>
      <c r="F216" s="233"/>
      <c r="G216" s="46" t="s">
        <v>79</v>
      </c>
      <c r="H216" s="225"/>
      <c r="I216" s="225"/>
      <c r="J216" s="46">
        <v>1</v>
      </c>
      <c r="K216" s="46">
        <f t="shared" si="79"/>
        <v>14</v>
      </c>
      <c r="L216" s="173">
        <v>14</v>
      </c>
      <c r="M216" s="174">
        <v>8</v>
      </c>
      <c r="N216" s="46">
        <f>DATA!$D$5</f>
        <v>3381.72</v>
      </c>
      <c r="O216" s="46">
        <f t="shared" si="77"/>
        <v>378752.63999999996</v>
      </c>
      <c r="P216" s="46">
        <f t="shared" si="78"/>
        <v>112</v>
      </c>
    </row>
    <row r="217" spans="1:16" s="36" customFormat="1" ht="10.7" customHeight="1" outlineLevel="1" x14ac:dyDescent="0.25">
      <c r="A217" s="225"/>
      <c r="B217" s="238"/>
      <c r="C217" s="231"/>
      <c r="D217" s="231"/>
      <c r="E217" s="231"/>
      <c r="F217" s="233"/>
      <c r="G217" s="46" t="s">
        <v>80</v>
      </c>
      <c r="H217" s="225"/>
      <c r="I217" s="225"/>
      <c r="J217" s="46">
        <v>2</v>
      </c>
      <c r="K217" s="46">
        <f t="shared" si="79"/>
        <v>60</v>
      </c>
      <c r="L217" s="173">
        <v>60</v>
      </c>
      <c r="M217" s="174">
        <v>8</v>
      </c>
      <c r="N217" s="46">
        <f>DATA!$D$6</f>
        <v>2504.98</v>
      </c>
      <c r="O217" s="46">
        <f t="shared" si="77"/>
        <v>2404780.7999999998</v>
      </c>
      <c r="P217" s="46">
        <f t="shared" si="78"/>
        <v>960</v>
      </c>
    </row>
    <row r="218" spans="1:16" s="36" customFormat="1" ht="10.7" customHeight="1" outlineLevel="1" x14ac:dyDescent="0.25">
      <c r="A218" s="225"/>
      <c r="B218" s="238"/>
      <c r="C218" s="231"/>
      <c r="D218" s="231"/>
      <c r="E218" s="231"/>
      <c r="F218" s="233"/>
      <c r="G218" s="46" t="s">
        <v>81</v>
      </c>
      <c r="H218" s="225"/>
      <c r="I218" s="225"/>
      <c r="J218" s="46">
        <v>1</v>
      </c>
      <c r="K218" s="46">
        <f t="shared" si="79"/>
        <v>55</v>
      </c>
      <c r="L218" s="173">
        <v>55</v>
      </c>
      <c r="M218" s="174">
        <v>8</v>
      </c>
      <c r="N218" s="46">
        <f>DATA!$D$7</f>
        <v>2254.48</v>
      </c>
      <c r="O218" s="46">
        <f t="shared" si="77"/>
        <v>991971.2</v>
      </c>
      <c r="P218" s="46">
        <f t="shared" si="78"/>
        <v>440</v>
      </c>
    </row>
    <row r="219" spans="1:16" s="36" customFormat="1" ht="12" customHeight="1" outlineLevel="1" thickBot="1" x14ac:dyDescent="0.3">
      <c r="A219" s="226"/>
      <c r="B219" s="239"/>
      <c r="C219" s="232"/>
      <c r="D219" s="232"/>
      <c r="E219" s="232"/>
      <c r="F219" s="234"/>
      <c r="G219" s="46" t="s">
        <v>82</v>
      </c>
      <c r="H219" s="236"/>
      <c r="I219" s="236"/>
      <c r="J219" s="46">
        <v>1</v>
      </c>
      <c r="K219" s="46">
        <f t="shared" si="79"/>
        <v>55</v>
      </c>
      <c r="L219" s="173">
        <v>55</v>
      </c>
      <c r="M219" s="174">
        <v>8</v>
      </c>
      <c r="N219" s="46">
        <f>DATA!$D$8</f>
        <v>2129.23</v>
      </c>
      <c r="O219" s="46">
        <f t="shared" si="77"/>
        <v>936861.2</v>
      </c>
      <c r="P219" s="46">
        <f t="shared" si="78"/>
        <v>440</v>
      </c>
    </row>
    <row r="220" spans="1:16" s="37" customFormat="1" ht="15.75" x14ac:dyDescent="0.25">
      <c r="A220" s="177" t="s">
        <v>97</v>
      </c>
      <c r="B220" s="178" t="s">
        <v>476</v>
      </c>
      <c r="C220" s="175">
        <f>SUBTOTAL(9,C221:C283)</f>
        <v>25983500.049600001</v>
      </c>
      <c r="D220" s="175">
        <f>SUBTOTAL(9,D221:D283)</f>
        <v>10709.76</v>
      </c>
      <c r="E220" s="175">
        <f>SUBTOTAL(9,E221:E283)</f>
        <v>1338.72</v>
      </c>
      <c r="F220" s="44"/>
      <c r="G220" s="44"/>
      <c r="H220" s="44"/>
      <c r="I220" s="44"/>
      <c r="J220" s="44"/>
      <c r="K220" s="44"/>
      <c r="L220" s="179"/>
      <c r="M220" s="44"/>
      <c r="N220" s="44"/>
      <c r="O220" s="44"/>
      <c r="P220" s="39"/>
    </row>
    <row r="221" spans="1:16" s="36" customFormat="1" ht="14.45" customHeight="1" outlineLevel="1" x14ac:dyDescent="0.25">
      <c r="A221" s="224" t="s">
        <v>57</v>
      </c>
      <c r="B221" s="227" t="s">
        <v>477</v>
      </c>
      <c r="C221" s="230">
        <f>SUM(,O221:O227)</f>
        <v>1029966.9311999999</v>
      </c>
      <c r="D221" s="230">
        <f>SUM(,P221:P227)</f>
        <v>414.72</v>
      </c>
      <c r="E221" s="230">
        <f t="shared" ref="E221" si="80">D221/8</f>
        <v>51.84</v>
      </c>
      <c r="F221" s="230"/>
      <c r="G221" s="46" t="s">
        <v>76</v>
      </c>
      <c r="H221" s="235"/>
      <c r="I221" s="235"/>
      <c r="J221" s="46">
        <v>1</v>
      </c>
      <c r="K221" s="46">
        <f>L221*$S$8</f>
        <v>0.42</v>
      </c>
      <c r="L221" s="173">
        <v>0.42</v>
      </c>
      <c r="M221" s="174">
        <v>8</v>
      </c>
      <c r="N221" s="46">
        <f>DATA!$D$2</f>
        <v>5009.96</v>
      </c>
      <c r="O221" s="46">
        <f t="shared" ref="O221:O227" si="81">N221*J221*K221*M221</f>
        <v>16833.4656</v>
      </c>
      <c r="P221" s="46">
        <f t="shared" ref="P221:P227" si="82">J221*K221*M221</f>
        <v>3.36</v>
      </c>
    </row>
    <row r="222" spans="1:16" s="36" customFormat="1" ht="11.45" customHeight="1" outlineLevel="1" x14ac:dyDescent="0.25">
      <c r="A222" s="225"/>
      <c r="B222" s="228"/>
      <c r="C222" s="231"/>
      <c r="D222" s="231"/>
      <c r="E222" s="231"/>
      <c r="F222" s="233"/>
      <c r="G222" s="46" t="s">
        <v>77</v>
      </c>
      <c r="H222" s="225"/>
      <c r="I222" s="225"/>
      <c r="J222" s="46">
        <v>1</v>
      </c>
      <c r="K222" s="46">
        <f t="shared" ref="K222:K227" si="83">L222*$S$8</f>
        <v>0.42</v>
      </c>
      <c r="L222" s="173">
        <v>0.42</v>
      </c>
      <c r="M222" s="174">
        <v>8</v>
      </c>
      <c r="N222" s="46">
        <f>DATA!$D$3</f>
        <v>4508.96</v>
      </c>
      <c r="O222" s="46">
        <f t="shared" si="81"/>
        <v>15150.105599999999</v>
      </c>
      <c r="P222" s="46">
        <f t="shared" si="82"/>
        <v>3.36</v>
      </c>
    </row>
    <row r="223" spans="1:16" s="36" customFormat="1" ht="10.7" customHeight="1" outlineLevel="1" x14ac:dyDescent="0.25">
      <c r="A223" s="225"/>
      <c r="B223" s="228"/>
      <c r="C223" s="231"/>
      <c r="D223" s="231"/>
      <c r="E223" s="231"/>
      <c r="F223" s="233"/>
      <c r="G223" s="46" t="s">
        <v>78</v>
      </c>
      <c r="H223" s="225"/>
      <c r="I223" s="225"/>
      <c r="J223" s="46">
        <v>1</v>
      </c>
      <c r="K223" s="46">
        <f t="shared" si="83"/>
        <v>3</v>
      </c>
      <c r="L223" s="173">
        <v>3</v>
      </c>
      <c r="M223" s="174">
        <v>8</v>
      </c>
      <c r="N223" s="46">
        <f>DATA!$D$4</f>
        <v>3757.47</v>
      </c>
      <c r="O223" s="46">
        <f t="shared" si="81"/>
        <v>90179.28</v>
      </c>
      <c r="P223" s="46">
        <f t="shared" si="82"/>
        <v>24</v>
      </c>
    </row>
    <row r="224" spans="1:16" s="36" customFormat="1" ht="10.7" customHeight="1" outlineLevel="1" x14ac:dyDescent="0.25">
      <c r="A224" s="225"/>
      <c r="B224" s="228"/>
      <c r="C224" s="231"/>
      <c r="D224" s="231"/>
      <c r="E224" s="231"/>
      <c r="F224" s="233"/>
      <c r="G224" s="46" t="s">
        <v>79</v>
      </c>
      <c r="H224" s="225"/>
      <c r="I224" s="225"/>
      <c r="J224" s="46">
        <v>1</v>
      </c>
      <c r="K224" s="46">
        <f t="shared" si="83"/>
        <v>3</v>
      </c>
      <c r="L224" s="173">
        <v>3</v>
      </c>
      <c r="M224" s="174">
        <v>8</v>
      </c>
      <c r="N224" s="46">
        <f>DATA!$D$5</f>
        <v>3381.72</v>
      </c>
      <c r="O224" s="46">
        <f t="shared" si="81"/>
        <v>81161.279999999999</v>
      </c>
      <c r="P224" s="46">
        <f t="shared" si="82"/>
        <v>24</v>
      </c>
    </row>
    <row r="225" spans="1:20" s="36" customFormat="1" ht="10.7" customHeight="1" outlineLevel="1" x14ac:dyDescent="0.25">
      <c r="A225" s="225"/>
      <c r="B225" s="228"/>
      <c r="C225" s="231"/>
      <c r="D225" s="231"/>
      <c r="E225" s="231"/>
      <c r="F225" s="233"/>
      <c r="G225" s="46" t="s">
        <v>80</v>
      </c>
      <c r="H225" s="225"/>
      <c r="I225" s="225"/>
      <c r="J225" s="46">
        <v>1</v>
      </c>
      <c r="K225" s="46">
        <f t="shared" si="83"/>
        <v>15</v>
      </c>
      <c r="L225" s="173">
        <v>15</v>
      </c>
      <c r="M225" s="174">
        <v>8</v>
      </c>
      <c r="N225" s="46">
        <f>DATA!$D$6</f>
        <v>2504.98</v>
      </c>
      <c r="O225" s="46">
        <f t="shared" si="81"/>
        <v>300597.59999999998</v>
      </c>
      <c r="P225" s="46">
        <f t="shared" si="82"/>
        <v>120</v>
      </c>
    </row>
    <row r="226" spans="1:20" s="36" customFormat="1" ht="10.7" customHeight="1" outlineLevel="1" x14ac:dyDescent="0.25">
      <c r="A226" s="225"/>
      <c r="B226" s="228"/>
      <c r="C226" s="231"/>
      <c r="D226" s="231"/>
      <c r="E226" s="231"/>
      <c r="F226" s="233"/>
      <c r="G226" s="46" t="s">
        <v>81</v>
      </c>
      <c r="H226" s="225"/>
      <c r="I226" s="225"/>
      <c r="J226" s="46">
        <v>1</v>
      </c>
      <c r="K226" s="46">
        <f t="shared" si="83"/>
        <v>15</v>
      </c>
      <c r="L226" s="173">
        <v>15</v>
      </c>
      <c r="M226" s="174">
        <v>8</v>
      </c>
      <c r="N226" s="46">
        <f>DATA!$D$7</f>
        <v>2254.48</v>
      </c>
      <c r="O226" s="46">
        <f t="shared" si="81"/>
        <v>270537.59999999998</v>
      </c>
      <c r="P226" s="46">
        <f t="shared" si="82"/>
        <v>120</v>
      </c>
    </row>
    <row r="227" spans="1:20" s="36" customFormat="1" ht="12" customHeight="1" outlineLevel="1" thickBot="1" x14ac:dyDescent="0.3">
      <c r="A227" s="226"/>
      <c r="B227" s="229"/>
      <c r="C227" s="232"/>
      <c r="D227" s="232"/>
      <c r="E227" s="232"/>
      <c r="F227" s="234"/>
      <c r="G227" s="46" t="s">
        <v>82</v>
      </c>
      <c r="H227" s="236"/>
      <c r="I227" s="236"/>
      <c r="J227" s="46">
        <v>1</v>
      </c>
      <c r="K227" s="46">
        <f t="shared" si="83"/>
        <v>15</v>
      </c>
      <c r="L227" s="173">
        <v>15</v>
      </c>
      <c r="M227" s="174">
        <v>8</v>
      </c>
      <c r="N227" s="46">
        <f>DATA!$D$8</f>
        <v>2129.23</v>
      </c>
      <c r="O227" s="46">
        <f t="shared" si="81"/>
        <v>255507.6</v>
      </c>
      <c r="P227" s="46">
        <f t="shared" si="82"/>
        <v>120</v>
      </c>
    </row>
    <row r="228" spans="1:20" s="36" customFormat="1" ht="10.7" customHeight="1" outlineLevel="1" x14ac:dyDescent="0.25">
      <c r="A228" s="240" t="s">
        <v>151</v>
      </c>
      <c r="B228" s="227" t="s">
        <v>125</v>
      </c>
      <c r="C228" s="230">
        <f>SUM(,O228:O234)</f>
        <v>1305514.5312000001</v>
      </c>
      <c r="D228" s="230">
        <f>SUM(,P228:P234)</f>
        <v>534.72</v>
      </c>
      <c r="E228" s="230">
        <f t="shared" ref="E228" si="84">D228/8</f>
        <v>66.84</v>
      </c>
      <c r="F228" s="230"/>
      <c r="G228" s="46" t="s">
        <v>76</v>
      </c>
      <c r="H228" s="235"/>
      <c r="I228" s="235"/>
      <c r="J228" s="46">
        <v>1</v>
      </c>
      <c r="K228" s="46">
        <f>L228*$S$8</f>
        <v>0.42</v>
      </c>
      <c r="L228" s="173">
        <v>0.42</v>
      </c>
      <c r="M228" s="174">
        <v>8</v>
      </c>
      <c r="N228" s="46">
        <f>DATA!$D$2</f>
        <v>5009.96</v>
      </c>
      <c r="O228" s="46">
        <f t="shared" ref="O228:O283" si="85">N228*J228*K228*M228</f>
        <v>16833.4656</v>
      </c>
      <c r="P228" s="46">
        <f t="shared" ref="P228:P283" si="86">J228*K228*M228</f>
        <v>3.36</v>
      </c>
      <c r="T228" s="21"/>
    </row>
    <row r="229" spans="1:20" s="36" customFormat="1" ht="10.7" customHeight="1" outlineLevel="1" x14ac:dyDescent="0.25">
      <c r="A229" s="241"/>
      <c r="B229" s="228"/>
      <c r="C229" s="231"/>
      <c r="D229" s="231"/>
      <c r="E229" s="231"/>
      <c r="F229" s="233"/>
      <c r="G229" s="46" t="s">
        <v>77</v>
      </c>
      <c r="H229" s="225"/>
      <c r="I229" s="225"/>
      <c r="J229" s="46">
        <v>1</v>
      </c>
      <c r="K229" s="46">
        <f t="shared" ref="K229:K234" si="87">L229*$S$8</f>
        <v>0.42</v>
      </c>
      <c r="L229" s="173">
        <v>0.42</v>
      </c>
      <c r="M229" s="174">
        <v>8</v>
      </c>
      <c r="N229" s="46">
        <f>DATA!$D$3</f>
        <v>4508.96</v>
      </c>
      <c r="O229" s="46">
        <f t="shared" si="85"/>
        <v>15150.105599999999</v>
      </c>
      <c r="P229" s="46">
        <f t="shared" si="86"/>
        <v>3.36</v>
      </c>
      <c r="T229" s="21"/>
    </row>
    <row r="230" spans="1:20" s="36" customFormat="1" ht="10.7" customHeight="1" outlineLevel="1" x14ac:dyDescent="0.25">
      <c r="A230" s="241"/>
      <c r="B230" s="228"/>
      <c r="C230" s="231"/>
      <c r="D230" s="231"/>
      <c r="E230" s="231"/>
      <c r="F230" s="233"/>
      <c r="G230" s="46" t="s">
        <v>78</v>
      </c>
      <c r="H230" s="225"/>
      <c r="I230" s="225"/>
      <c r="J230" s="46">
        <v>1</v>
      </c>
      <c r="K230" s="46">
        <f t="shared" si="87"/>
        <v>3</v>
      </c>
      <c r="L230" s="173">
        <v>3</v>
      </c>
      <c r="M230" s="174">
        <v>8</v>
      </c>
      <c r="N230" s="46">
        <f>DATA!$D$4</f>
        <v>3757.47</v>
      </c>
      <c r="O230" s="46">
        <f t="shared" si="85"/>
        <v>90179.28</v>
      </c>
      <c r="P230" s="46">
        <f t="shared" si="86"/>
        <v>24</v>
      </c>
      <c r="T230" s="21"/>
    </row>
    <row r="231" spans="1:20" s="36" customFormat="1" ht="12" customHeight="1" outlineLevel="1" x14ac:dyDescent="0.25">
      <c r="A231" s="241"/>
      <c r="B231" s="228"/>
      <c r="C231" s="231"/>
      <c r="D231" s="231"/>
      <c r="E231" s="231"/>
      <c r="F231" s="233"/>
      <c r="G231" s="46" t="s">
        <v>79</v>
      </c>
      <c r="H231" s="225"/>
      <c r="I231" s="225"/>
      <c r="J231" s="46">
        <v>1</v>
      </c>
      <c r="K231" s="46">
        <f t="shared" si="87"/>
        <v>3</v>
      </c>
      <c r="L231" s="173">
        <v>3</v>
      </c>
      <c r="M231" s="174">
        <v>8</v>
      </c>
      <c r="N231" s="46">
        <f>DATA!$D$5</f>
        <v>3381.72</v>
      </c>
      <c r="O231" s="46">
        <f t="shared" si="85"/>
        <v>81161.279999999999</v>
      </c>
      <c r="P231" s="46">
        <f t="shared" si="86"/>
        <v>24</v>
      </c>
      <c r="T231" s="21"/>
    </row>
    <row r="232" spans="1:20" s="36" customFormat="1" ht="10.7" customHeight="1" outlineLevel="1" x14ac:dyDescent="0.25">
      <c r="A232" s="241"/>
      <c r="B232" s="228"/>
      <c r="C232" s="231"/>
      <c r="D232" s="231"/>
      <c r="E232" s="231"/>
      <c r="F232" s="233"/>
      <c r="G232" s="46" t="s">
        <v>80</v>
      </c>
      <c r="H232" s="225"/>
      <c r="I232" s="225"/>
      <c r="J232" s="46">
        <v>1</v>
      </c>
      <c r="K232" s="46">
        <f t="shared" si="87"/>
        <v>20</v>
      </c>
      <c r="L232" s="173">
        <v>20</v>
      </c>
      <c r="M232" s="174">
        <v>8</v>
      </c>
      <c r="N232" s="46">
        <f>DATA!$D$6</f>
        <v>2504.98</v>
      </c>
      <c r="O232" s="46">
        <f t="shared" si="85"/>
        <v>400796.8</v>
      </c>
      <c r="P232" s="46">
        <f t="shared" si="86"/>
        <v>160</v>
      </c>
      <c r="T232" s="21"/>
    </row>
    <row r="233" spans="1:20" s="36" customFormat="1" ht="10.7" customHeight="1" outlineLevel="1" x14ac:dyDescent="0.25">
      <c r="A233" s="241"/>
      <c r="B233" s="228"/>
      <c r="C233" s="231"/>
      <c r="D233" s="231"/>
      <c r="E233" s="231"/>
      <c r="F233" s="233"/>
      <c r="G233" s="46" t="s">
        <v>81</v>
      </c>
      <c r="H233" s="225"/>
      <c r="I233" s="225"/>
      <c r="J233" s="46">
        <v>1</v>
      </c>
      <c r="K233" s="46">
        <f t="shared" si="87"/>
        <v>20</v>
      </c>
      <c r="L233" s="173">
        <v>20</v>
      </c>
      <c r="M233" s="174">
        <v>8</v>
      </c>
      <c r="N233" s="46">
        <f>DATA!$D$7</f>
        <v>2254.48</v>
      </c>
      <c r="O233" s="46">
        <f t="shared" si="85"/>
        <v>360716.79999999999</v>
      </c>
      <c r="P233" s="46">
        <f t="shared" si="86"/>
        <v>160</v>
      </c>
      <c r="T233" s="21"/>
    </row>
    <row r="234" spans="1:20" s="36" customFormat="1" ht="12" customHeight="1" outlineLevel="1" thickBot="1" x14ac:dyDescent="0.3">
      <c r="A234" s="242"/>
      <c r="B234" s="229"/>
      <c r="C234" s="232"/>
      <c r="D234" s="232"/>
      <c r="E234" s="232"/>
      <c r="F234" s="234"/>
      <c r="G234" s="46" t="s">
        <v>82</v>
      </c>
      <c r="H234" s="236"/>
      <c r="I234" s="236"/>
      <c r="J234" s="46">
        <v>1</v>
      </c>
      <c r="K234" s="46">
        <f t="shared" si="87"/>
        <v>20</v>
      </c>
      <c r="L234" s="173">
        <v>20</v>
      </c>
      <c r="M234" s="174">
        <v>8</v>
      </c>
      <c r="N234" s="46">
        <f>DATA!$D$8</f>
        <v>2129.23</v>
      </c>
      <c r="O234" s="46">
        <f t="shared" si="85"/>
        <v>340676.8</v>
      </c>
      <c r="P234" s="46">
        <f t="shared" si="86"/>
        <v>160</v>
      </c>
      <c r="T234" s="21"/>
    </row>
    <row r="235" spans="1:20" s="36" customFormat="1" ht="14.45" customHeight="1" outlineLevel="1" x14ac:dyDescent="0.25">
      <c r="A235" s="240" t="s">
        <v>482</v>
      </c>
      <c r="B235" s="237" t="s">
        <v>134</v>
      </c>
      <c r="C235" s="230">
        <f>SUM(,O235:O241)</f>
        <v>11078015.68</v>
      </c>
      <c r="D235" s="230">
        <f>SUM(,P235:P241)</f>
        <v>4640</v>
      </c>
      <c r="E235" s="230">
        <f t="shared" ref="E235" si="88">D235/8</f>
        <v>580</v>
      </c>
      <c r="F235" s="230"/>
      <c r="G235" s="46" t="s">
        <v>76</v>
      </c>
      <c r="H235" s="245"/>
      <c r="I235" s="245"/>
      <c r="J235" s="46">
        <v>1</v>
      </c>
      <c r="K235" s="46">
        <f>L235*$S$8</f>
        <v>1</v>
      </c>
      <c r="L235" s="173">
        <v>1</v>
      </c>
      <c r="M235" s="174">
        <v>8</v>
      </c>
      <c r="N235" s="46">
        <f>DATA!$D$2</f>
        <v>5009.96</v>
      </c>
      <c r="O235" s="46">
        <f t="shared" si="85"/>
        <v>40079.68</v>
      </c>
      <c r="P235" s="46">
        <f t="shared" si="86"/>
        <v>8</v>
      </c>
      <c r="Q235" s="50"/>
      <c r="T235" s="21"/>
    </row>
    <row r="236" spans="1:20" s="36" customFormat="1" ht="11.45" customHeight="1" outlineLevel="1" x14ac:dyDescent="0.25">
      <c r="A236" s="243"/>
      <c r="B236" s="238"/>
      <c r="C236" s="248"/>
      <c r="D236" s="231"/>
      <c r="E236" s="231"/>
      <c r="F236" s="233"/>
      <c r="G236" s="46" t="s">
        <v>77</v>
      </c>
      <c r="H236" s="246"/>
      <c r="I236" s="246"/>
      <c r="J236" s="46">
        <v>1</v>
      </c>
      <c r="K236" s="46">
        <f t="shared" ref="K236:K241" si="89">L236*$S$8</f>
        <v>3</v>
      </c>
      <c r="L236" s="173">
        <v>3</v>
      </c>
      <c r="M236" s="174">
        <v>8</v>
      </c>
      <c r="N236" s="46">
        <f>DATA!$D$3</f>
        <v>4508.96</v>
      </c>
      <c r="O236" s="46">
        <f t="shared" si="85"/>
        <v>108215.04000000001</v>
      </c>
      <c r="P236" s="46">
        <f t="shared" si="86"/>
        <v>24</v>
      </c>
      <c r="Q236" s="50"/>
      <c r="T236" s="21"/>
    </row>
    <row r="237" spans="1:20" s="36" customFormat="1" ht="10.7" customHeight="1" outlineLevel="1" x14ac:dyDescent="0.25">
      <c r="A237" s="243"/>
      <c r="B237" s="238"/>
      <c r="C237" s="248"/>
      <c r="D237" s="231"/>
      <c r="E237" s="231"/>
      <c r="F237" s="233"/>
      <c r="G237" s="46" t="s">
        <v>78</v>
      </c>
      <c r="H237" s="246"/>
      <c r="I237" s="246"/>
      <c r="J237" s="46">
        <v>2</v>
      </c>
      <c r="K237" s="46">
        <f t="shared" si="89"/>
        <v>6</v>
      </c>
      <c r="L237" s="173">
        <v>6</v>
      </c>
      <c r="M237" s="174">
        <v>8</v>
      </c>
      <c r="N237" s="46">
        <f>DATA!$D$4</f>
        <v>3757.47</v>
      </c>
      <c r="O237" s="46">
        <f t="shared" si="85"/>
        <v>360717.12</v>
      </c>
      <c r="P237" s="46">
        <f t="shared" si="86"/>
        <v>96</v>
      </c>
      <c r="Q237" s="50"/>
      <c r="T237" s="21"/>
    </row>
    <row r="238" spans="1:20" s="36" customFormat="1" ht="10.7" customHeight="1" outlineLevel="1" x14ac:dyDescent="0.25">
      <c r="A238" s="243"/>
      <c r="B238" s="238"/>
      <c r="C238" s="248"/>
      <c r="D238" s="231"/>
      <c r="E238" s="231"/>
      <c r="F238" s="233"/>
      <c r="G238" s="46" t="s">
        <v>79</v>
      </c>
      <c r="H238" s="246"/>
      <c r="I238" s="246"/>
      <c r="J238" s="46">
        <v>2</v>
      </c>
      <c r="K238" s="46">
        <f t="shared" si="89"/>
        <v>12</v>
      </c>
      <c r="L238" s="173">
        <v>12</v>
      </c>
      <c r="M238" s="174">
        <v>8</v>
      </c>
      <c r="N238" s="46">
        <f>DATA!$D$5</f>
        <v>3381.72</v>
      </c>
      <c r="O238" s="46">
        <f t="shared" si="85"/>
        <v>649290.23999999999</v>
      </c>
      <c r="P238" s="46">
        <f t="shared" si="86"/>
        <v>192</v>
      </c>
      <c r="Q238" s="50"/>
      <c r="T238" s="21"/>
    </row>
    <row r="239" spans="1:20" s="36" customFormat="1" ht="10.7" customHeight="1" outlineLevel="1" x14ac:dyDescent="0.25">
      <c r="A239" s="243"/>
      <c r="B239" s="238"/>
      <c r="C239" s="248"/>
      <c r="D239" s="231"/>
      <c r="E239" s="231"/>
      <c r="F239" s="233"/>
      <c r="G239" s="46" t="s">
        <v>80</v>
      </c>
      <c r="H239" s="246"/>
      <c r="I239" s="246"/>
      <c r="J239" s="46">
        <v>3</v>
      </c>
      <c r="K239" s="46">
        <f t="shared" si="89"/>
        <v>60</v>
      </c>
      <c r="L239" s="173">
        <v>60</v>
      </c>
      <c r="M239" s="174">
        <v>8</v>
      </c>
      <c r="N239" s="46">
        <f>DATA!$D$6</f>
        <v>2504.98</v>
      </c>
      <c r="O239" s="46">
        <f t="shared" si="85"/>
        <v>3607171.2</v>
      </c>
      <c r="P239" s="46">
        <f t="shared" si="86"/>
        <v>1440</v>
      </c>
      <c r="Q239" s="50"/>
      <c r="T239" s="21"/>
    </row>
    <row r="240" spans="1:20" s="36" customFormat="1" ht="10.7" customHeight="1" outlineLevel="1" x14ac:dyDescent="0.25">
      <c r="A240" s="243"/>
      <c r="B240" s="238"/>
      <c r="C240" s="248"/>
      <c r="D240" s="231"/>
      <c r="E240" s="231"/>
      <c r="F240" s="233"/>
      <c r="G240" s="46" t="s">
        <v>81</v>
      </c>
      <c r="H240" s="246"/>
      <c r="I240" s="246"/>
      <c r="J240" s="46">
        <v>3</v>
      </c>
      <c r="K240" s="46">
        <f t="shared" si="89"/>
        <v>60</v>
      </c>
      <c r="L240" s="173">
        <v>60</v>
      </c>
      <c r="M240" s="174">
        <v>8</v>
      </c>
      <c r="N240" s="46">
        <f>DATA!$D$7</f>
        <v>2254.48</v>
      </c>
      <c r="O240" s="46">
        <f t="shared" si="85"/>
        <v>3246451.2</v>
      </c>
      <c r="P240" s="46">
        <f t="shared" si="86"/>
        <v>1440</v>
      </c>
      <c r="Q240" s="50"/>
      <c r="T240" s="21"/>
    </row>
    <row r="241" spans="1:20" s="36" customFormat="1" ht="12" customHeight="1" outlineLevel="1" thickBot="1" x14ac:dyDescent="0.3">
      <c r="A241" s="244"/>
      <c r="B241" s="239"/>
      <c r="C241" s="249"/>
      <c r="D241" s="232"/>
      <c r="E241" s="232"/>
      <c r="F241" s="234"/>
      <c r="G241" s="46" t="s">
        <v>82</v>
      </c>
      <c r="H241" s="247"/>
      <c r="I241" s="247"/>
      <c r="J241" s="46">
        <v>3</v>
      </c>
      <c r="K241" s="46">
        <f t="shared" si="89"/>
        <v>60</v>
      </c>
      <c r="L241" s="173">
        <v>60</v>
      </c>
      <c r="M241" s="174">
        <v>8</v>
      </c>
      <c r="N241" s="46">
        <f>DATA!$D$8</f>
        <v>2129.23</v>
      </c>
      <c r="O241" s="46">
        <f t="shared" si="85"/>
        <v>3066091.2</v>
      </c>
      <c r="P241" s="46">
        <f t="shared" si="86"/>
        <v>1440</v>
      </c>
      <c r="Q241" s="50"/>
      <c r="T241" s="21"/>
    </row>
    <row r="242" spans="1:20" s="36" customFormat="1" ht="14.45" customHeight="1" outlineLevel="1" x14ac:dyDescent="0.25">
      <c r="A242" s="240" t="s">
        <v>478</v>
      </c>
      <c r="B242" s="227" t="s">
        <v>135</v>
      </c>
      <c r="C242" s="230">
        <f>SUM(,O242:O248)</f>
        <v>1305514.5312000001</v>
      </c>
      <c r="D242" s="230">
        <f>SUM(,P242:P248)</f>
        <v>534.72</v>
      </c>
      <c r="E242" s="230">
        <f t="shared" ref="E242" si="90">D242/8</f>
        <v>66.84</v>
      </c>
      <c r="F242" s="230"/>
      <c r="G242" s="46" t="s">
        <v>76</v>
      </c>
      <c r="H242" s="245"/>
      <c r="I242" s="245"/>
      <c r="J242" s="46">
        <v>1</v>
      </c>
      <c r="K242" s="46">
        <f>L242*$S$8</f>
        <v>0.42</v>
      </c>
      <c r="L242" s="173">
        <v>0.42</v>
      </c>
      <c r="M242" s="174">
        <v>8</v>
      </c>
      <c r="N242" s="46">
        <f>DATA!$D$2</f>
        <v>5009.96</v>
      </c>
      <c r="O242" s="46">
        <f t="shared" si="85"/>
        <v>16833.4656</v>
      </c>
      <c r="P242" s="46">
        <f t="shared" si="86"/>
        <v>3.36</v>
      </c>
      <c r="Q242" s="50"/>
      <c r="T242" s="21"/>
    </row>
    <row r="243" spans="1:20" s="36" customFormat="1" ht="11.45" customHeight="1" outlineLevel="1" x14ac:dyDescent="0.25">
      <c r="A243" s="243"/>
      <c r="B243" s="228"/>
      <c r="C243" s="231"/>
      <c r="D243" s="231"/>
      <c r="E243" s="231"/>
      <c r="F243" s="233"/>
      <c r="G243" s="46" t="s">
        <v>77</v>
      </c>
      <c r="H243" s="246"/>
      <c r="I243" s="246"/>
      <c r="J243" s="46">
        <v>1</v>
      </c>
      <c r="K243" s="46">
        <f t="shared" ref="K243:K248" si="91">L243*$S$8</f>
        <v>0.42</v>
      </c>
      <c r="L243" s="173">
        <v>0.42</v>
      </c>
      <c r="M243" s="174">
        <v>8</v>
      </c>
      <c r="N243" s="46">
        <f>DATA!$D$3</f>
        <v>4508.96</v>
      </c>
      <c r="O243" s="46">
        <f t="shared" si="85"/>
        <v>15150.105599999999</v>
      </c>
      <c r="P243" s="46">
        <f t="shared" si="86"/>
        <v>3.36</v>
      </c>
      <c r="Q243" s="50"/>
      <c r="T243" s="21"/>
    </row>
    <row r="244" spans="1:20" s="36" customFormat="1" ht="10.7" customHeight="1" outlineLevel="1" x14ac:dyDescent="0.25">
      <c r="A244" s="243"/>
      <c r="B244" s="228"/>
      <c r="C244" s="231"/>
      <c r="D244" s="231"/>
      <c r="E244" s="231"/>
      <c r="F244" s="233"/>
      <c r="G244" s="46" t="s">
        <v>78</v>
      </c>
      <c r="H244" s="246"/>
      <c r="I244" s="246"/>
      <c r="J244" s="46">
        <v>1</v>
      </c>
      <c r="K244" s="46">
        <f t="shared" si="91"/>
        <v>3</v>
      </c>
      <c r="L244" s="173">
        <v>3</v>
      </c>
      <c r="M244" s="174">
        <v>8</v>
      </c>
      <c r="N244" s="46">
        <f>DATA!$D$4</f>
        <v>3757.47</v>
      </c>
      <c r="O244" s="46">
        <f t="shared" si="85"/>
        <v>90179.28</v>
      </c>
      <c r="P244" s="46">
        <f t="shared" si="86"/>
        <v>24</v>
      </c>
      <c r="Q244" s="50"/>
      <c r="T244" s="21"/>
    </row>
    <row r="245" spans="1:20" s="36" customFormat="1" ht="10.7" customHeight="1" outlineLevel="1" x14ac:dyDescent="0.25">
      <c r="A245" s="243"/>
      <c r="B245" s="228"/>
      <c r="C245" s="231"/>
      <c r="D245" s="231"/>
      <c r="E245" s="231"/>
      <c r="F245" s="233"/>
      <c r="G245" s="46" t="s">
        <v>79</v>
      </c>
      <c r="H245" s="246"/>
      <c r="I245" s="246"/>
      <c r="J245" s="46">
        <v>1</v>
      </c>
      <c r="K245" s="46">
        <f t="shared" si="91"/>
        <v>3</v>
      </c>
      <c r="L245" s="173">
        <v>3</v>
      </c>
      <c r="M245" s="174">
        <v>8</v>
      </c>
      <c r="N245" s="46">
        <f>DATA!$D$5</f>
        <v>3381.72</v>
      </c>
      <c r="O245" s="46">
        <f t="shared" si="85"/>
        <v>81161.279999999999</v>
      </c>
      <c r="P245" s="46">
        <f t="shared" si="86"/>
        <v>24</v>
      </c>
      <c r="Q245" s="50"/>
      <c r="T245" s="21"/>
    </row>
    <row r="246" spans="1:20" s="36" customFormat="1" ht="10.7" customHeight="1" outlineLevel="1" x14ac:dyDescent="0.25">
      <c r="A246" s="243"/>
      <c r="B246" s="228"/>
      <c r="C246" s="231"/>
      <c r="D246" s="231"/>
      <c r="E246" s="231"/>
      <c r="F246" s="233"/>
      <c r="G246" s="46" t="s">
        <v>80</v>
      </c>
      <c r="H246" s="246"/>
      <c r="I246" s="246"/>
      <c r="J246" s="46">
        <v>1</v>
      </c>
      <c r="K246" s="46">
        <f t="shared" si="91"/>
        <v>20</v>
      </c>
      <c r="L246" s="173">
        <v>20</v>
      </c>
      <c r="M246" s="174">
        <v>8</v>
      </c>
      <c r="N246" s="46">
        <f>DATA!$D$6</f>
        <v>2504.98</v>
      </c>
      <c r="O246" s="46">
        <f t="shared" si="85"/>
        <v>400796.8</v>
      </c>
      <c r="P246" s="46">
        <f t="shared" si="86"/>
        <v>160</v>
      </c>
      <c r="Q246" s="50"/>
      <c r="T246" s="21"/>
    </row>
    <row r="247" spans="1:20" s="36" customFormat="1" ht="10.7" customHeight="1" outlineLevel="1" x14ac:dyDescent="0.25">
      <c r="A247" s="243"/>
      <c r="B247" s="228"/>
      <c r="C247" s="231"/>
      <c r="D247" s="231"/>
      <c r="E247" s="231"/>
      <c r="F247" s="233"/>
      <c r="G247" s="46" t="s">
        <v>81</v>
      </c>
      <c r="H247" s="246"/>
      <c r="I247" s="246"/>
      <c r="J247" s="46">
        <v>1</v>
      </c>
      <c r="K247" s="46">
        <f t="shared" si="91"/>
        <v>20</v>
      </c>
      <c r="L247" s="173">
        <v>20</v>
      </c>
      <c r="M247" s="174">
        <v>8</v>
      </c>
      <c r="N247" s="46">
        <f>DATA!$D$7</f>
        <v>2254.48</v>
      </c>
      <c r="O247" s="46">
        <f t="shared" si="85"/>
        <v>360716.79999999999</v>
      </c>
      <c r="P247" s="46">
        <f t="shared" si="86"/>
        <v>160</v>
      </c>
      <c r="Q247" s="50"/>
      <c r="T247" s="21"/>
    </row>
    <row r="248" spans="1:20" s="36" customFormat="1" ht="12" customHeight="1" outlineLevel="1" thickBot="1" x14ac:dyDescent="0.3">
      <c r="A248" s="244"/>
      <c r="B248" s="229"/>
      <c r="C248" s="232"/>
      <c r="D248" s="232"/>
      <c r="E248" s="232"/>
      <c r="F248" s="234"/>
      <c r="G248" s="46" t="s">
        <v>82</v>
      </c>
      <c r="H248" s="247"/>
      <c r="I248" s="247"/>
      <c r="J248" s="46">
        <v>1</v>
      </c>
      <c r="K248" s="46">
        <f t="shared" si="91"/>
        <v>20</v>
      </c>
      <c r="L248" s="173">
        <v>20</v>
      </c>
      <c r="M248" s="174">
        <v>8</v>
      </c>
      <c r="N248" s="46">
        <f>DATA!$D$8</f>
        <v>2129.23</v>
      </c>
      <c r="O248" s="46">
        <f t="shared" si="85"/>
        <v>340676.8</v>
      </c>
      <c r="P248" s="46">
        <f t="shared" si="86"/>
        <v>160</v>
      </c>
      <c r="Q248" s="50"/>
      <c r="T248" s="21"/>
    </row>
    <row r="249" spans="1:20" s="36" customFormat="1" ht="14.45" customHeight="1" outlineLevel="1" x14ac:dyDescent="0.25">
      <c r="A249" s="240" t="s">
        <v>483</v>
      </c>
      <c r="B249" s="227" t="s">
        <v>136</v>
      </c>
      <c r="C249" s="230">
        <f>SUM(,O249:O255)</f>
        <v>1195295.4912</v>
      </c>
      <c r="D249" s="230">
        <f>SUM(,P249:P255)</f>
        <v>486.72</v>
      </c>
      <c r="E249" s="230">
        <f t="shared" ref="E249" si="92">D249/8</f>
        <v>60.84</v>
      </c>
      <c r="F249" s="230"/>
      <c r="G249" s="46" t="s">
        <v>76</v>
      </c>
      <c r="H249" s="245"/>
      <c r="I249" s="245"/>
      <c r="J249" s="46">
        <v>1</v>
      </c>
      <c r="K249" s="46">
        <f>L249*$S$8</f>
        <v>0.42</v>
      </c>
      <c r="L249" s="173">
        <v>0.42</v>
      </c>
      <c r="M249" s="174">
        <v>8</v>
      </c>
      <c r="N249" s="46">
        <f>DATA!$D$2</f>
        <v>5009.96</v>
      </c>
      <c r="O249" s="46">
        <f t="shared" si="85"/>
        <v>16833.4656</v>
      </c>
      <c r="P249" s="46">
        <f t="shared" si="86"/>
        <v>3.36</v>
      </c>
      <c r="Q249" s="50"/>
      <c r="T249" s="21"/>
    </row>
    <row r="250" spans="1:20" s="36" customFormat="1" ht="11.45" customHeight="1" outlineLevel="1" x14ac:dyDescent="0.25">
      <c r="A250" s="243"/>
      <c r="B250" s="228"/>
      <c r="C250" s="231"/>
      <c r="D250" s="231"/>
      <c r="E250" s="231"/>
      <c r="F250" s="233"/>
      <c r="G250" s="46" t="s">
        <v>77</v>
      </c>
      <c r="H250" s="246"/>
      <c r="I250" s="246"/>
      <c r="J250" s="46">
        <v>1</v>
      </c>
      <c r="K250" s="46">
        <f t="shared" ref="K250:K255" si="93">L250*$S$8</f>
        <v>0.42</v>
      </c>
      <c r="L250" s="173">
        <v>0.42</v>
      </c>
      <c r="M250" s="174">
        <v>8</v>
      </c>
      <c r="N250" s="46">
        <f>DATA!$D$3</f>
        <v>4508.96</v>
      </c>
      <c r="O250" s="46">
        <f t="shared" si="85"/>
        <v>15150.105599999999</v>
      </c>
      <c r="P250" s="46">
        <f t="shared" si="86"/>
        <v>3.36</v>
      </c>
      <c r="Q250" s="50"/>
      <c r="T250" s="21"/>
    </row>
    <row r="251" spans="1:20" s="36" customFormat="1" ht="10.7" customHeight="1" outlineLevel="1" x14ac:dyDescent="0.25">
      <c r="A251" s="243"/>
      <c r="B251" s="228"/>
      <c r="C251" s="231"/>
      <c r="D251" s="231"/>
      <c r="E251" s="231"/>
      <c r="F251" s="233"/>
      <c r="G251" s="46" t="s">
        <v>78</v>
      </c>
      <c r="H251" s="246"/>
      <c r="I251" s="246"/>
      <c r="J251" s="46">
        <v>1</v>
      </c>
      <c r="K251" s="46">
        <f t="shared" si="93"/>
        <v>3</v>
      </c>
      <c r="L251" s="173">
        <v>3</v>
      </c>
      <c r="M251" s="174">
        <v>8</v>
      </c>
      <c r="N251" s="46">
        <f>DATA!$D$4</f>
        <v>3757.47</v>
      </c>
      <c r="O251" s="46">
        <f t="shared" si="85"/>
        <v>90179.28</v>
      </c>
      <c r="P251" s="46">
        <f t="shared" si="86"/>
        <v>24</v>
      </c>
      <c r="Q251" s="50"/>
      <c r="T251" s="21"/>
    </row>
    <row r="252" spans="1:20" s="36" customFormat="1" ht="10.7" customHeight="1" outlineLevel="1" x14ac:dyDescent="0.25">
      <c r="A252" s="243"/>
      <c r="B252" s="228"/>
      <c r="C252" s="231"/>
      <c r="D252" s="231"/>
      <c r="E252" s="231"/>
      <c r="F252" s="233"/>
      <c r="G252" s="46" t="s">
        <v>79</v>
      </c>
      <c r="H252" s="246"/>
      <c r="I252" s="246"/>
      <c r="J252" s="46">
        <v>1</v>
      </c>
      <c r="K252" s="46">
        <f t="shared" si="93"/>
        <v>3</v>
      </c>
      <c r="L252" s="173">
        <v>3</v>
      </c>
      <c r="M252" s="174">
        <v>8</v>
      </c>
      <c r="N252" s="46">
        <f>DATA!$D$5</f>
        <v>3381.72</v>
      </c>
      <c r="O252" s="46">
        <f t="shared" si="85"/>
        <v>81161.279999999999</v>
      </c>
      <c r="P252" s="46">
        <f t="shared" si="86"/>
        <v>24</v>
      </c>
      <c r="Q252" s="50"/>
      <c r="T252" s="21"/>
    </row>
    <row r="253" spans="1:20" s="36" customFormat="1" ht="10.7" customHeight="1" outlineLevel="1" x14ac:dyDescent="0.25">
      <c r="A253" s="243"/>
      <c r="B253" s="228"/>
      <c r="C253" s="231"/>
      <c r="D253" s="231"/>
      <c r="E253" s="231"/>
      <c r="F253" s="233"/>
      <c r="G253" s="46" t="s">
        <v>80</v>
      </c>
      <c r="H253" s="246"/>
      <c r="I253" s="246"/>
      <c r="J253" s="46">
        <v>1</v>
      </c>
      <c r="K253" s="46">
        <f t="shared" si="93"/>
        <v>18</v>
      </c>
      <c r="L253" s="173">
        <v>18</v>
      </c>
      <c r="M253" s="174">
        <v>8</v>
      </c>
      <c r="N253" s="46">
        <f>DATA!$D$6</f>
        <v>2504.98</v>
      </c>
      <c r="O253" s="46">
        <f t="shared" si="85"/>
        <v>360717.12</v>
      </c>
      <c r="P253" s="46">
        <f t="shared" si="86"/>
        <v>144</v>
      </c>
      <c r="Q253" s="50"/>
      <c r="T253" s="21"/>
    </row>
    <row r="254" spans="1:20" s="36" customFormat="1" ht="10.7" customHeight="1" outlineLevel="1" x14ac:dyDescent="0.25">
      <c r="A254" s="243"/>
      <c r="B254" s="228"/>
      <c r="C254" s="231"/>
      <c r="D254" s="231"/>
      <c r="E254" s="231"/>
      <c r="F254" s="233"/>
      <c r="G254" s="46" t="s">
        <v>81</v>
      </c>
      <c r="H254" s="246"/>
      <c r="I254" s="246"/>
      <c r="J254" s="46">
        <v>1</v>
      </c>
      <c r="K254" s="46">
        <f t="shared" si="93"/>
        <v>18</v>
      </c>
      <c r="L254" s="173">
        <v>18</v>
      </c>
      <c r="M254" s="174">
        <v>8</v>
      </c>
      <c r="N254" s="46">
        <f>DATA!$D$7</f>
        <v>2254.48</v>
      </c>
      <c r="O254" s="46">
        <f t="shared" si="85"/>
        <v>324645.12</v>
      </c>
      <c r="P254" s="46">
        <f t="shared" si="86"/>
        <v>144</v>
      </c>
      <c r="Q254" s="50"/>
      <c r="T254" s="21"/>
    </row>
    <row r="255" spans="1:20" s="36" customFormat="1" ht="12" customHeight="1" outlineLevel="1" thickBot="1" x14ac:dyDescent="0.3">
      <c r="A255" s="244"/>
      <c r="B255" s="229"/>
      <c r="C255" s="232"/>
      <c r="D255" s="232"/>
      <c r="E255" s="232"/>
      <c r="F255" s="234"/>
      <c r="G255" s="46" t="s">
        <v>82</v>
      </c>
      <c r="H255" s="247"/>
      <c r="I255" s="247"/>
      <c r="J255" s="46">
        <v>1</v>
      </c>
      <c r="K255" s="46">
        <f t="shared" si="93"/>
        <v>18</v>
      </c>
      <c r="L255" s="173">
        <v>18</v>
      </c>
      <c r="M255" s="174">
        <v>8</v>
      </c>
      <c r="N255" s="46">
        <f>DATA!$D$8</f>
        <v>2129.23</v>
      </c>
      <c r="O255" s="46">
        <f t="shared" si="85"/>
        <v>306609.12</v>
      </c>
      <c r="P255" s="46">
        <f t="shared" si="86"/>
        <v>144</v>
      </c>
      <c r="Q255" s="50"/>
      <c r="T255" s="21"/>
    </row>
    <row r="256" spans="1:20" s="36" customFormat="1" ht="14.45" customHeight="1" outlineLevel="1" x14ac:dyDescent="0.25">
      <c r="A256" s="240" t="s">
        <v>479</v>
      </c>
      <c r="B256" s="227" t="s">
        <v>137</v>
      </c>
      <c r="C256" s="230">
        <f>SUM(,O256:O262)</f>
        <v>2889663.0112000001</v>
      </c>
      <c r="D256" s="230">
        <f>SUM(,P256:P262)</f>
        <v>1198.72</v>
      </c>
      <c r="E256" s="230">
        <f t="shared" ref="E256" si="94">D256/8</f>
        <v>149.84</v>
      </c>
      <c r="F256" s="230"/>
      <c r="G256" s="46" t="s">
        <v>76</v>
      </c>
      <c r="H256" s="245"/>
      <c r="I256" s="245"/>
      <c r="J256" s="46">
        <v>1</v>
      </c>
      <c r="K256" s="46">
        <f>L256*$S$8</f>
        <v>0.42</v>
      </c>
      <c r="L256" s="173">
        <v>0.42</v>
      </c>
      <c r="M256" s="174">
        <v>8</v>
      </c>
      <c r="N256" s="46">
        <f>DATA!$D$2</f>
        <v>5009.96</v>
      </c>
      <c r="O256" s="46">
        <f t="shared" si="85"/>
        <v>16833.4656</v>
      </c>
      <c r="P256" s="46">
        <f t="shared" si="86"/>
        <v>3.36</v>
      </c>
      <c r="Q256" s="50"/>
      <c r="T256" s="21"/>
    </row>
    <row r="257" spans="1:20" s="36" customFormat="1" ht="11.45" customHeight="1" outlineLevel="1" x14ac:dyDescent="0.25">
      <c r="A257" s="243"/>
      <c r="B257" s="228"/>
      <c r="C257" s="231"/>
      <c r="D257" s="231"/>
      <c r="E257" s="231"/>
      <c r="F257" s="233"/>
      <c r="G257" s="46" t="s">
        <v>77</v>
      </c>
      <c r="H257" s="246"/>
      <c r="I257" s="246"/>
      <c r="J257" s="46">
        <v>1</v>
      </c>
      <c r="K257" s="46">
        <f t="shared" ref="K257:K262" si="95">L257*$S$8</f>
        <v>0.42</v>
      </c>
      <c r="L257" s="173">
        <v>0.42</v>
      </c>
      <c r="M257" s="174">
        <v>8</v>
      </c>
      <c r="N257" s="46">
        <f>DATA!$D$3</f>
        <v>4508.96</v>
      </c>
      <c r="O257" s="46">
        <f t="shared" si="85"/>
        <v>15150.105599999999</v>
      </c>
      <c r="P257" s="46">
        <f t="shared" si="86"/>
        <v>3.36</v>
      </c>
      <c r="Q257" s="50"/>
      <c r="T257" s="21"/>
    </row>
    <row r="258" spans="1:20" s="36" customFormat="1" ht="10.7" customHeight="1" outlineLevel="1" x14ac:dyDescent="0.25">
      <c r="A258" s="243"/>
      <c r="B258" s="228"/>
      <c r="C258" s="231"/>
      <c r="D258" s="231"/>
      <c r="E258" s="231"/>
      <c r="F258" s="233"/>
      <c r="G258" s="46" t="s">
        <v>78</v>
      </c>
      <c r="H258" s="246"/>
      <c r="I258" s="246"/>
      <c r="J258" s="46">
        <v>1</v>
      </c>
      <c r="K258" s="46">
        <f t="shared" si="95"/>
        <v>3</v>
      </c>
      <c r="L258" s="173">
        <v>3</v>
      </c>
      <c r="M258" s="174">
        <v>8</v>
      </c>
      <c r="N258" s="46">
        <f>DATA!$D$4</f>
        <v>3757.47</v>
      </c>
      <c r="O258" s="46">
        <f t="shared" si="85"/>
        <v>90179.28</v>
      </c>
      <c r="P258" s="46">
        <f t="shared" si="86"/>
        <v>24</v>
      </c>
      <c r="Q258" s="50"/>
      <c r="T258" s="21"/>
    </row>
    <row r="259" spans="1:20" s="36" customFormat="1" ht="10.7" customHeight="1" outlineLevel="1" x14ac:dyDescent="0.25">
      <c r="A259" s="243"/>
      <c r="B259" s="228"/>
      <c r="C259" s="231"/>
      <c r="D259" s="231"/>
      <c r="E259" s="231"/>
      <c r="F259" s="233"/>
      <c r="G259" s="46" t="s">
        <v>79</v>
      </c>
      <c r="H259" s="246"/>
      <c r="I259" s="246"/>
      <c r="J259" s="46">
        <v>2</v>
      </c>
      <c r="K259" s="46">
        <f t="shared" si="95"/>
        <v>3</v>
      </c>
      <c r="L259" s="173">
        <v>3</v>
      </c>
      <c r="M259" s="174">
        <v>8</v>
      </c>
      <c r="N259" s="46">
        <f>DATA!$D$5</f>
        <v>3381.72</v>
      </c>
      <c r="O259" s="46">
        <f t="shared" si="85"/>
        <v>162322.56</v>
      </c>
      <c r="P259" s="46">
        <f t="shared" si="86"/>
        <v>48</v>
      </c>
      <c r="Q259" s="50"/>
      <c r="T259" s="21"/>
    </row>
    <row r="260" spans="1:20" s="36" customFormat="1" ht="10.7" customHeight="1" outlineLevel="1" x14ac:dyDescent="0.25">
      <c r="A260" s="243"/>
      <c r="B260" s="228"/>
      <c r="C260" s="231"/>
      <c r="D260" s="231"/>
      <c r="E260" s="231"/>
      <c r="F260" s="233"/>
      <c r="G260" s="46" t="s">
        <v>80</v>
      </c>
      <c r="H260" s="246"/>
      <c r="I260" s="246"/>
      <c r="J260" s="46">
        <v>3</v>
      </c>
      <c r="K260" s="46">
        <f t="shared" si="95"/>
        <v>20</v>
      </c>
      <c r="L260" s="173">
        <v>20</v>
      </c>
      <c r="M260" s="174">
        <v>8</v>
      </c>
      <c r="N260" s="46">
        <f>DATA!$D$6</f>
        <v>2504.98</v>
      </c>
      <c r="O260" s="46">
        <f t="shared" si="85"/>
        <v>1202390.4000000001</v>
      </c>
      <c r="P260" s="46">
        <f t="shared" si="86"/>
        <v>480</v>
      </c>
      <c r="Q260" s="50"/>
      <c r="T260" s="21"/>
    </row>
    <row r="261" spans="1:20" s="36" customFormat="1" ht="10.7" customHeight="1" outlineLevel="1" x14ac:dyDescent="0.25">
      <c r="A261" s="243"/>
      <c r="B261" s="228"/>
      <c r="C261" s="231"/>
      <c r="D261" s="231"/>
      <c r="E261" s="231"/>
      <c r="F261" s="233"/>
      <c r="G261" s="46" t="s">
        <v>81</v>
      </c>
      <c r="H261" s="246"/>
      <c r="I261" s="246"/>
      <c r="J261" s="46">
        <v>2</v>
      </c>
      <c r="K261" s="46">
        <f t="shared" si="95"/>
        <v>20</v>
      </c>
      <c r="L261" s="173">
        <v>20</v>
      </c>
      <c r="M261" s="174">
        <v>8</v>
      </c>
      <c r="N261" s="46">
        <f>DATA!$D$7</f>
        <v>2254.48</v>
      </c>
      <c r="O261" s="46">
        <f t="shared" si="85"/>
        <v>721433.59999999998</v>
      </c>
      <c r="P261" s="46">
        <f t="shared" si="86"/>
        <v>320</v>
      </c>
      <c r="Q261" s="50"/>
      <c r="T261" s="21"/>
    </row>
    <row r="262" spans="1:20" s="36" customFormat="1" ht="12" customHeight="1" outlineLevel="1" thickBot="1" x14ac:dyDescent="0.3">
      <c r="A262" s="244"/>
      <c r="B262" s="229"/>
      <c r="C262" s="232"/>
      <c r="D262" s="232"/>
      <c r="E262" s="232"/>
      <c r="F262" s="234"/>
      <c r="G262" s="46" t="s">
        <v>82</v>
      </c>
      <c r="H262" s="247"/>
      <c r="I262" s="247"/>
      <c r="J262" s="46">
        <v>2</v>
      </c>
      <c r="K262" s="46">
        <f t="shared" si="95"/>
        <v>20</v>
      </c>
      <c r="L262" s="173">
        <v>20</v>
      </c>
      <c r="M262" s="174">
        <v>8</v>
      </c>
      <c r="N262" s="46">
        <f>DATA!$D$8</f>
        <v>2129.23</v>
      </c>
      <c r="O262" s="46">
        <f t="shared" si="85"/>
        <v>681353.6</v>
      </c>
      <c r="P262" s="46">
        <f t="shared" si="86"/>
        <v>320</v>
      </c>
      <c r="Q262" s="50"/>
      <c r="T262" s="21"/>
    </row>
    <row r="263" spans="1:20" s="36" customFormat="1" ht="14.45" customHeight="1" outlineLevel="1" x14ac:dyDescent="0.25">
      <c r="A263" s="240" t="s">
        <v>480</v>
      </c>
      <c r="B263" s="227" t="s">
        <v>138</v>
      </c>
      <c r="C263" s="230">
        <f>SUM(,O263:O269)</f>
        <v>2238368.6112000002</v>
      </c>
      <c r="D263" s="230">
        <f>SUM(,P263:P269)</f>
        <v>918.72</v>
      </c>
      <c r="E263" s="230">
        <f t="shared" ref="E263" si="96">D263/8</f>
        <v>114.84</v>
      </c>
      <c r="F263" s="230"/>
      <c r="G263" s="46" t="s">
        <v>76</v>
      </c>
      <c r="H263" s="245"/>
      <c r="I263" s="245"/>
      <c r="J263" s="46">
        <v>1</v>
      </c>
      <c r="K263" s="46">
        <f>L263*$S$8</f>
        <v>0.42</v>
      </c>
      <c r="L263" s="173">
        <v>0.42</v>
      </c>
      <c r="M263" s="174">
        <v>8</v>
      </c>
      <c r="N263" s="46">
        <f>DATA!$D$2</f>
        <v>5009.96</v>
      </c>
      <c r="O263" s="46">
        <f t="shared" si="85"/>
        <v>16833.4656</v>
      </c>
      <c r="P263" s="46">
        <f t="shared" si="86"/>
        <v>3.36</v>
      </c>
      <c r="Q263" s="50"/>
      <c r="T263" s="21"/>
    </row>
    <row r="264" spans="1:20" s="36" customFormat="1" ht="11.45" customHeight="1" outlineLevel="1" x14ac:dyDescent="0.25">
      <c r="A264" s="243"/>
      <c r="B264" s="228"/>
      <c r="C264" s="231"/>
      <c r="D264" s="231"/>
      <c r="E264" s="231"/>
      <c r="F264" s="233"/>
      <c r="G264" s="46" t="s">
        <v>77</v>
      </c>
      <c r="H264" s="246"/>
      <c r="I264" s="246"/>
      <c r="J264" s="46">
        <v>1</v>
      </c>
      <c r="K264" s="46">
        <f t="shared" ref="K264:K269" si="97">L264*$S$8</f>
        <v>0.42</v>
      </c>
      <c r="L264" s="173">
        <v>0.42</v>
      </c>
      <c r="M264" s="174">
        <v>8</v>
      </c>
      <c r="N264" s="46">
        <f>DATA!$D$3</f>
        <v>4508.96</v>
      </c>
      <c r="O264" s="46">
        <f t="shared" si="85"/>
        <v>15150.105599999999</v>
      </c>
      <c r="P264" s="46">
        <f t="shared" si="86"/>
        <v>3.36</v>
      </c>
      <c r="Q264" s="50"/>
      <c r="T264" s="21"/>
    </row>
    <row r="265" spans="1:20" s="36" customFormat="1" ht="10.7" customHeight="1" outlineLevel="1" x14ac:dyDescent="0.25">
      <c r="A265" s="243"/>
      <c r="B265" s="228"/>
      <c r="C265" s="231"/>
      <c r="D265" s="231"/>
      <c r="E265" s="231"/>
      <c r="F265" s="233"/>
      <c r="G265" s="46" t="s">
        <v>78</v>
      </c>
      <c r="H265" s="246"/>
      <c r="I265" s="246"/>
      <c r="J265" s="46">
        <v>1</v>
      </c>
      <c r="K265" s="46">
        <f t="shared" si="97"/>
        <v>3</v>
      </c>
      <c r="L265" s="173">
        <v>3</v>
      </c>
      <c r="M265" s="174">
        <v>8</v>
      </c>
      <c r="N265" s="46">
        <f>DATA!$D$4</f>
        <v>3757.47</v>
      </c>
      <c r="O265" s="46">
        <f t="shared" si="85"/>
        <v>90179.28</v>
      </c>
      <c r="P265" s="46">
        <f t="shared" si="86"/>
        <v>24</v>
      </c>
      <c r="Q265" s="50"/>
      <c r="T265" s="21"/>
    </row>
    <row r="266" spans="1:20" s="36" customFormat="1" ht="10.7" customHeight="1" outlineLevel="1" x14ac:dyDescent="0.25">
      <c r="A266" s="243"/>
      <c r="B266" s="228"/>
      <c r="C266" s="231"/>
      <c r="D266" s="231"/>
      <c r="E266" s="231"/>
      <c r="F266" s="233"/>
      <c r="G266" s="46" t="s">
        <v>79</v>
      </c>
      <c r="H266" s="246"/>
      <c r="I266" s="246"/>
      <c r="J266" s="46">
        <v>2</v>
      </c>
      <c r="K266" s="46">
        <f t="shared" si="97"/>
        <v>3</v>
      </c>
      <c r="L266" s="173">
        <v>3</v>
      </c>
      <c r="M266" s="174">
        <v>8</v>
      </c>
      <c r="N266" s="46">
        <f>DATA!$D$5</f>
        <v>3381.72</v>
      </c>
      <c r="O266" s="46">
        <f t="shared" si="85"/>
        <v>162322.56</v>
      </c>
      <c r="P266" s="46">
        <f t="shared" si="86"/>
        <v>48</v>
      </c>
      <c r="Q266" s="50"/>
      <c r="T266" s="21"/>
    </row>
    <row r="267" spans="1:20" s="36" customFormat="1" ht="10.7" customHeight="1" outlineLevel="1" x14ac:dyDescent="0.25">
      <c r="A267" s="243"/>
      <c r="B267" s="228"/>
      <c r="C267" s="231"/>
      <c r="D267" s="231"/>
      <c r="E267" s="231"/>
      <c r="F267" s="233"/>
      <c r="G267" s="46" t="s">
        <v>80</v>
      </c>
      <c r="H267" s="246"/>
      <c r="I267" s="246"/>
      <c r="J267" s="46">
        <v>3</v>
      </c>
      <c r="K267" s="46">
        <f t="shared" si="97"/>
        <v>15</v>
      </c>
      <c r="L267" s="173">
        <v>15</v>
      </c>
      <c r="M267" s="174">
        <v>8</v>
      </c>
      <c r="N267" s="46">
        <f>DATA!$D$6</f>
        <v>2504.98</v>
      </c>
      <c r="O267" s="46">
        <f t="shared" si="85"/>
        <v>901792.8</v>
      </c>
      <c r="P267" s="46">
        <f t="shared" si="86"/>
        <v>360</v>
      </c>
      <c r="Q267" s="50"/>
      <c r="T267" s="21"/>
    </row>
    <row r="268" spans="1:20" s="36" customFormat="1" ht="10.7" customHeight="1" outlineLevel="1" x14ac:dyDescent="0.25">
      <c r="A268" s="243"/>
      <c r="B268" s="228"/>
      <c r="C268" s="231"/>
      <c r="D268" s="231"/>
      <c r="E268" s="231"/>
      <c r="F268" s="233"/>
      <c r="G268" s="46" t="s">
        <v>81</v>
      </c>
      <c r="H268" s="246"/>
      <c r="I268" s="246"/>
      <c r="J268" s="46">
        <v>2</v>
      </c>
      <c r="K268" s="46">
        <f t="shared" si="97"/>
        <v>15</v>
      </c>
      <c r="L268" s="173">
        <v>15</v>
      </c>
      <c r="M268" s="174">
        <v>8</v>
      </c>
      <c r="N268" s="46">
        <f>DATA!$D$7</f>
        <v>2254.48</v>
      </c>
      <c r="O268" s="46">
        <f t="shared" si="85"/>
        <v>541075.19999999995</v>
      </c>
      <c r="P268" s="46">
        <f t="shared" si="86"/>
        <v>240</v>
      </c>
      <c r="Q268" s="50"/>
      <c r="T268" s="21"/>
    </row>
    <row r="269" spans="1:20" s="36" customFormat="1" ht="12" customHeight="1" outlineLevel="1" thickBot="1" x14ac:dyDescent="0.3">
      <c r="A269" s="244"/>
      <c r="B269" s="229"/>
      <c r="C269" s="232"/>
      <c r="D269" s="232"/>
      <c r="E269" s="232"/>
      <c r="F269" s="234"/>
      <c r="G269" s="46" t="s">
        <v>82</v>
      </c>
      <c r="H269" s="247"/>
      <c r="I269" s="247"/>
      <c r="J269" s="46">
        <v>2</v>
      </c>
      <c r="K269" s="46">
        <f t="shared" si="97"/>
        <v>15</v>
      </c>
      <c r="L269" s="173">
        <v>15</v>
      </c>
      <c r="M269" s="174">
        <v>8</v>
      </c>
      <c r="N269" s="46">
        <f>DATA!$D$8</f>
        <v>2129.23</v>
      </c>
      <c r="O269" s="46">
        <f t="shared" si="85"/>
        <v>511015.2</v>
      </c>
      <c r="P269" s="46">
        <f t="shared" si="86"/>
        <v>240</v>
      </c>
      <c r="Q269" s="50"/>
      <c r="T269" s="21"/>
    </row>
    <row r="270" spans="1:20" s="36" customFormat="1" ht="14.45" customHeight="1" outlineLevel="1" x14ac:dyDescent="0.25">
      <c r="A270" s="240" t="s">
        <v>481</v>
      </c>
      <c r="B270" s="227" t="s">
        <v>485</v>
      </c>
      <c r="C270" s="230">
        <f>SUM(,O270:O276)</f>
        <v>4051974.1311999997</v>
      </c>
      <c r="D270" s="230">
        <f>SUM(,P270:P276)</f>
        <v>1614.72</v>
      </c>
      <c r="E270" s="230">
        <f t="shared" ref="E270" si="98">D270/8</f>
        <v>201.84</v>
      </c>
      <c r="F270" s="230"/>
      <c r="G270" s="46" t="s">
        <v>76</v>
      </c>
      <c r="H270" s="245"/>
      <c r="I270" s="245"/>
      <c r="J270" s="46">
        <v>1</v>
      </c>
      <c r="K270" s="46">
        <f>L270*$S$8</f>
        <v>0.42</v>
      </c>
      <c r="L270" s="173">
        <v>0.42</v>
      </c>
      <c r="M270" s="174">
        <v>8</v>
      </c>
      <c r="N270" s="46">
        <f>DATA!$D$2</f>
        <v>5009.96</v>
      </c>
      <c r="O270" s="46">
        <f t="shared" si="85"/>
        <v>16833.4656</v>
      </c>
      <c r="P270" s="46">
        <f t="shared" si="86"/>
        <v>3.36</v>
      </c>
      <c r="Q270" s="50"/>
      <c r="T270" s="21"/>
    </row>
    <row r="271" spans="1:20" s="36" customFormat="1" ht="11.45" customHeight="1" outlineLevel="1" x14ac:dyDescent="0.25">
      <c r="A271" s="243"/>
      <c r="B271" s="228"/>
      <c r="C271" s="231"/>
      <c r="D271" s="231"/>
      <c r="E271" s="231"/>
      <c r="F271" s="233"/>
      <c r="G271" s="46" t="s">
        <v>77</v>
      </c>
      <c r="H271" s="246"/>
      <c r="I271" s="246"/>
      <c r="J271" s="46">
        <v>1</v>
      </c>
      <c r="K271" s="46">
        <f t="shared" ref="K271:K276" si="99">L271*$S$8</f>
        <v>0.42</v>
      </c>
      <c r="L271" s="173">
        <v>0.42</v>
      </c>
      <c r="M271" s="174">
        <v>8</v>
      </c>
      <c r="N271" s="46">
        <f>DATA!$D$3</f>
        <v>4508.96</v>
      </c>
      <c r="O271" s="46">
        <f t="shared" si="85"/>
        <v>15150.105599999999</v>
      </c>
      <c r="P271" s="46">
        <f t="shared" si="86"/>
        <v>3.36</v>
      </c>
      <c r="Q271" s="50"/>
      <c r="T271" s="21"/>
    </row>
    <row r="272" spans="1:20" s="36" customFormat="1" ht="10.7" customHeight="1" outlineLevel="1" x14ac:dyDescent="0.25">
      <c r="A272" s="243"/>
      <c r="B272" s="228"/>
      <c r="C272" s="231"/>
      <c r="D272" s="231"/>
      <c r="E272" s="231"/>
      <c r="F272" s="233"/>
      <c r="G272" s="46" t="s">
        <v>78</v>
      </c>
      <c r="H272" s="246"/>
      <c r="I272" s="246"/>
      <c r="J272" s="46">
        <v>1</v>
      </c>
      <c r="K272" s="46">
        <f t="shared" si="99"/>
        <v>10</v>
      </c>
      <c r="L272" s="173">
        <v>10</v>
      </c>
      <c r="M272" s="174">
        <v>8</v>
      </c>
      <c r="N272" s="46">
        <f>DATA!$D$4</f>
        <v>3757.47</v>
      </c>
      <c r="O272" s="46">
        <f t="shared" si="85"/>
        <v>300597.59999999998</v>
      </c>
      <c r="P272" s="46">
        <f t="shared" si="86"/>
        <v>80</v>
      </c>
      <c r="Q272" s="50"/>
      <c r="R272" s="37"/>
      <c r="S272" s="37"/>
      <c r="T272" s="21"/>
    </row>
    <row r="273" spans="1:20" s="36" customFormat="1" ht="10.7" customHeight="1" outlineLevel="1" x14ac:dyDescent="0.25">
      <c r="A273" s="243"/>
      <c r="B273" s="228"/>
      <c r="C273" s="231"/>
      <c r="D273" s="231"/>
      <c r="E273" s="231"/>
      <c r="F273" s="233"/>
      <c r="G273" s="46" t="s">
        <v>79</v>
      </c>
      <c r="H273" s="246"/>
      <c r="I273" s="246"/>
      <c r="J273" s="46">
        <v>2</v>
      </c>
      <c r="K273" s="46">
        <f t="shared" si="99"/>
        <v>3</v>
      </c>
      <c r="L273" s="173">
        <v>3</v>
      </c>
      <c r="M273" s="174">
        <v>8</v>
      </c>
      <c r="N273" s="46">
        <f>DATA!$D$5</f>
        <v>3381.72</v>
      </c>
      <c r="O273" s="46">
        <f t="shared" si="85"/>
        <v>162322.56</v>
      </c>
      <c r="P273" s="46">
        <f t="shared" si="86"/>
        <v>48</v>
      </c>
      <c r="Q273" s="50"/>
      <c r="T273" s="21"/>
    </row>
    <row r="274" spans="1:20" s="36" customFormat="1" ht="10.7" customHeight="1" outlineLevel="1" x14ac:dyDescent="0.25">
      <c r="A274" s="243"/>
      <c r="B274" s="228"/>
      <c r="C274" s="231"/>
      <c r="D274" s="231"/>
      <c r="E274" s="231"/>
      <c r="F274" s="233"/>
      <c r="G274" s="46" t="s">
        <v>80</v>
      </c>
      <c r="H274" s="246"/>
      <c r="I274" s="246"/>
      <c r="J274" s="46">
        <v>5</v>
      </c>
      <c r="K274" s="46">
        <f t="shared" si="99"/>
        <v>25</v>
      </c>
      <c r="L274" s="173">
        <v>25</v>
      </c>
      <c r="M274" s="174">
        <v>8</v>
      </c>
      <c r="N274" s="46">
        <f>DATA!$D$6</f>
        <v>2504.98</v>
      </c>
      <c r="O274" s="46">
        <f t="shared" si="85"/>
        <v>2504980</v>
      </c>
      <c r="P274" s="46">
        <f t="shared" si="86"/>
        <v>1000</v>
      </c>
      <c r="Q274" s="50"/>
      <c r="T274" s="21"/>
    </row>
    <row r="275" spans="1:20" s="36" customFormat="1" ht="10.7" customHeight="1" outlineLevel="1" x14ac:dyDescent="0.25">
      <c r="A275" s="243"/>
      <c r="B275" s="228"/>
      <c r="C275" s="231"/>
      <c r="D275" s="231"/>
      <c r="E275" s="231"/>
      <c r="F275" s="233"/>
      <c r="G275" s="46" t="s">
        <v>81</v>
      </c>
      <c r="H275" s="246"/>
      <c r="I275" s="246"/>
      <c r="J275" s="46">
        <v>2</v>
      </c>
      <c r="K275" s="46">
        <f t="shared" si="99"/>
        <v>15</v>
      </c>
      <c r="L275" s="173">
        <v>15</v>
      </c>
      <c r="M275" s="174">
        <v>8</v>
      </c>
      <c r="N275" s="46">
        <f>DATA!$D$7</f>
        <v>2254.48</v>
      </c>
      <c r="O275" s="46">
        <f t="shared" si="85"/>
        <v>541075.19999999995</v>
      </c>
      <c r="P275" s="46">
        <f t="shared" si="86"/>
        <v>240</v>
      </c>
      <c r="Q275" s="50"/>
      <c r="T275" s="21"/>
    </row>
    <row r="276" spans="1:20" s="36" customFormat="1" ht="12" customHeight="1" outlineLevel="1" thickBot="1" x14ac:dyDescent="0.3">
      <c r="A276" s="244"/>
      <c r="B276" s="229"/>
      <c r="C276" s="232"/>
      <c r="D276" s="232"/>
      <c r="E276" s="232"/>
      <c r="F276" s="234"/>
      <c r="G276" s="46" t="s">
        <v>82</v>
      </c>
      <c r="H276" s="247"/>
      <c r="I276" s="247"/>
      <c r="J276" s="46">
        <v>2</v>
      </c>
      <c r="K276" s="46">
        <f t="shared" si="99"/>
        <v>15</v>
      </c>
      <c r="L276" s="173">
        <v>15</v>
      </c>
      <c r="M276" s="174">
        <v>8</v>
      </c>
      <c r="N276" s="46">
        <f>DATA!$D$8</f>
        <v>2129.23</v>
      </c>
      <c r="O276" s="46">
        <f t="shared" si="85"/>
        <v>511015.2</v>
      </c>
      <c r="P276" s="46">
        <f t="shared" si="86"/>
        <v>240</v>
      </c>
      <c r="Q276" s="50"/>
      <c r="T276" s="21"/>
    </row>
    <row r="277" spans="1:20" s="36" customFormat="1" ht="14.45" customHeight="1" outlineLevel="1" x14ac:dyDescent="0.25">
      <c r="A277" s="240" t="s">
        <v>484</v>
      </c>
      <c r="B277" s="227" t="s">
        <v>486</v>
      </c>
      <c r="C277" s="230">
        <f>SUM(,O277:O283)</f>
        <v>889187.13119999995</v>
      </c>
      <c r="D277" s="230">
        <f>SUM(,P277:P283)</f>
        <v>366.72</v>
      </c>
      <c r="E277" s="230">
        <f t="shared" ref="E277" si="100">D277/8</f>
        <v>45.84</v>
      </c>
      <c r="F277" s="230"/>
      <c r="G277" s="46" t="s">
        <v>76</v>
      </c>
      <c r="H277" s="245"/>
      <c r="I277" s="245"/>
      <c r="J277" s="46">
        <v>1</v>
      </c>
      <c r="K277" s="46">
        <f>L277*$S$8</f>
        <v>0.42</v>
      </c>
      <c r="L277" s="173">
        <v>0.42</v>
      </c>
      <c r="M277" s="174">
        <v>8</v>
      </c>
      <c r="N277" s="46">
        <f>DATA!$D$2</f>
        <v>5009.96</v>
      </c>
      <c r="O277" s="46">
        <f t="shared" si="85"/>
        <v>16833.4656</v>
      </c>
      <c r="P277" s="46">
        <f t="shared" si="86"/>
        <v>3.36</v>
      </c>
      <c r="Q277" s="50"/>
      <c r="T277" s="21"/>
    </row>
    <row r="278" spans="1:20" s="36" customFormat="1" ht="11.45" customHeight="1" outlineLevel="1" x14ac:dyDescent="0.25">
      <c r="A278" s="243"/>
      <c r="B278" s="228"/>
      <c r="C278" s="231"/>
      <c r="D278" s="231"/>
      <c r="E278" s="231"/>
      <c r="F278" s="233"/>
      <c r="G278" s="46" t="s">
        <v>77</v>
      </c>
      <c r="H278" s="246"/>
      <c r="I278" s="246"/>
      <c r="J278" s="46">
        <v>1</v>
      </c>
      <c r="K278" s="46">
        <f t="shared" ref="K278:K283" si="101">L278*$S$8</f>
        <v>0.42</v>
      </c>
      <c r="L278" s="173">
        <v>0.42</v>
      </c>
      <c r="M278" s="174">
        <v>8</v>
      </c>
      <c r="N278" s="46">
        <f>DATA!$D$3</f>
        <v>4508.96</v>
      </c>
      <c r="O278" s="46">
        <f t="shared" si="85"/>
        <v>15150.105599999999</v>
      </c>
      <c r="P278" s="46">
        <f t="shared" si="86"/>
        <v>3.36</v>
      </c>
      <c r="Q278" s="50"/>
      <c r="T278" s="21"/>
    </row>
    <row r="279" spans="1:20" s="36" customFormat="1" ht="10.7" customHeight="1" outlineLevel="1" x14ac:dyDescent="0.25">
      <c r="A279" s="243"/>
      <c r="B279" s="228"/>
      <c r="C279" s="231"/>
      <c r="D279" s="231"/>
      <c r="E279" s="231"/>
      <c r="F279" s="233"/>
      <c r="G279" s="46" t="s">
        <v>78</v>
      </c>
      <c r="H279" s="246"/>
      <c r="I279" s="246"/>
      <c r="J279" s="46">
        <v>1</v>
      </c>
      <c r="K279" s="46">
        <f t="shared" si="101"/>
        <v>1.5</v>
      </c>
      <c r="L279" s="173">
        <v>1.5</v>
      </c>
      <c r="M279" s="174">
        <v>8</v>
      </c>
      <c r="N279" s="46">
        <f>DATA!$D$4</f>
        <v>3757.47</v>
      </c>
      <c r="O279" s="46">
        <f t="shared" si="85"/>
        <v>45089.64</v>
      </c>
      <c r="P279" s="46">
        <f t="shared" si="86"/>
        <v>12</v>
      </c>
      <c r="Q279" s="50"/>
      <c r="T279" s="21"/>
    </row>
    <row r="280" spans="1:20" s="36" customFormat="1" ht="10.7" customHeight="1" outlineLevel="1" x14ac:dyDescent="0.25">
      <c r="A280" s="243"/>
      <c r="B280" s="228"/>
      <c r="C280" s="231"/>
      <c r="D280" s="231"/>
      <c r="E280" s="231"/>
      <c r="F280" s="233"/>
      <c r="G280" s="46" t="s">
        <v>79</v>
      </c>
      <c r="H280" s="246"/>
      <c r="I280" s="246"/>
      <c r="J280" s="46">
        <v>1</v>
      </c>
      <c r="K280" s="46">
        <f t="shared" si="101"/>
        <v>1.5</v>
      </c>
      <c r="L280" s="173">
        <v>1.5</v>
      </c>
      <c r="M280" s="174">
        <v>8</v>
      </c>
      <c r="N280" s="46">
        <f>DATA!$D$5</f>
        <v>3381.72</v>
      </c>
      <c r="O280" s="46">
        <f t="shared" si="85"/>
        <v>40580.639999999999</v>
      </c>
      <c r="P280" s="46">
        <f t="shared" si="86"/>
        <v>12</v>
      </c>
      <c r="Q280" s="50"/>
      <c r="R280" s="21"/>
      <c r="S280" s="21"/>
      <c r="T280" s="21"/>
    </row>
    <row r="281" spans="1:20" s="36" customFormat="1" ht="10.7" customHeight="1" outlineLevel="1" x14ac:dyDescent="0.25">
      <c r="A281" s="243"/>
      <c r="B281" s="228"/>
      <c r="C281" s="231"/>
      <c r="D281" s="231"/>
      <c r="E281" s="231"/>
      <c r="F281" s="233"/>
      <c r="G281" s="46" t="s">
        <v>80</v>
      </c>
      <c r="H281" s="246"/>
      <c r="I281" s="246"/>
      <c r="J281" s="46">
        <v>1</v>
      </c>
      <c r="K281" s="46">
        <f t="shared" si="101"/>
        <v>14</v>
      </c>
      <c r="L281" s="173">
        <v>14</v>
      </c>
      <c r="M281" s="174">
        <v>8</v>
      </c>
      <c r="N281" s="46">
        <f>DATA!$D$6</f>
        <v>2504.98</v>
      </c>
      <c r="O281" s="46">
        <f t="shared" si="85"/>
        <v>280557.76</v>
      </c>
      <c r="P281" s="46">
        <f t="shared" si="86"/>
        <v>112</v>
      </c>
      <c r="Q281" s="50"/>
      <c r="R281" s="21"/>
      <c r="S281" s="21"/>
      <c r="T281" s="21"/>
    </row>
    <row r="282" spans="1:20" s="36" customFormat="1" ht="10.7" customHeight="1" outlineLevel="1" x14ac:dyDescent="0.25">
      <c r="A282" s="243"/>
      <c r="B282" s="228"/>
      <c r="C282" s="231"/>
      <c r="D282" s="231"/>
      <c r="E282" s="231"/>
      <c r="F282" s="233"/>
      <c r="G282" s="46" t="s">
        <v>81</v>
      </c>
      <c r="H282" s="246"/>
      <c r="I282" s="246"/>
      <c r="J282" s="46">
        <v>1</v>
      </c>
      <c r="K282" s="46">
        <f t="shared" si="101"/>
        <v>14</v>
      </c>
      <c r="L282" s="173">
        <v>14</v>
      </c>
      <c r="M282" s="174">
        <v>8</v>
      </c>
      <c r="N282" s="46">
        <f>DATA!$D$7</f>
        <v>2254.48</v>
      </c>
      <c r="O282" s="46">
        <f t="shared" si="85"/>
        <v>252501.76000000001</v>
      </c>
      <c r="P282" s="46">
        <f t="shared" si="86"/>
        <v>112</v>
      </c>
      <c r="Q282" s="50"/>
      <c r="R282" s="21"/>
      <c r="S282" s="21"/>
      <c r="T282" s="21"/>
    </row>
    <row r="283" spans="1:20" s="36" customFormat="1" ht="12" customHeight="1" outlineLevel="1" thickBot="1" x14ac:dyDescent="0.3">
      <c r="A283" s="244"/>
      <c r="B283" s="229"/>
      <c r="C283" s="232"/>
      <c r="D283" s="232"/>
      <c r="E283" s="232"/>
      <c r="F283" s="234"/>
      <c r="G283" s="46" t="s">
        <v>82</v>
      </c>
      <c r="H283" s="247"/>
      <c r="I283" s="247"/>
      <c r="J283" s="46">
        <v>1</v>
      </c>
      <c r="K283" s="46">
        <f t="shared" si="101"/>
        <v>14</v>
      </c>
      <c r="L283" s="173">
        <v>14</v>
      </c>
      <c r="M283" s="174">
        <v>8</v>
      </c>
      <c r="N283" s="46">
        <f>DATA!$D$8</f>
        <v>2129.23</v>
      </c>
      <c r="O283" s="46">
        <f t="shared" si="85"/>
        <v>238473.76</v>
      </c>
      <c r="P283" s="46">
        <f t="shared" si="86"/>
        <v>112</v>
      </c>
      <c r="Q283" s="50"/>
      <c r="R283" s="21"/>
      <c r="S283" s="21"/>
      <c r="T283" s="21"/>
    </row>
    <row r="284" spans="1:20" s="37" customFormat="1" ht="15.75" x14ac:dyDescent="0.25">
      <c r="A284" s="177" t="s">
        <v>487</v>
      </c>
      <c r="B284" s="178" t="s">
        <v>99</v>
      </c>
      <c r="C284" s="175">
        <f>SUBTOTAL(9,C285)</f>
        <v>565123.19999999995</v>
      </c>
      <c r="D284" s="175">
        <f>SUBTOTAL(9,D285)</f>
        <v>136</v>
      </c>
      <c r="E284" s="175">
        <f>SUBTOTAL(9,E285)</f>
        <v>17</v>
      </c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40"/>
      <c r="Q284" s="51"/>
      <c r="R284" s="21"/>
      <c r="S284" s="21"/>
      <c r="T284" s="21"/>
    </row>
    <row r="285" spans="1:20" s="36" customFormat="1" ht="14.45" customHeight="1" outlineLevel="1" x14ac:dyDescent="0.25">
      <c r="A285" s="224" t="s">
        <v>152</v>
      </c>
      <c r="B285" s="227" t="s">
        <v>123</v>
      </c>
      <c r="C285" s="230">
        <f>SUM(,O285:O291)</f>
        <v>565123.19999999995</v>
      </c>
      <c r="D285" s="230">
        <f>SUM(,P285:P291)</f>
        <v>136</v>
      </c>
      <c r="E285" s="230">
        <f>D285/8</f>
        <v>17</v>
      </c>
      <c r="F285" s="230"/>
      <c r="G285" s="46" t="s">
        <v>76</v>
      </c>
      <c r="H285" s="235"/>
      <c r="I285" s="235"/>
      <c r="J285" s="46">
        <v>1</v>
      </c>
      <c r="K285" s="46">
        <f>L285*$S$8</f>
        <v>3</v>
      </c>
      <c r="L285" s="173">
        <v>3</v>
      </c>
      <c r="M285" s="174">
        <v>8</v>
      </c>
      <c r="N285" s="46">
        <f>DATA!$D$2</f>
        <v>5009.96</v>
      </c>
      <c r="O285" s="46">
        <f t="shared" ref="O285:O291" si="102">N285*J285*K285*M285</f>
        <v>120239.04000000001</v>
      </c>
      <c r="P285" s="46">
        <f t="shared" ref="P285:P291" si="103">J285*K285*M285</f>
        <v>24</v>
      </c>
      <c r="Q285" s="50"/>
      <c r="R285" s="21"/>
      <c r="S285" s="21"/>
      <c r="T285" s="21"/>
    </row>
    <row r="286" spans="1:20" s="36" customFormat="1" ht="11.45" customHeight="1" outlineLevel="1" x14ac:dyDescent="0.25">
      <c r="A286" s="225"/>
      <c r="B286" s="228"/>
      <c r="C286" s="231"/>
      <c r="D286" s="231"/>
      <c r="E286" s="231"/>
      <c r="F286" s="233"/>
      <c r="G286" s="46" t="s">
        <v>77</v>
      </c>
      <c r="H286" s="225"/>
      <c r="I286" s="225"/>
      <c r="J286" s="46">
        <v>2</v>
      </c>
      <c r="K286" s="46">
        <f t="shared" ref="K286:K294" si="104">L286*$S$8</f>
        <v>3</v>
      </c>
      <c r="L286" s="173">
        <v>3</v>
      </c>
      <c r="M286" s="174">
        <v>8</v>
      </c>
      <c r="N286" s="46">
        <f>DATA!$D$3</f>
        <v>4508.96</v>
      </c>
      <c r="O286" s="46">
        <f t="shared" si="102"/>
        <v>216430.08000000002</v>
      </c>
      <c r="P286" s="46">
        <f t="shared" si="103"/>
        <v>48</v>
      </c>
      <c r="Q286" s="50"/>
      <c r="R286" s="21"/>
      <c r="S286" s="21"/>
      <c r="T286" s="21"/>
    </row>
    <row r="287" spans="1:20" s="36" customFormat="1" ht="10.7" customHeight="1" outlineLevel="1" x14ac:dyDescent="0.25">
      <c r="A287" s="225"/>
      <c r="B287" s="228"/>
      <c r="C287" s="231"/>
      <c r="D287" s="231"/>
      <c r="E287" s="231"/>
      <c r="F287" s="233"/>
      <c r="G287" s="46" t="s">
        <v>78</v>
      </c>
      <c r="H287" s="225"/>
      <c r="I287" s="225"/>
      <c r="J287" s="46">
        <v>2</v>
      </c>
      <c r="K287" s="46">
        <f t="shared" si="104"/>
        <v>2</v>
      </c>
      <c r="L287" s="173">
        <v>2</v>
      </c>
      <c r="M287" s="174">
        <v>8</v>
      </c>
      <c r="N287" s="46">
        <f>DATA!$D$4</f>
        <v>3757.47</v>
      </c>
      <c r="O287" s="46">
        <f t="shared" si="102"/>
        <v>120239.03999999999</v>
      </c>
      <c r="P287" s="46">
        <f t="shared" si="103"/>
        <v>32</v>
      </c>
      <c r="Q287" s="50"/>
      <c r="R287" s="21"/>
      <c r="S287" s="21"/>
      <c r="T287" s="21"/>
    </row>
    <row r="288" spans="1:20" s="36" customFormat="1" ht="10.7" customHeight="1" outlineLevel="1" x14ac:dyDescent="0.25">
      <c r="A288" s="225"/>
      <c r="B288" s="228"/>
      <c r="C288" s="231"/>
      <c r="D288" s="231"/>
      <c r="E288" s="231"/>
      <c r="F288" s="233"/>
      <c r="G288" s="46" t="s">
        <v>79</v>
      </c>
      <c r="H288" s="225"/>
      <c r="I288" s="225"/>
      <c r="J288" s="46">
        <v>2</v>
      </c>
      <c r="K288" s="46">
        <f t="shared" si="104"/>
        <v>2</v>
      </c>
      <c r="L288" s="173">
        <v>2</v>
      </c>
      <c r="M288" s="174">
        <v>8</v>
      </c>
      <c r="N288" s="46">
        <f>DATA!$D$5</f>
        <v>3381.72</v>
      </c>
      <c r="O288" s="46">
        <f t="shared" si="102"/>
        <v>108215.03999999999</v>
      </c>
      <c r="P288" s="46">
        <f t="shared" si="103"/>
        <v>32</v>
      </c>
      <c r="Q288" s="50"/>
      <c r="R288" s="21"/>
      <c r="S288" s="21"/>
      <c r="T288" s="21"/>
    </row>
    <row r="289" spans="1:20" s="36" customFormat="1" ht="10.7" customHeight="1" outlineLevel="1" x14ac:dyDescent="0.25">
      <c r="A289" s="225"/>
      <c r="B289" s="228"/>
      <c r="C289" s="231"/>
      <c r="D289" s="231"/>
      <c r="E289" s="231"/>
      <c r="F289" s="233"/>
      <c r="G289" s="46" t="s">
        <v>80</v>
      </c>
      <c r="H289" s="225"/>
      <c r="I289" s="225"/>
      <c r="J289" s="46"/>
      <c r="K289" s="46"/>
      <c r="L289" s="173">
        <v>0</v>
      </c>
      <c r="M289" s="174"/>
      <c r="N289" s="46">
        <f>DATA!$D$6</f>
        <v>2504.98</v>
      </c>
      <c r="O289" s="46">
        <f t="shared" si="102"/>
        <v>0</v>
      </c>
      <c r="P289" s="46">
        <f t="shared" si="103"/>
        <v>0</v>
      </c>
      <c r="Q289" s="50"/>
      <c r="R289" s="21"/>
      <c r="S289" s="21"/>
      <c r="T289" s="21"/>
    </row>
    <row r="290" spans="1:20" s="36" customFormat="1" ht="10.7" customHeight="1" outlineLevel="1" x14ac:dyDescent="0.25">
      <c r="A290" s="225"/>
      <c r="B290" s="228"/>
      <c r="C290" s="231"/>
      <c r="D290" s="231"/>
      <c r="E290" s="231"/>
      <c r="F290" s="233"/>
      <c r="G290" s="46" t="s">
        <v>81</v>
      </c>
      <c r="H290" s="225"/>
      <c r="I290" s="225"/>
      <c r="J290" s="46"/>
      <c r="K290" s="46"/>
      <c r="L290" s="173">
        <v>0</v>
      </c>
      <c r="M290" s="174"/>
      <c r="N290" s="46">
        <f>DATA!$D$7</f>
        <v>2254.48</v>
      </c>
      <c r="O290" s="46">
        <f t="shared" si="102"/>
        <v>0</v>
      </c>
      <c r="P290" s="46">
        <f t="shared" si="103"/>
        <v>0</v>
      </c>
      <c r="Q290" s="50"/>
      <c r="R290" s="21"/>
      <c r="S290" s="21"/>
      <c r="T290" s="21"/>
    </row>
    <row r="291" spans="1:20" s="36" customFormat="1" ht="12" customHeight="1" outlineLevel="1" thickBot="1" x14ac:dyDescent="0.3">
      <c r="A291" s="226"/>
      <c r="B291" s="229"/>
      <c r="C291" s="232"/>
      <c r="D291" s="232"/>
      <c r="E291" s="232"/>
      <c r="F291" s="234"/>
      <c r="G291" s="46" t="s">
        <v>82</v>
      </c>
      <c r="H291" s="236"/>
      <c r="I291" s="236"/>
      <c r="J291" s="46"/>
      <c r="K291" s="46"/>
      <c r="L291" s="173">
        <v>0</v>
      </c>
      <c r="M291" s="174"/>
      <c r="N291" s="46">
        <f>DATA!$D$8</f>
        <v>2129.23</v>
      </c>
      <c r="O291" s="46">
        <f t="shared" si="102"/>
        <v>0</v>
      </c>
      <c r="P291" s="46">
        <f t="shared" si="103"/>
        <v>0</v>
      </c>
      <c r="Q291" s="50"/>
      <c r="R291" s="21"/>
      <c r="S291" s="21"/>
      <c r="T291" s="21"/>
    </row>
    <row r="292" spans="1:20" s="37" customFormat="1" ht="15.75" x14ac:dyDescent="0.25">
      <c r="A292" s="177" t="s">
        <v>488</v>
      </c>
      <c r="B292" s="178" t="s">
        <v>98</v>
      </c>
      <c r="C292" s="175">
        <f>SUBTOTAL(9,C293:C306)</f>
        <v>224446.08000000002</v>
      </c>
      <c r="D292" s="175">
        <f>SUBTOTAL(9,D293:D306)</f>
        <v>48</v>
      </c>
      <c r="E292" s="175">
        <f>SUBTOTAL(9,E293:E306)</f>
        <v>6</v>
      </c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39"/>
      <c r="R292" s="21"/>
      <c r="S292" s="21"/>
      <c r="T292" s="21"/>
    </row>
    <row r="293" spans="1:20" s="36" customFormat="1" ht="14.45" customHeight="1" outlineLevel="1" x14ac:dyDescent="0.25">
      <c r="A293" s="224" t="s">
        <v>153</v>
      </c>
      <c r="B293" s="237" t="s">
        <v>121</v>
      </c>
      <c r="C293" s="230">
        <f>SUM(,O293:O299)</f>
        <v>112223.04000000001</v>
      </c>
      <c r="D293" s="230">
        <f>SUM(,P293:P299)</f>
        <v>24</v>
      </c>
      <c r="E293" s="230">
        <f>D293/8</f>
        <v>3</v>
      </c>
      <c r="F293" s="230"/>
      <c r="G293" s="46" t="s">
        <v>76</v>
      </c>
      <c r="H293" s="235"/>
      <c r="I293" s="235"/>
      <c r="J293" s="46">
        <v>1</v>
      </c>
      <c r="K293" s="46">
        <f t="shared" si="104"/>
        <v>1</v>
      </c>
      <c r="L293" s="173">
        <v>1</v>
      </c>
      <c r="M293" s="174">
        <v>8</v>
      </c>
      <c r="N293" s="46">
        <f>DATA!$D$2</f>
        <v>5009.96</v>
      </c>
      <c r="O293" s="46">
        <f t="shared" ref="O293:O294" si="105">N293*J293*K293*M293</f>
        <v>40079.68</v>
      </c>
      <c r="P293" s="46">
        <f t="shared" ref="P293:P294" si="106">J293*K293*M293</f>
        <v>8</v>
      </c>
      <c r="R293" s="21"/>
      <c r="S293" s="21"/>
      <c r="T293" s="21"/>
    </row>
    <row r="294" spans="1:20" s="36" customFormat="1" ht="11.45" customHeight="1" outlineLevel="1" x14ac:dyDescent="0.25">
      <c r="A294" s="225"/>
      <c r="B294" s="238"/>
      <c r="C294" s="248"/>
      <c r="D294" s="231"/>
      <c r="E294" s="231"/>
      <c r="F294" s="233"/>
      <c r="G294" s="46" t="s">
        <v>77</v>
      </c>
      <c r="H294" s="225"/>
      <c r="I294" s="225"/>
      <c r="J294" s="46">
        <v>2</v>
      </c>
      <c r="K294" s="46">
        <f t="shared" si="104"/>
        <v>1</v>
      </c>
      <c r="L294" s="173">
        <v>1</v>
      </c>
      <c r="M294" s="174">
        <v>8</v>
      </c>
      <c r="N294" s="46">
        <f>DATA!$D$3</f>
        <v>4508.96</v>
      </c>
      <c r="O294" s="46">
        <f t="shared" si="105"/>
        <v>72143.360000000001</v>
      </c>
      <c r="P294" s="46">
        <f t="shared" si="106"/>
        <v>16</v>
      </c>
      <c r="R294" s="21"/>
      <c r="S294" s="21"/>
      <c r="T294" s="21"/>
    </row>
    <row r="295" spans="1:20" s="36" customFormat="1" ht="10.7" customHeight="1" outlineLevel="1" x14ac:dyDescent="0.25">
      <c r="A295" s="225"/>
      <c r="B295" s="238"/>
      <c r="C295" s="248"/>
      <c r="D295" s="231"/>
      <c r="E295" s="231"/>
      <c r="F295" s="233"/>
      <c r="G295" s="46" t="s">
        <v>78</v>
      </c>
      <c r="H295" s="225"/>
      <c r="I295" s="225"/>
      <c r="J295" s="46"/>
      <c r="K295" s="46"/>
      <c r="L295" s="173"/>
      <c r="M295" s="174"/>
      <c r="N295" s="46"/>
      <c r="O295" s="46"/>
      <c r="P295" s="46"/>
      <c r="R295" s="21"/>
      <c r="S295" s="21"/>
      <c r="T295" s="21"/>
    </row>
    <row r="296" spans="1:20" s="36" customFormat="1" ht="10.7" customHeight="1" outlineLevel="1" x14ac:dyDescent="0.25">
      <c r="A296" s="225"/>
      <c r="B296" s="238"/>
      <c r="C296" s="248"/>
      <c r="D296" s="231"/>
      <c r="E296" s="231"/>
      <c r="F296" s="233"/>
      <c r="G296" s="46" t="s">
        <v>79</v>
      </c>
      <c r="H296" s="225"/>
      <c r="I296" s="225"/>
      <c r="J296" s="46"/>
      <c r="K296" s="46"/>
      <c r="L296" s="173"/>
      <c r="M296" s="174"/>
      <c r="N296" s="46"/>
      <c r="O296" s="46"/>
      <c r="P296" s="46"/>
      <c r="R296" s="21"/>
      <c r="S296" s="21"/>
      <c r="T296" s="21"/>
    </row>
    <row r="297" spans="1:20" s="36" customFormat="1" ht="10.7" customHeight="1" outlineLevel="1" x14ac:dyDescent="0.25">
      <c r="A297" s="225"/>
      <c r="B297" s="238"/>
      <c r="C297" s="248"/>
      <c r="D297" s="231"/>
      <c r="E297" s="231"/>
      <c r="F297" s="233"/>
      <c r="G297" s="46" t="s">
        <v>80</v>
      </c>
      <c r="H297" s="225"/>
      <c r="I297" s="225"/>
      <c r="J297" s="46"/>
      <c r="K297" s="46"/>
      <c r="L297" s="173"/>
      <c r="M297" s="174"/>
      <c r="N297" s="46"/>
      <c r="O297" s="46"/>
      <c r="P297" s="46"/>
      <c r="R297" s="21"/>
      <c r="S297" s="21"/>
      <c r="T297" s="21"/>
    </row>
    <row r="298" spans="1:20" s="36" customFormat="1" ht="10.7" customHeight="1" outlineLevel="1" x14ac:dyDescent="0.25">
      <c r="A298" s="225"/>
      <c r="B298" s="238"/>
      <c r="C298" s="248"/>
      <c r="D298" s="231"/>
      <c r="E298" s="231"/>
      <c r="F298" s="233"/>
      <c r="G298" s="46" t="s">
        <v>81</v>
      </c>
      <c r="H298" s="225"/>
      <c r="I298" s="225"/>
      <c r="J298" s="46"/>
      <c r="K298" s="46"/>
      <c r="L298" s="173"/>
      <c r="M298" s="174"/>
      <c r="N298" s="46"/>
      <c r="O298" s="46"/>
      <c r="P298" s="46"/>
      <c r="R298" s="21"/>
      <c r="S298" s="21"/>
      <c r="T298" s="21"/>
    </row>
    <row r="299" spans="1:20" s="36" customFormat="1" ht="12" customHeight="1" outlineLevel="1" thickBot="1" x14ac:dyDescent="0.3">
      <c r="A299" s="226"/>
      <c r="B299" s="239"/>
      <c r="C299" s="249"/>
      <c r="D299" s="232"/>
      <c r="E299" s="232"/>
      <c r="F299" s="234"/>
      <c r="G299" s="46" t="s">
        <v>82</v>
      </c>
      <c r="H299" s="236"/>
      <c r="I299" s="236"/>
      <c r="J299" s="46"/>
      <c r="K299" s="46"/>
      <c r="L299" s="173"/>
      <c r="M299" s="174"/>
      <c r="N299" s="46"/>
      <c r="O299" s="46"/>
      <c r="P299" s="46"/>
      <c r="R299" s="21"/>
      <c r="S299" s="21"/>
      <c r="T299" s="21"/>
    </row>
    <row r="300" spans="1:20" s="36" customFormat="1" ht="14.45" customHeight="1" outlineLevel="1" x14ac:dyDescent="0.25">
      <c r="A300" s="224" t="s">
        <v>302</v>
      </c>
      <c r="B300" s="237" t="s">
        <v>122</v>
      </c>
      <c r="C300" s="230">
        <f>SUM(,O300:O306)</f>
        <v>112223.04000000001</v>
      </c>
      <c r="D300" s="230">
        <f>SUM(,P300:P306)</f>
        <v>24</v>
      </c>
      <c r="E300" s="230">
        <f>D300/8</f>
        <v>3</v>
      </c>
      <c r="F300" s="230"/>
      <c r="G300" s="46" t="s">
        <v>76</v>
      </c>
      <c r="H300" s="235"/>
      <c r="I300" s="235"/>
      <c r="J300" s="46">
        <v>1</v>
      </c>
      <c r="K300" s="46">
        <f t="shared" ref="K300:K301" si="107">L300*$S$8</f>
        <v>1</v>
      </c>
      <c r="L300" s="173">
        <v>1</v>
      </c>
      <c r="M300" s="174">
        <v>8</v>
      </c>
      <c r="N300" s="46">
        <f>DATA!$D$2</f>
        <v>5009.96</v>
      </c>
      <c r="O300" s="46">
        <f t="shared" ref="O300:O301" si="108">N300*J300*K300*M300</f>
        <v>40079.68</v>
      </c>
      <c r="P300" s="46">
        <f t="shared" ref="P300:P301" si="109">J300*K300*M300</f>
        <v>8</v>
      </c>
      <c r="R300" s="21"/>
      <c r="S300" s="21"/>
      <c r="T300" s="21"/>
    </row>
    <row r="301" spans="1:20" s="36" customFormat="1" ht="11.45" customHeight="1" outlineLevel="1" x14ac:dyDescent="0.25">
      <c r="A301" s="225"/>
      <c r="B301" s="238"/>
      <c r="C301" s="248"/>
      <c r="D301" s="231"/>
      <c r="E301" s="231"/>
      <c r="F301" s="233"/>
      <c r="G301" s="46" t="s">
        <v>77</v>
      </c>
      <c r="H301" s="225"/>
      <c r="I301" s="225"/>
      <c r="J301" s="46">
        <v>2</v>
      </c>
      <c r="K301" s="46">
        <f t="shared" si="107"/>
        <v>1</v>
      </c>
      <c r="L301" s="173">
        <v>1</v>
      </c>
      <c r="M301" s="174">
        <v>8</v>
      </c>
      <c r="N301" s="46">
        <f>DATA!$D$3</f>
        <v>4508.96</v>
      </c>
      <c r="O301" s="46">
        <f t="shared" si="108"/>
        <v>72143.360000000001</v>
      </c>
      <c r="P301" s="46">
        <f t="shared" si="109"/>
        <v>16</v>
      </c>
      <c r="R301" s="21"/>
      <c r="S301" s="21"/>
      <c r="T301" s="21"/>
    </row>
    <row r="302" spans="1:20" s="36" customFormat="1" ht="10.7" customHeight="1" outlineLevel="1" x14ac:dyDescent="0.25">
      <c r="A302" s="225"/>
      <c r="B302" s="238"/>
      <c r="C302" s="248"/>
      <c r="D302" s="231"/>
      <c r="E302" s="231"/>
      <c r="F302" s="233"/>
      <c r="G302" s="46" t="s">
        <v>78</v>
      </c>
      <c r="H302" s="225"/>
      <c r="I302" s="225"/>
      <c r="J302" s="46"/>
      <c r="K302" s="46"/>
      <c r="L302" s="173"/>
      <c r="M302" s="174"/>
      <c r="N302" s="46"/>
      <c r="O302" s="46"/>
      <c r="P302" s="46"/>
      <c r="R302" s="21"/>
      <c r="S302" s="21"/>
      <c r="T302" s="21"/>
    </row>
    <row r="303" spans="1:20" s="36" customFormat="1" ht="10.7" customHeight="1" outlineLevel="1" x14ac:dyDescent="0.25">
      <c r="A303" s="225"/>
      <c r="B303" s="238"/>
      <c r="C303" s="248"/>
      <c r="D303" s="231"/>
      <c r="E303" s="231"/>
      <c r="F303" s="233"/>
      <c r="G303" s="46" t="s">
        <v>79</v>
      </c>
      <c r="H303" s="225"/>
      <c r="I303" s="225"/>
      <c r="J303" s="46"/>
      <c r="K303" s="46"/>
      <c r="L303" s="173"/>
      <c r="M303" s="174"/>
      <c r="N303" s="46"/>
      <c r="O303" s="46"/>
      <c r="P303" s="46"/>
      <c r="R303" s="21"/>
      <c r="S303" s="21"/>
      <c r="T303" s="21"/>
    </row>
    <row r="304" spans="1:20" s="36" customFormat="1" ht="10.7" customHeight="1" outlineLevel="1" x14ac:dyDescent="0.25">
      <c r="A304" s="225"/>
      <c r="B304" s="238"/>
      <c r="C304" s="248"/>
      <c r="D304" s="231"/>
      <c r="E304" s="231"/>
      <c r="F304" s="233"/>
      <c r="G304" s="46" t="s">
        <v>80</v>
      </c>
      <c r="H304" s="225"/>
      <c r="I304" s="225"/>
      <c r="J304" s="46"/>
      <c r="K304" s="46"/>
      <c r="L304" s="173"/>
      <c r="M304" s="174"/>
      <c r="N304" s="46"/>
      <c r="O304" s="46"/>
      <c r="P304" s="46"/>
      <c r="R304" s="21"/>
      <c r="S304" s="21"/>
      <c r="T304" s="21"/>
    </row>
    <row r="305" spans="1:20" s="36" customFormat="1" ht="10.7" customHeight="1" outlineLevel="1" x14ac:dyDescent="0.25">
      <c r="A305" s="225"/>
      <c r="B305" s="238"/>
      <c r="C305" s="248"/>
      <c r="D305" s="231"/>
      <c r="E305" s="231"/>
      <c r="F305" s="233"/>
      <c r="G305" s="46" t="s">
        <v>81</v>
      </c>
      <c r="H305" s="225"/>
      <c r="I305" s="225"/>
      <c r="J305" s="46"/>
      <c r="K305" s="46"/>
      <c r="L305" s="173"/>
      <c r="M305" s="174"/>
      <c r="N305" s="46"/>
      <c r="O305" s="46"/>
      <c r="P305" s="46"/>
      <c r="R305" s="21"/>
      <c r="S305" s="21"/>
      <c r="T305" s="21"/>
    </row>
    <row r="306" spans="1:20" s="36" customFormat="1" ht="12" customHeight="1" outlineLevel="1" thickBot="1" x14ac:dyDescent="0.3">
      <c r="A306" s="226"/>
      <c r="B306" s="239"/>
      <c r="C306" s="249"/>
      <c r="D306" s="232"/>
      <c r="E306" s="232"/>
      <c r="F306" s="234"/>
      <c r="G306" s="46" t="s">
        <v>82</v>
      </c>
      <c r="H306" s="236"/>
      <c r="I306" s="236"/>
      <c r="J306" s="46"/>
      <c r="K306" s="46"/>
      <c r="L306" s="173"/>
      <c r="M306" s="174"/>
      <c r="N306" s="46"/>
      <c r="O306" s="46"/>
      <c r="P306" s="46"/>
      <c r="R306" s="21"/>
      <c r="S306" s="21"/>
      <c r="T306" s="21"/>
    </row>
    <row r="307" spans="1:20" s="37" customFormat="1" ht="15.75" x14ac:dyDescent="0.25">
      <c r="A307" s="177" t="s">
        <v>489</v>
      </c>
      <c r="B307" s="178" t="s">
        <v>117</v>
      </c>
      <c r="C307" s="175">
        <f>SUBTOTAL(9,C308:C328)</f>
        <v>3052887.5471999999</v>
      </c>
      <c r="D307" s="175">
        <f>SUBTOTAL(9,D308:D328)</f>
        <v>1260.3200000000002</v>
      </c>
      <c r="E307" s="175">
        <f>SUBTOTAL(9,E308:E328)</f>
        <v>157.54000000000002</v>
      </c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40"/>
      <c r="R307" s="21"/>
      <c r="S307" s="21"/>
      <c r="T307" s="21"/>
    </row>
    <row r="308" spans="1:20" s="36" customFormat="1" ht="14.45" customHeight="1" outlineLevel="1" x14ac:dyDescent="0.25">
      <c r="A308" s="224" t="s">
        <v>120</v>
      </c>
      <c r="B308" s="237" t="s">
        <v>524</v>
      </c>
      <c r="C308" s="230">
        <f>SUM(,O308:O314)</f>
        <v>1770939.4511999998</v>
      </c>
      <c r="D308" s="230">
        <f>SUM(,P308:P314)</f>
        <v>750.72</v>
      </c>
      <c r="E308" s="230">
        <f t="shared" ref="E308" si="110">D308/8</f>
        <v>93.84</v>
      </c>
      <c r="F308" s="230"/>
      <c r="G308" s="46" t="s">
        <v>76</v>
      </c>
      <c r="H308" s="235"/>
      <c r="I308" s="235"/>
      <c r="J308" s="46">
        <v>1</v>
      </c>
      <c r="K308" s="46">
        <f>L308*$S$8</f>
        <v>0.42</v>
      </c>
      <c r="L308" s="173">
        <v>0.42</v>
      </c>
      <c r="M308" s="174">
        <v>8</v>
      </c>
      <c r="N308" s="46">
        <f>DATA!$D$2</f>
        <v>5009.96</v>
      </c>
      <c r="O308" s="46">
        <f t="shared" ref="O308:O328" si="111">N308*J308*K308*M308</f>
        <v>16833.4656</v>
      </c>
      <c r="P308" s="46">
        <f t="shared" ref="P308:P328" si="112">J308*K308*M308</f>
        <v>3.36</v>
      </c>
      <c r="R308" s="21"/>
      <c r="S308" s="21"/>
      <c r="T308" s="21"/>
    </row>
    <row r="309" spans="1:20" s="36" customFormat="1" ht="11.45" customHeight="1" outlineLevel="1" x14ac:dyDescent="0.25">
      <c r="A309" s="225"/>
      <c r="B309" s="238"/>
      <c r="C309" s="248"/>
      <c r="D309" s="231"/>
      <c r="E309" s="231"/>
      <c r="F309" s="233"/>
      <c r="G309" s="46" t="s">
        <v>77</v>
      </c>
      <c r="H309" s="225"/>
      <c r="I309" s="225"/>
      <c r="J309" s="46">
        <v>1</v>
      </c>
      <c r="K309" s="46">
        <f t="shared" ref="K309:K314" si="113">L309*$S$8</f>
        <v>0.42</v>
      </c>
      <c r="L309" s="173">
        <v>0.42</v>
      </c>
      <c r="M309" s="174">
        <v>8</v>
      </c>
      <c r="N309" s="46">
        <f>DATA!$D$3</f>
        <v>4508.96</v>
      </c>
      <c r="O309" s="46">
        <f t="shared" si="111"/>
        <v>15150.105599999999</v>
      </c>
      <c r="P309" s="46">
        <f t="shared" si="112"/>
        <v>3.36</v>
      </c>
      <c r="R309" s="21"/>
      <c r="S309" s="21"/>
      <c r="T309" s="21"/>
    </row>
    <row r="310" spans="1:20" s="36" customFormat="1" ht="10.7" customHeight="1" outlineLevel="1" x14ac:dyDescent="0.25">
      <c r="A310" s="225"/>
      <c r="B310" s="238"/>
      <c r="C310" s="248"/>
      <c r="D310" s="231"/>
      <c r="E310" s="231"/>
      <c r="F310" s="233"/>
      <c r="G310" s="46" t="s">
        <v>78</v>
      </c>
      <c r="H310" s="225"/>
      <c r="I310" s="225"/>
      <c r="J310" s="46">
        <v>1</v>
      </c>
      <c r="K310" s="46">
        <f t="shared" si="113"/>
        <v>1.5</v>
      </c>
      <c r="L310" s="173">
        <v>1.5</v>
      </c>
      <c r="M310" s="174">
        <v>8</v>
      </c>
      <c r="N310" s="46">
        <f>DATA!$D$4</f>
        <v>3757.47</v>
      </c>
      <c r="O310" s="46">
        <f t="shared" si="111"/>
        <v>45089.64</v>
      </c>
      <c r="P310" s="46">
        <f t="shared" si="112"/>
        <v>12</v>
      </c>
      <c r="R310" s="21"/>
      <c r="S310" s="21"/>
      <c r="T310" s="21"/>
    </row>
    <row r="311" spans="1:20" s="36" customFormat="1" ht="10.7" customHeight="1" outlineLevel="1" x14ac:dyDescent="0.25">
      <c r="A311" s="225"/>
      <c r="B311" s="238"/>
      <c r="C311" s="248"/>
      <c r="D311" s="231"/>
      <c r="E311" s="231"/>
      <c r="F311" s="233"/>
      <c r="G311" s="46" t="s">
        <v>79</v>
      </c>
      <c r="H311" s="225"/>
      <c r="I311" s="225"/>
      <c r="J311" s="46">
        <v>1</v>
      </c>
      <c r="K311" s="46">
        <f t="shared" si="113"/>
        <v>1.5</v>
      </c>
      <c r="L311" s="173">
        <v>1.5</v>
      </c>
      <c r="M311" s="174">
        <v>8</v>
      </c>
      <c r="N311" s="46">
        <f>DATA!$D$5</f>
        <v>3381.72</v>
      </c>
      <c r="O311" s="46">
        <f t="shared" si="111"/>
        <v>40580.639999999999</v>
      </c>
      <c r="P311" s="46">
        <f t="shared" si="112"/>
        <v>12</v>
      </c>
      <c r="R311" s="21"/>
      <c r="S311" s="21"/>
      <c r="T311" s="21"/>
    </row>
    <row r="312" spans="1:20" s="36" customFormat="1" ht="10.7" customHeight="1" outlineLevel="1" x14ac:dyDescent="0.25">
      <c r="A312" s="225"/>
      <c r="B312" s="238"/>
      <c r="C312" s="248"/>
      <c r="D312" s="231"/>
      <c r="E312" s="231"/>
      <c r="F312" s="233"/>
      <c r="G312" s="46" t="s">
        <v>80</v>
      </c>
      <c r="H312" s="225"/>
      <c r="I312" s="225"/>
      <c r="J312" s="46">
        <v>2</v>
      </c>
      <c r="K312" s="46">
        <f t="shared" si="113"/>
        <v>15</v>
      </c>
      <c r="L312" s="173">
        <v>15</v>
      </c>
      <c r="M312" s="174">
        <v>8</v>
      </c>
      <c r="N312" s="46">
        <f>DATA!$D$6</f>
        <v>2504.98</v>
      </c>
      <c r="O312" s="46">
        <f t="shared" si="111"/>
        <v>601195.19999999995</v>
      </c>
      <c r="P312" s="46">
        <f t="shared" si="112"/>
        <v>240</v>
      </c>
      <c r="R312" s="21"/>
      <c r="S312" s="21"/>
      <c r="T312" s="21"/>
    </row>
    <row r="313" spans="1:20" s="36" customFormat="1" ht="10.7" customHeight="1" outlineLevel="1" x14ac:dyDescent="0.25">
      <c r="A313" s="225"/>
      <c r="B313" s="238"/>
      <c r="C313" s="248"/>
      <c r="D313" s="231"/>
      <c r="E313" s="231"/>
      <c r="F313" s="233"/>
      <c r="G313" s="46" t="s">
        <v>81</v>
      </c>
      <c r="H313" s="225"/>
      <c r="I313" s="225"/>
      <c r="J313" s="46">
        <v>2</v>
      </c>
      <c r="K313" s="46">
        <f t="shared" si="113"/>
        <v>15</v>
      </c>
      <c r="L313" s="173">
        <v>15</v>
      </c>
      <c r="M313" s="174">
        <v>8</v>
      </c>
      <c r="N313" s="46">
        <f>DATA!$D$7</f>
        <v>2254.48</v>
      </c>
      <c r="O313" s="46">
        <f t="shared" si="111"/>
        <v>541075.19999999995</v>
      </c>
      <c r="P313" s="46">
        <f t="shared" si="112"/>
        <v>240</v>
      </c>
      <c r="R313" s="21"/>
      <c r="S313" s="21"/>
      <c r="T313" s="21"/>
    </row>
    <row r="314" spans="1:20" s="36" customFormat="1" ht="12" customHeight="1" outlineLevel="1" thickBot="1" x14ac:dyDescent="0.3">
      <c r="A314" s="226"/>
      <c r="B314" s="239"/>
      <c r="C314" s="249"/>
      <c r="D314" s="232"/>
      <c r="E314" s="232"/>
      <c r="F314" s="234"/>
      <c r="G314" s="46" t="s">
        <v>82</v>
      </c>
      <c r="H314" s="236"/>
      <c r="I314" s="236"/>
      <c r="J314" s="46">
        <v>2</v>
      </c>
      <c r="K314" s="46">
        <f t="shared" si="113"/>
        <v>15</v>
      </c>
      <c r="L314" s="173">
        <v>15</v>
      </c>
      <c r="M314" s="174">
        <v>8</v>
      </c>
      <c r="N314" s="46">
        <f>DATA!$D$8</f>
        <v>2129.23</v>
      </c>
      <c r="O314" s="46">
        <f t="shared" si="111"/>
        <v>511015.2</v>
      </c>
      <c r="P314" s="46">
        <f t="shared" si="112"/>
        <v>240</v>
      </c>
      <c r="R314" s="21"/>
      <c r="S314" s="21"/>
      <c r="T314" s="21"/>
    </row>
    <row r="315" spans="1:20" s="36" customFormat="1" ht="14.45" customHeight="1" outlineLevel="1" x14ac:dyDescent="0.25">
      <c r="A315" s="224" t="s">
        <v>292</v>
      </c>
      <c r="B315" s="237" t="s">
        <v>118</v>
      </c>
      <c r="C315" s="230">
        <f>SUM(,O315:O321)</f>
        <v>680552.75199999998</v>
      </c>
      <c r="D315" s="230">
        <f>SUM(,P315:P321)</f>
        <v>267.2</v>
      </c>
      <c r="E315" s="230">
        <f t="shared" ref="E315" si="114">D315/8</f>
        <v>33.4</v>
      </c>
      <c r="F315" s="230"/>
      <c r="G315" s="46" t="s">
        <v>76</v>
      </c>
      <c r="H315" s="235"/>
      <c r="I315" s="235"/>
      <c r="J315" s="46">
        <v>1</v>
      </c>
      <c r="K315" s="46">
        <f>L315*$S$8</f>
        <v>0.2</v>
      </c>
      <c r="L315" s="173">
        <v>0.2</v>
      </c>
      <c r="M315" s="174">
        <v>8</v>
      </c>
      <c r="N315" s="46">
        <f>DATA!$D$2</f>
        <v>5009.96</v>
      </c>
      <c r="O315" s="46">
        <f t="shared" si="111"/>
        <v>8015.9360000000006</v>
      </c>
      <c r="P315" s="46">
        <f t="shared" si="112"/>
        <v>1.6</v>
      </c>
      <c r="R315" s="21"/>
      <c r="S315" s="21"/>
      <c r="T315" s="21"/>
    </row>
    <row r="316" spans="1:20" s="36" customFormat="1" ht="11.45" customHeight="1" outlineLevel="1" x14ac:dyDescent="0.25">
      <c r="A316" s="225"/>
      <c r="B316" s="238"/>
      <c r="C316" s="248"/>
      <c r="D316" s="231"/>
      <c r="E316" s="231"/>
      <c r="F316" s="233"/>
      <c r="G316" s="46" t="s">
        <v>77</v>
      </c>
      <c r="H316" s="225"/>
      <c r="I316" s="225"/>
      <c r="J316" s="46">
        <v>1</v>
      </c>
      <c r="K316" s="46">
        <f t="shared" ref="K316:K328" si="115">L316*$S$8</f>
        <v>0.2</v>
      </c>
      <c r="L316" s="173">
        <v>0.2</v>
      </c>
      <c r="M316" s="174">
        <v>8</v>
      </c>
      <c r="N316" s="46">
        <f>DATA!$D$3</f>
        <v>4508.96</v>
      </c>
      <c r="O316" s="46">
        <f t="shared" si="111"/>
        <v>7214.3360000000002</v>
      </c>
      <c r="P316" s="46">
        <f t="shared" si="112"/>
        <v>1.6</v>
      </c>
      <c r="R316" s="21"/>
      <c r="S316" s="21"/>
      <c r="T316" s="21"/>
    </row>
    <row r="317" spans="1:20" s="36" customFormat="1" ht="10.7" customHeight="1" outlineLevel="1" x14ac:dyDescent="0.25">
      <c r="A317" s="225"/>
      <c r="B317" s="238"/>
      <c r="C317" s="248"/>
      <c r="D317" s="231"/>
      <c r="E317" s="231"/>
      <c r="F317" s="233"/>
      <c r="G317" s="46" t="s">
        <v>78</v>
      </c>
      <c r="H317" s="225"/>
      <c r="I317" s="225"/>
      <c r="J317" s="46">
        <v>1</v>
      </c>
      <c r="K317" s="46">
        <f t="shared" si="115"/>
        <v>1</v>
      </c>
      <c r="L317" s="173">
        <v>1</v>
      </c>
      <c r="M317" s="174">
        <v>8</v>
      </c>
      <c r="N317" s="46">
        <f>DATA!$D$4</f>
        <v>3757.47</v>
      </c>
      <c r="O317" s="46">
        <f t="shared" si="111"/>
        <v>30059.759999999998</v>
      </c>
      <c r="P317" s="46">
        <f t="shared" si="112"/>
        <v>8</v>
      </c>
      <c r="R317" s="21"/>
      <c r="S317" s="21"/>
      <c r="T317" s="21"/>
    </row>
    <row r="318" spans="1:20" s="36" customFormat="1" ht="10.7" customHeight="1" outlineLevel="1" x14ac:dyDescent="0.25">
      <c r="A318" s="225"/>
      <c r="B318" s="238"/>
      <c r="C318" s="248"/>
      <c r="D318" s="231"/>
      <c r="E318" s="231"/>
      <c r="F318" s="233"/>
      <c r="G318" s="46" t="s">
        <v>79</v>
      </c>
      <c r="H318" s="225"/>
      <c r="I318" s="225"/>
      <c r="J318" s="46">
        <v>1</v>
      </c>
      <c r="K318" s="46">
        <f t="shared" si="115"/>
        <v>2</v>
      </c>
      <c r="L318" s="173">
        <v>2</v>
      </c>
      <c r="M318" s="174">
        <v>8</v>
      </c>
      <c r="N318" s="46">
        <f>DATA!$D$5</f>
        <v>3381.72</v>
      </c>
      <c r="O318" s="46">
        <f t="shared" si="111"/>
        <v>54107.519999999997</v>
      </c>
      <c r="P318" s="46">
        <f t="shared" si="112"/>
        <v>16</v>
      </c>
      <c r="R318" s="21"/>
      <c r="S318" s="21"/>
      <c r="T318" s="21"/>
    </row>
    <row r="319" spans="1:20" s="36" customFormat="1" ht="10.7" customHeight="1" outlineLevel="1" x14ac:dyDescent="0.25">
      <c r="A319" s="225"/>
      <c r="B319" s="238"/>
      <c r="C319" s="248"/>
      <c r="D319" s="231"/>
      <c r="E319" s="231"/>
      <c r="F319" s="233"/>
      <c r="G319" s="46" t="s">
        <v>80</v>
      </c>
      <c r="H319" s="225"/>
      <c r="I319" s="225"/>
      <c r="J319" s="46">
        <v>1</v>
      </c>
      <c r="K319" s="46">
        <f t="shared" si="115"/>
        <v>20</v>
      </c>
      <c r="L319" s="173">
        <v>20</v>
      </c>
      <c r="M319" s="174">
        <v>8</v>
      </c>
      <c r="N319" s="46">
        <f>DATA!$D$6</f>
        <v>2504.98</v>
      </c>
      <c r="O319" s="46">
        <f t="shared" si="111"/>
        <v>400796.8</v>
      </c>
      <c r="P319" s="46">
        <f t="shared" si="112"/>
        <v>160</v>
      </c>
      <c r="R319" s="21"/>
      <c r="S319" s="21"/>
      <c r="T319" s="21"/>
    </row>
    <row r="320" spans="1:20" s="36" customFormat="1" ht="10.7" customHeight="1" outlineLevel="1" x14ac:dyDescent="0.25">
      <c r="A320" s="225"/>
      <c r="B320" s="238"/>
      <c r="C320" s="248"/>
      <c r="D320" s="231"/>
      <c r="E320" s="231"/>
      <c r="F320" s="233"/>
      <c r="G320" s="46" t="s">
        <v>81</v>
      </c>
      <c r="H320" s="225"/>
      <c r="I320" s="225"/>
      <c r="J320" s="46">
        <v>1</v>
      </c>
      <c r="K320" s="46">
        <f t="shared" si="115"/>
        <v>10</v>
      </c>
      <c r="L320" s="173">
        <v>10</v>
      </c>
      <c r="M320" s="174">
        <v>8</v>
      </c>
      <c r="N320" s="46">
        <f>DATA!$D$7</f>
        <v>2254.48</v>
      </c>
      <c r="O320" s="46">
        <f t="shared" si="111"/>
        <v>180358.39999999999</v>
      </c>
      <c r="P320" s="46">
        <f t="shared" si="112"/>
        <v>80</v>
      </c>
      <c r="R320" s="21"/>
      <c r="S320" s="21"/>
      <c r="T320" s="21"/>
    </row>
    <row r="321" spans="1:20" s="36" customFormat="1" ht="12" customHeight="1" outlineLevel="1" thickBot="1" x14ac:dyDescent="0.3">
      <c r="A321" s="226"/>
      <c r="B321" s="239"/>
      <c r="C321" s="249"/>
      <c r="D321" s="232"/>
      <c r="E321" s="232"/>
      <c r="F321" s="234"/>
      <c r="G321" s="46" t="s">
        <v>82</v>
      </c>
      <c r="H321" s="236"/>
      <c r="I321" s="236"/>
      <c r="J321" s="46">
        <v>1</v>
      </c>
      <c r="K321" s="46">
        <f t="shared" si="115"/>
        <v>0</v>
      </c>
      <c r="L321" s="173">
        <v>0</v>
      </c>
      <c r="M321" s="174">
        <v>8</v>
      </c>
      <c r="N321" s="46">
        <f>DATA!$D$8</f>
        <v>2129.23</v>
      </c>
      <c r="O321" s="46">
        <f t="shared" si="111"/>
        <v>0</v>
      </c>
      <c r="P321" s="46">
        <f t="shared" si="112"/>
        <v>0</v>
      </c>
      <c r="R321" s="21"/>
      <c r="S321" s="21"/>
      <c r="T321" s="21"/>
    </row>
    <row r="322" spans="1:20" s="36" customFormat="1" ht="14.25" customHeight="1" outlineLevel="1" x14ac:dyDescent="0.25">
      <c r="A322" s="224" t="s">
        <v>490</v>
      </c>
      <c r="B322" s="237" t="s">
        <v>523</v>
      </c>
      <c r="C322" s="230">
        <f>SUM(,O322:O328)</f>
        <v>601395.34400000004</v>
      </c>
      <c r="D322" s="230">
        <f>SUM(,P322:P328)</f>
        <v>242.4</v>
      </c>
      <c r="E322" s="230">
        <f t="shared" ref="E322" si="116">D322/8</f>
        <v>30.3</v>
      </c>
      <c r="F322" s="230"/>
      <c r="G322" s="46" t="s">
        <v>76</v>
      </c>
      <c r="H322" s="235"/>
      <c r="I322" s="235"/>
      <c r="J322" s="46">
        <v>1</v>
      </c>
      <c r="K322" s="46">
        <f t="shared" si="115"/>
        <v>0.1</v>
      </c>
      <c r="L322" s="173">
        <v>0.1</v>
      </c>
      <c r="M322" s="174">
        <v>8</v>
      </c>
      <c r="N322" s="46">
        <f>DATA!$D$2</f>
        <v>5009.96</v>
      </c>
      <c r="O322" s="46">
        <f t="shared" si="111"/>
        <v>4007.9680000000003</v>
      </c>
      <c r="P322" s="46">
        <f t="shared" si="112"/>
        <v>0.8</v>
      </c>
      <c r="Q322" s="50"/>
      <c r="R322" s="21"/>
      <c r="S322" s="21"/>
      <c r="T322" s="21"/>
    </row>
    <row r="323" spans="1:20" s="36" customFormat="1" ht="11.45" customHeight="1" outlineLevel="1" x14ac:dyDescent="0.25">
      <c r="A323" s="225"/>
      <c r="B323" s="238"/>
      <c r="C323" s="248"/>
      <c r="D323" s="231"/>
      <c r="E323" s="231"/>
      <c r="F323" s="233"/>
      <c r="G323" s="46" t="s">
        <v>77</v>
      </c>
      <c r="H323" s="225"/>
      <c r="I323" s="225"/>
      <c r="J323" s="46">
        <v>1</v>
      </c>
      <c r="K323" s="46">
        <f t="shared" si="115"/>
        <v>0.2</v>
      </c>
      <c r="L323" s="173">
        <v>0.2</v>
      </c>
      <c r="M323" s="174">
        <v>8</v>
      </c>
      <c r="N323" s="46">
        <f>DATA!$D$3</f>
        <v>4508.96</v>
      </c>
      <c r="O323" s="46">
        <f t="shared" si="111"/>
        <v>7214.3360000000002</v>
      </c>
      <c r="P323" s="46">
        <f t="shared" si="112"/>
        <v>1.6</v>
      </c>
      <c r="Q323" s="50"/>
      <c r="R323" s="21"/>
      <c r="S323" s="21"/>
      <c r="T323" s="21"/>
    </row>
    <row r="324" spans="1:20" s="36" customFormat="1" ht="10.7" customHeight="1" outlineLevel="1" x14ac:dyDescent="0.25">
      <c r="A324" s="225"/>
      <c r="B324" s="238"/>
      <c r="C324" s="248"/>
      <c r="D324" s="231"/>
      <c r="E324" s="231"/>
      <c r="F324" s="233"/>
      <c r="G324" s="46" t="s">
        <v>78</v>
      </c>
      <c r="H324" s="225"/>
      <c r="I324" s="225"/>
      <c r="J324" s="46">
        <v>1</v>
      </c>
      <c r="K324" s="46">
        <f t="shared" si="115"/>
        <v>1</v>
      </c>
      <c r="L324" s="173">
        <v>1</v>
      </c>
      <c r="M324" s="174">
        <v>8</v>
      </c>
      <c r="N324" s="46">
        <f>DATA!$D$4</f>
        <v>3757.47</v>
      </c>
      <c r="O324" s="46">
        <f t="shared" si="111"/>
        <v>30059.759999999998</v>
      </c>
      <c r="P324" s="46">
        <f t="shared" si="112"/>
        <v>8</v>
      </c>
      <c r="Q324" s="50"/>
      <c r="R324" s="21"/>
      <c r="S324" s="21"/>
      <c r="T324" s="21"/>
    </row>
    <row r="325" spans="1:20" s="36" customFormat="1" ht="10.7" customHeight="1" outlineLevel="1" x14ac:dyDescent="0.25">
      <c r="A325" s="225"/>
      <c r="B325" s="238"/>
      <c r="C325" s="248"/>
      <c r="D325" s="231"/>
      <c r="E325" s="231"/>
      <c r="F325" s="233"/>
      <c r="G325" s="46" t="s">
        <v>79</v>
      </c>
      <c r="H325" s="225"/>
      <c r="I325" s="225"/>
      <c r="J325" s="46">
        <v>1</v>
      </c>
      <c r="K325" s="46">
        <f t="shared" si="115"/>
        <v>1</v>
      </c>
      <c r="L325" s="173">
        <v>1</v>
      </c>
      <c r="M325" s="174">
        <v>8</v>
      </c>
      <c r="N325" s="46">
        <f>DATA!$D$5</f>
        <v>3381.72</v>
      </c>
      <c r="O325" s="46">
        <f t="shared" si="111"/>
        <v>27053.759999999998</v>
      </c>
      <c r="P325" s="46">
        <f t="shared" si="112"/>
        <v>8</v>
      </c>
      <c r="Q325" s="50"/>
      <c r="R325" s="21"/>
      <c r="S325" s="21"/>
      <c r="T325" s="21"/>
    </row>
    <row r="326" spans="1:20" s="36" customFormat="1" ht="10.7" customHeight="1" outlineLevel="1" x14ac:dyDescent="0.25">
      <c r="A326" s="225"/>
      <c r="B326" s="238"/>
      <c r="C326" s="248"/>
      <c r="D326" s="231"/>
      <c r="E326" s="231"/>
      <c r="F326" s="233"/>
      <c r="G326" s="46" t="s">
        <v>80</v>
      </c>
      <c r="H326" s="225"/>
      <c r="I326" s="225"/>
      <c r="J326" s="46">
        <v>1</v>
      </c>
      <c r="K326" s="46">
        <f t="shared" si="115"/>
        <v>14</v>
      </c>
      <c r="L326" s="173">
        <v>14</v>
      </c>
      <c r="M326" s="174">
        <v>8</v>
      </c>
      <c r="N326" s="46">
        <f>DATA!$D$6</f>
        <v>2504.98</v>
      </c>
      <c r="O326" s="46">
        <f t="shared" si="111"/>
        <v>280557.76</v>
      </c>
      <c r="P326" s="46">
        <f t="shared" si="112"/>
        <v>112</v>
      </c>
      <c r="Q326" s="50"/>
      <c r="R326" s="21"/>
      <c r="S326" s="21"/>
      <c r="T326" s="21"/>
    </row>
    <row r="327" spans="1:20" s="36" customFormat="1" ht="10.7" customHeight="1" outlineLevel="1" x14ac:dyDescent="0.25">
      <c r="A327" s="225"/>
      <c r="B327" s="238"/>
      <c r="C327" s="248"/>
      <c r="D327" s="231"/>
      <c r="E327" s="231"/>
      <c r="F327" s="233"/>
      <c r="G327" s="46" t="s">
        <v>81</v>
      </c>
      <c r="H327" s="225"/>
      <c r="I327" s="225"/>
      <c r="J327" s="46">
        <v>1</v>
      </c>
      <c r="K327" s="46">
        <f t="shared" si="115"/>
        <v>14</v>
      </c>
      <c r="L327" s="173">
        <v>14</v>
      </c>
      <c r="M327" s="174">
        <v>8</v>
      </c>
      <c r="N327" s="46">
        <f>DATA!$D$7</f>
        <v>2254.48</v>
      </c>
      <c r="O327" s="46">
        <f t="shared" si="111"/>
        <v>252501.76000000001</v>
      </c>
      <c r="P327" s="46">
        <f t="shared" si="112"/>
        <v>112</v>
      </c>
      <c r="Q327" s="50"/>
      <c r="R327" s="21"/>
      <c r="S327" s="21"/>
      <c r="T327" s="21"/>
    </row>
    <row r="328" spans="1:20" s="36" customFormat="1" ht="12" customHeight="1" outlineLevel="1" thickBot="1" x14ac:dyDescent="0.3">
      <c r="A328" s="226"/>
      <c r="B328" s="239"/>
      <c r="C328" s="249"/>
      <c r="D328" s="232"/>
      <c r="E328" s="232"/>
      <c r="F328" s="234"/>
      <c r="G328" s="46" t="s">
        <v>82</v>
      </c>
      <c r="H328" s="236"/>
      <c r="I328" s="236"/>
      <c r="J328" s="46">
        <v>1</v>
      </c>
      <c r="K328" s="46">
        <f t="shared" si="115"/>
        <v>0</v>
      </c>
      <c r="L328" s="173">
        <v>0</v>
      </c>
      <c r="M328" s="174">
        <v>8</v>
      </c>
      <c r="N328" s="46">
        <f>DATA!$D$8</f>
        <v>2129.23</v>
      </c>
      <c r="O328" s="46">
        <f t="shared" si="111"/>
        <v>0</v>
      </c>
      <c r="P328" s="46">
        <f t="shared" si="112"/>
        <v>0</v>
      </c>
      <c r="Q328" s="50"/>
      <c r="R328" s="21"/>
      <c r="S328" s="21"/>
      <c r="T328" s="21"/>
    </row>
    <row r="329" spans="1:20" s="37" customFormat="1" ht="15.75" x14ac:dyDescent="0.25">
      <c r="A329" s="177" t="s">
        <v>130</v>
      </c>
      <c r="B329" s="178" t="s">
        <v>505</v>
      </c>
      <c r="C329" s="175">
        <f>SUBTOTAL(9,C330:C364)</f>
        <v>12971781.200000001</v>
      </c>
      <c r="D329" s="175">
        <f>SUBTOTAL(9,D330:D364)</f>
        <v>4168</v>
      </c>
      <c r="E329" s="175">
        <f>SUBTOTAL(9,E330:E364)</f>
        <v>521</v>
      </c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40"/>
      <c r="Q329" s="51"/>
      <c r="R329" s="21"/>
      <c r="S329" s="21"/>
      <c r="T329" s="21"/>
    </row>
    <row r="330" spans="1:20" s="36" customFormat="1" ht="14.45" customHeight="1" outlineLevel="1" x14ac:dyDescent="0.25">
      <c r="A330" s="224" t="s">
        <v>131</v>
      </c>
      <c r="B330" s="227" t="s">
        <v>491</v>
      </c>
      <c r="C330" s="230">
        <f>SUM(,O330:O336)</f>
        <v>2204380.7999999998</v>
      </c>
      <c r="D330" s="230">
        <f>SUM(,P330:P336)</f>
        <v>480</v>
      </c>
      <c r="E330" s="230">
        <f t="shared" ref="E330" si="117">D330/8</f>
        <v>60</v>
      </c>
      <c r="F330" s="230"/>
      <c r="G330" s="46" t="s">
        <v>76</v>
      </c>
      <c r="H330" s="235"/>
      <c r="I330" s="235"/>
      <c r="J330" s="46">
        <v>1</v>
      </c>
      <c r="K330" s="46">
        <f>L330*$S$8</f>
        <v>10</v>
      </c>
      <c r="L330" s="173">
        <v>10</v>
      </c>
      <c r="M330" s="174">
        <v>8</v>
      </c>
      <c r="N330" s="46">
        <f>DATA!$D$2</f>
        <v>5009.96</v>
      </c>
      <c r="O330" s="46">
        <f t="shared" ref="O330:O364" si="118">N330*J330*K330*M330</f>
        <v>400796.8</v>
      </c>
      <c r="P330" s="46">
        <f t="shared" ref="P330:P364" si="119">J330*K330*M330</f>
        <v>80</v>
      </c>
    </row>
    <row r="331" spans="1:20" s="36" customFormat="1" ht="11.45" customHeight="1" outlineLevel="1" x14ac:dyDescent="0.25">
      <c r="A331" s="225"/>
      <c r="B331" s="228"/>
      <c r="C331" s="231"/>
      <c r="D331" s="231"/>
      <c r="E331" s="231"/>
      <c r="F331" s="233"/>
      <c r="G331" s="46" t="s">
        <v>77</v>
      </c>
      <c r="H331" s="225"/>
      <c r="I331" s="225"/>
      <c r="J331" s="46">
        <v>5</v>
      </c>
      <c r="K331" s="46">
        <f t="shared" ref="K331" si="120">L331*$S$8</f>
        <v>10</v>
      </c>
      <c r="L331" s="173">
        <v>10</v>
      </c>
      <c r="M331" s="174">
        <v>8</v>
      </c>
      <c r="N331" s="46">
        <f>DATA!$D$3</f>
        <v>4508.96</v>
      </c>
      <c r="O331" s="46">
        <f t="shared" si="118"/>
        <v>1803584</v>
      </c>
      <c r="P331" s="46">
        <f t="shared" si="119"/>
        <v>400</v>
      </c>
    </row>
    <row r="332" spans="1:20" s="36" customFormat="1" ht="10.7" customHeight="1" outlineLevel="1" x14ac:dyDescent="0.25">
      <c r="A332" s="225"/>
      <c r="B332" s="228"/>
      <c r="C332" s="231"/>
      <c r="D332" s="231"/>
      <c r="E332" s="231"/>
      <c r="F332" s="233"/>
      <c r="G332" s="46" t="s">
        <v>78</v>
      </c>
      <c r="H332" s="225"/>
      <c r="I332" s="225"/>
      <c r="J332" s="46"/>
      <c r="K332" s="46"/>
      <c r="L332" s="173"/>
      <c r="M332" s="174"/>
      <c r="N332" s="46"/>
      <c r="O332" s="46"/>
      <c r="P332" s="46"/>
    </row>
    <row r="333" spans="1:20" s="36" customFormat="1" ht="10.7" customHeight="1" outlineLevel="1" x14ac:dyDescent="0.25">
      <c r="A333" s="225"/>
      <c r="B333" s="228"/>
      <c r="C333" s="231"/>
      <c r="D333" s="231"/>
      <c r="E333" s="231"/>
      <c r="F333" s="233"/>
      <c r="G333" s="46" t="s">
        <v>79</v>
      </c>
      <c r="H333" s="225"/>
      <c r="I333" s="225"/>
      <c r="J333" s="46"/>
      <c r="K333" s="46"/>
      <c r="L333" s="173"/>
      <c r="M333" s="174"/>
      <c r="N333" s="46"/>
      <c r="O333" s="46"/>
      <c r="P333" s="46"/>
    </row>
    <row r="334" spans="1:20" s="36" customFormat="1" ht="10.7" customHeight="1" outlineLevel="1" x14ac:dyDescent="0.25">
      <c r="A334" s="225"/>
      <c r="B334" s="228"/>
      <c r="C334" s="231"/>
      <c r="D334" s="231"/>
      <c r="E334" s="231"/>
      <c r="F334" s="233"/>
      <c r="G334" s="46" t="s">
        <v>80</v>
      </c>
      <c r="H334" s="225"/>
      <c r="I334" s="225"/>
      <c r="J334" s="46"/>
      <c r="K334" s="46"/>
      <c r="L334" s="173"/>
      <c r="M334" s="174"/>
      <c r="N334" s="46"/>
      <c r="O334" s="46"/>
      <c r="P334" s="46"/>
    </row>
    <row r="335" spans="1:20" s="36" customFormat="1" ht="10.7" customHeight="1" outlineLevel="1" x14ac:dyDescent="0.25">
      <c r="A335" s="225"/>
      <c r="B335" s="228"/>
      <c r="C335" s="231"/>
      <c r="D335" s="231"/>
      <c r="E335" s="231"/>
      <c r="F335" s="233"/>
      <c r="G335" s="46" t="s">
        <v>81</v>
      </c>
      <c r="H335" s="225"/>
      <c r="I335" s="225"/>
      <c r="J335" s="46"/>
      <c r="K335" s="46"/>
      <c r="L335" s="173"/>
      <c r="M335" s="174"/>
      <c r="N335" s="46"/>
      <c r="O335" s="46"/>
      <c r="P335" s="46"/>
    </row>
    <row r="336" spans="1:20" s="36" customFormat="1" ht="12" customHeight="1" outlineLevel="1" thickBot="1" x14ac:dyDescent="0.3">
      <c r="A336" s="226"/>
      <c r="B336" s="229"/>
      <c r="C336" s="232"/>
      <c r="D336" s="232"/>
      <c r="E336" s="232"/>
      <c r="F336" s="234"/>
      <c r="G336" s="46" t="s">
        <v>82</v>
      </c>
      <c r="H336" s="236"/>
      <c r="I336" s="236"/>
      <c r="J336" s="46"/>
      <c r="K336" s="46"/>
      <c r="L336" s="173"/>
      <c r="M336" s="174"/>
      <c r="N336" s="46"/>
      <c r="O336" s="46"/>
      <c r="P336" s="46"/>
    </row>
    <row r="337" spans="1:16" s="36" customFormat="1" ht="14.45" customHeight="1" outlineLevel="1" x14ac:dyDescent="0.25">
      <c r="A337" s="224" t="s">
        <v>154</v>
      </c>
      <c r="B337" s="237" t="s">
        <v>492</v>
      </c>
      <c r="C337" s="230">
        <f>SUM(,O337:O343)</f>
        <v>1166318.0800000001</v>
      </c>
      <c r="D337" s="230">
        <f>SUM(,P337:P343)</f>
        <v>392</v>
      </c>
      <c r="E337" s="230">
        <f t="shared" ref="E337" si="121">D337/8</f>
        <v>49</v>
      </c>
      <c r="F337" s="230"/>
      <c r="G337" s="46" t="s">
        <v>76</v>
      </c>
      <c r="H337" s="235"/>
      <c r="I337" s="235"/>
      <c r="J337" s="46">
        <v>1</v>
      </c>
      <c r="K337" s="46">
        <f>L337*$S$8</f>
        <v>1</v>
      </c>
      <c r="L337" s="173">
        <v>1</v>
      </c>
      <c r="M337" s="174">
        <v>8</v>
      </c>
      <c r="N337" s="46">
        <f>DATA!$D$2</f>
        <v>5009.96</v>
      </c>
      <c r="O337" s="46">
        <f t="shared" si="118"/>
        <v>40079.68</v>
      </c>
      <c r="P337" s="46">
        <f t="shared" si="119"/>
        <v>8</v>
      </c>
    </row>
    <row r="338" spans="1:16" s="36" customFormat="1" ht="11.45" customHeight="1" outlineLevel="1" x14ac:dyDescent="0.25">
      <c r="A338" s="225"/>
      <c r="B338" s="238"/>
      <c r="C338" s="248"/>
      <c r="D338" s="231"/>
      <c r="E338" s="231"/>
      <c r="F338" s="233"/>
      <c r="G338" s="46" t="s">
        <v>77</v>
      </c>
      <c r="H338" s="225"/>
      <c r="I338" s="225"/>
      <c r="J338" s="46">
        <v>1</v>
      </c>
      <c r="K338" s="46">
        <f t="shared" ref="K338:K350" si="122">L338*$S$8</f>
        <v>4</v>
      </c>
      <c r="L338" s="173">
        <v>4</v>
      </c>
      <c r="M338" s="174">
        <v>8</v>
      </c>
      <c r="N338" s="46">
        <f>DATA!$D$3</f>
        <v>4508.96</v>
      </c>
      <c r="O338" s="46">
        <f t="shared" si="118"/>
        <v>144286.72</v>
      </c>
      <c r="P338" s="46">
        <f t="shared" si="119"/>
        <v>32</v>
      </c>
    </row>
    <row r="339" spans="1:16" s="36" customFormat="1" ht="10.7" customHeight="1" outlineLevel="1" x14ac:dyDescent="0.25">
      <c r="A339" s="225"/>
      <c r="B339" s="238"/>
      <c r="C339" s="248"/>
      <c r="D339" s="231"/>
      <c r="E339" s="231"/>
      <c r="F339" s="233"/>
      <c r="G339" s="46" t="s">
        <v>78</v>
      </c>
      <c r="H339" s="225"/>
      <c r="I339" s="225"/>
      <c r="J339" s="46">
        <v>1</v>
      </c>
      <c r="K339" s="46">
        <f t="shared" si="122"/>
        <v>8</v>
      </c>
      <c r="L339" s="173">
        <v>8</v>
      </c>
      <c r="M339" s="174">
        <v>8</v>
      </c>
      <c r="N339" s="46">
        <f>DATA!$D$4</f>
        <v>3757.47</v>
      </c>
      <c r="O339" s="46">
        <f t="shared" si="118"/>
        <v>240478.07999999999</v>
      </c>
      <c r="P339" s="46">
        <f t="shared" si="119"/>
        <v>64</v>
      </c>
    </row>
    <row r="340" spans="1:16" s="36" customFormat="1" ht="10.7" customHeight="1" outlineLevel="1" x14ac:dyDescent="0.25">
      <c r="A340" s="225"/>
      <c r="B340" s="238"/>
      <c r="C340" s="248"/>
      <c r="D340" s="231"/>
      <c r="E340" s="231"/>
      <c r="F340" s="233"/>
      <c r="G340" s="46" t="s">
        <v>79</v>
      </c>
      <c r="H340" s="225"/>
      <c r="I340" s="225"/>
      <c r="J340" s="46">
        <v>1</v>
      </c>
      <c r="K340" s="46">
        <f t="shared" si="122"/>
        <v>8</v>
      </c>
      <c r="L340" s="173">
        <v>8</v>
      </c>
      <c r="M340" s="174">
        <v>8</v>
      </c>
      <c r="N340" s="46">
        <f>DATA!$D$5</f>
        <v>3381.72</v>
      </c>
      <c r="O340" s="46">
        <f t="shared" si="118"/>
        <v>216430.07999999999</v>
      </c>
      <c r="P340" s="46">
        <f t="shared" si="119"/>
        <v>64</v>
      </c>
    </row>
    <row r="341" spans="1:16" s="36" customFormat="1" ht="10.7" customHeight="1" outlineLevel="1" x14ac:dyDescent="0.25">
      <c r="A341" s="225"/>
      <c r="B341" s="238"/>
      <c r="C341" s="248"/>
      <c r="D341" s="231"/>
      <c r="E341" s="231"/>
      <c r="F341" s="233"/>
      <c r="G341" s="46" t="s">
        <v>80</v>
      </c>
      <c r="H341" s="225"/>
      <c r="I341" s="225"/>
      <c r="J341" s="46">
        <v>1</v>
      </c>
      <c r="K341" s="46">
        <f t="shared" si="122"/>
        <v>12</v>
      </c>
      <c r="L341" s="173">
        <v>12</v>
      </c>
      <c r="M341" s="174">
        <v>8</v>
      </c>
      <c r="N341" s="46">
        <f>DATA!$D$6</f>
        <v>2504.98</v>
      </c>
      <c r="O341" s="46">
        <f t="shared" si="118"/>
        <v>240478.08000000002</v>
      </c>
      <c r="P341" s="46">
        <f t="shared" si="119"/>
        <v>96</v>
      </c>
    </row>
    <row r="342" spans="1:16" s="36" customFormat="1" ht="10.7" customHeight="1" outlineLevel="1" x14ac:dyDescent="0.25">
      <c r="A342" s="225"/>
      <c r="B342" s="238"/>
      <c r="C342" s="248"/>
      <c r="D342" s="231"/>
      <c r="E342" s="231"/>
      <c r="F342" s="233"/>
      <c r="G342" s="46" t="s">
        <v>81</v>
      </c>
      <c r="H342" s="225"/>
      <c r="I342" s="225"/>
      <c r="J342" s="46">
        <v>1</v>
      </c>
      <c r="K342" s="46">
        <f t="shared" si="122"/>
        <v>12</v>
      </c>
      <c r="L342" s="173">
        <v>12</v>
      </c>
      <c r="M342" s="174">
        <v>8</v>
      </c>
      <c r="N342" s="46">
        <f>DATA!$D$7</f>
        <v>2254.48</v>
      </c>
      <c r="O342" s="46">
        <f t="shared" si="118"/>
        <v>216430.08000000002</v>
      </c>
      <c r="P342" s="46">
        <f t="shared" si="119"/>
        <v>96</v>
      </c>
    </row>
    <row r="343" spans="1:16" s="36" customFormat="1" ht="12" customHeight="1" outlineLevel="1" thickBot="1" x14ac:dyDescent="0.3">
      <c r="A343" s="226"/>
      <c r="B343" s="239"/>
      <c r="C343" s="249"/>
      <c r="D343" s="232"/>
      <c r="E343" s="232"/>
      <c r="F343" s="234"/>
      <c r="G343" s="46" t="s">
        <v>82</v>
      </c>
      <c r="H343" s="236"/>
      <c r="I343" s="236"/>
      <c r="J343" s="46">
        <v>1</v>
      </c>
      <c r="K343" s="46">
        <f t="shared" si="122"/>
        <v>4</v>
      </c>
      <c r="L343" s="173">
        <v>4</v>
      </c>
      <c r="M343" s="174">
        <v>8</v>
      </c>
      <c r="N343" s="46">
        <f>DATA!$D$8</f>
        <v>2129.23</v>
      </c>
      <c r="O343" s="46">
        <f t="shared" si="118"/>
        <v>68135.360000000001</v>
      </c>
      <c r="P343" s="46">
        <f t="shared" si="119"/>
        <v>32</v>
      </c>
    </row>
    <row r="344" spans="1:16" s="36" customFormat="1" ht="14.45" customHeight="1" outlineLevel="1" x14ac:dyDescent="0.25">
      <c r="A344" s="224" t="s">
        <v>155</v>
      </c>
      <c r="B344" s="237" t="s">
        <v>493</v>
      </c>
      <c r="C344" s="230">
        <f>SUM(,O344:O350)</f>
        <v>737465.67999999993</v>
      </c>
      <c r="D344" s="230">
        <f>SUM(,P344:P350)</f>
        <v>256</v>
      </c>
      <c r="E344" s="230">
        <f t="shared" ref="E344" si="123">D344/8</f>
        <v>32</v>
      </c>
      <c r="F344" s="230"/>
      <c r="G344" s="46" t="s">
        <v>76</v>
      </c>
      <c r="H344" s="235"/>
      <c r="I344" s="235"/>
      <c r="J344" s="46">
        <v>1</v>
      </c>
      <c r="K344" s="46">
        <f t="shared" si="122"/>
        <v>1</v>
      </c>
      <c r="L344" s="173">
        <v>1</v>
      </c>
      <c r="M344" s="174">
        <v>8</v>
      </c>
      <c r="N344" s="46">
        <f>DATA!$D$2</f>
        <v>5009.96</v>
      </c>
      <c r="O344" s="46">
        <f t="shared" si="118"/>
        <v>40079.68</v>
      </c>
      <c r="P344" s="46">
        <f t="shared" si="119"/>
        <v>8</v>
      </c>
    </row>
    <row r="345" spans="1:16" s="36" customFormat="1" ht="11.45" customHeight="1" outlineLevel="1" x14ac:dyDescent="0.25">
      <c r="A345" s="225"/>
      <c r="B345" s="238"/>
      <c r="C345" s="248"/>
      <c r="D345" s="231"/>
      <c r="E345" s="231"/>
      <c r="F345" s="233"/>
      <c r="G345" s="46" t="s">
        <v>77</v>
      </c>
      <c r="H345" s="225"/>
      <c r="I345" s="225"/>
      <c r="J345" s="46">
        <v>1</v>
      </c>
      <c r="K345" s="46">
        <f t="shared" si="122"/>
        <v>2</v>
      </c>
      <c r="L345" s="173">
        <v>2</v>
      </c>
      <c r="M345" s="174">
        <v>8</v>
      </c>
      <c r="N345" s="46">
        <f>DATA!$D$3</f>
        <v>4508.96</v>
      </c>
      <c r="O345" s="46">
        <f t="shared" si="118"/>
        <v>72143.360000000001</v>
      </c>
      <c r="P345" s="46">
        <f t="shared" si="119"/>
        <v>16</v>
      </c>
    </row>
    <row r="346" spans="1:16" s="36" customFormat="1" ht="10.7" customHeight="1" outlineLevel="1" x14ac:dyDescent="0.25">
      <c r="A346" s="225"/>
      <c r="B346" s="238"/>
      <c r="C346" s="248"/>
      <c r="D346" s="231"/>
      <c r="E346" s="231"/>
      <c r="F346" s="233"/>
      <c r="G346" s="46" t="s">
        <v>78</v>
      </c>
      <c r="H346" s="225"/>
      <c r="I346" s="225"/>
      <c r="J346" s="46">
        <v>1</v>
      </c>
      <c r="K346" s="46">
        <f t="shared" si="122"/>
        <v>3</v>
      </c>
      <c r="L346" s="173">
        <v>3</v>
      </c>
      <c r="M346" s="174">
        <v>8</v>
      </c>
      <c r="N346" s="46">
        <f>DATA!$D$4</f>
        <v>3757.47</v>
      </c>
      <c r="O346" s="46">
        <f t="shared" si="118"/>
        <v>90179.28</v>
      </c>
      <c r="P346" s="46">
        <f t="shared" si="119"/>
        <v>24</v>
      </c>
    </row>
    <row r="347" spans="1:16" s="36" customFormat="1" ht="10.7" customHeight="1" outlineLevel="1" x14ac:dyDescent="0.25">
      <c r="A347" s="225"/>
      <c r="B347" s="238"/>
      <c r="C347" s="248"/>
      <c r="D347" s="231"/>
      <c r="E347" s="231"/>
      <c r="F347" s="233"/>
      <c r="G347" s="46" t="s">
        <v>79</v>
      </c>
      <c r="H347" s="225"/>
      <c r="I347" s="225"/>
      <c r="J347" s="46">
        <v>1</v>
      </c>
      <c r="K347" s="46">
        <f t="shared" si="122"/>
        <v>6</v>
      </c>
      <c r="L347" s="173">
        <v>6</v>
      </c>
      <c r="M347" s="174">
        <v>8</v>
      </c>
      <c r="N347" s="46">
        <f>DATA!$D$5</f>
        <v>3381.72</v>
      </c>
      <c r="O347" s="46">
        <f t="shared" si="118"/>
        <v>162322.56</v>
      </c>
      <c r="P347" s="46">
        <f t="shared" si="119"/>
        <v>48</v>
      </c>
    </row>
    <row r="348" spans="1:16" s="36" customFormat="1" ht="10.7" customHeight="1" outlineLevel="1" x14ac:dyDescent="0.25">
      <c r="A348" s="225"/>
      <c r="B348" s="238"/>
      <c r="C348" s="248"/>
      <c r="D348" s="231"/>
      <c r="E348" s="231"/>
      <c r="F348" s="233"/>
      <c r="G348" s="46" t="s">
        <v>80</v>
      </c>
      <c r="H348" s="225"/>
      <c r="I348" s="225"/>
      <c r="J348" s="46">
        <v>1</v>
      </c>
      <c r="K348" s="46">
        <f t="shared" si="122"/>
        <v>8</v>
      </c>
      <c r="L348" s="173">
        <v>8</v>
      </c>
      <c r="M348" s="174">
        <v>8</v>
      </c>
      <c r="N348" s="46">
        <f>DATA!$D$6</f>
        <v>2504.98</v>
      </c>
      <c r="O348" s="46">
        <f t="shared" si="118"/>
        <v>160318.72</v>
      </c>
      <c r="P348" s="46">
        <f t="shared" si="119"/>
        <v>64</v>
      </c>
    </row>
    <row r="349" spans="1:16" s="36" customFormat="1" ht="10.7" customHeight="1" outlineLevel="1" x14ac:dyDescent="0.25">
      <c r="A349" s="225"/>
      <c r="B349" s="238"/>
      <c r="C349" s="248"/>
      <c r="D349" s="231"/>
      <c r="E349" s="231"/>
      <c r="F349" s="233"/>
      <c r="G349" s="46" t="s">
        <v>81</v>
      </c>
      <c r="H349" s="225"/>
      <c r="I349" s="225"/>
      <c r="J349" s="46">
        <v>1</v>
      </c>
      <c r="K349" s="46">
        <f t="shared" si="122"/>
        <v>8</v>
      </c>
      <c r="L349" s="173">
        <v>8</v>
      </c>
      <c r="M349" s="174">
        <v>8</v>
      </c>
      <c r="N349" s="46">
        <f>DATA!$D$7</f>
        <v>2254.48</v>
      </c>
      <c r="O349" s="46">
        <f t="shared" si="118"/>
        <v>144286.72</v>
      </c>
      <c r="P349" s="46">
        <f t="shared" si="119"/>
        <v>64</v>
      </c>
    </row>
    <row r="350" spans="1:16" s="36" customFormat="1" ht="12" customHeight="1" outlineLevel="1" thickBot="1" x14ac:dyDescent="0.3">
      <c r="A350" s="226"/>
      <c r="B350" s="239"/>
      <c r="C350" s="249"/>
      <c r="D350" s="232"/>
      <c r="E350" s="232"/>
      <c r="F350" s="234"/>
      <c r="G350" s="46" t="s">
        <v>82</v>
      </c>
      <c r="H350" s="236"/>
      <c r="I350" s="236"/>
      <c r="J350" s="46">
        <v>1</v>
      </c>
      <c r="K350" s="46">
        <f t="shared" si="122"/>
        <v>4</v>
      </c>
      <c r="L350" s="173">
        <v>4</v>
      </c>
      <c r="M350" s="174">
        <v>8</v>
      </c>
      <c r="N350" s="46">
        <f>DATA!$D$8</f>
        <v>2129.23</v>
      </c>
      <c r="O350" s="46">
        <f t="shared" si="118"/>
        <v>68135.360000000001</v>
      </c>
      <c r="P350" s="46">
        <f t="shared" si="119"/>
        <v>32</v>
      </c>
    </row>
    <row r="351" spans="1:16" s="36" customFormat="1" ht="14.45" customHeight="1" outlineLevel="1" x14ac:dyDescent="0.25">
      <c r="A351" s="224" t="s">
        <v>156</v>
      </c>
      <c r="B351" s="237" t="s">
        <v>525</v>
      </c>
      <c r="C351" s="230">
        <f>SUM(,O351:O357)</f>
        <v>8192282.4000000004</v>
      </c>
      <c r="D351" s="230">
        <f>SUM(,P351:P357)</f>
        <v>2800</v>
      </c>
      <c r="E351" s="230">
        <f t="shared" ref="E351" si="124">D351/8</f>
        <v>350</v>
      </c>
      <c r="F351" s="230"/>
      <c r="G351" s="46" t="s">
        <v>76</v>
      </c>
      <c r="H351" s="235"/>
      <c r="I351" s="235"/>
      <c r="J351" s="46">
        <v>1</v>
      </c>
      <c r="K351" s="46">
        <f>L351*$S$8</f>
        <v>4</v>
      </c>
      <c r="L351" s="173">
        <v>4</v>
      </c>
      <c r="M351" s="174">
        <v>8</v>
      </c>
      <c r="N351" s="46">
        <f>DATA!$D$2</f>
        <v>5009.96</v>
      </c>
      <c r="O351" s="46">
        <f t="shared" si="118"/>
        <v>160318.72</v>
      </c>
      <c r="P351" s="46">
        <f t="shared" si="119"/>
        <v>32</v>
      </c>
    </row>
    <row r="352" spans="1:16" s="36" customFormat="1" ht="11.45" customHeight="1" outlineLevel="1" x14ac:dyDescent="0.25">
      <c r="A352" s="225"/>
      <c r="B352" s="238"/>
      <c r="C352" s="248"/>
      <c r="D352" s="231"/>
      <c r="E352" s="231"/>
      <c r="F352" s="233"/>
      <c r="G352" s="46" t="s">
        <v>77</v>
      </c>
      <c r="H352" s="225"/>
      <c r="I352" s="225"/>
      <c r="J352" s="46">
        <v>2</v>
      </c>
      <c r="K352" s="46">
        <f t="shared" ref="K352:K357" si="125">L352*$S$8</f>
        <v>8</v>
      </c>
      <c r="L352" s="173">
        <v>8</v>
      </c>
      <c r="M352" s="174">
        <v>8</v>
      </c>
      <c r="N352" s="46">
        <f>DATA!$D$3</f>
        <v>4508.96</v>
      </c>
      <c r="O352" s="46">
        <f t="shared" si="118"/>
        <v>577146.88</v>
      </c>
      <c r="P352" s="46">
        <f t="shared" si="119"/>
        <v>128</v>
      </c>
    </row>
    <row r="353" spans="1:16" s="36" customFormat="1" ht="10.7" customHeight="1" outlineLevel="1" x14ac:dyDescent="0.25">
      <c r="A353" s="225"/>
      <c r="B353" s="238"/>
      <c r="C353" s="248"/>
      <c r="D353" s="231"/>
      <c r="E353" s="231"/>
      <c r="F353" s="233"/>
      <c r="G353" s="46" t="s">
        <v>78</v>
      </c>
      <c r="H353" s="225"/>
      <c r="I353" s="225"/>
      <c r="J353" s="46">
        <v>2</v>
      </c>
      <c r="K353" s="46">
        <f t="shared" si="125"/>
        <v>25</v>
      </c>
      <c r="L353" s="173">
        <v>25</v>
      </c>
      <c r="M353" s="174">
        <v>8</v>
      </c>
      <c r="N353" s="46">
        <f>DATA!$D$4</f>
        <v>3757.47</v>
      </c>
      <c r="O353" s="46">
        <f t="shared" si="118"/>
        <v>1502988</v>
      </c>
      <c r="P353" s="46">
        <f t="shared" si="119"/>
        <v>400</v>
      </c>
    </row>
    <row r="354" spans="1:16" s="36" customFormat="1" ht="10.7" customHeight="1" outlineLevel="1" x14ac:dyDescent="0.25">
      <c r="A354" s="225"/>
      <c r="B354" s="238"/>
      <c r="C354" s="248"/>
      <c r="D354" s="231"/>
      <c r="E354" s="231"/>
      <c r="F354" s="233"/>
      <c r="G354" s="46" t="s">
        <v>79</v>
      </c>
      <c r="H354" s="225"/>
      <c r="I354" s="225"/>
      <c r="J354" s="46">
        <v>2</v>
      </c>
      <c r="K354" s="46">
        <f t="shared" si="125"/>
        <v>40</v>
      </c>
      <c r="L354" s="173">
        <v>40</v>
      </c>
      <c r="M354" s="174">
        <v>8</v>
      </c>
      <c r="N354" s="46">
        <f>DATA!$D$5</f>
        <v>3381.72</v>
      </c>
      <c r="O354" s="46">
        <f t="shared" si="118"/>
        <v>2164300.7999999998</v>
      </c>
      <c r="P354" s="46">
        <f t="shared" si="119"/>
        <v>640</v>
      </c>
    </row>
    <row r="355" spans="1:16" s="36" customFormat="1" ht="10.7" customHeight="1" outlineLevel="1" x14ac:dyDescent="0.25">
      <c r="A355" s="225"/>
      <c r="B355" s="238"/>
      <c r="C355" s="248"/>
      <c r="D355" s="231"/>
      <c r="E355" s="231"/>
      <c r="F355" s="233"/>
      <c r="G355" s="46" t="s">
        <v>80</v>
      </c>
      <c r="H355" s="225"/>
      <c r="I355" s="225"/>
      <c r="J355" s="46">
        <v>2</v>
      </c>
      <c r="K355" s="46">
        <f t="shared" si="125"/>
        <v>50</v>
      </c>
      <c r="L355" s="173">
        <v>50</v>
      </c>
      <c r="M355" s="174">
        <v>8</v>
      </c>
      <c r="N355" s="46">
        <f>DATA!$D$6</f>
        <v>2504.98</v>
      </c>
      <c r="O355" s="46">
        <f t="shared" si="118"/>
        <v>2003984</v>
      </c>
      <c r="P355" s="46">
        <f t="shared" si="119"/>
        <v>800</v>
      </c>
    </row>
    <row r="356" spans="1:16" s="36" customFormat="1" ht="10.7" customHeight="1" outlineLevel="1" x14ac:dyDescent="0.25">
      <c r="A356" s="225"/>
      <c r="B356" s="238"/>
      <c r="C356" s="248"/>
      <c r="D356" s="231"/>
      <c r="E356" s="231"/>
      <c r="F356" s="233"/>
      <c r="G356" s="46" t="s">
        <v>81</v>
      </c>
      <c r="H356" s="225"/>
      <c r="I356" s="225"/>
      <c r="J356" s="46">
        <v>2</v>
      </c>
      <c r="K356" s="46">
        <f t="shared" si="125"/>
        <v>40</v>
      </c>
      <c r="L356" s="173">
        <v>40</v>
      </c>
      <c r="M356" s="174">
        <v>8</v>
      </c>
      <c r="N356" s="46">
        <f>DATA!$D$7</f>
        <v>2254.48</v>
      </c>
      <c r="O356" s="46">
        <f t="shared" si="118"/>
        <v>1442867.2</v>
      </c>
      <c r="P356" s="46">
        <f t="shared" si="119"/>
        <v>640</v>
      </c>
    </row>
    <row r="357" spans="1:16" s="36" customFormat="1" ht="12" customHeight="1" outlineLevel="1" thickBot="1" x14ac:dyDescent="0.3">
      <c r="A357" s="226"/>
      <c r="B357" s="239"/>
      <c r="C357" s="249"/>
      <c r="D357" s="232"/>
      <c r="E357" s="232"/>
      <c r="F357" s="234"/>
      <c r="G357" s="46" t="s">
        <v>82</v>
      </c>
      <c r="H357" s="236"/>
      <c r="I357" s="236"/>
      <c r="J357" s="46">
        <v>1</v>
      </c>
      <c r="K357" s="46">
        <f t="shared" si="125"/>
        <v>20</v>
      </c>
      <c r="L357" s="173">
        <v>20</v>
      </c>
      <c r="M357" s="174">
        <v>8</v>
      </c>
      <c r="N357" s="46">
        <f>DATA!$D$8</f>
        <v>2129.23</v>
      </c>
      <c r="O357" s="46">
        <f t="shared" si="118"/>
        <v>340676.8</v>
      </c>
      <c r="P357" s="46">
        <f t="shared" si="119"/>
        <v>160</v>
      </c>
    </row>
    <row r="358" spans="1:16" s="36" customFormat="1" ht="14.45" customHeight="1" outlineLevel="1" x14ac:dyDescent="0.25">
      <c r="A358" s="224" t="s">
        <v>157</v>
      </c>
      <c r="B358" s="227" t="s">
        <v>494</v>
      </c>
      <c r="C358" s="230">
        <f>SUM(,O358:O364)</f>
        <v>671334.24</v>
      </c>
      <c r="D358" s="230">
        <f>SUM(,P358:P364)</f>
        <v>240</v>
      </c>
      <c r="E358" s="230">
        <f t="shared" ref="E358" si="126">D358/8</f>
        <v>30</v>
      </c>
      <c r="F358" s="230"/>
      <c r="G358" s="46" t="s">
        <v>76</v>
      </c>
      <c r="H358" s="235"/>
      <c r="I358" s="235"/>
      <c r="J358" s="46">
        <v>1</v>
      </c>
      <c r="K358" s="46">
        <f>L358*$S$8</f>
        <v>1.5</v>
      </c>
      <c r="L358" s="173">
        <v>1.5</v>
      </c>
      <c r="M358" s="174">
        <v>8</v>
      </c>
      <c r="N358" s="46">
        <f>DATA!$D$2</f>
        <v>5009.96</v>
      </c>
      <c r="O358" s="46">
        <f t="shared" si="118"/>
        <v>60119.520000000004</v>
      </c>
      <c r="P358" s="46">
        <f t="shared" si="119"/>
        <v>12</v>
      </c>
    </row>
    <row r="359" spans="1:16" s="36" customFormat="1" ht="11.45" customHeight="1" outlineLevel="1" x14ac:dyDescent="0.25">
      <c r="A359" s="225"/>
      <c r="B359" s="228"/>
      <c r="C359" s="231"/>
      <c r="D359" s="231"/>
      <c r="E359" s="231"/>
      <c r="F359" s="233"/>
      <c r="G359" s="46" t="s">
        <v>77</v>
      </c>
      <c r="H359" s="225"/>
      <c r="I359" s="225"/>
      <c r="J359" s="46">
        <v>1</v>
      </c>
      <c r="K359" s="46">
        <f t="shared" ref="K359:K364" si="127">L359*$S$8</f>
        <v>1.5</v>
      </c>
      <c r="L359" s="173">
        <v>1.5</v>
      </c>
      <c r="M359" s="174">
        <v>8</v>
      </c>
      <c r="N359" s="46">
        <f>DATA!$D$3</f>
        <v>4508.96</v>
      </c>
      <c r="O359" s="46">
        <f t="shared" si="118"/>
        <v>54107.520000000004</v>
      </c>
      <c r="P359" s="46">
        <f t="shared" si="119"/>
        <v>12</v>
      </c>
    </row>
    <row r="360" spans="1:16" s="36" customFormat="1" ht="10.7" customHeight="1" outlineLevel="1" x14ac:dyDescent="0.25">
      <c r="A360" s="225"/>
      <c r="B360" s="228"/>
      <c r="C360" s="231"/>
      <c r="D360" s="231"/>
      <c r="E360" s="231"/>
      <c r="F360" s="233"/>
      <c r="G360" s="46" t="s">
        <v>78</v>
      </c>
      <c r="H360" s="225"/>
      <c r="I360" s="225"/>
      <c r="J360" s="46">
        <v>1</v>
      </c>
      <c r="K360" s="46">
        <f t="shared" si="127"/>
        <v>3</v>
      </c>
      <c r="L360" s="173">
        <v>3</v>
      </c>
      <c r="M360" s="174">
        <v>8</v>
      </c>
      <c r="N360" s="46">
        <f>DATA!$D$4</f>
        <v>3757.47</v>
      </c>
      <c r="O360" s="46">
        <f t="shared" si="118"/>
        <v>90179.28</v>
      </c>
      <c r="P360" s="46">
        <f t="shared" si="119"/>
        <v>24</v>
      </c>
    </row>
    <row r="361" spans="1:16" s="36" customFormat="1" ht="10.7" customHeight="1" outlineLevel="1" x14ac:dyDescent="0.25">
      <c r="A361" s="225"/>
      <c r="B361" s="228"/>
      <c r="C361" s="231"/>
      <c r="D361" s="231"/>
      <c r="E361" s="231"/>
      <c r="F361" s="233"/>
      <c r="G361" s="46" t="s">
        <v>79</v>
      </c>
      <c r="H361" s="225"/>
      <c r="I361" s="225"/>
      <c r="J361" s="46">
        <v>1</v>
      </c>
      <c r="K361" s="46">
        <f t="shared" si="127"/>
        <v>3</v>
      </c>
      <c r="L361" s="173">
        <v>3</v>
      </c>
      <c r="M361" s="174">
        <v>8</v>
      </c>
      <c r="N361" s="46">
        <f>DATA!$D$5</f>
        <v>3381.72</v>
      </c>
      <c r="O361" s="46">
        <f t="shared" si="118"/>
        <v>81161.279999999999</v>
      </c>
      <c r="P361" s="46">
        <f t="shared" si="119"/>
        <v>24</v>
      </c>
    </row>
    <row r="362" spans="1:16" s="36" customFormat="1" ht="10.7" customHeight="1" outlineLevel="1" x14ac:dyDescent="0.25">
      <c r="A362" s="225"/>
      <c r="B362" s="228"/>
      <c r="C362" s="231"/>
      <c r="D362" s="231"/>
      <c r="E362" s="231"/>
      <c r="F362" s="233"/>
      <c r="G362" s="46" t="s">
        <v>80</v>
      </c>
      <c r="H362" s="225"/>
      <c r="I362" s="225"/>
      <c r="J362" s="46">
        <v>1</v>
      </c>
      <c r="K362" s="46">
        <f t="shared" si="127"/>
        <v>7</v>
      </c>
      <c r="L362" s="173">
        <v>7</v>
      </c>
      <c r="M362" s="174">
        <v>8</v>
      </c>
      <c r="N362" s="46">
        <f>DATA!$D$6</f>
        <v>2504.98</v>
      </c>
      <c r="O362" s="46">
        <f t="shared" si="118"/>
        <v>140278.88</v>
      </c>
      <c r="P362" s="46">
        <f t="shared" si="119"/>
        <v>56</v>
      </c>
    </row>
    <row r="363" spans="1:16" s="36" customFormat="1" ht="10.7" customHeight="1" outlineLevel="1" x14ac:dyDescent="0.25">
      <c r="A363" s="225"/>
      <c r="B363" s="228"/>
      <c r="C363" s="231"/>
      <c r="D363" s="231"/>
      <c r="E363" s="231"/>
      <c r="F363" s="233"/>
      <c r="G363" s="46" t="s">
        <v>81</v>
      </c>
      <c r="H363" s="225"/>
      <c r="I363" s="225"/>
      <c r="J363" s="46">
        <v>1</v>
      </c>
      <c r="K363" s="46">
        <f t="shared" si="127"/>
        <v>7</v>
      </c>
      <c r="L363" s="173">
        <v>7</v>
      </c>
      <c r="M363" s="174">
        <v>8</v>
      </c>
      <c r="N363" s="46">
        <f>DATA!$D$7</f>
        <v>2254.48</v>
      </c>
      <c r="O363" s="46">
        <f t="shared" si="118"/>
        <v>126250.88</v>
      </c>
      <c r="P363" s="46">
        <f t="shared" si="119"/>
        <v>56</v>
      </c>
    </row>
    <row r="364" spans="1:16" s="36" customFormat="1" ht="12" customHeight="1" outlineLevel="1" thickBot="1" x14ac:dyDescent="0.3">
      <c r="A364" s="226"/>
      <c r="B364" s="229"/>
      <c r="C364" s="232"/>
      <c r="D364" s="232"/>
      <c r="E364" s="232"/>
      <c r="F364" s="234"/>
      <c r="G364" s="46" t="s">
        <v>82</v>
      </c>
      <c r="H364" s="236"/>
      <c r="I364" s="236"/>
      <c r="J364" s="46">
        <v>1</v>
      </c>
      <c r="K364" s="46">
        <f t="shared" si="127"/>
        <v>7</v>
      </c>
      <c r="L364" s="173">
        <v>7</v>
      </c>
      <c r="M364" s="174">
        <v>8</v>
      </c>
      <c r="N364" s="46">
        <f>DATA!$D$8</f>
        <v>2129.23</v>
      </c>
      <c r="O364" s="46">
        <f t="shared" si="118"/>
        <v>119236.88</v>
      </c>
      <c r="P364" s="46">
        <f t="shared" si="119"/>
        <v>56</v>
      </c>
    </row>
    <row r="365" spans="1:16" s="37" customFormat="1" ht="15.75" x14ac:dyDescent="0.25">
      <c r="A365" s="177" t="s">
        <v>506</v>
      </c>
      <c r="B365" s="178" t="s">
        <v>495</v>
      </c>
      <c r="C365" s="175">
        <f>SUBTOTAL(9,C366)</f>
        <v>726443.75999999989</v>
      </c>
      <c r="D365" s="175">
        <f>SUBTOTAL(9,D366)</f>
        <v>264</v>
      </c>
      <c r="E365" s="175">
        <f>SUBTOTAL(9,E366)</f>
        <v>33</v>
      </c>
      <c r="F365" s="38"/>
      <c r="G365" s="38"/>
      <c r="H365" s="38"/>
      <c r="I365" s="38"/>
      <c r="J365" s="38"/>
      <c r="K365" s="38"/>
      <c r="L365" s="182"/>
      <c r="M365" s="38"/>
      <c r="N365" s="38"/>
      <c r="O365" s="38"/>
      <c r="P365" s="40"/>
    </row>
    <row r="366" spans="1:16" s="36" customFormat="1" ht="14.45" customHeight="1" outlineLevel="1" x14ac:dyDescent="0.25">
      <c r="A366" s="224" t="s">
        <v>158</v>
      </c>
      <c r="B366" s="227" t="s">
        <v>496</v>
      </c>
      <c r="C366" s="230">
        <f>SUM(,O366:O372)</f>
        <v>726443.75999999989</v>
      </c>
      <c r="D366" s="230">
        <f>SUM(,P366:P372)</f>
        <v>264</v>
      </c>
      <c r="E366" s="230">
        <f t="shared" ref="E366" si="128">D366/8</f>
        <v>33</v>
      </c>
      <c r="F366" s="230"/>
      <c r="G366" s="46" t="s">
        <v>76</v>
      </c>
      <c r="H366" s="235"/>
      <c r="I366" s="235"/>
      <c r="J366" s="46">
        <v>1</v>
      </c>
      <c r="K366" s="46">
        <f>L366*$S$8</f>
        <v>1.5</v>
      </c>
      <c r="L366" s="173">
        <v>1.5</v>
      </c>
      <c r="M366" s="174">
        <v>8</v>
      </c>
      <c r="N366" s="46">
        <f>DATA!$D$2</f>
        <v>5009.96</v>
      </c>
      <c r="O366" s="46">
        <f t="shared" ref="O366:O372" si="129">N366*J366*K366*M366</f>
        <v>60119.520000000004</v>
      </c>
      <c r="P366" s="46">
        <f t="shared" ref="P366:P372" si="130">J366*K366*M366</f>
        <v>12</v>
      </c>
    </row>
    <row r="367" spans="1:16" s="36" customFormat="1" ht="11.45" customHeight="1" outlineLevel="1" x14ac:dyDescent="0.25">
      <c r="A367" s="225"/>
      <c r="B367" s="228"/>
      <c r="C367" s="231"/>
      <c r="D367" s="231"/>
      <c r="E367" s="231"/>
      <c r="F367" s="233"/>
      <c r="G367" s="46" t="s">
        <v>77</v>
      </c>
      <c r="H367" s="225"/>
      <c r="I367" s="225"/>
      <c r="J367" s="46">
        <v>1</v>
      </c>
      <c r="K367" s="46">
        <f t="shared" ref="K367:K372" si="131">L367*$S$8</f>
        <v>1.5</v>
      </c>
      <c r="L367" s="173">
        <v>1.5</v>
      </c>
      <c r="M367" s="174">
        <v>8</v>
      </c>
      <c r="N367" s="46">
        <f>DATA!$D$3</f>
        <v>4508.96</v>
      </c>
      <c r="O367" s="46">
        <f t="shared" si="129"/>
        <v>54107.520000000004</v>
      </c>
      <c r="P367" s="46">
        <f t="shared" si="130"/>
        <v>12</v>
      </c>
    </row>
    <row r="368" spans="1:16" s="36" customFormat="1" ht="10.7" customHeight="1" outlineLevel="1" x14ac:dyDescent="0.25">
      <c r="A368" s="225"/>
      <c r="B368" s="228"/>
      <c r="C368" s="231"/>
      <c r="D368" s="231"/>
      <c r="E368" s="231"/>
      <c r="F368" s="233"/>
      <c r="G368" s="46" t="s">
        <v>78</v>
      </c>
      <c r="H368" s="225"/>
      <c r="I368" s="225"/>
      <c r="J368" s="46">
        <v>1</v>
      </c>
      <c r="K368" s="46">
        <f t="shared" si="131"/>
        <v>3</v>
      </c>
      <c r="L368" s="173">
        <v>3</v>
      </c>
      <c r="M368" s="174">
        <v>8</v>
      </c>
      <c r="N368" s="46">
        <f>DATA!$D$4</f>
        <v>3757.47</v>
      </c>
      <c r="O368" s="46">
        <f t="shared" si="129"/>
        <v>90179.28</v>
      </c>
      <c r="P368" s="46">
        <f t="shared" si="130"/>
        <v>24</v>
      </c>
    </row>
    <row r="369" spans="1:16" s="36" customFormat="1" ht="10.7" customHeight="1" outlineLevel="1" x14ac:dyDescent="0.25">
      <c r="A369" s="225"/>
      <c r="B369" s="228"/>
      <c r="C369" s="231"/>
      <c r="D369" s="231"/>
      <c r="E369" s="231"/>
      <c r="F369" s="233"/>
      <c r="G369" s="46" t="s">
        <v>79</v>
      </c>
      <c r="H369" s="225"/>
      <c r="I369" s="225"/>
      <c r="J369" s="46">
        <v>1</v>
      </c>
      <c r="K369" s="46">
        <f t="shared" si="131"/>
        <v>3</v>
      </c>
      <c r="L369" s="173">
        <v>3</v>
      </c>
      <c r="M369" s="174">
        <v>8</v>
      </c>
      <c r="N369" s="46">
        <f>DATA!$D$5</f>
        <v>3381.72</v>
      </c>
      <c r="O369" s="46">
        <f t="shared" si="129"/>
        <v>81161.279999999999</v>
      </c>
      <c r="P369" s="46">
        <f t="shared" si="130"/>
        <v>24</v>
      </c>
    </row>
    <row r="370" spans="1:16" s="36" customFormat="1" ht="10.7" customHeight="1" outlineLevel="1" x14ac:dyDescent="0.25">
      <c r="A370" s="225"/>
      <c r="B370" s="228"/>
      <c r="C370" s="231"/>
      <c r="D370" s="231"/>
      <c r="E370" s="231"/>
      <c r="F370" s="233"/>
      <c r="G370" s="46" t="s">
        <v>80</v>
      </c>
      <c r="H370" s="225"/>
      <c r="I370" s="225"/>
      <c r="J370" s="46">
        <v>1</v>
      </c>
      <c r="K370" s="46">
        <f t="shared" si="131"/>
        <v>8</v>
      </c>
      <c r="L370" s="173">
        <v>8</v>
      </c>
      <c r="M370" s="174">
        <v>8</v>
      </c>
      <c r="N370" s="46">
        <f>DATA!$D$6</f>
        <v>2504.98</v>
      </c>
      <c r="O370" s="46">
        <f t="shared" si="129"/>
        <v>160318.72</v>
      </c>
      <c r="P370" s="46">
        <f t="shared" si="130"/>
        <v>64</v>
      </c>
    </row>
    <row r="371" spans="1:16" s="36" customFormat="1" ht="10.7" customHeight="1" outlineLevel="1" x14ac:dyDescent="0.25">
      <c r="A371" s="225"/>
      <c r="B371" s="228"/>
      <c r="C371" s="231"/>
      <c r="D371" s="231"/>
      <c r="E371" s="231"/>
      <c r="F371" s="233"/>
      <c r="G371" s="46" t="s">
        <v>81</v>
      </c>
      <c r="H371" s="225"/>
      <c r="I371" s="225"/>
      <c r="J371" s="46">
        <v>1</v>
      </c>
      <c r="K371" s="46">
        <f t="shared" si="131"/>
        <v>8</v>
      </c>
      <c r="L371" s="173">
        <v>8</v>
      </c>
      <c r="M371" s="174">
        <v>8</v>
      </c>
      <c r="N371" s="46">
        <f>DATA!$D$7</f>
        <v>2254.48</v>
      </c>
      <c r="O371" s="46">
        <f t="shared" si="129"/>
        <v>144286.72</v>
      </c>
      <c r="P371" s="46">
        <f t="shared" si="130"/>
        <v>64</v>
      </c>
    </row>
    <row r="372" spans="1:16" s="36" customFormat="1" ht="12" customHeight="1" outlineLevel="1" thickBot="1" x14ac:dyDescent="0.3">
      <c r="A372" s="226"/>
      <c r="B372" s="229"/>
      <c r="C372" s="232"/>
      <c r="D372" s="232"/>
      <c r="E372" s="232"/>
      <c r="F372" s="234"/>
      <c r="G372" s="46" t="s">
        <v>82</v>
      </c>
      <c r="H372" s="236"/>
      <c r="I372" s="236"/>
      <c r="J372" s="46">
        <v>1</v>
      </c>
      <c r="K372" s="46">
        <f t="shared" si="131"/>
        <v>8</v>
      </c>
      <c r="L372" s="173">
        <v>8</v>
      </c>
      <c r="M372" s="174">
        <v>8</v>
      </c>
      <c r="N372" s="46">
        <f>DATA!$D$8</f>
        <v>2129.23</v>
      </c>
      <c r="O372" s="46">
        <f t="shared" si="129"/>
        <v>136270.72</v>
      </c>
      <c r="P372" s="46">
        <f t="shared" si="130"/>
        <v>64</v>
      </c>
    </row>
    <row r="373" spans="1:16" s="37" customFormat="1" ht="15.75" x14ac:dyDescent="0.25">
      <c r="A373" s="177" t="s">
        <v>149</v>
      </c>
      <c r="B373" s="178" t="s">
        <v>497</v>
      </c>
      <c r="C373" s="175">
        <f>SUBTOTAL(9,C374:C422)</f>
        <v>5919023.3215999994</v>
      </c>
      <c r="D373" s="175">
        <f>SUBTOTAL(9,D374:D422)</f>
        <v>2298.96</v>
      </c>
      <c r="E373" s="175">
        <f>SUBTOTAL(9,E374:E422)</f>
        <v>287.37</v>
      </c>
      <c r="F373" s="38"/>
      <c r="G373" s="38"/>
      <c r="H373" s="38"/>
      <c r="I373" s="38"/>
      <c r="J373" s="38"/>
      <c r="K373" s="38"/>
      <c r="L373" s="182"/>
      <c r="M373" s="38"/>
      <c r="N373" s="38"/>
      <c r="O373" s="38"/>
      <c r="P373" s="40"/>
    </row>
    <row r="374" spans="1:16" s="36" customFormat="1" ht="14.45" customHeight="1" outlineLevel="1" x14ac:dyDescent="0.25">
      <c r="A374" s="224" t="s">
        <v>160</v>
      </c>
      <c r="B374" s="237" t="s">
        <v>498</v>
      </c>
      <c r="C374" s="230">
        <f>SUM(,O374:O380)</f>
        <v>1254493.2000000002</v>
      </c>
      <c r="D374" s="230">
        <f>SUM(,P374:P380)</f>
        <v>480</v>
      </c>
      <c r="E374" s="230">
        <f t="shared" ref="E374:E416" si="132">D374/8</f>
        <v>60</v>
      </c>
      <c r="F374" s="230"/>
      <c r="G374" s="46" t="s">
        <v>76</v>
      </c>
      <c r="H374" s="235"/>
      <c r="I374" s="235"/>
      <c r="J374" s="46">
        <v>1</v>
      </c>
      <c r="K374" s="46">
        <f>L374*$S$8</f>
        <v>1</v>
      </c>
      <c r="L374" s="173">
        <v>1</v>
      </c>
      <c r="M374" s="174">
        <v>8</v>
      </c>
      <c r="N374" s="46">
        <f>DATA!$D$2</f>
        <v>5009.96</v>
      </c>
      <c r="O374" s="46">
        <f t="shared" ref="O374:O422" si="133">N374*J374*K374*M374</f>
        <v>40079.68</v>
      </c>
      <c r="P374" s="46">
        <f t="shared" ref="P374:P422" si="134">J374*K374*M374</f>
        <v>8</v>
      </c>
    </row>
    <row r="375" spans="1:16" s="36" customFormat="1" ht="11.45" customHeight="1" outlineLevel="1" x14ac:dyDescent="0.25">
      <c r="A375" s="225"/>
      <c r="B375" s="238"/>
      <c r="C375" s="231"/>
      <c r="D375" s="231"/>
      <c r="E375" s="231"/>
      <c r="F375" s="233"/>
      <c r="G375" s="46" t="s">
        <v>77</v>
      </c>
      <c r="H375" s="225"/>
      <c r="I375" s="225"/>
      <c r="J375" s="46">
        <v>1</v>
      </c>
      <c r="K375" s="46">
        <f t="shared" ref="K375:K380" si="135">L375*$S$8</f>
        <v>2</v>
      </c>
      <c r="L375" s="173">
        <v>2</v>
      </c>
      <c r="M375" s="174">
        <v>8</v>
      </c>
      <c r="N375" s="46">
        <f>DATA!$D$3</f>
        <v>4508.96</v>
      </c>
      <c r="O375" s="46">
        <f t="shared" si="133"/>
        <v>72143.360000000001</v>
      </c>
      <c r="P375" s="46">
        <f t="shared" si="134"/>
        <v>16</v>
      </c>
    </row>
    <row r="376" spans="1:16" s="36" customFormat="1" ht="10.7" customHeight="1" outlineLevel="1" x14ac:dyDescent="0.25">
      <c r="A376" s="225"/>
      <c r="B376" s="238"/>
      <c r="C376" s="231"/>
      <c r="D376" s="231"/>
      <c r="E376" s="231"/>
      <c r="F376" s="233"/>
      <c r="G376" s="46" t="s">
        <v>78</v>
      </c>
      <c r="H376" s="225"/>
      <c r="I376" s="225"/>
      <c r="J376" s="46">
        <v>1</v>
      </c>
      <c r="K376" s="46">
        <f t="shared" si="135"/>
        <v>3</v>
      </c>
      <c r="L376" s="173">
        <v>3</v>
      </c>
      <c r="M376" s="174">
        <v>8</v>
      </c>
      <c r="N376" s="46">
        <f>DATA!$D$4</f>
        <v>3757.47</v>
      </c>
      <c r="O376" s="46">
        <f t="shared" si="133"/>
        <v>90179.28</v>
      </c>
      <c r="P376" s="46">
        <f t="shared" si="134"/>
        <v>24</v>
      </c>
    </row>
    <row r="377" spans="1:16" s="36" customFormat="1" ht="10.7" customHeight="1" outlineLevel="1" x14ac:dyDescent="0.25">
      <c r="A377" s="225"/>
      <c r="B377" s="238"/>
      <c r="C377" s="231"/>
      <c r="D377" s="231"/>
      <c r="E377" s="231"/>
      <c r="F377" s="233"/>
      <c r="G377" s="46" t="s">
        <v>79</v>
      </c>
      <c r="H377" s="225"/>
      <c r="I377" s="225"/>
      <c r="J377" s="46">
        <v>1</v>
      </c>
      <c r="K377" s="46">
        <f t="shared" si="135"/>
        <v>6</v>
      </c>
      <c r="L377" s="173">
        <v>6</v>
      </c>
      <c r="M377" s="174">
        <v>8</v>
      </c>
      <c r="N377" s="46">
        <f>DATA!$D$5</f>
        <v>3381.72</v>
      </c>
      <c r="O377" s="46">
        <f t="shared" si="133"/>
        <v>162322.56</v>
      </c>
      <c r="P377" s="46">
        <f t="shared" si="134"/>
        <v>48</v>
      </c>
    </row>
    <row r="378" spans="1:16" s="36" customFormat="1" ht="10.7" customHeight="1" outlineLevel="1" x14ac:dyDescent="0.25">
      <c r="A378" s="225"/>
      <c r="B378" s="238"/>
      <c r="C378" s="231"/>
      <c r="D378" s="231"/>
      <c r="E378" s="231"/>
      <c r="F378" s="233"/>
      <c r="G378" s="46" t="s">
        <v>80</v>
      </c>
      <c r="H378" s="225"/>
      <c r="I378" s="225"/>
      <c r="J378" s="46">
        <v>1</v>
      </c>
      <c r="K378" s="46">
        <f t="shared" si="135"/>
        <v>18</v>
      </c>
      <c r="L378" s="173">
        <v>18</v>
      </c>
      <c r="M378" s="174">
        <v>8</v>
      </c>
      <c r="N378" s="46">
        <f>DATA!$D$6</f>
        <v>2504.98</v>
      </c>
      <c r="O378" s="46">
        <f t="shared" si="133"/>
        <v>360717.12</v>
      </c>
      <c r="P378" s="46">
        <f t="shared" si="134"/>
        <v>144</v>
      </c>
    </row>
    <row r="379" spans="1:16" s="36" customFormat="1" ht="10.7" customHeight="1" outlineLevel="1" x14ac:dyDescent="0.25">
      <c r="A379" s="225"/>
      <c r="B379" s="238"/>
      <c r="C379" s="231"/>
      <c r="D379" s="231"/>
      <c r="E379" s="231"/>
      <c r="F379" s="233"/>
      <c r="G379" s="46" t="s">
        <v>81</v>
      </c>
      <c r="H379" s="225"/>
      <c r="I379" s="225"/>
      <c r="J379" s="46">
        <v>1</v>
      </c>
      <c r="K379" s="46">
        <f t="shared" si="135"/>
        <v>18</v>
      </c>
      <c r="L379" s="173">
        <v>18</v>
      </c>
      <c r="M379" s="174">
        <v>8</v>
      </c>
      <c r="N379" s="46">
        <f>DATA!$D$7</f>
        <v>2254.48</v>
      </c>
      <c r="O379" s="46">
        <f t="shared" si="133"/>
        <v>324645.12</v>
      </c>
      <c r="P379" s="46">
        <f t="shared" si="134"/>
        <v>144</v>
      </c>
    </row>
    <row r="380" spans="1:16" s="36" customFormat="1" ht="12" customHeight="1" outlineLevel="1" thickBot="1" x14ac:dyDescent="0.3">
      <c r="A380" s="226"/>
      <c r="B380" s="239"/>
      <c r="C380" s="232"/>
      <c r="D380" s="232"/>
      <c r="E380" s="232"/>
      <c r="F380" s="234"/>
      <c r="G380" s="46" t="s">
        <v>82</v>
      </c>
      <c r="H380" s="236"/>
      <c r="I380" s="236"/>
      <c r="J380" s="46">
        <v>1</v>
      </c>
      <c r="K380" s="46">
        <f t="shared" si="135"/>
        <v>12</v>
      </c>
      <c r="L380" s="173">
        <v>12</v>
      </c>
      <c r="M380" s="174">
        <v>8</v>
      </c>
      <c r="N380" s="46">
        <f>DATA!$D$8</f>
        <v>2129.23</v>
      </c>
      <c r="O380" s="46">
        <f t="shared" si="133"/>
        <v>204406.08000000002</v>
      </c>
      <c r="P380" s="46">
        <f t="shared" si="134"/>
        <v>96</v>
      </c>
    </row>
    <row r="381" spans="1:16" s="36" customFormat="1" ht="14.45" customHeight="1" outlineLevel="1" x14ac:dyDescent="0.25">
      <c r="A381" s="224" t="s">
        <v>161</v>
      </c>
      <c r="B381" s="227" t="s">
        <v>499</v>
      </c>
      <c r="C381" s="230">
        <f>SUM(,O381:O387)</f>
        <v>1002913.1711999999</v>
      </c>
      <c r="D381" s="230">
        <f>SUM(,P381:P387)</f>
        <v>406.72</v>
      </c>
      <c r="E381" s="230">
        <f t="shared" si="132"/>
        <v>50.84</v>
      </c>
      <c r="F381" s="230"/>
      <c r="G381" s="46" t="s">
        <v>76</v>
      </c>
      <c r="H381" s="235"/>
      <c r="I381" s="235"/>
      <c r="J381" s="46">
        <v>1</v>
      </c>
      <c r="K381" s="46">
        <f>L381*$S$8</f>
        <v>0.42</v>
      </c>
      <c r="L381" s="173">
        <v>0.42</v>
      </c>
      <c r="M381" s="174">
        <v>8</v>
      </c>
      <c r="N381" s="46">
        <f>DATA!$D$2</f>
        <v>5009.96</v>
      </c>
      <c r="O381" s="46">
        <f t="shared" si="133"/>
        <v>16833.4656</v>
      </c>
      <c r="P381" s="46">
        <f t="shared" si="134"/>
        <v>3.36</v>
      </c>
    </row>
    <row r="382" spans="1:16" s="36" customFormat="1" ht="11.45" customHeight="1" outlineLevel="1" x14ac:dyDescent="0.25">
      <c r="A382" s="225"/>
      <c r="B382" s="228"/>
      <c r="C382" s="231"/>
      <c r="D382" s="231"/>
      <c r="E382" s="231"/>
      <c r="F382" s="233"/>
      <c r="G382" s="46" t="s">
        <v>77</v>
      </c>
      <c r="H382" s="225"/>
      <c r="I382" s="225"/>
      <c r="J382" s="46">
        <v>1</v>
      </c>
      <c r="K382" s="46">
        <f t="shared" ref="K382:K387" si="136">L382*$S$8</f>
        <v>0.42</v>
      </c>
      <c r="L382" s="173">
        <v>0.42</v>
      </c>
      <c r="M382" s="174">
        <v>8</v>
      </c>
      <c r="N382" s="46">
        <f>DATA!$D$3</f>
        <v>4508.96</v>
      </c>
      <c r="O382" s="46">
        <f t="shared" si="133"/>
        <v>15150.105599999999</v>
      </c>
      <c r="P382" s="46">
        <f t="shared" si="134"/>
        <v>3.36</v>
      </c>
    </row>
    <row r="383" spans="1:16" s="36" customFormat="1" ht="10.7" customHeight="1" outlineLevel="1" x14ac:dyDescent="0.25">
      <c r="A383" s="225"/>
      <c r="B383" s="228"/>
      <c r="C383" s="231"/>
      <c r="D383" s="231"/>
      <c r="E383" s="231"/>
      <c r="F383" s="233"/>
      <c r="G383" s="46" t="s">
        <v>78</v>
      </c>
      <c r="H383" s="225"/>
      <c r="I383" s="225"/>
      <c r="J383" s="46">
        <v>1</v>
      </c>
      <c r="K383" s="46">
        <f t="shared" si="136"/>
        <v>3</v>
      </c>
      <c r="L383" s="173">
        <v>3</v>
      </c>
      <c r="M383" s="174">
        <v>8</v>
      </c>
      <c r="N383" s="46">
        <f>DATA!$D$4</f>
        <v>3757.47</v>
      </c>
      <c r="O383" s="46">
        <f t="shared" si="133"/>
        <v>90179.28</v>
      </c>
      <c r="P383" s="46">
        <f t="shared" si="134"/>
        <v>24</v>
      </c>
    </row>
    <row r="384" spans="1:16" s="36" customFormat="1" ht="10.7" customHeight="1" outlineLevel="1" x14ac:dyDescent="0.25">
      <c r="A384" s="225"/>
      <c r="B384" s="228"/>
      <c r="C384" s="231"/>
      <c r="D384" s="231"/>
      <c r="E384" s="231"/>
      <c r="F384" s="233"/>
      <c r="G384" s="46" t="s">
        <v>79</v>
      </c>
      <c r="H384" s="225"/>
      <c r="I384" s="225"/>
      <c r="J384" s="46">
        <v>1</v>
      </c>
      <c r="K384" s="46">
        <f t="shared" si="136"/>
        <v>2</v>
      </c>
      <c r="L384" s="173">
        <v>2</v>
      </c>
      <c r="M384" s="174">
        <v>8</v>
      </c>
      <c r="N384" s="46">
        <f>DATA!$D$5</f>
        <v>3381.72</v>
      </c>
      <c r="O384" s="46">
        <f t="shared" si="133"/>
        <v>54107.519999999997</v>
      </c>
      <c r="P384" s="46">
        <f t="shared" si="134"/>
        <v>16</v>
      </c>
    </row>
    <row r="385" spans="1:16" s="36" customFormat="1" ht="10.7" customHeight="1" outlineLevel="1" x14ac:dyDescent="0.25">
      <c r="A385" s="225"/>
      <c r="B385" s="228"/>
      <c r="C385" s="231"/>
      <c r="D385" s="231"/>
      <c r="E385" s="231"/>
      <c r="F385" s="233"/>
      <c r="G385" s="46" t="s">
        <v>80</v>
      </c>
      <c r="H385" s="225"/>
      <c r="I385" s="225"/>
      <c r="J385" s="46">
        <v>1</v>
      </c>
      <c r="K385" s="46">
        <f t="shared" si="136"/>
        <v>15</v>
      </c>
      <c r="L385" s="173">
        <v>15</v>
      </c>
      <c r="M385" s="174">
        <v>8</v>
      </c>
      <c r="N385" s="46">
        <f>DATA!$D$6</f>
        <v>2504.98</v>
      </c>
      <c r="O385" s="46">
        <f t="shared" si="133"/>
        <v>300597.59999999998</v>
      </c>
      <c r="P385" s="46">
        <f t="shared" si="134"/>
        <v>120</v>
      </c>
    </row>
    <row r="386" spans="1:16" s="36" customFormat="1" ht="10.7" customHeight="1" outlineLevel="1" x14ac:dyDescent="0.25">
      <c r="A386" s="225"/>
      <c r="B386" s="228"/>
      <c r="C386" s="231"/>
      <c r="D386" s="231"/>
      <c r="E386" s="231"/>
      <c r="F386" s="233"/>
      <c r="G386" s="46" t="s">
        <v>81</v>
      </c>
      <c r="H386" s="225"/>
      <c r="I386" s="225"/>
      <c r="J386" s="46">
        <v>1</v>
      </c>
      <c r="K386" s="46">
        <f t="shared" si="136"/>
        <v>15</v>
      </c>
      <c r="L386" s="173">
        <v>15</v>
      </c>
      <c r="M386" s="174">
        <v>8</v>
      </c>
      <c r="N386" s="46">
        <f>DATA!$D$7</f>
        <v>2254.48</v>
      </c>
      <c r="O386" s="46">
        <f t="shared" si="133"/>
        <v>270537.59999999998</v>
      </c>
      <c r="P386" s="46">
        <f t="shared" si="134"/>
        <v>120</v>
      </c>
    </row>
    <row r="387" spans="1:16" s="36" customFormat="1" ht="12" customHeight="1" outlineLevel="1" thickBot="1" x14ac:dyDescent="0.3">
      <c r="A387" s="226"/>
      <c r="B387" s="229"/>
      <c r="C387" s="232"/>
      <c r="D387" s="232"/>
      <c r="E387" s="232"/>
      <c r="F387" s="234"/>
      <c r="G387" s="46" t="s">
        <v>82</v>
      </c>
      <c r="H387" s="236"/>
      <c r="I387" s="236"/>
      <c r="J387" s="46">
        <v>1</v>
      </c>
      <c r="K387" s="46">
        <f t="shared" si="136"/>
        <v>15</v>
      </c>
      <c r="L387" s="173">
        <v>15</v>
      </c>
      <c r="M387" s="174">
        <v>8</v>
      </c>
      <c r="N387" s="46">
        <f>DATA!$D$8</f>
        <v>2129.23</v>
      </c>
      <c r="O387" s="46">
        <f t="shared" si="133"/>
        <v>255507.6</v>
      </c>
      <c r="P387" s="46">
        <f t="shared" si="134"/>
        <v>120</v>
      </c>
    </row>
    <row r="388" spans="1:16" s="36" customFormat="1" ht="14.45" customHeight="1" outlineLevel="1" x14ac:dyDescent="0.25">
      <c r="A388" s="224" t="s">
        <v>507</v>
      </c>
      <c r="B388" s="237" t="s">
        <v>500</v>
      </c>
      <c r="C388" s="230">
        <f>SUM(,O388:O394)</f>
        <v>918826</v>
      </c>
      <c r="D388" s="230">
        <f>SUM(,P388:P394)</f>
        <v>344</v>
      </c>
      <c r="E388" s="230">
        <f t="shared" si="132"/>
        <v>43</v>
      </c>
      <c r="F388" s="230"/>
      <c r="G388" s="46" t="s">
        <v>76</v>
      </c>
      <c r="H388" s="235"/>
      <c r="I388" s="235"/>
      <c r="J388" s="46">
        <v>1</v>
      </c>
      <c r="K388" s="46">
        <f>L388*$S$8</f>
        <v>1</v>
      </c>
      <c r="L388" s="173">
        <v>1</v>
      </c>
      <c r="M388" s="174">
        <v>8</v>
      </c>
      <c r="N388" s="46">
        <f>DATA!$D$2</f>
        <v>5009.96</v>
      </c>
      <c r="O388" s="46">
        <f t="shared" si="133"/>
        <v>40079.68</v>
      </c>
      <c r="P388" s="46">
        <f t="shared" si="134"/>
        <v>8</v>
      </c>
    </row>
    <row r="389" spans="1:16" s="36" customFormat="1" ht="11.45" customHeight="1" outlineLevel="1" x14ac:dyDescent="0.25">
      <c r="A389" s="225"/>
      <c r="B389" s="238"/>
      <c r="C389" s="231"/>
      <c r="D389" s="231"/>
      <c r="E389" s="231"/>
      <c r="F389" s="233"/>
      <c r="G389" s="46" t="s">
        <v>77</v>
      </c>
      <c r="H389" s="225"/>
      <c r="I389" s="225"/>
      <c r="J389" s="46">
        <v>1</v>
      </c>
      <c r="K389" s="46">
        <f t="shared" ref="K389:K393" si="137">L389*$S$8</f>
        <v>2</v>
      </c>
      <c r="L389" s="173">
        <v>2</v>
      </c>
      <c r="M389" s="174">
        <v>8</v>
      </c>
      <c r="N389" s="46">
        <f>DATA!$D$3</f>
        <v>4508.96</v>
      </c>
      <c r="O389" s="46">
        <f t="shared" si="133"/>
        <v>72143.360000000001</v>
      </c>
      <c r="P389" s="46">
        <f t="shared" si="134"/>
        <v>16</v>
      </c>
    </row>
    <row r="390" spans="1:16" s="36" customFormat="1" ht="10.7" customHeight="1" outlineLevel="1" x14ac:dyDescent="0.25">
      <c r="A390" s="225"/>
      <c r="B390" s="238"/>
      <c r="C390" s="231"/>
      <c r="D390" s="231"/>
      <c r="E390" s="231"/>
      <c r="F390" s="233"/>
      <c r="G390" s="46" t="s">
        <v>78</v>
      </c>
      <c r="H390" s="225"/>
      <c r="I390" s="225"/>
      <c r="J390" s="46">
        <v>1</v>
      </c>
      <c r="K390" s="46">
        <f t="shared" si="137"/>
        <v>3</v>
      </c>
      <c r="L390" s="173">
        <v>3</v>
      </c>
      <c r="M390" s="174">
        <v>8</v>
      </c>
      <c r="N390" s="46">
        <f>DATA!$D$4</f>
        <v>3757.47</v>
      </c>
      <c r="O390" s="46">
        <f t="shared" si="133"/>
        <v>90179.28</v>
      </c>
      <c r="P390" s="46">
        <f t="shared" si="134"/>
        <v>24</v>
      </c>
    </row>
    <row r="391" spans="1:16" s="36" customFormat="1" ht="10.7" customHeight="1" outlineLevel="1" x14ac:dyDescent="0.25">
      <c r="A391" s="225"/>
      <c r="B391" s="238"/>
      <c r="C391" s="231"/>
      <c r="D391" s="231"/>
      <c r="E391" s="231"/>
      <c r="F391" s="233"/>
      <c r="G391" s="46" t="s">
        <v>79</v>
      </c>
      <c r="H391" s="225"/>
      <c r="I391" s="225"/>
      <c r="J391" s="46">
        <v>1</v>
      </c>
      <c r="K391" s="46">
        <f t="shared" si="137"/>
        <v>5</v>
      </c>
      <c r="L391" s="173">
        <v>5</v>
      </c>
      <c r="M391" s="174">
        <v>8</v>
      </c>
      <c r="N391" s="46">
        <f>DATA!$D$5</f>
        <v>3381.72</v>
      </c>
      <c r="O391" s="46">
        <f t="shared" si="133"/>
        <v>135268.79999999999</v>
      </c>
      <c r="P391" s="46">
        <f t="shared" si="134"/>
        <v>40</v>
      </c>
    </row>
    <row r="392" spans="1:16" s="36" customFormat="1" ht="10.7" customHeight="1" outlineLevel="1" x14ac:dyDescent="0.25">
      <c r="A392" s="225"/>
      <c r="B392" s="238"/>
      <c r="C392" s="231"/>
      <c r="D392" s="231"/>
      <c r="E392" s="231"/>
      <c r="F392" s="233"/>
      <c r="G392" s="46" t="s">
        <v>80</v>
      </c>
      <c r="H392" s="225"/>
      <c r="I392" s="225"/>
      <c r="J392" s="46">
        <v>1</v>
      </c>
      <c r="K392" s="46">
        <f t="shared" si="137"/>
        <v>8</v>
      </c>
      <c r="L392" s="173">
        <v>8</v>
      </c>
      <c r="M392" s="174">
        <v>8</v>
      </c>
      <c r="N392" s="46">
        <f>DATA!$D$6</f>
        <v>2504.98</v>
      </c>
      <c r="O392" s="46">
        <f t="shared" si="133"/>
        <v>160318.72</v>
      </c>
      <c r="P392" s="46">
        <f t="shared" si="134"/>
        <v>64</v>
      </c>
    </row>
    <row r="393" spans="1:16" s="36" customFormat="1" ht="10.7" customHeight="1" outlineLevel="1" x14ac:dyDescent="0.25">
      <c r="A393" s="225"/>
      <c r="B393" s="238"/>
      <c r="C393" s="231"/>
      <c r="D393" s="231"/>
      <c r="E393" s="231"/>
      <c r="F393" s="233"/>
      <c r="G393" s="46" t="s">
        <v>81</v>
      </c>
      <c r="H393" s="225"/>
      <c r="I393" s="225"/>
      <c r="J393" s="46">
        <v>1</v>
      </c>
      <c r="K393" s="46">
        <f t="shared" si="137"/>
        <v>12</v>
      </c>
      <c r="L393" s="173">
        <v>12</v>
      </c>
      <c r="M393" s="174">
        <v>8</v>
      </c>
      <c r="N393" s="46">
        <f>DATA!$D$7</f>
        <v>2254.48</v>
      </c>
      <c r="O393" s="46">
        <f t="shared" si="133"/>
        <v>216430.08000000002</v>
      </c>
      <c r="P393" s="46">
        <f t="shared" si="134"/>
        <v>96</v>
      </c>
    </row>
    <row r="394" spans="1:16" s="36" customFormat="1" ht="12" customHeight="1" outlineLevel="1" thickBot="1" x14ac:dyDescent="0.3">
      <c r="A394" s="226"/>
      <c r="B394" s="239"/>
      <c r="C394" s="232"/>
      <c r="D394" s="232"/>
      <c r="E394" s="232"/>
      <c r="F394" s="234"/>
      <c r="G394" s="46" t="s">
        <v>82</v>
      </c>
      <c r="H394" s="236"/>
      <c r="I394" s="236"/>
      <c r="J394" s="46">
        <v>1</v>
      </c>
      <c r="K394" s="46">
        <v>12</v>
      </c>
      <c r="L394" s="173">
        <v>10</v>
      </c>
      <c r="M394" s="174">
        <v>8</v>
      </c>
      <c r="N394" s="46">
        <f>DATA!$D$8</f>
        <v>2129.23</v>
      </c>
      <c r="O394" s="46">
        <f t="shared" si="133"/>
        <v>204406.08000000002</v>
      </c>
      <c r="P394" s="46">
        <f t="shared" si="134"/>
        <v>96</v>
      </c>
    </row>
    <row r="395" spans="1:16" s="36" customFormat="1" ht="14.45" customHeight="1" outlineLevel="1" x14ac:dyDescent="0.25">
      <c r="A395" s="224" t="s">
        <v>508</v>
      </c>
      <c r="B395" s="237" t="s">
        <v>501</v>
      </c>
      <c r="C395" s="230">
        <f>SUM(,O395:O401)</f>
        <v>1742462.88</v>
      </c>
      <c r="D395" s="230">
        <f>SUM(,P395:P401)</f>
        <v>696</v>
      </c>
      <c r="E395" s="230">
        <f t="shared" si="132"/>
        <v>87</v>
      </c>
      <c r="F395" s="230"/>
      <c r="G395" s="46" t="s">
        <v>76</v>
      </c>
      <c r="H395" s="235"/>
      <c r="I395" s="235"/>
      <c r="J395" s="46">
        <v>1</v>
      </c>
      <c r="K395" s="46">
        <f>L395*$S$8</f>
        <v>1</v>
      </c>
      <c r="L395" s="173">
        <v>1</v>
      </c>
      <c r="M395" s="174">
        <v>8</v>
      </c>
      <c r="N395" s="46">
        <f>DATA!$D$2</f>
        <v>5009.96</v>
      </c>
      <c r="O395" s="46">
        <f t="shared" si="133"/>
        <v>40079.68</v>
      </c>
      <c r="P395" s="46">
        <f t="shared" si="134"/>
        <v>8</v>
      </c>
    </row>
    <row r="396" spans="1:16" s="36" customFormat="1" ht="11.45" customHeight="1" outlineLevel="1" x14ac:dyDescent="0.25">
      <c r="A396" s="225"/>
      <c r="B396" s="238"/>
      <c r="C396" s="231"/>
      <c r="D396" s="231"/>
      <c r="E396" s="231"/>
      <c r="F396" s="233"/>
      <c r="G396" s="46" t="s">
        <v>77</v>
      </c>
      <c r="H396" s="225"/>
      <c r="I396" s="225"/>
      <c r="J396" s="46">
        <v>1</v>
      </c>
      <c r="K396" s="46">
        <f t="shared" ref="K396:K401" si="138">L396*$S$8</f>
        <v>2</v>
      </c>
      <c r="L396" s="173">
        <v>2</v>
      </c>
      <c r="M396" s="174">
        <v>8</v>
      </c>
      <c r="N396" s="46">
        <f>DATA!$D$3</f>
        <v>4508.96</v>
      </c>
      <c r="O396" s="46">
        <f t="shared" si="133"/>
        <v>72143.360000000001</v>
      </c>
      <c r="P396" s="46">
        <f t="shared" si="134"/>
        <v>16</v>
      </c>
    </row>
    <row r="397" spans="1:16" s="36" customFormat="1" ht="10.7" customHeight="1" outlineLevel="1" x14ac:dyDescent="0.25">
      <c r="A397" s="225"/>
      <c r="B397" s="238"/>
      <c r="C397" s="231"/>
      <c r="D397" s="231"/>
      <c r="E397" s="231"/>
      <c r="F397" s="233"/>
      <c r="G397" s="46" t="s">
        <v>78</v>
      </c>
      <c r="H397" s="225"/>
      <c r="I397" s="225"/>
      <c r="J397" s="46">
        <v>1</v>
      </c>
      <c r="K397" s="46">
        <f t="shared" si="138"/>
        <v>3</v>
      </c>
      <c r="L397" s="173">
        <v>3</v>
      </c>
      <c r="M397" s="174">
        <v>8</v>
      </c>
      <c r="N397" s="46">
        <f>DATA!$D$4</f>
        <v>3757.47</v>
      </c>
      <c r="O397" s="46">
        <f t="shared" si="133"/>
        <v>90179.28</v>
      </c>
      <c r="P397" s="46">
        <f t="shared" si="134"/>
        <v>24</v>
      </c>
    </row>
    <row r="398" spans="1:16" s="36" customFormat="1" ht="10.7" customHeight="1" outlineLevel="1" x14ac:dyDescent="0.25">
      <c r="A398" s="225"/>
      <c r="B398" s="238"/>
      <c r="C398" s="231"/>
      <c r="D398" s="231"/>
      <c r="E398" s="231"/>
      <c r="F398" s="233"/>
      <c r="G398" s="46" t="s">
        <v>79</v>
      </c>
      <c r="H398" s="225"/>
      <c r="I398" s="225"/>
      <c r="J398" s="46">
        <v>1</v>
      </c>
      <c r="K398" s="46">
        <f t="shared" si="138"/>
        <v>6</v>
      </c>
      <c r="L398" s="173">
        <v>6</v>
      </c>
      <c r="M398" s="174">
        <v>8</v>
      </c>
      <c r="N398" s="46">
        <f>DATA!$D$5</f>
        <v>3381.72</v>
      </c>
      <c r="O398" s="46">
        <f t="shared" si="133"/>
        <v>162322.56</v>
      </c>
      <c r="P398" s="46">
        <f t="shared" si="134"/>
        <v>48</v>
      </c>
    </row>
    <row r="399" spans="1:16" s="36" customFormat="1" ht="10.7" customHeight="1" outlineLevel="1" x14ac:dyDescent="0.25">
      <c r="A399" s="225"/>
      <c r="B399" s="238"/>
      <c r="C399" s="231"/>
      <c r="D399" s="231"/>
      <c r="E399" s="231"/>
      <c r="F399" s="233"/>
      <c r="G399" s="46" t="s">
        <v>80</v>
      </c>
      <c r="H399" s="225"/>
      <c r="I399" s="225"/>
      <c r="J399" s="46">
        <v>1</v>
      </c>
      <c r="K399" s="46">
        <f t="shared" si="138"/>
        <v>25</v>
      </c>
      <c r="L399" s="173">
        <v>25</v>
      </c>
      <c r="M399" s="174">
        <v>8</v>
      </c>
      <c r="N399" s="46">
        <f>DATA!$D$6</f>
        <v>2504.98</v>
      </c>
      <c r="O399" s="46">
        <f t="shared" si="133"/>
        <v>500996</v>
      </c>
      <c r="P399" s="46">
        <f t="shared" si="134"/>
        <v>200</v>
      </c>
    </row>
    <row r="400" spans="1:16" s="36" customFormat="1" ht="10.7" customHeight="1" outlineLevel="1" x14ac:dyDescent="0.25">
      <c r="A400" s="225"/>
      <c r="B400" s="238"/>
      <c r="C400" s="231"/>
      <c r="D400" s="231"/>
      <c r="E400" s="231"/>
      <c r="F400" s="233"/>
      <c r="G400" s="46" t="s">
        <v>81</v>
      </c>
      <c r="H400" s="225"/>
      <c r="I400" s="225"/>
      <c r="J400" s="46">
        <v>1</v>
      </c>
      <c r="K400" s="46">
        <f t="shared" si="138"/>
        <v>25</v>
      </c>
      <c r="L400" s="173">
        <v>25</v>
      </c>
      <c r="M400" s="174">
        <v>8</v>
      </c>
      <c r="N400" s="46">
        <f>DATA!$D$7</f>
        <v>2254.48</v>
      </c>
      <c r="O400" s="46">
        <f t="shared" si="133"/>
        <v>450896</v>
      </c>
      <c r="P400" s="46">
        <f t="shared" si="134"/>
        <v>200</v>
      </c>
    </row>
    <row r="401" spans="1:16" s="36" customFormat="1" ht="12" customHeight="1" outlineLevel="1" thickBot="1" x14ac:dyDescent="0.3">
      <c r="A401" s="226"/>
      <c r="B401" s="239"/>
      <c r="C401" s="232"/>
      <c r="D401" s="232"/>
      <c r="E401" s="232"/>
      <c r="F401" s="234"/>
      <c r="G401" s="46" t="s">
        <v>82</v>
      </c>
      <c r="H401" s="236"/>
      <c r="I401" s="236"/>
      <c r="J401" s="46">
        <v>1</v>
      </c>
      <c r="K401" s="46">
        <f t="shared" si="138"/>
        <v>25</v>
      </c>
      <c r="L401" s="173">
        <v>25</v>
      </c>
      <c r="M401" s="174">
        <v>8</v>
      </c>
      <c r="N401" s="46">
        <f>DATA!$D$8</f>
        <v>2129.23</v>
      </c>
      <c r="O401" s="46">
        <f t="shared" si="133"/>
        <v>425846</v>
      </c>
      <c r="P401" s="46">
        <f t="shared" si="134"/>
        <v>200</v>
      </c>
    </row>
    <row r="402" spans="1:16" s="36" customFormat="1" ht="14.45" customHeight="1" outlineLevel="1" x14ac:dyDescent="0.25">
      <c r="A402" s="224" t="s">
        <v>509</v>
      </c>
      <c r="B402" s="227" t="s">
        <v>502</v>
      </c>
      <c r="C402" s="230">
        <f>SUM(,O402:O408)</f>
        <v>503420.49119999999</v>
      </c>
      <c r="D402" s="230">
        <f>SUM(,P402:P408)</f>
        <v>198.72</v>
      </c>
      <c r="E402" s="230">
        <f t="shared" si="132"/>
        <v>24.84</v>
      </c>
      <c r="F402" s="230"/>
      <c r="G402" s="46" t="s">
        <v>76</v>
      </c>
      <c r="H402" s="235"/>
      <c r="I402" s="235"/>
      <c r="J402" s="46">
        <v>1</v>
      </c>
      <c r="K402" s="46">
        <f>L402*$S$8</f>
        <v>0.42</v>
      </c>
      <c r="L402" s="173">
        <v>0.42</v>
      </c>
      <c r="M402" s="174">
        <v>8</v>
      </c>
      <c r="N402" s="46">
        <f>DATA!$D$2</f>
        <v>5009.96</v>
      </c>
      <c r="O402" s="46">
        <f t="shared" si="133"/>
        <v>16833.4656</v>
      </c>
      <c r="P402" s="46">
        <f t="shared" si="134"/>
        <v>3.36</v>
      </c>
    </row>
    <row r="403" spans="1:16" s="36" customFormat="1" ht="11.45" customHeight="1" outlineLevel="1" x14ac:dyDescent="0.25">
      <c r="A403" s="225"/>
      <c r="B403" s="228"/>
      <c r="C403" s="231"/>
      <c r="D403" s="231"/>
      <c r="E403" s="231"/>
      <c r="F403" s="233"/>
      <c r="G403" s="46" t="s">
        <v>77</v>
      </c>
      <c r="H403" s="225"/>
      <c r="I403" s="225"/>
      <c r="J403" s="46">
        <v>1</v>
      </c>
      <c r="K403" s="46">
        <f t="shared" ref="K403:K408" si="139">L403*$S$8</f>
        <v>0.42</v>
      </c>
      <c r="L403" s="173">
        <v>0.42</v>
      </c>
      <c r="M403" s="174">
        <v>8</v>
      </c>
      <c r="N403" s="46">
        <f>DATA!$D$3</f>
        <v>4508.96</v>
      </c>
      <c r="O403" s="46">
        <f t="shared" si="133"/>
        <v>15150.105599999999</v>
      </c>
      <c r="P403" s="46">
        <f t="shared" si="134"/>
        <v>3.36</v>
      </c>
    </row>
    <row r="404" spans="1:16" s="36" customFormat="1" ht="10.7" customHeight="1" outlineLevel="1" x14ac:dyDescent="0.25">
      <c r="A404" s="225"/>
      <c r="B404" s="228"/>
      <c r="C404" s="231"/>
      <c r="D404" s="231"/>
      <c r="E404" s="231"/>
      <c r="F404" s="233"/>
      <c r="G404" s="46" t="s">
        <v>78</v>
      </c>
      <c r="H404" s="225"/>
      <c r="I404" s="225"/>
      <c r="J404" s="46">
        <v>1</v>
      </c>
      <c r="K404" s="46">
        <f t="shared" si="139"/>
        <v>1.5</v>
      </c>
      <c r="L404" s="173">
        <v>1.5</v>
      </c>
      <c r="M404" s="174">
        <v>8</v>
      </c>
      <c r="N404" s="46">
        <f>DATA!$D$4</f>
        <v>3757.47</v>
      </c>
      <c r="O404" s="46">
        <f t="shared" si="133"/>
        <v>45089.64</v>
      </c>
      <c r="P404" s="46">
        <f t="shared" si="134"/>
        <v>12</v>
      </c>
    </row>
    <row r="405" spans="1:16" s="36" customFormat="1" ht="10.7" customHeight="1" outlineLevel="1" x14ac:dyDescent="0.25">
      <c r="A405" s="225"/>
      <c r="B405" s="228"/>
      <c r="C405" s="231"/>
      <c r="D405" s="231"/>
      <c r="E405" s="231"/>
      <c r="F405" s="233"/>
      <c r="G405" s="46" t="s">
        <v>79</v>
      </c>
      <c r="H405" s="225"/>
      <c r="I405" s="225"/>
      <c r="J405" s="46">
        <v>1</v>
      </c>
      <c r="K405" s="46">
        <f t="shared" si="139"/>
        <v>1.5</v>
      </c>
      <c r="L405" s="173">
        <v>1.5</v>
      </c>
      <c r="M405" s="174">
        <v>8</v>
      </c>
      <c r="N405" s="46">
        <f>DATA!$D$5</f>
        <v>3381.72</v>
      </c>
      <c r="O405" s="46">
        <f t="shared" si="133"/>
        <v>40580.639999999999</v>
      </c>
      <c r="P405" s="46">
        <f t="shared" si="134"/>
        <v>12</v>
      </c>
    </row>
    <row r="406" spans="1:16" s="36" customFormat="1" ht="10.7" customHeight="1" outlineLevel="1" x14ac:dyDescent="0.25">
      <c r="A406" s="225"/>
      <c r="B406" s="228"/>
      <c r="C406" s="231"/>
      <c r="D406" s="231"/>
      <c r="E406" s="231"/>
      <c r="F406" s="233"/>
      <c r="G406" s="46" t="s">
        <v>80</v>
      </c>
      <c r="H406" s="225"/>
      <c r="I406" s="225"/>
      <c r="J406" s="46">
        <v>1</v>
      </c>
      <c r="K406" s="46">
        <f t="shared" si="139"/>
        <v>7</v>
      </c>
      <c r="L406" s="173">
        <v>7</v>
      </c>
      <c r="M406" s="174">
        <v>8</v>
      </c>
      <c r="N406" s="46">
        <f>DATA!$D$6</f>
        <v>2504.98</v>
      </c>
      <c r="O406" s="46">
        <f t="shared" si="133"/>
        <v>140278.88</v>
      </c>
      <c r="P406" s="46">
        <f t="shared" si="134"/>
        <v>56</v>
      </c>
    </row>
    <row r="407" spans="1:16" s="36" customFormat="1" ht="10.7" customHeight="1" outlineLevel="1" x14ac:dyDescent="0.25">
      <c r="A407" s="225"/>
      <c r="B407" s="228"/>
      <c r="C407" s="231"/>
      <c r="D407" s="231"/>
      <c r="E407" s="231"/>
      <c r="F407" s="233"/>
      <c r="G407" s="46" t="s">
        <v>81</v>
      </c>
      <c r="H407" s="225"/>
      <c r="I407" s="225"/>
      <c r="J407" s="46">
        <v>1</v>
      </c>
      <c r="K407" s="46">
        <f t="shared" si="139"/>
        <v>7</v>
      </c>
      <c r="L407" s="173">
        <v>7</v>
      </c>
      <c r="M407" s="174">
        <v>8</v>
      </c>
      <c r="N407" s="46">
        <f>DATA!$D$7</f>
        <v>2254.48</v>
      </c>
      <c r="O407" s="46">
        <f t="shared" si="133"/>
        <v>126250.88</v>
      </c>
      <c r="P407" s="46">
        <f t="shared" si="134"/>
        <v>56</v>
      </c>
    </row>
    <row r="408" spans="1:16" s="36" customFormat="1" ht="12" customHeight="1" outlineLevel="1" thickBot="1" x14ac:dyDescent="0.3">
      <c r="A408" s="226"/>
      <c r="B408" s="229"/>
      <c r="C408" s="232"/>
      <c r="D408" s="232"/>
      <c r="E408" s="232"/>
      <c r="F408" s="234"/>
      <c r="G408" s="46" t="s">
        <v>82</v>
      </c>
      <c r="H408" s="236"/>
      <c r="I408" s="236"/>
      <c r="J408" s="46">
        <v>1</v>
      </c>
      <c r="K408" s="46">
        <f t="shared" si="139"/>
        <v>7</v>
      </c>
      <c r="L408" s="173">
        <v>7</v>
      </c>
      <c r="M408" s="174">
        <v>8</v>
      </c>
      <c r="N408" s="46">
        <f>DATA!$D$8</f>
        <v>2129.23</v>
      </c>
      <c r="O408" s="46">
        <f t="shared" si="133"/>
        <v>119236.88</v>
      </c>
      <c r="P408" s="46">
        <f t="shared" si="134"/>
        <v>56</v>
      </c>
    </row>
    <row r="409" spans="1:16" s="36" customFormat="1" ht="14.45" customHeight="1" outlineLevel="1" x14ac:dyDescent="0.25">
      <c r="A409" s="224" t="s">
        <v>510</v>
      </c>
      <c r="B409" s="227" t="s">
        <v>503</v>
      </c>
      <c r="C409" s="230">
        <f>SUM(,O409:O415)</f>
        <v>323563.05120000005</v>
      </c>
      <c r="D409" s="230">
        <f>SUM(,P409:P415)</f>
        <v>114.72</v>
      </c>
      <c r="E409" s="230">
        <f t="shared" si="132"/>
        <v>14.34</v>
      </c>
      <c r="F409" s="230"/>
      <c r="G409" s="46" t="s">
        <v>76</v>
      </c>
      <c r="H409" s="235"/>
      <c r="I409" s="235"/>
      <c r="J409" s="46">
        <v>1</v>
      </c>
      <c r="K409" s="46">
        <f>L409*$S$8</f>
        <v>0.42</v>
      </c>
      <c r="L409" s="173">
        <v>0.42</v>
      </c>
      <c r="M409" s="174">
        <v>8</v>
      </c>
      <c r="N409" s="46">
        <f>DATA!$D$2</f>
        <v>5009.96</v>
      </c>
      <c r="O409" s="46">
        <f t="shared" si="133"/>
        <v>16833.4656</v>
      </c>
      <c r="P409" s="46">
        <f t="shared" si="134"/>
        <v>3.36</v>
      </c>
    </row>
    <row r="410" spans="1:16" s="36" customFormat="1" ht="11.45" customHeight="1" outlineLevel="1" x14ac:dyDescent="0.25">
      <c r="A410" s="225"/>
      <c r="B410" s="228"/>
      <c r="C410" s="231"/>
      <c r="D410" s="231"/>
      <c r="E410" s="231"/>
      <c r="F410" s="233"/>
      <c r="G410" s="46" t="s">
        <v>77</v>
      </c>
      <c r="H410" s="225"/>
      <c r="I410" s="225"/>
      <c r="J410" s="46">
        <v>1</v>
      </c>
      <c r="K410" s="46">
        <f t="shared" ref="K410:K415" si="140">L410*$S$8</f>
        <v>0.42</v>
      </c>
      <c r="L410" s="173">
        <v>0.42</v>
      </c>
      <c r="M410" s="174">
        <v>8</v>
      </c>
      <c r="N410" s="46">
        <f>DATA!$D$3</f>
        <v>4508.96</v>
      </c>
      <c r="O410" s="46">
        <f t="shared" si="133"/>
        <v>15150.105599999999</v>
      </c>
      <c r="P410" s="46">
        <f t="shared" si="134"/>
        <v>3.36</v>
      </c>
    </row>
    <row r="411" spans="1:16" s="36" customFormat="1" ht="10.7" customHeight="1" outlineLevel="1" x14ac:dyDescent="0.25">
      <c r="A411" s="225"/>
      <c r="B411" s="228"/>
      <c r="C411" s="231"/>
      <c r="D411" s="231"/>
      <c r="E411" s="231"/>
      <c r="F411" s="233"/>
      <c r="G411" s="46" t="s">
        <v>78</v>
      </c>
      <c r="H411" s="225"/>
      <c r="I411" s="225"/>
      <c r="J411" s="46">
        <v>1</v>
      </c>
      <c r="K411" s="46">
        <f t="shared" si="140"/>
        <v>1.5</v>
      </c>
      <c r="L411" s="173">
        <v>1.5</v>
      </c>
      <c r="M411" s="174">
        <v>8</v>
      </c>
      <c r="N411" s="46">
        <f>DATA!$D$4</f>
        <v>3757.47</v>
      </c>
      <c r="O411" s="46">
        <f t="shared" si="133"/>
        <v>45089.64</v>
      </c>
      <c r="P411" s="46">
        <f t="shared" si="134"/>
        <v>12</v>
      </c>
    </row>
    <row r="412" spans="1:16" s="36" customFormat="1" ht="10.7" customHeight="1" outlineLevel="1" x14ac:dyDescent="0.25">
      <c r="A412" s="225"/>
      <c r="B412" s="228"/>
      <c r="C412" s="231"/>
      <c r="D412" s="231"/>
      <c r="E412" s="231"/>
      <c r="F412" s="233"/>
      <c r="G412" s="46" t="s">
        <v>79</v>
      </c>
      <c r="H412" s="225"/>
      <c r="I412" s="225"/>
      <c r="J412" s="46">
        <v>1</v>
      </c>
      <c r="K412" s="46">
        <f t="shared" si="140"/>
        <v>3</v>
      </c>
      <c r="L412" s="173">
        <v>3</v>
      </c>
      <c r="M412" s="174">
        <v>8</v>
      </c>
      <c r="N412" s="46">
        <f>DATA!$D$5</f>
        <v>3381.72</v>
      </c>
      <c r="O412" s="46">
        <f t="shared" si="133"/>
        <v>81161.279999999999</v>
      </c>
      <c r="P412" s="46">
        <f t="shared" si="134"/>
        <v>24</v>
      </c>
    </row>
    <row r="413" spans="1:16" s="36" customFormat="1" ht="10.7" customHeight="1" outlineLevel="1" x14ac:dyDescent="0.25">
      <c r="A413" s="225"/>
      <c r="B413" s="228"/>
      <c r="C413" s="231"/>
      <c r="D413" s="231"/>
      <c r="E413" s="231"/>
      <c r="F413" s="233"/>
      <c r="G413" s="46" t="s">
        <v>80</v>
      </c>
      <c r="H413" s="225"/>
      <c r="I413" s="225"/>
      <c r="J413" s="46">
        <v>1</v>
      </c>
      <c r="K413" s="46">
        <f t="shared" si="140"/>
        <v>3</v>
      </c>
      <c r="L413" s="173">
        <v>3</v>
      </c>
      <c r="M413" s="174">
        <v>8</v>
      </c>
      <c r="N413" s="46">
        <f>DATA!$D$6</f>
        <v>2504.98</v>
      </c>
      <c r="O413" s="46">
        <f t="shared" si="133"/>
        <v>60119.520000000004</v>
      </c>
      <c r="P413" s="46">
        <f t="shared" si="134"/>
        <v>24</v>
      </c>
    </row>
    <row r="414" spans="1:16" s="36" customFormat="1" ht="10.7" customHeight="1" outlineLevel="1" x14ac:dyDescent="0.25">
      <c r="A414" s="225"/>
      <c r="B414" s="228"/>
      <c r="C414" s="231"/>
      <c r="D414" s="231"/>
      <c r="E414" s="231"/>
      <c r="F414" s="233"/>
      <c r="G414" s="46" t="s">
        <v>81</v>
      </c>
      <c r="H414" s="225"/>
      <c r="I414" s="225"/>
      <c r="J414" s="46">
        <v>1</v>
      </c>
      <c r="K414" s="46">
        <f t="shared" si="140"/>
        <v>3</v>
      </c>
      <c r="L414" s="173">
        <v>3</v>
      </c>
      <c r="M414" s="174">
        <v>8</v>
      </c>
      <c r="N414" s="46">
        <f>DATA!$D$7</f>
        <v>2254.48</v>
      </c>
      <c r="O414" s="46">
        <f t="shared" si="133"/>
        <v>54107.520000000004</v>
      </c>
      <c r="P414" s="46">
        <f t="shared" si="134"/>
        <v>24</v>
      </c>
    </row>
    <row r="415" spans="1:16" s="36" customFormat="1" ht="12" customHeight="1" outlineLevel="1" thickBot="1" x14ac:dyDescent="0.3">
      <c r="A415" s="226"/>
      <c r="B415" s="229"/>
      <c r="C415" s="232"/>
      <c r="D415" s="232"/>
      <c r="E415" s="232"/>
      <c r="F415" s="234"/>
      <c r="G415" s="46" t="s">
        <v>82</v>
      </c>
      <c r="H415" s="236"/>
      <c r="I415" s="236"/>
      <c r="J415" s="46">
        <v>1</v>
      </c>
      <c r="K415" s="46">
        <f t="shared" si="140"/>
        <v>3</v>
      </c>
      <c r="L415" s="173">
        <v>3</v>
      </c>
      <c r="M415" s="174">
        <v>8</v>
      </c>
      <c r="N415" s="46">
        <f>DATA!$D$8</f>
        <v>2129.23</v>
      </c>
      <c r="O415" s="46">
        <f t="shared" si="133"/>
        <v>51101.520000000004</v>
      </c>
      <c r="P415" s="46">
        <f t="shared" si="134"/>
        <v>24</v>
      </c>
    </row>
    <row r="416" spans="1:16" s="36" customFormat="1" ht="14.45" customHeight="1" outlineLevel="1" x14ac:dyDescent="0.25">
      <c r="A416" s="224" t="s">
        <v>511</v>
      </c>
      <c r="B416" s="237" t="s">
        <v>504</v>
      </c>
      <c r="C416" s="230">
        <f>SUM(,O416:O422)</f>
        <v>173344.52799999999</v>
      </c>
      <c r="D416" s="230">
        <f>SUM(,P416:P422)</f>
        <v>58.8</v>
      </c>
      <c r="E416" s="230">
        <f t="shared" si="132"/>
        <v>7.35</v>
      </c>
      <c r="F416" s="230"/>
      <c r="G416" s="46" t="s">
        <v>76</v>
      </c>
      <c r="H416" s="235"/>
      <c r="I416" s="235"/>
      <c r="J416" s="46">
        <v>1</v>
      </c>
      <c r="K416" s="46">
        <f>L416*$S$8</f>
        <v>0.1</v>
      </c>
      <c r="L416" s="173">
        <v>0.1</v>
      </c>
      <c r="M416" s="174">
        <v>8</v>
      </c>
      <c r="N416" s="46">
        <f>DATA!$D$2</f>
        <v>5009.96</v>
      </c>
      <c r="O416" s="46">
        <f t="shared" si="133"/>
        <v>4007.9680000000003</v>
      </c>
      <c r="P416" s="46">
        <f t="shared" si="134"/>
        <v>0.8</v>
      </c>
    </row>
    <row r="417" spans="1:20" s="36" customFormat="1" ht="11.45" customHeight="1" outlineLevel="1" x14ac:dyDescent="0.25">
      <c r="A417" s="225"/>
      <c r="B417" s="238"/>
      <c r="C417" s="231"/>
      <c r="D417" s="231"/>
      <c r="E417" s="231"/>
      <c r="F417" s="233"/>
      <c r="G417" s="46" t="s">
        <v>77</v>
      </c>
      <c r="H417" s="225"/>
      <c r="I417" s="225"/>
      <c r="J417" s="46">
        <v>1</v>
      </c>
      <c r="K417" s="46">
        <f t="shared" ref="K417:K422" si="141">L417*$S$8</f>
        <v>0.25</v>
      </c>
      <c r="L417" s="173">
        <v>0.25</v>
      </c>
      <c r="M417" s="174">
        <v>8</v>
      </c>
      <c r="N417" s="46">
        <f>DATA!$D$3</f>
        <v>4508.96</v>
      </c>
      <c r="O417" s="46">
        <f t="shared" si="133"/>
        <v>9017.92</v>
      </c>
      <c r="P417" s="46">
        <f t="shared" si="134"/>
        <v>2</v>
      </c>
    </row>
    <row r="418" spans="1:20" s="36" customFormat="1" ht="10.7" customHeight="1" outlineLevel="1" x14ac:dyDescent="0.25">
      <c r="A418" s="225"/>
      <c r="B418" s="238"/>
      <c r="C418" s="231"/>
      <c r="D418" s="231"/>
      <c r="E418" s="231"/>
      <c r="F418" s="233"/>
      <c r="G418" s="46" t="s">
        <v>78</v>
      </c>
      <c r="H418" s="225"/>
      <c r="I418" s="225"/>
      <c r="J418" s="46">
        <v>1</v>
      </c>
      <c r="K418" s="46">
        <f t="shared" si="141"/>
        <v>1</v>
      </c>
      <c r="L418" s="173">
        <v>1</v>
      </c>
      <c r="M418" s="174">
        <v>8</v>
      </c>
      <c r="N418" s="46">
        <f>DATA!$D$4</f>
        <v>3757.47</v>
      </c>
      <c r="O418" s="46">
        <f t="shared" si="133"/>
        <v>30059.759999999998</v>
      </c>
      <c r="P418" s="46">
        <f t="shared" si="134"/>
        <v>8</v>
      </c>
    </row>
    <row r="419" spans="1:20" s="36" customFormat="1" ht="10.7" customHeight="1" outlineLevel="1" x14ac:dyDescent="0.25">
      <c r="A419" s="225"/>
      <c r="B419" s="238"/>
      <c r="C419" s="231"/>
      <c r="D419" s="231"/>
      <c r="E419" s="231"/>
      <c r="F419" s="233"/>
      <c r="G419" s="46" t="s">
        <v>79</v>
      </c>
      <c r="H419" s="225"/>
      <c r="I419" s="225"/>
      <c r="J419" s="46">
        <v>1</v>
      </c>
      <c r="K419" s="46">
        <f t="shared" si="141"/>
        <v>2</v>
      </c>
      <c r="L419" s="173">
        <v>2</v>
      </c>
      <c r="M419" s="174">
        <v>8</v>
      </c>
      <c r="N419" s="46">
        <f>DATA!$D$5</f>
        <v>3381.72</v>
      </c>
      <c r="O419" s="46">
        <f t="shared" si="133"/>
        <v>54107.519999999997</v>
      </c>
      <c r="P419" s="46">
        <f t="shared" si="134"/>
        <v>16</v>
      </c>
    </row>
    <row r="420" spans="1:20" s="36" customFormat="1" ht="10.7" customHeight="1" outlineLevel="1" x14ac:dyDescent="0.25">
      <c r="A420" s="225"/>
      <c r="B420" s="238"/>
      <c r="C420" s="231"/>
      <c r="D420" s="231"/>
      <c r="E420" s="231"/>
      <c r="F420" s="233"/>
      <c r="G420" s="46" t="s">
        <v>80</v>
      </c>
      <c r="H420" s="225"/>
      <c r="I420" s="225"/>
      <c r="J420" s="46">
        <v>1</v>
      </c>
      <c r="K420" s="46">
        <f t="shared" si="141"/>
        <v>2</v>
      </c>
      <c r="L420" s="173">
        <v>2</v>
      </c>
      <c r="M420" s="174">
        <v>8</v>
      </c>
      <c r="N420" s="46">
        <f>DATA!$D$6</f>
        <v>2504.98</v>
      </c>
      <c r="O420" s="46">
        <f t="shared" si="133"/>
        <v>40079.68</v>
      </c>
      <c r="P420" s="46">
        <f t="shared" si="134"/>
        <v>16</v>
      </c>
    </row>
    <row r="421" spans="1:20" s="36" customFormat="1" ht="10.7" customHeight="1" outlineLevel="1" x14ac:dyDescent="0.25">
      <c r="A421" s="225"/>
      <c r="B421" s="238"/>
      <c r="C421" s="231"/>
      <c r="D421" s="231"/>
      <c r="E421" s="231"/>
      <c r="F421" s="233"/>
      <c r="G421" s="46" t="s">
        <v>81</v>
      </c>
      <c r="H421" s="225"/>
      <c r="I421" s="225"/>
      <c r="J421" s="46">
        <v>1</v>
      </c>
      <c r="K421" s="46">
        <f t="shared" si="141"/>
        <v>2</v>
      </c>
      <c r="L421" s="173">
        <v>2</v>
      </c>
      <c r="M421" s="174">
        <v>8</v>
      </c>
      <c r="N421" s="46">
        <f>DATA!$D$7</f>
        <v>2254.48</v>
      </c>
      <c r="O421" s="46">
        <f t="shared" si="133"/>
        <v>36071.68</v>
      </c>
      <c r="P421" s="46">
        <f t="shared" si="134"/>
        <v>16</v>
      </c>
    </row>
    <row r="422" spans="1:20" s="36" customFormat="1" ht="12" customHeight="1" outlineLevel="1" thickBot="1" x14ac:dyDescent="0.3">
      <c r="A422" s="226"/>
      <c r="B422" s="239"/>
      <c r="C422" s="232"/>
      <c r="D422" s="232"/>
      <c r="E422" s="232"/>
      <c r="F422" s="234"/>
      <c r="G422" s="46" t="s">
        <v>82</v>
      </c>
      <c r="H422" s="236"/>
      <c r="I422" s="236"/>
      <c r="J422" s="46">
        <v>1</v>
      </c>
      <c r="K422" s="46">
        <f t="shared" si="141"/>
        <v>0</v>
      </c>
      <c r="L422" s="173">
        <v>0</v>
      </c>
      <c r="M422" s="174">
        <v>8</v>
      </c>
      <c r="N422" s="46">
        <f>DATA!$D$8</f>
        <v>2129.23</v>
      </c>
      <c r="O422" s="46">
        <f t="shared" si="133"/>
        <v>0</v>
      </c>
      <c r="P422" s="46">
        <f t="shared" si="134"/>
        <v>0</v>
      </c>
    </row>
    <row r="423" spans="1:20" s="49" customFormat="1" ht="19.5" thickBot="1" x14ac:dyDescent="0.35">
      <c r="A423" s="264" t="s">
        <v>162</v>
      </c>
      <c r="B423" s="265"/>
      <c r="C423" s="176">
        <f>SUBTOTAL(9,C10:C422)</f>
        <v>82828574.564799994</v>
      </c>
      <c r="D423" s="176">
        <f>SUBTOTAL(9,D10:D422)</f>
        <v>30972.880000000012</v>
      </c>
      <c r="E423" s="176">
        <f>SUBTOTAL(9,E10:E422)</f>
        <v>3781.7300000000014</v>
      </c>
      <c r="F423" s="45">
        <f>C423/D423</f>
        <v>2674.2290211565719</v>
      </c>
      <c r="G423" s="45"/>
      <c r="H423" s="45"/>
      <c r="I423" s="45"/>
      <c r="J423" s="45"/>
      <c r="K423" s="45"/>
      <c r="L423" s="45"/>
      <c r="M423" s="45"/>
      <c r="N423" s="45"/>
      <c r="O423" s="45"/>
      <c r="P423" s="46"/>
      <c r="R423" s="21"/>
      <c r="S423" s="21"/>
      <c r="T423" s="21"/>
    </row>
  </sheetData>
  <mergeCells count="476">
    <mergeCell ref="A2:P3"/>
    <mergeCell ref="C4:P4"/>
    <mergeCell ref="A5:A8"/>
    <mergeCell ref="B5:B8"/>
    <mergeCell ref="C5:C8"/>
    <mergeCell ref="D5:D8"/>
    <mergeCell ref="E5:E8"/>
    <mergeCell ref="F5:F8"/>
    <mergeCell ref="G5:P6"/>
    <mergeCell ref="G7:G8"/>
    <mergeCell ref="P7:P8"/>
    <mergeCell ref="L7:L8"/>
    <mergeCell ref="H337:H343"/>
    <mergeCell ref="A9:P9"/>
    <mergeCell ref="H7:I7"/>
    <mergeCell ref="J7:J8"/>
    <mergeCell ref="K7:K8"/>
    <mergeCell ref="M7:M8"/>
    <mergeCell ref="N7:N8"/>
    <mergeCell ref="O7:O8"/>
    <mergeCell ref="I337:I343"/>
    <mergeCell ref="A322:A328"/>
    <mergeCell ref="B322:B328"/>
    <mergeCell ref="C322:C328"/>
    <mergeCell ref="D322:D328"/>
    <mergeCell ref="E322:E328"/>
    <mergeCell ref="F322:F328"/>
    <mergeCell ref="H322:H328"/>
    <mergeCell ref="I322:I328"/>
    <mergeCell ref="H315:H321"/>
    <mergeCell ref="I315:I321"/>
    <mergeCell ref="A315:A321"/>
    <mergeCell ref="B315:B321"/>
    <mergeCell ref="C315:C321"/>
    <mergeCell ref="D315:D321"/>
    <mergeCell ref="E315:E321"/>
    <mergeCell ref="A423:B423"/>
    <mergeCell ref="I285:I291"/>
    <mergeCell ref="A285:A291"/>
    <mergeCell ref="B285:B291"/>
    <mergeCell ref="C285:C291"/>
    <mergeCell ref="D285:D291"/>
    <mergeCell ref="E285:E291"/>
    <mergeCell ref="F285:F291"/>
    <mergeCell ref="H285:H291"/>
    <mergeCell ref="F330:F336"/>
    <mergeCell ref="H330:H336"/>
    <mergeCell ref="I330:I336"/>
    <mergeCell ref="A337:A343"/>
    <mergeCell ref="B337:B343"/>
    <mergeCell ref="C337:C343"/>
    <mergeCell ref="D337:D343"/>
    <mergeCell ref="E337:E343"/>
    <mergeCell ref="A330:A336"/>
    <mergeCell ref="B330:B336"/>
    <mergeCell ref="C330:C336"/>
    <mergeCell ref="D330:D336"/>
    <mergeCell ref="H374:H380"/>
    <mergeCell ref="E330:E336"/>
    <mergeCell ref="F337:F343"/>
    <mergeCell ref="I374:I380"/>
    <mergeCell ref="A366:A372"/>
    <mergeCell ref="B366:B372"/>
    <mergeCell ref="C366:C372"/>
    <mergeCell ref="D366:D372"/>
    <mergeCell ref="E366:E372"/>
    <mergeCell ref="F366:F372"/>
    <mergeCell ref="H366:H372"/>
    <mergeCell ref="I366:I372"/>
    <mergeCell ref="A374:A380"/>
    <mergeCell ref="B374:B380"/>
    <mergeCell ref="C374:C380"/>
    <mergeCell ref="D374:D380"/>
    <mergeCell ref="E374:E380"/>
    <mergeCell ref="F374:F380"/>
    <mergeCell ref="F315:F321"/>
    <mergeCell ref="H300:H306"/>
    <mergeCell ref="I300:I306"/>
    <mergeCell ref="B308:B314"/>
    <mergeCell ref="C308:C314"/>
    <mergeCell ref="D308:D314"/>
    <mergeCell ref="E308:E314"/>
    <mergeCell ref="F308:F314"/>
    <mergeCell ref="A293:A299"/>
    <mergeCell ref="B293:B299"/>
    <mergeCell ref="C293:C299"/>
    <mergeCell ref="D293:D299"/>
    <mergeCell ref="E293:E299"/>
    <mergeCell ref="F293:F299"/>
    <mergeCell ref="H308:H314"/>
    <mergeCell ref="I308:I314"/>
    <mergeCell ref="H293:H299"/>
    <mergeCell ref="I293:I299"/>
    <mergeCell ref="A300:A306"/>
    <mergeCell ref="B300:B306"/>
    <mergeCell ref="C300:C306"/>
    <mergeCell ref="D300:D306"/>
    <mergeCell ref="E300:E306"/>
    <mergeCell ref="F300:F306"/>
    <mergeCell ref="A308:A314"/>
    <mergeCell ref="A46:A52"/>
    <mergeCell ref="B46:B52"/>
    <mergeCell ref="C46:C52"/>
    <mergeCell ref="D46:D52"/>
    <mergeCell ref="E46:E52"/>
    <mergeCell ref="F46:F52"/>
    <mergeCell ref="H46:H52"/>
    <mergeCell ref="I46:I52"/>
    <mergeCell ref="A54:A60"/>
    <mergeCell ref="B54:B60"/>
    <mergeCell ref="C54:C60"/>
    <mergeCell ref="D54:D60"/>
    <mergeCell ref="E54:E60"/>
    <mergeCell ref="F54:F60"/>
    <mergeCell ref="H54:H60"/>
    <mergeCell ref="I54:I60"/>
    <mergeCell ref="A61:A67"/>
    <mergeCell ref="B61:B67"/>
    <mergeCell ref="C61:C67"/>
    <mergeCell ref="D61:D67"/>
    <mergeCell ref="E61:E67"/>
    <mergeCell ref="F61:F67"/>
    <mergeCell ref="H61:H67"/>
    <mergeCell ref="E18:E24"/>
    <mergeCell ref="F18:F24"/>
    <mergeCell ref="H18:H24"/>
    <mergeCell ref="I18:I24"/>
    <mergeCell ref="H39:H45"/>
    <mergeCell ref="I39:I45"/>
    <mergeCell ref="A39:A45"/>
    <mergeCell ref="B39:B45"/>
    <mergeCell ref="C39:C45"/>
    <mergeCell ref="D39:D45"/>
    <mergeCell ref="E39:E45"/>
    <mergeCell ref="F39:F45"/>
    <mergeCell ref="H25:H31"/>
    <mergeCell ref="I25:I31"/>
    <mergeCell ref="H32:H38"/>
    <mergeCell ref="I32:I38"/>
    <mergeCell ref="H11:H17"/>
    <mergeCell ref="I11:I17"/>
    <mergeCell ref="A11:A17"/>
    <mergeCell ref="B11:B17"/>
    <mergeCell ref="C11:C17"/>
    <mergeCell ref="D11:D17"/>
    <mergeCell ref="E11:E17"/>
    <mergeCell ref="F11:F17"/>
    <mergeCell ref="A32:A38"/>
    <mergeCell ref="B32:B38"/>
    <mergeCell ref="C32:C38"/>
    <mergeCell ref="D32:D38"/>
    <mergeCell ref="E32:E38"/>
    <mergeCell ref="F32:F38"/>
    <mergeCell ref="A25:A31"/>
    <mergeCell ref="B25:B31"/>
    <mergeCell ref="C25:C31"/>
    <mergeCell ref="D25:D31"/>
    <mergeCell ref="E25:E31"/>
    <mergeCell ref="F25:F31"/>
    <mergeCell ref="A18:A24"/>
    <mergeCell ref="B18:B24"/>
    <mergeCell ref="C18:C24"/>
    <mergeCell ref="D18:D24"/>
    <mergeCell ref="C358:C364"/>
    <mergeCell ref="D358:D364"/>
    <mergeCell ref="E358:E364"/>
    <mergeCell ref="F358:F364"/>
    <mergeCell ref="H358:H364"/>
    <mergeCell ref="I358:I364"/>
    <mergeCell ref="A344:A350"/>
    <mergeCell ref="B344:B350"/>
    <mergeCell ref="C344:C350"/>
    <mergeCell ref="D344:D350"/>
    <mergeCell ref="E344:E350"/>
    <mergeCell ref="F344:F350"/>
    <mergeCell ref="H344:H350"/>
    <mergeCell ref="I344:I350"/>
    <mergeCell ref="A351:A357"/>
    <mergeCell ref="B351:B357"/>
    <mergeCell ref="C351:C357"/>
    <mergeCell ref="D351:D357"/>
    <mergeCell ref="E351:E357"/>
    <mergeCell ref="F351:F357"/>
    <mergeCell ref="H351:H357"/>
    <mergeCell ref="I351:I357"/>
    <mergeCell ref="A358:A364"/>
    <mergeCell ref="B358:B364"/>
    <mergeCell ref="I61:I67"/>
    <mergeCell ref="A68:A74"/>
    <mergeCell ref="B68:B74"/>
    <mergeCell ref="C68:C74"/>
    <mergeCell ref="D68:D74"/>
    <mergeCell ref="E68:E74"/>
    <mergeCell ref="F68:F74"/>
    <mergeCell ref="H68:H74"/>
    <mergeCell ref="I68:I74"/>
    <mergeCell ref="A75:A81"/>
    <mergeCell ref="B75:B81"/>
    <mergeCell ref="C75:C81"/>
    <mergeCell ref="D75:D81"/>
    <mergeCell ref="E75:E81"/>
    <mergeCell ref="F75:F81"/>
    <mergeCell ref="H75:H81"/>
    <mergeCell ref="I75:I81"/>
    <mergeCell ref="A83:A89"/>
    <mergeCell ref="B83:B89"/>
    <mergeCell ref="C83:C89"/>
    <mergeCell ref="D83:D89"/>
    <mergeCell ref="E83:E89"/>
    <mergeCell ref="F83:F89"/>
    <mergeCell ref="H83:H89"/>
    <mergeCell ref="I83:I89"/>
    <mergeCell ref="A90:A96"/>
    <mergeCell ref="B90:B96"/>
    <mergeCell ref="C90:C96"/>
    <mergeCell ref="D90:D96"/>
    <mergeCell ref="E90:E96"/>
    <mergeCell ref="F90:F96"/>
    <mergeCell ref="H90:H96"/>
    <mergeCell ref="I90:I96"/>
    <mergeCell ref="A97:A103"/>
    <mergeCell ref="B97:B103"/>
    <mergeCell ref="C97:C103"/>
    <mergeCell ref="D97:D103"/>
    <mergeCell ref="E97:E103"/>
    <mergeCell ref="F97:F103"/>
    <mergeCell ref="H97:H103"/>
    <mergeCell ref="I97:I103"/>
    <mergeCell ref="A104:A110"/>
    <mergeCell ref="B104:B110"/>
    <mergeCell ref="C104:C110"/>
    <mergeCell ref="D104:D110"/>
    <mergeCell ref="E104:E110"/>
    <mergeCell ref="F104:F110"/>
    <mergeCell ref="H104:H110"/>
    <mergeCell ref="I104:I110"/>
    <mergeCell ref="A111:A117"/>
    <mergeCell ref="B111:B117"/>
    <mergeCell ref="C111:C117"/>
    <mergeCell ref="D111:D117"/>
    <mergeCell ref="E111:E117"/>
    <mergeCell ref="F111:F117"/>
    <mergeCell ref="H111:H117"/>
    <mergeCell ref="I111:I117"/>
    <mergeCell ref="A118:A124"/>
    <mergeCell ref="B118:B124"/>
    <mergeCell ref="C118:C124"/>
    <mergeCell ref="D118:D124"/>
    <mergeCell ref="E118:E124"/>
    <mergeCell ref="F118:F124"/>
    <mergeCell ref="H118:H124"/>
    <mergeCell ref="I118:I124"/>
    <mergeCell ref="A125:A131"/>
    <mergeCell ref="B125:B131"/>
    <mergeCell ref="C125:C131"/>
    <mergeCell ref="D125:D131"/>
    <mergeCell ref="E125:E131"/>
    <mergeCell ref="F125:F131"/>
    <mergeCell ref="H125:H131"/>
    <mergeCell ref="I125:I131"/>
    <mergeCell ref="A132:A138"/>
    <mergeCell ref="B132:B138"/>
    <mergeCell ref="C132:C138"/>
    <mergeCell ref="D132:D138"/>
    <mergeCell ref="E132:E138"/>
    <mergeCell ref="F132:F138"/>
    <mergeCell ref="H132:H138"/>
    <mergeCell ref="I132:I138"/>
    <mergeCell ref="A139:A145"/>
    <mergeCell ref="B139:B145"/>
    <mergeCell ref="C139:C145"/>
    <mergeCell ref="D139:D145"/>
    <mergeCell ref="E139:E145"/>
    <mergeCell ref="F139:F145"/>
    <mergeCell ref="H139:H145"/>
    <mergeCell ref="I139:I145"/>
    <mergeCell ref="A146:A152"/>
    <mergeCell ref="B146:B152"/>
    <mergeCell ref="C146:C152"/>
    <mergeCell ref="D146:D152"/>
    <mergeCell ref="E146:E152"/>
    <mergeCell ref="F146:F152"/>
    <mergeCell ref="H146:H152"/>
    <mergeCell ref="I146:I152"/>
    <mergeCell ref="A153:A159"/>
    <mergeCell ref="B153:B159"/>
    <mergeCell ref="C153:C159"/>
    <mergeCell ref="D153:D159"/>
    <mergeCell ref="E153:E159"/>
    <mergeCell ref="F153:F159"/>
    <mergeCell ref="H153:H159"/>
    <mergeCell ref="I153:I159"/>
    <mergeCell ref="A161:A167"/>
    <mergeCell ref="B161:B167"/>
    <mergeCell ref="C161:C167"/>
    <mergeCell ref="D161:D167"/>
    <mergeCell ref="E161:E167"/>
    <mergeCell ref="F161:F167"/>
    <mergeCell ref="H161:H167"/>
    <mergeCell ref="I161:I167"/>
    <mergeCell ref="A168:A174"/>
    <mergeCell ref="B168:B174"/>
    <mergeCell ref="C168:C174"/>
    <mergeCell ref="D168:D174"/>
    <mergeCell ref="E168:E174"/>
    <mergeCell ref="F168:F174"/>
    <mergeCell ref="H168:H174"/>
    <mergeCell ref="I168:I174"/>
    <mergeCell ref="A175:A181"/>
    <mergeCell ref="B175:B181"/>
    <mergeCell ref="C175:C181"/>
    <mergeCell ref="D175:D181"/>
    <mergeCell ref="E175:E181"/>
    <mergeCell ref="F175:F181"/>
    <mergeCell ref="H175:H181"/>
    <mergeCell ref="I175:I181"/>
    <mergeCell ref="A183:A189"/>
    <mergeCell ref="B183:B189"/>
    <mergeCell ref="C183:C189"/>
    <mergeCell ref="D183:D189"/>
    <mergeCell ref="E183:E189"/>
    <mergeCell ref="F183:F189"/>
    <mergeCell ref="H183:H189"/>
    <mergeCell ref="I183:I189"/>
    <mergeCell ref="A191:A197"/>
    <mergeCell ref="B191:B197"/>
    <mergeCell ref="C191:C197"/>
    <mergeCell ref="D191:D197"/>
    <mergeCell ref="E191:E197"/>
    <mergeCell ref="F191:F197"/>
    <mergeCell ref="H191:H197"/>
    <mergeCell ref="I191:I197"/>
    <mergeCell ref="A198:A204"/>
    <mergeCell ref="B198:B204"/>
    <mergeCell ref="C198:C204"/>
    <mergeCell ref="D198:D204"/>
    <mergeCell ref="E198:E204"/>
    <mergeCell ref="F198:F204"/>
    <mergeCell ref="H198:H204"/>
    <mergeCell ref="I198:I204"/>
    <mergeCell ref="A205:A211"/>
    <mergeCell ref="B205:B211"/>
    <mergeCell ref="C205:C211"/>
    <mergeCell ref="D205:D211"/>
    <mergeCell ref="E205:E211"/>
    <mergeCell ref="F205:F211"/>
    <mergeCell ref="H205:H211"/>
    <mergeCell ref="I205:I211"/>
    <mergeCell ref="A221:A227"/>
    <mergeCell ref="B221:B227"/>
    <mergeCell ref="C221:C227"/>
    <mergeCell ref="D221:D227"/>
    <mergeCell ref="E221:E227"/>
    <mergeCell ref="F221:F227"/>
    <mergeCell ref="H221:H227"/>
    <mergeCell ref="I221:I227"/>
    <mergeCell ref="A213:A219"/>
    <mergeCell ref="B213:B219"/>
    <mergeCell ref="C213:C219"/>
    <mergeCell ref="D213:D219"/>
    <mergeCell ref="E213:E219"/>
    <mergeCell ref="F213:F219"/>
    <mergeCell ref="H213:H219"/>
    <mergeCell ref="I213:I219"/>
    <mergeCell ref="A235:A241"/>
    <mergeCell ref="B235:B241"/>
    <mergeCell ref="C235:C241"/>
    <mergeCell ref="D235:D241"/>
    <mergeCell ref="E235:E241"/>
    <mergeCell ref="F235:F241"/>
    <mergeCell ref="H235:H241"/>
    <mergeCell ref="I235:I241"/>
    <mergeCell ref="A242:A248"/>
    <mergeCell ref="B242:B248"/>
    <mergeCell ref="C242:C248"/>
    <mergeCell ref="D242:D248"/>
    <mergeCell ref="E242:E248"/>
    <mergeCell ref="F242:F248"/>
    <mergeCell ref="H242:H248"/>
    <mergeCell ref="I242:I248"/>
    <mergeCell ref="A270:A276"/>
    <mergeCell ref="B270:B276"/>
    <mergeCell ref="C270:C276"/>
    <mergeCell ref="D270:D276"/>
    <mergeCell ref="E270:E276"/>
    <mergeCell ref="F270:F276"/>
    <mergeCell ref="H270:H276"/>
    <mergeCell ref="I270:I276"/>
    <mergeCell ref="A249:A255"/>
    <mergeCell ref="B249:B255"/>
    <mergeCell ref="C249:C255"/>
    <mergeCell ref="D249:D255"/>
    <mergeCell ref="E249:E255"/>
    <mergeCell ref="F249:F255"/>
    <mergeCell ref="H249:H255"/>
    <mergeCell ref="I249:I255"/>
    <mergeCell ref="A256:A262"/>
    <mergeCell ref="B256:B262"/>
    <mergeCell ref="C256:C262"/>
    <mergeCell ref="D256:D262"/>
    <mergeCell ref="E256:E262"/>
    <mergeCell ref="F256:F262"/>
    <mergeCell ref="H256:H262"/>
    <mergeCell ref="I256:I262"/>
    <mergeCell ref="A228:A234"/>
    <mergeCell ref="B228:B234"/>
    <mergeCell ref="C228:C234"/>
    <mergeCell ref="D228:D234"/>
    <mergeCell ref="E228:E234"/>
    <mergeCell ref="F228:F234"/>
    <mergeCell ref="H228:H234"/>
    <mergeCell ref="I228:I234"/>
    <mergeCell ref="A277:A283"/>
    <mergeCell ref="B277:B283"/>
    <mergeCell ref="C277:C283"/>
    <mergeCell ref="D277:D283"/>
    <mergeCell ref="E277:E283"/>
    <mergeCell ref="F277:F283"/>
    <mergeCell ref="H277:H283"/>
    <mergeCell ref="I277:I283"/>
    <mergeCell ref="A263:A269"/>
    <mergeCell ref="B263:B269"/>
    <mergeCell ref="C263:C269"/>
    <mergeCell ref="D263:D269"/>
    <mergeCell ref="E263:E269"/>
    <mergeCell ref="F263:F269"/>
    <mergeCell ref="H263:H269"/>
    <mergeCell ref="I263:I269"/>
    <mergeCell ref="A381:A387"/>
    <mergeCell ref="B381:B387"/>
    <mergeCell ref="C381:C387"/>
    <mergeCell ref="D381:D387"/>
    <mergeCell ref="E381:E387"/>
    <mergeCell ref="F381:F387"/>
    <mergeCell ref="H381:H387"/>
    <mergeCell ref="I381:I387"/>
    <mergeCell ref="A388:A394"/>
    <mergeCell ref="B388:B394"/>
    <mergeCell ref="C388:C394"/>
    <mergeCell ref="D388:D394"/>
    <mergeCell ref="E388:E394"/>
    <mergeCell ref="F388:F394"/>
    <mergeCell ref="H388:H394"/>
    <mergeCell ref="I388:I394"/>
    <mergeCell ref="A395:A401"/>
    <mergeCell ref="B395:B401"/>
    <mergeCell ref="C395:C401"/>
    <mergeCell ref="D395:D401"/>
    <mergeCell ref="E395:E401"/>
    <mergeCell ref="F395:F401"/>
    <mergeCell ref="H395:H401"/>
    <mergeCell ref="I395:I401"/>
    <mergeCell ref="A402:A408"/>
    <mergeCell ref="B402:B408"/>
    <mergeCell ref="C402:C408"/>
    <mergeCell ref="D402:D408"/>
    <mergeCell ref="E402:E408"/>
    <mergeCell ref="F402:F408"/>
    <mergeCell ref="H402:H408"/>
    <mergeCell ref="I402:I408"/>
    <mergeCell ref="A409:A415"/>
    <mergeCell ref="B409:B415"/>
    <mergeCell ref="C409:C415"/>
    <mergeCell ref="D409:D415"/>
    <mergeCell ref="E409:E415"/>
    <mergeCell ref="F409:F415"/>
    <mergeCell ref="H409:H415"/>
    <mergeCell ref="I409:I415"/>
    <mergeCell ref="A416:A422"/>
    <mergeCell ref="B416:B422"/>
    <mergeCell ref="C416:C422"/>
    <mergeCell ref="D416:D422"/>
    <mergeCell ref="E416:E422"/>
    <mergeCell ref="F416:F422"/>
    <mergeCell ref="H416:H422"/>
    <mergeCell ref="I416:I422"/>
  </mergeCells>
  <pageMargins left="0.7" right="0.7" top="0.75" bottom="0.75" header="0.3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34998626667073579"/>
    <pageSetUpPr fitToPage="1"/>
  </sheetPr>
  <dimension ref="C1:Z1048576"/>
  <sheetViews>
    <sheetView zoomScale="130" zoomScaleNormal="130" workbookViewId="0">
      <selection activeCell="Z9" sqref="Z9"/>
    </sheetView>
  </sheetViews>
  <sheetFormatPr defaultRowHeight="15" x14ac:dyDescent="0.25"/>
  <cols>
    <col min="3" max="3" width="38" customWidth="1"/>
    <col min="4" max="4" width="16.140625" customWidth="1"/>
    <col min="5" max="5" width="18.28515625" customWidth="1"/>
    <col min="6" max="7" width="10" bestFit="1" customWidth="1"/>
    <col min="9" max="9" width="11.28515625" customWidth="1"/>
    <col min="10" max="10" width="12.7109375" customWidth="1"/>
    <col min="13" max="13" width="12.5703125" customWidth="1"/>
    <col min="14" max="14" width="17.7109375" customWidth="1"/>
    <col min="15" max="15" width="14.85546875" customWidth="1"/>
    <col min="16" max="24" width="14.42578125" customWidth="1"/>
    <col min="25" max="26" width="13.140625" customWidth="1"/>
  </cols>
  <sheetData>
    <row r="1" spans="3:26" x14ac:dyDescent="0.25">
      <c r="D1" t="s">
        <v>451</v>
      </c>
      <c r="E1" t="s">
        <v>452</v>
      </c>
      <c r="F1" t="s">
        <v>453</v>
      </c>
    </row>
    <row r="2" spans="3:26" ht="49.5" customHeight="1" x14ac:dyDescent="0.25">
      <c r="C2" s="78" t="s">
        <v>76</v>
      </c>
      <c r="D2" s="60">
        <f>P4</f>
        <v>5009.96</v>
      </c>
      <c r="E2" s="60"/>
      <c r="F2" s="60">
        <f t="shared" ref="F2:F8" si="0">D2/0.6</f>
        <v>8349.9333333333343</v>
      </c>
      <c r="H2" s="54">
        <v>20454</v>
      </c>
      <c r="I2" s="60">
        <f>H2*(30-4)</f>
        <v>531804</v>
      </c>
      <c r="J2" s="60">
        <f>I2*0.25</f>
        <v>132951</v>
      </c>
      <c r="M2" s="295" t="s">
        <v>198</v>
      </c>
      <c r="N2" s="295"/>
      <c r="O2" s="295"/>
      <c r="P2" s="295"/>
      <c r="Q2" s="296" t="s">
        <v>197</v>
      </c>
      <c r="R2" s="296" t="s">
        <v>192</v>
      </c>
      <c r="S2" s="297" t="s">
        <v>196</v>
      </c>
      <c r="T2" s="292" t="s">
        <v>193</v>
      </c>
      <c r="U2" s="293" t="s">
        <v>195</v>
      </c>
      <c r="V2" s="297" t="s">
        <v>194</v>
      </c>
      <c r="W2" s="292" t="s">
        <v>193</v>
      </c>
      <c r="X2" s="296" t="s">
        <v>192</v>
      </c>
      <c r="Y2" s="290"/>
      <c r="Z2" s="290"/>
    </row>
    <row r="3" spans="3:26" ht="30.75" customHeight="1" x14ac:dyDescent="0.25">
      <c r="C3" s="78" t="s">
        <v>77</v>
      </c>
      <c r="D3" s="60">
        <f>P5</f>
        <v>4508.96</v>
      </c>
      <c r="E3" s="60"/>
      <c r="F3" s="60">
        <f t="shared" si="0"/>
        <v>7514.9333333333334</v>
      </c>
      <c r="H3" s="54">
        <v>20454</v>
      </c>
      <c r="I3" s="60">
        <f>H3*(30-4)</f>
        <v>531804</v>
      </c>
      <c r="J3" s="60">
        <f>I3*0.25</f>
        <v>132951</v>
      </c>
      <c r="M3" s="294" t="s">
        <v>191</v>
      </c>
      <c r="N3" s="294"/>
      <c r="O3" s="80" t="s">
        <v>190</v>
      </c>
      <c r="P3" s="79"/>
      <c r="Q3" s="296"/>
      <c r="R3" s="296"/>
      <c r="S3" s="297"/>
      <c r="T3" s="292"/>
      <c r="U3" s="293"/>
      <c r="V3" s="293"/>
      <c r="W3" s="292"/>
      <c r="X3" s="296"/>
      <c r="Y3" s="290"/>
      <c r="Z3" s="290"/>
    </row>
    <row r="4" spans="3:26" ht="18.75" x14ac:dyDescent="0.3">
      <c r="C4" s="78" t="s">
        <v>78</v>
      </c>
      <c r="D4" s="60">
        <f>P7</f>
        <v>3757.47</v>
      </c>
      <c r="E4" s="60"/>
      <c r="F4" s="60">
        <f t="shared" si="0"/>
        <v>6262.45</v>
      </c>
      <c r="H4" s="54">
        <v>16290</v>
      </c>
      <c r="I4" s="60">
        <f>H4*(30-4)</f>
        <v>423540</v>
      </c>
      <c r="J4" s="60">
        <f>I4*0.25</f>
        <v>105885</v>
      </c>
      <c r="M4" s="291" t="s">
        <v>189</v>
      </c>
      <c r="N4" s="291"/>
      <c r="O4" s="71">
        <v>2</v>
      </c>
      <c r="P4" s="67">
        <v>5009.96</v>
      </c>
      <c r="Q4" s="68">
        <f>$Q$9*O4</f>
        <v>5000</v>
      </c>
      <c r="R4" s="68">
        <f>$R$9*O4</f>
        <v>3242</v>
      </c>
      <c r="S4" s="68">
        <f>20454</f>
        <v>20454</v>
      </c>
      <c r="T4" s="68">
        <f>S4*1.08/0.45/8</f>
        <v>6136.2</v>
      </c>
      <c r="U4" s="69">
        <f t="shared" ref="U4:U15" si="1">P4*160*0.25</f>
        <v>200398.4</v>
      </c>
      <c r="V4" s="69">
        <f t="shared" ref="V4:V15" si="2">Q4*160*0.25</f>
        <v>200000</v>
      </c>
      <c r="W4" s="69">
        <f t="shared" ref="W4:W15" si="3">T4*160*0.25</f>
        <v>245448</v>
      </c>
      <c r="X4" s="68">
        <f t="shared" ref="X4:X15" si="4">R4*160*0.25</f>
        <v>129680</v>
      </c>
      <c r="Y4" s="67">
        <f t="shared" ref="Y4:Y15" si="5">T4/Q4</f>
        <v>1.2272399999999999</v>
      </c>
      <c r="Z4" s="66"/>
    </row>
    <row r="5" spans="3:26" ht="18.75" x14ac:dyDescent="0.3">
      <c r="C5" s="78" t="s">
        <v>79</v>
      </c>
      <c r="D5" s="60">
        <f>P8</f>
        <v>3381.72</v>
      </c>
      <c r="E5" s="60"/>
      <c r="F5" s="60">
        <f t="shared" si="0"/>
        <v>5636.2</v>
      </c>
      <c r="H5" s="77"/>
      <c r="I5" s="77"/>
      <c r="J5" s="77"/>
      <c r="M5" s="291" t="s">
        <v>188</v>
      </c>
      <c r="N5" s="291"/>
      <c r="O5" s="71">
        <v>1.8</v>
      </c>
      <c r="P5" s="67">
        <v>4508.96</v>
      </c>
      <c r="Q5" s="68">
        <f>$Q$9*O5</f>
        <v>4500</v>
      </c>
      <c r="R5" s="68">
        <f>$R$9*O5</f>
        <v>2917.8</v>
      </c>
      <c r="S5" s="68">
        <f>20454</f>
        <v>20454</v>
      </c>
      <c r="T5" s="68">
        <f t="shared" ref="T5:T15" si="6">S5/0.45*1.08/8</f>
        <v>6136.2000000000007</v>
      </c>
      <c r="U5" s="69">
        <f t="shared" si="1"/>
        <v>180358.39999999999</v>
      </c>
      <c r="V5" s="69">
        <f t="shared" si="2"/>
        <v>180000</v>
      </c>
      <c r="W5" s="69">
        <f t="shared" si="3"/>
        <v>245448.00000000003</v>
      </c>
      <c r="X5" s="68">
        <f t="shared" si="4"/>
        <v>116712</v>
      </c>
      <c r="Y5" s="67">
        <f t="shared" si="5"/>
        <v>1.3636000000000001</v>
      </c>
      <c r="Z5" s="66"/>
    </row>
    <row r="6" spans="3:26" ht="18.75" x14ac:dyDescent="0.3">
      <c r="C6" s="78" t="s">
        <v>80</v>
      </c>
      <c r="D6" s="60">
        <f>P9</f>
        <v>2504.98</v>
      </c>
      <c r="E6" s="60"/>
      <c r="F6" s="60">
        <f t="shared" si="0"/>
        <v>4174.9666666666672</v>
      </c>
      <c r="H6" s="77"/>
      <c r="I6" s="77"/>
      <c r="J6" s="77"/>
      <c r="M6" s="291" t="s">
        <v>187</v>
      </c>
      <c r="N6" s="291"/>
      <c r="O6" s="71">
        <v>1.7</v>
      </c>
      <c r="P6" s="67">
        <v>4258.47</v>
      </c>
      <c r="Q6" s="68">
        <f>$Q$9*O6</f>
        <v>4250</v>
      </c>
      <c r="R6" s="68">
        <f>$R$9*O6</f>
        <v>2755.7</v>
      </c>
      <c r="S6" s="68">
        <v>18278</v>
      </c>
      <c r="T6" s="68">
        <f t="shared" si="6"/>
        <v>5483.4</v>
      </c>
      <c r="U6" s="69">
        <f t="shared" si="1"/>
        <v>170338.80000000002</v>
      </c>
      <c r="V6" s="69">
        <f t="shared" si="2"/>
        <v>170000</v>
      </c>
      <c r="W6" s="69">
        <f t="shared" si="3"/>
        <v>219336</v>
      </c>
      <c r="X6" s="68">
        <f t="shared" si="4"/>
        <v>110228</v>
      </c>
      <c r="Y6" s="67">
        <f t="shared" si="5"/>
        <v>1.2902117647058822</v>
      </c>
      <c r="Z6" s="66"/>
    </row>
    <row r="7" spans="3:26" ht="18.75" x14ac:dyDescent="0.3">
      <c r="C7" s="78" t="s">
        <v>81</v>
      </c>
      <c r="D7" s="60">
        <f>P10</f>
        <v>2254.48</v>
      </c>
      <c r="E7" s="60"/>
      <c r="F7" s="60">
        <f t="shared" si="0"/>
        <v>3757.4666666666667</v>
      </c>
      <c r="H7" s="77"/>
      <c r="I7" s="77"/>
      <c r="J7" s="77"/>
      <c r="M7" s="291" t="s">
        <v>186</v>
      </c>
      <c r="N7" s="291"/>
      <c r="O7" s="71">
        <v>1.5</v>
      </c>
      <c r="P7" s="67">
        <v>3757.47</v>
      </c>
      <c r="Q7" s="68">
        <f>$Q$9*O7</f>
        <v>3750</v>
      </c>
      <c r="R7" s="68">
        <f>$R$9*O7</f>
        <v>2431.5</v>
      </c>
      <c r="S7" s="68">
        <v>16290</v>
      </c>
      <c r="T7" s="68">
        <f t="shared" si="6"/>
        <v>4887</v>
      </c>
      <c r="U7" s="69">
        <f t="shared" si="1"/>
        <v>150298.79999999999</v>
      </c>
      <c r="V7" s="69">
        <f t="shared" si="2"/>
        <v>150000</v>
      </c>
      <c r="W7" s="69">
        <f t="shared" si="3"/>
        <v>195480</v>
      </c>
      <c r="X7" s="68">
        <f t="shared" si="4"/>
        <v>97260</v>
      </c>
      <c r="Y7" s="67">
        <f t="shared" si="5"/>
        <v>1.3031999999999999</v>
      </c>
      <c r="Z7" s="67"/>
    </row>
    <row r="8" spans="3:26" ht="18.75" x14ac:dyDescent="0.3">
      <c r="C8" s="78" t="s">
        <v>82</v>
      </c>
      <c r="D8" s="60">
        <f>P11</f>
        <v>2129.23</v>
      </c>
      <c r="E8" s="60"/>
      <c r="F8" s="60">
        <f t="shared" si="0"/>
        <v>3548.7166666666667</v>
      </c>
      <c r="H8" s="77"/>
      <c r="I8" s="77"/>
      <c r="J8" s="77"/>
      <c r="M8" s="291" t="s">
        <v>185</v>
      </c>
      <c r="N8" s="291"/>
      <c r="O8" s="71">
        <v>1.35</v>
      </c>
      <c r="P8" s="67">
        <v>3381.72</v>
      </c>
      <c r="Q8" s="68">
        <f>$Q$9*O8</f>
        <v>3375</v>
      </c>
      <c r="R8" s="68">
        <f>$R$9*O8</f>
        <v>2188.3500000000004</v>
      </c>
      <c r="S8" s="68">
        <v>14574</v>
      </c>
      <c r="T8" s="68">
        <f t="shared" si="6"/>
        <v>4372.2</v>
      </c>
      <c r="U8" s="69">
        <f t="shared" si="1"/>
        <v>135268.79999999999</v>
      </c>
      <c r="V8" s="69">
        <f t="shared" si="2"/>
        <v>135000</v>
      </c>
      <c r="W8" s="69">
        <f t="shared" si="3"/>
        <v>174888</v>
      </c>
      <c r="X8" s="68">
        <f t="shared" si="4"/>
        <v>87534.000000000015</v>
      </c>
      <c r="Y8" s="67">
        <f t="shared" si="5"/>
        <v>1.2954666666666665</v>
      </c>
      <c r="Z8" s="67"/>
    </row>
    <row r="9" spans="3:26" ht="18.75" x14ac:dyDescent="0.3">
      <c r="D9" s="60">
        <f>SUM(D2:D8)*160*5</f>
        <v>18837440</v>
      </c>
      <c r="M9" s="298" t="s">
        <v>184</v>
      </c>
      <c r="N9" s="298"/>
      <c r="O9" s="76">
        <v>1</v>
      </c>
      <c r="P9" s="75">
        <v>2504.98</v>
      </c>
      <c r="Q9" s="73">
        <v>2500</v>
      </c>
      <c r="R9" s="73">
        <v>1621</v>
      </c>
      <c r="S9" s="73">
        <v>12984</v>
      </c>
      <c r="T9" s="73">
        <f t="shared" si="6"/>
        <v>3895.2000000000003</v>
      </c>
      <c r="U9" s="74">
        <f t="shared" si="1"/>
        <v>100199.2</v>
      </c>
      <c r="V9" s="74">
        <f t="shared" si="2"/>
        <v>100000</v>
      </c>
      <c r="W9" s="74">
        <f t="shared" si="3"/>
        <v>155808</v>
      </c>
      <c r="X9" s="73">
        <f t="shared" si="4"/>
        <v>64840</v>
      </c>
      <c r="Y9" s="72">
        <f t="shared" si="5"/>
        <v>1.5580800000000001</v>
      </c>
      <c r="Z9" s="72">
        <f>Q9/R9</f>
        <v>1.5422578655151142</v>
      </c>
    </row>
    <row r="10" spans="3:26" ht="18.75" x14ac:dyDescent="0.3">
      <c r="M10" s="291" t="s">
        <v>183</v>
      </c>
      <c r="N10" s="291"/>
      <c r="O10" s="71">
        <v>0.9</v>
      </c>
      <c r="P10" s="67">
        <v>2254.48</v>
      </c>
      <c r="Q10" s="68">
        <f t="shared" ref="Q10:Q15" si="7">$Q$9*O10</f>
        <v>2250</v>
      </c>
      <c r="R10" s="68">
        <f t="shared" ref="R10:R15" si="8">$R$9*O10</f>
        <v>1458.9</v>
      </c>
      <c r="S10" s="68">
        <v>10605</v>
      </c>
      <c r="T10" s="68">
        <f t="shared" si="6"/>
        <v>3181.5000000000005</v>
      </c>
      <c r="U10" s="69">
        <f t="shared" si="1"/>
        <v>90179.199999999997</v>
      </c>
      <c r="V10" s="69">
        <f t="shared" si="2"/>
        <v>90000</v>
      </c>
      <c r="W10" s="69">
        <f t="shared" si="3"/>
        <v>127260.00000000001</v>
      </c>
      <c r="X10" s="68">
        <f t="shared" si="4"/>
        <v>58356</v>
      </c>
      <c r="Y10" s="67">
        <f t="shared" si="5"/>
        <v>1.4140000000000001</v>
      </c>
      <c r="Z10" s="66"/>
    </row>
    <row r="11" spans="3:26" ht="18.75" x14ac:dyDescent="0.3">
      <c r="M11" s="291" t="s">
        <v>182</v>
      </c>
      <c r="N11" s="291"/>
      <c r="O11" s="71">
        <v>0.85</v>
      </c>
      <c r="P11" s="67">
        <v>2129.23</v>
      </c>
      <c r="Q11" s="68">
        <f t="shared" si="7"/>
        <v>2125</v>
      </c>
      <c r="R11" s="68">
        <f t="shared" si="8"/>
        <v>1377.85</v>
      </c>
      <c r="S11" s="68">
        <v>9784</v>
      </c>
      <c r="T11" s="68">
        <f t="shared" si="6"/>
        <v>2935.2000000000003</v>
      </c>
      <c r="U11" s="69">
        <f t="shared" si="1"/>
        <v>85169.2</v>
      </c>
      <c r="V11" s="69">
        <f t="shared" si="2"/>
        <v>85000</v>
      </c>
      <c r="W11" s="69">
        <f t="shared" si="3"/>
        <v>117408.00000000001</v>
      </c>
      <c r="X11" s="68">
        <f t="shared" si="4"/>
        <v>55114</v>
      </c>
      <c r="Y11" s="67">
        <f t="shared" si="5"/>
        <v>1.3812705882352942</v>
      </c>
      <c r="Z11" s="66"/>
    </row>
    <row r="12" spans="3:26" ht="18.75" x14ac:dyDescent="0.3">
      <c r="M12" s="291" t="s">
        <v>181</v>
      </c>
      <c r="N12" s="291"/>
      <c r="O12" s="71">
        <v>0.8</v>
      </c>
      <c r="P12" s="67">
        <v>2003.98</v>
      </c>
      <c r="Q12" s="68">
        <f t="shared" si="7"/>
        <v>2000</v>
      </c>
      <c r="R12" s="68">
        <f t="shared" si="8"/>
        <v>1296.8000000000002</v>
      </c>
      <c r="S12" s="68">
        <v>8300</v>
      </c>
      <c r="T12" s="68">
        <f t="shared" si="6"/>
        <v>2490.0000000000005</v>
      </c>
      <c r="U12" s="69">
        <f t="shared" si="1"/>
        <v>80159.199999999997</v>
      </c>
      <c r="V12" s="69">
        <f t="shared" si="2"/>
        <v>80000</v>
      </c>
      <c r="W12" s="69">
        <f t="shared" si="3"/>
        <v>99600.000000000015</v>
      </c>
      <c r="X12" s="68">
        <f t="shared" si="4"/>
        <v>51872.000000000007</v>
      </c>
      <c r="Y12" s="67">
        <f t="shared" si="5"/>
        <v>1.2450000000000003</v>
      </c>
      <c r="Z12" s="66"/>
    </row>
    <row r="13" spans="3:26" ht="18.75" x14ac:dyDescent="0.3">
      <c r="C13" s="59" t="s">
        <v>180</v>
      </c>
      <c r="D13" s="60">
        <f>(D7*4+D2)*1.5/5</f>
        <v>4208.3639999999996</v>
      </c>
      <c r="M13" s="291" t="s">
        <v>179</v>
      </c>
      <c r="N13" s="291"/>
      <c r="O13" s="71">
        <v>0.6</v>
      </c>
      <c r="P13" s="67">
        <v>1502.99</v>
      </c>
      <c r="Q13" s="68">
        <f t="shared" si="7"/>
        <v>1500</v>
      </c>
      <c r="R13" s="68">
        <f t="shared" si="8"/>
        <v>972.59999999999991</v>
      </c>
      <c r="S13" s="68">
        <v>8300</v>
      </c>
      <c r="T13" s="68">
        <f t="shared" si="6"/>
        <v>2490.0000000000005</v>
      </c>
      <c r="U13" s="69">
        <f t="shared" si="1"/>
        <v>60119.6</v>
      </c>
      <c r="V13" s="69">
        <f t="shared" si="2"/>
        <v>60000</v>
      </c>
      <c r="W13" s="69">
        <f t="shared" si="3"/>
        <v>99600.000000000015</v>
      </c>
      <c r="X13" s="68">
        <f t="shared" si="4"/>
        <v>38904</v>
      </c>
      <c r="Y13" s="67">
        <f t="shared" si="5"/>
        <v>1.6600000000000004</v>
      </c>
      <c r="Z13" s="66"/>
    </row>
    <row r="14" spans="3:26" ht="18.75" x14ac:dyDescent="0.3">
      <c r="C14" s="59" t="s">
        <v>178</v>
      </c>
      <c r="D14" s="60">
        <f>D13*260*5*2</f>
        <v>10941746.399999999</v>
      </c>
      <c r="M14" s="291" t="s">
        <v>177</v>
      </c>
      <c r="N14" s="291"/>
      <c r="O14" s="71">
        <v>0.55000000000000004</v>
      </c>
      <c r="P14" s="67">
        <v>1377.74</v>
      </c>
      <c r="Q14" s="68">
        <f t="shared" si="7"/>
        <v>1375</v>
      </c>
      <c r="R14" s="68">
        <f t="shared" si="8"/>
        <v>891.55000000000007</v>
      </c>
      <c r="S14" s="68">
        <v>7406</v>
      </c>
      <c r="T14" s="68">
        <f t="shared" si="6"/>
        <v>2221.8000000000002</v>
      </c>
      <c r="U14" s="69">
        <f t="shared" si="1"/>
        <v>55109.599999999999</v>
      </c>
      <c r="V14" s="69">
        <f t="shared" si="2"/>
        <v>55000</v>
      </c>
      <c r="W14" s="69">
        <f t="shared" si="3"/>
        <v>88872</v>
      </c>
      <c r="X14" s="68">
        <f t="shared" si="4"/>
        <v>35662</v>
      </c>
      <c r="Y14" s="67">
        <f t="shared" si="5"/>
        <v>1.6158545454545457</v>
      </c>
      <c r="Z14" s="66"/>
    </row>
    <row r="15" spans="3:26" ht="18.75" x14ac:dyDescent="0.3">
      <c r="C15" s="59" t="s">
        <v>176</v>
      </c>
      <c r="D15" s="60">
        <f>18000*5*2*2</f>
        <v>360000</v>
      </c>
      <c r="M15" s="291" t="s">
        <v>175</v>
      </c>
      <c r="N15" s="291"/>
      <c r="O15" s="71">
        <v>0.5</v>
      </c>
      <c r="P15" s="67">
        <v>1252.49</v>
      </c>
      <c r="Q15" s="68">
        <f t="shared" si="7"/>
        <v>1250</v>
      </c>
      <c r="R15" s="68">
        <f t="shared" si="8"/>
        <v>810.5</v>
      </c>
      <c r="S15" s="70">
        <v>6689</v>
      </c>
      <c r="T15" s="68">
        <f t="shared" si="6"/>
        <v>2006.7</v>
      </c>
      <c r="U15" s="69">
        <f t="shared" si="1"/>
        <v>50099.6</v>
      </c>
      <c r="V15" s="69">
        <f t="shared" si="2"/>
        <v>50000</v>
      </c>
      <c r="W15" s="69">
        <f t="shared" si="3"/>
        <v>80268</v>
      </c>
      <c r="X15" s="68">
        <f t="shared" si="4"/>
        <v>32420</v>
      </c>
      <c r="Y15" s="67">
        <f t="shared" si="5"/>
        <v>1.6053600000000001</v>
      </c>
      <c r="Z15" s="66"/>
    </row>
    <row r="16" spans="3:26" x14ac:dyDescent="0.25">
      <c r="C16" s="59" t="s">
        <v>174</v>
      </c>
      <c r="D16" s="60">
        <f>700*5*60</f>
        <v>210000</v>
      </c>
      <c r="S16" s="65"/>
      <c r="T16" s="64"/>
    </row>
    <row r="17" spans="3:16" x14ac:dyDescent="0.25">
      <c r="C17" s="59" t="s">
        <v>173</v>
      </c>
      <c r="D17" s="60">
        <f>3500*5*60</f>
        <v>1050000</v>
      </c>
      <c r="P17" s="63"/>
    </row>
    <row r="18" spans="3:16" x14ac:dyDescent="0.25">
      <c r="C18" s="59" t="s">
        <v>172</v>
      </c>
      <c r="D18" s="60">
        <f>500*5*60</f>
        <v>150000</v>
      </c>
      <c r="M18" s="62"/>
      <c r="N18" s="62"/>
      <c r="P18" s="61"/>
    </row>
    <row r="19" spans="3:16" x14ac:dyDescent="0.25">
      <c r="C19" s="59" t="s">
        <v>171</v>
      </c>
      <c r="D19" s="60">
        <f>90000*2</f>
        <v>180000</v>
      </c>
    </row>
    <row r="20" spans="3:16" x14ac:dyDescent="0.25">
      <c r="C20" s="59" t="s">
        <v>170</v>
      </c>
      <c r="D20" s="60">
        <f>50000/6*5</f>
        <v>41666.666666666672</v>
      </c>
    </row>
    <row r="21" spans="3:16" ht="63" customHeight="1" x14ac:dyDescent="0.25">
      <c r="C21" s="59" t="s">
        <v>169</v>
      </c>
      <c r="D21" s="60">
        <f>69000*5</f>
        <v>345000</v>
      </c>
      <c r="M21" s="299"/>
      <c r="N21" s="299"/>
      <c r="O21" s="299"/>
      <c r="P21" s="299"/>
    </row>
    <row r="22" spans="3:16" ht="15.75" customHeight="1" x14ac:dyDescent="0.25">
      <c r="C22" s="59" t="s">
        <v>168</v>
      </c>
      <c r="D22" s="60">
        <f>7000*5</f>
        <v>35000</v>
      </c>
      <c r="M22" s="299"/>
      <c r="N22" s="299"/>
      <c r="O22" s="299"/>
      <c r="P22" s="299"/>
    </row>
    <row r="23" spans="3:16" ht="15.75" customHeight="1" x14ac:dyDescent="0.25">
      <c r="C23" s="59" t="s">
        <v>167</v>
      </c>
      <c r="D23" s="60">
        <f>3000*5</f>
        <v>15000</v>
      </c>
      <c r="M23" s="299"/>
      <c r="N23" s="299"/>
      <c r="O23" s="299"/>
      <c r="P23" s="299"/>
    </row>
    <row r="24" spans="3:16" ht="15.75" customHeight="1" x14ac:dyDescent="0.25">
      <c r="C24" s="59" t="s">
        <v>166</v>
      </c>
      <c r="D24" s="58">
        <f>SUM(D13:D23)*0.5</f>
        <v>6666310.7153333323</v>
      </c>
      <c r="M24" s="299"/>
      <c r="N24" s="299"/>
      <c r="O24" s="55"/>
      <c r="P24" s="55"/>
    </row>
    <row r="25" spans="3:16" ht="15.75" customHeight="1" x14ac:dyDescent="0.25">
      <c r="M25" s="299"/>
      <c r="N25" s="299"/>
      <c r="O25" s="57"/>
      <c r="P25" s="55"/>
    </row>
    <row r="26" spans="3:16" ht="15.75" customHeight="1" x14ac:dyDescent="0.25">
      <c r="M26" s="299"/>
      <c r="N26" s="299"/>
      <c r="O26" s="57"/>
      <c r="P26" s="55"/>
    </row>
    <row r="27" spans="3:16" ht="15.75" customHeight="1" x14ac:dyDescent="0.25">
      <c r="M27" s="299"/>
      <c r="N27" s="299"/>
      <c r="O27" s="57"/>
      <c r="P27" s="55"/>
    </row>
    <row r="28" spans="3:16" ht="15.75" customHeight="1" x14ac:dyDescent="0.25">
      <c r="M28" s="299"/>
      <c r="N28" s="299"/>
      <c r="O28" s="56"/>
      <c r="P28" s="55"/>
    </row>
    <row r="29" spans="3:16" ht="15.75" customHeight="1" x14ac:dyDescent="0.25">
      <c r="M29" s="299"/>
      <c r="N29" s="299"/>
      <c r="O29" s="55"/>
      <c r="P29" s="55"/>
    </row>
    <row r="30" spans="3:16" ht="15.75" customHeight="1" x14ac:dyDescent="0.25">
      <c r="M30" s="299"/>
      <c r="N30" s="299"/>
      <c r="O30" s="55"/>
      <c r="P30" s="55"/>
    </row>
    <row r="31" spans="3:16" ht="15.75" customHeight="1" x14ac:dyDescent="0.25">
      <c r="M31" s="299"/>
      <c r="N31" s="299"/>
      <c r="O31" s="55"/>
      <c r="P31" s="55"/>
    </row>
    <row r="32" spans="3:16" ht="15.75" customHeight="1" x14ac:dyDescent="0.25">
      <c r="M32" s="299"/>
      <c r="N32" s="299"/>
      <c r="O32" s="55"/>
      <c r="P32" s="55"/>
    </row>
    <row r="33" spans="13:16" ht="15.75" customHeight="1" x14ac:dyDescent="0.25">
      <c r="M33" s="299"/>
      <c r="N33" s="299"/>
      <c r="O33" s="55"/>
      <c r="P33" s="55"/>
    </row>
    <row r="34" spans="13:16" ht="15.75" customHeight="1" x14ac:dyDescent="0.25">
      <c r="M34" s="299"/>
      <c r="N34" s="299"/>
      <c r="O34" s="55"/>
      <c r="P34" s="55"/>
    </row>
    <row r="35" spans="13:16" ht="15.75" customHeight="1" x14ac:dyDescent="0.25">
      <c r="M35" s="299"/>
      <c r="N35" s="299"/>
      <c r="O35" s="55"/>
      <c r="P35" s="55"/>
    </row>
    <row r="1048576" spans="20:20" x14ac:dyDescent="0.25">
      <c r="T1048576" s="54"/>
    </row>
  </sheetData>
  <mergeCells count="41">
    <mergeCell ref="M34:N34"/>
    <mergeCell ref="M35:N35"/>
    <mergeCell ref="M27:N27"/>
    <mergeCell ref="M28:N28"/>
    <mergeCell ref="M29:N29"/>
    <mergeCell ref="M31:N31"/>
    <mergeCell ref="M32:N32"/>
    <mergeCell ref="M33:N33"/>
    <mergeCell ref="M11:N11"/>
    <mergeCell ref="M12:N12"/>
    <mergeCell ref="M14:N14"/>
    <mergeCell ref="M30:N30"/>
    <mergeCell ref="M21:P21"/>
    <mergeCell ref="M22:N22"/>
    <mergeCell ref="O22:O23"/>
    <mergeCell ref="P22:P23"/>
    <mergeCell ref="M23:N23"/>
    <mergeCell ref="M24:N24"/>
    <mergeCell ref="M25:N25"/>
    <mergeCell ref="M26:N26"/>
    <mergeCell ref="X2:X3"/>
    <mergeCell ref="Y2:Y3"/>
    <mergeCell ref="M8:N8"/>
    <mergeCell ref="M9:N9"/>
    <mergeCell ref="M10:N10"/>
    <mergeCell ref="Z2:Z3"/>
    <mergeCell ref="M15:N15"/>
    <mergeCell ref="M4:N4"/>
    <mergeCell ref="M5:N5"/>
    <mergeCell ref="M6:N6"/>
    <mergeCell ref="M7:N7"/>
    <mergeCell ref="T2:T3"/>
    <mergeCell ref="U2:U3"/>
    <mergeCell ref="M3:N3"/>
    <mergeCell ref="M2:P2"/>
    <mergeCell ref="Q2:Q3"/>
    <mergeCell ref="R2:R3"/>
    <mergeCell ref="S2:S3"/>
    <mergeCell ref="M13:N13"/>
    <mergeCell ref="V2:V3"/>
    <mergeCell ref="W2:W3"/>
  </mergeCells>
  <pageMargins left="0.7" right="0.7" top="0.75" bottom="0.75" header="0.3" footer="0.3"/>
  <pageSetup paperSize="9" scale="38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outlinePr summaryBelow="0"/>
    <pageSetUpPr fitToPage="1"/>
  </sheetPr>
  <dimension ref="A1:I123"/>
  <sheetViews>
    <sheetView zoomScale="175" zoomScaleNormal="175" workbookViewId="0">
      <selection activeCell="F3" sqref="F3"/>
    </sheetView>
  </sheetViews>
  <sheetFormatPr defaultRowHeight="15" x14ac:dyDescent="0.25"/>
  <cols>
    <col min="1" max="1" width="2.7109375" customWidth="1"/>
    <col min="2" max="2" width="10.5703125" customWidth="1"/>
    <col min="3" max="3" width="51.28515625" style="81" customWidth="1"/>
    <col min="4" max="4" width="13.140625" customWidth="1"/>
    <col min="5" max="5" width="15.28515625" customWidth="1"/>
    <col min="6" max="7" width="17.28515625" customWidth="1"/>
    <col min="8" max="8" width="30.28515625" customWidth="1"/>
  </cols>
  <sheetData>
    <row r="1" spans="2:7" x14ac:dyDescent="0.25">
      <c r="E1" s="300" t="s">
        <v>449</v>
      </c>
      <c r="F1" s="300"/>
      <c r="G1" s="301"/>
    </row>
    <row r="2" spans="2:7" ht="32.25" customHeight="1" x14ac:dyDescent="0.25">
      <c r="B2" s="302" t="s">
        <v>448</v>
      </c>
      <c r="C2" s="302"/>
      <c r="D2" s="302"/>
      <c r="E2" s="302"/>
      <c r="F2" s="302"/>
    </row>
    <row r="3" spans="2:7" ht="6.75" customHeight="1" thickBot="1" x14ac:dyDescent="0.3">
      <c r="B3" s="170"/>
      <c r="C3" s="170"/>
      <c r="D3" s="170"/>
      <c r="E3" s="170"/>
      <c r="F3" s="170"/>
    </row>
    <row r="4" spans="2:7" ht="45" customHeight="1" thickBot="1" x14ac:dyDescent="0.3">
      <c r="B4" s="169" t="s">
        <v>447</v>
      </c>
      <c r="C4" s="168" t="s">
        <v>446</v>
      </c>
      <c r="D4" s="168" t="s">
        <v>445</v>
      </c>
      <c r="E4" s="168" t="s">
        <v>444</v>
      </c>
      <c r="F4" s="167" t="s">
        <v>443</v>
      </c>
      <c r="G4" s="167" t="s">
        <v>442</v>
      </c>
    </row>
    <row r="5" spans="2:7" s="93" customFormat="1" ht="15.75" thickTop="1" x14ac:dyDescent="0.25">
      <c r="B5" s="104" t="s">
        <v>8</v>
      </c>
      <c r="C5" s="103" t="s">
        <v>441</v>
      </c>
      <c r="D5" s="103"/>
      <c r="E5" s="103"/>
      <c r="F5" s="100"/>
      <c r="G5" s="100"/>
    </row>
    <row r="6" spans="2:7" s="93" customFormat="1" x14ac:dyDescent="0.25">
      <c r="B6" s="116" t="s">
        <v>440</v>
      </c>
      <c r="C6" s="127" t="s">
        <v>439</v>
      </c>
      <c r="D6" s="113" t="s">
        <v>436</v>
      </c>
      <c r="E6" s="113" t="s">
        <v>201</v>
      </c>
      <c r="F6" s="112">
        <v>4</v>
      </c>
      <c r="G6" s="112">
        <v>4</v>
      </c>
    </row>
    <row r="7" spans="2:7" s="93" customFormat="1" x14ac:dyDescent="0.25">
      <c r="B7" s="116" t="s">
        <v>438</v>
      </c>
      <c r="C7" s="166" t="s">
        <v>437</v>
      </c>
      <c r="D7" s="113" t="s">
        <v>436</v>
      </c>
      <c r="E7" s="113" t="s">
        <v>207</v>
      </c>
      <c r="F7" s="112">
        <v>36</v>
      </c>
      <c r="G7" s="112">
        <v>36</v>
      </c>
    </row>
    <row r="8" spans="2:7" x14ac:dyDescent="0.25">
      <c r="B8" s="116" t="s">
        <v>435</v>
      </c>
      <c r="C8" s="127" t="s">
        <v>434</v>
      </c>
      <c r="D8" s="113" t="s">
        <v>431</v>
      </c>
      <c r="E8" s="113" t="s">
        <v>201</v>
      </c>
      <c r="F8" s="112">
        <v>4</v>
      </c>
      <c r="G8" s="112">
        <v>4</v>
      </c>
    </row>
    <row r="9" spans="2:7" x14ac:dyDescent="0.25">
      <c r="B9" s="116" t="s">
        <v>433</v>
      </c>
      <c r="C9" s="127" t="s">
        <v>432</v>
      </c>
      <c r="D9" s="113" t="s">
        <v>431</v>
      </c>
      <c r="E9" s="113" t="s">
        <v>207</v>
      </c>
      <c r="F9" s="112">
        <v>28</v>
      </c>
      <c r="G9" s="112">
        <v>28</v>
      </c>
    </row>
    <row r="10" spans="2:7" x14ac:dyDescent="0.25">
      <c r="B10" s="116" t="s">
        <v>430</v>
      </c>
      <c r="C10" s="127" t="s">
        <v>429</v>
      </c>
      <c r="D10" s="113" t="s">
        <v>416</v>
      </c>
      <c r="E10" s="113" t="s">
        <v>201</v>
      </c>
      <c r="F10" s="132">
        <v>4</v>
      </c>
      <c r="G10" s="132">
        <v>4</v>
      </c>
    </row>
    <row r="11" spans="2:7" ht="30" customHeight="1" x14ac:dyDescent="0.25">
      <c r="B11" s="99" t="s">
        <v>428</v>
      </c>
      <c r="C11" s="130" t="s">
        <v>427</v>
      </c>
      <c r="D11" s="113" t="s">
        <v>424</v>
      </c>
      <c r="E11" s="113" t="s">
        <v>201</v>
      </c>
      <c r="F11" s="132">
        <v>4</v>
      </c>
      <c r="G11" s="163">
        <v>4</v>
      </c>
    </row>
    <row r="12" spans="2:7" ht="25.5" customHeight="1" x14ac:dyDescent="0.25">
      <c r="B12" s="99" t="s">
        <v>426</v>
      </c>
      <c r="C12" s="165" t="s">
        <v>425</v>
      </c>
      <c r="D12" s="136" t="s">
        <v>424</v>
      </c>
      <c r="E12" s="136" t="s">
        <v>207</v>
      </c>
      <c r="F12" s="112">
        <v>18</v>
      </c>
      <c r="G12" s="131">
        <v>18</v>
      </c>
    </row>
    <row r="13" spans="2:7" ht="25.5" customHeight="1" x14ac:dyDescent="0.25">
      <c r="B13" s="99" t="s">
        <v>423</v>
      </c>
      <c r="C13" s="130" t="s">
        <v>422</v>
      </c>
      <c r="D13" s="136" t="s">
        <v>419</v>
      </c>
      <c r="E13" s="136" t="s">
        <v>201</v>
      </c>
      <c r="F13" s="112">
        <v>12</v>
      </c>
      <c r="G13" s="164">
        <v>12</v>
      </c>
    </row>
    <row r="14" spans="2:7" ht="25.5" customHeight="1" x14ac:dyDescent="0.25">
      <c r="B14" s="99" t="s">
        <v>421</v>
      </c>
      <c r="C14" s="130" t="s">
        <v>420</v>
      </c>
      <c r="D14" s="136" t="s">
        <v>419</v>
      </c>
      <c r="E14" s="136" t="s">
        <v>207</v>
      </c>
      <c r="F14" s="112">
        <v>36</v>
      </c>
      <c r="G14" s="164">
        <v>36</v>
      </c>
    </row>
    <row r="15" spans="2:7" x14ac:dyDescent="0.25">
      <c r="B15" s="99" t="s">
        <v>418</v>
      </c>
      <c r="C15" s="130" t="s">
        <v>417</v>
      </c>
      <c r="D15" s="113" t="s">
        <v>416</v>
      </c>
      <c r="E15" s="113" t="s">
        <v>207</v>
      </c>
      <c r="F15" s="132">
        <v>28</v>
      </c>
      <c r="G15" s="163">
        <v>28</v>
      </c>
    </row>
    <row r="16" spans="2:7" x14ac:dyDescent="0.25">
      <c r="B16" s="99" t="s">
        <v>415</v>
      </c>
      <c r="C16" s="127" t="s">
        <v>414</v>
      </c>
      <c r="D16" s="136" t="s">
        <v>411</v>
      </c>
      <c r="E16" s="136" t="s">
        <v>201</v>
      </c>
      <c r="F16" s="112">
        <v>4</v>
      </c>
      <c r="G16" s="131">
        <v>4</v>
      </c>
    </row>
    <row r="17" spans="2:9" ht="15.75" thickBot="1" x14ac:dyDescent="0.3">
      <c r="B17" s="110" t="s">
        <v>413</v>
      </c>
      <c r="C17" s="122" t="s">
        <v>412</v>
      </c>
      <c r="D17" s="119" t="s">
        <v>411</v>
      </c>
      <c r="E17" s="119" t="s">
        <v>207</v>
      </c>
      <c r="F17" s="121">
        <v>36</v>
      </c>
      <c r="G17" s="121">
        <v>36</v>
      </c>
    </row>
    <row r="18" spans="2:9" s="93" customFormat="1" ht="15.75" thickTop="1" x14ac:dyDescent="0.25">
      <c r="B18" s="104" t="s">
        <v>10</v>
      </c>
      <c r="C18" s="103" t="s">
        <v>410</v>
      </c>
      <c r="D18" s="103"/>
      <c r="E18" s="103"/>
      <c r="F18" s="100"/>
      <c r="G18" s="100"/>
    </row>
    <row r="19" spans="2:9" x14ac:dyDescent="0.25">
      <c r="B19" s="116" t="s">
        <v>12</v>
      </c>
      <c r="C19" s="127" t="s">
        <v>409</v>
      </c>
      <c r="D19" s="113" t="s">
        <v>406</v>
      </c>
      <c r="E19" s="113" t="s">
        <v>201</v>
      </c>
      <c r="F19" s="112" t="s">
        <v>408</v>
      </c>
      <c r="G19" s="112">
        <v>4</v>
      </c>
    </row>
    <row r="20" spans="2:9" x14ac:dyDescent="0.25">
      <c r="B20" s="116" t="s">
        <v>14</v>
      </c>
      <c r="C20" s="127" t="s">
        <v>407</v>
      </c>
      <c r="D20" s="113" t="s">
        <v>406</v>
      </c>
      <c r="E20" s="113" t="s">
        <v>207</v>
      </c>
      <c r="F20" s="132">
        <v>28</v>
      </c>
      <c r="G20" s="132">
        <v>28</v>
      </c>
    </row>
    <row r="21" spans="2:9" x14ac:dyDescent="0.25">
      <c r="B21" s="162" t="s">
        <v>16</v>
      </c>
      <c r="C21" s="161" t="s">
        <v>405</v>
      </c>
      <c r="D21" s="136" t="s">
        <v>239</v>
      </c>
      <c r="E21" s="136" t="s">
        <v>201</v>
      </c>
      <c r="F21" s="112">
        <v>5</v>
      </c>
      <c r="G21" s="112">
        <v>5</v>
      </c>
    </row>
    <row r="22" spans="2:9" ht="15.75" thickBot="1" x14ac:dyDescent="0.3">
      <c r="B22" s="146" t="s">
        <v>18</v>
      </c>
      <c r="C22" s="122" t="s">
        <v>404</v>
      </c>
      <c r="D22" s="119" t="s">
        <v>239</v>
      </c>
      <c r="E22" s="119" t="s">
        <v>207</v>
      </c>
      <c r="F22" s="121">
        <v>16</v>
      </c>
      <c r="G22" s="121">
        <v>16</v>
      </c>
    </row>
    <row r="23" spans="2:9" s="93" customFormat="1" ht="15.75" thickTop="1" x14ac:dyDescent="0.25">
      <c r="B23" s="125" t="s">
        <v>26</v>
      </c>
      <c r="C23" s="103" t="s">
        <v>403</v>
      </c>
      <c r="D23" s="103"/>
      <c r="E23" s="103"/>
      <c r="F23" s="100"/>
      <c r="G23" s="100"/>
    </row>
    <row r="24" spans="2:9" x14ac:dyDescent="0.25">
      <c r="B24" s="116" t="s">
        <v>28</v>
      </c>
      <c r="C24" s="127" t="s">
        <v>402</v>
      </c>
      <c r="D24" s="113" t="s">
        <v>400</v>
      </c>
      <c r="E24" s="113" t="s">
        <v>201</v>
      </c>
      <c r="F24" s="112">
        <v>4</v>
      </c>
      <c r="G24" s="112">
        <v>4</v>
      </c>
    </row>
    <row r="25" spans="2:9" x14ac:dyDescent="0.25">
      <c r="B25" s="116" t="s">
        <v>30</v>
      </c>
      <c r="C25" s="127" t="s">
        <v>401</v>
      </c>
      <c r="D25" s="113" t="s">
        <v>400</v>
      </c>
      <c r="E25" s="113" t="s">
        <v>207</v>
      </c>
      <c r="F25" s="112">
        <v>25</v>
      </c>
      <c r="G25" s="112">
        <v>25</v>
      </c>
      <c r="I25" s="81"/>
    </row>
    <row r="26" spans="2:9" x14ac:dyDescent="0.25">
      <c r="B26" s="116" t="s">
        <v>32</v>
      </c>
      <c r="C26" s="127" t="s">
        <v>399</v>
      </c>
      <c r="D26" s="113" t="s">
        <v>397</v>
      </c>
      <c r="E26" s="113" t="s">
        <v>201</v>
      </c>
      <c r="F26" s="112">
        <v>4</v>
      </c>
      <c r="G26" s="112">
        <v>4</v>
      </c>
    </row>
    <row r="27" spans="2:9" x14ac:dyDescent="0.25">
      <c r="B27" s="116" t="s">
        <v>34</v>
      </c>
      <c r="C27" s="127" t="s">
        <v>398</v>
      </c>
      <c r="D27" s="113" t="s">
        <v>397</v>
      </c>
      <c r="E27" s="113" t="s">
        <v>207</v>
      </c>
      <c r="F27" s="112">
        <v>18</v>
      </c>
      <c r="G27" s="112">
        <v>18</v>
      </c>
    </row>
    <row r="28" spans="2:9" x14ac:dyDescent="0.25">
      <c r="B28" s="116" t="s">
        <v>36</v>
      </c>
      <c r="C28" s="127" t="s">
        <v>396</v>
      </c>
      <c r="D28" s="113" t="s">
        <v>394</v>
      </c>
      <c r="E28" s="113" t="s">
        <v>201</v>
      </c>
      <c r="F28" s="112">
        <v>4</v>
      </c>
      <c r="G28" s="112">
        <v>4</v>
      </c>
    </row>
    <row r="29" spans="2:9" x14ac:dyDescent="0.25">
      <c r="B29" s="116" t="s">
        <v>38</v>
      </c>
      <c r="C29" s="127" t="s">
        <v>395</v>
      </c>
      <c r="D29" s="113" t="s">
        <v>394</v>
      </c>
      <c r="E29" s="113" t="s">
        <v>207</v>
      </c>
      <c r="F29" s="112">
        <v>25</v>
      </c>
      <c r="G29" s="112">
        <v>25</v>
      </c>
    </row>
    <row r="30" spans="2:9" x14ac:dyDescent="0.25">
      <c r="B30" s="116" t="s">
        <v>393</v>
      </c>
      <c r="C30" s="127" t="s">
        <v>392</v>
      </c>
      <c r="D30" s="113" t="s">
        <v>389</v>
      </c>
      <c r="E30" s="113" t="s">
        <v>201</v>
      </c>
      <c r="F30" s="112">
        <v>4</v>
      </c>
      <c r="G30" s="112">
        <v>4</v>
      </c>
    </row>
    <row r="31" spans="2:9" x14ac:dyDescent="0.25">
      <c r="B31" s="116" t="s">
        <v>391</v>
      </c>
      <c r="C31" s="127" t="s">
        <v>390</v>
      </c>
      <c r="D31" s="113" t="s">
        <v>389</v>
      </c>
      <c r="E31" s="113" t="s">
        <v>207</v>
      </c>
      <c r="F31" s="112">
        <v>18</v>
      </c>
      <c r="G31" s="112">
        <v>18</v>
      </c>
    </row>
    <row r="32" spans="2:9" x14ac:dyDescent="0.25">
      <c r="B32" s="116" t="s">
        <v>388</v>
      </c>
      <c r="C32" s="127" t="s">
        <v>387</v>
      </c>
      <c r="D32" s="113" t="s">
        <v>384</v>
      </c>
      <c r="E32" s="113" t="s">
        <v>201</v>
      </c>
      <c r="F32" s="112">
        <v>4</v>
      </c>
      <c r="G32" s="112">
        <v>4</v>
      </c>
    </row>
    <row r="33" spans="1:7" x14ac:dyDescent="0.25">
      <c r="B33" s="116" t="s">
        <v>386</v>
      </c>
      <c r="C33" s="127" t="s">
        <v>385</v>
      </c>
      <c r="D33" s="113" t="s">
        <v>384</v>
      </c>
      <c r="E33" s="113" t="s">
        <v>207</v>
      </c>
      <c r="F33" s="112">
        <v>18</v>
      </c>
      <c r="G33" s="112">
        <v>18</v>
      </c>
    </row>
    <row r="34" spans="1:7" x14ac:dyDescent="0.25">
      <c r="B34" s="116" t="s">
        <v>383</v>
      </c>
      <c r="C34" s="127" t="s">
        <v>382</v>
      </c>
      <c r="D34" s="113" t="s">
        <v>381</v>
      </c>
      <c r="E34" s="113" t="s">
        <v>201</v>
      </c>
      <c r="F34" s="112">
        <v>4</v>
      </c>
      <c r="G34" s="112">
        <v>4</v>
      </c>
    </row>
    <row r="35" spans="1:7" ht="15.75" thickBot="1" x14ac:dyDescent="0.3">
      <c r="B35" s="110" t="s">
        <v>380</v>
      </c>
      <c r="C35" s="122" t="s">
        <v>379</v>
      </c>
      <c r="D35" s="119" t="s">
        <v>378</v>
      </c>
      <c r="E35" s="119" t="s">
        <v>207</v>
      </c>
      <c r="F35" s="121">
        <v>18</v>
      </c>
      <c r="G35" s="121">
        <v>18</v>
      </c>
    </row>
    <row r="36" spans="1:7" ht="15.75" thickTop="1" x14ac:dyDescent="0.25">
      <c r="B36" s="104" t="s">
        <v>40</v>
      </c>
      <c r="C36" s="103" t="s">
        <v>377</v>
      </c>
      <c r="D36" s="103"/>
      <c r="E36" s="103"/>
      <c r="F36" s="100"/>
      <c r="G36" s="100"/>
    </row>
    <row r="37" spans="1:7" ht="24" x14ac:dyDescent="0.25">
      <c r="B37" s="116" t="s">
        <v>376</v>
      </c>
      <c r="C37" s="127" t="s">
        <v>375</v>
      </c>
      <c r="D37" s="160" t="s">
        <v>374</v>
      </c>
      <c r="E37" s="113" t="s">
        <v>201</v>
      </c>
      <c r="F37" s="154">
        <v>4</v>
      </c>
      <c r="G37" s="131">
        <v>4</v>
      </c>
    </row>
    <row r="38" spans="1:7" ht="24" x14ac:dyDescent="0.25">
      <c r="B38" s="116" t="s">
        <v>373</v>
      </c>
      <c r="C38" s="127" t="s">
        <v>372</v>
      </c>
      <c r="D38" s="160" t="s">
        <v>371</v>
      </c>
      <c r="E38" s="113" t="s">
        <v>207</v>
      </c>
      <c r="F38" s="112">
        <v>19</v>
      </c>
      <c r="G38" s="112">
        <v>19</v>
      </c>
    </row>
    <row r="39" spans="1:7" x14ac:dyDescent="0.25">
      <c r="B39" s="116" t="s">
        <v>370</v>
      </c>
      <c r="C39" s="127" t="s">
        <v>369</v>
      </c>
      <c r="D39" s="113" t="s">
        <v>366</v>
      </c>
      <c r="E39" s="113" t="s">
        <v>201</v>
      </c>
      <c r="F39" s="154">
        <v>4</v>
      </c>
      <c r="G39" s="131">
        <v>4</v>
      </c>
    </row>
    <row r="40" spans="1:7" ht="15.75" thickBot="1" x14ac:dyDescent="0.3">
      <c r="B40" s="110" t="s">
        <v>368</v>
      </c>
      <c r="C40" s="122" t="s">
        <v>367</v>
      </c>
      <c r="D40" s="119" t="s">
        <v>366</v>
      </c>
      <c r="E40" s="119" t="s">
        <v>207</v>
      </c>
      <c r="F40" s="153">
        <v>20</v>
      </c>
      <c r="G40" s="94">
        <v>20</v>
      </c>
    </row>
    <row r="41" spans="1:7" s="93" customFormat="1" ht="15.75" thickTop="1" x14ac:dyDescent="0.25">
      <c r="A41" s="159"/>
      <c r="B41" s="157" t="s">
        <v>42</v>
      </c>
      <c r="C41" s="103" t="s">
        <v>365</v>
      </c>
      <c r="D41" s="103"/>
      <c r="E41" s="103"/>
      <c r="F41" s="100"/>
      <c r="G41" s="100"/>
    </row>
    <row r="42" spans="1:7" ht="24" x14ac:dyDescent="0.25">
      <c r="B42" s="116" t="s">
        <v>364</v>
      </c>
      <c r="C42" s="127" t="s">
        <v>363</v>
      </c>
      <c r="D42" s="113" t="s">
        <v>360</v>
      </c>
      <c r="E42" s="113" t="s">
        <v>201</v>
      </c>
      <c r="F42" s="112">
        <v>4</v>
      </c>
      <c r="G42" s="112">
        <v>4</v>
      </c>
    </row>
    <row r="43" spans="1:7" ht="24" x14ac:dyDescent="0.25">
      <c r="B43" s="116" t="s">
        <v>362</v>
      </c>
      <c r="C43" s="127" t="s">
        <v>361</v>
      </c>
      <c r="D43" s="113" t="s">
        <v>360</v>
      </c>
      <c r="E43" s="113" t="s">
        <v>207</v>
      </c>
      <c r="F43" s="112">
        <v>31</v>
      </c>
      <c r="G43" s="112">
        <v>31</v>
      </c>
    </row>
    <row r="44" spans="1:7" x14ac:dyDescent="0.25">
      <c r="B44" s="116" t="s">
        <v>359</v>
      </c>
      <c r="C44" s="127" t="s">
        <v>358</v>
      </c>
      <c r="D44" s="113" t="s">
        <v>355</v>
      </c>
      <c r="E44" s="113" t="s">
        <v>201</v>
      </c>
      <c r="F44" s="112">
        <v>4</v>
      </c>
      <c r="G44" s="112">
        <v>4</v>
      </c>
    </row>
    <row r="45" spans="1:7" x14ac:dyDescent="0.25">
      <c r="B45" s="116" t="s">
        <v>357</v>
      </c>
      <c r="C45" s="127" t="s">
        <v>356</v>
      </c>
      <c r="D45" s="113" t="s">
        <v>355</v>
      </c>
      <c r="E45" s="113" t="s">
        <v>207</v>
      </c>
      <c r="F45" s="112">
        <v>31</v>
      </c>
      <c r="G45" s="112">
        <v>31</v>
      </c>
    </row>
    <row r="46" spans="1:7" x14ac:dyDescent="0.25">
      <c r="B46" s="116" t="s">
        <v>354</v>
      </c>
      <c r="C46" s="127" t="s">
        <v>353</v>
      </c>
      <c r="D46" s="113" t="s">
        <v>350</v>
      </c>
      <c r="E46" s="113" t="s">
        <v>201</v>
      </c>
      <c r="F46" s="112">
        <v>4</v>
      </c>
      <c r="G46" s="112">
        <v>4</v>
      </c>
    </row>
    <row r="47" spans="1:7" x14ac:dyDescent="0.25">
      <c r="B47" s="116" t="s">
        <v>352</v>
      </c>
      <c r="C47" s="127" t="s">
        <v>351</v>
      </c>
      <c r="D47" s="113" t="s">
        <v>350</v>
      </c>
      <c r="E47" s="113" t="s">
        <v>207</v>
      </c>
      <c r="F47" s="112">
        <v>24</v>
      </c>
      <c r="G47" s="112">
        <v>24</v>
      </c>
    </row>
    <row r="48" spans="1:7" x14ac:dyDescent="0.25">
      <c r="B48" s="116" t="s">
        <v>349</v>
      </c>
      <c r="C48" s="130" t="s">
        <v>348</v>
      </c>
      <c r="D48" s="96" t="s">
        <v>345</v>
      </c>
      <c r="E48" s="113" t="s">
        <v>201</v>
      </c>
      <c r="F48" s="158">
        <v>4</v>
      </c>
      <c r="G48" s="131">
        <v>4</v>
      </c>
    </row>
    <row r="49" spans="2:8" ht="15.75" thickBot="1" x14ac:dyDescent="0.3">
      <c r="B49" s="110" t="s">
        <v>347</v>
      </c>
      <c r="C49" s="122" t="s">
        <v>346</v>
      </c>
      <c r="D49" s="119" t="s">
        <v>345</v>
      </c>
      <c r="E49" s="143" t="s">
        <v>207</v>
      </c>
      <c r="F49" s="153">
        <v>24</v>
      </c>
      <c r="G49" s="94">
        <v>24</v>
      </c>
      <c r="H49" s="105"/>
    </row>
    <row r="50" spans="2:8" s="93" customFormat="1" ht="15.75" thickTop="1" x14ac:dyDescent="0.25">
      <c r="B50" s="157" t="s">
        <v>44</v>
      </c>
      <c r="C50" s="103" t="s">
        <v>344</v>
      </c>
      <c r="D50" s="103"/>
      <c r="E50" s="103"/>
      <c r="F50" s="100"/>
      <c r="G50" s="141"/>
    </row>
    <row r="51" spans="2:8" x14ac:dyDescent="0.25">
      <c r="B51" s="156" t="s">
        <v>343</v>
      </c>
      <c r="C51" s="127" t="s">
        <v>342</v>
      </c>
      <c r="D51" s="113" t="s">
        <v>339</v>
      </c>
      <c r="E51" s="113" t="s">
        <v>201</v>
      </c>
      <c r="F51" s="112">
        <v>4</v>
      </c>
      <c r="G51" s="112">
        <v>4</v>
      </c>
    </row>
    <row r="52" spans="2:8" x14ac:dyDescent="0.25">
      <c r="B52" s="116" t="s">
        <v>341</v>
      </c>
      <c r="C52" s="155" t="s">
        <v>340</v>
      </c>
      <c r="D52" s="113" t="s">
        <v>339</v>
      </c>
      <c r="E52" s="113" t="s">
        <v>207</v>
      </c>
      <c r="F52" s="112">
        <v>28</v>
      </c>
      <c r="G52" s="112">
        <v>28</v>
      </c>
    </row>
    <row r="53" spans="2:8" x14ac:dyDescent="0.25">
      <c r="B53" s="116" t="s">
        <v>338</v>
      </c>
      <c r="C53" s="127" t="s">
        <v>337</v>
      </c>
      <c r="D53" s="113" t="s">
        <v>334</v>
      </c>
      <c r="E53" s="113" t="s">
        <v>201</v>
      </c>
      <c r="F53" s="112">
        <v>3</v>
      </c>
      <c r="G53" s="112">
        <v>3</v>
      </c>
    </row>
    <row r="54" spans="2:8" x14ac:dyDescent="0.25">
      <c r="B54" s="116" t="s">
        <v>336</v>
      </c>
      <c r="C54" s="127" t="s">
        <v>335</v>
      </c>
      <c r="D54" s="113" t="s">
        <v>334</v>
      </c>
      <c r="E54" s="113" t="s">
        <v>207</v>
      </c>
      <c r="F54" s="112">
        <v>28</v>
      </c>
      <c r="G54" s="112">
        <v>28</v>
      </c>
    </row>
    <row r="55" spans="2:8" x14ac:dyDescent="0.25">
      <c r="B55" s="116" t="s">
        <v>333</v>
      </c>
      <c r="C55" s="127" t="s">
        <v>332</v>
      </c>
      <c r="D55" s="113" t="s">
        <v>329</v>
      </c>
      <c r="E55" s="113" t="s">
        <v>201</v>
      </c>
      <c r="F55" s="112">
        <v>4</v>
      </c>
      <c r="G55" s="112">
        <v>4</v>
      </c>
    </row>
    <row r="56" spans="2:8" x14ac:dyDescent="0.25">
      <c r="B56" s="116" t="s">
        <v>331</v>
      </c>
      <c r="C56" s="127" t="s">
        <v>330</v>
      </c>
      <c r="D56" s="113" t="s">
        <v>329</v>
      </c>
      <c r="E56" s="113" t="s">
        <v>207</v>
      </c>
      <c r="F56" s="112">
        <v>28</v>
      </c>
      <c r="G56" s="112">
        <v>28</v>
      </c>
    </row>
    <row r="57" spans="2:8" x14ac:dyDescent="0.25">
      <c r="B57" s="116" t="s">
        <v>328</v>
      </c>
      <c r="C57" s="127" t="s">
        <v>327</v>
      </c>
      <c r="D57" s="113" t="s">
        <v>324</v>
      </c>
      <c r="E57" s="96" t="s">
        <v>201</v>
      </c>
      <c r="F57" s="112">
        <v>4</v>
      </c>
      <c r="G57" s="112">
        <v>4</v>
      </c>
    </row>
    <row r="58" spans="2:8" x14ac:dyDescent="0.25">
      <c r="B58" s="116" t="s">
        <v>326</v>
      </c>
      <c r="C58" s="127" t="s">
        <v>325</v>
      </c>
      <c r="D58" s="113" t="s">
        <v>324</v>
      </c>
      <c r="E58" s="96" t="s">
        <v>207</v>
      </c>
      <c r="F58" s="112">
        <v>28</v>
      </c>
      <c r="G58" s="112">
        <v>28</v>
      </c>
    </row>
    <row r="59" spans="2:8" x14ac:dyDescent="0.25">
      <c r="B59" s="116" t="s">
        <v>323</v>
      </c>
      <c r="C59" s="127" t="s">
        <v>322</v>
      </c>
      <c r="D59" s="113" t="s">
        <v>319</v>
      </c>
      <c r="E59" s="96" t="s">
        <v>201</v>
      </c>
      <c r="F59" s="112">
        <v>4</v>
      </c>
      <c r="G59" s="112">
        <v>4</v>
      </c>
    </row>
    <row r="60" spans="2:8" x14ac:dyDescent="0.25">
      <c r="B60" s="116" t="s">
        <v>321</v>
      </c>
      <c r="C60" s="127" t="s">
        <v>320</v>
      </c>
      <c r="D60" s="113" t="s">
        <v>319</v>
      </c>
      <c r="E60" s="113" t="s">
        <v>207</v>
      </c>
      <c r="F60" s="112">
        <v>36</v>
      </c>
      <c r="G60" s="112">
        <v>36</v>
      </c>
    </row>
    <row r="61" spans="2:8" x14ac:dyDescent="0.25">
      <c r="B61" s="116" t="s">
        <v>318</v>
      </c>
      <c r="C61" s="127" t="s">
        <v>317</v>
      </c>
      <c r="D61" s="113" t="s">
        <v>314</v>
      </c>
      <c r="E61" s="113" t="s">
        <v>201</v>
      </c>
      <c r="F61" s="154">
        <v>4</v>
      </c>
      <c r="G61" s="131">
        <v>4</v>
      </c>
    </row>
    <row r="62" spans="2:8" ht="15.75" thickBot="1" x14ac:dyDescent="0.3">
      <c r="B62" s="110" t="s">
        <v>316</v>
      </c>
      <c r="C62" s="122" t="s">
        <v>315</v>
      </c>
      <c r="D62" s="119" t="s">
        <v>314</v>
      </c>
      <c r="E62" s="119" t="s">
        <v>207</v>
      </c>
      <c r="F62" s="153">
        <v>26</v>
      </c>
      <c r="G62" s="94">
        <v>26</v>
      </c>
      <c r="H62" s="105"/>
    </row>
    <row r="63" spans="2:8" s="93" customFormat="1" ht="15.75" thickTop="1" x14ac:dyDescent="0.25">
      <c r="B63" s="104" t="s">
        <v>97</v>
      </c>
      <c r="C63" s="103" t="s">
        <v>313</v>
      </c>
      <c r="D63" s="103"/>
      <c r="E63" s="103"/>
      <c r="F63" s="100"/>
      <c r="G63" s="141"/>
    </row>
    <row r="64" spans="2:8" ht="15.75" thickBot="1" x14ac:dyDescent="0.3">
      <c r="B64" s="110" t="s">
        <v>312</v>
      </c>
      <c r="C64" s="122" t="s">
        <v>311</v>
      </c>
      <c r="D64" s="119" t="s">
        <v>310</v>
      </c>
      <c r="E64" s="119" t="s">
        <v>201</v>
      </c>
      <c r="F64" s="95">
        <v>4</v>
      </c>
      <c r="G64" s="94">
        <v>4</v>
      </c>
    </row>
    <row r="65" spans="2:7" s="93" customFormat="1" ht="15.75" thickTop="1" x14ac:dyDescent="0.25">
      <c r="B65" s="125" t="s">
        <v>146</v>
      </c>
      <c r="C65" s="102" t="s">
        <v>309</v>
      </c>
      <c r="D65" s="103"/>
      <c r="E65" s="103"/>
      <c r="F65" s="152"/>
      <c r="G65" s="151"/>
    </row>
    <row r="66" spans="2:7" s="93" customFormat="1" x14ac:dyDescent="0.25">
      <c r="B66" s="150" t="s">
        <v>152</v>
      </c>
      <c r="C66" s="127" t="s">
        <v>308</v>
      </c>
      <c r="D66" s="113" t="s">
        <v>305</v>
      </c>
      <c r="E66" s="113" t="s">
        <v>201</v>
      </c>
      <c r="F66" s="132">
        <v>3</v>
      </c>
      <c r="G66" s="131">
        <v>3</v>
      </c>
    </row>
    <row r="67" spans="2:7" s="93" customFormat="1" ht="15.75" thickBot="1" x14ac:dyDescent="0.3">
      <c r="B67" s="149" t="s">
        <v>307</v>
      </c>
      <c r="C67" s="122" t="s">
        <v>306</v>
      </c>
      <c r="D67" s="119" t="s">
        <v>305</v>
      </c>
      <c r="E67" s="148" t="s">
        <v>207</v>
      </c>
      <c r="F67" s="121">
        <v>20</v>
      </c>
      <c r="G67" s="94">
        <v>20</v>
      </c>
    </row>
    <row r="68" spans="2:7" ht="15.75" thickTop="1" x14ac:dyDescent="0.25">
      <c r="B68" s="104" t="s">
        <v>147</v>
      </c>
      <c r="C68" s="103" t="s">
        <v>304</v>
      </c>
      <c r="D68" s="103"/>
      <c r="E68" s="103"/>
      <c r="F68" s="100"/>
      <c r="G68" s="100"/>
    </row>
    <row r="69" spans="2:7" x14ac:dyDescent="0.25">
      <c r="B69" s="116" t="s">
        <v>153</v>
      </c>
      <c r="C69" s="130" t="s">
        <v>303</v>
      </c>
      <c r="D69" s="113" t="s">
        <v>300</v>
      </c>
      <c r="E69" s="113" t="s">
        <v>201</v>
      </c>
      <c r="F69" s="112">
        <v>3</v>
      </c>
      <c r="G69" s="112">
        <v>3</v>
      </c>
    </row>
    <row r="70" spans="2:7" x14ac:dyDescent="0.25">
      <c r="B70" s="116" t="s">
        <v>302</v>
      </c>
      <c r="C70" s="127" t="s">
        <v>301</v>
      </c>
      <c r="D70" s="113" t="s">
        <v>300</v>
      </c>
      <c r="E70" s="147" t="s">
        <v>207</v>
      </c>
      <c r="F70" s="132">
        <v>20</v>
      </c>
      <c r="G70" s="132">
        <v>20</v>
      </c>
    </row>
    <row r="71" spans="2:7" x14ac:dyDescent="0.25">
      <c r="B71" s="146" t="s">
        <v>299</v>
      </c>
      <c r="C71" s="138" t="s">
        <v>298</v>
      </c>
      <c r="D71" s="145"/>
      <c r="E71" s="113" t="s">
        <v>201</v>
      </c>
      <c r="F71" s="112">
        <v>3</v>
      </c>
      <c r="G71" s="112">
        <v>3</v>
      </c>
    </row>
    <row r="72" spans="2:7" ht="15.75" thickBot="1" x14ac:dyDescent="0.3">
      <c r="B72" s="99" t="s">
        <v>297</v>
      </c>
      <c r="C72" s="122" t="s">
        <v>296</v>
      </c>
      <c r="D72" s="96"/>
      <c r="E72" s="144" t="s">
        <v>207</v>
      </c>
      <c r="F72" s="121">
        <v>20</v>
      </c>
      <c r="G72" s="121">
        <v>20</v>
      </c>
    </row>
    <row r="73" spans="2:7" ht="15.75" thickTop="1" x14ac:dyDescent="0.25">
      <c r="B73" s="125" t="s">
        <v>119</v>
      </c>
      <c r="C73" s="103" t="s">
        <v>295</v>
      </c>
      <c r="D73" s="102"/>
      <c r="E73" s="102"/>
      <c r="F73" s="100"/>
      <c r="G73" s="100"/>
    </row>
    <row r="74" spans="2:7" x14ac:dyDescent="0.25">
      <c r="B74" s="116" t="s">
        <v>120</v>
      </c>
      <c r="C74" s="130" t="s">
        <v>294</v>
      </c>
      <c r="D74" s="96" t="s">
        <v>293</v>
      </c>
      <c r="E74" s="96" t="s">
        <v>201</v>
      </c>
      <c r="F74" s="112">
        <v>3</v>
      </c>
      <c r="G74" s="112">
        <v>3</v>
      </c>
    </row>
    <row r="75" spans="2:7" ht="15.75" thickBot="1" x14ac:dyDescent="0.3">
      <c r="B75" s="110" t="s">
        <v>292</v>
      </c>
      <c r="C75" s="122" t="s">
        <v>291</v>
      </c>
      <c r="D75" s="119" t="s">
        <v>290</v>
      </c>
      <c r="E75" s="119" t="s">
        <v>207</v>
      </c>
      <c r="F75" s="121">
        <v>20</v>
      </c>
      <c r="G75" s="121">
        <v>20</v>
      </c>
    </row>
    <row r="76" spans="2:7" ht="15.75" thickTop="1" x14ac:dyDescent="0.25">
      <c r="B76" s="104" t="s">
        <v>130</v>
      </c>
      <c r="C76" s="103" t="s">
        <v>289</v>
      </c>
      <c r="D76" s="103"/>
      <c r="E76" s="103"/>
      <c r="F76" s="100"/>
      <c r="G76" s="100"/>
    </row>
    <row r="77" spans="2:7" ht="24" x14ac:dyDescent="0.25">
      <c r="B77" s="116" t="s">
        <v>131</v>
      </c>
      <c r="C77" s="130" t="s">
        <v>288</v>
      </c>
      <c r="D77" s="113" t="s">
        <v>286</v>
      </c>
      <c r="E77" s="96" t="s">
        <v>201</v>
      </c>
      <c r="F77" s="112">
        <v>3</v>
      </c>
      <c r="G77" s="112">
        <v>3</v>
      </c>
    </row>
    <row r="78" spans="2:7" ht="24.75" thickBot="1" x14ac:dyDescent="0.3">
      <c r="B78" s="110" t="s">
        <v>154</v>
      </c>
      <c r="C78" s="122" t="s">
        <v>287</v>
      </c>
      <c r="D78" s="133" t="s">
        <v>286</v>
      </c>
      <c r="E78" s="119" t="s">
        <v>207</v>
      </c>
      <c r="F78" s="121">
        <v>20</v>
      </c>
      <c r="G78" s="112">
        <v>20</v>
      </c>
    </row>
    <row r="79" spans="2:7" ht="15.75" thickTop="1" x14ac:dyDescent="0.25">
      <c r="B79" s="104" t="s">
        <v>148</v>
      </c>
      <c r="C79" s="103" t="s">
        <v>285</v>
      </c>
      <c r="D79" s="103"/>
      <c r="E79" s="103"/>
      <c r="F79" s="100"/>
      <c r="G79" s="124"/>
    </row>
    <row r="80" spans="2:7" x14ac:dyDescent="0.25">
      <c r="B80" s="116" t="s">
        <v>158</v>
      </c>
      <c r="C80" s="130" t="s">
        <v>284</v>
      </c>
      <c r="D80" s="113" t="s">
        <v>282</v>
      </c>
      <c r="E80" s="113" t="s">
        <v>201</v>
      </c>
      <c r="F80" s="132">
        <v>3</v>
      </c>
      <c r="G80" s="95">
        <v>3</v>
      </c>
    </row>
    <row r="81" spans="1:7" ht="15.75" thickBot="1" x14ac:dyDescent="0.3">
      <c r="A81" s="111"/>
      <c r="B81" s="110" t="s">
        <v>159</v>
      </c>
      <c r="C81" s="122" t="s">
        <v>283</v>
      </c>
      <c r="D81" s="143" t="s">
        <v>282</v>
      </c>
      <c r="E81" s="143" t="s">
        <v>207</v>
      </c>
      <c r="F81" s="142">
        <v>20</v>
      </c>
      <c r="G81" s="94">
        <v>20</v>
      </c>
    </row>
    <row r="82" spans="1:7" s="93" customFormat="1" ht="15.75" thickTop="1" x14ac:dyDescent="0.25">
      <c r="B82" s="104" t="s">
        <v>149</v>
      </c>
      <c r="C82" s="103" t="s">
        <v>281</v>
      </c>
      <c r="D82" s="103"/>
      <c r="E82" s="103"/>
      <c r="F82" s="100"/>
      <c r="G82" s="141"/>
    </row>
    <row r="83" spans="1:7" ht="33" customHeight="1" x14ac:dyDescent="0.25">
      <c r="A83" s="111"/>
      <c r="B83" s="116" t="s">
        <v>280</v>
      </c>
      <c r="C83" s="127" t="s">
        <v>279</v>
      </c>
      <c r="D83" s="140" t="s">
        <v>278</v>
      </c>
      <c r="E83" s="113" t="s">
        <v>201</v>
      </c>
      <c r="F83" s="139">
        <v>2</v>
      </c>
      <c r="G83" s="139">
        <v>2</v>
      </c>
    </row>
    <row r="84" spans="1:7" ht="15.75" thickBot="1" x14ac:dyDescent="0.3">
      <c r="A84" s="64"/>
      <c r="B84" s="110" t="s">
        <v>277</v>
      </c>
      <c r="C84" s="138" t="s">
        <v>276</v>
      </c>
      <c r="D84" s="137" t="s">
        <v>275</v>
      </c>
      <c r="E84" s="136" t="s">
        <v>201</v>
      </c>
      <c r="F84" s="112">
        <v>3</v>
      </c>
      <c r="G84" s="135">
        <v>3</v>
      </c>
    </row>
    <row r="85" spans="1:7" ht="15.75" thickTop="1" x14ac:dyDescent="0.25">
      <c r="B85" s="104" t="s">
        <v>274</v>
      </c>
      <c r="C85" s="102" t="s">
        <v>273</v>
      </c>
      <c r="D85" s="102"/>
      <c r="E85" s="102"/>
      <c r="F85" s="124"/>
      <c r="G85" s="123"/>
    </row>
    <row r="86" spans="1:7" ht="24" x14ac:dyDescent="0.25">
      <c r="B86" s="99" t="s">
        <v>272</v>
      </c>
      <c r="C86" s="127" t="s">
        <v>271</v>
      </c>
      <c r="D86" s="113" t="s">
        <v>268</v>
      </c>
      <c r="E86" s="113" t="s">
        <v>201</v>
      </c>
      <c r="F86" s="112">
        <v>3</v>
      </c>
      <c r="G86" s="112">
        <v>3</v>
      </c>
    </row>
    <row r="87" spans="1:7" ht="24" x14ac:dyDescent="0.25">
      <c r="B87" s="99" t="s">
        <v>270</v>
      </c>
      <c r="C87" s="127" t="s">
        <v>269</v>
      </c>
      <c r="D87" s="96" t="s">
        <v>268</v>
      </c>
      <c r="E87" s="134" t="s">
        <v>207</v>
      </c>
      <c r="F87" s="112">
        <v>20</v>
      </c>
      <c r="G87" s="112">
        <v>20</v>
      </c>
    </row>
    <row r="88" spans="1:7" x14ac:dyDescent="0.25">
      <c r="B88" s="99" t="s">
        <v>267</v>
      </c>
      <c r="C88" s="127" t="s">
        <v>266</v>
      </c>
      <c r="D88" s="96" t="s">
        <v>263</v>
      </c>
      <c r="E88" s="113" t="s">
        <v>201</v>
      </c>
      <c r="F88" s="112">
        <v>3</v>
      </c>
      <c r="G88" s="112">
        <v>3</v>
      </c>
    </row>
    <row r="89" spans="1:7" x14ac:dyDescent="0.25">
      <c r="B89" s="99" t="s">
        <v>265</v>
      </c>
      <c r="C89" s="127" t="s">
        <v>264</v>
      </c>
      <c r="D89" s="96" t="s">
        <v>263</v>
      </c>
      <c r="E89" s="134" t="s">
        <v>207</v>
      </c>
      <c r="F89" s="112">
        <v>20</v>
      </c>
      <c r="G89" s="112">
        <v>20</v>
      </c>
    </row>
    <row r="90" spans="1:7" x14ac:dyDescent="0.25">
      <c r="B90" s="99" t="s">
        <v>262</v>
      </c>
      <c r="C90" s="127" t="s">
        <v>261</v>
      </c>
      <c r="D90" s="113" t="s">
        <v>258</v>
      </c>
      <c r="E90" s="113" t="s">
        <v>201</v>
      </c>
      <c r="F90" s="112">
        <v>3</v>
      </c>
      <c r="G90" s="112">
        <v>3</v>
      </c>
    </row>
    <row r="91" spans="1:7" x14ac:dyDescent="0.25">
      <c r="B91" s="99" t="s">
        <v>260</v>
      </c>
      <c r="C91" s="127" t="s">
        <v>259</v>
      </c>
      <c r="D91" s="96" t="s">
        <v>258</v>
      </c>
      <c r="E91" s="134" t="s">
        <v>207</v>
      </c>
      <c r="F91" s="112">
        <v>20</v>
      </c>
      <c r="G91" s="112">
        <v>20</v>
      </c>
    </row>
    <row r="92" spans="1:7" x14ac:dyDescent="0.25">
      <c r="B92" s="99" t="s">
        <v>257</v>
      </c>
      <c r="C92" s="127" t="s">
        <v>256</v>
      </c>
      <c r="D92" s="113" t="s">
        <v>253</v>
      </c>
      <c r="E92" s="113" t="s">
        <v>201</v>
      </c>
      <c r="F92" s="132">
        <v>3</v>
      </c>
      <c r="G92" s="131">
        <v>3</v>
      </c>
    </row>
    <row r="93" spans="1:7" ht="15.75" thickBot="1" x14ac:dyDescent="0.3">
      <c r="B93" s="110" t="s">
        <v>255</v>
      </c>
      <c r="C93" s="122" t="s">
        <v>254</v>
      </c>
      <c r="D93" s="119" t="s">
        <v>253</v>
      </c>
      <c r="E93" s="133" t="s">
        <v>207</v>
      </c>
      <c r="F93" s="121">
        <v>20</v>
      </c>
      <c r="G93" s="121">
        <v>20</v>
      </c>
    </row>
    <row r="94" spans="1:7" s="93" customFormat="1" ht="15.75" thickTop="1" x14ac:dyDescent="0.25">
      <c r="B94" s="104" t="s">
        <v>252</v>
      </c>
      <c r="C94" s="103" t="s">
        <v>251</v>
      </c>
      <c r="D94" s="103"/>
      <c r="E94" s="103"/>
      <c r="F94" s="100"/>
      <c r="G94" s="100"/>
    </row>
    <row r="95" spans="1:7" x14ac:dyDescent="0.25">
      <c r="B95" s="116" t="s">
        <v>250</v>
      </c>
      <c r="C95" s="127" t="s">
        <v>249</v>
      </c>
      <c r="D95" s="113" t="s">
        <v>246</v>
      </c>
      <c r="E95" s="113" t="s">
        <v>201</v>
      </c>
      <c r="F95" s="132">
        <v>4</v>
      </c>
      <c r="G95" s="131">
        <v>4</v>
      </c>
    </row>
    <row r="96" spans="1:7" ht="15.75" thickBot="1" x14ac:dyDescent="0.3">
      <c r="B96" s="110" t="s">
        <v>248</v>
      </c>
      <c r="C96" s="122" t="s">
        <v>247</v>
      </c>
      <c r="D96" s="119" t="s">
        <v>246</v>
      </c>
      <c r="E96" s="119" t="s">
        <v>207</v>
      </c>
      <c r="F96" s="121">
        <v>28</v>
      </c>
      <c r="G96" s="121">
        <v>28</v>
      </c>
    </row>
    <row r="97" spans="2:8" s="93" customFormat="1" ht="15.75" thickTop="1" x14ac:dyDescent="0.25">
      <c r="B97" s="104" t="s">
        <v>245</v>
      </c>
      <c r="C97" s="103" t="s">
        <v>244</v>
      </c>
      <c r="D97" s="103"/>
      <c r="E97" s="103"/>
      <c r="F97" s="100"/>
      <c r="G97" s="100"/>
    </row>
    <row r="98" spans="2:8" s="128" customFormat="1" x14ac:dyDescent="0.25">
      <c r="B98" s="99" t="s">
        <v>243</v>
      </c>
      <c r="C98" s="130" t="s">
        <v>242</v>
      </c>
      <c r="D98" s="96" t="s">
        <v>239</v>
      </c>
      <c r="E98" s="96" t="s">
        <v>201</v>
      </c>
      <c r="F98" s="112">
        <v>5</v>
      </c>
      <c r="G98" s="112">
        <v>5</v>
      </c>
    </row>
    <row r="99" spans="2:8" s="128" customFormat="1" ht="15.75" thickBot="1" x14ac:dyDescent="0.3">
      <c r="B99" s="99" t="s">
        <v>241</v>
      </c>
      <c r="C99" s="122" t="s">
        <v>240</v>
      </c>
      <c r="D99" s="119" t="s">
        <v>239</v>
      </c>
      <c r="E99" s="119" t="s">
        <v>207</v>
      </c>
      <c r="F99" s="95">
        <v>16</v>
      </c>
      <c r="G99" s="95">
        <v>16</v>
      </c>
    </row>
    <row r="100" spans="2:8" s="93" customFormat="1" ht="15.75" thickTop="1" x14ac:dyDescent="0.25">
      <c r="B100" s="125" t="s">
        <v>238</v>
      </c>
      <c r="C100" s="103" t="s">
        <v>237</v>
      </c>
      <c r="D100" s="103"/>
      <c r="E100" s="103"/>
      <c r="F100" s="124"/>
      <c r="G100" s="123"/>
    </row>
    <row r="101" spans="2:8" s="128" customFormat="1" x14ac:dyDescent="0.25">
      <c r="B101" s="99" t="s">
        <v>236</v>
      </c>
      <c r="C101" s="130" t="s">
        <v>235</v>
      </c>
      <c r="D101" s="96" t="s">
        <v>232</v>
      </c>
      <c r="E101" s="96" t="s">
        <v>201</v>
      </c>
      <c r="F101" s="112">
        <v>5</v>
      </c>
      <c r="G101" s="112">
        <v>5</v>
      </c>
    </row>
    <row r="102" spans="2:8" s="128" customFormat="1" ht="15.75" thickBot="1" x14ac:dyDescent="0.3">
      <c r="B102" s="99" t="s">
        <v>234</v>
      </c>
      <c r="C102" s="122" t="s">
        <v>233</v>
      </c>
      <c r="D102" s="119" t="s">
        <v>232</v>
      </c>
      <c r="E102" s="119" t="s">
        <v>207</v>
      </c>
      <c r="F102" s="121">
        <v>16</v>
      </c>
      <c r="G102" s="121">
        <v>16</v>
      </c>
      <c r="H102" s="129"/>
    </row>
    <row r="103" spans="2:8" s="93" customFormat="1" ht="15.75" thickTop="1" x14ac:dyDescent="0.25">
      <c r="B103" s="125" t="s">
        <v>231</v>
      </c>
      <c r="C103" s="103" t="s">
        <v>230</v>
      </c>
      <c r="D103" s="103"/>
      <c r="E103" s="102"/>
      <c r="F103" s="100"/>
      <c r="G103" s="100"/>
    </row>
    <row r="104" spans="2:8" x14ac:dyDescent="0.25">
      <c r="B104" s="116" t="s">
        <v>229</v>
      </c>
      <c r="C104" s="127" t="s">
        <v>228</v>
      </c>
      <c r="D104" s="96" t="s">
        <v>213</v>
      </c>
      <c r="E104" s="113" t="s">
        <v>201</v>
      </c>
      <c r="F104" s="112">
        <v>4</v>
      </c>
      <c r="G104" s="112">
        <v>4</v>
      </c>
    </row>
    <row r="105" spans="2:8" ht="15.75" thickBot="1" x14ac:dyDescent="0.3">
      <c r="B105" s="99" t="s">
        <v>227</v>
      </c>
      <c r="C105" s="122" t="s">
        <v>226</v>
      </c>
      <c r="D105" s="119" t="s">
        <v>213</v>
      </c>
      <c r="E105" s="119" t="s">
        <v>207</v>
      </c>
      <c r="F105" s="112">
        <v>16</v>
      </c>
      <c r="G105" s="112">
        <v>16</v>
      </c>
    </row>
    <row r="106" spans="2:8" s="93" customFormat="1" ht="15.75" thickTop="1" x14ac:dyDescent="0.25">
      <c r="B106" s="125" t="s">
        <v>225</v>
      </c>
      <c r="C106" s="103" t="s">
        <v>224</v>
      </c>
      <c r="D106" s="103"/>
      <c r="E106" s="103"/>
      <c r="F106" s="124"/>
      <c r="G106" s="123"/>
    </row>
    <row r="107" spans="2:8" s="120" customFormat="1" ht="15.75" thickBot="1" x14ac:dyDescent="0.3">
      <c r="B107" s="110" t="s">
        <v>223</v>
      </c>
      <c r="C107" s="122" t="s">
        <v>222</v>
      </c>
      <c r="D107" s="126"/>
      <c r="E107" s="119" t="s">
        <v>201</v>
      </c>
      <c r="F107" s="121">
        <v>5</v>
      </c>
      <c r="G107" s="121">
        <v>5</v>
      </c>
    </row>
    <row r="108" spans="2:8" s="93" customFormat="1" ht="15.75" thickTop="1" x14ac:dyDescent="0.25">
      <c r="B108" s="125" t="s">
        <v>221</v>
      </c>
      <c r="C108" s="103" t="s">
        <v>220</v>
      </c>
      <c r="D108" s="103"/>
      <c r="E108" s="103"/>
      <c r="F108" s="124"/>
      <c r="G108" s="123"/>
    </row>
    <row r="109" spans="2:8" s="120" customFormat="1" ht="15.75" thickBot="1" x14ac:dyDescent="0.3">
      <c r="B109" s="110" t="s">
        <v>219</v>
      </c>
      <c r="C109" s="122" t="s">
        <v>218</v>
      </c>
      <c r="D109" s="108" t="s">
        <v>202</v>
      </c>
      <c r="E109" s="119" t="s">
        <v>201</v>
      </c>
      <c r="F109" s="121">
        <v>4</v>
      </c>
      <c r="G109" s="121">
        <v>4</v>
      </c>
    </row>
    <row r="110" spans="2:8" s="93" customFormat="1" ht="15.75" thickTop="1" x14ac:dyDescent="0.25">
      <c r="B110" s="104" t="s">
        <v>217</v>
      </c>
      <c r="C110" s="103" t="s">
        <v>216</v>
      </c>
      <c r="D110" s="103"/>
      <c r="E110" s="103"/>
      <c r="F110" s="100"/>
      <c r="G110" s="100"/>
    </row>
    <row r="111" spans="2:8" ht="54.75" customHeight="1" thickBot="1" x14ac:dyDescent="0.3">
      <c r="B111" s="110" t="s">
        <v>215</v>
      </c>
      <c r="C111" s="109" t="s">
        <v>214</v>
      </c>
      <c r="D111" s="119" t="s">
        <v>213</v>
      </c>
      <c r="E111" s="119" t="s">
        <v>213</v>
      </c>
      <c r="F111" s="118" t="s">
        <v>213</v>
      </c>
      <c r="G111" s="117" t="s">
        <v>213</v>
      </c>
      <c r="H111" s="105"/>
    </row>
    <row r="112" spans="2:8" s="93" customFormat="1" ht="18.75" customHeight="1" thickTop="1" x14ac:dyDescent="0.25">
      <c r="B112" s="104" t="s">
        <v>212</v>
      </c>
      <c r="C112" s="103" t="s">
        <v>211</v>
      </c>
      <c r="D112" s="103"/>
      <c r="E112" s="102"/>
      <c r="F112" s="101"/>
      <c r="G112" s="100"/>
    </row>
    <row r="113" spans="1:8" x14ac:dyDescent="0.25">
      <c r="B113" s="116" t="s">
        <v>210</v>
      </c>
      <c r="C113" s="115" t="s">
        <v>203</v>
      </c>
      <c r="D113" s="114" t="s">
        <v>202</v>
      </c>
      <c r="E113" s="113" t="s">
        <v>201</v>
      </c>
      <c r="F113" s="112">
        <v>4</v>
      </c>
      <c r="G113" s="112">
        <v>4</v>
      </c>
    </row>
    <row r="114" spans="1:8" ht="15.75" thickBot="1" x14ac:dyDescent="0.3">
      <c r="A114" s="111"/>
      <c r="B114" s="110" t="s">
        <v>209</v>
      </c>
      <c r="C114" s="109" t="s">
        <v>208</v>
      </c>
      <c r="D114" s="108" t="s">
        <v>202</v>
      </c>
      <c r="E114" s="107" t="s">
        <v>207</v>
      </c>
      <c r="F114" s="106">
        <v>16</v>
      </c>
      <c r="G114" s="94">
        <v>16</v>
      </c>
      <c r="H114" s="105"/>
    </row>
    <row r="115" spans="1:8" s="93" customFormat="1" ht="18.75" customHeight="1" thickTop="1" x14ac:dyDescent="0.25">
      <c r="B115" s="104" t="s">
        <v>206</v>
      </c>
      <c r="C115" s="103" t="s">
        <v>205</v>
      </c>
      <c r="D115" s="103"/>
      <c r="E115" s="102"/>
      <c r="F115" s="101"/>
      <c r="G115" s="100"/>
    </row>
    <row r="116" spans="1:8" ht="15.75" thickBot="1" x14ac:dyDescent="0.3">
      <c r="B116" s="99" t="s">
        <v>204</v>
      </c>
      <c r="C116" s="98" t="s">
        <v>203</v>
      </c>
      <c r="D116" s="97" t="s">
        <v>202</v>
      </c>
      <c r="E116" s="96" t="s">
        <v>201</v>
      </c>
      <c r="F116" s="95">
        <v>2</v>
      </c>
      <c r="G116" s="94">
        <v>2</v>
      </c>
    </row>
    <row r="117" spans="1:8" s="93" customFormat="1" ht="16.5" thickTop="1" thickBot="1" x14ac:dyDescent="0.3">
      <c r="B117" s="303" t="s">
        <v>200</v>
      </c>
      <c r="C117" s="304"/>
      <c r="D117" s="304"/>
      <c r="E117" s="304"/>
      <c r="F117" s="304"/>
      <c r="G117" s="304"/>
    </row>
    <row r="118" spans="1:8" s="91" customFormat="1" ht="114" customHeight="1" thickBot="1" x14ac:dyDescent="0.3">
      <c r="A118" s="92"/>
      <c r="B118" s="305" t="s">
        <v>199</v>
      </c>
      <c r="C118" s="306"/>
      <c r="D118" s="306"/>
      <c r="E118" s="306"/>
      <c r="F118" s="306"/>
      <c r="G118" s="307"/>
    </row>
    <row r="121" spans="1:8" ht="15.75" x14ac:dyDescent="0.25">
      <c r="B121" s="87"/>
      <c r="C121" s="86"/>
      <c r="D121" s="86"/>
      <c r="E121" s="84"/>
      <c r="F121" s="83"/>
      <c r="G121" s="90"/>
    </row>
    <row r="122" spans="1:8" ht="15.75" x14ac:dyDescent="0.25">
      <c r="B122" s="87"/>
      <c r="C122" s="89"/>
      <c r="D122" s="86"/>
      <c r="E122" s="84"/>
      <c r="F122" s="83"/>
      <c r="G122" s="88"/>
    </row>
    <row r="123" spans="1:8" ht="15.75" x14ac:dyDescent="0.25">
      <c r="B123" s="87"/>
      <c r="C123" s="86"/>
      <c r="D123" s="85"/>
      <c r="E123" s="84"/>
      <c r="F123" s="83"/>
      <c r="G123" s="82"/>
    </row>
  </sheetData>
  <mergeCells count="4">
    <mergeCell ref="E1:G1"/>
    <mergeCell ref="B2:F2"/>
    <mergeCell ref="B117:G117"/>
    <mergeCell ref="B118:G118"/>
  </mergeCells>
  <pageMargins left="0.70866141732283472" right="0.70866141732283472" top="0.74803149606299213" bottom="0.74803149606299213" header="0.31496062992125984" footer="0.31496062992125984"/>
  <pageSetup paperSize="9" scale="7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096E8E7D588B24DAD98C2C685E53EFD" ma:contentTypeVersion="2" ma:contentTypeDescription="Создание документа." ma:contentTypeScope="" ma:versionID="4ccedb00303714f951193572c693cfb2">
  <xsd:schema xmlns:xsd="http://www.w3.org/2001/XMLSchema" xmlns:xs="http://www.w3.org/2001/XMLSchema" xmlns:p="http://schemas.microsoft.com/office/2006/metadata/properties" xmlns:ns2="370bd1f5-a59b-4c7c-bb46-3e525e5c7006" targetNamespace="http://schemas.microsoft.com/office/2006/metadata/properties" ma:root="true" ma:fieldsID="12a6924087d3c725f594e3bf0e64f691" ns2:_="">
    <xsd:import namespace="370bd1f5-a59b-4c7c-bb46-3e525e5c700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bd1f5-a59b-4c7c-bb46-3e525e5c70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095169-59D1-4390-8B06-60F2DE76C5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FBAC65-D66F-4DAA-B6B5-7E976CA09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bd1f5-a59b-4c7c-bb46-3e525e5c7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1884A7-6A96-4037-9BA4-E23D89C545B3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370bd1f5-a59b-4c7c-bb46-3e525e5c700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</vt:i4>
      </vt:variant>
    </vt:vector>
  </HeadingPairs>
  <TitlesOfParts>
    <vt:vector size="9" baseType="lpstr">
      <vt:lpstr>Лист1</vt:lpstr>
      <vt:lpstr>СВОД</vt:lpstr>
      <vt:lpstr>КП</vt:lpstr>
      <vt:lpstr>РД</vt:lpstr>
      <vt:lpstr>DATA</vt:lpstr>
      <vt:lpstr> ТРУДОЕМКОСТЬ</vt:lpstr>
      <vt:lpstr>Лист2</vt:lpstr>
      <vt:lpstr>Лист3</vt:lpstr>
      <vt:lpstr>' ТРУДОЕМКОСТЬ'!Область_печати</vt:lpstr>
    </vt:vector>
  </TitlesOfParts>
  <Manager/>
  <Company>SIBUR-Himprom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Щербина Елена Александровна</dc:creator>
  <cp:keywords/>
  <dc:description/>
  <cp:lastModifiedBy>Крупников Антон Владимирович</cp:lastModifiedBy>
  <cp:revision/>
  <cp:lastPrinted>2024-10-28T06:41:56Z</cp:lastPrinted>
  <dcterms:created xsi:type="dcterms:W3CDTF">2020-01-23T09:51:30Z</dcterms:created>
  <dcterms:modified xsi:type="dcterms:W3CDTF">2025-06-17T05:10:12Z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0x0101000096E8E7D588B24DAD98C2C685E53EFD</vt:lpwstr>
  </property>
</Properties>
</file>