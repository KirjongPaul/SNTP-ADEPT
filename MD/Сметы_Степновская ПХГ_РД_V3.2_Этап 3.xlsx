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_ТЕНДЕРЫ_М.Степаненко\2026-08_Степновская ПХГ_РД_ГИП Ефименко\"/>
    </mc:Choice>
  </mc:AlternateContent>
  <bookViews>
    <workbookView xWindow="0" yWindow="0" windowWidth="28800" windowHeight="12315" tabRatio="939"/>
  </bookViews>
  <sheets>
    <sheet name="СВОД" sheetId="1" r:id="rId1"/>
    <sheet name="РД 1.1 ГП+" sheetId="2" r:id="rId2"/>
    <sheet name="1.2 Автодороги" sheetId="3" r:id="rId3"/>
    <sheet name="1.3.1 ТХ" sheetId="4" r:id="rId4"/>
    <sheet name="1.3.2 ТХ+" sheetId="40" r:id="rId5"/>
    <sheet name="1.4 ОВ" sheetId="23" r:id="rId6"/>
    <sheet name="1.5 АСУТП этап3" sheetId="5" r:id="rId7"/>
    <sheet name="1.6 АСУЭ этап3" sheetId="11" r:id="rId8"/>
    <sheet name="1.7 АЭО этап3" sheetId="15" r:id="rId9"/>
    <sheet name="1.8 СПБА этап3" sheetId="18" r:id="rId10"/>
    <sheet name="1.9 СС" sheetId="26" r:id="rId11"/>
    <sheet name="1.10 ЭС+" sheetId="35" r:id="rId12"/>
    <sheet name="1.11 ЭХЗ+" sheetId="36" r:id="rId13"/>
    <sheet name="1.12 ВК" sheetId="37" r:id="rId14"/>
    <sheet name="1.13 ЛЧ+" sheetId="38" r:id="rId15"/>
    <sheet name="1.14 ПроектБур+" sheetId="39" r:id="rId16"/>
  </sheets>
  <externalReferences>
    <externalReference r:id="rId17"/>
    <externalReference r:id="rId18"/>
  </externalReferences>
  <definedNames>
    <definedName name="_" hidden="1">#REF!</definedName>
    <definedName name="____xlfn.BAHTTEXT" hidden="1">#NAME?</definedName>
    <definedName name="___xlfn.BAHTTEXT" hidden="1">#NAME?</definedName>
    <definedName name="__xlfn.BAHTTEXT" hidden="1">#NAME?</definedName>
    <definedName name="_FilterDatabase" hidden="1">#REF!</definedName>
    <definedName name="_xlnm._FilterDatabase" hidden="1">#REF!</definedName>
    <definedName name="ccc" hidden="1">{#N/A,#N/A,TRUE,"Смета на пасс. обор. №1"}</definedName>
    <definedName name="d" hidden="1">{#N/A,#N/A,FALSE,"Акт-Смета"}</definedName>
    <definedName name="f" hidden="1">{#N/A,#N/A,FALSE,"Акт-Смета"}</definedName>
    <definedName name="gh" hidden="1">{#N/A,#N/A,FALSE,"Акт-Смета"}</definedName>
    <definedName name="Header2" hidden="1">[0]!Header1-1 &amp; "." &amp; MAX(1,COUNTA(INDEX(#REF!,MATCH([0]!Header1-1,#REF!,FALSE)):#REF!))</definedName>
    <definedName name="hg" hidden="1">{#N/A,#N/A,FALSE,"Акт-Смета"}</definedName>
    <definedName name="HTML_CodePage" hidden="1">1251</definedName>
    <definedName name="HTML_Control" hidden="1">{"'UPGRADE'!$A$1:$S$79"}</definedName>
    <definedName name="HTML_Controll" hidden="1">{"'UPGRADE'!$A$1:$S$79"}</definedName>
    <definedName name="HTML_Description" hidden="1">""</definedName>
    <definedName name="HTML_Email" hidden="1">""</definedName>
    <definedName name="HTML_Header" hidden="1">"Upgrade"</definedName>
    <definedName name="HTML_LastUpdate" hidden="1">"26-июл-99"</definedName>
    <definedName name="HTML_LineAfter" hidden="1">FALSE</definedName>
    <definedName name="HTML_LineBefore" hidden="1">FALSE</definedName>
    <definedName name="HTML_Name" hidden="1">"Boris Panin"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WEB Server\Content\onhyphennt\Prices\Upgrade.htm"</definedName>
    <definedName name="HTML_PathTemplate" hidden="1">"C:\My WEB Server\Content\onhyphennt\Prices\DealerFullL.htm"</definedName>
    <definedName name="HTML_Title" hidden="1">"AdobePL3-99"</definedName>
    <definedName name="iii" hidden="1">{#N/A,#N/A,FALSE,"Шаблон_Спец1"}</definedName>
    <definedName name="j" hidden="1">{#N/A,#N/A,FALSE,"Акт-Смета"}</definedName>
    <definedName name="k" hidden="1">{#N/A,#N/A,FALSE,"Акт-Смета"}</definedName>
    <definedName name="m_PERIOD_NAME" hidden="1">[1]XLR_NoRangeSheet!$C$6</definedName>
    <definedName name="q" hidden="1">{#N/A,#N/A,FALSE,"Акт-Смета"}</definedName>
    <definedName name="SAPBEXhrIndnt" hidden="1">1</definedName>
    <definedName name="SAPBEXrevision" hidden="1">1</definedName>
    <definedName name="SAPBEXsysID" hidden="1">"BW2"</definedName>
    <definedName name="SAPBEXwbID" hidden="1">"CBM4XSVVG8NCUQFH77DO9WLLM"</definedName>
    <definedName name="SAPsysID" hidden="1">"708C5W7SBKP804JT78WJ0JNKI"</definedName>
    <definedName name="SAPwbID" hidden="1">"ARS"</definedName>
    <definedName name="wrn.1." hidden="1">{#N/A,#N/A,FALSE,"Шаблон_Спец1"}</definedName>
    <definedName name="wrn.2" hidden="1">{#N/A,#N/A,FALSE,"Шаблон_Спец1"}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o9." hidden="1">{#N/A,#N/A,FALSE,"Акт-Смета"}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sp2344." hidden="1">{#N/A,#N/A,TRUE,"Смета на пасс. обор. №1"}</definedName>
    <definedName name="wrn.sp2345" hidden="1">{#N/A,#N/A,TRUE,"Смета на пасс. обор. №1"}</definedName>
    <definedName name="wrn.Все." hidden="1">{#N/A,#N/A,TRUE,"Смета";#N/A,#N/A,TRUE,"Износ";#N/A,#N/A,TRUE,"Материалы";#N/A,#N/A,TRUE,"Оклад";#N/A,#N/A,TRUE,"Амортизация";#N/A,#N/A,TRUE,"Транспорт";#N/A,#N/A,TRUE,"Задание"}</definedName>
    <definedName name="wrn.о1." hidden="1">{#N/A,#N/A,FALSE,"Акт-Смета"}</definedName>
    <definedName name="wrn.протокол." hidden="1">{#N/A,#N/A,FALSE,"Откр.вод.(осн.)"}</definedName>
    <definedName name="wrn.тест." hidden="1">{#N/A,#N/A,TRUE,"Транспорт";#N/A,#N/A,TRUE,"Оклад"}</definedName>
    <definedName name="XLRPARAMS_ParamTitle" hidden="1">[2]XLR_NoRangeSheet!$B$6</definedName>
    <definedName name="Z_01B9E34F_80F0_46B9_B861_74B2A43D41B8_.wvu.FilterData" hidden="1">#REF!</definedName>
    <definedName name="Z_01C47C6E_73EE_40C4_8D09_6491185BFAFB_.wvu.FilterData" hidden="1">#REF!</definedName>
    <definedName name="Z_040DD8BD_D054_43F6_9140_DA543CBAAE85_.wvu.FilterData" hidden="1">#REF!</definedName>
    <definedName name="Z_04F359AE_C2F8_4E6E_9445_639809E70C2B_.wvu.FilterData" hidden="1">#REF!</definedName>
    <definedName name="Z_0547618D_99D3_445E_BB47_C926B9693DB3_.wvu.FilterData" hidden="1">#REF!</definedName>
    <definedName name="Z_06CB3EB2_D4A3_4793_B407_9559F20FAAAE_.wvu.FilterData" hidden="1">#REF!</definedName>
    <definedName name="Z_06F21C74_6BE8_4794_81F1_36C8305A2961_.wvu.FilterData" hidden="1">#REF!</definedName>
    <definedName name="Z_07830EC9_AADE_45ED_8B8D_20C0CE7C8B70_.wvu.FilterData" hidden="1">#REF!</definedName>
    <definedName name="Z_07868AE6_27AA_4310_BAAC_8AC06EAC052D_.wvu.FilterData" hidden="1">#REF!</definedName>
    <definedName name="Z_07BE7D07_EAEC_4901_80DE_3595577F308A_.wvu.FilterData" hidden="1">#REF!</definedName>
    <definedName name="Z_08020EC2_D5A6_490B_9239_7BF78C164E2C_.wvu.FilterData" hidden="1">#REF!</definedName>
    <definedName name="Z_09462F94_2769_47EB_B3C3_3E74F510592A_.wvu.FilterData" hidden="1">#REF!</definedName>
    <definedName name="Z_09F2EF98_EB70_4D7D_B098_01C0ABD72D72_.wvu.FilterData" hidden="1">#REF!</definedName>
    <definedName name="Z_0AB68407_2AB6_4CA7_B142_4E81F8B0217A_.wvu.FilterData" hidden="1">#REF!</definedName>
    <definedName name="Z_0AB68407_2AB6_4CA7_B142_4E81F8B0217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B85430C_45DD_4286_ABA4_7FF797A27DCE_.wvu.FilterData" hidden="1">#REF!</definedName>
    <definedName name="Z_0B9BA97A_1378_477A_9505_9EC28EDDEBC6_.wvu.FilterData" hidden="1">#REF!</definedName>
    <definedName name="Z_0D5F6C64_80DC_4C9D_9322_FB8825A62010_.wvu.FilterData" hidden="1">#REF!</definedName>
    <definedName name="Z_0ED647E8_4EEC_4A0D_9BC3_E1B24058B5A7_.wvu.FilterData" hidden="1">#REF!</definedName>
    <definedName name="Z_0FEE6DF0_B6B1_409E_9012_941C2AD3D757_.wvu.FilterData" hidden="1">#REF!</definedName>
    <definedName name="Z_123868D4_54BE_4BF2_BFE5_762F87CCFE6E_.wvu.FilterData" hidden="1">#REF!</definedName>
    <definedName name="Z_149A251D_CD71_4A1A_A398_F9876C4B21F8_.wvu.FilterData" hidden="1">#REF!</definedName>
    <definedName name="Z_15D77F25_0280_4EEF_B787_A334AC98CE0A_.wvu.FilterData" hidden="1">#REF!</definedName>
    <definedName name="Z_15E363F5_6D89_4329_B525_F25B1BD44BFF_.wvu.FilterData" hidden="1">#REF!</definedName>
    <definedName name="Z_1615E3F4_A531_4807_BF07_3B2E69772A77_.wvu.FilterData" hidden="1">#REF!</definedName>
    <definedName name="Z_17E084A6_F624_4F2A_A79B_8563FAB4AE96_.wvu.FilterData" hidden="1">#REF!</definedName>
    <definedName name="Z_184726B2_EF0C_425E_B815_4EC258A6C9DB_.wvu.FilterData" hidden="1">#REF!</definedName>
    <definedName name="Z_18A8D7D5_DF9E_4A4D_8EFF_A9EE9DF60A27_.wvu.FilterData" hidden="1">#REF!</definedName>
    <definedName name="Z_19A53A0C_7ADB_4052_B347_0E4C8E111035_.wvu.FilterData" hidden="1">#REF!</definedName>
    <definedName name="Z_1CE615D2_413C_43CB_8F33_9248DBCBF858_.wvu.FilterData" hidden="1">#REF!</definedName>
    <definedName name="Z_1DB39D48_C794_493B_AA3A_1E828B55A91A_.wvu.FilterData" hidden="1">#REF!</definedName>
    <definedName name="Z_1DE18FEB_0768_44AE_B506_5F73E524ACCA_.wvu.FilterData" hidden="1">#REF!</definedName>
    <definedName name="Z_1E6A9DD8_5B95_4131_B289_F29A975A49A6_.wvu.FilterData" hidden="1">#REF!</definedName>
    <definedName name="Z_1E6A9DD8_5B95_4131_B289_F29A975A49A6_.wvu.PrintTitles" hidden="1">#REF!</definedName>
    <definedName name="Z_1E798AD5_C1E3_4A7A_A5A8_2BD7D32A8590_.wvu.FilterData" hidden="1">#REF!</definedName>
    <definedName name="Z_1F446AC4_5836_4260_A19C_4DA439F4B49D_.wvu.FilterData" hidden="1">#REF!</definedName>
    <definedName name="Z_1F8A7AB2_1A58_4E9F_9E30_61282D0795C4_.wvu.FilterData" hidden="1">#REF!</definedName>
    <definedName name="Z_1F972D8D_5BFF_4180_87FB_A67EE7518876_.wvu.FilterData" hidden="1">#REF!</definedName>
    <definedName name="Z_20B88347_EA71_4B72_96F6_0430DD6CF683_.wvu.FilterData" hidden="1">#REF!</definedName>
    <definedName name="Z_2126CDAB_1156_4E6C_97E1_AA9A65DD6B1C_.wvu.FilterData" hidden="1">#REF!</definedName>
    <definedName name="Z_2139F629_098E_4DBA_80EC_9CAE7B114E3D_.wvu.FilterData" hidden="1">#REF!</definedName>
    <definedName name="Z_233204EA_2E5C_465D_A673_CD1522792965_.wvu.FilterData" hidden="1">#REF!</definedName>
    <definedName name="Z_23D4D87B_E328_42A4_850C_A5F5E38C0896_.wvu.FilterData" hidden="1">#REF!</definedName>
    <definedName name="Z_24528680_959E_4550_936C_1982C9D5AD93_.wvu.FilterData" hidden="1">#REF!</definedName>
    <definedName name="Z_260CB89E_3B5F_45AE_AEB4_D0CB957691B3_.wvu.FilterData" hidden="1">#REF!</definedName>
    <definedName name="Z_264C1B79_36AB_4A2F_B216_0AAE38D9FCEE_.wvu.FilterData" hidden="1">#REF!</definedName>
    <definedName name="Z_281063A5_BE88_49B0_9AE6_06DB95A6574F_.wvu.FilterData" hidden="1">#REF!</definedName>
    <definedName name="Z_29113478_A706_48CF_BCA7_D812794D724A_.wvu.FilterData" hidden="1">#REF!</definedName>
    <definedName name="Z_2935D90A_C0D5_4AAC_9F3B_860FFE850CF8_.wvu.FilterData" hidden="1">#REF!</definedName>
    <definedName name="Z_2AB7915D_DACF_4EC4_BC32_ED6C7808E238_.wvu.FilterData" hidden="1">#REF!</definedName>
    <definedName name="Z_2B1FB9BC_DA2A_4B49_B62E_C3814E35D3D6_.wvu.FilterData" hidden="1">#REF!</definedName>
    <definedName name="Z_2BB0C1CE_B092_4E45_8314_5AF04D1A5585_.wvu.FilterData" hidden="1">#REF!</definedName>
    <definedName name="Z_2F70B19E_92D8_4B52_A9E0_5AA5E351B875_.wvu.FilterData" hidden="1">#REF!</definedName>
    <definedName name="Z_2FDE9FB7_A9E4_4C59_BAF3_4B314E523113_.wvu.FilterData" hidden="1">#REF!</definedName>
    <definedName name="Z_3207F8D0_941B_4818_9EDF_0F0E6A8FB699_.wvu.FilterData" hidden="1">#REF!</definedName>
    <definedName name="Z_326A8AD5_6F81_4722_AB32_2B8561C0B27F_.wvu.FilterData" hidden="1">#REF!</definedName>
    <definedName name="Z_338AA561_3E23_4683_8B84_5BDD13F5FB22_.wvu.FilterData" hidden="1">#REF!</definedName>
    <definedName name="Z_33EFE1D4_1635_4E36_8971_B021BA5B94A3_.wvu.FilterData" hidden="1">#REF!</definedName>
    <definedName name="Z_344D8FDE_1BF2_4A0B_879A_F4B9D317F6C2_.wvu.FilterData" hidden="1">#REF!</definedName>
    <definedName name="Z_34BB3CAB_4C66_4107_B4AC_9CC7E430216B_.wvu.FilterData" hidden="1">#REF!</definedName>
    <definedName name="Z_36FF74A7_09C2_427F_B4E2_AFC58FD33E4E_.wvu.FilterData" hidden="1">#REF!</definedName>
    <definedName name="Z_3801DCB7_5391_4628_B86C_91331E33E863_.wvu.FilterData" hidden="1">#REF!</definedName>
    <definedName name="Z_39C6E7EB_35AE_4990_B01E_5CE29EE5C78D_.wvu.FilterData" hidden="1">#REF!</definedName>
    <definedName name="Z_39DCE38A_8BFC_42B0_BE58_05B2B8E3CF93_.wvu.FilterData" hidden="1">#REF!</definedName>
    <definedName name="Z_3A160DE1_3AF2_4676_8E42_85B4E23450DD_.wvu.FilterData" hidden="1">#REF!</definedName>
    <definedName name="Z_3C62743D_BD70_48A9_935D_71359E3E6185_.wvu.FilterData" hidden="1">#REF!</definedName>
    <definedName name="Z_3E0AC507_7D67_4827_9D1C_B08EEB845EEE_.wvu.FilterData" hidden="1">#REF!</definedName>
    <definedName name="Z_3E55370D_CDBE_46FE_9787_E04F332531E6_.wvu.FilterData" hidden="1">#REF!</definedName>
    <definedName name="Z_3F84FB7B_8ACA_41F1_9D3E_880588F02BE6_.wvu.FilterData" hidden="1">#REF!</definedName>
    <definedName name="Z_41411E57_1B24_4F47_9532_3D6B371216B7_.wvu.FilterData" hidden="1">#REF!</definedName>
    <definedName name="Z_43E54362_25E0_43EA_8D89_B59839049F13_.wvu.FilterData" hidden="1">#REF!</definedName>
    <definedName name="Z_465671FE_53E9_4F55_BC3A_126618F4D0C6_.wvu.FilterData" hidden="1">#REF!</definedName>
    <definedName name="Z_47597DAC_F7F1_4549_8981_4D473E4A7ACC_.wvu.FilterData" hidden="1">#REF!</definedName>
    <definedName name="Z_487A38C1_073E_471A_9668_6284958D8DBA_.wvu.FilterData" hidden="1">#REF!</definedName>
    <definedName name="Z_4CF92307_2217_4DE3_996A_A3115CFB22C6_.wvu.FilterData" hidden="1">#REF!</definedName>
    <definedName name="Z_4D3A3A50_1E5E_4ABD_B42A_A700F2D9FA9C_.wvu.FilterData" hidden="1">#REF!</definedName>
    <definedName name="Z_4E5084C6_988E_4780_93B3_7C0275D06567_.wvu.FilterData" hidden="1">#REF!</definedName>
    <definedName name="Z_4F345B1E_296C_4D08_A451_454D67258D24_.wvu.FilterData" hidden="1">#REF!</definedName>
    <definedName name="Z_52BC56C2_1006_4B41_A42A_6B40554CDA39_.wvu.FilterData" hidden="1">#REF!</definedName>
    <definedName name="Z_5319CC99_822D_406F_9C12_25F47E472F3D_.wvu.FilterData" hidden="1">#REF!</definedName>
    <definedName name="Z_531A2E4D_1988_4D59_B927_B7190C80EBAA_.wvu.FilterData" hidden="1">#REF!</definedName>
    <definedName name="Z_540A29FC_6866_45E6_BCF1_3D779D34DD08_.wvu.FilterData" hidden="1">#REF!</definedName>
    <definedName name="Z_5520ABA1_AA06_4713_8D35_BC0DC6F6E924_.wvu.FilterData" hidden="1">#REF!</definedName>
    <definedName name="Z_55DB2FC2_4B03_4B29_9354_7D40FB3B7538_.wvu.FilterData" hidden="1">#REF!</definedName>
    <definedName name="Z_56E2F2B5_BB44_431E_ACC1_F39B0DD4EA71_.wvu.FilterData" hidden="1">#REF!</definedName>
    <definedName name="Z_5A5F47F0_2B02_425F_9509_902FEC6CB8D4_.wvu.FilterData" hidden="1">#REF!</definedName>
    <definedName name="Z_5A706A12_B85E_41E2_8BDD_EC85C55902AB_.wvu.FilterData" hidden="1">#REF!</definedName>
    <definedName name="Z_5B398CB5_38BC_4CC3_9A0E_9513DC3E75AD_.wvu.FilterData" hidden="1">#REF!</definedName>
    <definedName name="Z_5CA8EFA6_7E89_4616_928A_39059E3AA216_.wvu.FilterData" hidden="1">#REF!</definedName>
    <definedName name="Z_60FDB94A_50AF_4E10_876B_D144A2E9568B_.wvu.FilterData" hidden="1">#REF!</definedName>
    <definedName name="Z_63475192_9094_4BA2_9AFC_8536BC77489E_.wvu.FilterData" hidden="1">#REF!</definedName>
    <definedName name="Z_6403545B_2A3B_4863_8819_F89E80114385_.wvu.FilterData" hidden="1">#REF!</definedName>
    <definedName name="Z_66636C07_5702_4EF3_B655_CDBAF654F15A_.wvu.FilterData" hidden="1">#REF!</definedName>
    <definedName name="Z_6963484B_0282_48B8_8317_EBF3903C7746_.wvu.FilterData" hidden="1">#REF!</definedName>
    <definedName name="Z_69D06662_5693_4F4C_AFD2_A32734DE2B11_.wvu.FilterData" hidden="1">#REF!</definedName>
    <definedName name="Z_6AE2FF41_261D_4F00_9D6D_F4804D21DDB3_.wvu.FilterData" hidden="1">#REF!</definedName>
    <definedName name="Z_6B67A6A0_1413_448D_98A5_D43F57DEC926_.wvu.FilterData" hidden="1">#REF!</definedName>
    <definedName name="Z_6B73B95E_43C0_4085_B9FE_22A6F30869ED_.wvu.FilterData" hidden="1">#REF!</definedName>
    <definedName name="Z_6BCB3D0F_5DBD_48EF_9460_43FFCBBCD422_.wvu.FilterData" hidden="1">#REF!</definedName>
    <definedName name="Z_6C3174E8_A2D4_4179_AA88_08CB5E7EA480_.wvu.FilterData" hidden="1">#REF!</definedName>
    <definedName name="Z_6CA47E86_B3B9_49E0_9BB0_E98600830225_.wvu.FilterData" hidden="1">#REF!</definedName>
    <definedName name="Z_6CF14753_FB4C_4C53_8AD7_D56F6E280083_.wvu.FilterData" hidden="1">#REF!</definedName>
    <definedName name="Z_6D917413_A3B5_4E5B_9004_56E0184D00F3_.wvu.FilterData" hidden="1">#REF!</definedName>
    <definedName name="Z_6E299587_D8E0_4139_8A2F_67139875A814_.wvu.FilterData" hidden="1">#REF!</definedName>
    <definedName name="Z_6FD7247E_19B7_4029_9F3A_EE01E21A1B67_.wvu.FilterData" hidden="1">#REF!</definedName>
    <definedName name="Z_70C94FA5_FE89_4042_B93F_6AAFC00B0B8D_.wvu.FilterData" hidden="1">#REF!</definedName>
    <definedName name="Z_735B96DC_7219_4D8B_ABAD_220D2B7947CB_.wvu.FilterData" hidden="1">#REF!</definedName>
    <definedName name="Z_7477AF3A_2BAF_4725_8909_5A723A8007EF_.wvu.FilterData" hidden="1">#REF!</definedName>
    <definedName name="Z_769F22F0_2CE4_4330_85CB_1C9A68E8695A_.wvu.Cols" hidden="1">#REF!</definedName>
    <definedName name="Z_779FC938_DF7A_4CF6_94B0_CDCDD6986FF7_.wvu.FilterData" hidden="1">#REF!</definedName>
    <definedName name="Z_77C15715_A4AB_4912_82E3_0F7DB54190C8_.wvu.FilterData" hidden="1">#REF!</definedName>
    <definedName name="Z_78843FEE_592A_4684_AA75_B78B1EF9F038_.wvu.FilterData" hidden="1">#REF!</definedName>
    <definedName name="Z_7990C264_C2FA_4640_A803_28B1D360B5E8_.wvu.FilterData" hidden="1">#REF!</definedName>
    <definedName name="Z_7A398D2C_8D5C_43F0_ACD4_39BBBD17F460_.wvu.FilterData" hidden="1">#REF!</definedName>
    <definedName name="Z_7BCAD35B_48BA_4F56_9D13_DD526F9AC0B8_.wvu.FilterData" hidden="1">#REF!</definedName>
    <definedName name="Z_7C4B07A8_2C5F_4DD5_99EB_9D4251FC0870_.wvu.FilterData" hidden="1">#REF!</definedName>
    <definedName name="Z_7C5D64EB_B280_4DF7_8070_7F6FFC6C118D_.wvu.FilterData" hidden="1">#REF!</definedName>
    <definedName name="Z_7CB778C4_AF6E_4D70_BAFD_ACCBAF83FC37_.wvu.FilterData" hidden="1">#REF!</definedName>
    <definedName name="Z_7DCC4356_81CF_48CE_B7EB_F916460AE99C_.wvu.FilterData" hidden="1">#REF!</definedName>
    <definedName name="Z_80BB6A2B_9544_4672_8398_FF4DA23DF7E3_.wvu.FilterData" hidden="1">#REF!</definedName>
    <definedName name="Z_82B9C43D_DB96_4397_AB1F_50E5A3A51795_.wvu.FilterData" hidden="1">#REF!</definedName>
    <definedName name="Z_82C8496E_E420_4D06_A8C1_E376CC09F820_.wvu.FilterData" hidden="1">#REF!</definedName>
    <definedName name="Z_837E5FC6_4281_4107_B0DC_A8F463497E55_.wvu.FilterData" hidden="1">#REF!</definedName>
    <definedName name="Z_83DCEEFF_4705_40AE_8072_0483B5743B5D_.wvu.FilterData" hidden="1">#REF!</definedName>
    <definedName name="Z_847A5FFF_A89C_4897_906B_EE405B25B225_.wvu.FilterData" hidden="1">#REF!</definedName>
    <definedName name="Z_854255C5_1077_459B_B647_AC8F4FD47D3A_.wvu.FilterData" hidden="1">#REF!</definedName>
    <definedName name="Z_85688AD2_A893_478E_9B2F_09B7C42482BA_.wvu.FilterData" hidden="1">#REF!</definedName>
    <definedName name="Z_86E9B424_197E_49CF_BFDA_2932BCEDD971_.wvu.FilterData" hidden="1">#REF!</definedName>
    <definedName name="Z_87D15442_58BD_4F3C_94DE_531020BB2A9F_.wvu.FilterData" hidden="1">#REF!</definedName>
    <definedName name="Z_87D52449_3B5E_4E8B_88A5_E300D9996EC7_.wvu.FilterData" hidden="1">#REF!</definedName>
    <definedName name="Z_889FE9FF_01D3_44AA_A47F_CD9BB14E2F74_.wvu.FilterData" hidden="1">#REF!</definedName>
    <definedName name="Z_8A11493B_31C6_480A_939B_94F8B46F7CAD_.wvu.FilterData" hidden="1">#REF!</definedName>
    <definedName name="Z_8A3676BD_192D_4B28_9F15_641104F7EB84_.wvu.FilterData" hidden="1">#REF!</definedName>
    <definedName name="Z_8AC1FF86_8181_4D33_A09C_D9252642F43D_.wvu.FilterData" hidden="1">#REF!</definedName>
    <definedName name="Z_8BCA58BD_70B7_40CE_A039_A616AAA9DF70_.wvu.FilterData" hidden="1">#REF!</definedName>
    <definedName name="Z_8C04156B_ECE3_4BE6_AE81_B06AC9DDCBBD_.wvu.FilterData" hidden="1">#REF!</definedName>
    <definedName name="Z_8D3BBDE3_D029_48FA_A7B1_266CA3A2B214_.wvu.FilterData" hidden="1">#REF!</definedName>
    <definedName name="Z_8D4E2CE7_B4AE_4487_A6EA_D94B532EF301_.wvu.FilterData" hidden="1">#REF!</definedName>
    <definedName name="Z_8EF961B3_4699_4490_B556_B5887737954D_.wvu.FilterData" hidden="1">#REF!</definedName>
    <definedName name="Z_8F73BF06_066B_4104_83FA_9338D9429A84_.wvu.FilterData" hidden="1">#REF!</definedName>
    <definedName name="Z_91195996_3591_4989_AC51_1CC20C4DA8EA_.wvu.FilterData" hidden="1">#REF!</definedName>
    <definedName name="Z_9337D27C_F450_4E0F_A993_9FA6026031B4_.wvu.FilterData" hidden="1">#REF!</definedName>
    <definedName name="Z_941E78A0_DA15_4559_8D24_47E60F64B332_.wvu.FilterData" hidden="1">#REF!</definedName>
    <definedName name="Z_96F2EE26_6561_4F4C_A5EB_5B153675D529_.wvu.FilterData" hidden="1">#REF!</definedName>
    <definedName name="Z_97D4D5E5_43F4_446C_A651_11999CE73F0D_.wvu.FilterData" hidden="1">#REF!</definedName>
    <definedName name="Z_9B9949C8_0BAA_4B11_A1CA_00EC9D2DC419_.wvu.FilterData" hidden="1">#REF!</definedName>
    <definedName name="Z_9C3E33FF_6562_4D26_BDF3_B29555E64301_.wvu.FilterData" hidden="1">#REF!</definedName>
    <definedName name="Z_9DFA07EB_C6E0_4532_9E8F_13C24B46A1AE_.wvu.FilterData" hidden="1">#REF!</definedName>
    <definedName name="Z_A0DAD961_7197_404E_AC96_B0E615F9E830_.wvu.FilterData" hidden="1">#REF!</definedName>
    <definedName name="Z_A24ACA16_EB04_482F_BB9A_2599E185C3D3_.wvu.FilterData" hidden="1">#REF!</definedName>
    <definedName name="Z_A4633B85_467D_49EB_95E7_E7B11A609631_.wvu.Cols" hidden="1">#REF!,#REF!</definedName>
    <definedName name="Z_A4633B85_467D_49EB_95E7_E7B11A609631_.wvu.Rows" hidden="1">#REF!,#REF!</definedName>
    <definedName name="Z_A4C45DF8_E6D8_4B06_84E7_81A5A9500D55_.wvu.FilterData" hidden="1">#REF!</definedName>
    <definedName name="Z_A52E95D2_430A_43EF_8C82_83878B555090_.wvu.FilterData" hidden="1">#REF!</definedName>
    <definedName name="Z_A564E848_8A16_4DE3_8578_F95B0AFD9DC2_.wvu.FilterData" hidden="1">#REF!</definedName>
    <definedName name="Z_A781204A_C096_4FD9_8686_E749AD880175_.wvu.FilterData" hidden="1">#REF!</definedName>
    <definedName name="Z_A8794A83_181C_4122_B911_4BBD3A571DEC_.wvu.FilterData" hidden="1">#REF!</definedName>
    <definedName name="Z_AA3FC3D4_6E6E_4CE7_81E8_4A7B17AB1715_.wvu.FilterData" hidden="1">#REF!</definedName>
    <definedName name="Z_AAB7394C_3FF8_4265_B8C2_66BBB8B1248C_.wvu.FilterData" hidden="1">#REF!</definedName>
    <definedName name="Z_ABFCADC3_4CF7_48CF_B39D_E5828A75D43E_.wvu.FilterData" hidden="1">#REF!</definedName>
    <definedName name="Z_AC4A34A8_23F5_4C09_A60F_7421B1C74590_.wvu.FilterData" hidden="1">#REF!</definedName>
    <definedName name="Z_AC584ACE_C266_4881_B354_E52E6427C1D4_.wvu.FilterData" hidden="1">#REF!</definedName>
    <definedName name="Z_AD28BEA7_74AD_4668_98DA_B02594AB4A9F_.wvu.FilterData" hidden="1">#REF!</definedName>
    <definedName name="Z_ADDFEFC7_F8D4_4F51_8B45_4DF1B03C1D84_.wvu.FilterData" hidden="1">#REF!</definedName>
    <definedName name="Z_AFC4E5D4_3A50_4BD7_8981_E00CA5601E99_.wvu.FilterData" hidden="1">#REF!</definedName>
    <definedName name="Z_B0364D3E_645F_4033_893D_29F2224BCCD7_.wvu.FilterData" hidden="1">#REF!</definedName>
    <definedName name="Z_B08CF5DC_76DD_45F7_8117_C9FE4CDFE13D_.wvu.FilterData" hidden="1">#REF!</definedName>
    <definedName name="Z_B13DA151_EB04_4E46_A0CB_FABFF9C5DF72_.wvu.FilterData" hidden="1">#REF!</definedName>
    <definedName name="Z_B340090A_7121_4DF7_B8FD_E7BF8654F2EB_.wvu.FilterData" hidden="1">#REF!</definedName>
    <definedName name="Z_B3790809_8402_4639_802D_68CB564D3CAD_.wvu.FilterData" hidden="1">#REF!</definedName>
    <definedName name="Z_B3C1D59A_903F_46DF_8DF2_31381BD91025_.wvu.FilterData" hidden="1">#REF!</definedName>
    <definedName name="Z_B3CDBC94_37F5_4116_BD6E_D5B385C07413_.wvu.FilterData" hidden="1">#REF!</definedName>
    <definedName name="Z_B40719B5_6DD8_41F3_9C61_FA18B7BEC194_.wvu.FilterData" hidden="1">#REF!</definedName>
    <definedName name="Z_B5FB1767_00F1_47E1_979A_38E2CFECCE4E_.wvu.FilterData" hidden="1">#REF!</definedName>
    <definedName name="Z_B6D61CEC_479F_40D2_BFB7_830AFA48121C_.wvu.FilterData" hidden="1">#REF!</definedName>
    <definedName name="Z_B6EA8A04_6067_4CED_8676_4375FC6E4929_.wvu.FilterData" hidden="1">#REF!</definedName>
    <definedName name="Z_B8515688_C072_49D4_80D4_1978E858526D_.wvu.FilterData" hidden="1">#REF!</definedName>
    <definedName name="Z_BB0C7DED_1A2A_447D_AC53_8122CFF9D6F6_.wvu.FilterData" hidden="1">#REF!</definedName>
    <definedName name="Z_BD047219_C723_45AF_B6CE_3194D750F96A_.wvu.FilterData" hidden="1">#REF!</definedName>
    <definedName name="Z_BD9F2785_62CE_454B_8EC4_5B70580F1E90_.wvu.FilterData" hidden="1">#REF!</definedName>
    <definedName name="Z_BF9A441D_91C9_4CBB_A8C6_B1C8DDED0022_.wvu.FilterData" hidden="1">#REF!</definedName>
    <definedName name="Z_BFC54781_86DE_4A03_8DE2_96245227F466_.wvu.FilterData" hidden="1">#REF!</definedName>
    <definedName name="Z_BFD46250_AAC1_4A55_AF46_ED8E09898BF5_.wvu.FilterData" hidden="1">#REF!</definedName>
    <definedName name="Z_C061817B_F471_4B81_90AE_E317DA2C9A58_.wvu.FilterData" hidden="1">#REF!</definedName>
    <definedName name="Z_C131E47D_3396_4B17_9E92_DB888AEA91D5_.wvu.FilterData" hidden="1">#REF!</definedName>
    <definedName name="Z_C1802170_5495_42FB_B728_35CD980B19D6_.wvu.FilterData" hidden="1">#REF!</definedName>
    <definedName name="Z_C26D4D2E_294B_4D2B_871F_2EC8A4E760C7_.wvu.FilterData" hidden="1">#REF!</definedName>
    <definedName name="Z_C3063329_D0D0_4637_A72C_F328A5547CE7_.wvu.FilterData" hidden="1">#REF!</definedName>
    <definedName name="Z_C3D9BAF0_1C78_4CB5_AEF9_0EEE2A9DE669_.wvu.FilterData" hidden="1">#REF!</definedName>
    <definedName name="Z_C4068392_70E2_11D7_882C_000102B7EA93_.wvu.FilterData" hidden="1">#REF!</definedName>
    <definedName name="Z_C52FD69E_5B9C_4D82_B7ED_70C261BE0700_.wvu.FilterData" hidden="1">#REF!</definedName>
    <definedName name="Z_C5C733EB_610D_427A_858C_C033BAAB9779_.wvu.FilterData" hidden="1">#REF!</definedName>
    <definedName name="Z_C6A4B951_CE93_4890_83F3_C23448F2D1D7_.wvu.FilterData" hidden="1">#REF!</definedName>
    <definedName name="Z_C76CCD33_7C08_45FB_9AA2_FEC286E8C541_.wvu.FilterData" hidden="1">#REF!</definedName>
    <definedName name="Z_C8B71C34_C314_4936_BB18_B6D11C7CA539_.wvu.FilterData" hidden="1">#REF!</definedName>
    <definedName name="Z_C9C06A35_3B51_4DE2_AA97_F5650AC53897_.wvu.FilterData" hidden="1">#REF!</definedName>
    <definedName name="Z_CC9625CD_AAA3_4136_9705_36B82D07620E_.wvu.FilterData" hidden="1">#REF!</definedName>
    <definedName name="Z_CCACCE7A_EDA9_4FA4_88F6_AD6D5528E296_.wvu.FilterData" hidden="1">#REF!</definedName>
    <definedName name="Z_CDBBB3DF_C053_4317_9584_CD4D6DEEA688_.wvu.FilterData" hidden="1">#REF!</definedName>
    <definedName name="Z_CDFC9A88_B0BB_44E0_97F8_9097DD382BA5_.wvu.FilterData" hidden="1">#REF!</definedName>
    <definedName name="Z_CEDDC640_EE2A_4435_891D_2BDAE542CFD2_.wvu.FilterData" hidden="1">#REF!</definedName>
    <definedName name="Z_D1A82D5E_68FD_4B68_9784_52B58E5636E7_.wvu.FilterData" hidden="1">#REF!</definedName>
    <definedName name="Z_D1FAB40C_1B34_4F9F_B37A_5127BD88BBAC_.wvu.FilterData" hidden="1">#REF!</definedName>
    <definedName name="Z_D33463D8_B4A5_4DE4_B640_CAF7C4299D90_.wvu.FilterData" hidden="1">#REF!</definedName>
    <definedName name="Z_D6830399_E8F9_4A93_AD4C_0F373575B429_.wvu.FilterData" hidden="1">#REF!</definedName>
    <definedName name="Z_D77BD545_7453_49A9_86C7_0D8CE7EAA505_.wvu.FilterData" hidden="1">#REF!</definedName>
    <definedName name="Z_D7F87DB1_1990_4C3B_B971_3A6FA5D118CD_.wvu.FilterData" hidden="1">#REF!</definedName>
    <definedName name="Z_D8642325_9460_4501_938F_B70C469BB94C_.wvu.FilterData" hidden="1">#REF!</definedName>
    <definedName name="Z_DB5E2E10_5DC2_40A7_BA2F_BA4FCB2CBC8C_.wvu.FilterData" hidden="1">#REF!</definedName>
    <definedName name="Z_DB6923EA_4BB0_4B7E_AA47_83C7BF949F2A_.wvu.FilterData" hidden="1">#REF!</definedName>
    <definedName name="Z_DB98C602_A4A4_4B70_9ED4_358D78C2BD5B_.wvu.FilterData" hidden="1">#REF!</definedName>
    <definedName name="Z_DCEF54AB_2F3C_4138_9518_0AF912DE68F1_.wvu.FilterData" hidden="1">#REF!</definedName>
    <definedName name="Z_DD0EE640_D13F_4234_9EE5_3AFCE632A5F2_.wvu.FilterData" hidden="1">#REF!</definedName>
    <definedName name="Z_DFA9743D_F3CE_4CF4_8864_78598D0D751C_.wvu.FilterData" hidden="1">#REF!</definedName>
    <definedName name="Z_DFE430D0_DD4E_4E40_B190_19BEE9AD0CBC_.wvu.FilterData" hidden="1">#REF!</definedName>
    <definedName name="Z_E2547EDD_D29F_4DEE_98C5_A9AA79B5E613_.wvu.FilterData" hidden="1">#REF!</definedName>
    <definedName name="Z_E62B5FDD_E3DE_49E6_BA80_5948A7E0F370_.wvu.FilterData" hidden="1">#REF!</definedName>
    <definedName name="Z_E65CFA7E_41DA_408C_A2AF_C9D9D211D253_.wvu.FilterData" hidden="1">#REF!</definedName>
    <definedName name="Z_E716EB83_6184_4934_AC9A_F207DFF8271C_.wvu.FilterData" hidden="1">#REF!</definedName>
    <definedName name="Z_E8DA1088_1B70_45BC_9580_AB21C9779799_.wvu.FilterData" hidden="1">#REF!</definedName>
    <definedName name="Z_EA132528_EA87_4E89_88E7_B910C8737820_.wvu.FilterData" hidden="1">#REF!</definedName>
    <definedName name="Z_EACA5552_6A11_454F_9370_90ABEB10D353_.wvu.FilterData" hidden="1">#REF!</definedName>
    <definedName name="Z_EAD327E5_03D5_4FE6_B20C_6C8F8ED20FDA_.wvu.FilterData" hidden="1">#REF!</definedName>
    <definedName name="Z_EC0806A7_F8A5_4AB0_9843_BEFEA068EF84_.wvu.FilterData" hidden="1">#REF!</definedName>
    <definedName name="Z_EC3BDFDA_32DB_46B4_9DB8_447FB9651E99_.wvu.FilterData" hidden="1">#REF!</definedName>
    <definedName name="Z_EC73F126_448D_4348_A573_3BC24AC8795A_.wvu.FilterData" hidden="1">#REF!</definedName>
    <definedName name="Z_EE2FF224_EB99_4F66_89A5_BA724EA24427_.wvu.FilterData" hidden="1">#REF!</definedName>
    <definedName name="Z_EE59C669_DD06_4D54_A54F_AB6454CED5F7_.wvu.FilterData" hidden="1">#REF!</definedName>
    <definedName name="Z_EEB39A19_0FC3_44FD_AFD3_08049C71CA5C_.wvu.FilterData" hidden="1">#REF!</definedName>
    <definedName name="Z_EF0F7889_2C1E_4238_8B7B_8D0D4B99295B_.wvu.FilterData" hidden="1">#REF!</definedName>
    <definedName name="Z_F0BEE053_CC9E_4B75_A7ED_8354A3C87E6D_.wvu.FilterData" hidden="1">#REF!</definedName>
    <definedName name="Z_F1763C82_6D53_4E59_B1FD_6E1B32681758_.wvu.FilterData" hidden="1">#REF!</definedName>
    <definedName name="Z_F2091873_10D4_489F_B19B_F2EFD09E7524_.wvu.FilterData" hidden="1">#REF!</definedName>
    <definedName name="Z_F35BBA14_C940_4E05_8D2F_8EF2382BD8E9_.wvu.FilterData" hidden="1">#REF!</definedName>
    <definedName name="Z_F6A8A1D4_2E27_4066_BF73_DF05C2A1BE54_.wvu.FilterData" hidden="1">#REF!</definedName>
    <definedName name="Z_F6F91436_DB8C_43B9_9601_ADA87F20DA85_.wvu.FilterData" hidden="1">#REF!</definedName>
    <definedName name="Z_F9D42F6D_FBB8_4347_9609_09FB930659C7_.wvu.FilterData" hidden="1">#REF!</definedName>
    <definedName name="Z_FA249B36_5B5A_4A16_9895_DFF5A4371322_.wvu.FilterData" hidden="1">#REF!</definedName>
    <definedName name="Z_FA2BA62A_D02C_47A4_B101_F560E4F5A890_.wvu.FilterData" hidden="1">#REF!</definedName>
    <definedName name="Z_FAE2F684_3BFD_4D9A_A781_817E0C770D03_.wvu.FilterData" hidden="1">#REF!</definedName>
    <definedName name="Z_FB4DC09B_2939_4303_BE5F_7A353FD7CA56_.wvu.FilterData" hidden="1">#REF!</definedName>
    <definedName name="Z_FE91E8DA_1017_4CBC_AA5E_26CB5F0FC9EA_.wvu.FilterData" hidden="1">#REF!</definedName>
    <definedName name="Z_FEC78678_1464_4166_9FC6_867AD5962476_.wvu.FilterData" hidden="1">#REF!</definedName>
    <definedName name="_xlnm.Auto_Open_" hidden="1">#REF!</definedName>
    <definedName name="_xlnm.Auto_Open_ФильтрБазыДанных" hidden="1">#REF!</definedName>
    <definedName name="_xlnm.Auto_OpenАвто_открыть_ФильтрБазыДанных" hidden="1">#REF!</definedName>
    <definedName name="_xlnm.Auto_OpenАвто_открытьКП23" hidden="1">#REF!</definedName>
    <definedName name="_xlnm.Auto_OpenКП23" hidden="1">#REF!</definedName>
    <definedName name="ап" hidden="1">{#N/A,#N/A,TRUE,"Смета на пасс. обор. №1"}</definedName>
    <definedName name="ап1" hidden="1">{#N/A,#N/A,TRUE,"Смета на пасс. обор. №1"}</definedName>
    <definedName name="бол" hidden="1">{#N/A,#N/A,TRUE,"Смета на пасс. обор. №1"}</definedName>
    <definedName name="вапро" hidden="1">{#N/A,#N/A,FALSE,"Шаблон_Спец1"}</definedName>
    <definedName name="ВАХ" hidden="1">{#N/A,#N/A,FALSE,"Акт-Смета"}</definedName>
    <definedName name="Вахты" hidden="1">{#N/A,#N/A,FALSE,"Акт-Смета"}</definedName>
    <definedName name="ввввву" hidden="1">{#N/A,#N/A,FALSE,"Откр.вод.(осн.)"}</definedName>
    <definedName name="выфаьджфдл" hidden="1">#REF!</definedName>
    <definedName name="ггг" hidden="1">{#N/A,#N/A,FALSE,"Шаблон_Спец1"}</definedName>
    <definedName name="гф" hidden="1">{#N/A,#N/A,FALSE,"Акт-Смета"}</definedName>
    <definedName name="ддддд" hidden="1">{"BS1",#N/A,TRUE,"RSA_FS";"BS2",#N/A,TRUE,"RSA_FS";"BS3",#N/A,TRUE,"RSA_FS"}</definedName>
    <definedName name="дддддд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джэ" hidden="1">{#N/A,#N/A,TRUE,"Смета на пасс. обор. №1"}</definedName>
    <definedName name="диагн" hidden="1">{#N/A,#N/A,FALSE,"Infl_fact"}</definedName>
    <definedName name="Диагностика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доп" hidden="1">{#N/A,#N/A,TRUE,"Смета на пасс. обор. №1"}</definedName>
    <definedName name="дрянь" hidden="1">#REF!</definedName>
    <definedName name="жю" hidden="1">{#N/A,#N/A,TRUE,"Смета на пасс. обор. №1"}</definedName>
    <definedName name="_xlnm.Print_Titles" localSheetId="15">'1.14 ПроектБур+'!$16:$16</definedName>
    <definedName name="зщ" hidden="1">{#N/A,#N/A,TRUE,"Смета на пасс. обор. №1"}</definedName>
    <definedName name="ййй" hidden="1">{#N/A,#N/A,FALSE,"Акт-Смета"}</definedName>
    <definedName name="команд." hidden="1">{#N/A,#N/A,TRUE,"Смета на пасс. обор. №1"}</definedName>
    <definedName name="команд.обуч." hidden="1">{#N/A,#N/A,TRUE,"Смета на пасс. обор. №1"}</definedName>
    <definedName name="копия" hidden="1">{#N/A,#N/A,TRUE,"MAP";#N/A,#N/A,TRUE,"STEPS";#N/A,#N/A,TRUE,"RULES"}</definedName>
    <definedName name="КП23" hidden="1">#REF!</definedName>
    <definedName name="лаб" hidden="1">{#N/A,#N/A,FALSE,"Акт-Смета"}</definedName>
    <definedName name="лаборатория" hidden="1">{#N/A,#N/A,FALSE,"Акт-Смета"}</definedName>
    <definedName name="лдж" hidden="1">{#N/A,#N/A,TRUE,"Смета на пасс. обор. №1"}</definedName>
    <definedName name="лор" hidden="1">{#N/A,#N/A,TRUE,"Смета на пасс. обор. №1"}</definedName>
    <definedName name="лот" hidden="1">{#N/A,#N/A,TRUE,"Смета на пасс. обор. №1"}</definedName>
    <definedName name="мир" hidden="1">{#N/A,#N/A,TRUE,"Смета на пасс. обор. №1"}</definedName>
    <definedName name="ммм" hidden="1">{#N/A,#N/A,FALSE,"Акт-Смета"}</definedName>
    <definedName name="мммм" hidden="1">{#N/A,#N/A,FALSE,"Акт-Смета"}</definedName>
    <definedName name="Новосибирский" hidden="1">#REF!</definedName>
    <definedName name="новый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_xlnm.Print_Area" localSheetId="6">'1.5 АСУТП этап3'!$A$1:$W$174</definedName>
    <definedName name="_xlnm.Print_Area" localSheetId="7">'1.6 АСУЭ этап3'!$A$1:$W$174</definedName>
    <definedName name="_xlnm.Print_Area" localSheetId="8">'1.7 АЭО этап3'!$A$1:$W$174</definedName>
    <definedName name="_xlnm.Print_Area" localSheetId="9">'1.8 СПБА этап3'!$A$1:$R$174</definedName>
    <definedName name="_xlnm.Print_Area" localSheetId="0">СВОД!$A$1:$H$44</definedName>
    <definedName name="обуч" hidden="1">{#N/A,#N/A,TRUE,"Смета на пасс. обор. №1"}</definedName>
    <definedName name="ог" hidden="1">{#N/A,#N/A,TRUE,"Смета на пасс. обор. №1"}</definedName>
    <definedName name="олд" hidden="1">{#N/A,#N/A,TRUE,"Смета на пасс. обор. №1"}</definedName>
    <definedName name="от" hidden="1">{#N/A,#N/A,TRUE,"Смета на пасс. обор. №1"}</definedName>
    <definedName name="Отчет" hidden="1">{#N/A,#N/A,FALSE,"Акт-Смета"}</definedName>
    <definedName name="Переезды" hidden="1">{#N/A,#N/A,FALSE,"Акт-Смета"}</definedName>
    <definedName name="пор" hidden="1">{#N/A,#N/A,TRUE,"Смета на пасс. обор. №1"}</definedName>
    <definedName name="пппп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ппппп" hidden="1">{"AnalRSA",#N/A,TRUE,"PL-Anal";"AnalIAS",#N/A,TRUE,"PL-Anal"}</definedName>
    <definedName name="пропоп" hidden="1">{"AnalRSA",#N/A,TRUE,"PL-Anal";"AnalIAS",#N/A,TRUE,"PL-Anal"}</definedName>
    <definedName name="РНМЦ" hidden="1">{#N/A,#N/A,TRUE,"Смета на пасс. обор. №1"}</definedName>
    <definedName name="рр" hidden="1">{#N/A,#N/A,TRUE,"Смета на пасс. обор. №1"}</definedName>
    <definedName name="рро" hidden="1">{"'UPGRADE'!$A$1:$S$79"}</definedName>
    <definedName name="рррр" hidden="1">{"AnalRSA",#N/A,TRUE,"PL-Anal";"AnalIAS",#N/A,TRUE,"PL-Anal"}</definedName>
    <definedName name="сам" hidden="1">{#N/A,#N/A,TRUE,"Смета на пасс. обор. №1"}</definedName>
    <definedName name="Сводная" hidden="1">{#N/A,#N/A,FALSE,"Акт-Смета"}</definedName>
    <definedName name="секвестирование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Смет" hidden="1">{#N/A,#N/A,TRUE,"Смета на пасс. обор. №1"}</definedName>
    <definedName name="сс" hidden="1">{#N/A,#N/A,TRUE,"Смета на пасс. обор. №1"}</definedName>
    <definedName name="т" hidden="1">{#N/A,#N/A,FALSE,"Акт-Смета"}</definedName>
    <definedName name="трп" hidden="1">{#N/A,#N/A,TRUE,"Смета на пасс. обор. №1"}</definedName>
    <definedName name="ттт" hidden="1">{#N/A,#N/A,FALSE,"Акт-Смета"}</definedName>
    <definedName name="ук" hidden="1">{#N/A,#N/A,TRUE,"Смета на пасс. обор. №1"}</definedName>
    <definedName name="уы" hidden="1">{#N/A,#N/A,TRUE,"Смета на пасс. обор. №1"}</definedName>
    <definedName name="ф" hidden="1">#REF!</definedName>
    <definedName name="формат2" hidden="1">#REF!</definedName>
    <definedName name="ффф" hidden="1">{#N/A,#N/A,FALSE,"Шаблон_Спец1"}</definedName>
    <definedName name="ффффф" hidden="1">{#N/A,#N/A,FALSE,"Шаблон_Спец1"}</definedName>
    <definedName name="хэ" hidden="1">{#N/A,#N/A,TRUE,"Смета на пасс. обор. №1"}</definedName>
    <definedName name="цвет" hidden="1">{#N/A,#N/A,TRUE,"Смета на пасс. обор. №1"}</definedName>
    <definedName name="цуйцуцйув" hidden="1">{#N/A,#N/A,FALSE,"Шаблон_Спец1"}</definedName>
    <definedName name="цццц" hidden="1">{#N/A,#N/A,FALSE,"Шаблон_Спец1"}</definedName>
    <definedName name="ццццц" hidden="1">{#N/A,#N/A,FALSE,"Шаблон_Спец1"}</definedName>
    <definedName name="ччч" hidden="1">{#N/A,#N/A,FALSE,"Шаблон_Спец1"}</definedName>
    <definedName name="ЧЧЧЧЧЧ" hidden="1">[0]!Header1-1 &amp; "." &amp; MAX(1,COUNTA(INDEX(#REF!,MATCH([0]!Header1-1,#REF!,FALSE)):#REF!))</definedName>
    <definedName name="ы" hidden="1">{#N/A,#N/A,TRUE,"Смета на пасс. обор. №1"}</definedName>
    <definedName name="ыва" hidden="1">{#N/A,#N/A,TRUE,"Смета на пасс. обор. №1"}</definedName>
    <definedName name="ыыы" hidden="1">{#N/A,#N/A,FALSE,"Шаблон_Спец1"}</definedName>
    <definedName name="ыыыы" hidden="1">{#N/A,#N/A,FALSE,"Шаблон_Спец1"}</definedName>
    <definedName name="ыыыыы" hidden="1">{#N/A,#N/A,FALSE,"Шаблон_Спец1"}</definedName>
    <definedName name="ыыыыыы" hidden="1">{#N/A,#N/A,FALSE,"Шаблон_Спец1"}</definedName>
    <definedName name="ыыыыыыыы" hidden="1">{#N/A,#N/A,FALSE,"Шаблон_Спец1"}</definedName>
    <definedName name="Экспер.отчета" hidden="1">{#N/A,#N/A,FALSE,"Акт-Смета"}</definedName>
    <definedName name="эл" hidden="1">{#N/A,#N/A,TRUE,"Смета на пасс. обор. №1"}</definedName>
    <definedName name="юрубчен_" hidden="1">{#N/A,#N/A,FALSE,"Акт-Смета"}</definedName>
    <definedName name="ююю" hidden="1">{#N/A,#N/A,TRUE,"Смета на пасс. обор. №1"}</definedName>
    <definedName name="ячсвивыкр" hidden="1">{#N/A,#N/A,FALSE,"Шаблон_Спец1"}</definedName>
    <definedName name="яя" hidden="1">{#N/A,#N/A,FALSE,"Акт-Смета"}</definedName>
    <definedName name="яяя" hidden="1">{#N/A,#N/A,FALSE,"Шаблон_Спец1"}</definedName>
  </definedNames>
  <calcPr calcId="152511"/>
</workbook>
</file>

<file path=xl/calcChain.xml><?xml version="1.0" encoding="utf-8"?>
<calcChain xmlns="http://schemas.openxmlformats.org/spreadsheetml/2006/main">
  <c r="G24" i="1" l="1"/>
  <c r="R52" i="40"/>
  <c r="O45" i="40"/>
  <c r="O40" i="40"/>
  <c r="O35" i="40"/>
  <c r="O29" i="40"/>
  <c r="O23" i="40"/>
  <c r="O17" i="40"/>
  <c r="O49" i="40" s="1"/>
  <c r="O50" i="40" s="1"/>
  <c r="O51" i="40" s="1"/>
  <c r="O52" i="40" s="1"/>
  <c r="E86" i="37" l="1"/>
  <c r="E81" i="37"/>
  <c r="E77" i="37"/>
  <c r="E72" i="37"/>
  <c r="E66" i="37"/>
  <c r="E60" i="37"/>
  <c r="E56" i="37"/>
  <c r="E51" i="37"/>
  <c r="E46" i="37"/>
  <c r="E41" i="37"/>
  <c r="E36" i="37"/>
  <c r="E30" i="37"/>
  <c r="E24" i="37"/>
  <c r="E18" i="37"/>
  <c r="E276" i="36"/>
  <c r="E40" i="36"/>
  <c r="E35" i="36"/>
  <c r="E30" i="36"/>
  <c r="E26" i="36"/>
  <c r="E22" i="36"/>
  <c r="E19" i="36"/>
  <c r="E378" i="35"/>
  <c r="E377" i="35"/>
  <c r="E372" i="35"/>
  <c r="E367" i="35"/>
  <c r="E363" i="35"/>
  <c r="E359" i="35"/>
  <c r="E355" i="35"/>
  <c r="E351" i="35"/>
  <c r="E345" i="35"/>
  <c r="E341" i="35"/>
  <c r="E337" i="35"/>
  <c r="E333" i="35"/>
  <c r="E329" i="35"/>
  <c r="E324" i="35"/>
  <c r="E320" i="35"/>
  <c r="E316" i="35"/>
  <c r="E312" i="35"/>
  <c r="E310" i="35"/>
  <c r="E305" i="35"/>
  <c r="E301" i="35"/>
  <c r="E297" i="35"/>
  <c r="E293" i="35"/>
  <c r="E289" i="35"/>
  <c r="E283" i="35"/>
  <c r="E279" i="35"/>
  <c r="E275" i="35"/>
  <c r="E271" i="35"/>
  <c r="E267" i="35"/>
  <c r="E263" i="35"/>
  <c r="E259" i="35"/>
  <c r="E257" i="35"/>
  <c r="E253" i="35"/>
  <c r="E249" i="35"/>
  <c r="E245" i="35"/>
  <c r="E241" i="35"/>
  <c r="E237" i="35"/>
  <c r="E233" i="35"/>
  <c r="E229" i="35"/>
  <c r="E224" i="35"/>
  <c r="E220" i="35"/>
  <c r="E218" i="35"/>
  <c r="E214" i="35"/>
  <c r="E209" i="35"/>
  <c r="E205" i="35"/>
  <c r="E201" i="35"/>
  <c r="E196" i="35"/>
  <c r="E192" i="35"/>
  <c r="E188" i="35"/>
  <c r="E183" i="35"/>
  <c r="E179" i="35"/>
  <c r="E176" i="35"/>
  <c r="E172" i="35"/>
  <c r="E168" i="35"/>
  <c r="E164" i="35"/>
  <c r="E160" i="35"/>
  <c r="E156" i="35"/>
  <c r="E151" i="35"/>
  <c r="E149" i="35"/>
  <c r="E145" i="35"/>
  <c r="E141" i="35"/>
  <c r="E137" i="35"/>
  <c r="E133" i="35"/>
  <c r="E131" i="35"/>
  <c r="E127" i="35"/>
  <c r="E123" i="35"/>
  <c r="E119" i="35"/>
  <c r="E115" i="35"/>
  <c r="E111" i="35"/>
  <c r="E109" i="35"/>
  <c r="E104" i="35"/>
  <c r="E102" i="35"/>
  <c r="E98" i="35"/>
  <c r="E94" i="35"/>
  <c r="E90" i="35"/>
  <c r="E86" i="35"/>
  <c r="E84" i="35"/>
  <c r="E80" i="35"/>
  <c r="E76" i="35"/>
  <c r="E72" i="35"/>
  <c r="E67" i="35"/>
  <c r="E63" i="35" l="1"/>
  <c r="E61" i="35"/>
  <c r="E57" i="35"/>
  <c r="E53" i="35"/>
  <c r="E49" i="35"/>
  <c r="E45" i="35"/>
  <c r="E41" i="35"/>
  <c r="E39" i="35"/>
  <c r="E35" i="35"/>
  <c r="E31" i="35"/>
  <c r="E27" i="35"/>
  <c r="E19" i="35"/>
  <c r="E240" i="26"/>
  <c r="E239" i="26"/>
  <c r="E236" i="26"/>
  <c r="E233" i="26"/>
  <c r="E230" i="26"/>
  <c r="E226" i="26"/>
  <c r="E223" i="26"/>
  <c r="E220" i="26"/>
  <c r="E217" i="26"/>
  <c r="E214" i="26"/>
  <c r="E209" i="26"/>
  <c r="E207" i="26"/>
  <c r="E204" i="26"/>
  <c r="E201" i="26"/>
  <c r="E198" i="26"/>
  <c r="E195" i="26"/>
  <c r="E189" i="26"/>
  <c r="E192" i="26"/>
  <c r="E185" i="26"/>
  <c r="E180" i="26"/>
  <c r="E178" i="26"/>
  <c r="E175" i="26"/>
  <c r="E172" i="26"/>
  <c r="E169" i="26"/>
  <c r="E166" i="26"/>
  <c r="E163" i="26"/>
  <c r="E160" i="26"/>
  <c r="E155" i="26"/>
  <c r="E150" i="26"/>
  <c r="E148" i="26"/>
  <c r="E145" i="26"/>
  <c r="E142" i="26"/>
  <c r="E139" i="26"/>
  <c r="E136" i="26"/>
  <c r="E133" i="26"/>
  <c r="E130" i="26"/>
  <c r="E124" i="26"/>
  <c r="E117" i="26"/>
  <c r="E115" i="26"/>
  <c r="E112" i="26"/>
  <c r="E109" i="26"/>
  <c r="E106" i="26"/>
  <c r="E103" i="26"/>
  <c r="E100" i="26"/>
  <c r="E97" i="26"/>
  <c r="E91" i="26"/>
  <c r="E84" i="26"/>
  <c r="E82" i="26"/>
  <c r="E79" i="26"/>
  <c r="E76" i="26"/>
  <c r="E73" i="26"/>
  <c r="E70" i="26"/>
  <c r="E67" i="26"/>
  <c r="E64" i="26"/>
  <c r="E58" i="26"/>
  <c r="E51" i="26"/>
  <c r="E49" i="26"/>
  <c r="E46" i="26"/>
  <c r="E43" i="26"/>
  <c r="E40" i="26"/>
  <c r="E37" i="26"/>
  <c r="E34" i="26"/>
  <c r="E31" i="26"/>
  <c r="E25" i="26"/>
  <c r="E18" i="26"/>
  <c r="O20" i="3"/>
  <c r="O15" i="3"/>
  <c r="O54" i="23"/>
  <c r="O45" i="23"/>
  <c r="O36" i="23"/>
  <c r="O26" i="23"/>
  <c r="O16" i="23"/>
  <c r="O86" i="38"/>
  <c r="O82" i="38"/>
  <c r="O76" i="38"/>
  <c r="O72" i="38"/>
  <c r="O67" i="38"/>
  <c r="O63" i="38"/>
  <c r="O57" i="38"/>
  <c r="O53" i="38"/>
  <c r="O48" i="38"/>
  <c r="O44" i="38"/>
  <c r="O38" i="38"/>
  <c r="O34" i="38"/>
  <c r="O29" i="38"/>
  <c r="O25" i="38"/>
  <c r="O20" i="38"/>
  <c r="O16" i="38"/>
  <c r="O73" i="4"/>
  <c r="O67" i="4"/>
  <c r="O62" i="4"/>
  <c r="O57" i="4"/>
  <c r="O52" i="4"/>
  <c r="O46" i="4"/>
  <c r="O41" i="4"/>
  <c r="O36" i="4"/>
  <c r="O31" i="4"/>
  <c r="O26" i="4"/>
  <c r="O21" i="4"/>
  <c r="O16" i="4"/>
  <c r="O25" i="2"/>
  <c r="O20" i="2"/>
  <c r="O15" i="2"/>
  <c r="E379" i="35" l="1"/>
  <c r="G17" i="39"/>
  <c r="F10" i="40" l="1"/>
  <c r="F8" i="40"/>
  <c r="F6" i="40"/>
  <c r="E24" i="1"/>
  <c r="E277" i="36" l="1"/>
  <c r="E9" i="39"/>
  <c r="E7" i="39"/>
  <c r="G24" i="39"/>
  <c r="G29" i="39" s="1"/>
  <c r="G31" i="39" s="1"/>
  <c r="E35" i="1"/>
  <c r="B1" i="39" s="1"/>
  <c r="G33" i="39" l="1"/>
  <c r="G34" i="39" s="1"/>
  <c r="G36" i="39" s="1"/>
  <c r="G37" i="39" s="1"/>
  <c r="G35" i="1" s="1"/>
  <c r="H35" i="1" s="1"/>
  <c r="F10" i="38" l="1"/>
  <c r="F8" i="38"/>
  <c r="F6" i="38"/>
  <c r="O91" i="38" l="1"/>
  <c r="O92" i="38" s="1"/>
  <c r="O93" i="38" s="1"/>
  <c r="O94" i="38" s="1"/>
  <c r="R94" i="38" s="1"/>
  <c r="G34" i="1" s="1"/>
  <c r="H34" i="1" s="1"/>
  <c r="E33" i="1"/>
  <c r="E34" i="1"/>
  <c r="O29" i="2" l="1"/>
  <c r="O30" i="2" s="1"/>
  <c r="O31" i="2" s="1"/>
  <c r="O32" i="2" s="1"/>
  <c r="R32" i="2" s="1"/>
  <c r="G22" i="1" s="1"/>
  <c r="E241" i="26" l="1"/>
  <c r="E242" i="26" s="1"/>
  <c r="E93" i="37" l="1"/>
  <c r="E94" i="37" s="1"/>
  <c r="G11" i="18"/>
  <c r="G11" i="15"/>
  <c r="G11" i="11"/>
  <c r="O77" i="4"/>
  <c r="O78" i="4" s="1"/>
  <c r="O79" i="4" s="1"/>
  <c r="O80" i="4" s="1"/>
  <c r="A3" i="4"/>
  <c r="E25" i="1"/>
  <c r="A3" i="23" s="1"/>
  <c r="E26" i="1"/>
  <c r="B4" i="5" s="1"/>
  <c r="E27" i="1"/>
  <c r="B4" i="11" s="1"/>
  <c r="E28" i="1"/>
  <c r="B4" i="15" s="1"/>
  <c r="E29" i="1"/>
  <c r="B4" i="18" s="1"/>
  <c r="E30" i="1"/>
  <c r="A3" i="26" s="1"/>
  <c r="E31" i="1"/>
  <c r="E32" i="1"/>
  <c r="B36" i="1" l="1"/>
  <c r="F36" i="1"/>
  <c r="F38" i="1" s="1"/>
  <c r="O58" i="23" l="1"/>
  <c r="O59" i="23" s="1"/>
  <c r="O60" i="23" s="1"/>
  <c r="O61" i="23" s="1"/>
  <c r="E95" i="37" l="1"/>
  <c r="E96" i="37" s="1"/>
  <c r="E97" i="37" s="1"/>
  <c r="G33" i="1" s="1"/>
  <c r="H33" i="1" s="1"/>
  <c r="C6" i="36"/>
  <c r="C6" i="37"/>
  <c r="C11" i="37"/>
  <c r="C8" i="37"/>
  <c r="E278" i="36"/>
  <c r="E279" i="36" s="1"/>
  <c r="G32" i="1" s="1"/>
  <c r="H32" i="1" s="1"/>
  <c r="C11" i="36"/>
  <c r="C8" i="36"/>
  <c r="A3" i="36"/>
  <c r="A3" i="37"/>
  <c r="E380" i="35"/>
  <c r="E381" i="35" s="1"/>
  <c r="G31" i="1" s="1"/>
  <c r="H31" i="1" s="1"/>
  <c r="C6" i="35"/>
  <c r="C11" i="35"/>
  <c r="C8" i="35"/>
  <c r="E243" i="26" l="1"/>
  <c r="G30" i="1" s="1"/>
  <c r="C11" i="26"/>
  <c r="C8" i="26"/>
  <c r="C6" i="26"/>
  <c r="H30" i="1" l="1"/>
  <c r="F6" i="23" l="1"/>
  <c r="F6" i="4"/>
  <c r="F6" i="3"/>
  <c r="F6" i="2"/>
  <c r="F10" i="23"/>
  <c r="F8" i="23"/>
  <c r="R61" i="23"/>
  <c r="G25" i="1" s="1"/>
  <c r="H25" i="1" s="1"/>
  <c r="Q152" i="18" l="1"/>
  <c r="I152" i="18"/>
  <c r="G152" i="18"/>
  <c r="F152" i="18"/>
  <c r="Q151" i="18"/>
  <c r="G151" i="18" s="1"/>
  <c r="Q150" i="18"/>
  <c r="G150" i="18"/>
  <c r="C150" i="18"/>
  <c r="Q149" i="18"/>
  <c r="F149" i="18" s="1"/>
  <c r="H149" i="18"/>
  <c r="G149" i="18"/>
  <c r="E149" i="18"/>
  <c r="C149" i="18"/>
  <c r="Q148" i="18"/>
  <c r="I148" i="18"/>
  <c r="H148" i="18"/>
  <c r="H154" i="18" s="1"/>
  <c r="G148" i="18"/>
  <c r="F148" i="18"/>
  <c r="E148" i="18"/>
  <c r="D148" i="18"/>
  <c r="C148" i="18"/>
  <c r="Q147" i="18"/>
  <c r="I147" i="18"/>
  <c r="G147" i="18"/>
  <c r="Q146" i="18"/>
  <c r="I146" i="18"/>
  <c r="H146" i="18"/>
  <c r="G146" i="18"/>
  <c r="F146" i="18"/>
  <c r="E146" i="18"/>
  <c r="D146" i="18"/>
  <c r="Q145" i="18"/>
  <c r="I145" i="18"/>
  <c r="H145" i="18"/>
  <c r="G145" i="18"/>
  <c r="F145" i="18"/>
  <c r="E145" i="18"/>
  <c r="D145" i="18"/>
  <c r="Q144" i="18"/>
  <c r="I144" i="18"/>
  <c r="H144" i="18"/>
  <c r="G144" i="18"/>
  <c r="F144" i="18"/>
  <c r="E144" i="18"/>
  <c r="D144" i="18"/>
  <c r="C144" i="18"/>
  <c r="Q143" i="18"/>
  <c r="C143" i="18"/>
  <c r="Q142" i="18"/>
  <c r="I142" i="18"/>
  <c r="H142" i="18"/>
  <c r="G142" i="18"/>
  <c r="F142" i="18"/>
  <c r="F154" i="18" s="1"/>
  <c r="E142" i="18"/>
  <c r="E154" i="18" s="1"/>
  <c r="D142" i="18"/>
  <c r="C142" i="18"/>
  <c r="C154" i="18" s="1"/>
  <c r="Q141" i="18"/>
  <c r="I141" i="18"/>
  <c r="H141" i="18"/>
  <c r="G141" i="18"/>
  <c r="F141" i="18"/>
  <c r="E141" i="18"/>
  <c r="D141" i="18"/>
  <c r="Q140" i="18"/>
  <c r="I140" i="18"/>
  <c r="H140" i="18"/>
  <c r="G140" i="18"/>
  <c r="F140" i="18"/>
  <c r="E140" i="18"/>
  <c r="D140" i="18"/>
  <c r="C140" i="18"/>
  <c r="Q139" i="18"/>
  <c r="H139" i="18" s="1"/>
  <c r="H153" i="18" s="1"/>
  <c r="H155" i="18" s="1"/>
  <c r="R120" i="18"/>
  <c r="Q120" i="18"/>
  <c r="P120" i="18"/>
  <c r="O120" i="18"/>
  <c r="N120" i="18"/>
  <c r="M120" i="18"/>
  <c r="R105" i="18"/>
  <c r="Q105" i="18"/>
  <c r="P105" i="18"/>
  <c r="O105" i="18"/>
  <c r="N105" i="18"/>
  <c r="M105" i="18"/>
  <c r="R99" i="18"/>
  <c r="Q99" i="18"/>
  <c r="P99" i="18"/>
  <c r="O99" i="18"/>
  <c r="N99" i="18"/>
  <c r="M99" i="18"/>
  <c r="R91" i="18"/>
  <c r="R135" i="18" s="1"/>
  <c r="I164" i="18" s="1"/>
  <c r="I167" i="18" s="1"/>
  <c r="Q91" i="18"/>
  <c r="P91" i="18"/>
  <c r="O91" i="18"/>
  <c r="N91" i="18"/>
  <c r="M91" i="18"/>
  <c r="R86" i="18"/>
  <c r="Q86" i="18"/>
  <c r="P86" i="18"/>
  <c r="O86" i="18"/>
  <c r="N86" i="18"/>
  <c r="M86" i="18"/>
  <c r="R78" i="18"/>
  <c r="Q78" i="18"/>
  <c r="P78" i="18"/>
  <c r="O78" i="18"/>
  <c r="N78" i="18"/>
  <c r="M78" i="18"/>
  <c r="R71" i="18"/>
  <c r="Q71" i="18"/>
  <c r="Q135" i="18" s="1"/>
  <c r="H164" i="18" s="1"/>
  <c r="H167" i="18" s="1"/>
  <c r="P71" i="18"/>
  <c r="O71" i="18"/>
  <c r="O135" i="18" s="1"/>
  <c r="F164" i="18" s="1"/>
  <c r="F167" i="18" s="1"/>
  <c r="N71" i="18"/>
  <c r="N135" i="18" s="1"/>
  <c r="E164" i="18" s="1"/>
  <c r="E167" i="18" s="1"/>
  <c r="M71" i="18"/>
  <c r="M52" i="18"/>
  <c r="M67" i="18" s="1"/>
  <c r="C164" i="18" s="1"/>
  <c r="C167" i="18" s="1"/>
  <c r="M43" i="18"/>
  <c r="M36" i="18"/>
  <c r="M31" i="18"/>
  <c r="P135" i="18" l="1"/>
  <c r="G164" i="18" s="1"/>
  <c r="G167" i="18" s="1"/>
  <c r="M135" i="18"/>
  <c r="D164" i="18" s="1"/>
  <c r="D167" i="18" s="1"/>
  <c r="G154" i="18"/>
  <c r="H168" i="18"/>
  <c r="H169" i="18" s="1"/>
  <c r="H170" i="18" s="1"/>
  <c r="I139" i="18"/>
  <c r="I153" i="18" s="1"/>
  <c r="C139" i="18"/>
  <c r="C153" i="18" s="1"/>
  <c r="C155" i="18" s="1"/>
  <c r="C168" i="18" s="1"/>
  <c r="C169" i="18" s="1"/>
  <c r="I149" i="18"/>
  <c r="I154" i="18" s="1"/>
  <c r="D139" i="18"/>
  <c r="D153" i="18" s="1"/>
  <c r="E139" i="18"/>
  <c r="E153" i="18" s="1"/>
  <c r="E155" i="18" s="1"/>
  <c r="E168" i="18" s="1"/>
  <c r="E169" i="18" s="1"/>
  <c r="E170" i="18" s="1"/>
  <c r="F139" i="18"/>
  <c r="F153" i="18" s="1"/>
  <c r="F155" i="18" s="1"/>
  <c r="F168" i="18" s="1"/>
  <c r="F169" i="18" s="1"/>
  <c r="F170" i="18" s="1"/>
  <c r="D149" i="18"/>
  <c r="D154" i="18" s="1"/>
  <c r="G139" i="18"/>
  <c r="G153" i="18" s="1"/>
  <c r="G155" i="18" s="1"/>
  <c r="G168" i="18" l="1"/>
  <c r="G169" i="18" s="1"/>
  <c r="G170" i="18" s="1"/>
  <c r="D155" i="18"/>
  <c r="D168" i="18" s="1"/>
  <c r="D169" i="18" s="1"/>
  <c r="D170" i="18" s="1"/>
  <c r="I155" i="18"/>
  <c r="I168" i="18" s="1"/>
  <c r="I169" i="18" s="1"/>
  <c r="I170" i="18" s="1"/>
  <c r="D171" i="18" l="1"/>
  <c r="D173" i="18" l="1"/>
  <c r="D174" i="18" s="1"/>
  <c r="Y174" i="18" s="1"/>
  <c r="D172" i="18"/>
  <c r="G29" i="1" l="1"/>
  <c r="H29" i="1" s="1"/>
  <c r="Q152" i="15"/>
  <c r="I152" i="15"/>
  <c r="G152" i="15"/>
  <c r="F152" i="15"/>
  <c r="Q151" i="15"/>
  <c r="G151" i="15" s="1"/>
  <c r="Q150" i="15"/>
  <c r="G150" i="15"/>
  <c r="C150" i="15"/>
  <c r="Q149" i="15"/>
  <c r="I149" i="15"/>
  <c r="H149" i="15"/>
  <c r="G149" i="15"/>
  <c r="F149" i="15"/>
  <c r="E149" i="15"/>
  <c r="D149" i="15"/>
  <c r="C149" i="15"/>
  <c r="Q148" i="15"/>
  <c r="I148" i="15"/>
  <c r="H148" i="15"/>
  <c r="G148" i="15"/>
  <c r="F148" i="15"/>
  <c r="E148" i="15"/>
  <c r="D148" i="15"/>
  <c r="C148" i="15"/>
  <c r="Q147" i="15"/>
  <c r="I147" i="15"/>
  <c r="G147" i="15"/>
  <c r="Q146" i="15"/>
  <c r="I146" i="15"/>
  <c r="H146" i="15"/>
  <c r="G146" i="15"/>
  <c r="F146" i="15"/>
  <c r="E146" i="15"/>
  <c r="D146" i="15"/>
  <c r="Q145" i="15"/>
  <c r="I145" i="15"/>
  <c r="H145" i="15"/>
  <c r="G145" i="15"/>
  <c r="F145" i="15"/>
  <c r="E145" i="15"/>
  <c r="D145" i="15"/>
  <c r="Q144" i="15"/>
  <c r="I144" i="15"/>
  <c r="H144" i="15"/>
  <c r="G144" i="15"/>
  <c r="F144" i="15"/>
  <c r="E144" i="15"/>
  <c r="D144" i="15"/>
  <c r="C144" i="15"/>
  <c r="C154" i="15" s="1"/>
  <c r="Q143" i="15"/>
  <c r="C143" i="15"/>
  <c r="Q142" i="15"/>
  <c r="I142" i="15"/>
  <c r="I154" i="15" s="1"/>
  <c r="H142" i="15"/>
  <c r="H154" i="15" s="1"/>
  <c r="G142" i="15"/>
  <c r="F142" i="15"/>
  <c r="F154" i="15" s="1"/>
  <c r="E142" i="15"/>
  <c r="E154" i="15" s="1"/>
  <c r="D142" i="15"/>
  <c r="D154" i="15" s="1"/>
  <c r="C142" i="15"/>
  <c r="Q141" i="15"/>
  <c r="I141" i="15"/>
  <c r="H141" i="15"/>
  <c r="G141" i="15"/>
  <c r="F141" i="15"/>
  <c r="E141" i="15"/>
  <c r="D141" i="15"/>
  <c r="Q140" i="15"/>
  <c r="I140" i="15"/>
  <c r="H140" i="15"/>
  <c r="G140" i="15"/>
  <c r="F140" i="15"/>
  <c r="E140" i="15"/>
  <c r="D140" i="15"/>
  <c r="C140" i="15"/>
  <c r="Q139" i="15"/>
  <c r="H139" i="15" s="1"/>
  <c r="H153" i="15" s="1"/>
  <c r="H155" i="15" s="1"/>
  <c r="I139" i="15"/>
  <c r="I153" i="15" s="1"/>
  <c r="E139" i="15"/>
  <c r="E153" i="15" s="1"/>
  <c r="E155" i="15" s="1"/>
  <c r="D139" i="15"/>
  <c r="D153" i="15" s="1"/>
  <c r="D155" i="15" s="1"/>
  <c r="C139" i="15"/>
  <c r="C153" i="15" s="1"/>
  <c r="C155" i="15" s="1"/>
  <c r="R120" i="15"/>
  <c r="Q120" i="15"/>
  <c r="P120" i="15"/>
  <c r="O120" i="15"/>
  <c r="N120" i="15"/>
  <c r="M120" i="15"/>
  <c r="R105" i="15"/>
  <c r="Q105" i="15"/>
  <c r="P105" i="15"/>
  <c r="O105" i="15"/>
  <c r="N105" i="15"/>
  <c r="M105" i="15"/>
  <c r="R99" i="15"/>
  <c r="Q99" i="15"/>
  <c r="P99" i="15"/>
  <c r="O99" i="15"/>
  <c r="N99" i="15"/>
  <c r="M99" i="15"/>
  <c r="R91" i="15"/>
  <c r="Q91" i="15"/>
  <c r="Q135" i="15" s="1"/>
  <c r="H164" i="15" s="1"/>
  <c r="H167" i="15" s="1"/>
  <c r="H168" i="15" s="1"/>
  <c r="H169" i="15" s="1"/>
  <c r="H170" i="15" s="1"/>
  <c r="P91" i="15"/>
  <c r="O91" i="15"/>
  <c r="N91" i="15"/>
  <c r="M91" i="15"/>
  <c r="R86" i="15"/>
  <c r="Q86" i="15"/>
  <c r="P86" i="15"/>
  <c r="O86" i="15"/>
  <c r="N86" i="15"/>
  <c r="M86" i="15"/>
  <c r="R78" i="15"/>
  <c r="Q78" i="15"/>
  <c r="P78" i="15"/>
  <c r="O78" i="15"/>
  <c r="N78" i="15"/>
  <c r="M78" i="15"/>
  <c r="R71" i="15"/>
  <c r="R135" i="15" s="1"/>
  <c r="I164" i="15" s="1"/>
  <c r="I167" i="15" s="1"/>
  <c r="Q71" i="15"/>
  <c r="P71" i="15"/>
  <c r="O71" i="15"/>
  <c r="O135" i="15" s="1"/>
  <c r="F164" i="15" s="1"/>
  <c r="F167" i="15" s="1"/>
  <c r="N71" i="15"/>
  <c r="N135" i="15" s="1"/>
  <c r="E164" i="15" s="1"/>
  <c r="E167" i="15" s="1"/>
  <c r="E168" i="15" s="1"/>
  <c r="E169" i="15" s="1"/>
  <c r="E170" i="15" s="1"/>
  <c r="M71" i="15"/>
  <c r="M52" i="15"/>
  <c r="M67" i="15" s="1"/>
  <c r="C164" i="15" s="1"/>
  <c r="C167" i="15" s="1"/>
  <c r="M43" i="15"/>
  <c r="M36" i="15"/>
  <c r="M31" i="15"/>
  <c r="P135" i="15" l="1"/>
  <c r="G164" i="15" s="1"/>
  <c r="G167" i="15" s="1"/>
  <c r="M135" i="15"/>
  <c r="D164" i="15" s="1"/>
  <c r="D167" i="15" s="1"/>
  <c r="D168" i="15" s="1"/>
  <c r="D169" i="15" s="1"/>
  <c r="D170" i="15" s="1"/>
  <c r="I155" i="15"/>
  <c r="G154" i="15"/>
  <c r="C168" i="15"/>
  <c r="C169" i="15" s="1"/>
  <c r="I168" i="15"/>
  <c r="I169" i="15" s="1"/>
  <c r="I170" i="15" s="1"/>
  <c r="F139" i="15"/>
  <c r="F153" i="15" s="1"/>
  <c r="F155" i="15" s="1"/>
  <c r="F168" i="15" s="1"/>
  <c r="F169" i="15" s="1"/>
  <c r="F170" i="15" s="1"/>
  <c r="G139" i="15"/>
  <c r="G153" i="15" s="1"/>
  <c r="G155" i="15" s="1"/>
  <c r="G168" i="15" l="1"/>
  <c r="G169" i="15" s="1"/>
  <c r="G170" i="15" s="1"/>
  <c r="D171" i="15" s="1"/>
  <c r="D173" i="15" l="1"/>
  <c r="D174" i="15" s="1"/>
  <c r="Y174" i="15" s="1"/>
  <c r="D172" i="15"/>
  <c r="G28" i="1" l="1"/>
  <c r="H28" i="1" s="1"/>
  <c r="Q152" i="11"/>
  <c r="I152" i="11"/>
  <c r="G152" i="11"/>
  <c r="F152" i="11"/>
  <c r="Q151" i="11"/>
  <c r="G151" i="11" s="1"/>
  <c r="Q150" i="11"/>
  <c r="G150" i="11"/>
  <c r="C150" i="11"/>
  <c r="Q149" i="11"/>
  <c r="I149" i="11"/>
  <c r="H149" i="11"/>
  <c r="G149" i="11"/>
  <c r="F149" i="11"/>
  <c r="E149" i="11"/>
  <c r="D149" i="11"/>
  <c r="C149" i="11"/>
  <c r="Q148" i="11"/>
  <c r="I148" i="11"/>
  <c r="H148" i="11"/>
  <c r="H154" i="11" s="1"/>
  <c r="G148" i="11"/>
  <c r="F148" i="11"/>
  <c r="E148" i="11"/>
  <c r="D148" i="11"/>
  <c r="C148" i="11"/>
  <c r="Q147" i="11"/>
  <c r="I147" i="11"/>
  <c r="G147" i="11"/>
  <c r="Q146" i="11"/>
  <c r="I146" i="11"/>
  <c r="H146" i="11"/>
  <c r="G146" i="11"/>
  <c r="F146" i="11"/>
  <c r="E146" i="11"/>
  <c r="D146" i="11"/>
  <c r="Q145" i="11"/>
  <c r="I145" i="11"/>
  <c r="H145" i="11"/>
  <c r="G145" i="11"/>
  <c r="F145" i="11"/>
  <c r="E145" i="11"/>
  <c r="D145" i="11"/>
  <c r="Q144" i="11"/>
  <c r="I144" i="11"/>
  <c r="I154" i="11" s="1"/>
  <c r="H144" i="11"/>
  <c r="G144" i="11"/>
  <c r="F144" i="11"/>
  <c r="E144" i="11"/>
  <c r="D144" i="11"/>
  <c r="C144" i="11"/>
  <c r="Q143" i="11"/>
  <c r="C143" i="11"/>
  <c r="Q142" i="11"/>
  <c r="I142" i="11"/>
  <c r="H142" i="11"/>
  <c r="G142" i="11"/>
  <c r="G154" i="11" s="1"/>
  <c r="F142" i="11"/>
  <c r="F154" i="11" s="1"/>
  <c r="E142" i="11"/>
  <c r="E154" i="11" s="1"/>
  <c r="D142" i="11"/>
  <c r="D154" i="11" s="1"/>
  <c r="C142" i="11"/>
  <c r="C154" i="11" s="1"/>
  <c r="Q141" i="11"/>
  <c r="I141" i="11"/>
  <c r="H141" i="11"/>
  <c r="G141" i="11"/>
  <c r="F141" i="11"/>
  <c r="E141" i="11"/>
  <c r="D141" i="11"/>
  <c r="Q140" i="11"/>
  <c r="I140" i="11"/>
  <c r="H140" i="11"/>
  <c r="G140" i="11"/>
  <c r="F140" i="11"/>
  <c r="E140" i="11"/>
  <c r="D140" i="11"/>
  <c r="C140" i="11"/>
  <c r="Q139" i="11"/>
  <c r="I139" i="11" s="1"/>
  <c r="I153" i="11" s="1"/>
  <c r="I155" i="11" s="1"/>
  <c r="R120" i="11"/>
  <c r="Q120" i="11"/>
  <c r="P120" i="11"/>
  <c r="O120" i="11"/>
  <c r="N120" i="11"/>
  <c r="M120" i="11"/>
  <c r="R105" i="11"/>
  <c r="Q105" i="11"/>
  <c r="P105" i="11"/>
  <c r="O105" i="11"/>
  <c r="N105" i="11"/>
  <c r="M105" i="11"/>
  <c r="R99" i="11"/>
  <c r="Q99" i="11"/>
  <c r="P99" i="11"/>
  <c r="O99" i="11"/>
  <c r="N99" i="11"/>
  <c r="M99" i="11"/>
  <c r="R91" i="11"/>
  <c r="R135" i="11" s="1"/>
  <c r="I164" i="11" s="1"/>
  <c r="I167" i="11" s="1"/>
  <c r="Q91" i="11"/>
  <c r="P91" i="11"/>
  <c r="O91" i="11"/>
  <c r="N91" i="11"/>
  <c r="M91" i="11"/>
  <c r="R86" i="11"/>
  <c r="Q86" i="11"/>
  <c r="P86" i="11"/>
  <c r="O86" i="11"/>
  <c r="N86" i="11"/>
  <c r="M86" i="11"/>
  <c r="R78" i="11"/>
  <c r="Q78" i="11"/>
  <c r="P78" i="11"/>
  <c r="O78" i="11"/>
  <c r="N78" i="11"/>
  <c r="M78" i="11"/>
  <c r="R71" i="11"/>
  <c r="Q71" i="11"/>
  <c r="Q135" i="11" s="1"/>
  <c r="H164" i="11" s="1"/>
  <c r="H167" i="11" s="1"/>
  <c r="P71" i="11"/>
  <c r="O71" i="11"/>
  <c r="O135" i="11" s="1"/>
  <c r="F164" i="11" s="1"/>
  <c r="F167" i="11" s="1"/>
  <c r="N71" i="11"/>
  <c r="N135" i="11" s="1"/>
  <c r="E164" i="11" s="1"/>
  <c r="E167" i="11" s="1"/>
  <c r="M71" i="11"/>
  <c r="M67" i="11"/>
  <c r="C164" i="11" s="1"/>
  <c r="C167" i="11" s="1"/>
  <c r="M52" i="11"/>
  <c r="M43" i="11"/>
  <c r="M36" i="11"/>
  <c r="M31" i="11"/>
  <c r="M135" i="11" l="1"/>
  <c r="D164" i="11" s="1"/>
  <c r="D167" i="11" s="1"/>
  <c r="P135" i="11"/>
  <c r="G164" i="11" s="1"/>
  <c r="G167" i="11" s="1"/>
  <c r="I168" i="11"/>
  <c r="I169" i="11" s="1"/>
  <c r="I170" i="11" s="1"/>
  <c r="F168" i="11"/>
  <c r="F169" i="11" s="1"/>
  <c r="F170" i="11" s="1"/>
  <c r="H168" i="11"/>
  <c r="H169" i="11" s="1"/>
  <c r="H170" i="11" s="1"/>
  <c r="C139" i="11"/>
  <c r="C153" i="11" s="1"/>
  <c r="C155" i="11" s="1"/>
  <c r="C168" i="11" s="1"/>
  <c r="C169" i="11" s="1"/>
  <c r="D139" i="11"/>
  <c r="D153" i="11" s="1"/>
  <c r="D155" i="11" s="1"/>
  <c r="E139" i="11"/>
  <c r="E153" i="11" s="1"/>
  <c r="E155" i="11" s="1"/>
  <c r="E168" i="11" s="1"/>
  <c r="E169" i="11" s="1"/>
  <c r="E170" i="11" s="1"/>
  <c r="F139" i="11"/>
  <c r="F153" i="11" s="1"/>
  <c r="F155" i="11" s="1"/>
  <c r="G139" i="11"/>
  <c r="G153" i="11" s="1"/>
  <c r="G155" i="11" s="1"/>
  <c r="H139" i="11"/>
  <c r="H153" i="11" s="1"/>
  <c r="H155" i="11" s="1"/>
  <c r="G168" i="11" l="1"/>
  <c r="G169" i="11" s="1"/>
  <c r="G170" i="11" s="1"/>
  <c r="D168" i="11"/>
  <c r="D169" i="11" s="1"/>
  <c r="D170" i="11" s="1"/>
  <c r="D171" i="11" l="1"/>
  <c r="D173" i="11" s="1"/>
  <c r="D174" i="11" s="1"/>
  <c r="Y174" i="11" s="1"/>
  <c r="G27" i="1" s="1"/>
  <c r="D172" i="11" l="1"/>
  <c r="H27" i="1" l="1"/>
  <c r="G11" i="5" l="1"/>
  <c r="E158" i="5"/>
  <c r="F158" i="5" s="1"/>
  <c r="G158" i="5" s="1"/>
  <c r="H158" i="5" s="1"/>
  <c r="I158" i="5" s="1"/>
  <c r="Q152" i="5"/>
  <c r="I152" i="5"/>
  <c r="G152" i="5"/>
  <c r="F152" i="5"/>
  <c r="Q151" i="5"/>
  <c r="G151" i="5" s="1"/>
  <c r="Q150" i="5"/>
  <c r="G150" i="5"/>
  <c r="C150" i="5"/>
  <c r="Q149" i="5"/>
  <c r="I149" i="5"/>
  <c r="H149" i="5"/>
  <c r="G149" i="5"/>
  <c r="F149" i="5"/>
  <c r="E149" i="5"/>
  <c r="D149" i="5"/>
  <c r="C149" i="5"/>
  <c r="Q148" i="5"/>
  <c r="I148" i="5"/>
  <c r="H148" i="5"/>
  <c r="H154" i="5" s="1"/>
  <c r="G148" i="5"/>
  <c r="F148" i="5"/>
  <c r="E148" i="5"/>
  <c r="D148" i="5"/>
  <c r="C148" i="5"/>
  <c r="Q147" i="5"/>
  <c r="I147" i="5"/>
  <c r="G147" i="5"/>
  <c r="Q146" i="5"/>
  <c r="I146" i="5"/>
  <c r="H146" i="5"/>
  <c r="G146" i="5"/>
  <c r="F146" i="5"/>
  <c r="E146" i="5"/>
  <c r="D146" i="5"/>
  <c r="Q145" i="5"/>
  <c r="I145" i="5"/>
  <c r="H145" i="5"/>
  <c r="G145" i="5"/>
  <c r="F145" i="5"/>
  <c r="E145" i="5"/>
  <c r="D145" i="5"/>
  <c r="Q144" i="5"/>
  <c r="I144" i="5"/>
  <c r="H144" i="5"/>
  <c r="G144" i="5"/>
  <c r="F144" i="5"/>
  <c r="E144" i="5"/>
  <c r="D144" i="5"/>
  <c r="C144" i="5"/>
  <c r="Q143" i="5"/>
  <c r="C143" i="5"/>
  <c r="Q142" i="5"/>
  <c r="I142" i="5"/>
  <c r="I154" i="5" s="1"/>
  <c r="H142" i="5"/>
  <c r="G142" i="5"/>
  <c r="F142" i="5"/>
  <c r="F154" i="5" s="1"/>
  <c r="E142" i="5"/>
  <c r="E154" i="5" s="1"/>
  <c r="D142" i="5"/>
  <c r="D154" i="5" s="1"/>
  <c r="C142" i="5"/>
  <c r="C154" i="5" s="1"/>
  <c r="Q141" i="5"/>
  <c r="I141" i="5"/>
  <c r="H141" i="5"/>
  <c r="G141" i="5"/>
  <c r="F141" i="5"/>
  <c r="E141" i="5"/>
  <c r="D141" i="5"/>
  <c r="Q140" i="5"/>
  <c r="I140" i="5"/>
  <c r="H140" i="5"/>
  <c r="G140" i="5"/>
  <c r="F140" i="5"/>
  <c r="E140" i="5"/>
  <c r="D140" i="5"/>
  <c r="C140" i="5"/>
  <c r="Q139" i="5"/>
  <c r="H139" i="5" s="1"/>
  <c r="H153" i="5" s="1"/>
  <c r="H155" i="5" s="1"/>
  <c r="R120" i="5"/>
  <c r="Q120" i="5"/>
  <c r="P120" i="5"/>
  <c r="O120" i="5"/>
  <c r="N120" i="5"/>
  <c r="M120" i="5"/>
  <c r="R105" i="5"/>
  <c r="Q105" i="5"/>
  <c r="P105" i="5"/>
  <c r="O105" i="5"/>
  <c r="N105" i="5"/>
  <c r="M105" i="5"/>
  <c r="R99" i="5"/>
  <c r="Q99" i="5"/>
  <c r="P99" i="5"/>
  <c r="O99" i="5"/>
  <c r="N99" i="5"/>
  <c r="M99" i="5"/>
  <c r="R91" i="5"/>
  <c r="R135" i="5" s="1"/>
  <c r="I164" i="5" s="1"/>
  <c r="I167" i="5" s="1"/>
  <c r="Q91" i="5"/>
  <c r="P91" i="5"/>
  <c r="O91" i="5"/>
  <c r="N91" i="5"/>
  <c r="M91" i="5"/>
  <c r="R86" i="5"/>
  <c r="Q86" i="5"/>
  <c r="P86" i="5"/>
  <c r="O86" i="5"/>
  <c r="N86" i="5"/>
  <c r="M86" i="5"/>
  <c r="R78" i="5"/>
  <c r="Q78" i="5"/>
  <c r="P78" i="5"/>
  <c r="O78" i="5"/>
  <c r="N78" i="5"/>
  <c r="M78" i="5"/>
  <c r="R71" i="5"/>
  <c r="Q71" i="5"/>
  <c r="Q135" i="5" s="1"/>
  <c r="H164" i="5" s="1"/>
  <c r="H167" i="5" s="1"/>
  <c r="H168" i="5" s="1"/>
  <c r="P71" i="5"/>
  <c r="O71" i="5"/>
  <c r="O135" i="5" s="1"/>
  <c r="F164" i="5" s="1"/>
  <c r="F167" i="5" s="1"/>
  <c r="N71" i="5"/>
  <c r="N135" i="5" s="1"/>
  <c r="E164" i="5" s="1"/>
  <c r="E167" i="5" s="1"/>
  <c r="M71" i="5"/>
  <c r="M67" i="5"/>
  <c r="C164" i="5" s="1"/>
  <c r="C167" i="5" s="1"/>
  <c r="M52" i="5"/>
  <c r="M43" i="5"/>
  <c r="M36" i="5"/>
  <c r="M31" i="5"/>
  <c r="H169" i="5" l="1"/>
  <c r="H170" i="5" s="1"/>
  <c r="M135" i="5"/>
  <c r="D164" i="5" s="1"/>
  <c r="D167" i="5" s="1"/>
  <c r="P135" i="5"/>
  <c r="G164" i="5" s="1"/>
  <c r="G167" i="5" s="1"/>
  <c r="G168" i="5" s="1"/>
  <c r="G169" i="5" s="1"/>
  <c r="G170" i="5" s="1"/>
  <c r="G154" i="5"/>
  <c r="E168" i="5"/>
  <c r="E169" i="5" s="1"/>
  <c r="E170" i="5" s="1"/>
  <c r="I139" i="5"/>
  <c r="I153" i="5" s="1"/>
  <c r="I155" i="5" s="1"/>
  <c r="I168" i="5" s="1"/>
  <c r="I169" i="5" s="1"/>
  <c r="I170" i="5" s="1"/>
  <c r="C139" i="5"/>
  <c r="C153" i="5" s="1"/>
  <c r="C155" i="5" s="1"/>
  <c r="C168" i="5" s="1"/>
  <c r="C169" i="5" s="1"/>
  <c r="D139" i="5"/>
  <c r="D153" i="5" s="1"/>
  <c r="D155" i="5" s="1"/>
  <c r="E139" i="5"/>
  <c r="E153" i="5" s="1"/>
  <c r="E155" i="5" s="1"/>
  <c r="F139" i="5"/>
  <c r="F153" i="5" s="1"/>
  <c r="F155" i="5" s="1"/>
  <c r="F168" i="5" s="1"/>
  <c r="F169" i="5" s="1"/>
  <c r="F170" i="5" s="1"/>
  <c r="G139" i="5"/>
  <c r="G153" i="5" s="1"/>
  <c r="G155" i="5" s="1"/>
  <c r="D168" i="5" l="1"/>
  <c r="D169" i="5" s="1"/>
  <c r="D170" i="5" s="1"/>
  <c r="D171" i="5" s="1"/>
  <c r="D172" i="5" s="1"/>
  <c r="D173" i="5" l="1"/>
  <c r="D174" i="5" s="1"/>
  <c r="Y174" i="5" s="1"/>
  <c r="G26" i="1" s="1"/>
  <c r="F10" i="4" l="1"/>
  <c r="F8" i="4"/>
  <c r="R80" i="4"/>
  <c r="H24" i="1" l="1"/>
  <c r="H26" i="1"/>
  <c r="F10" i="3"/>
  <c r="F8" i="3"/>
  <c r="O25" i="3" l="1"/>
  <c r="O26" i="3" s="1"/>
  <c r="O27" i="3" s="1"/>
  <c r="O28" i="3" s="1"/>
  <c r="R28" i="3" s="1"/>
  <c r="G23" i="1" s="1"/>
  <c r="G36" i="1" s="1"/>
  <c r="F10" i="2"/>
  <c r="F8" i="2"/>
  <c r="H23" i="1" l="1"/>
  <c r="A3" i="35"/>
  <c r="E23" i="1"/>
  <c r="A3" i="3" s="1"/>
  <c r="E22" i="1"/>
  <c r="A3" i="2" s="1"/>
  <c r="H22" i="1" l="1"/>
  <c r="H36" i="1" s="1"/>
  <c r="F39" i="1"/>
  <c r="H38" i="1" l="1"/>
  <c r="G38" i="1"/>
  <c r="G39" i="1" s="1"/>
  <c r="F40" i="1"/>
  <c r="G40" i="1" l="1"/>
  <c r="H39" i="1"/>
  <c r="H40" i="1" l="1"/>
</calcChain>
</file>

<file path=xl/sharedStrings.xml><?xml version="1.0" encoding="utf-8"?>
<sst xmlns="http://schemas.openxmlformats.org/spreadsheetml/2006/main" count="3907" uniqueCount="1039">
  <si>
    <t>на проектные работы и инженерные изыскания</t>
  </si>
  <si>
    <t>По объекту:</t>
  </si>
  <si>
    <t>Наименование строительства и стадии проектирования</t>
  </si>
  <si>
    <t/>
  </si>
  <si>
    <t>Наименование проектной организации-генерального проектировщика</t>
  </si>
  <si>
    <t>Наименование организации заказчика</t>
  </si>
  <si>
    <t>№пп</t>
  </si>
  <si>
    <t>Перечень выполняемых работ</t>
  </si>
  <si>
    <t>Ссылка на № смет по формам 2П, 3П</t>
  </si>
  <si>
    <t>Полная стоимость работ, руб.</t>
  </si>
  <si>
    <t>изыскательских</t>
  </si>
  <si>
    <t>проектных</t>
  </si>
  <si>
    <t>Всего</t>
  </si>
  <si>
    <t>1</t>
  </si>
  <si>
    <t>2</t>
  </si>
  <si>
    <t>Рабочая документация</t>
  </si>
  <si>
    <t>3</t>
  </si>
  <si>
    <t>Итого по сводной смете:</t>
  </si>
  <si>
    <t>4</t>
  </si>
  <si>
    <t>5</t>
  </si>
  <si>
    <t>Всего по сводной смете:</t>
  </si>
  <si>
    <t>СВОДНАЯ СМЕТА</t>
  </si>
  <si>
    <t xml:space="preserve">«Реконструкция газопромысловых сооружений Степновской СПХГ»
</t>
  </si>
  <si>
    <t>ОАО «СИБНЕФТЕТРАНСПРОЕКТ»</t>
  </si>
  <si>
    <t>1.1</t>
  </si>
  <si>
    <t>2.1</t>
  </si>
  <si>
    <t>Форма 1пс</t>
  </si>
  <si>
    <t>3.1</t>
  </si>
  <si>
    <t>3.2</t>
  </si>
  <si>
    <t>3.3</t>
  </si>
  <si>
    <t>3.4</t>
  </si>
  <si>
    <t>3.5</t>
  </si>
  <si>
    <t>3.6</t>
  </si>
  <si>
    <t>3.7</t>
  </si>
  <si>
    <t>3.8</t>
  </si>
  <si>
    <t>Генеральный план</t>
  </si>
  <si>
    <t>Автомобильные дороги</t>
  </si>
  <si>
    <t>Технология производства</t>
  </si>
  <si>
    <t xml:space="preserve">форма 2П, 707/пр
</t>
  </si>
  <si>
    <t>на проектные (изыскательские) работы</t>
  </si>
  <si>
    <t>Наименование предприятия, здания, сооружения, стадии проектирования, этапа, вида проектных или изыскательских работ</t>
  </si>
  <si>
    <t>Наименование проектной (изыскательской) организации</t>
  </si>
  <si>
    <t>№ пп</t>
  </si>
  <si>
    <t>Наименование объекта проектирования или вида проектных работ</t>
  </si>
  <si>
    <t>Наименование, номера глав, таблиц, параграфов и пунктов МНЗ на проектные работы</t>
  </si>
  <si>
    <t>Расчет стоимости</t>
  </si>
  <si>
    <t>Стоимость, руб.</t>
  </si>
  <si>
    <t>Этап 3 (Объекты на площадке ГРП 2А)
Разработка комплекта "4212.012.Р.3/0.0004.ГРП.02А.00000.000-ГП"</t>
  </si>
  <si>
    <t xml:space="preserve">Генеральный план и транспорт в составе: вертикальная планировка, благоустройство и озеленение, внутриплощадочные автодороги, сводный план коммуникаций и сетей, участка. Площадь от 0.5 га до 10 га включительно. </t>
  </si>
  <si>
    <t>НЗ №849/пр Объекты газовой промышленности. 2023 г. Таблица 3.8. Объекты общетехнического назначения, п.10
A = 31.1 тыс.руб; B = 122.993 тыс.руб;
Xзад = 5 (га);
Количество = 1</t>
  </si>
  <si>
    <t>Коэффициенты</t>
  </si>
  <si>
    <t>Стадия: Рабочая документация</t>
  </si>
  <si>
    <t>Кст = 0.6</t>
  </si>
  <si>
    <t xml:space="preserve">Инженерная подготовка территории. Объем отсыпки (намыва) грунта от 20 до 50 тыс.куб.м. включительно. </t>
  </si>
  <si>
    <t>6</t>
  </si>
  <si>
    <t>7</t>
  </si>
  <si>
    <t>8</t>
  </si>
  <si>
    <t>Итого по смете:</t>
  </si>
  <si>
    <t>9</t>
  </si>
  <si>
    <t>Новое начисление</t>
  </si>
  <si>
    <t>К1 = 0.8 Коэффициент оптимизации ПАО "Газпром"  («Порядок формирования стоимости проектно-изыскательских работ для строительства и реконструкции объектов ПАО «Газпром» от 28.12.2017г. п.5.41) (Ценообразующий)</t>
  </si>
  <si>
    <t>10</t>
  </si>
  <si>
    <t>К1 = 1.08 Коэффициент районный (Письмо ГК РФ по жилищной и строительной политике от 30 июня 1998 г. N 9-10-17/40) (Ценообразующий)</t>
  </si>
  <si>
    <t>11</t>
  </si>
  <si>
    <t>Всего по смете:</t>
  </si>
  <si>
    <t>ООО «Газпром проектирование»</t>
  </si>
  <si>
    <t>Этап 3 (Объекты на площадке ГРП 2А)
ПАД.02А - Подъездная автомобильная дорога к ГРП 2А
Разработка комплекта 4212.012.Р.3/0.0004.ПАД.02А.40712.000-АД</t>
  </si>
  <si>
    <t>Автомобильные дороги технической категории IV. Категория сложности проектирования: 3. Протяженность от 0.2 до 0.5 километра включительно.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</si>
  <si>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3.5. Автомобильные дороги технической категории IV, п.2.3
A = 290.1 тыс.руб; B = 1 856.633 тыс.руб;
Протяженность дороги L = 0.31524 км;
Количество = 1;</t>
  </si>
  <si>
    <t xml:space="preserve">Примыкание автомобильных дорог в одном уровне с устройством переходно-скоростных полос движения, островков безопасности. Категория сложности проектирования: 3. </t>
  </si>
  <si>
    <t>НЗ №51/пр Строительство, реконструкция и капитальный ремонт автомобильных дорог, их конструктивных элементов и сооружений на них. 2025 г. Таблица 3.7. Развязки, п.2.3
A = 1 622.6 тыс.руб; 
Количество = 1 (объект)</t>
  </si>
  <si>
    <t xml:space="preserve">Пересечение (примыкание) автомобильных дорог в одном уровне определяется с корректирующим коэффициентом для примыканий без устройства переходно-скоростных полос </t>
  </si>
  <si>
    <t>K1 = 0.47
Табл.4, п.9 (Ценообразующий)</t>
  </si>
  <si>
    <t>12</t>
  </si>
  <si>
    <t>13</t>
  </si>
  <si>
    <t>14</t>
  </si>
  <si>
    <t>15</t>
  </si>
  <si>
    <t>16</t>
  </si>
  <si>
    <t>Коэф-т 1 от п.15 * 0.8
8 906 372.63 руб. * 1 * 0.8</t>
  </si>
  <si>
    <t>Коэф-т 1 от п.16 * 1.08
7 125 098.10 руб. * 1 * 1.08</t>
  </si>
  <si>
    <t>Этап 3 (Объекты на площадке ГРП 2А)</t>
  </si>
  <si>
    <t>001 - Технологический корпус №1</t>
  </si>
  <si>
    <t>Установка первичной сепарации газа производительностью от 10 млн.куб.м/сут до 60 млн.куб.м/сут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</si>
  <si>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
A = 1 493.1 тыс. руб.B = 22.794 тыс. руб.;
Хзад = 10.95 (млн.куб.м/сут);
Количество = 1</t>
  </si>
  <si>
    <t>002 - Технологический корпус №2</t>
  </si>
  <si>
    <t>004 - Резервуар, емкость дренажно-аварийная</t>
  </si>
  <si>
    <t>Установка дренажной емкости без погружного насоса объемом до 50 куб.м</t>
  </si>
  <si>
    <t>НЗ №849/пр Объекты газовой промышленности. 2023 г. Таблица 3.7. Объекты подготовки газа, газового конденсата (УКПГ, УППГ, УПТГ, ГС), п.40
A = 699.9 тыс. руб.
Количество = 1 (объект)</t>
  </si>
  <si>
    <t>005 - Резервуар, емкость расходная метанола</t>
  </si>
  <si>
    <t>Промежуточный склад ГЖ и ЛВЖ из горизонтальных стальных резервуаров объемом от 50 куб.м до 200 куб.м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</si>
  <si>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п.31
A = 467.7 тыс. руб.B = 0.398 тыс. руб.;
Хзад = 100 (куб.м);
Количество = 1</t>
  </si>
  <si>
    <t>006 - Резервуар, емкость дренажно-аварийная</t>
  </si>
  <si>
    <t>008 - Станция насосная</t>
  </si>
  <si>
    <t>Установка приема, смешения и подачи ингибитора в скважины производительностью от 20 л/час до 200 л/час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</si>
  <si>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п.20
A = 114.1 тыс. руб.B = 19.581 тыс. руб.;
Xмакс = 200;
Хзад = 1000 (л/час);
Количество = 1</t>
  </si>
  <si>
    <t>016 - Склад дизтоплива расходный V=10 м3</t>
  </si>
  <si>
    <t>НЗ №849/пр Объекты газовой промышленности. 2023 г. Таблица 3.7. Объекты подготовки газа, газового конденсата (УКПГ, УППГ, УПТГ, ГС), п.31
A = 467.7 тыс. руб.B = 0.398 тыс. руб.;
Xмин = 50;
Хзад = 10 (куб.м);
Количество = 1</t>
  </si>
  <si>
    <t>К'пон = Xзад / (0.5 * Xмин)</t>
  </si>
  <si>
    <t>К'пон = 0.4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</si>
  <si>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019 - Здание операторной</t>
  </si>
  <si>
    <t xml:space="preserve">Центральной пункт управления, диспетчерская, операторная, СЭБ, СЭРБ. Объем от 100 куб.м до 1000 куб.м включительно. </t>
  </si>
  <si>
    <t>НЗ №849/пр Объекты газовой промышленности. 2023 г. Таблица 3.8. Объекты общетехнического назначения, п.1
A = 1 007.2 тыс.руб; B = 1.085 тыс.руб;
Xзад = 907.2 (куб.м);
Количество = 1</t>
  </si>
  <si>
    <t>024 - Свеча Ду 800мм, Н=30м</t>
  </si>
  <si>
    <t>Установка факела вертикального производительностью от 7.5 млн.куб.м/сут до 25 млн.куб.м/сут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</si>
  <si>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п.23
A = 1 320.8 тыс. руб.B = 9.459 тыс. руб.;
Xмин = 7.5;
Хзад = 4.7088 (млн.куб.м/сут);
Количество = 1</t>
  </si>
  <si>
    <t>025 - Установка свечных сепараторов</t>
  </si>
  <si>
    <t>Установка факельного сепаратора и сборника жидкости производительностью по сбрасываемому газу от 7.5 млн.куб.м/сут до 25 млн.куб.м/сут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</si>
  <si>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п.22
A = 415.6 тыс. руб.B = 32.687 тыс. руб.;
Xмин = 7.5;
Хзад = 4.7088 (млн.куб.м/сут);
Количество = 1</t>
  </si>
  <si>
    <t>031 - Ресиверы азота</t>
  </si>
  <si>
    <t>Станция азотная производительностью от 500 куб.м/час до 1000 куб.м/час включительно</t>
  </si>
  <si>
    <t>НЗ №849/пр Объекты газовой промышленности. 2023 г. Таблица 3.7. Объекты подготовки газа, газового конденсата (УКПГ, УППГ, УПТГ, ГС), п.35
A = 6 131.1 тыс. руб.B = 4.907 тыс. руб.;
Xмин = 500;
Хзад = 150 (куб.м/час);
Количество = 1</t>
  </si>
  <si>
    <t>К'пон = 0.6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</si>
  <si>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Сети внутриплощадочные (ТК1=0,2 км, ТК2=0,25км, ТК3= 0,35км, ТК4=0,37км)</t>
  </si>
  <si>
    <t xml:space="preserve">Межцеховые и внеплощадочные сети на эстакадах (теплогазоматериалопроводы). Протяженность от 1 км до 5 км включительно. </t>
  </si>
  <si>
    <t>НЗ №849/пр Объекты газовой промышленности. 2023 г. Таблица 3.7. Объекты подготовки газа, газового конденсата (УКПГ, УППГ, УПТГ, ГС), п.25
A = 3 051.8 тыс.руб; B = 946.944 тыс.руб;
Xзад = 1.17 (км);
Количество = 1</t>
  </si>
  <si>
    <t>Отопление, вентиляция и кондиционирование</t>
  </si>
  <si>
    <t xml:space="preserve">Автоматизированная система управления энергоснабжением (АСУ Э) </t>
  </si>
  <si>
    <t xml:space="preserve">Автоматизированная система управления технологическим процессом (АСУ ТП) </t>
  </si>
  <si>
    <t>Автоматизация электрического освещения (АЭО)</t>
  </si>
  <si>
    <t>Система противопожарной безопасности и автоматики (СПБА)</t>
  </si>
  <si>
    <t>Этап 3 (Объекты на площадке ГРП 2А) АСУ ТП</t>
  </si>
  <si>
    <t>Наименование объекта</t>
  </si>
  <si>
    <t>Сети внутриплощадочные
001 - Технологический корпус №1
002 - Технологический корпус №2
004 - Резервуар, емкость дренажно-аварийная
005 - Резервуар, емкость расходная метанола
006 - Резервуар, емкость дренажно-аварийная
008 - Станция насосная
009 - Здание станции насосной водоснабжения производственного
016 - Склад дизтоплива расходный V=10 м3
019 - Здание операторной
022 - Здание контрольно- пропускного пункта</t>
  </si>
  <si>
    <t>Стадия</t>
  </si>
  <si>
    <t>Наименование организации Заказчика</t>
  </si>
  <si>
    <t>Наименование проектной организации</t>
  </si>
  <si>
    <t>Смета составлена на основании "СБЦ на проектные работы в строительстве "Автоматизированные системы управления технологическими процессами (АСУТП)" (2016г.)</t>
  </si>
  <si>
    <t>1. Краткая характеристика объекта автоматизации:</t>
  </si>
  <si>
    <t>Новое строительство</t>
  </si>
  <si>
    <t>Реконструкция, модернизация, тех. перевооружение</t>
  </si>
  <si>
    <t xml:space="preserve">Требование на разработку ТЗ к созданию АСУ ТП: </t>
  </si>
  <si>
    <t>Нет</t>
  </si>
  <si>
    <t>Да</t>
  </si>
  <si>
    <t>Требуемые части документации АСУ ТП:</t>
  </si>
  <si>
    <t>ОР</t>
  </si>
  <si>
    <t>ОО</t>
  </si>
  <si>
    <t>ИО</t>
  </si>
  <si>
    <t>ТО</t>
  </si>
  <si>
    <t>МО</t>
  </si>
  <si>
    <t>ПО</t>
  </si>
  <si>
    <t>2. Исходные данные:</t>
  </si>
  <si>
    <t>Трудоемкость разработки ТЗ на создание АСУ ТП</t>
  </si>
  <si>
    <t>Основные факторы, определяющие трудоемкость разработки</t>
  </si>
  <si>
    <t>Количество баллов</t>
  </si>
  <si>
    <t>Фактор</t>
  </si>
  <si>
    <t>Наименование</t>
  </si>
  <si>
    <t>Определение</t>
  </si>
  <si>
    <t>ТЗ</t>
  </si>
  <si>
    <t>Ф1</t>
  </si>
  <si>
    <t>Степень научно-технической новизны (ТОУ)</t>
  </si>
  <si>
    <t>I степень - ТОУ имеет действующие аналоги в России и, возможно за рубежом</t>
  </si>
  <si>
    <t>1.2</t>
  </si>
  <si>
    <t>II степень - ТОУ имеет действующие аналоги только за рубежом</t>
  </si>
  <si>
    <t>1.3</t>
  </si>
  <si>
    <t>III степень - ни с конструкторской, ни с технологической точек зрения ТОУ не является принципиально новым объектом, но действующих аналогов не имеет</t>
  </si>
  <si>
    <t>1.4</t>
  </si>
  <si>
    <t>IV степень - с конструкторской и (или) технологической точек зрения ТОУ является принципиально новым объектом</t>
  </si>
  <si>
    <t>Ф2</t>
  </si>
  <si>
    <t>Характер протекания управляемого технологического процесса во времени</t>
  </si>
  <si>
    <t>Непрерывный (с длительным поддержанием режимов, близких к установившимся, и практически безостановочной подачей сырья и реагентов)</t>
  </si>
  <si>
    <t>2.2</t>
  </si>
  <si>
    <t>Полунепрерывный (непрерывный, с существенными для управления переходными режимами, вызванными либо добавками (заменами) сырья или реагентов, либо выдачей продукции)</t>
  </si>
  <si>
    <t>2.3</t>
  </si>
  <si>
    <t>Непрерывно-дискретный - I (сочетающий непрерывные и прерывистые режимы на различных стадиях процесса)</t>
  </si>
  <si>
    <t>2.4</t>
  </si>
  <si>
    <t>Непрерывно-дискретный - II (сочетающий непрерывные и прерывистые режимы с малой длительностью непрерывных режимов в аварийных условиях)</t>
  </si>
  <si>
    <t>2.5</t>
  </si>
  <si>
    <t>Циклический (прерывистый, с существенной для управления длительностью интервалов непрерывного функционирования и циклическим следованием интервалов с различными режимами)</t>
  </si>
  <si>
    <t>2.6</t>
  </si>
  <si>
    <t>Дискретный (прерывистый, с малой, несущественной для управления, длительностью непрерывных технологических операций)</t>
  </si>
  <si>
    <t>Ф3</t>
  </si>
  <si>
    <t>Количество технологических операций, выполняемых на ТОУ</t>
  </si>
  <si>
    <t>свыше 10 до 20</t>
  </si>
  <si>
    <t>до 5</t>
  </si>
  <si>
    <t>свыше 5 до 10</t>
  </si>
  <si>
    <t>свыше 20 до 35</t>
  </si>
  <si>
    <t>свыше 35 до 50</t>
  </si>
  <si>
    <t>свыше 50 до 70</t>
  </si>
  <si>
    <t>свыше 70 до 100</t>
  </si>
  <si>
    <t>за каждые 50 свыше 100</t>
  </si>
  <si>
    <t>Ф4</t>
  </si>
  <si>
    <t>Количество переменных, характеризующих ТОУ</t>
  </si>
  <si>
    <t>свыше 470 до 600</t>
  </si>
  <si>
    <t>4.1</t>
  </si>
  <si>
    <t>до 20</t>
  </si>
  <si>
    <t>4.2</t>
  </si>
  <si>
    <t>свыше 20 до 50</t>
  </si>
  <si>
    <t>4.3</t>
  </si>
  <si>
    <t>свыше 50 до 100</t>
  </si>
  <si>
    <t>4.4</t>
  </si>
  <si>
    <t>свыше 100 до 170</t>
  </si>
  <si>
    <t>4.5</t>
  </si>
  <si>
    <t>свыше 170 до 250</t>
  </si>
  <si>
    <t>4.6</t>
  </si>
  <si>
    <t>свыше 250 до 350</t>
  </si>
  <si>
    <t>4.7</t>
  </si>
  <si>
    <t>свыше 350 до 470</t>
  </si>
  <si>
    <t>4.8</t>
  </si>
  <si>
    <t>4.9</t>
  </si>
  <si>
    <t>свыше 600 до 800</t>
  </si>
  <si>
    <t>4.10</t>
  </si>
  <si>
    <t>свыше 800 до 1000</t>
  </si>
  <si>
    <t>4.11</t>
  </si>
  <si>
    <t>свыше 1000 до 1300</t>
  </si>
  <si>
    <t>4.12</t>
  </si>
  <si>
    <t>свыше 1300 до 1600</t>
  </si>
  <si>
    <t>4.13</t>
  </si>
  <si>
    <t>свыше 1600 до 2000</t>
  </si>
  <si>
    <t>4.14</t>
  </si>
  <si>
    <t>за каждые 500 свыше 2000</t>
  </si>
  <si>
    <t>ИТОГО (ƩБч):</t>
  </si>
  <si>
    <t>Трудоемкость разработки документации на АСУ ТП</t>
  </si>
  <si>
    <t>Количество баллов для частей проектной документации (Бч)</t>
  </si>
  <si>
    <t>1.5</t>
  </si>
  <si>
    <t>1.6</t>
  </si>
  <si>
    <t>Ф5</t>
  </si>
  <si>
    <t>Количество технологических операций, контролируемых или управляемых АСУ ТП</t>
  </si>
  <si>
    <t>За каждые 50 свыше 100 начисляется еще по баллу</t>
  </si>
  <si>
    <t>2.7</t>
  </si>
  <si>
    <t>Ф6</t>
  </si>
  <si>
    <t>Степень развитости информационных функций АСУ ТП</t>
  </si>
  <si>
    <t>III степень - косвенное измерение (вычисление) отдельных комплексных показателей функционирования ТОУ</t>
  </si>
  <si>
    <t>I степень - параллельные контроль и измерение параметров состояния ТОУ</t>
  </si>
  <si>
    <t>II степень - централизованный контроль и измерение параметров состояния ТОУ</t>
  </si>
  <si>
    <t>IV степень - анализ и обобщенная оценка состояния процесса в целом по его модели (распознавание ситуаций, диагностика аварийных состояний, поиск "узкого места", прогноз хода процесса)</t>
  </si>
  <si>
    <t>Ф7</t>
  </si>
  <si>
    <t>Степень развитости управляющих функций АСУ ТП</t>
  </si>
  <si>
    <t>III степень - многосвязное автоматическое регулирование или автоматическое программное логическое управление по циклу с разветвлениями</t>
  </si>
  <si>
    <t>I степень - одноконтурное автоматическое регулирование или автоматическое однотактное логическое управление (переключения, блокировки и тому подобное)</t>
  </si>
  <si>
    <t>7.2</t>
  </si>
  <si>
    <t>II степень - каскадное и (или) программное автоматическое регулирование или автоматическое программное логическое управление по "жесткому" циклу</t>
  </si>
  <si>
    <t>7.3</t>
  </si>
  <si>
    <t>7.4</t>
  </si>
  <si>
    <t>IV степень - оптимальное управление установившимися режимами (в статике)</t>
  </si>
  <si>
    <t>7.5</t>
  </si>
  <si>
    <t>V степень - оптимальное управление переходными процессами или процессом в целом (оптимизация в динамике)</t>
  </si>
  <si>
    <t>7.6</t>
  </si>
  <si>
    <t>VI степень - оптимальное управление быстропротекающими переходными процессами в аварийных условиях</t>
  </si>
  <si>
    <t>7.7</t>
  </si>
  <si>
    <t>VII степень - оптимальное управление с адаптацией (самообучением и изменением алгоритмов и параметров системы)</t>
  </si>
  <si>
    <t>Ф8</t>
  </si>
  <si>
    <t>Режим выполнения управляющих фукций АСУ ТП</t>
  </si>
  <si>
    <t>Автоматический режим прямого (непосредственного) цифрового (или аналого-цифрового) управления</t>
  </si>
  <si>
    <t>5.1</t>
  </si>
  <si>
    <t>Автоматизированный "ручной" режим</t>
  </si>
  <si>
    <t>5.2</t>
  </si>
  <si>
    <t>Автоматизированный режим "советчика"</t>
  </si>
  <si>
    <t>5.3</t>
  </si>
  <si>
    <t>Автоматизированный диалоговый режим</t>
  </si>
  <si>
    <t>5.4</t>
  </si>
  <si>
    <t>Автоматический режим косвенного управления</t>
  </si>
  <si>
    <t>5.5</t>
  </si>
  <si>
    <t>Ф9</t>
  </si>
  <si>
    <t>Количество переменных, измеряемых, контролируемых и регистрируемых АСУ ТП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</si>
  <si>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</si>
  <si>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</si>
  <si>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</si>
  <si>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</si>
  <si>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</si>
  <si>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</si>
  <si>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</si>
  <si>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</si>
  <si>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</si>
  <si>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</si>
  <si>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</si>
  <si>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</si>
  <si>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</si>
  <si>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</si>
  <si>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Ф10</t>
  </si>
  <si>
    <t>Количество управляющих воздействий, вырабатываемых АСУ ТП</t>
  </si>
  <si>
    <t>свыше 300 до 350</t>
  </si>
  <si>
    <t>свыше 20 до 40</t>
  </si>
  <si>
    <t>свыше 40 до 60</t>
  </si>
  <si>
    <t>свыше 60 до 90</t>
  </si>
  <si>
    <t>свыше 90 до 120</t>
  </si>
  <si>
    <t>7.8</t>
  </si>
  <si>
    <t>свыше 120 до 160</t>
  </si>
  <si>
    <t>7.9</t>
  </si>
  <si>
    <t>свыше 160 до 200</t>
  </si>
  <si>
    <t>свыше 200 до 250</t>
  </si>
  <si>
    <t>свыше 250 до 300</t>
  </si>
  <si>
    <t>свыше 350 до 400</t>
  </si>
  <si>
    <t>за каждые 70 свыше 400</t>
  </si>
  <si>
    <t>3. Устанавливаются следующие значения коэффициентов:</t>
  </si>
  <si>
    <t>Величина коэффициента для частей проектной документации</t>
  </si>
  <si>
    <t>Коэффициенты к установленным ценам и условия их применения</t>
  </si>
  <si>
    <t>Обозначение</t>
  </si>
  <si>
    <t>Тип</t>
  </si>
  <si>
    <t>Условия применения</t>
  </si>
  <si>
    <t>Значение</t>
  </si>
  <si>
    <t>Испол</t>
  </si>
  <si>
    <t>Размер Коэф</t>
  </si>
  <si>
    <t>К1</t>
  </si>
  <si>
    <t>ПН</t>
  </si>
  <si>
    <t>АСУТП не является впервые разрабатываемой
(0,4 - 0,8)</t>
  </si>
  <si>
    <t>К об</t>
  </si>
  <si>
    <t>АСУ выполняется в сокращенном, против учтенного ценами, объеме</t>
  </si>
  <si>
    <t>К12</t>
  </si>
  <si>
    <t>Разработка документации на АСУТП выполняется в связи с ее реконструкцией (модернизацией, техническим перевооружением) (от 0,4 до 0,8)</t>
  </si>
  <si>
    <t>К2</t>
  </si>
  <si>
    <t>ПВ</t>
  </si>
  <si>
    <t>АСУТП разрабатывается с целью тиражирования на нескольких однотипных ТОУ (1,2 - 1,4)</t>
  </si>
  <si>
    <t>К3</t>
  </si>
  <si>
    <t>Исходные требования заказчика к АСУТП предусматривают высокую степень развитости управляющих функций системы (1,1 - 1,2)</t>
  </si>
  <si>
    <t>К4</t>
  </si>
  <si>
    <t>АСУТП разрабатывается с учетом нескольких вариантов её построения (реализации) (от 1,05 до 1,3)</t>
  </si>
  <si>
    <t>К5</t>
  </si>
  <si>
    <t>АСУТП создается с использованием технических средств, находящихся в стадии освоения производства (от 1,05 до 1,2)</t>
  </si>
  <si>
    <t>К6</t>
  </si>
  <si>
    <t>АСУТП создается с использованием зарубежных технических средств (от 1,05 до 1,25)</t>
  </si>
  <si>
    <t>К7</t>
  </si>
  <si>
    <t>АСУТП создается с использованием для передачи данных аппаратуры телемеханики, либо средств беспроводной связи, в том числе радиосвязи, либо средств высокочастотной связи по высоковольтным линиям электропередачи (1,1)</t>
  </si>
  <si>
    <t>К8</t>
  </si>
  <si>
    <t>АСУТП или автоматизированный технологический комплекс (АТК), в составе которого она создается, включены в план (перечень объектов) экспериментального проектирования и строительства либо в перечень уникальных или особо важных (важнейших) объектов (строек) (от 1,1 до 1,3)</t>
  </si>
  <si>
    <t>К10.1</t>
  </si>
  <si>
    <t>Производство (объект) повышенного риска (взрывоопасное, пожароопасное) (1,05)</t>
  </si>
  <si>
    <t>К10.2</t>
  </si>
  <si>
    <t>АСУТП подлежит для эксплуатации в зоне холодного климата (1,1)</t>
  </si>
  <si>
    <t>К13</t>
  </si>
  <si>
    <t>АСУТП создается на действующем или реконструируемом (модернизируемом, расширяемом, технически перевооружаемом) ТОУ или ТОУ импортной поставки</t>
  </si>
  <si>
    <t>К15</t>
  </si>
  <si>
    <t>Создание АСУТП предусматривает разработку её метрологического обеспечения (от 1,03 до 1,3)</t>
  </si>
  <si>
    <t>Итого понижающие коэффициенты</t>
  </si>
  <si>
    <t>Итого повышающие коэффициенты</t>
  </si>
  <si>
    <t>Кт</t>
  </si>
  <si>
    <t>Итого коэффициент учитывающий трудоемкость</t>
  </si>
  <si>
    <t>К рк</t>
  </si>
  <si>
    <t>Районный коэффициент</t>
  </si>
  <si>
    <t>К ин</t>
  </si>
  <si>
    <t>Коэффициент инфляции</t>
  </si>
  <si>
    <t>Договорной коэффициент</t>
  </si>
  <si>
    <t>Кст (П)</t>
  </si>
  <si>
    <t>Коэффициент для стадии "П", учитывающий распределение базовой цены между стадиями проектирования</t>
  </si>
  <si>
    <t>Кст (Р)</t>
  </si>
  <si>
    <t>Коэффициент для стадии "Р", учитывающий распределение базовой цены между стадиями проектирования</t>
  </si>
  <si>
    <t>4. Расчёт базовой цены разработки документации по АСУ ТП:</t>
  </si>
  <si>
    <t>№
пп</t>
  </si>
  <si>
    <t>Базовая цена разработки документации</t>
  </si>
  <si>
    <t>Примечание</t>
  </si>
  <si>
    <t>Расчетное количество баллов (п.2.1)</t>
  </si>
  <si>
    <t>Ценностные множители для частей документации на АСУТП</t>
  </si>
  <si>
    <t>Кол-во КП</t>
  </si>
  <si>
    <t>Базовая цена двухстадийной разработки проектной документации на АСУ ТП, тыс.руб.</t>
  </si>
  <si>
    <t>С учетом общего коэффициента учитывающего трудоемкость, тыс.руб.</t>
  </si>
  <si>
    <t>С учетом ценообразующих коэффициентов, тыс.руб.</t>
  </si>
  <si>
    <t>Базовая цена разработки документации для стадии "Р", тыс.руб.</t>
  </si>
  <si>
    <t>Базовая цена разработки документации для стадии "Р"  (руб.), с учетом распределения базовой цены между стадиями проектирования (п.3), для всех частей проектной документации,   в текущих ценах</t>
  </si>
  <si>
    <t>Базовая цена разработки документации для стадии "Р"  (руб.), для всех частей проектной документации, за вычетом цены проектной документации на автоматизацию по основному договору,  в текущих ценах   с К оптимиз.=0,8</t>
  </si>
  <si>
    <t>Понижающий коэфф. К=0,7 (корректировка)</t>
  </si>
  <si>
    <t>Итого цена стадии  Р в текущих ценах</t>
  </si>
  <si>
    <t>Коэффициент</t>
  </si>
  <si>
    <t>Этап 3 (Объекты на площадке ГРП 2А) АСУ Э</t>
  </si>
  <si>
    <t>Сети внутриплощадочные</t>
  </si>
  <si>
    <t>Этап 3 (Объекты на площадке ГРП 2А) АЭО</t>
  </si>
  <si>
    <t>Этап 3 (Объекты на площадке ГРП 2А) СПБА</t>
  </si>
  <si>
    <t xml:space="preserve">Сети внутриплощадочные
001 - Технологический корпус №1
002 - Технологический корпус №2
008 - Станция насосная
009 - Здание станции насосной водоснабжения производственного
019 - Здание операторной
</t>
  </si>
  <si>
    <t>4212.012.Р.3/0.0004.ГРП.02А.31201.025-ТС</t>
  </si>
  <si>
    <t xml:space="preserve">Внутриплощадочные инженерные сети. Тепло-, газо-, материалопроводы на эстакадах. Длина трассы до 0.1 км. 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</si>
  <si>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п.2.3
A = 1 695.18 тыс.руб; B = 1 100.96 тыс.руб;
Xмин = 0.1;
Xзад = 0.015 (км);
Количество = 1</t>
  </si>
  <si>
    <t>К'пон = 0.3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</si>
  <si>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При проектировании трассы с 1-5 трубопроводами вводится коэффициент</t>
  </si>
  <si>
    <t>K1 = 0.5
Глава 2.5, п.2.5.6 (Ценообразующий)</t>
  </si>
  <si>
    <t xml:space="preserve">Исключенные разделы документации </t>
  </si>
  <si>
    <t>1. Схема планировочной организации земельного участка</t>
  </si>
  <si>
    <t>5%</t>
  </si>
  <si>
    <t>2. Архитектурные решения. Конструктивные и объемно-планировочные решения</t>
  </si>
  <si>
    <t>25%</t>
  </si>
  <si>
    <t>4212.012.Р.3/0.0004.ГРП.02А.31111.004-ТС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</si>
  <si>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п.2.3
A = 1 695.18 тыс.руб; B = 1 100.96 тыс.руб;
Xмин = 0.1;
Xзад = 0.01 (км);
Количество = 1</t>
  </si>
  <si>
    <t>К'пон = 0.2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</si>
  <si>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4212.00.Р.04.ГРП.2А.000.ТК2.000</t>
  </si>
  <si>
    <t xml:space="preserve">Внутриплощадочные инженерные сети. Тепло-, газо-, материалопроводы на эстакадах. Длина трассы свыше 0.1 до 0.3 км. 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</si>
  <si>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п.2.4
A = 1 700.5 тыс.руб; B = 1 047.8 тыс.руб;
Xзад = 0.25 (км);
Количество = 1</t>
  </si>
  <si>
    <t>4212.00.Р.04.ГРП.2А.000.ТК4.000</t>
  </si>
  <si>
    <t xml:space="preserve">Внутриплощадочные инженерные сети. Тепло-, газо-, материалопроводы на эстакадах. Длина трассы свыше 0.3 до 0.5 км. </t>
  </si>
  <si>
    <t>Объекты нефтеперерабатывающей и нефтехимической промышленности. 2015 г. Таблица 8. Объекты подсобно-производственного, вспомогательного и общезаводского назначения, внутриплощадочные инженерные сети, схема планировочной организации земельного участка, п.2.5
A = 1 712.5 тыс.руб; B = 1 007.8 тыс.руб;
Xзад = 0.37 (км);
Количество = 1</t>
  </si>
  <si>
    <t>4212.012.Р.3/0.0004.ГРП.02А.21701.012-ТМ</t>
  </si>
  <si>
    <t xml:space="preserve">Автономные источники теплоснабжения (АИТ). Теплопроизводительность свыше 1 до 5 МВт. </t>
  </si>
  <si>
    <t>Газооборудование и газоснабжение промышленных предприятий, зданий и сооружений. 2015 г. Таблица 2. Автономные источники теплоснабжения (АИТ), п.2
A = 379.281 тыс.руб; B = 76.551 тыс.руб;
Xзад = 1.95 (МВт);
Количество = 1</t>
  </si>
  <si>
    <t>Коэф-т 1 от п.17 * 0.8
42 849 451.36 руб. * 1 * 0.8</t>
  </si>
  <si>
    <t>Коэф-т 1 от п.18 * 1.08
34 279 561.09 руб. * 1 * 1.08</t>
  </si>
  <si>
    <t>Сети связи и сигнализации</t>
  </si>
  <si>
    <t>Итого</t>
  </si>
  <si>
    <t>Форма 2П</t>
  </si>
  <si>
    <t>на   проектные работы</t>
  </si>
  <si>
    <t>Наименование объекта, стадии, этапа проектных работ</t>
  </si>
  <si>
    <t xml:space="preserve">Наименование проектной </t>
  </si>
  <si>
    <t>(изыскательской) организации</t>
  </si>
  <si>
    <t>Наименование организации</t>
  </si>
  <si>
    <t>заказчика</t>
  </si>
  <si>
    <t>№ пп.</t>
  </si>
  <si>
    <t>Характеристика предприятия, здания, сооружения или виды работ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</si>
  <si>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</si>
  <si>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>Расчет стоимости: (a+bx)*Ki, или (объем строительно-монтажных работ) * проц./100 или количество x цена</t>
  </si>
  <si>
    <t>Всего по смете</t>
  </si>
  <si>
    <t>Итого с учетом коэффициента оптимизации ПАО "Газпром":</t>
  </si>
  <si>
    <t>К=0,8</t>
  </si>
  <si>
    <t>К=1,08</t>
  </si>
  <si>
    <t>Итого с учетом районного коэффициента:</t>
  </si>
  <si>
    <t>Письмо ГК РФ по жилищной и строительной политике от 30 июня 1998 г. N 9-10-17/40</t>
  </si>
  <si>
    <t>«Порядок формирования стоимости проектно-изыскательских работ для строительства и реконструкции объектов ПАО «Газпром» от 28.12.2017г. п.5.41</t>
  </si>
  <si>
    <t>Пожарная сигнализация на площади 80,8*15= 1212м2</t>
  </si>
  <si>
    <t>СБЦ на ПРС "Системы противопожарной и  охранной защиты"   (табл. 3 п.6)</t>
  </si>
  <si>
    <t>К=0,6(стадия Р)</t>
  </si>
  <si>
    <t>К=1,5 п.3 (управление ПЗ и ПБ)</t>
  </si>
  <si>
    <t>К=1,2 п.2.2 (установка вне здания РПИ)</t>
  </si>
  <si>
    <t>К=1,1 п.2.5  (вынос оборудования из здания)</t>
  </si>
  <si>
    <t>К=1,3 п.2.5 (взрывоопасность )</t>
  </si>
  <si>
    <t>Система оповещения людей о пожаре на площади  80,8*15= 1212м2</t>
  </si>
  <si>
    <t>СБЦ на ПРС "Системы противопожарной и  охранной защиты"   (табл. 4 п.6)</t>
  </si>
  <si>
    <t>К=1,4 (тип 3)</t>
  </si>
  <si>
    <t>К=1,3 п.2.5 (взрывоопасность)</t>
  </si>
  <si>
    <t>Установка оперативно-диспетчерской связи до 50</t>
  </si>
  <si>
    <t>СБЦ ПР для стр-ва, объекты связи, 2010г.  (табл.9 п.1)</t>
  </si>
  <si>
    <t>К=0,52(стадия Р)</t>
  </si>
  <si>
    <t xml:space="preserve">Производственная громкоговорящая связь 12 абонентов </t>
  </si>
  <si>
    <t>СБЦ ПР для стр-ва, объекты связи, 2010г.  (табл.9 п.4)</t>
  </si>
  <si>
    <t>Сеть комплексная средств связи и передачи информации на промплощадке 50 пар (телефон,ГГС)</t>
  </si>
  <si>
    <t>СЦБ ПР для стр-ва, объекты связи  (табл.9 п.11)</t>
  </si>
  <si>
    <t>Локальная вычислительная сеть с числом узлов 1</t>
  </si>
  <si>
    <t>СБЦ ПР для стр-ва, объекты связи, 2010г. (табл.24 п.2)</t>
  </si>
  <si>
    <t>К=0,5 (стадия Р)</t>
  </si>
  <si>
    <t>СКС в здании</t>
  </si>
  <si>
    <t>СБЦ ПР для стр-ва, объекты связи, 2010г. (табл.24 п.8)</t>
  </si>
  <si>
    <t>СПД до 100 каналов (ГПТ+контроллер проект в СПБА)</t>
  </si>
  <si>
    <t>СЦБ ПР для стр-ва, объекты связи  (табл.2 п.2)</t>
  </si>
  <si>
    <t>К=0,58 (стадия Р)</t>
  </si>
  <si>
    <t>ИТОГО  001 - Технологический корпус №1:</t>
  </si>
  <si>
    <t xml:space="preserve"> 002 - Технологический корпус №2</t>
  </si>
  <si>
    <t>Пожарная сигнализация на площади 72*15= 1080 м2</t>
  </si>
  <si>
    <t>Система оповещения людей о пожаре на площади  72*15= 1080 м2</t>
  </si>
  <si>
    <t>ИТОГО  002 - Технологический корпус №2:</t>
  </si>
  <si>
    <t xml:space="preserve"> 008 - Станция насосная</t>
  </si>
  <si>
    <t>Пожарная сигнализация на площади 27,5*9=248 м2</t>
  </si>
  <si>
    <t>СБЦ на ПРС "Системы противопожарной и  охранной защиты"   (табл. 3 п.3)</t>
  </si>
  <si>
    <t>Система оповещения людей о пожаре на площади  27,5*9=248 м2</t>
  </si>
  <si>
    <t>СБЦ на ПРС "Системы противопожарной и  охранной защиты"   (табл. 4 п.3)</t>
  </si>
  <si>
    <t>СПД до 100 каналов (контроллер проект в СПБА)</t>
  </si>
  <si>
    <t>ИТОГО  008 - Станция насосная:</t>
  </si>
  <si>
    <t>009 - Здание станции насосной водоснабжения производственного</t>
  </si>
  <si>
    <t>Пожарная сигнализация на площади 54 м2</t>
  </si>
  <si>
    <t>СБЦ на ПРС "Системы противопожарной и  охранной защиты"   (табл. 3 п.1)</t>
  </si>
  <si>
    <t>Система оповещения людей о пожаре на площади  54 м2</t>
  </si>
  <si>
    <t>СБЦ на ПРС "Системы противопожарной и  охранной защиты"   (табл. 4 п.1)</t>
  </si>
  <si>
    <t>СПД до 100 каналов (контроллер)</t>
  </si>
  <si>
    <t>ИТОГО 009 - Здание станции насосной водоснабжения производственного:</t>
  </si>
  <si>
    <t>Пожарная сигнализация на площади 250 м2</t>
  </si>
  <si>
    <t>Система оповещения людей о пожаре на площади  250 м2</t>
  </si>
  <si>
    <t>ИТОГО 019 - Здание операторной:</t>
  </si>
  <si>
    <t>022 - Здание контрольно- пропускного пункта</t>
  </si>
  <si>
    <t>Пожарная сигнализация на площади 50 м2</t>
  </si>
  <si>
    <t>Система оповещения людей о пожаре на площади  50 м2</t>
  </si>
  <si>
    <t>ИТОГО 022 - Здание контрольно- пропускного пункта:</t>
  </si>
  <si>
    <t>Пожарная сигнализация на площади 300 м2 РПИ наружные установки</t>
  </si>
  <si>
    <t>Кабельная линия связи суммарной протяженностью трасс от 1 до 15 км до (ПС+СОП) 3,68 км</t>
  </si>
  <si>
    <t>СБЦ ПР для стр-ва, объекты связи, 2010г. (табл.4 п.8)</t>
  </si>
  <si>
    <t>К=0,62(стадия Р)</t>
  </si>
  <si>
    <t>СПД до 100 каналов</t>
  </si>
  <si>
    <t>Кабельная линия связи суммарной протяженностью трасс от 1 до 15 км до связь 1,8 км</t>
  </si>
  <si>
    <t xml:space="preserve">Интегрирующий комплекс приема, обработки и хранения видеоинформации видеонаблюдения </t>
  </si>
  <si>
    <t>СБЦ ПР для стр-ва, объекты связи  (табл.20 п.10)</t>
  </si>
  <si>
    <t>К=0,5(стадия Р)</t>
  </si>
  <si>
    <t>Установка видеокамер 34 шт.</t>
  </si>
  <si>
    <t>СБЦ ПР для стр-ва, объекты связи  (табл.20 п.7)</t>
  </si>
  <si>
    <t>К=1,1 (п. 2.45 примеч к табл.)</t>
  </si>
  <si>
    <t xml:space="preserve">АРМ охранного видеонаблюдения </t>
  </si>
  <si>
    <t>СЦБ ПР для стр-ва, объекты связи  (табл.24 п.1)</t>
  </si>
  <si>
    <t>Кабельная линия связи суммарной протяженностью трасс от 1 до 15 км до (охранное видеонаблюдение) 5 км</t>
  </si>
  <si>
    <t>Локальная вычислительная сеть видеонаблюдения с числом узлов 10</t>
  </si>
  <si>
    <t>ИТОГО Сети внутриплощадочные:</t>
  </si>
  <si>
    <t>ИТОГО этап 3 Объекты на площадке ГРП 2А</t>
  </si>
  <si>
    <t>Этап 3</t>
  </si>
  <si>
    <t>К2=0,6  - ст. "Р"</t>
  </si>
  <si>
    <t>К3=1,15 - п. 2.12 СБЦОНПиНХП (микропроцессорные устройства РЗА)</t>
  </si>
  <si>
    <t>СБЦ «Объекты нефтеперерабатывающей и нефтехимической промышленность», 2015г, таб.11 п.19.</t>
  </si>
  <si>
    <t>К3=1,08 - районный коэф-т</t>
  </si>
  <si>
    <t>Расчет релейной защиты. Всего 4 расчета.</t>
  </si>
  <si>
    <t>СБЦ «Объекты нефтеперерабатывающей и нефтехимической промышленности», 2015 г, табл.8, п.2.10.</t>
  </si>
  <si>
    <t>Рассмотрение конструкторской документации на оборудование, предоставляемой Заказчиком от заводов-изготовителей или поставщиков до ее окончательного утверждения, при необходимости корректировка проекта с учетом утвержденных Заказчиком материалов конструкторской документации заводов-изготовителей.</t>
  </si>
  <si>
    <t>Методические указания от 29.12.2009 г. Часть III п.3.9. До 2% от цены разработки документации по пп.1</t>
  </si>
  <si>
    <t>СБЦ на проектные работы "Объекты магистрального транспорта нефти".   т.4, п.24.2.</t>
  </si>
  <si>
    <t>СБЦ на проектные работы "Объекты магистрального транспорта нефти".   т.4, п.47.</t>
  </si>
  <si>
    <t>К3=0,35 - Методические указания от 29.12.2009 г. Часть III п.3.2</t>
  </si>
  <si>
    <t>Методические указания от 29.12.2009 г. Часть III п.3.9. До 2% от цены разработки документации по пп.1, 2</t>
  </si>
  <si>
    <t xml:space="preserve"> таб. 3.15 п.1.Приложение к приказу №847/пр от 13.12.2023</t>
  </si>
  <si>
    <t>Установка низковольтных щитов управления (НКУ-0,4 кВ), в помещении размером до 20 м2. Всего 6 шт. (компл. ЭМ, ЭО)</t>
  </si>
  <si>
    <t>Проектирование системы бесперебойного питания , системы постоянного тока. Всего 4 панели. (ЭМ)</t>
  </si>
  <si>
    <t>СБЦ «Газооборудование и газоснабжение промышленных предприятий, зданий и сооружений», 2015г., таб. 19, п.1.</t>
  </si>
  <si>
    <t>К2=0,6 - Cтадия "Р"</t>
  </si>
  <si>
    <t>Прокладка кабельных линий  0,4 кВ до потребителей по кабельным конструкциям. Суммарная протяжённость трассы  -0,6 км. (ЭМ, ЭМ1, ЭО)</t>
  </si>
  <si>
    <t>Расчет токов короткого замыкания в сети  0,4 кВ. Всего 9 линий.(ЭМ,ЭО)</t>
  </si>
  <si>
    <t>Проектирование заземляющего устройства зданий и сооружений. Всего 1 объект  (ЭМ1)</t>
  </si>
  <si>
    <t>СБЦ на проектные работы "Объекты магистрального транспорта нефти".   т.4, п.22.1.</t>
  </si>
  <si>
    <t>Установка низковольтных щитов управления (НКУ-0,4 кВ), в помещении размером до 20 м2. Всего 5 шт. (компл. ЭМ, ЭО)</t>
  </si>
  <si>
    <t>Устройство ЧРП для электронасосной дозирования . Всего 2 шт</t>
  </si>
  <si>
    <t>К4=1,08 - районный коэф-т</t>
  </si>
  <si>
    <t>Прокладка кабельных линий  0,4 кВ до потребителей по кабельным конструкциям. Суммарная протяжённость трассы  -0,3 км. (ЭМ, ЭО)</t>
  </si>
  <si>
    <t>Проектирование заземляющего устройства зданий и сооружений. Всего 1 объект  (ЭМ)</t>
  </si>
  <si>
    <t>Прокладка кабельных линий  0,4 кВ до потребителей по кабельным конструкциям. Суммарная протяжённость трассы  -0,15 км. (ЭМ, ЭО)</t>
  </si>
  <si>
    <t xml:space="preserve">Проектирование аварийной дизельной электростанции (АДЭС). Всего одна АДЭС мощностью 400 кВт. </t>
  </si>
  <si>
    <t>Методические указания от 29.12.2009 г. Часть III п.3.9. До 2% от цены разработки документации по пп.1-6,16</t>
  </si>
  <si>
    <t>Проектирование системы бесперебойного питания , системы постоянного тока. Всего 1 панель. (ЭМ)</t>
  </si>
  <si>
    <t>Прокладка кабельных линий  0,4 кВ до потребителей по кабельным конструкциям. Суммарная протяжённость трассы  -0,3 км. (ЭМ, ЭМ1, ЭО)</t>
  </si>
  <si>
    <t>Установка низковольтных щитов управления (НКУ-0,4 кВ), в помещении размером до 20 м2. Всего 4 шт. (компл. ЭМ, ЭО)</t>
  </si>
  <si>
    <t>Прокладка кабельных линий  0,4 кВ до потребителей по кабельным конструкциям. Суммарная протяжённость трассы  -0,3 км. (ЭМ,  ЭО)</t>
  </si>
  <si>
    <t>Расчет токов короткого замыкания в сети  0,4 кВ. Всего 5 линии.(ЭМ,ЭО)</t>
  </si>
  <si>
    <t>Закрытая двухтрансформаторная подстанция 10/0,4 кВ, без распределительного устройства высокого напряжения, мощностью 2х400 кВА. Всего три КТП 6/0,4 кВ.</t>
  </si>
  <si>
    <t>СЦБ «Объекты нефтеперерабатывающей и нефтехимической промышленности», 2015 г, табл.11, п.2.</t>
  </si>
  <si>
    <t>К4=1,15 - п. 2.12 СБЦОНПиНХП (микропроцессорные устройства РЗА)</t>
  </si>
  <si>
    <t xml:space="preserve">Установка низковольтных щитов управления (НКУ-0,4 кВ), в помещении размером до 20 м2. Всего 4 шт. </t>
  </si>
  <si>
    <t>Расчет токов короткого замыкания в сети 10 кВ и 0,4 кВ. Всего 6 линий.</t>
  </si>
  <si>
    <t>СБЦ «Объекты нефтеперерабатывающей и нефтехимической промышленность», 2015г, таб.11 п.17.</t>
  </si>
  <si>
    <t>СБЦ «Объекты нефтеперерабатывающей и нефтехимической промышленность», 2015г, таб.11 п.9.</t>
  </si>
  <si>
    <t>Выбор компенсирующих устройств (приказ от 23 июня 2015 года № 380 Министерства энергетики Российской Федерации). Всего 2 устройства.</t>
  </si>
  <si>
    <t>НЗ. 2023 г.  п.6 таб. 3.18 (Приложение к приказу №847/пр от 28.11.2023)</t>
  </si>
  <si>
    <t xml:space="preserve">Линейная автоматика электрических сетей напряжением до 20 кВ. Всего 2 участка в сети. </t>
  </si>
  <si>
    <t>СБЦ «Объекты нефтеперерабатывающей и нефтехимической промышленность», 2015г, таб.11 п.13.</t>
  </si>
  <si>
    <t>Методические указания от 29.12.2009 г. Часть III п.3.9. До 2% от цены разработки документации по пп.1, 2, 5</t>
  </si>
  <si>
    <t xml:space="preserve">Прокладка кабельных линий 10кВ, 0,4 кВ до потребителей по кабельной непроходной эстакаде. Суммарная протяжённость трассы проектируемой кабельной эстакады -1,0 км. </t>
  </si>
  <si>
    <t>Расчет токов короткого замыкания в сети 10 кВ и 0,4 кВ. Всего 25 линий.</t>
  </si>
  <si>
    <t xml:space="preserve">Наружное освещение территории  и проектируемых сооружений. Общая площадь 3 га. </t>
  </si>
  <si>
    <t>СБЦ «Объекты нефтеперерабатывающей и нефтехимической промышленности», 2015 г, табл.8, п.3.8.</t>
  </si>
  <si>
    <t xml:space="preserve">Молниезащита проектируемых зданий и сооружений. Всего 1 объект. </t>
  </si>
  <si>
    <t>СБЦ на проектные работы "Объекты магистрального транспорта нефти".   т.4, п.20.1.</t>
  </si>
  <si>
    <t xml:space="preserve">Проектирование заземляющего устройства зданий и сооружений. Всего 1 объект  </t>
  </si>
  <si>
    <t xml:space="preserve">Установка низковольтных щитов управления (НКУ-0,4 кВ), в помещении размером до 20 м2. Всего 1 шт. </t>
  </si>
  <si>
    <t xml:space="preserve">Прокладка кабельных линий  0,4 кВ до потребителей по кабельной непроходной эстакаде. Суммарная протяжённость трассы проектируемой кабельной эстакады -0,3 км. </t>
  </si>
  <si>
    <t>Расчет токов короткого замыкания в сети 10 кВ и 0,4 кВ. Всего 12 линий.</t>
  </si>
  <si>
    <t>Система электрического обогрева (с использованием саморегулирующихся электрических нагревательных лент) для наружных трубопроводов, кровли зданий . Общая длина нагревателей 725 м.</t>
  </si>
  <si>
    <t>СБЦ «Объекты нефтеперерабатывающей и нефтехимической промышленности», 2015 г, табл.8, п.1.96</t>
  </si>
  <si>
    <t xml:space="preserve">Прокладка кабельных линий 10кВ, 0,4 кВ до потребителей по кабельной непроходной эстакаде. Суммарная протяжённость трассы проектируемой кабельной эстакады -0,5 км. </t>
  </si>
  <si>
    <t xml:space="preserve"> таб. 3.17  "Нормативные затраты на работы по подготовки проектной документации" (Приложение к приказу №847/пр от 13.12.2023)</t>
  </si>
  <si>
    <t>Расчет закрепления опор . Всего 3 расчета</t>
  </si>
  <si>
    <t>п.4 таб. 3.18 "Нормативные затраты на работы по подготовки проектной документации" (Приложение к приказу №847/пр от 13.12.2023)</t>
  </si>
  <si>
    <t>Механический расчет проводов 10 кВ. Всего 1 расчёт.</t>
  </si>
  <si>
    <t>п.2 таб. 3.18 "Нормативные затраты на работы по подготовки проектной документации" (Приложение к приказу №847/пр от 13.12.2023)</t>
  </si>
  <si>
    <t>Установка реклоузеров (пунктов секционирования) 6 кВ в точке подключения и по трассе проектируемой ВЛ-6 кВ. Всего 1 шт.</t>
  </si>
  <si>
    <t>п.8.1 таб. 3.13 "Нормативные затраты на работы по подготовки проектной документации" (Приложение к приказу №847/пр от 13.12.2023)</t>
  </si>
  <si>
    <t>Расчет заземления . Всего 2 шт.</t>
  </si>
  <si>
    <t>п.8 таб. 3.18 "Нормативные затраты на работы по подготовки проектной документации" (Приложение к приказу №847/пр от 13.12.2023)</t>
  </si>
  <si>
    <t>4212.012.Р.3/0.0004.ВЭЛ.000.41501.000-ЭВ1 ВЛ-6 кВ ЗРУ 6 кВ ПС110/35/6 - 2БКТПА (поз.26)</t>
  </si>
  <si>
    <t>Воздушная линия электропередачи одноцепная напряжением свыше 1 до 20 кВ ,  общей длиной 0,15 км</t>
  </si>
  <si>
    <t xml:space="preserve">Прокладка кабельных линий  0,4 кВ до потребителей по кабельной непроходной эстакаде. Суммарная протяжённость трассы проектируемой кабельной эстакады -0,735 км. </t>
  </si>
  <si>
    <t>Расчет токов короткого замыкания в сети 10 кВ и 0,4 кВ. Всего 2 линии.</t>
  </si>
  <si>
    <t>Методические указания от 29.12.2009 г. Часть III п.3.9. До 2% от цены разработки документации по пп.1, 4</t>
  </si>
  <si>
    <t>4212.012.Р.3/0.0004.ВЭЛ.000.41501.000-ЭВ2</t>
  </si>
  <si>
    <t>Воздушная линия электропередачи одноцепная напряжением свыше 1 до 20 кВ ,  общей длиной 13,541 км</t>
  </si>
  <si>
    <t>Расчет закрепления опор . Всего 19 расчетов</t>
  </si>
  <si>
    <t>Механический расчет проводов 10 кВ. Всего 7 расчётов.</t>
  </si>
  <si>
    <t>Установка реклоузеров (пунктов секционирования) 6 кВ в точке подключения и по трассе проектируемой ВЛ-6 кВ. Всего 4 шт.</t>
  </si>
  <si>
    <t>Установка разъединителей 6 кВ по трассе проектируемой ВЛ-6 кВ. Всего 31 шт.</t>
  </si>
  <si>
    <t>Расчет заземления . Всего 19 шт.</t>
  </si>
  <si>
    <t xml:space="preserve">Проектирование БКЭС с закрытой трансформаторной подстанцией без распределительного устройства высокого напряжения мощностью до 160 кВА, с установкой оборудования связи, АСУ, СКЗ. Всего 18 шт.  </t>
  </si>
  <si>
    <t>К5=0,5 - однотр-рая подстанция п.2.8.1 СБЦ</t>
  </si>
  <si>
    <t>Расчет токов короткого замыкания в сети 10 кВ и 0,4 кВ. Всего 18 линий.</t>
  </si>
  <si>
    <t>Выбор компенсирующих устройств (приказ от 23 июня 2015 года № 380 Министерства энергетики Российской Федерации). Всего 4 устройства.</t>
  </si>
  <si>
    <t xml:space="preserve">Проектирование заземляющего устройства зданий и сооружений. Всего 18 объектов  </t>
  </si>
  <si>
    <t>К4=0,25 - п.3.9.8 СБЦ</t>
  </si>
  <si>
    <t>Итого:</t>
  </si>
  <si>
    <t>Электрохимическая защита</t>
  </si>
  <si>
    <t>4212.012.Р.3/0.0004.ГРП.02А.00000.000-ЭХЗ1, 4212.012.Р.3/0.0004.ГРП.02А.00000.000-ЭХЗ2, 4212.012.Р.3/0.0004.ГРП.02А.00000.000-ЭХЗ3</t>
  </si>
  <si>
    <t>Электрозащитная установка от коррозии (катодная, электродренажная). От 1 до 5 установок. Всего 1 установка</t>
  </si>
  <si>
    <t>СБЦ-2015 (Приказ Минстроя от 27.02.2015 № 140/пр, приложение №4 "СБЦ на преоктные работы в строительстве "Газооборудование и газоснабжение промышленных предприятий, зданий и сооружений" табл. 16 п.1</t>
  </si>
  <si>
    <t>К2=0,6 Cтадия "Р"</t>
  </si>
  <si>
    <t>Проектирование вентильных перемычек (блоки БСЗ)..Всего 4 установки</t>
  </si>
  <si>
    <t xml:space="preserve">К3=0,031 п.2.4.3 СБЦ </t>
  </si>
  <si>
    <t>Проектирование глубинного анадного заземлителя (ГАЗ). Всего 8 шт</t>
  </si>
  <si>
    <t>СБЦ-2015 "Газооборудование и газоснабжение промышленных предприятий, зданий и сооружений" глава 2.4 п. 2.4.2 ,табл. 19 п.4</t>
  </si>
  <si>
    <t>К3=8 Ценообразующий коэф-т</t>
  </si>
  <si>
    <t>Контрольно-измерительные пункты (КИП). Количество КИП всего по объекту -40 шт.</t>
  </si>
  <si>
    <t>СБЦ-2015 (Приказ Минстроя от 27.02.2015 № 140/пр, приложение №4 "СБЦ на преоктные работы в строительстве "Газооборудование и газоснабжение промышленных предприятий, зданий и сооружений" табл. 16 п.5</t>
  </si>
  <si>
    <t xml:space="preserve">К3=0,007 п.2.4.3 СБЦ </t>
  </si>
  <si>
    <t>К4=40 Ценообразующий коэф-т</t>
  </si>
  <si>
    <t>Проектирование протекторной установки (УПЗ).Количество УПЗ всего по объекту -40 шт.</t>
  </si>
  <si>
    <t>СБЦ-2015"Газооборудование и газоснабжение промышленных предприятий, зданий и сооружений"  глава 2.4 п. 2.4.2 ,табл. 19 п.4</t>
  </si>
  <si>
    <t>К3=40 Ценообразующий коэф-т</t>
  </si>
  <si>
    <t>К4=0,1- СБЦ-2015 глава 2.4 п. 2.4.1</t>
  </si>
  <si>
    <t>Проектирование кабельных линий напряжением до 1.0 кВ. Всего 4 км</t>
  </si>
  <si>
    <t>СБЦ-2015 "Газооборудование и газоснабжение промышленных предприятий, зданий и сооружений"глава 2.4 п. 2.4.2 ,табл. 19 п.2</t>
  </si>
  <si>
    <t>Этап №3 ГРП 2А</t>
  </si>
  <si>
    <t>Система автоматического газового пожаротушения помещени технологического корпуса №1 (4 напр.)</t>
  </si>
  <si>
    <t xml:space="preserve">СБЦ "Системы противопожарной и охранной защиты" т.2 п.2 </t>
  </si>
  <si>
    <t>к=1.3 п.2.5</t>
  </si>
  <si>
    <t>к=1.3 п.3</t>
  </si>
  <si>
    <t>е=0,9 ст.РП</t>
  </si>
  <si>
    <t>к=1 объем</t>
  </si>
  <si>
    <t>Система автоматического газового пожаротушения помещени технологического корпуса №2 (4 напр.)</t>
  </si>
  <si>
    <t>Система автоматического газового пожаротушения помещени технологической насосной поз.8</t>
  </si>
  <si>
    <t>СБЦ "Системы противопожарной и охранной защиты" т.2 п.1</t>
  </si>
  <si>
    <t>Система автоматического газового пожаротушения помещений операторной поз.19</t>
  </si>
  <si>
    <t>к=0,75 ст.Р</t>
  </si>
  <si>
    <t>к=0,7 объем</t>
  </si>
  <si>
    <t xml:space="preserve">Насосная станция противопожарного водоснабжения поз.9 Q= 200 м3/час </t>
  </si>
  <si>
    <t xml:space="preserve">Спр. баз. цен "ВиК"  2015 г. т.5 п.3 </t>
  </si>
  <si>
    <t>к=1,1 микропроцесс.</t>
  </si>
  <si>
    <t>к=0,4 ст.Р</t>
  </si>
  <si>
    <t>Резервуары для противопожарного запаса воды поз.10, 11 емк. 200 куб.м. 2 шт.</t>
  </si>
  <si>
    <t>Спр. баз. цен "ВиК"  2015 г. т.5 п.10</t>
  </si>
  <si>
    <t>к=2-2 шт.</t>
  </si>
  <si>
    <t>Дренажная емкость бытовых сточных вод поз.17, поз.32</t>
  </si>
  <si>
    <t>Спр. баз. цен "Объекты нефтеперерабатывающей пр-ти"  2015 г. т.8 п.1.92</t>
  </si>
  <si>
    <t>к=0,6 ст.Р</t>
  </si>
  <si>
    <t xml:space="preserve">Резервуар производственно-дождевых сточных вод поз.18 емк. 188 куб.м. </t>
  </si>
  <si>
    <t>Сети противопожарного  водопровода В2 подземной прокладки  L=0,8 км. С учетом коэф. застройки больше 0,5 и кол-вом пересеч. больше 10.</t>
  </si>
  <si>
    <t>Спр. баз. цен "ВиК"  2015 г. т.3 п.1 с учетом п.1.12. К= К застр. + Кпересеч.=1(0,4+0,1)=1,5</t>
  </si>
  <si>
    <t>к=1,5</t>
  </si>
  <si>
    <t>к=1,15 полиэтилен</t>
  </si>
  <si>
    <t>Сети хозяйственно-питьевого  водопровода В1 подземной прокладки  L=0,24 км. С учетом коэф. застройки больше 0,5 и кол-вом пересеч. больше 10.</t>
  </si>
  <si>
    <t xml:space="preserve">Сети хозяйственно-бытовой канализации К1, I-я группа  L=0,08 км. </t>
  </si>
  <si>
    <t>Спр. баз. цен "ВиК"  2015 г. т.8 п.4</t>
  </si>
  <si>
    <t xml:space="preserve">Сети канализации К3, К4 самотечные, I-я группа  L=0,11 км. </t>
  </si>
  <si>
    <t xml:space="preserve">Сети производственной канализации К3Н, напорные,  L=0,1 км. </t>
  </si>
  <si>
    <t>Спр. баз. цен "ВиК"  2015 г. т.3 п.1 с учетом п.1.12. К= К застр. + Кпересеч.+ Книтки=1(0,4+0,1+ 0,15)=1,65</t>
  </si>
  <si>
    <t>Водовод межплощадочный В1 КС3-ГРП2А подземной прокладки  L=1,9 км. С учетом  кол-вом пересеч. больше 10.</t>
  </si>
  <si>
    <t>к=1,15 2 нитки</t>
  </si>
  <si>
    <t>Сети водоснабжения и канализации</t>
  </si>
  <si>
    <t>Электроснабжение</t>
  </si>
  <si>
    <t>Кроме того, НДС</t>
  </si>
  <si>
    <t>Корректировка рабочей документации по этапу 3 (Объекты на площадке ГРП 2А)</t>
  </si>
  <si>
    <t>1.7</t>
  </si>
  <si>
    <t>1.8</t>
  </si>
  <si>
    <t>1.9</t>
  </si>
  <si>
    <t>1.10</t>
  </si>
  <si>
    <t>1.11</t>
  </si>
  <si>
    <t>1.12</t>
  </si>
  <si>
    <t>1.13</t>
  </si>
  <si>
    <t>Коэф-т 1 от п.13 * 0.8
29 244 541.79 руб. * 1 * 0.8</t>
  </si>
  <si>
    <t>Коэф-т 1 от п.14 * 1.08
23 395 633.43 руб. * 1 * 1.08</t>
  </si>
  <si>
    <t>Итого по этапу 3</t>
  </si>
  <si>
    <t xml:space="preserve"> 001 - Технологический корпус №1</t>
  </si>
  <si>
    <r>
      <t xml:space="preserve">Примечание: Стоимость согласованного объема корректировки РД и СД (ГРП 2А) составляет </t>
    </r>
    <r>
      <rPr>
        <b/>
        <sz val="10"/>
        <rFont val="Arial"/>
        <family val="2"/>
        <charset val="204"/>
      </rPr>
      <t>45 835 568,66 руб. с НДС</t>
    </r>
    <r>
      <rPr>
        <sz val="10"/>
        <rFont val="Arial"/>
        <family val="2"/>
        <charset val="204"/>
      </rPr>
      <t xml:space="preserve"> 22%.Стоимость корректировки требующего согласования составляет </t>
    </r>
    <r>
      <rPr>
        <b/>
        <sz val="10"/>
        <rFont val="Arial"/>
        <family val="2"/>
        <charset val="204"/>
      </rPr>
      <t>52 408 303,99 руб. с НДС 22%</t>
    </r>
  </si>
  <si>
    <t>Этап 3 (Шг.2А - Сеть газосборная ГРП 2А). Площадки БКЭС.</t>
  </si>
  <si>
    <t>НЗ №849/пр Объекты газовой промышленности. 2023 г. Таблица 3.8. Объекты общетехнического назначения, п.10
A = 31.1 тыс.руб; B = 122.993 тыс.руб;
Xмин = 0.5;
Xзад = 0.4 (га);
Количество = 1</t>
  </si>
  <si>
    <t>Коэф-т 1 от п.4 * 0.8
1 865 084.00 руб. * 1 * 0.8</t>
  </si>
  <si>
    <t>Коэф-т 1 от п.5 * 1.08
1 492 067.20 руб. * 1 * 1.08</t>
  </si>
  <si>
    <t>Линейная часть</t>
  </si>
  <si>
    <t>1.14</t>
  </si>
  <si>
    <t>Адепт: Проект v 2026.4.2 © ООО"Адепт"</t>
  </si>
  <si>
    <t>Смета №1.13</t>
  </si>
  <si>
    <t>Шг.2А - Сеть газосборная ГРП 2А</t>
  </si>
  <si>
    <t>4212.00.Р.04.Шг.2А.000.Л.000 Инв номер 763390</t>
  </si>
  <si>
    <t xml:space="preserve">Трубопроводы (межцеховые и шлейфы) диаметром до 300 мм. Протяженность от 1 км до 5 км включительно. 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</si>
  <si>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1.0125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</si>
  <si>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2.33152 (км);
Количество = 1</t>
  </si>
  <si>
    <t>4212.00.Р.04.Шг.2А.000.Л1.000 Инв номер 763400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</si>
  <si>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2.73962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</si>
  <si>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Xмин = 1;
Xзад = 0.5418 (км);
Количество = 1</t>
  </si>
  <si>
    <t>4212.00.Р.04.Шг.2А.000.Л2.000 Инв номер 763405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</si>
  <si>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3.16977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</si>
  <si>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Xмин = 1;
Xзад = 0.39605 (км);
Количество = 1</t>
  </si>
  <si>
    <t>К'пон = 0.79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</si>
  <si>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4212.00.Р.04.Шг.2А.000.Л3.000 Инв номер 763410</t>
  </si>
  <si>
    <t xml:space="preserve">Трубопроводы (межцеховые и шлейфы) диаметром до 300 мм. Протяженность от 5 км до 20 км включительно. </t>
  </si>
  <si>
    <t>НЗ №849/пр Объекты газовой промышленности. 2023 г. Таблица 3.6. Объекты сбора газа (шлейфы, коллекторы и межцеховые трубопроводы), п.1
A = 88.5 тыс.руб; B = 10.167 тыс.руб;
Xзад = 5.1931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</si>
  <si>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Xмин = 1;
Xзад = 0.02816 (км);
Количество = 1</t>
  </si>
  <si>
    <t>К'пон = 0.1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</si>
  <si>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3.61309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</si>
  <si>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Xмин = 1;
Xзад = 0.26027 (км);
Количество = 1</t>
  </si>
  <si>
    <t>К'пон = 0.52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</si>
  <si>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4212.00.Р.04.Шг.2А.000.Л4.000 Инв номер 763415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</si>
  <si>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2.005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</si>
  <si>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2.129 (км);
Количество = 1</t>
  </si>
  <si>
    <t>4212.00.Р.04.Шг.2А.000.Л5.000 Инв номер 781366</t>
  </si>
  <si>
    <t>НЗ №849/пр Объекты газовой промышленности. 2023 г. Таблица 3.6. Объекты сбора газа (шлейфы, коллекторы и межцеховые трубопроводы), п.1
A = 88.5 тыс.руб; B = 10.167 тыс.руб;
Xзад = 6.116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</si>
  <si>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Xмин = 1;
Xзад = 0.434 (км);
Количество = 1</t>
  </si>
  <si>
    <t>К'пон = 0.87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</si>
  <si>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4212.00.Р.04.Шг.2А.000.Л6.000 Инв номер 781457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</si>
  <si>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3.754 (км);
Количество = 1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</si>
  <si>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Xмин = 1;
Xзад = 0.136 (км);
Количество = 1</t>
  </si>
  <si>
    <t>К'пон = 0.27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</si>
  <si>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17</t>
  </si>
  <si>
    <t>18</t>
  </si>
  <si>
    <t>Коэф-т 1 от п.17 * 0.8
1 255 046.79 руб. * 1 * 0.8</t>
  </si>
  <si>
    <t>19</t>
  </si>
  <si>
    <t>Коэф-т 1 от п.18 * 1.08
1 004 037.43 руб. * 1 * 1.08</t>
  </si>
  <si>
    <t>20</t>
  </si>
  <si>
    <t>Проект бурения скважин</t>
  </si>
  <si>
    <t>1.15</t>
  </si>
  <si>
    <t>Приложение к ______________________________________</t>
  </si>
  <si>
    <t xml:space="preserve">«Реконструкция газопромысловых сооружений Степновской СПХГ» - «Резервуарный парк легковоспламеняющихся жидкостей Степновской СПХГ», «Площадка печей подогревателей газа Степновской СПХГ», «Внеплощадочные коммуникации», «Газораспределительный пункт № 2А», «Реконструкция газопромысловых сооружений Степновской СПХГ. 2 этап. Объекты на площадке КС-3».3 этап
</t>
  </si>
  <si>
    <t>Расчет  стоимости выполнения работ по себестоимости (на основе трудозатрат) и сложившемуся уровню рентабельности</t>
  </si>
  <si>
    <t>Раздел 1. Определение трудоемкости (трудозатрат) выполняемой работы</t>
  </si>
  <si>
    <t xml:space="preserve">№ пп </t>
  </si>
  <si>
    <t>Исполнители</t>
  </si>
  <si>
    <t>Количество человеко-дней</t>
  </si>
  <si>
    <t>Средняя оплата труда за 1 день</t>
  </si>
  <si>
    <t>Оплата труда (всего),руб.</t>
  </si>
  <si>
    <t>количество</t>
  </si>
  <si>
    <t>должность</t>
  </si>
  <si>
    <t>ГИП</t>
  </si>
  <si>
    <t>Заместитель ГИПа</t>
  </si>
  <si>
    <t>Начальник отдела</t>
  </si>
  <si>
    <t>Главный специалист</t>
  </si>
  <si>
    <t>Руководитель группы  в состе отдела</t>
  </si>
  <si>
    <t>Ведущий инженер</t>
  </si>
  <si>
    <t>Инженер I категории</t>
  </si>
  <si>
    <t>Итого з/п непосредственных исполнителей</t>
  </si>
  <si>
    <t>Раздел 2. Определение стоимости работы</t>
  </si>
  <si>
    <t>№ п/п</t>
  </si>
  <si>
    <t>Наименование показателей</t>
  </si>
  <si>
    <t>Единица измерения</t>
  </si>
  <si>
    <t>Значение показателей</t>
  </si>
  <si>
    <t>Общая з/п непосредственных исполнителей
Сумма от п.3</t>
  </si>
  <si>
    <t>руб.</t>
  </si>
  <si>
    <t>Коэффициент отношения з/п непосредственных исполнителей к себестоимости</t>
  </si>
  <si>
    <t>Себестоимость исходя из установленного коэффициента
Разделить на коэф-т 0.45 от п.1</t>
  </si>
  <si>
    <t>Уровень рентабельности (по отношению к себестоимости)</t>
  </si>
  <si>
    <t>%</t>
  </si>
  <si>
    <t>Прибыль
8% от п.2</t>
  </si>
  <si>
    <t>Стоимость работы
Сумма от п.2-3</t>
  </si>
  <si>
    <t>Применяемый коэффициент к стоимости работы, установленный в связи с дополнительными затратами проектных организаций, расположенных в районах, для работников которых предусмотрены льготные выплаты (северные надбавки и доплаты, районные коэффициенты и др.)</t>
  </si>
  <si>
    <t>Всего стоимость работы
Коэф-т 1 от п.4</t>
  </si>
  <si>
    <t>ГК.2 А - Коллектор газосборный КС 3 - ГРП 2А</t>
  </si>
  <si>
    <t>4212.001.Р.007.0004.ГК.2А.0000.000-ЭХЗ1</t>
  </si>
  <si>
    <t>Проектирование вентильных перемычек (блоки БСЗ)..Всего 100 установок</t>
  </si>
  <si>
    <t xml:space="preserve">К1=7,22-инфляционный коэффициент </t>
  </si>
  <si>
    <t>К4=1+(99*0,3)=30,7 Ценообразующий коэф-т</t>
  </si>
  <si>
    <t>495483x7,22x0,6x0,031x30,7</t>
  </si>
  <si>
    <t>Контрольно-измерительные пункты (КИП). Количество КИП всего по объекту -130 шт.</t>
  </si>
  <si>
    <t>К4=1+(129*0,3)=39,7 Ценообразующий коэф-т</t>
  </si>
  <si>
    <t>495483x7,22x0,6x0,007x39,7</t>
  </si>
  <si>
    <t>Проектирование протекторной установки (УПЗ).Количество УПЗ всего по объекту -110 шт.</t>
  </si>
  <si>
    <t>К3=1+(109*0,3)=33,7 Ценообразующий коэф-т</t>
  </si>
  <si>
    <t>20435x7,22x0,6x33,7x0,1</t>
  </si>
  <si>
    <t>Проектирование кабельных линий напряжением до 1.0 кВ. Всего 3 км</t>
  </si>
  <si>
    <t>СБЦ-2015 "Газооборудование и газоснабжение промышленных предприятий, зданий и сооружений"глава 2.4 п. 2.4.2 ,табл. 19 п.3</t>
  </si>
  <si>
    <t>(9996+22090x3)x7,22x0,6</t>
  </si>
  <si>
    <t>4212.001.Р.007.0004.ГК.2А.0000.000-ЭХЗ2</t>
  </si>
  <si>
    <t>4212.00.Р.04.Шг.2А.000.ЭХЗ.000</t>
  </si>
  <si>
    <t>(5148+30850x1)x7,22x0,6</t>
  </si>
  <si>
    <t>Проектирование вентильных перемычек (блоки БСЗ)..Всего 20 установок</t>
  </si>
  <si>
    <t>СБЦ-2015 (Приказ Минстроя от 27.02.2015 № 140/пр, приложение №4 "СБЦ на преоктные работы в строительстве "Газооборудование и газоснабжение промышленных предприятий, зданий и сооружений" табл. 16 п.4</t>
  </si>
  <si>
    <t>(107483+19400x(1+(19*0,3)))x7,22x0,6x0,031</t>
  </si>
  <si>
    <t>Проектирование глубинного анадного заземлителя (ГАЗ). Всего16 шт</t>
  </si>
  <si>
    <t>К3=1 Ценообразующий коэф-т</t>
  </si>
  <si>
    <t>20435x7,22x0,6x1</t>
  </si>
  <si>
    <t>Контрольно-измерительные пункты (КИП). Количество КИП всего по объекту -410 шт.</t>
  </si>
  <si>
    <t>К4=1+(409*0,3)=123,7 Ценообразующий коэф-т</t>
  </si>
  <si>
    <t>495483x7,22x0,6x0,007x123,7</t>
  </si>
  <si>
    <t>Проектирование протекторной установки (УПЗ).Количество УПЗ всего по объекту -220 шт.</t>
  </si>
  <si>
    <t>К3=1+(219*0,3)=66,7 Ценообразующий коэф-т</t>
  </si>
  <si>
    <t>20435x7,22x0,6x66,7x0,1</t>
  </si>
  <si>
    <t>Проектирование кабельных линий напряжением до 1.0 кВ. Всего 16 км</t>
  </si>
  <si>
    <t>(9996+22090x16)x7,22x0,6</t>
  </si>
  <si>
    <t>4212.00.Р.04.Шг.2А.000.ЭХЗ1.000</t>
  </si>
  <si>
    <t>Контрольно-измерительные пункты (КИП). Количество КИП всего по объекту - 10 шт.</t>
  </si>
  <si>
    <t>СБЦ-2015 (Приказ Минстроя от 27.02.2015 № 140/пр, приложение №4 "СБЦ на преоктные работы в строительстве "Газооборудование и газоснабжение промышленных предприятий, зданий и сооружений" табл. 16 п.2</t>
  </si>
  <si>
    <t>(34658+24948x10)x7,22x0,6x0,007</t>
  </si>
  <si>
    <t>Проектирование протекторной установки (УПЗ).Количество УПЗ всего по объекту -15 шт.</t>
  </si>
  <si>
    <t>К3=15 Ценообразующий коэф-т</t>
  </si>
  <si>
    <t>20435x7,22x0,6x15x0,1</t>
  </si>
  <si>
    <t>Проектирование кабельных линий напряжением до 1.0 кВ. Всего 0,12 км</t>
  </si>
  <si>
    <t>(5112+26974x0,12)x7,22x0,6</t>
  </si>
  <si>
    <t>4212.00.Р.04.Шг.2А.000.ЭХЗ2.000</t>
  </si>
  <si>
    <t>Проектирование кабельных линий напряжением до 1.0 кВ. Всего 0,15 км</t>
  </si>
  <si>
    <t>(5112+26974x0,15)x7,22x0,6</t>
  </si>
  <si>
    <t>4212.00.Р.04.Шг.2А.000.ЭХЗ3.000</t>
  </si>
  <si>
    <t>Проектирование глубинного анадного заземлителя (ГАЗ). Всего 1 шт</t>
  </si>
  <si>
    <t>Контрольно-измерительные пункты (КИП). Количество КИП всего по объекту - 750 шт.</t>
  </si>
  <si>
    <t>К4=1+(749*0,3)=225,7 Ценообразующий коэф-т</t>
  </si>
  <si>
    <t>495483x7,22x0,6x0,007x225,7</t>
  </si>
  <si>
    <t>Проектирование протекторной установки (УПЗ).Количество УПЗ всего по объекту -670 шт.</t>
  </si>
  <si>
    <t>К3=1+(669*0,3)=201,7 Ценообразующий коэф-т</t>
  </si>
  <si>
    <t>20435x7,22x0,6x201,7x0,1</t>
  </si>
  <si>
    <t>Проектирование кабельных линий напряжением до 1.0 кВ. Всего 22 км</t>
  </si>
  <si>
    <t>(9996+22090x22)x7,22x0,6</t>
  </si>
  <si>
    <t>4212.00.Р.04.Шг.2А.000.ЭХЗ4.000</t>
  </si>
  <si>
    <t>Контрольно-измерительные пункты (КИП). Количество КИП всего по объекту - 5 шт.</t>
  </si>
  <si>
    <t>(5148+30850x5)x7,22x0,6x0,007</t>
  </si>
  <si>
    <t>Проектирование протекторной установки (УПЗ).Количество УПЗ всего по объекту -10 шт.</t>
  </si>
  <si>
    <t>К3=10 Ценообразующий коэф-т</t>
  </si>
  <si>
    <t>20435x7,22x0,6x10x0,1</t>
  </si>
  <si>
    <t>Проектирование кабельных линий напряжением до 1.0 кВ. Всего 0,1 км</t>
  </si>
  <si>
    <t>(5112+26974x0,1)x7,22x0,6</t>
  </si>
  <si>
    <t>4212.00.Р.04.Шг.2А.000.ЭХЗ5.000</t>
  </si>
  <si>
    <t>Проектирование протекторной установки (УПЗ).Количество УПЗ всего по объекту -30 шт.</t>
  </si>
  <si>
    <t>К3=30 Ценообразующий коэф-т</t>
  </si>
  <si>
    <t>20435x7,22x0,6x30x0,1</t>
  </si>
  <si>
    <t>Проектирование кабельных линий напряжением до 1.0 кВ. Всего 0,3 км</t>
  </si>
  <si>
    <t>(5112+26974x0,3)x7,22x0,6</t>
  </si>
  <si>
    <t>4212.00.Р.04.Шг.2А.000.ЭХЗ6.000</t>
  </si>
  <si>
    <t>4212.00.Р.04.Шг.2А.000.ЭХЗ7.000</t>
  </si>
  <si>
    <t>4212.00.Р.04.Шг.2А.000.ЭХЗ8.000</t>
  </si>
  <si>
    <t>Проектирование кабельных линий напряжением до 1.0 кВ. Всего 0,20 км</t>
  </si>
  <si>
    <t>(5112+26974x0,2)x7,22x0,6</t>
  </si>
  <si>
    <t>4212.00.Р.04.Шг.2А.000.ЭХЗ9.000</t>
  </si>
  <si>
    <t>4212.00.Р.04.Шг.2А.000.ЭХЗ10.000</t>
  </si>
  <si>
    <t>Контрольно-измерительные пункты (КИП). Количество КИП всего по объекту - 40 шт.</t>
  </si>
  <si>
    <t>К4=1+(39*0,3)=12,7 Ценообразующий коэф-т</t>
  </si>
  <si>
    <t>495483x7,22x0,6x0,007x12,7</t>
  </si>
  <si>
    <t>Проектирование протекторной установки (УПЗ).Количество УПЗ всего по объекту -120 шт.</t>
  </si>
  <si>
    <t>К3=1+(119*0,3)=36,7 Ценообразующий коэф-т</t>
  </si>
  <si>
    <t>20435x7,22x0,6x36,7x0,1</t>
  </si>
  <si>
    <t>Проектирование кабельных линий напряжением до 1.0 кВ. Всего 1,5 км</t>
  </si>
  <si>
    <t>(9996+22090x1,5)x7,22x0,6</t>
  </si>
  <si>
    <t>4212.00.Р.04.Шг.2А.000.ЭХЗ11.000</t>
  </si>
  <si>
    <t>Проектирование глубинного анадного заземлителя (ГАЗ). Всего 20 шт</t>
  </si>
  <si>
    <t>К3=1+(19*0,3)=6,7 Ценообразующий коэф-т</t>
  </si>
  <si>
    <t>20435x7,22x0,6x6,7</t>
  </si>
  <si>
    <t>Проектирование кабельных линий напряжением до 1.0 кВ. Всего 20 км</t>
  </si>
  <si>
    <t>(9996+22090x20)x7,22x0,6</t>
  </si>
  <si>
    <t>4212.00.Р.04.Шг.2А.000.ЭХЗ12.000</t>
  </si>
  <si>
    <t>Проектирование глубинного анадного заземлителя (ГАЗ). Всего 10 шт</t>
  </si>
  <si>
    <t>К3=1+(9*0,3)=3,7 Ценообразующий коэф-т</t>
  </si>
  <si>
    <t>20435x7,22x0,6x3,7</t>
  </si>
  <si>
    <t>Проектирование кабельных линий напряжением до 1.0 кВ. Всего 0,50 км</t>
  </si>
  <si>
    <t>(5112+26974x0,5)x7,22x0,6</t>
  </si>
  <si>
    <t>дополнено</t>
  </si>
  <si>
    <t>** ГИП</t>
  </si>
  <si>
    <t>Смета №1.3.2</t>
  </si>
  <si>
    <t>ВТМ.2А - Метанолопровод внутрипромысловый  к ГРП.2А</t>
  </si>
  <si>
    <t>4212.00.Р.04.ВТМ.2А.000.Л.000 Инв номер 783977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</si>
  <si>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1.485 (км);
Количество = 1</t>
  </si>
  <si>
    <t>Г3.2А - Межпоселковый газопровод высокого давления II категории от коллектора ПППГ-ГРП5 до ГРП 2А</t>
  </si>
  <si>
    <t>4212.00.Р.04.Г3.2А.000.ГСН.000 Инв номер 784436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</si>
  <si>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2.42 (км);
Количество = 1</t>
  </si>
  <si>
    <t>Внутриплощадочные сети 4212.00.Р.04 - Реконструкция газопромысловых сооружений Степновской СПХГ.</t>
  </si>
  <si>
    <t>4212.012.Р.3/0.0004.ГРП.02А.31610.000-ТХ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</si>
  <si>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Xмин = 1;
Xзад = 0.235 (км);
Количество = 1</t>
  </si>
  <si>
    <t>К'пон = 0.47
понижающий коэффициент, учитывающий разницу в трудоемкости работ по проектируемому объекту и объекту аналогу. (Методика 707/пр п.131(3)) (Ценообразующий)</t>
  </si>
  <si>
    <t>Проект бурения скважин, в т.ч. разделы:
- пояснительная записка;
- геологическая часть;
- объем подготовительно-заключительных работ;
- выбор бурового оборудования;                                             
- расчет времени на бурение и крепление скважины;
- прокаткомплектов оборудования;
- пожарная безопасность;
- выводы;
- графическая часть.</t>
  </si>
  <si>
    <t>1 - Технологический корпус №1</t>
  </si>
  <si>
    <t>К1=7,22-инфляционный коэффициент</t>
  </si>
  <si>
    <t>21120x6x7,22x0,6x1,08</t>
  </si>
  <si>
    <t>11083x4x7,22x0,6x1,08</t>
  </si>
  <si>
    <t>433690x0,6x7,22x0,6x1,08</t>
  </si>
  <si>
    <t>10070x9x7,22x0,6x1,08</t>
  </si>
  <si>
    <t>8870x1x7,22x0,6x1,08</t>
  </si>
  <si>
    <t>800277,04512x0,02</t>
  </si>
  <si>
    <t>2 - Технологический корпус №2</t>
  </si>
  <si>
    <t>8 - Технологическая насосная</t>
  </si>
  <si>
    <t>21120x5x7,22x0,6x1,08</t>
  </si>
  <si>
    <t>400910x(1+(1*0,5))x7,22x0,6x0,35x1,08</t>
  </si>
  <si>
    <t>433690x0,3x7,22x0,6x1,08</t>
  </si>
  <si>
    <t>1478788,71804x0,02</t>
  </si>
  <si>
    <t>9 - Водопроводная насосная станция</t>
  </si>
  <si>
    <t>433690x0,15x7,22x0,6x1,08</t>
  </si>
  <si>
    <t>798412,63896x0,02</t>
  </si>
  <si>
    <t>14 - Блочно-комплектная автоматизированная дизельная электростанция "БКАЭ-0,4-400-К"</t>
  </si>
  <si>
    <t>К1=1,71-инфляционный коэффициент</t>
  </si>
  <si>
    <t>К4=0,35 - Методические указания от 29.12.2009 г. Часть III п.3.2</t>
  </si>
  <si>
    <t>(224900+1742x400)x1,71x0,6x1,08x0,35</t>
  </si>
  <si>
    <t>357461,0676x0,02</t>
  </si>
  <si>
    <t>19 - Здание операторной</t>
  </si>
  <si>
    <t>22 - Здание контрольно- пропускного пункта</t>
  </si>
  <si>
    <t>21120x4x7,22x0,6x1,08</t>
  </si>
  <si>
    <t>433690x0,2x7,22x0,6x1,08</t>
  </si>
  <si>
    <t>395244,7488x0,02</t>
  </si>
  <si>
    <t>26 - Блочно-комплектная трансформаторная подстанция 2БКТПА-400/6/0,4-УХЛ1</t>
  </si>
  <si>
    <t>59070x1x7,22x0,6x1,08x1,15</t>
  </si>
  <si>
    <t>2640x6x7,22x0,6x1,08</t>
  </si>
  <si>
    <t>4790x4x7,22x0,6x1,08</t>
  </si>
  <si>
    <t>11800x2x1,71x0,6x1,08</t>
  </si>
  <si>
    <t>4130x2x7,22x0,6x1,08</t>
  </si>
  <si>
    <t>739212,35688x0,02</t>
  </si>
  <si>
    <t>Сети электроснабжения (4212.00.Р.04.ГРП.2А.000.ЭС)</t>
  </si>
  <si>
    <t>433690x1x7,22x0,6x1,08</t>
  </si>
  <si>
    <t>2640x25x7,22x0,6x1,08</t>
  </si>
  <si>
    <t>Наружное освещение. Молниезащита. Заземление.(4212.00.Р.04.ГРП.2А.000.ЭН)</t>
  </si>
  <si>
    <t>34650x3x7,22x0,6x1,08</t>
  </si>
  <si>
    <t>8450x1x7,22x0,6x1,08</t>
  </si>
  <si>
    <t>Электроснабжение электрообогрева. (4212.00.Р.04.ГРП.2А.000.ЭОК)</t>
  </si>
  <si>
    <t>21120x1x7,22x0,6x1,08</t>
  </si>
  <si>
    <t>2640x12x7,22x0,6x1,08</t>
  </si>
  <si>
    <t>Электрообогрев. (4212.00.Р.04.ГРП.2А.000.ОЭ)</t>
  </si>
  <si>
    <t>(11000+550x725)x7,22x0,6x1,08</t>
  </si>
  <si>
    <t>1917039,96x0,02</t>
  </si>
  <si>
    <t>4212.00.Р.04.ГРП.2А.000.ЭК</t>
  </si>
  <si>
    <t>433690x0,5x7,22x0,6x1,08</t>
  </si>
  <si>
    <t>(33000+39900x0,15)x1,71x0,6x1,08</t>
  </si>
  <si>
    <t>13400x3x1,71x0,6x1,08</t>
  </si>
  <si>
    <t>9200x1x1,71x0,6x1,08</t>
  </si>
  <si>
    <t>33700x1x1,71x0,6x1,08</t>
  </si>
  <si>
    <t>7700x2x1,71x0,6x1,08</t>
  </si>
  <si>
    <t>433690x0,735x7,22x0,6x1,08</t>
  </si>
  <si>
    <t>2640x2x7,22x0,6x1,08</t>
  </si>
  <si>
    <t>80540,7948x0,02</t>
  </si>
  <si>
    <t>(85000+31509x13,541)x1,71x0,6x1,08</t>
  </si>
  <si>
    <t>13400x19x1,71x0,6x1,08</t>
  </si>
  <si>
    <t>9200x7x1,71x0,6x1,08</t>
  </si>
  <si>
    <t>33700x4x1,71x0,6x1,08</t>
  </si>
  <si>
    <t>33700x(1+(30*0,5))x1,71x0,6x1,08</t>
  </si>
  <si>
    <t>7700x19x1,71x0,6x1,08</t>
  </si>
  <si>
    <t>59070x18x7,22x0,6x1,15x1,08x0,5</t>
  </si>
  <si>
    <t>2640x18x7,22x0,6x1,08</t>
  </si>
  <si>
    <t>4790x18x7,22x0,6x1,08</t>
  </si>
  <si>
    <t>11800x18x1,71x0,6x1,08</t>
  </si>
  <si>
    <t>8870x18x7,22x0,6x1,08x0,25</t>
  </si>
  <si>
    <t>4409518,33864152x0,02</t>
  </si>
  <si>
    <t>Сеть газосборная ГПР 2А</t>
  </si>
  <si>
    <t xml:space="preserve">Воздушная линия электропередачи одноцепная напряжением от 1 до 5 км ,  общей длиной 4,5км (компл. Шг.2А ЭВ1) </t>
  </si>
  <si>
    <t xml:space="preserve">К1=1,71-инфляционный коэффициент </t>
  </si>
  <si>
    <t>К2=0,6 - стадия "Р",</t>
  </si>
  <si>
    <t>(33000+39900x4,5)x1,71x0,6x1,08</t>
  </si>
  <si>
    <t xml:space="preserve">Воздушная линия электропередачи одноцепная напряжением свыше 10 до 20 км ,  общей длиной 15,2км  (компл. Шг.2А ЭВ2) </t>
  </si>
  <si>
    <t>(85000+31509x15)x1,71x0,6x1,08</t>
  </si>
  <si>
    <t>13400x(1+(18*0,5))x1,71x0,6x1,08</t>
  </si>
  <si>
    <t>Воздушный переход воздушной линией электропередачи через водные преграды , железные дороги и другие инженерные сооружения напряжением  свыше 1 до 20 кВ протяженностью 50 п.м.. ( 5 переходов -компл. ЭВ1, 28 переходов-компл.ЭВ2)</t>
  </si>
  <si>
    <t>п.7.2 таб. 3.18 "Нормативные затраты на работы по подготовки проектной документации" (Приложение к приказу №847/пр от 13.12.2023)</t>
  </si>
  <si>
    <t>К4=33 Ценообразующий коэф-т</t>
  </si>
  <si>
    <t>(14200+138x50)x1,71x0,6x1,08x33</t>
  </si>
  <si>
    <t>Механический расчет проводов 10 кВ. Всего 14 расчётов.</t>
  </si>
  <si>
    <t>9200x14x1,71x0,6x1,08</t>
  </si>
  <si>
    <t>Установка пунктов секционирования 6 кВ в точке подключения и по трассе проектируемой ВЛ-6 кВ. Всего 4 шт.</t>
  </si>
  <si>
    <t>Установка разъединителей 6 кВ в точке подключения и по трассе проектируемой ВЛ-6 кВ. Всего 36 шт.</t>
  </si>
  <si>
    <t>п.8.2 таб. 3.13 "Нормативные затраты на работы по подготовки проектной документации" (Приложение к приказу №847/пр от 13.12.2023)</t>
  </si>
  <si>
    <t>2900x36x1,71x0,6x1,08</t>
  </si>
  <si>
    <t>Расчет заземления опор  . Всего 5 шт.</t>
  </si>
  <si>
    <t>7700x5x1,71x0,6x1,08</t>
  </si>
  <si>
    <t xml:space="preserve">Проектирование БКЭС с закрытой трансформаторной подстанцией без распределительного устройства высокого напряжения мощностью до 160 кВА, с установкой оборудования связи, АСУ, СКЗ. Всего 20 шт.  </t>
  </si>
  <si>
    <t>К5=0,5 - п. 2.8.1 СБЦОНПиНХП (однотрансформаторные подстанции)</t>
  </si>
  <si>
    <t>59070x(1+(19*0,8))x7,22x0,6x1,15x1,08x0,5</t>
  </si>
  <si>
    <t xml:space="preserve">Установка низковольтных щитов управления (НКУ-0,4 кВ), в помещении размером до 20 м2. Всего 20 шт. </t>
  </si>
  <si>
    <t>21120x(1+(19*0,8))x7,22x0,6x1,08</t>
  </si>
  <si>
    <t xml:space="preserve">Прокладка кабельных линий 10кВ, 0,4 кВ до потребителей по кабельной непроходной эстакаде. Суммарная протяжённость трассы проектируемой кабельной эстакады -0,4 км. </t>
  </si>
  <si>
    <t>433690x0,4x7,22x0,6x1,08</t>
  </si>
  <si>
    <t>Расчет токов короткого замыкания в сети 10 кВ и 0,4 кВ. Всего 20 линий.</t>
  </si>
  <si>
    <t>2640x20x7,22x0,6x1,08</t>
  </si>
  <si>
    <t>Электрический расчет компенсации реактивной мощности, выбор компенсирующих устройств, определение места их установки. Всего 20 устройств.</t>
  </si>
  <si>
    <t>п.6 таб. 3.18 Приложение к приказу №847/пр от 13.12.2023</t>
  </si>
  <si>
    <t>11800x(1+(19*0,5))x1,71x0,6x1,08</t>
  </si>
  <si>
    <t xml:space="preserve">Молниезащита проектируемых зданий и сооружений. Всего 20 объектов. </t>
  </si>
  <si>
    <t>К4=0,2 - п.3.9.7 СБЦ ОМТН</t>
  </si>
  <si>
    <t>8450x20x7,22x0,6x1,08x0,2</t>
  </si>
  <si>
    <t xml:space="preserve">Проектирование заземляющего устройства зданий и сооружений. Всего 20 объектов  </t>
  </si>
  <si>
    <t>К4=0,25 - п.3.9.8 СБЦ ОМТН</t>
  </si>
  <si>
    <t>8870x20x7,22x0,6x1,08x0,25</t>
  </si>
  <si>
    <t>Методические указания от 29.12.2009 г. Часть III п.3.9. До 2% от цены разработки документации по пп.1,5,6,9</t>
  </si>
  <si>
    <t>1272074,6088x0,02</t>
  </si>
  <si>
    <t xml:space="preserve">инд.3кв.2026г.к 01.01.2022 на пр.раб. </t>
  </si>
  <si>
    <t xml:space="preserve">инд.3кв.2026г.к 01.01.2023 на пр.раб. </t>
  </si>
  <si>
    <t xml:space="preserve">инд.3кв.2026г.к 01.01.2001 на пр.раб. </t>
  </si>
  <si>
    <t>Полный комплекс работ
(100%):
(A + B * Xзад) * Количество * Ктек * Кст
(31 100 руб. + 122 993 руб. * 5) * 1 * 1,56 * 0.6</t>
  </si>
  <si>
    <t>Ктек = 1,56
Письмо Минстроя России от 22.07.2026 №45358-ИФ/09</t>
  </si>
  <si>
    <t>(A + B * Xзад) * Количество * Ктек * Кст
(87 100 руб. + 24 266 руб. * 50) * 1 * 1,56 * 0.6</t>
  </si>
  <si>
    <t>Полный комплекс работ
(100%):
(A + B * (0.4 * Xмин + 0.6 * Xзад)) * Количество * Ктек * Кст
(31 100 руб. + 122 993 руб. * (0.4 * 0.5 + 0.6 * 0.4)) * 1 * 1,56 * 0.6</t>
  </si>
  <si>
    <t>(A + B * Xзад) * Количество * Ктек * Кст
(1 493 100 руб. + 22 794 руб. * 10.95) * 1 * 1,56 * 0.6</t>
  </si>
  <si>
    <t>A * Количество * Ктек * Кст
699 900 руб. * 1 * 1,56 * 0.6</t>
  </si>
  <si>
    <t>(A + B * Xзад) * Количество * Ктек * Кст
(467 700 руб. + 398 руб. * 100) * 1 * 1,56 * 0.6</t>
  </si>
  <si>
    <t>(A + B * (0.4 * Xмакс + 0.6 * Xзад)) * Количество * Ктек * Кст
(114 100 руб. + 19 581 руб. * (0.4 * 200 + 0.6 * 1000)) * 1 * 1,56 * 0.6</t>
  </si>
  <si>
    <t>(A + B * (0.4 * Xмин + 0.6 * (Xмин / 2))) * Количество * Кпон * Ктек * Кст
(467 700 руб. + 398 руб. * (0.4 * 50 + 0.6 * (50 / 2))) * 1 * 0.4 * 1,56 * 0.6</t>
  </si>
  <si>
    <t>(A + B * Xзад) * Количество * Ктек * Кст
(1 007 200 руб. + 1 085 руб. * 907.2) * 1 * 1,56 * 0.6</t>
  </si>
  <si>
    <t>(A + B * (0.4 * Xмин + 0.6 * Xзад)) * Количество * Ктек * Кст
(1 320 800 руб. + 9 459 руб. * (0.4 * 7.5 + 0.6 * 4.7088)) * 1 * 1,56 * 0.6</t>
  </si>
  <si>
    <t>(A + B * (0.4 * Xмин + 0.6 * Xзад)) * Количество * Ктек * Кст
(415 600 руб. + 32 687 руб. * (0.4 * 7.5 + 0.6 * 4.7088)) * 1 * 1,56 * 0.6</t>
  </si>
  <si>
    <t>(A + B * (0.4 * Xмин + 0.6 * (Xмин / 2))) * Количество * Кпон * Ктек * Кст
(6 131 100 руб. + 4 907 руб. * (0.4 * 500 + 0.6 * (500 / 2))) * 1 * 0.6 * 1,56 * 0.6</t>
  </si>
  <si>
    <t>(A + B * Xзад) * Количество * Ктек * Кст
(3 051 800 руб. + 946 944 руб. * 1.17) * 1 * 1,56 * 0.6</t>
  </si>
  <si>
    <t>(A + B * Xзад) * Количество * Ктек * Кст
(61 900 руб. + 15 484 руб. * 1.0125) * 1 * 1,56 * 0.6</t>
  </si>
  <si>
    <t>(A + B * Xзад) * Количество * Ктек * Кст
(61 900 руб. + 15 484 руб. * 2.33152) * 1 * 1,56 * 0.6</t>
  </si>
  <si>
    <t>(A + B * Xзад) * Количество * Ктек * Кст
(61 900 руб. + 15 484 руб. * 2.73962) * 1 * 1,56 * 0.6</t>
  </si>
  <si>
    <t>(A + B * (0.4 * Xмин + 0.6 * Xзад)) * Количество * Ктек * Кст
(61 900 руб. + 15 484 руб. * (0.4 * 1 + 0.6 * 0.5418)) * 1 * 1,56 * 0.6</t>
  </si>
  <si>
    <t>(A + B * Xзад) * Количество * Ктек * Кст
(61 900 руб. + 15 484 руб. * 3.16977) * 1 * 1,56 * 0.6</t>
  </si>
  <si>
    <t>(A + B * (0.4 * Xмин + 0.6 * (Xмин / 2))) * Количество * Кпон * Ктек * Кст
(61 900 руб. + 15 484 руб. * (0.4 * 1 + 0.6 * (1 / 2))) * 1 * 0.79 * 1,56 * 0.6</t>
  </si>
  <si>
    <t>(A + B * Xзад) * Количество * Ктек * Кст
(88 500 руб. + 10 167 руб. * 5.1931) * 1 * 1,56 * 0.6</t>
  </si>
  <si>
    <t>(A + B * (0.4 * Xмин + 0.6 * (Xмин / 2))) * Количество * Кпон * Ктек * Кст
(61 900 руб. + 15 484 руб. * (0.4 * 1 + 0.6 * (1 / 2))) * 1 * 0.1 * 1,56 * 0.6</t>
  </si>
  <si>
    <t>(A + B * Xзад) * Количество * Ктек * Кст
(61 900 руб. + 15 484 руб. * 3.61309) * 1 * 1,56 * 0.6</t>
  </si>
  <si>
    <t>(A + B * (0.4 * Xмин + 0.6 * (Xмин / 2))) * Количество * Кпон * Ктек * Кст
(61 900 руб. + 15 484 руб. * (0.4 * 1 + 0.6 * (1 / 2))) * 1 * 0.52 * 1,56 * 0.6</t>
  </si>
  <si>
    <t>(A + B * Xзад) * Количество * Ктек * Кст
(61 900 руб. + 15 484 руб. * 2.005) * 1 * 1,56 * 0.6</t>
  </si>
  <si>
    <t>(A + B * Xзад) * Количество * Ктек * Кст
(61 900 руб. + 15 484 руб. * 2.129) * 1 * 1,56 * 0.6</t>
  </si>
  <si>
    <t>(A + B * Xзад) * Количество * Ктек * Кст
(88 500 руб. + 10 167 руб. * 6.116) * 1 * 1,56 * 0.6</t>
  </si>
  <si>
    <t>(A + B * (0.4 * Xмин + 0.6 * (Xмин / 2))) * Количество * Кпон * Ктек * Кст
(61 900 руб. + 15 484 руб. * (0.4 * 1 + 0.6 * (1 / 2))) * 1 * 0.87 * 1,56 * 0.6</t>
  </si>
  <si>
    <t>(A + B * Xзад) * Количество * Ктек * Кст
(61 900 руб. + 15 484 руб. * 3.754) * 1 * 1,56 * 0.6</t>
  </si>
  <si>
    <t>(A + B * (0.4 * Xмин + 0.6 * (Xмин / 2))) * Количество * Кпон * Ктек * Кст
(61 900 руб. + 15 484 руб. * (0.4 * 1 + 0.6 * (1 / 2))) * 1 * 0.27 * 1,56 * 0.6</t>
  </si>
  <si>
    <t>(1020+15x15)x0,52x7,22</t>
  </si>
  <si>
    <t>К=7,22 (инфляц.)</t>
  </si>
  <si>
    <t>(1650+76x15)x0,52x7,22</t>
  </si>
  <si>
    <t>(1950+19x10)x0,52x7,22</t>
  </si>
  <si>
    <t>(2450+3680x1)x0,5x7,22</t>
  </si>
  <si>
    <t>(2450+3680x15)x0,5x7,22</t>
  </si>
  <si>
    <t>(25980+4623x20)x0,58x7,22</t>
  </si>
  <si>
    <t>(1020+15x11)x0,52x7,22</t>
  </si>
  <si>
    <t>(1650+76x11)x0,52x7,22</t>
  </si>
  <si>
    <t>(2450+3680x11)x0,5x7,22</t>
  </si>
  <si>
    <t>(25980+4623x10)x0,58x7,22</t>
  </si>
  <si>
    <t>(25980+4623x5)x0,58x7,22</t>
  </si>
  <si>
    <t>(25980+4623x30)x0,58x7,22</t>
  </si>
  <si>
    <t>(1020+15x10)x0,52x7,22</t>
  </si>
  <si>
    <t>(1650+76x10)x0,52x7,22</t>
  </si>
  <si>
    <t>(2450+3680x10)x0,5x7,22</t>
  </si>
  <si>
    <t>(2290+5510x3,68)x0,62x7,22</t>
  </si>
  <si>
    <t>(2290+5510x1,8)x0,62x7,22</t>
  </si>
  <si>
    <t>85450x0,5x7,22</t>
  </si>
  <si>
    <t>(36610+4570x26,4)x0,5x1,1x7,22</t>
  </si>
  <si>
    <t>2400x0,5x7,22</t>
  </si>
  <si>
    <t>(2290+5510x5)x0,62x7,22</t>
  </si>
  <si>
    <t>4130x18x7,22x0,6x1,08</t>
  </si>
  <si>
    <t>Методические указания от 29.12.2009 г. Часть III п.3.9. До 2% от цены разработки документации по пп.1, 4, 5, 7,220,</t>
  </si>
  <si>
    <t>(5148+30850x4)x7,22x0,6x0,031</t>
  </si>
  <si>
    <t>20435x7,22x0,6x8</t>
  </si>
  <si>
    <t>495483x7,22x0,6x0,007x40</t>
  </si>
  <si>
    <t>20435x7,22x0,6x40x0,1</t>
  </si>
  <si>
    <t>(9996+22090x4)x7,22x0,6</t>
  </si>
  <si>
    <t>(179590+353530x0,2)x7,22x1,1x0,4x0,7</t>
  </si>
  <si>
    <t>k=7,22 инфл.</t>
  </si>
  <si>
    <t>(21960+79880x0,2)x7,22x2x0,4x0,7</t>
  </si>
  <si>
    <t>146600x1x7,22x2x0,6x0,7</t>
  </si>
  <si>
    <t>(21960+79880x0,188)x7,22x0,4x0,7</t>
  </si>
  <si>
    <t>(64940+34770x0,8)x7,22x1,5x1,15x0,4x0,7</t>
  </si>
  <si>
    <t>(64940+34770x0,24)x7,22x1,5x1,15x0,4x0,7</t>
  </si>
  <si>
    <t>(114690+16850x0,08)x7,22x1,15x0,4x0,7</t>
  </si>
  <si>
    <t>(114690+16850x0,11)x7,22x0,4x0,7</t>
  </si>
  <si>
    <t>(64940+34770x1,1)x7,22x1,15x0,4x0,7</t>
  </si>
  <si>
    <t>(64940+34770x1,9)x7,22x1,5x1,15x1,15x0,4x0,7</t>
  </si>
  <si>
    <t>НЗ №912/пр Инженерная защита территорий, зданий и сооружений от опасных геологических процессов. 2023 г. Таблица 3.2. Объекты регулирования стока поверхностных вод, водопонижения, п.1
A = 87,22 тыс.руб; B = 24.266 тыс.руб;
Xзад = 50 (тыс.куб.м.);
Количество = 1</t>
  </si>
  <si>
    <t>(A + B * (0.4 * Xмин + 0.6 * (Xмин / 2))) * Количество * Кпон * Ктек * Кст * K1
(1 695 180 руб. + 1 100 960 руб. * (0.4 * 0.1 + 0.6 * (0.1 / 2))) * 1 * 0.3 * 7,22 * 0.6 * 0.5 * 0.7</t>
  </si>
  <si>
    <t>Ктек = 7,22
Письмо Минстроя России от 22.07.2026 №45358-ИФ/09</t>
  </si>
  <si>
    <t>(A + B * (0.4 * Xмин + 0.6 * (Xмин / 2))) * Количество * Кпон * Ктек * Кст * K1
(1 695 180 руб. + 1 100 960 руб. * (0.4 * 0.1 + 0.6 * (0.1 / 2))) * 1 * 0.2 * 7,22 * 0.6 * 0.5 * 0.7</t>
  </si>
  <si>
    <t>(A + B * Xзад) * Количество * Ктек * Кст * K1
(1 700 500 руб. + 1 047 800 руб. * 0.25) * 1 * 7,22 * 0.6 * 0.5 * 0.7</t>
  </si>
  <si>
    <t>(A + B * Xзад) * Количество * Ктек * Кст * K1
(1 712 500 руб. + 1 007 800 руб. * 0.37) * 1 * 7,22 * 0.6 * 0.5 * 0.7</t>
  </si>
  <si>
    <t>(A + B * Xзад) * Количество * Ктек * Кст
(379 281 руб. + 76 551 руб. * 1.95) * 1 * 7,22 * 0.6</t>
  </si>
  <si>
    <t>(A + B * L) * Количество * Ктек * Кст
(290 100 руб. + 1 856 633 руб. * 0.31524) * 1 * 1,40 * 0.6</t>
  </si>
  <si>
    <t>Ктек = 1,40
Письмо Минстроя России от 22.07.2026 №45358-ИФ/09</t>
  </si>
  <si>
    <t>A * Количество * Ктек * Кст * K1
1 622 600 руб. * 1 * 1,40 * 0.6 * 0.47</t>
  </si>
  <si>
    <t>2304x0,6x55,26x1,5x1,2x1,1x1,3</t>
  </si>
  <si>
    <t>К=55,26(инфляц.)</t>
  </si>
  <si>
    <t>1843x0,6x55,26x1,4x1,1x1,3</t>
  </si>
  <si>
    <t>820x0,6x55,26x1,5x1,2x1,1x1,3</t>
  </si>
  <si>
    <t>656x0,6x55,26x1,4x1,1x1,3</t>
  </si>
  <si>
    <t>600x0,6x55,26x1,5x1,2x1,1x1,3</t>
  </si>
  <si>
    <t>480x0,6x55,26x1,4x1,1x1,3</t>
  </si>
  <si>
    <t>820x0,6x55,26x1,5x1,2</t>
  </si>
  <si>
    <t>656x0,6x55,26x1,4x1,1</t>
  </si>
  <si>
    <t>600x0,6x55,26x1,5x1,2</t>
  </si>
  <si>
    <t>480x0,6x55,26x1,4</t>
  </si>
  <si>
    <t>3814x55,26x1,3x1,3x0,9x1</t>
  </si>
  <si>
    <t>k=55,26</t>
  </si>
  <si>
    <t>2560x55,26x1,3x1,3x0,9x1</t>
  </si>
  <si>
    <t>2560x55,26x1,3x0,75x0,7</t>
  </si>
  <si>
    <t>11083*4*7,22*0,6*1,08</t>
  </si>
  <si>
    <t>(A + B * Xзад) * Количество * Ктек * Кст
(61 900 руб. + 15 484 руб. * 1.485) * 1 * 1.56 * 0.6</t>
  </si>
  <si>
    <t>Ктек = 1.56
Письмо Минстроя России от 23.07.2026 №45358-ИФ/09</t>
  </si>
  <si>
    <t>(A + B * Xзад) * Количество * Ктек * Кст
(61 900 руб. + 15 484 руб. * 2.42) * 1 * 1.56 * 0.6</t>
  </si>
  <si>
    <t>(A + B * (0.4 * Xмин + 0.6 * (Xмин / 2))) * Количество * Кпон * Ктек * Кст
(61 900 руб. + 15 484 руб. * (0.4 * 1 + 0.6 * (1 / 2))) * 1 * 0.47 * 1.56 * 0.6</t>
  </si>
  <si>
    <t>4212.00.Р.04.ВТГз.2А.000.Л.000</t>
  </si>
  <si>
    <t>НЗ №849/пр Объекты газовой промышленности. 2023 г. Таблица 3.6. Объекты сбора газа (шлейфы, коллекторы и межцеховые трубопроводы), п.1
A = 61.9 тыс.руб; B = 15.484 тыс.руб;
Xзад = 2 (км);
Количество = 1</t>
  </si>
  <si>
    <t>(A + B * Xзад) * Количество * Ктек * Кст
(61 900 руб. + 15 484 руб. * 2) * 1 * 1.56 * 0.6</t>
  </si>
  <si>
    <t>4212.00.Р.04.ВТК.ГРП.2А.000.Л.000</t>
  </si>
  <si>
    <t>4212.00.Р.04.ГК.2 А.000.Л.000</t>
  </si>
  <si>
    <t>Коэф-т 1 от п.7 * 0.8
465 244.66 руб. * 1 * 0.8</t>
  </si>
  <si>
    <t>Коэф-т 1 от п.8 * 1.08
372 195.73 руб. * 1 * 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</si>
</sst>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₽_-;\-* #,##0.00\ _₽_-;_-* &quot;-&quot;??\ _₽_-;_-@_-"/>
    <numFmt numFmtId="165" formatCode="#,##0.00_р_."/>
    <numFmt numFmtId="166" formatCode="_-* #,##0.00_р_._-;\-* #,##0.00_р_._-;_-* &quot;-&quot;??_р_._-;_-@_-"/>
  </numFmts>
  <fonts count="32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  <charset val="204"/>
    </font>
    <font>
      <u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family val="2"/>
      <charset val="204"/>
    </font>
    <font>
      <sz val="10"/>
      <name val="Courier"/>
      <family val="3"/>
    </font>
    <font>
      <sz val="10"/>
      <name val="Courier New Cyr"/>
      <charset val="204"/>
    </font>
    <font>
      <b/>
      <i/>
      <sz val="10"/>
      <name val="Arial"/>
      <family val="2"/>
      <charset val="204"/>
    </font>
    <font>
      <sz val="10"/>
      <name val="Courier"/>
      <family val="1"/>
      <charset val="204"/>
    </font>
    <font>
      <sz val="10"/>
      <color rgb="FF002060"/>
      <name val="Arial"/>
      <family val="2"/>
      <charset val="204"/>
    </font>
    <font>
      <b/>
      <sz val="10"/>
      <color rgb="FF002060"/>
      <name val="Arial"/>
      <family val="2"/>
      <charset val="204"/>
    </font>
    <font>
      <sz val="11"/>
      <color rgb="FF000000"/>
      <name val="Calibri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7"/>
      <name val="Arial"/>
      <family val="2"/>
      <charset val="204"/>
    </font>
    <font>
      <u/>
      <sz val="10"/>
      <name val="Arial"/>
      <family val="2"/>
      <charset val="204"/>
    </font>
    <font>
      <b/>
      <u/>
      <sz val="10"/>
      <color rgb="FFC00000"/>
      <name val="Arial"/>
      <family val="2"/>
      <charset val="204"/>
    </font>
    <font>
      <i/>
      <sz val="10"/>
      <color rgb="FF6600CC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0">
    <xf numFmtId="0" fontId="0" fillId="0" borderId="0"/>
    <xf numFmtId="0" fontId="8" fillId="0" borderId="0"/>
    <xf numFmtId="0" fontId="10" fillId="0" borderId="0"/>
    <xf numFmtId="0" fontId="11" fillId="0" borderId="0"/>
    <xf numFmtId="164" fontId="10" fillId="0" borderId="0" applyFont="0" applyFill="0" applyBorder="0" applyAlignment="0" applyProtection="0"/>
    <xf numFmtId="0" fontId="7" fillId="0" borderId="0"/>
    <xf numFmtId="0" fontId="17" fillId="0" borderId="0"/>
    <xf numFmtId="166" fontId="17" fillId="0" borderId="0" applyFont="0" applyFill="0" applyBorder="0" applyAlignment="0" applyProtection="0"/>
    <xf numFmtId="0" fontId="11" fillId="0" borderId="0"/>
    <xf numFmtId="0" fontId="18" fillId="0" borderId="0"/>
    <xf numFmtId="0" fontId="19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4" fillId="0" borderId="0"/>
    <xf numFmtId="0" fontId="1" fillId="0" borderId="0"/>
    <xf numFmtId="0" fontId="11" fillId="0" borderId="0"/>
    <xf numFmtId="0" fontId="3" fillId="0" borderId="0"/>
  </cellStyleXfs>
  <cellXfs count="509"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4" fontId="3" fillId="0" borderId="2" xfId="0" applyNumberFormat="1" applyFont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0" fontId="12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 wrapText="1"/>
    </xf>
    <xf numFmtId="0" fontId="14" fillId="0" borderId="0" xfId="2" applyFont="1" applyFill="1" applyAlignment="1">
      <alignment horizontal="left" vertical="center"/>
    </xf>
    <xf numFmtId="0" fontId="13" fillId="0" borderId="5" xfId="2" applyFont="1" applyFill="1" applyBorder="1" applyAlignment="1">
      <alignment horizontal="left" vertical="center"/>
    </xf>
    <xf numFmtId="0" fontId="13" fillId="0" borderId="6" xfId="2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/>
    </xf>
    <xf numFmtId="0" fontId="13" fillId="0" borderId="7" xfId="2" applyFont="1" applyBorder="1" applyAlignment="1">
      <alignment horizontal="left" vertical="center"/>
    </xf>
    <xf numFmtId="0" fontId="13" fillId="0" borderId="8" xfId="2" applyFont="1" applyBorder="1" applyAlignment="1">
      <alignment horizontal="left" vertical="center"/>
    </xf>
    <xf numFmtId="0" fontId="13" fillId="0" borderId="5" xfId="2" applyFont="1" applyBorder="1" applyAlignment="1">
      <alignment horizontal="left" vertical="center"/>
    </xf>
    <xf numFmtId="0" fontId="13" fillId="0" borderId="0" xfId="2" applyFont="1" applyBorder="1" applyAlignment="1">
      <alignment horizontal="left" vertical="center"/>
    </xf>
    <xf numFmtId="0" fontId="13" fillId="0" borderId="9" xfId="2" applyFont="1" applyBorder="1" applyAlignment="1">
      <alignment horizontal="left" vertical="center"/>
    </xf>
    <xf numFmtId="0" fontId="13" fillId="0" borderId="2" xfId="2" applyFont="1" applyFill="1" applyBorder="1" applyAlignment="1">
      <alignment horizontal="center" vertical="center"/>
    </xf>
    <xf numFmtId="0" fontId="14" fillId="3" borderId="2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1" xfId="2" applyFont="1" applyBorder="1" applyAlignment="1">
      <alignment horizontal="left" vertical="center"/>
    </xf>
    <xf numFmtId="0" fontId="13" fillId="0" borderId="10" xfId="2" applyFont="1" applyBorder="1" applyAlignment="1">
      <alignment horizontal="left" vertical="center"/>
    </xf>
    <xf numFmtId="0" fontId="13" fillId="0" borderId="11" xfId="2" applyFont="1" applyBorder="1" applyAlignment="1">
      <alignment horizontal="left" vertical="center"/>
    </xf>
    <xf numFmtId="0" fontId="13" fillId="0" borderId="13" xfId="2" applyFont="1" applyBorder="1" applyAlignment="1">
      <alignment horizontal="left" vertical="center"/>
    </xf>
    <xf numFmtId="49" fontId="13" fillId="0" borderId="2" xfId="2" applyNumberFormat="1" applyFont="1" applyFill="1" applyBorder="1" applyAlignment="1">
      <alignment horizontal="center" vertical="center"/>
    </xf>
    <xf numFmtId="49" fontId="13" fillId="0" borderId="6" xfId="2" applyNumberFormat="1" applyFont="1" applyFill="1" applyBorder="1" applyAlignment="1">
      <alignment horizontal="center" vertical="center"/>
    </xf>
    <xf numFmtId="0" fontId="13" fillId="0" borderId="6" xfId="2" applyFont="1" applyFill="1" applyBorder="1" applyAlignment="1">
      <alignment horizontal="center" vertical="center"/>
    </xf>
    <xf numFmtId="0" fontId="14" fillId="0" borderId="11" xfId="2" applyFont="1" applyFill="1" applyBorder="1" applyAlignment="1">
      <alignment horizontal="right" vertical="center"/>
    </xf>
    <xf numFmtId="0" fontId="13" fillId="0" borderId="2" xfId="2" applyFont="1" applyFill="1" applyBorder="1" applyAlignment="1">
      <alignment horizontal="left" vertical="center" wrapText="1"/>
    </xf>
    <xf numFmtId="0" fontId="13" fillId="0" borderId="6" xfId="2" applyFont="1" applyFill="1" applyBorder="1" applyAlignment="1">
      <alignment horizontal="left" vertical="center" wrapText="1"/>
    </xf>
    <xf numFmtId="0" fontId="15" fillId="0" borderId="2" xfId="2" applyFont="1" applyFill="1" applyBorder="1" applyAlignment="1">
      <alignment horizontal="center" vertical="center" wrapText="1"/>
    </xf>
    <xf numFmtId="0" fontId="13" fillId="0" borderId="2" xfId="2" applyFont="1" applyFill="1" applyBorder="1" applyAlignment="1">
      <alignment horizontal="center" vertical="center" wrapText="1"/>
    </xf>
    <xf numFmtId="0" fontId="13" fillId="0" borderId="0" xfId="2" applyFont="1"/>
    <xf numFmtId="0" fontId="13" fillId="0" borderId="0" xfId="2" applyFont="1" applyAlignment="1">
      <alignment horizontal="center" vertical="center"/>
    </xf>
    <xf numFmtId="0" fontId="13" fillId="0" borderId="5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/>
    </xf>
    <xf numFmtId="165" fontId="13" fillId="0" borderId="2" xfId="2" applyNumberFormat="1" applyFont="1" applyFill="1" applyBorder="1" applyAlignment="1">
      <alignment horizontal="center" vertical="center" wrapText="1"/>
    </xf>
    <xf numFmtId="0" fontId="13" fillId="0" borderId="5" xfId="2" applyFont="1" applyFill="1" applyBorder="1" applyAlignment="1">
      <alignment horizontal="left" vertical="center" wrapText="1"/>
    </xf>
    <xf numFmtId="0" fontId="13" fillId="0" borderId="11" xfId="2" applyFont="1" applyFill="1" applyBorder="1" applyAlignment="1">
      <alignment horizontal="left" vertical="center" wrapText="1"/>
    </xf>
    <xf numFmtId="165" fontId="13" fillId="4" borderId="2" xfId="2" applyNumberFormat="1" applyFont="1" applyFill="1" applyBorder="1" applyAlignment="1">
      <alignment horizontal="center" vertical="center" wrapText="1"/>
    </xf>
    <xf numFmtId="165" fontId="13" fillId="0" borderId="0" xfId="2" applyNumberFormat="1" applyFont="1" applyAlignment="1">
      <alignment horizontal="left" vertical="center"/>
    </xf>
    <xf numFmtId="0" fontId="14" fillId="0" borderId="0" xfId="2" applyFont="1" applyBorder="1" applyAlignment="1">
      <alignment horizontal="left" vertical="center"/>
    </xf>
    <xf numFmtId="0" fontId="16" fillId="0" borderId="0" xfId="3" applyFont="1"/>
    <xf numFmtId="0" fontId="14" fillId="0" borderId="0" xfId="2" applyFont="1" applyBorder="1" applyAlignment="1">
      <alignment horizontal="right" vertical="center"/>
    </xf>
    <xf numFmtId="4" fontId="14" fillId="0" borderId="0" xfId="2" applyNumberFormat="1" applyFont="1" applyBorder="1" applyAlignment="1">
      <alignment horizontal="right" vertical="center"/>
    </xf>
    <xf numFmtId="164" fontId="14" fillId="0" borderId="0" xfId="4" applyFont="1" applyBorder="1" applyAlignment="1">
      <alignment horizontal="right" vertical="center"/>
    </xf>
    <xf numFmtId="164" fontId="13" fillId="0" borderId="0" xfId="4" applyFont="1" applyAlignment="1">
      <alignment horizontal="left" vertical="center"/>
    </xf>
    <xf numFmtId="0" fontId="13" fillId="0" borderId="0" xfId="2" applyFont="1" applyFill="1" applyAlignment="1">
      <alignment horizontal="left" vertical="center"/>
    </xf>
    <xf numFmtId="0" fontId="7" fillId="0" borderId="0" xfId="9" applyNumberFormat="1" applyFont="1" applyAlignment="1">
      <alignment horizontal="center" vertical="top"/>
    </xf>
    <xf numFmtId="0" fontId="20" fillId="0" borderId="0" xfId="10" applyNumberFormat="1" applyFont="1" applyAlignment="1">
      <alignment vertical="center"/>
    </xf>
    <xf numFmtId="0" fontId="7" fillId="0" borderId="0" xfId="9" quotePrefix="1" applyNumberFormat="1" applyFont="1" applyFill="1"/>
    <xf numFmtId="0" fontId="7" fillId="0" borderId="0" xfId="9" applyNumberFormat="1" applyFont="1"/>
    <xf numFmtId="0" fontId="7" fillId="0" borderId="0" xfId="9" applyFont="1"/>
    <xf numFmtId="2" fontId="7" fillId="0" borderId="0" xfId="9" applyNumberFormat="1" applyFont="1"/>
    <xf numFmtId="0" fontId="7" fillId="0" borderId="0" xfId="11" applyFont="1"/>
    <xf numFmtId="0" fontId="7" fillId="0" borderId="0" xfId="12" applyFont="1" applyAlignment="1"/>
    <xf numFmtId="0" fontId="7" fillId="0" borderId="0" xfId="12" applyFont="1" applyFill="1" applyAlignment="1">
      <alignment horizontal="left"/>
    </xf>
    <xf numFmtId="0" fontId="6" fillId="0" borderId="0" xfId="9" quotePrefix="1" applyFont="1" applyAlignment="1"/>
    <xf numFmtId="0" fontId="7" fillId="0" borderId="0" xfId="9" quotePrefix="1" applyFont="1" applyAlignment="1" applyProtection="1">
      <protection locked="0"/>
    </xf>
    <xf numFmtId="0" fontId="7" fillId="0" borderId="0" xfId="9" applyNumberFormat="1" applyFont="1" applyFill="1"/>
    <xf numFmtId="0" fontId="7" fillId="0" borderId="0" xfId="9" applyNumberFormat="1" applyFont="1" applyAlignment="1">
      <alignment horizontal="left" vertical="top" wrapText="1"/>
    </xf>
    <xf numFmtId="0" fontId="7" fillId="0" borderId="0" xfId="9" applyFont="1" applyAlignment="1" applyProtection="1">
      <alignment vertical="top" wrapText="1"/>
      <protection locked="0"/>
    </xf>
    <xf numFmtId="0" fontId="7" fillId="0" borderId="0" xfId="9" applyNumberFormat="1" applyFont="1" applyAlignment="1">
      <alignment vertical="top"/>
    </xf>
    <xf numFmtId="0" fontId="7" fillId="0" borderId="0" xfId="9" applyFont="1" applyAlignment="1">
      <alignment vertical="top" wrapText="1"/>
    </xf>
    <xf numFmtId="0" fontId="7" fillId="0" borderId="0" xfId="11" applyFont="1" applyAlignment="1">
      <alignment vertical="center"/>
    </xf>
    <xf numFmtId="0" fontId="7" fillId="0" borderId="0" xfId="10" applyNumberFormat="1" applyFont="1" applyAlignment="1">
      <alignment vertical="top"/>
    </xf>
    <xf numFmtId="0" fontId="7" fillId="0" borderId="0" xfId="9" applyNumberFormat="1" applyFont="1" applyFill="1" applyAlignment="1">
      <alignment vertical="top"/>
    </xf>
    <xf numFmtId="0" fontId="20" fillId="0" borderId="0" xfId="9" applyFont="1" applyAlignment="1" applyProtection="1">
      <alignment horizontal="left" vertical="top"/>
      <protection locked="0"/>
    </xf>
    <xf numFmtId="2" fontId="6" fillId="0" borderId="0" xfId="9" applyNumberFormat="1" applyFont="1" applyAlignment="1">
      <alignment vertical="top"/>
    </xf>
    <xf numFmtId="0" fontId="7" fillId="0" borderId="0" xfId="9" applyFont="1" applyAlignment="1">
      <alignment vertical="top"/>
    </xf>
    <xf numFmtId="2" fontId="7" fillId="0" borderId="0" xfId="9" applyNumberFormat="1" applyFont="1" applyAlignment="1">
      <alignment vertical="top"/>
    </xf>
    <xf numFmtId="2" fontId="20" fillId="0" borderId="0" xfId="9" applyNumberFormat="1" applyFont="1" applyAlignment="1">
      <alignment vertical="top"/>
    </xf>
    <xf numFmtId="0" fontId="20" fillId="0" borderId="0" xfId="9" applyFont="1" applyAlignment="1">
      <alignment vertical="top"/>
    </xf>
    <xf numFmtId="0" fontId="7" fillId="0" borderId="0" xfId="13" applyNumberFormat="1" applyFont="1" applyAlignment="1">
      <alignment horizontal="left" vertical="top"/>
    </xf>
    <xf numFmtId="0" fontId="7" fillId="0" borderId="0" xfId="9" applyNumberFormat="1" applyFont="1" applyAlignment="1">
      <alignment horizontal="center"/>
    </xf>
    <xf numFmtId="0" fontId="7" fillId="0" borderId="0" xfId="9" applyFont="1" applyAlignment="1">
      <alignment horizontal="center"/>
    </xf>
    <xf numFmtId="0" fontId="7" fillId="0" borderId="16" xfId="14" applyNumberFormat="1" applyFont="1" applyBorder="1" applyAlignment="1">
      <alignment horizontal="center" vertical="center" wrapText="1"/>
    </xf>
    <xf numFmtId="0" fontId="7" fillId="0" borderId="17" xfId="14" applyNumberFormat="1" applyFont="1" applyBorder="1" applyAlignment="1">
      <alignment horizontal="center" vertical="center" wrapText="1"/>
    </xf>
    <xf numFmtId="0" fontId="7" fillId="0" borderId="17" xfId="14" applyNumberFormat="1" applyFont="1" applyFill="1" applyBorder="1" applyAlignment="1">
      <alignment horizontal="center" vertical="center" wrapText="1"/>
    </xf>
    <xf numFmtId="0" fontId="7" fillId="0" borderId="0" xfId="12" applyFont="1" applyAlignment="1">
      <alignment horizontal="center" vertical="center"/>
    </xf>
    <xf numFmtId="0" fontId="7" fillId="0" borderId="16" xfId="12" applyNumberFormat="1" applyFont="1" applyBorder="1" applyAlignment="1">
      <alignment horizontal="center" vertical="center" wrapText="1"/>
    </xf>
    <xf numFmtId="0" fontId="7" fillId="0" borderId="16" xfId="12" applyNumberFormat="1" applyFont="1" applyFill="1" applyBorder="1" applyAlignment="1">
      <alignment horizontal="center" vertical="center" wrapText="1"/>
    </xf>
    <xf numFmtId="0" fontId="7" fillId="0" borderId="0" xfId="12" applyFont="1" applyBorder="1" applyAlignment="1">
      <alignment horizontal="center" vertical="center" wrapText="1"/>
    </xf>
    <xf numFmtId="0" fontId="7" fillId="0" borderId="0" xfId="12" applyFont="1" applyFill="1" applyBorder="1" applyAlignment="1">
      <alignment horizontal="center" vertical="center" wrapText="1"/>
    </xf>
    <xf numFmtId="4" fontId="7" fillId="0" borderId="0" xfId="12" applyNumberFormat="1" applyFont="1" applyBorder="1" applyAlignment="1">
      <alignment horizontal="center" vertical="center" wrapText="1"/>
    </xf>
    <xf numFmtId="0" fontId="7" fillId="0" borderId="0" xfId="12" applyFont="1" applyBorder="1" applyAlignment="1">
      <alignment horizontal="center" vertical="center"/>
    </xf>
    <xf numFmtId="0" fontId="7" fillId="0" borderId="0" xfId="0" applyFont="1" applyBorder="1"/>
    <xf numFmtId="0" fontId="7" fillId="0" borderId="0" xfId="15" applyFont="1" applyFill="1" applyBorder="1" applyAlignment="1">
      <alignment horizontal="left" vertical="top"/>
    </xf>
    <xf numFmtId="4" fontId="7" fillId="0" borderId="0" xfId="15" applyNumberFormat="1" applyFont="1" applyFill="1" applyBorder="1" applyAlignment="1">
      <alignment horizontal="left" vertical="top"/>
    </xf>
    <xf numFmtId="4" fontId="7" fillId="0" borderId="0" xfId="12" applyNumberFormat="1" applyFont="1" applyAlignment="1">
      <alignment horizontal="center"/>
    </xf>
    <xf numFmtId="0" fontId="7" fillId="0" borderId="0" xfId="12" applyNumberFormat="1" applyFont="1" applyFill="1" applyAlignment="1">
      <alignment horizontal="left"/>
    </xf>
    <xf numFmtId="0" fontId="13" fillId="0" borderId="22" xfId="0" applyFont="1" applyBorder="1" applyAlignment="1">
      <alignment vertical="center" wrapText="1"/>
    </xf>
    <xf numFmtId="4" fontId="6" fillId="2" borderId="16" xfId="12" applyNumberFormat="1" applyFont="1" applyFill="1" applyBorder="1" applyAlignment="1">
      <alignment horizontal="right" vertical="center" wrapText="1"/>
    </xf>
    <xf numFmtId="0" fontId="7" fillId="0" borderId="21" xfId="0" applyFont="1" applyBorder="1" applyAlignment="1">
      <alignment horizontal="center" vertical="top" wrapText="1"/>
    </xf>
    <xf numFmtId="4" fontId="13" fillId="0" borderId="2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4" fontId="3" fillId="0" borderId="25" xfId="0" applyNumberFormat="1" applyFont="1" applyFill="1" applyBorder="1" applyAlignment="1">
      <alignment horizontal="center" vertical="center" wrapText="1"/>
    </xf>
    <xf numFmtId="9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3" fillId="0" borderId="22" xfId="0" applyFont="1" applyBorder="1" applyAlignment="1">
      <alignment vertical="center" wrapText="1"/>
    </xf>
    <xf numFmtId="0" fontId="3" fillId="0" borderId="20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22" fillId="0" borderId="0" xfId="9" applyNumberFormat="1" applyFont="1" applyFill="1" applyAlignment="1">
      <alignment vertical="top" wrapText="1"/>
    </xf>
    <xf numFmtId="0" fontId="3" fillId="0" borderId="0" xfId="12" applyFont="1" applyAlignment="1"/>
    <xf numFmtId="4" fontId="3" fillId="0" borderId="22" xfId="0" applyNumberFormat="1" applyFont="1" applyBorder="1" applyAlignment="1">
      <alignment horizontal="center" vertical="center" wrapText="1"/>
    </xf>
    <xf numFmtId="0" fontId="3" fillId="0" borderId="0" xfId="9" applyNumberFormat="1" applyFont="1" applyAlignment="1">
      <alignment horizontal="center" vertical="top"/>
    </xf>
    <xf numFmtId="0" fontId="3" fillId="0" borderId="0" xfId="9" quotePrefix="1" applyNumberFormat="1" applyFont="1" applyFill="1"/>
    <xf numFmtId="0" fontId="3" fillId="0" borderId="0" xfId="9" applyNumberFormat="1" applyFont="1"/>
    <xf numFmtId="0" fontId="3" fillId="0" borderId="0" xfId="9" applyFont="1"/>
    <xf numFmtId="2" fontId="3" fillId="0" borderId="0" xfId="9" applyNumberFormat="1" applyFont="1"/>
    <xf numFmtId="0" fontId="3" fillId="0" borderId="0" xfId="11" applyFont="1"/>
    <xf numFmtId="0" fontId="3" fillId="0" borderId="0" xfId="12" applyNumberFormat="1" applyFont="1" applyFill="1" applyAlignment="1">
      <alignment horizontal="left"/>
    </xf>
    <xf numFmtId="0" fontId="5" fillId="0" borderId="0" xfId="9" quotePrefix="1" applyFont="1" applyAlignment="1"/>
    <xf numFmtId="0" fontId="3" fillId="0" borderId="0" xfId="9" quotePrefix="1" applyFont="1" applyAlignment="1" applyProtection="1">
      <protection locked="0"/>
    </xf>
    <xf numFmtId="0" fontId="3" fillId="0" borderId="0" xfId="9" applyNumberFormat="1" applyFont="1" applyFill="1"/>
    <xf numFmtId="0" fontId="3" fillId="0" borderId="0" xfId="9" applyNumberFormat="1" applyFont="1" applyAlignment="1">
      <alignment horizontal="left" vertical="top" wrapText="1"/>
    </xf>
    <xf numFmtId="0" fontId="3" fillId="0" borderId="0" xfId="9" applyFont="1" applyAlignment="1" applyProtection="1">
      <alignment vertical="top" wrapText="1"/>
      <protection locked="0"/>
    </xf>
    <xf numFmtId="0" fontId="3" fillId="0" borderId="0" xfId="9" applyNumberFormat="1" applyFont="1" applyAlignment="1">
      <alignment vertical="top"/>
    </xf>
    <xf numFmtId="0" fontId="3" fillId="0" borderId="0" xfId="9" applyNumberFormat="1" applyFont="1" applyFill="1" applyAlignment="1">
      <alignment vertical="top" wrapText="1"/>
    </xf>
    <xf numFmtId="0" fontId="3" fillId="0" borderId="0" xfId="9" applyFont="1" applyAlignment="1">
      <alignment vertical="top" wrapText="1"/>
    </xf>
    <xf numFmtId="0" fontId="3" fillId="0" borderId="0" xfId="11" applyFont="1" applyAlignment="1">
      <alignment vertical="center"/>
    </xf>
    <xf numFmtId="0" fontId="3" fillId="0" borderId="0" xfId="10" applyNumberFormat="1" applyFont="1" applyAlignment="1">
      <alignment vertical="top"/>
    </xf>
    <xf numFmtId="0" fontId="3" fillId="0" borderId="0" xfId="9" applyNumberFormat="1" applyFont="1" applyFill="1" applyAlignment="1">
      <alignment vertical="top"/>
    </xf>
    <xf numFmtId="2" fontId="5" fillId="0" borderId="0" xfId="9" applyNumberFormat="1" applyFont="1" applyAlignment="1">
      <alignment vertical="top"/>
    </xf>
    <xf numFmtId="0" fontId="3" fillId="0" borderId="0" xfId="9" applyFont="1" applyAlignment="1">
      <alignment vertical="top"/>
    </xf>
    <xf numFmtId="2" fontId="3" fillId="0" borderId="0" xfId="9" applyNumberFormat="1" applyFont="1" applyAlignment="1">
      <alignment vertical="top"/>
    </xf>
    <xf numFmtId="0" fontId="3" fillId="0" borderId="0" xfId="13" applyNumberFormat="1" applyFont="1" applyAlignment="1">
      <alignment horizontal="left" vertical="top"/>
    </xf>
    <xf numFmtId="0" fontId="3" fillId="0" borderId="0" xfId="9" applyNumberFormat="1" applyFont="1" applyAlignment="1">
      <alignment horizontal="center"/>
    </xf>
    <xf numFmtId="0" fontId="3" fillId="0" borderId="0" xfId="9" applyFont="1" applyAlignment="1">
      <alignment horizontal="center"/>
    </xf>
    <xf numFmtId="0" fontId="3" fillId="0" borderId="16" xfId="14" applyNumberFormat="1" applyFont="1" applyBorder="1" applyAlignment="1">
      <alignment horizontal="center" vertical="center" wrapText="1"/>
    </xf>
    <xf numFmtId="0" fontId="3" fillId="0" borderId="17" xfId="14" applyNumberFormat="1" applyFont="1" applyBorder="1" applyAlignment="1">
      <alignment horizontal="center" vertical="center" wrapText="1"/>
    </xf>
    <xf numFmtId="0" fontId="3" fillId="0" borderId="17" xfId="14" applyNumberFormat="1" applyFont="1" applyFill="1" applyBorder="1" applyAlignment="1">
      <alignment horizontal="center" vertical="center" wrapText="1"/>
    </xf>
    <xf numFmtId="0" fontId="3" fillId="0" borderId="0" xfId="12" applyFont="1" applyAlignment="1">
      <alignment horizontal="center" vertical="center"/>
    </xf>
    <xf numFmtId="0" fontId="3" fillId="0" borderId="16" xfId="12" applyNumberFormat="1" applyFont="1" applyBorder="1" applyAlignment="1">
      <alignment horizontal="center" vertical="center" wrapText="1"/>
    </xf>
    <xf numFmtId="0" fontId="3" fillId="0" borderId="16" xfId="12" applyNumberFormat="1" applyFont="1" applyFill="1" applyBorder="1" applyAlignment="1">
      <alignment horizontal="center" vertical="center" wrapText="1"/>
    </xf>
    <xf numFmtId="0" fontId="3" fillId="0" borderId="0" xfId="12" applyFont="1" applyBorder="1" applyAlignment="1">
      <alignment horizontal="center" vertical="center" wrapText="1"/>
    </xf>
    <xf numFmtId="0" fontId="3" fillId="0" borderId="0" xfId="12" applyFont="1" applyFill="1" applyBorder="1" applyAlignment="1">
      <alignment horizontal="center" vertical="center" wrapText="1"/>
    </xf>
    <xf numFmtId="4" fontId="3" fillId="0" borderId="0" xfId="12" applyNumberFormat="1" applyFont="1" applyBorder="1" applyAlignment="1">
      <alignment horizontal="center" vertical="center" wrapText="1"/>
    </xf>
    <xf numFmtId="0" fontId="3" fillId="0" borderId="0" xfId="12" applyFont="1" applyBorder="1" applyAlignment="1">
      <alignment horizontal="center" vertical="center"/>
    </xf>
    <xf numFmtId="0" fontId="3" fillId="0" borderId="0" xfId="0" applyFont="1" applyBorder="1"/>
    <xf numFmtId="4" fontId="5" fillId="2" borderId="16" xfId="12" applyNumberFormat="1" applyFont="1" applyFill="1" applyBorder="1" applyAlignment="1">
      <alignment horizontal="right" vertical="center" wrapText="1"/>
    </xf>
    <xf numFmtId="0" fontId="3" fillId="0" borderId="0" xfId="12" applyFont="1" applyFill="1" applyAlignment="1">
      <alignment horizontal="left"/>
    </xf>
    <xf numFmtId="4" fontId="3" fillId="0" borderId="0" xfId="12" applyNumberFormat="1" applyFont="1" applyAlignment="1">
      <alignment horizontal="center"/>
    </xf>
    <xf numFmtId="0" fontId="3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4" fontId="3" fillId="0" borderId="0" xfId="1" applyNumberFormat="1" applyFont="1" applyAlignment="1">
      <alignment horizontal="left" vertical="top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/>
    <xf numFmtId="0" fontId="3" fillId="0" borderId="21" xfId="0" applyFont="1" applyBorder="1" applyAlignment="1">
      <alignment horizontal="center" vertical="top" wrapText="1"/>
    </xf>
    <xf numFmtId="0" fontId="3" fillId="5" borderId="2" xfId="0" quotePrefix="1" applyFont="1" applyFill="1" applyBorder="1" applyAlignment="1">
      <alignment horizontal="center" vertical="center" wrapText="1"/>
    </xf>
    <xf numFmtId="0" fontId="5" fillId="5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8" fillId="0" borderId="0" xfId="1" applyFont="1"/>
    <xf numFmtId="0" fontId="3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vertical="center" wrapText="1"/>
    </xf>
    <xf numFmtId="0" fontId="3" fillId="0" borderId="0" xfId="2" applyFont="1" applyFill="1" applyAlignment="1">
      <alignment horizontal="left" vertical="center"/>
    </xf>
    <xf numFmtId="0" fontId="3" fillId="0" borderId="5" xfId="2" applyFont="1" applyFill="1" applyBorder="1" applyAlignment="1">
      <alignment horizontal="left" vertical="center"/>
    </xf>
    <xf numFmtId="0" fontId="3" fillId="0" borderId="6" xfId="2" applyFont="1" applyFill="1" applyBorder="1" applyAlignment="1">
      <alignment horizontal="left" vertical="center"/>
    </xf>
    <xf numFmtId="0" fontId="3" fillId="0" borderId="6" xfId="2" applyFont="1" applyBorder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/>
    </xf>
    <xf numFmtId="0" fontId="3" fillId="0" borderId="9" xfId="2" applyFont="1" applyBorder="1" applyAlignment="1">
      <alignment horizontal="left" vertical="center"/>
    </xf>
    <xf numFmtId="0" fontId="3" fillId="0" borderId="2" xfId="2" applyFont="1" applyFill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3" fillId="0" borderId="10" xfId="2" applyFont="1" applyBorder="1" applyAlignment="1">
      <alignment horizontal="left" vertical="center"/>
    </xf>
    <xf numFmtId="0" fontId="3" fillId="0" borderId="11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49" fontId="3" fillId="0" borderId="2" xfId="2" applyNumberFormat="1" applyFont="1" applyFill="1" applyBorder="1" applyAlignment="1">
      <alignment horizontal="center" vertical="center"/>
    </xf>
    <xf numFmtId="49" fontId="3" fillId="0" borderId="6" xfId="2" applyNumberFormat="1" applyFont="1" applyFill="1" applyBorder="1" applyAlignment="1">
      <alignment horizontal="center" vertical="center"/>
    </xf>
    <xf numFmtId="0" fontId="3" fillId="0" borderId="6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right" vertical="center"/>
    </xf>
    <xf numFmtId="0" fontId="3" fillId="0" borderId="2" xfId="2" applyFont="1" applyFill="1" applyBorder="1" applyAlignment="1">
      <alignment horizontal="left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25" fillId="0" borderId="2" xfId="2" applyFont="1" applyFill="1" applyBorder="1" applyAlignment="1">
      <alignment horizontal="center" vertical="center" wrapText="1"/>
    </xf>
    <xf numFmtId="0" fontId="3" fillId="0" borderId="2" xfId="2" applyFont="1" applyFill="1" applyBorder="1" applyAlignment="1">
      <alignment horizontal="center" vertical="center" wrapText="1"/>
    </xf>
    <xf numFmtId="0" fontId="3" fillId="0" borderId="0" xfId="2" applyFont="1"/>
    <xf numFmtId="0" fontId="3" fillId="0" borderId="0" xfId="2" applyFont="1" applyAlignment="1">
      <alignment horizontal="center" vertical="center"/>
    </xf>
    <xf numFmtId="0" fontId="3" fillId="0" borderId="5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165" fontId="3" fillId="0" borderId="2" xfId="2" applyNumberFormat="1" applyFont="1" applyFill="1" applyBorder="1" applyAlignment="1">
      <alignment horizontal="center" vertical="center" wrapText="1"/>
    </xf>
    <xf numFmtId="0" fontId="3" fillId="0" borderId="5" xfId="2" applyFont="1" applyFill="1" applyBorder="1" applyAlignment="1">
      <alignment horizontal="left" vertical="center" wrapText="1"/>
    </xf>
    <xf numFmtId="0" fontId="3" fillId="0" borderId="11" xfId="2" applyFont="1" applyFill="1" applyBorder="1" applyAlignment="1">
      <alignment horizontal="left" vertical="center" wrapText="1"/>
    </xf>
    <xf numFmtId="165" fontId="3" fillId="4" borderId="2" xfId="2" applyNumberFormat="1" applyFont="1" applyFill="1" applyBorder="1" applyAlignment="1">
      <alignment horizontal="center" vertical="center" wrapText="1"/>
    </xf>
    <xf numFmtId="165" fontId="3" fillId="0" borderId="0" xfId="2" applyNumberFormat="1" applyFont="1" applyAlignment="1">
      <alignment horizontal="left" vertical="center"/>
    </xf>
    <xf numFmtId="0" fontId="5" fillId="0" borderId="0" xfId="2" applyFont="1" applyBorder="1" applyAlignment="1">
      <alignment horizontal="left" vertical="center"/>
    </xf>
    <xf numFmtId="0" fontId="5" fillId="0" borderId="0" xfId="2" applyFont="1" applyBorder="1" applyAlignment="1">
      <alignment horizontal="right" vertical="center"/>
    </xf>
    <xf numFmtId="4" fontId="5" fillId="0" borderId="0" xfId="2" applyNumberFormat="1" applyFont="1" applyBorder="1" applyAlignment="1">
      <alignment horizontal="right" vertical="center"/>
    </xf>
    <xf numFmtId="164" fontId="5" fillId="0" borderId="0" xfId="4" applyFont="1" applyBorder="1" applyAlignment="1">
      <alignment horizontal="right" vertical="center"/>
    </xf>
    <xf numFmtId="164" fontId="3" fillId="0" borderId="0" xfId="4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4" fontId="3" fillId="0" borderId="22" xfId="0" applyNumberFormat="1" applyFont="1" applyBorder="1" applyAlignment="1">
      <alignment horizontal="center" vertical="top" wrapText="1"/>
    </xf>
    <xf numFmtId="4" fontId="3" fillId="0" borderId="0" xfId="12" applyNumberFormat="1" applyFont="1" applyAlignment="1"/>
    <xf numFmtId="0" fontId="5" fillId="2" borderId="25" xfId="0" applyFont="1" applyFill="1" applyBorder="1" applyAlignment="1">
      <alignment horizontal="center" vertical="center" wrapText="1"/>
    </xf>
    <xf numFmtId="4" fontId="5" fillId="2" borderId="25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4" fontId="5" fillId="2" borderId="2" xfId="0" applyNumberFormat="1" applyFont="1" applyFill="1" applyBorder="1" applyAlignment="1">
      <alignment horizontal="center" vertical="center" wrapText="1"/>
    </xf>
    <xf numFmtId="4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26" fillId="0" borderId="0" xfId="0" applyFont="1" applyAlignment="1">
      <alignment horizontal="left" vertical="top" wrapText="1"/>
    </xf>
    <xf numFmtId="0" fontId="27" fillId="0" borderId="28" xfId="0" applyFont="1" applyBorder="1" applyAlignment="1">
      <alignment horizontal="left" vertical="top" wrapText="1"/>
    </xf>
    <xf numFmtId="0" fontId="27" fillId="0" borderId="29" xfId="0" applyFont="1" applyBorder="1" applyAlignment="1">
      <alignment horizontal="left" vertical="top" wrapText="1"/>
    </xf>
    <xf numFmtId="0" fontId="26" fillId="0" borderId="29" xfId="0" applyFont="1" applyBorder="1" applyAlignment="1">
      <alignment horizontal="left" vertical="top" wrapText="1"/>
    </xf>
    <xf numFmtId="0" fontId="27" fillId="0" borderId="27" xfId="0" applyFont="1" applyBorder="1" applyAlignment="1">
      <alignment horizontal="left" vertical="top" wrapText="1"/>
    </xf>
    <xf numFmtId="0" fontId="26" fillId="0" borderId="27" xfId="0" applyFont="1" applyBorder="1" applyAlignment="1">
      <alignment horizontal="center" vertical="center" wrapText="1"/>
    </xf>
    <xf numFmtId="4" fontId="26" fillId="0" borderId="0" xfId="0" applyNumberFormat="1" applyFont="1" applyAlignment="1">
      <alignment horizontal="left" vertical="top" wrapText="1"/>
    </xf>
    <xf numFmtId="4" fontId="3" fillId="0" borderId="27" xfId="0" applyNumberFormat="1" applyFont="1" applyFill="1" applyBorder="1" applyAlignment="1">
      <alignment horizontal="center" vertical="center" wrapText="1"/>
    </xf>
    <xf numFmtId="0" fontId="3" fillId="0" borderId="0" xfId="19" applyNumberFormat="1" applyFont="1" applyAlignment="1">
      <alignment wrapText="1"/>
    </xf>
    <xf numFmtId="0" fontId="3" fillId="0" borderId="0" xfId="19" applyNumberFormat="1" applyFont="1" applyAlignment="1">
      <alignment vertical="top" wrapText="1"/>
    </xf>
    <xf numFmtId="0" fontId="3" fillId="0" borderId="34" xfId="19" applyNumberFormat="1" applyFont="1" applyBorder="1" applyAlignment="1">
      <alignment horizontal="center" vertical="top" wrapText="1"/>
    </xf>
    <xf numFmtId="0" fontId="3" fillId="0" borderId="34" xfId="19" applyNumberFormat="1" applyFont="1" applyBorder="1" applyAlignment="1">
      <alignment horizontal="center" wrapText="1"/>
    </xf>
    <xf numFmtId="0" fontId="3" fillId="0" borderId="34" xfId="19" applyNumberFormat="1" applyFont="1" applyBorder="1" applyAlignment="1">
      <alignment horizontal="center"/>
    </xf>
    <xf numFmtId="0" fontId="3" fillId="0" borderId="35" xfId="19" applyNumberFormat="1" applyFont="1" applyBorder="1" applyAlignment="1">
      <alignment horizontal="center" vertical="top" wrapText="1"/>
    </xf>
    <xf numFmtId="0" fontId="3" fillId="0" borderId="35" xfId="19" applyNumberFormat="1" applyFont="1" applyBorder="1" applyAlignment="1">
      <alignment horizontal="left" vertical="top" wrapText="1"/>
    </xf>
    <xf numFmtId="0" fontId="3" fillId="0" borderId="27" xfId="19" applyNumberFormat="1" applyFont="1" applyBorder="1" applyAlignment="1">
      <alignment vertical="top" wrapText="1"/>
    </xf>
    <xf numFmtId="0" fontId="3" fillId="2" borderId="36" xfId="19" applyNumberFormat="1" applyFont="1" applyFill="1" applyBorder="1" applyAlignment="1">
      <alignment vertical="top" wrapText="1"/>
    </xf>
    <xf numFmtId="4" fontId="5" fillId="2" borderId="36" xfId="19" applyNumberFormat="1" applyFont="1" applyFill="1" applyBorder="1" applyAlignment="1">
      <alignment horizontal="right" vertical="top"/>
    </xf>
    <xf numFmtId="0" fontId="3" fillId="0" borderId="0" xfId="0" applyFont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0" fillId="0" borderId="0" xfId="12" applyFont="1" applyAlignment="1"/>
    <xf numFmtId="0" fontId="31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  <xf numFmtId="0" fontId="3" fillId="0" borderId="0" xfId="1" applyFont="1" applyAlignment="1">
      <alignment horizontal="left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0" xfId="19" applyNumberFormat="1" applyFont="1" applyBorder="1" applyAlignment="1">
      <alignment horizontal="center" vertical="center" wrapText="1"/>
    </xf>
    <xf numFmtId="0" fontId="3" fillId="0" borderId="27" xfId="19" applyNumberFormat="1" applyFont="1" applyBorder="1" applyAlignment="1">
      <alignment wrapText="1"/>
    </xf>
    <xf numFmtId="0" fontId="3" fillId="0" borderId="35" xfId="19" applyNumberFormat="1" applyFont="1" applyBorder="1" applyAlignment="1">
      <alignment horizontal="right" vertical="top" wrapText="1"/>
    </xf>
    <xf numFmtId="0" fontId="3" fillId="0" borderId="37" xfId="0" applyFont="1" applyBorder="1" applyAlignment="1">
      <alignment horizontal="center" vertical="center" wrapText="1"/>
    </xf>
    <xf numFmtId="0" fontId="3" fillId="0" borderId="37" xfId="1" applyFont="1" applyBorder="1" applyAlignment="1">
      <alignment horizontal="center" vertical="center" wrapText="1"/>
    </xf>
    <xf numFmtId="0" fontId="8" fillId="0" borderId="0" xfId="1"/>
    <xf numFmtId="0" fontId="3" fillId="0" borderId="0" xfId="0" applyFont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0" xfId="19" applyNumberFormat="1" applyFont="1"/>
    <xf numFmtId="0" fontId="3" fillId="0" borderId="0" xfId="19" applyNumberFormat="1" applyFont="1" applyAlignment="1">
      <alignment horizontal="left" vertical="top"/>
    </xf>
    <xf numFmtId="0" fontId="3" fillId="0" borderId="0" xfId="19" applyNumberFormat="1" applyFont="1" applyAlignment="1">
      <alignment horizontal="right"/>
    </xf>
    <xf numFmtId="0" fontId="3" fillId="0" borderId="0" xfId="19" applyNumberFormat="1" applyFont="1" applyAlignment="1">
      <alignment vertical="top"/>
    </xf>
    <xf numFmtId="0" fontId="3" fillId="0" borderId="35" xfId="19" applyNumberFormat="1" applyFont="1" applyBorder="1" applyAlignment="1">
      <alignment horizontal="center" vertical="top"/>
    </xf>
    <xf numFmtId="4" fontId="3" fillId="0" borderId="35" xfId="19" applyNumberFormat="1" applyFont="1" applyBorder="1" applyAlignment="1">
      <alignment horizontal="right" vertical="top"/>
    </xf>
    <xf numFmtId="4" fontId="3" fillId="0" borderId="27" xfId="19" applyNumberFormat="1" applyFont="1" applyBorder="1" applyAlignment="1">
      <alignment vertical="top" wrapText="1"/>
    </xf>
    <xf numFmtId="0" fontId="3" fillId="2" borderId="36" xfId="19" applyNumberFormat="1" applyFont="1" applyFill="1" applyBorder="1" applyAlignment="1">
      <alignment vertical="top"/>
    </xf>
    <xf numFmtId="0" fontId="3" fillId="0" borderId="38" xfId="0" applyNumberFormat="1" applyFont="1" applyBorder="1" applyAlignment="1">
      <alignment horizontal="center" vertical="top" wrapText="1"/>
    </xf>
    <xf numFmtId="0" fontId="3" fillId="0" borderId="38" xfId="0" applyNumberFormat="1" applyFont="1" applyBorder="1" applyAlignment="1">
      <alignment horizontal="left" vertical="top" wrapText="1"/>
    </xf>
    <xf numFmtId="0" fontId="3" fillId="0" borderId="38" xfId="0" applyNumberFormat="1" applyFont="1" applyBorder="1" applyAlignment="1">
      <alignment horizontal="center" vertical="top"/>
    </xf>
    <xf numFmtId="4" fontId="7" fillId="0" borderId="0" xfId="9" applyNumberFormat="1" applyFont="1" applyAlignment="1">
      <alignment horizontal="right"/>
    </xf>
    <xf numFmtId="4" fontId="7" fillId="0" borderId="0" xfId="9" applyNumberFormat="1" applyFont="1"/>
    <xf numFmtId="4" fontId="7" fillId="0" borderId="0" xfId="11" applyNumberFormat="1" applyFont="1" applyAlignment="1">
      <alignment vertical="center"/>
    </xf>
    <xf numFmtId="4" fontId="7" fillId="0" borderId="0" xfId="11" applyNumberFormat="1" applyFont="1"/>
    <xf numFmtId="4" fontId="7" fillId="0" borderId="0" xfId="9" applyNumberFormat="1" applyFont="1" applyAlignment="1">
      <alignment vertical="top"/>
    </xf>
    <xf numFmtId="4" fontId="7" fillId="0" borderId="17" xfId="14" applyNumberFormat="1" applyFont="1" applyBorder="1" applyAlignment="1">
      <alignment horizontal="center" vertical="center" wrapText="1"/>
    </xf>
    <xf numFmtId="4" fontId="7" fillId="0" borderId="16" xfId="12" applyNumberFormat="1" applyFont="1" applyBorder="1" applyAlignment="1">
      <alignment horizontal="center" vertical="center" wrapText="1"/>
    </xf>
    <xf numFmtId="4" fontId="7" fillId="0" borderId="0" xfId="12" applyNumberFormat="1" applyFont="1" applyBorder="1" applyAlignment="1">
      <alignment horizontal="center" vertical="center"/>
    </xf>
    <xf numFmtId="4" fontId="5" fillId="2" borderId="22" xfId="0" applyNumberFormat="1" applyFont="1" applyFill="1" applyBorder="1" applyAlignment="1">
      <alignment horizontal="center" vertical="top" wrapText="1"/>
    </xf>
    <xf numFmtId="4" fontId="3" fillId="0" borderId="0" xfId="9" applyNumberFormat="1" applyFont="1" applyAlignment="1">
      <alignment horizontal="right"/>
    </xf>
    <xf numFmtId="4" fontId="3" fillId="0" borderId="0" xfId="9" applyNumberFormat="1" applyFont="1"/>
    <xf numFmtId="4" fontId="3" fillId="0" borderId="0" xfId="11" applyNumberFormat="1" applyFont="1" applyAlignment="1">
      <alignment vertical="center"/>
    </xf>
    <xf numFmtId="4" fontId="3" fillId="0" borderId="0" xfId="11" applyNumberFormat="1" applyFont="1"/>
    <xf numFmtId="4" fontId="3" fillId="0" borderId="0" xfId="9" applyNumberFormat="1" applyFont="1" applyAlignment="1">
      <alignment vertical="top"/>
    </xf>
    <xf numFmtId="4" fontId="3" fillId="0" borderId="17" xfId="14" applyNumberFormat="1" applyFont="1" applyBorder="1" applyAlignment="1">
      <alignment horizontal="center" vertical="center" wrapText="1"/>
    </xf>
    <xf numFmtId="4" fontId="3" fillId="0" borderId="16" xfId="12" applyNumberFormat="1" applyFont="1" applyBorder="1" applyAlignment="1">
      <alignment horizontal="center" vertical="center" wrapText="1"/>
    </xf>
    <xf numFmtId="4" fontId="3" fillId="0" borderId="0" xfId="12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top" wrapText="1"/>
    </xf>
    <xf numFmtId="4" fontId="27" fillId="0" borderId="27" xfId="0" applyNumberFormat="1" applyFont="1" applyBorder="1" applyAlignment="1">
      <alignment horizontal="right" vertical="top" wrapText="1"/>
    </xf>
    <xf numFmtId="0" fontId="26" fillId="0" borderId="27" xfId="0" applyFont="1" applyBorder="1" applyAlignment="1">
      <alignment horizontal="left" vertical="top" wrapText="1"/>
    </xf>
    <xf numFmtId="4" fontId="26" fillId="0" borderId="27" xfId="0" applyNumberFormat="1" applyFont="1" applyBorder="1" applyAlignment="1">
      <alignment horizontal="right" vertical="top" wrapText="1"/>
    </xf>
    <xf numFmtId="0" fontId="26" fillId="0" borderId="29" xfId="0" applyFont="1" applyBorder="1" applyAlignment="1">
      <alignment horizontal="left" vertical="top" wrapText="1"/>
    </xf>
    <xf numFmtId="0" fontId="27" fillId="0" borderId="28" xfId="0" applyFont="1" applyBorder="1" applyAlignment="1">
      <alignment horizontal="left" vertical="top" wrapText="1"/>
    </xf>
    <xf numFmtId="0" fontId="26" fillId="0" borderId="28" xfId="0" applyFont="1" applyBorder="1" applyAlignment="1">
      <alignment horizontal="left" vertical="top" wrapText="1"/>
    </xf>
    <xf numFmtId="4" fontId="26" fillId="0" borderId="28" xfId="0" applyNumberFormat="1" applyFont="1" applyBorder="1" applyAlignment="1">
      <alignment horizontal="right" vertical="top" wrapText="1"/>
    </xf>
    <xf numFmtId="0" fontId="27" fillId="0" borderId="29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5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3" fillId="0" borderId="2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4" fontId="3" fillId="0" borderId="3" xfId="1" applyNumberFormat="1" applyFont="1" applyBorder="1" applyAlignment="1">
      <alignment horizontal="right" vertical="top" wrapText="1"/>
    </xf>
    <xf numFmtId="0" fontId="3" fillId="0" borderId="4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2" xfId="1" applyFont="1" applyBorder="1" applyAlignment="1">
      <alignment horizontal="left" vertical="top" wrapText="1"/>
    </xf>
    <xf numFmtId="4" fontId="5" fillId="0" borderId="2" xfId="1" applyNumberFormat="1" applyFont="1" applyBorder="1" applyAlignment="1">
      <alignment horizontal="right" vertical="top" wrapText="1"/>
    </xf>
    <xf numFmtId="4" fontId="3" fillId="0" borderId="2" xfId="1" applyNumberFormat="1" applyFont="1" applyBorder="1" applyAlignment="1">
      <alignment horizontal="right" vertical="top" wrapText="1"/>
    </xf>
    <xf numFmtId="0" fontId="3" fillId="0" borderId="27" xfId="0" applyFont="1" applyBorder="1" applyAlignment="1">
      <alignment horizontal="left" vertical="top" wrapText="1"/>
    </xf>
    <xf numFmtId="4" fontId="3" fillId="0" borderId="27" xfId="0" applyNumberFormat="1" applyFont="1" applyBorder="1" applyAlignment="1">
      <alignment horizontal="right" vertical="top" wrapText="1"/>
    </xf>
    <xf numFmtId="0" fontId="5" fillId="0" borderId="28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4" fontId="3" fillId="0" borderId="28" xfId="0" applyNumberFormat="1" applyFont="1" applyBorder="1" applyAlignment="1">
      <alignment horizontal="right" vertical="top" wrapText="1"/>
    </xf>
    <xf numFmtId="0" fontId="5" fillId="0" borderId="29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4" fontId="5" fillId="0" borderId="27" xfId="0" applyNumberFormat="1" applyFont="1" applyBorder="1" applyAlignment="1">
      <alignment horizontal="right" vertical="top" wrapText="1"/>
    </xf>
    <xf numFmtId="0" fontId="3" fillId="0" borderId="37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4" fontId="3" fillId="0" borderId="26" xfId="0" applyNumberFormat="1" applyFont="1" applyBorder="1" applyAlignment="1">
      <alignment horizontal="right" vertical="top" wrapText="1"/>
    </xf>
    <xf numFmtId="4" fontId="3" fillId="0" borderId="25" xfId="0" applyNumberFormat="1" applyFont="1" applyBorder="1" applyAlignment="1">
      <alignment horizontal="right" vertical="top" wrapText="1"/>
    </xf>
    <xf numFmtId="0" fontId="5" fillId="0" borderId="25" xfId="0" applyFont="1" applyBorder="1" applyAlignment="1">
      <alignment horizontal="left" vertical="top" wrapText="1"/>
    </xf>
    <xf numFmtId="4" fontId="5" fillId="0" borderId="25" xfId="0" applyNumberFormat="1" applyFont="1" applyBorder="1" applyAlignment="1">
      <alignment horizontal="right" vertical="top" wrapText="1"/>
    </xf>
    <xf numFmtId="0" fontId="3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3" fillId="0" borderId="0" xfId="2" applyFont="1" applyFill="1" applyAlignment="1">
      <alignment horizontal="left" vertical="top" wrapText="1"/>
    </xf>
    <xf numFmtId="0" fontId="3" fillId="0" borderId="0" xfId="2" applyFont="1" applyFill="1" applyAlignment="1">
      <alignment horizontal="left" vertical="top"/>
    </xf>
    <xf numFmtId="0" fontId="25" fillId="0" borderId="0" xfId="2" applyFont="1" applyAlignment="1">
      <alignment horizontal="left" vertical="center"/>
    </xf>
    <xf numFmtId="0" fontId="5" fillId="3" borderId="5" xfId="2" applyFont="1" applyFill="1" applyBorder="1" applyAlignment="1">
      <alignment horizontal="left" vertical="center"/>
    </xf>
    <xf numFmtId="0" fontId="5" fillId="3" borderId="6" xfId="2" applyFont="1" applyFill="1" applyBorder="1" applyAlignment="1">
      <alignment horizontal="left" vertical="center"/>
    </xf>
    <xf numFmtId="0" fontId="5" fillId="3" borderId="7" xfId="2" applyFont="1" applyFill="1" applyBorder="1" applyAlignment="1">
      <alignment horizontal="left" vertical="center"/>
    </xf>
    <xf numFmtId="0" fontId="5" fillId="3" borderId="8" xfId="2" applyFont="1" applyFill="1" applyBorder="1" applyAlignment="1">
      <alignment horizontal="left" vertical="center"/>
    </xf>
    <xf numFmtId="0" fontId="3" fillId="0" borderId="5" xfId="2" applyFont="1" applyFill="1" applyBorder="1" applyAlignment="1">
      <alignment horizontal="center" vertical="center"/>
    </xf>
    <xf numFmtId="0" fontId="3" fillId="0" borderId="11" xfId="2" applyFon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left"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11" xfId="2" applyFont="1" applyFill="1" applyBorder="1" applyAlignment="1">
      <alignment horizontal="left" vertical="center" wrapText="1"/>
    </xf>
    <xf numFmtId="0" fontId="3" fillId="0" borderId="6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left" vertical="center"/>
    </xf>
    <xf numFmtId="0" fontId="5" fillId="3" borderId="2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2" xfId="2" applyFont="1" applyFill="1" applyBorder="1" applyAlignment="1">
      <alignment horizontal="left" vertical="center" wrapText="1"/>
    </xf>
    <xf numFmtId="0" fontId="25" fillId="0" borderId="14" xfId="2" applyFont="1" applyFill="1" applyBorder="1" applyAlignment="1">
      <alignment horizontal="center" vertical="center" wrapText="1"/>
    </xf>
    <xf numFmtId="0" fontId="25" fillId="0" borderId="8" xfId="2" applyFont="1" applyFill="1" applyBorder="1" applyAlignment="1">
      <alignment horizontal="center" vertical="center" wrapText="1"/>
    </xf>
    <xf numFmtId="0" fontId="25" fillId="0" borderId="13" xfId="2" applyFont="1" applyFill="1" applyBorder="1" applyAlignment="1">
      <alignment horizontal="center" vertical="center" wrapText="1"/>
    </xf>
    <xf numFmtId="0" fontId="25" fillId="0" borderId="9" xfId="2" applyFont="1" applyFill="1" applyBorder="1" applyAlignment="1">
      <alignment horizontal="center" vertical="center" wrapText="1"/>
    </xf>
    <xf numFmtId="0" fontId="25" fillId="0" borderId="15" xfId="2" applyFont="1" applyFill="1" applyBorder="1" applyAlignment="1">
      <alignment horizontal="center" vertical="center" wrapText="1"/>
    </xf>
    <xf numFmtId="0" fontId="25" fillId="0" borderId="10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11" xfId="2" applyFont="1" applyFill="1" applyBorder="1" applyAlignment="1">
      <alignment horizontal="center" vertical="center"/>
    </xf>
    <xf numFmtId="165" fontId="5" fillId="0" borderId="2" xfId="2" applyNumberFormat="1" applyFont="1" applyFill="1" applyBorder="1" applyAlignment="1">
      <alignment horizontal="center" vertical="center" wrapText="1"/>
    </xf>
    <xf numFmtId="165" fontId="3" fillId="0" borderId="2" xfId="2" applyNumberFormat="1" applyFont="1" applyFill="1" applyBorder="1" applyAlignment="1">
      <alignment horizontal="center" vertical="center" wrapText="1"/>
    </xf>
    <xf numFmtId="165" fontId="3" fillId="0" borderId="5" xfId="2" applyNumberFormat="1" applyFont="1" applyFill="1" applyBorder="1" applyAlignment="1">
      <alignment horizontal="center" vertical="center" wrapText="1"/>
    </xf>
    <xf numFmtId="165" fontId="3" fillId="0" borderId="6" xfId="2" applyNumberFormat="1" applyFont="1" applyFill="1" applyBorder="1" applyAlignment="1">
      <alignment horizontal="center" vertical="center" wrapText="1"/>
    </xf>
    <xf numFmtId="165" fontId="3" fillId="0" borderId="11" xfId="2" applyNumberFormat="1" applyFont="1" applyFill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3" fillId="0" borderId="0" xfId="2" applyFont="1" applyFill="1" applyAlignment="1">
      <alignment horizontal="left" vertical="top" wrapText="1"/>
    </xf>
    <xf numFmtId="0" fontId="13" fillId="0" borderId="0" xfId="2" applyFont="1" applyFill="1" applyAlignment="1">
      <alignment horizontal="left" vertical="top"/>
    </xf>
    <xf numFmtId="0" fontId="15" fillId="0" borderId="0" xfId="2" applyFont="1" applyAlignment="1">
      <alignment horizontal="left" vertical="center"/>
    </xf>
    <xf numFmtId="0" fontId="14" fillId="3" borderId="5" xfId="2" applyFont="1" applyFill="1" applyBorder="1" applyAlignment="1">
      <alignment horizontal="left" vertical="center"/>
    </xf>
    <xf numFmtId="0" fontId="14" fillId="3" borderId="6" xfId="2" applyFont="1" applyFill="1" applyBorder="1" applyAlignment="1">
      <alignment horizontal="left" vertical="center"/>
    </xf>
    <xf numFmtId="0" fontId="14" fillId="3" borderId="7" xfId="2" applyFont="1" applyFill="1" applyBorder="1" applyAlignment="1">
      <alignment horizontal="left" vertical="center"/>
    </xf>
    <xf numFmtId="0" fontId="14" fillId="3" borderId="8" xfId="2" applyFont="1" applyFill="1" applyBorder="1" applyAlignment="1">
      <alignment horizontal="left" vertical="center"/>
    </xf>
    <xf numFmtId="0" fontId="13" fillId="0" borderId="5" xfId="2" applyFont="1" applyFill="1" applyBorder="1" applyAlignment="1">
      <alignment horizontal="center" vertical="center"/>
    </xf>
    <xf numFmtId="0" fontId="13" fillId="0" borderId="11" xfId="2" applyFont="1" applyFill="1" applyBorder="1" applyAlignment="1">
      <alignment horizontal="center" vertical="center"/>
    </xf>
    <xf numFmtId="0" fontId="13" fillId="0" borderId="5" xfId="2" applyFont="1" applyFill="1" applyBorder="1" applyAlignment="1">
      <alignment horizontal="left" vertical="center" wrapText="1"/>
    </xf>
    <xf numFmtId="0" fontId="13" fillId="0" borderId="6" xfId="2" applyFont="1" applyFill="1" applyBorder="1" applyAlignment="1">
      <alignment horizontal="left" vertical="center" wrapText="1"/>
    </xf>
    <xf numFmtId="0" fontId="13" fillId="0" borderId="11" xfId="2" applyFont="1" applyFill="1" applyBorder="1" applyAlignment="1">
      <alignment horizontal="left" vertical="center" wrapText="1"/>
    </xf>
    <xf numFmtId="0" fontId="13" fillId="0" borderId="6" xfId="2" applyFont="1" applyFill="1" applyBorder="1" applyAlignment="1">
      <alignment horizontal="center" vertical="center"/>
    </xf>
    <xf numFmtId="0" fontId="14" fillId="3" borderId="11" xfId="2" applyFont="1" applyFill="1" applyBorder="1" applyAlignment="1">
      <alignment horizontal="left" vertical="center"/>
    </xf>
    <xf numFmtId="0" fontId="14" fillId="3" borderId="2" xfId="2" applyFont="1" applyFill="1" applyBorder="1" applyAlignment="1">
      <alignment horizontal="center" vertical="center" wrapText="1"/>
    </xf>
    <xf numFmtId="0" fontId="14" fillId="3" borderId="12" xfId="2" applyFont="1" applyFill="1" applyBorder="1" applyAlignment="1">
      <alignment horizontal="center" vertical="center" wrapText="1"/>
    </xf>
    <xf numFmtId="0" fontId="14" fillId="3" borderId="5" xfId="2" applyFont="1" applyFill="1" applyBorder="1" applyAlignment="1">
      <alignment horizontal="center" vertical="center"/>
    </xf>
    <xf numFmtId="0" fontId="14" fillId="3" borderId="6" xfId="2" applyFont="1" applyFill="1" applyBorder="1" applyAlignment="1">
      <alignment horizontal="center" vertical="center"/>
    </xf>
    <xf numFmtId="0" fontId="14" fillId="3" borderId="5" xfId="2" applyFont="1" applyFill="1" applyBorder="1" applyAlignment="1">
      <alignment horizontal="center" vertical="center" wrapText="1"/>
    </xf>
    <xf numFmtId="0" fontId="14" fillId="3" borderId="11" xfId="2" applyFont="1" applyFill="1" applyBorder="1" applyAlignment="1">
      <alignment horizontal="center" vertical="center" wrapText="1"/>
    </xf>
    <xf numFmtId="0" fontId="14" fillId="3" borderId="6" xfId="2" applyFont="1" applyFill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3" fillId="0" borderId="2" xfId="2" applyFont="1" applyFill="1" applyBorder="1" applyAlignment="1">
      <alignment horizontal="left" vertical="center" wrapText="1"/>
    </xf>
    <xf numFmtId="0" fontId="15" fillId="0" borderId="14" xfId="2" applyFont="1" applyFill="1" applyBorder="1" applyAlignment="1">
      <alignment horizontal="center" vertical="center" wrapText="1"/>
    </xf>
    <xf numFmtId="0" fontId="15" fillId="0" borderId="8" xfId="2" applyFont="1" applyFill="1" applyBorder="1" applyAlignment="1">
      <alignment horizontal="center" vertical="center" wrapText="1"/>
    </xf>
    <xf numFmtId="0" fontId="15" fillId="0" borderId="13" xfId="2" applyFont="1" applyFill="1" applyBorder="1" applyAlignment="1">
      <alignment horizontal="center" vertical="center" wrapText="1"/>
    </xf>
    <xf numFmtId="0" fontId="15" fillId="0" borderId="9" xfId="2" applyFont="1" applyFill="1" applyBorder="1" applyAlignment="1">
      <alignment horizontal="center" vertical="center" wrapText="1"/>
    </xf>
    <xf numFmtId="0" fontId="15" fillId="0" borderId="15" xfId="2" applyFont="1" applyFill="1" applyBorder="1" applyAlignment="1">
      <alignment horizontal="center" vertical="center" wrapText="1"/>
    </xf>
    <xf numFmtId="0" fontId="15" fillId="0" borderId="10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/>
    </xf>
    <xf numFmtId="0" fontId="14" fillId="3" borderId="11" xfId="2" applyFont="1" applyFill="1" applyBorder="1" applyAlignment="1">
      <alignment horizontal="center" vertical="center"/>
    </xf>
    <xf numFmtId="165" fontId="14" fillId="0" borderId="2" xfId="2" applyNumberFormat="1" applyFont="1" applyFill="1" applyBorder="1" applyAlignment="1">
      <alignment horizontal="center" vertical="center" wrapText="1"/>
    </xf>
    <xf numFmtId="165" fontId="13" fillId="0" borderId="2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Fill="1" applyBorder="1" applyAlignment="1">
      <alignment horizontal="center" vertical="center" wrapText="1"/>
    </xf>
    <xf numFmtId="165" fontId="13" fillId="0" borderId="6" xfId="2" applyNumberFormat="1" applyFont="1" applyFill="1" applyBorder="1" applyAlignment="1">
      <alignment horizontal="center" vertical="center" wrapText="1"/>
    </xf>
    <xf numFmtId="165" fontId="13" fillId="0" borderId="11" xfId="2" applyNumberFormat="1" applyFont="1" applyFill="1" applyBorder="1" applyAlignment="1">
      <alignment horizontal="center" vertical="center" wrapText="1"/>
    </xf>
    <xf numFmtId="0" fontId="23" fillId="0" borderId="0" xfId="2" applyFont="1" applyAlignment="1">
      <alignment horizontal="center" vertical="center"/>
    </xf>
    <xf numFmtId="0" fontId="3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3" fillId="0" borderId="21" xfId="0" applyFont="1" applyBorder="1" applyAlignment="1">
      <alignment horizontal="center" vertical="top"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4" fontId="3" fillId="0" borderId="18" xfId="0" applyNumberFormat="1" applyFont="1" applyBorder="1" applyAlignment="1">
      <alignment horizontal="center" vertical="top" wrapText="1"/>
    </xf>
    <xf numFmtId="4" fontId="3" fillId="0" borderId="19" xfId="0" applyNumberFormat="1" applyFont="1" applyBorder="1" applyAlignment="1">
      <alignment horizontal="center" vertical="top" wrapText="1"/>
    </xf>
    <xf numFmtId="4" fontId="3" fillId="0" borderId="21" xfId="0" applyNumberFormat="1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top" wrapText="1"/>
    </xf>
    <xf numFmtId="0" fontId="3" fillId="0" borderId="24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6" fillId="0" borderId="0" xfId="9" quotePrefix="1" applyNumberFormat="1" applyFont="1" applyAlignment="1">
      <alignment horizontal="center"/>
    </xf>
    <xf numFmtId="0" fontId="7" fillId="0" borderId="0" xfId="9" quotePrefix="1" applyNumberFormat="1" applyFont="1" applyAlignment="1">
      <alignment horizontal="center"/>
    </xf>
    <xf numFmtId="0" fontId="7" fillId="0" borderId="0" xfId="9" applyNumberFormat="1" applyFont="1" applyAlignment="1" applyProtection="1">
      <alignment horizontal="left" vertical="top" wrapText="1"/>
      <protection locked="0"/>
    </xf>
    <xf numFmtId="0" fontId="6" fillId="2" borderId="23" xfId="14" applyFont="1" applyFill="1" applyBorder="1" applyAlignment="1">
      <alignment horizontal="center" vertical="center" wrapText="1"/>
    </xf>
    <xf numFmtId="0" fontId="6" fillId="2" borderId="24" xfId="14" applyFont="1" applyFill="1" applyBorder="1" applyAlignment="1">
      <alignment horizontal="center" vertical="center" wrapText="1"/>
    </xf>
    <xf numFmtId="0" fontId="6" fillId="2" borderId="17" xfId="14" applyFont="1" applyFill="1" applyBorder="1" applyAlignment="1">
      <alignment horizontal="center" vertical="center" wrapText="1"/>
    </xf>
    <xf numFmtId="0" fontId="5" fillId="2" borderId="23" xfId="14" applyFont="1" applyFill="1" applyBorder="1" applyAlignment="1">
      <alignment horizontal="center" vertical="center" wrapText="1"/>
    </xf>
    <xf numFmtId="0" fontId="5" fillId="2" borderId="24" xfId="14" applyFont="1" applyFill="1" applyBorder="1" applyAlignment="1">
      <alignment horizontal="center" vertical="center" wrapText="1"/>
    </xf>
    <xf numFmtId="0" fontId="5" fillId="2" borderId="17" xfId="14" applyFont="1" applyFill="1" applyBorder="1" applyAlignment="1">
      <alignment horizontal="center" vertical="center" wrapText="1"/>
    </xf>
    <xf numFmtId="0" fontId="5" fillId="0" borderId="0" xfId="9" quotePrefix="1" applyNumberFormat="1" applyFont="1" applyAlignment="1">
      <alignment horizontal="center"/>
    </xf>
    <xf numFmtId="0" fontId="3" fillId="0" borderId="0" xfId="9" quotePrefix="1" applyNumberFormat="1" applyFont="1" applyAlignment="1">
      <alignment horizontal="center"/>
    </xf>
    <xf numFmtId="0" fontId="3" fillId="0" borderId="0" xfId="9" applyNumberFormat="1" applyFont="1" applyAlignment="1" applyProtection="1">
      <alignment horizontal="left" vertical="top" wrapText="1"/>
      <protection locked="0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4" fontId="3" fillId="0" borderId="18" xfId="0" applyNumberFormat="1" applyFont="1" applyBorder="1" applyAlignment="1">
      <alignment horizontal="center" vertical="center" wrapText="1"/>
    </xf>
    <xf numFmtId="4" fontId="3" fillId="0" borderId="19" xfId="0" applyNumberFormat="1" applyFont="1" applyBorder="1" applyAlignment="1">
      <alignment horizontal="center" vertical="center" wrapText="1"/>
    </xf>
    <xf numFmtId="4" fontId="3" fillId="0" borderId="21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6" fillId="0" borderId="2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top" wrapText="1"/>
    </xf>
    <xf numFmtId="0" fontId="26" fillId="0" borderId="0" xfId="0" applyFont="1" applyAlignment="1">
      <alignment horizontal="right" vertical="top" wrapTex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5" fillId="0" borderId="0" xfId="19" applyNumberFormat="1" applyFont="1" applyFill="1" applyAlignment="1">
      <alignment horizontal="center" vertical="top" wrapText="1"/>
    </xf>
    <xf numFmtId="0" fontId="5" fillId="0" borderId="0" xfId="19" applyFont="1" applyFill="1" applyAlignment="1">
      <alignment horizontal="center" wrapText="1"/>
    </xf>
    <xf numFmtId="0" fontId="5" fillId="0" borderId="0" xfId="19" applyNumberFormat="1" applyFont="1" applyBorder="1" applyAlignment="1">
      <alignment horizontal="center" vertical="center" wrapText="1"/>
    </xf>
    <xf numFmtId="0" fontId="3" fillId="0" borderId="0" xfId="19" applyNumberFormat="1" applyFont="1" applyBorder="1" applyAlignment="1">
      <alignment horizontal="center" vertical="center" wrapText="1"/>
    </xf>
    <xf numFmtId="0" fontId="3" fillId="0" borderId="0" xfId="19" applyNumberFormat="1" applyFont="1" applyBorder="1" applyAlignment="1">
      <alignment horizontal="left" vertical="top" wrapText="1"/>
    </xf>
    <xf numFmtId="0" fontId="3" fillId="0" borderId="0" xfId="19" applyNumberFormat="1" applyFont="1" applyBorder="1" applyAlignment="1">
      <alignment vertical="top"/>
    </xf>
    <xf numFmtId="0" fontId="9" fillId="0" borderId="0" xfId="19" applyNumberFormat="1" applyFont="1" applyBorder="1" applyAlignment="1">
      <alignment horizontal="left" vertical="top" wrapText="1"/>
    </xf>
    <xf numFmtId="0" fontId="3" fillId="0" borderId="27" xfId="19" applyNumberFormat="1" applyFont="1" applyBorder="1" applyAlignment="1">
      <alignment wrapText="1"/>
    </xf>
    <xf numFmtId="0" fontId="5" fillId="0" borderId="0" xfId="19" applyFont="1" applyFill="1" applyAlignment="1">
      <alignment horizontal="center"/>
    </xf>
    <xf numFmtId="0" fontId="3" fillId="0" borderId="30" xfId="19" applyNumberFormat="1" applyFont="1" applyBorder="1" applyAlignment="1">
      <alignment horizontal="center" vertical="top" wrapText="1"/>
    </xf>
    <xf numFmtId="0" fontId="3" fillId="0" borderId="33" xfId="19" applyNumberFormat="1" applyFont="1" applyBorder="1" applyAlignment="1">
      <alignment horizontal="center" vertical="top" wrapText="1"/>
    </xf>
    <xf numFmtId="0" fontId="3" fillId="0" borderId="31" xfId="19" applyNumberFormat="1" applyFont="1" applyBorder="1" applyAlignment="1">
      <alignment horizontal="center" vertical="top" wrapText="1"/>
    </xf>
    <xf numFmtId="0" fontId="3" fillId="0" borderId="32" xfId="19" applyNumberFormat="1" applyFont="1" applyBorder="1" applyAlignment="1">
      <alignment horizontal="center" vertical="top" wrapText="1"/>
    </xf>
    <xf numFmtId="0" fontId="3" fillId="0" borderId="35" xfId="19" applyNumberFormat="1" applyFont="1" applyBorder="1" applyAlignment="1">
      <alignment horizontal="right" vertical="top" wrapText="1"/>
    </xf>
    <xf numFmtId="0" fontId="3" fillId="0" borderId="38" xfId="0" applyNumberFormat="1" applyFont="1" applyBorder="1" applyAlignment="1">
      <alignment horizontal="left" vertical="top" wrapText="1"/>
    </xf>
    <xf numFmtId="4" fontId="3" fillId="0" borderId="38" xfId="0" applyNumberFormat="1" applyFont="1" applyBorder="1" applyAlignment="1">
      <alignment horizontal="right" vertical="top"/>
    </xf>
    <xf numFmtId="0" fontId="5" fillId="0" borderId="0" xfId="19" applyNumberFormat="1" applyFont="1" applyAlignment="1">
      <alignment horizontal="center" vertical="top" wrapText="1"/>
    </xf>
    <xf numFmtId="0" fontId="3" fillId="0" borderId="0" xfId="19" applyNumberFormat="1" applyFont="1" applyAlignment="1">
      <alignment horizontal="center" vertical="top" wrapText="1"/>
    </xf>
    <xf numFmtId="0" fontId="3" fillId="0" borderId="27" xfId="19" applyNumberFormat="1" applyFont="1" applyBorder="1" applyAlignment="1">
      <alignment horizontal="left" vertical="top" wrapText="1"/>
    </xf>
    <xf numFmtId="0" fontId="5" fillId="2" borderId="36" xfId="19" applyNumberFormat="1" applyFont="1" applyFill="1" applyBorder="1" applyAlignment="1">
      <alignment vertical="top" wrapText="1"/>
    </xf>
    <xf numFmtId="0" fontId="3" fillId="0" borderId="39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5" fillId="0" borderId="40" xfId="0" applyFont="1" applyBorder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4" fontId="3" fillId="0" borderId="40" xfId="0" applyNumberFormat="1" applyFont="1" applyBorder="1" applyAlignment="1">
      <alignment horizontal="righ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4" fontId="5" fillId="0" borderId="39" xfId="0" applyNumberFormat="1" applyFont="1" applyBorder="1" applyAlignment="1">
      <alignment horizontal="right" vertical="top" wrapText="1"/>
    </xf>
    <xf numFmtId="4" fontId="3" fillId="0" borderId="39" xfId="0" applyNumberFormat="1" applyFont="1" applyBorder="1" applyAlignment="1">
      <alignment horizontal="right" vertical="top" wrapText="1"/>
    </xf>
  </cellXfs>
  <cellStyles count="20">
    <cellStyle name="Обычный" xfId="0" builtinId="0"/>
    <cellStyle name="Обычный 12" xfId="11"/>
    <cellStyle name="Обычный 2" xfId="1"/>
    <cellStyle name="Обычный 2 2" xfId="18"/>
    <cellStyle name="Обычный 2 3" xfId="19"/>
    <cellStyle name="Обычный 2 4" xfId="5"/>
    <cellStyle name="Обычный 24 8 2" xfId="14"/>
    <cellStyle name="Обычный 3" xfId="2"/>
    <cellStyle name="Обычный 3 2 2" xfId="3"/>
    <cellStyle name="Обычный 4" xfId="6"/>
    <cellStyle name="Обычный 4 2" xfId="8"/>
    <cellStyle name="Обычный 5" xfId="16"/>
    <cellStyle name="Обычный 6" xfId="17"/>
    <cellStyle name="Обычный 6 3 2 3 2" xfId="12"/>
    <cellStyle name="Обычный 6 3 2 4" xfId="15"/>
    <cellStyle name="Обычный_1080  сводный расчет" xfId="10"/>
    <cellStyle name="Обычный_6200_PRT 2 2" xfId="9"/>
    <cellStyle name="Обычный_6200_PRT 2 3" xfId="13"/>
    <cellStyle name="Финансовый 2" xfId="4"/>
    <cellStyle name="Финансовый 3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CC"/>
      <color rgb="FFFFFFCC"/>
      <color rgb="FFFFFFFF"/>
      <color rgb="FFFFFF89"/>
      <color rgb="FFFFCCCC"/>
      <color rgb="FFCDFFCD"/>
      <color rgb="FFCCFFCC"/>
      <color rgb="FFFFE9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uprsp\Documents%20and%20Settings\Stepanova\&#1052;&#1086;&#1080;%20&#1076;&#1086;&#1082;&#1091;&#1084;&#1077;&#1085;&#1090;&#1099;\&#1041;&#1102;&#1076;&#1078;&#1077;&#1090;\&#1041;&#1044;&#1056;-&#1087;&#1083;&#1072;&#1085;%20&#1103;&#1085;&#1074;&#1072;&#1088;&#1100;%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udoc01\peo\&#1052;&#1045;&#1058;&#1054;&#1044;&#1048;&#1050;&#1040;%20&#1055;&#1054;%20&#1055;&#1051;&#1040;&#1053;&#1048;&#1056;&#1054;&#1042;&#1040;&#1053;&#1048;&#1070;%20&#1054;&#1040;&#1054;%20&#1043;&#1040;&#1047;&#1055;&#1056;&#1054;&#1052;\&#1060;&#1072;&#1082;&#1090;%202006\&#1060;&#1040;&#1050;&#1058;_2006\&#1092;&#1080;&#1083;&#1080;&#1072;&#1083;&#1099;_2006_&#1079;&#1072;&#1090;&#1088;&#1072;&#1090;&#1099;_&#1086;&#1078;&#1080;&#1076;&#1072;&#1077;&#1084;&#1086;&#10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ДР"/>
      <sheetName val="БДР св"/>
      <sheetName val="XLR_NoRangeSheet"/>
      <sheetName val="Лист1"/>
      <sheetName val="Код ПИР (ИУС)"/>
      <sheetName val="Справочник"/>
      <sheetName val="Подсказка"/>
      <sheetName val="Классификаторы"/>
      <sheetName val="Объекты"/>
      <sheetName val="Сокращения"/>
      <sheetName val="Контрагенты"/>
      <sheetName val="Предприятия"/>
      <sheetName val="шаблон"/>
      <sheetName val="должности 1CERP"/>
      <sheetName val="БДР_св"/>
      <sheetName val="Main"/>
      <sheetName val="Проводки'02"/>
      <sheetName val="УрРасч"/>
      <sheetName val="АКРасч"/>
      <sheetName val="НЕДЕЛИ"/>
      <sheetName val="Актив1999"/>
      <sheetName val="Исх.дан."/>
      <sheetName val="БДР_св1"/>
      <sheetName val="Исх_дан_"/>
      <sheetName val="Справочники"/>
      <sheetName val="1 Grand Total Project"/>
      <sheetName val="Списки"/>
      <sheetName val="Производства"/>
      <sheetName val="Списки Производств и Продуктов"/>
      <sheetName val="БДР-план январь 06"/>
      <sheetName val="ФИО"/>
      <sheetName val="Матрица оценки рисков"/>
      <sheetName val="ANALIZ"/>
      <sheetName val=""/>
      <sheetName val="Лист3"/>
      <sheetName val="Список"/>
      <sheetName val="145"/>
      <sheetName val="Location (Naming)"/>
      <sheetName val="BuyerSeller (Naming)"/>
      <sheetName val="Process (Naming)"/>
      <sheetName val="Process Cap"/>
      <sheetName val="Product (Naming)"/>
      <sheetName val="ProductBundleDefinition"/>
      <sheetName val="Location Cap"/>
      <sheetName val="Location Handling"/>
      <sheetName val="ProductBundle (Naming)"/>
      <sheetName val="Transportation Capacity"/>
      <sheetName val="sheet1"/>
      <sheetName val="P1 - General"/>
      <sheetName val="Links"/>
      <sheetName val="Lead"/>
      <sheetName val="Levels"/>
      <sheetName val="Cash Flow"/>
      <sheetName val="pasiva-skutečnost"/>
      <sheetName val="TPD Graphs"/>
      <sheetName val="денежный поток"/>
      <sheetName val="Page1"/>
      <sheetName val="equip detail"/>
      <sheetName val="Условия выборки"/>
      <sheetName val="БДР_св2"/>
      <sheetName val="Исх_дан_1"/>
      <sheetName val="1_Grand_Total_Project"/>
      <sheetName val="Списки_Производств_и_Продуктов"/>
      <sheetName val="БДР-план_январь_06"/>
      <sheetName val="Матрица_оценки_рисков"/>
      <sheetName val="Код_ПИР_(ИУС)"/>
      <sheetName val="Location_(Naming)"/>
      <sheetName val="BuyerSeller_(Naming)"/>
      <sheetName val="Process_(Naming)"/>
      <sheetName val="Process_Cap"/>
      <sheetName val="Product_(Naming)"/>
      <sheetName val="Location_Cap"/>
      <sheetName val="Location_Handling"/>
      <sheetName val="ProductBundle_(Naming)"/>
      <sheetName val="Transportation_Capacity"/>
      <sheetName val="P1_-_General"/>
      <sheetName val="Cash_Flow"/>
      <sheetName val="TPD_Graphs"/>
      <sheetName val="денежный_поток"/>
      <sheetName val="equip_detail"/>
      <sheetName val="SUMMARY CHART"/>
      <sheetName val="Summary"/>
      <sheetName val="plng_lvl"/>
      <sheetName val="MRF"/>
      <sheetName val="drum"/>
      <sheetName val="rsoilbal"/>
      <sheetName val="информация"/>
      <sheetName val="СметаСводная"/>
      <sheetName val="топо"/>
      <sheetName val="СметаСводная павильон"/>
      <sheetName val="топография"/>
      <sheetName val="согласования"/>
      <sheetName val="Cover"/>
      <sheetName val="курс"/>
      <sheetName val="main_parameters"/>
      <sheetName val="eqpmad2"/>
      <sheetName val="БДР_св3"/>
      <sheetName val="Исх_дан_2"/>
      <sheetName val="1_Grand_Total_Project1"/>
      <sheetName val="Списки_Производств_и_Продуктов1"/>
      <sheetName val="БДР-план_январь_061"/>
      <sheetName val="Матрица_оценки_рисков1"/>
      <sheetName val="Код_ПИР_(ИУС)1"/>
      <sheetName val="Location_(Naming)1"/>
      <sheetName val="BuyerSeller_(Naming)1"/>
      <sheetName val="Process_(Naming)1"/>
      <sheetName val="Process_Cap1"/>
      <sheetName val="Product_(Naming)1"/>
      <sheetName val="Location_Cap1"/>
      <sheetName val="Location_Handling1"/>
      <sheetName val="ProductBundle_(Naming)1"/>
      <sheetName val="Transportation_Capacity1"/>
      <sheetName val="P1_-_General1"/>
      <sheetName val="Cash_Flow1"/>
      <sheetName val="TPD_Graphs1"/>
      <sheetName val="денежный_поток1"/>
      <sheetName val="equip_detail1"/>
      <sheetName val="SUMMARY_CHART"/>
      <sheetName val="output"/>
      <sheetName val="parameters"/>
      <sheetName val="options_valuation"/>
      <sheetName val="economics_source"/>
      <sheetName val="option_capex"/>
      <sheetName val="finansal tamamlanma eğrisi"/>
      <sheetName val="proforma"/>
      <sheetName val="escon"/>
      <sheetName val="TABLO-3"/>
      <sheetName val="Заявка"/>
      <sheetName val="A"/>
      <sheetName val="2010"/>
      <sheetName val="TIE-INS"/>
      <sheetName val="Авансы по СНГ"/>
      <sheetName val="Основные"/>
      <sheetName val="H2O (air, acid gas)"/>
      <sheetName val="на 1 тут"/>
    </sheetNames>
    <sheetDataSet>
      <sheetData sheetId="0">
        <row r="6">
          <cell r="C6" t="str">
            <v>Январь 2006г.</v>
          </cell>
        </row>
      </sheetData>
      <sheetData sheetId="1">
        <row r="6">
          <cell r="C6" t="str">
            <v>Январь 2006г.</v>
          </cell>
        </row>
      </sheetData>
      <sheetData sheetId="2" refreshError="1">
        <row r="6">
          <cell r="C6" t="str">
            <v>Январь 2006г.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>
        <row r="6">
          <cell r="C6" t="str">
            <v>Январь 2006г.</v>
          </cell>
        </row>
      </sheetData>
      <sheetData sheetId="60">
        <row r="6">
          <cell r="C6" t="str">
            <v>Январь 2006г.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6">
          <cell r="C6" t="str">
            <v>Январь 2006г.</v>
          </cell>
        </row>
      </sheetData>
      <sheetData sheetId="75">
        <row r="6">
          <cell r="C6" t="str">
            <v>Январь 2006г.</v>
          </cell>
        </row>
      </sheetData>
      <sheetData sheetId="76"/>
      <sheetData sheetId="77"/>
      <sheetData sheetId="78"/>
      <sheetData sheetId="79">
        <row r="6">
          <cell r="C6" t="str">
            <v>Январь 2006г.</v>
          </cell>
        </row>
      </sheetData>
      <sheetData sheetId="80">
        <row r="6">
          <cell r="C6" t="str">
            <v>Январь 2006г.</v>
          </cell>
        </row>
      </sheetData>
      <sheetData sheetId="81">
        <row r="6">
          <cell r="C6" t="str">
            <v>Январь 2006г.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6">
          <cell r="C6" t="str">
            <v>Январь 2006г.</v>
          </cell>
        </row>
      </sheetData>
      <sheetData sheetId="97">
        <row r="6">
          <cell r="C6" t="str">
            <v>Январь 2006г.</v>
          </cell>
        </row>
      </sheetData>
      <sheetData sheetId="98">
        <row r="6">
          <cell r="C6" t="str">
            <v>Январь 2006г.</v>
          </cell>
        </row>
      </sheetData>
      <sheetData sheetId="99">
        <row r="6">
          <cell r="C6" t="str">
            <v>Январь 2006г.</v>
          </cell>
        </row>
      </sheetData>
      <sheetData sheetId="100">
        <row r="6">
          <cell r="C6" t="str">
            <v>Январь 2006г.</v>
          </cell>
        </row>
      </sheetData>
      <sheetData sheetId="101">
        <row r="6">
          <cell r="C6" t="str">
            <v>Январь 2006г.</v>
          </cell>
        </row>
      </sheetData>
      <sheetData sheetId="102">
        <row r="6">
          <cell r="C6" t="str">
            <v>Январь 2006г.</v>
          </cell>
        </row>
      </sheetData>
      <sheetData sheetId="103">
        <row r="6">
          <cell r="C6" t="str">
            <v>Январь 2006г.</v>
          </cell>
        </row>
      </sheetData>
      <sheetData sheetId="104">
        <row r="6">
          <cell r="C6" t="str">
            <v>Январь 2006г.</v>
          </cell>
        </row>
      </sheetData>
      <sheetData sheetId="105">
        <row r="6">
          <cell r="C6" t="str">
            <v>Январь 2006г.</v>
          </cell>
        </row>
      </sheetData>
      <sheetData sheetId="106">
        <row r="6">
          <cell r="C6" t="str">
            <v>Январь 2006г.</v>
          </cell>
        </row>
      </sheetData>
      <sheetData sheetId="107">
        <row r="6">
          <cell r="C6" t="str">
            <v>Январь 2006г.</v>
          </cell>
        </row>
      </sheetData>
      <sheetData sheetId="108">
        <row r="6">
          <cell r="C6" t="str">
            <v>Январь 2006г.</v>
          </cell>
        </row>
      </sheetData>
      <sheetData sheetId="109">
        <row r="6">
          <cell r="C6" t="str">
            <v>Январь 2006г.</v>
          </cell>
        </row>
      </sheetData>
      <sheetData sheetId="110">
        <row r="6">
          <cell r="C6" t="str">
            <v>Январь 2006г.</v>
          </cell>
        </row>
      </sheetData>
      <sheetData sheetId="111">
        <row r="6">
          <cell r="C6" t="str">
            <v>Январь 2006г.</v>
          </cell>
        </row>
      </sheetData>
      <sheetData sheetId="112">
        <row r="6">
          <cell r="C6" t="str">
            <v>Январь 2006г.</v>
          </cell>
        </row>
      </sheetData>
      <sheetData sheetId="113">
        <row r="6">
          <cell r="C6" t="str">
            <v>Январь 2006г.</v>
          </cell>
        </row>
      </sheetData>
      <sheetData sheetId="114">
        <row r="6">
          <cell r="C6" t="str">
            <v>Январь 2006г.</v>
          </cell>
        </row>
      </sheetData>
      <sheetData sheetId="115">
        <row r="6">
          <cell r="C6" t="str">
            <v>Январь 2006г.</v>
          </cell>
        </row>
      </sheetData>
      <sheetData sheetId="116">
        <row r="6">
          <cell r="C6" t="str">
            <v>Январь 2006г.</v>
          </cell>
        </row>
      </sheetData>
      <sheetData sheetId="117">
        <row r="6">
          <cell r="C6" t="str">
            <v>Январь 2006г.</v>
          </cell>
        </row>
      </sheetData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вз"/>
      <sheetName val="ОСЭ_ЯРЭУ"/>
      <sheetName val="энергия"/>
      <sheetName val="ЯСК"/>
      <sheetName val="УОМ"/>
      <sheetName val="ЯРЭУ"/>
      <sheetName val="ДРЭУ"/>
      <sheetName val="УТС"/>
      <sheetName val="УА"/>
      <sheetName val="СБ"/>
      <sheetName val="РЭУ"/>
      <sheetName val="РМУ"/>
      <sheetName val="МСЧ"/>
      <sheetName val="ГПУ"/>
      <sheetName val="НГДУ"/>
      <sheetName val="УНИПР"/>
      <sheetName val="УГРиЛМ"/>
      <sheetName val="УИиРС"/>
      <sheetName val="УСО(23,92)"/>
      <sheetName val="процент УР"/>
      <sheetName val="смета"/>
      <sheetName val="Лист"/>
      <sheetName val="УТТиСТ"/>
      <sheetName val="АУП"/>
      <sheetName val="ОХР"/>
      <sheetName val="УИТ"/>
      <sheetName val="УНИПР_ОХР"/>
      <sheetName val="УНИПР_ЯМ"/>
      <sheetName val="УНИПР_ЗМ"/>
      <sheetName val="УГРиЛМ_ОХР"/>
      <sheetName val="УГРиЛМ_ЯГС"/>
      <sheetName val="УГРиЛМ_ЗГС"/>
      <sheetName val="УГРиЛМ_СГКИ"/>
      <sheetName val="УГРиЛМ_УРБ"/>
      <sheetName val="СВП"/>
      <sheetName val="СВП-авиа"/>
      <sheetName val="типография"/>
      <sheetName val="МГС_Ям"/>
      <sheetName val="МГС_ЗМ"/>
      <sheetName val="ЦПДС"/>
      <sheetName val="АУП_РП25"/>
      <sheetName val="затраты"/>
      <sheetName val="численность"/>
      <sheetName val="октябрь"/>
      <sheetName val="ингибиторы"/>
      <sheetName val="СВП_авиа"/>
      <sheetName val="XLR_NoRangeSheet"/>
      <sheetName val="TECHSHEET"/>
      <sheetName val="оглавление"/>
      <sheetName val="35998"/>
      <sheetName val="44"/>
      <sheetName val="92"/>
      <sheetName val="94"/>
      <sheetName val="97"/>
      <sheetName val="Stat"/>
      <sheetName val="форма 19"/>
      <sheetName val="25"/>
      <sheetName val="26"/>
      <sheetName val="29"/>
      <sheetName val="МП"/>
      <sheetName val="СРТ"/>
      <sheetName val="УСО"/>
      <sheetName val="1"/>
      <sheetName val="УКиСР"/>
      <sheetName val="Медслужба"/>
      <sheetName val="Настройки"/>
      <sheetName val="Тарифы"/>
      <sheetName val="Справочник финансовых позиций"/>
      <sheetName val="Спецификация"/>
      <sheetName val="Element"/>
      <sheetName val="Данные"/>
      <sheetName val="Критерии"/>
      <sheetName val="Волгоград Ойл"/>
      <sheetName val="График_инвестиций"/>
      <sheetName val="16.ОСП аналит"/>
      <sheetName val="2.-1 кв"/>
      <sheetName val="ГДН_1кв"/>
      <sheetName val="НГД"/>
      <sheetName val="ОБ"/>
      <sheetName val="ВСХ"/>
      <sheetName val="Огл. Графиков"/>
      <sheetName val="Текущие цены"/>
      <sheetName val="рабочий"/>
      <sheetName val="окраска"/>
      <sheetName val="все"/>
      <sheetName val="филиалы_2006_затраты_ожидаемое"/>
      <sheetName val="Jamb"/>
      <sheetName val="Qнак нач"/>
      <sheetName val="Справочники"/>
      <sheetName val="TEHSHEET"/>
      <sheetName val="FES"/>
      <sheetName val="Справочник"/>
      <sheetName val="2"/>
      <sheetName val="3"/>
      <sheetName val="4"/>
      <sheetName val="5"/>
      <sheetName val="6"/>
      <sheetName val="Свод по участ. техн. транстпорт"/>
      <sheetName val="Appendix 1"/>
      <sheetName val="Группы ДО"/>
      <sheetName val="Реестр"/>
      <sheetName val="ActiveList"/>
      <sheetName val="Заявка_2_квартал"/>
      <sheetName val=" отчет за 8 мес"/>
      <sheetName val="МВЗ (92 сч.)_1 кв."/>
      <sheetName val="МВЗ (92 сч.)_2 кв."/>
      <sheetName val="МВЗ (92 сч.)_3 кв."/>
      <sheetName val="МВЗ (92 сч.)_4 кв."/>
      <sheetName val="5-014-В"/>
      <sheetName val="Общие"/>
      <sheetName val="Смета-МНГП"/>
      <sheetName val="Лист1"/>
      <sheetName val="Код ПИР (ИУС)"/>
      <sheetName val="Справочник статей"/>
      <sheetName val="Справочник Источника"/>
      <sheetName val="Справочник филиалов"/>
      <sheetName val="ч.1"/>
      <sheetName val="процент_УР"/>
      <sheetName val="процент_УР1"/>
      <sheetName val="1 кв"/>
      <sheetName val="Форма для штат. расст."/>
      <sheetName val="процент_УР2"/>
      <sheetName val="форма_19"/>
      <sheetName val="Справочник_финансовых_позиций"/>
      <sheetName val="Волгоград_Ойл"/>
      <sheetName val="16_ОСП_аналит"/>
      <sheetName val="2_-1_кв"/>
      <sheetName val="Qнак_нач"/>
      <sheetName val="Огл__Графиков"/>
      <sheetName val="Текущие_цены"/>
      <sheetName val="Свод_по_участ__техн__транстпорт"/>
      <sheetName val="Appendix_1"/>
      <sheetName val="Группы_ДО"/>
      <sheetName val="_отчет_за_8_мес"/>
      <sheetName val="МВЗ_(92_сч_)_1_кв_"/>
      <sheetName val="МВЗ_(92_сч_)_2_кв_"/>
      <sheetName val="МВЗ_(92_сч_)_3_кв_"/>
      <sheetName val="МВЗ_(92_сч_)_4_кв_"/>
      <sheetName val="Код_ПИР_(ИУС)"/>
      <sheetName val="Справочник_статей"/>
      <sheetName val="Справочник_Источника"/>
      <sheetName val="Справочник_филиалов"/>
      <sheetName val="ч_1"/>
      <sheetName val="Форма_для_штат__расст_"/>
      <sheetName val="1_кв"/>
      <sheetName val="процент_УР3"/>
      <sheetName val="форма_191"/>
      <sheetName val="Справочник_финансовых_позиций1"/>
      <sheetName val="Волгоград_Ойл1"/>
      <sheetName val="16_ОСП_аналит1"/>
      <sheetName val="2_-1_кв1"/>
      <sheetName val="Qнак_нач1"/>
      <sheetName val="Огл__Графиков1"/>
      <sheetName val="Текущие_цены1"/>
      <sheetName val="Свод_по_участ__техн__транстпор1"/>
      <sheetName val="Appendix_11"/>
      <sheetName val="Группы_ДО1"/>
      <sheetName val="_отчет_за_8_мес1"/>
      <sheetName val="МВЗ_(92_сч_)_1_кв_1"/>
      <sheetName val="МВЗ_(92_сч_)_2_кв_1"/>
      <sheetName val="МВЗ_(92_сч_)_3_кв_1"/>
      <sheetName val="МВЗ_(92_сч_)_4_кв_1"/>
      <sheetName val="Код_ПИР_(ИУС)1"/>
      <sheetName val="Справочник_статей1"/>
      <sheetName val="Справочник_Источника1"/>
      <sheetName val="Справочник_филиалов1"/>
      <sheetName val="ч_11"/>
      <sheetName val="прилож.12 к п.2.14"/>
      <sheetName val="Прилож.2 к п.1.2"/>
      <sheetName val="уд ТИ"/>
      <sheetName val="оборуд_1"/>
      <sheetName val="15"/>
      <sheetName val="16"/>
      <sheetName val="17.1"/>
      <sheetName val="21.3"/>
      <sheetName val="18.2"/>
      <sheetName val="2.3"/>
      <sheetName val="20"/>
      <sheetName val="27"/>
      <sheetName val="P2.1"/>
      <sheetName val="Заголовок"/>
      <sheetName val="Лист3"/>
      <sheetName val="Виды работ"/>
      <sheetName val="Выполнение"/>
      <sheetName val="fc"/>
      <sheetName val="Ожидаемые"/>
      <sheetName val="КПГ"/>
      <sheetName val="Направления деятельности"/>
      <sheetName val="Свод"/>
      <sheetName val="Причины не начатых в срок работ"/>
      <sheetName val="Списки"/>
      <sheetName val="Расчет стоимости проекта"/>
      <sheetName val=""/>
      <sheetName val="процент_УР4"/>
      <sheetName val="форма_192"/>
      <sheetName val="Справочник_финансовых_позиций2"/>
      <sheetName val="Волгоград_Ойл2"/>
      <sheetName val="16_ОСП_аналит2"/>
      <sheetName val="2_-1_кв2"/>
      <sheetName val="Огл__Графиков2"/>
      <sheetName val="Текущие_цены2"/>
      <sheetName val="Qнак_нач2"/>
      <sheetName val="Свод_по_участ__техн__транстпор2"/>
      <sheetName val="Appendix_12"/>
      <sheetName val="Группы_ДО2"/>
      <sheetName val="_отчет_за_8_мес2"/>
      <sheetName val="МВЗ_(92_сч_)_1_кв_2"/>
      <sheetName val="МВЗ_(92_сч_)_2_кв_2"/>
      <sheetName val="МВЗ_(92_сч_)_3_кв_2"/>
      <sheetName val="МВЗ_(92_сч_)_4_кв_2"/>
      <sheetName val="Код_ПИР_(ИУС)2"/>
      <sheetName val="Справочник_статей2"/>
      <sheetName val="Справочник_Источника2"/>
      <sheetName val="Справочник_филиалов2"/>
      <sheetName val="ч_12"/>
      <sheetName val="1_кв1"/>
      <sheetName val="Форма_для_штат__расст_1"/>
      <sheetName val="уд_ТИ"/>
      <sheetName val="прилож_12_к_п_2_14"/>
      <sheetName val="Прилож_2_к_п_1_2"/>
      <sheetName val="17_1"/>
      <sheetName val="21_3"/>
      <sheetName val="18_2"/>
      <sheetName val="2_3"/>
      <sheetName val="P2_1"/>
      <sheetName val="перекрестка"/>
      <sheetName val="6Б. Сводн эк-ка-факт"/>
      <sheetName val="DATE"/>
      <sheetName val="пермская"/>
      <sheetName val="1.9"/>
      <sheetName val="Таблицы"/>
      <sheetName val="Филиалы"/>
      <sheetName val="ф2"/>
      <sheetName val="ф1"/>
      <sheetName val="январь"/>
      <sheetName val="СВОД_срез "/>
      <sheetName val="Переменные"/>
      <sheetName val="Support"/>
      <sheetName val="Справочник ЭЦН"/>
      <sheetName val="Справочник по пластам"/>
      <sheetName val="ипц2002-2004"/>
      <sheetName val="1999"/>
      <sheetName val="Курсы"/>
      <sheetName val="Rev"/>
      <sheetName val="Пообъектный план (квартал)"/>
      <sheetName val="процент_УР5"/>
      <sheetName val="форма_193"/>
      <sheetName val="Справочник_финансовых_позиций3"/>
      <sheetName val="Волгоград_Ойл3"/>
      <sheetName val="16_ОСП_аналит3"/>
      <sheetName val="2_-1_кв3"/>
      <sheetName val="Огл__Графиков3"/>
      <sheetName val="Текущие_цены3"/>
      <sheetName val="Qнак_нач3"/>
      <sheetName val="Свод_по_участ__техн__транстпор3"/>
      <sheetName val="Appendix_13"/>
      <sheetName val="Группы_ДО3"/>
      <sheetName val="_отчет_за_8_мес3"/>
      <sheetName val="МВЗ_(92_сч_)_1_кв_3"/>
      <sheetName val="МВЗ_(92_сч_)_2_кв_3"/>
      <sheetName val="МВЗ_(92_сч_)_3_кв_3"/>
      <sheetName val="МВЗ_(92_сч_)_4_кв_3"/>
      <sheetName val="Код_ПИР_(ИУС)3"/>
      <sheetName val="Справочник_статей3"/>
      <sheetName val="Справочник_Источника3"/>
      <sheetName val="Справочник_филиалов3"/>
      <sheetName val="ч_13"/>
      <sheetName val="1_кв2"/>
      <sheetName val="Форма_для_штат__расст_2"/>
      <sheetName val="прилож_12_к_п_2_141"/>
      <sheetName val="Прилож_2_к_п_1_21"/>
      <sheetName val="уд_ТИ1"/>
      <sheetName val="17_11"/>
      <sheetName val="21_31"/>
      <sheetName val="18_21"/>
      <sheetName val="2_31"/>
      <sheetName val="P2_11"/>
      <sheetName val="Расчет_стоимости_проекта"/>
      <sheetName val="Виды_работ"/>
      <sheetName val="Направления_деятельности"/>
      <sheetName val="Причины_не_начатых_в_срок_работ"/>
      <sheetName val="6Б__Сводн_эк-ка-факт"/>
      <sheetName val="СВОД_срез_"/>
      <sheetName val="Справочник_ЭЦН"/>
      <sheetName val="Справочник_по_пластам"/>
      <sheetName val="Пообъектный_план_(квартал)"/>
      <sheetName val="Дебет_Кредит"/>
      <sheetName val="Объекты контроля"/>
      <sheetName val="Вводные (не редактировать)"/>
      <sheetName val="03_Направление и описание КР"/>
      <sheetName val="01-02 (БДиР Общества)"/>
      <sheetName val="процент_УР6"/>
      <sheetName val="форма_194"/>
      <sheetName val="Справочник_финансовых_позиций4"/>
      <sheetName val="Волгоград_Ойл4"/>
      <sheetName val="16_ОСП_аналит4"/>
      <sheetName val="2_-1_кв4"/>
      <sheetName val="Огл__Графиков4"/>
      <sheetName val="Текущие_цены4"/>
      <sheetName val="Qнак_нач4"/>
      <sheetName val="Свод_по_участ__техн__транстпор4"/>
      <sheetName val="Appendix_14"/>
      <sheetName val="Группы_ДО4"/>
      <sheetName val="_отчет_за_8_мес4"/>
      <sheetName val="МВЗ_(92_сч_)_1_кв_4"/>
      <sheetName val="МВЗ_(92_сч_)_2_кв_4"/>
      <sheetName val="МВЗ_(92_сч_)_3_кв_4"/>
      <sheetName val="МВЗ_(92_сч_)_4_кв_4"/>
      <sheetName val="Код_ПИР_(ИУС)4"/>
      <sheetName val="Справочник_статей4"/>
      <sheetName val="Справочник_Источника4"/>
      <sheetName val="Справочник_филиалов4"/>
      <sheetName val="ч_14"/>
      <sheetName val="1_кв3"/>
      <sheetName val="Форма_для_штат__расст_3"/>
      <sheetName val="прилож_12_к_п_2_142"/>
      <sheetName val="Прилож_2_к_п_1_22"/>
      <sheetName val="уд_ТИ2"/>
      <sheetName val="17_12"/>
      <sheetName val="21_32"/>
      <sheetName val="18_22"/>
      <sheetName val="2_32"/>
      <sheetName val="P2_12"/>
      <sheetName val="Виды_работ1"/>
      <sheetName val="Направления_деятельности1"/>
      <sheetName val="Причины_не_начатых_в_срок_рабо1"/>
      <sheetName val="Расчет_стоимости_проекта1"/>
      <sheetName val="6Б__Сводн_эк-ка-факт1"/>
      <sheetName val="СВОД_срез_1"/>
      <sheetName val="Справочник_ЭЦН1"/>
      <sheetName val="Справочник_по_пластам1"/>
      <sheetName val="Пообъектный_план_(квартал)1"/>
      <sheetName val="Таблицы МТР ТП"/>
      <sheetName val="обновление"/>
      <sheetName val="цена"/>
      <sheetName val="product"/>
      <sheetName val="спр"/>
      <sheetName val="AMOR"/>
      <sheetName val="Списки2"/>
      <sheetName val="Инструкция"/>
      <sheetName val="№11"/>
      <sheetName val="№1"/>
      <sheetName val="№2"/>
      <sheetName val="vec"/>
      <sheetName val="Структуры ДО 2014 год"/>
      <sheetName val="rsoilbal"/>
      <sheetName val="принятые в 2010 г."/>
      <sheetName val="форма 7 (скважины)"/>
      <sheetName val="П"/>
      <sheetName val="5-021-в"/>
      <sheetName val="TECH3"/>
      <sheetName val="урология-в расчет(голубкин)"/>
      <sheetName val="урология-в расчет(321)"/>
      <sheetName val="Лист2"/>
      <sheetName val="11-01 (БР Тр.газа-филиалы)"/>
      <sheetName val="7.2"/>
      <sheetName val="7.1"/>
      <sheetName val="Основной план 154627"/>
      <sheetName val="раздел1"/>
      <sheetName val="раздел2"/>
      <sheetName val="раздел3"/>
      <sheetName val="топография"/>
      <sheetName val="СметаСводная Рыб"/>
      <sheetName val="ЛЧ"/>
      <sheetName val="Общ"/>
      <sheetName val="24"/>
      <sheetName val="Инфа"/>
      <sheetName val="05-02 (БДиР услуги Тр.конд)"/>
      <sheetName val="03-01 (БДиР Тр. газа)"/>
      <sheetName val="Свод2006"/>
      <sheetName val="03-06 (БДиР Добыча нефти)"/>
      <sheetName val="Work"/>
      <sheetName val="Спецоснастка"/>
      <sheetName val="справ_статьи_ услуги"/>
      <sheetName val="справ команд"/>
      <sheetName val="справ аморт"/>
      <sheetName val="Справ ТС"/>
      <sheetName val="BACT"/>
      <sheetName val="Data"/>
      <sheetName val="информация"/>
      <sheetName val="Дополнительные параметры"/>
      <sheetName val="сс"/>
      <sheetName val="форма 11 (сроки гто)"/>
      <sheetName val="Аппарат"/>
      <sheetName val="P.Acid"/>
      <sheetName val="Override"/>
      <sheetName val="IFA"/>
      <sheetName val="FST5"/>
      <sheetName val="Capacity"/>
      <sheetName val="Population"/>
      <sheetName val="BioFuel"/>
      <sheetName val="12. операц расх"/>
      <sheetName val="11.ВНР"/>
      <sheetName val="услуги филиалов"/>
      <sheetName val="valuation characteristics"/>
      <sheetName val="на 1 тут"/>
      <sheetName val="Выбор ДОО (только для ЦНИС)"/>
      <sheetName val="Fact4"/>
      <sheetName val="Fact5"/>
      <sheetName val="Fact1"/>
      <sheetName val="Fact2"/>
      <sheetName val="Plan2_14_6"/>
      <sheetName val="PlanOtherForm"/>
      <sheetName val="PlanCOSSM"/>
      <sheetName val="Fact3"/>
      <sheetName val="ФедД"/>
      <sheetName val="б_план"/>
      <sheetName val="08"/>
      <sheetName val="23"/>
      <sheetName val="услуги"/>
      <sheetName val="процент_УР7"/>
      <sheetName val="форма_195"/>
      <sheetName val="Справочник_финансовых_позиций5"/>
      <sheetName val="Волгоград_Ойл5"/>
      <sheetName val="16_ОСП_аналит5"/>
      <sheetName val="2_-1_кв5"/>
      <sheetName val="Qнак_нач5"/>
      <sheetName val="Огл__Графиков5"/>
      <sheetName val="Текущие_цены5"/>
      <sheetName val="Свод_по_участ__техн__транстпор5"/>
      <sheetName val="Appendix_15"/>
      <sheetName val="Группы_ДО5"/>
      <sheetName val="_отчет_за_8_мес5"/>
      <sheetName val="МВЗ_(92_сч_)_1_кв_5"/>
      <sheetName val="МВЗ_(92_сч_)_2_кв_5"/>
      <sheetName val="МВЗ_(92_сч_)_3_кв_5"/>
      <sheetName val="МВЗ_(92_сч_)_4_кв_5"/>
      <sheetName val="Код_ПИР_(ИУС)5"/>
      <sheetName val="Справочник_статей5"/>
      <sheetName val="Справочник_Источника5"/>
      <sheetName val="Справочник_филиалов5"/>
      <sheetName val="ч_15"/>
      <sheetName val="1_кв4"/>
      <sheetName val="Форма_для_штат__расст_4"/>
      <sheetName val="уд_ТИ3"/>
      <sheetName val="прилож_12_к_п_2_143"/>
      <sheetName val="Прилож_2_к_п_1_23"/>
      <sheetName val="17_13"/>
      <sheetName val="21_33"/>
      <sheetName val="18_23"/>
      <sheetName val="2_33"/>
      <sheetName val="P2_13"/>
      <sheetName val="6Б__Сводн_эк-ка-факт2"/>
      <sheetName val="Виды_работ2"/>
      <sheetName val="Направления_деятельности2"/>
      <sheetName val="Причины_не_начатых_в_срок_рабо2"/>
      <sheetName val="Расчет_стоимости_проекта2"/>
      <sheetName val="СВОД_срез_2"/>
      <sheetName val="Справочник_ЭЦН2"/>
      <sheetName val="Справочник_по_пластам2"/>
      <sheetName val="Пообъектный_план_(квартал)2"/>
      <sheetName val="Вводные_(не_редактировать)"/>
      <sheetName val="03_Направление_и_описание_КР"/>
      <sheetName val="Объекты_контроля"/>
      <sheetName val="01-02_(БДиР_Общества)"/>
      <sheetName val="1_9"/>
      <sheetName val="Таблицы_МТР_ТП"/>
      <sheetName val="принятые_в_2010_г_"/>
      <sheetName val="форма_7_(скважины)"/>
      <sheetName val="справ_статьи__услуги"/>
      <sheetName val="справ_команд"/>
      <sheetName val="справ_аморт"/>
      <sheetName val="Справ_ТС"/>
      <sheetName val="урология-в_расчет(голубкин)"/>
      <sheetName val="урология-в_расчет(321)"/>
      <sheetName val="11-01_(БР_Тр_газа-филиалы)"/>
      <sheetName val="7_2"/>
      <sheetName val="7_1"/>
      <sheetName val="Основной_план_154627"/>
      <sheetName val="synthgraph"/>
      <sheetName val="sum"/>
      <sheetName val="ид"/>
      <sheetName val="Средние"/>
      <sheetName val="крузенштерн (неоком)"/>
      <sheetName val="Выбо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/>
      <sheetData sheetId="473" refreshError="1"/>
      <sheetData sheetId="47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CC"/>
    <pageSetUpPr fitToPage="1"/>
  </sheetPr>
  <dimension ref="A1:AV44"/>
  <sheetViews>
    <sheetView tabSelected="1" showRuler="0" view="pageBreakPreview" topLeftCell="A16" zoomScale="85" zoomScaleNormal="90" zoomScaleSheetLayoutView="85" workbookViewId="0">
      <selection activeCell="G25" sqref="G25"/>
    </sheetView>
  </sheetViews>
  <sheetFormatPr defaultRowHeight="15" x14ac:dyDescent="0.25"/>
  <cols>
    <col min="1" max="1" width="6.42578125" style="161" customWidth="1"/>
    <col min="2" max="4" width="14.42578125" style="1" customWidth="1"/>
    <col min="5" max="5" width="22" style="1" customWidth="1"/>
    <col min="6" max="8" width="16" style="1" customWidth="1"/>
    <col min="9" max="48" width="8" style="1" customWidth="1"/>
  </cols>
  <sheetData>
    <row r="1" spans="1:8" x14ac:dyDescent="0.25">
      <c r="A1" s="295"/>
      <c r="B1" s="295"/>
      <c r="C1" s="295"/>
      <c r="D1" s="296" t="s">
        <v>26</v>
      </c>
      <c r="E1" s="297"/>
      <c r="F1" s="297"/>
      <c r="G1" s="297"/>
      <c r="H1" s="297"/>
    </row>
    <row r="2" spans="1:8" ht="15" customHeight="1" x14ac:dyDescent="0.25"/>
    <row r="3" spans="1:8" ht="15" customHeight="1" x14ac:dyDescent="0.25">
      <c r="A3" s="298" t="s">
        <v>21</v>
      </c>
      <c r="B3" s="298"/>
      <c r="C3" s="298"/>
      <c r="D3" s="298"/>
      <c r="E3" s="298"/>
      <c r="F3" s="298"/>
      <c r="G3" s="298"/>
      <c r="H3" s="298"/>
    </row>
    <row r="4" spans="1:8" ht="15" customHeight="1" x14ac:dyDescent="0.25">
      <c r="A4" s="299" t="s">
        <v>0</v>
      </c>
      <c r="B4" s="299"/>
      <c r="C4" s="299"/>
      <c r="D4" s="299"/>
      <c r="E4" s="299"/>
      <c r="F4" s="299"/>
      <c r="G4" s="299"/>
      <c r="H4" s="299"/>
    </row>
    <row r="5" spans="1:8" ht="15" customHeight="1" x14ac:dyDescent="0.25"/>
    <row r="6" spans="1:8" x14ac:dyDescent="0.25">
      <c r="A6" s="300" t="s">
        <v>1</v>
      </c>
      <c r="B6" s="300"/>
      <c r="C6" s="300"/>
      <c r="D6" s="301" t="s">
        <v>22</v>
      </c>
      <c r="E6" s="301"/>
      <c r="F6" s="301"/>
      <c r="G6" s="301"/>
      <c r="H6" s="301"/>
    </row>
    <row r="7" spans="1:8" ht="15" customHeight="1" x14ac:dyDescent="0.25">
      <c r="D7" s="292"/>
      <c r="E7" s="292"/>
      <c r="F7" s="292"/>
      <c r="G7" s="292"/>
      <c r="H7" s="292"/>
    </row>
    <row r="8" spans="1:8" ht="15" customHeight="1" x14ac:dyDescent="0.25"/>
    <row r="9" spans="1:8" ht="27.2" customHeight="1" x14ac:dyDescent="0.25">
      <c r="A9" s="300" t="s">
        <v>2</v>
      </c>
      <c r="B9" s="300"/>
      <c r="C9" s="300"/>
      <c r="D9" s="302" t="s">
        <v>15</v>
      </c>
      <c r="E9" s="302"/>
      <c r="F9" s="302"/>
      <c r="G9" s="302"/>
      <c r="H9" s="302"/>
    </row>
    <row r="10" spans="1:8" ht="15" customHeight="1" x14ac:dyDescent="0.25">
      <c r="D10" s="225"/>
      <c r="E10" s="225"/>
      <c r="F10" s="225"/>
      <c r="G10" s="225"/>
      <c r="H10" s="225"/>
    </row>
    <row r="11" spans="1:8" ht="15" customHeight="1" x14ac:dyDescent="0.25">
      <c r="D11" s="225"/>
      <c r="E11" s="225"/>
      <c r="F11" s="225"/>
      <c r="G11" s="225"/>
      <c r="H11" s="225"/>
    </row>
    <row r="12" spans="1:8" ht="15" customHeight="1" x14ac:dyDescent="0.25">
      <c r="D12" s="225"/>
      <c r="E12" s="225"/>
      <c r="F12" s="225"/>
      <c r="G12" s="225"/>
      <c r="H12" s="225"/>
    </row>
    <row r="13" spans="1:8" ht="15" customHeight="1" x14ac:dyDescent="0.25">
      <c r="D13" s="300" t="s">
        <v>3</v>
      </c>
      <c r="E13" s="300"/>
      <c r="F13" s="300"/>
      <c r="G13" s="300"/>
      <c r="H13" s="300"/>
    </row>
    <row r="14" spans="1:8" ht="27.75" customHeight="1" x14ac:dyDescent="0.25">
      <c r="A14" s="300" t="s">
        <v>4</v>
      </c>
      <c r="B14" s="300"/>
      <c r="C14" s="300"/>
      <c r="D14" s="302" t="s">
        <v>23</v>
      </c>
      <c r="E14" s="302"/>
      <c r="F14" s="302"/>
      <c r="G14" s="302"/>
      <c r="H14" s="302"/>
    </row>
    <row r="15" spans="1:8" ht="15" customHeight="1" x14ac:dyDescent="0.25">
      <c r="D15" s="225"/>
      <c r="E15" s="225"/>
      <c r="F15" s="225"/>
      <c r="G15" s="225"/>
      <c r="H15" s="225"/>
    </row>
    <row r="16" spans="1:8" ht="27.75" customHeight="1" x14ac:dyDescent="0.25">
      <c r="A16" s="300" t="s">
        <v>5</v>
      </c>
      <c r="B16" s="300"/>
      <c r="C16" s="300"/>
      <c r="D16" s="302" t="s">
        <v>65</v>
      </c>
      <c r="E16" s="302"/>
      <c r="F16" s="302"/>
      <c r="G16" s="302"/>
      <c r="H16" s="302"/>
    </row>
    <row r="17" spans="1:48" ht="15" customHeight="1" x14ac:dyDescent="0.25"/>
    <row r="18" spans="1:48" ht="27.2" customHeight="1" x14ac:dyDescent="0.25">
      <c r="A18" s="303" t="s">
        <v>6</v>
      </c>
      <c r="B18" s="304" t="s">
        <v>7</v>
      </c>
      <c r="C18" s="304"/>
      <c r="D18" s="304"/>
      <c r="E18" s="304" t="s">
        <v>8</v>
      </c>
      <c r="F18" s="304" t="s">
        <v>9</v>
      </c>
      <c r="G18" s="304"/>
      <c r="H18" s="304"/>
    </row>
    <row r="19" spans="1:48" ht="27.2" customHeight="1" x14ac:dyDescent="0.25">
      <c r="A19" s="303"/>
      <c r="B19" s="304"/>
      <c r="C19" s="304"/>
      <c r="D19" s="304"/>
      <c r="E19" s="304"/>
      <c r="F19" s="162" t="s">
        <v>10</v>
      </c>
      <c r="G19" s="162" t="s">
        <v>11</v>
      </c>
      <c r="H19" s="162" t="s">
        <v>12</v>
      </c>
    </row>
    <row r="20" spans="1:48" ht="27.2" customHeight="1" x14ac:dyDescent="0.25">
      <c r="A20" s="166"/>
      <c r="B20" s="293" t="s">
        <v>618</v>
      </c>
      <c r="C20" s="294"/>
      <c r="D20" s="294"/>
      <c r="E20" s="167"/>
      <c r="F20" s="167"/>
      <c r="G20" s="167"/>
      <c r="H20" s="167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</row>
    <row r="21" spans="1:48" s="4" customFormat="1" ht="18.75" customHeight="1" x14ac:dyDescent="0.25">
      <c r="A21" s="160">
        <v>1</v>
      </c>
      <c r="B21" s="294" t="s">
        <v>15</v>
      </c>
      <c r="C21" s="294"/>
      <c r="D21" s="294"/>
      <c r="E21" s="2"/>
      <c r="F21" s="5"/>
      <c r="G21" s="5"/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</row>
    <row r="22" spans="1:48" s="4" customFormat="1" ht="18.75" customHeight="1" x14ac:dyDescent="0.25">
      <c r="A22" s="165" t="s">
        <v>24</v>
      </c>
      <c r="B22" s="305" t="s">
        <v>35</v>
      </c>
      <c r="C22" s="306"/>
      <c r="D22" s="306"/>
      <c r="E22" s="2" t="str">
        <f t="shared" ref="E22:E35" si="0">CONCATENATE("Смета №",A22)</f>
        <v>Смета №1.1</v>
      </c>
      <c r="F22" s="5"/>
      <c r="G22" s="5">
        <f>'РД 1.1 ГП+'!R32</f>
        <v>1643029.29</v>
      </c>
      <c r="H22" s="5">
        <f t="shared" ref="H22:H35" si="1">G22+F22</f>
        <v>1643029.29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</row>
    <row r="23" spans="1:48" s="4" customFormat="1" ht="18.75" customHeight="1" x14ac:dyDescent="0.25">
      <c r="A23" s="165" t="s">
        <v>151</v>
      </c>
      <c r="B23" s="305" t="s">
        <v>36</v>
      </c>
      <c r="C23" s="306"/>
      <c r="D23" s="306"/>
      <c r="E23" s="2" t="str">
        <f t="shared" si="0"/>
        <v>Смета №1.2</v>
      </c>
      <c r="F23" s="5"/>
      <c r="G23" s="5">
        <f>'1.2 Автодороги'!R28</f>
        <v>1188799.96</v>
      </c>
      <c r="H23" s="5">
        <f t="shared" si="1"/>
        <v>1188799.96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</row>
    <row r="24" spans="1:48" s="4" customFormat="1" ht="18.75" customHeight="1" x14ac:dyDescent="0.25">
      <c r="A24" s="165" t="s">
        <v>153</v>
      </c>
      <c r="B24" s="305" t="s">
        <v>37</v>
      </c>
      <c r="C24" s="306"/>
      <c r="D24" s="306"/>
      <c r="E24" s="258" t="str">
        <f>CONCATENATE("Сметы №",A24,".1","-№",A24,".2")</f>
        <v>Сметы №1.3.1-№1.3.2</v>
      </c>
      <c r="F24" s="5"/>
      <c r="G24" s="5">
        <f>'1.3.1 ТХ'!R80+'1.3.2 ТХ+'!R52</f>
        <v>26164692.43</v>
      </c>
      <c r="H24" s="5">
        <f t="shared" si="1"/>
        <v>26164692.43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</row>
    <row r="25" spans="1:48" s="4" customFormat="1" ht="18.75" customHeight="1" x14ac:dyDescent="0.25">
      <c r="A25" s="165" t="s">
        <v>155</v>
      </c>
      <c r="B25" s="305" t="s">
        <v>115</v>
      </c>
      <c r="C25" s="306"/>
      <c r="D25" s="306"/>
      <c r="E25" s="98" t="str">
        <f t="shared" si="0"/>
        <v>Смета №1.4</v>
      </c>
      <c r="F25" s="5"/>
      <c r="G25" s="5">
        <f>'1.4 ОВ'!R61</f>
        <v>8441773.9900000002</v>
      </c>
      <c r="H25" s="5">
        <f t="shared" si="1"/>
        <v>8441773.9900000002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</row>
    <row r="26" spans="1:48" s="4" customFormat="1" ht="29.25" customHeight="1" x14ac:dyDescent="0.25">
      <c r="A26" s="165" t="s">
        <v>213</v>
      </c>
      <c r="B26" s="305" t="s">
        <v>117</v>
      </c>
      <c r="C26" s="306"/>
      <c r="D26" s="306"/>
      <c r="E26" s="98" t="str">
        <f t="shared" si="0"/>
        <v>Смета №1.5</v>
      </c>
      <c r="F26" s="5"/>
      <c r="G26" s="5">
        <f ca="1">'1.5 АСУТП этап3'!Y174</f>
        <v>3980436</v>
      </c>
      <c r="H26" s="5">
        <f t="shared" ca="1" si="1"/>
        <v>3980436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</row>
    <row r="27" spans="1:48" s="4" customFormat="1" ht="29.25" customHeight="1" x14ac:dyDescent="0.25">
      <c r="A27" s="165" t="s">
        <v>214</v>
      </c>
      <c r="B27" s="305" t="s">
        <v>116</v>
      </c>
      <c r="C27" s="306"/>
      <c r="D27" s="306"/>
      <c r="E27" s="98" t="str">
        <f t="shared" si="0"/>
        <v>Смета №1.6</v>
      </c>
      <c r="F27" s="5"/>
      <c r="G27" s="5">
        <f ca="1">'1.6 АСУЭ этап3'!Y174</f>
        <v>1426262</v>
      </c>
      <c r="H27" s="5">
        <f t="shared" ca="1" si="1"/>
        <v>1426262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</row>
    <row r="28" spans="1:48" s="4" customFormat="1" ht="27" customHeight="1" x14ac:dyDescent="0.25">
      <c r="A28" s="165" t="s">
        <v>619</v>
      </c>
      <c r="B28" s="305" t="s">
        <v>118</v>
      </c>
      <c r="C28" s="306"/>
      <c r="D28" s="306"/>
      <c r="E28" s="98" t="str">
        <f t="shared" si="0"/>
        <v>Смета №1.7</v>
      </c>
      <c r="F28" s="5"/>
      <c r="G28" s="5">
        <f ca="1">'1.7 АЭО этап3'!Y174</f>
        <v>760673</v>
      </c>
      <c r="H28" s="5">
        <f t="shared" ca="1" si="1"/>
        <v>760673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</row>
    <row r="29" spans="1:48" s="4" customFormat="1" ht="27.75" customHeight="1" x14ac:dyDescent="0.25">
      <c r="A29" s="165" t="s">
        <v>620</v>
      </c>
      <c r="B29" s="305" t="s">
        <v>119</v>
      </c>
      <c r="C29" s="306"/>
      <c r="D29" s="306"/>
      <c r="E29" s="98" t="str">
        <f t="shared" si="0"/>
        <v>Смета №1.8</v>
      </c>
      <c r="F29" s="5"/>
      <c r="G29" s="5">
        <f ca="1">'1.8 СПБА этап3'!Y174</f>
        <v>2977054</v>
      </c>
      <c r="H29" s="5">
        <f t="shared" ca="1" si="1"/>
        <v>2977054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</row>
    <row r="30" spans="1:48" s="4" customFormat="1" ht="17.25" customHeight="1" x14ac:dyDescent="0.25">
      <c r="A30" s="165" t="s">
        <v>621</v>
      </c>
      <c r="B30" s="305" t="s">
        <v>381</v>
      </c>
      <c r="C30" s="306"/>
      <c r="D30" s="306"/>
      <c r="E30" s="98" t="str">
        <f t="shared" si="0"/>
        <v>Смета №1.9</v>
      </c>
      <c r="F30" s="5"/>
      <c r="G30" s="5">
        <f>'1.9 СС'!E243</f>
        <v>5598494.5884963842</v>
      </c>
      <c r="H30" s="5">
        <f t="shared" si="1"/>
        <v>5598494.5884963842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</row>
    <row r="31" spans="1:48" s="102" customFormat="1" ht="17.25" customHeight="1" x14ac:dyDescent="0.25">
      <c r="A31" s="165" t="s">
        <v>622</v>
      </c>
      <c r="B31" s="309" t="s">
        <v>616</v>
      </c>
      <c r="C31" s="310"/>
      <c r="D31" s="310"/>
      <c r="E31" s="98" t="str">
        <f t="shared" si="0"/>
        <v>Смета №1.10</v>
      </c>
      <c r="F31" s="100"/>
      <c r="G31" s="100">
        <f>'1.10 ЭС+'!E381</f>
        <v>30972770.165598758</v>
      </c>
      <c r="H31" s="5">
        <f t="shared" si="1"/>
        <v>30972770.165598758</v>
      </c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</row>
    <row r="32" spans="1:48" s="102" customFormat="1" ht="17.25" customHeight="1" x14ac:dyDescent="0.25">
      <c r="A32" s="165" t="s">
        <v>623</v>
      </c>
      <c r="B32" s="309" t="s">
        <v>559</v>
      </c>
      <c r="C32" s="310"/>
      <c r="D32" s="310"/>
      <c r="E32" s="98" t="str">
        <f t="shared" si="0"/>
        <v>Смета №1.11</v>
      </c>
      <c r="F32" s="103"/>
      <c r="G32" s="103">
        <f>'1.11 ЭХЗ+'!E279</f>
        <v>22463924.482681349</v>
      </c>
      <c r="H32" s="5">
        <f t="shared" si="1"/>
        <v>22463924.482681349</v>
      </c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</row>
    <row r="33" spans="1:48" s="102" customFormat="1" ht="17.25" customHeight="1" x14ac:dyDescent="0.25">
      <c r="A33" s="165" t="s">
        <v>624</v>
      </c>
      <c r="B33" s="309" t="s">
        <v>615</v>
      </c>
      <c r="C33" s="310"/>
      <c r="D33" s="310"/>
      <c r="E33" s="98" t="str">
        <f t="shared" si="0"/>
        <v>Смета №1.12</v>
      </c>
      <c r="F33" s="100"/>
      <c r="G33" s="100">
        <f>'1.12 ВК'!E97</f>
        <v>3867569.232363936</v>
      </c>
      <c r="H33" s="5">
        <f t="shared" si="1"/>
        <v>3867569.232363936</v>
      </c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</row>
    <row r="34" spans="1:48" s="102" customFormat="1" ht="17.25" customHeight="1" x14ac:dyDescent="0.25">
      <c r="A34" s="165" t="s">
        <v>625</v>
      </c>
      <c r="B34" s="310" t="s">
        <v>635</v>
      </c>
      <c r="C34" s="310"/>
      <c r="D34" s="310"/>
      <c r="E34" s="98" t="str">
        <f t="shared" si="0"/>
        <v>Смета №1.13</v>
      </c>
      <c r="F34" s="235"/>
      <c r="G34" s="235">
        <f>'1.13 ЛЧ+'!R94</f>
        <v>1105622.4099999999</v>
      </c>
      <c r="H34" s="5">
        <f t="shared" si="1"/>
        <v>1105622.4099999999</v>
      </c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</row>
    <row r="35" spans="1:48" s="102" customFormat="1" ht="17.25" customHeight="1" x14ac:dyDescent="0.25">
      <c r="A35" s="165" t="s">
        <v>636</v>
      </c>
      <c r="B35" s="310" t="s">
        <v>676</v>
      </c>
      <c r="C35" s="310"/>
      <c r="D35" s="310"/>
      <c r="E35" s="98" t="str">
        <f t="shared" si="0"/>
        <v>Смета №1.14</v>
      </c>
      <c r="F35" s="235"/>
      <c r="G35" s="235">
        <f>'1.14 ПроектБур+'!G37</f>
        <v>526369.19999999995</v>
      </c>
      <c r="H35" s="5">
        <f t="shared" si="1"/>
        <v>526369.19999999995</v>
      </c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</row>
    <row r="36" spans="1:48" s="4" customFormat="1" ht="17.25" customHeight="1" x14ac:dyDescent="0.25">
      <c r="A36" s="165" t="s">
        <v>677</v>
      </c>
      <c r="B36" s="308" t="str">
        <f>CONCATENATE("Итого ",B21,":")</f>
        <v>Итого Рабочая документация:</v>
      </c>
      <c r="C36" s="308"/>
      <c r="D36" s="308"/>
      <c r="E36" s="220"/>
      <c r="F36" s="221">
        <f>ROUND(SUM(F32:F33),2)</f>
        <v>0</v>
      </c>
      <c r="G36" s="221">
        <f ca="1">ROUND(SUM(G22:G35),2)</f>
        <v>111117470.75</v>
      </c>
      <c r="H36" s="221">
        <f ca="1">ROUND(SUM(H22:H35),2)</f>
        <v>111117470.75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</row>
    <row r="37" spans="1:48" s="4" customFormat="1" x14ac:dyDescent="0.25">
      <c r="A37" s="160"/>
      <c r="B37" s="306"/>
      <c r="C37" s="306"/>
      <c r="D37" s="306"/>
      <c r="E37" s="99"/>
      <c r="F37" s="5"/>
      <c r="G37" s="5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</row>
    <row r="38" spans="1:48" s="4" customFormat="1" ht="18.75" customHeight="1" x14ac:dyDescent="0.25">
      <c r="A38" s="160">
        <v>2</v>
      </c>
      <c r="B38" s="308" t="s">
        <v>17</v>
      </c>
      <c r="C38" s="308"/>
      <c r="D38" s="308"/>
      <c r="E38" s="222"/>
      <c r="F38" s="223">
        <f>F36</f>
        <v>0</v>
      </c>
      <c r="G38" s="223">
        <f ca="1">G36</f>
        <v>111117470.75</v>
      </c>
      <c r="H38" s="223">
        <f ca="1">H36</f>
        <v>111117470.75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</row>
    <row r="39" spans="1:48" s="4" customFormat="1" ht="18.75" customHeight="1" x14ac:dyDescent="0.25">
      <c r="A39" s="160">
        <v>3</v>
      </c>
      <c r="B39" s="307" t="s">
        <v>617</v>
      </c>
      <c r="C39" s="307"/>
      <c r="D39" s="307"/>
      <c r="E39" s="104">
        <v>0.22</v>
      </c>
      <c r="F39" s="6">
        <f>ROUND(($F$38) * (22/100),2)</f>
        <v>0</v>
      </c>
      <c r="G39" s="6">
        <f ca="1">ROUND(G38*0.22,2)</f>
        <v>24445843.57</v>
      </c>
      <c r="H39" s="6">
        <f ca="1">G39+F39</f>
        <v>24445843.57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</row>
    <row r="40" spans="1:48" s="4" customFormat="1" ht="18.75" customHeight="1" x14ac:dyDescent="0.25">
      <c r="A40" s="160">
        <v>4</v>
      </c>
      <c r="B40" s="308" t="s">
        <v>20</v>
      </c>
      <c r="C40" s="308"/>
      <c r="D40" s="308"/>
      <c r="E40" s="222"/>
      <c r="F40" s="223">
        <f>ROUND((SUM($F$38:$F$39)) * 1,2)</f>
        <v>0</v>
      </c>
      <c r="G40" s="223">
        <f ca="1">ROUND((SUM($G$38:$G$39)) * 1,2)</f>
        <v>135563314.31999999</v>
      </c>
      <c r="H40" s="223">
        <f ca="1">G40+F40</f>
        <v>135563314.31999999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</row>
    <row r="41" spans="1:48" ht="15" customHeight="1" x14ac:dyDescent="0.25"/>
    <row r="42" spans="1:48" ht="15" customHeight="1" x14ac:dyDescent="0.25">
      <c r="F42" s="224"/>
      <c r="G42" s="224"/>
    </row>
    <row r="43" spans="1:48" s="4" customFormat="1" ht="30.75" customHeight="1" x14ac:dyDescent="0.25">
      <c r="A43" s="299" t="s">
        <v>630</v>
      </c>
      <c r="B43" s="299"/>
      <c r="C43" s="299"/>
      <c r="D43" s="299"/>
      <c r="E43" s="299"/>
      <c r="F43" s="299"/>
      <c r="G43" s="299"/>
      <c r="H43" s="299"/>
      <c r="I43" s="251" t="s">
        <v>808</v>
      </c>
      <c r="J43" s="24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</row>
    <row r="44" spans="1:48" ht="15" customHeight="1" x14ac:dyDescent="0.25">
      <c r="B44" s="252"/>
      <c r="C44" s="252"/>
      <c r="D44" s="252"/>
      <c r="E44" s="252"/>
      <c r="F44" s="252"/>
      <c r="G44" s="252"/>
      <c r="H44" s="252"/>
    </row>
  </sheetData>
  <mergeCells count="40">
    <mergeCell ref="A43:H43"/>
    <mergeCell ref="B30:D30"/>
    <mergeCell ref="B39:D39"/>
    <mergeCell ref="B40:D40"/>
    <mergeCell ref="B37:D37"/>
    <mergeCell ref="B38:D38"/>
    <mergeCell ref="B31:D31"/>
    <mergeCell ref="B33:D33"/>
    <mergeCell ref="B32:D32"/>
    <mergeCell ref="B36:D36"/>
    <mergeCell ref="B34:D34"/>
    <mergeCell ref="B35:D35"/>
    <mergeCell ref="B29:D29"/>
    <mergeCell ref="B23:D23"/>
    <mergeCell ref="B24:D24"/>
    <mergeCell ref="B25:D25"/>
    <mergeCell ref="B27:D27"/>
    <mergeCell ref="B26:D26"/>
    <mergeCell ref="B18:D19"/>
    <mergeCell ref="E18:E19"/>
    <mergeCell ref="F18:H18"/>
    <mergeCell ref="B28:D28"/>
    <mergeCell ref="B21:D21"/>
    <mergeCell ref="B22:D22"/>
    <mergeCell ref="D7:H7"/>
    <mergeCell ref="B20:D20"/>
    <mergeCell ref="A1:C1"/>
    <mergeCell ref="D1:H1"/>
    <mergeCell ref="A3:H3"/>
    <mergeCell ref="A4:H4"/>
    <mergeCell ref="A6:C6"/>
    <mergeCell ref="D6:H6"/>
    <mergeCell ref="A9:C9"/>
    <mergeCell ref="D9:H9"/>
    <mergeCell ref="D13:H13"/>
    <mergeCell ref="A14:C14"/>
    <mergeCell ref="D14:H14"/>
    <mergeCell ref="A16:C16"/>
    <mergeCell ref="D16:H16"/>
    <mergeCell ref="A18:A19"/>
  </mergeCells>
  <pageMargins left="0.23622047244094491" right="0.23622047244094491" top="0.74803149606299213" bottom="0.74803149606299213" header="0.31496062992125984" footer="0.31496062992125984"/>
  <pageSetup paperSize="9" scale="8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X33"/>
  <sheetViews>
    <sheetView showRuler="0" topLeftCell="A10" zoomScale="85" zoomScaleNormal="85" workbookViewId="0">
      <selection activeCell="S18" sqref="S18"/>
    </sheetView>
  </sheetViews>
  <sheetFormatPr defaultRowHeight="15" x14ac:dyDescent="0.25"/>
  <cols>
    <col min="1" max="1" width="6.42578125" style="156" customWidth="1"/>
    <col min="2" max="4" width="8" style="156" customWidth="1"/>
    <col min="5" max="16" width="8" style="226" customWidth="1"/>
    <col min="17" max="17" width="8" style="156" customWidth="1"/>
    <col min="18" max="18" width="12.42578125" style="156" bestFit="1" customWidth="1"/>
    <col min="19" max="50" width="8" style="156" customWidth="1"/>
    <col min="51" max="16384" width="9.140625" style="168"/>
  </cols>
  <sheetData>
    <row r="1" spans="1:50" ht="27.2" customHeight="1" x14ac:dyDescent="0.25">
      <c r="A1" s="325"/>
      <c r="B1" s="325"/>
      <c r="C1" s="325"/>
      <c r="D1" s="325"/>
      <c r="E1" s="326" t="s">
        <v>38</v>
      </c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</row>
    <row r="2" spans="1:50" ht="15" customHeight="1" x14ac:dyDescent="0.25"/>
    <row r="3" spans="1:50" ht="15" customHeight="1" x14ac:dyDescent="0.25">
      <c r="A3" s="327" t="str">
        <f>СВОД!E22</f>
        <v>Смета №1.1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</row>
    <row r="4" spans="1:50" ht="15" customHeight="1" x14ac:dyDescent="0.25">
      <c r="A4" s="328" t="s">
        <v>39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</row>
    <row r="5" spans="1:50" ht="15" customHeight="1" x14ac:dyDescent="0.25"/>
    <row r="6" spans="1:50" ht="54.4" customHeight="1" x14ac:dyDescent="0.25">
      <c r="A6" s="329" t="s">
        <v>40</v>
      </c>
      <c r="B6" s="329"/>
      <c r="C6" s="329"/>
      <c r="D6" s="329"/>
      <c r="E6" s="329"/>
      <c r="F6" s="330" t="str">
        <f>СВОД!B22</f>
        <v>Генеральный план</v>
      </c>
      <c r="G6" s="330"/>
      <c r="H6" s="330"/>
      <c r="I6" s="330"/>
      <c r="J6" s="330"/>
      <c r="K6" s="330"/>
      <c r="L6" s="330"/>
      <c r="M6" s="330"/>
      <c r="N6" s="330"/>
      <c r="O6" s="330"/>
      <c r="P6" s="330"/>
    </row>
    <row r="7" spans="1:50" ht="15" customHeight="1" x14ac:dyDescent="0.25"/>
    <row r="8" spans="1:50" ht="27.2" customHeight="1" x14ac:dyDescent="0.25">
      <c r="A8" s="329" t="s">
        <v>41</v>
      </c>
      <c r="B8" s="329"/>
      <c r="C8" s="329"/>
      <c r="D8" s="329"/>
      <c r="E8" s="329"/>
      <c r="F8" s="330" t="str">
        <f>СВОД!D14</f>
        <v>ОАО «СИБНЕФТЕТРАНСПРОЕКТ»</v>
      </c>
      <c r="G8" s="330"/>
      <c r="H8" s="330"/>
      <c r="I8" s="330"/>
      <c r="J8" s="330"/>
      <c r="K8" s="330"/>
      <c r="L8" s="330"/>
      <c r="M8" s="330"/>
      <c r="N8" s="330"/>
      <c r="O8" s="330"/>
      <c r="P8" s="330"/>
    </row>
    <row r="9" spans="1:50" ht="15" customHeight="1" x14ac:dyDescent="0.25"/>
    <row r="10" spans="1:50" ht="15" customHeight="1" x14ac:dyDescent="0.25">
      <c r="A10" s="329" t="s">
        <v>5</v>
      </c>
      <c r="B10" s="329"/>
      <c r="C10" s="329"/>
      <c r="D10" s="329"/>
      <c r="E10" s="329"/>
      <c r="F10" s="330" t="str">
        <f>СВОД!D16</f>
        <v>ООО «Газпром проектирование»</v>
      </c>
      <c r="G10" s="330"/>
      <c r="H10" s="330"/>
      <c r="I10" s="330"/>
      <c r="J10" s="330"/>
      <c r="K10" s="330"/>
      <c r="L10" s="330"/>
      <c r="M10" s="330"/>
      <c r="N10" s="330"/>
      <c r="O10" s="330"/>
      <c r="P10" s="330"/>
    </row>
    <row r="11" spans="1:50" ht="15" customHeight="1" x14ac:dyDescent="0.25"/>
    <row r="12" spans="1:50" ht="40.9" customHeight="1" x14ac:dyDescent="0.25">
      <c r="A12" s="169" t="s">
        <v>42</v>
      </c>
      <c r="B12" s="321" t="s">
        <v>43</v>
      </c>
      <c r="C12" s="321"/>
      <c r="D12" s="321"/>
      <c r="E12" s="321"/>
      <c r="F12" s="321"/>
      <c r="G12" s="322" t="s">
        <v>44</v>
      </c>
      <c r="H12" s="323"/>
      <c r="I12" s="323"/>
      <c r="J12" s="324"/>
      <c r="K12" s="322" t="s">
        <v>45</v>
      </c>
      <c r="L12" s="323"/>
      <c r="M12" s="323"/>
      <c r="N12" s="324"/>
      <c r="O12" s="322" t="s">
        <v>46</v>
      </c>
      <c r="P12" s="324"/>
    </row>
    <row r="13" spans="1:50" ht="15" customHeight="1" x14ac:dyDescent="0.25">
      <c r="A13" s="169">
        <v>1</v>
      </c>
      <c r="B13" s="321">
        <v>2</v>
      </c>
      <c r="C13" s="321"/>
      <c r="D13" s="321"/>
      <c r="E13" s="321"/>
      <c r="F13" s="321"/>
      <c r="G13" s="322">
        <v>3</v>
      </c>
      <c r="H13" s="323"/>
      <c r="I13" s="323"/>
      <c r="J13" s="324"/>
      <c r="K13" s="322">
        <v>4</v>
      </c>
      <c r="L13" s="323"/>
      <c r="M13" s="323"/>
      <c r="N13" s="324"/>
      <c r="O13" s="322">
        <v>5</v>
      </c>
      <c r="P13" s="324"/>
    </row>
    <row r="14" spans="1:50" customFormat="1" ht="27.2" customHeight="1" x14ac:dyDescent="0.25">
      <c r="A14" s="313" t="s">
        <v>47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228"/>
      <c r="AR14" s="228"/>
      <c r="AS14" s="228"/>
      <c r="AT14" s="228"/>
      <c r="AU14" s="228"/>
      <c r="AV14" s="228"/>
      <c r="AW14" s="228"/>
      <c r="AX14" s="228"/>
    </row>
    <row r="15" spans="1:50" customFormat="1" ht="108.75" customHeight="1" x14ac:dyDescent="0.25">
      <c r="A15" s="229" t="s">
        <v>13</v>
      </c>
      <c r="B15" s="316" t="s">
        <v>48</v>
      </c>
      <c r="C15" s="317"/>
      <c r="D15" s="317"/>
      <c r="E15" s="317"/>
      <c r="F15" s="317"/>
      <c r="G15" s="317" t="s">
        <v>49</v>
      </c>
      <c r="H15" s="317"/>
      <c r="I15" s="317"/>
      <c r="J15" s="317"/>
      <c r="K15" s="317" t="s">
        <v>932</v>
      </c>
      <c r="L15" s="317"/>
      <c r="M15" s="317"/>
      <c r="N15" s="317"/>
      <c r="O15" s="318">
        <f>ROUND((31100 + 122993 * 5) * 1 * 1.56 * 0.6, 2)</f>
        <v>604716.84</v>
      </c>
      <c r="P15" s="317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8"/>
      <c r="AP15" s="228"/>
      <c r="AQ15" s="228"/>
      <c r="AR15" s="228"/>
      <c r="AS15" s="228"/>
      <c r="AT15" s="228"/>
      <c r="AU15" s="228"/>
      <c r="AV15" s="228"/>
      <c r="AW15" s="228"/>
      <c r="AX15" s="228"/>
    </row>
    <row r="16" spans="1:50" customFormat="1" ht="15" customHeight="1" x14ac:dyDescent="0.25">
      <c r="A16" s="230"/>
      <c r="B16" s="319" t="s">
        <v>50</v>
      </c>
      <c r="C16" s="319"/>
      <c r="D16" s="319"/>
      <c r="E16" s="319"/>
      <c r="F16" s="319"/>
      <c r="G16" s="319" t="s">
        <v>3</v>
      </c>
      <c r="H16" s="319"/>
      <c r="I16" s="319"/>
      <c r="J16" s="319"/>
      <c r="K16" s="319" t="s">
        <v>3</v>
      </c>
      <c r="L16" s="319"/>
      <c r="M16" s="319"/>
      <c r="N16" s="319"/>
      <c r="O16" s="319"/>
      <c r="P16" s="319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/>
      <c r="AV16" s="228"/>
      <c r="AW16" s="228"/>
      <c r="AX16" s="228"/>
    </row>
    <row r="17" spans="1:50" customFormat="1" ht="15" customHeight="1" x14ac:dyDescent="0.25">
      <c r="A17" s="231"/>
      <c r="B17" s="315" t="s">
        <v>51</v>
      </c>
      <c r="C17" s="315"/>
      <c r="D17" s="315"/>
      <c r="E17" s="315"/>
      <c r="F17" s="315"/>
      <c r="G17" s="315" t="s">
        <v>52</v>
      </c>
      <c r="H17" s="315"/>
      <c r="I17" s="315"/>
      <c r="J17" s="315"/>
      <c r="K17" s="315" t="s">
        <v>3</v>
      </c>
      <c r="L17" s="315"/>
      <c r="M17" s="315"/>
      <c r="N17" s="315"/>
      <c r="O17" s="315"/>
      <c r="P17" s="315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228"/>
      <c r="AU17" s="228"/>
      <c r="AV17" s="228"/>
      <c r="AW17" s="228"/>
      <c r="AX17" s="228"/>
    </row>
    <row r="18" spans="1:50" customFormat="1" ht="40.9" customHeight="1" x14ac:dyDescent="0.25">
      <c r="A18" s="231"/>
      <c r="B18" s="320" t="s">
        <v>929</v>
      </c>
      <c r="C18" s="315"/>
      <c r="D18" s="315"/>
      <c r="E18" s="315"/>
      <c r="F18" s="315"/>
      <c r="G18" s="315" t="s">
        <v>933</v>
      </c>
      <c r="H18" s="315"/>
      <c r="I18" s="315"/>
      <c r="J18" s="315"/>
      <c r="K18" s="315" t="s">
        <v>3</v>
      </c>
      <c r="L18" s="315"/>
      <c r="M18" s="315"/>
      <c r="N18" s="315"/>
      <c r="O18" s="315"/>
      <c r="P18" s="315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/>
      <c r="AP18" s="228"/>
      <c r="AQ18" s="228"/>
      <c r="AR18" s="228"/>
      <c r="AS18" s="228"/>
      <c r="AT18" s="228"/>
      <c r="AU18" s="228"/>
      <c r="AV18" s="228"/>
      <c r="AW18" s="228"/>
      <c r="AX18" s="228"/>
    </row>
    <row r="19" spans="1:50" customFormat="1" ht="27.2" customHeight="1" x14ac:dyDescent="0.25">
      <c r="A19" s="313" t="s">
        <v>47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  <c r="N19" s="313"/>
      <c r="O19" s="313"/>
      <c r="P19" s="313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</row>
    <row r="20" spans="1:50" customFormat="1" ht="149.65" customHeight="1" x14ac:dyDescent="0.25">
      <c r="A20" s="229" t="s">
        <v>14</v>
      </c>
      <c r="B20" s="316" t="s">
        <v>53</v>
      </c>
      <c r="C20" s="317"/>
      <c r="D20" s="317"/>
      <c r="E20" s="317"/>
      <c r="F20" s="317"/>
      <c r="G20" s="317" t="s">
        <v>1002</v>
      </c>
      <c r="H20" s="317"/>
      <c r="I20" s="317"/>
      <c r="J20" s="317"/>
      <c r="K20" s="317" t="s">
        <v>934</v>
      </c>
      <c r="L20" s="317"/>
      <c r="M20" s="317"/>
      <c r="N20" s="317"/>
      <c r="O20" s="318">
        <f>ROUND((87100 + 24266 * 50) * 1 * 1.56 * 0.6, 2)</f>
        <v>1217174.3999999999</v>
      </c>
      <c r="P20" s="317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</row>
    <row r="21" spans="1:50" customFormat="1" ht="15" customHeight="1" x14ac:dyDescent="0.25">
      <c r="A21" s="230"/>
      <c r="B21" s="319" t="s">
        <v>50</v>
      </c>
      <c r="C21" s="319"/>
      <c r="D21" s="319"/>
      <c r="E21" s="319"/>
      <c r="F21" s="319"/>
      <c r="G21" s="319" t="s">
        <v>3</v>
      </c>
      <c r="H21" s="319"/>
      <c r="I21" s="319"/>
      <c r="J21" s="319"/>
      <c r="K21" s="319" t="s">
        <v>3</v>
      </c>
      <c r="L21" s="319"/>
      <c r="M21" s="319"/>
      <c r="N21" s="319"/>
      <c r="O21" s="319"/>
      <c r="P21" s="319"/>
      <c r="Q21" s="228"/>
      <c r="R21" s="228"/>
      <c r="S21" s="228"/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  <c r="AM21" s="228"/>
      <c r="AN21" s="228"/>
      <c r="AO21" s="228"/>
      <c r="AP21" s="228"/>
      <c r="AQ21" s="228"/>
      <c r="AR21" s="228"/>
      <c r="AS21" s="228"/>
      <c r="AT21" s="228"/>
      <c r="AU21" s="228"/>
      <c r="AV21" s="228"/>
      <c r="AW21" s="228"/>
      <c r="AX21" s="228"/>
    </row>
    <row r="22" spans="1:50" customFormat="1" ht="15" customHeight="1" x14ac:dyDescent="0.25">
      <c r="A22" s="231"/>
      <c r="B22" s="315" t="s">
        <v>51</v>
      </c>
      <c r="C22" s="315"/>
      <c r="D22" s="315"/>
      <c r="E22" s="315"/>
      <c r="F22" s="315"/>
      <c r="G22" s="315" t="s">
        <v>52</v>
      </c>
      <c r="H22" s="315"/>
      <c r="I22" s="315"/>
      <c r="J22" s="315"/>
      <c r="K22" s="315" t="s">
        <v>3</v>
      </c>
      <c r="L22" s="315"/>
      <c r="M22" s="315"/>
      <c r="N22" s="315"/>
      <c r="O22" s="315"/>
      <c r="P22" s="315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  <c r="AM22" s="228"/>
      <c r="AN22" s="228"/>
      <c r="AO22" s="228"/>
      <c r="AP22" s="228"/>
      <c r="AQ22" s="228"/>
      <c r="AR22" s="228"/>
      <c r="AS22" s="228"/>
      <c r="AT22" s="228"/>
      <c r="AU22" s="228"/>
      <c r="AV22" s="228"/>
      <c r="AW22" s="228"/>
      <c r="AX22" s="228"/>
    </row>
    <row r="23" spans="1:50" customFormat="1" ht="40.9" customHeight="1" x14ac:dyDescent="0.25">
      <c r="A23" s="231"/>
      <c r="B23" s="315" t="s">
        <v>929</v>
      </c>
      <c r="C23" s="315"/>
      <c r="D23" s="315"/>
      <c r="E23" s="315"/>
      <c r="F23" s="315"/>
      <c r="G23" s="315" t="s">
        <v>933</v>
      </c>
      <c r="H23" s="315"/>
      <c r="I23" s="315"/>
      <c r="J23" s="315"/>
      <c r="K23" s="315" t="s">
        <v>3</v>
      </c>
      <c r="L23" s="315"/>
      <c r="M23" s="315"/>
      <c r="N23" s="315"/>
      <c r="O23" s="315"/>
      <c r="P23" s="315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  <c r="AM23" s="228"/>
      <c r="AN23" s="228"/>
      <c r="AO23" s="228"/>
      <c r="AP23" s="228"/>
      <c r="AQ23" s="228"/>
      <c r="AR23" s="228"/>
      <c r="AS23" s="228"/>
      <c r="AT23" s="228"/>
      <c r="AU23" s="228"/>
      <c r="AV23" s="228"/>
      <c r="AW23" s="228"/>
      <c r="AX23" s="228"/>
    </row>
    <row r="24" spans="1:50" customFormat="1" ht="15" customHeight="1" x14ac:dyDescent="0.25">
      <c r="A24" s="313" t="s">
        <v>631</v>
      </c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  <c r="Q24" s="228"/>
      <c r="R24" s="228"/>
      <c r="S24" s="228"/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228"/>
      <c r="AU24" s="228"/>
      <c r="AV24" s="228"/>
      <c r="AW24" s="228"/>
      <c r="AX24" s="228"/>
    </row>
    <row r="25" spans="1:50" customFormat="1" ht="122.45" customHeight="1" x14ac:dyDescent="0.25">
      <c r="A25" s="229" t="s">
        <v>16</v>
      </c>
      <c r="B25" s="316" t="s">
        <v>48</v>
      </c>
      <c r="C25" s="317"/>
      <c r="D25" s="317"/>
      <c r="E25" s="317"/>
      <c r="F25" s="317"/>
      <c r="G25" s="317" t="s">
        <v>632</v>
      </c>
      <c r="H25" s="317"/>
      <c r="I25" s="317"/>
      <c r="J25" s="317"/>
      <c r="K25" s="317" t="s">
        <v>935</v>
      </c>
      <c r="L25" s="317"/>
      <c r="M25" s="317"/>
      <c r="N25" s="317"/>
      <c r="O25" s="318">
        <f>ROUND((31100 + 122993 * (0.4 * 0.5 + 0.6 * 0.4)) * 1 * 1.56 * 0.6, 2)</f>
        <v>79763.039999999994</v>
      </c>
      <c r="P25" s="317"/>
      <c r="Q25" s="228"/>
      <c r="R25" s="228"/>
      <c r="S25" s="228"/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  <c r="AM25" s="228"/>
      <c r="AN25" s="228"/>
      <c r="AO25" s="228"/>
      <c r="AP25" s="228"/>
      <c r="AQ25" s="228"/>
      <c r="AR25" s="228"/>
      <c r="AS25" s="228"/>
      <c r="AT25" s="228"/>
      <c r="AU25" s="228"/>
      <c r="AV25" s="228"/>
      <c r="AW25" s="228"/>
      <c r="AX25" s="228"/>
    </row>
    <row r="26" spans="1:50" customFormat="1" ht="15" customHeight="1" x14ac:dyDescent="0.25">
      <c r="A26" s="230"/>
      <c r="B26" s="319" t="s">
        <v>50</v>
      </c>
      <c r="C26" s="319"/>
      <c r="D26" s="319"/>
      <c r="E26" s="319"/>
      <c r="F26" s="319"/>
      <c r="G26" s="319" t="s">
        <v>3</v>
      </c>
      <c r="H26" s="319"/>
      <c r="I26" s="319"/>
      <c r="J26" s="319"/>
      <c r="K26" s="319" t="s">
        <v>3</v>
      </c>
      <c r="L26" s="319"/>
      <c r="M26" s="319"/>
      <c r="N26" s="319"/>
      <c r="O26" s="319"/>
      <c r="P26" s="319"/>
      <c r="Q26" s="228"/>
      <c r="R26" s="228"/>
      <c r="S26" s="228"/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  <c r="AM26" s="228"/>
      <c r="AN26" s="228"/>
      <c r="AO26" s="228"/>
      <c r="AP26" s="228"/>
      <c r="AQ26" s="228"/>
      <c r="AR26" s="228"/>
      <c r="AS26" s="228"/>
      <c r="AT26" s="228"/>
      <c r="AU26" s="228"/>
      <c r="AV26" s="228"/>
      <c r="AW26" s="228"/>
      <c r="AX26" s="228"/>
    </row>
    <row r="27" spans="1:50" customFormat="1" ht="15" customHeight="1" x14ac:dyDescent="0.25">
      <c r="A27" s="231"/>
      <c r="B27" s="315" t="s">
        <v>51</v>
      </c>
      <c r="C27" s="315"/>
      <c r="D27" s="315"/>
      <c r="E27" s="315"/>
      <c r="F27" s="315"/>
      <c r="G27" s="315" t="s">
        <v>52</v>
      </c>
      <c r="H27" s="315"/>
      <c r="I27" s="315"/>
      <c r="J27" s="315"/>
      <c r="K27" s="315" t="s">
        <v>3</v>
      </c>
      <c r="L27" s="315"/>
      <c r="M27" s="315"/>
      <c r="N27" s="315"/>
      <c r="O27" s="315"/>
      <c r="P27" s="315"/>
      <c r="Q27" s="228"/>
      <c r="R27" s="228"/>
      <c r="S27" s="228"/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  <c r="AM27" s="228"/>
      <c r="AN27" s="228"/>
      <c r="AO27" s="228"/>
      <c r="AP27" s="228"/>
      <c r="AQ27" s="228"/>
      <c r="AR27" s="228"/>
      <c r="AS27" s="228"/>
      <c r="AT27" s="228"/>
      <c r="AU27" s="228"/>
      <c r="AV27" s="228"/>
      <c r="AW27" s="228"/>
      <c r="AX27" s="228"/>
    </row>
    <row r="28" spans="1:50" customFormat="1" ht="40.9" customHeight="1" x14ac:dyDescent="0.25">
      <c r="A28" s="231"/>
      <c r="B28" s="315" t="s">
        <v>929</v>
      </c>
      <c r="C28" s="315"/>
      <c r="D28" s="315"/>
      <c r="E28" s="315"/>
      <c r="F28" s="315"/>
      <c r="G28" s="315" t="s">
        <v>933</v>
      </c>
      <c r="H28" s="315"/>
      <c r="I28" s="315"/>
      <c r="J28" s="315"/>
      <c r="K28" s="315" t="s">
        <v>3</v>
      </c>
      <c r="L28" s="315"/>
      <c r="M28" s="315"/>
      <c r="N28" s="315"/>
      <c r="O28" s="315"/>
      <c r="P28" s="315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8"/>
      <c r="AR28" s="228"/>
      <c r="AS28" s="228"/>
      <c r="AT28" s="228"/>
      <c r="AU28" s="228"/>
      <c r="AV28" s="228"/>
      <c r="AW28" s="228"/>
      <c r="AX28" s="228"/>
    </row>
    <row r="29" spans="1:50" customFormat="1" ht="15" customHeight="1" x14ac:dyDescent="0.25">
      <c r="A29" s="232" t="s">
        <v>18</v>
      </c>
      <c r="B29" s="311" t="s">
        <v>57</v>
      </c>
      <c r="C29" s="311"/>
      <c r="D29" s="311"/>
      <c r="E29" s="311"/>
      <c r="F29" s="311"/>
      <c r="G29" s="311"/>
      <c r="H29" s="311"/>
      <c r="I29" s="311"/>
      <c r="J29" s="311"/>
      <c r="K29" s="311" t="s">
        <v>3</v>
      </c>
      <c r="L29" s="311"/>
      <c r="M29" s="311"/>
      <c r="N29" s="311"/>
      <c r="O29" s="312">
        <f>ROUND(SUM($O$15:$O$25),2)</f>
        <v>1901654.28</v>
      </c>
      <c r="P29" s="311"/>
      <c r="Q29" s="228"/>
      <c r="R29" s="228"/>
      <c r="S29" s="228"/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8"/>
      <c r="AO29" s="228"/>
      <c r="AP29" s="228"/>
      <c r="AQ29" s="228"/>
      <c r="AR29" s="228"/>
      <c r="AS29" s="228"/>
      <c r="AT29" s="228"/>
      <c r="AU29" s="228"/>
      <c r="AV29" s="228"/>
      <c r="AW29" s="228"/>
      <c r="AX29" s="228"/>
    </row>
    <row r="30" spans="1:50" customFormat="1" ht="108.75" customHeight="1" x14ac:dyDescent="0.25">
      <c r="A30" s="232" t="s">
        <v>19</v>
      </c>
      <c r="B30" s="313" t="s">
        <v>59</v>
      </c>
      <c r="C30" s="313"/>
      <c r="D30" s="313"/>
      <c r="E30" s="313"/>
      <c r="F30" s="313"/>
      <c r="G30" s="313" t="s">
        <v>60</v>
      </c>
      <c r="H30" s="313"/>
      <c r="I30" s="313"/>
      <c r="J30" s="313"/>
      <c r="K30" s="313" t="s">
        <v>633</v>
      </c>
      <c r="L30" s="313"/>
      <c r="M30" s="313"/>
      <c r="N30" s="313"/>
      <c r="O30" s="314">
        <f>ROUND(($O$29) * 1  * 0.8,2)</f>
        <v>1521323.42</v>
      </c>
      <c r="P30" s="313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28"/>
      <c r="AR30" s="228"/>
      <c r="AS30" s="228"/>
      <c r="AT30" s="228"/>
      <c r="AU30" s="228"/>
      <c r="AV30" s="228"/>
      <c r="AW30" s="228"/>
      <c r="AX30" s="228"/>
    </row>
    <row r="31" spans="1:50" customFormat="1" ht="68.099999999999994" customHeight="1" x14ac:dyDescent="0.25">
      <c r="A31" s="232" t="s">
        <v>54</v>
      </c>
      <c r="B31" s="313" t="s">
        <v>59</v>
      </c>
      <c r="C31" s="313"/>
      <c r="D31" s="313"/>
      <c r="E31" s="313"/>
      <c r="F31" s="313"/>
      <c r="G31" s="313" t="s">
        <v>62</v>
      </c>
      <c r="H31" s="313"/>
      <c r="I31" s="313"/>
      <c r="J31" s="313"/>
      <c r="K31" s="313" t="s">
        <v>634</v>
      </c>
      <c r="L31" s="313"/>
      <c r="M31" s="313"/>
      <c r="N31" s="313"/>
      <c r="O31" s="314">
        <f>ROUND(($O$30) * 1  * 1.08,2)</f>
        <v>1643029.29</v>
      </c>
      <c r="P31" s="313"/>
      <c r="Q31" s="228"/>
      <c r="R31" s="228"/>
      <c r="S31" s="228"/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228"/>
      <c r="AU31" s="228"/>
      <c r="AV31" s="228"/>
      <c r="AW31" s="228"/>
      <c r="AX31" s="228"/>
    </row>
    <row r="32" spans="1:50" customFormat="1" ht="15" customHeight="1" x14ac:dyDescent="0.25">
      <c r="A32" s="232" t="s">
        <v>55</v>
      </c>
      <c r="B32" s="311" t="s">
        <v>64</v>
      </c>
      <c r="C32" s="311"/>
      <c r="D32" s="311"/>
      <c r="E32" s="311"/>
      <c r="F32" s="311"/>
      <c r="G32" s="311"/>
      <c r="H32" s="311"/>
      <c r="I32" s="311"/>
      <c r="J32" s="311"/>
      <c r="K32" s="311" t="s">
        <v>3</v>
      </c>
      <c r="L32" s="311"/>
      <c r="M32" s="311"/>
      <c r="N32" s="311"/>
      <c r="O32" s="312">
        <f>ROUND(($O$31),2)</f>
        <v>1643029.29</v>
      </c>
      <c r="P32" s="311"/>
      <c r="Q32" s="228"/>
      <c r="R32" s="234">
        <f>O32</f>
        <v>1643029.29</v>
      </c>
      <c r="S32" s="228"/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</row>
    <row r="33" spans="1:50" customFormat="1" ht="15" customHeight="1" x14ac:dyDescent="0.25">
      <c r="A33" s="228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8"/>
      <c r="M33" s="228"/>
      <c r="N33" s="228"/>
      <c r="O33" s="228"/>
      <c r="P33" s="228"/>
      <c r="Q33" s="228"/>
      <c r="R33" s="228"/>
      <c r="S33" s="228"/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  <c r="AM33" s="228"/>
      <c r="AN33" s="228"/>
      <c r="AO33" s="228"/>
      <c r="AP33" s="228"/>
      <c r="AQ33" s="228"/>
      <c r="AR33" s="228"/>
      <c r="AS33" s="228"/>
      <c r="AT33" s="228"/>
      <c r="AU33" s="228"/>
      <c r="AV33" s="228"/>
      <c r="AW33" s="228"/>
      <c r="AX33" s="228"/>
    </row>
  </sheetData>
  <mergeCells count="85">
    <mergeCell ref="A8:E8"/>
    <mergeCell ref="F8:P8"/>
    <mergeCell ref="A10:E10"/>
    <mergeCell ref="F10:P10"/>
    <mergeCell ref="B12:F12"/>
    <mergeCell ref="G12:J12"/>
    <mergeCell ref="K12:N12"/>
    <mergeCell ref="O12:P12"/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B16:F16"/>
    <mergeCell ref="G16:J16"/>
    <mergeCell ref="K16:N16"/>
    <mergeCell ref="O16:P16"/>
    <mergeCell ref="A14:P14"/>
    <mergeCell ref="B15:F15"/>
    <mergeCell ref="G15:J15"/>
    <mergeCell ref="K15:N15"/>
    <mergeCell ref="O15:P15"/>
    <mergeCell ref="B17:F17"/>
    <mergeCell ref="G17:J17"/>
    <mergeCell ref="K17:N17"/>
    <mergeCell ref="O17:P17"/>
    <mergeCell ref="B18:F18"/>
    <mergeCell ref="G18:J18"/>
    <mergeCell ref="K18:N18"/>
    <mergeCell ref="O18:P18"/>
    <mergeCell ref="A19:P19"/>
    <mergeCell ref="B20:F20"/>
    <mergeCell ref="G20:J20"/>
    <mergeCell ref="K20:N20"/>
    <mergeCell ref="O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A24:P24"/>
    <mergeCell ref="B25:F25"/>
    <mergeCell ref="G25:J25"/>
    <mergeCell ref="K25:N25"/>
    <mergeCell ref="O25:P25"/>
    <mergeCell ref="B26:F26"/>
    <mergeCell ref="G26:J26"/>
    <mergeCell ref="K26:N26"/>
    <mergeCell ref="O26:P26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B32:F32"/>
    <mergeCell ref="G32:J32"/>
    <mergeCell ref="K32:N32"/>
    <mergeCell ref="O32:P32"/>
    <mergeCell ref="B30:F30"/>
    <mergeCell ref="G30:J30"/>
    <mergeCell ref="K30:N30"/>
    <mergeCell ref="O30:P30"/>
    <mergeCell ref="B31:F31"/>
    <mergeCell ref="G31:J31"/>
    <mergeCell ref="K31:N31"/>
    <mergeCell ref="O31:P31"/>
  </mergeCells>
  <pageMargins left="0.4" right="0.4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28"/>
  <sheetViews>
    <sheetView showRuler="0" topLeftCell="A13" zoomScale="70" zoomScaleNormal="70" workbookViewId="0">
      <selection activeCell="C104" sqref="C104"/>
    </sheetView>
  </sheetViews>
  <sheetFormatPr defaultRowHeight="15" x14ac:dyDescent="0.25"/>
  <cols>
    <col min="1" max="1" width="6.42578125" style="156" customWidth="1"/>
    <col min="2" max="6" width="8" style="156" customWidth="1"/>
    <col min="7" max="10" width="8.5703125" style="156" customWidth="1"/>
    <col min="11" max="17" width="8" style="156" customWidth="1"/>
    <col min="18" max="18" width="12.42578125" style="156" bestFit="1" customWidth="1"/>
    <col min="19" max="50" width="8" style="156" customWidth="1"/>
    <col min="51" max="16384" width="9.140625" style="168"/>
  </cols>
  <sheetData>
    <row r="1" spans="1:16" ht="27.2" customHeight="1" x14ac:dyDescent="0.25">
      <c r="A1" s="325"/>
      <c r="B1" s="325"/>
      <c r="C1" s="325"/>
      <c r="D1" s="325"/>
      <c r="E1" s="326" t="s">
        <v>38</v>
      </c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</row>
    <row r="2" spans="1:16" ht="15" customHeight="1" x14ac:dyDescent="0.25"/>
    <row r="3" spans="1:16" ht="15" customHeight="1" x14ac:dyDescent="0.25">
      <c r="A3" s="327" t="str">
        <f>СВОД!E23</f>
        <v>Смета №1.2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</row>
    <row r="4" spans="1:16" ht="15" customHeight="1" x14ac:dyDescent="0.25">
      <c r="A4" s="328" t="s">
        <v>39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</row>
    <row r="5" spans="1:16" ht="15" customHeight="1" x14ac:dyDescent="0.25"/>
    <row r="6" spans="1:16" ht="54.4" customHeight="1" x14ac:dyDescent="0.25">
      <c r="A6" s="329" t="s">
        <v>40</v>
      </c>
      <c r="B6" s="329"/>
      <c r="C6" s="329"/>
      <c r="D6" s="329"/>
      <c r="E6" s="329"/>
      <c r="F6" s="330" t="str">
        <f>СВОД!B23</f>
        <v>Автомобильные дороги</v>
      </c>
      <c r="G6" s="330"/>
      <c r="H6" s="330"/>
      <c r="I6" s="330"/>
      <c r="J6" s="330"/>
      <c r="K6" s="330"/>
      <c r="L6" s="330"/>
      <c r="M6" s="330"/>
      <c r="N6" s="330"/>
      <c r="O6" s="330"/>
      <c r="P6" s="330"/>
    </row>
    <row r="7" spans="1:16" ht="15" customHeight="1" x14ac:dyDescent="0.25"/>
    <row r="8" spans="1:16" ht="27.2" customHeight="1" x14ac:dyDescent="0.25">
      <c r="A8" s="329" t="s">
        <v>41</v>
      </c>
      <c r="B8" s="329"/>
      <c r="C8" s="329"/>
      <c r="D8" s="329"/>
      <c r="E8" s="329"/>
      <c r="F8" s="330" t="str">
        <f>СВОД!D14</f>
        <v>ОАО «СИБНЕФТЕТРАНСПРОЕКТ»</v>
      </c>
      <c r="G8" s="330"/>
      <c r="H8" s="330"/>
      <c r="I8" s="330"/>
      <c r="J8" s="330"/>
      <c r="K8" s="330"/>
      <c r="L8" s="330"/>
      <c r="M8" s="330"/>
      <c r="N8" s="330"/>
      <c r="O8" s="330"/>
      <c r="P8" s="330"/>
    </row>
    <row r="9" spans="1:16" ht="15" customHeight="1" x14ac:dyDescent="0.25"/>
    <row r="10" spans="1:16" ht="15" customHeight="1" x14ac:dyDescent="0.25">
      <c r="A10" s="329" t="s">
        <v>5</v>
      </c>
      <c r="B10" s="329"/>
      <c r="C10" s="329"/>
      <c r="D10" s="329"/>
      <c r="E10" s="329"/>
      <c r="F10" s="330" t="str">
        <f>СВОД!D16</f>
        <v>ООО «Газпром проектирование»</v>
      </c>
      <c r="G10" s="330"/>
      <c r="H10" s="330"/>
      <c r="I10" s="330"/>
      <c r="J10" s="330"/>
      <c r="K10" s="330"/>
      <c r="L10" s="330"/>
      <c r="M10" s="330"/>
      <c r="N10" s="330"/>
      <c r="O10" s="330"/>
      <c r="P10" s="330"/>
    </row>
    <row r="11" spans="1:16" ht="15" customHeight="1" x14ac:dyDescent="0.25"/>
    <row r="12" spans="1:16" ht="40.9" customHeight="1" x14ac:dyDescent="0.25">
      <c r="A12" s="169" t="s">
        <v>42</v>
      </c>
      <c r="B12" s="321" t="s">
        <v>43</v>
      </c>
      <c r="C12" s="321"/>
      <c r="D12" s="321"/>
      <c r="E12" s="321"/>
      <c r="F12" s="321"/>
      <c r="G12" s="321" t="s">
        <v>44</v>
      </c>
      <c r="H12" s="321"/>
      <c r="I12" s="321"/>
      <c r="J12" s="321"/>
      <c r="K12" s="321" t="s">
        <v>45</v>
      </c>
      <c r="L12" s="321"/>
      <c r="M12" s="321"/>
      <c r="N12" s="321"/>
      <c r="O12" s="321" t="s">
        <v>46</v>
      </c>
      <c r="P12" s="321"/>
    </row>
    <row r="13" spans="1:16" ht="15" customHeight="1" x14ac:dyDescent="0.25">
      <c r="A13" s="169">
        <v>1</v>
      </c>
      <c r="B13" s="321">
        <v>2</v>
      </c>
      <c r="C13" s="321"/>
      <c r="D13" s="321"/>
      <c r="E13" s="321"/>
      <c r="F13" s="321"/>
      <c r="G13" s="321">
        <v>3</v>
      </c>
      <c r="H13" s="321"/>
      <c r="I13" s="321"/>
      <c r="J13" s="321"/>
      <c r="K13" s="321">
        <v>4</v>
      </c>
      <c r="L13" s="321"/>
      <c r="M13" s="321"/>
      <c r="N13" s="321"/>
      <c r="O13" s="321">
        <v>5</v>
      </c>
      <c r="P13" s="321"/>
    </row>
    <row r="14" spans="1:16" ht="40.9" customHeight="1" x14ac:dyDescent="0.25">
      <c r="A14" s="331" t="s">
        <v>66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</row>
    <row r="15" spans="1:16" ht="163.15" customHeight="1" x14ac:dyDescent="0.25">
      <c r="A15" s="170" t="s">
        <v>13</v>
      </c>
      <c r="B15" s="332" t="s">
        <v>67</v>
      </c>
      <c r="C15" s="333"/>
      <c r="D15" s="333"/>
      <c r="E15" s="333"/>
      <c r="F15" s="333"/>
      <c r="G15" s="333" t="s">
        <v>68</v>
      </c>
      <c r="H15" s="333"/>
      <c r="I15" s="333"/>
      <c r="J15" s="333"/>
      <c r="K15" s="333" t="s">
        <v>1009</v>
      </c>
      <c r="L15" s="333"/>
      <c r="M15" s="333"/>
      <c r="N15" s="333"/>
      <c r="O15" s="334">
        <f>ROUND((290100 + 1856633 * 0.31524) * 1 * 1.4 * 0.6, 2)</f>
        <v>735323.39</v>
      </c>
      <c r="P15" s="333"/>
    </row>
    <row r="16" spans="1:16" ht="15" customHeight="1" x14ac:dyDescent="0.25">
      <c r="A16" s="157"/>
      <c r="B16" s="336" t="s">
        <v>50</v>
      </c>
      <c r="C16" s="336"/>
      <c r="D16" s="336"/>
      <c r="E16" s="336"/>
      <c r="F16" s="336"/>
      <c r="G16" s="336" t="s">
        <v>3</v>
      </c>
      <c r="H16" s="336"/>
      <c r="I16" s="336"/>
      <c r="J16" s="336"/>
      <c r="K16" s="336" t="s">
        <v>3</v>
      </c>
      <c r="L16" s="336"/>
      <c r="M16" s="336"/>
      <c r="N16" s="336"/>
      <c r="O16" s="336"/>
      <c r="P16" s="336"/>
    </row>
    <row r="17" spans="1:18" ht="15" customHeight="1" x14ac:dyDescent="0.25">
      <c r="A17" s="158"/>
      <c r="B17" s="335" t="s">
        <v>51</v>
      </c>
      <c r="C17" s="335"/>
      <c r="D17" s="335"/>
      <c r="E17" s="335"/>
      <c r="F17" s="335"/>
      <c r="G17" s="335" t="s">
        <v>52</v>
      </c>
      <c r="H17" s="335"/>
      <c r="I17" s="335"/>
      <c r="J17" s="335"/>
      <c r="K17" s="335" t="s">
        <v>3</v>
      </c>
      <c r="L17" s="335"/>
      <c r="M17" s="335"/>
      <c r="N17" s="335"/>
      <c r="O17" s="335"/>
      <c r="P17" s="335"/>
    </row>
    <row r="18" spans="1:18" ht="40.9" customHeight="1" x14ac:dyDescent="0.25">
      <c r="A18" s="158"/>
      <c r="B18" s="335" t="s">
        <v>930</v>
      </c>
      <c r="C18" s="335"/>
      <c r="D18" s="335"/>
      <c r="E18" s="335"/>
      <c r="F18" s="335"/>
      <c r="G18" s="335" t="s">
        <v>1010</v>
      </c>
      <c r="H18" s="335"/>
      <c r="I18" s="335"/>
      <c r="J18" s="335"/>
      <c r="K18" s="335" t="s">
        <v>3</v>
      </c>
      <c r="L18" s="335"/>
      <c r="M18" s="335"/>
      <c r="N18" s="335"/>
      <c r="O18" s="335"/>
      <c r="P18" s="335"/>
    </row>
    <row r="19" spans="1:18" ht="40.9" customHeight="1" x14ac:dyDescent="0.25">
      <c r="A19" s="331" t="s">
        <v>66</v>
      </c>
      <c r="B19" s="331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</row>
    <row r="20" spans="1:18" ht="108.75" customHeight="1" x14ac:dyDescent="0.25">
      <c r="A20" s="170" t="s">
        <v>14</v>
      </c>
      <c r="B20" s="332" t="s">
        <v>69</v>
      </c>
      <c r="C20" s="333"/>
      <c r="D20" s="333"/>
      <c r="E20" s="333"/>
      <c r="F20" s="333"/>
      <c r="G20" s="333" t="s">
        <v>70</v>
      </c>
      <c r="H20" s="333"/>
      <c r="I20" s="333"/>
      <c r="J20" s="333"/>
      <c r="K20" s="333" t="s">
        <v>1011</v>
      </c>
      <c r="L20" s="333"/>
      <c r="M20" s="333"/>
      <c r="N20" s="333"/>
      <c r="O20" s="334">
        <f>ROUND(1622600 * 1 * 1.4 * 0.6 * 0.47, 2)</f>
        <v>640602.48</v>
      </c>
      <c r="P20" s="333"/>
    </row>
    <row r="21" spans="1:18" ht="15" customHeight="1" x14ac:dyDescent="0.25">
      <c r="A21" s="157"/>
      <c r="B21" s="336" t="s">
        <v>50</v>
      </c>
      <c r="C21" s="336"/>
      <c r="D21" s="336"/>
      <c r="E21" s="336"/>
      <c r="F21" s="336"/>
      <c r="G21" s="336" t="s">
        <v>3</v>
      </c>
      <c r="H21" s="336"/>
      <c r="I21" s="336"/>
      <c r="J21" s="336"/>
      <c r="K21" s="336" t="s">
        <v>3</v>
      </c>
      <c r="L21" s="336"/>
      <c r="M21" s="336"/>
      <c r="N21" s="336"/>
      <c r="O21" s="336"/>
      <c r="P21" s="336"/>
    </row>
    <row r="22" spans="1:18" ht="15" customHeight="1" x14ac:dyDescent="0.25">
      <c r="A22" s="158"/>
      <c r="B22" s="335" t="s">
        <v>51</v>
      </c>
      <c r="C22" s="335"/>
      <c r="D22" s="335"/>
      <c r="E22" s="335"/>
      <c r="F22" s="335"/>
      <c r="G22" s="335" t="s">
        <v>52</v>
      </c>
      <c r="H22" s="335"/>
      <c r="I22" s="335"/>
      <c r="J22" s="335"/>
      <c r="K22" s="335" t="s">
        <v>3</v>
      </c>
      <c r="L22" s="335"/>
      <c r="M22" s="335"/>
      <c r="N22" s="335"/>
      <c r="O22" s="335"/>
      <c r="P22" s="335"/>
    </row>
    <row r="23" spans="1:18" ht="40.9" customHeight="1" x14ac:dyDescent="0.25">
      <c r="A23" s="158"/>
      <c r="B23" s="335" t="s">
        <v>930</v>
      </c>
      <c r="C23" s="335"/>
      <c r="D23" s="335"/>
      <c r="E23" s="335"/>
      <c r="F23" s="335"/>
      <c r="G23" s="335" t="s">
        <v>1010</v>
      </c>
      <c r="H23" s="335"/>
      <c r="I23" s="335"/>
      <c r="J23" s="335"/>
      <c r="K23" s="335" t="s">
        <v>3</v>
      </c>
      <c r="L23" s="335"/>
      <c r="M23" s="335"/>
      <c r="N23" s="335"/>
      <c r="O23" s="335"/>
      <c r="P23" s="335"/>
    </row>
    <row r="24" spans="1:18" ht="68.099999999999994" customHeight="1" x14ac:dyDescent="0.25">
      <c r="A24" s="158"/>
      <c r="B24" s="335" t="s">
        <v>71</v>
      </c>
      <c r="C24" s="335"/>
      <c r="D24" s="335"/>
      <c r="E24" s="335"/>
      <c r="F24" s="335"/>
      <c r="G24" s="335" t="s">
        <v>72</v>
      </c>
      <c r="H24" s="335"/>
      <c r="I24" s="335"/>
      <c r="J24" s="335"/>
      <c r="K24" s="335" t="s">
        <v>3</v>
      </c>
      <c r="L24" s="335"/>
      <c r="M24" s="335"/>
      <c r="N24" s="335"/>
      <c r="O24" s="335"/>
      <c r="P24" s="335"/>
    </row>
    <row r="25" spans="1:18" x14ac:dyDescent="0.25">
      <c r="A25" s="171">
        <v>3</v>
      </c>
      <c r="B25" s="337" t="s">
        <v>57</v>
      </c>
      <c r="C25" s="337"/>
      <c r="D25" s="337"/>
      <c r="E25" s="337"/>
      <c r="F25" s="337"/>
      <c r="G25" s="337"/>
      <c r="H25" s="337"/>
      <c r="I25" s="337"/>
      <c r="J25" s="337"/>
      <c r="K25" s="337" t="s">
        <v>3</v>
      </c>
      <c r="L25" s="337"/>
      <c r="M25" s="337"/>
      <c r="N25" s="337"/>
      <c r="O25" s="338">
        <f>ROUND(SUM($O$15:$O$24),2)</f>
        <v>1375925.87</v>
      </c>
      <c r="P25" s="337"/>
    </row>
    <row r="26" spans="1:18" ht="108.75" customHeight="1" x14ac:dyDescent="0.25">
      <c r="A26" s="171">
        <v>4</v>
      </c>
      <c r="B26" s="331" t="s">
        <v>59</v>
      </c>
      <c r="C26" s="331"/>
      <c r="D26" s="331"/>
      <c r="E26" s="331"/>
      <c r="F26" s="331"/>
      <c r="G26" s="331" t="s">
        <v>60</v>
      </c>
      <c r="H26" s="331"/>
      <c r="I26" s="331"/>
      <c r="J26" s="331"/>
      <c r="K26" s="331" t="s">
        <v>78</v>
      </c>
      <c r="L26" s="331"/>
      <c r="M26" s="331"/>
      <c r="N26" s="331"/>
      <c r="O26" s="339">
        <f>ROUND(($O$25) * 1  * 0.8,2)</f>
        <v>1100740.7</v>
      </c>
      <c r="P26" s="331"/>
    </row>
    <row r="27" spans="1:18" ht="68.099999999999994" customHeight="1" x14ac:dyDescent="0.25">
      <c r="A27" s="171">
        <v>5</v>
      </c>
      <c r="B27" s="331" t="s">
        <v>59</v>
      </c>
      <c r="C27" s="331"/>
      <c r="D27" s="331"/>
      <c r="E27" s="331"/>
      <c r="F27" s="331"/>
      <c r="G27" s="331" t="s">
        <v>62</v>
      </c>
      <c r="H27" s="331"/>
      <c r="I27" s="331"/>
      <c r="J27" s="331"/>
      <c r="K27" s="331" t="s">
        <v>79</v>
      </c>
      <c r="L27" s="331"/>
      <c r="M27" s="331"/>
      <c r="N27" s="331"/>
      <c r="O27" s="339">
        <f>ROUND(($O$26) * 1  * 1.08,2)</f>
        <v>1188799.96</v>
      </c>
      <c r="P27" s="331"/>
    </row>
    <row r="28" spans="1:18" x14ac:dyDescent="0.25">
      <c r="A28" s="171">
        <v>6</v>
      </c>
      <c r="B28" s="337" t="s">
        <v>64</v>
      </c>
      <c r="C28" s="337"/>
      <c r="D28" s="337"/>
      <c r="E28" s="337"/>
      <c r="F28" s="337"/>
      <c r="G28" s="337"/>
      <c r="H28" s="337"/>
      <c r="I28" s="337"/>
      <c r="J28" s="337"/>
      <c r="K28" s="337" t="s">
        <v>3</v>
      </c>
      <c r="L28" s="337"/>
      <c r="M28" s="337"/>
      <c r="N28" s="337"/>
      <c r="O28" s="338">
        <f>ROUND(($O$27),2)</f>
        <v>1188799.96</v>
      </c>
      <c r="P28" s="337"/>
      <c r="R28" s="159">
        <f>O28</f>
        <v>1188799.96</v>
      </c>
    </row>
  </sheetData>
  <mergeCells count="72">
    <mergeCell ref="B25:F25"/>
    <mergeCell ref="G25:J25"/>
    <mergeCell ref="K25:N25"/>
    <mergeCell ref="O25:P25"/>
    <mergeCell ref="B28:F28"/>
    <mergeCell ref="G28:J28"/>
    <mergeCell ref="K28:N28"/>
    <mergeCell ref="O28:P28"/>
    <mergeCell ref="B26:F26"/>
    <mergeCell ref="G26:J26"/>
    <mergeCell ref="K26:N26"/>
    <mergeCell ref="O26:P26"/>
    <mergeCell ref="B27:F27"/>
    <mergeCell ref="G27:J27"/>
    <mergeCell ref="K27:N27"/>
    <mergeCell ref="O27:P27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A19:P19"/>
    <mergeCell ref="B20:F20"/>
    <mergeCell ref="G20:J20"/>
    <mergeCell ref="K20:N20"/>
    <mergeCell ref="O20:P20"/>
    <mergeCell ref="B15:F15"/>
    <mergeCell ref="G15:J15"/>
    <mergeCell ref="K15:N15"/>
    <mergeCell ref="O15:P15"/>
    <mergeCell ref="B18:F18"/>
    <mergeCell ref="G18:J18"/>
    <mergeCell ref="K18:N18"/>
    <mergeCell ref="O18:P18"/>
    <mergeCell ref="B16:F16"/>
    <mergeCell ref="G16:J16"/>
    <mergeCell ref="K16:N16"/>
    <mergeCell ref="O16:P16"/>
    <mergeCell ref="B17:F17"/>
    <mergeCell ref="G17:J17"/>
    <mergeCell ref="K17:N17"/>
    <mergeCell ref="O17:P17"/>
    <mergeCell ref="B13:F13"/>
    <mergeCell ref="G13:J13"/>
    <mergeCell ref="K13:N13"/>
    <mergeCell ref="O13:P13"/>
    <mergeCell ref="A14:P14"/>
    <mergeCell ref="A1:D1"/>
    <mergeCell ref="E1:P1"/>
    <mergeCell ref="A3:P3"/>
    <mergeCell ref="A4:P4"/>
    <mergeCell ref="A6:E6"/>
    <mergeCell ref="F6:P6"/>
    <mergeCell ref="A8:E8"/>
    <mergeCell ref="F8:P8"/>
    <mergeCell ref="A10:E10"/>
    <mergeCell ref="F10:P10"/>
    <mergeCell ref="B12:F12"/>
    <mergeCell ref="G12:J12"/>
    <mergeCell ref="K12:N12"/>
    <mergeCell ref="O12:P12"/>
  </mergeCells>
  <pageMargins left="0.4" right="0.4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80"/>
  <sheetViews>
    <sheetView showRuler="0" topLeftCell="A76" zoomScale="85" zoomScaleNormal="85" workbookViewId="0">
      <selection activeCell="F8" sqref="F8:P11"/>
    </sheetView>
  </sheetViews>
  <sheetFormatPr defaultRowHeight="15" x14ac:dyDescent="0.25"/>
  <cols>
    <col min="1" max="1" width="6.42578125" style="156" customWidth="1"/>
    <col min="2" max="6" width="8" style="156" customWidth="1"/>
    <col min="7" max="7" width="11.28515625" style="156" customWidth="1"/>
    <col min="8" max="17" width="8" style="156" customWidth="1"/>
    <col min="18" max="18" width="13.42578125" style="156" bestFit="1" customWidth="1"/>
    <col min="19" max="50" width="8" style="156" customWidth="1"/>
    <col min="51" max="16384" width="9.140625" style="168"/>
  </cols>
  <sheetData>
    <row r="1" spans="1:50" x14ac:dyDescent="0.25">
      <c r="A1" s="325"/>
      <c r="B1" s="325"/>
      <c r="C1" s="325"/>
      <c r="D1" s="325"/>
      <c r="E1" s="326" t="s">
        <v>38</v>
      </c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</row>
    <row r="2" spans="1:50" ht="15" customHeight="1" x14ac:dyDescent="0.25"/>
    <row r="3" spans="1:50" ht="15" customHeight="1" x14ac:dyDescent="0.25">
      <c r="A3" s="327" t="str">
        <f>СВОД!E24</f>
        <v>Сметы №1.3.1-№1.3.2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</row>
    <row r="4" spans="1:50" ht="15" customHeight="1" x14ac:dyDescent="0.25">
      <c r="A4" s="328" t="s">
        <v>39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</row>
    <row r="5" spans="1:50" ht="15" customHeight="1" x14ac:dyDescent="0.25"/>
    <row r="6" spans="1:50" ht="54.4" customHeight="1" x14ac:dyDescent="0.25">
      <c r="A6" s="329" t="s">
        <v>40</v>
      </c>
      <c r="B6" s="329"/>
      <c r="C6" s="329"/>
      <c r="D6" s="329"/>
      <c r="E6" s="329"/>
      <c r="F6" s="330" t="str">
        <f>СВОД!B24</f>
        <v>Технология производства</v>
      </c>
      <c r="G6" s="330"/>
      <c r="H6" s="330"/>
      <c r="I6" s="330"/>
      <c r="J6" s="330"/>
      <c r="K6" s="330"/>
      <c r="L6" s="330"/>
      <c r="M6" s="330"/>
      <c r="N6" s="330"/>
      <c r="O6" s="330"/>
      <c r="P6" s="330"/>
    </row>
    <row r="7" spans="1:50" ht="15" customHeight="1" x14ac:dyDescent="0.25"/>
    <row r="8" spans="1:50" ht="27.2" customHeight="1" x14ac:dyDescent="0.25">
      <c r="A8" s="329" t="s">
        <v>41</v>
      </c>
      <c r="B8" s="329"/>
      <c r="C8" s="329"/>
      <c r="D8" s="329"/>
      <c r="E8" s="329"/>
      <c r="F8" s="330" t="str">
        <f>СВОД!D14</f>
        <v>ОАО «СИБНЕФТЕТРАНСПРОЕКТ»</v>
      </c>
      <c r="G8" s="330"/>
      <c r="H8" s="330"/>
      <c r="I8" s="330"/>
      <c r="J8" s="330"/>
      <c r="K8" s="330"/>
      <c r="L8" s="330"/>
      <c r="M8" s="330"/>
      <c r="N8" s="330"/>
      <c r="O8" s="330"/>
      <c r="P8" s="330"/>
    </row>
    <row r="9" spans="1:50" ht="15" customHeight="1" x14ac:dyDescent="0.25"/>
    <row r="10" spans="1:50" ht="15" customHeight="1" x14ac:dyDescent="0.25">
      <c r="A10" s="329" t="s">
        <v>5</v>
      </c>
      <c r="B10" s="329"/>
      <c r="C10" s="329"/>
      <c r="D10" s="329"/>
      <c r="E10" s="329"/>
      <c r="F10" s="330" t="str">
        <f>СВОД!D16</f>
        <v>ООО «Газпром проектирование»</v>
      </c>
      <c r="G10" s="330"/>
      <c r="H10" s="330"/>
      <c r="I10" s="330"/>
      <c r="J10" s="330"/>
      <c r="K10" s="330"/>
      <c r="L10" s="330"/>
      <c r="M10" s="330"/>
      <c r="N10" s="330"/>
      <c r="O10" s="330"/>
      <c r="P10" s="330"/>
    </row>
    <row r="11" spans="1:50" ht="15" customHeight="1" x14ac:dyDescent="0.25"/>
    <row r="12" spans="1:50" ht="40.9" customHeight="1" x14ac:dyDescent="0.25">
      <c r="A12" s="169" t="s">
        <v>42</v>
      </c>
      <c r="B12" s="321" t="s">
        <v>43</v>
      </c>
      <c r="C12" s="321"/>
      <c r="D12" s="321"/>
      <c r="E12" s="321"/>
      <c r="F12" s="321"/>
      <c r="G12" s="321" t="s">
        <v>44</v>
      </c>
      <c r="H12" s="321"/>
      <c r="I12" s="321"/>
      <c r="J12" s="321"/>
      <c r="K12" s="321" t="s">
        <v>45</v>
      </c>
      <c r="L12" s="321"/>
      <c r="M12" s="321"/>
      <c r="N12" s="321"/>
      <c r="O12" s="321" t="s">
        <v>46</v>
      </c>
      <c r="P12" s="321"/>
    </row>
    <row r="13" spans="1:50" ht="15" customHeight="1" x14ac:dyDescent="0.25">
      <c r="A13" s="169">
        <v>1</v>
      </c>
      <c r="B13" s="321">
        <v>2</v>
      </c>
      <c r="C13" s="321"/>
      <c r="D13" s="321"/>
      <c r="E13" s="321"/>
      <c r="F13" s="321"/>
      <c r="G13" s="321">
        <v>3</v>
      </c>
      <c r="H13" s="321"/>
      <c r="I13" s="321"/>
      <c r="J13" s="321"/>
      <c r="K13" s="321">
        <v>4</v>
      </c>
      <c r="L13" s="321"/>
      <c r="M13" s="321"/>
      <c r="N13" s="321"/>
      <c r="O13" s="321">
        <v>5</v>
      </c>
      <c r="P13" s="321"/>
    </row>
    <row r="14" spans="1:50" customFormat="1" ht="15" customHeight="1" x14ac:dyDescent="0.25">
      <c r="A14" s="340" t="s">
        <v>80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</row>
    <row r="15" spans="1:50" customFormat="1" ht="15" customHeight="1" x14ac:dyDescent="0.25">
      <c r="A15" s="340" t="s">
        <v>81</v>
      </c>
      <c r="B15" s="340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</row>
    <row r="16" spans="1:50" customFormat="1" ht="122.45" customHeight="1" x14ac:dyDescent="0.25">
      <c r="A16" s="172" t="s">
        <v>13</v>
      </c>
      <c r="B16" s="342" t="s">
        <v>82</v>
      </c>
      <c r="C16" s="343"/>
      <c r="D16" s="343"/>
      <c r="E16" s="343"/>
      <c r="F16" s="343"/>
      <c r="G16" s="343" t="s">
        <v>83</v>
      </c>
      <c r="H16" s="343"/>
      <c r="I16" s="343"/>
      <c r="J16" s="343"/>
      <c r="K16" s="343" t="s">
        <v>936</v>
      </c>
      <c r="L16" s="343"/>
      <c r="M16" s="343"/>
      <c r="N16" s="343"/>
      <c r="O16" s="344">
        <f>ROUND((1493100 + 22794 * 10.95) * 1 * 1.56 * 0.6, 2)</f>
        <v>1631161.86</v>
      </c>
      <c r="P16" s="343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</row>
    <row r="17" spans="1:50" customFormat="1" ht="15" customHeight="1" x14ac:dyDescent="0.25">
      <c r="A17" s="173"/>
      <c r="B17" s="345" t="s">
        <v>50</v>
      </c>
      <c r="C17" s="345"/>
      <c r="D17" s="345"/>
      <c r="E17" s="345"/>
      <c r="F17" s="345"/>
      <c r="G17" s="345" t="s">
        <v>3</v>
      </c>
      <c r="H17" s="345"/>
      <c r="I17" s="345"/>
      <c r="J17" s="345"/>
      <c r="K17" s="345" t="s">
        <v>3</v>
      </c>
      <c r="L17" s="345"/>
      <c r="M17" s="345"/>
      <c r="N17" s="345"/>
      <c r="O17" s="345"/>
      <c r="P17" s="34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</row>
    <row r="18" spans="1:50" customFormat="1" ht="15" customHeight="1" x14ac:dyDescent="0.25">
      <c r="A18" s="174"/>
      <c r="B18" s="320" t="s">
        <v>51</v>
      </c>
      <c r="C18" s="320"/>
      <c r="D18" s="320"/>
      <c r="E18" s="320"/>
      <c r="F18" s="320"/>
      <c r="G18" s="320" t="s">
        <v>52</v>
      </c>
      <c r="H18" s="320"/>
      <c r="I18" s="320"/>
      <c r="J18" s="320"/>
      <c r="K18" s="320" t="s">
        <v>3</v>
      </c>
      <c r="L18" s="320"/>
      <c r="M18" s="320"/>
      <c r="N18" s="320"/>
      <c r="O18" s="320"/>
      <c r="P18" s="320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</row>
    <row r="19" spans="1:50" customFormat="1" ht="40.9" customHeight="1" x14ac:dyDescent="0.25">
      <c r="A19" s="174"/>
      <c r="B19" s="320" t="s">
        <v>929</v>
      </c>
      <c r="C19" s="320"/>
      <c r="D19" s="320"/>
      <c r="E19" s="320"/>
      <c r="F19" s="320"/>
      <c r="G19" s="320" t="s">
        <v>933</v>
      </c>
      <c r="H19" s="320"/>
      <c r="I19" s="320"/>
      <c r="J19" s="320"/>
      <c r="K19" s="320" t="s">
        <v>3</v>
      </c>
      <c r="L19" s="320"/>
      <c r="M19" s="320"/>
      <c r="N19" s="320"/>
      <c r="O19" s="320"/>
      <c r="P19" s="320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</row>
    <row r="20" spans="1:50" customFormat="1" ht="15" customHeight="1" x14ac:dyDescent="0.25">
      <c r="A20" s="340" t="s">
        <v>84</v>
      </c>
      <c r="B20" s="340"/>
      <c r="C20" s="340"/>
      <c r="D20" s="340"/>
      <c r="E20" s="340"/>
      <c r="F20" s="340"/>
      <c r="G20" s="340"/>
      <c r="H20" s="340"/>
      <c r="I20" s="340"/>
      <c r="J20" s="340"/>
      <c r="K20" s="340"/>
      <c r="L20" s="340"/>
      <c r="M20" s="340"/>
      <c r="N20" s="340"/>
      <c r="O20" s="340"/>
      <c r="P20" s="340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</row>
    <row r="21" spans="1:50" customFormat="1" ht="122.45" customHeight="1" x14ac:dyDescent="0.25">
      <c r="A21" s="172" t="s">
        <v>14</v>
      </c>
      <c r="B21" s="342" t="s">
        <v>82</v>
      </c>
      <c r="C21" s="343"/>
      <c r="D21" s="343"/>
      <c r="E21" s="343"/>
      <c r="F21" s="343"/>
      <c r="G21" s="343" t="s">
        <v>83</v>
      </c>
      <c r="H21" s="343"/>
      <c r="I21" s="343"/>
      <c r="J21" s="343"/>
      <c r="K21" s="343" t="s">
        <v>936</v>
      </c>
      <c r="L21" s="343"/>
      <c r="M21" s="343"/>
      <c r="N21" s="343"/>
      <c r="O21" s="344">
        <f>ROUND((1493100 + 22794 * 10.95) * 1 * 1.56 * 0.6, 2)</f>
        <v>1631161.86</v>
      </c>
      <c r="P21" s="343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</row>
    <row r="22" spans="1:50" customFormat="1" ht="15" customHeight="1" x14ac:dyDescent="0.25">
      <c r="A22" s="173"/>
      <c r="B22" s="345" t="s">
        <v>50</v>
      </c>
      <c r="C22" s="345"/>
      <c r="D22" s="345"/>
      <c r="E22" s="345"/>
      <c r="F22" s="345"/>
      <c r="G22" s="345" t="s">
        <v>3</v>
      </c>
      <c r="H22" s="345"/>
      <c r="I22" s="345"/>
      <c r="J22" s="345"/>
      <c r="K22" s="345" t="s">
        <v>3</v>
      </c>
      <c r="L22" s="345"/>
      <c r="M22" s="345"/>
      <c r="N22" s="345"/>
      <c r="O22" s="345"/>
      <c r="P22" s="34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</row>
    <row r="23" spans="1:50" customFormat="1" ht="15" customHeight="1" x14ac:dyDescent="0.25">
      <c r="A23" s="174"/>
      <c r="B23" s="320" t="s">
        <v>51</v>
      </c>
      <c r="C23" s="320"/>
      <c r="D23" s="320"/>
      <c r="E23" s="320"/>
      <c r="F23" s="320"/>
      <c r="G23" s="320" t="s">
        <v>52</v>
      </c>
      <c r="H23" s="320"/>
      <c r="I23" s="320"/>
      <c r="J23" s="320"/>
      <c r="K23" s="320" t="s">
        <v>3</v>
      </c>
      <c r="L23" s="320"/>
      <c r="M23" s="320"/>
      <c r="N23" s="320"/>
      <c r="O23" s="320"/>
      <c r="P23" s="320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</row>
    <row r="24" spans="1:50" customFormat="1" ht="40.9" customHeight="1" x14ac:dyDescent="0.25">
      <c r="A24" s="174"/>
      <c r="B24" s="320" t="s">
        <v>929</v>
      </c>
      <c r="C24" s="320"/>
      <c r="D24" s="320"/>
      <c r="E24" s="320"/>
      <c r="F24" s="320"/>
      <c r="G24" s="320" t="s">
        <v>933</v>
      </c>
      <c r="H24" s="320"/>
      <c r="I24" s="320"/>
      <c r="J24" s="320"/>
      <c r="K24" s="320" t="s">
        <v>3</v>
      </c>
      <c r="L24" s="320"/>
      <c r="M24" s="320"/>
      <c r="N24" s="320"/>
      <c r="O24" s="320"/>
      <c r="P24" s="320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</row>
    <row r="25" spans="1:50" customFormat="1" ht="15" customHeight="1" x14ac:dyDescent="0.25">
      <c r="A25" s="340" t="s">
        <v>85</v>
      </c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P25" s="340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</row>
    <row r="26" spans="1:50" customFormat="1" ht="95.25" customHeight="1" x14ac:dyDescent="0.25">
      <c r="A26" s="172" t="s">
        <v>16</v>
      </c>
      <c r="B26" s="342" t="s">
        <v>86</v>
      </c>
      <c r="C26" s="343"/>
      <c r="D26" s="343"/>
      <c r="E26" s="343"/>
      <c r="F26" s="343"/>
      <c r="G26" s="343" t="s">
        <v>87</v>
      </c>
      <c r="H26" s="343"/>
      <c r="I26" s="343"/>
      <c r="J26" s="343"/>
      <c r="K26" s="343" t="s">
        <v>937</v>
      </c>
      <c r="L26" s="343"/>
      <c r="M26" s="343"/>
      <c r="N26" s="343"/>
      <c r="O26" s="344">
        <f>ROUND(699900 * 1 * 1.56 * 0.6, 2)</f>
        <v>655106.4</v>
      </c>
      <c r="P26" s="343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</row>
    <row r="27" spans="1:50" customFormat="1" ht="15" customHeight="1" x14ac:dyDescent="0.25">
      <c r="A27" s="173"/>
      <c r="B27" s="345" t="s">
        <v>50</v>
      </c>
      <c r="C27" s="345"/>
      <c r="D27" s="345"/>
      <c r="E27" s="345"/>
      <c r="F27" s="345"/>
      <c r="G27" s="345" t="s">
        <v>3</v>
      </c>
      <c r="H27" s="345"/>
      <c r="I27" s="345"/>
      <c r="J27" s="345"/>
      <c r="K27" s="345" t="s">
        <v>3</v>
      </c>
      <c r="L27" s="345"/>
      <c r="M27" s="345"/>
      <c r="N27" s="345"/>
      <c r="O27" s="345"/>
      <c r="P27" s="34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</row>
    <row r="28" spans="1:50" customFormat="1" ht="15" customHeight="1" x14ac:dyDescent="0.25">
      <c r="A28" s="174"/>
      <c r="B28" s="320" t="s">
        <v>51</v>
      </c>
      <c r="C28" s="320"/>
      <c r="D28" s="320"/>
      <c r="E28" s="320"/>
      <c r="F28" s="320"/>
      <c r="G28" s="320" t="s">
        <v>52</v>
      </c>
      <c r="H28" s="320"/>
      <c r="I28" s="320"/>
      <c r="J28" s="320"/>
      <c r="K28" s="320" t="s">
        <v>3</v>
      </c>
      <c r="L28" s="320"/>
      <c r="M28" s="320"/>
      <c r="N28" s="320"/>
      <c r="O28" s="320"/>
      <c r="P28" s="320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</row>
    <row r="29" spans="1:50" customFormat="1" ht="40.9" customHeight="1" x14ac:dyDescent="0.25">
      <c r="A29" s="174"/>
      <c r="B29" s="320" t="s">
        <v>929</v>
      </c>
      <c r="C29" s="320"/>
      <c r="D29" s="320"/>
      <c r="E29" s="320"/>
      <c r="F29" s="320"/>
      <c r="G29" s="320" t="s">
        <v>933</v>
      </c>
      <c r="H29" s="320"/>
      <c r="I29" s="320"/>
      <c r="J29" s="320"/>
      <c r="K29" s="320" t="s">
        <v>3</v>
      </c>
      <c r="L29" s="320"/>
      <c r="M29" s="320"/>
      <c r="N29" s="320"/>
      <c r="O29" s="320"/>
      <c r="P29" s="320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</row>
    <row r="30" spans="1:50" customFormat="1" ht="15" customHeight="1" x14ac:dyDescent="0.25">
      <c r="A30" s="340" t="s">
        <v>88</v>
      </c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40"/>
      <c r="M30" s="340"/>
      <c r="N30" s="340"/>
      <c r="O30" s="340"/>
      <c r="P30" s="340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</row>
    <row r="31" spans="1:50" customFormat="1" ht="122.45" customHeight="1" x14ac:dyDescent="0.25">
      <c r="A31" s="172" t="s">
        <v>18</v>
      </c>
      <c r="B31" s="342" t="s">
        <v>89</v>
      </c>
      <c r="C31" s="343"/>
      <c r="D31" s="343"/>
      <c r="E31" s="343"/>
      <c r="F31" s="343"/>
      <c r="G31" s="343" t="s">
        <v>90</v>
      </c>
      <c r="H31" s="343"/>
      <c r="I31" s="343"/>
      <c r="J31" s="343"/>
      <c r="K31" s="343" t="s">
        <v>938</v>
      </c>
      <c r="L31" s="343"/>
      <c r="M31" s="343"/>
      <c r="N31" s="343"/>
      <c r="O31" s="344">
        <f>ROUND((467700 + 398 * 100) * 1 * 1.56 * 0.6, 2)</f>
        <v>475020</v>
      </c>
      <c r="P31" s="343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</row>
    <row r="32" spans="1:50" customFormat="1" ht="15" customHeight="1" x14ac:dyDescent="0.25">
      <c r="A32" s="173"/>
      <c r="B32" s="345" t="s">
        <v>50</v>
      </c>
      <c r="C32" s="345"/>
      <c r="D32" s="345"/>
      <c r="E32" s="345"/>
      <c r="F32" s="345"/>
      <c r="G32" s="345" t="s">
        <v>3</v>
      </c>
      <c r="H32" s="345"/>
      <c r="I32" s="345"/>
      <c r="J32" s="345"/>
      <c r="K32" s="345" t="s">
        <v>3</v>
      </c>
      <c r="L32" s="345"/>
      <c r="M32" s="345"/>
      <c r="N32" s="345"/>
      <c r="O32" s="345"/>
      <c r="P32" s="34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</row>
    <row r="33" spans="1:50" customFormat="1" ht="15" customHeight="1" x14ac:dyDescent="0.25">
      <c r="A33" s="174"/>
      <c r="B33" s="320" t="s">
        <v>51</v>
      </c>
      <c r="C33" s="320"/>
      <c r="D33" s="320"/>
      <c r="E33" s="320"/>
      <c r="F33" s="320"/>
      <c r="G33" s="320" t="s">
        <v>52</v>
      </c>
      <c r="H33" s="320"/>
      <c r="I33" s="320"/>
      <c r="J33" s="320"/>
      <c r="K33" s="320" t="s">
        <v>3</v>
      </c>
      <c r="L33" s="320"/>
      <c r="M33" s="320"/>
      <c r="N33" s="320"/>
      <c r="O33" s="320"/>
      <c r="P33" s="320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</row>
    <row r="34" spans="1:50" customFormat="1" ht="40.9" customHeight="1" x14ac:dyDescent="0.25">
      <c r="A34" s="174"/>
      <c r="B34" s="320" t="s">
        <v>929</v>
      </c>
      <c r="C34" s="320"/>
      <c r="D34" s="320"/>
      <c r="E34" s="320"/>
      <c r="F34" s="320"/>
      <c r="G34" s="320" t="s">
        <v>933</v>
      </c>
      <c r="H34" s="320"/>
      <c r="I34" s="320"/>
      <c r="J34" s="320"/>
      <c r="K34" s="320" t="s">
        <v>3</v>
      </c>
      <c r="L34" s="320"/>
      <c r="M34" s="320"/>
      <c r="N34" s="320"/>
      <c r="O34" s="320"/>
      <c r="P34" s="320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</row>
    <row r="35" spans="1:50" customFormat="1" ht="15" customHeight="1" x14ac:dyDescent="0.25">
      <c r="A35" s="340" t="s">
        <v>91</v>
      </c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</row>
    <row r="36" spans="1:50" customFormat="1" ht="95.25" customHeight="1" x14ac:dyDescent="0.25">
      <c r="A36" s="172" t="s">
        <v>19</v>
      </c>
      <c r="B36" s="342" t="s">
        <v>86</v>
      </c>
      <c r="C36" s="343"/>
      <c r="D36" s="343"/>
      <c r="E36" s="343"/>
      <c r="F36" s="343"/>
      <c r="G36" s="343" t="s">
        <v>87</v>
      </c>
      <c r="H36" s="343"/>
      <c r="I36" s="343"/>
      <c r="J36" s="343"/>
      <c r="K36" s="343" t="s">
        <v>937</v>
      </c>
      <c r="L36" s="343"/>
      <c r="M36" s="343"/>
      <c r="N36" s="343"/>
      <c r="O36" s="344">
        <f>ROUND(699900 * 1 * 1.56 * 0.6, 2)</f>
        <v>655106.4</v>
      </c>
      <c r="P36" s="343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</row>
    <row r="37" spans="1:50" customFormat="1" ht="15" customHeight="1" x14ac:dyDescent="0.25">
      <c r="A37" s="173"/>
      <c r="B37" s="345" t="s">
        <v>50</v>
      </c>
      <c r="C37" s="345"/>
      <c r="D37" s="345"/>
      <c r="E37" s="345"/>
      <c r="F37" s="345"/>
      <c r="G37" s="345" t="s">
        <v>3</v>
      </c>
      <c r="H37" s="345"/>
      <c r="I37" s="345"/>
      <c r="J37" s="345"/>
      <c r="K37" s="345" t="s">
        <v>3</v>
      </c>
      <c r="L37" s="345"/>
      <c r="M37" s="345"/>
      <c r="N37" s="345"/>
      <c r="O37" s="345"/>
      <c r="P37" s="34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</row>
    <row r="38" spans="1:50" customFormat="1" ht="15" customHeight="1" x14ac:dyDescent="0.25">
      <c r="A38" s="174"/>
      <c r="B38" s="320" t="s">
        <v>51</v>
      </c>
      <c r="C38" s="320"/>
      <c r="D38" s="320"/>
      <c r="E38" s="320"/>
      <c r="F38" s="320"/>
      <c r="G38" s="320" t="s">
        <v>52</v>
      </c>
      <c r="H38" s="320"/>
      <c r="I38" s="320"/>
      <c r="J38" s="320"/>
      <c r="K38" s="320" t="s">
        <v>3</v>
      </c>
      <c r="L38" s="320"/>
      <c r="M38" s="320"/>
      <c r="N38" s="320"/>
      <c r="O38" s="320"/>
      <c r="P38" s="320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</row>
    <row r="39" spans="1:50" customFormat="1" ht="40.9" customHeight="1" x14ac:dyDescent="0.25">
      <c r="A39" s="174"/>
      <c r="B39" s="320" t="s">
        <v>929</v>
      </c>
      <c r="C39" s="320"/>
      <c r="D39" s="320"/>
      <c r="E39" s="320"/>
      <c r="F39" s="320"/>
      <c r="G39" s="320" t="s">
        <v>933</v>
      </c>
      <c r="H39" s="320"/>
      <c r="I39" s="320"/>
      <c r="J39" s="320"/>
      <c r="K39" s="320" t="s">
        <v>3</v>
      </c>
      <c r="L39" s="320"/>
      <c r="M39" s="320"/>
      <c r="N39" s="320"/>
      <c r="O39" s="320"/>
      <c r="P39" s="320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</row>
    <row r="40" spans="1:50" customFormat="1" ht="15" customHeight="1" x14ac:dyDescent="0.25">
      <c r="A40" s="340" t="s">
        <v>92</v>
      </c>
      <c r="B40" s="340"/>
      <c r="C40" s="340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0"/>
      <c r="P40" s="340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</row>
    <row r="41" spans="1:50" customFormat="1" ht="135.94999999999999" customHeight="1" x14ac:dyDescent="0.25">
      <c r="A41" s="172" t="s">
        <v>54</v>
      </c>
      <c r="B41" s="342" t="s">
        <v>93</v>
      </c>
      <c r="C41" s="343"/>
      <c r="D41" s="343"/>
      <c r="E41" s="343"/>
      <c r="F41" s="343"/>
      <c r="G41" s="343" t="s">
        <v>94</v>
      </c>
      <c r="H41" s="343"/>
      <c r="I41" s="343"/>
      <c r="J41" s="343"/>
      <c r="K41" s="343" t="s">
        <v>939</v>
      </c>
      <c r="L41" s="343"/>
      <c r="M41" s="343"/>
      <c r="N41" s="343"/>
      <c r="O41" s="344">
        <f>ROUND((114100 + 19581 * (0.4 * 200 + 0.6 * 1000)) * 1 * 1.56 * 0.6, 2)</f>
        <v>12569712.48</v>
      </c>
      <c r="P41" s="343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</row>
    <row r="42" spans="1:50" customFormat="1" ht="15" customHeight="1" x14ac:dyDescent="0.25">
      <c r="A42" s="173"/>
      <c r="B42" s="345" t="s">
        <v>50</v>
      </c>
      <c r="C42" s="345"/>
      <c r="D42" s="345"/>
      <c r="E42" s="345"/>
      <c r="F42" s="345"/>
      <c r="G42" s="345" t="s">
        <v>3</v>
      </c>
      <c r="H42" s="345"/>
      <c r="I42" s="345"/>
      <c r="J42" s="345"/>
      <c r="K42" s="345" t="s">
        <v>3</v>
      </c>
      <c r="L42" s="345"/>
      <c r="M42" s="345"/>
      <c r="N42" s="345"/>
      <c r="O42" s="345"/>
      <c r="P42" s="34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</row>
    <row r="43" spans="1:50" customFormat="1" ht="15" customHeight="1" x14ac:dyDescent="0.25">
      <c r="A43" s="174"/>
      <c r="B43" s="320" t="s">
        <v>51</v>
      </c>
      <c r="C43" s="320"/>
      <c r="D43" s="320"/>
      <c r="E43" s="320"/>
      <c r="F43" s="320"/>
      <c r="G43" s="320" t="s">
        <v>52</v>
      </c>
      <c r="H43" s="320"/>
      <c r="I43" s="320"/>
      <c r="J43" s="320"/>
      <c r="K43" s="320" t="s">
        <v>3</v>
      </c>
      <c r="L43" s="320"/>
      <c r="M43" s="320"/>
      <c r="N43" s="320"/>
      <c r="O43" s="320"/>
      <c r="P43" s="320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</row>
    <row r="44" spans="1:50" customFormat="1" ht="40.9" customHeight="1" x14ac:dyDescent="0.25">
      <c r="A44" s="174"/>
      <c r="B44" s="320" t="s">
        <v>929</v>
      </c>
      <c r="C44" s="320"/>
      <c r="D44" s="320"/>
      <c r="E44" s="320"/>
      <c r="F44" s="320"/>
      <c r="G44" s="320" t="s">
        <v>933</v>
      </c>
      <c r="H44" s="320"/>
      <c r="I44" s="320"/>
      <c r="J44" s="320"/>
      <c r="K44" s="320" t="s">
        <v>3</v>
      </c>
      <c r="L44" s="320"/>
      <c r="M44" s="320"/>
      <c r="N44" s="320"/>
      <c r="O44" s="320"/>
      <c r="P44" s="320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</row>
    <row r="45" spans="1:50" customFormat="1" ht="15" customHeight="1" x14ac:dyDescent="0.25">
      <c r="A45" s="340" t="s">
        <v>95</v>
      </c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40"/>
      <c r="M45" s="340"/>
      <c r="N45" s="340"/>
      <c r="O45" s="340"/>
      <c r="P45" s="340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</row>
    <row r="46" spans="1:50" customFormat="1" ht="135.94999999999999" customHeight="1" x14ac:dyDescent="0.25">
      <c r="A46" s="172" t="s">
        <v>55</v>
      </c>
      <c r="B46" s="342" t="s">
        <v>89</v>
      </c>
      <c r="C46" s="343"/>
      <c r="D46" s="343"/>
      <c r="E46" s="343"/>
      <c r="F46" s="343"/>
      <c r="G46" s="343" t="s">
        <v>96</v>
      </c>
      <c r="H46" s="343"/>
      <c r="I46" s="343"/>
      <c r="J46" s="343"/>
      <c r="K46" s="343" t="s">
        <v>940</v>
      </c>
      <c r="L46" s="343"/>
      <c r="M46" s="343"/>
      <c r="N46" s="343"/>
      <c r="O46" s="344">
        <f>ROUND((467700 + 398 * (0.4 * 50 + 0.6 * (50 / 2))) * 1 * 0.4 * 1.56 * 0.6, 2)</f>
        <v>180322.27</v>
      </c>
      <c r="P46" s="343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</row>
    <row r="47" spans="1:50" customFormat="1" ht="15" customHeight="1" x14ac:dyDescent="0.25">
      <c r="A47" s="173"/>
      <c r="B47" s="345" t="s">
        <v>50</v>
      </c>
      <c r="C47" s="345"/>
      <c r="D47" s="345"/>
      <c r="E47" s="345"/>
      <c r="F47" s="345"/>
      <c r="G47" s="345" t="s">
        <v>3</v>
      </c>
      <c r="H47" s="345"/>
      <c r="I47" s="345"/>
      <c r="J47" s="345"/>
      <c r="K47" s="345" t="s">
        <v>3</v>
      </c>
      <c r="L47" s="345"/>
      <c r="M47" s="345"/>
      <c r="N47" s="345"/>
      <c r="O47" s="345"/>
      <c r="P47" s="34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</row>
    <row r="48" spans="1:50" customFormat="1" ht="15" customHeight="1" x14ac:dyDescent="0.25">
      <c r="A48" s="174"/>
      <c r="B48" s="320" t="s">
        <v>51</v>
      </c>
      <c r="C48" s="320"/>
      <c r="D48" s="320"/>
      <c r="E48" s="320"/>
      <c r="F48" s="320"/>
      <c r="G48" s="320" t="s">
        <v>52</v>
      </c>
      <c r="H48" s="320"/>
      <c r="I48" s="320"/>
      <c r="J48" s="320"/>
      <c r="K48" s="320" t="s">
        <v>3</v>
      </c>
      <c r="L48" s="320"/>
      <c r="M48" s="320"/>
      <c r="N48" s="320"/>
      <c r="O48" s="320"/>
      <c r="P48" s="320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</row>
    <row r="49" spans="1:50" customFormat="1" ht="40.9" customHeight="1" x14ac:dyDescent="0.25">
      <c r="A49" s="174"/>
      <c r="B49" s="320" t="s">
        <v>929</v>
      </c>
      <c r="C49" s="320"/>
      <c r="D49" s="320"/>
      <c r="E49" s="320"/>
      <c r="F49" s="320"/>
      <c r="G49" s="320" t="s">
        <v>933</v>
      </c>
      <c r="H49" s="320"/>
      <c r="I49" s="320"/>
      <c r="J49" s="320"/>
      <c r="K49" s="320" t="s">
        <v>3</v>
      </c>
      <c r="L49" s="320"/>
      <c r="M49" s="320"/>
      <c r="N49" s="320"/>
      <c r="O49" s="320"/>
      <c r="P49" s="320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</row>
    <row r="50" spans="1:50" customFormat="1" ht="95.25" customHeight="1" x14ac:dyDescent="0.25">
      <c r="A50" s="174"/>
      <c r="B50" s="320" t="s">
        <v>97</v>
      </c>
      <c r="C50" s="320"/>
      <c r="D50" s="320"/>
      <c r="E50" s="320"/>
      <c r="F50" s="320"/>
      <c r="G50" s="320" t="s">
        <v>98</v>
      </c>
      <c r="H50" s="320"/>
      <c r="I50" s="320"/>
      <c r="J50" s="320"/>
      <c r="K50" s="320" t="s">
        <v>3</v>
      </c>
      <c r="L50" s="320"/>
      <c r="M50" s="320"/>
      <c r="N50" s="320"/>
      <c r="O50" s="320"/>
      <c r="P50" s="320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</row>
    <row r="51" spans="1:50" customFormat="1" x14ac:dyDescent="0.25">
      <c r="A51" s="340" t="s">
        <v>99</v>
      </c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40"/>
      <c r="M51" s="340"/>
      <c r="N51" s="340"/>
      <c r="O51" s="340"/>
      <c r="P51" s="340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</row>
    <row r="52" spans="1:50" customFormat="1" ht="108.75" customHeight="1" x14ac:dyDescent="0.25">
      <c r="A52" s="172" t="s">
        <v>56</v>
      </c>
      <c r="B52" s="342" t="s">
        <v>100</v>
      </c>
      <c r="C52" s="343"/>
      <c r="D52" s="343"/>
      <c r="E52" s="343"/>
      <c r="F52" s="343"/>
      <c r="G52" s="343" t="s">
        <v>101</v>
      </c>
      <c r="H52" s="343"/>
      <c r="I52" s="343"/>
      <c r="J52" s="343"/>
      <c r="K52" s="343" t="s">
        <v>941</v>
      </c>
      <c r="L52" s="343"/>
      <c r="M52" s="343"/>
      <c r="N52" s="343"/>
      <c r="O52" s="344">
        <f>ROUND((1007200 + 1085 * 907.2) * 1 * 1.56 * 0.6, 2)</f>
        <v>1864055.23</v>
      </c>
      <c r="P52" s="343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</row>
    <row r="53" spans="1:50" customFormat="1" x14ac:dyDescent="0.25">
      <c r="A53" s="173"/>
      <c r="B53" s="345" t="s">
        <v>50</v>
      </c>
      <c r="C53" s="345"/>
      <c r="D53" s="345"/>
      <c r="E53" s="345"/>
      <c r="F53" s="345"/>
      <c r="G53" s="345" t="s">
        <v>3</v>
      </c>
      <c r="H53" s="345"/>
      <c r="I53" s="345"/>
      <c r="J53" s="345"/>
      <c r="K53" s="345" t="s">
        <v>3</v>
      </c>
      <c r="L53" s="345"/>
      <c r="M53" s="345"/>
      <c r="N53" s="345"/>
      <c r="O53" s="345"/>
      <c r="P53" s="34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</row>
    <row r="54" spans="1:50" customFormat="1" x14ac:dyDescent="0.25">
      <c r="A54" s="174"/>
      <c r="B54" s="320" t="s">
        <v>51</v>
      </c>
      <c r="C54" s="320"/>
      <c r="D54" s="320"/>
      <c r="E54" s="320"/>
      <c r="F54" s="320"/>
      <c r="G54" s="320" t="s">
        <v>52</v>
      </c>
      <c r="H54" s="320"/>
      <c r="I54" s="320"/>
      <c r="J54" s="320"/>
      <c r="K54" s="320" t="s">
        <v>3</v>
      </c>
      <c r="L54" s="320"/>
      <c r="M54" s="320"/>
      <c r="N54" s="320"/>
      <c r="O54" s="320"/>
      <c r="P54" s="320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</row>
    <row r="55" spans="1:50" customFormat="1" ht="40.9" customHeight="1" x14ac:dyDescent="0.25">
      <c r="A55" s="174"/>
      <c r="B55" s="320" t="s">
        <v>929</v>
      </c>
      <c r="C55" s="320"/>
      <c r="D55" s="320"/>
      <c r="E55" s="320"/>
      <c r="F55" s="320"/>
      <c r="G55" s="320" t="s">
        <v>933</v>
      </c>
      <c r="H55" s="320"/>
      <c r="I55" s="320"/>
      <c r="J55" s="320"/>
      <c r="K55" s="320" t="s">
        <v>3</v>
      </c>
      <c r="L55" s="320"/>
      <c r="M55" s="320"/>
      <c r="N55" s="320"/>
      <c r="O55" s="320"/>
      <c r="P55" s="320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</row>
    <row r="56" spans="1:50" customFormat="1" x14ac:dyDescent="0.25">
      <c r="A56" s="340" t="s">
        <v>102</v>
      </c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40"/>
      <c r="M56" s="340"/>
      <c r="N56" s="340"/>
      <c r="O56" s="340"/>
      <c r="P56" s="340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</row>
    <row r="57" spans="1:50" customFormat="1" ht="135.94999999999999" customHeight="1" x14ac:dyDescent="0.25">
      <c r="A57" s="172" t="s">
        <v>58</v>
      </c>
      <c r="B57" s="342" t="s">
        <v>103</v>
      </c>
      <c r="C57" s="343"/>
      <c r="D57" s="343"/>
      <c r="E57" s="343"/>
      <c r="F57" s="343"/>
      <c r="G57" s="343" t="s">
        <v>104</v>
      </c>
      <c r="H57" s="343"/>
      <c r="I57" s="343"/>
      <c r="J57" s="343"/>
      <c r="K57" s="343" t="s">
        <v>942</v>
      </c>
      <c r="L57" s="343"/>
      <c r="M57" s="343"/>
      <c r="N57" s="343"/>
      <c r="O57" s="344">
        <f>ROUND((1320800 + 9459 * (0.4 * 7.5 + 0.6 * 4.7088)) * 1 * 1.56 * 0.6, 2)</f>
        <v>1287843.6399999999</v>
      </c>
      <c r="P57" s="343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</row>
    <row r="58" spans="1:50" customFormat="1" x14ac:dyDescent="0.25">
      <c r="A58" s="173"/>
      <c r="B58" s="345" t="s">
        <v>50</v>
      </c>
      <c r="C58" s="345"/>
      <c r="D58" s="345"/>
      <c r="E58" s="345"/>
      <c r="F58" s="345"/>
      <c r="G58" s="345" t="s">
        <v>3</v>
      </c>
      <c r="H58" s="345"/>
      <c r="I58" s="345"/>
      <c r="J58" s="345"/>
      <c r="K58" s="345" t="s">
        <v>3</v>
      </c>
      <c r="L58" s="345"/>
      <c r="M58" s="345"/>
      <c r="N58" s="345"/>
      <c r="O58" s="345"/>
      <c r="P58" s="34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</row>
    <row r="59" spans="1:50" customFormat="1" x14ac:dyDescent="0.25">
      <c r="A59" s="174"/>
      <c r="B59" s="320" t="s">
        <v>51</v>
      </c>
      <c r="C59" s="320"/>
      <c r="D59" s="320"/>
      <c r="E59" s="320"/>
      <c r="F59" s="320"/>
      <c r="G59" s="320" t="s">
        <v>52</v>
      </c>
      <c r="H59" s="320"/>
      <c r="I59" s="320"/>
      <c r="J59" s="320"/>
      <c r="K59" s="320" t="s">
        <v>3</v>
      </c>
      <c r="L59" s="320"/>
      <c r="M59" s="320"/>
      <c r="N59" s="320"/>
      <c r="O59" s="320"/>
      <c r="P59" s="320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</row>
    <row r="60" spans="1:50" customFormat="1" ht="40.9" customHeight="1" x14ac:dyDescent="0.25">
      <c r="A60" s="174"/>
      <c r="B60" s="320" t="s">
        <v>929</v>
      </c>
      <c r="C60" s="320"/>
      <c r="D60" s="320"/>
      <c r="E60" s="320"/>
      <c r="F60" s="320"/>
      <c r="G60" s="320" t="s">
        <v>933</v>
      </c>
      <c r="H60" s="320"/>
      <c r="I60" s="320"/>
      <c r="J60" s="320"/>
      <c r="K60" s="320" t="s">
        <v>3</v>
      </c>
      <c r="L60" s="320"/>
      <c r="M60" s="320"/>
      <c r="N60" s="320"/>
      <c r="O60" s="320"/>
      <c r="P60" s="320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</row>
    <row r="61" spans="1:50" customFormat="1" x14ac:dyDescent="0.25">
      <c r="A61" s="340" t="s">
        <v>105</v>
      </c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40"/>
      <c r="M61" s="340"/>
      <c r="N61" s="340"/>
      <c r="O61" s="340"/>
      <c r="P61" s="340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</row>
    <row r="62" spans="1:50" customFormat="1" ht="135.94999999999999" customHeight="1" x14ac:dyDescent="0.25">
      <c r="A62" s="172" t="s">
        <v>61</v>
      </c>
      <c r="B62" s="342" t="s">
        <v>106</v>
      </c>
      <c r="C62" s="343"/>
      <c r="D62" s="343"/>
      <c r="E62" s="343"/>
      <c r="F62" s="343"/>
      <c r="G62" s="343" t="s">
        <v>107</v>
      </c>
      <c r="H62" s="343"/>
      <c r="I62" s="343"/>
      <c r="J62" s="343"/>
      <c r="K62" s="343" t="s">
        <v>943</v>
      </c>
      <c r="L62" s="343"/>
      <c r="M62" s="343"/>
      <c r="N62" s="343"/>
      <c r="O62" s="344">
        <f>ROUND((415600 + 32687 * (0.4 * 7.5 + 0.6 * 4.7088)) * 1 * 1.56 * 0.6, 2)</f>
        <v>567226.23</v>
      </c>
      <c r="P62" s="343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</row>
    <row r="63" spans="1:50" customFormat="1" x14ac:dyDescent="0.25">
      <c r="A63" s="173"/>
      <c r="B63" s="345" t="s">
        <v>50</v>
      </c>
      <c r="C63" s="345"/>
      <c r="D63" s="345"/>
      <c r="E63" s="345"/>
      <c r="F63" s="345"/>
      <c r="G63" s="345" t="s">
        <v>3</v>
      </c>
      <c r="H63" s="345"/>
      <c r="I63" s="345"/>
      <c r="J63" s="345"/>
      <c r="K63" s="345" t="s">
        <v>3</v>
      </c>
      <c r="L63" s="345"/>
      <c r="M63" s="345"/>
      <c r="N63" s="345"/>
      <c r="O63" s="345"/>
      <c r="P63" s="34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</row>
    <row r="64" spans="1:50" customFormat="1" x14ac:dyDescent="0.25">
      <c r="A64" s="174"/>
      <c r="B64" s="320" t="s">
        <v>51</v>
      </c>
      <c r="C64" s="320"/>
      <c r="D64" s="320"/>
      <c r="E64" s="320"/>
      <c r="F64" s="320"/>
      <c r="G64" s="320" t="s">
        <v>52</v>
      </c>
      <c r="H64" s="320"/>
      <c r="I64" s="320"/>
      <c r="J64" s="320"/>
      <c r="K64" s="320" t="s">
        <v>3</v>
      </c>
      <c r="L64" s="320"/>
      <c r="M64" s="320"/>
      <c r="N64" s="320"/>
      <c r="O64" s="320"/>
      <c r="P64" s="320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</row>
    <row r="65" spans="1:50" customFormat="1" ht="40.9" customHeight="1" x14ac:dyDescent="0.25">
      <c r="A65" s="174"/>
      <c r="B65" s="320" t="s">
        <v>929</v>
      </c>
      <c r="C65" s="320"/>
      <c r="D65" s="320"/>
      <c r="E65" s="320"/>
      <c r="F65" s="320"/>
      <c r="G65" s="320" t="s">
        <v>933</v>
      </c>
      <c r="H65" s="320"/>
      <c r="I65" s="320"/>
      <c r="J65" s="320"/>
      <c r="K65" s="320" t="s">
        <v>3</v>
      </c>
      <c r="L65" s="320"/>
      <c r="M65" s="320"/>
      <c r="N65" s="320"/>
      <c r="O65" s="320"/>
      <c r="P65" s="320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</row>
    <row r="66" spans="1:50" customFormat="1" x14ac:dyDescent="0.25">
      <c r="A66" s="340" t="s">
        <v>108</v>
      </c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40"/>
      <c r="M66" s="340"/>
      <c r="N66" s="340"/>
      <c r="O66" s="340"/>
      <c r="P66" s="340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</row>
    <row r="67" spans="1:50" customFormat="1" ht="135.94999999999999" customHeight="1" x14ac:dyDescent="0.25">
      <c r="A67" s="172" t="s">
        <v>63</v>
      </c>
      <c r="B67" s="342" t="s">
        <v>109</v>
      </c>
      <c r="C67" s="343"/>
      <c r="D67" s="343"/>
      <c r="E67" s="343"/>
      <c r="F67" s="343"/>
      <c r="G67" s="343" t="s">
        <v>110</v>
      </c>
      <c r="H67" s="343"/>
      <c r="I67" s="343"/>
      <c r="J67" s="343"/>
      <c r="K67" s="343" t="s">
        <v>944</v>
      </c>
      <c r="L67" s="343"/>
      <c r="M67" s="343"/>
      <c r="N67" s="343"/>
      <c r="O67" s="344">
        <f>ROUND((6131100 + 4907 * (0.4 * 500 + 0.6 * (500 / 2))) * 1 * 0.6 * 1.56 * 0.6, 2)</f>
        <v>4407745.68</v>
      </c>
      <c r="P67" s="343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</row>
    <row r="68" spans="1:50" customFormat="1" x14ac:dyDescent="0.25">
      <c r="A68" s="173"/>
      <c r="B68" s="345" t="s">
        <v>50</v>
      </c>
      <c r="C68" s="345"/>
      <c r="D68" s="345"/>
      <c r="E68" s="345"/>
      <c r="F68" s="345"/>
      <c r="G68" s="345" t="s">
        <v>3</v>
      </c>
      <c r="H68" s="345"/>
      <c r="I68" s="345"/>
      <c r="J68" s="345"/>
      <c r="K68" s="345" t="s">
        <v>3</v>
      </c>
      <c r="L68" s="345"/>
      <c r="M68" s="345"/>
      <c r="N68" s="345"/>
      <c r="O68" s="345"/>
      <c r="P68" s="34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</row>
    <row r="69" spans="1:50" customFormat="1" x14ac:dyDescent="0.25">
      <c r="A69" s="174"/>
      <c r="B69" s="320" t="s">
        <v>51</v>
      </c>
      <c r="C69" s="320"/>
      <c r="D69" s="320"/>
      <c r="E69" s="320"/>
      <c r="F69" s="320"/>
      <c r="G69" s="320" t="s">
        <v>52</v>
      </c>
      <c r="H69" s="320"/>
      <c r="I69" s="320"/>
      <c r="J69" s="320"/>
      <c r="K69" s="320" t="s">
        <v>3</v>
      </c>
      <c r="L69" s="320"/>
      <c r="M69" s="320"/>
      <c r="N69" s="320"/>
      <c r="O69" s="320"/>
      <c r="P69" s="320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</row>
    <row r="70" spans="1:50" customFormat="1" ht="40.9" customHeight="1" x14ac:dyDescent="0.25">
      <c r="A70" s="174"/>
      <c r="B70" s="320" t="s">
        <v>929</v>
      </c>
      <c r="C70" s="320"/>
      <c r="D70" s="320"/>
      <c r="E70" s="320"/>
      <c r="F70" s="320"/>
      <c r="G70" s="320" t="s">
        <v>933</v>
      </c>
      <c r="H70" s="320"/>
      <c r="I70" s="320"/>
      <c r="J70" s="320"/>
      <c r="K70" s="320" t="s">
        <v>3</v>
      </c>
      <c r="L70" s="320"/>
      <c r="M70" s="320"/>
      <c r="N70" s="320"/>
      <c r="O70" s="320"/>
      <c r="P70" s="320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</row>
    <row r="71" spans="1:50" customFormat="1" ht="95.25" customHeight="1" x14ac:dyDescent="0.25">
      <c r="A71" s="174"/>
      <c r="B71" s="320" t="s">
        <v>97</v>
      </c>
      <c r="C71" s="320"/>
      <c r="D71" s="320"/>
      <c r="E71" s="320"/>
      <c r="F71" s="320"/>
      <c r="G71" s="320" t="s">
        <v>111</v>
      </c>
      <c r="H71" s="320"/>
      <c r="I71" s="320"/>
      <c r="J71" s="320"/>
      <c r="K71" s="320" t="s">
        <v>3</v>
      </c>
      <c r="L71" s="320"/>
      <c r="M71" s="320"/>
      <c r="N71" s="320"/>
      <c r="O71" s="320"/>
      <c r="P71" s="320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</row>
    <row r="72" spans="1:50" customFormat="1" x14ac:dyDescent="0.25">
      <c r="A72" s="340" t="s">
        <v>112</v>
      </c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40"/>
      <c r="M72" s="340"/>
      <c r="N72" s="340"/>
      <c r="O72" s="340"/>
      <c r="P72" s="340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</row>
    <row r="73" spans="1:50" customFormat="1" ht="122.45" customHeight="1" x14ac:dyDescent="0.25">
      <c r="A73" s="172" t="s">
        <v>73</v>
      </c>
      <c r="B73" s="342" t="s">
        <v>113</v>
      </c>
      <c r="C73" s="343"/>
      <c r="D73" s="343"/>
      <c r="E73" s="343"/>
      <c r="F73" s="343"/>
      <c r="G73" s="343" t="s">
        <v>114</v>
      </c>
      <c r="H73" s="343"/>
      <c r="I73" s="343"/>
      <c r="J73" s="343"/>
      <c r="K73" s="343" t="s">
        <v>945</v>
      </c>
      <c r="L73" s="343"/>
      <c r="M73" s="343"/>
      <c r="N73" s="343"/>
      <c r="O73" s="344">
        <f>ROUND((3051800 + 946944 * 1.17) * 1 * 1.56 * 0.6, 2)</f>
        <v>3893502.11</v>
      </c>
      <c r="P73" s="343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</row>
    <row r="74" spans="1:50" customFormat="1" x14ac:dyDescent="0.25">
      <c r="A74" s="173"/>
      <c r="B74" s="345" t="s">
        <v>50</v>
      </c>
      <c r="C74" s="345"/>
      <c r="D74" s="345"/>
      <c r="E74" s="345"/>
      <c r="F74" s="345"/>
      <c r="G74" s="345" t="s">
        <v>3</v>
      </c>
      <c r="H74" s="345"/>
      <c r="I74" s="345"/>
      <c r="J74" s="345"/>
      <c r="K74" s="345" t="s">
        <v>3</v>
      </c>
      <c r="L74" s="345"/>
      <c r="M74" s="345"/>
      <c r="N74" s="345"/>
      <c r="O74" s="345"/>
      <c r="P74" s="34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</row>
    <row r="75" spans="1:50" customFormat="1" x14ac:dyDescent="0.25">
      <c r="A75" s="174"/>
      <c r="B75" s="320" t="s">
        <v>51</v>
      </c>
      <c r="C75" s="320"/>
      <c r="D75" s="320"/>
      <c r="E75" s="320"/>
      <c r="F75" s="320"/>
      <c r="G75" s="320" t="s">
        <v>52</v>
      </c>
      <c r="H75" s="320"/>
      <c r="I75" s="320"/>
      <c r="J75" s="320"/>
      <c r="K75" s="320" t="s">
        <v>3</v>
      </c>
      <c r="L75" s="320"/>
      <c r="M75" s="320"/>
      <c r="N75" s="320"/>
      <c r="O75" s="320"/>
      <c r="P75" s="320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</row>
    <row r="76" spans="1:50" customFormat="1" ht="40.9" customHeight="1" x14ac:dyDescent="0.25">
      <c r="A76" s="174"/>
      <c r="B76" s="320" t="s">
        <v>929</v>
      </c>
      <c r="C76" s="320"/>
      <c r="D76" s="320"/>
      <c r="E76" s="320"/>
      <c r="F76" s="320"/>
      <c r="G76" s="320" t="s">
        <v>933</v>
      </c>
      <c r="H76" s="320"/>
      <c r="I76" s="320"/>
      <c r="J76" s="320"/>
      <c r="K76" s="320" t="s">
        <v>3</v>
      </c>
      <c r="L76" s="320"/>
      <c r="M76" s="320"/>
      <c r="N76" s="320"/>
      <c r="O76" s="320"/>
      <c r="P76" s="320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</row>
    <row r="77" spans="1:50" customFormat="1" x14ac:dyDescent="0.25">
      <c r="A77" s="175" t="s">
        <v>74</v>
      </c>
      <c r="B77" s="346" t="s">
        <v>57</v>
      </c>
      <c r="C77" s="346"/>
      <c r="D77" s="346"/>
      <c r="E77" s="346"/>
      <c r="F77" s="346"/>
      <c r="G77" s="346"/>
      <c r="H77" s="346"/>
      <c r="I77" s="346"/>
      <c r="J77" s="346"/>
      <c r="K77" s="346" t="s">
        <v>3</v>
      </c>
      <c r="L77" s="346"/>
      <c r="M77" s="346"/>
      <c r="N77" s="346"/>
      <c r="O77" s="347">
        <f>ROUND(SUM($O$16:$O$73),2)</f>
        <v>29817964.16</v>
      </c>
      <c r="P77" s="346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</row>
    <row r="78" spans="1:50" customFormat="1" ht="108.75" customHeight="1" x14ac:dyDescent="0.25">
      <c r="A78" s="175" t="s">
        <v>75</v>
      </c>
      <c r="B78" s="340" t="s">
        <v>59</v>
      </c>
      <c r="C78" s="340"/>
      <c r="D78" s="340"/>
      <c r="E78" s="340"/>
      <c r="F78" s="340"/>
      <c r="G78" s="340" t="s">
        <v>60</v>
      </c>
      <c r="H78" s="340"/>
      <c r="I78" s="340"/>
      <c r="J78" s="340"/>
      <c r="K78" s="340" t="s">
        <v>626</v>
      </c>
      <c r="L78" s="340"/>
      <c r="M78" s="340"/>
      <c r="N78" s="340"/>
      <c r="O78" s="341">
        <f>ROUND(($O$77) * 1  * 0.8,2)</f>
        <v>23854371.329999998</v>
      </c>
      <c r="P78" s="340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</row>
    <row r="79" spans="1:50" customFormat="1" ht="68.099999999999994" customHeight="1" x14ac:dyDescent="0.25">
      <c r="A79" s="175" t="s">
        <v>76</v>
      </c>
      <c r="B79" s="340" t="s">
        <v>59</v>
      </c>
      <c r="C79" s="340"/>
      <c r="D79" s="340"/>
      <c r="E79" s="340"/>
      <c r="F79" s="340"/>
      <c r="G79" s="340" t="s">
        <v>62</v>
      </c>
      <c r="H79" s="340"/>
      <c r="I79" s="340"/>
      <c r="J79" s="340"/>
      <c r="K79" s="340" t="s">
        <v>627</v>
      </c>
      <c r="L79" s="340"/>
      <c r="M79" s="340"/>
      <c r="N79" s="340"/>
      <c r="O79" s="341">
        <f>ROUND(($O$78) * 1  * 1.08,2)</f>
        <v>25762721.039999999</v>
      </c>
      <c r="P79" s="340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</row>
    <row r="80" spans="1:50" x14ac:dyDescent="0.25">
      <c r="A80" s="171" t="s">
        <v>77</v>
      </c>
      <c r="B80" s="337" t="s">
        <v>64</v>
      </c>
      <c r="C80" s="337"/>
      <c r="D80" s="337"/>
      <c r="E80" s="337"/>
      <c r="F80" s="337"/>
      <c r="G80" s="337"/>
      <c r="H80" s="337"/>
      <c r="I80" s="337"/>
      <c r="J80" s="337"/>
      <c r="K80" s="337" t="s">
        <v>3</v>
      </c>
      <c r="L80" s="337"/>
      <c r="M80" s="337"/>
      <c r="N80" s="337"/>
      <c r="O80" s="338">
        <f>ROUND(($O$79),2)</f>
        <v>25762721.039999999</v>
      </c>
      <c r="P80" s="337"/>
      <c r="R80" s="159">
        <f>O80</f>
        <v>25762721.039999999</v>
      </c>
    </row>
  </sheetData>
  <mergeCells count="247">
    <mergeCell ref="K77:N77"/>
    <mergeCell ref="O77:P77"/>
    <mergeCell ref="B79:F79"/>
    <mergeCell ref="G79:J79"/>
    <mergeCell ref="B80:F80"/>
    <mergeCell ref="G80:J80"/>
    <mergeCell ref="K80:N80"/>
    <mergeCell ref="O80:P80"/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A8:E8"/>
    <mergeCell ref="F8:P8"/>
    <mergeCell ref="A10:E10"/>
    <mergeCell ref="F10:P10"/>
    <mergeCell ref="B12:F12"/>
    <mergeCell ref="G12:J12"/>
    <mergeCell ref="K12:N12"/>
    <mergeCell ref="O12:P12"/>
    <mergeCell ref="A15:P15"/>
    <mergeCell ref="B16:F16"/>
    <mergeCell ref="G16:J16"/>
    <mergeCell ref="K16:N16"/>
    <mergeCell ref="O16:P16"/>
    <mergeCell ref="B17:F17"/>
    <mergeCell ref="G17:J17"/>
    <mergeCell ref="K17:N17"/>
    <mergeCell ref="O17:P17"/>
    <mergeCell ref="A14:P14"/>
    <mergeCell ref="B18:F18"/>
    <mergeCell ref="G18:J18"/>
    <mergeCell ref="K18:N18"/>
    <mergeCell ref="O18:P18"/>
    <mergeCell ref="B19:F19"/>
    <mergeCell ref="G19:J19"/>
    <mergeCell ref="K19:N19"/>
    <mergeCell ref="O19:P19"/>
    <mergeCell ref="A20:P20"/>
    <mergeCell ref="B21:F21"/>
    <mergeCell ref="G21:J21"/>
    <mergeCell ref="K21:N21"/>
    <mergeCell ref="O21:P21"/>
    <mergeCell ref="B22:F22"/>
    <mergeCell ref="G22:J22"/>
    <mergeCell ref="K22:N22"/>
    <mergeCell ref="O22:P22"/>
    <mergeCell ref="B23:F23"/>
    <mergeCell ref="G23:J23"/>
    <mergeCell ref="K23:N23"/>
    <mergeCell ref="O23:P23"/>
    <mergeCell ref="B24:F24"/>
    <mergeCell ref="G24:J24"/>
    <mergeCell ref="K24:N24"/>
    <mergeCell ref="O24:P24"/>
    <mergeCell ref="A25:P25"/>
    <mergeCell ref="B26:F26"/>
    <mergeCell ref="G26:J26"/>
    <mergeCell ref="K26:N26"/>
    <mergeCell ref="O26:P26"/>
    <mergeCell ref="B27:F27"/>
    <mergeCell ref="G27:J27"/>
    <mergeCell ref="K27:N27"/>
    <mergeCell ref="O27:P27"/>
    <mergeCell ref="B28:F28"/>
    <mergeCell ref="G28:J28"/>
    <mergeCell ref="K28:N28"/>
    <mergeCell ref="O28:P28"/>
    <mergeCell ref="B29:F29"/>
    <mergeCell ref="G29:J29"/>
    <mergeCell ref="K29:N29"/>
    <mergeCell ref="O29:P29"/>
    <mergeCell ref="A30:P30"/>
    <mergeCell ref="B31:F31"/>
    <mergeCell ref="G31:J31"/>
    <mergeCell ref="K31:N31"/>
    <mergeCell ref="O31:P31"/>
    <mergeCell ref="B32:F32"/>
    <mergeCell ref="G32:J32"/>
    <mergeCell ref="K32:N32"/>
    <mergeCell ref="O32:P32"/>
    <mergeCell ref="B33:F33"/>
    <mergeCell ref="G33:J33"/>
    <mergeCell ref="K33:N33"/>
    <mergeCell ref="O33:P33"/>
    <mergeCell ref="B34:F34"/>
    <mergeCell ref="G34:J34"/>
    <mergeCell ref="K34:N34"/>
    <mergeCell ref="O34:P34"/>
    <mergeCell ref="A35:P35"/>
    <mergeCell ref="B36:F36"/>
    <mergeCell ref="G36:J36"/>
    <mergeCell ref="K36:N36"/>
    <mergeCell ref="O36:P36"/>
    <mergeCell ref="B37:F37"/>
    <mergeCell ref="G37:J37"/>
    <mergeCell ref="K37:N37"/>
    <mergeCell ref="O37:P37"/>
    <mergeCell ref="B38:F38"/>
    <mergeCell ref="G38:J38"/>
    <mergeCell ref="K38:N38"/>
    <mergeCell ref="O38:P38"/>
    <mergeCell ref="B39:F39"/>
    <mergeCell ref="G39:J39"/>
    <mergeCell ref="K39:N39"/>
    <mergeCell ref="O39:P39"/>
    <mergeCell ref="A40:P40"/>
    <mergeCell ref="B41:F41"/>
    <mergeCell ref="G41:J41"/>
    <mergeCell ref="K41:N41"/>
    <mergeCell ref="O41:P41"/>
    <mergeCell ref="B47:F47"/>
    <mergeCell ref="G47:J47"/>
    <mergeCell ref="K47:N47"/>
    <mergeCell ref="O47:P47"/>
    <mergeCell ref="B48:F48"/>
    <mergeCell ref="G48:J48"/>
    <mergeCell ref="K48:N48"/>
    <mergeCell ref="O48:P48"/>
    <mergeCell ref="B42:F42"/>
    <mergeCell ref="G42:J42"/>
    <mergeCell ref="K42:N42"/>
    <mergeCell ref="O42:P42"/>
    <mergeCell ref="B43:F43"/>
    <mergeCell ref="G43:J43"/>
    <mergeCell ref="K43:N43"/>
    <mergeCell ref="O43:P43"/>
    <mergeCell ref="B44:F44"/>
    <mergeCell ref="G44:J44"/>
    <mergeCell ref="K44:N44"/>
    <mergeCell ref="O44:P44"/>
    <mergeCell ref="A45:P45"/>
    <mergeCell ref="B46:F46"/>
    <mergeCell ref="G46:J46"/>
    <mergeCell ref="K46:N46"/>
    <mergeCell ref="B49:F49"/>
    <mergeCell ref="G49:J49"/>
    <mergeCell ref="K49:N49"/>
    <mergeCell ref="O49:P49"/>
    <mergeCell ref="B50:F50"/>
    <mergeCell ref="G50:J50"/>
    <mergeCell ref="K50:N50"/>
    <mergeCell ref="O50:P50"/>
    <mergeCell ref="A51:P51"/>
    <mergeCell ref="B52:F52"/>
    <mergeCell ref="G52:J52"/>
    <mergeCell ref="K52:N52"/>
    <mergeCell ref="O52:P52"/>
    <mergeCell ref="B53:F53"/>
    <mergeCell ref="G53:J53"/>
    <mergeCell ref="K53:N53"/>
    <mergeCell ref="O53:P53"/>
    <mergeCell ref="B54:F54"/>
    <mergeCell ref="G54:J54"/>
    <mergeCell ref="K54:N54"/>
    <mergeCell ref="O54:P54"/>
    <mergeCell ref="G60:J60"/>
    <mergeCell ref="K60:N60"/>
    <mergeCell ref="O60:P60"/>
    <mergeCell ref="B55:F55"/>
    <mergeCell ref="G55:J55"/>
    <mergeCell ref="K55:N55"/>
    <mergeCell ref="O55:P55"/>
    <mergeCell ref="A56:P56"/>
    <mergeCell ref="B57:F57"/>
    <mergeCell ref="G57:J57"/>
    <mergeCell ref="K57:N57"/>
    <mergeCell ref="O57:P57"/>
    <mergeCell ref="B68:F68"/>
    <mergeCell ref="G68:J68"/>
    <mergeCell ref="K68:N68"/>
    <mergeCell ref="O68:P68"/>
    <mergeCell ref="B69:F69"/>
    <mergeCell ref="G69:J69"/>
    <mergeCell ref="K69:N69"/>
    <mergeCell ref="O69:P69"/>
    <mergeCell ref="B64:F64"/>
    <mergeCell ref="G64:J64"/>
    <mergeCell ref="K64:N64"/>
    <mergeCell ref="O64:P64"/>
    <mergeCell ref="B65:F65"/>
    <mergeCell ref="G65:J65"/>
    <mergeCell ref="K65:N65"/>
    <mergeCell ref="O65:P65"/>
    <mergeCell ref="A72:P72"/>
    <mergeCell ref="B70:F70"/>
    <mergeCell ref="G70:J70"/>
    <mergeCell ref="K70:N70"/>
    <mergeCell ref="O70:P70"/>
    <mergeCell ref="B71:F71"/>
    <mergeCell ref="G71:J71"/>
    <mergeCell ref="K71:N71"/>
    <mergeCell ref="O71:P71"/>
    <mergeCell ref="O46:P46"/>
    <mergeCell ref="A66:P66"/>
    <mergeCell ref="B67:F67"/>
    <mergeCell ref="G67:J67"/>
    <mergeCell ref="K67:N67"/>
    <mergeCell ref="O67:P67"/>
    <mergeCell ref="A61:P61"/>
    <mergeCell ref="B62:F62"/>
    <mergeCell ref="G62:J62"/>
    <mergeCell ref="K62:N62"/>
    <mergeCell ref="O62:P62"/>
    <mergeCell ref="B63:F63"/>
    <mergeCell ref="G63:J63"/>
    <mergeCell ref="K63:N63"/>
    <mergeCell ref="O63:P63"/>
    <mergeCell ref="B58:F58"/>
    <mergeCell ref="G58:J58"/>
    <mergeCell ref="K58:N58"/>
    <mergeCell ref="O58:P58"/>
    <mergeCell ref="B59:F59"/>
    <mergeCell ref="G59:J59"/>
    <mergeCell ref="K59:N59"/>
    <mergeCell ref="O59:P59"/>
    <mergeCell ref="B60:F60"/>
    <mergeCell ref="K79:N79"/>
    <mergeCell ref="O79:P79"/>
    <mergeCell ref="B73:F73"/>
    <mergeCell ref="G73:J73"/>
    <mergeCell ref="K73:N73"/>
    <mergeCell ref="O73:P73"/>
    <mergeCell ref="B74:F74"/>
    <mergeCell ref="G74:J74"/>
    <mergeCell ref="K74:N74"/>
    <mergeCell ref="O74:P74"/>
    <mergeCell ref="B75:F75"/>
    <mergeCell ref="G75:J75"/>
    <mergeCell ref="K75:N75"/>
    <mergeCell ref="O75:P75"/>
    <mergeCell ref="B76:F76"/>
    <mergeCell ref="G76:J76"/>
    <mergeCell ref="K76:N76"/>
    <mergeCell ref="O76:P76"/>
    <mergeCell ref="B78:F78"/>
    <mergeCell ref="G78:J78"/>
    <mergeCell ref="K78:N78"/>
    <mergeCell ref="O78:P78"/>
    <mergeCell ref="B77:F77"/>
    <mergeCell ref="G77:J77"/>
  </mergeCells>
  <pageMargins left="0.4" right="0.4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X53"/>
  <sheetViews>
    <sheetView showRuler="0" topLeftCell="A43" zoomScale="85" zoomScaleNormal="85" workbookViewId="0">
      <selection activeCell="R53" sqref="R53"/>
    </sheetView>
  </sheetViews>
  <sheetFormatPr defaultRowHeight="15" x14ac:dyDescent="0.25"/>
  <cols>
    <col min="1" max="1" width="6.42578125" style="253" customWidth="1"/>
    <col min="2" max="17" width="8" style="253" customWidth="1"/>
    <col min="18" max="18" width="10.28515625" style="253" bestFit="1" customWidth="1"/>
    <col min="19" max="50" width="8" style="253" customWidth="1"/>
    <col min="51" max="16384" width="9.140625" style="260"/>
  </cols>
  <sheetData>
    <row r="1" spans="1:50" x14ac:dyDescent="0.25">
      <c r="A1" s="325"/>
      <c r="B1" s="325"/>
      <c r="C1" s="325"/>
      <c r="D1" s="325"/>
      <c r="E1" s="326" t="s">
        <v>38</v>
      </c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</row>
    <row r="2" spans="1:50" ht="15" customHeight="1" x14ac:dyDescent="0.25"/>
    <row r="3" spans="1:50" ht="15" customHeight="1" x14ac:dyDescent="0.25">
      <c r="A3" s="327" t="s">
        <v>809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</row>
    <row r="4" spans="1:50" ht="15" customHeight="1" x14ac:dyDescent="0.25">
      <c r="A4" s="328" t="s">
        <v>39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</row>
    <row r="5" spans="1:50" ht="15" customHeight="1" x14ac:dyDescent="0.25"/>
    <row r="6" spans="1:50" ht="54.4" customHeight="1" x14ac:dyDescent="0.25">
      <c r="A6" s="329" t="s">
        <v>40</v>
      </c>
      <c r="B6" s="329"/>
      <c r="C6" s="329"/>
      <c r="D6" s="329"/>
      <c r="E6" s="329"/>
      <c r="F6" s="330" t="str">
        <f>'1.3.1 ТХ'!F6:P6</f>
        <v>Технология производства</v>
      </c>
      <c r="G6" s="330"/>
      <c r="H6" s="330"/>
      <c r="I6" s="330"/>
      <c r="J6" s="330"/>
      <c r="K6" s="330"/>
      <c r="L6" s="330"/>
      <c r="M6" s="330"/>
      <c r="N6" s="330"/>
      <c r="O6" s="330"/>
      <c r="P6" s="330"/>
    </row>
    <row r="7" spans="1:50" ht="15" customHeight="1" x14ac:dyDescent="0.25"/>
    <row r="8" spans="1:50" ht="27.2" customHeight="1" x14ac:dyDescent="0.25">
      <c r="A8" s="329" t="s">
        <v>41</v>
      </c>
      <c r="B8" s="329"/>
      <c r="C8" s="329"/>
      <c r="D8" s="329"/>
      <c r="E8" s="329"/>
      <c r="F8" s="330" t="str">
        <f>СВОД!D14</f>
        <v>ОАО «СИБНЕФТЕТРАНСПРОЕКТ»</v>
      </c>
      <c r="G8" s="330"/>
      <c r="H8" s="330"/>
      <c r="I8" s="330"/>
      <c r="J8" s="330"/>
      <c r="K8" s="330"/>
      <c r="L8" s="330"/>
      <c r="M8" s="330"/>
      <c r="N8" s="330"/>
      <c r="O8" s="330"/>
      <c r="P8" s="330"/>
    </row>
    <row r="9" spans="1:50" ht="15" customHeight="1" x14ac:dyDescent="0.25"/>
    <row r="10" spans="1:50" ht="15" customHeight="1" x14ac:dyDescent="0.25">
      <c r="A10" s="329" t="s">
        <v>5</v>
      </c>
      <c r="B10" s="329"/>
      <c r="C10" s="329"/>
      <c r="D10" s="329"/>
      <c r="E10" s="329"/>
      <c r="F10" s="330" t="str">
        <f>СВОД!D16</f>
        <v>ООО «Газпром проектирование»</v>
      </c>
      <c r="G10" s="330"/>
      <c r="H10" s="330"/>
      <c r="I10" s="330"/>
      <c r="J10" s="330"/>
      <c r="K10" s="330"/>
      <c r="L10" s="330"/>
      <c r="M10" s="330"/>
      <c r="N10" s="330"/>
      <c r="O10" s="330"/>
      <c r="P10" s="330"/>
    </row>
    <row r="11" spans="1:50" ht="15" customHeight="1" x14ac:dyDescent="0.25"/>
    <row r="12" spans="1:50" ht="40.9" customHeight="1" x14ac:dyDescent="0.25">
      <c r="A12" s="259" t="s">
        <v>42</v>
      </c>
      <c r="B12" s="348" t="s">
        <v>43</v>
      </c>
      <c r="C12" s="348"/>
      <c r="D12" s="348"/>
      <c r="E12" s="348"/>
      <c r="F12" s="348"/>
      <c r="G12" s="348" t="s">
        <v>44</v>
      </c>
      <c r="H12" s="348"/>
      <c r="I12" s="348"/>
      <c r="J12" s="348"/>
      <c r="K12" s="348" t="s">
        <v>45</v>
      </c>
      <c r="L12" s="348"/>
      <c r="M12" s="348"/>
      <c r="N12" s="348"/>
      <c r="O12" s="348" t="s">
        <v>46</v>
      </c>
      <c r="P12" s="348"/>
    </row>
    <row r="13" spans="1:50" ht="15" customHeight="1" x14ac:dyDescent="0.25">
      <c r="A13" s="259">
        <v>1</v>
      </c>
      <c r="B13" s="348">
        <v>2</v>
      </c>
      <c r="C13" s="348"/>
      <c r="D13" s="348"/>
      <c r="E13" s="348"/>
      <c r="F13" s="348"/>
      <c r="G13" s="348">
        <v>3</v>
      </c>
      <c r="H13" s="348"/>
      <c r="I13" s="348"/>
      <c r="J13" s="348"/>
      <c r="K13" s="348">
        <v>4</v>
      </c>
      <c r="L13" s="348"/>
      <c r="M13" s="348"/>
      <c r="N13" s="348"/>
      <c r="O13" s="348">
        <v>5</v>
      </c>
      <c r="P13" s="348"/>
    </row>
    <row r="14" spans="1:50" customFormat="1" ht="15" customHeight="1" x14ac:dyDescent="0.25">
      <c r="A14" s="500" t="s">
        <v>471</v>
      </c>
      <c r="B14" s="500"/>
      <c r="C14" s="500"/>
      <c r="D14" s="500"/>
      <c r="E14" s="500"/>
      <c r="F14" s="500"/>
      <c r="G14" s="500"/>
      <c r="H14" s="500"/>
      <c r="I14" s="500"/>
      <c r="J14" s="500"/>
      <c r="K14" s="500"/>
      <c r="L14" s="500"/>
      <c r="M14" s="500"/>
      <c r="N14" s="500"/>
      <c r="O14" s="500"/>
      <c r="P14" s="500"/>
      <c r="Q14" s="261"/>
      <c r="R14" s="261"/>
      <c r="S14" s="261"/>
      <c r="T14" s="261"/>
      <c r="U14" s="261"/>
      <c r="V14" s="261"/>
      <c r="W14" s="261"/>
      <c r="X14" s="261"/>
      <c r="Y14" s="261"/>
      <c r="Z14" s="261"/>
      <c r="AA14" s="261"/>
      <c r="AB14" s="261"/>
      <c r="AC14" s="261"/>
      <c r="AD14" s="261"/>
      <c r="AE14" s="261"/>
      <c r="AF14" s="261"/>
      <c r="AG14" s="261"/>
      <c r="AH14" s="261"/>
      <c r="AI14" s="261"/>
      <c r="AJ14" s="261"/>
      <c r="AK14" s="261"/>
      <c r="AL14" s="261"/>
      <c r="AM14" s="261"/>
      <c r="AN14" s="261"/>
      <c r="AO14" s="261"/>
      <c r="AP14" s="261"/>
      <c r="AQ14" s="261"/>
      <c r="AR14" s="261"/>
      <c r="AS14" s="261"/>
      <c r="AT14" s="261"/>
      <c r="AU14" s="261"/>
      <c r="AV14" s="261"/>
      <c r="AW14" s="261"/>
      <c r="AX14" s="261"/>
    </row>
    <row r="15" spans="1:50" customFormat="1" ht="15" customHeight="1" x14ac:dyDescent="0.25">
      <c r="A15" s="500" t="s">
        <v>810</v>
      </c>
      <c r="B15" s="500"/>
      <c r="C15" s="500"/>
      <c r="D15" s="500"/>
      <c r="E15" s="500"/>
      <c r="F15" s="500"/>
      <c r="G15" s="500"/>
      <c r="H15" s="500"/>
      <c r="I15" s="500"/>
      <c r="J15" s="500"/>
      <c r="K15" s="500"/>
      <c r="L15" s="500"/>
      <c r="M15" s="500"/>
      <c r="N15" s="500"/>
      <c r="O15" s="500"/>
      <c r="P15" s="500"/>
      <c r="Q15" s="261"/>
      <c r="R15" s="261"/>
      <c r="S15" s="261"/>
      <c r="T15" s="261"/>
      <c r="U15" s="261"/>
      <c r="V15" s="261"/>
      <c r="W15" s="261"/>
      <c r="X15" s="261"/>
      <c r="Y15" s="261"/>
      <c r="Z15" s="261"/>
      <c r="AA15" s="261"/>
      <c r="AB15" s="261"/>
      <c r="AC15" s="261"/>
      <c r="AD15" s="261"/>
      <c r="AE15" s="261"/>
      <c r="AF15" s="261"/>
      <c r="AG15" s="261"/>
      <c r="AH15" s="261"/>
      <c r="AI15" s="261"/>
      <c r="AJ15" s="261"/>
      <c r="AK15" s="261"/>
      <c r="AL15" s="261"/>
      <c r="AM15" s="261"/>
      <c r="AN15" s="261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</row>
    <row r="16" spans="1:50" customFormat="1" ht="15" customHeight="1" x14ac:dyDescent="0.25">
      <c r="A16" s="500" t="s">
        <v>811</v>
      </c>
      <c r="B16" s="500"/>
      <c r="C16" s="500"/>
      <c r="D16" s="500"/>
      <c r="E16" s="500"/>
      <c r="F16" s="500"/>
      <c r="G16" s="500"/>
      <c r="H16" s="500"/>
      <c r="I16" s="500"/>
      <c r="J16" s="500"/>
      <c r="K16" s="500"/>
      <c r="L16" s="500"/>
      <c r="M16" s="500"/>
      <c r="N16" s="500"/>
      <c r="O16" s="500"/>
      <c r="P16" s="500"/>
      <c r="Q16" s="261"/>
      <c r="R16" s="261"/>
      <c r="S16" s="261"/>
      <c r="T16" s="261"/>
      <c r="U16" s="261"/>
      <c r="V16" s="261"/>
      <c r="W16" s="261"/>
      <c r="X16" s="261"/>
      <c r="Y16" s="261"/>
      <c r="Z16" s="261"/>
      <c r="AA16" s="261"/>
      <c r="AB16" s="261"/>
      <c r="AC16" s="261"/>
      <c r="AD16" s="261"/>
      <c r="AE16" s="261"/>
      <c r="AF16" s="261"/>
      <c r="AG16" s="261"/>
      <c r="AH16" s="261"/>
      <c r="AI16" s="261"/>
      <c r="AJ16" s="261"/>
      <c r="AK16" s="261"/>
      <c r="AL16" s="261"/>
      <c r="AM16" s="261"/>
      <c r="AN16" s="261"/>
      <c r="AO16" s="261"/>
      <c r="AP16" s="261"/>
      <c r="AQ16" s="261"/>
      <c r="AR16" s="261"/>
      <c r="AS16" s="261"/>
      <c r="AT16" s="261"/>
      <c r="AU16" s="261"/>
      <c r="AV16" s="261"/>
      <c r="AW16" s="261"/>
      <c r="AX16" s="261"/>
    </row>
    <row r="17" spans="1:50" customFormat="1" ht="122.45" customHeight="1" x14ac:dyDescent="0.25">
      <c r="A17" s="501" t="s">
        <v>13</v>
      </c>
      <c r="B17" s="502" t="s">
        <v>641</v>
      </c>
      <c r="C17" s="503"/>
      <c r="D17" s="503"/>
      <c r="E17" s="503"/>
      <c r="F17" s="503"/>
      <c r="G17" s="503" t="s">
        <v>812</v>
      </c>
      <c r="H17" s="503"/>
      <c r="I17" s="503"/>
      <c r="J17" s="503"/>
      <c r="K17" s="503" t="s">
        <v>1028</v>
      </c>
      <c r="L17" s="503"/>
      <c r="M17" s="503"/>
      <c r="N17" s="503"/>
      <c r="O17" s="504">
        <f>ROUND((61900 + 15484 * 1.485) * 1 * 1.56 * 0.6, 2)</f>
        <v>79460.539999999994</v>
      </c>
      <c r="P17" s="503"/>
      <c r="Q17" s="261"/>
      <c r="R17" s="261"/>
      <c r="S17" s="261"/>
      <c r="T17" s="261"/>
      <c r="U17" s="261"/>
      <c r="V17" s="261"/>
      <c r="W17" s="261"/>
      <c r="X17" s="261"/>
      <c r="Y17" s="261"/>
      <c r="Z17" s="261"/>
      <c r="AA17" s="261"/>
      <c r="AB17" s="261"/>
      <c r="AC17" s="261"/>
      <c r="AD17" s="261"/>
      <c r="AE17" s="261"/>
      <c r="AF17" s="261"/>
      <c r="AG17" s="261"/>
      <c r="AH17" s="261"/>
      <c r="AI17" s="261"/>
      <c r="AJ17" s="261"/>
      <c r="AK17" s="261"/>
      <c r="AL17" s="261"/>
      <c r="AM17" s="261"/>
      <c r="AN17" s="261"/>
      <c r="AO17" s="261"/>
      <c r="AP17" s="261"/>
      <c r="AQ17" s="261"/>
      <c r="AR17" s="261"/>
      <c r="AS17" s="261"/>
      <c r="AT17" s="261"/>
      <c r="AU17" s="261"/>
      <c r="AV17" s="261"/>
      <c r="AW17" s="261"/>
      <c r="AX17" s="261"/>
    </row>
    <row r="18" spans="1:50" customFormat="1" ht="15" customHeight="1" x14ac:dyDescent="0.25">
      <c r="A18" s="262"/>
      <c r="B18" s="345" t="s">
        <v>50</v>
      </c>
      <c r="C18" s="345"/>
      <c r="D18" s="345"/>
      <c r="E18" s="345"/>
      <c r="F18" s="345"/>
      <c r="G18" s="345" t="s">
        <v>3</v>
      </c>
      <c r="H18" s="345"/>
      <c r="I18" s="345"/>
      <c r="J18" s="345"/>
      <c r="K18" s="345" t="s">
        <v>3</v>
      </c>
      <c r="L18" s="345"/>
      <c r="M18" s="345"/>
      <c r="N18" s="345"/>
      <c r="O18" s="345"/>
      <c r="P18" s="345"/>
      <c r="Q18" s="261"/>
      <c r="R18" s="261"/>
      <c r="S18" s="261"/>
      <c r="T18" s="261"/>
      <c r="U18" s="261"/>
      <c r="V18" s="261"/>
      <c r="W18" s="261"/>
      <c r="X18" s="261"/>
      <c r="Y18" s="261"/>
      <c r="Z18" s="261"/>
      <c r="AA18" s="261"/>
      <c r="AB18" s="261"/>
      <c r="AC18" s="261"/>
      <c r="AD18" s="261"/>
      <c r="AE18" s="261"/>
      <c r="AF18" s="261"/>
      <c r="AG18" s="261"/>
      <c r="AH18" s="261"/>
      <c r="AI18" s="261"/>
      <c r="AJ18" s="261"/>
      <c r="AK18" s="261"/>
      <c r="AL18" s="261"/>
      <c r="AM18" s="261"/>
      <c r="AN18" s="261"/>
      <c r="AO18" s="261"/>
      <c r="AP18" s="261"/>
      <c r="AQ18" s="261"/>
      <c r="AR18" s="261"/>
      <c r="AS18" s="261"/>
      <c r="AT18" s="261"/>
      <c r="AU18" s="261"/>
      <c r="AV18" s="261"/>
      <c r="AW18" s="261"/>
      <c r="AX18" s="261"/>
    </row>
    <row r="19" spans="1:50" customFormat="1" ht="15" customHeight="1" x14ac:dyDescent="0.25">
      <c r="A19" s="263"/>
      <c r="B19" s="320" t="s">
        <v>51</v>
      </c>
      <c r="C19" s="320"/>
      <c r="D19" s="320"/>
      <c r="E19" s="320"/>
      <c r="F19" s="320"/>
      <c r="G19" s="320" t="s">
        <v>52</v>
      </c>
      <c r="H19" s="320"/>
      <c r="I19" s="320"/>
      <c r="J19" s="320"/>
      <c r="K19" s="320" t="s">
        <v>3</v>
      </c>
      <c r="L19" s="320"/>
      <c r="M19" s="320"/>
      <c r="N19" s="320"/>
      <c r="O19" s="320"/>
      <c r="P19" s="320"/>
      <c r="Q19" s="261"/>
      <c r="R19" s="261"/>
      <c r="S19" s="261"/>
      <c r="T19" s="261"/>
      <c r="U19" s="261"/>
      <c r="V19" s="261"/>
      <c r="W19" s="261"/>
      <c r="X19" s="261"/>
      <c r="Y19" s="261"/>
      <c r="Z19" s="261"/>
      <c r="AA19" s="261"/>
      <c r="AB19" s="261"/>
      <c r="AC19" s="261"/>
      <c r="AD19" s="261"/>
      <c r="AE19" s="261"/>
      <c r="AF19" s="261"/>
      <c r="AG19" s="261"/>
      <c r="AH19" s="261"/>
      <c r="AI19" s="261"/>
      <c r="AJ19" s="261"/>
      <c r="AK19" s="261"/>
      <c r="AL19" s="261"/>
      <c r="AM19" s="261"/>
      <c r="AN19" s="261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</row>
    <row r="20" spans="1:50" customFormat="1" ht="40.9" customHeight="1" x14ac:dyDescent="0.25">
      <c r="A20" s="263"/>
      <c r="B20" s="320" t="s">
        <v>929</v>
      </c>
      <c r="C20" s="320"/>
      <c r="D20" s="320"/>
      <c r="E20" s="320"/>
      <c r="F20" s="320"/>
      <c r="G20" s="320" t="s">
        <v>1029</v>
      </c>
      <c r="H20" s="320"/>
      <c r="I20" s="320"/>
      <c r="J20" s="320"/>
      <c r="K20" s="320" t="s">
        <v>3</v>
      </c>
      <c r="L20" s="320"/>
      <c r="M20" s="320"/>
      <c r="N20" s="320"/>
      <c r="O20" s="320"/>
      <c r="P20" s="320"/>
      <c r="Q20" s="261"/>
      <c r="R20" s="261"/>
      <c r="S20" s="261"/>
      <c r="T20" s="261"/>
      <c r="U20" s="261"/>
      <c r="V20" s="261"/>
      <c r="W20" s="261"/>
      <c r="X20" s="261"/>
      <c r="Y20" s="261"/>
      <c r="Z20" s="261"/>
      <c r="AA20" s="261"/>
      <c r="AB20" s="261"/>
      <c r="AC20" s="261"/>
      <c r="AD20" s="261"/>
      <c r="AE20" s="261"/>
      <c r="AF20" s="261"/>
      <c r="AG20" s="261"/>
      <c r="AH20" s="261"/>
      <c r="AI20" s="261"/>
      <c r="AJ20" s="261"/>
      <c r="AK20" s="261"/>
      <c r="AL20" s="261"/>
      <c r="AM20" s="261"/>
      <c r="AN20" s="261"/>
      <c r="AO20" s="261"/>
      <c r="AP20" s="261"/>
      <c r="AQ20" s="261"/>
      <c r="AR20" s="261"/>
      <c r="AS20" s="261"/>
      <c r="AT20" s="261"/>
      <c r="AU20" s="261"/>
      <c r="AV20" s="261"/>
      <c r="AW20" s="261"/>
      <c r="AX20" s="261"/>
    </row>
    <row r="21" spans="1:50" customFormat="1" ht="15" customHeight="1" x14ac:dyDescent="0.25">
      <c r="A21" s="500" t="s">
        <v>813</v>
      </c>
      <c r="B21" s="500"/>
      <c r="C21" s="500"/>
      <c r="D21" s="500"/>
      <c r="E21" s="500"/>
      <c r="F21" s="500"/>
      <c r="G21" s="500"/>
      <c r="H21" s="500"/>
      <c r="I21" s="500"/>
      <c r="J21" s="500"/>
      <c r="K21" s="500"/>
      <c r="L21" s="500"/>
      <c r="M21" s="500"/>
      <c r="N21" s="500"/>
      <c r="O21" s="500"/>
      <c r="P21" s="500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61"/>
      <c r="AG21" s="261"/>
      <c r="AH21" s="261"/>
      <c r="AI21" s="261"/>
      <c r="AJ21" s="261"/>
      <c r="AK21" s="261"/>
      <c r="AL21" s="261"/>
      <c r="AM21" s="261"/>
      <c r="AN21" s="261"/>
      <c r="AO21" s="261"/>
      <c r="AP21" s="261"/>
      <c r="AQ21" s="261"/>
      <c r="AR21" s="261"/>
      <c r="AS21" s="261"/>
      <c r="AT21" s="261"/>
      <c r="AU21" s="261"/>
      <c r="AV21" s="261"/>
      <c r="AW21" s="261"/>
      <c r="AX21" s="261"/>
    </row>
    <row r="22" spans="1:50" customFormat="1" ht="15" customHeight="1" x14ac:dyDescent="0.25">
      <c r="A22" s="500" t="s">
        <v>814</v>
      </c>
      <c r="B22" s="500"/>
      <c r="C22" s="500"/>
      <c r="D22" s="500"/>
      <c r="E22" s="500"/>
      <c r="F22" s="500"/>
      <c r="G22" s="500"/>
      <c r="H22" s="500"/>
      <c r="I22" s="500"/>
      <c r="J22" s="500"/>
      <c r="K22" s="500"/>
      <c r="L22" s="500"/>
      <c r="M22" s="500"/>
      <c r="N22" s="500"/>
      <c r="O22" s="500"/>
      <c r="P22" s="500"/>
      <c r="Q22" s="261"/>
      <c r="R22" s="261"/>
      <c r="S22" s="261"/>
      <c r="T22" s="261"/>
      <c r="U22" s="261"/>
      <c r="V22" s="261"/>
      <c r="W22" s="261"/>
      <c r="X22" s="261"/>
      <c r="Y22" s="261"/>
      <c r="Z22" s="261"/>
      <c r="AA22" s="261"/>
      <c r="AB22" s="261"/>
      <c r="AC22" s="261"/>
      <c r="AD22" s="261"/>
      <c r="AE22" s="261"/>
      <c r="AF22" s="261"/>
      <c r="AG22" s="261"/>
      <c r="AH22" s="261"/>
      <c r="AI22" s="261"/>
      <c r="AJ22" s="261"/>
      <c r="AK22" s="261"/>
      <c r="AL22" s="261"/>
      <c r="AM22" s="261"/>
      <c r="AN22" s="261"/>
      <c r="AO22" s="261"/>
      <c r="AP22" s="261"/>
      <c r="AQ22" s="261"/>
      <c r="AR22" s="261"/>
      <c r="AS22" s="261"/>
      <c r="AT22" s="261"/>
      <c r="AU22" s="261"/>
      <c r="AV22" s="261"/>
      <c r="AW22" s="261"/>
      <c r="AX22" s="261"/>
    </row>
    <row r="23" spans="1:50" customFormat="1" ht="122.45" customHeight="1" x14ac:dyDescent="0.25">
      <c r="A23" s="501" t="s">
        <v>14</v>
      </c>
      <c r="B23" s="502" t="s">
        <v>641</v>
      </c>
      <c r="C23" s="503"/>
      <c r="D23" s="503"/>
      <c r="E23" s="503"/>
      <c r="F23" s="503"/>
      <c r="G23" s="503" t="s">
        <v>815</v>
      </c>
      <c r="H23" s="503"/>
      <c r="I23" s="503"/>
      <c r="J23" s="503"/>
      <c r="K23" s="503" t="s">
        <v>1030</v>
      </c>
      <c r="L23" s="503"/>
      <c r="M23" s="503"/>
      <c r="N23" s="503"/>
      <c r="O23" s="504">
        <f>ROUND((61900 + 15484 * 2.42) * 1 * 1.56 * 0.6, 2)</f>
        <v>93011.520000000004</v>
      </c>
      <c r="P23" s="503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</row>
    <row r="24" spans="1:50" customFormat="1" ht="15" customHeight="1" x14ac:dyDescent="0.25">
      <c r="A24" s="262"/>
      <c r="B24" s="345" t="s">
        <v>50</v>
      </c>
      <c r="C24" s="345"/>
      <c r="D24" s="345"/>
      <c r="E24" s="345"/>
      <c r="F24" s="345"/>
      <c r="G24" s="345" t="s">
        <v>3</v>
      </c>
      <c r="H24" s="345"/>
      <c r="I24" s="345"/>
      <c r="J24" s="345"/>
      <c r="K24" s="345" t="s">
        <v>3</v>
      </c>
      <c r="L24" s="345"/>
      <c r="M24" s="345"/>
      <c r="N24" s="345"/>
      <c r="O24" s="345"/>
      <c r="P24" s="345"/>
      <c r="Q24" s="261"/>
      <c r="R24" s="261"/>
      <c r="S24" s="261"/>
      <c r="T24" s="261"/>
      <c r="U24" s="261"/>
      <c r="V24" s="261"/>
      <c r="W24" s="261"/>
      <c r="X24" s="261"/>
      <c r="Y24" s="261"/>
      <c r="Z24" s="261"/>
      <c r="AA24" s="261"/>
      <c r="AB24" s="261"/>
      <c r="AC24" s="261"/>
      <c r="AD24" s="261"/>
      <c r="AE24" s="261"/>
      <c r="AF24" s="261"/>
      <c r="AG24" s="261"/>
      <c r="AH24" s="261"/>
      <c r="AI24" s="261"/>
      <c r="AJ24" s="261"/>
      <c r="AK24" s="261"/>
      <c r="AL24" s="261"/>
      <c r="AM24" s="261"/>
      <c r="AN24" s="261"/>
      <c r="AO24" s="261"/>
      <c r="AP24" s="261"/>
      <c r="AQ24" s="261"/>
      <c r="AR24" s="261"/>
      <c r="AS24" s="261"/>
      <c r="AT24" s="261"/>
      <c r="AU24" s="261"/>
      <c r="AV24" s="261"/>
      <c r="AW24" s="261"/>
      <c r="AX24" s="261"/>
    </row>
    <row r="25" spans="1:50" customFormat="1" ht="15" customHeight="1" x14ac:dyDescent="0.25">
      <c r="A25" s="263"/>
      <c r="B25" s="320" t="s">
        <v>51</v>
      </c>
      <c r="C25" s="320"/>
      <c r="D25" s="320"/>
      <c r="E25" s="320"/>
      <c r="F25" s="320"/>
      <c r="G25" s="320" t="s">
        <v>52</v>
      </c>
      <c r="H25" s="320"/>
      <c r="I25" s="320"/>
      <c r="J25" s="320"/>
      <c r="K25" s="320" t="s">
        <v>3</v>
      </c>
      <c r="L25" s="320"/>
      <c r="M25" s="320"/>
      <c r="N25" s="320"/>
      <c r="O25" s="320"/>
      <c r="P25" s="320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261"/>
      <c r="AC25" s="261"/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61"/>
      <c r="AW25" s="261"/>
      <c r="AX25" s="261"/>
    </row>
    <row r="26" spans="1:50" customFormat="1" ht="40.9" customHeight="1" x14ac:dyDescent="0.25">
      <c r="A26" s="263"/>
      <c r="B26" s="320" t="s">
        <v>929</v>
      </c>
      <c r="C26" s="320"/>
      <c r="D26" s="320"/>
      <c r="E26" s="320"/>
      <c r="F26" s="320"/>
      <c r="G26" s="320" t="s">
        <v>1029</v>
      </c>
      <c r="H26" s="320"/>
      <c r="I26" s="320"/>
      <c r="J26" s="320"/>
      <c r="K26" s="320" t="s">
        <v>3</v>
      </c>
      <c r="L26" s="320"/>
      <c r="M26" s="320"/>
      <c r="N26" s="320"/>
      <c r="O26" s="320"/>
      <c r="P26" s="320"/>
      <c r="Q26" s="261"/>
      <c r="R26" s="261"/>
      <c r="S26" s="261"/>
      <c r="T26" s="261"/>
      <c r="U26" s="261"/>
      <c r="V26" s="261"/>
      <c r="W26" s="261"/>
      <c r="X26" s="261"/>
      <c r="Y26" s="261"/>
      <c r="Z26" s="261"/>
      <c r="AA26" s="261"/>
      <c r="AB26" s="261"/>
      <c r="AC26" s="261"/>
      <c r="AD26" s="261"/>
      <c r="AE26" s="261"/>
      <c r="AF26" s="261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</row>
    <row r="27" spans="1:50" customFormat="1" ht="15" customHeight="1" x14ac:dyDescent="0.25">
      <c r="A27" s="500" t="s">
        <v>816</v>
      </c>
      <c r="B27" s="500"/>
      <c r="C27" s="500"/>
      <c r="D27" s="500"/>
      <c r="E27" s="500"/>
      <c r="F27" s="500"/>
      <c r="G27" s="500"/>
      <c r="H27" s="500"/>
      <c r="I27" s="500"/>
      <c r="J27" s="500"/>
      <c r="K27" s="500"/>
      <c r="L27" s="500"/>
      <c r="M27" s="500"/>
      <c r="N27" s="500"/>
      <c r="O27" s="500"/>
      <c r="P27" s="500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1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</row>
    <row r="28" spans="1:50" customFormat="1" ht="15" customHeight="1" x14ac:dyDescent="0.25">
      <c r="A28" s="500" t="s">
        <v>817</v>
      </c>
      <c r="B28" s="500"/>
      <c r="C28" s="500"/>
      <c r="D28" s="500"/>
      <c r="E28" s="500"/>
      <c r="F28" s="500"/>
      <c r="G28" s="500"/>
      <c r="H28" s="500"/>
      <c r="I28" s="500"/>
      <c r="J28" s="500"/>
      <c r="K28" s="500"/>
      <c r="L28" s="500"/>
      <c r="M28" s="500"/>
      <c r="N28" s="500"/>
      <c r="O28" s="500"/>
      <c r="P28" s="500"/>
      <c r="Q28" s="261"/>
      <c r="R28" s="261"/>
      <c r="S28" s="261"/>
      <c r="T28" s="261"/>
      <c r="U28" s="261"/>
      <c r="V28" s="261"/>
      <c r="W28" s="261"/>
      <c r="X28" s="261"/>
      <c r="Y28" s="261"/>
      <c r="Z28" s="261"/>
      <c r="AA28" s="261"/>
      <c r="AB28" s="261"/>
      <c r="AC28" s="261"/>
      <c r="AD28" s="261"/>
      <c r="AE28" s="261"/>
      <c r="AF28" s="261"/>
      <c r="AG28" s="261"/>
      <c r="AH28" s="261"/>
      <c r="AI28" s="261"/>
      <c r="AJ28" s="261"/>
      <c r="AK28" s="261"/>
      <c r="AL28" s="261"/>
      <c r="AM28" s="261"/>
      <c r="AN28" s="261"/>
      <c r="AO28" s="261"/>
      <c r="AP28" s="261"/>
      <c r="AQ28" s="261"/>
      <c r="AR28" s="261"/>
      <c r="AS28" s="261"/>
      <c r="AT28" s="261"/>
      <c r="AU28" s="261"/>
      <c r="AV28" s="261"/>
      <c r="AW28" s="261"/>
      <c r="AX28" s="261"/>
    </row>
    <row r="29" spans="1:50" customFormat="1" ht="135.94999999999999" customHeight="1" x14ac:dyDescent="0.25">
      <c r="A29" s="501" t="s">
        <v>16</v>
      </c>
      <c r="B29" s="502" t="s">
        <v>641</v>
      </c>
      <c r="C29" s="503"/>
      <c r="D29" s="503"/>
      <c r="E29" s="503"/>
      <c r="F29" s="503"/>
      <c r="G29" s="503" t="s">
        <v>818</v>
      </c>
      <c r="H29" s="503"/>
      <c r="I29" s="503"/>
      <c r="J29" s="503"/>
      <c r="K29" s="503" t="s">
        <v>1031</v>
      </c>
      <c r="L29" s="503"/>
      <c r="M29" s="503"/>
      <c r="N29" s="503"/>
      <c r="O29" s="504">
        <f>ROUND((61900 + 15484 * (0.4 * 1 + 0.6 * (1 / 2))) * 1 * 0.47 * 1.56 * 0.6, 2)</f>
        <v>31999.25</v>
      </c>
      <c r="P29" s="503"/>
      <c r="Q29" s="261"/>
      <c r="R29" s="261"/>
      <c r="S29" s="261"/>
      <c r="T29" s="261"/>
      <c r="U29" s="261"/>
      <c r="V29" s="261"/>
      <c r="W29" s="261"/>
      <c r="X29" s="261"/>
      <c r="Y29" s="261"/>
      <c r="Z29" s="261"/>
      <c r="AA29" s="261"/>
      <c r="AB29" s="261"/>
      <c r="AC29" s="261"/>
      <c r="AD29" s="261"/>
      <c r="AE29" s="261"/>
      <c r="AF29" s="261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</row>
    <row r="30" spans="1:50" customFormat="1" ht="15" customHeight="1" x14ac:dyDescent="0.25">
      <c r="A30" s="262"/>
      <c r="B30" s="345" t="s">
        <v>50</v>
      </c>
      <c r="C30" s="345"/>
      <c r="D30" s="345"/>
      <c r="E30" s="345"/>
      <c r="F30" s="345"/>
      <c r="G30" s="345" t="s">
        <v>3</v>
      </c>
      <c r="H30" s="345"/>
      <c r="I30" s="345"/>
      <c r="J30" s="345"/>
      <c r="K30" s="345" t="s">
        <v>3</v>
      </c>
      <c r="L30" s="345"/>
      <c r="M30" s="345"/>
      <c r="N30" s="345"/>
      <c r="O30" s="345"/>
      <c r="P30" s="345"/>
      <c r="Q30" s="261"/>
      <c r="R30" s="261"/>
      <c r="S30" s="261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1"/>
      <c r="AG30" s="261"/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</row>
    <row r="31" spans="1:50" customFormat="1" ht="15" customHeight="1" x14ac:dyDescent="0.25">
      <c r="A31" s="263"/>
      <c r="B31" s="320" t="s">
        <v>51</v>
      </c>
      <c r="C31" s="320"/>
      <c r="D31" s="320"/>
      <c r="E31" s="320"/>
      <c r="F31" s="320"/>
      <c r="G31" s="320" t="s">
        <v>52</v>
      </c>
      <c r="H31" s="320"/>
      <c r="I31" s="320"/>
      <c r="J31" s="320"/>
      <c r="K31" s="320" t="s">
        <v>3</v>
      </c>
      <c r="L31" s="320"/>
      <c r="M31" s="320"/>
      <c r="N31" s="320"/>
      <c r="O31" s="320"/>
      <c r="P31" s="320"/>
      <c r="Q31" s="261"/>
      <c r="R31" s="261"/>
      <c r="S31" s="261"/>
      <c r="T31" s="261"/>
      <c r="U31" s="261"/>
      <c r="V31" s="261"/>
      <c r="W31" s="261"/>
      <c r="X31" s="261"/>
      <c r="Y31" s="261"/>
      <c r="Z31" s="261"/>
      <c r="AA31" s="261"/>
      <c r="AB31" s="261"/>
      <c r="AC31" s="261"/>
      <c r="AD31" s="261"/>
      <c r="AE31" s="261"/>
      <c r="AF31" s="261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</row>
    <row r="32" spans="1:50" customFormat="1" ht="40.9" customHeight="1" x14ac:dyDescent="0.25">
      <c r="A32" s="263"/>
      <c r="B32" s="320" t="s">
        <v>929</v>
      </c>
      <c r="C32" s="320"/>
      <c r="D32" s="320"/>
      <c r="E32" s="320"/>
      <c r="F32" s="320"/>
      <c r="G32" s="320" t="s">
        <v>1029</v>
      </c>
      <c r="H32" s="320"/>
      <c r="I32" s="320"/>
      <c r="J32" s="320"/>
      <c r="K32" s="320" t="s">
        <v>3</v>
      </c>
      <c r="L32" s="320"/>
      <c r="M32" s="320"/>
      <c r="N32" s="320"/>
      <c r="O32" s="320"/>
      <c r="P32" s="320"/>
      <c r="Q32" s="261"/>
      <c r="R32" s="261"/>
      <c r="S32" s="261"/>
      <c r="T32" s="261"/>
      <c r="U32" s="261"/>
      <c r="V32" s="261"/>
      <c r="W32" s="261"/>
      <c r="X32" s="261"/>
      <c r="Y32" s="261"/>
      <c r="Z32" s="261"/>
      <c r="AA32" s="261"/>
      <c r="AB32" s="261"/>
      <c r="AC32" s="261"/>
      <c r="AD32" s="261"/>
      <c r="AE32" s="261"/>
      <c r="AF32" s="261"/>
      <c r="AG32" s="261"/>
      <c r="AH32" s="261"/>
      <c r="AI32" s="261"/>
      <c r="AJ32" s="261"/>
      <c r="AK32" s="261"/>
      <c r="AL32" s="261"/>
      <c r="AM32" s="261"/>
      <c r="AN32" s="261"/>
      <c r="AO32" s="261"/>
      <c r="AP32" s="261"/>
      <c r="AQ32" s="261"/>
      <c r="AR32" s="261"/>
      <c r="AS32" s="261"/>
      <c r="AT32" s="261"/>
      <c r="AU32" s="261"/>
      <c r="AV32" s="261"/>
      <c r="AW32" s="261"/>
      <c r="AX32" s="261"/>
    </row>
    <row r="33" spans="1:50" customFormat="1" ht="95.25" customHeight="1" x14ac:dyDescent="0.25">
      <c r="A33" s="263"/>
      <c r="B33" s="320" t="s">
        <v>97</v>
      </c>
      <c r="C33" s="320"/>
      <c r="D33" s="320"/>
      <c r="E33" s="320"/>
      <c r="F33" s="320"/>
      <c r="G33" s="320" t="s">
        <v>819</v>
      </c>
      <c r="H33" s="320"/>
      <c r="I33" s="320"/>
      <c r="J33" s="320"/>
      <c r="K33" s="320" t="s">
        <v>3</v>
      </c>
      <c r="L33" s="320"/>
      <c r="M33" s="320"/>
      <c r="N33" s="320"/>
      <c r="O33" s="320"/>
      <c r="P33" s="320"/>
      <c r="Q33" s="261"/>
      <c r="R33" s="261"/>
      <c r="S33" s="261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1"/>
      <c r="AG33" s="261"/>
      <c r="AH33" s="261"/>
      <c r="AI33" s="261"/>
      <c r="AJ33" s="261"/>
      <c r="AK33" s="261"/>
      <c r="AL33" s="261"/>
      <c r="AM33" s="261"/>
      <c r="AN33" s="261"/>
      <c r="AO33" s="261"/>
      <c r="AP33" s="261"/>
      <c r="AQ33" s="261"/>
      <c r="AR33" s="261"/>
      <c r="AS33" s="261"/>
      <c r="AT33" s="261"/>
      <c r="AU33" s="261"/>
      <c r="AV33" s="261"/>
      <c r="AW33" s="261"/>
      <c r="AX33" s="261"/>
    </row>
    <row r="34" spans="1:50" customFormat="1" ht="15" customHeight="1" x14ac:dyDescent="0.25">
      <c r="A34" s="500" t="s">
        <v>1032</v>
      </c>
      <c r="B34" s="500"/>
      <c r="C34" s="500"/>
      <c r="D34" s="500"/>
      <c r="E34" s="500"/>
      <c r="F34" s="500"/>
      <c r="G34" s="500"/>
      <c r="H34" s="500"/>
      <c r="I34" s="500"/>
      <c r="J34" s="500"/>
      <c r="K34" s="500"/>
      <c r="L34" s="500"/>
      <c r="M34" s="500"/>
      <c r="N34" s="500"/>
      <c r="O34" s="500"/>
      <c r="P34" s="500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61"/>
      <c r="AF34" s="261"/>
      <c r="AG34" s="261"/>
      <c r="AH34" s="261"/>
      <c r="AI34" s="261"/>
      <c r="AJ34" s="261"/>
      <c r="AK34" s="261"/>
      <c r="AL34" s="261"/>
      <c r="AM34" s="261"/>
      <c r="AN34" s="261"/>
      <c r="AO34" s="261"/>
      <c r="AP34" s="261"/>
      <c r="AQ34" s="261"/>
      <c r="AR34" s="261"/>
      <c r="AS34" s="261"/>
      <c r="AT34" s="261"/>
      <c r="AU34" s="261"/>
      <c r="AV34" s="261"/>
      <c r="AW34" s="261"/>
      <c r="AX34" s="261"/>
    </row>
    <row r="35" spans="1:50" customFormat="1" ht="122.45" customHeight="1" x14ac:dyDescent="0.25">
      <c r="A35" s="501" t="s">
        <v>18</v>
      </c>
      <c r="B35" s="502" t="s">
        <v>641</v>
      </c>
      <c r="C35" s="503"/>
      <c r="D35" s="503"/>
      <c r="E35" s="503"/>
      <c r="F35" s="503"/>
      <c r="G35" s="503" t="s">
        <v>1033</v>
      </c>
      <c r="H35" s="503"/>
      <c r="I35" s="503"/>
      <c r="J35" s="503"/>
      <c r="K35" s="503" t="s">
        <v>1034</v>
      </c>
      <c r="L35" s="503"/>
      <c r="M35" s="503"/>
      <c r="N35" s="503"/>
      <c r="O35" s="504">
        <f>ROUND((61900 + 15484 * 2) * 1 * 1.56 * 0.6, 2)</f>
        <v>86924.45</v>
      </c>
      <c r="P35" s="503"/>
      <c r="Q35" s="261"/>
      <c r="R35" s="261"/>
      <c r="S35" s="261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61"/>
      <c r="AF35" s="261"/>
      <c r="AG35" s="261"/>
      <c r="AH35" s="261"/>
      <c r="AI35" s="261"/>
      <c r="AJ35" s="261"/>
      <c r="AK35" s="261"/>
      <c r="AL35" s="261"/>
      <c r="AM35" s="261"/>
      <c r="AN35" s="261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</row>
    <row r="36" spans="1:50" customFormat="1" ht="15" customHeight="1" x14ac:dyDescent="0.25">
      <c r="A36" s="262"/>
      <c r="B36" s="345" t="s">
        <v>50</v>
      </c>
      <c r="C36" s="345"/>
      <c r="D36" s="345"/>
      <c r="E36" s="345"/>
      <c r="F36" s="345"/>
      <c r="G36" s="345" t="s">
        <v>3</v>
      </c>
      <c r="H36" s="345"/>
      <c r="I36" s="345"/>
      <c r="J36" s="345"/>
      <c r="K36" s="345" t="s">
        <v>3</v>
      </c>
      <c r="L36" s="345"/>
      <c r="M36" s="345"/>
      <c r="N36" s="345"/>
      <c r="O36" s="345"/>
      <c r="P36" s="345"/>
      <c r="Q36" s="261"/>
      <c r="R36" s="261"/>
      <c r="S36" s="261"/>
      <c r="T36" s="261"/>
      <c r="U36" s="261"/>
      <c r="V36" s="261"/>
      <c r="W36" s="261"/>
      <c r="X36" s="261"/>
      <c r="Y36" s="261"/>
      <c r="Z36" s="261"/>
      <c r="AA36" s="261"/>
      <c r="AB36" s="261"/>
      <c r="AC36" s="261"/>
      <c r="AD36" s="261"/>
      <c r="AE36" s="261"/>
      <c r="AF36" s="261"/>
      <c r="AG36" s="261"/>
      <c r="AH36" s="261"/>
      <c r="AI36" s="261"/>
      <c r="AJ36" s="261"/>
      <c r="AK36" s="261"/>
      <c r="AL36" s="261"/>
      <c r="AM36" s="261"/>
      <c r="AN36" s="261"/>
      <c r="AO36" s="261"/>
      <c r="AP36" s="261"/>
      <c r="AQ36" s="261"/>
      <c r="AR36" s="261"/>
      <c r="AS36" s="261"/>
      <c r="AT36" s="261"/>
      <c r="AU36" s="261"/>
      <c r="AV36" s="261"/>
      <c r="AW36" s="261"/>
      <c r="AX36" s="261"/>
    </row>
    <row r="37" spans="1:50" customFormat="1" ht="15" customHeight="1" x14ac:dyDescent="0.25">
      <c r="A37" s="263"/>
      <c r="B37" s="320" t="s">
        <v>51</v>
      </c>
      <c r="C37" s="320"/>
      <c r="D37" s="320"/>
      <c r="E37" s="320"/>
      <c r="F37" s="320"/>
      <c r="G37" s="320" t="s">
        <v>52</v>
      </c>
      <c r="H37" s="320"/>
      <c r="I37" s="320"/>
      <c r="J37" s="320"/>
      <c r="K37" s="320" t="s">
        <v>3</v>
      </c>
      <c r="L37" s="320"/>
      <c r="M37" s="320"/>
      <c r="N37" s="320"/>
      <c r="O37" s="320"/>
      <c r="P37" s="320"/>
      <c r="Q37" s="261"/>
      <c r="R37" s="261"/>
      <c r="S37" s="261"/>
      <c r="T37" s="261"/>
      <c r="U37" s="261"/>
      <c r="V37" s="261"/>
      <c r="W37" s="261"/>
      <c r="X37" s="261"/>
      <c r="Y37" s="261"/>
      <c r="Z37" s="261"/>
      <c r="AA37" s="261"/>
      <c r="AB37" s="261"/>
      <c r="AC37" s="261"/>
      <c r="AD37" s="261"/>
      <c r="AE37" s="261"/>
      <c r="AF37" s="261"/>
      <c r="AG37" s="261"/>
      <c r="AH37" s="261"/>
      <c r="AI37" s="261"/>
      <c r="AJ37" s="261"/>
      <c r="AK37" s="261"/>
      <c r="AL37" s="261"/>
      <c r="AM37" s="261"/>
      <c r="AN37" s="261"/>
      <c r="AO37" s="261"/>
      <c r="AP37" s="261"/>
      <c r="AQ37" s="261"/>
      <c r="AR37" s="261"/>
      <c r="AS37" s="261"/>
      <c r="AT37" s="261"/>
      <c r="AU37" s="261"/>
      <c r="AV37" s="261"/>
      <c r="AW37" s="261"/>
      <c r="AX37" s="261"/>
    </row>
    <row r="38" spans="1:50" customFormat="1" ht="40.9" customHeight="1" x14ac:dyDescent="0.25">
      <c r="A38" s="263"/>
      <c r="B38" s="320" t="s">
        <v>929</v>
      </c>
      <c r="C38" s="320"/>
      <c r="D38" s="320"/>
      <c r="E38" s="320"/>
      <c r="F38" s="320"/>
      <c r="G38" s="320" t="s">
        <v>1029</v>
      </c>
      <c r="H38" s="320"/>
      <c r="I38" s="320"/>
      <c r="J38" s="320"/>
      <c r="K38" s="320" t="s">
        <v>3</v>
      </c>
      <c r="L38" s="320"/>
      <c r="M38" s="320"/>
      <c r="N38" s="320"/>
      <c r="O38" s="320"/>
      <c r="P38" s="320"/>
      <c r="Q38" s="261"/>
      <c r="R38" s="261"/>
      <c r="S38" s="261"/>
      <c r="T38" s="261"/>
      <c r="U38" s="261"/>
      <c r="V38" s="261"/>
      <c r="W38" s="261"/>
      <c r="X38" s="261"/>
      <c r="Y38" s="261"/>
      <c r="Z38" s="261"/>
      <c r="AA38" s="261"/>
      <c r="AB38" s="261"/>
      <c r="AC38" s="261"/>
      <c r="AD38" s="261"/>
      <c r="AE38" s="261"/>
      <c r="AF38" s="261"/>
      <c r="AG38" s="261"/>
      <c r="AH38" s="261"/>
      <c r="AI38" s="261"/>
      <c r="AJ38" s="261"/>
      <c r="AK38" s="261"/>
      <c r="AL38" s="261"/>
      <c r="AM38" s="261"/>
      <c r="AN38" s="261"/>
      <c r="AO38" s="261"/>
      <c r="AP38" s="261"/>
      <c r="AQ38" s="261"/>
      <c r="AR38" s="261"/>
      <c r="AS38" s="261"/>
      <c r="AT38" s="261"/>
      <c r="AU38" s="261"/>
      <c r="AV38" s="261"/>
      <c r="AW38" s="261"/>
      <c r="AX38" s="261"/>
    </row>
    <row r="39" spans="1:50" customFormat="1" ht="15" customHeight="1" x14ac:dyDescent="0.25">
      <c r="A39" s="500" t="s">
        <v>1035</v>
      </c>
      <c r="B39" s="500"/>
      <c r="C39" s="500"/>
      <c r="D39" s="500"/>
      <c r="E39" s="500"/>
      <c r="F39" s="500"/>
      <c r="G39" s="500"/>
      <c r="H39" s="500"/>
      <c r="I39" s="500"/>
      <c r="J39" s="500"/>
      <c r="K39" s="500"/>
      <c r="L39" s="500"/>
      <c r="M39" s="500"/>
      <c r="N39" s="500"/>
      <c r="O39" s="500"/>
      <c r="P39" s="500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</row>
    <row r="40" spans="1:50" customFormat="1" ht="122.45" customHeight="1" x14ac:dyDescent="0.25">
      <c r="A40" s="501" t="s">
        <v>19</v>
      </c>
      <c r="B40" s="502" t="s">
        <v>641</v>
      </c>
      <c r="C40" s="503"/>
      <c r="D40" s="503"/>
      <c r="E40" s="503"/>
      <c r="F40" s="503"/>
      <c r="G40" s="503" t="s">
        <v>1033</v>
      </c>
      <c r="H40" s="503"/>
      <c r="I40" s="503"/>
      <c r="J40" s="503"/>
      <c r="K40" s="503" t="s">
        <v>1034</v>
      </c>
      <c r="L40" s="503"/>
      <c r="M40" s="503"/>
      <c r="N40" s="503"/>
      <c r="O40" s="504">
        <f>ROUND((61900 + 15484 * 2) * 1 * 1.56 * 0.6, 2)</f>
        <v>86924.45</v>
      </c>
      <c r="P40" s="503"/>
      <c r="Q40" s="261"/>
      <c r="R40" s="261"/>
      <c r="S40" s="261"/>
      <c r="T40" s="261"/>
      <c r="U40" s="261"/>
      <c r="V40" s="261"/>
      <c r="W40" s="261"/>
      <c r="X40" s="261"/>
      <c r="Y40" s="261"/>
      <c r="Z40" s="261"/>
      <c r="AA40" s="261"/>
      <c r="AB40" s="261"/>
      <c r="AC40" s="261"/>
      <c r="AD40" s="261"/>
      <c r="AE40" s="261"/>
      <c r="AF40" s="261"/>
      <c r="AG40" s="261"/>
      <c r="AH40" s="261"/>
      <c r="AI40" s="261"/>
      <c r="AJ40" s="261"/>
      <c r="AK40" s="261"/>
      <c r="AL40" s="261"/>
      <c r="AM40" s="261"/>
      <c r="AN40" s="261"/>
      <c r="AO40" s="261"/>
      <c r="AP40" s="261"/>
      <c r="AQ40" s="261"/>
      <c r="AR40" s="261"/>
      <c r="AS40" s="261"/>
      <c r="AT40" s="261"/>
      <c r="AU40" s="261"/>
      <c r="AV40" s="261"/>
      <c r="AW40" s="261"/>
      <c r="AX40" s="261"/>
    </row>
    <row r="41" spans="1:50" customFormat="1" ht="15" customHeight="1" x14ac:dyDescent="0.25">
      <c r="A41" s="262"/>
      <c r="B41" s="345" t="s">
        <v>50</v>
      </c>
      <c r="C41" s="345"/>
      <c r="D41" s="345"/>
      <c r="E41" s="345"/>
      <c r="F41" s="345"/>
      <c r="G41" s="345" t="s">
        <v>3</v>
      </c>
      <c r="H41" s="345"/>
      <c r="I41" s="345"/>
      <c r="J41" s="345"/>
      <c r="K41" s="345" t="s">
        <v>3</v>
      </c>
      <c r="L41" s="345"/>
      <c r="M41" s="345"/>
      <c r="N41" s="345"/>
      <c r="O41" s="345"/>
      <c r="P41" s="345"/>
      <c r="Q41" s="261"/>
      <c r="R41" s="261"/>
      <c r="S41" s="261"/>
      <c r="T41" s="261"/>
      <c r="U41" s="261"/>
      <c r="V41" s="261"/>
      <c r="W41" s="261"/>
      <c r="X41" s="261"/>
      <c r="Y41" s="261"/>
      <c r="Z41" s="261"/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61"/>
      <c r="AL41" s="261"/>
      <c r="AM41" s="261"/>
      <c r="AN41" s="261"/>
      <c r="AO41" s="261"/>
      <c r="AP41" s="261"/>
      <c r="AQ41" s="261"/>
      <c r="AR41" s="261"/>
      <c r="AS41" s="261"/>
      <c r="AT41" s="261"/>
      <c r="AU41" s="261"/>
      <c r="AV41" s="261"/>
      <c r="AW41" s="261"/>
      <c r="AX41" s="261"/>
    </row>
    <row r="42" spans="1:50" customFormat="1" ht="15" customHeight="1" x14ac:dyDescent="0.25">
      <c r="A42" s="263"/>
      <c r="B42" s="320" t="s">
        <v>51</v>
      </c>
      <c r="C42" s="320"/>
      <c r="D42" s="320"/>
      <c r="E42" s="320"/>
      <c r="F42" s="320"/>
      <c r="G42" s="320" t="s">
        <v>52</v>
      </c>
      <c r="H42" s="320"/>
      <c r="I42" s="320"/>
      <c r="J42" s="320"/>
      <c r="K42" s="320" t="s">
        <v>3</v>
      </c>
      <c r="L42" s="320"/>
      <c r="M42" s="320"/>
      <c r="N42" s="320"/>
      <c r="O42" s="320"/>
      <c r="P42" s="320"/>
      <c r="Q42" s="261"/>
      <c r="R42" s="261"/>
      <c r="S42" s="261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1"/>
      <c r="AG42" s="261"/>
      <c r="AH42" s="261"/>
      <c r="AI42" s="261"/>
      <c r="AJ42" s="261"/>
      <c r="AK42" s="261"/>
      <c r="AL42" s="261"/>
      <c r="AM42" s="261"/>
      <c r="AN42" s="261"/>
      <c r="AO42" s="261"/>
      <c r="AP42" s="261"/>
      <c r="AQ42" s="261"/>
      <c r="AR42" s="261"/>
      <c r="AS42" s="261"/>
      <c r="AT42" s="261"/>
      <c r="AU42" s="261"/>
      <c r="AV42" s="261"/>
      <c r="AW42" s="261"/>
      <c r="AX42" s="261"/>
    </row>
    <row r="43" spans="1:50" customFormat="1" ht="40.9" customHeight="1" x14ac:dyDescent="0.25">
      <c r="A43" s="263"/>
      <c r="B43" s="320" t="s">
        <v>929</v>
      </c>
      <c r="C43" s="320"/>
      <c r="D43" s="320"/>
      <c r="E43" s="320"/>
      <c r="F43" s="320"/>
      <c r="G43" s="320" t="s">
        <v>1029</v>
      </c>
      <c r="H43" s="320"/>
      <c r="I43" s="320"/>
      <c r="J43" s="320"/>
      <c r="K43" s="320" t="s">
        <v>3</v>
      </c>
      <c r="L43" s="320"/>
      <c r="M43" s="320"/>
      <c r="N43" s="320"/>
      <c r="O43" s="320"/>
      <c r="P43" s="320"/>
      <c r="Q43" s="261"/>
      <c r="R43" s="261"/>
      <c r="S43" s="261"/>
      <c r="T43" s="261"/>
      <c r="U43" s="261"/>
      <c r="V43" s="261"/>
      <c r="W43" s="261"/>
      <c r="X43" s="261"/>
      <c r="Y43" s="261"/>
      <c r="Z43" s="261"/>
      <c r="AA43" s="261"/>
      <c r="AB43" s="261"/>
      <c r="AC43" s="261"/>
      <c r="AD43" s="261"/>
      <c r="AE43" s="261"/>
      <c r="AF43" s="261"/>
      <c r="AG43" s="261"/>
      <c r="AH43" s="261"/>
      <c r="AI43" s="261"/>
      <c r="AJ43" s="261"/>
      <c r="AK43" s="261"/>
      <c r="AL43" s="261"/>
      <c r="AM43" s="261"/>
      <c r="AN43" s="261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</row>
    <row r="44" spans="1:50" customFormat="1" ht="15" customHeight="1" x14ac:dyDescent="0.25">
      <c r="A44" s="500" t="s">
        <v>1036</v>
      </c>
      <c r="B44" s="500"/>
      <c r="C44" s="500"/>
      <c r="D44" s="500"/>
      <c r="E44" s="500"/>
      <c r="F44" s="500"/>
      <c r="G44" s="500"/>
      <c r="H44" s="500"/>
      <c r="I44" s="500"/>
      <c r="J44" s="500"/>
      <c r="K44" s="500"/>
      <c r="L44" s="500"/>
      <c r="M44" s="500"/>
      <c r="N44" s="500"/>
      <c r="O44" s="500"/>
      <c r="P44" s="500"/>
      <c r="Q44" s="261"/>
      <c r="R44" s="261"/>
      <c r="S44" s="261"/>
      <c r="T44" s="261"/>
      <c r="U44" s="261"/>
      <c r="V44" s="261"/>
      <c r="W44" s="261"/>
      <c r="X44" s="261"/>
      <c r="Y44" s="261"/>
      <c r="Z44" s="261"/>
      <c r="AA44" s="261"/>
      <c r="AB44" s="261"/>
      <c r="AC44" s="261"/>
      <c r="AD44" s="261"/>
      <c r="AE44" s="261"/>
      <c r="AF44" s="261"/>
      <c r="AG44" s="261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1"/>
      <c r="AX44" s="261"/>
    </row>
    <row r="45" spans="1:50" customFormat="1" ht="122.45" customHeight="1" x14ac:dyDescent="0.25">
      <c r="A45" s="501" t="s">
        <v>54</v>
      </c>
      <c r="B45" s="502" t="s">
        <v>641</v>
      </c>
      <c r="C45" s="503"/>
      <c r="D45" s="503"/>
      <c r="E45" s="503"/>
      <c r="F45" s="503"/>
      <c r="G45" s="503" t="s">
        <v>1033</v>
      </c>
      <c r="H45" s="503"/>
      <c r="I45" s="503"/>
      <c r="J45" s="503"/>
      <c r="K45" s="503" t="s">
        <v>1034</v>
      </c>
      <c r="L45" s="503"/>
      <c r="M45" s="503"/>
      <c r="N45" s="503"/>
      <c r="O45" s="504">
        <f>ROUND((61900 + 15484 * 2) * 1 * 1.56 * 0.6, 2)</f>
        <v>86924.45</v>
      </c>
      <c r="P45" s="503"/>
      <c r="Q45" s="261"/>
      <c r="R45" s="261"/>
      <c r="S45" s="261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1"/>
      <c r="AG45" s="261"/>
      <c r="AH45" s="261"/>
      <c r="AI45" s="261"/>
      <c r="AJ45" s="261"/>
      <c r="AK45" s="261"/>
      <c r="AL45" s="261"/>
      <c r="AM45" s="261"/>
      <c r="AN45" s="261"/>
      <c r="AO45" s="261"/>
      <c r="AP45" s="261"/>
      <c r="AQ45" s="261"/>
      <c r="AR45" s="261"/>
      <c r="AS45" s="261"/>
      <c r="AT45" s="261"/>
      <c r="AU45" s="261"/>
      <c r="AV45" s="261"/>
      <c r="AW45" s="261"/>
      <c r="AX45" s="261"/>
    </row>
    <row r="46" spans="1:50" customFormat="1" ht="15" customHeight="1" x14ac:dyDescent="0.25">
      <c r="A46" s="262"/>
      <c r="B46" s="345" t="s">
        <v>50</v>
      </c>
      <c r="C46" s="345"/>
      <c r="D46" s="345"/>
      <c r="E46" s="345"/>
      <c r="F46" s="345"/>
      <c r="G46" s="345" t="s">
        <v>3</v>
      </c>
      <c r="H46" s="345"/>
      <c r="I46" s="345"/>
      <c r="J46" s="345"/>
      <c r="K46" s="345" t="s">
        <v>3</v>
      </c>
      <c r="L46" s="345"/>
      <c r="M46" s="345"/>
      <c r="N46" s="345"/>
      <c r="O46" s="345"/>
      <c r="P46" s="345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1"/>
      <c r="AR46" s="261"/>
      <c r="AS46" s="261"/>
      <c r="AT46" s="261"/>
      <c r="AU46" s="261"/>
      <c r="AV46" s="261"/>
      <c r="AW46" s="261"/>
      <c r="AX46" s="261"/>
    </row>
    <row r="47" spans="1:50" customFormat="1" ht="15" customHeight="1" x14ac:dyDescent="0.25">
      <c r="A47" s="263"/>
      <c r="B47" s="320" t="s">
        <v>51</v>
      </c>
      <c r="C47" s="320"/>
      <c r="D47" s="320"/>
      <c r="E47" s="320"/>
      <c r="F47" s="320"/>
      <c r="G47" s="320" t="s">
        <v>52</v>
      </c>
      <c r="H47" s="320"/>
      <c r="I47" s="320"/>
      <c r="J47" s="320"/>
      <c r="K47" s="320" t="s">
        <v>3</v>
      </c>
      <c r="L47" s="320"/>
      <c r="M47" s="320"/>
      <c r="N47" s="320"/>
      <c r="O47" s="320"/>
      <c r="P47" s="320"/>
      <c r="Q47" s="261"/>
      <c r="R47" s="261"/>
      <c r="S47" s="261"/>
      <c r="T47" s="261"/>
      <c r="U47" s="261"/>
      <c r="V47" s="261"/>
      <c r="W47" s="261"/>
      <c r="X47" s="261"/>
      <c r="Y47" s="261"/>
      <c r="Z47" s="261"/>
      <c r="AA47" s="261"/>
      <c r="AB47" s="261"/>
      <c r="AC47" s="261"/>
      <c r="AD47" s="261"/>
      <c r="AE47" s="261"/>
      <c r="AF47" s="261"/>
      <c r="AG47" s="261"/>
      <c r="AH47" s="261"/>
      <c r="AI47" s="261"/>
      <c r="AJ47" s="261"/>
      <c r="AK47" s="261"/>
      <c r="AL47" s="261"/>
      <c r="AM47" s="261"/>
      <c r="AN47" s="261"/>
      <c r="AO47" s="261"/>
      <c r="AP47" s="261"/>
      <c r="AQ47" s="261"/>
      <c r="AR47" s="261"/>
      <c r="AS47" s="261"/>
      <c r="AT47" s="261"/>
      <c r="AU47" s="261"/>
      <c r="AV47" s="261"/>
      <c r="AW47" s="261"/>
      <c r="AX47" s="261"/>
    </row>
    <row r="48" spans="1:50" customFormat="1" ht="40.9" customHeight="1" x14ac:dyDescent="0.25">
      <c r="A48" s="263"/>
      <c r="B48" s="320" t="s">
        <v>929</v>
      </c>
      <c r="C48" s="320"/>
      <c r="D48" s="320"/>
      <c r="E48" s="320"/>
      <c r="F48" s="320"/>
      <c r="G48" s="320" t="s">
        <v>1029</v>
      </c>
      <c r="H48" s="320"/>
      <c r="I48" s="320"/>
      <c r="J48" s="320"/>
      <c r="K48" s="320" t="s">
        <v>3</v>
      </c>
      <c r="L48" s="320"/>
      <c r="M48" s="320"/>
      <c r="N48" s="320"/>
      <c r="O48" s="320"/>
      <c r="P48" s="320"/>
      <c r="Q48" s="261"/>
      <c r="R48" s="261"/>
      <c r="S48" s="261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1"/>
      <c r="AG48" s="261"/>
      <c r="AH48" s="261"/>
      <c r="AI48" s="261"/>
      <c r="AJ48" s="261"/>
      <c r="AK48" s="261"/>
      <c r="AL48" s="261"/>
      <c r="AM48" s="261"/>
      <c r="AN48" s="261"/>
      <c r="AO48" s="261"/>
      <c r="AP48" s="261"/>
      <c r="AQ48" s="261"/>
      <c r="AR48" s="261"/>
      <c r="AS48" s="261"/>
      <c r="AT48" s="261"/>
      <c r="AU48" s="261"/>
      <c r="AV48" s="261"/>
      <c r="AW48" s="261"/>
      <c r="AX48" s="261"/>
    </row>
    <row r="49" spans="1:50" customFormat="1" ht="15" customHeight="1" x14ac:dyDescent="0.25">
      <c r="A49" s="505" t="s">
        <v>55</v>
      </c>
      <c r="B49" s="506" t="s">
        <v>57</v>
      </c>
      <c r="C49" s="506"/>
      <c r="D49" s="506"/>
      <c r="E49" s="506"/>
      <c r="F49" s="506"/>
      <c r="G49" s="506"/>
      <c r="H49" s="506"/>
      <c r="I49" s="506"/>
      <c r="J49" s="506"/>
      <c r="K49" s="506" t="s">
        <v>3</v>
      </c>
      <c r="L49" s="506"/>
      <c r="M49" s="506"/>
      <c r="N49" s="506"/>
      <c r="O49" s="507">
        <f>ROUND(SUM($O$17:$O$45),2)</f>
        <v>465244.66</v>
      </c>
      <c r="P49" s="506"/>
      <c r="Q49" s="261"/>
      <c r="R49" s="261"/>
      <c r="S49" s="261"/>
      <c r="T49" s="261"/>
      <c r="U49" s="261"/>
      <c r="V49" s="261"/>
      <c r="W49" s="261"/>
      <c r="X49" s="261"/>
      <c r="Y49" s="261"/>
      <c r="Z49" s="261"/>
      <c r="AA49" s="261"/>
      <c r="AB49" s="261"/>
      <c r="AC49" s="261"/>
      <c r="AD49" s="261"/>
      <c r="AE49" s="261"/>
      <c r="AF49" s="261"/>
      <c r="AG49" s="261"/>
      <c r="AH49" s="261"/>
      <c r="AI49" s="261"/>
      <c r="AJ49" s="261"/>
      <c r="AK49" s="261"/>
      <c r="AL49" s="261"/>
      <c r="AM49" s="261"/>
      <c r="AN49" s="261"/>
      <c r="AO49" s="261"/>
      <c r="AP49" s="261"/>
      <c r="AQ49" s="261"/>
      <c r="AR49" s="261"/>
      <c r="AS49" s="261"/>
      <c r="AT49" s="261"/>
      <c r="AU49" s="261"/>
      <c r="AV49" s="261"/>
      <c r="AW49" s="261"/>
      <c r="AX49" s="261"/>
    </row>
    <row r="50" spans="1:50" customFormat="1" ht="108.75" customHeight="1" x14ac:dyDescent="0.25">
      <c r="A50" s="505" t="s">
        <v>56</v>
      </c>
      <c r="B50" s="500" t="s">
        <v>59</v>
      </c>
      <c r="C50" s="500"/>
      <c r="D50" s="500"/>
      <c r="E50" s="500"/>
      <c r="F50" s="500"/>
      <c r="G50" s="500" t="s">
        <v>60</v>
      </c>
      <c r="H50" s="500"/>
      <c r="I50" s="500"/>
      <c r="J50" s="500"/>
      <c r="K50" s="500" t="s">
        <v>1037</v>
      </c>
      <c r="L50" s="500"/>
      <c r="M50" s="500"/>
      <c r="N50" s="500"/>
      <c r="O50" s="508">
        <f>ROUND(($O$49) * 1  * 0.8,2)</f>
        <v>372195.73</v>
      </c>
      <c r="P50" s="500"/>
      <c r="Q50" s="261"/>
      <c r="R50" s="261"/>
      <c r="S50" s="261"/>
      <c r="T50" s="261"/>
      <c r="U50" s="261"/>
      <c r="V50" s="261"/>
      <c r="W50" s="261"/>
      <c r="X50" s="261"/>
      <c r="Y50" s="261"/>
      <c r="Z50" s="261"/>
      <c r="AA50" s="261"/>
      <c r="AB50" s="261"/>
      <c r="AC50" s="261"/>
      <c r="AD50" s="261"/>
      <c r="AE50" s="261"/>
      <c r="AF50" s="261"/>
      <c r="AG50" s="261"/>
      <c r="AH50" s="261"/>
      <c r="AI50" s="261"/>
      <c r="AJ50" s="261"/>
      <c r="AK50" s="261"/>
      <c r="AL50" s="261"/>
      <c r="AM50" s="261"/>
      <c r="AN50" s="261"/>
      <c r="AO50" s="261"/>
      <c r="AP50" s="261"/>
      <c r="AQ50" s="261"/>
      <c r="AR50" s="261"/>
      <c r="AS50" s="261"/>
      <c r="AT50" s="261"/>
      <c r="AU50" s="261"/>
      <c r="AV50" s="261"/>
      <c r="AW50" s="261"/>
      <c r="AX50" s="261"/>
    </row>
    <row r="51" spans="1:50" customFormat="1" ht="68.099999999999994" customHeight="1" x14ac:dyDescent="0.25">
      <c r="A51" s="505" t="s">
        <v>58</v>
      </c>
      <c r="B51" s="500" t="s">
        <v>59</v>
      </c>
      <c r="C51" s="500"/>
      <c r="D51" s="500"/>
      <c r="E51" s="500"/>
      <c r="F51" s="500"/>
      <c r="G51" s="500" t="s">
        <v>62</v>
      </c>
      <c r="H51" s="500"/>
      <c r="I51" s="500"/>
      <c r="J51" s="500"/>
      <c r="K51" s="500" t="s">
        <v>1038</v>
      </c>
      <c r="L51" s="500"/>
      <c r="M51" s="500"/>
      <c r="N51" s="500"/>
      <c r="O51" s="508">
        <f>ROUND(($O$50) * 1  * 1.08,2)</f>
        <v>401971.39</v>
      </c>
      <c r="P51" s="500"/>
      <c r="Q51" s="261"/>
      <c r="R51" s="261"/>
      <c r="S51" s="261"/>
      <c r="T51" s="261"/>
      <c r="U51" s="261"/>
      <c r="V51" s="261"/>
      <c r="W51" s="261"/>
      <c r="X51" s="261"/>
      <c r="Y51" s="261"/>
      <c r="Z51" s="261"/>
      <c r="AA51" s="261"/>
      <c r="AB51" s="261"/>
      <c r="AC51" s="261"/>
      <c r="AD51" s="261"/>
      <c r="AE51" s="261"/>
      <c r="AF51" s="261"/>
      <c r="AG51" s="261"/>
      <c r="AH51" s="261"/>
      <c r="AI51" s="261"/>
      <c r="AJ51" s="261"/>
      <c r="AK51" s="261"/>
      <c r="AL51" s="261"/>
      <c r="AM51" s="261"/>
      <c r="AN51" s="261"/>
      <c r="AO51" s="261"/>
      <c r="AP51" s="261"/>
      <c r="AQ51" s="261"/>
      <c r="AR51" s="261"/>
      <c r="AS51" s="261"/>
      <c r="AT51" s="261"/>
      <c r="AU51" s="261"/>
      <c r="AV51" s="261"/>
      <c r="AW51" s="261"/>
      <c r="AX51" s="261"/>
    </row>
    <row r="52" spans="1:50" customFormat="1" x14ac:dyDescent="0.25">
      <c r="A52" s="505" t="s">
        <v>61</v>
      </c>
      <c r="B52" s="506" t="s">
        <v>64</v>
      </c>
      <c r="C52" s="506"/>
      <c r="D52" s="506"/>
      <c r="E52" s="506"/>
      <c r="F52" s="506"/>
      <c r="G52" s="506"/>
      <c r="H52" s="506"/>
      <c r="I52" s="506"/>
      <c r="J52" s="506"/>
      <c r="K52" s="506" t="s">
        <v>3</v>
      </c>
      <c r="L52" s="506"/>
      <c r="M52" s="506"/>
      <c r="N52" s="506"/>
      <c r="O52" s="507">
        <f>ROUND(($O$51),2)</f>
        <v>401971.39</v>
      </c>
      <c r="P52" s="506"/>
      <c r="Q52" s="261"/>
      <c r="R52" s="224">
        <f>O52</f>
        <v>401971.39</v>
      </c>
      <c r="S52" s="261"/>
      <c r="T52" s="261"/>
      <c r="U52" s="261"/>
      <c r="V52" s="261"/>
      <c r="W52" s="261"/>
      <c r="X52" s="261"/>
      <c r="Y52" s="261"/>
      <c r="Z52" s="261"/>
      <c r="AA52" s="261"/>
      <c r="AB52" s="261"/>
      <c r="AC52" s="261"/>
      <c r="AD52" s="261"/>
      <c r="AE52" s="261"/>
      <c r="AF52" s="261"/>
      <c r="AG52" s="261"/>
      <c r="AH52" s="261"/>
      <c r="AI52" s="261"/>
      <c r="AJ52" s="261"/>
      <c r="AK52" s="261"/>
      <c r="AL52" s="261"/>
      <c r="AM52" s="261"/>
      <c r="AN52" s="261"/>
      <c r="AO52" s="261"/>
      <c r="AP52" s="261"/>
      <c r="AQ52" s="261"/>
      <c r="AR52" s="261"/>
      <c r="AS52" s="261"/>
      <c r="AT52" s="261"/>
      <c r="AU52" s="261"/>
      <c r="AV52" s="261"/>
      <c r="AW52" s="261"/>
      <c r="AX52" s="261"/>
    </row>
    <row r="53" spans="1:50" customFormat="1" x14ac:dyDescent="0.25">
      <c r="A53" s="261"/>
      <c r="B53" s="261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1"/>
      <c r="N53" s="261"/>
      <c r="O53" s="261"/>
      <c r="P53" s="261"/>
      <c r="Q53" s="261"/>
      <c r="R53" s="261"/>
      <c r="S53" s="261"/>
      <c r="T53" s="261"/>
      <c r="U53" s="261"/>
      <c r="V53" s="261"/>
      <c r="W53" s="261"/>
      <c r="X53" s="261"/>
      <c r="Y53" s="261"/>
      <c r="Z53" s="261"/>
      <c r="AA53" s="261"/>
      <c r="AB53" s="261"/>
      <c r="AC53" s="261"/>
      <c r="AD53" s="261"/>
      <c r="AE53" s="261"/>
      <c r="AF53" s="261"/>
      <c r="AG53" s="261"/>
      <c r="AH53" s="261"/>
      <c r="AI53" s="261"/>
      <c r="AJ53" s="261"/>
      <c r="AK53" s="261"/>
      <c r="AL53" s="261"/>
      <c r="AM53" s="261"/>
      <c r="AN53" s="261"/>
      <c r="AO53" s="261"/>
      <c r="AP53" s="261"/>
      <c r="AQ53" s="261"/>
      <c r="AR53" s="261"/>
      <c r="AS53" s="261"/>
      <c r="AT53" s="261"/>
      <c r="AU53" s="261"/>
      <c r="AV53" s="261"/>
      <c r="AW53" s="261"/>
      <c r="AX53" s="261"/>
    </row>
  </sheetData>
  <mergeCells count="144">
    <mergeCell ref="B52:F52"/>
    <mergeCell ref="G52:J52"/>
    <mergeCell ref="K52:N52"/>
    <mergeCell ref="O52:P52"/>
    <mergeCell ref="B50:F50"/>
    <mergeCell ref="G50:J50"/>
    <mergeCell ref="K50:N50"/>
    <mergeCell ref="O50:P50"/>
    <mergeCell ref="B51:F51"/>
    <mergeCell ref="G51:J51"/>
    <mergeCell ref="K51:N51"/>
    <mergeCell ref="O51:P51"/>
    <mergeCell ref="B48:F48"/>
    <mergeCell ref="G48:J48"/>
    <mergeCell ref="K48:N48"/>
    <mergeCell ref="O48:P48"/>
    <mergeCell ref="B49:F49"/>
    <mergeCell ref="G49:J49"/>
    <mergeCell ref="K49:N49"/>
    <mergeCell ref="O49:P49"/>
    <mergeCell ref="B46:F46"/>
    <mergeCell ref="G46:J46"/>
    <mergeCell ref="K46:N46"/>
    <mergeCell ref="O46:P46"/>
    <mergeCell ref="B47:F47"/>
    <mergeCell ref="G47:J47"/>
    <mergeCell ref="K47:N47"/>
    <mergeCell ref="O47:P47"/>
    <mergeCell ref="A44:P44"/>
    <mergeCell ref="B45:F45"/>
    <mergeCell ref="G45:J45"/>
    <mergeCell ref="K45:N45"/>
    <mergeCell ref="O45:P45"/>
    <mergeCell ref="B42:F42"/>
    <mergeCell ref="G42:J42"/>
    <mergeCell ref="K42:N42"/>
    <mergeCell ref="O42:P42"/>
    <mergeCell ref="B43:F43"/>
    <mergeCell ref="G43:J43"/>
    <mergeCell ref="K43:N43"/>
    <mergeCell ref="O43:P43"/>
    <mergeCell ref="B40:F40"/>
    <mergeCell ref="G40:J40"/>
    <mergeCell ref="K40:N40"/>
    <mergeCell ref="O40:P40"/>
    <mergeCell ref="B41:F41"/>
    <mergeCell ref="G41:J41"/>
    <mergeCell ref="K41:N41"/>
    <mergeCell ref="O41:P41"/>
    <mergeCell ref="B38:F38"/>
    <mergeCell ref="G38:J38"/>
    <mergeCell ref="K38:N38"/>
    <mergeCell ref="O38:P38"/>
    <mergeCell ref="A39:P39"/>
    <mergeCell ref="B37:F37"/>
    <mergeCell ref="G37:J37"/>
    <mergeCell ref="K37:N37"/>
    <mergeCell ref="O37:P37"/>
    <mergeCell ref="B35:F35"/>
    <mergeCell ref="G35:J35"/>
    <mergeCell ref="K35:N35"/>
    <mergeCell ref="O35:P35"/>
    <mergeCell ref="B36:F36"/>
    <mergeCell ref="G36:J36"/>
    <mergeCell ref="K36:N36"/>
    <mergeCell ref="O36:P36"/>
    <mergeCell ref="B33:F33"/>
    <mergeCell ref="G33:J33"/>
    <mergeCell ref="K33:N33"/>
    <mergeCell ref="O33:P33"/>
    <mergeCell ref="A34:P34"/>
    <mergeCell ref="B31:F31"/>
    <mergeCell ref="G31:J31"/>
    <mergeCell ref="K31:N31"/>
    <mergeCell ref="O31:P31"/>
    <mergeCell ref="B32:F32"/>
    <mergeCell ref="G32:J32"/>
    <mergeCell ref="K32:N32"/>
    <mergeCell ref="O32:P32"/>
    <mergeCell ref="B29:F29"/>
    <mergeCell ref="G29:J29"/>
    <mergeCell ref="K29:N29"/>
    <mergeCell ref="O29:P29"/>
    <mergeCell ref="B30:F30"/>
    <mergeCell ref="G30:J30"/>
    <mergeCell ref="K30:N30"/>
    <mergeCell ref="O30:P30"/>
    <mergeCell ref="A28:P28"/>
    <mergeCell ref="B24:F24"/>
    <mergeCell ref="G24:J24"/>
    <mergeCell ref="K24:N24"/>
    <mergeCell ref="O24:P24"/>
    <mergeCell ref="B25:F25"/>
    <mergeCell ref="G25:J25"/>
    <mergeCell ref="K25:N25"/>
    <mergeCell ref="O25:P25"/>
    <mergeCell ref="B26:F26"/>
    <mergeCell ref="G26:J26"/>
    <mergeCell ref="K26:N26"/>
    <mergeCell ref="O26:P26"/>
    <mergeCell ref="A27:P27"/>
    <mergeCell ref="A21:P21"/>
    <mergeCell ref="A22:P22"/>
    <mergeCell ref="B23:F23"/>
    <mergeCell ref="G23:J23"/>
    <mergeCell ref="K23:N23"/>
    <mergeCell ref="O23:P23"/>
    <mergeCell ref="B19:F19"/>
    <mergeCell ref="G19:J19"/>
    <mergeCell ref="K19:N19"/>
    <mergeCell ref="O19:P19"/>
    <mergeCell ref="B20:F20"/>
    <mergeCell ref="G20:J20"/>
    <mergeCell ref="K20:N20"/>
    <mergeCell ref="O20:P20"/>
    <mergeCell ref="B18:F18"/>
    <mergeCell ref="G18:J18"/>
    <mergeCell ref="K18:N18"/>
    <mergeCell ref="O18:P18"/>
    <mergeCell ref="B13:F13"/>
    <mergeCell ref="G13:J13"/>
    <mergeCell ref="K13:N13"/>
    <mergeCell ref="O13:P13"/>
    <mergeCell ref="A14:P14"/>
    <mergeCell ref="A15:P15"/>
    <mergeCell ref="A16:P16"/>
    <mergeCell ref="B17:F17"/>
    <mergeCell ref="G17:J17"/>
    <mergeCell ref="K17:N17"/>
    <mergeCell ref="O17:P17"/>
    <mergeCell ref="A8:E8"/>
    <mergeCell ref="F8:P8"/>
    <mergeCell ref="A10:E10"/>
    <mergeCell ref="F10:P10"/>
    <mergeCell ref="B12:F12"/>
    <mergeCell ref="G12:J12"/>
    <mergeCell ref="K12:N12"/>
    <mergeCell ref="O12:P12"/>
    <mergeCell ref="A1:D1"/>
    <mergeCell ref="E1:P1"/>
    <mergeCell ref="A3:P3"/>
    <mergeCell ref="A4:P4"/>
    <mergeCell ref="A6:E6"/>
    <mergeCell ref="F6:P6"/>
  </mergeCells>
  <pageMargins left="0.4" right="0.4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</sheetPr>
  <dimension ref="A1:AX61"/>
  <sheetViews>
    <sheetView showRuler="0" topLeftCell="A43" zoomScale="85" zoomScaleNormal="85" workbookViewId="0">
      <selection activeCell="A62" sqref="A62"/>
    </sheetView>
  </sheetViews>
  <sheetFormatPr defaultRowHeight="15" x14ac:dyDescent="0.25"/>
  <cols>
    <col min="1" max="1" width="6.42578125" style="156" customWidth="1"/>
    <col min="2" max="17" width="8" style="156" customWidth="1"/>
    <col min="18" max="18" width="12.7109375" style="156" bestFit="1" customWidth="1"/>
    <col min="19" max="50" width="8" style="156" customWidth="1"/>
    <col min="51" max="16384" width="9.140625" style="168"/>
  </cols>
  <sheetData>
    <row r="1" spans="1:50" x14ac:dyDescent="0.25">
      <c r="A1" s="325"/>
      <c r="B1" s="325"/>
      <c r="C1" s="325"/>
      <c r="D1" s="325"/>
      <c r="E1" s="326" t="s">
        <v>38</v>
      </c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</row>
    <row r="2" spans="1:50" ht="15" customHeight="1" x14ac:dyDescent="0.25"/>
    <row r="3" spans="1:50" ht="15" customHeight="1" x14ac:dyDescent="0.25">
      <c r="A3" s="327" t="str">
        <f>СВОД!E25</f>
        <v>Смета №1.4</v>
      </c>
      <c r="B3" s="327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</row>
    <row r="4" spans="1:50" ht="15" customHeight="1" x14ac:dyDescent="0.25">
      <c r="A4" s="328" t="s">
        <v>39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</row>
    <row r="5" spans="1:50" ht="15" customHeight="1" x14ac:dyDescent="0.25"/>
    <row r="6" spans="1:50" ht="54.4" customHeight="1" x14ac:dyDescent="0.25">
      <c r="A6" s="329" t="s">
        <v>40</v>
      </c>
      <c r="B6" s="329"/>
      <c r="C6" s="329"/>
      <c r="D6" s="329"/>
      <c r="E6" s="329"/>
      <c r="F6" s="330" t="str">
        <f>СВОД!B25</f>
        <v>Отопление, вентиляция и кондиционирование</v>
      </c>
      <c r="G6" s="330"/>
      <c r="H6" s="330"/>
      <c r="I6" s="330"/>
      <c r="J6" s="330"/>
      <c r="K6" s="330"/>
      <c r="L6" s="330"/>
      <c r="M6" s="330"/>
      <c r="N6" s="330"/>
      <c r="O6" s="330"/>
      <c r="P6" s="330"/>
    </row>
    <row r="7" spans="1:50" ht="15" customHeight="1" x14ac:dyDescent="0.25"/>
    <row r="8" spans="1:50" ht="27.2" customHeight="1" x14ac:dyDescent="0.25">
      <c r="A8" s="329" t="s">
        <v>41</v>
      </c>
      <c r="B8" s="329"/>
      <c r="C8" s="329"/>
      <c r="D8" s="329"/>
      <c r="E8" s="329"/>
      <c r="F8" s="330" t="str">
        <f>СВОД!D14</f>
        <v>ОАО «СИБНЕФТЕТРАНСПРОЕКТ»</v>
      </c>
      <c r="G8" s="330"/>
      <c r="H8" s="330"/>
      <c r="I8" s="330"/>
      <c r="J8" s="330"/>
      <c r="K8" s="330"/>
      <c r="L8" s="330"/>
      <c r="M8" s="330"/>
      <c r="N8" s="330"/>
      <c r="O8" s="330"/>
      <c r="P8" s="330"/>
    </row>
    <row r="9" spans="1:50" ht="15" customHeight="1" x14ac:dyDescent="0.25"/>
    <row r="10" spans="1:50" ht="15" customHeight="1" x14ac:dyDescent="0.25">
      <c r="A10" s="329" t="s">
        <v>5</v>
      </c>
      <c r="B10" s="329"/>
      <c r="C10" s="329"/>
      <c r="D10" s="329"/>
      <c r="E10" s="329"/>
      <c r="F10" s="330" t="str">
        <f>СВОД!D16</f>
        <v>ООО «Газпром проектирование»</v>
      </c>
      <c r="G10" s="330"/>
      <c r="H10" s="330"/>
      <c r="I10" s="330"/>
      <c r="J10" s="330"/>
      <c r="K10" s="330"/>
      <c r="L10" s="330"/>
      <c r="M10" s="330"/>
      <c r="N10" s="330"/>
      <c r="O10" s="330"/>
      <c r="P10" s="330"/>
    </row>
    <row r="11" spans="1:50" ht="15" customHeight="1" x14ac:dyDescent="0.25"/>
    <row r="12" spans="1:50" ht="40.9" customHeight="1" x14ac:dyDescent="0.25">
      <c r="A12" s="169" t="s">
        <v>42</v>
      </c>
      <c r="B12" s="321" t="s">
        <v>43</v>
      </c>
      <c r="C12" s="321"/>
      <c r="D12" s="321"/>
      <c r="E12" s="321"/>
      <c r="F12" s="321"/>
      <c r="G12" s="321" t="s">
        <v>44</v>
      </c>
      <c r="H12" s="321"/>
      <c r="I12" s="321"/>
      <c r="J12" s="321"/>
      <c r="K12" s="321" t="s">
        <v>45</v>
      </c>
      <c r="L12" s="321"/>
      <c r="M12" s="321"/>
      <c r="N12" s="321"/>
      <c r="O12" s="321" t="s">
        <v>46</v>
      </c>
      <c r="P12" s="321"/>
    </row>
    <row r="13" spans="1:50" ht="15" customHeight="1" x14ac:dyDescent="0.25">
      <c r="A13" s="169">
        <v>1</v>
      </c>
      <c r="B13" s="321">
        <v>2</v>
      </c>
      <c r="C13" s="321"/>
      <c r="D13" s="321"/>
      <c r="E13" s="321"/>
      <c r="F13" s="321"/>
      <c r="G13" s="321">
        <v>3</v>
      </c>
      <c r="H13" s="321"/>
      <c r="I13" s="321"/>
      <c r="J13" s="321"/>
      <c r="K13" s="321">
        <v>4</v>
      </c>
      <c r="L13" s="321"/>
      <c r="M13" s="321"/>
      <c r="N13" s="321"/>
      <c r="O13" s="321">
        <v>5</v>
      </c>
      <c r="P13" s="321"/>
    </row>
    <row r="14" spans="1:50" s="163" customFormat="1" ht="15" customHeight="1" x14ac:dyDescent="0.25">
      <c r="A14" s="351" t="s">
        <v>80</v>
      </c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  <c r="O14" s="351"/>
      <c r="P14" s="351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</row>
    <row r="15" spans="1:50" s="163" customFormat="1" ht="15" customHeight="1" x14ac:dyDescent="0.25">
      <c r="A15" s="351" t="s">
        <v>356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</row>
    <row r="16" spans="1:50" s="163" customFormat="1" ht="217.7" customHeight="1" x14ac:dyDescent="0.25">
      <c r="A16" s="108" t="s">
        <v>13</v>
      </c>
      <c r="B16" s="352" t="s">
        <v>357</v>
      </c>
      <c r="C16" s="353"/>
      <c r="D16" s="353"/>
      <c r="E16" s="353"/>
      <c r="F16" s="353"/>
      <c r="G16" s="353" t="s">
        <v>358</v>
      </c>
      <c r="H16" s="353"/>
      <c r="I16" s="353"/>
      <c r="J16" s="353"/>
      <c r="K16" s="353" t="s">
        <v>1003</v>
      </c>
      <c r="L16" s="353"/>
      <c r="M16" s="353"/>
      <c r="N16" s="353"/>
      <c r="O16" s="354">
        <f>ROUND((1695180 + 1100960 * (0.4 * 0.1 + 0.6 * (0.1 / 2))) * 1 * 0.3 * 7.22 * 0.6 * 0.5 * 0.7, 2)</f>
        <v>806124.36</v>
      </c>
      <c r="P16" s="353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</row>
    <row r="17" spans="1:50" s="163" customFormat="1" ht="15" customHeight="1" x14ac:dyDescent="0.25">
      <c r="A17" s="106"/>
      <c r="B17" s="350" t="s">
        <v>50</v>
      </c>
      <c r="C17" s="350"/>
      <c r="D17" s="350"/>
      <c r="E17" s="350"/>
      <c r="F17" s="350"/>
      <c r="G17" s="350" t="s">
        <v>3</v>
      </c>
      <c r="H17" s="350"/>
      <c r="I17" s="350"/>
      <c r="J17" s="350"/>
      <c r="K17" s="350" t="s">
        <v>3</v>
      </c>
      <c r="L17" s="350"/>
      <c r="M17" s="350"/>
      <c r="N17" s="350"/>
      <c r="O17" s="350"/>
      <c r="P17" s="350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</row>
    <row r="18" spans="1:50" s="163" customFormat="1" ht="15" customHeight="1" x14ac:dyDescent="0.25">
      <c r="A18" s="107"/>
      <c r="B18" s="349" t="s">
        <v>51</v>
      </c>
      <c r="C18" s="349"/>
      <c r="D18" s="349"/>
      <c r="E18" s="349"/>
      <c r="F18" s="349"/>
      <c r="G18" s="349" t="s">
        <v>52</v>
      </c>
      <c r="H18" s="349"/>
      <c r="I18" s="349"/>
      <c r="J18" s="349"/>
      <c r="K18" s="349" t="s">
        <v>3</v>
      </c>
      <c r="L18" s="349"/>
      <c r="M18" s="349"/>
      <c r="N18" s="349"/>
      <c r="O18" s="349"/>
      <c r="P18" s="349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</row>
    <row r="19" spans="1:50" s="163" customFormat="1" ht="40.9" customHeight="1" x14ac:dyDescent="0.25">
      <c r="A19" s="107"/>
      <c r="B19" s="349" t="s">
        <v>931</v>
      </c>
      <c r="C19" s="349"/>
      <c r="D19" s="349"/>
      <c r="E19" s="349"/>
      <c r="F19" s="349"/>
      <c r="G19" s="349" t="s">
        <v>1004</v>
      </c>
      <c r="H19" s="349"/>
      <c r="I19" s="349"/>
      <c r="J19" s="349"/>
      <c r="K19" s="349" t="s">
        <v>3</v>
      </c>
      <c r="L19" s="349"/>
      <c r="M19" s="349"/>
      <c r="N19" s="349"/>
      <c r="O19" s="349"/>
      <c r="P19" s="349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</row>
    <row r="20" spans="1:50" s="163" customFormat="1" ht="95.25" customHeight="1" x14ac:dyDescent="0.25">
      <c r="A20" s="107"/>
      <c r="B20" s="349" t="s">
        <v>97</v>
      </c>
      <c r="C20" s="349"/>
      <c r="D20" s="349"/>
      <c r="E20" s="349"/>
      <c r="F20" s="349"/>
      <c r="G20" s="349" t="s">
        <v>359</v>
      </c>
      <c r="H20" s="349"/>
      <c r="I20" s="349"/>
      <c r="J20" s="349"/>
      <c r="K20" s="349" t="s">
        <v>3</v>
      </c>
      <c r="L20" s="349"/>
      <c r="M20" s="349"/>
      <c r="N20" s="349"/>
      <c r="O20" s="349"/>
      <c r="P20" s="349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</row>
    <row r="21" spans="1:50" s="163" customFormat="1" ht="40.9" customHeight="1" x14ac:dyDescent="0.25">
      <c r="A21" s="107"/>
      <c r="B21" s="349" t="s">
        <v>360</v>
      </c>
      <c r="C21" s="349"/>
      <c r="D21" s="349"/>
      <c r="E21" s="349"/>
      <c r="F21" s="349"/>
      <c r="G21" s="349" t="s">
        <v>361</v>
      </c>
      <c r="H21" s="349"/>
      <c r="I21" s="349"/>
      <c r="J21" s="349"/>
      <c r="K21" s="349" t="s">
        <v>3</v>
      </c>
      <c r="L21" s="349"/>
      <c r="M21" s="349"/>
      <c r="N21" s="349"/>
      <c r="O21" s="349"/>
      <c r="P21" s="349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</row>
    <row r="22" spans="1:50" s="163" customFormat="1" ht="15" customHeight="1" x14ac:dyDescent="0.25">
      <c r="A22" s="106"/>
      <c r="B22" s="350" t="s">
        <v>362</v>
      </c>
      <c r="C22" s="350"/>
      <c r="D22" s="350"/>
      <c r="E22" s="350"/>
      <c r="F22" s="350"/>
      <c r="G22" s="350" t="s">
        <v>3</v>
      </c>
      <c r="H22" s="350"/>
      <c r="I22" s="350"/>
      <c r="J22" s="350"/>
      <c r="K22" s="350" t="s">
        <v>3</v>
      </c>
      <c r="L22" s="350"/>
      <c r="M22" s="350"/>
      <c r="N22" s="350"/>
      <c r="O22" s="350"/>
      <c r="P22" s="350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</row>
    <row r="23" spans="1:50" s="163" customFormat="1" ht="27.2" customHeight="1" x14ac:dyDescent="0.25">
      <c r="A23" s="107"/>
      <c r="B23" s="349" t="s">
        <v>363</v>
      </c>
      <c r="C23" s="349"/>
      <c r="D23" s="349"/>
      <c r="E23" s="349"/>
      <c r="F23" s="349"/>
      <c r="G23" s="349" t="s">
        <v>364</v>
      </c>
      <c r="H23" s="349"/>
      <c r="I23" s="349"/>
      <c r="J23" s="349"/>
      <c r="K23" s="349" t="s">
        <v>3</v>
      </c>
      <c r="L23" s="349"/>
      <c r="M23" s="349"/>
      <c r="N23" s="349"/>
      <c r="O23" s="349"/>
      <c r="P23" s="349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</row>
    <row r="24" spans="1:50" s="163" customFormat="1" ht="27.2" customHeight="1" x14ac:dyDescent="0.25">
      <c r="A24" s="107"/>
      <c r="B24" s="349" t="s">
        <v>365</v>
      </c>
      <c r="C24" s="349"/>
      <c r="D24" s="349"/>
      <c r="E24" s="349"/>
      <c r="F24" s="349"/>
      <c r="G24" s="349" t="s">
        <v>366</v>
      </c>
      <c r="H24" s="349"/>
      <c r="I24" s="349"/>
      <c r="J24" s="349"/>
      <c r="K24" s="349" t="s">
        <v>3</v>
      </c>
      <c r="L24" s="349"/>
      <c r="M24" s="349"/>
      <c r="N24" s="349"/>
      <c r="O24" s="349"/>
      <c r="P24" s="349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</row>
    <row r="25" spans="1:50" s="163" customFormat="1" ht="15" customHeight="1" x14ac:dyDescent="0.25">
      <c r="A25" s="351" t="s">
        <v>367</v>
      </c>
      <c r="B25" s="351"/>
      <c r="C25" s="351"/>
      <c r="D25" s="351"/>
      <c r="E25" s="351"/>
      <c r="F25" s="351"/>
      <c r="G25" s="351"/>
      <c r="H25" s="351"/>
      <c r="I25" s="351"/>
      <c r="J25" s="351"/>
      <c r="K25" s="351"/>
      <c r="L25" s="351"/>
      <c r="M25" s="351"/>
      <c r="N25" s="351"/>
      <c r="O25" s="351"/>
      <c r="P25" s="351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</row>
    <row r="26" spans="1:50" s="163" customFormat="1" ht="217.7" customHeight="1" x14ac:dyDescent="0.25">
      <c r="A26" s="108" t="s">
        <v>14</v>
      </c>
      <c r="B26" s="352" t="s">
        <v>357</v>
      </c>
      <c r="C26" s="353"/>
      <c r="D26" s="353"/>
      <c r="E26" s="353"/>
      <c r="F26" s="353"/>
      <c r="G26" s="353" t="s">
        <v>368</v>
      </c>
      <c r="H26" s="353"/>
      <c r="I26" s="353"/>
      <c r="J26" s="353"/>
      <c r="K26" s="353" t="s">
        <v>1005</v>
      </c>
      <c r="L26" s="353"/>
      <c r="M26" s="353"/>
      <c r="N26" s="353"/>
      <c r="O26" s="354">
        <f>ROUND((1695180 + 1100960 * (0.4 * 0.1 + 0.6 * (0.1 / 2))) * 1 * 0.2 * 7.22 * 0.6 * 0.5 * 0.7, 2)</f>
        <v>537416.24</v>
      </c>
      <c r="P26" s="353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</row>
    <row r="27" spans="1:50" s="163" customFormat="1" ht="15" customHeight="1" x14ac:dyDescent="0.25">
      <c r="A27" s="106"/>
      <c r="B27" s="350" t="s">
        <v>50</v>
      </c>
      <c r="C27" s="350"/>
      <c r="D27" s="350"/>
      <c r="E27" s="350"/>
      <c r="F27" s="350"/>
      <c r="G27" s="350" t="s">
        <v>3</v>
      </c>
      <c r="H27" s="350"/>
      <c r="I27" s="350"/>
      <c r="J27" s="350"/>
      <c r="K27" s="350" t="s">
        <v>3</v>
      </c>
      <c r="L27" s="350"/>
      <c r="M27" s="350"/>
      <c r="N27" s="350"/>
      <c r="O27" s="350"/>
      <c r="P27" s="350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</row>
    <row r="28" spans="1:50" s="163" customFormat="1" ht="15" customHeight="1" x14ac:dyDescent="0.25">
      <c r="A28" s="107"/>
      <c r="B28" s="349" t="s">
        <v>51</v>
      </c>
      <c r="C28" s="349"/>
      <c r="D28" s="349"/>
      <c r="E28" s="349"/>
      <c r="F28" s="349"/>
      <c r="G28" s="349" t="s">
        <v>52</v>
      </c>
      <c r="H28" s="349"/>
      <c r="I28" s="349"/>
      <c r="J28" s="349"/>
      <c r="K28" s="349" t="s">
        <v>3</v>
      </c>
      <c r="L28" s="349"/>
      <c r="M28" s="349"/>
      <c r="N28" s="349"/>
      <c r="O28" s="349"/>
      <c r="P28" s="349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</row>
    <row r="29" spans="1:50" s="163" customFormat="1" ht="40.9" customHeight="1" x14ac:dyDescent="0.25">
      <c r="A29" s="107"/>
      <c r="B29" s="349" t="s">
        <v>931</v>
      </c>
      <c r="C29" s="349"/>
      <c r="D29" s="349"/>
      <c r="E29" s="349"/>
      <c r="F29" s="349"/>
      <c r="G29" s="349" t="s">
        <v>1004</v>
      </c>
      <c r="H29" s="349"/>
      <c r="I29" s="349"/>
      <c r="J29" s="349"/>
      <c r="K29" s="349" t="s">
        <v>3</v>
      </c>
      <c r="L29" s="349"/>
      <c r="M29" s="349"/>
      <c r="N29" s="349"/>
      <c r="O29" s="349"/>
      <c r="P29" s="349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</row>
    <row r="30" spans="1:50" s="163" customFormat="1" ht="95.25" customHeight="1" x14ac:dyDescent="0.25">
      <c r="A30" s="107"/>
      <c r="B30" s="349" t="s">
        <v>97</v>
      </c>
      <c r="C30" s="349"/>
      <c r="D30" s="349"/>
      <c r="E30" s="349"/>
      <c r="F30" s="349"/>
      <c r="G30" s="349" t="s">
        <v>369</v>
      </c>
      <c r="H30" s="349"/>
      <c r="I30" s="349"/>
      <c r="J30" s="349"/>
      <c r="K30" s="349" t="s">
        <v>3</v>
      </c>
      <c r="L30" s="349"/>
      <c r="M30" s="349"/>
      <c r="N30" s="349"/>
      <c r="O30" s="349"/>
      <c r="P30" s="349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</row>
    <row r="31" spans="1:50" s="163" customFormat="1" ht="40.9" customHeight="1" x14ac:dyDescent="0.25">
      <c r="A31" s="107"/>
      <c r="B31" s="349" t="s">
        <v>360</v>
      </c>
      <c r="C31" s="349"/>
      <c r="D31" s="349"/>
      <c r="E31" s="349"/>
      <c r="F31" s="349"/>
      <c r="G31" s="349" t="s">
        <v>361</v>
      </c>
      <c r="H31" s="349"/>
      <c r="I31" s="349"/>
      <c r="J31" s="349"/>
      <c r="K31" s="349" t="s">
        <v>3</v>
      </c>
      <c r="L31" s="349"/>
      <c r="M31" s="349"/>
      <c r="N31" s="349"/>
      <c r="O31" s="349"/>
      <c r="P31" s="349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</row>
    <row r="32" spans="1:50" s="163" customFormat="1" ht="15" customHeight="1" x14ac:dyDescent="0.25">
      <c r="A32" s="106"/>
      <c r="B32" s="350" t="s">
        <v>362</v>
      </c>
      <c r="C32" s="350"/>
      <c r="D32" s="350"/>
      <c r="E32" s="350"/>
      <c r="F32" s="350"/>
      <c r="G32" s="350" t="s">
        <v>3</v>
      </c>
      <c r="H32" s="350"/>
      <c r="I32" s="350"/>
      <c r="J32" s="350"/>
      <c r="K32" s="350" t="s">
        <v>3</v>
      </c>
      <c r="L32" s="350"/>
      <c r="M32" s="350"/>
      <c r="N32" s="350"/>
      <c r="O32" s="350"/>
      <c r="P32" s="350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</row>
    <row r="33" spans="1:50" s="163" customFormat="1" ht="27.2" customHeight="1" x14ac:dyDescent="0.25">
      <c r="A33" s="107"/>
      <c r="B33" s="349" t="s">
        <v>363</v>
      </c>
      <c r="C33" s="349"/>
      <c r="D33" s="349"/>
      <c r="E33" s="349"/>
      <c r="F33" s="349"/>
      <c r="G33" s="349" t="s">
        <v>364</v>
      </c>
      <c r="H33" s="349"/>
      <c r="I33" s="349"/>
      <c r="J33" s="349"/>
      <c r="K33" s="349" t="s">
        <v>3</v>
      </c>
      <c r="L33" s="349"/>
      <c r="M33" s="349"/>
      <c r="N33" s="349"/>
      <c r="O33" s="349"/>
      <c r="P33" s="349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</row>
    <row r="34" spans="1:50" s="163" customFormat="1" ht="27.2" customHeight="1" x14ac:dyDescent="0.25">
      <c r="A34" s="107"/>
      <c r="B34" s="349" t="s">
        <v>365</v>
      </c>
      <c r="C34" s="349"/>
      <c r="D34" s="349"/>
      <c r="E34" s="349"/>
      <c r="F34" s="349"/>
      <c r="G34" s="349" t="s">
        <v>366</v>
      </c>
      <c r="H34" s="349"/>
      <c r="I34" s="349"/>
      <c r="J34" s="349"/>
      <c r="K34" s="349" t="s">
        <v>3</v>
      </c>
      <c r="L34" s="349"/>
      <c r="M34" s="349"/>
      <c r="N34" s="349"/>
      <c r="O34" s="349"/>
      <c r="P34" s="349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</row>
    <row r="35" spans="1:50" s="163" customFormat="1" ht="15" customHeight="1" x14ac:dyDescent="0.25">
      <c r="A35" s="351" t="s">
        <v>370</v>
      </c>
      <c r="B35" s="351"/>
      <c r="C35" s="351"/>
      <c r="D35" s="351"/>
      <c r="E35" s="351"/>
      <c r="F35" s="351"/>
      <c r="G35" s="351"/>
      <c r="H35" s="351"/>
      <c r="I35" s="351"/>
      <c r="J35" s="351"/>
      <c r="K35" s="351"/>
      <c r="L35" s="351"/>
      <c r="M35" s="351"/>
      <c r="N35" s="351"/>
      <c r="O35" s="351"/>
      <c r="P35" s="351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</row>
    <row r="36" spans="1:50" s="163" customFormat="1" ht="204" customHeight="1" x14ac:dyDescent="0.25">
      <c r="A36" s="108" t="s">
        <v>16</v>
      </c>
      <c r="B36" s="352" t="s">
        <v>371</v>
      </c>
      <c r="C36" s="353"/>
      <c r="D36" s="353"/>
      <c r="E36" s="353"/>
      <c r="F36" s="353"/>
      <c r="G36" s="353" t="s">
        <v>372</v>
      </c>
      <c r="H36" s="353"/>
      <c r="I36" s="353"/>
      <c r="J36" s="353"/>
      <c r="K36" s="353" t="s">
        <v>1006</v>
      </c>
      <c r="L36" s="353"/>
      <c r="M36" s="353"/>
      <c r="N36" s="353"/>
      <c r="O36" s="354">
        <f>ROUND((1700500 + 1047800 * 0.25) * 1 * 7.22 * 0.6 * 0.5 * 0.7, 2)</f>
        <v>2975466.69</v>
      </c>
      <c r="P36" s="353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</row>
    <row r="37" spans="1:50" s="163" customFormat="1" ht="15" customHeight="1" x14ac:dyDescent="0.25">
      <c r="A37" s="106"/>
      <c r="B37" s="350" t="s">
        <v>50</v>
      </c>
      <c r="C37" s="350"/>
      <c r="D37" s="350"/>
      <c r="E37" s="350"/>
      <c r="F37" s="350"/>
      <c r="G37" s="350" t="s">
        <v>3</v>
      </c>
      <c r="H37" s="350"/>
      <c r="I37" s="350"/>
      <c r="J37" s="350"/>
      <c r="K37" s="350" t="s">
        <v>3</v>
      </c>
      <c r="L37" s="350"/>
      <c r="M37" s="350"/>
      <c r="N37" s="350"/>
      <c r="O37" s="350"/>
      <c r="P37" s="350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</row>
    <row r="38" spans="1:50" s="163" customFormat="1" ht="15" customHeight="1" x14ac:dyDescent="0.25">
      <c r="A38" s="107"/>
      <c r="B38" s="349" t="s">
        <v>51</v>
      </c>
      <c r="C38" s="349"/>
      <c r="D38" s="349"/>
      <c r="E38" s="349"/>
      <c r="F38" s="349"/>
      <c r="G38" s="349" t="s">
        <v>52</v>
      </c>
      <c r="H38" s="349"/>
      <c r="I38" s="349"/>
      <c r="J38" s="349"/>
      <c r="K38" s="349" t="s">
        <v>3</v>
      </c>
      <c r="L38" s="349"/>
      <c r="M38" s="349"/>
      <c r="N38" s="349"/>
      <c r="O38" s="349"/>
      <c r="P38" s="349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</row>
    <row r="39" spans="1:50" s="163" customFormat="1" ht="40.9" customHeight="1" x14ac:dyDescent="0.25">
      <c r="A39" s="107"/>
      <c r="B39" s="349" t="s">
        <v>931</v>
      </c>
      <c r="C39" s="349"/>
      <c r="D39" s="349"/>
      <c r="E39" s="349"/>
      <c r="F39" s="349"/>
      <c r="G39" s="349" t="s">
        <v>1004</v>
      </c>
      <c r="H39" s="349"/>
      <c r="I39" s="349"/>
      <c r="J39" s="349"/>
      <c r="K39" s="349" t="s">
        <v>3</v>
      </c>
      <c r="L39" s="349"/>
      <c r="M39" s="349"/>
      <c r="N39" s="349"/>
      <c r="O39" s="349"/>
      <c r="P39" s="349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</row>
    <row r="40" spans="1:50" s="163" customFormat="1" ht="40.9" customHeight="1" x14ac:dyDescent="0.25">
      <c r="A40" s="107"/>
      <c r="B40" s="349" t="s">
        <v>360</v>
      </c>
      <c r="C40" s="349"/>
      <c r="D40" s="349"/>
      <c r="E40" s="349"/>
      <c r="F40" s="349"/>
      <c r="G40" s="349" t="s">
        <v>361</v>
      </c>
      <c r="H40" s="349"/>
      <c r="I40" s="349"/>
      <c r="J40" s="349"/>
      <c r="K40" s="349" t="s">
        <v>3</v>
      </c>
      <c r="L40" s="349"/>
      <c r="M40" s="349"/>
      <c r="N40" s="349"/>
      <c r="O40" s="349"/>
      <c r="P40" s="349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</row>
    <row r="41" spans="1:50" s="163" customFormat="1" ht="15" customHeight="1" x14ac:dyDescent="0.25">
      <c r="A41" s="106"/>
      <c r="B41" s="350" t="s">
        <v>362</v>
      </c>
      <c r="C41" s="350"/>
      <c r="D41" s="350"/>
      <c r="E41" s="350"/>
      <c r="F41" s="350"/>
      <c r="G41" s="350" t="s">
        <v>3</v>
      </c>
      <c r="H41" s="350"/>
      <c r="I41" s="350"/>
      <c r="J41" s="350"/>
      <c r="K41" s="350" t="s">
        <v>3</v>
      </c>
      <c r="L41" s="350"/>
      <c r="M41" s="350"/>
      <c r="N41" s="350"/>
      <c r="O41" s="350"/>
      <c r="P41" s="350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</row>
    <row r="42" spans="1:50" s="163" customFormat="1" ht="27.2" customHeight="1" x14ac:dyDescent="0.25">
      <c r="A42" s="107"/>
      <c r="B42" s="349" t="s">
        <v>363</v>
      </c>
      <c r="C42" s="349"/>
      <c r="D42" s="349"/>
      <c r="E42" s="349"/>
      <c r="F42" s="349"/>
      <c r="G42" s="349" t="s">
        <v>364</v>
      </c>
      <c r="H42" s="349"/>
      <c r="I42" s="349"/>
      <c r="J42" s="349"/>
      <c r="K42" s="349" t="s">
        <v>3</v>
      </c>
      <c r="L42" s="349"/>
      <c r="M42" s="349"/>
      <c r="N42" s="349"/>
      <c r="O42" s="349"/>
      <c r="P42" s="349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</row>
    <row r="43" spans="1:50" s="163" customFormat="1" ht="27.2" customHeight="1" x14ac:dyDescent="0.25">
      <c r="A43" s="107"/>
      <c r="B43" s="349" t="s">
        <v>365</v>
      </c>
      <c r="C43" s="349"/>
      <c r="D43" s="349"/>
      <c r="E43" s="349"/>
      <c r="F43" s="349"/>
      <c r="G43" s="349" t="s">
        <v>366</v>
      </c>
      <c r="H43" s="349"/>
      <c r="I43" s="349"/>
      <c r="J43" s="349"/>
      <c r="K43" s="349" t="s">
        <v>3</v>
      </c>
      <c r="L43" s="349"/>
      <c r="M43" s="349"/>
      <c r="N43" s="349"/>
      <c r="O43" s="349"/>
      <c r="P43" s="349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</row>
    <row r="44" spans="1:50" s="163" customFormat="1" ht="15" customHeight="1" x14ac:dyDescent="0.25">
      <c r="A44" s="351" t="s">
        <v>373</v>
      </c>
      <c r="B44" s="351"/>
      <c r="C44" s="351"/>
      <c r="D44" s="351"/>
      <c r="E44" s="351"/>
      <c r="F44" s="351"/>
      <c r="G44" s="351"/>
      <c r="H44" s="351"/>
      <c r="I44" s="351"/>
      <c r="J44" s="351"/>
      <c r="K44" s="351"/>
      <c r="L44" s="351"/>
      <c r="M44" s="351"/>
      <c r="N44" s="351"/>
      <c r="O44" s="351"/>
      <c r="P44" s="351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</row>
    <row r="45" spans="1:50" s="163" customFormat="1" ht="204" customHeight="1" x14ac:dyDescent="0.25">
      <c r="A45" s="108" t="s">
        <v>18</v>
      </c>
      <c r="B45" s="352" t="s">
        <v>374</v>
      </c>
      <c r="C45" s="353"/>
      <c r="D45" s="353"/>
      <c r="E45" s="353"/>
      <c r="F45" s="353"/>
      <c r="G45" s="353" t="s">
        <v>375</v>
      </c>
      <c r="H45" s="353"/>
      <c r="I45" s="353"/>
      <c r="J45" s="353"/>
      <c r="K45" s="353" t="s">
        <v>1007</v>
      </c>
      <c r="L45" s="353"/>
      <c r="M45" s="353"/>
      <c r="N45" s="353"/>
      <c r="O45" s="354">
        <f>ROUND((1712500 + 1007800 * 0.37) * 1 * 7.22 * 0.6 * 0.5 * 0.7, 2)</f>
        <v>3161862.25</v>
      </c>
      <c r="P45" s="353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</row>
    <row r="46" spans="1:50" s="163" customFormat="1" ht="15" customHeight="1" x14ac:dyDescent="0.25">
      <c r="A46" s="106"/>
      <c r="B46" s="350" t="s">
        <v>50</v>
      </c>
      <c r="C46" s="350"/>
      <c r="D46" s="350"/>
      <c r="E46" s="350"/>
      <c r="F46" s="350"/>
      <c r="G46" s="350" t="s">
        <v>3</v>
      </c>
      <c r="H46" s="350"/>
      <c r="I46" s="350"/>
      <c r="J46" s="350"/>
      <c r="K46" s="350" t="s">
        <v>3</v>
      </c>
      <c r="L46" s="350"/>
      <c r="M46" s="350"/>
      <c r="N46" s="350"/>
      <c r="O46" s="350"/>
      <c r="P46" s="350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</row>
    <row r="47" spans="1:50" s="163" customFormat="1" ht="15" customHeight="1" x14ac:dyDescent="0.25">
      <c r="A47" s="107"/>
      <c r="B47" s="349" t="s">
        <v>51</v>
      </c>
      <c r="C47" s="349"/>
      <c r="D47" s="349"/>
      <c r="E47" s="349"/>
      <c r="F47" s="349"/>
      <c r="G47" s="349" t="s">
        <v>52</v>
      </c>
      <c r="H47" s="349"/>
      <c r="I47" s="349"/>
      <c r="J47" s="349"/>
      <c r="K47" s="349" t="s">
        <v>3</v>
      </c>
      <c r="L47" s="349"/>
      <c r="M47" s="349"/>
      <c r="N47" s="349"/>
      <c r="O47" s="349"/>
      <c r="P47" s="349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</row>
    <row r="48" spans="1:50" s="163" customFormat="1" ht="40.9" customHeight="1" x14ac:dyDescent="0.25">
      <c r="A48" s="107"/>
      <c r="B48" s="349" t="s">
        <v>931</v>
      </c>
      <c r="C48" s="349"/>
      <c r="D48" s="349"/>
      <c r="E48" s="349"/>
      <c r="F48" s="349"/>
      <c r="G48" s="349" t="s">
        <v>1004</v>
      </c>
      <c r="H48" s="349"/>
      <c r="I48" s="349"/>
      <c r="J48" s="349"/>
      <c r="K48" s="349" t="s">
        <v>3</v>
      </c>
      <c r="L48" s="349"/>
      <c r="M48" s="349"/>
      <c r="N48" s="349"/>
      <c r="O48" s="349"/>
      <c r="P48" s="349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</row>
    <row r="49" spans="1:50" s="163" customFormat="1" ht="40.9" customHeight="1" x14ac:dyDescent="0.25">
      <c r="A49" s="107"/>
      <c r="B49" s="349" t="s">
        <v>360</v>
      </c>
      <c r="C49" s="349"/>
      <c r="D49" s="349"/>
      <c r="E49" s="349"/>
      <c r="F49" s="349"/>
      <c r="G49" s="349" t="s">
        <v>361</v>
      </c>
      <c r="H49" s="349"/>
      <c r="I49" s="349"/>
      <c r="J49" s="349"/>
      <c r="K49" s="349" t="s">
        <v>3</v>
      </c>
      <c r="L49" s="349"/>
      <c r="M49" s="349"/>
      <c r="N49" s="349"/>
      <c r="O49" s="349"/>
      <c r="P49" s="349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</row>
    <row r="50" spans="1:50" s="163" customFormat="1" ht="15" customHeight="1" x14ac:dyDescent="0.25">
      <c r="A50" s="106"/>
      <c r="B50" s="350" t="s">
        <v>362</v>
      </c>
      <c r="C50" s="350"/>
      <c r="D50" s="350"/>
      <c r="E50" s="350"/>
      <c r="F50" s="350"/>
      <c r="G50" s="350" t="s">
        <v>3</v>
      </c>
      <c r="H50" s="350"/>
      <c r="I50" s="350"/>
      <c r="J50" s="350"/>
      <c r="K50" s="350" t="s">
        <v>3</v>
      </c>
      <c r="L50" s="350"/>
      <c r="M50" s="350"/>
      <c r="N50" s="350"/>
      <c r="O50" s="350"/>
      <c r="P50" s="350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</row>
    <row r="51" spans="1:50" s="163" customFormat="1" ht="27.2" customHeight="1" x14ac:dyDescent="0.25">
      <c r="A51" s="107"/>
      <c r="B51" s="349" t="s">
        <v>363</v>
      </c>
      <c r="C51" s="349"/>
      <c r="D51" s="349"/>
      <c r="E51" s="349"/>
      <c r="F51" s="349"/>
      <c r="G51" s="349" t="s">
        <v>364</v>
      </c>
      <c r="H51" s="349"/>
      <c r="I51" s="349"/>
      <c r="J51" s="349"/>
      <c r="K51" s="349" t="s">
        <v>3</v>
      </c>
      <c r="L51" s="349"/>
      <c r="M51" s="349"/>
      <c r="N51" s="349"/>
      <c r="O51" s="349"/>
      <c r="P51" s="349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</row>
    <row r="52" spans="1:50" s="163" customFormat="1" ht="27.2" customHeight="1" x14ac:dyDescent="0.25">
      <c r="A52" s="107"/>
      <c r="B52" s="349" t="s">
        <v>365</v>
      </c>
      <c r="C52" s="349"/>
      <c r="D52" s="349"/>
      <c r="E52" s="349"/>
      <c r="F52" s="349"/>
      <c r="G52" s="349" t="s">
        <v>366</v>
      </c>
      <c r="H52" s="349"/>
      <c r="I52" s="349"/>
      <c r="J52" s="349"/>
      <c r="K52" s="349" t="s">
        <v>3</v>
      </c>
      <c r="L52" s="349"/>
      <c r="M52" s="349"/>
      <c r="N52" s="349"/>
      <c r="O52" s="349"/>
      <c r="P52" s="349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</row>
    <row r="53" spans="1:50" s="163" customFormat="1" x14ac:dyDescent="0.25">
      <c r="A53" s="351" t="s">
        <v>376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51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</row>
    <row r="54" spans="1:50" s="163" customFormat="1" ht="122.45" customHeight="1" x14ac:dyDescent="0.25">
      <c r="A54" s="108" t="s">
        <v>19</v>
      </c>
      <c r="B54" s="352" t="s">
        <v>377</v>
      </c>
      <c r="C54" s="353"/>
      <c r="D54" s="353"/>
      <c r="E54" s="353"/>
      <c r="F54" s="353"/>
      <c r="G54" s="353" t="s">
        <v>378</v>
      </c>
      <c r="H54" s="353"/>
      <c r="I54" s="353"/>
      <c r="J54" s="353"/>
      <c r="K54" s="353" t="s">
        <v>1008</v>
      </c>
      <c r="L54" s="353"/>
      <c r="M54" s="353"/>
      <c r="N54" s="353"/>
      <c r="O54" s="354">
        <f>ROUND((379281 + 76551 * 1.95) * 1 * 7.22 * 0.6, 2)</f>
        <v>2289702.21</v>
      </c>
      <c r="P54" s="353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</row>
    <row r="55" spans="1:50" s="163" customFormat="1" x14ac:dyDescent="0.25">
      <c r="A55" s="106"/>
      <c r="B55" s="350" t="s">
        <v>50</v>
      </c>
      <c r="C55" s="350"/>
      <c r="D55" s="350"/>
      <c r="E55" s="350"/>
      <c r="F55" s="350"/>
      <c r="G55" s="350" t="s">
        <v>3</v>
      </c>
      <c r="H55" s="350"/>
      <c r="I55" s="350"/>
      <c r="J55" s="350"/>
      <c r="K55" s="350" t="s">
        <v>3</v>
      </c>
      <c r="L55" s="350"/>
      <c r="M55" s="350"/>
      <c r="N55" s="350"/>
      <c r="O55" s="350"/>
      <c r="P55" s="350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</row>
    <row r="56" spans="1:50" s="163" customFormat="1" x14ac:dyDescent="0.25">
      <c r="A56" s="107"/>
      <c r="B56" s="349" t="s">
        <v>51</v>
      </c>
      <c r="C56" s="349"/>
      <c r="D56" s="349"/>
      <c r="E56" s="349"/>
      <c r="F56" s="349"/>
      <c r="G56" s="349" t="s">
        <v>52</v>
      </c>
      <c r="H56" s="349"/>
      <c r="I56" s="349"/>
      <c r="J56" s="349"/>
      <c r="K56" s="349" t="s">
        <v>3</v>
      </c>
      <c r="L56" s="349"/>
      <c r="M56" s="349"/>
      <c r="N56" s="349"/>
      <c r="O56" s="349"/>
      <c r="P56" s="349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</row>
    <row r="57" spans="1:50" s="163" customFormat="1" ht="40.9" customHeight="1" x14ac:dyDescent="0.25">
      <c r="A57" s="107"/>
      <c r="B57" s="349" t="s">
        <v>931</v>
      </c>
      <c r="C57" s="349"/>
      <c r="D57" s="349"/>
      <c r="E57" s="349"/>
      <c r="F57" s="349"/>
      <c r="G57" s="349" t="s">
        <v>1004</v>
      </c>
      <c r="H57" s="349"/>
      <c r="I57" s="349"/>
      <c r="J57" s="349"/>
      <c r="K57" s="349" t="s">
        <v>3</v>
      </c>
      <c r="L57" s="349"/>
      <c r="M57" s="349"/>
      <c r="N57" s="349"/>
      <c r="O57" s="349"/>
      <c r="P57" s="349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</row>
    <row r="58" spans="1:50" s="163" customFormat="1" x14ac:dyDescent="0.25">
      <c r="A58" s="109">
        <v>6</v>
      </c>
      <c r="B58" s="356" t="s">
        <v>57</v>
      </c>
      <c r="C58" s="356"/>
      <c r="D58" s="356"/>
      <c r="E58" s="356"/>
      <c r="F58" s="356"/>
      <c r="G58" s="356"/>
      <c r="H58" s="356"/>
      <c r="I58" s="356"/>
      <c r="J58" s="356"/>
      <c r="K58" s="356" t="s">
        <v>3</v>
      </c>
      <c r="L58" s="356"/>
      <c r="M58" s="356"/>
      <c r="N58" s="356"/>
      <c r="O58" s="357">
        <f>ROUND(SUM($O$16:$O$57),2)</f>
        <v>9770571.75</v>
      </c>
      <c r="P58" s="356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</row>
    <row r="59" spans="1:50" s="163" customFormat="1" ht="108.75" customHeight="1" x14ac:dyDescent="0.25">
      <c r="A59" s="109">
        <v>7</v>
      </c>
      <c r="B59" s="351" t="s">
        <v>59</v>
      </c>
      <c r="C59" s="351"/>
      <c r="D59" s="351"/>
      <c r="E59" s="351"/>
      <c r="F59" s="351"/>
      <c r="G59" s="351" t="s">
        <v>60</v>
      </c>
      <c r="H59" s="351"/>
      <c r="I59" s="351"/>
      <c r="J59" s="351"/>
      <c r="K59" s="351" t="s">
        <v>379</v>
      </c>
      <c r="L59" s="351"/>
      <c r="M59" s="351"/>
      <c r="N59" s="351"/>
      <c r="O59" s="355">
        <f>ROUND(($O$58) * 1  * 0.8,2)</f>
        <v>7816457.4000000004</v>
      </c>
      <c r="P59" s="351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</row>
    <row r="60" spans="1:50" s="163" customFormat="1" ht="68.099999999999994" customHeight="1" x14ac:dyDescent="0.25">
      <c r="A60" s="109">
        <v>8</v>
      </c>
      <c r="B60" s="351" t="s">
        <v>59</v>
      </c>
      <c r="C60" s="351"/>
      <c r="D60" s="351"/>
      <c r="E60" s="351"/>
      <c r="F60" s="351"/>
      <c r="G60" s="351" t="s">
        <v>62</v>
      </c>
      <c r="H60" s="351"/>
      <c r="I60" s="351"/>
      <c r="J60" s="351"/>
      <c r="K60" s="351" t="s">
        <v>380</v>
      </c>
      <c r="L60" s="351"/>
      <c r="M60" s="351"/>
      <c r="N60" s="351"/>
      <c r="O60" s="355">
        <f>ROUND(($O$59) * 1  * 1.08,2)</f>
        <v>8441773.9900000002</v>
      </c>
      <c r="P60" s="351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</row>
    <row r="61" spans="1:50" x14ac:dyDescent="0.25">
      <c r="A61" s="171">
        <v>9</v>
      </c>
      <c r="B61" s="337" t="s">
        <v>64</v>
      </c>
      <c r="C61" s="337"/>
      <c r="D61" s="337"/>
      <c r="E61" s="337"/>
      <c r="F61" s="337"/>
      <c r="G61" s="337"/>
      <c r="H61" s="337"/>
      <c r="I61" s="337"/>
      <c r="J61" s="337"/>
      <c r="K61" s="337" t="s">
        <v>3</v>
      </c>
      <c r="L61" s="337"/>
      <c r="M61" s="337"/>
      <c r="N61" s="337"/>
      <c r="O61" s="338">
        <f>O60</f>
        <v>8441773.9900000002</v>
      </c>
      <c r="P61" s="337"/>
      <c r="R61" s="159">
        <f>O61</f>
        <v>8441773.9900000002</v>
      </c>
    </row>
  </sheetData>
  <mergeCells count="192">
    <mergeCell ref="B60:F60"/>
    <mergeCell ref="G60:J60"/>
    <mergeCell ref="K60:N60"/>
    <mergeCell ref="O60:P60"/>
    <mergeCell ref="B58:F58"/>
    <mergeCell ref="G58:J58"/>
    <mergeCell ref="K58:N58"/>
    <mergeCell ref="O58:P58"/>
    <mergeCell ref="B59:F59"/>
    <mergeCell ref="G59:J59"/>
    <mergeCell ref="K59:N59"/>
    <mergeCell ref="O59:P59"/>
    <mergeCell ref="B48:F48"/>
    <mergeCell ref="G48:J48"/>
    <mergeCell ref="K48:N48"/>
    <mergeCell ref="O48:P48"/>
    <mergeCell ref="O50:P50"/>
    <mergeCell ref="A53:P53"/>
    <mergeCell ref="B49:F49"/>
    <mergeCell ref="G49:J49"/>
    <mergeCell ref="K49:N49"/>
    <mergeCell ref="O49:P49"/>
    <mergeCell ref="B50:F50"/>
    <mergeCell ref="G50:J50"/>
    <mergeCell ref="K50:N50"/>
    <mergeCell ref="B51:F51"/>
    <mergeCell ref="G51:J51"/>
    <mergeCell ref="K51:N51"/>
    <mergeCell ref="O51:P51"/>
    <mergeCell ref="B16:F16"/>
    <mergeCell ref="G16:J16"/>
    <mergeCell ref="K16:N16"/>
    <mergeCell ref="O16:P16"/>
    <mergeCell ref="B26:F26"/>
    <mergeCell ref="G26:J26"/>
    <mergeCell ref="K26:N26"/>
    <mergeCell ref="O26:P26"/>
    <mergeCell ref="B31:F31"/>
    <mergeCell ref="G31:J31"/>
    <mergeCell ref="K31:N31"/>
    <mergeCell ref="O31:P31"/>
    <mergeCell ref="K23:N23"/>
    <mergeCell ref="O23:P23"/>
    <mergeCell ref="B24:F24"/>
    <mergeCell ref="G24:J24"/>
    <mergeCell ref="K24:N24"/>
    <mergeCell ref="O24:P24"/>
    <mergeCell ref="B21:F21"/>
    <mergeCell ref="G21:J21"/>
    <mergeCell ref="K21:N21"/>
    <mergeCell ref="O21:P21"/>
    <mergeCell ref="B22:F22"/>
    <mergeCell ref="G22:J22"/>
    <mergeCell ref="B61:F61"/>
    <mergeCell ref="G61:J61"/>
    <mergeCell ref="K61:N61"/>
    <mergeCell ref="O61:P61"/>
    <mergeCell ref="O55:P55"/>
    <mergeCell ref="B52:F52"/>
    <mergeCell ref="G52:J52"/>
    <mergeCell ref="K52:N52"/>
    <mergeCell ref="O52:P52"/>
    <mergeCell ref="B56:F56"/>
    <mergeCell ref="G56:J56"/>
    <mergeCell ref="K56:N56"/>
    <mergeCell ref="O56:P56"/>
    <mergeCell ref="B57:F57"/>
    <mergeCell ref="G57:J57"/>
    <mergeCell ref="K57:N57"/>
    <mergeCell ref="O57:P57"/>
    <mergeCell ref="B54:F54"/>
    <mergeCell ref="G54:J54"/>
    <mergeCell ref="K54:N54"/>
    <mergeCell ref="O54:P54"/>
    <mergeCell ref="B55:F55"/>
    <mergeCell ref="G55:J55"/>
    <mergeCell ref="K55:N55"/>
    <mergeCell ref="B46:F46"/>
    <mergeCell ref="G46:J46"/>
    <mergeCell ref="K46:N46"/>
    <mergeCell ref="O46:P46"/>
    <mergeCell ref="B47:F47"/>
    <mergeCell ref="G47:J47"/>
    <mergeCell ref="K47:N47"/>
    <mergeCell ref="O47:P47"/>
    <mergeCell ref="B45:F45"/>
    <mergeCell ref="G45:J45"/>
    <mergeCell ref="K45:N45"/>
    <mergeCell ref="O45:P45"/>
    <mergeCell ref="A44:P44"/>
    <mergeCell ref="B42:F42"/>
    <mergeCell ref="G42:J42"/>
    <mergeCell ref="K42:N42"/>
    <mergeCell ref="O42:P42"/>
    <mergeCell ref="B43:F43"/>
    <mergeCell ref="G43:J43"/>
    <mergeCell ref="K43:N43"/>
    <mergeCell ref="O43:P43"/>
    <mergeCell ref="K33:N33"/>
    <mergeCell ref="O33:P33"/>
    <mergeCell ref="B34:F34"/>
    <mergeCell ref="G34:J34"/>
    <mergeCell ref="K34:N34"/>
    <mergeCell ref="O34:P34"/>
    <mergeCell ref="B41:F41"/>
    <mergeCell ref="G41:J41"/>
    <mergeCell ref="K41:N41"/>
    <mergeCell ref="O41:P41"/>
    <mergeCell ref="B37:F37"/>
    <mergeCell ref="G37:J37"/>
    <mergeCell ref="K37:N37"/>
    <mergeCell ref="O37:P37"/>
    <mergeCell ref="B38:F38"/>
    <mergeCell ref="G38:J38"/>
    <mergeCell ref="K38:N38"/>
    <mergeCell ref="O38:P38"/>
    <mergeCell ref="B40:F40"/>
    <mergeCell ref="G40:J40"/>
    <mergeCell ref="K40:N40"/>
    <mergeCell ref="O40:P40"/>
    <mergeCell ref="B17:F17"/>
    <mergeCell ref="G17:J17"/>
    <mergeCell ref="K17:N17"/>
    <mergeCell ref="O17:P17"/>
    <mergeCell ref="B18:F18"/>
    <mergeCell ref="G18:J18"/>
    <mergeCell ref="K18:N18"/>
    <mergeCell ref="O18:P18"/>
    <mergeCell ref="B32:F32"/>
    <mergeCell ref="G32:J32"/>
    <mergeCell ref="K32:N32"/>
    <mergeCell ref="O32:P32"/>
    <mergeCell ref="A25:P25"/>
    <mergeCell ref="B30:F30"/>
    <mergeCell ref="G30:J30"/>
    <mergeCell ref="K30:N30"/>
    <mergeCell ref="O30:P30"/>
    <mergeCell ref="B29:F29"/>
    <mergeCell ref="G29:J29"/>
    <mergeCell ref="K29:N29"/>
    <mergeCell ref="O29:P29"/>
    <mergeCell ref="B27:F27"/>
    <mergeCell ref="G27:J27"/>
    <mergeCell ref="K27:N27"/>
    <mergeCell ref="B20:F20"/>
    <mergeCell ref="G20:J20"/>
    <mergeCell ref="K20:N20"/>
    <mergeCell ref="O20:P20"/>
    <mergeCell ref="B39:F39"/>
    <mergeCell ref="G39:J39"/>
    <mergeCell ref="K39:N39"/>
    <mergeCell ref="O39:P39"/>
    <mergeCell ref="B19:F19"/>
    <mergeCell ref="G19:J19"/>
    <mergeCell ref="K19:N19"/>
    <mergeCell ref="O19:P19"/>
    <mergeCell ref="O27:P27"/>
    <mergeCell ref="B28:F28"/>
    <mergeCell ref="G28:J28"/>
    <mergeCell ref="K28:N28"/>
    <mergeCell ref="O28:P28"/>
    <mergeCell ref="B36:F36"/>
    <mergeCell ref="G36:J36"/>
    <mergeCell ref="K36:N36"/>
    <mergeCell ref="O36:P36"/>
    <mergeCell ref="A35:P35"/>
    <mergeCell ref="B33:F33"/>
    <mergeCell ref="G33:J33"/>
    <mergeCell ref="B23:F23"/>
    <mergeCell ref="G23:J23"/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A8:E8"/>
    <mergeCell ref="F8:P8"/>
    <mergeCell ref="A10:E10"/>
    <mergeCell ref="F10:P10"/>
    <mergeCell ref="B12:F12"/>
    <mergeCell ref="G12:J12"/>
    <mergeCell ref="K12:N12"/>
    <mergeCell ref="O12:P12"/>
    <mergeCell ref="K22:N22"/>
    <mergeCell ref="O22:P22"/>
    <mergeCell ref="A14:P14"/>
    <mergeCell ref="A15:P15"/>
  </mergeCells>
  <pageMargins left="0.4" right="0.4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19" zoomScale="70" zoomScaleNormal="100" zoomScaleSheetLayoutView="70" workbookViewId="0">
      <selection activeCell="C104" sqref="C104"/>
    </sheetView>
  </sheetViews>
  <sheetFormatPr defaultColWidth="9.140625" defaultRowHeight="12.75" outlineLevelRow="1" x14ac:dyDescent="0.25"/>
  <cols>
    <col min="1" max="1" width="4.5703125" style="176" hidden="1" customWidth="1"/>
    <col min="2" max="2" width="4.5703125" style="176" customWidth="1"/>
    <col min="3" max="3" width="11" style="176" hidden="1" customWidth="1"/>
    <col min="4" max="8" width="11" style="176" customWidth="1"/>
    <col min="9" max="9" width="15.5703125" style="176" customWidth="1"/>
    <col min="10" max="11" width="8.7109375" style="176" customWidth="1"/>
    <col min="12" max="12" width="15" style="176" customWidth="1"/>
    <col min="13" max="18" width="8.7109375" style="176" customWidth="1"/>
    <col min="19" max="19" width="0" style="176" hidden="1" customWidth="1"/>
    <col min="20" max="23" width="9.140625" style="176" hidden="1" customWidth="1"/>
    <col min="24" max="24" width="9.140625" style="176"/>
    <col min="25" max="25" width="13.42578125" style="176" bestFit="1" customWidth="1"/>
    <col min="26" max="16384" width="9.140625" style="176"/>
  </cols>
  <sheetData>
    <row r="1" spans="2:20" hidden="1" x14ac:dyDescent="0.25">
      <c r="B1" s="176">
        <v>5</v>
      </c>
    </row>
    <row r="2" spans="2:20" ht="17.25" hidden="1" customHeight="1" x14ac:dyDescent="0.25">
      <c r="O2" s="358"/>
      <c r="P2" s="358"/>
      <c r="Q2" s="358"/>
      <c r="R2" s="358"/>
      <c r="S2" s="177"/>
      <c r="T2" s="177"/>
    </row>
    <row r="3" spans="2:20" hidden="1" x14ac:dyDescent="0.25"/>
    <row r="4" spans="2:20" ht="15.75" customHeight="1" x14ac:dyDescent="0.25">
      <c r="B4" s="359" t="str">
        <f>СВОД!E26</f>
        <v>Смета №1.5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</row>
    <row r="5" spans="2:20" x14ac:dyDescent="0.25">
      <c r="B5" s="359" t="s">
        <v>120</v>
      </c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</row>
    <row r="6" spans="2:20" ht="13.5" customHeight="1" x14ac:dyDescent="0.25">
      <c r="B6" s="176" t="s">
        <v>121</v>
      </c>
      <c r="G6" s="360" t="s">
        <v>122</v>
      </c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</row>
    <row r="7" spans="2:20" ht="144.75" customHeight="1" x14ac:dyDescent="0.25"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</row>
    <row r="8" spans="2:20" x14ac:dyDescent="0.25">
      <c r="B8" s="176" t="s">
        <v>123</v>
      </c>
      <c r="G8" s="176" t="s">
        <v>15</v>
      </c>
    </row>
    <row r="9" spans="2:20" ht="3.75" customHeight="1" x14ac:dyDescent="0.25"/>
    <row r="10" spans="2:20" hidden="1" x14ac:dyDescent="0.25">
      <c r="B10" s="176" t="s">
        <v>124</v>
      </c>
      <c r="G10" s="178"/>
    </row>
    <row r="11" spans="2:20" x14ac:dyDescent="0.25">
      <c r="B11" s="176" t="s">
        <v>125</v>
      </c>
      <c r="G11" s="178" t="str">
        <f>СВОД!D14</f>
        <v>ОАО «СИБНЕФТЕТРАНСПРОЕКТ»</v>
      </c>
    </row>
    <row r="13" spans="2:20" x14ac:dyDescent="0.25">
      <c r="B13" s="362" t="s">
        <v>126</v>
      </c>
      <c r="C13" s="362"/>
      <c r="D13" s="362"/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</row>
    <row r="15" spans="2:20" ht="25.5" customHeight="1" x14ac:dyDescent="0.25">
      <c r="B15" s="363" t="s">
        <v>127</v>
      </c>
      <c r="C15" s="364"/>
      <c r="D15" s="364"/>
      <c r="E15" s="364"/>
      <c r="F15" s="364"/>
      <c r="G15" s="364"/>
      <c r="H15" s="364"/>
      <c r="I15" s="365"/>
      <c r="J15" s="365"/>
      <c r="K15" s="365"/>
      <c r="L15" s="365"/>
      <c r="M15" s="365"/>
      <c r="N15" s="365"/>
      <c r="O15" s="365"/>
      <c r="P15" s="365"/>
      <c r="Q15" s="365"/>
      <c r="R15" s="366"/>
    </row>
    <row r="16" spans="2:20" hidden="1" x14ac:dyDescent="0.25">
      <c r="B16" s="179" t="s">
        <v>128</v>
      </c>
      <c r="C16" s="180"/>
      <c r="D16" s="180"/>
      <c r="E16" s="180"/>
      <c r="F16" s="180"/>
      <c r="G16" s="181"/>
      <c r="H16" s="181"/>
      <c r="I16" s="182"/>
      <c r="J16" s="182"/>
      <c r="K16" s="182"/>
      <c r="L16" s="182"/>
      <c r="M16" s="182"/>
      <c r="N16" s="182"/>
      <c r="O16" s="182"/>
      <c r="P16" s="182"/>
      <c r="Q16" s="182"/>
      <c r="R16" s="183"/>
    </row>
    <row r="17" spans="2:18" hidden="1" x14ac:dyDescent="0.25">
      <c r="B17" s="184" t="s">
        <v>128</v>
      </c>
      <c r="C17" s="181"/>
      <c r="D17" s="181"/>
      <c r="E17" s="181"/>
      <c r="F17" s="181"/>
      <c r="G17" s="181"/>
      <c r="H17" s="181"/>
      <c r="I17" s="185"/>
      <c r="J17" s="185"/>
      <c r="K17" s="185"/>
      <c r="L17" s="185"/>
      <c r="M17" s="185"/>
      <c r="N17" s="185"/>
      <c r="O17" s="185"/>
      <c r="P17" s="185"/>
      <c r="Q17" s="185"/>
      <c r="R17" s="186"/>
    </row>
    <row r="18" spans="2:18" hidden="1" x14ac:dyDescent="0.25">
      <c r="B18" s="184" t="s">
        <v>129</v>
      </c>
      <c r="C18" s="181"/>
      <c r="D18" s="181"/>
      <c r="E18" s="181"/>
      <c r="F18" s="181"/>
      <c r="G18" s="181"/>
      <c r="H18" s="181"/>
      <c r="I18" s="185"/>
      <c r="J18" s="185"/>
      <c r="K18" s="185"/>
      <c r="L18" s="185"/>
      <c r="M18" s="185"/>
      <c r="N18" s="185"/>
      <c r="O18" s="185"/>
      <c r="P18" s="185"/>
      <c r="Q18" s="185"/>
      <c r="R18" s="186"/>
    </row>
    <row r="19" spans="2:18" x14ac:dyDescent="0.25">
      <c r="B19" s="184" t="s">
        <v>130</v>
      </c>
      <c r="C19" s="181"/>
      <c r="D19" s="181"/>
      <c r="E19" s="181"/>
      <c r="F19" s="181"/>
      <c r="G19" s="181"/>
      <c r="H19" s="187" t="s">
        <v>131</v>
      </c>
      <c r="I19" s="185"/>
      <c r="J19" s="185"/>
      <c r="K19" s="185"/>
      <c r="L19" s="185"/>
      <c r="M19" s="185"/>
      <c r="N19" s="185"/>
      <c r="O19" s="185"/>
      <c r="P19" s="185"/>
      <c r="Q19" s="185"/>
      <c r="R19" s="186"/>
    </row>
    <row r="20" spans="2:18" hidden="1" x14ac:dyDescent="0.25">
      <c r="B20" s="184"/>
      <c r="C20" s="181"/>
      <c r="D20" s="181"/>
      <c r="E20" s="181"/>
      <c r="F20" s="181"/>
      <c r="G20" s="181"/>
      <c r="H20" s="181" t="s">
        <v>132</v>
      </c>
      <c r="I20" s="185"/>
      <c r="J20" s="185"/>
      <c r="K20" s="185"/>
      <c r="L20" s="185"/>
      <c r="M20" s="185"/>
      <c r="N20" s="185"/>
      <c r="O20" s="185"/>
      <c r="P20" s="185"/>
      <c r="Q20" s="185"/>
      <c r="R20" s="186"/>
    </row>
    <row r="21" spans="2:18" hidden="1" x14ac:dyDescent="0.25">
      <c r="B21" s="184"/>
      <c r="C21" s="181"/>
      <c r="D21" s="181"/>
      <c r="E21" s="181"/>
      <c r="F21" s="181"/>
      <c r="G21" s="181"/>
      <c r="H21" s="181" t="s">
        <v>131</v>
      </c>
      <c r="I21" s="185"/>
      <c r="J21" s="185"/>
      <c r="K21" s="185"/>
      <c r="L21" s="185"/>
      <c r="M21" s="185"/>
      <c r="N21" s="185"/>
      <c r="O21" s="185"/>
      <c r="P21" s="185"/>
      <c r="Q21" s="185"/>
      <c r="R21" s="186"/>
    </row>
    <row r="22" spans="2:18" x14ac:dyDescent="0.25">
      <c r="B22" s="184" t="s">
        <v>133</v>
      </c>
      <c r="C22" s="181"/>
      <c r="D22" s="181"/>
      <c r="E22" s="181"/>
      <c r="F22" s="181"/>
      <c r="G22" s="181"/>
      <c r="H22" s="181"/>
      <c r="I22" s="185"/>
      <c r="J22" s="185"/>
      <c r="K22" s="185"/>
      <c r="L22" s="185"/>
      <c r="M22" s="185"/>
      <c r="N22" s="185"/>
      <c r="O22" s="185"/>
      <c r="P22" s="185"/>
      <c r="Q22" s="185"/>
      <c r="R22" s="186"/>
    </row>
    <row r="23" spans="2:18" x14ac:dyDescent="0.25">
      <c r="B23" s="184"/>
      <c r="D23" s="188" t="s">
        <v>134</v>
      </c>
      <c r="E23" s="188" t="s">
        <v>135</v>
      </c>
      <c r="F23" s="188" t="s">
        <v>136</v>
      </c>
      <c r="G23" s="188" t="s">
        <v>137</v>
      </c>
      <c r="H23" s="188" t="s">
        <v>138</v>
      </c>
      <c r="I23" s="188" t="s">
        <v>139</v>
      </c>
      <c r="J23" s="185"/>
      <c r="K23" s="185"/>
      <c r="L23" s="185"/>
      <c r="M23" s="185"/>
      <c r="N23" s="185"/>
      <c r="O23" s="185"/>
      <c r="P23" s="185"/>
      <c r="Q23" s="185"/>
      <c r="R23" s="186"/>
    </row>
    <row r="24" spans="2:18" x14ac:dyDescent="0.25">
      <c r="B24" s="184"/>
      <c r="D24" s="187" t="s">
        <v>132</v>
      </c>
      <c r="E24" s="187" t="s">
        <v>131</v>
      </c>
      <c r="F24" s="187" t="s">
        <v>131</v>
      </c>
      <c r="G24" s="187" t="s">
        <v>132</v>
      </c>
      <c r="H24" s="187" t="s">
        <v>131</v>
      </c>
      <c r="I24" s="187" t="s">
        <v>131</v>
      </c>
      <c r="J24" s="185"/>
      <c r="K24" s="185"/>
      <c r="L24" s="185"/>
      <c r="M24" s="185"/>
      <c r="N24" s="185"/>
      <c r="O24" s="185"/>
      <c r="P24" s="185"/>
      <c r="Q24" s="185"/>
      <c r="R24" s="186"/>
    </row>
    <row r="25" spans="2:18" hidden="1" x14ac:dyDescent="0.25">
      <c r="B25" s="184"/>
      <c r="C25" s="181"/>
      <c r="D25" s="189" t="s">
        <v>132</v>
      </c>
      <c r="E25" s="189" t="s">
        <v>132</v>
      </c>
      <c r="F25" s="189" t="s">
        <v>132</v>
      </c>
      <c r="G25" s="189" t="s">
        <v>132</v>
      </c>
      <c r="H25" s="189" t="s">
        <v>132</v>
      </c>
      <c r="I25" s="190" t="s">
        <v>132</v>
      </c>
      <c r="J25" s="191"/>
      <c r="K25" s="191"/>
      <c r="L25" s="191"/>
      <c r="M25" s="191"/>
      <c r="N25" s="191"/>
      <c r="O25" s="191"/>
      <c r="P25" s="191"/>
      <c r="Q25" s="191"/>
      <c r="R25" s="192"/>
    </row>
    <row r="26" spans="2:18" hidden="1" x14ac:dyDescent="0.25">
      <c r="B26" s="184"/>
      <c r="C26" s="181"/>
      <c r="D26" s="189" t="s">
        <v>131</v>
      </c>
      <c r="E26" s="189" t="s">
        <v>131</v>
      </c>
      <c r="F26" s="189" t="s">
        <v>131</v>
      </c>
      <c r="G26" s="189" t="s">
        <v>131</v>
      </c>
      <c r="H26" s="189" t="s">
        <v>131</v>
      </c>
      <c r="I26" s="189" t="s">
        <v>131</v>
      </c>
      <c r="J26" s="181"/>
      <c r="K26" s="181"/>
      <c r="L26" s="181"/>
      <c r="M26" s="181"/>
      <c r="N26" s="181"/>
      <c r="O26" s="181"/>
      <c r="P26" s="181"/>
      <c r="Q26" s="181"/>
      <c r="R26" s="193"/>
    </row>
    <row r="27" spans="2:18" ht="25.5" customHeight="1" x14ac:dyDescent="0.25">
      <c r="B27" s="363" t="s">
        <v>140</v>
      </c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73"/>
    </row>
    <row r="28" spans="2:18" hidden="1" x14ac:dyDescent="0.25">
      <c r="B28" s="184" t="s">
        <v>141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2"/>
      <c r="P28" s="182"/>
      <c r="Q28" s="182"/>
      <c r="R28" s="183"/>
    </row>
    <row r="29" spans="2:18" hidden="1" x14ac:dyDescent="0.25">
      <c r="B29" s="374" t="s">
        <v>142</v>
      </c>
      <c r="C29" s="374"/>
      <c r="D29" s="374"/>
      <c r="E29" s="374"/>
      <c r="F29" s="374"/>
      <c r="G29" s="374"/>
      <c r="H29" s="374"/>
      <c r="I29" s="374"/>
      <c r="J29" s="375"/>
      <c r="K29" s="375"/>
      <c r="L29" s="375"/>
      <c r="M29" s="376" t="s">
        <v>143</v>
      </c>
      <c r="N29" s="377"/>
      <c r="O29" s="194"/>
      <c r="P29" s="185"/>
      <c r="Q29" s="185"/>
      <c r="R29" s="186"/>
    </row>
    <row r="30" spans="2:18" ht="25.5" hidden="1" x14ac:dyDescent="0.25">
      <c r="B30" s="188" t="s">
        <v>42</v>
      </c>
      <c r="C30" s="378" t="s">
        <v>144</v>
      </c>
      <c r="D30" s="379"/>
      <c r="E30" s="378" t="s">
        <v>145</v>
      </c>
      <c r="F30" s="380"/>
      <c r="G30" s="379"/>
      <c r="H30" s="378" t="s">
        <v>146</v>
      </c>
      <c r="I30" s="380"/>
      <c r="J30" s="380"/>
      <c r="K30" s="380"/>
      <c r="L30" s="379"/>
      <c r="M30" s="378" t="s">
        <v>147</v>
      </c>
      <c r="N30" s="380"/>
      <c r="O30" s="194"/>
      <c r="P30" s="185"/>
      <c r="Q30" s="185"/>
      <c r="R30" s="186"/>
    </row>
    <row r="31" spans="2:18" ht="24" hidden="1" customHeight="1" x14ac:dyDescent="0.25">
      <c r="B31" s="187">
        <v>1</v>
      </c>
      <c r="C31" s="367" t="s">
        <v>148</v>
      </c>
      <c r="D31" s="368"/>
      <c r="E31" s="369" t="s">
        <v>149</v>
      </c>
      <c r="F31" s="370"/>
      <c r="G31" s="371"/>
      <c r="H31" s="369" t="s">
        <v>150</v>
      </c>
      <c r="I31" s="370"/>
      <c r="J31" s="370"/>
      <c r="K31" s="370"/>
      <c r="L31" s="371"/>
      <c r="M31" s="367">
        <f>IF(H19="Да",SUMIF($H32:$L35,$H31,M32:N35),0)</f>
        <v>0</v>
      </c>
      <c r="N31" s="372"/>
      <c r="O31" s="194"/>
      <c r="P31" s="185"/>
      <c r="Q31" s="185"/>
      <c r="R31" s="186"/>
    </row>
    <row r="32" spans="2:18" ht="29.25" hidden="1" customHeight="1" x14ac:dyDescent="0.25">
      <c r="B32" s="195" t="s">
        <v>24</v>
      </c>
      <c r="C32" s="196"/>
      <c r="D32" s="181"/>
      <c r="E32" s="181"/>
      <c r="F32" s="181"/>
      <c r="G32" s="181"/>
      <c r="H32" s="369" t="s">
        <v>150</v>
      </c>
      <c r="I32" s="370"/>
      <c r="J32" s="370"/>
      <c r="K32" s="370"/>
      <c r="L32" s="371"/>
      <c r="M32" s="367">
        <v>1</v>
      </c>
      <c r="N32" s="372"/>
      <c r="O32" s="194"/>
      <c r="P32" s="185"/>
      <c r="Q32" s="185"/>
      <c r="R32" s="186"/>
    </row>
    <row r="33" spans="2:18" ht="28.5" hidden="1" customHeight="1" x14ac:dyDescent="0.25">
      <c r="B33" s="195" t="s">
        <v>151</v>
      </c>
      <c r="C33" s="196"/>
      <c r="D33" s="181"/>
      <c r="E33" s="181"/>
      <c r="F33" s="181"/>
      <c r="G33" s="181"/>
      <c r="H33" s="369" t="s">
        <v>152</v>
      </c>
      <c r="I33" s="370"/>
      <c r="J33" s="370"/>
      <c r="K33" s="370"/>
      <c r="L33" s="371"/>
      <c r="M33" s="367">
        <v>2</v>
      </c>
      <c r="N33" s="372"/>
      <c r="O33" s="194"/>
      <c r="P33" s="185"/>
      <c r="Q33" s="185"/>
      <c r="R33" s="186"/>
    </row>
    <row r="34" spans="2:18" ht="39" hidden="1" customHeight="1" x14ac:dyDescent="0.25">
      <c r="B34" s="195" t="s">
        <v>153</v>
      </c>
      <c r="C34" s="196"/>
      <c r="D34" s="181"/>
      <c r="E34" s="181"/>
      <c r="F34" s="181"/>
      <c r="G34" s="181"/>
      <c r="H34" s="369" t="s">
        <v>154</v>
      </c>
      <c r="I34" s="370"/>
      <c r="J34" s="370"/>
      <c r="K34" s="370"/>
      <c r="L34" s="371"/>
      <c r="M34" s="367">
        <v>4</v>
      </c>
      <c r="N34" s="372"/>
      <c r="O34" s="194"/>
      <c r="P34" s="185"/>
      <c r="Q34" s="185"/>
      <c r="R34" s="186"/>
    </row>
    <row r="35" spans="2:18" ht="25.5" hidden="1" customHeight="1" x14ac:dyDescent="0.25">
      <c r="B35" s="195" t="s">
        <v>155</v>
      </c>
      <c r="C35" s="196"/>
      <c r="D35" s="181"/>
      <c r="E35" s="181"/>
      <c r="F35" s="181"/>
      <c r="G35" s="181"/>
      <c r="H35" s="369" t="s">
        <v>156</v>
      </c>
      <c r="I35" s="370"/>
      <c r="J35" s="370"/>
      <c r="K35" s="370"/>
      <c r="L35" s="371"/>
      <c r="M35" s="367">
        <v>8</v>
      </c>
      <c r="N35" s="372"/>
      <c r="O35" s="194"/>
      <c r="P35" s="185"/>
      <c r="Q35" s="185"/>
      <c r="R35" s="186"/>
    </row>
    <row r="36" spans="2:18" ht="25.5" hidden="1" customHeight="1" x14ac:dyDescent="0.25">
      <c r="B36" s="187">
        <v>2</v>
      </c>
      <c r="C36" s="367" t="s">
        <v>157</v>
      </c>
      <c r="D36" s="368"/>
      <c r="E36" s="369" t="s">
        <v>158</v>
      </c>
      <c r="F36" s="370"/>
      <c r="G36" s="371"/>
      <c r="H36" s="369" t="s">
        <v>159</v>
      </c>
      <c r="I36" s="370"/>
      <c r="J36" s="370"/>
      <c r="K36" s="370"/>
      <c r="L36" s="371"/>
      <c r="M36" s="367">
        <f>IF(H19="Да",SUMIF($H37:$L42,$H36,M37:N42),0)</f>
        <v>0</v>
      </c>
      <c r="N36" s="372"/>
      <c r="O36" s="194"/>
      <c r="P36" s="185"/>
      <c r="Q36" s="185"/>
      <c r="R36" s="186"/>
    </row>
    <row r="37" spans="2:18" ht="38.25" hidden="1" customHeight="1" x14ac:dyDescent="0.25">
      <c r="B37" s="195" t="s">
        <v>25</v>
      </c>
      <c r="C37" s="196"/>
      <c r="D37" s="181"/>
      <c r="E37" s="181"/>
      <c r="F37" s="181"/>
      <c r="G37" s="181"/>
      <c r="H37" s="369" t="s">
        <v>159</v>
      </c>
      <c r="I37" s="370"/>
      <c r="J37" s="370"/>
      <c r="K37" s="370"/>
      <c r="L37" s="371"/>
      <c r="M37" s="367">
        <v>1</v>
      </c>
      <c r="N37" s="372"/>
      <c r="O37" s="194"/>
      <c r="P37" s="185"/>
      <c r="Q37" s="185"/>
      <c r="R37" s="186"/>
    </row>
    <row r="38" spans="2:18" ht="50.25" hidden="1" customHeight="1" x14ac:dyDescent="0.25">
      <c r="B38" s="195" t="s">
        <v>160</v>
      </c>
      <c r="C38" s="196"/>
      <c r="D38" s="181"/>
      <c r="E38" s="181"/>
      <c r="F38" s="181"/>
      <c r="G38" s="181"/>
      <c r="H38" s="369" t="s">
        <v>161</v>
      </c>
      <c r="I38" s="370"/>
      <c r="J38" s="370"/>
      <c r="K38" s="370"/>
      <c r="L38" s="371"/>
      <c r="M38" s="367">
        <v>2</v>
      </c>
      <c r="N38" s="372"/>
      <c r="O38" s="194"/>
      <c r="P38" s="185"/>
      <c r="Q38" s="185"/>
      <c r="R38" s="186"/>
    </row>
    <row r="39" spans="2:18" ht="27.75" hidden="1" customHeight="1" x14ac:dyDescent="0.25">
      <c r="B39" s="195" t="s">
        <v>162</v>
      </c>
      <c r="C39" s="196"/>
      <c r="D39" s="181"/>
      <c r="E39" s="181"/>
      <c r="F39" s="181"/>
      <c r="G39" s="181"/>
      <c r="H39" s="369" t="s">
        <v>163</v>
      </c>
      <c r="I39" s="370"/>
      <c r="J39" s="370"/>
      <c r="K39" s="370"/>
      <c r="L39" s="371"/>
      <c r="M39" s="367">
        <v>4</v>
      </c>
      <c r="N39" s="372"/>
      <c r="O39" s="194"/>
      <c r="P39" s="185"/>
      <c r="Q39" s="185"/>
      <c r="R39" s="186"/>
    </row>
    <row r="40" spans="2:18" ht="39" hidden="1" customHeight="1" x14ac:dyDescent="0.25">
      <c r="B40" s="195" t="s">
        <v>164</v>
      </c>
      <c r="C40" s="196"/>
      <c r="D40" s="181"/>
      <c r="E40" s="181"/>
      <c r="F40" s="181"/>
      <c r="G40" s="181"/>
      <c r="H40" s="369" t="s">
        <v>165</v>
      </c>
      <c r="I40" s="370"/>
      <c r="J40" s="370"/>
      <c r="K40" s="370"/>
      <c r="L40" s="371"/>
      <c r="M40" s="367">
        <v>5</v>
      </c>
      <c r="N40" s="372"/>
      <c r="O40" s="194"/>
      <c r="P40" s="185"/>
      <c r="Q40" s="185"/>
      <c r="R40" s="186"/>
    </row>
    <row r="41" spans="2:18" ht="39" hidden="1" customHeight="1" x14ac:dyDescent="0.25">
      <c r="B41" s="195" t="s">
        <v>166</v>
      </c>
      <c r="C41" s="196"/>
      <c r="D41" s="181"/>
      <c r="E41" s="181"/>
      <c r="F41" s="181"/>
      <c r="G41" s="181"/>
      <c r="H41" s="369" t="s">
        <v>167</v>
      </c>
      <c r="I41" s="370"/>
      <c r="J41" s="370"/>
      <c r="K41" s="370"/>
      <c r="L41" s="371"/>
      <c r="M41" s="367">
        <v>4</v>
      </c>
      <c r="N41" s="372"/>
      <c r="O41" s="194"/>
      <c r="P41" s="185"/>
      <c r="Q41" s="185"/>
      <c r="R41" s="186"/>
    </row>
    <row r="42" spans="2:18" ht="26.25" hidden="1" customHeight="1" x14ac:dyDescent="0.25">
      <c r="B42" s="195" t="s">
        <v>168</v>
      </c>
      <c r="C42" s="196"/>
      <c r="D42" s="181"/>
      <c r="E42" s="181"/>
      <c r="F42" s="181"/>
      <c r="G42" s="181"/>
      <c r="H42" s="369" t="s">
        <v>169</v>
      </c>
      <c r="I42" s="370"/>
      <c r="J42" s="370"/>
      <c r="K42" s="370"/>
      <c r="L42" s="371"/>
      <c r="M42" s="367">
        <v>3</v>
      </c>
      <c r="N42" s="372"/>
      <c r="O42" s="194"/>
      <c r="P42" s="185"/>
      <c r="Q42" s="185"/>
      <c r="R42" s="186"/>
    </row>
    <row r="43" spans="2:18" ht="32.25" hidden="1" customHeight="1" x14ac:dyDescent="0.25">
      <c r="B43" s="187">
        <v>3</v>
      </c>
      <c r="C43" s="367" t="s">
        <v>170</v>
      </c>
      <c r="D43" s="368"/>
      <c r="E43" s="369" t="s">
        <v>171</v>
      </c>
      <c r="F43" s="370"/>
      <c r="G43" s="371"/>
      <c r="H43" s="369" t="s">
        <v>172</v>
      </c>
      <c r="I43" s="370"/>
      <c r="J43" s="370"/>
      <c r="K43" s="370"/>
      <c r="L43" s="371"/>
      <c r="M43" s="367">
        <f>IF(H19="Да",SUMIF($H44:$L51,$H43,M44:N51),0)</f>
        <v>0</v>
      </c>
      <c r="N43" s="372"/>
      <c r="O43" s="194"/>
      <c r="P43" s="185"/>
      <c r="Q43" s="185"/>
      <c r="R43" s="186"/>
    </row>
    <row r="44" spans="2:18" hidden="1" x14ac:dyDescent="0.25">
      <c r="B44" s="195" t="s">
        <v>27</v>
      </c>
      <c r="C44" s="196"/>
      <c r="D44" s="181"/>
      <c r="E44" s="181"/>
      <c r="F44" s="181"/>
      <c r="G44" s="181"/>
      <c r="H44" s="369" t="s">
        <v>173</v>
      </c>
      <c r="I44" s="370"/>
      <c r="J44" s="370"/>
      <c r="K44" s="370"/>
      <c r="L44" s="371"/>
      <c r="M44" s="367">
        <v>1</v>
      </c>
      <c r="N44" s="372"/>
      <c r="O44" s="194"/>
      <c r="P44" s="185"/>
      <c r="Q44" s="185"/>
      <c r="R44" s="186"/>
    </row>
    <row r="45" spans="2:18" ht="12.75" hidden="1" customHeight="1" x14ac:dyDescent="0.25">
      <c r="B45" s="195" t="s">
        <v>28</v>
      </c>
      <c r="C45" s="196"/>
      <c r="D45" s="181"/>
      <c r="E45" s="181"/>
      <c r="F45" s="181"/>
      <c r="G45" s="181"/>
      <c r="H45" s="369" t="s">
        <v>174</v>
      </c>
      <c r="I45" s="370"/>
      <c r="J45" s="370"/>
      <c r="K45" s="370"/>
      <c r="L45" s="371"/>
      <c r="M45" s="367">
        <v>2</v>
      </c>
      <c r="N45" s="372"/>
      <c r="O45" s="194"/>
      <c r="P45" s="185"/>
      <c r="Q45" s="185"/>
      <c r="R45" s="186"/>
    </row>
    <row r="46" spans="2:18" ht="12.75" hidden="1" customHeight="1" x14ac:dyDescent="0.25">
      <c r="B46" s="195" t="s">
        <v>29</v>
      </c>
      <c r="C46" s="196"/>
      <c r="D46" s="181"/>
      <c r="E46" s="181"/>
      <c r="F46" s="181"/>
      <c r="G46" s="181"/>
      <c r="H46" s="369" t="s">
        <v>172</v>
      </c>
      <c r="I46" s="370"/>
      <c r="J46" s="370"/>
      <c r="K46" s="370"/>
      <c r="L46" s="371"/>
      <c r="M46" s="367">
        <v>4</v>
      </c>
      <c r="N46" s="372"/>
      <c r="O46" s="194"/>
      <c r="P46" s="185"/>
      <c r="Q46" s="185"/>
      <c r="R46" s="186"/>
    </row>
    <row r="47" spans="2:18" ht="12.75" hidden="1" customHeight="1" x14ac:dyDescent="0.25">
      <c r="B47" s="195" t="s">
        <v>30</v>
      </c>
      <c r="C47" s="196"/>
      <c r="D47" s="181"/>
      <c r="E47" s="181"/>
      <c r="F47" s="181"/>
      <c r="G47" s="181"/>
      <c r="H47" s="369" t="s">
        <v>175</v>
      </c>
      <c r="I47" s="370"/>
      <c r="J47" s="370"/>
      <c r="K47" s="370"/>
      <c r="L47" s="371"/>
      <c r="M47" s="367">
        <v>5</v>
      </c>
      <c r="N47" s="372"/>
      <c r="O47" s="194"/>
      <c r="P47" s="185"/>
      <c r="Q47" s="185"/>
      <c r="R47" s="186"/>
    </row>
    <row r="48" spans="2:18" ht="12.75" hidden="1" customHeight="1" x14ac:dyDescent="0.25">
      <c r="B48" s="195" t="s">
        <v>31</v>
      </c>
      <c r="C48" s="196"/>
      <c r="D48" s="181"/>
      <c r="E48" s="181"/>
      <c r="F48" s="181"/>
      <c r="G48" s="181"/>
      <c r="H48" s="369" t="s">
        <v>176</v>
      </c>
      <c r="I48" s="370"/>
      <c r="J48" s="370"/>
      <c r="K48" s="370"/>
      <c r="L48" s="371"/>
      <c r="M48" s="367">
        <v>7</v>
      </c>
      <c r="N48" s="372"/>
      <c r="O48" s="194"/>
      <c r="P48" s="185"/>
      <c r="Q48" s="185"/>
      <c r="R48" s="186"/>
    </row>
    <row r="49" spans="2:18" ht="12.75" hidden="1" customHeight="1" x14ac:dyDescent="0.25">
      <c r="B49" s="195" t="s">
        <v>32</v>
      </c>
      <c r="C49" s="196"/>
      <c r="D49" s="181"/>
      <c r="E49" s="181"/>
      <c r="F49" s="181"/>
      <c r="G49" s="181"/>
      <c r="H49" s="369" t="s">
        <v>177</v>
      </c>
      <c r="I49" s="370"/>
      <c r="J49" s="370"/>
      <c r="K49" s="370"/>
      <c r="L49" s="371"/>
      <c r="M49" s="367">
        <v>9</v>
      </c>
      <c r="N49" s="372"/>
      <c r="O49" s="194"/>
      <c r="P49" s="185"/>
      <c r="Q49" s="185"/>
      <c r="R49" s="186"/>
    </row>
    <row r="50" spans="2:18" ht="12.75" hidden="1" customHeight="1" x14ac:dyDescent="0.25">
      <c r="B50" s="195" t="s">
        <v>33</v>
      </c>
      <c r="C50" s="196"/>
      <c r="D50" s="181"/>
      <c r="E50" s="181"/>
      <c r="F50" s="181"/>
      <c r="G50" s="181"/>
      <c r="H50" s="369" t="s">
        <v>178</v>
      </c>
      <c r="I50" s="370"/>
      <c r="J50" s="370"/>
      <c r="K50" s="370"/>
      <c r="L50" s="371"/>
      <c r="M50" s="367">
        <v>10</v>
      </c>
      <c r="N50" s="372"/>
      <c r="O50" s="194"/>
      <c r="P50" s="185"/>
      <c r="Q50" s="185"/>
      <c r="R50" s="186"/>
    </row>
    <row r="51" spans="2:18" ht="12.75" hidden="1" customHeight="1" x14ac:dyDescent="0.25">
      <c r="B51" s="195" t="s">
        <v>34</v>
      </c>
      <c r="C51" s="196"/>
      <c r="D51" s="181"/>
      <c r="E51" s="181"/>
      <c r="F51" s="181"/>
      <c r="G51" s="181"/>
      <c r="H51" s="369" t="s">
        <v>179</v>
      </c>
      <c r="I51" s="370"/>
      <c r="J51" s="370"/>
      <c r="K51" s="370"/>
      <c r="L51" s="371"/>
      <c r="M51" s="367">
        <v>11</v>
      </c>
      <c r="N51" s="372"/>
      <c r="O51" s="194"/>
      <c r="P51" s="185"/>
      <c r="Q51" s="185"/>
      <c r="R51" s="186"/>
    </row>
    <row r="52" spans="2:18" ht="27" hidden="1" customHeight="1" x14ac:dyDescent="0.25">
      <c r="B52" s="187">
        <v>4</v>
      </c>
      <c r="C52" s="367" t="s">
        <v>180</v>
      </c>
      <c r="D52" s="368"/>
      <c r="E52" s="369" t="s">
        <v>181</v>
      </c>
      <c r="F52" s="370"/>
      <c r="G52" s="371"/>
      <c r="H52" s="369" t="s">
        <v>182</v>
      </c>
      <c r="I52" s="370"/>
      <c r="J52" s="370"/>
      <c r="K52" s="370"/>
      <c r="L52" s="371"/>
      <c r="M52" s="367">
        <f>IF(H19="Да",SUMIF($H53:$L66,$H52,M53:N66),0)</f>
        <v>0</v>
      </c>
      <c r="N52" s="372"/>
      <c r="O52" s="194"/>
      <c r="P52" s="185"/>
      <c r="Q52" s="185"/>
      <c r="R52" s="186"/>
    </row>
    <row r="53" spans="2:18" hidden="1" x14ac:dyDescent="0.25">
      <c r="B53" s="195" t="s">
        <v>183</v>
      </c>
      <c r="C53" s="196"/>
      <c r="D53" s="181"/>
      <c r="E53" s="181"/>
      <c r="F53" s="181"/>
      <c r="G53" s="181"/>
      <c r="H53" s="369" t="s">
        <v>184</v>
      </c>
      <c r="I53" s="370"/>
      <c r="J53" s="370"/>
      <c r="K53" s="370"/>
      <c r="L53" s="371"/>
      <c r="M53" s="381">
        <v>1</v>
      </c>
      <c r="N53" s="382"/>
      <c r="O53" s="194"/>
      <c r="P53" s="185"/>
      <c r="Q53" s="185"/>
      <c r="R53" s="186"/>
    </row>
    <row r="54" spans="2:18" ht="12.75" hidden="1" customHeight="1" x14ac:dyDescent="0.25">
      <c r="B54" s="195" t="s">
        <v>185</v>
      </c>
      <c r="C54" s="196"/>
      <c r="D54" s="181"/>
      <c r="E54" s="181"/>
      <c r="F54" s="181"/>
      <c r="G54" s="181"/>
      <c r="H54" s="369" t="s">
        <v>186</v>
      </c>
      <c r="I54" s="370"/>
      <c r="J54" s="370"/>
      <c r="K54" s="370"/>
      <c r="L54" s="371"/>
      <c r="M54" s="381">
        <v>2</v>
      </c>
      <c r="N54" s="382"/>
      <c r="O54" s="194"/>
      <c r="P54" s="185"/>
      <c r="Q54" s="185"/>
      <c r="R54" s="186"/>
    </row>
    <row r="55" spans="2:18" ht="12.75" hidden="1" customHeight="1" x14ac:dyDescent="0.25">
      <c r="B55" s="195" t="s">
        <v>187</v>
      </c>
      <c r="C55" s="196"/>
      <c r="D55" s="181"/>
      <c r="E55" s="181"/>
      <c r="F55" s="181"/>
      <c r="G55" s="181"/>
      <c r="H55" s="369" t="s">
        <v>188</v>
      </c>
      <c r="I55" s="370"/>
      <c r="J55" s="370"/>
      <c r="K55" s="370"/>
      <c r="L55" s="371"/>
      <c r="M55" s="381">
        <v>3</v>
      </c>
      <c r="N55" s="382"/>
      <c r="O55" s="194"/>
      <c r="P55" s="185"/>
      <c r="Q55" s="185"/>
      <c r="R55" s="186"/>
    </row>
    <row r="56" spans="2:18" ht="12.75" hidden="1" customHeight="1" x14ac:dyDescent="0.25">
      <c r="B56" s="195" t="s">
        <v>189</v>
      </c>
      <c r="C56" s="196"/>
      <c r="D56" s="181"/>
      <c r="E56" s="181"/>
      <c r="F56" s="181"/>
      <c r="G56" s="181"/>
      <c r="H56" s="369" t="s">
        <v>190</v>
      </c>
      <c r="I56" s="370"/>
      <c r="J56" s="370"/>
      <c r="K56" s="370"/>
      <c r="L56" s="371"/>
      <c r="M56" s="381">
        <v>4</v>
      </c>
      <c r="N56" s="382"/>
      <c r="O56" s="194"/>
      <c r="P56" s="185"/>
      <c r="Q56" s="185"/>
      <c r="R56" s="186"/>
    </row>
    <row r="57" spans="2:18" ht="12.75" hidden="1" customHeight="1" x14ac:dyDescent="0.25">
      <c r="B57" s="195" t="s">
        <v>191</v>
      </c>
      <c r="C57" s="196"/>
      <c r="D57" s="181"/>
      <c r="E57" s="181"/>
      <c r="F57" s="181"/>
      <c r="G57" s="181"/>
      <c r="H57" s="369" t="s">
        <v>192</v>
      </c>
      <c r="I57" s="370"/>
      <c r="J57" s="370"/>
      <c r="K57" s="370"/>
      <c r="L57" s="371"/>
      <c r="M57" s="381">
        <v>5</v>
      </c>
      <c r="N57" s="382"/>
      <c r="O57" s="194"/>
      <c r="P57" s="185"/>
      <c r="Q57" s="185"/>
      <c r="R57" s="186"/>
    </row>
    <row r="58" spans="2:18" ht="12.75" hidden="1" customHeight="1" x14ac:dyDescent="0.25">
      <c r="B58" s="195" t="s">
        <v>193</v>
      </c>
      <c r="C58" s="196"/>
      <c r="D58" s="181"/>
      <c r="E58" s="181"/>
      <c r="F58" s="181"/>
      <c r="G58" s="181"/>
      <c r="H58" s="369" t="s">
        <v>194</v>
      </c>
      <c r="I58" s="370"/>
      <c r="J58" s="370"/>
      <c r="K58" s="370"/>
      <c r="L58" s="371"/>
      <c r="M58" s="381">
        <v>6</v>
      </c>
      <c r="N58" s="382"/>
      <c r="O58" s="194"/>
      <c r="P58" s="185"/>
      <c r="Q58" s="185"/>
      <c r="R58" s="186"/>
    </row>
    <row r="59" spans="2:18" ht="12.75" hidden="1" customHeight="1" x14ac:dyDescent="0.25">
      <c r="B59" s="195" t="s">
        <v>195</v>
      </c>
      <c r="C59" s="196"/>
      <c r="D59" s="181"/>
      <c r="E59" s="181"/>
      <c r="F59" s="181"/>
      <c r="G59" s="181"/>
      <c r="H59" s="369" t="s">
        <v>196</v>
      </c>
      <c r="I59" s="370"/>
      <c r="J59" s="370"/>
      <c r="K59" s="370"/>
      <c r="L59" s="371"/>
      <c r="M59" s="381">
        <v>7</v>
      </c>
      <c r="N59" s="382"/>
      <c r="O59" s="194"/>
      <c r="P59" s="185"/>
      <c r="Q59" s="185"/>
      <c r="R59" s="186"/>
    </row>
    <row r="60" spans="2:18" ht="12.75" hidden="1" customHeight="1" x14ac:dyDescent="0.25">
      <c r="B60" s="195" t="s">
        <v>197</v>
      </c>
      <c r="C60" s="196"/>
      <c r="D60" s="181"/>
      <c r="E60" s="181"/>
      <c r="F60" s="181"/>
      <c r="G60" s="181"/>
      <c r="H60" s="369" t="s">
        <v>182</v>
      </c>
      <c r="I60" s="370"/>
      <c r="J60" s="370"/>
      <c r="K60" s="370"/>
      <c r="L60" s="371"/>
      <c r="M60" s="381">
        <v>8</v>
      </c>
      <c r="N60" s="382"/>
      <c r="O60" s="194"/>
      <c r="P60" s="185"/>
      <c r="Q60" s="185"/>
      <c r="R60" s="186"/>
    </row>
    <row r="61" spans="2:18" ht="12.75" hidden="1" customHeight="1" x14ac:dyDescent="0.25">
      <c r="B61" s="195" t="s">
        <v>198</v>
      </c>
      <c r="C61" s="196"/>
      <c r="D61" s="181"/>
      <c r="E61" s="181"/>
      <c r="F61" s="181"/>
      <c r="G61" s="181"/>
      <c r="H61" s="369" t="s">
        <v>199</v>
      </c>
      <c r="I61" s="370"/>
      <c r="J61" s="370"/>
      <c r="K61" s="370"/>
      <c r="L61" s="371"/>
      <c r="M61" s="381">
        <v>9</v>
      </c>
      <c r="N61" s="382"/>
      <c r="O61" s="194"/>
      <c r="P61" s="185"/>
      <c r="Q61" s="185"/>
      <c r="R61" s="186"/>
    </row>
    <row r="62" spans="2:18" ht="12.75" hidden="1" customHeight="1" x14ac:dyDescent="0.25">
      <c r="B62" s="195" t="s">
        <v>200</v>
      </c>
      <c r="C62" s="196"/>
      <c r="D62" s="181"/>
      <c r="E62" s="181"/>
      <c r="F62" s="181"/>
      <c r="G62" s="181"/>
      <c r="H62" s="369" t="s">
        <v>201</v>
      </c>
      <c r="I62" s="370"/>
      <c r="J62" s="370"/>
      <c r="K62" s="370"/>
      <c r="L62" s="371"/>
      <c r="M62" s="381">
        <v>10</v>
      </c>
      <c r="N62" s="382"/>
      <c r="O62" s="194"/>
      <c r="P62" s="185"/>
      <c r="Q62" s="185"/>
      <c r="R62" s="186"/>
    </row>
    <row r="63" spans="2:18" ht="12.75" hidden="1" customHeight="1" x14ac:dyDescent="0.25">
      <c r="B63" s="195" t="s">
        <v>202</v>
      </c>
      <c r="C63" s="196"/>
      <c r="D63" s="181"/>
      <c r="E63" s="181"/>
      <c r="F63" s="181"/>
      <c r="G63" s="181"/>
      <c r="H63" s="369" t="s">
        <v>203</v>
      </c>
      <c r="I63" s="370"/>
      <c r="J63" s="370"/>
      <c r="K63" s="370"/>
      <c r="L63" s="371"/>
      <c r="M63" s="381">
        <v>11</v>
      </c>
      <c r="N63" s="382"/>
      <c r="O63" s="194"/>
      <c r="P63" s="185"/>
      <c r="Q63" s="185"/>
      <c r="R63" s="186"/>
    </row>
    <row r="64" spans="2:18" ht="12.75" hidden="1" customHeight="1" x14ac:dyDescent="0.25">
      <c r="B64" s="195" t="s">
        <v>204</v>
      </c>
      <c r="C64" s="196"/>
      <c r="D64" s="181"/>
      <c r="E64" s="181"/>
      <c r="F64" s="181"/>
      <c r="G64" s="181"/>
      <c r="H64" s="369" t="s">
        <v>205</v>
      </c>
      <c r="I64" s="370"/>
      <c r="J64" s="370"/>
      <c r="K64" s="370"/>
      <c r="L64" s="371"/>
      <c r="M64" s="381">
        <v>12</v>
      </c>
      <c r="N64" s="382"/>
      <c r="O64" s="194"/>
      <c r="P64" s="185"/>
      <c r="Q64" s="185"/>
      <c r="R64" s="186"/>
    </row>
    <row r="65" spans="2:18" ht="12.75" hidden="1" customHeight="1" x14ac:dyDescent="0.25">
      <c r="B65" s="195" t="s">
        <v>206</v>
      </c>
      <c r="C65" s="196"/>
      <c r="D65" s="181"/>
      <c r="E65" s="181"/>
      <c r="F65" s="181"/>
      <c r="G65" s="181"/>
      <c r="H65" s="369" t="s">
        <v>207</v>
      </c>
      <c r="I65" s="370"/>
      <c r="J65" s="370"/>
      <c r="K65" s="370"/>
      <c r="L65" s="371"/>
      <c r="M65" s="381">
        <v>13</v>
      </c>
      <c r="N65" s="382"/>
      <c r="O65" s="194"/>
      <c r="P65" s="185"/>
      <c r="Q65" s="185"/>
      <c r="R65" s="186"/>
    </row>
    <row r="66" spans="2:18" ht="12.75" hidden="1" customHeight="1" x14ac:dyDescent="0.25">
      <c r="B66" s="195" t="s">
        <v>208</v>
      </c>
      <c r="C66" s="196"/>
      <c r="D66" s="181"/>
      <c r="E66" s="181"/>
      <c r="F66" s="181"/>
      <c r="G66" s="181"/>
      <c r="H66" s="369" t="s">
        <v>209</v>
      </c>
      <c r="I66" s="370"/>
      <c r="J66" s="370"/>
      <c r="K66" s="370"/>
      <c r="L66" s="371"/>
      <c r="M66" s="381">
        <v>14</v>
      </c>
      <c r="N66" s="382"/>
      <c r="O66" s="194"/>
      <c r="P66" s="185"/>
      <c r="Q66" s="185"/>
      <c r="R66" s="186"/>
    </row>
    <row r="67" spans="2:18" hidden="1" x14ac:dyDescent="0.25">
      <c r="B67" s="187">
        <v>5</v>
      </c>
      <c r="C67" s="197"/>
      <c r="D67" s="181"/>
      <c r="E67" s="181"/>
      <c r="F67" s="181"/>
      <c r="G67" s="181"/>
      <c r="H67" s="181"/>
      <c r="I67" s="181"/>
      <c r="J67" s="181"/>
      <c r="K67" s="181"/>
      <c r="L67" s="198" t="s">
        <v>210</v>
      </c>
      <c r="M67" s="381">
        <f>M31+M36+M43+M52</f>
        <v>0</v>
      </c>
      <c r="N67" s="382"/>
      <c r="O67" s="194"/>
      <c r="P67" s="185"/>
      <c r="Q67" s="185"/>
      <c r="R67" s="186"/>
    </row>
    <row r="68" spans="2:18" x14ac:dyDescent="0.25">
      <c r="B68" s="184" t="s">
        <v>211</v>
      </c>
      <c r="C68" s="181"/>
      <c r="D68" s="181"/>
      <c r="E68" s="181"/>
      <c r="F68" s="181"/>
      <c r="G68" s="181"/>
      <c r="H68" s="181"/>
      <c r="I68" s="181"/>
      <c r="J68" s="191"/>
      <c r="K68" s="191"/>
      <c r="L68" s="191"/>
      <c r="M68" s="191"/>
      <c r="N68" s="191"/>
      <c r="O68" s="191"/>
      <c r="P68" s="191"/>
      <c r="Q68" s="191"/>
      <c r="R68" s="192"/>
    </row>
    <row r="69" spans="2:18" ht="26.25" customHeight="1" x14ac:dyDescent="0.25">
      <c r="B69" s="374" t="s">
        <v>142</v>
      </c>
      <c r="C69" s="374"/>
      <c r="D69" s="374"/>
      <c r="E69" s="374"/>
      <c r="F69" s="374"/>
      <c r="G69" s="374"/>
      <c r="H69" s="374"/>
      <c r="I69" s="374"/>
      <c r="J69" s="375"/>
      <c r="K69" s="375"/>
      <c r="L69" s="375"/>
      <c r="M69" s="375" t="s">
        <v>212</v>
      </c>
      <c r="N69" s="375"/>
      <c r="O69" s="375"/>
      <c r="P69" s="375"/>
      <c r="Q69" s="375"/>
      <c r="R69" s="375"/>
    </row>
    <row r="70" spans="2:18" ht="25.5" x14ac:dyDescent="0.25">
      <c r="B70" s="188" t="s">
        <v>42</v>
      </c>
      <c r="C70" s="378" t="s">
        <v>144</v>
      </c>
      <c r="D70" s="379"/>
      <c r="E70" s="374" t="s">
        <v>145</v>
      </c>
      <c r="F70" s="374"/>
      <c r="G70" s="374"/>
      <c r="H70" s="374" t="s">
        <v>146</v>
      </c>
      <c r="I70" s="374"/>
      <c r="J70" s="374"/>
      <c r="K70" s="374"/>
      <c r="L70" s="374"/>
      <c r="M70" s="188" t="s">
        <v>134</v>
      </c>
      <c r="N70" s="188" t="s">
        <v>135</v>
      </c>
      <c r="O70" s="188" t="s">
        <v>136</v>
      </c>
      <c r="P70" s="188" t="s">
        <v>137</v>
      </c>
      <c r="Q70" s="188" t="s">
        <v>138</v>
      </c>
      <c r="R70" s="188" t="s">
        <v>139</v>
      </c>
    </row>
    <row r="71" spans="2:18" ht="53.25" customHeight="1" collapsed="1" x14ac:dyDescent="0.25">
      <c r="B71" s="187">
        <v>1</v>
      </c>
      <c r="C71" s="367" t="s">
        <v>157</v>
      </c>
      <c r="D71" s="368"/>
      <c r="E71" s="383" t="s">
        <v>158</v>
      </c>
      <c r="F71" s="383"/>
      <c r="G71" s="383"/>
      <c r="H71" s="369" t="s">
        <v>159</v>
      </c>
      <c r="I71" s="370"/>
      <c r="J71" s="370"/>
      <c r="K71" s="370"/>
      <c r="L71" s="371"/>
      <c r="M71" s="187">
        <f t="shared" ref="M71:R71" ca="1" si="0">IF(D24="Да",SUMIF($H72:$L77,$H71,M72:M77),0)</f>
        <v>1</v>
      </c>
      <c r="N71" s="187">
        <f t="shared" si="0"/>
        <v>0</v>
      </c>
      <c r="O71" s="187">
        <f t="shared" si="0"/>
        <v>0</v>
      </c>
      <c r="P71" s="187">
        <f t="shared" ca="1" si="0"/>
        <v>1</v>
      </c>
      <c r="Q71" s="187">
        <f t="shared" si="0"/>
        <v>0</v>
      </c>
      <c r="R71" s="187">
        <f t="shared" si="0"/>
        <v>0</v>
      </c>
    </row>
    <row r="72" spans="2:18" ht="53.25" hidden="1" customHeight="1" outlineLevel="1" x14ac:dyDescent="0.25">
      <c r="B72" s="195" t="s">
        <v>24</v>
      </c>
      <c r="C72" s="195"/>
      <c r="D72" s="187"/>
      <c r="E72" s="199"/>
      <c r="F72" s="199"/>
      <c r="G72" s="199"/>
      <c r="H72" s="369" t="s">
        <v>159</v>
      </c>
      <c r="I72" s="370"/>
      <c r="J72" s="370"/>
      <c r="K72" s="370"/>
      <c r="L72" s="371"/>
      <c r="M72" s="187">
        <v>1</v>
      </c>
      <c r="N72" s="187">
        <v>1</v>
      </c>
      <c r="O72" s="187">
        <v>1</v>
      </c>
      <c r="P72" s="187">
        <v>1</v>
      </c>
      <c r="Q72" s="187">
        <v>1</v>
      </c>
      <c r="R72" s="187">
        <v>1</v>
      </c>
    </row>
    <row r="73" spans="2:18" ht="53.25" hidden="1" customHeight="1" outlineLevel="1" x14ac:dyDescent="0.25">
      <c r="B73" s="195" t="s">
        <v>151</v>
      </c>
      <c r="C73" s="195"/>
      <c r="D73" s="187"/>
      <c r="E73" s="199"/>
      <c r="F73" s="199"/>
      <c r="G73" s="199"/>
      <c r="H73" s="369" t="s">
        <v>161</v>
      </c>
      <c r="I73" s="370"/>
      <c r="J73" s="370"/>
      <c r="K73" s="370"/>
      <c r="L73" s="371"/>
      <c r="M73" s="187">
        <v>2</v>
      </c>
      <c r="N73" s="187">
        <v>1</v>
      </c>
      <c r="O73" s="187">
        <v>2</v>
      </c>
      <c r="P73" s="187">
        <v>1</v>
      </c>
      <c r="Q73" s="187">
        <v>2</v>
      </c>
      <c r="R73" s="187">
        <v>2</v>
      </c>
    </row>
    <row r="74" spans="2:18" ht="53.25" hidden="1" customHeight="1" outlineLevel="1" x14ac:dyDescent="0.25">
      <c r="B74" s="195" t="s">
        <v>153</v>
      </c>
      <c r="C74" s="195"/>
      <c r="D74" s="187"/>
      <c r="E74" s="199"/>
      <c r="F74" s="199"/>
      <c r="G74" s="199"/>
      <c r="H74" s="369" t="s">
        <v>163</v>
      </c>
      <c r="I74" s="370"/>
      <c r="J74" s="370"/>
      <c r="K74" s="370"/>
      <c r="L74" s="371"/>
      <c r="M74" s="187">
        <v>3</v>
      </c>
      <c r="N74" s="187">
        <v>3</v>
      </c>
      <c r="O74" s="187">
        <v>3</v>
      </c>
      <c r="P74" s="187">
        <v>3</v>
      </c>
      <c r="Q74" s="187">
        <v>3</v>
      </c>
      <c r="R74" s="187">
        <v>3</v>
      </c>
    </row>
    <row r="75" spans="2:18" ht="53.25" hidden="1" customHeight="1" outlineLevel="1" x14ac:dyDescent="0.25">
      <c r="B75" s="195" t="s">
        <v>155</v>
      </c>
      <c r="C75" s="195"/>
      <c r="D75" s="187"/>
      <c r="E75" s="199"/>
      <c r="F75" s="199"/>
      <c r="G75" s="199"/>
      <c r="H75" s="369" t="s">
        <v>165</v>
      </c>
      <c r="I75" s="370"/>
      <c r="J75" s="370"/>
      <c r="K75" s="370"/>
      <c r="L75" s="371"/>
      <c r="M75" s="187">
        <v>4</v>
      </c>
      <c r="N75" s="187">
        <v>3</v>
      </c>
      <c r="O75" s="187">
        <v>4</v>
      </c>
      <c r="P75" s="187">
        <v>3</v>
      </c>
      <c r="Q75" s="187">
        <v>4</v>
      </c>
      <c r="R75" s="187">
        <v>4</v>
      </c>
    </row>
    <row r="76" spans="2:18" ht="53.25" hidden="1" customHeight="1" outlineLevel="1" x14ac:dyDescent="0.25">
      <c r="B76" s="195" t="s">
        <v>213</v>
      </c>
      <c r="C76" s="195"/>
      <c r="D76" s="187"/>
      <c r="E76" s="199"/>
      <c r="F76" s="199"/>
      <c r="G76" s="199"/>
      <c r="H76" s="369" t="s">
        <v>167</v>
      </c>
      <c r="I76" s="370"/>
      <c r="J76" s="370"/>
      <c r="K76" s="370"/>
      <c r="L76" s="371"/>
      <c r="M76" s="187">
        <v>3</v>
      </c>
      <c r="N76" s="187">
        <v>2</v>
      </c>
      <c r="O76" s="187">
        <v>3</v>
      </c>
      <c r="P76" s="187">
        <v>2</v>
      </c>
      <c r="Q76" s="187">
        <v>3</v>
      </c>
      <c r="R76" s="187">
        <v>3</v>
      </c>
    </row>
    <row r="77" spans="2:18" ht="53.25" hidden="1" customHeight="1" outlineLevel="1" x14ac:dyDescent="0.25">
      <c r="B77" s="195" t="s">
        <v>214</v>
      </c>
      <c r="C77" s="195"/>
      <c r="D77" s="187"/>
      <c r="E77" s="199"/>
      <c r="F77" s="199"/>
      <c r="G77" s="199"/>
      <c r="H77" s="369" t="s">
        <v>169</v>
      </c>
      <c r="I77" s="370"/>
      <c r="J77" s="370"/>
      <c r="K77" s="370"/>
      <c r="L77" s="371"/>
      <c r="M77" s="187">
        <v>2</v>
      </c>
      <c r="N77" s="187">
        <v>2</v>
      </c>
      <c r="O77" s="187">
        <v>2</v>
      </c>
      <c r="P77" s="187">
        <v>2</v>
      </c>
      <c r="Q77" s="187">
        <v>3</v>
      </c>
      <c r="R77" s="187">
        <v>3</v>
      </c>
    </row>
    <row r="78" spans="2:18" ht="53.25" customHeight="1" collapsed="1" x14ac:dyDescent="0.25">
      <c r="B78" s="187">
        <v>2</v>
      </c>
      <c r="C78" s="367" t="s">
        <v>215</v>
      </c>
      <c r="D78" s="368"/>
      <c r="E78" s="383" t="s">
        <v>216</v>
      </c>
      <c r="F78" s="383"/>
      <c r="G78" s="383"/>
      <c r="H78" s="369" t="s">
        <v>172</v>
      </c>
      <c r="I78" s="370"/>
      <c r="J78" s="370"/>
      <c r="K78" s="370"/>
      <c r="L78" s="371"/>
      <c r="M78" s="187">
        <f t="shared" ref="M78:R78" ca="1" si="1">IF(D24="Да",SUMIF($H79:$L85,$H78,M79:M85),0)</f>
        <v>3</v>
      </c>
      <c r="N78" s="187">
        <f t="shared" si="1"/>
        <v>0</v>
      </c>
      <c r="O78" s="187">
        <f t="shared" si="1"/>
        <v>0</v>
      </c>
      <c r="P78" s="187">
        <f t="shared" ca="1" si="1"/>
        <v>2</v>
      </c>
      <c r="Q78" s="187">
        <f t="shared" si="1"/>
        <v>0</v>
      </c>
      <c r="R78" s="187">
        <f t="shared" si="1"/>
        <v>0</v>
      </c>
    </row>
    <row r="79" spans="2:18" ht="53.25" hidden="1" customHeight="1" outlineLevel="1" x14ac:dyDescent="0.25">
      <c r="B79" s="195" t="s">
        <v>25</v>
      </c>
      <c r="C79" s="195"/>
      <c r="D79" s="187"/>
      <c r="E79" s="384" t="s">
        <v>217</v>
      </c>
      <c r="F79" s="385"/>
      <c r="G79" s="199"/>
      <c r="H79" s="369" t="s">
        <v>173</v>
      </c>
      <c r="I79" s="370"/>
      <c r="J79" s="370"/>
      <c r="K79" s="370"/>
      <c r="L79" s="371"/>
      <c r="M79" s="187">
        <v>1</v>
      </c>
      <c r="N79" s="187">
        <v>1</v>
      </c>
      <c r="O79" s="187">
        <v>1</v>
      </c>
      <c r="P79" s="187">
        <v>1</v>
      </c>
      <c r="Q79" s="187">
        <v>1</v>
      </c>
      <c r="R79" s="187">
        <v>1</v>
      </c>
    </row>
    <row r="80" spans="2:18" ht="53.25" hidden="1" customHeight="1" outlineLevel="1" x14ac:dyDescent="0.25">
      <c r="B80" s="195" t="s">
        <v>160</v>
      </c>
      <c r="C80" s="195"/>
      <c r="D80" s="187"/>
      <c r="E80" s="386"/>
      <c r="F80" s="387"/>
      <c r="G80" s="199"/>
      <c r="H80" s="369" t="s">
        <v>174</v>
      </c>
      <c r="I80" s="370"/>
      <c r="J80" s="370"/>
      <c r="K80" s="370"/>
      <c r="L80" s="371"/>
      <c r="M80" s="187">
        <v>2</v>
      </c>
      <c r="N80" s="187">
        <v>2</v>
      </c>
      <c r="O80" s="187">
        <v>2</v>
      </c>
      <c r="P80" s="187">
        <v>2</v>
      </c>
      <c r="Q80" s="187">
        <v>2</v>
      </c>
      <c r="R80" s="187">
        <v>2</v>
      </c>
    </row>
    <row r="81" spans="2:18" ht="53.25" hidden="1" customHeight="1" outlineLevel="1" x14ac:dyDescent="0.25">
      <c r="B81" s="195" t="s">
        <v>162</v>
      </c>
      <c r="C81" s="195"/>
      <c r="D81" s="187"/>
      <c r="E81" s="386"/>
      <c r="F81" s="387"/>
      <c r="G81" s="199"/>
      <c r="H81" s="369" t="s">
        <v>172</v>
      </c>
      <c r="I81" s="370"/>
      <c r="J81" s="370"/>
      <c r="K81" s="370"/>
      <c r="L81" s="371"/>
      <c r="M81" s="187">
        <v>3</v>
      </c>
      <c r="N81" s="187">
        <v>2</v>
      </c>
      <c r="O81" s="187">
        <v>3</v>
      </c>
      <c r="P81" s="187">
        <v>2</v>
      </c>
      <c r="Q81" s="187">
        <v>3</v>
      </c>
      <c r="R81" s="187">
        <v>3</v>
      </c>
    </row>
    <row r="82" spans="2:18" ht="53.25" hidden="1" customHeight="1" outlineLevel="1" x14ac:dyDescent="0.25">
      <c r="B82" s="195" t="s">
        <v>164</v>
      </c>
      <c r="C82" s="195"/>
      <c r="D82" s="187"/>
      <c r="E82" s="386"/>
      <c r="F82" s="387"/>
      <c r="G82" s="199"/>
      <c r="H82" s="369" t="s">
        <v>175</v>
      </c>
      <c r="I82" s="370"/>
      <c r="J82" s="370"/>
      <c r="K82" s="370"/>
      <c r="L82" s="371"/>
      <c r="M82" s="187">
        <v>4</v>
      </c>
      <c r="N82" s="187">
        <v>3</v>
      </c>
      <c r="O82" s="187">
        <v>4</v>
      </c>
      <c r="P82" s="187">
        <v>3</v>
      </c>
      <c r="Q82" s="187">
        <v>4</v>
      </c>
      <c r="R82" s="187">
        <v>4</v>
      </c>
    </row>
    <row r="83" spans="2:18" ht="53.25" hidden="1" customHeight="1" outlineLevel="1" x14ac:dyDescent="0.25">
      <c r="B83" s="195" t="s">
        <v>166</v>
      </c>
      <c r="C83" s="195"/>
      <c r="D83" s="187"/>
      <c r="E83" s="386"/>
      <c r="F83" s="387"/>
      <c r="G83" s="199"/>
      <c r="H83" s="369" t="s">
        <v>176</v>
      </c>
      <c r="I83" s="370"/>
      <c r="J83" s="370"/>
      <c r="K83" s="370"/>
      <c r="L83" s="371"/>
      <c r="M83" s="187">
        <v>5</v>
      </c>
      <c r="N83" s="187">
        <v>3</v>
      </c>
      <c r="O83" s="187">
        <v>5</v>
      </c>
      <c r="P83" s="187">
        <v>3</v>
      </c>
      <c r="Q83" s="187">
        <v>5</v>
      </c>
      <c r="R83" s="187">
        <v>5</v>
      </c>
    </row>
    <row r="84" spans="2:18" ht="53.25" hidden="1" customHeight="1" outlineLevel="1" x14ac:dyDescent="0.25">
      <c r="B84" s="195" t="s">
        <v>168</v>
      </c>
      <c r="C84" s="195"/>
      <c r="D84" s="187"/>
      <c r="E84" s="386"/>
      <c r="F84" s="387"/>
      <c r="G84" s="199"/>
      <c r="H84" s="369" t="s">
        <v>177</v>
      </c>
      <c r="I84" s="370"/>
      <c r="J84" s="370"/>
      <c r="K84" s="370"/>
      <c r="L84" s="371"/>
      <c r="M84" s="187">
        <v>6</v>
      </c>
      <c r="N84" s="187">
        <v>4</v>
      </c>
      <c r="O84" s="187">
        <v>6</v>
      </c>
      <c r="P84" s="187">
        <v>4</v>
      </c>
      <c r="Q84" s="187">
        <v>6</v>
      </c>
      <c r="R84" s="187">
        <v>6</v>
      </c>
    </row>
    <row r="85" spans="2:18" ht="53.25" hidden="1" customHeight="1" outlineLevel="1" x14ac:dyDescent="0.25">
      <c r="B85" s="195" t="s">
        <v>218</v>
      </c>
      <c r="C85" s="195"/>
      <c r="D85" s="187"/>
      <c r="E85" s="388"/>
      <c r="F85" s="389"/>
      <c r="G85" s="199"/>
      <c r="H85" s="369" t="s">
        <v>178</v>
      </c>
      <c r="I85" s="370"/>
      <c r="J85" s="370"/>
      <c r="K85" s="370"/>
      <c r="L85" s="371"/>
      <c r="M85" s="187">
        <v>7</v>
      </c>
      <c r="N85" s="187">
        <v>5</v>
      </c>
      <c r="O85" s="187">
        <v>7</v>
      </c>
      <c r="P85" s="187">
        <v>5</v>
      </c>
      <c r="Q85" s="187">
        <v>7</v>
      </c>
      <c r="R85" s="187">
        <v>7</v>
      </c>
    </row>
    <row r="86" spans="2:18" ht="53.25" customHeight="1" collapsed="1" x14ac:dyDescent="0.25">
      <c r="B86" s="187">
        <v>3</v>
      </c>
      <c r="C86" s="367" t="s">
        <v>219</v>
      </c>
      <c r="D86" s="368"/>
      <c r="E86" s="383" t="s">
        <v>220</v>
      </c>
      <c r="F86" s="383"/>
      <c r="G86" s="383"/>
      <c r="H86" s="369" t="s">
        <v>221</v>
      </c>
      <c r="I86" s="370"/>
      <c r="J86" s="370"/>
      <c r="K86" s="370"/>
      <c r="L86" s="371"/>
      <c r="M86" s="187">
        <f t="shared" ref="M86:R86" ca="1" si="2">IF(D24="Да",SUMIF($H87:$L90,$H86,M87:M90),0)</f>
        <v>6</v>
      </c>
      <c r="N86" s="187">
        <f t="shared" si="2"/>
        <v>0</v>
      </c>
      <c r="O86" s="187">
        <f t="shared" si="2"/>
        <v>0</v>
      </c>
      <c r="P86" s="187">
        <f t="shared" ca="1" si="2"/>
        <v>5</v>
      </c>
      <c r="Q86" s="187">
        <f t="shared" si="2"/>
        <v>0</v>
      </c>
      <c r="R86" s="187">
        <f t="shared" si="2"/>
        <v>0</v>
      </c>
    </row>
    <row r="87" spans="2:18" ht="53.25" hidden="1" customHeight="1" outlineLevel="1" x14ac:dyDescent="0.25">
      <c r="B87" s="195" t="s">
        <v>27</v>
      </c>
      <c r="C87" s="195"/>
      <c r="D87" s="187"/>
      <c r="E87" s="199"/>
      <c r="F87" s="199"/>
      <c r="G87" s="199"/>
      <c r="H87" s="369" t="s">
        <v>222</v>
      </c>
      <c r="I87" s="370"/>
      <c r="J87" s="370"/>
      <c r="K87" s="370"/>
      <c r="L87" s="371"/>
      <c r="M87" s="187">
        <v>1</v>
      </c>
      <c r="N87" s="187">
        <v>1</v>
      </c>
      <c r="O87" s="187">
        <v>1</v>
      </c>
      <c r="P87" s="187">
        <v>1</v>
      </c>
      <c r="Q87" s="187">
        <v>1</v>
      </c>
      <c r="R87" s="187">
        <v>1</v>
      </c>
    </row>
    <row r="88" spans="2:18" ht="53.25" hidden="1" customHeight="1" outlineLevel="1" x14ac:dyDescent="0.25">
      <c r="B88" s="195" t="s">
        <v>28</v>
      </c>
      <c r="C88" s="195"/>
      <c r="D88" s="187"/>
      <c r="E88" s="199"/>
      <c r="F88" s="199"/>
      <c r="G88" s="199"/>
      <c r="H88" s="369" t="s">
        <v>223</v>
      </c>
      <c r="I88" s="370"/>
      <c r="J88" s="370"/>
      <c r="K88" s="370"/>
      <c r="L88" s="371"/>
      <c r="M88" s="187">
        <v>3</v>
      </c>
      <c r="N88" s="187">
        <v>2</v>
      </c>
      <c r="O88" s="187">
        <v>3</v>
      </c>
      <c r="P88" s="187">
        <v>3</v>
      </c>
      <c r="Q88" s="187">
        <v>3</v>
      </c>
      <c r="R88" s="187">
        <v>3</v>
      </c>
    </row>
    <row r="89" spans="2:18" ht="53.25" hidden="1" customHeight="1" outlineLevel="1" x14ac:dyDescent="0.25">
      <c r="B89" s="195" t="s">
        <v>29</v>
      </c>
      <c r="C89" s="195"/>
      <c r="D89" s="187"/>
      <c r="E89" s="199"/>
      <c r="F89" s="199"/>
      <c r="G89" s="199"/>
      <c r="H89" s="369" t="s">
        <v>221</v>
      </c>
      <c r="I89" s="370"/>
      <c r="J89" s="370"/>
      <c r="K89" s="370"/>
      <c r="L89" s="371"/>
      <c r="M89" s="187">
        <v>6</v>
      </c>
      <c r="N89" s="187">
        <v>2</v>
      </c>
      <c r="O89" s="187">
        <v>6</v>
      </c>
      <c r="P89" s="187">
        <v>5</v>
      </c>
      <c r="Q89" s="187">
        <v>6</v>
      </c>
      <c r="R89" s="187">
        <v>6</v>
      </c>
    </row>
    <row r="90" spans="2:18" ht="53.25" hidden="1" customHeight="1" outlineLevel="1" x14ac:dyDescent="0.25">
      <c r="B90" s="195" t="s">
        <v>30</v>
      </c>
      <c r="C90" s="195"/>
      <c r="D90" s="187"/>
      <c r="E90" s="199"/>
      <c r="F90" s="199"/>
      <c r="G90" s="199"/>
      <c r="H90" s="369" t="s">
        <v>224</v>
      </c>
      <c r="I90" s="370"/>
      <c r="J90" s="370"/>
      <c r="K90" s="370"/>
      <c r="L90" s="371"/>
      <c r="M90" s="187">
        <v>9</v>
      </c>
      <c r="N90" s="187">
        <v>3</v>
      </c>
      <c r="O90" s="187">
        <v>9</v>
      </c>
      <c r="P90" s="187">
        <v>8</v>
      </c>
      <c r="Q90" s="187">
        <v>9</v>
      </c>
      <c r="R90" s="187">
        <v>9</v>
      </c>
    </row>
    <row r="91" spans="2:18" ht="53.25" customHeight="1" collapsed="1" x14ac:dyDescent="0.25">
      <c r="B91" s="187">
        <v>4</v>
      </c>
      <c r="C91" s="367" t="s">
        <v>225</v>
      </c>
      <c r="D91" s="368"/>
      <c r="E91" s="383" t="s">
        <v>226</v>
      </c>
      <c r="F91" s="383"/>
      <c r="G91" s="383"/>
      <c r="H91" s="369" t="s">
        <v>227</v>
      </c>
      <c r="I91" s="370"/>
      <c r="J91" s="370"/>
      <c r="K91" s="370"/>
      <c r="L91" s="371"/>
      <c r="M91" s="187">
        <f t="shared" ref="M91:R91" ca="1" si="3">IF(D24="Да",SUMIF($H92:$L98,$H91,M92:M98),0)</f>
        <v>5</v>
      </c>
      <c r="N91" s="187">
        <f t="shared" si="3"/>
        <v>0</v>
      </c>
      <c r="O91" s="187">
        <f t="shared" si="3"/>
        <v>0</v>
      </c>
      <c r="P91" s="187">
        <f t="shared" ca="1" si="3"/>
        <v>5</v>
      </c>
      <c r="Q91" s="187">
        <f t="shared" si="3"/>
        <v>0</v>
      </c>
      <c r="R91" s="187">
        <f t="shared" si="3"/>
        <v>0</v>
      </c>
    </row>
    <row r="92" spans="2:18" ht="53.25" hidden="1" customHeight="1" outlineLevel="1" x14ac:dyDescent="0.25">
      <c r="B92" s="195">
        <v>7.22</v>
      </c>
      <c r="C92" s="195"/>
      <c r="D92" s="187"/>
      <c r="E92" s="199"/>
      <c r="F92" s="199"/>
      <c r="G92" s="199"/>
      <c r="H92" s="369" t="s">
        <v>228</v>
      </c>
      <c r="I92" s="370"/>
      <c r="J92" s="370"/>
      <c r="K92" s="370"/>
      <c r="L92" s="371"/>
      <c r="M92" s="187">
        <v>1</v>
      </c>
      <c r="N92" s="187">
        <v>1</v>
      </c>
      <c r="O92" s="187">
        <v>1</v>
      </c>
      <c r="P92" s="187">
        <v>1</v>
      </c>
      <c r="Q92" s="187">
        <v>1</v>
      </c>
      <c r="R92" s="187">
        <v>1</v>
      </c>
    </row>
    <row r="93" spans="2:18" ht="53.25" hidden="1" customHeight="1" outlineLevel="1" x14ac:dyDescent="0.25">
      <c r="B93" s="195" t="s">
        <v>229</v>
      </c>
      <c r="C93" s="195"/>
      <c r="D93" s="187"/>
      <c r="E93" s="199"/>
      <c r="F93" s="199"/>
      <c r="G93" s="199"/>
      <c r="H93" s="369" t="s">
        <v>230</v>
      </c>
      <c r="I93" s="370"/>
      <c r="J93" s="370"/>
      <c r="K93" s="370"/>
      <c r="L93" s="371"/>
      <c r="M93" s="187">
        <v>3</v>
      </c>
      <c r="N93" s="187">
        <v>2</v>
      </c>
      <c r="O93" s="187">
        <v>3</v>
      </c>
      <c r="P93" s="187">
        <v>3</v>
      </c>
      <c r="Q93" s="187">
        <v>3</v>
      </c>
      <c r="R93" s="187">
        <v>3</v>
      </c>
    </row>
    <row r="94" spans="2:18" ht="53.25" hidden="1" customHeight="1" outlineLevel="1" x14ac:dyDescent="0.25">
      <c r="B94" s="195" t="s">
        <v>231</v>
      </c>
      <c r="C94" s="195"/>
      <c r="D94" s="187"/>
      <c r="E94" s="199"/>
      <c r="F94" s="199"/>
      <c r="G94" s="199"/>
      <c r="H94" s="369" t="s">
        <v>227</v>
      </c>
      <c r="I94" s="370"/>
      <c r="J94" s="370"/>
      <c r="K94" s="370"/>
      <c r="L94" s="371"/>
      <c r="M94" s="187">
        <v>5</v>
      </c>
      <c r="N94" s="187">
        <v>2</v>
      </c>
      <c r="O94" s="187">
        <v>5</v>
      </c>
      <c r="P94" s="187">
        <v>5</v>
      </c>
      <c r="Q94" s="187">
        <v>5</v>
      </c>
      <c r="R94" s="187">
        <v>5</v>
      </c>
    </row>
    <row r="95" spans="2:18" ht="53.25" hidden="1" customHeight="1" outlineLevel="1" x14ac:dyDescent="0.25">
      <c r="B95" s="195" t="s">
        <v>232</v>
      </c>
      <c r="C95" s="195"/>
      <c r="D95" s="187"/>
      <c r="E95" s="199"/>
      <c r="F95" s="199"/>
      <c r="G95" s="199"/>
      <c r="H95" s="369" t="s">
        <v>233</v>
      </c>
      <c r="I95" s="370"/>
      <c r="J95" s="370"/>
      <c r="K95" s="370"/>
      <c r="L95" s="371"/>
      <c r="M95" s="187">
        <v>6</v>
      </c>
      <c r="N95" s="187">
        <v>3</v>
      </c>
      <c r="O95" s="187">
        <v>7</v>
      </c>
      <c r="P95" s="187">
        <v>7</v>
      </c>
      <c r="Q95" s="187">
        <v>7</v>
      </c>
      <c r="R95" s="187">
        <v>7</v>
      </c>
    </row>
    <row r="96" spans="2:18" ht="53.25" hidden="1" customHeight="1" outlineLevel="1" x14ac:dyDescent="0.25">
      <c r="B96" s="195" t="s">
        <v>234</v>
      </c>
      <c r="C96" s="195"/>
      <c r="D96" s="187"/>
      <c r="E96" s="199"/>
      <c r="F96" s="199"/>
      <c r="G96" s="199"/>
      <c r="H96" s="369" t="s">
        <v>235</v>
      </c>
      <c r="I96" s="370"/>
      <c r="J96" s="370"/>
      <c r="K96" s="370"/>
      <c r="L96" s="371"/>
      <c r="M96" s="187">
        <v>8</v>
      </c>
      <c r="N96" s="187">
        <v>4</v>
      </c>
      <c r="O96" s="187">
        <v>10</v>
      </c>
      <c r="P96" s="187">
        <v>9</v>
      </c>
      <c r="Q96" s="187">
        <v>11</v>
      </c>
      <c r="R96" s="187">
        <v>11</v>
      </c>
    </row>
    <row r="97" spans="2:18" ht="53.25" hidden="1" customHeight="1" outlineLevel="1" x14ac:dyDescent="0.25">
      <c r="B97" s="195" t="s">
        <v>236</v>
      </c>
      <c r="C97" s="195"/>
      <c r="D97" s="187"/>
      <c r="E97" s="199"/>
      <c r="F97" s="199"/>
      <c r="G97" s="199"/>
      <c r="H97" s="369" t="s">
        <v>237</v>
      </c>
      <c r="I97" s="370"/>
      <c r="J97" s="370"/>
      <c r="K97" s="370"/>
      <c r="L97" s="371"/>
      <c r="M97" s="187">
        <v>9</v>
      </c>
      <c r="N97" s="187">
        <v>4</v>
      </c>
      <c r="O97" s="187">
        <v>11</v>
      </c>
      <c r="P97" s="187">
        <v>10</v>
      </c>
      <c r="Q97" s="187">
        <v>13</v>
      </c>
      <c r="R97" s="187">
        <v>13</v>
      </c>
    </row>
    <row r="98" spans="2:18" ht="53.25" hidden="1" customHeight="1" outlineLevel="1" x14ac:dyDescent="0.25">
      <c r="B98" s="195" t="s">
        <v>238</v>
      </c>
      <c r="C98" s="195"/>
      <c r="D98" s="187"/>
      <c r="E98" s="199"/>
      <c r="F98" s="199"/>
      <c r="G98" s="199"/>
      <c r="H98" s="369" t="s">
        <v>239</v>
      </c>
      <c r="I98" s="370"/>
      <c r="J98" s="370"/>
      <c r="K98" s="370"/>
      <c r="L98" s="371"/>
      <c r="M98" s="187">
        <v>10</v>
      </c>
      <c r="N98" s="187">
        <v>5</v>
      </c>
      <c r="O98" s="187">
        <v>12</v>
      </c>
      <c r="P98" s="187">
        <v>11</v>
      </c>
      <c r="Q98" s="187">
        <v>14</v>
      </c>
      <c r="R98" s="187">
        <v>14</v>
      </c>
    </row>
    <row r="99" spans="2:18" ht="53.25" customHeight="1" collapsed="1" x14ac:dyDescent="0.25">
      <c r="B99" s="187">
        <v>5</v>
      </c>
      <c r="C99" s="367" t="s">
        <v>240</v>
      </c>
      <c r="D99" s="368"/>
      <c r="E99" s="383" t="s">
        <v>241</v>
      </c>
      <c r="F99" s="383"/>
      <c r="G99" s="383"/>
      <c r="H99" s="369" t="s">
        <v>242</v>
      </c>
      <c r="I99" s="370"/>
      <c r="J99" s="370"/>
      <c r="K99" s="370"/>
      <c r="L99" s="371"/>
      <c r="M99" s="187">
        <f t="shared" ref="M99:R99" ca="1" si="4">IF(D24="Да",SUMIF($H100:$L104,$H99,M100:M104),0)</f>
        <v>5</v>
      </c>
      <c r="N99" s="187">
        <f t="shared" si="4"/>
        <v>0</v>
      </c>
      <c r="O99" s="187">
        <f t="shared" si="4"/>
        <v>0</v>
      </c>
      <c r="P99" s="187">
        <f t="shared" ca="1" si="4"/>
        <v>7</v>
      </c>
      <c r="Q99" s="187">
        <f t="shared" si="4"/>
        <v>0</v>
      </c>
      <c r="R99" s="187">
        <f t="shared" si="4"/>
        <v>0</v>
      </c>
    </row>
    <row r="100" spans="2:18" ht="53.25" hidden="1" customHeight="1" outlineLevel="1" x14ac:dyDescent="0.25">
      <c r="B100" s="195" t="s">
        <v>243</v>
      </c>
      <c r="C100" s="195"/>
      <c r="D100" s="187"/>
      <c r="E100" s="199"/>
      <c r="F100" s="199"/>
      <c r="G100" s="199"/>
      <c r="H100" s="369" t="s">
        <v>244</v>
      </c>
      <c r="I100" s="370"/>
      <c r="J100" s="370"/>
      <c r="K100" s="370"/>
      <c r="L100" s="371"/>
      <c r="M100" s="187">
        <v>1</v>
      </c>
      <c r="N100" s="187">
        <v>1</v>
      </c>
      <c r="O100" s="187">
        <v>1</v>
      </c>
      <c r="P100" s="187">
        <v>1</v>
      </c>
      <c r="Q100" s="187">
        <v>1</v>
      </c>
      <c r="R100" s="187">
        <v>1</v>
      </c>
    </row>
    <row r="101" spans="2:18" ht="53.25" hidden="1" customHeight="1" outlineLevel="1" x14ac:dyDescent="0.25">
      <c r="B101" s="195" t="s">
        <v>245</v>
      </c>
      <c r="C101" s="195"/>
      <c r="D101" s="187"/>
      <c r="E101" s="199"/>
      <c r="F101" s="199"/>
      <c r="G101" s="199"/>
      <c r="H101" s="369" t="s">
        <v>246</v>
      </c>
      <c r="I101" s="370"/>
      <c r="J101" s="370"/>
      <c r="K101" s="370"/>
      <c r="L101" s="371"/>
      <c r="M101" s="187">
        <v>1</v>
      </c>
      <c r="N101" s="187">
        <v>1</v>
      </c>
      <c r="O101" s="187">
        <v>2</v>
      </c>
      <c r="P101" s="187">
        <v>1</v>
      </c>
      <c r="Q101" s="187">
        <v>2</v>
      </c>
      <c r="R101" s="187">
        <v>2</v>
      </c>
    </row>
    <row r="102" spans="2:18" ht="53.25" hidden="1" customHeight="1" outlineLevel="1" x14ac:dyDescent="0.25">
      <c r="B102" s="195" t="s">
        <v>247</v>
      </c>
      <c r="C102" s="195"/>
      <c r="D102" s="187"/>
      <c r="E102" s="199"/>
      <c r="F102" s="199"/>
      <c r="G102" s="199"/>
      <c r="H102" s="369" t="s">
        <v>248</v>
      </c>
      <c r="I102" s="370"/>
      <c r="J102" s="370"/>
      <c r="K102" s="370"/>
      <c r="L102" s="371"/>
      <c r="M102" s="187">
        <v>2</v>
      </c>
      <c r="N102" s="187">
        <v>2</v>
      </c>
      <c r="O102" s="187">
        <v>2</v>
      </c>
      <c r="P102" s="187">
        <v>2</v>
      </c>
      <c r="Q102" s="187">
        <v>3</v>
      </c>
      <c r="R102" s="187">
        <v>3</v>
      </c>
    </row>
    <row r="103" spans="2:18" ht="53.25" hidden="1" customHeight="1" outlineLevel="1" x14ac:dyDescent="0.25">
      <c r="B103" s="195" t="s">
        <v>249</v>
      </c>
      <c r="C103" s="195"/>
      <c r="D103" s="187"/>
      <c r="E103" s="199"/>
      <c r="F103" s="199"/>
      <c r="G103" s="199"/>
      <c r="H103" s="369" t="s">
        <v>250</v>
      </c>
      <c r="I103" s="370"/>
      <c r="J103" s="370"/>
      <c r="K103" s="370"/>
      <c r="L103" s="371"/>
      <c r="M103" s="187">
        <v>3</v>
      </c>
      <c r="N103" s="187">
        <v>2</v>
      </c>
      <c r="O103" s="187">
        <v>3</v>
      </c>
      <c r="P103" s="187">
        <v>4</v>
      </c>
      <c r="Q103" s="187">
        <v>4</v>
      </c>
      <c r="R103" s="187">
        <v>4</v>
      </c>
    </row>
    <row r="104" spans="2:18" ht="53.25" hidden="1" customHeight="1" outlineLevel="1" x14ac:dyDescent="0.25">
      <c r="B104" s="195" t="s">
        <v>251</v>
      </c>
      <c r="C104" s="195"/>
      <c r="D104" s="187"/>
      <c r="E104" s="199"/>
      <c r="F104" s="199"/>
      <c r="G104" s="199"/>
      <c r="H104" s="369" t="s">
        <v>242</v>
      </c>
      <c r="I104" s="370"/>
      <c r="J104" s="370"/>
      <c r="K104" s="370"/>
      <c r="L104" s="371"/>
      <c r="M104" s="187">
        <v>5</v>
      </c>
      <c r="N104" s="187">
        <v>3</v>
      </c>
      <c r="O104" s="187">
        <v>5</v>
      </c>
      <c r="P104" s="187">
        <v>7</v>
      </c>
      <c r="Q104" s="187">
        <v>7</v>
      </c>
      <c r="R104" s="187">
        <v>7</v>
      </c>
    </row>
    <row r="105" spans="2:18" ht="53.25" customHeight="1" collapsed="1" x14ac:dyDescent="0.25">
      <c r="B105" s="187">
        <v>6</v>
      </c>
      <c r="C105" s="367" t="s">
        <v>252</v>
      </c>
      <c r="D105" s="368"/>
      <c r="E105" s="383" t="s">
        <v>253</v>
      </c>
      <c r="F105" s="383"/>
      <c r="G105" s="383"/>
      <c r="H105" s="369" t="s">
        <v>203</v>
      </c>
      <c r="I105" s="370"/>
      <c r="J105" s="370"/>
      <c r="K105" s="370"/>
      <c r="L105" s="371"/>
      <c r="M105" s="187">
        <f t="shared" ref="M105:R105" ca="1" si="5">IF(D24="Да",SUMIF($H106:$L119,$H105,M106:M119),0)</f>
        <v>7</v>
      </c>
      <c r="N105" s="187">
        <f t="shared" si="5"/>
        <v>0</v>
      </c>
      <c r="O105" s="187">
        <f t="shared" si="5"/>
        <v>0</v>
      </c>
      <c r="P105" s="187">
        <f t="shared" ca="1" si="5"/>
        <v>11</v>
      </c>
      <c r="Q105" s="187">
        <f t="shared" si="5"/>
        <v>0</v>
      </c>
      <c r="R105" s="187">
        <f t="shared" si="5"/>
        <v>0</v>
      </c>
    </row>
    <row r="106" spans="2:18" ht="53.25" hidden="1" customHeight="1" outlineLevel="1" x14ac:dyDescent="0.25">
      <c r="B106" s="195" t="s">
        <v>254</v>
      </c>
      <c r="C106" s="195"/>
      <c r="D106" s="187"/>
      <c r="E106" s="199"/>
      <c r="F106" s="199"/>
      <c r="G106" s="199"/>
      <c r="H106" s="369" t="s">
        <v>184</v>
      </c>
      <c r="I106" s="370"/>
      <c r="J106" s="370"/>
      <c r="K106" s="370"/>
      <c r="L106" s="371"/>
      <c r="M106" s="187">
        <v>1</v>
      </c>
      <c r="N106" s="187">
        <v>1</v>
      </c>
      <c r="O106" s="187">
        <v>1</v>
      </c>
      <c r="P106" s="187">
        <v>1</v>
      </c>
      <c r="Q106" s="187">
        <v>1</v>
      </c>
      <c r="R106" s="187">
        <v>1</v>
      </c>
    </row>
    <row r="107" spans="2:18" ht="53.25" hidden="1" customHeight="1" outlineLevel="1" x14ac:dyDescent="0.25">
      <c r="B107" s="195" t="s">
        <v>255</v>
      </c>
      <c r="C107" s="195"/>
      <c r="D107" s="187"/>
      <c r="E107" s="199"/>
      <c r="F107" s="199"/>
      <c r="G107" s="199"/>
      <c r="H107" s="369" t="s">
        <v>186</v>
      </c>
      <c r="I107" s="370"/>
      <c r="J107" s="370"/>
      <c r="K107" s="370"/>
      <c r="L107" s="371"/>
      <c r="M107" s="187">
        <v>2</v>
      </c>
      <c r="N107" s="187">
        <v>1</v>
      </c>
      <c r="O107" s="187">
        <v>2</v>
      </c>
      <c r="P107" s="187">
        <v>2</v>
      </c>
      <c r="Q107" s="187">
        <v>2</v>
      </c>
      <c r="R107" s="187">
        <v>2</v>
      </c>
    </row>
    <row r="108" spans="2:18" ht="53.25" hidden="1" customHeight="1" outlineLevel="1" x14ac:dyDescent="0.25">
      <c r="B108" s="195" t="s">
        <v>256</v>
      </c>
      <c r="C108" s="195"/>
      <c r="D108" s="187"/>
      <c r="E108" s="199"/>
      <c r="F108" s="199"/>
      <c r="G108" s="199"/>
      <c r="H108" s="369" t="s">
        <v>188</v>
      </c>
      <c r="I108" s="370"/>
      <c r="J108" s="370"/>
      <c r="K108" s="370"/>
      <c r="L108" s="371"/>
      <c r="M108" s="187">
        <v>2</v>
      </c>
      <c r="N108" s="187">
        <v>2</v>
      </c>
      <c r="O108" s="187">
        <v>3</v>
      </c>
      <c r="P108" s="187">
        <v>3</v>
      </c>
      <c r="Q108" s="187">
        <v>3</v>
      </c>
      <c r="R108" s="187">
        <v>3</v>
      </c>
    </row>
    <row r="109" spans="2:18" ht="53.25" hidden="1" customHeight="1" outlineLevel="1" x14ac:dyDescent="0.25">
      <c r="B109" s="195" t="s">
        <v>257</v>
      </c>
      <c r="C109" s="195"/>
      <c r="D109" s="187"/>
      <c r="E109" s="199"/>
      <c r="F109" s="199"/>
      <c r="G109" s="199"/>
      <c r="H109" s="369" t="s">
        <v>190</v>
      </c>
      <c r="I109" s="370"/>
      <c r="J109" s="370"/>
      <c r="K109" s="370"/>
      <c r="L109" s="371"/>
      <c r="M109" s="187">
        <v>3</v>
      </c>
      <c r="N109" s="187">
        <v>2</v>
      </c>
      <c r="O109" s="187">
        <v>4</v>
      </c>
      <c r="P109" s="187">
        <v>4</v>
      </c>
      <c r="Q109" s="187">
        <v>4</v>
      </c>
      <c r="R109" s="187">
        <v>4</v>
      </c>
    </row>
    <row r="110" spans="2:18" ht="53.25" hidden="1" customHeight="1" outlineLevel="1" x14ac:dyDescent="0.25">
      <c r="B110" s="195" t="s">
        <v>258</v>
      </c>
      <c r="C110" s="195"/>
      <c r="D110" s="187"/>
      <c r="E110" s="199"/>
      <c r="F110" s="199"/>
      <c r="G110" s="199"/>
      <c r="H110" s="369" t="s">
        <v>192</v>
      </c>
      <c r="I110" s="370"/>
      <c r="J110" s="370"/>
      <c r="K110" s="370"/>
      <c r="L110" s="371"/>
      <c r="M110" s="187">
        <v>3</v>
      </c>
      <c r="N110" s="187">
        <v>3</v>
      </c>
      <c r="O110" s="187">
        <v>5</v>
      </c>
      <c r="P110" s="187">
        <v>5</v>
      </c>
      <c r="Q110" s="187">
        <v>5</v>
      </c>
      <c r="R110" s="187">
        <v>5</v>
      </c>
    </row>
    <row r="111" spans="2:18" ht="53.25" hidden="1" customHeight="1" outlineLevel="1" x14ac:dyDescent="0.25">
      <c r="B111" s="195" t="s">
        <v>259</v>
      </c>
      <c r="C111" s="195"/>
      <c r="D111" s="187"/>
      <c r="E111" s="199"/>
      <c r="F111" s="199"/>
      <c r="G111" s="199"/>
      <c r="H111" s="369" t="s">
        <v>194</v>
      </c>
      <c r="I111" s="370"/>
      <c r="J111" s="370"/>
      <c r="K111" s="370"/>
      <c r="L111" s="371"/>
      <c r="M111" s="187">
        <v>4</v>
      </c>
      <c r="N111" s="187">
        <v>3</v>
      </c>
      <c r="O111" s="187">
        <v>6</v>
      </c>
      <c r="P111" s="187">
        <v>6</v>
      </c>
      <c r="Q111" s="187">
        <v>6</v>
      </c>
      <c r="R111" s="187">
        <v>6</v>
      </c>
    </row>
    <row r="112" spans="2:18" ht="53.25" hidden="1" customHeight="1" outlineLevel="1" x14ac:dyDescent="0.25">
      <c r="B112" s="195" t="s">
        <v>260</v>
      </c>
      <c r="C112" s="195"/>
      <c r="D112" s="187"/>
      <c r="E112" s="199"/>
      <c r="F112" s="199"/>
      <c r="G112" s="199"/>
      <c r="H112" s="369" t="s">
        <v>196</v>
      </c>
      <c r="I112" s="370"/>
      <c r="J112" s="370"/>
      <c r="K112" s="370"/>
      <c r="L112" s="371"/>
      <c r="M112" s="187">
        <v>4</v>
      </c>
      <c r="N112" s="187">
        <v>4</v>
      </c>
      <c r="O112" s="187">
        <v>7</v>
      </c>
      <c r="P112" s="187">
        <v>7</v>
      </c>
      <c r="Q112" s="187">
        <v>7</v>
      </c>
      <c r="R112" s="187">
        <v>7</v>
      </c>
    </row>
    <row r="113" spans="2:18" ht="53.25" hidden="1" customHeight="1" outlineLevel="1" x14ac:dyDescent="0.25">
      <c r="B113" s="195" t="s">
        <v>261</v>
      </c>
      <c r="C113" s="195"/>
      <c r="D113" s="187"/>
      <c r="E113" s="199"/>
      <c r="F113" s="199"/>
      <c r="G113" s="199"/>
      <c r="H113" s="369" t="s">
        <v>182</v>
      </c>
      <c r="I113" s="370"/>
      <c r="J113" s="370"/>
      <c r="K113" s="370"/>
      <c r="L113" s="371"/>
      <c r="M113" s="187">
        <v>5</v>
      </c>
      <c r="N113" s="187">
        <v>4</v>
      </c>
      <c r="O113" s="187">
        <v>8</v>
      </c>
      <c r="P113" s="187">
        <v>8</v>
      </c>
      <c r="Q113" s="187">
        <v>8</v>
      </c>
      <c r="R113" s="187">
        <v>8</v>
      </c>
    </row>
    <row r="114" spans="2:18" ht="53.25" hidden="1" customHeight="1" outlineLevel="1" x14ac:dyDescent="0.25">
      <c r="B114" s="195" t="s">
        <v>262</v>
      </c>
      <c r="C114" s="195"/>
      <c r="D114" s="187"/>
      <c r="E114" s="199"/>
      <c r="F114" s="199"/>
      <c r="G114" s="199"/>
      <c r="H114" s="369" t="s">
        <v>199</v>
      </c>
      <c r="I114" s="370"/>
      <c r="J114" s="370"/>
      <c r="K114" s="370"/>
      <c r="L114" s="371"/>
      <c r="M114" s="187">
        <v>5</v>
      </c>
      <c r="N114" s="187">
        <v>5</v>
      </c>
      <c r="O114" s="187">
        <v>9</v>
      </c>
      <c r="P114" s="187">
        <v>9</v>
      </c>
      <c r="Q114" s="187">
        <v>9</v>
      </c>
      <c r="R114" s="187">
        <v>9</v>
      </c>
    </row>
    <row r="115" spans="2:18" ht="53.25" hidden="1" customHeight="1" outlineLevel="1" x14ac:dyDescent="0.25">
      <c r="B115" s="195" t="s">
        <v>263</v>
      </c>
      <c r="C115" s="195"/>
      <c r="D115" s="187"/>
      <c r="E115" s="199"/>
      <c r="F115" s="199"/>
      <c r="G115" s="199"/>
      <c r="H115" s="369" t="s">
        <v>201</v>
      </c>
      <c r="I115" s="370"/>
      <c r="J115" s="370"/>
      <c r="K115" s="370"/>
      <c r="L115" s="371"/>
      <c r="M115" s="187">
        <v>6</v>
      </c>
      <c r="N115" s="187">
        <v>5</v>
      </c>
      <c r="O115" s="187">
        <v>10</v>
      </c>
      <c r="P115" s="187">
        <v>10</v>
      </c>
      <c r="Q115" s="187">
        <v>10</v>
      </c>
      <c r="R115" s="187">
        <v>10</v>
      </c>
    </row>
    <row r="116" spans="2:18" ht="53.25" hidden="1" customHeight="1" outlineLevel="1" x14ac:dyDescent="0.25">
      <c r="B116" s="195" t="s">
        <v>264</v>
      </c>
      <c r="C116" s="195"/>
      <c r="D116" s="187"/>
      <c r="E116" s="199"/>
      <c r="F116" s="199"/>
      <c r="G116" s="199"/>
      <c r="H116" s="369" t="s">
        <v>203</v>
      </c>
      <c r="I116" s="370"/>
      <c r="J116" s="370"/>
      <c r="K116" s="370"/>
      <c r="L116" s="371"/>
      <c r="M116" s="187">
        <v>7</v>
      </c>
      <c r="N116" s="187">
        <v>6</v>
      </c>
      <c r="O116" s="187">
        <v>11</v>
      </c>
      <c r="P116" s="187">
        <v>11</v>
      </c>
      <c r="Q116" s="187">
        <v>11</v>
      </c>
      <c r="R116" s="187">
        <v>11</v>
      </c>
    </row>
    <row r="117" spans="2:18" ht="53.25" hidden="1" customHeight="1" outlineLevel="1" x14ac:dyDescent="0.25">
      <c r="B117" s="195" t="s">
        <v>265</v>
      </c>
      <c r="C117" s="195"/>
      <c r="D117" s="187"/>
      <c r="E117" s="199"/>
      <c r="F117" s="199"/>
      <c r="G117" s="199"/>
      <c r="H117" s="369" t="s">
        <v>205</v>
      </c>
      <c r="I117" s="370"/>
      <c r="J117" s="370"/>
      <c r="K117" s="370"/>
      <c r="L117" s="371"/>
      <c r="M117" s="187">
        <v>8</v>
      </c>
      <c r="N117" s="187">
        <v>6</v>
      </c>
      <c r="O117" s="187">
        <v>12</v>
      </c>
      <c r="P117" s="187">
        <v>12</v>
      </c>
      <c r="Q117" s="187">
        <v>12</v>
      </c>
      <c r="R117" s="187">
        <v>12</v>
      </c>
    </row>
    <row r="118" spans="2:18" ht="53.25" hidden="1" customHeight="1" outlineLevel="1" x14ac:dyDescent="0.25">
      <c r="B118" s="195" t="s">
        <v>266</v>
      </c>
      <c r="C118" s="195"/>
      <c r="D118" s="187"/>
      <c r="E118" s="199"/>
      <c r="F118" s="199"/>
      <c r="G118" s="199"/>
      <c r="H118" s="369" t="s">
        <v>207</v>
      </c>
      <c r="I118" s="370"/>
      <c r="J118" s="370"/>
      <c r="K118" s="370"/>
      <c r="L118" s="371"/>
      <c r="M118" s="187">
        <v>9</v>
      </c>
      <c r="N118" s="187">
        <v>7</v>
      </c>
      <c r="O118" s="187">
        <v>13</v>
      </c>
      <c r="P118" s="187">
        <v>13</v>
      </c>
      <c r="Q118" s="187">
        <v>13</v>
      </c>
      <c r="R118" s="187">
        <v>13</v>
      </c>
    </row>
    <row r="119" spans="2:18" ht="53.25" hidden="1" customHeight="1" outlineLevel="1" x14ac:dyDescent="0.25">
      <c r="B119" s="195" t="s">
        <v>267</v>
      </c>
      <c r="C119" s="195"/>
      <c r="D119" s="187"/>
      <c r="E119" s="199"/>
      <c r="F119" s="199"/>
      <c r="G119" s="199"/>
      <c r="H119" s="369" t="s">
        <v>209</v>
      </c>
      <c r="I119" s="370"/>
      <c r="J119" s="370"/>
      <c r="K119" s="370"/>
      <c r="L119" s="371"/>
      <c r="M119" s="187">
        <v>1</v>
      </c>
      <c r="N119" s="187">
        <v>1</v>
      </c>
      <c r="O119" s="187">
        <v>1</v>
      </c>
      <c r="P119" s="187">
        <v>1</v>
      </c>
      <c r="Q119" s="187">
        <v>1</v>
      </c>
      <c r="R119" s="187">
        <v>1</v>
      </c>
    </row>
    <row r="120" spans="2:18" ht="53.25" customHeight="1" collapsed="1" x14ac:dyDescent="0.25">
      <c r="B120" s="187">
        <v>7</v>
      </c>
      <c r="C120" s="367" t="s">
        <v>268</v>
      </c>
      <c r="D120" s="368"/>
      <c r="E120" s="383" t="s">
        <v>269</v>
      </c>
      <c r="F120" s="383"/>
      <c r="G120" s="383"/>
      <c r="H120" s="369" t="s">
        <v>270</v>
      </c>
      <c r="I120" s="370"/>
      <c r="J120" s="370"/>
      <c r="K120" s="370"/>
      <c r="L120" s="371"/>
      <c r="M120" s="187">
        <f t="shared" ref="M120:R120" ca="1" si="6">IF(D24="Да",SUMIF($H121:$L134,$H120,M121:M134),0)</f>
        <v>9</v>
      </c>
      <c r="N120" s="187">
        <f t="shared" si="6"/>
        <v>0</v>
      </c>
      <c r="O120" s="187">
        <f t="shared" si="6"/>
        <v>0</v>
      </c>
      <c r="P120" s="187">
        <f t="shared" ca="1" si="6"/>
        <v>12</v>
      </c>
      <c r="Q120" s="187">
        <f t="shared" si="6"/>
        <v>0</v>
      </c>
      <c r="R120" s="187">
        <f t="shared" si="6"/>
        <v>0</v>
      </c>
    </row>
    <row r="121" spans="2:18" ht="53.25" hidden="1" customHeight="1" outlineLevel="1" x14ac:dyDescent="0.25">
      <c r="B121" s="195">
        <v>7.22</v>
      </c>
      <c r="C121" s="196"/>
      <c r="D121" s="197"/>
      <c r="E121" s="200"/>
      <c r="F121" s="200"/>
      <c r="G121" s="200"/>
      <c r="H121" s="369" t="s">
        <v>173</v>
      </c>
      <c r="I121" s="370"/>
      <c r="J121" s="370"/>
      <c r="K121" s="370"/>
      <c r="L121" s="371"/>
      <c r="M121" s="187">
        <v>1</v>
      </c>
      <c r="N121" s="187">
        <v>1</v>
      </c>
      <c r="O121" s="187">
        <v>1</v>
      </c>
      <c r="P121" s="187">
        <v>1</v>
      </c>
      <c r="Q121" s="187">
        <v>1</v>
      </c>
      <c r="R121" s="187">
        <v>1</v>
      </c>
    </row>
    <row r="122" spans="2:18" ht="53.25" hidden="1" customHeight="1" outlineLevel="1" x14ac:dyDescent="0.25">
      <c r="B122" s="195" t="s">
        <v>229</v>
      </c>
      <c r="C122" s="196"/>
      <c r="D122" s="197"/>
      <c r="E122" s="200"/>
      <c r="F122" s="200"/>
      <c r="G122" s="200"/>
      <c r="H122" s="369" t="s">
        <v>174</v>
      </c>
      <c r="I122" s="370"/>
      <c r="J122" s="370"/>
      <c r="K122" s="370"/>
      <c r="L122" s="371"/>
      <c r="M122" s="187">
        <v>2</v>
      </c>
      <c r="N122" s="187">
        <v>1</v>
      </c>
      <c r="O122" s="187">
        <v>2</v>
      </c>
      <c r="P122" s="187">
        <v>2</v>
      </c>
      <c r="Q122" s="187">
        <v>2</v>
      </c>
      <c r="R122" s="187">
        <v>2</v>
      </c>
    </row>
    <row r="123" spans="2:18" ht="53.25" hidden="1" customHeight="1" outlineLevel="1" x14ac:dyDescent="0.25">
      <c r="B123" s="195" t="s">
        <v>231</v>
      </c>
      <c r="C123" s="196"/>
      <c r="D123" s="197"/>
      <c r="E123" s="200"/>
      <c r="F123" s="200"/>
      <c r="G123" s="200"/>
      <c r="H123" s="369" t="s">
        <v>172</v>
      </c>
      <c r="I123" s="370"/>
      <c r="J123" s="370"/>
      <c r="K123" s="370"/>
      <c r="L123" s="371"/>
      <c r="M123" s="187">
        <v>3</v>
      </c>
      <c r="N123" s="187">
        <v>2</v>
      </c>
      <c r="O123" s="187">
        <v>3</v>
      </c>
      <c r="P123" s="187">
        <v>3</v>
      </c>
      <c r="Q123" s="187">
        <v>3</v>
      </c>
      <c r="R123" s="187">
        <v>3</v>
      </c>
    </row>
    <row r="124" spans="2:18" ht="53.25" hidden="1" customHeight="1" outlineLevel="1" x14ac:dyDescent="0.25">
      <c r="B124" s="195" t="s">
        <v>232</v>
      </c>
      <c r="C124" s="196"/>
      <c r="D124" s="197"/>
      <c r="E124" s="200"/>
      <c r="F124" s="200"/>
      <c r="G124" s="200"/>
      <c r="H124" s="369" t="s">
        <v>271</v>
      </c>
      <c r="I124" s="370"/>
      <c r="J124" s="370"/>
      <c r="K124" s="370"/>
      <c r="L124" s="371"/>
      <c r="M124" s="187">
        <v>3</v>
      </c>
      <c r="N124" s="187">
        <v>2</v>
      </c>
      <c r="O124" s="187">
        <v>4</v>
      </c>
      <c r="P124" s="187">
        <v>4</v>
      </c>
      <c r="Q124" s="187">
        <v>4</v>
      </c>
      <c r="R124" s="187">
        <v>4</v>
      </c>
    </row>
    <row r="125" spans="2:18" ht="53.25" hidden="1" customHeight="1" outlineLevel="1" x14ac:dyDescent="0.25">
      <c r="B125" s="195" t="s">
        <v>234</v>
      </c>
      <c r="C125" s="196"/>
      <c r="D125" s="197"/>
      <c r="E125" s="200"/>
      <c r="F125" s="200"/>
      <c r="G125" s="200"/>
      <c r="H125" s="369" t="s">
        <v>272</v>
      </c>
      <c r="I125" s="370"/>
      <c r="J125" s="370"/>
      <c r="K125" s="370"/>
      <c r="L125" s="371"/>
      <c r="M125" s="187">
        <v>4</v>
      </c>
      <c r="N125" s="187">
        <v>3</v>
      </c>
      <c r="O125" s="187">
        <v>5</v>
      </c>
      <c r="P125" s="187">
        <v>5</v>
      </c>
      <c r="Q125" s="187">
        <v>5</v>
      </c>
      <c r="R125" s="187">
        <v>5</v>
      </c>
    </row>
    <row r="126" spans="2:18" ht="53.25" hidden="1" customHeight="1" outlineLevel="1" x14ac:dyDescent="0.25">
      <c r="B126" s="195" t="s">
        <v>236</v>
      </c>
      <c r="C126" s="196"/>
      <c r="D126" s="197"/>
      <c r="E126" s="200"/>
      <c r="F126" s="200"/>
      <c r="G126" s="200"/>
      <c r="H126" s="369" t="s">
        <v>273</v>
      </c>
      <c r="I126" s="370"/>
      <c r="J126" s="370"/>
      <c r="K126" s="370"/>
      <c r="L126" s="371"/>
      <c r="M126" s="187">
        <v>4</v>
      </c>
      <c r="N126" s="187">
        <v>3</v>
      </c>
      <c r="O126" s="187">
        <v>6</v>
      </c>
      <c r="P126" s="187">
        <v>6</v>
      </c>
      <c r="Q126" s="187">
        <v>6</v>
      </c>
      <c r="R126" s="187">
        <v>6</v>
      </c>
    </row>
    <row r="127" spans="2:18" ht="53.25" hidden="1" customHeight="1" outlineLevel="1" x14ac:dyDescent="0.25">
      <c r="B127" s="195" t="s">
        <v>238</v>
      </c>
      <c r="C127" s="196"/>
      <c r="D127" s="197"/>
      <c r="E127" s="200"/>
      <c r="F127" s="200"/>
      <c r="G127" s="200"/>
      <c r="H127" s="369" t="s">
        <v>274</v>
      </c>
      <c r="I127" s="370"/>
      <c r="J127" s="370"/>
      <c r="K127" s="370"/>
      <c r="L127" s="371"/>
      <c r="M127" s="187">
        <v>5</v>
      </c>
      <c r="N127" s="187">
        <v>4</v>
      </c>
      <c r="O127" s="187">
        <v>7</v>
      </c>
      <c r="P127" s="187">
        <v>7</v>
      </c>
      <c r="Q127" s="187">
        <v>7</v>
      </c>
      <c r="R127" s="187">
        <v>7</v>
      </c>
    </row>
    <row r="128" spans="2:18" ht="53.25" hidden="1" customHeight="1" outlineLevel="1" x14ac:dyDescent="0.25">
      <c r="B128" s="195" t="s">
        <v>275</v>
      </c>
      <c r="C128" s="196"/>
      <c r="D128" s="197"/>
      <c r="E128" s="200"/>
      <c r="F128" s="200"/>
      <c r="G128" s="200"/>
      <c r="H128" s="369" t="s">
        <v>276</v>
      </c>
      <c r="I128" s="370"/>
      <c r="J128" s="370"/>
      <c r="K128" s="370"/>
      <c r="L128" s="371"/>
      <c r="M128" s="187">
        <v>5</v>
      </c>
      <c r="N128" s="187">
        <v>4</v>
      </c>
      <c r="O128" s="187">
        <v>8</v>
      </c>
      <c r="P128" s="187">
        <v>8</v>
      </c>
      <c r="Q128" s="187">
        <v>8</v>
      </c>
      <c r="R128" s="187">
        <v>8</v>
      </c>
    </row>
    <row r="129" spans="2:23" ht="53.25" hidden="1" customHeight="1" outlineLevel="1" x14ac:dyDescent="0.25">
      <c r="B129" s="195" t="s">
        <v>277</v>
      </c>
      <c r="C129" s="196"/>
      <c r="D129" s="197"/>
      <c r="E129" s="200"/>
      <c r="F129" s="200"/>
      <c r="G129" s="200"/>
      <c r="H129" s="369" t="s">
        <v>278</v>
      </c>
      <c r="I129" s="370"/>
      <c r="J129" s="370"/>
      <c r="K129" s="370"/>
      <c r="L129" s="371"/>
      <c r="M129" s="187">
        <v>6</v>
      </c>
      <c r="N129" s="187">
        <v>5</v>
      </c>
      <c r="O129" s="187">
        <v>9</v>
      </c>
      <c r="P129" s="187">
        <v>9</v>
      </c>
      <c r="Q129" s="187">
        <v>9</v>
      </c>
      <c r="R129" s="187">
        <v>9</v>
      </c>
    </row>
    <row r="130" spans="2:23" ht="53.25" hidden="1" customHeight="1" outlineLevel="1" x14ac:dyDescent="0.25">
      <c r="B130" s="195">
        <v>7.22</v>
      </c>
      <c r="C130" s="196"/>
      <c r="D130" s="197"/>
      <c r="E130" s="200"/>
      <c r="F130" s="200"/>
      <c r="G130" s="200"/>
      <c r="H130" s="369" t="s">
        <v>279</v>
      </c>
      <c r="I130" s="370"/>
      <c r="J130" s="370"/>
      <c r="K130" s="370"/>
      <c r="L130" s="371"/>
      <c r="M130" s="187">
        <v>7</v>
      </c>
      <c r="N130" s="187">
        <v>5</v>
      </c>
      <c r="O130" s="187">
        <v>10</v>
      </c>
      <c r="P130" s="187">
        <v>10</v>
      </c>
      <c r="Q130" s="187">
        <v>10</v>
      </c>
      <c r="R130" s="187">
        <v>10</v>
      </c>
    </row>
    <row r="131" spans="2:23" ht="53.25" hidden="1" customHeight="1" outlineLevel="1" x14ac:dyDescent="0.25">
      <c r="B131" s="195">
        <v>7.2210000000000001</v>
      </c>
      <c r="C131" s="196"/>
      <c r="D131" s="197"/>
      <c r="E131" s="200"/>
      <c r="F131" s="200"/>
      <c r="G131" s="200"/>
      <c r="H131" s="369" t="s">
        <v>280</v>
      </c>
      <c r="I131" s="370"/>
      <c r="J131" s="370"/>
      <c r="K131" s="370"/>
      <c r="L131" s="371"/>
      <c r="M131" s="187">
        <v>8</v>
      </c>
      <c r="N131" s="187">
        <v>6</v>
      </c>
      <c r="O131" s="187">
        <v>11</v>
      </c>
      <c r="P131" s="187">
        <v>11</v>
      </c>
      <c r="Q131" s="187">
        <v>11</v>
      </c>
      <c r="R131" s="187">
        <v>11</v>
      </c>
    </row>
    <row r="132" spans="2:23" ht="53.25" hidden="1" customHeight="1" outlineLevel="1" x14ac:dyDescent="0.25">
      <c r="B132" s="195">
        <v>7.2220000000000004</v>
      </c>
      <c r="C132" s="196"/>
      <c r="D132" s="197"/>
      <c r="E132" s="200"/>
      <c r="F132" s="200"/>
      <c r="G132" s="200"/>
      <c r="H132" s="369" t="s">
        <v>270</v>
      </c>
      <c r="I132" s="370"/>
      <c r="J132" s="370"/>
      <c r="K132" s="370"/>
      <c r="L132" s="371"/>
      <c r="M132" s="187">
        <v>9</v>
      </c>
      <c r="N132" s="187">
        <v>6</v>
      </c>
      <c r="O132" s="187">
        <v>12</v>
      </c>
      <c r="P132" s="187">
        <v>12</v>
      </c>
      <c r="Q132" s="187">
        <v>12</v>
      </c>
      <c r="R132" s="187">
        <v>12</v>
      </c>
    </row>
    <row r="133" spans="2:23" ht="53.25" hidden="1" customHeight="1" outlineLevel="1" x14ac:dyDescent="0.25">
      <c r="B133" s="195">
        <v>7.2229999999999999</v>
      </c>
      <c r="C133" s="196"/>
      <c r="D133" s="197"/>
      <c r="E133" s="200"/>
      <c r="F133" s="200"/>
      <c r="G133" s="200"/>
      <c r="H133" s="369" t="s">
        <v>281</v>
      </c>
      <c r="I133" s="370"/>
      <c r="J133" s="370"/>
      <c r="K133" s="370"/>
      <c r="L133" s="371"/>
      <c r="M133" s="187">
        <v>10</v>
      </c>
      <c r="N133" s="187">
        <v>7</v>
      </c>
      <c r="O133" s="187">
        <v>13</v>
      </c>
      <c r="P133" s="187">
        <v>13</v>
      </c>
      <c r="Q133" s="187">
        <v>13</v>
      </c>
      <c r="R133" s="187">
        <v>13</v>
      </c>
    </row>
    <row r="134" spans="2:23" ht="53.25" hidden="1" customHeight="1" outlineLevel="1" x14ac:dyDescent="0.25">
      <c r="B134" s="195">
        <v>7.2240000000000002</v>
      </c>
      <c r="C134" s="196"/>
      <c r="D134" s="197"/>
      <c r="E134" s="200"/>
      <c r="F134" s="200"/>
      <c r="G134" s="200"/>
      <c r="H134" s="369" t="s">
        <v>282</v>
      </c>
      <c r="I134" s="370"/>
      <c r="J134" s="370"/>
      <c r="K134" s="370"/>
      <c r="L134" s="371"/>
      <c r="M134" s="187">
        <v>1</v>
      </c>
      <c r="N134" s="187">
        <v>1</v>
      </c>
      <c r="O134" s="187">
        <v>1</v>
      </c>
      <c r="P134" s="187">
        <v>1</v>
      </c>
      <c r="Q134" s="187">
        <v>1</v>
      </c>
      <c r="R134" s="187">
        <v>1</v>
      </c>
    </row>
    <row r="135" spans="2:23" ht="26.25" customHeight="1" collapsed="1" x14ac:dyDescent="0.25">
      <c r="B135" s="187">
        <v>8</v>
      </c>
      <c r="C135" s="197"/>
      <c r="D135" s="197"/>
      <c r="E135" s="180"/>
      <c r="F135" s="180"/>
      <c r="G135" s="180"/>
      <c r="H135" s="180"/>
      <c r="I135" s="180"/>
      <c r="J135" s="180"/>
      <c r="K135" s="180"/>
      <c r="L135" s="198" t="s">
        <v>210</v>
      </c>
      <c r="M135" s="187">
        <f ca="1">M71+M78+M86+M91+M99+M105+M120</f>
        <v>36</v>
      </c>
      <c r="N135" s="187">
        <f t="shared" ref="N135:R135" si="7">N71+N78+N86+N91+N99+N105+N120</f>
        <v>0</v>
      </c>
      <c r="O135" s="187">
        <f>O71+O78+O86+O91+O99+O105+O120</f>
        <v>0</v>
      </c>
      <c r="P135" s="187">
        <f t="shared" ca="1" si="7"/>
        <v>43</v>
      </c>
      <c r="Q135" s="187">
        <f t="shared" si="7"/>
        <v>0</v>
      </c>
      <c r="R135" s="187">
        <f t="shared" si="7"/>
        <v>0</v>
      </c>
    </row>
    <row r="136" spans="2:23" ht="26.25" customHeight="1" x14ac:dyDescent="0.25">
      <c r="B136" s="363" t="s">
        <v>283</v>
      </c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4"/>
      <c r="Q136" s="364"/>
      <c r="R136" s="373"/>
    </row>
    <row r="137" spans="2:23" ht="26.25" customHeight="1" x14ac:dyDescent="0.25">
      <c r="B137" s="374" t="s">
        <v>42</v>
      </c>
      <c r="C137" s="378" t="s">
        <v>284</v>
      </c>
      <c r="D137" s="380"/>
      <c r="E137" s="380"/>
      <c r="F137" s="380"/>
      <c r="G137" s="380"/>
      <c r="H137" s="380"/>
      <c r="I137" s="379"/>
      <c r="J137" s="374" t="s">
        <v>285</v>
      </c>
      <c r="K137" s="374"/>
      <c r="L137" s="374"/>
      <c r="M137" s="374"/>
      <c r="N137" s="374"/>
      <c r="O137" s="374"/>
      <c r="P137" s="374"/>
      <c r="Q137" s="374"/>
      <c r="R137" s="374"/>
    </row>
    <row r="138" spans="2:23" ht="22.5" customHeight="1" x14ac:dyDescent="0.25">
      <c r="B138" s="374"/>
      <c r="C138" s="188" t="s">
        <v>147</v>
      </c>
      <c r="D138" s="188" t="s">
        <v>134</v>
      </c>
      <c r="E138" s="188" t="s">
        <v>135</v>
      </c>
      <c r="F138" s="188" t="s">
        <v>136</v>
      </c>
      <c r="G138" s="188" t="s">
        <v>137</v>
      </c>
      <c r="H138" s="188" t="s">
        <v>138</v>
      </c>
      <c r="I138" s="188" t="s">
        <v>139</v>
      </c>
      <c r="J138" s="188" t="s">
        <v>286</v>
      </c>
      <c r="K138" s="188" t="s">
        <v>287</v>
      </c>
      <c r="L138" s="374" t="s">
        <v>288</v>
      </c>
      <c r="M138" s="374"/>
      <c r="N138" s="374"/>
      <c r="O138" s="374"/>
      <c r="P138" s="374"/>
      <c r="Q138" s="188" t="s">
        <v>289</v>
      </c>
      <c r="R138" s="188" t="s">
        <v>290</v>
      </c>
      <c r="U138" s="176" t="s">
        <v>291</v>
      </c>
    </row>
    <row r="139" spans="2:23" s="203" customFormat="1" ht="39.75" customHeight="1" x14ac:dyDescent="0.2">
      <c r="B139" s="187">
        <v>1</v>
      </c>
      <c r="C139" s="187">
        <f>IF($R139="Да",$Q139,1)</f>
        <v>0.6</v>
      </c>
      <c r="D139" s="187">
        <f>IF($R139="Да",$Q139,1)</f>
        <v>0.6</v>
      </c>
      <c r="E139" s="187">
        <f t="shared" ref="C139:I152" si="8">IF($R139="Да",$Q139,1)</f>
        <v>0.6</v>
      </c>
      <c r="F139" s="187">
        <f t="shared" si="8"/>
        <v>0.6</v>
      </c>
      <c r="G139" s="187">
        <f t="shared" si="8"/>
        <v>0.6</v>
      </c>
      <c r="H139" s="187">
        <f t="shared" si="8"/>
        <v>0.6</v>
      </c>
      <c r="I139" s="187">
        <f t="shared" si="8"/>
        <v>0.6</v>
      </c>
      <c r="J139" s="187" t="s">
        <v>292</v>
      </c>
      <c r="K139" s="201" t="s">
        <v>293</v>
      </c>
      <c r="L139" s="383" t="s">
        <v>294</v>
      </c>
      <c r="M139" s="383"/>
      <c r="N139" s="383"/>
      <c r="O139" s="383"/>
      <c r="P139" s="383"/>
      <c r="Q139" s="202">
        <f t="shared" ref="Q139:Q152" si="9">IF(R139="Да",U139,"-")</f>
        <v>0.6</v>
      </c>
      <c r="R139" s="202" t="s">
        <v>132</v>
      </c>
      <c r="U139" s="204">
        <v>0.6</v>
      </c>
    </row>
    <row r="140" spans="2:23" s="203" customFormat="1" ht="39.75" customHeight="1" x14ac:dyDescent="0.2">
      <c r="B140" s="187">
        <v>2</v>
      </c>
      <c r="C140" s="187">
        <f>IF($R140="Да",$Q140,1)</f>
        <v>1</v>
      </c>
      <c r="D140" s="187">
        <f>IF($R140="Да",$Q140,1)</f>
        <v>1</v>
      </c>
      <c r="E140" s="187">
        <f t="shared" si="8"/>
        <v>1</v>
      </c>
      <c r="F140" s="187">
        <f t="shared" si="8"/>
        <v>1</v>
      </c>
      <c r="G140" s="187">
        <f t="shared" si="8"/>
        <v>1</v>
      </c>
      <c r="H140" s="187">
        <f t="shared" si="8"/>
        <v>1</v>
      </c>
      <c r="I140" s="187">
        <f t="shared" si="8"/>
        <v>1</v>
      </c>
      <c r="J140" s="187" t="s">
        <v>295</v>
      </c>
      <c r="K140" s="201" t="s">
        <v>293</v>
      </c>
      <c r="L140" s="383" t="s">
        <v>296</v>
      </c>
      <c r="M140" s="383"/>
      <c r="N140" s="383"/>
      <c r="O140" s="383"/>
      <c r="P140" s="383"/>
      <c r="Q140" s="202" t="str">
        <f t="shared" si="9"/>
        <v>-</v>
      </c>
      <c r="R140" s="202" t="s">
        <v>131</v>
      </c>
      <c r="U140" s="204">
        <v>0.5</v>
      </c>
      <c r="W140" s="203" t="s">
        <v>132</v>
      </c>
    </row>
    <row r="141" spans="2:23" s="203" customFormat="1" ht="47.25" customHeight="1" x14ac:dyDescent="0.2">
      <c r="B141" s="187">
        <v>3</v>
      </c>
      <c r="C141" s="187">
        <v>1</v>
      </c>
      <c r="D141" s="187">
        <f t="shared" si="8"/>
        <v>1</v>
      </c>
      <c r="E141" s="187">
        <f t="shared" si="8"/>
        <v>1</v>
      </c>
      <c r="F141" s="187">
        <f t="shared" si="8"/>
        <v>1</v>
      </c>
      <c r="G141" s="187">
        <f t="shared" si="8"/>
        <v>1</v>
      </c>
      <c r="H141" s="187">
        <f t="shared" si="8"/>
        <v>1</v>
      </c>
      <c r="I141" s="187">
        <f t="shared" si="8"/>
        <v>1</v>
      </c>
      <c r="J141" s="187" t="s">
        <v>297</v>
      </c>
      <c r="K141" s="201" t="s">
        <v>293</v>
      </c>
      <c r="L141" s="383" t="s">
        <v>298</v>
      </c>
      <c r="M141" s="383"/>
      <c r="N141" s="383"/>
      <c r="O141" s="383"/>
      <c r="P141" s="383"/>
      <c r="Q141" s="202" t="str">
        <f t="shared" si="9"/>
        <v>-</v>
      </c>
      <c r="R141" s="202" t="s">
        <v>131</v>
      </c>
      <c r="U141" s="204">
        <v>0.8</v>
      </c>
      <c r="W141" s="203" t="s">
        <v>131</v>
      </c>
    </row>
    <row r="142" spans="2:23" s="203" customFormat="1" ht="39.75" customHeight="1" x14ac:dyDescent="0.2">
      <c r="B142" s="187">
        <v>4</v>
      </c>
      <c r="C142" s="187">
        <f t="shared" si="8"/>
        <v>1</v>
      </c>
      <c r="D142" s="187">
        <f t="shared" si="8"/>
        <v>1</v>
      </c>
      <c r="E142" s="187">
        <f t="shared" si="8"/>
        <v>1</v>
      </c>
      <c r="F142" s="187">
        <f t="shared" si="8"/>
        <v>1</v>
      </c>
      <c r="G142" s="187">
        <f t="shared" si="8"/>
        <v>1</v>
      </c>
      <c r="H142" s="187">
        <f t="shared" si="8"/>
        <v>1</v>
      </c>
      <c r="I142" s="187">
        <f t="shared" si="8"/>
        <v>1</v>
      </c>
      <c r="J142" s="187" t="s">
        <v>299</v>
      </c>
      <c r="K142" s="201" t="s">
        <v>300</v>
      </c>
      <c r="L142" s="383" t="s">
        <v>301</v>
      </c>
      <c r="M142" s="383"/>
      <c r="N142" s="383"/>
      <c r="O142" s="383"/>
      <c r="P142" s="383"/>
      <c r="Q142" s="202" t="str">
        <f t="shared" si="9"/>
        <v>-</v>
      </c>
      <c r="R142" s="202" t="s">
        <v>131</v>
      </c>
      <c r="U142" s="204">
        <v>1.2</v>
      </c>
    </row>
    <row r="143" spans="2:23" s="203" customFormat="1" ht="60.75" customHeight="1" x14ac:dyDescent="0.2">
      <c r="B143" s="187">
        <v>5</v>
      </c>
      <c r="C143" s="187">
        <f t="shared" si="8"/>
        <v>1</v>
      </c>
      <c r="D143" s="187">
        <v>1</v>
      </c>
      <c r="E143" s="187">
        <v>1</v>
      </c>
      <c r="F143" s="187">
        <v>1</v>
      </c>
      <c r="G143" s="187">
        <v>1</v>
      </c>
      <c r="H143" s="187">
        <v>1</v>
      </c>
      <c r="I143" s="187">
        <v>1</v>
      </c>
      <c r="J143" s="187" t="s">
        <v>302</v>
      </c>
      <c r="K143" s="201" t="s">
        <v>300</v>
      </c>
      <c r="L143" s="383" t="s">
        <v>303</v>
      </c>
      <c r="M143" s="383"/>
      <c r="N143" s="383"/>
      <c r="O143" s="383"/>
      <c r="P143" s="383"/>
      <c r="Q143" s="202" t="str">
        <f t="shared" si="9"/>
        <v>-</v>
      </c>
      <c r="R143" s="202" t="s">
        <v>131</v>
      </c>
      <c r="U143" s="204">
        <v>1.1000000000000001</v>
      </c>
    </row>
    <row r="144" spans="2:23" s="203" customFormat="1" ht="62.25" customHeight="1" x14ac:dyDescent="0.2">
      <c r="B144" s="187">
        <v>6</v>
      </c>
      <c r="C144" s="187">
        <f t="shared" si="8"/>
        <v>1</v>
      </c>
      <c r="D144" s="187">
        <f t="shared" si="8"/>
        <v>1</v>
      </c>
      <c r="E144" s="187">
        <f t="shared" si="8"/>
        <v>1</v>
      </c>
      <c r="F144" s="187">
        <f t="shared" si="8"/>
        <v>1</v>
      </c>
      <c r="G144" s="187">
        <f t="shared" si="8"/>
        <v>1</v>
      </c>
      <c r="H144" s="187">
        <f t="shared" si="8"/>
        <v>1</v>
      </c>
      <c r="I144" s="187">
        <f t="shared" si="8"/>
        <v>1</v>
      </c>
      <c r="J144" s="187" t="s">
        <v>304</v>
      </c>
      <c r="K144" s="201" t="s">
        <v>300</v>
      </c>
      <c r="L144" s="383" t="s">
        <v>305</v>
      </c>
      <c r="M144" s="383"/>
      <c r="N144" s="383"/>
      <c r="O144" s="383"/>
      <c r="P144" s="383"/>
      <c r="Q144" s="202" t="str">
        <f t="shared" si="9"/>
        <v>-</v>
      </c>
      <c r="R144" s="202" t="s">
        <v>131</v>
      </c>
      <c r="U144" s="204">
        <v>1.05</v>
      </c>
    </row>
    <row r="145" spans="2:21" s="203" customFormat="1" ht="53.25" customHeight="1" x14ac:dyDescent="0.2">
      <c r="B145" s="187">
        <v>7</v>
      </c>
      <c r="C145" s="187">
        <v>1</v>
      </c>
      <c r="D145" s="187">
        <f t="shared" si="8"/>
        <v>1</v>
      </c>
      <c r="E145" s="187">
        <f t="shared" si="8"/>
        <v>1</v>
      </c>
      <c r="F145" s="187">
        <f t="shared" si="8"/>
        <v>1</v>
      </c>
      <c r="G145" s="187">
        <f t="shared" si="8"/>
        <v>1</v>
      </c>
      <c r="H145" s="187">
        <f t="shared" si="8"/>
        <v>1</v>
      </c>
      <c r="I145" s="187">
        <f t="shared" si="8"/>
        <v>1</v>
      </c>
      <c r="J145" s="187" t="s">
        <v>306</v>
      </c>
      <c r="K145" s="201" t="s">
        <v>300</v>
      </c>
      <c r="L145" s="383" t="s">
        <v>307</v>
      </c>
      <c r="M145" s="383"/>
      <c r="N145" s="383"/>
      <c r="O145" s="383"/>
      <c r="P145" s="383"/>
      <c r="Q145" s="202" t="str">
        <f t="shared" si="9"/>
        <v>-</v>
      </c>
      <c r="R145" s="202" t="s">
        <v>131</v>
      </c>
      <c r="U145" s="204">
        <v>1.05</v>
      </c>
    </row>
    <row r="146" spans="2:21" s="203" customFormat="1" ht="53.25" customHeight="1" x14ac:dyDescent="0.2">
      <c r="B146" s="187">
        <v>8</v>
      </c>
      <c r="C146" s="187">
        <v>1</v>
      </c>
      <c r="D146" s="187">
        <f t="shared" si="8"/>
        <v>1</v>
      </c>
      <c r="E146" s="187">
        <f t="shared" si="8"/>
        <v>1</v>
      </c>
      <c r="F146" s="187">
        <f t="shared" si="8"/>
        <v>1</v>
      </c>
      <c r="G146" s="187">
        <f t="shared" si="8"/>
        <v>1</v>
      </c>
      <c r="H146" s="187">
        <f t="shared" si="8"/>
        <v>1</v>
      </c>
      <c r="I146" s="187">
        <f t="shared" si="8"/>
        <v>1</v>
      </c>
      <c r="J146" s="187" t="s">
        <v>308</v>
      </c>
      <c r="K146" s="201" t="s">
        <v>300</v>
      </c>
      <c r="L146" s="383" t="s">
        <v>309</v>
      </c>
      <c r="M146" s="383"/>
      <c r="N146" s="383"/>
      <c r="O146" s="383"/>
      <c r="P146" s="383"/>
      <c r="Q146" s="202" t="str">
        <f t="shared" si="9"/>
        <v>-</v>
      </c>
      <c r="R146" s="202" t="s">
        <v>131</v>
      </c>
      <c r="U146" s="204">
        <v>1.25</v>
      </c>
    </row>
    <row r="147" spans="2:21" s="203" customFormat="1" ht="68.25" customHeight="1" x14ac:dyDescent="0.2">
      <c r="B147" s="187">
        <v>9</v>
      </c>
      <c r="C147" s="187">
        <v>1</v>
      </c>
      <c r="D147" s="187">
        <v>1</v>
      </c>
      <c r="E147" s="187">
        <v>1</v>
      </c>
      <c r="F147" s="187">
        <v>1</v>
      </c>
      <c r="G147" s="187">
        <f t="shared" si="8"/>
        <v>1</v>
      </c>
      <c r="H147" s="187">
        <v>1</v>
      </c>
      <c r="I147" s="187">
        <f t="shared" si="8"/>
        <v>1</v>
      </c>
      <c r="J147" s="187" t="s">
        <v>310</v>
      </c>
      <c r="K147" s="201" t="s">
        <v>300</v>
      </c>
      <c r="L147" s="383" t="s">
        <v>311</v>
      </c>
      <c r="M147" s="383"/>
      <c r="N147" s="383"/>
      <c r="O147" s="383"/>
      <c r="P147" s="383"/>
      <c r="Q147" s="202" t="str">
        <f t="shared" si="9"/>
        <v>-</v>
      </c>
      <c r="R147" s="202" t="s">
        <v>131</v>
      </c>
      <c r="U147" s="204">
        <v>1.1000000000000001</v>
      </c>
    </row>
    <row r="148" spans="2:21" s="203" customFormat="1" ht="89.25" customHeight="1" x14ac:dyDescent="0.2">
      <c r="B148" s="187">
        <v>10</v>
      </c>
      <c r="C148" s="187">
        <f t="shared" si="8"/>
        <v>1</v>
      </c>
      <c r="D148" s="187">
        <f t="shared" si="8"/>
        <v>1</v>
      </c>
      <c r="E148" s="187">
        <f t="shared" si="8"/>
        <v>1</v>
      </c>
      <c r="F148" s="187">
        <f t="shared" si="8"/>
        <v>1</v>
      </c>
      <c r="G148" s="187">
        <f t="shared" si="8"/>
        <v>1</v>
      </c>
      <c r="H148" s="187">
        <f t="shared" si="8"/>
        <v>1</v>
      </c>
      <c r="I148" s="187">
        <f t="shared" si="8"/>
        <v>1</v>
      </c>
      <c r="J148" s="187" t="s">
        <v>312</v>
      </c>
      <c r="K148" s="201" t="s">
        <v>300</v>
      </c>
      <c r="L148" s="383" t="s">
        <v>313</v>
      </c>
      <c r="M148" s="383"/>
      <c r="N148" s="383"/>
      <c r="O148" s="383"/>
      <c r="P148" s="383"/>
      <c r="Q148" s="202" t="str">
        <f t="shared" si="9"/>
        <v>-</v>
      </c>
      <c r="R148" s="202" t="s">
        <v>131</v>
      </c>
      <c r="U148" s="204">
        <v>1.3</v>
      </c>
    </row>
    <row r="149" spans="2:21" s="203" customFormat="1" ht="39.75" customHeight="1" x14ac:dyDescent="0.2">
      <c r="B149" s="187">
        <v>11</v>
      </c>
      <c r="C149" s="187">
        <f>IF($R149="Да",$Q149,1)</f>
        <v>1</v>
      </c>
      <c r="D149" s="187">
        <f>IF($R149="Да",$Q149,1)</f>
        <v>1</v>
      </c>
      <c r="E149" s="187">
        <f t="shared" si="8"/>
        <v>1</v>
      </c>
      <c r="F149" s="187">
        <f t="shared" si="8"/>
        <v>1</v>
      </c>
      <c r="G149" s="187">
        <f t="shared" si="8"/>
        <v>1</v>
      </c>
      <c r="H149" s="187">
        <f t="shared" si="8"/>
        <v>1</v>
      </c>
      <c r="I149" s="187">
        <f>IF($R149="Да",$Q149,1)</f>
        <v>1</v>
      </c>
      <c r="J149" s="187" t="s">
        <v>314</v>
      </c>
      <c r="K149" s="201" t="s">
        <v>300</v>
      </c>
      <c r="L149" s="383" t="s">
        <v>315</v>
      </c>
      <c r="M149" s="383"/>
      <c r="N149" s="383"/>
      <c r="O149" s="383"/>
      <c r="P149" s="383"/>
      <c r="Q149" s="202" t="str">
        <f t="shared" si="9"/>
        <v>-</v>
      </c>
      <c r="R149" s="202" t="s">
        <v>131</v>
      </c>
      <c r="U149" s="204">
        <v>1.05</v>
      </c>
    </row>
    <row r="150" spans="2:21" s="203" customFormat="1" ht="39.75" customHeight="1" x14ac:dyDescent="0.2">
      <c r="B150" s="187">
        <v>12</v>
      </c>
      <c r="C150" s="187">
        <f t="shared" si="8"/>
        <v>1</v>
      </c>
      <c r="D150" s="187">
        <v>1</v>
      </c>
      <c r="E150" s="187">
        <v>1</v>
      </c>
      <c r="F150" s="187">
        <v>1</v>
      </c>
      <c r="G150" s="187">
        <f t="shared" si="8"/>
        <v>1</v>
      </c>
      <c r="H150" s="187">
        <v>1</v>
      </c>
      <c r="I150" s="187">
        <v>1</v>
      </c>
      <c r="J150" s="187" t="s">
        <v>316</v>
      </c>
      <c r="K150" s="201" t="s">
        <v>300</v>
      </c>
      <c r="L150" s="383" t="s">
        <v>317</v>
      </c>
      <c r="M150" s="383"/>
      <c r="N150" s="383"/>
      <c r="O150" s="383"/>
      <c r="P150" s="383"/>
      <c r="Q150" s="202" t="str">
        <f t="shared" si="9"/>
        <v>-</v>
      </c>
      <c r="R150" s="202" t="s">
        <v>131</v>
      </c>
      <c r="U150" s="204">
        <v>1.1000000000000001</v>
      </c>
    </row>
    <row r="151" spans="2:21" s="203" customFormat="1" ht="72" customHeight="1" x14ac:dyDescent="0.2">
      <c r="B151" s="187">
        <v>13</v>
      </c>
      <c r="C151" s="187">
        <v>1</v>
      </c>
      <c r="D151" s="187">
        <v>1</v>
      </c>
      <c r="E151" s="187">
        <v>1</v>
      </c>
      <c r="F151" s="187">
        <v>1</v>
      </c>
      <c r="G151" s="187">
        <f t="shared" si="8"/>
        <v>1.2</v>
      </c>
      <c r="H151" s="187">
        <v>1</v>
      </c>
      <c r="I151" s="187">
        <v>1</v>
      </c>
      <c r="J151" s="187" t="s">
        <v>318</v>
      </c>
      <c r="K151" s="201" t="s">
        <v>300</v>
      </c>
      <c r="L151" s="383" t="s">
        <v>319</v>
      </c>
      <c r="M151" s="383"/>
      <c r="N151" s="383"/>
      <c r="O151" s="383"/>
      <c r="P151" s="383"/>
      <c r="Q151" s="202">
        <f t="shared" si="9"/>
        <v>1.2</v>
      </c>
      <c r="R151" s="202" t="s">
        <v>132</v>
      </c>
      <c r="U151" s="204">
        <v>1.2</v>
      </c>
    </row>
    <row r="152" spans="2:21" s="203" customFormat="1" ht="39.75" customHeight="1" x14ac:dyDescent="0.2">
      <c r="B152" s="187">
        <v>14</v>
      </c>
      <c r="C152" s="187">
        <v>1</v>
      </c>
      <c r="D152" s="187">
        <v>1</v>
      </c>
      <c r="E152" s="187">
        <v>1</v>
      </c>
      <c r="F152" s="187">
        <f>IF($R152="Да",$Q152,1)</f>
        <v>1</v>
      </c>
      <c r="G152" s="187">
        <f t="shared" si="8"/>
        <v>1</v>
      </c>
      <c r="H152" s="187">
        <v>1</v>
      </c>
      <c r="I152" s="187">
        <f>IF($R152="Да",$Q152,1)</f>
        <v>1</v>
      </c>
      <c r="J152" s="187" t="s">
        <v>320</v>
      </c>
      <c r="K152" s="201" t="s">
        <v>300</v>
      </c>
      <c r="L152" s="383" t="s">
        <v>321</v>
      </c>
      <c r="M152" s="383"/>
      <c r="N152" s="383"/>
      <c r="O152" s="383"/>
      <c r="P152" s="383"/>
      <c r="Q152" s="202" t="str">
        <f t="shared" si="9"/>
        <v>-</v>
      </c>
      <c r="R152" s="202" t="s">
        <v>131</v>
      </c>
      <c r="U152" s="204">
        <v>1.2</v>
      </c>
    </row>
    <row r="153" spans="2:21" s="203" customFormat="1" ht="24.75" customHeight="1" x14ac:dyDescent="0.2">
      <c r="B153" s="187">
        <v>15</v>
      </c>
      <c r="C153" s="187">
        <f>PRODUCT(C139,C141,C140)</f>
        <v>0.6</v>
      </c>
      <c r="D153" s="187">
        <f>PRODUCT(D139,D141,D140)</f>
        <v>0.6</v>
      </c>
      <c r="E153" s="187">
        <f t="shared" ref="E153:H153" si="10">PRODUCT(E139,E141,E140)</f>
        <v>0.6</v>
      </c>
      <c r="F153" s="187">
        <f t="shared" si="10"/>
        <v>0.6</v>
      </c>
      <c r="G153" s="187">
        <f t="shared" si="10"/>
        <v>0.6</v>
      </c>
      <c r="H153" s="187">
        <f t="shared" si="10"/>
        <v>0.6</v>
      </c>
      <c r="I153" s="187">
        <f>PRODUCT(I139,I141,I140)</f>
        <v>0.6</v>
      </c>
      <c r="J153" s="205"/>
      <c r="K153" s="369" t="s">
        <v>322</v>
      </c>
      <c r="L153" s="370"/>
      <c r="M153" s="370"/>
      <c r="N153" s="370"/>
      <c r="O153" s="370"/>
      <c r="P153" s="370"/>
      <c r="Q153" s="370"/>
      <c r="R153" s="371"/>
    </row>
    <row r="154" spans="2:21" s="203" customFormat="1" ht="24.75" customHeight="1" x14ac:dyDescent="0.2">
      <c r="B154" s="187">
        <v>16</v>
      </c>
      <c r="C154" s="187">
        <f>SUM(C142:C152)-10</f>
        <v>1</v>
      </c>
      <c r="D154" s="187">
        <f>SUM(D142:D152)-10</f>
        <v>1</v>
      </c>
      <c r="E154" s="187">
        <f>SUM(E142:E152)-10</f>
        <v>1</v>
      </c>
      <c r="F154" s="187">
        <f t="shared" ref="F154:I154" si="11">SUM(F142:F152)-10</f>
        <v>1</v>
      </c>
      <c r="G154" s="187">
        <f t="shared" si="11"/>
        <v>1.1999999999999993</v>
      </c>
      <c r="H154" s="187">
        <f t="shared" si="11"/>
        <v>1</v>
      </c>
      <c r="I154" s="187">
        <f t="shared" si="11"/>
        <v>1</v>
      </c>
      <c r="J154" s="205"/>
      <c r="K154" s="369" t="s">
        <v>323</v>
      </c>
      <c r="L154" s="370"/>
      <c r="M154" s="370"/>
      <c r="N154" s="370"/>
      <c r="O154" s="370"/>
      <c r="P154" s="370"/>
      <c r="Q154" s="370"/>
      <c r="R154" s="371"/>
    </row>
    <row r="155" spans="2:21" s="203" customFormat="1" ht="24.75" customHeight="1" x14ac:dyDescent="0.2">
      <c r="B155" s="187">
        <v>17</v>
      </c>
      <c r="C155" s="187">
        <f>C153*C154</f>
        <v>0.6</v>
      </c>
      <c r="D155" s="187">
        <f>D153*D154</f>
        <v>0.6</v>
      </c>
      <c r="E155" s="187">
        <f>E153*E154</f>
        <v>0.6</v>
      </c>
      <c r="F155" s="187">
        <f t="shared" ref="F155:I155" si="12">F153*F154</f>
        <v>0.6</v>
      </c>
      <c r="G155" s="187">
        <f t="shared" si="12"/>
        <v>0.71999999999999953</v>
      </c>
      <c r="H155" s="187">
        <f t="shared" si="12"/>
        <v>0.6</v>
      </c>
      <c r="I155" s="187">
        <f t="shared" si="12"/>
        <v>0.6</v>
      </c>
      <c r="J155" s="205" t="s">
        <v>324</v>
      </c>
      <c r="K155" s="369" t="s">
        <v>325</v>
      </c>
      <c r="L155" s="370"/>
      <c r="M155" s="370"/>
      <c r="N155" s="370"/>
      <c r="O155" s="370"/>
      <c r="P155" s="370"/>
      <c r="Q155" s="370"/>
      <c r="R155" s="371"/>
    </row>
    <row r="156" spans="2:21" s="203" customFormat="1" ht="24.75" customHeight="1" x14ac:dyDescent="0.2">
      <c r="B156" s="187">
        <v>18</v>
      </c>
      <c r="C156" s="187">
        <v>1.08</v>
      </c>
      <c r="D156" s="187">
        <v>1.08</v>
      </c>
      <c r="E156" s="187">
        <v>1.08</v>
      </c>
      <c r="F156" s="187">
        <v>1.08</v>
      </c>
      <c r="G156" s="187">
        <v>1.08</v>
      </c>
      <c r="H156" s="187">
        <v>1.08</v>
      </c>
      <c r="I156" s="187">
        <v>1.08</v>
      </c>
      <c r="J156" s="205" t="s">
        <v>326</v>
      </c>
      <c r="K156" s="369" t="s">
        <v>327</v>
      </c>
      <c r="L156" s="370"/>
      <c r="M156" s="370"/>
      <c r="N156" s="370"/>
      <c r="O156" s="370"/>
      <c r="P156" s="370"/>
      <c r="Q156" s="370"/>
      <c r="R156" s="371"/>
    </row>
    <row r="157" spans="2:21" s="203" customFormat="1" ht="24.75" customHeight="1" x14ac:dyDescent="0.2">
      <c r="B157" s="187">
        <v>19</v>
      </c>
      <c r="C157" s="187">
        <v>7.22</v>
      </c>
      <c r="D157" s="187">
        <v>7.22</v>
      </c>
      <c r="E157" s="187">
        <v>7.22</v>
      </c>
      <c r="F157" s="187">
        <v>7.22</v>
      </c>
      <c r="G157" s="187">
        <v>7.22</v>
      </c>
      <c r="H157" s="187">
        <v>7.22</v>
      </c>
      <c r="I157" s="187">
        <v>7.22</v>
      </c>
      <c r="J157" s="205" t="s">
        <v>328</v>
      </c>
      <c r="K157" s="369" t="s">
        <v>329</v>
      </c>
      <c r="L157" s="370"/>
      <c r="M157" s="370"/>
      <c r="N157" s="370"/>
      <c r="O157" s="370"/>
      <c r="P157" s="370"/>
      <c r="Q157" s="370"/>
      <c r="R157" s="371"/>
    </row>
    <row r="158" spans="2:21" s="203" customFormat="1" ht="24.75" customHeight="1" x14ac:dyDescent="0.2">
      <c r="B158" s="187">
        <v>20</v>
      </c>
      <c r="C158" s="187">
        <v>1</v>
      </c>
      <c r="D158" s="187">
        <v>1</v>
      </c>
      <c r="E158" s="187">
        <f>D158</f>
        <v>1</v>
      </c>
      <c r="F158" s="187">
        <f t="shared" ref="F158:I158" si="13">E158</f>
        <v>1</v>
      </c>
      <c r="G158" s="187">
        <f t="shared" si="13"/>
        <v>1</v>
      </c>
      <c r="H158" s="187">
        <f t="shared" si="13"/>
        <v>1</v>
      </c>
      <c r="I158" s="187">
        <f t="shared" si="13"/>
        <v>1</v>
      </c>
      <c r="J158" s="205"/>
      <c r="K158" s="369" t="s">
        <v>350</v>
      </c>
      <c r="L158" s="370"/>
      <c r="M158" s="370"/>
      <c r="N158" s="370"/>
      <c r="O158" s="370"/>
      <c r="P158" s="370"/>
      <c r="Q158" s="370"/>
      <c r="R158" s="371"/>
    </row>
    <row r="159" spans="2:21" s="203" customFormat="1" ht="34.5" hidden="1" customHeight="1" x14ac:dyDescent="0.2">
      <c r="B159" s="187">
        <v>21</v>
      </c>
      <c r="C159" s="187">
        <v>1</v>
      </c>
      <c r="D159" s="187">
        <v>0.7</v>
      </c>
      <c r="E159" s="187">
        <v>0.3</v>
      </c>
      <c r="F159" s="187">
        <v>0.4</v>
      </c>
      <c r="G159" s="187">
        <v>0.4</v>
      </c>
      <c r="H159" s="187">
        <v>0.8</v>
      </c>
      <c r="I159" s="187">
        <v>0.1</v>
      </c>
      <c r="J159" s="205" t="s">
        <v>331</v>
      </c>
      <c r="K159" s="369" t="s">
        <v>332</v>
      </c>
      <c r="L159" s="370"/>
      <c r="M159" s="370"/>
      <c r="N159" s="370"/>
      <c r="O159" s="370"/>
      <c r="P159" s="370"/>
      <c r="Q159" s="370"/>
      <c r="R159" s="371"/>
    </row>
    <row r="160" spans="2:21" s="203" customFormat="1" ht="34.5" customHeight="1" x14ac:dyDescent="0.2">
      <c r="B160" s="187">
        <v>21</v>
      </c>
      <c r="C160" s="187">
        <v>1</v>
      </c>
      <c r="D160" s="187">
        <v>0.3</v>
      </c>
      <c r="E160" s="187">
        <v>0.7</v>
      </c>
      <c r="F160" s="187">
        <v>0.6</v>
      </c>
      <c r="G160" s="187">
        <v>0.6</v>
      </c>
      <c r="H160" s="187">
        <v>0.2</v>
      </c>
      <c r="I160" s="187">
        <v>0.9</v>
      </c>
      <c r="J160" s="205" t="s">
        <v>333</v>
      </c>
      <c r="K160" s="369" t="s">
        <v>334</v>
      </c>
      <c r="L160" s="370"/>
      <c r="M160" s="370"/>
      <c r="N160" s="370"/>
      <c r="O160" s="370"/>
      <c r="P160" s="370"/>
      <c r="Q160" s="370"/>
      <c r="R160" s="371"/>
    </row>
    <row r="161" spans="2:25" ht="27" customHeight="1" x14ac:dyDescent="0.25">
      <c r="B161" s="363" t="s">
        <v>335</v>
      </c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4"/>
      <c r="P161" s="364"/>
      <c r="Q161" s="364"/>
      <c r="R161" s="373"/>
    </row>
    <row r="162" spans="2:25" ht="22.5" customHeight="1" x14ac:dyDescent="0.25">
      <c r="B162" s="374" t="s">
        <v>336</v>
      </c>
      <c r="C162" s="376" t="s">
        <v>337</v>
      </c>
      <c r="D162" s="377"/>
      <c r="E162" s="377"/>
      <c r="F162" s="377"/>
      <c r="G162" s="377"/>
      <c r="H162" s="377"/>
      <c r="I162" s="391"/>
      <c r="J162" s="390" t="s">
        <v>338</v>
      </c>
      <c r="K162" s="390"/>
      <c r="L162" s="390"/>
      <c r="M162" s="390"/>
      <c r="N162" s="390"/>
      <c r="O162" s="390"/>
      <c r="P162" s="390"/>
      <c r="Q162" s="390"/>
      <c r="R162" s="390"/>
    </row>
    <row r="163" spans="2:25" ht="22.5" customHeight="1" x14ac:dyDescent="0.25">
      <c r="B163" s="390"/>
      <c r="C163" s="206" t="s">
        <v>147</v>
      </c>
      <c r="D163" s="206" t="s">
        <v>134</v>
      </c>
      <c r="E163" s="206" t="s">
        <v>135</v>
      </c>
      <c r="F163" s="206" t="s">
        <v>136</v>
      </c>
      <c r="G163" s="206" t="s">
        <v>137</v>
      </c>
      <c r="H163" s="206" t="s">
        <v>138</v>
      </c>
      <c r="I163" s="206" t="s">
        <v>139</v>
      </c>
      <c r="J163" s="390"/>
      <c r="K163" s="390"/>
      <c r="L163" s="390"/>
      <c r="M163" s="390"/>
      <c r="N163" s="390"/>
      <c r="O163" s="390"/>
      <c r="P163" s="390"/>
      <c r="Q163" s="390"/>
      <c r="R163" s="390"/>
    </row>
    <row r="164" spans="2:25" ht="25.5" customHeight="1" x14ac:dyDescent="0.25">
      <c r="B164" s="187">
        <v>1</v>
      </c>
      <c r="C164" s="187">
        <f>M67</f>
        <v>0</v>
      </c>
      <c r="D164" s="187">
        <f t="shared" ref="D164:I164" ca="1" si="14">M135</f>
        <v>36</v>
      </c>
      <c r="E164" s="187">
        <f t="shared" si="14"/>
        <v>0</v>
      </c>
      <c r="F164" s="187">
        <f t="shared" si="14"/>
        <v>0</v>
      </c>
      <c r="G164" s="187">
        <f t="shared" ca="1" si="14"/>
        <v>43</v>
      </c>
      <c r="H164" s="187">
        <f t="shared" si="14"/>
        <v>0</v>
      </c>
      <c r="I164" s="187">
        <f t="shared" si="14"/>
        <v>0</v>
      </c>
      <c r="J164" s="369" t="s">
        <v>339</v>
      </c>
      <c r="K164" s="370"/>
      <c r="L164" s="370"/>
      <c r="M164" s="370"/>
      <c r="N164" s="370"/>
      <c r="O164" s="370"/>
      <c r="P164" s="370"/>
      <c r="Q164" s="370"/>
      <c r="R164" s="371"/>
    </row>
    <row r="165" spans="2:25" ht="25.5" customHeight="1" x14ac:dyDescent="0.25">
      <c r="B165" s="187">
        <v>2</v>
      </c>
      <c r="C165" s="187">
        <v>21.28</v>
      </c>
      <c r="D165" s="207">
        <v>15.73</v>
      </c>
      <c r="E165" s="207">
        <v>9.56</v>
      </c>
      <c r="F165" s="207">
        <v>14.11</v>
      </c>
      <c r="G165" s="207">
        <v>33.770000000000003</v>
      </c>
      <c r="H165" s="207">
        <v>37.93</v>
      </c>
      <c r="I165" s="207">
        <v>46.26</v>
      </c>
      <c r="J165" s="369" t="s">
        <v>340</v>
      </c>
      <c r="K165" s="370"/>
      <c r="L165" s="370"/>
      <c r="M165" s="370"/>
      <c r="N165" s="370"/>
      <c r="O165" s="370"/>
      <c r="P165" s="370"/>
      <c r="Q165" s="370"/>
      <c r="R165" s="371"/>
    </row>
    <row r="166" spans="2:25" ht="25.5" customHeight="1" x14ac:dyDescent="0.25">
      <c r="B166" s="187">
        <v>3</v>
      </c>
      <c r="C166" s="207">
        <v>1</v>
      </c>
      <c r="D166" s="207">
        <v>1</v>
      </c>
      <c r="E166" s="207">
        <v>1</v>
      </c>
      <c r="F166" s="207">
        <v>1</v>
      </c>
      <c r="G166" s="207">
        <v>1</v>
      </c>
      <c r="H166" s="207">
        <v>1</v>
      </c>
      <c r="I166" s="207">
        <v>1</v>
      </c>
      <c r="J166" s="208" t="s">
        <v>341</v>
      </c>
      <c r="K166" s="200"/>
      <c r="L166" s="200"/>
      <c r="M166" s="200"/>
      <c r="N166" s="200"/>
      <c r="O166" s="200"/>
      <c r="P166" s="200"/>
      <c r="Q166" s="200"/>
      <c r="R166" s="209"/>
    </row>
    <row r="167" spans="2:25" ht="25.5" customHeight="1" x14ac:dyDescent="0.25">
      <c r="B167" s="187">
        <v>4</v>
      </c>
      <c r="C167" s="207">
        <f>C164*C165*C166</f>
        <v>0</v>
      </c>
      <c r="D167" s="207">
        <f ca="1">D164*D165*D166</f>
        <v>566.28</v>
      </c>
      <c r="E167" s="207">
        <f>E164*E165*E166</f>
        <v>0</v>
      </c>
      <c r="F167" s="207">
        <f t="shared" ref="F167:I167" si="15">F164*F165*F166</f>
        <v>0</v>
      </c>
      <c r="G167" s="207">
        <f t="shared" ca="1" si="15"/>
        <v>1452.1100000000001</v>
      </c>
      <c r="H167" s="207">
        <f t="shared" si="15"/>
        <v>0</v>
      </c>
      <c r="I167" s="207">
        <f t="shared" si="15"/>
        <v>0</v>
      </c>
      <c r="J167" s="369" t="s">
        <v>342</v>
      </c>
      <c r="K167" s="370"/>
      <c r="L167" s="370"/>
      <c r="M167" s="370"/>
      <c r="N167" s="370"/>
      <c r="O167" s="370"/>
      <c r="P167" s="370"/>
      <c r="Q167" s="370"/>
      <c r="R167" s="371"/>
    </row>
    <row r="168" spans="2:25" ht="25.5" customHeight="1" x14ac:dyDescent="0.25">
      <c r="B168" s="187">
        <v>5</v>
      </c>
      <c r="C168" s="207">
        <f t="shared" ref="C168:I168" si="16">C167*C155</f>
        <v>0</v>
      </c>
      <c r="D168" s="207">
        <f t="shared" ca="1" si="16"/>
        <v>339.76799999999997</v>
      </c>
      <c r="E168" s="207">
        <f t="shared" si="16"/>
        <v>0</v>
      </c>
      <c r="F168" s="207">
        <f t="shared" si="16"/>
        <v>0</v>
      </c>
      <c r="G168" s="207">
        <f t="shared" ca="1" si="16"/>
        <v>1045.5191999999995</v>
      </c>
      <c r="H168" s="207">
        <f t="shared" si="16"/>
        <v>0</v>
      </c>
      <c r="I168" s="207">
        <f t="shared" si="16"/>
        <v>0</v>
      </c>
      <c r="J168" s="369" t="s">
        <v>343</v>
      </c>
      <c r="K168" s="370"/>
      <c r="L168" s="370"/>
      <c r="M168" s="370"/>
      <c r="N168" s="370"/>
      <c r="O168" s="370"/>
      <c r="P168" s="370"/>
      <c r="Q168" s="370"/>
      <c r="R168" s="371"/>
    </row>
    <row r="169" spans="2:25" ht="25.5" customHeight="1" x14ac:dyDescent="0.25">
      <c r="B169" s="187">
        <v>6</v>
      </c>
      <c r="C169" s="207">
        <f t="shared" ref="C169:I169" si="17">C168*C156*C157*C158</f>
        <v>0</v>
      </c>
      <c r="D169" s="207">
        <f t="shared" ca="1" si="17"/>
        <v>2649.3749567999998</v>
      </c>
      <c r="E169" s="207">
        <f t="shared" si="17"/>
        <v>0</v>
      </c>
      <c r="F169" s="207">
        <f t="shared" si="17"/>
        <v>0</v>
      </c>
      <c r="G169" s="207">
        <f t="shared" ca="1" si="17"/>
        <v>8152.5405139199966</v>
      </c>
      <c r="H169" s="207">
        <f t="shared" si="17"/>
        <v>0</v>
      </c>
      <c r="I169" s="207">
        <f t="shared" si="17"/>
        <v>0</v>
      </c>
      <c r="J169" s="369" t="s">
        <v>344</v>
      </c>
      <c r="K169" s="370"/>
      <c r="L169" s="370"/>
      <c r="M169" s="370"/>
      <c r="N169" s="370"/>
      <c r="O169" s="370"/>
      <c r="P169" s="370"/>
      <c r="Q169" s="370"/>
      <c r="R169" s="371"/>
    </row>
    <row r="170" spans="2:25" ht="25.5" customHeight="1" x14ac:dyDescent="0.25">
      <c r="B170" s="187">
        <v>7</v>
      </c>
      <c r="C170" s="210"/>
      <c r="D170" s="210">
        <f t="shared" ref="D170:I170" ca="1" si="18">D169*D160</f>
        <v>794.81248703999995</v>
      </c>
      <c r="E170" s="210">
        <f t="shared" si="18"/>
        <v>0</v>
      </c>
      <c r="F170" s="210">
        <f t="shared" si="18"/>
        <v>0</v>
      </c>
      <c r="G170" s="210">
        <f t="shared" ca="1" si="18"/>
        <v>4891.5243083519981</v>
      </c>
      <c r="H170" s="210">
        <f t="shared" si="18"/>
        <v>0</v>
      </c>
      <c r="I170" s="210">
        <f t="shared" si="18"/>
        <v>0</v>
      </c>
      <c r="J170" s="369" t="s">
        <v>345</v>
      </c>
      <c r="K170" s="370"/>
      <c r="L170" s="370"/>
      <c r="M170" s="370"/>
      <c r="N170" s="370"/>
      <c r="O170" s="370"/>
      <c r="P170" s="370"/>
      <c r="Q170" s="370"/>
      <c r="R170" s="371"/>
    </row>
    <row r="171" spans="2:25" ht="36" customHeight="1" x14ac:dyDescent="0.25">
      <c r="B171" s="187">
        <v>8</v>
      </c>
      <c r="C171" s="187"/>
      <c r="D171" s="393">
        <f ca="1">SUM(D170:I170)*1000</f>
        <v>5686336.7953919983</v>
      </c>
      <c r="E171" s="393"/>
      <c r="F171" s="393"/>
      <c r="G171" s="393"/>
      <c r="H171" s="393"/>
      <c r="I171" s="393"/>
      <c r="J171" s="369" t="s">
        <v>346</v>
      </c>
      <c r="K171" s="370"/>
      <c r="L171" s="370"/>
      <c r="M171" s="370"/>
      <c r="N171" s="370"/>
      <c r="O171" s="370"/>
      <c r="P171" s="370"/>
      <c r="Q171" s="370"/>
      <c r="R171" s="371"/>
    </row>
    <row r="172" spans="2:25" ht="46.5" customHeight="1" x14ac:dyDescent="0.25">
      <c r="B172" s="187">
        <v>9</v>
      </c>
      <c r="C172" s="187"/>
      <c r="D172" s="394">
        <f ca="1">ROUND(D171*0.8,0)</f>
        <v>4549069</v>
      </c>
      <c r="E172" s="395"/>
      <c r="F172" s="395"/>
      <c r="G172" s="395"/>
      <c r="H172" s="395"/>
      <c r="I172" s="396"/>
      <c r="J172" s="369" t="s">
        <v>347</v>
      </c>
      <c r="K172" s="370"/>
      <c r="L172" s="370"/>
      <c r="M172" s="370"/>
      <c r="N172" s="370"/>
      <c r="O172" s="370"/>
      <c r="P172" s="370"/>
      <c r="Q172" s="370"/>
      <c r="R172" s="371"/>
    </row>
    <row r="173" spans="2:25" ht="17.25" customHeight="1" x14ac:dyDescent="0.25">
      <c r="B173" s="187">
        <v>10</v>
      </c>
      <c r="C173" s="187"/>
      <c r="D173" s="394">
        <f ca="1">ROUND(D171*0.7,0)</f>
        <v>3980436</v>
      </c>
      <c r="E173" s="395"/>
      <c r="F173" s="395"/>
      <c r="G173" s="395"/>
      <c r="H173" s="395"/>
      <c r="I173" s="396"/>
      <c r="J173" s="369" t="s">
        <v>348</v>
      </c>
      <c r="K173" s="370"/>
      <c r="L173" s="370"/>
      <c r="M173" s="370"/>
      <c r="N173" s="370"/>
      <c r="O173" s="370"/>
      <c r="P173" s="370"/>
      <c r="Q173" s="370"/>
      <c r="R173" s="371"/>
    </row>
    <row r="174" spans="2:25" ht="17.25" customHeight="1" x14ac:dyDescent="0.25">
      <c r="B174" s="187">
        <v>11</v>
      </c>
      <c r="C174" s="187"/>
      <c r="D174" s="392">
        <f ca="1">D173</f>
        <v>3980436</v>
      </c>
      <c r="E174" s="392"/>
      <c r="F174" s="392"/>
      <c r="G174" s="392"/>
      <c r="H174" s="392"/>
      <c r="I174" s="392"/>
      <c r="J174" s="369" t="s">
        <v>349</v>
      </c>
      <c r="K174" s="370"/>
      <c r="L174" s="370"/>
      <c r="M174" s="370"/>
      <c r="N174" s="370"/>
      <c r="O174" s="370"/>
      <c r="P174" s="370"/>
      <c r="Q174" s="370"/>
      <c r="R174" s="371"/>
      <c r="Y174" s="211">
        <f ca="1">D174</f>
        <v>3980436</v>
      </c>
    </row>
    <row r="175" spans="2:25" ht="14.25" x14ac:dyDescent="0.2">
      <c r="B175" s="212"/>
      <c r="C175" s="212"/>
      <c r="D175" s="45"/>
      <c r="E175" s="213"/>
      <c r="F175" s="213"/>
      <c r="G175" s="213"/>
      <c r="H175" s="213"/>
      <c r="I175" s="213"/>
      <c r="J175" s="214"/>
      <c r="K175" s="213"/>
      <c r="L175" s="215"/>
      <c r="M175" s="213"/>
      <c r="N175" s="213"/>
      <c r="O175" s="213"/>
      <c r="P175" s="213"/>
      <c r="Q175" s="213"/>
      <c r="R175" s="213"/>
    </row>
    <row r="176" spans="2:25" ht="14.25" x14ac:dyDescent="0.2">
      <c r="D176" s="45"/>
      <c r="J176" s="214"/>
      <c r="L176" s="216"/>
    </row>
  </sheetData>
  <mergeCells count="223"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19" zoomScale="70" zoomScaleNormal="100" zoomScaleSheetLayoutView="70" workbookViewId="0">
      <selection activeCell="C104" sqref="C104"/>
    </sheetView>
  </sheetViews>
  <sheetFormatPr defaultColWidth="9.140625" defaultRowHeight="12.75" outlineLevelRow="1" x14ac:dyDescent="0.25"/>
  <cols>
    <col min="1" max="1" width="4.5703125" style="8" hidden="1" customWidth="1"/>
    <col min="2" max="2" width="4.5703125" style="8" customWidth="1"/>
    <col min="3" max="3" width="11" style="8" hidden="1" customWidth="1"/>
    <col min="4" max="8" width="11" style="8" customWidth="1"/>
    <col min="9" max="9" width="15.5703125" style="8" customWidth="1"/>
    <col min="10" max="11" width="8.7109375" style="8" customWidth="1"/>
    <col min="12" max="12" width="15" style="8" customWidth="1"/>
    <col min="13" max="16" width="8.7109375" style="8" customWidth="1"/>
    <col min="17" max="17" width="11.7109375" style="8" customWidth="1"/>
    <col min="18" max="18" width="8.7109375" style="8" customWidth="1"/>
    <col min="19" max="19" width="0" style="8" hidden="1" customWidth="1"/>
    <col min="20" max="23" width="9.140625" style="8" hidden="1" customWidth="1"/>
    <col min="24" max="24" width="9.140625" style="8"/>
    <col min="25" max="25" width="14.28515625" style="8" bestFit="1" customWidth="1"/>
    <col min="26" max="16384" width="9.140625" style="8"/>
  </cols>
  <sheetData>
    <row r="1" spans="2:20" hidden="1" x14ac:dyDescent="0.25">
      <c r="B1" s="7">
        <v>5</v>
      </c>
      <c r="C1" s="7"/>
    </row>
    <row r="2" spans="2:20" ht="17.25" hidden="1" customHeight="1" x14ac:dyDescent="0.25">
      <c r="O2" s="397"/>
      <c r="P2" s="397"/>
      <c r="Q2" s="397"/>
      <c r="R2" s="397"/>
      <c r="S2" s="9"/>
      <c r="T2" s="9"/>
    </row>
    <row r="3" spans="2:20" hidden="1" x14ac:dyDescent="0.25"/>
    <row r="4" spans="2:20" ht="15.75" customHeight="1" x14ac:dyDescent="0.25">
      <c r="B4" s="398" t="str">
        <f>СВОД!E27</f>
        <v>Смета №1.6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</row>
    <row r="5" spans="2:20" x14ac:dyDescent="0.25">
      <c r="B5" s="398" t="s">
        <v>351</v>
      </c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98"/>
      <c r="R5" s="398"/>
    </row>
    <row r="6" spans="2:20" ht="13.5" customHeight="1" x14ac:dyDescent="0.25">
      <c r="B6" s="8" t="s">
        <v>121</v>
      </c>
      <c r="G6" s="399" t="s">
        <v>352</v>
      </c>
      <c r="H6" s="400"/>
      <c r="I6" s="400"/>
      <c r="J6" s="400"/>
      <c r="K6" s="400"/>
      <c r="L6" s="400"/>
      <c r="M6" s="400"/>
      <c r="N6" s="400"/>
      <c r="O6" s="400"/>
      <c r="P6" s="400"/>
      <c r="Q6" s="400"/>
      <c r="R6" s="400"/>
    </row>
    <row r="7" spans="2:20" x14ac:dyDescent="0.25"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</row>
    <row r="8" spans="2:20" x14ac:dyDescent="0.25">
      <c r="B8" s="8" t="s">
        <v>123</v>
      </c>
      <c r="G8" s="8" t="s">
        <v>15</v>
      </c>
    </row>
    <row r="9" spans="2:20" ht="3.75" customHeight="1" x14ac:dyDescent="0.25"/>
    <row r="10" spans="2:20" hidden="1" x14ac:dyDescent="0.25">
      <c r="B10" s="8" t="s">
        <v>124</v>
      </c>
      <c r="G10" s="10"/>
    </row>
    <row r="11" spans="2:20" x14ac:dyDescent="0.25">
      <c r="B11" s="8" t="s">
        <v>125</v>
      </c>
      <c r="G11" s="50" t="str">
        <f>СВОД!D14</f>
        <v>ОАО «СИБНЕФТЕТРАНСПРОЕКТ»</v>
      </c>
    </row>
    <row r="13" spans="2:20" x14ac:dyDescent="0.25">
      <c r="B13" s="401" t="s">
        <v>126</v>
      </c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</row>
    <row r="15" spans="2:20" ht="25.5" customHeight="1" x14ac:dyDescent="0.25">
      <c r="B15" s="402" t="s">
        <v>127</v>
      </c>
      <c r="C15" s="403"/>
      <c r="D15" s="403"/>
      <c r="E15" s="403"/>
      <c r="F15" s="403"/>
      <c r="G15" s="403"/>
      <c r="H15" s="403"/>
      <c r="I15" s="404"/>
      <c r="J15" s="404"/>
      <c r="K15" s="404"/>
      <c r="L15" s="404"/>
      <c r="M15" s="404"/>
      <c r="N15" s="404"/>
      <c r="O15" s="404"/>
      <c r="P15" s="404"/>
      <c r="Q15" s="404"/>
      <c r="R15" s="405"/>
    </row>
    <row r="16" spans="2:20" hidden="1" x14ac:dyDescent="0.25">
      <c r="B16" s="11" t="s">
        <v>128</v>
      </c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5"/>
    </row>
    <row r="17" spans="2:18" hidden="1" x14ac:dyDescent="0.25">
      <c r="B17" s="16" t="s">
        <v>128</v>
      </c>
      <c r="C17" s="13"/>
      <c r="D17" s="13"/>
      <c r="E17" s="13"/>
      <c r="F17" s="13"/>
      <c r="G17" s="13"/>
      <c r="H17" s="13"/>
      <c r="I17" s="17"/>
      <c r="J17" s="17"/>
      <c r="K17" s="17"/>
      <c r="L17" s="17"/>
      <c r="M17" s="17"/>
      <c r="N17" s="17"/>
      <c r="O17" s="17"/>
      <c r="P17" s="17"/>
      <c r="Q17" s="17"/>
      <c r="R17" s="18"/>
    </row>
    <row r="18" spans="2:18" hidden="1" x14ac:dyDescent="0.25">
      <c r="B18" s="16" t="s">
        <v>129</v>
      </c>
      <c r="C18" s="13"/>
      <c r="D18" s="13"/>
      <c r="E18" s="13"/>
      <c r="F18" s="13"/>
      <c r="G18" s="13"/>
      <c r="H18" s="13"/>
      <c r="I18" s="17"/>
      <c r="J18" s="17"/>
      <c r="K18" s="17"/>
      <c r="L18" s="17"/>
      <c r="M18" s="17"/>
      <c r="N18" s="17"/>
      <c r="O18" s="17"/>
      <c r="P18" s="17"/>
      <c r="Q18" s="17"/>
      <c r="R18" s="18"/>
    </row>
    <row r="19" spans="2:18" x14ac:dyDescent="0.25">
      <c r="B19" s="16" t="s">
        <v>130</v>
      </c>
      <c r="C19" s="13"/>
      <c r="D19" s="13"/>
      <c r="E19" s="13"/>
      <c r="F19" s="13"/>
      <c r="G19" s="13"/>
      <c r="H19" s="19" t="s">
        <v>131</v>
      </c>
      <c r="I19" s="17"/>
      <c r="J19" s="17"/>
      <c r="K19" s="17"/>
      <c r="L19" s="17"/>
      <c r="M19" s="17"/>
      <c r="N19" s="17"/>
      <c r="O19" s="17"/>
      <c r="P19" s="17"/>
      <c r="Q19" s="17"/>
      <c r="R19" s="18"/>
    </row>
    <row r="20" spans="2:18" hidden="1" x14ac:dyDescent="0.25">
      <c r="B20" s="16"/>
      <c r="C20" s="13"/>
      <c r="D20" s="13"/>
      <c r="E20" s="13"/>
      <c r="F20" s="13"/>
      <c r="G20" s="13"/>
      <c r="H20" s="13" t="s">
        <v>132</v>
      </c>
      <c r="I20" s="17"/>
      <c r="J20" s="17"/>
      <c r="K20" s="17"/>
      <c r="L20" s="17"/>
      <c r="M20" s="17"/>
      <c r="N20" s="17"/>
      <c r="O20" s="17"/>
      <c r="P20" s="17"/>
      <c r="Q20" s="17"/>
      <c r="R20" s="18"/>
    </row>
    <row r="21" spans="2:18" hidden="1" x14ac:dyDescent="0.25">
      <c r="B21" s="16"/>
      <c r="C21" s="13"/>
      <c r="D21" s="13"/>
      <c r="E21" s="13"/>
      <c r="F21" s="13"/>
      <c r="G21" s="13"/>
      <c r="H21" s="13" t="s">
        <v>131</v>
      </c>
      <c r="I21" s="17"/>
      <c r="J21" s="17"/>
      <c r="K21" s="17"/>
      <c r="L21" s="17"/>
      <c r="M21" s="17"/>
      <c r="N21" s="17"/>
      <c r="O21" s="17"/>
      <c r="P21" s="17"/>
      <c r="Q21" s="17"/>
      <c r="R21" s="18"/>
    </row>
    <row r="22" spans="2:18" x14ac:dyDescent="0.25">
      <c r="B22" s="16" t="s">
        <v>133</v>
      </c>
      <c r="C22" s="13"/>
      <c r="D22" s="13"/>
      <c r="E22" s="13"/>
      <c r="F22" s="13"/>
      <c r="G22" s="13"/>
      <c r="H22" s="13"/>
      <c r="I22" s="17"/>
      <c r="J22" s="17"/>
      <c r="K22" s="17"/>
      <c r="L22" s="17"/>
      <c r="M22" s="17"/>
      <c r="N22" s="17"/>
      <c r="O22" s="17"/>
      <c r="P22" s="17"/>
      <c r="Q22" s="17"/>
      <c r="R22" s="18"/>
    </row>
    <row r="23" spans="2:18" x14ac:dyDescent="0.25">
      <c r="B23" s="16"/>
      <c r="D23" s="20" t="s">
        <v>134</v>
      </c>
      <c r="E23" s="20" t="s">
        <v>135</v>
      </c>
      <c r="F23" s="20" t="s">
        <v>136</v>
      </c>
      <c r="G23" s="20" t="s">
        <v>137</v>
      </c>
      <c r="H23" s="20" t="s">
        <v>138</v>
      </c>
      <c r="I23" s="20" t="s">
        <v>139</v>
      </c>
      <c r="J23" s="17"/>
      <c r="K23" s="17"/>
      <c r="L23" s="17"/>
      <c r="M23" s="17"/>
      <c r="N23" s="17"/>
      <c r="O23" s="17"/>
      <c r="P23" s="17"/>
      <c r="Q23" s="17"/>
      <c r="R23" s="18"/>
    </row>
    <row r="24" spans="2:18" x14ac:dyDescent="0.25">
      <c r="B24" s="16"/>
      <c r="D24" s="19" t="s">
        <v>132</v>
      </c>
      <c r="E24" s="19" t="s">
        <v>131</v>
      </c>
      <c r="F24" s="19" t="s">
        <v>131</v>
      </c>
      <c r="G24" s="19" t="s">
        <v>132</v>
      </c>
      <c r="H24" s="19" t="s">
        <v>131</v>
      </c>
      <c r="I24" s="19" t="s">
        <v>131</v>
      </c>
      <c r="J24" s="17"/>
      <c r="K24" s="17"/>
      <c r="L24" s="17"/>
      <c r="M24" s="17"/>
      <c r="N24" s="17"/>
      <c r="O24" s="17"/>
      <c r="P24" s="17"/>
      <c r="Q24" s="17"/>
      <c r="R24" s="18"/>
    </row>
    <row r="25" spans="2:18" hidden="1" x14ac:dyDescent="0.25">
      <c r="B25" s="16"/>
      <c r="C25" s="13"/>
      <c r="D25" s="21" t="s">
        <v>132</v>
      </c>
      <c r="E25" s="21" t="s">
        <v>132</v>
      </c>
      <c r="F25" s="21" t="s">
        <v>132</v>
      </c>
      <c r="G25" s="21" t="s">
        <v>132</v>
      </c>
      <c r="H25" s="21" t="s">
        <v>132</v>
      </c>
      <c r="I25" s="22" t="s">
        <v>132</v>
      </c>
      <c r="J25" s="23"/>
      <c r="K25" s="23"/>
      <c r="L25" s="23"/>
      <c r="M25" s="23"/>
      <c r="N25" s="23"/>
      <c r="O25" s="23"/>
      <c r="P25" s="23"/>
      <c r="Q25" s="23"/>
      <c r="R25" s="24"/>
    </row>
    <row r="26" spans="2:18" hidden="1" x14ac:dyDescent="0.25">
      <c r="B26" s="16"/>
      <c r="C26" s="13"/>
      <c r="D26" s="21" t="s">
        <v>131</v>
      </c>
      <c r="E26" s="21" t="s">
        <v>131</v>
      </c>
      <c r="F26" s="21" t="s">
        <v>131</v>
      </c>
      <c r="G26" s="21" t="s">
        <v>131</v>
      </c>
      <c r="H26" s="21" t="s">
        <v>131</v>
      </c>
      <c r="I26" s="21" t="s">
        <v>131</v>
      </c>
      <c r="J26" s="13"/>
      <c r="K26" s="13"/>
      <c r="L26" s="13"/>
      <c r="M26" s="13"/>
      <c r="N26" s="13"/>
      <c r="O26" s="13"/>
      <c r="P26" s="13"/>
      <c r="Q26" s="13"/>
      <c r="R26" s="25"/>
    </row>
    <row r="27" spans="2:18" ht="25.5" customHeight="1" x14ac:dyDescent="0.25">
      <c r="B27" s="402" t="s">
        <v>140</v>
      </c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12"/>
    </row>
    <row r="28" spans="2:18" hidden="1" x14ac:dyDescent="0.25">
      <c r="B28" s="16" t="s">
        <v>141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4"/>
      <c r="Q28" s="14"/>
      <c r="R28" s="15"/>
    </row>
    <row r="29" spans="2:18" hidden="1" x14ac:dyDescent="0.25">
      <c r="B29" s="413" t="s">
        <v>142</v>
      </c>
      <c r="C29" s="413"/>
      <c r="D29" s="413"/>
      <c r="E29" s="413"/>
      <c r="F29" s="413"/>
      <c r="G29" s="413"/>
      <c r="H29" s="413"/>
      <c r="I29" s="413"/>
      <c r="J29" s="414"/>
      <c r="K29" s="414"/>
      <c r="L29" s="414"/>
      <c r="M29" s="415" t="s">
        <v>143</v>
      </c>
      <c r="N29" s="416"/>
      <c r="O29" s="26"/>
      <c r="P29" s="17"/>
      <c r="Q29" s="17"/>
      <c r="R29" s="18"/>
    </row>
    <row r="30" spans="2:18" ht="25.5" hidden="1" x14ac:dyDescent="0.25">
      <c r="B30" s="20" t="s">
        <v>42</v>
      </c>
      <c r="C30" s="417" t="s">
        <v>144</v>
      </c>
      <c r="D30" s="418"/>
      <c r="E30" s="417" t="s">
        <v>145</v>
      </c>
      <c r="F30" s="419"/>
      <c r="G30" s="418"/>
      <c r="H30" s="417" t="s">
        <v>146</v>
      </c>
      <c r="I30" s="419"/>
      <c r="J30" s="419"/>
      <c r="K30" s="419"/>
      <c r="L30" s="418"/>
      <c r="M30" s="417" t="s">
        <v>147</v>
      </c>
      <c r="N30" s="419"/>
      <c r="O30" s="26"/>
      <c r="P30" s="17"/>
      <c r="Q30" s="17"/>
      <c r="R30" s="18"/>
    </row>
    <row r="31" spans="2:18" ht="24" hidden="1" customHeight="1" x14ac:dyDescent="0.25">
      <c r="B31" s="19">
        <v>1</v>
      </c>
      <c r="C31" s="406" t="s">
        <v>148</v>
      </c>
      <c r="D31" s="407"/>
      <c r="E31" s="408" t="s">
        <v>149</v>
      </c>
      <c r="F31" s="409"/>
      <c r="G31" s="410"/>
      <c r="H31" s="408" t="s">
        <v>150</v>
      </c>
      <c r="I31" s="409"/>
      <c r="J31" s="409"/>
      <c r="K31" s="409"/>
      <c r="L31" s="410"/>
      <c r="M31" s="406">
        <f>IF(H19="Да",SUMIF($H32:$L35,$H31,M32:N35),0)</f>
        <v>0</v>
      </c>
      <c r="N31" s="411"/>
      <c r="O31" s="26"/>
      <c r="P31" s="17"/>
      <c r="Q31" s="17"/>
      <c r="R31" s="18"/>
    </row>
    <row r="32" spans="2:18" ht="29.25" hidden="1" customHeight="1" x14ac:dyDescent="0.25">
      <c r="B32" s="27" t="s">
        <v>24</v>
      </c>
      <c r="C32" s="28"/>
      <c r="D32" s="13"/>
      <c r="E32" s="13"/>
      <c r="F32" s="13"/>
      <c r="G32" s="13"/>
      <c r="H32" s="408" t="s">
        <v>150</v>
      </c>
      <c r="I32" s="409"/>
      <c r="J32" s="409"/>
      <c r="K32" s="409"/>
      <c r="L32" s="410"/>
      <c r="M32" s="406">
        <v>1</v>
      </c>
      <c r="N32" s="411"/>
      <c r="O32" s="26"/>
      <c r="P32" s="17"/>
      <c r="Q32" s="17"/>
      <c r="R32" s="18"/>
    </row>
    <row r="33" spans="2:18" ht="28.5" hidden="1" customHeight="1" x14ac:dyDescent="0.25">
      <c r="B33" s="27" t="s">
        <v>151</v>
      </c>
      <c r="C33" s="28"/>
      <c r="D33" s="13"/>
      <c r="E33" s="13"/>
      <c r="F33" s="13"/>
      <c r="G33" s="13"/>
      <c r="H33" s="408" t="s">
        <v>152</v>
      </c>
      <c r="I33" s="409"/>
      <c r="J33" s="409"/>
      <c r="K33" s="409"/>
      <c r="L33" s="410"/>
      <c r="M33" s="406">
        <v>2</v>
      </c>
      <c r="N33" s="411"/>
      <c r="O33" s="26"/>
      <c r="P33" s="17"/>
      <c r="Q33" s="17"/>
      <c r="R33" s="18"/>
    </row>
    <row r="34" spans="2:18" ht="39" hidden="1" customHeight="1" x14ac:dyDescent="0.25">
      <c r="B34" s="27" t="s">
        <v>153</v>
      </c>
      <c r="C34" s="28"/>
      <c r="D34" s="13"/>
      <c r="E34" s="13"/>
      <c r="F34" s="13"/>
      <c r="G34" s="13"/>
      <c r="H34" s="408" t="s">
        <v>154</v>
      </c>
      <c r="I34" s="409"/>
      <c r="J34" s="409"/>
      <c r="K34" s="409"/>
      <c r="L34" s="410"/>
      <c r="M34" s="406">
        <v>4</v>
      </c>
      <c r="N34" s="411"/>
      <c r="O34" s="26"/>
      <c r="P34" s="17"/>
      <c r="Q34" s="17"/>
      <c r="R34" s="18"/>
    </row>
    <row r="35" spans="2:18" ht="25.5" hidden="1" customHeight="1" x14ac:dyDescent="0.25">
      <c r="B35" s="27" t="s">
        <v>155</v>
      </c>
      <c r="C35" s="28"/>
      <c r="D35" s="13"/>
      <c r="E35" s="13"/>
      <c r="F35" s="13"/>
      <c r="G35" s="13"/>
      <c r="H35" s="408" t="s">
        <v>156</v>
      </c>
      <c r="I35" s="409"/>
      <c r="J35" s="409"/>
      <c r="K35" s="409"/>
      <c r="L35" s="410"/>
      <c r="M35" s="406">
        <v>8</v>
      </c>
      <c r="N35" s="411"/>
      <c r="O35" s="26"/>
      <c r="P35" s="17"/>
      <c r="Q35" s="17"/>
      <c r="R35" s="18"/>
    </row>
    <row r="36" spans="2:18" ht="25.5" hidden="1" customHeight="1" x14ac:dyDescent="0.25">
      <c r="B36" s="19">
        <v>2</v>
      </c>
      <c r="C36" s="406" t="s">
        <v>157</v>
      </c>
      <c r="D36" s="407"/>
      <c r="E36" s="408" t="s">
        <v>158</v>
      </c>
      <c r="F36" s="409"/>
      <c r="G36" s="410"/>
      <c r="H36" s="408" t="s">
        <v>159</v>
      </c>
      <c r="I36" s="409"/>
      <c r="J36" s="409"/>
      <c r="K36" s="409"/>
      <c r="L36" s="410"/>
      <c r="M36" s="406">
        <f>IF(H19="Да",SUMIF($H37:$L42,$H36,M37:N42),0)</f>
        <v>0</v>
      </c>
      <c r="N36" s="411"/>
      <c r="O36" s="26"/>
      <c r="P36" s="17"/>
      <c r="Q36" s="17"/>
      <c r="R36" s="18"/>
    </row>
    <row r="37" spans="2:18" ht="38.25" hidden="1" customHeight="1" x14ac:dyDescent="0.25">
      <c r="B37" s="27" t="s">
        <v>25</v>
      </c>
      <c r="C37" s="28"/>
      <c r="D37" s="13"/>
      <c r="E37" s="13"/>
      <c r="F37" s="13"/>
      <c r="G37" s="13"/>
      <c r="H37" s="408" t="s">
        <v>159</v>
      </c>
      <c r="I37" s="409"/>
      <c r="J37" s="409"/>
      <c r="K37" s="409"/>
      <c r="L37" s="410"/>
      <c r="M37" s="406">
        <v>1</v>
      </c>
      <c r="N37" s="411"/>
      <c r="O37" s="26"/>
      <c r="P37" s="17"/>
      <c r="Q37" s="17"/>
      <c r="R37" s="18"/>
    </row>
    <row r="38" spans="2:18" ht="50.25" hidden="1" customHeight="1" x14ac:dyDescent="0.25">
      <c r="B38" s="27" t="s">
        <v>160</v>
      </c>
      <c r="C38" s="28"/>
      <c r="D38" s="13"/>
      <c r="E38" s="13"/>
      <c r="F38" s="13"/>
      <c r="G38" s="13"/>
      <c r="H38" s="408" t="s">
        <v>161</v>
      </c>
      <c r="I38" s="409"/>
      <c r="J38" s="409"/>
      <c r="K38" s="409"/>
      <c r="L38" s="410"/>
      <c r="M38" s="406">
        <v>2</v>
      </c>
      <c r="N38" s="411"/>
      <c r="O38" s="26"/>
      <c r="P38" s="17"/>
      <c r="Q38" s="17"/>
      <c r="R38" s="18"/>
    </row>
    <row r="39" spans="2:18" ht="27.75" hidden="1" customHeight="1" x14ac:dyDescent="0.25">
      <c r="B39" s="27" t="s">
        <v>162</v>
      </c>
      <c r="C39" s="28"/>
      <c r="D39" s="13"/>
      <c r="E39" s="13"/>
      <c r="F39" s="13"/>
      <c r="G39" s="13"/>
      <c r="H39" s="408" t="s">
        <v>163</v>
      </c>
      <c r="I39" s="409"/>
      <c r="J39" s="409"/>
      <c r="K39" s="409"/>
      <c r="L39" s="410"/>
      <c r="M39" s="406">
        <v>4</v>
      </c>
      <c r="N39" s="411"/>
      <c r="O39" s="26"/>
      <c r="P39" s="17"/>
      <c r="Q39" s="17"/>
      <c r="R39" s="18"/>
    </row>
    <row r="40" spans="2:18" ht="39" hidden="1" customHeight="1" x14ac:dyDescent="0.25">
      <c r="B40" s="27" t="s">
        <v>164</v>
      </c>
      <c r="C40" s="28"/>
      <c r="D40" s="13"/>
      <c r="E40" s="13"/>
      <c r="F40" s="13"/>
      <c r="G40" s="13"/>
      <c r="H40" s="408" t="s">
        <v>165</v>
      </c>
      <c r="I40" s="409"/>
      <c r="J40" s="409"/>
      <c r="K40" s="409"/>
      <c r="L40" s="410"/>
      <c r="M40" s="406">
        <v>5</v>
      </c>
      <c r="N40" s="411"/>
      <c r="O40" s="26"/>
      <c r="P40" s="17"/>
      <c r="Q40" s="17"/>
      <c r="R40" s="18"/>
    </row>
    <row r="41" spans="2:18" ht="39" hidden="1" customHeight="1" x14ac:dyDescent="0.25">
      <c r="B41" s="27" t="s">
        <v>166</v>
      </c>
      <c r="C41" s="28"/>
      <c r="D41" s="13"/>
      <c r="E41" s="13"/>
      <c r="F41" s="13"/>
      <c r="G41" s="13"/>
      <c r="H41" s="408" t="s">
        <v>167</v>
      </c>
      <c r="I41" s="409"/>
      <c r="J41" s="409"/>
      <c r="K41" s="409"/>
      <c r="L41" s="410"/>
      <c r="M41" s="406">
        <v>4</v>
      </c>
      <c r="N41" s="411"/>
      <c r="O41" s="26"/>
      <c r="P41" s="17"/>
      <c r="Q41" s="17"/>
      <c r="R41" s="18"/>
    </row>
    <row r="42" spans="2:18" ht="26.25" hidden="1" customHeight="1" x14ac:dyDescent="0.25">
      <c r="B42" s="27" t="s">
        <v>168</v>
      </c>
      <c r="C42" s="28"/>
      <c r="D42" s="13"/>
      <c r="E42" s="13"/>
      <c r="F42" s="13"/>
      <c r="G42" s="13"/>
      <c r="H42" s="408" t="s">
        <v>169</v>
      </c>
      <c r="I42" s="409"/>
      <c r="J42" s="409"/>
      <c r="K42" s="409"/>
      <c r="L42" s="410"/>
      <c r="M42" s="406">
        <v>3</v>
      </c>
      <c r="N42" s="411"/>
      <c r="O42" s="26"/>
      <c r="P42" s="17"/>
      <c r="Q42" s="17"/>
      <c r="R42" s="18"/>
    </row>
    <row r="43" spans="2:18" ht="32.25" hidden="1" customHeight="1" x14ac:dyDescent="0.25">
      <c r="B43" s="19">
        <v>3</v>
      </c>
      <c r="C43" s="406" t="s">
        <v>170</v>
      </c>
      <c r="D43" s="407"/>
      <c r="E43" s="408" t="s">
        <v>171</v>
      </c>
      <c r="F43" s="409"/>
      <c r="G43" s="410"/>
      <c r="H43" s="408" t="s">
        <v>172</v>
      </c>
      <c r="I43" s="409"/>
      <c r="J43" s="409"/>
      <c r="K43" s="409"/>
      <c r="L43" s="410"/>
      <c r="M43" s="406">
        <f>IF(H19="Да",SUMIF($H44:$L51,$H43,M44:N51),0)</f>
        <v>0</v>
      </c>
      <c r="N43" s="411"/>
      <c r="O43" s="26"/>
      <c r="P43" s="17"/>
      <c r="Q43" s="17"/>
      <c r="R43" s="18"/>
    </row>
    <row r="44" spans="2:18" hidden="1" x14ac:dyDescent="0.25">
      <c r="B44" s="27" t="s">
        <v>27</v>
      </c>
      <c r="C44" s="28"/>
      <c r="D44" s="13"/>
      <c r="E44" s="13"/>
      <c r="F44" s="13"/>
      <c r="G44" s="13"/>
      <c r="H44" s="408" t="s">
        <v>173</v>
      </c>
      <c r="I44" s="409"/>
      <c r="J44" s="409"/>
      <c r="K44" s="409"/>
      <c r="L44" s="410"/>
      <c r="M44" s="406">
        <v>1</v>
      </c>
      <c r="N44" s="411"/>
      <c r="O44" s="26"/>
      <c r="P44" s="17"/>
      <c r="Q44" s="17"/>
      <c r="R44" s="18"/>
    </row>
    <row r="45" spans="2:18" ht="12.75" hidden="1" customHeight="1" x14ac:dyDescent="0.25">
      <c r="B45" s="27" t="s">
        <v>28</v>
      </c>
      <c r="C45" s="28"/>
      <c r="D45" s="13"/>
      <c r="E45" s="13"/>
      <c r="F45" s="13"/>
      <c r="G45" s="13"/>
      <c r="H45" s="408" t="s">
        <v>174</v>
      </c>
      <c r="I45" s="409"/>
      <c r="J45" s="409"/>
      <c r="K45" s="409"/>
      <c r="L45" s="410"/>
      <c r="M45" s="406">
        <v>2</v>
      </c>
      <c r="N45" s="411"/>
      <c r="O45" s="26"/>
      <c r="P45" s="17"/>
      <c r="Q45" s="17"/>
      <c r="R45" s="18"/>
    </row>
    <row r="46" spans="2:18" ht="12.75" hidden="1" customHeight="1" x14ac:dyDescent="0.25">
      <c r="B46" s="27" t="s">
        <v>29</v>
      </c>
      <c r="C46" s="28"/>
      <c r="D46" s="13"/>
      <c r="E46" s="13"/>
      <c r="F46" s="13"/>
      <c r="G46" s="13"/>
      <c r="H46" s="408" t="s">
        <v>172</v>
      </c>
      <c r="I46" s="409"/>
      <c r="J46" s="409"/>
      <c r="K46" s="409"/>
      <c r="L46" s="410"/>
      <c r="M46" s="406">
        <v>4</v>
      </c>
      <c r="N46" s="411"/>
      <c r="O46" s="26"/>
      <c r="P46" s="17"/>
      <c r="Q46" s="17"/>
      <c r="R46" s="18"/>
    </row>
    <row r="47" spans="2:18" ht="12.75" hidden="1" customHeight="1" x14ac:dyDescent="0.25">
      <c r="B47" s="27" t="s">
        <v>30</v>
      </c>
      <c r="C47" s="28"/>
      <c r="D47" s="13"/>
      <c r="E47" s="13"/>
      <c r="F47" s="13"/>
      <c r="G47" s="13"/>
      <c r="H47" s="408" t="s">
        <v>175</v>
      </c>
      <c r="I47" s="409"/>
      <c r="J47" s="409"/>
      <c r="K47" s="409"/>
      <c r="L47" s="410"/>
      <c r="M47" s="406">
        <v>5</v>
      </c>
      <c r="N47" s="411"/>
      <c r="O47" s="26"/>
      <c r="P47" s="17"/>
      <c r="Q47" s="17"/>
      <c r="R47" s="18"/>
    </row>
    <row r="48" spans="2:18" ht="12.75" hidden="1" customHeight="1" x14ac:dyDescent="0.25">
      <c r="B48" s="27" t="s">
        <v>31</v>
      </c>
      <c r="C48" s="28"/>
      <c r="D48" s="13"/>
      <c r="E48" s="13"/>
      <c r="F48" s="13"/>
      <c r="G48" s="13"/>
      <c r="H48" s="408" t="s">
        <v>176</v>
      </c>
      <c r="I48" s="409"/>
      <c r="J48" s="409"/>
      <c r="K48" s="409"/>
      <c r="L48" s="410"/>
      <c r="M48" s="406">
        <v>7</v>
      </c>
      <c r="N48" s="411"/>
      <c r="O48" s="26"/>
      <c r="P48" s="17"/>
      <c r="Q48" s="17"/>
      <c r="R48" s="18"/>
    </row>
    <row r="49" spans="2:18" ht="12.75" hidden="1" customHeight="1" x14ac:dyDescent="0.25">
      <c r="B49" s="27" t="s">
        <v>32</v>
      </c>
      <c r="C49" s="28"/>
      <c r="D49" s="13"/>
      <c r="E49" s="13"/>
      <c r="F49" s="13"/>
      <c r="G49" s="13"/>
      <c r="H49" s="408" t="s">
        <v>177</v>
      </c>
      <c r="I49" s="409"/>
      <c r="J49" s="409"/>
      <c r="K49" s="409"/>
      <c r="L49" s="410"/>
      <c r="M49" s="406">
        <v>9</v>
      </c>
      <c r="N49" s="411"/>
      <c r="O49" s="26"/>
      <c r="P49" s="17"/>
      <c r="Q49" s="17"/>
      <c r="R49" s="18"/>
    </row>
    <row r="50" spans="2:18" ht="12.75" hidden="1" customHeight="1" x14ac:dyDescent="0.25">
      <c r="B50" s="27" t="s">
        <v>33</v>
      </c>
      <c r="C50" s="28"/>
      <c r="D50" s="13"/>
      <c r="E50" s="13"/>
      <c r="F50" s="13"/>
      <c r="G50" s="13"/>
      <c r="H50" s="408" t="s">
        <v>178</v>
      </c>
      <c r="I50" s="409"/>
      <c r="J50" s="409"/>
      <c r="K50" s="409"/>
      <c r="L50" s="410"/>
      <c r="M50" s="406">
        <v>10</v>
      </c>
      <c r="N50" s="411"/>
      <c r="O50" s="26"/>
      <c r="P50" s="17"/>
      <c r="Q50" s="17"/>
      <c r="R50" s="18"/>
    </row>
    <row r="51" spans="2:18" ht="12.75" hidden="1" customHeight="1" x14ac:dyDescent="0.25">
      <c r="B51" s="27" t="s">
        <v>34</v>
      </c>
      <c r="C51" s="28"/>
      <c r="D51" s="13"/>
      <c r="E51" s="13"/>
      <c r="F51" s="13"/>
      <c r="G51" s="13"/>
      <c r="H51" s="408" t="s">
        <v>179</v>
      </c>
      <c r="I51" s="409"/>
      <c r="J51" s="409"/>
      <c r="K51" s="409"/>
      <c r="L51" s="410"/>
      <c r="M51" s="406">
        <v>11</v>
      </c>
      <c r="N51" s="411"/>
      <c r="O51" s="26"/>
      <c r="P51" s="17"/>
      <c r="Q51" s="17"/>
      <c r="R51" s="18"/>
    </row>
    <row r="52" spans="2:18" ht="27" hidden="1" customHeight="1" x14ac:dyDescent="0.25">
      <c r="B52" s="19">
        <v>4</v>
      </c>
      <c r="C52" s="406" t="s">
        <v>180</v>
      </c>
      <c r="D52" s="407"/>
      <c r="E52" s="408" t="s">
        <v>181</v>
      </c>
      <c r="F52" s="409"/>
      <c r="G52" s="410"/>
      <c r="H52" s="408" t="s">
        <v>182</v>
      </c>
      <c r="I52" s="409"/>
      <c r="J52" s="409"/>
      <c r="K52" s="409"/>
      <c r="L52" s="410"/>
      <c r="M52" s="406">
        <f>IF(H19="Да",SUMIF($H53:$L66,$H52,M53:N66),0)</f>
        <v>0</v>
      </c>
      <c r="N52" s="411"/>
      <c r="O52" s="26"/>
      <c r="P52" s="17"/>
      <c r="Q52" s="17"/>
      <c r="R52" s="18"/>
    </row>
    <row r="53" spans="2:18" hidden="1" x14ac:dyDescent="0.25">
      <c r="B53" s="27" t="s">
        <v>183</v>
      </c>
      <c r="C53" s="28"/>
      <c r="D53" s="13"/>
      <c r="E53" s="13"/>
      <c r="F53" s="13"/>
      <c r="G53" s="13"/>
      <c r="H53" s="408" t="s">
        <v>184</v>
      </c>
      <c r="I53" s="409"/>
      <c r="J53" s="409"/>
      <c r="K53" s="409"/>
      <c r="L53" s="410"/>
      <c r="M53" s="420">
        <v>1</v>
      </c>
      <c r="N53" s="421"/>
      <c r="O53" s="26"/>
      <c r="P53" s="17"/>
      <c r="Q53" s="17"/>
      <c r="R53" s="18"/>
    </row>
    <row r="54" spans="2:18" ht="12.75" hidden="1" customHeight="1" x14ac:dyDescent="0.25">
      <c r="B54" s="27" t="s">
        <v>185</v>
      </c>
      <c r="C54" s="28"/>
      <c r="D54" s="13"/>
      <c r="E54" s="13"/>
      <c r="F54" s="13"/>
      <c r="G54" s="13"/>
      <c r="H54" s="408" t="s">
        <v>186</v>
      </c>
      <c r="I54" s="409"/>
      <c r="J54" s="409"/>
      <c r="K54" s="409"/>
      <c r="L54" s="410"/>
      <c r="M54" s="420">
        <v>2</v>
      </c>
      <c r="N54" s="421"/>
      <c r="O54" s="26"/>
      <c r="P54" s="17"/>
      <c r="Q54" s="17"/>
      <c r="R54" s="18"/>
    </row>
    <row r="55" spans="2:18" ht="12.75" hidden="1" customHeight="1" x14ac:dyDescent="0.25">
      <c r="B55" s="27" t="s">
        <v>187</v>
      </c>
      <c r="C55" s="28"/>
      <c r="D55" s="13"/>
      <c r="E55" s="13"/>
      <c r="F55" s="13"/>
      <c r="G55" s="13"/>
      <c r="H55" s="408" t="s">
        <v>188</v>
      </c>
      <c r="I55" s="409"/>
      <c r="J55" s="409"/>
      <c r="K55" s="409"/>
      <c r="L55" s="410"/>
      <c r="M55" s="420">
        <v>3</v>
      </c>
      <c r="N55" s="421"/>
      <c r="O55" s="26"/>
      <c r="P55" s="17"/>
      <c r="Q55" s="17"/>
      <c r="R55" s="18"/>
    </row>
    <row r="56" spans="2:18" ht="12.75" hidden="1" customHeight="1" x14ac:dyDescent="0.25">
      <c r="B56" s="27" t="s">
        <v>189</v>
      </c>
      <c r="C56" s="28"/>
      <c r="D56" s="13"/>
      <c r="E56" s="13"/>
      <c r="F56" s="13"/>
      <c r="G56" s="13"/>
      <c r="H56" s="408" t="s">
        <v>190</v>
      </c>
      <c r="I56" s="409"/>
      <c r="J56" s="409"/>
      <c r="K56" s="409"/>
      <c r="L56" s="410"/>
      <c r="M56" s="420">
        <v>4</v>
      </c>
      <c r="N56" s="421"/>
      <c r="O56" s="26"/>
      <c r="P56" s="17"/>
      <c r="Q56" s="17"/>
      <c r="R56" s="18"/>
    </row>
    <row r="57" spans="2:18" ht="12.75" hidden="1" customHeight="1" x14ac:dyDescent="0.25">
      <c r="B57" s="27" t="s">
        <v>191</v>
      </c>
      <c r="C57" s="28"/>
      <c r="D57" s="13"/>
      <c r="E57" s="13"/>
      <c r="F57" s="13"/>
      <c r="G57" s="13"/>
      <c r="H57" s="408" t="s">
        <v>192</v>
      </c>
      <c r="I57" s="409"/>
      <c r="J57" s="409"/>
      <c r="K57" s="409"/>
      <c r="L57" s="410"/>
      <c r="M57" s="420">
        <v>5</v>
      </c>
      <c r="N57" s="421"/>
      <c r="O57" s="26"/>
      <c r="P57" s="17"/>
      <c r="Q57" s="17"/>
      <c r="R57" s="18"/>
    </row>
    <row r="58" spans="2:18" ht="12.75" hidden="1" customHeight="1" x14ac:dyDescent="0.25">
      <c r="B58" s="27" t="s">
        <v>193</v>
      </c>
      <c r="C58" s="28"/>
      <c r="D58" s="13"/>
      <c r="E58" s="13"/>
      <c r="F58" s="13"/>
      <c r="G58" s="13"/>
      <c r="H58" s="408" t="s">
        <v>194</v>
      </c>
      <c r="I58" s="409"/>
      <c r="J58" s="409"/>
      <c r="K58" s="409"/>
      <c r="L58" s="410"/>
      <c r="M58" s="420">
        <v>6</v>
      </c>
      <c r="N58" s="421"/>
      <c r="O58" s="26"/>
      <c r="P58" s="17"/>
      <c r="Q58" s="17"/>
      <c r="R58" s="18"/>
    </row>
    <row r="59" spans="2:18" ht="12.75" hidden="1" customHeight="1" x14ac:dyDescent="0.25">
      <c r="B59" s="27" t="s">
        <v>195</v>
      </c>
      <c r="C59" s="28"/>
      <c r="D59" s="13"/>
      <c r="E59" s="13"/>
      <c r="F59" s="13"/>
      <c r="G59" s="13"/>
      <c r="H59" s="408" t="s">
        <v>196</v>
      </c>
      <c r="I59" s="409"/>
      <c r="J59" s="409"/>
      <c r="K59" s="409"/>
      <c r="L59" s="410"/>
      <c r="M59" s="420">
        <v>7</v>
      </c>
      <c r="N59" s="421"/>
      <c r="O59" s="26"/>
      <c r="P59" s="17"/>
      <c r="Q59" s="17"/>
      <c r="R59" s="18"/>
    </row>
    <row r="60" spans="2:18" ht="12.75" hidden="1" customHeight="1" x14ac:dyDescent="0.25">
      <c r="B60" s="27" t="s">
        <v>197</v>
      </c>
      <c r="C60" s="28"/>
      <c r="D60" s="13"/>
      <c r="E60" s="13"/>
      <c r="F60" s="13"/>
      <c r="G60" s="13"/>
      <c r="H60" s="408" t="s">
        <v>182</v>
      </c>
      <c r="I60" s="409"/>
      <c r="J60" s="409"/>
      <c r="K60" s="409"/>
      <c r="L60" s="410"/>
      <c r="M60" s="420">
        <v>8</v>
      </c>
      <c r="N60" s="421"/>
      <c r="O60" s="26"/>
      <c r="P60" s="17"/>
      <c r="Q60" s="17"/>
      <c r="R60" s="18"/>
    </row>
    <row r="61" spans="2:18" ht="12.75" hidden="1" customHeight="1" x14ac:dyDescent="0.25">
      <c r="B61" s="27" t="s">
        <v>198</v>
      </c>
      <c r="C61" s="28"/>
      <c r="D61" s="13"/>
      <c r="E61" s="13"/>
      <c r="F61" s="13"/>
      <c r="G61" s="13"/>
      <c r="H61" s="408" t="s">
        <v>199</v>
      </c>
      <c r="I61" s="409"/>
      <c r="J61" s="409"/>
      <c r="K61" s="409"/>
      <c r="L61" s="410"/>
      <c r="M61" s="420">
        <v>9</v>
      </c>
      <c r="N61" s="421"/>
      <c r="O61" s="26"/>
      <c r="P61" s="17"/>
      <c r="Q61" s="17"/>
      <c r="R61" s="18"/>
    </row>
    <row r="62" spans="2:18" ht="12.75" hidden="1" customHeight="1" x14ac:dyDescent="0.25">
      <c r="B62" s="27" t="s">
        <v>200</v>
      </c>
      <c r="C62" s="28"/>
      <c r="D62" s="13"/>
      <c r="E62" s="13"/>
      <c r="F62" s="13"/>
      <c r="G62" s="13"/>
      <c r="H62" s="408" t="s">
        <v>201</v>
      </c>
      <c r="I62" s="409"/>
      <c r="J62" s="409"/>
      <c r="K62" s="409"/>
      <c r="L62" s="410"/>
      <c r="M62" s="420">
        <v>10</v>
      </c>
      <c r="N62" s="421"/>
      <c r="O62" s="26"/>
      <c r="P62" s="17"/>
      <c r="Q62" s="17"/>
      <c r="R62" s="18"/>
    </row>
    <row r="63" spans="2:18" ht="12.75" hidden="1" customHeight="1" x14ac:dyDescent="0.25">
      <c r="B63" s="27" t="s">
        <v>202</v>
      </c>
      <c r="C63" s="28"/>
      <c r="D63" s="13"/>
      <c r="E63" s="13"/>
      <c r="F63" s="13"/>
      <c r="G63" s="13"/>
      <c r="H63" s="408" t="s">
        <v>203</v>
      </c>
      <c r="I63" s="409"/>
      <c r="J63" s="409"/>
      <c r="K63" s="409"/>
      <c r="L63" s="410"/>
      <c r="M63" s="420">
        <v>11</v>
      </c>
      <c r="N63" s="421"/>
      <c r="O63" s="26"/>
      <c r="P63" s="17"/>
      <c r="Q63" s="17"/>
      <c r="R63" s="18"/>
    </row>
    <row r="64" spans="2:18" ht="12.75" hidden="1" customHeight="1" x14ac:dyDescent="0.25">
      <c r="B64" s="27" t="s">
        <v>204</v>
      </c>
      <c r="C64" s="28"/>
      <c r="D64" s="13"/>
      <c r="E64" s="13"/>
      <c r="F64" s="13"/>
      <c r="G64" s="13"/>
      <c r="H64" s="408" t="s">
        <v>205</v>
      </c>
      <c r="I64" s="409"/>
      <c r="J64" s="409"/>
      <c r="K64" s="409"/>
      <c r="L64" s="410"/>
      <c r="M64" s="420">
        <v>12</v>
      </c>
      <c r="N64" s="421"/>
      <c r="O64" s="26"/>
      <c r="P64" s="17"/>
      <c r="Q64" s="17"/>
      <c r="R64" s="18"/>
    </row>
    <row r="65" spans="2:18" ht="12.75" hidden="1" customHeight="1" x14ac:dyDescent="0.25">
      <c r="B65" s="27" t="s">
        <v>206</v>
      </c>
      <c r="C65" s="28"/>
      <c r="D65" s="13"/>
      <c r="E65" s="13"/>
      <c r="F65" s="13"/>
      <c r="G65" s="13"/>
      <c r="H65" s="408" t="s">
        <v>207</v>
      </c>
      <c r="I65" s="409"/>
      <c r="J65" s="409"/>
      <c r="K65" s="409"/>
      <c r="L65" s="410"/>
      <c r="M65" s="420">
        <v>13</v>
      </c>
      <c r="N65" s="421"/>
      <c r="O65" s="26"/>
      <c r="P65" s="17"/>
      <c r="Q65" s="17"/>
      <c r="R65" s="18"/>
    </row>
    <row r="66" spans="2:18" ht="12.75" hidden="1" customHeight="1" x14ac:dyDescent="0.25">
      <c r="B66" s="27" t="s">
        <v>208</v>
      </c>
      <c r="C66" s="28"/>
      <c r="D66" s="13"/>
      <c r="E66" s="13"/>
      <c r="F66" s="13"/>
      <c r="G66" s="13"/>
      <c r="H66" s="408" t="s">
        <v>209</v>
      </c>
      <c r="I66" s="409"/>
      <c r="J66" s="409"/>
      <c r="K66" s="409"/>
      <c r="L66" s="410"/>
      <c r="M66" s="420">
        <v>14</v>
      </c>
      <c r="N66" s="421"/>
      <c r="O66" s="26"/>
      <c r="P66" s="17"/>
      <c r="Q66" s="17"/>
      <c r="R66" s="18"/>
    </row>
    <row r="67" spans="2:18" hidden="1" x14ac:dyDescent="0.25">
      <c r="B67" s="19">
        <v>5</v>
      </c>
      <c r="C67" s="29"/>
      <c r="D67" s="13"/>
      <c r="E67" s="13"/>
      <c r="F67" s="13"/>
      <c r="G67" s="13"/>
      <c r="H67" s="13"/>
      <c r="I67" s="13"/>
      <c r="J67" s="13"/>
      <c r="K67" s="13"/>
      <c r="L67" s="30" t="s">
        <v>210</v>
      </c>
      <c r="M67" s="420">
        <f>M31+M36+M43+M52</f>
        <v>0</v>
      </c>
      <c r="N67" s="421"/>
      <c r="O67" s="26"/>
      <c r="P67" s="17"/>
      <c r="Q67" s="17"/>
      <c r="R67" s="18"/>
    </row>
    <row r="68" spans="2:18" x14ac:dyDescent="0.25">
      <c r="B68" s="16" t="s">
        <v>211</v>
      </c>
      <c r="C68" s="13"/>
      <c r="D68" s="13"/>
      <c r="E68" s="13"/>
      <c r="F68" s="13"/>
      <c r="G68" s="13"/>
      <c r="H68" s="13"/>
      <c r="I68" s="13"/>
      <c r="J68" s="23"/>
      <c r="K68" s="23"/>
      <c r="L68" s="23"/>
      <c r="M68" s="23"/>
      <c r="N68" s="23"/>
      <c r="O68" s="23"/>
      <c r="P68" s="23"/>
      <c r="Q68" s="23"/>
      <c r="R68" s="24"/>
    </row>
    <row r="69" spans="2:18" ht="26.25" customHeight="1" x14ac:dyDescent="0.25">
      <c r="B69" s="413" t="s">
        <v>142</v>
      </c>
      <c r="C69" s="413"/>
      <c r="D69" s="413"/>
      <c r="E69" s="413"/>
      <c r="F69" s="413"/>
      <c r="G69" s="413"/>
      <c r="H69" s="413"/>
      <c r="I69" s="413"/>
      <c r="J69" s="414"/>
      <c r="K69" s="414"/>
      <c r="L69" s="414"/>
      <c r="M69" s="414" t="s">
        <v>212</v>
      </c>
      <c r="N69" s="414"/>
      <c r="O69" s="414"/>
      <c r="P69" s="414"/>
      <c r="Q69" s="414"/>
      <c r="R69" s="414"/>
    </row>
    <row r="70" spans="2:18" ht="25.5" x14ac:dyDescent="0.25">
      <c r="B70" s="20" t="s">
        <v>42</v>
      </c>
      <c r="C70" s="417" t="s">
        <v>144</v>
      </c>
      <c r="D70" s="418"/>
      <c r="E70" s="413" t="s">
        <v>145</v>
      </c>
      <c r="F70" s="413"/>
      <c r="G70" s="413"/>
      <c r="H70" s="413" t="s">
        <v>146</v>
      </c>
      <c r="I70" s="413"/>
      <c r="J70" s="413"/>
      <c r="K70" s="413"/>
      <c r="L70" s="413"/>
      <c r="M70" s="20" t="s">
        <v>134</v>
      </c>
      <c r="N70" s="20" t="s">
        <v>135</v>
      </c>
      <c r="O70" s="20" t="s">
        <v>136</v>
      </c>
      <c r="P70" s="20" t="s">
        <v>137</v>
      </c>
      <c r="Q70" s="20" t="s">
        <v>138</v>
      </c>
      <c r="R70" s="20" t="s">
        <v>139</v>
      </c>
    </row>
    <row r="71" spans="2:18" ht="53.25" customHeight="1" collapsed="1" x14ac:dyDescent="0.25">
      <c r="B71" s="19">
        <v>1</v>
      </c>
      <c r="C71" s="406" t="s">
        <v>157</v>
      </c>
      <c r="D71" s="407"/>
      <c r="E71" s="422" t="s">
        <v>158</v>
      </c>
      <c r="F71" s="422"/>
      <c r="G71" s="422"/>
      <c r="H71" s="408" t="s">
        <v>159</v>
      </c>
      <c r="I71" s="409"/>
      <c r="J71" s="409"/>
      <c r="K71" s="409"/>
      <c r="L71" s="410"/>
      <c r="M71" s="19">
        <f t="shared" ref="M71:R71" ca="1" si="0">IF(D24="Да",SUMIF($H72:$L77,$H71,M72:M77),0)</f>
        <v>1</v>
      </c>
      <c r="N71" s="19">
        <f t="shared" si="0"/>
        <v>0</v>
      </c>
      <c r="O71" s="19">
        <f t="shared" si="0"/>
        <v>0</v>
      </c>
      <c r="P71" s="19">
        <f t="shared" ca="1" si="0"/>
        <v>1</v>
      </c>
      <c r="Q71" s="19">
        <f t="shared" si="0"/>
        <v>0</v>
      </c>
      <c r="R71" s="19">
        <f t="shared" si="0"/>
        <v>0</v>
      </c>
    </row>
    <row r="72" spans="2:18" ht="53.25" hidden="1" customHeight="1" outlineLevel="1" x14ac:dyDescent="0.25">
      <c r="B72" s="27" t="s">
        <v>24</v>
      </c>
      <c r="C72" s="27"/>
      <c r="D72" s="19"/>
      <c r="E72" s="31"/>
      <c r="F72" s="31"/>
      <c r="G72" s="31"/>
      <c r="H72" s="408" t="s">
        <v>159</v>
      </c>
      <c r="I72" s="409"/>
      <c r="J72" s="409"/>
      <c r="K72" s="409"/>
      <c r="L72" s="410"/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</row>
    <row r="73" spans="2:18" ht="53.25" hidden="1" customHeight="1" outlineLevel="1" x14ac:dyDescent="0.25">
      <c r="B73" s="27" t="s">
        <v>151</v>
      </c>
      <c r="C73" s="27"/>
      <c r="D73" s="19"/>
      <c r="E73" s="31"/>
      <c r="F73" s="31"/>
      <c r="G73" s="31"/>
      <c r="H73" s="408" t="s">
        <v>161</v>
      </c>
      <c r="I73" s="409"/>
      <c r="J73" s="409"/>
      <c r="K73" s="409"/>
      <c r="L73" s="410"/>
      <c r="M73" s="19">
        <v>2</v>
      </c>
      <c r="N73" s="19">
        <v>1</v>
      </c>
      <c r="O73" s="19">
        <v>2</v>
      </c>
      <c r="P73" s="19">
        <v>1</v>
      </c>
      <c r="Q73" s="19">
        <v>2</v>
      </c>
      <c r="R73" s="19">
        <v>2</v>
      </c>
    </row>
    <row r="74" spans="2:18" ht="53.25" hidden="1" customHeight="1" outlineLevel="1" x14ac:dyDescent="0.25">
      <c r="B74" s="27" t="s">
        <v>153</v>
      </c>
      <c r="C74" s="27"/>
      <c r="D74" s="19"/>
      <c r="E74" s="31"/>
      <c r="F74" s="31"/>
      <c r="G74" s="31"/>
      <c r="H74" s="408" t="s">
        <v>163</v>
      </c>
      <c r="I74" s="409"/>
      <c r="J74" s="409"/>
      <c r="K74" s="409"/>
      <c r="L74" s="410"/>
      <c r="M74" s="19">
        <v>3</v>
      </c>
      <c r="N74" s="19">
        <v>3</v>
      </c>
      <c r="O74" s="19">
        <v>3</v>
      </c>
      <c r="P74" s="19">
        <v>3</v>
      </c>
      <c r="Q74" s="19">
        <v>3</v>
      </c>
      <c r="R74" s="19">
        <v>3</v>
      </c>
    </row>
    <row r="75" spans="2:18" ht="53.25" hidden="1" customHeight="1" outlineLevel="1" x14ac:dyDescent="0.25">
      <c r="B75" s="27" t="s">
        <v>155</v>
      </c>
      <c r="C75" s="27"/>
      <c r="D75" s="19"/>
      <c r="E75" s="31"/>
      <c r="F75" s="31"/>
      <c r="G75" s="31"/>
      <c r="H75" s="408" t="s">
        <v>165</v>
      </c>
      <c r="I75" s="409"/>
      <c r="J75" s="409"/>
      <c r="K75" s="409"/>
      <c r="L75" s="410"/>
      <c r="M75" s="19">
        <v>4</v>
      </c>
      <c r="N75" s="19">
        <v>3</v>
      </c>
      <c r="O75" s="19">
        <v>4</v>
      </c>
      <c r="P75" s="19">
        <v>3</v>
      </c>
      <c r="Q75" s="19">
        <v>4</v>
      </c>
      <c r="R75" s="19">
        <v>4</v>
      </c>
    </row>
    <row r="76" spans="2:18" ht="53.25" hidden="1" customHeight="1" outlineLevel="1" x14ac:dyDescent="0.25">
      <c r="B76" s="27" t="s">
        <v>213</v>
      </c>
      <c r="C76" s="27"/>
      <c r="D76" s="19"/>
      <c r="E76" s="31"/>
      <c r="F76" s="31"/>
      <c r="G76" s="31"/>
      <c r="H76" s="408" t="s">
        <v>167</v>
      </c>
      <c r="I76" s="409"/>
      <c r="J76" s="409"/>
      <c r="K76" s="409"/>
      <c r="L76" s="410"/>
      <c r="M76" s="19">
        <v>3</v>
      </c>
      <c r="N76" s="19">
        <v>2</v>
      </c>
      <c r="O76" s="19">
        <v>3</v>
      </c>
      <c r="P76" s="19">
        <v>2</v>
      </c>
      <c r="Q76" s="19">
        <v>3</v>
      </c>
      <c r="R76" s="19">
        <v>3</v>
      </c>
    </row>
    <row r="77" spans="2:18" ht="53.25" hidden="1" customHeight="1" outlineLevel="1" x14ac:dyDescent="0.25">
      <c r="B77" s="27" t="s">
        <v>214</v>
      </c>
      <c r="C77" s="27"/>
      <c r="D77" s="19"/>
      <c r="E77" s="31"/>
      <c r="F77" s="31"/>
      <c r="G77" s="31"/>
      <c r="H77" s="408" t="s">
        <v>169</v>
      </c>
      <c r="I77" s="409"/>
      <c r="J77" s="409"/>
      <c r="K77" s="409"/>
      <c r="L77" s="410"/>
      <c r="M77" s="19">
        <v>2</v>
      </c>
      <c r="N77" s="19">
        <v>2</v>
      </c>
      <c r="O77" s="19">
        <v>2</v>
      </c>
      <c r="P77" s="19">
        <v>2</v>
      </c>
      <c r="Q77" s="19">
        <v>3</v>
      </c>
      <c r="R77" s="19">
        <v>3</v>
      </c>
    </row>
    <row r="78" spans="2:18" ht="53.25" customHeight="1" collapsed="1" x14ac:dyDescent="0.25">
      <c r="B78" s="19">
        <v>2</v>
      </c>
      <c r="C78" s="406" t="s">
        <v>215</v>
      </c>
      <c r="D78" s="407"/>
      <c r="E78" s="422" t="s">
        <v>216</v>
      </c>
      <c r="F78" s="422"/>
      <c r="G78" s="422"/>
      <c r="H78" s="408" t="s">
        <v>174</v>
      </c>
      <c r="I78" s="409"/>
      <c r="J78" s="409"/>
      <c r="K78" s="409"/>
      <c r="L78" s="410"/>
      <c r="M78" s="19">
        <f t="shared" ref="M78:R78" ca="1" si="1">IF(D24="Да",SUMIF($H79:$L85,$H78,M79:M85),0)</f>
        <v>2</v>
      </c>
      <c r="N78" s="19">
        <f t="shared" si="1"/>
        <v>0</v>
      </c>
      <c r="O78" s="19">
        <f t="shared" si="1"/>
        <v>0</v>
      </c>
      <c r="P78" s="19">
        <f t="shared" ca="1" si="1"/>
        <v>2</v>
      </c>
      <c r="Q78" s="19">
        <f t="shared" si="1"/>
        <v>0</v>
      </c>
      <c r="R78" s="19">
        <f t="shared" si="1"/>
        <v>0</v>
      </c>
    </row>
    <row r="79" spans="2:18" ht="53.25" hidden="1" customHeight="1" outlineLevel="1" x14ac:dyDescent="0.25">
      <c r="B79" s="27" t="s">
        <v>25</v>
      </c>
      <c r="C79" s="27"/>
      <c r="D79" s="19"/>
      <c r="E79" s="423" t="s">
        <v>217</v>
      </c>
      <c r="F79" s="424"/>
      <c r="G79" s="31"/>
      <c r="H79" s="408" t="s">
        <v>173</v>
      </c>
      <c r="I79" s="409"/>
      <c r="J79" s="409"/>
      <c r="K79" s="409"/>
      <c r="L79" s="410"/>
      <c r="M79" s="19">
        <v>1</v>
      </c>
      <c r="N79" s="19">
        <v>1</v>
      </c>
      <c r="O79" s="19">
        <v>1</v>
      </c>
      <c r="P79" s="19">
        <v>1</v>
      </c>
      <c r="Q79" s="19">
        <v>1</v>
      </c>
      <c r="R79" s="19">
        <v>1</v>
      </c>
    </row>
    <row r="80" spans="2:18" ht="53.25" hidden="1" customHeight="1" outlineLevel="1" x14ac:dyDescent="0.25">
      <c r="B80" s="27" t="s">
        <v>160</v>
      </c>
      <c r="C80" s="27"/>
      <c r="D80" s="19"/>
      <c r="E80" s="425"/>
      <c r="F80" s="426"/>
      <c r="G80" s="31"/>
      <c r="H80" s="408" t="s">
        <v>174</v>
      </c>
      <c r="I80" s="409"/>
      <c r="J80" s="409"/>
      <c r="K80" s="409"/>
      <c r="L80" s="410"/>
      <c r="M80" s="19">
        <v>2</v>
      </c>
      <c r="N80" s="19">
        <v>2</v>
      </c>
      <c r="O80" s="19">
        <v>2</v>
      </c>
      <c r="P80" s="19">
        <v>2</v>
      </c>
      <c r="Q80" s="19">
        <v>2</v>
      </c>
      <c r="R80" s="19">
        <v>2</v>
      </c>
    </row>
    <row r="81" spans="2:18" ht="53.25" hidden="1" customHeight="1" outlineLevel="1" x14ac:dyDescent="0.25">
      <c r="B81" s="27" t="s">
        <v>162</v>
      </c>
      <c r="C81" s="27"/>
      <c r="D81" s="19"/>
      <c r="E81" s="425"/>
      <c r="F81" s="426"/>
      <c r="G81" s="31"/>
      <c r="H81" s="408" t="s">
        <v>172</v>
      </c>
      <c r="I81" s="409"/>
      <c r="J81" s="409"/>
      <c r="K81" s="409"/>
      <c r="L81" s="410"/>
      <c r="M81" s="19">
        <v>3</v>
      </c>
      <c r="N81" s="19">
        <v>2</v>
      </c>
      <c r="O81" s="19">
        <v>3</v>
      </c>
      <c r="P81" s="19">
        <v>2</v>
      </c>
      <c r="Q81" s="19">
        <v>3</v>
      </c>
      <c r="R81" s="19">
        <v>3</v>
      </c>
    </row>
    <row r="82" spans="2:18" ht="53.25" hidden="1" customHeight="1" outlineLevel="1" x14ac:dyDescent="0.25">
      <c r="B82" s="27" t="s">
        <v>164</v>
      </c>
      <c r="C82" s="27"/>
      <c r="D82" s="19"/>
      <c r="E82" s="425"/>
      <c r="F82" s="426"/>
      <c r="G82" s="31"/>
      <c r="H82" s="408" t="s">
        <v>175</v>
      </c>
      <c r="I82" s="409"/>
      <c r="J82" s="409"/>
      <c r="K82" s="409"/>
      <c r="L82" s="410"/>
      <c r="M82" s="19">
        <v>4</v>
      </c>
      <c r="N82" s="19">
        <v>3</v>
      </c>
      <c r="O82" s="19">
        <v>4</v>
      </c>
      <c r="P82" s="19">
        <v>3</v>
      </c>
      <c r="Q82" s="19">
        <v>4</v>
      </c>
      <c r="R82" s="19">
        <v>4</v>
      </c>
    </row>
    <row r="83" spans="2:18" ht="53.25" hidden="1" customHeight="1" outlineLevel="1" x14ac:dyDescent="0.25">
      <c r="B83" s="27" t="s">
        <v>166</v>
      </c>
      <c r="C83" s="27"/>
      <c r="D83" s="19"/>
      <c r="E83" s="425"/>
      <c r="F83" s="426"/>
      <c r="G83" s="31"/>
      <c r="H83" s="408" t="s">
        <v>176</v>
      </c>
      <c r="I83" s="409"/>
      <c r="J83" s="409"/>
      <c r="K83" s="409"/>
      <c r="L83" s="410"/>
      <c r="M83" s="19">
        <v>5</v>
      </c>
      <c r="N83" s="19">
        <v>3</v>
      </c>
      <c r="O83" s="19">
        <v>5</v>
      </c>
      <c r="P83" s="19">
        <v>3</v>
      </c>
      <c r="Q83" s="19">
        <v>5</v>
      </c>
      <c r="R83" s="19">
        <v>5</v>
      </c>
    </row>
    <row r="84" spans="2:18" ht="53.25" hidden="1" customHeight="1" outlineLevel="1" x14ac:dyDescent="0.25">
      <c r="B84" s="27" t="s">
        <v>168</v>
      </c>
      <c r="C84" s="27"/>
      <c r="D84" s="19"/>
      <c r="E84" s="425"/>
      <c r="F84" s="426"/>
      <c r="G84" s="31"/>
      <c r="H84" s="408" t="s">
        <v>177</v>
      </c>
      <c r="I84" s="409"/>
      <c r="J84" s="409"/>
      <c r="K84" s="409"/>
      <c r="L84" s="410"/>
      <c r="M84" s="19">
        <v>6</v>
      </c>
      <c r="N84" s="19">
        <v>4</v>
      </c>
      <c r="O84" s="19">
        <v>6</v>
      </c>
      <c r="P84" s="19">
        <v>4</v>
      </c>
      <c r="Q84" s="19">
        <v>6</v>
      </c>
      <c r="R84" s="19">
        <v>6</v>
      </c>
    </row>
    <row r="85" spans="2:18" ht="53.25" hidden="1" customHeight="1" outlineLevel="1" x14ac:dyDescent="0.25">
      <c r="B85" s="27" t="s">
        <v>218</v>
      </c>
      <c r="C85" s="27"/>
      <c r="D85" s="19"/>
      <c r="E85" s="427"/>
      <c r="F85" s="428"/>
      <c r="G85" s="31"/>
      <c r="H85" s="408" t="s">
        <v>178</v>
      </c>
      <c r="I85" s="409"/>
      <c r="J85" s="409"/>
      <c r="K85" s="409"/>
      <c r="L85" s="410"/>
      <c r="M85" s="19">
        <v>7</v>
      </c>
      <c r="N85" s="19">
        <v>5</v>
      </c>
      <c r="O85" s="19">
        <v>7</v>
      </c>
      <c r="P85" s="19">
        <v>5</v>
      </c>
      <c r="Q85" s="19">
        <v>7</v>
      </c>
      <c r="R85" s="19">
        <v>7</v>
      </c>
    </row>
    <row r="86" spans="2:18" ht="53.25" customHeight="1" collapsed="1" x14ac:dyDescent="0.25">
      <c r="B86" s="19">
        <v>3</v>
      </c>
      <c r="C86" s="406" t="s">
        <v>219</v>
      </c>
      <c r="D86" s="407"/>
      <c r="E86" s="422" t="s">
        <v>220</v>
      </c>
      <c r="F86" s="422"/>
      <c r="G86" s="422"/>
      <c r="H86" s="408" t="s">
        <v>221</v>
      </c>
      <c r="I86" s="409"/>
      <c r="J86" s="409"/>
      <c r="K86" s="409"/>
      <c r="L86" s="410"/>
      <c r="M86" s="19">
        <f t="shared" ref="M86:R86" ca="1" si="2">IF(D24="Да",SUMIF($H87:$L90,$H86,M87:M90),0)</f>
        <v>6</v>
      </c>
      <c r="N86" s="19">
        <f t="shared" si="2"/>
        <v>0</v>
      </c>
      <c r="O86" s="19">
        <f t="shared" si="2"/>
        <v>0</v>
      </c>
      <c r="P86" s="19">
        <f t="shared" ca="1" si="2"/>
        <v>5</v>
      </c>
      <c r="Q86" s="19">
        <f t="shared" si="2"/>
        <v>0</v>
      </c>
      <c r="R86" s="19">
        <f t="shared" si="2"/>
        <v>0</v>
      </c>
    </row>
    <row r="87" spans="2:18" ht="53.25" hidden="1" customHeight="1" outlineLevel="1" x14ac:dyDescent="0.25">
      <c r="B87" s="27" t="s">
        <v>27</v>
      </c>
      <c r="C87" s="27"/>
      <c r="D87" s="19"/>
      <c r="E87" s="31"/>
      <c r="F87" s="31"/>
      <c r="G87" s="31"/>
      <c r="H87" s="408" t="s">
        <v>222</v>
      </c>
      <c r="I87" s="409"/>
      <c r="J87" s="409"/>
      <c r="K87" s="409"/>
      <c r="L87" s="410"/>
      <c r="M87" s="19">
        <v>1</v>
      </c>
      <c r="N87" s="19">
        <v>1</v>
      </c>
      <c r="O87" s="19">
        <v>1</v>
      </c>
      <c r="P87" s="19">
        <v>1</v>
      </c>
      <c r="Q87" s="19">
        <v>1</v>
      </c>
      <c r="R87" s="19">
        <v>1</v>
      </c>
    </row>
    <row r="88" spans="2:18" ht="53.25" hidden="1" customHeight="1" outlineLevel="1" x14ac:dyDescent="0.25">
      <c r="B88" s="27" t="s">
        <v>28</v>
      </c>
      <c r="C88" s="27"/>
      <c r="D88" s="19"/>
      <c r="E88" s="31"/>
      <c r="F88" s="31"/>
      <c r="G88" s="31"/>
      <c r="H88" s="408" t="s">
        <v>223</v>
      </c>
      <c r="I88" s="409"/>
      <c r="J88" s="409"/>
      <c r="K88" s="409"/>
      <c r="L88" s="410"/>
      <c r="M88" s="19">
        <v>3</v>
      </c>
      <c r="N88" s="19">
        <v>2</v>
      </c>
      <c r="O88" s="19">
        <v>3</v>
      </c>
      <c r="P88" s="19">
        <v>3</v>
      </c>
      <c r="Q88" s="19">
        <v>3</v>
      </c>
      <c r="R88" s="19">
        <v>3</v>
      </c>
    </row>
    <row r="89" spans="2:18" ht="53.25" hidden="1" customHeight="1" outlineLevel="1" x14ac:dyDescent="0.25">
      <c r="B89" s="27" t="s">
        <v>29</v>
      </c>
      <c r="C89" s="27"/>
      <c r="D89" s="19"/>
      <c r="E89" s="31"/>
      <c r="F89" s="31"/>
      <c r="G89" s="31"/>
      <c r="H89" s="408" t="s">
        <v>221</v>
      </c>
      <c r="I89" s="409"/>
      <c r="J89" s="409"/>
      <c r="K89" s="409"/>
      <c r="L89" s="410"/>
      <c r="M89" s="19">
        <v>6</v>
      </c>
      <c r="N89" s="19">
        <v>2</v>
      </c>
      <c r="O89" s="19">
        <v>6</v>
      </c>
      <c r="P89" s="19">
        <v>5</v>
      </c>
      <c r="Q89" s="19">
        <v>6</v>
      </c>
      <c r="R89" s="19">
        <v>6</v>
      </c>
    </row>
    <row r="90" spans="2:18" ht="53.25" hidden="1" customHeight="1" outlineLevel="1" x14ac:dyDescent="0.25">
      <c r="B90" s="27" t="s">
        <v>30</v>
      </c>
      <c r="C90" s="27"/>
      <c r="D90" s="19"/>
      <c r="E90" s="31"/>
      <c r="F90" s="31"/>
      <c r="G90" s="31"/>
      <c r="H90" s="408" t="s">
        <v>224</v>
      </c>
      <c r="I90" s="409"/>
      <c r="J90" s="409"/>
      <c r="K90" s="409"/>
      <c r="L90" s="410"/>
      <c r="M90" s="19">
        <v>9</v>
      </c>
      <c r="N90" s="19">
        <v>3</v>
      </c>
      <c r="O90" s="19">
        <v>9</v>
      </c>
      <c r="P90" s="19">
        <v>8</v>
      </c>
      <c r="Q90" s="19">
        <v>9</v>
      </c>
      <c r="R90" s="19">
        <v>9</v>
      </c>
    </row>
    <row r="91" spans="2:18" ht="53.25" customHeight="1" collapsed="1" x14ac:dyDescent="0.25">
      <c r="B91" s="19">
        <v>4</v>
      </c>
      <c r="C91" s="406" t="s">
        <v>225</v>
      </c>
      <c r="D91" s="407"/>
      <c r="E91" s="422" t="s">
        <v>226</v>
      </c>
      <c r="F91" s="422"/>
      <c r="G91" s="422"/>
      <c r="H91" s="408" t="s">
        <v>228</v>
      </c>
      <c r="I91" s="409"/>
      <c r="J91" s="409"/>
      <c r="K91" s="409"/>
      <c r="L91" s="410"/>
      <c r="M91" s="19">
        <f t="shared" ref="M91:R91" ca="1" si="3">IF(D24="Да",SUMIF($H92:$L98,$H91,M92:M98),0)</f>
        <v>1</v>
      </c>
      <c r="N91" s="19">
        <f t="shared" si="3"/>
        <v>0</v>
      </c>
      <c r="O91" s="19">
        <f t="shared" si="3"/>
        <v>0</v>
      </c>
      <c r="P91" s="19">
        <f t="shared" ca="1" si="3"/>
        <v>1</v>
      </c>
      <c r="Q91" s="19">
        <f t="shared" si="3"/>
        <v>0</v>
      </c>
      <c r="R91" s="19">
        <f t="shared" si="3"/>
        <v>0</v>
      </c>
    </row>
    <row r="92" spans="2:18" ht="53.25" hidden="1" customHeight="1" outlineLevel="1" x14ac:dyDescent="0.25">
      <c r="B92" s="27">
        <v>7.22</v>
      </c>
      <c r="C92" s="27"/>
      <c r="D92" s="19"/>
      <c r="E92" s="31"/>
      <c r="F92" s="31"/>
      <c r="G92" s="31"/>
      <c r="H92" s="408" t="s">
        <v>228</v>
      </c>
      <c r="I92" s="409"/>
      <c r="J92" s="409"/>
      <c r="K92" s="409"/>
      <c r="L92" s="410"/>
      <c r="M92" s="19">
        <v>1</v>
      </c>
      <c r="N92" s="19">
        <v>1</v>
      </c>
      <c r="O92" s="19">
        <v>1</v>
      </c>
      <c r="P92" s="19">
        <v>1</v>
      </c>
      <c r="Q92" s="19">
        <v>1</v>
      </c>
      <c r="R92" s="19">
        <v>1</v>
      </c>
    </row>
    <row r="93" spans="2:18" ht="53.25" hidden="1" customHeight="1" outlineLevel="1" x14ac:dyDescent="0.25">
      <c r="B93" s="27" t="s">
        <v>229</v>
      </c>
      <c r="C93" s="27"/>
      <c r="D93" s="19"/>
      <c r="E93" s="31"/>
      <c r="F93" s="31"/>
      <c r="G93" s="31"/>
      <c r="H93" s="408" t="s">
        <v>230</v>
      </c>
      <c r="I93" s="409"/>
      <c r="J93" s="409"/>
      <c r="K93" s="409"/>
      <c r="L93" s="410"/>
      <c r="M93" s="19">
        <v>3</v>
      </c>
      <c r="N93" s="19">
        <v>2</v>
      </c>
      <c r="O93" s="19">
        <v>3</v>
      </c>
      <c r="P93" s="19">
        <v>3</v>
      </c>
      <c r="Q93" s="19">
        <v>3</v>
      </c>
      <c r="R93" s="19">
        <v>3</v>
      </c>
    </row>
    <row r="94" spans="2:18" ht="53.25" hidden="1" customHeight="1" outlineLevel="1" x14ac:dyDescent="0.25">
      <c r="B94" s="27" t="s">
        <v>231</v>
      </c>
      <c r="C94" s="27"/>
      <c r="D94" s="19"/>
      <c r="E94" s="31"/>
      <c r="F94" s="31"/>
      <c r="G94" s="31"/>
      <c r="H94" s="408" t="s">
        <v>227</v>
      </c>
      <c r="I94" s="409"/>
      <c r="J94" s="409"/>
      <c r="K94" s="409"/>
      <c r="L94" s="410"/>
      <c r="M94" s="19">
        <v>5</v>
      </c>
      <c r="N94" s="19">
        <v>2</v>
      </c>
      <c r="O94" s="19">
        <v>5</v>
      </c>
      <c r="P94" s="19">
        <v>5</v>
      </c>
      <c r="Q94" s="19">
        <v>5</v>
      </c>
      <c r="R94" s="19">
        <v>5</v>
      </c>
    </row>
    <row r="95" spans="2:18" ht="53.25" hidden="1" customHeight="1" outlineLevel="1" x14ac:dyDescent="0.25">
      <c r="B95" s="27" t="s">
        <v>232</v>
      </c>
      <c r="C95" s="27"/>
      <c r="D95" s="19"/>
      <c r="E95" s="31"/>
      <c r="F95" s="31"/>
      <c r="G95" s="31"/>
      <c r="H95" s="408" t="s">
        <v>233</v>
      </c>
      <c r="I95" s="409"/>
      <c r="J95" s="409"/>
      <c r="K95" s="409"/>
      <c r="L95" s="410"/>
      <c r="M95" s="19">
        <v>6</v>
      </c>
      <c r="N95" s="19">
        <v>3</v>
      </c>
      <c r="O95" s="19">
        <v>7</v>
      </c>
      <c r="P95" s="19">
        <v>7</v>
      </c>
      <c r="Q95" s="19">
        <v>7</v>
      </c>
      <c r="R95" s="19">
        <v>7</v>
      </c>
    </row>
    <row r="96" spans="2:18" ht="53.25" hidden="1" customHeight="1" outlineLevel="1" x14ac:dyDescent="0.25">
      <c r="B96" s="27" t="s">
        <v>234</v>
      </c>
      <c r="C96" s="27"/>
      <c r="D96" s="19"/>
      <c r="E96" s="31"/>
      <c r="F96" s="31"/>
      <c r="G96" s="31"/>
      <c r="H96" s="408" t="s">
        <v>235</v>
      </c>
      <c r="I96" s="409"/>
      <c r="J96" s="409"/>
      <c r="K96" s="409"/>
      <c r="L96" s="410"/>
      <c r="M96" s="19">
        <v>8</v>
      </c>
      <c r="N96" s="19">
        <v>4</v>
      </c>
      <c r="O96" s="19">
        <v>10</v>
      </c>
      <c r="P96" s="19">
        <v>9</v>
      </c>
      <c r="Q96" s="19">
        <v>11</v>
      </c>
      <c r="R96" s="19">
        <v>11</v>
      </c>
    </row>
    <row r="97" spans="2:18" ht="53.25" hidden="1" customHeight="1" outlineLevel="1" x14ac:dyDescent="0.25">
      <c r="B97" s="27" t="s">
        <v>236</v>
      </c>
      <c r="C97" s="27"/>
      <c r="D97" s="19"/>
      <c r="E97" s="31"/>
      <c r="F97" s="31"/>
      <c r="G97" s="31"/>
      <c r="H97" s="408" t="s">
        <v>237</v>
      </c>
      <c r="I97" s="409"/>
      <c r="J97" s="409"/>
      <c r="K97" s="409"/>
      <c r="L97" s="410"/>
      <c r="M97" s="19">
        <v>9</v>
      </c>
      <c r="N97" s="19">
        <v>4</v>
      </c>
      <c r="O97" s="19">
        <v>11</v>
      </c>
      <c r="P97" s="19">
        <v>10</v>
      </c>
      <c r="Q97" s="19">
        <v>13</v>
      </c>
      <c r="R97" s="19">
        <v>13</v>
      </c>
    </row>
    <row r="98" spans="2:18" ht="53.25" hidden="1" customHeight="1" outlineLevel="1" x14ac:dyDescent="0.25">
      <c r="B98" s="27" t="s">
        <v>238</v>
      </c>
      <c r="C98" s="27"/>
      <c r="D98" s="19"/>
      <c r="E98" s="31"/>
      <c r="F98" s="31"/>
      <c r="G98" s="31"/>
      <c r="H98" s="408" t="s">
        <v>239</v>
      </c>
      <c r="I98" s="409"/>
      <c r="J98" s="409"/>
      <c r="K98" s="409"/>
      <c r="L98" s="410"/>
      <c r="M98" s="19">
        <v>10</v>
      </c>
      <c r="N98" s="19">
        <v>5</v>
      </c>
      <c r="O98" s="19">
        <v>12</v>
      </c>
      <c r="P98" s="19">
        <v>11</v>
      </c>
      <c r="Q98" s="19">
        <v>14</v>
      </c>
      <c r="R98" s="19">
        <v>14</v>
      </c>
    </row>
    <row r="99" spans="2:18" ht="53.25" customHeight="1" collapsed="1" x14ac:dyDescent="0.25">
      <c r="B99" s="19">
        <v>5</v>
      </c>
      <c r="C99" s="406" t="s">
        <v>240</v>
      </c>
      <c r="D99" s="407"/>
      <c r="E99" s="422" t="s">
        <v>241</v>
      </c>
      <c r="F99" s="422"/>
      <c r="G99" s="422"/>
      <c r="H99" s="408" t="s">
        <v>250</v>
      </c>
      <c r="I99" s="409"/>
      <c r="J99" s="409"/>
      <c r="K99" s="409"/>
      <c r="L99" s="410"/>
      <c r="M99" s="19">
        <f t="shared" ref="M99:R99" ca="1" si="4">IF(D24="Да",SUMIF($H100:$L104,$H99,M100:M104),0)</f>
        <v>3</v>
      </c>
      <c r="N99" s="19">
        <f t="shared" si="4"/>
        <v>0</v>
      </c>
      <c r="O99" s="19">
        <f t="shared" si="4"/>
        <v>0</v>
      </c>
      <c r="P99" s="19">
        <f t="shared" ca="1" si="4"/>
        <v>4</v>
      </c>
      <c r="Q99" s="19">
        <f t="shared" si="4"/>
        <v>0</v>
      </c>
      <c r="R99" s="19">
        <f t="shared" si="4"/>
        <v>0</v>
      </c>
    </row>
    <row r="100" spans="2:18" ht="53.25" hidden="1" customHeight="1" outlineLevel="1" x14ac:dyDescent="0.25">
      <c r="B100" s="27" t="s">
        <v>243</v>
      </c>
      <c r="C100" s="27"/>
      <c r="D100" s="19"/>
      <c r="E100" s="31"/>
      <c r="F100" s="31"/>
      <c r="G100" s="31"/>
      <c r="H100" s="408" t="s">
        <v>244</v>
      </c>
      <c r="I100" s="409"/>
      <c r="J100" s="409"/>
      <c r="K100" s="409"/>
      <c r="L100" s="410"/>
      <c r="M100" s="19">
        <v>1</v>
      </c>
      <c r="N100" s="19">
        <v>1</v>
      </c>
      <c r="O100" s="19">
        <v>1</v>
      </c>
      <c r="P100" s="19">
        <v>1</v>
      </c>
      <c r="Q100" s="19">
        <v>1</v>
      </c>
      <c r="R100" s="19">
        <v>1</v>
      </c>
    </row>
    <row r="101" spans="2:18" ht="53.25" hidden="1" customHeight="1" outlineLevel="1" x14ac:dyDescent="0.25">
      <c r="B101" s="27" t="s">
        <v>245</v>
      </c>
      <c r="C101" s="27"/>
      <c r="D101" s="19"/>
      <c r="E101" s="31"/>
      <c r="F101" s="31"/>
      <c r="G101" s="31"/>
      <c r="H101" s="408" t="s">
        <v>246</v>
      </c>
      <c r="I101" s="409"/>
      <c r="J101" s="409"/>
      <c r="K101" s="409"/>
      <c r="L101" s="410"/>
      <c r="M101" s="19">
        <v>1</v>
      </c>
      <c r="N101" s="19">
        <v>1</v>
      </c>
      <c r="O101" s="19">
        <v>2</v>
      </c>
      <c r="P101" s="19">
        <v>1</v>
      </c>
      <c r="Q101" s="19">
        <v>2</v>
      </c>
      <c r="R101" s="19">
        <v>2</v>
      </c>
    </row>
    <row r="102" spans="2:18" ht="53.25" hidden="1" customHeight="1" outlineLevel="1" x14ac:dyDescent="0.25">
      <c r="B102" s="27" t="s">
        <v>247</v>
      </c>
      <c r="C102" s="27"/>
      <c r="D102" s="19"/>
      <c r="E102" s="31"/>
      <c r="F102" s="31"/>
      <c r="G102" s="31"/>
      <c r="H102" s="408" t="s">
        <v>248</v>
      </c>
      <c r="I102" s="409"/>
      <c r="J102" s="409"/>
      <c r="K102" s="409"/>
      <c r="L102" s="410"/>
      <c r="M102" s="19">
        <v>2</v>
      </c>
      <c r="N102" s="19">
        <v>2</v>
      </c>
      <c r="O102" s="19">
        <v>2</v>
      </c>
      <c r="P102" s="19">
        <v>2</v>
      </c>
      <c r="Q102" s="19">
        <v>3</v>
      </c>
      <c r="R102" s="19">
        <v>3</v>
      </c>
    </row>
    <row r="103" spans="2:18" ht="53.25" hidden="1" customHeight="1" outlineLevel="1" x14ac:dyDescent="0.25">
      <c r="B103" s="27" t="s">
        <v>249</v>
      </c>
      <c r="C103" s="27"/>
      <c r="D103" s="19"/>
      <c r="E103" s="31"/>
      <c r="F103" s="31"/>
      <c r="G103" s="31"/>
      <c r="H103" s="408" t="s">
        <v>250</v>
      </c>
      <c r="I103" s="409"/>
      <c r="J103" s="409"/>
      <c r="K103" s="409"/>
      <c r="L103" s="410"/>
      <c r="M103" s="19">
        <v>3</v>
      </c>
      <c r="N103" s="19">
        <v>2</v>
      </c>
      <c r="O103" s="19">
        <v>3</v>
      </c>
      <c r="P103" s="19">
        <v>4</v>
      </c>
      <c r="Q103" s="19">
        <v>4</v>
      </c>
      <c r="R103" s="19">
        <v>4</v>
      </c>
    </row>
    <row r="104" spans="2:18" ht="53.25" hidden="1" customHeight="1" outlineLevel="1" x14ac:dyDescent="0.25">
      <c r="B104" s="27" t="s">
        <v>251</v>
      </c>
      <c r="C104" s="27"/>
      <c r="D104" s="19"/>
      <c r="E104" s="31"/>
      <c r="F104" s="31"/>
      <c r="G104" s="31"/>
      <c r="H104" s="408" t="s">
        <v>242</v>
      </c>
      <c r="I104" s="409"/>
      <c r="J104" s="409"/>
      <c r="K104" s="409"/>
      <c r="L104" s="410"/>
      <c r="M104" s="19">
        <v>5</v>
      </c>
      <c r="N104" s="19">
        <v>3</v>
      </c>
      <c r="O104" s="19">
        <v>5</v>
      </c>
      <c r="P104" s="19">
        <v>7</v>
      </c>
      <c r="Q104" s="19">
        <v>7</v>
      </c>
      <c r="R104" s="19">
        <v>7</v>
      </c>
    </row>
    <row r="105" spans="2:18" ht="53.25" customHeight="1" collapsed="1" x14ac:dyDescent="0.25">
      <c r="B105" s="19">
        <v>6</v>
      </c>
      <c r="C105" s="406" t="s">
        <v>252</v>
      </c>
      <c r="D105" s="407"/>
      <c r="E105" s="422" t="s">
        <v>253</v>
      </c>
      <c r="F105" s="422"/>
      <c r="G105" s="422"/>
      <c r="H105" s="408" t="s">
        <v>184</v>
      </c>
      <c r="I105" s="409"/>
      <c r="J105" s="409"/>
      <c r="K105" s="409"/>
      <c r="L105" s="410"/>
      <c r="M105" s="19">
        <f t="shared" ref="M105:R105" ca="1" si="5">IF(D24="Да",SUMIF($H106:$L119,$H105,M106:M119),0)</f>
        <v>1</v>
      </c>
      <c r="N105" s="19">
        <f t="shared" si="5"/>
        <v>0</v>
      </c>
      <c r="O105" s="19">
        <f t="shared" si="5"/>
        <v>0</v>
      </c>
      <c r="P105" s="19">
        <f t="shared" ca="1" si="5"/>
        <v>1</v>
      </c>
      <c r="Q105" s="19">
        <f t="shared" si="5"/>
        <v>0</v>
      </c>
      <c r="R105" s="19">
        <f t="shared" si="5"/>
        <v>0</v>
      </c>
    </row>
    <row r="106" spans="2:18" ht="53.25" hidden="1" customHeight="1" outlineLevel="1" x14ac:dyDescent="0.25">
      <c r="B106" s="27" t="s">
        <v>254</v>
      </c>
      <c r="C106" s="27"/>
      <c r="D106" s="19"/>
      <c r="E106" s="31"/>
      <c r="F106" s="31"/>
      <c r="G106" s="31"/>
      <c r="H106" s="408" t="s">
        <v>184</v>
      </c>
      <c r="I106" s="409"/>
      <c r="J106" s="409"/>
      <c r="K106" s="409"/>
      <c r="L106" s="410"/>
      <c r="M106" s="19">
        <v>1</v>
      </c>
      <c r="N106" s="19">
        <v>1</v>
      </c>
      <c r="O106" s="19">
        <v>1</v>
      </c>
      <c r="P106" s="19">
        <v>1</v>
      </c>
      <c r="Q106" s="19">
        <v>1</v>
      </c>
      <c r="R106" s="19">
        <v>1</v>
      </c>
    </row>
    <row r="107" spans="2:18" ht="53.25" hidden="1" customHeight="1" outlineLevel="1" x14ac:dyDescent="0.25">
      <c r="B107" s="27" t="s">
        <v>255</v>
      </c>
      <c r="C107" s="27"/>
      <c r="D107" s="19"/>
      <c r="E107" s="31"/>
      <c r="F107" s="31"/>
      <c r="G107" s="31"/>
      <c r="H107" s="408" t="s">
        <v>186</v>
      </c>
      <c r="I107" s="409"/>
      <c r="J107" s="409"/>
      <c r="K107" s="409"/>
      <c r="L107" s="410"/>
      <c r="M107" s="19">
        <v>2</v>
      </c>
      <c r="N107" s="19">
        <v>1</v>
      </c>
      <c r="O107" s="19">
        <v>2</v>
      </c>
      <c r="P107" s="19">
        <v>2</v>
      </c>
      <c r="Q107" s="19">
        <v>2</v>
      </c>
      <c r="R107" s="19">
        <v>2</v>
      </c>
    </row>
    <row r="108" spans="2:18" ht="53.25" hidden="1" customHeight="1" outlineLevel="1" x14ac:dyDescent="0.25">
      <c r="B108" s="27" t="s">
        <v>256</v>
      </c>
      <c r="C108" s="27"/>
      <c r="D108" s="19"/>
      <c r="E108" s="31"/>
      <c r="F108" s="31"/>
      <c r="G108" s="31"/>
      <c r="H108" s="408" t="s">
        <v>188</v>
      </c>
      <c r="I108" s="409"/>
      <c r="J108" s="409"/>
      <c r="K108" s="409"/>
      <c r="L108" s="410"/>
      <c r="M108" s="19">
        <v>2</v>
      </c>
      <c r="N108" s="19">
        <v>2</v>
      </c>
      <c r="O108" s="19">
        <v>3</v>
      </c>
      <c r="P108" s="19">
        <v>3</v>
      </c>
      <c r="Q108" s="19">
        <v>3</v>
      </c>
      <c r="R108" s="19">
        <v>3</v>
      </c>
    </row>
    <row r="109" spans="2:18" ht="53.25" hidden="1" customHeight="1" outlineLevel="1" x14ac:dyDescent="0.25">
      <c r="B109" s="27" t="s">
        <v>257</v>
      </c>
      <c r="C109" s="27"/>
      <c r="D109" s="19"/>
      <c r="E109" s="31"/>
      <c r="F109" s="31"/>
      <c r="G109" s="31"/>
      <c r="H109" s="408" t="s">
        <v>190</v>
      </c>
      <c r="I109" s="409"/>
      <c r="J109" s="409"/>
      <c r="K109" s="409"/>
      <c r="L109" s="410"/>
      <c r="M109" s="19">
        <v>3</v>
      </c>
      <c r="N109" s="19">
        <v>2</v>
      </c>
      <c r="O109" s="19">
        <v>4</v>
      </c>
      <c r="P109" s="19">
        <v>4</v>
      </c>
      <c r="Q109" s="19">
        <v>4</v>
      </c>
      <c r="R109" s="19">
        <v>4</v>
      </c>
    </row>
    <row r="110" spans="2:18" ht="53.25" hidden="1" customHeight="1" outlineLevel="1" x14ac:dyDescent="0.25">
      <c r="B110" s="27" t="s">
        <v>258</v>
      </c>
      <c r="C110" s="27"/>
      <c r="D110" s="19"/>
      <c r="E110" s="31"/>
      <c r="F110" s="31"/>
      <c r="G110" s="31"/>
      <c r="H110" s="408" t="s">
        <v>192</v>
      </c>
      <c r="I110" s="409"/>
      <c r="J110" s="409"/>
      <c r="K110" s="409"/>
      <c r="L110" s="410"/>
      <c r="M110" s="19">
        <v>3</v>
      </c>
      <c r="N110" s="19">
        <v>3</v>
      </c>
      <c r="O110" s="19">
        <v>5</v>
      </c>
      <c r="P110" s="19">
        <v>5</v>
      </c>
      <c r="Q110" s="19">
        <v>5</v>
      </c>
      <c r="R110" s="19">
        <v>5</v>
      </c>
    </row>
    <row r="111" spans="2:18" ht="53.25" hidden="1" customHeight="1" outlineLevel="1" x14ac:dyDescent="0.25">
      <c r="B111" s="27" t="s">
        <v>259</v>
      </c>
      <c r="C111" s="27"/>
      <c r="D111" s="19"/>
      <c r="E111" s="31"/>
      <c r="F111" s="31"/>
      <c r="G111" s="31"/>
      <c r="H111" s="408" t="s">
        <v>194</v>
      </c>
      <c r="I111" s="409"/>
      <c r="J111" s="409"/>
      <c r="K111" s="409"/>
      <c r="L111" s="410"/>
      <c r="M111" s="19">
        <v>4</v>
      </c>
      <c r="N111" s="19">
        <v>3</v>
      </c>
      <c r="O111" s="19">
        <v>6</v>
      </c>
      <c r="P111" s="19">
        <v>6</v>
      </c>
      <c r="Q111" s="19">
        <v>6</v>
      </c>
      <c r="R111" s="19">
        <v>6</v>
      </c>
    </row>
    <row r="112" spans="2:18" ht="53.25" hidden="1" customHeight="1" outlineLevel="1" x14ac:dyDescent="0.25">
      <c r="B112" s="27" t="s">
        <v>260</v>
      </c>
      <c r="C112" s="27"/>
      <c r="D112" s="19"/>
      <c r="E112" s="31"/>
      <c r="F112" s="31"/>
      <c r="G112" s="31"/>
      <c r="H112" s="408" t="s">
        <v>196</v>
      </c>
      <c r="I112" s="409"/>
      <c r="J112" s="409"/>
      <c r="K112" s="409"/>
      <c r="L112" s="410"/>
      <c r="M112" s="19">
        <v>4</v>
      </c>
      <c r="N112" s="19">
        <v>4</v>
      </c>
      <c r="O112" s="19">
        <v>7</v>
      </c>
      <c r="P112" s="19">
        <v>7</v>
      </c>
      <c r="Q112" s="19">
        <v>7</v>
      </c>
      <c r="R112" s="19">
        <v>7</v>
      </c>
    </row>
    <row r="113" spans="2:18" ht="53.25" hidden="1" customHeight="1" outlineLevel="1" x14ac:dyDescent="0.25">
      <c r="B113" s="27" t="s">
        <v>261</v>
      </c>
      <c r="C113" s="27"/>
      <c r="D113" s="19"/>
      <c r="E113" s="31"/>
      <c r="F113" s="31"/>
      <c r="G113" s="31"/>
      <c r="H113" s="408" t="s">
        <v>182</v>
      </c>
      <c r="I113" s="409"/>
      <c r="J113" s="409"/>
      <c r="K113" s="409"/>
      <c r="L113" s="410"/>
      <c r="M113" s="19">
        <v>5</v>
      </c>
      <c r="N113" s="19">
        <v>4</v>
      </c>
      <c r="O113" s="19">
        <v>8</v>
      </c>
      <c r="P113" s="19">
        <v>8</v>
      </c>
      <c r="Q113" s="19">
        <v>8</v>
      </c>
      <c r="R113" s="19">
        <v>8</v>
      </c>
    </row>
    <row r="114" spans="2:18" ht="53.25" hidden="1" customHeight="1" outlineLevel="1" x14ac:dyDescent="0.25">
      <c r="B114" s="27" t="s">
        <v>262</v>
      </c>
      <c r="C114" s="27"/>
      <c r="D114" s="19"/>
      <c r="E114" s="31"/>
      <c r="F114" s="31"/>
      <c r="G114" s="31"/>
      <c r="H114" s="408" t="s">
        <v>199</v>
      </c>
      <c r="I114" s="409"/>
      <c r="J114" s="409"/>
      <c r="K114" s="409"/>
      <c r="L114" s="410"/>
      <c r="M114" s="19">
        <v>5</v>
      </c>
      <c r="N114" s="19">
        <v>5</v>
      </c>
      <c r="O114" s="19">
        <v>9</v>
      </c>
      <c r="P114" s="19">
        <v>9</v>
      </c>
      <c r="Q114" s="19">
        <v>9</v>
      </c>
      <c r="R114" s="19">
        <v>9</v>
      </c>
    </row>
    <row r="115" spans="2:18" ht="53.25" hidden="1" customHeight="1" outlineLevel="1" x14ac:dyDescent="0.25">
      <c r="B115" s="27" t="s">
        <v>263</v>
      </c>
      <c r="C115" s="27"/>
      <c r="D115" s="19"/>
      <c r="E115" s="31"/>
      <c r="F115" s="31"/>
      <c r="G115" s="31"/>
      <c r="H115" s="408" t="s">
        <v>201</v>
      </c>
      <c r="I115" s="409"/>
      <c r="J115" s="409"/>
      <c r="K115" s="409"/>
      <c r="L115" s="410"/>
      <c r="M115" s="19">
        <v>6</v>
      </c>
      <c r="N115" s="19">
        <v>5</v>
      </c>
      <c r="O115" s="19">
        <v>10</v>
      </c>
      <c r="P115" s="19">
        <v>10</v>
      </c>
      <c r="Q115" s="19">
        <v>10</v>
      </c>
      <c r="R115" s="19">
        <v>10</v>
      </c>
    </row>
    <row r="116" spans="2:18" ht="53.25" hidden="1" customHeight="1" outlineLevel="1" x14ac:dyDescent="0.25">
      <c r="B116" s="27" t="s">
        <v>264</v>
      </c>
      <c r="C116" s="27"/>
      <c r="D116" s="19"/>
      <c r="E116" s="31"/>
      <c r="F116" s="31"/>
      <c r="G116" s="31"/>
      <c r="H116" s="408" t="s">
        <v>203</v>
      </c>
      <c r="I116" s="409"/>
      <c r="J116" s="409"/>
      <c r="K116" s="409"/>
      <c r="L116" s="410"/>
      <c r="M116" s="19">
        <v>7</v>
      </c>
      <c r="N116" s="19">
        <v>6</v>
      </c>
      <c r="O116" s="19">
        <v>11</v>
      </c>
      <c r="P116" s="19">
        <v>11</v>
      </c>
      <c r="Q116" s="19">
        <v>11</v>
      </c>
      <c r="R116" s="19">
        <v>11</v>
      </c>
    </row>
    <row r="117" spans="2:18" ht="53.25" hidden="1" customHeight="1" outlineLevel="1" x14ac:dyDescent="0.25">
      <c r="B117" s="27" t="s">
        <v>265</v>
      </c>
      <c r="C117" s="27"/>
      <c r="D117" s="19"/>
      <c r="E117" s="31"/>
      <c r="F117" s="31"/>
      <c r="G117" s="31"/>
      <c r="H117" s="408" t="s">
        <v>205</v>
      </c>
      <c r="I117" s="409"/>
      <c r="J117" s="409"/>
      <c r="K117" s="409"/>
      <c r="L117" s="410"/>
      <c r="M117" s="19">
        <v>8</v>
      </c>
      <c r="N117" s="19">
        <v>6</v>
      </c>
      <c r="O117" s="19">
        <v>12</v>
      </c>
      <c r="P117" s="19">
        <v>12</v>
      </c>
      <c r="Q117" s="19">
        <v>12</v>
      </c>
      <c r="R117" s="19">
        <v>12</v>
      </c>
    </row>
    <row r="118" spans="2:18" ht="53.25" hidden="1" customHeight="1" outlineLevel="1" x14ac:dyDescent="0.25">
      <c r="B118" s="27" t="s">
        <v>266</v>
      </c>
      <c r="C118" s="27"/>
      <c r="D118" s="19"/>
      <c r="E118" s="31"/>
      <c r="F118" s="31"/>
      <c r="G118" s="31"/>
      <c r="H118" s="408" t="s">
        <v>207</v>
      </c>
      <c r="I118" s="409"/>
      <c r="J118" s="409"/>
      <c r="K118" s="409"/>
      <c r="L118" s="410"/>
      <c r="M118" s="19">
        <v>9</v>
      </c>
      <c r="N118" s="19">
        <v>7</v>
      </c>
      <c r="O118" s="19">
        <v>13</v>
      </c>
      <c r="P118" s="19">
        <v>13</v>
      </c>
      <c r="Q118" s="19">
        <v>13</v>
      </c>
      <c r="R118" s="19">
        <v>13</v>
      </c>
    </row>
    <row r="119" spans="2:18" ht="53.25" hidden="1" customHeight="1" outlineLevel="1" x14ac:dyDescent="0.25">
      <c r="B119" s="27" t="s">
        <v>267</v>
      </c>
      <c r="C119" s="27"/>
      <c r="D119" s="19"/>
      <c r="E119" s="31"/>
      <c r="F119" s="31"/>
      <c r="G119" s="31"/>
      <c r="H119" s="408" t="s">
        <v>209</v>
      </c>
      <c r="I119" s="409"/>
      <c r="J119" s="409"/>
      <c r="K119" s="409"/>
      <c r="L119" s="410"/>
      <c r="M119" s="19">
        <v>1</v>
      </c>
      <c r="N119" s="19">
        <v>1</v>
      </c>
      <c r="O119" s="19">
        <v>1</v>
      </c>
      <c r="P119" s="19">
        <v>1</v>
      </c>
      <c r="Q119" s="19">
        <v>1</v>
      </c>
      <c r="R119" s="19">
        <v>1</v>
      </c>
    </row>
    <row r="120" spans="2:18" ht="53.25" customHeight="1" collapsed="1" x14ac:dyDescent="0.25">
      <c r="B120" s="19">
        <v>7</v>
      </c>
      <c r="C120" s="406" t="s">
        <v>268</v>
      </c>
      <c r="D120" s="407"/>
      <c r="E120" s="422" t="s">
        <v>269</v>
      </c>
      <c r="F120" s="422"/>
      <c r="G120" s="422"/>
      <c r="H120" s="408" t="s">
        <v>173</v>
      </c>
      <c r="I120" s="409"/>
      <c r="J120" s="409"/>
      <c r="K120" s="409"/>
      <c r="L120" s="410"/>
      <c r="M120" s="19">
        <f t="shared" ref="M120:R120" ca="1" si="6">IF(D24="Да",SUMIF($H121:$L134,$H120,M121:M134),0)</f>
        <v>1</v>
      </c>
      <c r="N120" s="19">
        <f t="shared" si="6"/>
        <v>0</v>
      </c>
      <c r="O120" s="19">
        <f t="shared" si="6"/>
        <v>0</v>
      </c>
      <c r="P120" s="19">
        <f t="shared" ca="1" si="6"/>
        <v>1</v>
      </c>
      <c r="Q120" s="19">
        <f t="shared" si="6"/>
        <v>0</v>
      </c>
      <c r="R120" s="19">
        <f t="shared" si="6"/>
        <v>0</v>
      </c>
    </row>
    <row r="121" spans="2:18" ht="53.25" hidden="1" customHeight="1" outlineLevel="1" x14ac:dyDescent="0.25">
      <c r="B121" s="27">
        <v>7.22</v>
      </c>
      <c r="C121" s="28"/>
      <c r="D121" s="29"/>
      <c r="E121" s="32"/>
      <c r="F121" s="32"/>
      <c r="G121" s="32"/>
      <c r="H121" s="408" t="s">
        <v>173</v>
      </c>
      <c r="I121" s="409"/>
      <c r="J121" s="409"/>
      <c r="K121" s="409"/>
      <c r="L121" s="410"/>
      <c r="M121" s="19">
        <v>1</v>
      </c>
      <c r="N121" s="19">
        <v>1</v>
      </c>
      <c r="O121" s="19">
        <v>1</v>
      </c>
      <c r="P121" s="19">
        <v>1</v>
      </c>
      <c r="Q121" s="19">
        <v>1</v>
      </c>
      <c r="R121" s="19">
        <v>1</v>
      </c>
    </row>
    <row r="122" spans="2:18" ht="53.25" hidden="1" customHeight="1" outlineLevel="1" x14ac:dyDescent="0.25">
      <c r="B122" s="27" t="s">
        <v>229</v>
      </c>
      <c r="C122" s="28"/>
      <c r="D122" s="29"/>
      <c r="E122" s="32"/>
      <c r="F122" s="32"/>
      <c r="G122" s="32"/>
      <c r="H122" s="408" t="s">
        <v>174</v>
      </c>
      <c r="I122" s="409"/>
      <c r="J122" s="409"/>
      <c r="K122" s="409"/>
      <c r="L122" s="410"/>
      <c r="M122" s="19">
        <v>2</v>
      </c>
      <c r="N122" s="19">
        <v>1</v>
      </c>
      <c r="O122" s="19">
        <v>2</v>
      </c>
      <c r="P122" s="19">
        <v>2</v>
      </c>
      <c r="Q122" s="19">
        <v>2</v>
      </c>
      <c r="R122" s="19">
        <v>2</v>
      </c>
    </row>
    <row r="123" spans="2:18" ht="53.25" hidden="1" customHeight="1" outlineLevel="1" x14ac:dyDescent="0.25">
      <c r="B123" s="27" t="s">
        <v>231</v>
      </c>
      <c r="C123" s="28"/>
      <c r="D123" s="29"/>
      <c r="E123" s="32"/>
      <c r="F123" s="32"/>
      <c r="G123" s="32"/>
      <c r="H123" s="408" t="s">
        <v>172</v>
      </c>
      <c r="I123" s="409"/>
      <c r="J123" s="409"/>
      <c r="K123" s="409"/>
      <c r="L123" s="410"/>
      <c r="M123" s="19">
        <v>3</v>
      </c>
      <c r="N123" s="19">
        <v>2</v>
      </c>
      <c r="O123" s="19">
        <v>3</v>
      </c>
      <c r="P123" s="19">
        <v>3</v>
      </c>
      <c r="Q123" s="19">
        <v>3</v>
      </c>
      <c r="R123" s="19">
        <v>3</v>
      </c>
    </row>
    <row r="124" spans="2:18" ht="53.25" hidden="1" customHeight="1" outlineLevel="1" x14ac:dyDescent="0.25">
      <c r="B124" s="27" t="s">
        <v>232</v>
      </c>
      <c r="C124" s="28"/>
      <c r="D124" s="29"/>
      <c r="E124" s="32"/>
      <c r="F124" s="32"/>
      <c r="G124" s="32"/>
      <c r="H124" s="408" t="s">
        <v>271</v>
      </c>
      <c r="I124" s="409"/>
      <c r="J124" s="409"/>
      <c r="K124" s="409"/>
      <c r="L124" s="410"/>
      <c r="M124" s="19">
        <v>3</v>
      </c>
      <c r="N124" s="19">
        <v>2</v>
      </c>
      <c r="O124" s="19">
        <v>4</v>
      </c>
      <c r="P124" s="19">
        <v>4</v>
      </c>
      <c r="Q124" s="19">
        <v>4</v>
      </c>
      <c r="R124" s="19">
        <v>4</v>
      </c>
    </row>
    <row r="125" spans="2:18" ht="53.25" hidden="1" customHeight="1" outlineLevel="1" x14ac:dyDescent="0.25">
      <c r="B125" s="27" t="s">
        <v>234</v>
      </c>
      <c r="C125" s="28"/>
      <c r="D125" s="29"/>
      <c r="E125" s="32"/>
      <c r="F125" s="32"/>
      <c r="G125" s="32"/>
      <c r="H125" s="408" t="s">
        <v>272</v>
      </c>
      <c r="I125" s="409"/>
      <c r="J125" s="409"/>
      <c r="K125" s="409"/>
      <c r="L125" s="410"/>
      <c r="M125" s="19">
        <v>4</v>
      </c>
      <c r="N125" s="19">
        <v>3</v>
      </c>
      <c r="O125" s="19">
        <v>5</v>
      </c>
      <c r="P125" s="19">
        <v>5</v>
      </c>
      <c r="Q125" s="19">
        <v>5</v>
      </c>
      <c r="R125" s="19">
        <v>5</v>
      </c>
    </row>
    <row r="126" spans="2:18" ht="53.25" hidden="1" customHeight="1" outlineLevel="1" x14ac:dyDescent="0.25">
      <c r="B126" s="27" t="s">
        <v>236</v>
      </c>
      <c r="C126" s="28"/>
      <c r="D126" s="29"/>
      <c r="E126" s="32"/>
      <c r="F126" s="32"/>
      <c r="G126" s="32"/>
      <c r="H126" s="408" t="s">
        <v>273</v>
      </c>
      <c r="I126" s="409"/>
      <c r="J126" s="409"/>
      <c r="K126" s="409"/>
      <c r="L126" s="410"/>
      <c r="M126" s="19">
        <v>4</v>
      </c>
      <c r="N126" s="19">
        <v>3</v>
      </c>
      <c r="O126" s="19">
        <v>6</v>
      </c>
      <c r="P126" s="19">
        <v>6</v>
      </c>
      <c r="Q126" s="19">
        <v>6</v>
      </c>
      <c r="R126" s="19">
        <v>6</v>
      </c>
    </row>
    <row r="127" spans="2:18" ht="53.25" hidden="1" customHeight="1" outlineLevel="1" x14ac:dyDescent="0.25">
      <c r="B127" s="27" t="s">
        <v>238</v>
      </c>
      <c r="C127" s="28"/>
      <c r="D127" s="29"/>
      <c r="E127" s="32"/>
      <c r="F127" s="32"/>
      <c r="G127" s="32"/>
      <c r="H127" s="408" t="s">
        <v>274</v>
      </c>
      <c r="I127" s="409"/>
      <c r="J127" s="409"/>
      <c r="K127" s="409"/>
      <c r="L127" s="410"/>
      <c r="M127" s="19">
        <v>5</v>
      </c>
      <c r="N127" s="19">
        <v>4</v>
      </c>
      <c r="O127" s="19">
        <v>7</v>
      </c>
      <c r="P127" s="19">
        <v>7</v>
      </c>
      <c r="Q127" s="19">
        <v>7</v>
      </c>
      <c r="R127" s="19">
        <v>7</v>
      </c>
    </row>
    <row r="128" spans="2:18" ht="53.25" hidden="1" customHeight="1" outlineLevel="1" x14ac:dyDescent="0.25">
      <c r="B128" s="27" t="s">
        <v>275</v>
      </c>
      <c r="C128" s="28"/>
      <c r="D128" s="29"/>
      <c r="E128" s="32"/>
      <c r="F128" s="32"/>
      <c r="G128" s="32"/>
      <c r="H128" s="408" t="s">
        <v>276</v>
      </c>
      <c r="I128" s="409"/>
      <c r="J128" s="409"/>
      <c r="K128" s="409"/>
      <c r="L128" s="410"/>
      <c r="M128" s="19">
        <v>5</v>
      </c>
      <c r="N128" s="19">
        <v>4</v>
      </c>
      <c r="O128" s="19">
        <v>8</v>
      </c>
      <c r="P128" s="19">
        <v>8</v>
      </c>
      <c r="Q128" s="19">
        <v>8</v>
      </c>
      <c r="R128" s="19">
        <v>8</v>
      </c>
    </row>
    <row r="129" spans="2:23" ht="53.25" hidden="1" customHeight="1" outlineLevel="1" x14ac:dyDescent="0.25">
      <c r="B129" s="27" t="s">
        <v>277</v>
      </c>
      <c r="C129" s="28"/>
      <c r="D129" s="29"/>
      <c r="E129" s="32"/>
      <c r="F129" s="32"/>
      <c r="G129" s="32"/>
      <c r="H129" s="408" t="s">
        <v>278</v>
      </c>
      <c r="I129" s="409"/>
      <c r="J129" s="409"/>
      <c r="K129" s="409"/>
      <c r="L129" s="410"/>
      <c r="M129" s="19">
        <v>6</v>
      </c>
      <c r="N129" s="19">
        <v>5</v>
      </c>
      <c r="O129" s="19">
        <v>9</v>
      </c>
      <c r="P129" s="19">
        <v>9</v>
      </c>
      <c r="Q129" s="19">
        <v>9</v>
      </c>
      <c r="R129" s="19">
        <v>9</v>
      </c>
    </row>
    <row r="130" spans="2:23" ht="53.25" hidden="1" customHeight="1" outlineLevel="1" x14ac:dyDescent="0.25">
      <c r="B130" s="27">
        <v>7.22</v>
      </c>
      <c r="C130" s="28"/>
      <c r="D130" s="29"/>
      <c r="E130" s="32"/>
      <c r="F130" s="32"/>
      <c r="G130" s="32"/>
      <c r="H130" s="408" t="s">
        <v>279</v>
      </c>
      <c r="I130" s="409"/>
      <c r="J130" s="409"/>
      <c r="K130" s="409"/>
      <c r="L130" s="410"/>
      <c r="M130" s="19">
        <v>7</v>
      </c>
      <c r="N130" s="19">
        <v>5</v>
      </c>
      <c r="O130" s="19">
        <v>10</v>
      </c>
      <c r="P130" s="19">
        <v>10</v>
      </c>
      <c r="Q130" s="19">
        <v>10</v>
      </c>
      <c r="R130" s="19">
        <v>10</v>
      </c>
    </row>
    <row r="131" spans="2:23" ht="53.25" hidden="1" customHeight="1" outlineLevel="1" x14ac:dyDescent="0.25">
      <c r="B131" s="27">
        <v>7.2210000000000001</v>
      </c>
      <c r="C131" s="28"/>
      <c r="D131" s="29"/>
      <c r="E131" s="32"/>
      <c r="F131" s="32"/>
      <c r="G131" s="32"/>
      <c r="H131" s="408" t="s">
        <v>280</v>
      </c>
      <c r="I131" s="409"/>
      <c r="J131" s="409"/>
      <c r="K131" s="409"/>
      <c r="L131" s="410"/>
      <c r="M131" s="19">
        <v>8</v>
      </c>
      <c r="N131" s="19">
        <v>6</v>
      </c>
      <c r="O131" s="19">
        <v>11</v>
      </c>
      <c r="P131" s="19">
        <v>11</v>
      </c>
      <c r="Q131" s="19">
        <v>11</v>
      </c>
      <c r="R131" s="19">
        <v>11</v>
      </c>
    </row>
    <row r="132" spans="2:23" ht="53.25" hidden="1" customHeight="1" outlineLevel="1" x14ac:dyDescent="0.25">
      <c r="B132" s="27">
        <v>7.2220000000000004</v>
      </c>
      <c r="C132" s="28"/>
      <c r="D132" s="29"/>
      <c r="E132" s="32"/>
      <c r="F132" s="32"/>
      <c r="G132" s="32"/>
      <c r="H132" s="408" t="s">
        <v>270</v>
      </c>
      <c r="I132" s="409"/>
      <c r="J132" s="409"/>
      <c r="K132" s="409"/>
      <c r="L132" s="410"/>
      <c r="M132" s="19">
        <v>9</v>
      </c>
      <c r="N132" s="19">
        <v>6</v>
      </c>
      <c r="O132" s="19">
        <v>12</v>
      </c>
      <c r="P132" s="19">
        <v>12</v>
      </c>
      <c r="Q132" s="19">
        <v>12</v>
      </c>
      <c r="R132" s="19">
        <v>12</v>
      </c>
    </row>
    <row r="133" spans="2:23" ht="53.25" hidden="1" customHeight="1" outlineLevel="1" x14ac:dyDescent="0.25">
      <c r="B133" s="27">
        <v>7.2229999999999999</v>
      </c>
      <c r="C133" s="28"/>
      <c r="D133" s="29"/>
      <c r="E133" s="32"/>
      <c r="F133" s="32"/>
      <c r="G133" s="32"/>
      <c r="H133" s="408" t="s">
        <v>281</v>
      </c>
      <c r="I133" s="409"/>
      <c r="J133" s="409"/>
      <c r="K133" s="409"/>
      <c r="L133" s="410"/>
      <c r="M133" s="19">
        <v>10</v>
      </c>
      <c r="N133" s="19">
        <v>7</v>
      </c>
      <c r="O133" s="19">
        <v>13</v>
      </c>
      <c r="P133" s="19">
        <v>13</v>
      </c>
      <c r="Q133" s="19">
        <v>13</v>
      </c>
      <c r="R133" s="19">
        <v>13</v>
      </c>
    </row>
    <row r="134" spans="2:23" ht="53.25" hidden="1" customHeight="1" outlineLevel="1" x14ac:dyDescent="0.25">
      <c r="B134" s="27">
        <v>7.2240000000000002</v>
      </c>
      <c r="C134" s="28"/>
      <c r="D134" s="29"/>
      <c r="E134" s="32"/>
      <c r="F134" s="32"/>
      <c r="G134" s="32"/>
      <c r="H134" s="408" t="s">
        <v>282</v>
      </c>
      <c r="I134" s="409"/>
      <c r="J134" s="409"/>
      <c r="K134" s="409"/>
      <c r="L134" s="410"/>
      <c r="M134" s="19">
        <v>1</v>
      </c>
      <c r="N134" s="19">
        <v>1</v>
      </c>
      <c r="O134" s="19">
        <v>1</v>
      </c>
      <c r="P134" s="19">
        <v>1</v>
      </c>
      <c r="Q134" s="19">
        <v>1</v>
      </c>
      <c r="R134" s="19">
        <v>1</v>
      </c>
    </row>
    <row r="135" spans="2:23" ht="26.25" customHeight="1" collapsed="1" x14ac:dyDescent="0.25">
      <c r="B135" s="19">
        <v>8</v>
      </c>
      <c r="C135" s="29"/>
      <c r="D135" s="29"/>
      <c r="E135" s="12"/>
      <c r="F135" s="12"/>
      <c r="G135" s="12"/>
      <c r="H135" s="12"/>
      <c r="I135" s="12"/>
      <c r="J135" s="12"/>
      <c r="K135" s="12"/>
      <c r="L135" s="30" t="s">
        <v>210</v>
      </c>
      <c r="M135" s="19">
        <f ca="1">M71+M78+M86+M91+M99+M105+M120</f>
        <v>15</v>
      </c>
      <c r="N135" s="19">
        <f t="shared" ref="N135:R135" si="7">N71+N78+N86+N91+N99+N105+N120</f>
        <v>0</v>
      </c>
      <c r="O135" s="19">
        <f>O71+O78+O86+O91+O99+O105+O120</f>
        <v>0</v>
      </c>
      <c r="P135" s="19">
        <f t="shared" ca="1" si="7"/>
        <v>15</v>
      </c>
      <c r="Q135" s="19">
        <f t="shared" si="7"/>
        <v>0</v>
      </c>
      <c r="R135" s="19">
        <f t="shared" si="7"/>
        <v>0</v>
      </c>
    </row>
    <row r="136" spans="2:23" ht="26.25" customHeight="1" x14ac:dyDescent="0.25">
      <c r="B136" s="402" t="s">
        <v>283</v>
      </c>
      <c r="C136" s="403"/>
      <c r="D136" s="403"/>
      <c r="E136" s="403"/>
      <c r="F136" s="403"/>
      <c r="G136" s="403"/>
      <c r="H136" s="403"/>
      <c r="I136" s="403"/>
      <c r="J136" s="403"/>
      <c r="K136" s="403"/>
      <c r="L136" s="403"/>
      <c r="M136" s="403"/>
      <c r="N136" s="403"/>
      <c r="O136" s="403"/>
      <c r="P136" s="403"/>
      <c r="Q136" s="403"/>
      <c r="R136" s="412"/>
    </row>
    <row r="137" spans="2:23" ht="26.25" customHeight="1" x14ac:dyDescent="0.25">
      <c r="B137" s="413" t="s">
        <v>42</v>
      </c>
      <c r="C137" s="417" t="s">
        <v>284</v>
      </c>
      <c r="D137" s="419"/>
      <c r="E137" s="419"/>
      <c r="F137" s="419"/>
      <c r="G137" s="419"/>
      <c r="H137" s="419"/>
      <c r="I137" s="418"/>
      <c r="J137" s="413" t="s">
        <v>285</v>
      </c>
      <c r="K137" s="413"/>
      <c r="L137" s="413"/>
      <c r="M137" s="413"/>
      <c r="N137" s="413"/>
      <c r="O137" s="413"/>
      <c r="P137" s="413"/>
      <c r="Q137" s="413"/>
      <c r="R137" s="413"/>
    </row>
    <row r="138" spans="2:23" ht="22.5" customHeight="1" x14ac:dyDescent="0.25">
      <c r="B138" s="413"/>
      <c r="C138" s="20" t="s">
        <v>147</v>
      </c>
      <c r="D138" s="20" t="s">
        <v>134</v>
      </c>
      <c r="E138" s="20" t="s">
        <v>135</v>
      </c>
      <c r="F138" s="20" t="s">
        <v>136</v>
      </c>
      <c r="G138" s="20" t="s">
        <v>137</v>
      </c>
      <c r="H138" s="20" t="s">
        <v>138</v>
      </c>
      <c r="I138" s="20" t="s">
        <v>139</v>
      </c>
      <c r="J138" s="20" t="s">
        <v>286</v>
      </c>
      <c r="K138" s="20" t="s">
        <v>287</v>
      </c>
      <c r="L138" s="413" t="s">
        <v>288</v>
      </c>
      <c r="M138" s="413"/>
      <c r="N138" s="413"/>
      <c r="O138" s="413"/>
      <c r="P138" s="413"/>
      <c r="Q138" s="20" t="s">
        <v>289</v>
      </c>
      <c r="R138" s="20" t="s">
        <v>290</v>
      </c>
      <c r="U138" s="8" t="s">
        <v>291</v>
      </c>
    </row>
    <row r="139" spans="2:23" s="35" customFormat="1" ht="39.75" customHeight="1" x14ac:dyDescent="0.2">
      <c r="B139" s="19">
        <v>1</v>
      </c>
      <c r="C139" s="19">
        <f>IF($R139="Да",$Q139,1)</f>
        <v>0.6</v>
      </c>
      <c r="D139" s="19">
        <f>IF($R139="Да",$Q139,1)</f>
        <v>0.6</v>
      </c>
      <c r="E139" s="19">
        <f t="shared" ref="C139:I152" si="8">IF($R139="Да",$Q139,1)</f>
        <v>0.6</v>
      </c>
      <c r="F139" s="19">
        <f t="shared" si="8"/>
        <v>0.6</v>
      </c>
      <c r="G139" s="19">
        <f t="shared" si="8"/>
        <v>0.6</v>
      </c>
      <c r="H139" s="19">
        <f t="shared" si="8"/>
        <v>0.6</v>
      </c>
      <c r="I139" s="19">
        <f t="shared" si="8"/>
        <v>0.6</v>
      </c>
      <c r="J139" s="19" t="s">
        <v>292</v>
      </c>
      <c r="K139" s="33" t="s">
        <v>293</v>
      </c>
      <c r="L139" s="422" t="s">
        <v>294</v>
      </c>
      <c r="M139" s="422"/>
      <c r="N139" s="422"/>
      <c r="O139" s="422"/>
      <c r="P139" s="422"/>
      <c r="Q139" s="34">
        <f t="shared" ref="Q139:Q152" si="9">IF(R139="Да",U139,"-")</f>
        <v>0.6</v>
      </c>
      <c r="R139" s="34" t="s">
        <v>132</v>
      </c>
      <c r="U139" s="36">
        <v>0.6</v>
      </c>
    </row>
    <row r="140" spans="2:23" s="35" customFormat="1" ht="39.75" customHeight="1" x14ac:dyDescent="0.2">
      <c r="B140" s="19">
        <v>2</v>
      </c>
      <c r="C140" s="19">
        <f>IF($R140="Да",$Q140,1)</f>
        <v>1</v>
      </c>
      <c r="D140" s="19">
        <f>IF($R140="Да",$Q140,1)</f>
        <v>1</v>
      </c>
      <c r="E140" s="19">
        <f t="shared" si="8"/>
        <v>1</v>
      </c>
      <c r="F140" s="19">
        <f t="shared" si="8"/>
        <v>1</v>
      </c>
      <c r="G140" s="19">
        <f t="shared" si="8"/>
        <v>1</v>
      </c>
      <c r="H140" s="19">
        <f t="shared" si="8"/>
        <v>1</v>
      </c>
      <c r="I140" s="19">
        <f t="shared" si="8"/>
        <v>1</v>
      </c>
      <c r="J140" s="19" t="s">
        <v>295</v>
      </c>
      <c r="K140" s="33" t="s">
        <v>293</v>
      </c>
      <c r="L140" s="422" t="s">
        <v>296</v>
      </c>
      <c r="M140" s="422"/>
      <c r="N140" s="422"/>
      <c r="O140" s="422"/>
      <c r="P140" s="422"/>
      <c r="Q140" s="34" t="str">
        <f t="shared" si="9"/>
        <v>-</v>
      </c>
      <c r="R140" s="34" t="s">
        <v>131</v>
      </c>
      <c r="U140" s="36">
        <v>0.5</v>
      </c>
      <c r="W140" s="35" t="s">
        <v>132</v>
      </c>
    </row>
    <row r="141" spans="2:23" s="35" customFormat="1" ht="47.25" customHeight="1" x14ac:dyDescent="0.2">
      <c r="B141" s="19">
        <v>3</v>
      </c>
      <c r="C141" s="19">
        <v>1</v>
      </c>
      <c r="D141" s="19">
        <f t="shared" si="8"/>
        <v>1</v>
      </c>
      <c r="E141" s="19">
        <f t="shared" si="8"/>
        <v>1</v>
      </c>
      <c r="F141" s="19">
        <f t="shared" si="8"/>
        <v>1</v>
      </c>
      <c r="G141" s="19">
        <f t="shared" si="8"/>
        <v>1</v>
      </c>
      <c r="H141" s="19">
        <f t="shared" si="8"/>
        <v>1</v>
      </c>
      <c r="I141" s="19">
        <f t="shared" si="8"/>
        <v>1</v>
      </c>
      <c r="J141" s="19" t="s">
        <v>297</v>
      </c>
      <c r="K141" s="33" t="s">
        <v>293</v>
      </c>
      <c r="L141" s="422" t="s">
        <v>298</v>
      </c>
      <c r="M141" s="422"/>
      <c r="N141" s="422"/>
      <c r="O141" s="422"/>
      <c r="P141" s="422"/>
      <c r="Q141" s="34" t="str">
        <f t="shared" si="9"/>
        <v>-</v>
      </c>
      <c r="R141" s="34" t="s">
        <v>131</v>
      </c>
      <c r="U141" s="36">
        <v>0.8</v>
      </c>
      <c r="W141" s="35" t="s">
        <v>131</v>
      </c>
    </row>
    <row r="142" spans="2:23" s="35" customFormat="1" ht="39.75" customHeight="1" x14ac:dyDescent="0.2">
      <c r="B142" s="19">
        <v>4</v>
      </c>
      <c r="C142" s="19">
        <f t="shared" si="8"/>
        <v>1</v>
      </c>
      <c r="D142" s="19">
        <f t="shared" si="8"/>
        <v>1</v>
      </c>
      <c r="E142" s="19">
        <f t="shared" si="8"/>
        <v>1</v>
      </c>
      <c r="F142" s="19">
        <f t="shared" si="8"/>
        <v>1</v>
      </c>
      <c r="G142" s="19">
        <f t="shared" si="8"/>
        <v>1</v>
      </c>
      <c r="H142" s="19">
        <f t="shared" si="8"/>
        <v>1</v>
      </c>
      <c r="I142" s="19">
        <f t="shared" si="8"/>
        <v>1</v>
      </c>
      <c r="J142" s="19" t="s">
        <v>299</v>
      </c>
      <c r="K142" s="33" t="s">
        <v>300</v>
      </c>
      <c r="L142" s="422" t="s">
        <v>301</v>
      </c>
      <c r="M142" s="422"/>
      <c r="N142" s="422"/>
      <c r="O142" s="422"/>
      <c r="P142" s="422"/>
      <c r="Q142" s="34" t="str">
        <f t="shared" si="9"/>
        <v>-</v>
      </c>
      <c r="R142" s="34" t="s">
        <v>131</v>
      </c>
      <c r="U142" s="36">
        <v>1.2</v>
      </c>
    </row>
    <row r="143" spans="2:23" s="35" customFormat="1" ht="60.75" customHeight="1" x14ac:dyDescent="0.2">
      <c r="B143" s="19">
        <v>5</v>
      </c>
      <c r="C143" s="19">
        <f t="shared" si="8"/>
        <v>1</v>
      </c>
      <c r="D143" s="19">
        <v>1</v>
      </c>
      <c r="E143" s="19">
        <v>1</v>
      </c>
      <c r="F143" s="19">
        <v>1</v>
      </c>
      <c r="G143" s="19">
        <v>1</v>
      </c>
      <c r="H143" s="19">
        <v>1</v>
      </c>
      <c r="I143" s="19">
        <v>1</v>
      </c>
      <c r="J143" s="19" t="s">
        <v>302</v>
      </c>
      <c r="K143" s="33" t="s">
        <v>300</v>
      </c>
      <c r="L143" s="422" t="s">
        <v>303</v>
      </c>
      <c r="M143" s="422"/>
      <c r="N143" s="422"/>
      <c r="O143" s="422"/>
      <c r="P143" s="422"/>
      <c r="Q143" s="34" t="str">
        <f t="shared" si="9"/>
        <v>-</v>
      </c>
      <c r="R143" s="34" t="s">
        <v>131</v>
      </c>
      <c r="U143" s="36">
        <v>1.1000000000000001</v>
      </c>
    </row>
    <row r="144" spans="2:23" s="35" customFormat="1" ht="62.25" customHeight="1" x14ac:dyDescent="0.2">
      <c r="B144" s="19">
        <v>6</v>
      </c>
      <c r="C144" s="19">
        <f t="shared" si="8"/>
        <v>1</v>
      </c>
      <c r="D144" s="19">
        <f t="shared" si="8"/>
        <v>1</v>
      </c>
      <c r="E144" s="19">
        <f t="shared" si="8"/>
        <v>1</v>
      </c>
      <c r="F144" s="19">
        <f t="shared" si="8"/>
        <v>1</v>
      </c>
      <c r="G144" s="19">
        <f t="shared" si="8"/>
        <v>1</v>
      </c>
      <c r="H144" s="19">
        <f t="shared" si="8"/>
        <v>1</v>
      </c>
      <c r="I144" s="19">
        <f t="shared" si="8"/>
        <v>1</v>
      </c>
      <c r="J144" s="19" t="s">
        <v>304</v>
      </c>
      <c r="K144" s="33" t="s">
        <v>300</v>
      </c>
      <c r="L144" s="422" t="s">
        <v>305</v>
      </c>
      <c r="M144" s="422"/>
      <c r="N144" s="422"/>
      <c r="O144" s="422"/>
      <c r="P144" s="422"/>
      <c r="Q144" s="34" t="str">
        <f t="shared" si="9"/>
        <v>-</v>
      </c>
      <c r="R144" s="34" t="s">
        <v>131</v>
      </c>
      <c r="U144" s="36">
        <v>1.05</v>
      </c>
    </row>
    <row r="145" spans="2:21" s="35" customFormat="1" ht="53.25" customHeight="1" x14ac:dyDescent="0.2">
      <c r="B145" s="19">
        <v>7</v>
      </c>
      <c r="C145" s="19">
        <v>1</v>
      </c>
      <c r="D145" s="19">
        <f t="shared" si="8"/>
        <v>1</v>
      </c>
      <c r="E145" s="19">
        <f t="shared" si="8"/>
        <v>1</v>
      </c>
      <c r="F145" s="19">
        <f t="shared" si="8"/>
        <v>1</v>
      </c>
      <c r="G145" s="19">
        <f t="shared" si="8"/>
        <v>1</v>
      </c>
      <c r="H145" s="19">
        <f t="shared" si="8"/>
        <v>1</v>
      </c>
      <c r="I145" s="19">
        <f t="shared" si="8"/>
        <v>1</v>
      </c>
      <c r="J145" s="19" t="s">
        <v>306</v>
      </c>
      <c r="K145" s="33" t="s">
        <v>300</v>
      </c>
      <c r="L145" s="422" t="s">
        <v>307</v>
      </c>
      <c r="M145" s="422"/>
      <c r="N145" s="422"/>
      <c r="O145" s="422"/>
      <c r="P145" s="422"/>
      <c r="Q145" s="34" t="str">
        <f t="shared" si="9"/>
        <v>-</v>
      </c>
      <c r="R145" s="34" t="s">
        <v>131</v>
      </c>
      <c r="U145" s="36">
        <v>1.05</v>
      </c>
    </row>
    <row r="146" spans="2:21" s="35" customFormat="1" ht="53.25" customHeight="1" x14ac:dyDescent="0.2">
      <c r="B146" s="19">
        <v>8</v>
      </c>
      <c r="C146" s="19">
        <v>1</v>
      </c>
      <c r="D146" s="19">
        <f t="shared" si="8"/>
        <v>1</v>
      </c>
      <c r="E146" s="19">
        <f t="shared" si="8"/>
        <v>1</v>
      </c>
      <c r="F146" s="19">
        <f t="shared" si="8"/>
        <v>1</v>
      </c>
      <c r="G146" s="19">
        <f t="shared" si="8"/>
        <v>1</v>
      </c>
      <c r="H146" s="19">
        <f t="shared" si="8"/>
        <v>1</v>
      </c>
      <c r="I146" s="19">
        <f t="shared" si="8"/>
        <v>1</v>
      </c>
      <c r="J146" s="19" t="s">
        <v>308</v>
      </c>
      <c r="K146" s="33" t="s">
        <v>300</v>
      </c>
      <c r="L146" s="422" t="s">
        <v>309</v>
      </c>
      <c r="M146" s="422"/>
      <c r="N146" s="422"/>
      <c r="O146" s="422"/>
      <c r="P146" s="422"/>
      <c r="Q146" s="34" t="str">
        <f t="shared" si="9"/>
        <v>-</v>
      </c>
      <c r="R146" s="34" t="s">
        <v>131</v>
      </c>
      <c r="U146" s="36">
        <v>1.25</v>
      </c>
    </row>
    <row r="147" spans="2:21" s="35" customFormat="1" ht="68.25" customHeight="1" x14ac:dyDescent="0.2">
      <c r="B147" s="19">
        <v>9</v>
      </c>
      <c r="C147" s="19">
        <v>1</v>
      </c>
      <c r="D147" s="19">
        <v>1</v>
      </c>
      <c r="E147" s="19">
        <v>1</v>
      </c>
      <c r="F147" s="19">
        <v>1</v>
      </c>
      <c r="G147" s="19">
        <f t="shared" si="8"/>
        <v>1</v>
      </c>
      <c r="H147" s="19">
        <v>1</v>
      </c>
      <c r="I147" s="19">
        <f t="shared" si="8"/>
        <v>1</v>
      </c>
      <c r="J147" s="19" t="s">
        <v>310</v>
      </c>
      <c r="K147" s="33" t="s">
        <v>300</v>
      </c>
      <c r="L147" s="422" t="s">
        <v>311</v>
      </c>
      <c r="M147" s="422"/>
      <c r="N147" s="422"/>
      <c r="O147" s="422"/>
      <c r="P147" s="422"/>
      <c r="Q147" s="34" t="str">
        <f t="shared" si="9"/>
        <v>-</v>
      </c>
      <c r="R147" s="34" t="s">
        <v>131</v>
      </c>
      <c r="U147" s="36">
        <v>1.1000000000000001</v>
      </c>
    </row>
    <row r="148" spans="2:21" s="35" customFormat="1" ht="89.25" customHeight="1" x14ac:dyDescent="0.2">
      <c r="B148" s="19">
        <v>10</v>
      </c>
      <c r="C148" s="19">
        <f t="shared" si="8"/>
        <v>1</v>
      </c>
      <c r="D148" s="19">
        <f t="shared" si="8"/>
        <v>1</v>
      </c>
      <c r="E148" s="19">
        <f t="shared" si="8"/>
        <v>1</v>
      </c>
      <c r="F148" s="19">
        <f t="shared" si="8"/>
        <v>1</v>
      </c>
      <c r="G148" s="19">
        <f t="shared" si="8"/>
        <v>1</v>
      </c>
      <c r="H148" s="19">
        <f t="shared" si="8"/>
        <v>1</v>
      </c>
      <c r="I148" s="19">
        <f t="shared" si="8"/>
        <v>1</v>
      </c>
      <c r="J148" s="19" t="s">
        <v>312</v>
      </c>
      <c r="K148" s="33" t="s">
        <v>300</v>
      </c>
      <c r="L148" s="422" t="s">
        <v>313</v>
      </c>
      <c r="M148" s="422"/>
      <c r="N148" s="422"/>
      <c r="O148" s="422"/>
      <c r="P148" s="422"/>
      <c r="Q148" s="34" t="str">
        <f t="shared" si="9"/>
        <v>-</v>
      </c>
      <c r="R148" s="34" t="s">
        <v>131</v>
      </c>
      <c r="U148" s="36">
        <v>1.3</v>
      </c>
    </row>
    <row r="149" spans="2:21" s="35" customFormat="1" ht="39.75" customHeight="1" x14ac:dyDescent="0.2">
      <c r="B149" s="19">
        <v>11</v>
      </c>
      <c r="C149" s="19">
        <f>IF($R149="Да",$Q149,1)</f>
        <v>1</v>
      </c>
      <c r="D149" s="19">
        <f>IF($R149="Да",$Q149,1)</f>
        <v>1</v>
      </c>
      <c r="E149" s="19">
        <f t="shared" si="8"/>
        <v>1</v>
      </c>
      <c r="F149" s="19">
        <f t="shared" si="8"/>
        <v>1</v>
      </c>
      <c r="G149" s="19">
        <f t="shared" si="8"/>
        <v>1</v>
      </c>
      <c r="H149" s="19">
        <f t="shared" si="8"/>
        <v>1</v>
      </c>
      <c r="I149" s="19">
        <f>IF($R149="Да",$Q149,1)</f>
        <v>1</v>
      </c>
      <c r="J149" s="19" t="s">
        <v>314</v>
      </c>
      <c r="K149" s="33" t="s">
        <v>300</v>
      </c>
      <c r="L149" s="422" t="s">
        <v>315</v>
      </c>
      <c r="M149" s="422"/>
      <c r="N149" s="422"/>
      <c r="O149" s="422"/>
      <c r="P149" s="422"/>
      <c r="Q149" s="34" t="str">
        <f t="shared" si="9"/>
        <v>-</v>
      </c>
      <c r="R149" s="34" t="s">
        <v>131</v>
      </c>
      <c r="U149" s="36">
        <v>1.05</v>
      </c>
    </row>
    <row r="150" spans="2:21" s="35" customFormat="1" ht="39.75" customHeight="1" x14ac:dyDescent="0.2">
      <c r="B150" s="19">
        <v>12</v>
      </c>
      <c r="C150" s="19">
        <f t="shared" si="8"/>
        <v>1</v>
      </c>
      <c r="D150" s="19">
        <v>1</v>
      </c>
      <c r="E150" s="19">
        <v>1</v>
      </c>
      <c r="F150" s="19">
        <v>1</v>
      </c>
      <c r="G150" s="19">
        <f t="shared" si="8"/>
        <v>1</v>
      </c>
      <c r="H150" s="19">
        <v>1</v>
      </c>
      <c r="I150" s="19">
        <v>1</v>
      </c>
      <c r="J150" s="19" t="s">
        <v>316</v>
      </c>
      <c r="K150" s="33" t="s">
        <v>300</v>
      </c>
      <c r="L150" s="422" t="s">
        <v>317</v>
      </c>
      <c r="M150" s="422"/>
      <c r="N150" s="422"/>
      <c r="O150" s="422"/>
      <c r="P150" s="422"/>
      <c r="Q150" s="34" t="str">
        <f t="shared" si="9"/>
        <v>-</v>
      </c>
      <c r="R150" s="34" t="s">
        <v>131</v>
      </c>
      <c r="U150" s="36">
        <v>1.1000000000000001</v>
      </c>
    </row>
    <row r="151" spans="2:21" s="35" customFormat="1" ht="72" customHeight="1" x14ac:dyDescent="0.2">
      <c r="B151" s="19">
        <v>13</v>
      </c>
      <c r="C151" s="19">
        <v>1</v>
      </c>
      <c r="D151" s="19">
        <v>1</v>
      </c>
      <c r="E151" s="19">
        <v>1</v>
      </c>
      <c r="F151" s="19">
        <v>1</v>
      </c>
      <c r="G151" s="19">
        <f t="shared" si="8"/>
        <v>1.2</v>
      </c>
      <c r="H151" s="19">
        <v>1</v>
      </c>
      <c r="I151" s="19">
        <v>1</v>
      </c>
      <c r="J151" s="19" t="s">
        <v>318</v>
      </c>
      <c r="K151" s="33" t="s">
        <v>300</v>
      </c>
      <c r="L151" s="422" t="s">
        <v>319</v>
      </c>
      <c r="M151" s="422"/>
      <c r="N151" s="422"/>
      <c r="O151" s="422"/>
      <c r="P151" s="422"/>
      <c r="Q151" s="34">
        <f t="shared" si="9"/>
        <v>1.2</v>
      </c>
      <c r="R151" s="34" t="s">
        <v>132</v>
      </c>
      <c r="U151" s="36">
        <v>1.2</v>
      </c>
    </row>
    <row r="152" spans="2:21" s="35" customFormat="1" ht="39.75" customHeight="1" x14ac:dyDescent="0.2">
      <c r="B152" s="19">
        <v>14</v>
      </c>
      <c r="C152" s="19">
        <v>1</v>
      </c>
      <c r="D152" s="19">
        <v>1</v>
      </c>
      <c r="E152" s="19">
        <v>1</v>
      </c>
      <c r="F152" s="19">
        <f>IF($R152="Да",$Q152,1)</f>
        <v>1</v>
      </c>
      <c r="G152" s="19">
        <f t="shared" si="8"/>
        <v>1</v>
      </c>
      <c r="H152" s="19">
        <v>1</v>
      </c>
      <c r="I152" s="19">
        <f>IF($R152="Да",$Q152,1)</f>
        <v>1</v>
      </c>
      <c r="J152" s="19" t="s">
        <v>320</v>
      </c>
      <c r="K152" s="33" t="s">
        <v>300</v>
      </c>
      <c r="L152" s="422" t="s">
        <v>321</v>
      </c>
      <c r="M152" s="422"/>
      <c r="N152" s="422"/>
      <c r="O152" s="422"/>
      <c r="P152" s="422"/>
      <c r="Q152" s="34" t="str">
        <f t="shared" si="9"/>
        <v>-</v>
      </c>
      <c r="R152" s="34" t="s">
        <v>131</v>
      </c>
      <c r="U152" s="36">
        <v>1.2</v>
      </c>
    </row>
    <row r="153" spans="2:21" s="35" customFormat="1" ht="24.75" customHeight="1" x14ac:dyDescent="0.2">
      <c r="B153" s="19">
        <v>15</v>
      </c>
      <c r="C153" s="19">
        <f>PRODUCT(C139,C141,C140)</f>
        <v>0.6</v>
      </c>
      <c r="D153" s="19">
        <f>PRODUCT(D139,D141,D140)</f>
        <v>0.6</v>
      </c>
      <c r="E153" s="19">
        <f t="shared" ref="E153:H153" si="10">PRODUCT(E139,E141,E140)</f>
        <v>0.6</v>
      </c>
      <c r="F153" s="19">
        <f t="shared" si="10"/>
        <v>0.6</v>
      </c>
      <c r="G153" s="19">
        <f t="shared" si="10"/>
        <v>0.6</v>
      </c>
      <c r="H153" s="19">
        <f t="shared" si="10"/>
        <v>0.6</v>
      </c>
      <c r="I153" s="19">
        <f>PRODUCT(I139,I141,I140)</f>
        <v>0.6</v>
      </c>
      <c r="J153" s="37"/>
      <c r="K153" s="408" t="s">
        <v>322</v>
      </c>
      <c r="L153" s="409"/>
      <c r="M153" s="409"/>
      <c r="N153" s="409"/>
      <c r="O153" s="409"/>
      <c r="P153" s="409"/>
      <c r="Q153" s="409"/>
      <c r="R153" s="410"/>
    </row>
    <row r="154" spans="2:21" s="35" customFormat="1" ht="24.75" customHeight="1" x14ac:dyDescent="0.2">
      <c r="B154" s="19">
        <v>16</v>
      </c>
      <c r="C154" s="19">
        <f>SUM(C142:C152)-10</f>
        <v>1</v>
      </c>
      <c r="D154" s="19">
        <f>SUM(D142:D152)-10</f>
        <v>1</v>
      </c>
      <c r="E154" s="19">
        <f>SUM(E142:E152)-10</f>
        <v>1</v>
      </c>
      <c r="F154" s="19">
        <f t="shared" ref="F154:I154" si="11">SUM(F142:F152)-10</f>
        <v>1</v>
      </c>
      <c r="G154" s="19">
        <f t="shared" si="11"/>
        <v>1.1999999999999993</v>
      </c>
      <c r="H154" s="19">
        <f t="shared" si="11"/>
        <v>1</v>
      </c>
      <c r="I154" s="19">
        <f t="shared" si="11"/>
        <v>1</v>
      </c>
      <c r="J154" s="37"/>
      <c r="K154" s="408" t="s">
        <v>323</v>
      </c>
      <c r="L154" s="409"/>
      <c r="M154" s="409"/>
      <c r="N154" s="409"/>
      <c r="O154" s="409"/>
      <c r="P154" s="409"/>
      <c r="Q154" s="409"/>
      <c r="R154" s="410"/>
    </row>
    <row r="155" spans="2:21" s="35" customFormat="1" ht="24.75" customHeight="1" x14ac:dyDescent="0.2">
      <c r="B155" s="19">
        <v>17</v>
      </c>
      <c r="C155" s="19">
        <f>C153*C154</f>
        <v>0.6</v>
      </c>
      <c r="D155" s="19">
        <f>D153*D154</f>
        <v>0.6</v>
      </c>
      <c r="E155" s="19">
        <f>E153*E154</f>
        <v>0.6</v>
      </c>
      <c r="F155" s="19">
        <f t="shared" ref="F155:I155" si="12">F153*F154</f>
        <v>0.6</v>
      </c>
      <c r="G155" s="19">
        <f t="shared" si="12"/>
        <v>0.71999999999999953</v>
      </c>
      <c r="H155" s="19">
        <f t="shared" si="12"/>
        <v>0.6</v>
      </c>
      <c r="I155" s="19">
        <f t="shared" si="12"/>
        <v>0.6</v>
      </c>
      <c r="J155" s="37" t="s">
        <v>324</v>
      </c>
      <c r="K155" s="408" t="s">
        <v>325</v>
      </c>
      <c r="L155" s="409"/>
      <c r="M155" s="409"/>
      <c r="N155" s="409"/>
      <c r="O155" s="409"/>
      <c r="P155" s="409"/>
      <c r="Q155" s="409"/>
      <c r="R155" s="410"/>
    </row>
    <row r="156" spans="2:21" s="35" customFormat="1" ht="24.75" customHeight="1" x14ac:dyDescent="0.2">
      <c r="B156" s="19">
        <v>18</v>
      </c>
      <c r="C156" s="19">
        <v>1.08</v>
      </c>
      <c r="D156" s="19">
        <v>1.08</v>
      </c>
      <c r="E156" s="19">
        <v>1.08</v>
      </c>
      <c r="F156" s="19">
        <v>1.08</v>
      </c>
      <c r="G156" s="19">
        <v>1.08</v>
      </c>
      <c r="H156" s="19">
        <v>1.08</v>
      </c>
      <c r="I156" s="19">
        <v>1.08</v>
      </c>
      <c r="J156" s="37" t="s">
        <v>326</v>
      </c>
      <c r="K156" s="408" t="s">
        <v>327</v>
      </c>
      <c r="L156" s="409"/>
      <c r="M156" s="409"/>
      <c r="N156" s="409"/>
      <c r="O156" s="409"/>
      <c r="P156" s="409"/>
      <c r="Q156" s="409"/>
      <c r="R156" s="410"/>
    </row>
    <row r="157" spans="2:21" s="35" customFormat="1" ht="24.75" customHeight="1" x14ac:dyDescent="0.2">
      <c r="B157" s="19">
        <v>19</v>
      </c>
      <c r="C157" s="19">
        <v>7.22</v>
      </c>
      <c r="D157" s="19">
        <v>7.22</v>
      </c>
      <c r="E157" s="19">
        <v>7.22</v>
      </c>
      <c r="F157" s="19">
        <v>7.22</v>
      </c>
      <c r="G157" s="19">
        <v>7.22</v>
      </c>
      <c r="H157" s="19">
        <v>7.22</v>
      </c>
      <c r="I157" s="19">
        <v>7.22</v>
      </c>
      <c r="J157" s="37" t="s">
        <v>328</v>
      </c>
      <c r="K157" s="408" t="s">
        <v>329</v>
      </c>
      <c r="L157" s="409"/>
      <c r="M157" s="409"/>
      <c r="N157" s="409"/>
      <c r="O157" s="409"/>
      <c r="P157" s="409"/>
      <c r="Q157" s="409"/>
      <c r="R157" s="410"/>
    </row>
    <row r="158" spans="2:21" s="35" customFormat="1" ht="24.75" customHeight="1" x14ac:dyDescent="0.2">
      <c r="B158" s="19">
        <v>20</v>
      </c>
      <c r="C158" s="19">
        <v>1</v>
      </c>
      <c r="D158" s="19">
        <v>1</v>
      </c>
      <c r="E158" s="19">
        <v>1</v>
      </c>
      <c r="F158" s="19">
        <v>1</v>
      </c>
      <c r="G158" s="19">
        <v>1</v>
      </c>
      <c r="H158" s="19">
        <v>1</v>
      </c>
      <c r="I158" s="19">
        <v>1</v>
      </c>
      <c r="J158" s="37"/>
      <c r="K158" s="408" t="s">
        <v>330</v>
      </c>
      <c r="L158" s="409"/>
      <c r="M158" s="409"/>
      <c r="N158" s="409"/>
      <c r="O158" s="409"/>
      <c r="P158" s="409"/>
      <c r="Q158" s="409"/>
      <c r="R158" s="410"/>
    </row>
    <row r="159" spans="2:21" s="35" customFormat="1" ht="34.5" hidden="1" customHeight="1" x14ac:dyDescent="0.2">
      <c r="B159" s="19">
        <v>21</v>
      </c>
      <c r="C159" s="19">
        <v>1</v>
      </c>
      <c r="D159" s="19">
        <v>0.7</v>
      </c>
      <c r="E159" s="19">
        <v>0.3</v>
      </c>
      <c r="F159" s="19">
        <v>0.4</v>
      </c>
      <c r="G159" s="19">
        <v>0.4</v>
      </c>
      <c r="H159" s="19">
        <v>0.8</v>
      </c>
      <c r="I159" s="19">
        <v>0.1</v>
      </c>
      <c r="J159" s="37" t="s">
        <v>331</v>
      </c>
      <c r="K159" s="408" t="s">
        <v>332</v>
      </c>
      <c r="L159" s="409"/>
      <c r="M159" s="409"/>
      <c r="N159" s="409"/>
      <c r="O159" s="409"/>
      <c r="P159" s="409"/>
      <c r="Q159" s="409"/>
      <c r="R159" s="410"/>
    </row>
    <row r="160" spans="2:21" s="35" customFormat="1" ht="34.5" customHeight="1" x14ac:dyDescent="0.2">
      <c r="B160" s="19">
        <v>21</v>
      </c>
      <c r="C160" s="19">
        <v>1</v>
      </c>
      <c r="D160" s="19">
        <v>0.3</v>
      </c>
      <c r="E160" s="19">
        <v>0.7</v>
      </c>
      <c r="F160" s="19">
        <v>0.6</v>
      </c>
      <c r="G160" s="19">
        <v>0.6</v>
      </c>
      <c r="H160" s="19">
        <v>0.2</v>
      </c>
      <c r="I160" s="19">
        <v>0.9</v>
      </c>
      <c r="J160" s="37" t="s">
        <v>333</v>
      </c>
      <c r="K160" s="408" t="s">
        <v>334</v>
      </c>
      <c r="L160" s="409"/>
      <c r="M160" s="409"/>
      <c r="N160" s="409"/>
      <c r="O160" s="409"/>
      <c r="P160" s="409"/>
      <c r="Q160" s="409"/>
      <c r="R160" s="410"/>
    </row>
    <row r="161" spans="2:25" ht="27" customHeight="1" x14ac:dyDescent="0.25">
      <c r="B161" s="402" t="s">
        <v>335</v>
      </c>
      <c r="C161" s="403"/>
      <c r="D161" s="403"/>
      <c r="E161" s="403"/>
      <c r="F161" s="403"/>
      <c r="G161" s="403"/>
      <c r="H161" s="403"/>
      <c r="I161" s="403"/>
      <c r="J161" s="403"/>
      <c r="K161" s="403"/>
      <c r="L161" s="403"/>
      <c r="M161" s="403"/>
      <c r="N161" s="403"/>
      <c r="O161" s="403"/>
      <c r="P161" s="403"/>
      <c r="Q161" s="403"/>
      <c r="R161" s="412"/>
    </row>
    <row r="162" spans="2:25" ht="22.5" customHeight="1" x14ac:dyDescent="0.25">
      <c r="B162" s="413" t="s">
        <v>336</v>
      </c>
      <c r="C162" s="415" t="s">
        <v>337</v>
      </c>
      <c r="D162" s="416"/>
      <c r="E162" s="416"/>
      <c r="F162" s="416"/>
      <c r="G162" s="416"/>
      <c r="H162" s="416"/>
      <c r="I162" s="430"/>
      <c r="J162" s="429" t="s">
        <v>338</v>
      </c>
      <c r="K162" s="429"/>
      <c r="L162" s="429"/>
      <c r="M162" s="429"/>
      <c r="N162" s="429"/>
      <c r="O162" s="429"/>
      <c r="P162" s="429"/>
      <c r="Q162" s="429"/>
      <c r="R162" s="429"/>
    </row>
    <row r="163" spans="2:25" ht="22.5" customHeight="1" x14ac:dyDescent="0.25">
      <c r="B163" s="429"/>
      <c r="C163" s="38" t="s">
        <v>147</v>
      </c>
      <c r="D163" s="38" t="s">
        <v>134</v>
      </c>
      <c r="E163" s="38" t="s">
        <v>135</v>
      </c>
      <c r="F163" s="38" t="s">
        <v>136</v>
      </c>
      <c r="G163" s="38" t="s">
        <v>137</v>
      </c>
      <c r="H163" s="38" t="s">
        <v>138</v>
      </c>
      <c r="I163" s="38" t="s">
        <v>139</v>
      </c>
      <c r="J163" s="429"/>
      <c r="K163" s="429"/>
      <c r="L163" s="429"/>
      <c r="M163" s="429"/>
      <c r="N163" s="429"/>
      <c r="O163" s="429"/>
      <c r="P163" s="429"/>
      <c r="Q163" s="429"/>
      <c r="R163" s="429"/>
    </row>
    <row r="164" spans="2:25" ht="25.5" customHeight="1" x14ac:dyDescent="0.25">
      <c r="B164" s="19">
        <v>1</v>
      </c>
      <c r="C164" s="19">
        <f>M67</f>
        <v>0</v>
      </c>
      <c r="D164" s="19">
        <f t="shared" ref="D164:I164" ca="1" si="13">M135</f>
        <v>15</v>
      </c>
      <c r="E164" s="19">
        <f t="shared" si="13"/>
        <v>0</v>
      </c>
      <c r="F164" s="19">
        <f t="shared" si="13"/>
        <v>0</v>
      </c>
      <c r="G164" s="19">
        <f t="shared" ca="1" si="13"/>
        <v>15</v>
      </c>
      <c r="H164" s="19">
        <f t="shared" si="13"/>
        <v>0</v>
      </c>
      <c r="I164" s="19">
        <f t="shared" si="13"/>
        <v>0</v>
      </c>
      <c r="J164" s="408" t="s">
        <v>339</v>
      </c>
      <c r="K164" s="409"/>
      <c r="L164" s="409"/>
      <c r="M164" s="409"/>
      <c r="N164" s="409"/>
      <c r="O164" s="409"/>
      <c r="P164" s="409"/>
      <c r="Q164" s="409"/>
      <c r="R164" s="410"/>
    </row>
    <row r="165" spans="2:25" ht="25.5" customHeight="1" x14ac:dyDescent="0.25">
      <c r="B165" s="19">
        <v>2</v>
      </c>
      <c r="C165" s="19">
        <v>21.28</v>
      </c>
      <c r="D165" s="39">
        <v>15.73</v>
      </c>
      <c r="E165" s="39">
        <v>9.56</v>
      </c>
      <c r="F165" s="39">
        <v>14.11</v>
      </c>
      <c r="G165" s="39">
        <v>33.770000000000003</v>
      </c>
      <c r="H165" s="39">
        <v>37.93</v>
      </c>
      <c r="I165" s="39">
        <v>46.26</v>
      </c>
      <c r="J165" s="408" t="s">
        <v>340</v>
      </c>
      <c r="K165" s="409"/>
      <c r="L165" s="409"/>
      <c r="M165" s="409"/>
      <c r="N165" s="409"/>
      <c r="O165" s="409"/>
      <c r="P165" s="409"/>
      <c r="Q165" s="409"/>
      <c r="R165" s="410"/>
    </row>
    <row r="166" spans="2:25" ht="25.5" customHeight="1" x14ac:dyDescent="0.25">
      <c r="B166" s="19">
        <v>3</v>
      </c>
      <c r="C166" s="39">
        <v>1</v>
      </c>
      <c r="D166" s="39">
        <v>1</v>
      </c>
      <c r="E166" s="39">
        <v>1</v>
      </c>
      <c r="F166" s="39">
        <v>1</v>
      </c>
      <c r="G166" s="39">
        <v>1</v>
      </c>
      <c r="H166" s="39">
        <v>1</v>
      </c>
      <c r="I166" s="39">
        <v>1</v>
      </c>
      <c r="J166" s="40" t="s">
        <v>341</v>
      </c>
      <c r="K166" s="32"/>
      <c r="L166" s="32"/>
      <c r="M166" s="32"/>
      <c r="N166" s="32"/>
      <c r="O166" s="32"/>
      <c r="P166" s="32"/>
      <c r="Q166" s="32"/>
      <c r="R166" s="41"/>
    </row>
    <row r="167" spans="2:25" ht="25.5" customHeight="1" x14ac:dyDescent="0.25">
      <c r="B167" s="19">
        <v>4</v>
      </c>
      <c r="C167" s="39">
        <f>C164*C165*C166</f>
        <v>0</v>
      </c>
      <c r="D167" s="39">
        <f ca="1">D164*D165*D166</f>
        <v>235.95000000000002</v>
      </c>
      <c r="E167" s="39">
        <f>E164*E165*E166</f>
        <v>0</v>
      </c>
      <c r="F167" s="39">
        <f t="shared" ref="F167:I167" si="14">F164*F165*F166</f>
        <v>0</v>
      </c>
      <c r="G167" s="39">
        <f t="shared" ca="1" si="14"/>
        <v>506.55000000000007</v>
      </c>
      <c r="H167" s="39">
        <f t="shared" si="14"/>
        <v>0</v>
      </c>
      <c r="I167" s="39">
        <f t="shared" si="14"/>
        <v>0</v>
      </c>
      <c r="J167" s="408" t="s">
        <v>342</v>
      </c>
      <c r="K167" s="409"/>
      <c r="L167" s="409"/>
      <c r="M167" s="409"/>
      <c r="N167" s="409"/>
      <c r="O167" s="409"/>
      <c r="P167" s="409"/>
      <c r="Q167" s="409"/>
      <c r="R167" s="410"/>
    </row>
    <row r="168" spans="2:25" ht="25.5" customHeight="1" x14ac:dyDescent="0.25">
      <c r="B168" s="19">
        <v>5</v>
      </c>
      <c r="C168" s="39">
        <f t="shared" ref="C168:I168" si="15">C167*C155</f>
        <v>0</v>
      </c>
      <c r="D168" s="39">
        <f t="shared" ca="1" si="15"/>
        <v>141.57</v>
      </c>
      <c r="E168" s="39">
        <f t="shared" si="15"/>
        <v>0</v>
      </c>
      <c r="F168" s="39">
        <f t="shared" si="15"/>
        <v>0</v>
      </c>
      <c r="G168" s="39">
        <f t="shared" ca="1" si="15"/>
        <v>364.71599999999984</v>
      </c>
      <c r="H168" s="39">
        <f t="shared" si="15"/>
        <v>0</v>
      </c>
      <c r="I168" s="39">
        <f t="shared" si="15"/>
        <v>0</v>
      </c>
      <c r="J168" s="408" t="s">
        <v>343</v>
      </c>
      <c r="K168" s="409"/>
      <c r="L168" s="409"/>
      <c r="M168" s="409"/>
      <c r="N168" s="409"/>
      <c r="O168" s="409"/>
      <c r="P168" s="409"/>
      <c r="Q168" s="409"/>
      <c r="R168" s="410"/>
    </row>
    <row r="169" spans="2:25" ht="25.5" customHeight="1" x14ac:dyDescent="0.25">
      <c r="B169" s="19">
        <v>6</v>
      </c>
      <c r="C169" s="39">
        <f t="shared" ref="C169:I169" si="16">C168*C156*C157*C158</f>
        <v>0</v>
      </c>
      <c r="D169" s="39">
        <f t="shared" ca="1" si="16"/>
        <v>1103.906232</v>
      </c>
      <c r="E169" s="39">
        <f t="shared" si="16"/>
        <v>0</v>
      </c>
      <c r="F169" s="39">
        <f t="shared" si="16"/>
        <v>0</v>
      </c>
      <c r="G169" s="39">
        <f t="shared" ca="1" si="16"/>
        <v>2843.9094815999988</v>
      </c>
      <c r="H169" s="39">
        <f t="shared" si="16"/>
        <v>0</v>
      </c>
      <c r="I169" s="39">
        <f t="shared" si="16"/>
        <v>0</v>
      </c>
      <c r="J169" s="408" t="s">
        <v>344</v>
      </c>
      <c r="K169" s="409"/>
      <c r="L169" s="409"/>
      <c r="M169" s="409"/>
      <c r="N169" s="409"/>
      <c r="O169" s="409"/>
      <c r="P169" s="409"/>
      <c r="Q169" s="409"/>
      <c r="R169" s="410"/>
    </row>
    <row r="170" spans="2:25" ht="25.5" customHeight="1" x14ac:dyDescent="0.25">
      <c r="B170" s="19">
        <v>7</v>
      </c>
      <c r="C170" s="42"/>
      <c r="D170" s="42">
        <f t="shared" ref="D170:I170" ca="1" si="17">D169*D160</f>
        <v>331.17186959999998</v>
      </c>
      <c r="E170" s="42">
        <f t="shared" si="17"/>
        <v>0</v>
      </c>
      <c r="F170" s="42">
        <f t="shared" si="17"/>
        <v>0</v>
      </c>
      <c r="G170" s="42">
        <f t="shared" ca="1" si="17"/>
        <v>1706.3456889599993</v>
      </c>
      <c r="H170" s="42">
        <f t="shared" si="17"/>
        <v>0</v>
      </c>
      <c r="I170" s="42">
        <f t="shared" si="17"/>
        <v>0</v>
      </c>
      <c r="J170" s="408" t="s">
        <v>345</v>
      </c>
      <c r="K170" s="409"/>
      <c r="L170" s="409"/>
      <c r="M170" s="409"/>
      <c r="N170" s="409"/>
      <c r="O170" s="409"/>
      <c r="P170" s="409"/>
      <c r="Q170" s="409"/>
      <c r="R170" s="410"/>
    </row>
    <row r="171" spans="2:25" ht="46.5" customHeight="1" x14ac:dyDescent="0.25">
      <c r="B171" s="19">
        <v>8</v>
      </c>
      <c r="C171" s="19"/>
      <c r="D171" s="432">
        <f ca="1">SUM(D170:I170)*1000</f>
        <v>2037517.5585599993</v>
      </c>
      <c r="E171" s="432"/>
      <c r="F171" s="432"/>
      <c r="G171" s="432"/>
      <c r="H171" s="432"/>
      <c r="I171" s="432"/>
      <c r="J171" s="408" t="s">
        <v>346</v>
      </c>
      <c r="K171" s="409"/>
      <c r="L171" s="409"/>
      <c r="M171" s="409"/>
      <c r="N171" s="409"/>
      <c r="O171" s="409"/>
      <c r="P171" s="409"/>
      <c r="Q171" s="409"/>
      <c r="R171" s="410"/>
    </row>
    <row r="172" spans="2:25" ht="41.25" customHeight="1" x14ac:dyDescent="0.25">
      <c r="B172" s="19">
        <v>9</v>
      </c>
      <c r="C172" s="19"/>
      <c r="D172" s="433">
        <f ca="1">ROUND(D171*0.8,0)</f>
        <v>1630014</v>
      </c>
      <c r="E172" s="434"/>
      <c r="F172" s="434"/>
      <c r="G172" s="434"/>
      <c r="H172" s="434"/>
      <c r="I172" s="435"/>
      <c r="J172" s="408" t="s">
        <v>347</v>
      </c>
      <c r="K172" s="409"/>
      <c r="L172" s="409"/>
      <c r="M172" s="409"/>
      <c r="N172" s="409"/>
      <c r="O172" s="409"/>
      <c r="P172" s="409"/>
      <c r="Q172" s="409"/>
      <c r="R172" s="410"/>
    </row>
    <row r="173" spans="2:25" ht="41.25" customHeight="1" x14ac:dyDescent="0.25">
      <c r="B173" s="19">
        <v>10</v>
      </c>
      <c r="C173" s="19"/>
      <c r="D173" s="433">
        <f ca="1">ROUND(D171*0.7,0)</f>
        <v>1426262</v>
      </c>
      <c r="E173" s="434"/>
      <c r="F173" s="434"/>
      <c r="G173" s="434"/>
      <c r="H173" s="434"/>
      <c r="I173" s="435"/>
      <c r="J173" s="408" t="s">
        <v>348</v>
      </c>
      <c r="K173" s="409"/>
      <c r="L173" s="409"/>
      <c r="M173" s="409"/>
      <c r="N173" s="409"/>
      <c r="O173" s="409"/>
      <c r="P173" s="409"/>
      <c r="Q173" s="409"/>
      <c r="R173" s="410"/>
    </row>
    <row r="174" spans="2:25" ht="28.5" customHeight="1" x14ac:dyDescent="0.25">
      <c r="B174" s="19">
        <v>11</v>
      </c>
      <c r="C174" s="19"/>
      <c r="D174" s="431">
        <f ca="1">D173</f>
        <v>1426262</v>
      </c>
      <c r="E174" s="431"/>
      <c r="F174" s="431"/>
      <c r="G174" s="431"/>
      <c r="H174" s="431"/>
      <c r="I174" s="431"/>
      <c r="J174" s="408" t="s">
        <v>349</v>
      </c>
      <c r="K174" s="409"/>
      <c r="L174" s="409"/>
      <c r="M174" s="409"/>
      <c r="N174" s="409"/>
      <c r="O174" s="409"/>
      <c r="P174" s="409"/>
      <c r="Q174" s="409"/>
      <c r="R174" s="410"/>
      <c r="Y174" s="43">
        <f ca="1">D174</f>
        <v>1426262</v>
      </c>
    </row>
    <row r="175" spans="2:25" ht="14.25" x14ac:dyDescent="0.2">
      <c r="B175" s="44"/>
      <c r="C175" s="44"/>
      <c r="D175" s="45"/>
      <c r="E175" s="46"/>
      <c r="F175" s="46"/>
      <c r="G175" s="46"/>
      <c r="H175" s="46"/>
      <c r="I175" s="46"/>
      <c r="J175" s="47"/>
      <c r="K175" s="46"/>
      <c r="L175" s="48"/>
      <c r="M175" s="46"/>
      <c r="N175" s="46"/>
      <c r="O175" s="46"/>
      <c r="P175" s="46"/>
      <c r="Q175" s="46"/>
      <c r="R175" s="46"/>
    </row>
    <row r="176" spans="2:25" ht="14.25" x14ac:dyDescent="0.2">
      <c r="D176" s="45"/>
      <c r="J176" s="47"/>
      <c r="L176" s="49"/>
    </row>
  </sheetData>
  <mergeCells count="223"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3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4" zoomScale="85" zoomScaleNormal="100" zoomScaleSheetLayoutView="85" workbookViewId="0">
      <selection activeCell="C104" sqref="C104"/>
    </sheetView>
  </sheetViews>
  <sheetFormatPr defaultColWidth="9.140625" defaultRowHeight="12.75" outlineLevelRow="1" x14ac:dyDescent="0.25"/>
  <cols>
    <col min="1" max="1" width="4.5703125" style="176" hidden="1" customWidth="1"/>
    <col min="2" max="2" width="4.5703125" style="176" customWidth="1"/>
    <col min="3" max="3" width="11" style="176" hidden="1" customWidth="1"/>
    <col min="4" max="8" width="11" style="176" customWidth="1"/>
    <col min="9" max="9" width="15.5703125" style="176" customWidth="1"/>
    <col min="10" max="11" width="8.7109375" style="176" customWidth="1"/>
    <col min="12" max="12" width="15" style="176" customWidth="1"/>
    <col min="13" max="18" width="8.7109375" style="176" customWidth="1"/>
    <col min="19" max="19" width="0" style="176" hidden="1" customWidth="1"/>
    <col min="20" max="23" width="9.140625" style="176" hidden="1" customWidth="1"/>
    <col min="24" max="24" width="9.140625" style="176"/>
    <col min="25" max="25" width="11.5703125" style="176" bestFit="1" customWidth="1"/>
    <col min="26" max="16384" width="9.140625" style="176"/>
  </cols>
  <sheetData>
    <row r="1" spans="2:20" hidden="1" x14ac:dyDescent="0.25">
      <c r="B1" s="176">
        <v>5</v>
      </c>
    </row>
    <row r="2" spans="2:20" ht="17.25" hidden="1" customHeight="1" x14ac:dyDescent="0.25">
      <c r="O2" s="358"/>
      <c r="P2" s="358"/>
      <c r="Q2" s="358"/>
      <c r="R2" s="358"/>
      <c r="S2" s="177"/>
      <c r="T2" s="177"/>
    </row>
    <row r="3" spans="2:20" hidden="1" x14ac:dyDescent="0.25"/>
    <row r="4" spans="2:20" ht="15.75" customHeight="1" x14ac:dyDescent="0.25">
      <c r="B4" s="359" t="str">
        <f>СВОД!E28</f>
        <v>Смета №1.7</v>
      </c>
      <c r="C4" s="359"/>
      <c r="D4" s="359"/>
      <c r="E4" s="359"/>
      <c r="F4" s="359"/>
      <c r="G4" s="359"/>
      <c r="H4" s="359"/>
      <c r="I4" s="359"/>
      <c r="J4" s="359"/>
      <c r="K4" s="359"/>
      <c r="L4" s="359"/>
      <c r="M4" s="359"/>
      <c r="N4" s="359"/>
      <c r="O4" s="359"/>
      <c r="P4" s="359"/>
      <c r="Q4" s="359"/>
      <c r="R4" s="359"/>
    </row>
    <row r="5" spans="2:20" x14ac:dyDescent="0.25">
      <c r="B5" s="359" t="s">
        <v>353</v>
      </c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</row>
    <row r="6" spans="2:20" ht="13.5" customHeight="1" x14ac:dyDescent="0.25">
      <c r="B6" s="176" t="s">
        <v>121</v>
      </c>
      <c r="G6" s="360" t="s">
        <v>352</v>
      </c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</row>
    <row r="7" spans="2:20" x14ac:dyDescent="0.25"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</row>
    <row r="8" spans="2:20" x14ac:dyDescent="0.25">
      <c r="B8" s="176" t="s">
        <v>123</v>
      </c>
      <c r="G8" s="176" t="s">
        <v>15</v>
      </c>
    </row>
    <row r="9" spans="2:20" ht="3.75" customHeight="1" x14ac:dyDescent="0.25"/>
    <row r="10" spans="2:20" hidden="1" x14ac:dyDescent="0.25">
      <c r="B10" s="176" t="s">
        <v>124</v>
      </c>
      <c r="G10" s="217"/>
    </row>
    <row r="11" spans="2:20" x14ac:dyDescent="0.25">
      <c r="B11" s="176" t="s">
        <v>125</v>
      </c>
      <c r="G11" s="50" t="str">
        <f>СВОД!D14</f>
        <v>ОАО «СИБНЕФТЕТРАНСПРОЕКТ»</v>
      </c>
    </row>
    <row r="13" spans="2:20" x14ac:dyDescent="0.25">
      <c r="B13" s="362" t="s">
        <v>126</v>
      </c>
      <c r="C13" s="362"/>
      <c r="D13" s="362"/>
      <c r="E13" s="362"/>
      <c r="F13" s="362"/>
      <c r="G13" s="362"/>
      <c r="H13" s="362"/>
      <c r="I13" s="362"/>
      <c r="J13" s="362"/>
      <c r="K13" s="362"/>
      <c r="L13" s="362"/>
      <c r="M13" s="362"/>
      <c r="N13" s="362"/>
      <c r="O13" s="362"/>
      <c r="P13" s="362"/>
      <c r="Q13" s="362"/>
      <c r="R13" s="362"/>
    </row>
    <row r="15" spans="2:20" ht="25.5" customHeight="1" x14ac:dyDescent="0.25">
      <c r="B15" s="363" t="s">
        <v>127</v>
      </c>
      <c r="C15" s="364"/>
      <c r="D15" s="364"/>
      <c r="E15" s="364"/>
      <c r="F15" s="364"/>
      <c r="G15" s="364"/>
      <c r="H15" s="364"/>
      <c r="I15" s="365"/>
      <c r="J15" s="365"/>
      <c r="K15" s="365"/>
      <c r="L15" s="365"/>
      <c r="M15" s="365"/>
      <c r="N15" s="365"/>
      <c r="O15" s="365"/>
      <c r="P15" s="365"/>
      <c r="Q15" s="365"/>
      <c r="R15" s="366"/>
    </row>
    <row r="16" spans="2:20" hidden="1" x14ac:dyDescent="0.25">
      <c r="B16" s="179" t="s">
        <v>128</v>
      </c>
      <c r="C16" s="180"/>
      <c r="D16" s="180"/>
      <c r="E16" s="180"/>
      <c r="F16" s="180"/>
      <c r="G16" s="181"/>
      <c r="H16" s="181"/>
      <c r="I16" s="182"/>
      <c r="J16" s="182"/>
      <c r="K16" s="182"/>
      <c r="L16" s="182"/>
      <c r="M16" s="182"/>
      <c r="N16" s="182"/>
      <c r="O16" s="182"/>
      <c r="P16" s="182"/>
      <c r="Q16" s="182"/>
      <c r="R16" s="183"/>
    </row>
    <row r="17" spans="2:18" hidden="1" x14ac:dyDescent="0.25">
      <c r="B17" s="184" t="s">
        <v>128</v>
      </c>
      <c r="C17" s="181"/>
      <c r="D17" s="181"/>
      <c r="E17" s="181"/>
      <c r="F17" s="181"/>
      <c r="G17" s="181"/>
      <c r="H17" s="181"/>
      <c r="I17" s="185"/>
      <c r="J17" s="185"/>
      <c r="K17" s="185"/>
      <c r="L17" s="185"/>
      <c r="M17" s="185"/>
      <c r="N17" s="185"/>
      <c r="O17" s="185"/>
      <c r="P17" s="185"/>
      <c r="Q17" s="185"/>
      <c r="R17" s="186"/>
    </row>
    <row r="18" spans="2:18" hidden="1" x14ac:dyDescent="0.25">
      <c r="B18" s="184" t="s">
        <v>129</v>
      </c>
      <c r="C18" s="181"/>
      <c r="D18" s="181"/>
      <c r="E18" s="181"/>
      <c r="F18" s="181"/>
      <c r="G18" s="181"/>
      <c r="H18" s="181"/>
      <c r="I18" s="185"/>
      <c r="J18" s="185"/>
      <c r="K18" s="185"/>
      <c r="L18" s="185"/>
      <c r="M18" s="185"/>
      <c r="N18" s="185"/>
      <c r="O18" s="185"/>
      <c r="P18" s="185"/>
      <c r="Q18" s="185"/>
      <c r="R18" s="186"/>
    </row>
    <row r="19" spans="2:18" x14ac:dyDescent="0.25">
      <c r="B19" s="184" t="s">
        <v>130</v>
      </c>
      <c r="C19" s="181"/>
      <c r="D19" s="181"/>
      <c r="E19" s="181"/>
      <c r="F19" s="181"/>
      <c r="G19" s="181"/>
      <c r="H19" s="187" t="s">
        <v>131</v>
      </c>
      <c r="I19" s="185"/>
      <c r="J19" s="185"/>
      <c r="K19" s="185"/>
      <c r="L19" s="185"/>
      <c r="M19" s="185"/>
      <c r="N19" s="185"/>
      <c r="O19" s="185"/>
      <c r="P19" s="185"/>
      <c r="Q19" s="185"/>
      <c r="R19" s="186"/>
    </row>
    <row r="20" spans="2:18" hidden="1" x14ac:dyDescent="0.25">
      <c r="B20" s="184"/>
      <c r="C20" s="181"/>
      <c r="D20" s="181"/>
      <c r="E20" s="181"/>
      <c r="F20" s="181"/>
      <c r="G20" s="181"/>
      <c r="H20" s="181" t="s">
        <v>132</v>
      </c>
      <c r="I20" s="185"/>
      <c r="J20" s="185"/>
      <c r="K20" s="185"/>
      <c r="L20" s="185"/>
      <c r="M20" s="185"/>
      <c r="N20" s="185"/>
      <c r="O20" s="185"/>
      <c r="P20" s="185"/>
      <c r="Q20" s="185"/>
      <c r="R20" s="186"/>
    </row>
    <row r="21" spans="2:18" hidden="1" x14ac:dyDescent="0.25">
      <c r="B21" s="184"/>
      <c r="C21" s="181"/>
      <c r="D21" s="181"/>
      <c r="E21" s="181"/>
      <c r="F21" s="181"/>
      <c r="G21" s="181"/>
      <c r="H21" s="181" t="s">
        <v>131</v>
      </c>
      <c r="I21" s="185"/>
      <c r="J21" s="185"/>
      <c r="K21" s="185"/>
      <c r="L21" s="185"/>
      <c r="M21" s="185"/>
      <c r="N21" s="185"/>
      <c r="O21" s="185"/>
      <c r="P21" s="185"/>
      <c r="Q21" s="185"/>
      <c r="R21" s="186"/>
    </row>
    <row r="22" spans="2:18" x14ac:dyDescent="0.25">
      <c r="B22" s="184" t="s">
        <v>133</v>
      </c>
      <c r="C22" s="181"/>
      <c r="D22" s="181"/>
      <c r="E22" s="181"/>
      <c r="F22" s="181"/>
      <c r="G22" s="181"/>
      <c r="H22" s="181"/>
      <c r="I22" s="185"/>
      <c r="J22" s="185"/>
      <c r="K22" s="185"/>
      <c r="L22" s="185"/>
      <c r="M22" s="185"/>
      <c r="N22" s="185"/>
      <c r="O22" s="185"/>
      <c r="P22" s="185"/>
      <c r="Q22" s="185"/>
      <c r="R22" s="186"/>
    </row>
    <row r="23" spans="2:18" x14ac:dyDescent="0.25">
      <c r="B23" s="184"/>
      <c r="D23" s="188" t="s">
        <v>134</v>
      </c>
      <c r="E23" s="188" t="s">
        <v>135</v>
      </c>
      <c r="F23" s="188" t="s">
        <v>136</v>
      </c>
      <c r="G23" s="188" t="s">
        <v>137</v>
      </c>
      <c r="H23" s="188" t="s">
        <v>138</v>
      </c>
      <c r="I23" s="188" t="s">
        <v>139</v>
      </c>
      <c r="J23" s="185"/>
      <c r="K23" s="185"/>
      <c r="L23" s="185"/>
      <c r="M23" s="185"/>
      <c r="N23" s="185"/>
      <c r="O23" s="185"/>
      <c r="P23" s="185"/>
      <c r="Q23" s="185"/>
      <c r="R23" s="186"/>
    </row>
    <row r="24" spans="2:18" x14ac:dyDescent="0.25">
      <c r="B24" s="184"/>
      <c r="D24" s="187" t="s">
        <v>132</v>
      </c>
      <c r="E24" s="187" t="s">
        <v>131</v>
      </c>
      <c r="F24" s="187" t="s">
        <v>131</v>
      </c>
      <c r="G24" s="187" t="s">
        <v>132</v>
      </c>
      <c r="H24" s="187" t="s">
        <v>131</v>
      </c>
      <c r="I24" s="187" t="s">
        <v>131</v>
      </c>
      <c r="J24" s="185"/>
      <c r="K24" s="185"/>
      <c r="L24" s="185"/>
      <c r="M24" s="185"/>
      <c r="N24" s="185"/>
      <c r="O24" s="185"/>
      <c r="P24" s="185"/>
      <c r="Q24" s="185"/>
      <c r="R24" s="186"/>
    </row>
    <row r="25" spans="2:18" hidden="1" x14ac:dyDescent="0.25">
      <c r="B25" s="184"/>
      <c r="C25" s="181"/>
      <c r="D25" s="189" t="s">
        <v>132</v>
      </c>
      <c r="E25" s="189" t="s">
        <v>132</v>
      </c>
      <c r="F25" s="189" t="s">
        <v>132</v>
      </c>
      <c r="G25" s="189" t="s">
        <v>132</v>
      </c>
      <c r="H25" s="189" t="s">
        <v>132</v>
      </c>
      <c r="I25" s="190" t="s">
        <v>132</v>
      </c>
      <c r="J25" s="191"/>
      <c r="K25" s="191"/>
      <c r="L25" s="191"/>
      <c r="M25" s="191"/>
      <c r="N25" s="191"/>
      <c r="O25" s="191"/>
      <c r="P25" s="191"/>
      <c r="Q25" s="191"/>
      <c r="R25" s="192"/>
    </row>
    <row r="26" spans="2:18" hidden="1" x14ac:dyDescent="0.25">
      <c r="B26" s="184"/>
      <c r="C26" s="181"/>
      <c r="D26" s="189" t="s">
        <v>131</v>
      </c>
      <c r="E26" s="189" t="s">
        <v>131</v>
      </c>
      <c r="F26" s="189" t="s">
        <v>131</v>
      </c>
      <c r="G26" s="189" t="s">
        <v>131</v>
      </c>
      <c r="H26" s="189" t="s">
        <v>131</v>
      </c>
      <c r="I26" s="189" t="s">
        <v>131</v>
      </c>
      <c r="J26" s="181"/>
      <c r="K26" s="181"/>
      <c r="L26" s="181"/>
      <c r="M26" s="181"/>
      <c r="N26" s="181"/>
      <c r="O26" s="181"/>
      <c r="P26" s="181"/>
      <c r="Q26" s="181"/>
      <c r="R26" s="193"/>
    </row>
    <row r="27" spans="2:18" ht="25.5" customHeight="1" x14ac:dyDescent="0.25">
      <c r="B27" s="363" t="s">
        <v>140</v>
      </c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73"/>
    </row>
    <row r="28" spans="2:18" hidden="1" x14ac:dyDescent="0.25">
      <c r="B28" s="184" t="s">
        <v>141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2"/>
      <c r="P28" s="182"/>
      <c r="Q28" s="182"/>
      <c r="R28" s="183"/>
    </row>
    <row r="29" spans="2:18" hidden="1" x14ac:dyDescent="0.25">
      <c r="B29" s="374" t="s">
        <v>142</v>
      </c>
      <c r="C29" s="374"/>
      <c r="D29" s="374"/>
      <c r="E29" s="374"/>
      <c r="F29" s="374"/>
      <c r="G29" s="374"/>
      <c r="H29" s="374"/>
      <c r="I29" s="374"/>
      <c r="J29" s="375"/>
      <c r="K29" s="375"/>
      <c r="L29" s="375"/>
      <c r="M29" s="376" t="s">
        <v>143</v>
      </c>
      <c r="N29" s="377"/>
      <c r="O29" s="194"/>
      <c r="P29" s="185"/>
      <c r="Q29" s="185"/>
      <c r="R29" s="186"/>
    </row>
    <row r="30" spans="2:18" ht="25.5" hidden="1" x14ac:dyDescent="0.25">
      <c r="B30" s="188" t="s">
        <v>42</v>
      </c>
      <c r="C30" s="378" t="s">
        <v>144</v>
      </c>
      <c r="D30" s="379"/>
      <c r="E30" s="378" t="s">
        <v>145</v>
      </c>
      <c r="F30" s="380"/>
      <c r="G30" s="379"/>
      <c r="H30" s="378" t="s">
        <v>146</v>
      </c>
      <c r="I30" s="380"/>
      <c r="J30" s="380"/>
      <c r="K30" s="380"/>
      <c r="L30" s="379"/>
      <c r="M30" s="378" t="s">
        <v>147</v>
      </c>
      <c r="N30" s="380"/>
      <c r="O30" s="194"/>
      <c r="P30" s="185"/>
      <c r="Q30" s="185"/>
      <c r="R30" s="186"/>
    </row>
    <row r="31" spans="2:18" ht="24" hidden="1" customHeight="1" x14ac:dyDescent="0.25">
      <c r="B31" s="187">
        <v>1</v>
      </c>
      <c r="C31" s="367" t="s">
        <v>148</v>
      </c>
      <c r="D31" s="368"/>
      <c r="E31" s="369" t="s">
        <v>149</v>
      </c>
      <c r="F31" s="370"/>
      <c r="G31" s="371"/>
      <c r="H31" s="369" t="s">
        <v>150</v>
      </c>
      <c r="I31" s="370"/>
      <c r="J31" s="370"/>
      <c r="K31" s="370"/>
      <c r="L31" s="371"/>
      <c r="M31" s="367">
        <f>IF(H19="Да",SUMIF($H32:$L35,$H31,M32:N35),0)</f>
        <v>0</v>
      </c>
      <c r="N31" s="372"/>
      <c r="O31" s="194"/>
      <c r="P31" s="185"/>
      <c r="Q31" s="185"/>
      <c r="R31" s="186"/>
    </row>
    <row r="32" spans="2:18" ht="29.25" hidden="1" customHeight="1" x14ac:dyDescent="0.25">
      <c r="B32" s="195" t="s">
        <v>24</v>
      </c>
      <c r="C32" s="196"/>
      <c r="D32" s="181"/>
      <c r="E32" s="181"/>
      <c r="F32" s="181"/>
      <c r="G32" s="181"/>
      <c r="H32" s="369" t="s">
        <v>150</v>
      </c>
      <c r="I32" s="370"/>
      <c r="J32" s="370"/>
      <c r="K32" s="370"/>
      <c r="L32" s="371"/>
      <c r="M32" s="367">
        <v>1</v>
      </c>
      <c r="N32" s="372"/>
      <c r="O32" s="194"/>
      <c r="P32" s="185"/>
      <c r="Q32" s="185"/>
      <c r="R32" s="186"/>
    </row>
    <row r="33" spans="2:18" ht="28.5" hidden="1" customHeight="1" x14ac:dyDescent="0.25">
      <c r="B33" s="195" t="s">
        <v>151</v>
      </c>
      <c r="C33" s="196"/>
      <c r="D33" s="181"/>
      <c r="E33" s="181"/>
      <c r="F33" s="181"/>
      <c r="G33" s="181"/>
      <c r="H33" s="369" t="s">
        <v>152</v>
      </c>
      <c r="I33" s="370"/>
      <c r="J33" s="370"/>
      <c r="K33" s="370"/>
      <c r="L33" s="371"/>
      <c r="M33" s="367">
        <v>2</v>
      </c>
      <c r="N33" s="372"/>
      <c r="O33" s="194"/>
      <c r="P33" s="185"/>
      <c r="Q33" s="185"/>
      <c r="R33" s="186"/>
    </row>
    <row r="34" spans="2:18" ht="39" hidden="1" customHeight="1" x14ac:dyDescent="0.25">
      <c r="B34" s="195" t="s">
        <v>153</v>
      </c>
      <c r="C34" s="196"/>
      <c r="D34" s="181"/>
      <c r="E34" s="181"/>
      <c r="F34" s="181"/>
      <c r="G34" s="181"/>
      <c r="H34" s="369" t="s">
        <v>154</v>
      </c>
      <c r="I34" s="370"/>
      <c r="J34" s="370"/>
      <c r="K34" s="370"/>
      <c r="L34" s="371"/>
      <c r="M34" s="367">
        <v>4</v>
      </c>
      <c r="N34" s="372"/>
      <c r="O34" s="194"/>
      <c r="P34" s="185"/>
      <c r="Q34" s="185"/>
      <c r="R34" s="186"/>
    </row>
    <row r="35" spans="2:18" ht="25.5" hidden="1" customHeight="1" x14ac:dyDescent="0.25">
      <c r="B35" s="195" t="s">
        <v>155</v>
      </c>
      <c r="C35" s="196"/>
      <c r="D35" s="181"/>
      <c r="E35" s="181"/>
      <c r="F35" s="181"/>
      <c r="G35" s="181"/>
      <c r="H35" s="369" t="s">
        <v>156</v>
      </c>
      <c r="I35" s="370"/>
      <c r="J35" s="370"/>
      <c r="K35" s="370"/>
      <c r="L35" s="371"/>
      <c r="M35" s="367">
        <v>8</v>
      </c>
      <c r="N35" s="372"/>
      <c r="O35" s="194"/>
      <c r="P35" s="185"/>
      <c r="Q35" s="185"/>
      <c r="R35" s="186"/>
    </row>
    <row r="36" spans="2:18" ht="25.5" hidden="1" customHeight="1" x14ac:dyDescent="0.25">
      <c r="B36" s="187">
        <v>2</v>
      </c>
      <c r="C36" s="367" t="s">
        <v>157</v>
      </c>
      <c r="D36" s="368"/>
      <c r="E36" s="369" t="s">
        <v>158</v>
      </c>
      <c r="F36" s="370"/>
      <c r="G36" s="371"/>
      <c r="H36" s="369" t="s">
        <v>159</v>
      </c>
      <c r="I36" s="370"/>
      <c r="J36" s="370"/>
      <c r="K36" s="370"/>
      <c r="L36" s="371"/>
      <c r="M36" s="367">
        <f>IF(H19="Да",SUMIF($H37:$L42,$H36,M37:N42),0)</f>
        <v>0</v>
      </c>
      <c r="N36" s="372"/>
      <c r="O36" s="194"/>
      <c r="P36" s="185"/>
      <c r="Q36" s="185"/>
      <c r="R36" s="186"/>
    </row>
    <row r="37" spans="2:18" ht="38.25" hidden="1" customHeight="1" x14ac:dyDescent="0.25">
      <c r="B37" s="195" t="s">
        <v>25</v>
      </c>
      <c r="C37" s="196"/>
      <c r="D37" s="181"/>
      <c r="E37" s="181"/>
      <c r="F37" s="181"/>
      <c r="G37" s="181"/>
      <c r="H37" s="369" t="s">
        <v>159</v>
      </c>
      <c r="I37" s="370"/>
      <c r="J37" s="370"/>
      <c r="K37" s="370"/>
      <c r="L37" s="371"/>
      <c r="M37" s="367">
        <v>1</v>
      </c>
      <c r="N37" s="372"/>
      <c r="O37" s="194"/>
      <c r="P37" s="185"/>
      <c r="Q37" s="185"/>
      <c r="R37" s="186"/>
    </row>
    <row r="38" spans="2:18" ht="50.25" hidden="1" customHeight="1" x14ac:dyDescent="0.25">
      <c r="B38" s="195" t="s">
        <v>160</v>
      </c>
      <c r="C38" s="196"/>
      <c r="D38" s="181"/>
      <c r="E38" s="181"/>
      <c r="F38" s="181"/>
      <c r="G38" s="181"/>
      <c r="H38" s="369" t="s">
        <v>161</v>
      </c>
      <c r="I38" s="370"/>
      <c r="J38" s="370"/>
      <c r="K38" s="370"/>
      <c r="L38" s="371"/>
      <c r="M38" s="367">
        <v>2</v>
      </c>
      <c r="N38" s="372"/>
      <c r="O38" s="194"/>
      <c r="P38" s="185"/>
      <c r="Q38" s="185"/>
      <c r="R38" s="186"/>
    </row>
    <row r="39" spans="2:18" ht="27.75" hidden="1" customHeight="1" x14ac:dyDescent="0.25">
      <c r="B39" s="195" t="s">
        <v>162</v>
      </c>
      <c r="C39" s="196"/>
      <c r="D39" s="181"/>
      <c r="E39" s="181"/>
      <c r="F39" s="181"/>
      <c r="G39" s="181"/>
      <c r="H39" s="369" t="s">
        <v>163</v>
      </c>
      <c r="I39" s="370"/>
      <c r="J39" s="370"/>
      <c r="K39" s="370"/>
      <c r="L39" s="371"/>
      <c r="M39" s="367">
        <v>4</v>
      </c>
      <c r="N39" s="372"/>
      <c r="O39" s="194"/>
      <c r="P39" s="185"/>
      <c r="Q39" s="185"/>
      <c r="R39" s="186"/>
    </row>
    <row r="40" spans="2:18" ht="39" hidden="1" customHeight="1" x14ac:dyDescent="0.25">
      <c r="B40" s="195" t="s">
        <v>164</v>
      </c>
      <c r="C40" s="196"/>
      <c r="D40" s="181"/>
      <c r="E40" s="181"/>
      <c r="F40" s="181"/>
      <c r="G40" s="181"/>
      <c r="H40" s="369" t="s">
        <v>165</v>
      </c>
      <c r="I40" s="370"/>
      <c r="J40" s="370"/>
      <c r="K40" s="370"/>
      <c r="L40" s="371"/>
      <c r="M40" s="367">
        <v>5</v>
      </c>
      <c r="N40" s="372"/>
      <c r="O40" s="194"/>
      <c r="P40" s="185"/>
      <c r="Q40" s="185"/>
      <c r="R40" s="186"/>
    </row>
    <row r="41" spans="2:18" ht="39" hidden="1" customHeight="1" x14ac:dyDescent="0.25">
      <c r="B41" s="195" t="s">
        <v>166</v>
      </c>
      <c r="C41" s="196"/>
      <c r="D41" s="181"/>
      <c r="E41" s="181"/>
      <c r="F41" s="181"/>
      <c r="G41" s="181"/>
      <c r="H41" s="369" t="s">
        <v>167</v>
      </c>
      <c r="I41" s="370"/>
      <c r="J41" s="370"/>
      <c r="K41" s="370"/>
      <c r="L41" s="371"/>
      <c r="M41" s="367">
        <v>4</v>
      </c>
      <c r="N41" s="372"/>
      <c r="O41" s="194"/>
      <c r="P41" s="185"/>
      <c r="Q41" s="185"/>
      <c r="R41" s="186"/>
    </row>
    <row r="42" spans="2:18" ht="26.25" hidden="1" customHeight="1" x14ac:dyDescent="0.25">
      <c r="B42" s="195" t="s">
        <v>168</v>
      </c>
      <c r="C42" s="196"/>
      <c r="D42" s="181"/>
      <c r="E42" s="181"/>
      <c r="F42" s="181"/>
      <c r="G42" s="181"/>
      <c r="H42" s="369" t="s">
        <v>169</v>
      </c>
      <c r="I42" s="370"/>
      <c r="J42" s="370"/>
      <c r="K42" s="370"/>
      <c r="L42" s="371"/>
      <c r="M42" s="367">
        <v>3</v>
      </c>
      <c r="N42" s="372"/>
      <c r="O42" s="194"/>
      <c r="P42" s="185"/>
      <c r="Q42" s="185"/>
      <c r="R42" s="186"/>
    </row>
    <row r="43" spans="2:18" ht="32.25" hidden="1" customHeight="1" x14ac:dyDescent="0.25">
      <c r="B43" s="187">
        <v>3</v>
      </c>
      <c r="C43" s="367" t="s">
        <v>170</v>
      </c>
      <c r="D43" s="368"/>
      <c r="E43" s="369" t="s">
        <v>171</v>
      </c>
      <c r="F43" s="370"/>
      <c r="G43" s="371"/>
      <c r="H43" s="369" t="s">
        <v>172</v>
      </c>
      <c r="I43" s="370"/>
      <c r="J43" s="370"/>
      <c r="K43" s="370"/>
      <c r="L43" s="371"/>
      <c r="M43" s="367">
        <f>IF(H19="Да",SUMIF($H44:$L51,$H43,M44:N51),0)</f>
        <v>0</v>
      </c>
      <c r="N43" s="372"/>
      <c r="O43" s="194"/>
      <c r="P43" s="185"/>
      <c r="Q43" s="185"/>
      <c r="R43" s="186"/>
    </row>
    <row r="44" spans="2:18" hidden="1" x14ac:dyDescent="0.25">
      <c r="B44" s="195" t="s">
        <v>27</v>
      </c>
      <c r="C44" s="196"/>
      <c r="D44" s="181"/>
      <c r="E44" s="181"/>
      <c r="F44" s="181"/>
      <c r="G44" s="181"/>
      <c r="H44" s="369" t="s">
        <v>173</v>
      </c>
      <c r="I44" s="370"/>
      <c r="J44" s="370"/>
      <c r="K44" s="370"/>
      <c r="L44" s="371"/>
      <c r="M44" s="367">
        <v>1</v>
      </c>
      <c r="N44" s="372"/>
      <c r="O44" s="194"/>
      <c r="P44" s="185"/>
      <c r="Q44" s="185"/>
      <c r="R44" s="186"/>
    </row>
    <row r="45" spans="2:18" ht="12.75" hidden="1" customHeight="1" x14ac:dyDescent="0.25">
      <c r="B45" s="195" t="s">
        <v>28</v>
      </c>
      <c r="C45" s="196"/>
      <c r="D45" s="181"/>
      <c r="E45" s="181"/>
      <c r="F45" s="181"/>
      <c r="G45" s="181"/>
      <c r="H45" s="369" t="s">
        <v>174</v>
      </c>
      <c r="I45" s="370"/>
      <c r="J45" s="370"/>
      <c r="K45" s="370"/>
      <c r="L45" s="371"/>
      <c r="M45" s="367">
        <v>2</v>
      </c>
      <c r="N45" s="372"/>
      <c r="O45" s="194"/>
      <c r="P45" s="185"/>
      <c r="Q45" s="185"/>
      <c r="R45" s="186"/>
    </row>
    <row r="46" spans="2:18" ht="12.75" hidden="1" customHeight="1" x14ac:dyDescent="0.25">
      <c r="B46" s="195" t="s">
        <v>29</v>
      </c>
      <c r="C46" s="196"/>
      <c r="D46" s="181"/>
      <c r="E46" s="181"/>
      <c r="F46" s="181"/>
      <c r="G46" s="181"/>
      <c r="H46" s="369" t="s">
        <v>172</v>
      </c>
      <c r="I46" s="370"/>
      <c r="J46" s="370"/>
      <c r="K46" s="370"/>
      <c r="L46" s="371"/>
      <c r="M46" s="367">
        <v>4</v>
      </c>
      <c r="N46" s="372"/>
      <c r="O46" s="194"/>
      <c r="P46" s="185"/>
      <c r="Q46" s="185"/>
      <c r="R46" s="186"/>
    </row>
    <row r="47" spans="2:18" ht="12.75" hidden="1" customHeight="1" x14ac:dyDescent="0.25">
      <c r="B47" s="195" t="s">
        <v>30</v>
      </c>
      <c r="C47" s="196"/>
      <c r="D47" s="181"/>
      <c r="E47" s="181"/>
      <c r="F47" s="181"/>
      <c r="G47" s="181"/>
      <c r="H47" s="369" t="s">
        <v>175</v>
      </c>
      <c r="I47" s="370"/>
      <c r="J47" s="370"/>
      <c r="K47" s="370"/>
      <c r="L47" s="371"/>
      <c r="M47" s="367">
        <v>5</v>
      </c>
      <c r="N47" s="372"/>
      <c r="O47" s="194"/>
      <c r="P47" s="185"/>
      <c r="Q47" s="185"/>
      <c r="R47" s="186"/>
    </row>
    <row r="48" spans="2:18" ht="12.75" hidden="1" customHeight="1" x14ac:dyDescent="0.25">
      <c r="B48" s="195" t="s">
        <v>31</v>
      </c>
      <c r="C48" s="196"/>
      <c r="D48" s="181"/>
      <c r="E48" s="181"/>
      <c r="F48" s="181"/>
      <c r="G48" s="181"/>
      <c r="H48" s="369" t="s">
        <v>176</v>
      </c>
      <c r="I48" s="370"/>
      <c r="J48" s="370"/>
      <c r="K48" s="370"/>
      <c r="L48" s="371"/>
      <c r="M48" s="367">
        <v>7</v>
      </c>
      <c r="N48" s="372"/>
      <c r="O48" s="194"/>
      <c r="P48" s="185"/>
      <c r="Q48" s="185"/>
      <c r="R48" s="186"/>
    </row>
    <row r="49" spans="2:18" ht="12.75" hidden="1" customHeight="1" x14ac:dyDescent="0.25">
      <c r="B49" s="195" t="s">
        <v>32</v>
      </c>
      <c r="C49" s="196"/>
      <c r="D49" s="181"/>
      <c r="E49" s="181"/>
      <c r="F49" s="181"/>
      <c r="G49" s="181"/>
      <c r="H49" s="369" t="s">
        <v>177</v>
      </c>
      <c r="I49" s="370"/>
      <c r="J49" s="370"/>
      <c r="K49" s="370"/>
      <c r="L49" s="371"/>
      <c r="M49" s="367">
        <v>9</v>
      </c>
      <c r="N49" s="372"/>
      <c r="O49" s="194"/>
      <c r="P49" s="185"/>
      <c r="Q49" s="185"/>
      <c r="R49" s="186"/>
    </row>
    <row r="50" spans="2:18" ht="12.75" hidden="1" customHeight="1" x14ac:dyDescent="0.25">
      <c r="B50" s="195" t="s">
        <v>33</v>
      </c>
      <c r="C50" s="196"/>
      <c r="D50" s="181"/>
      <c r="E50" s="181"/>
      <c r="F50" s="181"/>
      <c r="G50" s="181"/>
      <c r="H50" s="369" t="s">
        <v>178</v>
      </c>
      <c r="I50" s="370"/>
      <c r="J50" s="370"/>
      <c r="K50" s="370"/>
      <c r="L50" s="371"/>
      <c r="M50" s="367">
        <v>10</v>
      </c>
      <c r="N50" s="372"/>
      <c r="O50" s="194"/>
      <c r="P50" s="185"/>
      <c r="Q50" s="185"/>
      <c r="R50" s="186"/>
    </row>
    <row r="51" spans="2:18" ht="12.75" hidden="1" customHeight="1" x14ac:dyDescent="0.25">
      <c r="B51" s="195" t="s">
        <v>34</v>
      </c>
      <c r="C51" s="196"/>
      <c r="D51" s="181"/>
      <c r="E51" s="181"/>
      <c r="F51" s="181"/>
      <c r="G51" s="181"/>
      <c r="H51" s="369" t="s">
        <v>179</v>
      </c>
      <c r="I51" s="370"/>
      <c r="J51" s="370"/>
      <c r="K51" s="370"/>
      <c r="L51" s="371"/>
      <c r="M51" s="367">
        <v>11</v>
      </c>
      <c r="N51" s="372"/>
      <c r="O51" s="194"/>
      <c r="P51" s="185"/>
      <c r="Q51" s="185"/>
      <c r="R51" s="186"/>
    </row>
    <row r="52" spans="2:18" ht="27" hidden="1" customHeight="1" x14ac:dyDescent="0.25">
      <c r="B52" s="187">
        <v>4</v>
      </c>
      <c r="C52" s="367" t="s">
        <v>180</v>
      </c>
      <c r="D52" s="368"/>
      <c r="E52" s="369" t="s">
        <v>181</v>
      </c>
      <c r="F52" s="370"/>
      <c r="G52" s="371"/>
      <c r="H52" s="369" t="s">
        <v>182</v>
      </c>
      <c r="I52" s="370"/>
      <c r="J52" s="370"/>
      <c r="K52" s="370"/>
      <c r="L52" s="371"/>
      <c r="M52" s="367">
        <f>IF(H19="Да",SUMIF($H53:$L66,$H52,M53:N66),0)</f>
        <v>0</v>
      </c>
      <c r="N52" s="372"/>
      <c r="O52" s="194"/>
      <c r="P52" s="185"/>
      <c r="Q52" s="185"/>
      <c r="R52" s="186"/>
    </row>
    <row r="53" spans="2:18" hidden="1" x14ac:dyDescent="0.25">
      <c r="B53" s="195" t="s">
        <v>183</v>
      </c>
      <c r="C53" s="196"/>
      <c r="D53" s="181"/>
      <c r="E53" s="181"/>
      <c r="F53" s="181"/>
      <c r="G53" s="181"/>
      <c r="H53" s="369" t="s">
        <v>184</v>
      </c>
      <c r="I53" s="370"/>
      <c r="J53" s="370"/>
      <c r="K53" s="370"/>
      <c r="L53" s="371"/>
      <c r="M53" s="381">
        <v>1</v>
      </c>
      <c r="N53" s="382"/>
      <c r="O53" s="194"/>
      <c r="P53" s="185"/>
      <c r="Q53" s="185"/>
      <c r="R53" s="186"/>
    </row>
    <row r="54" spans="2:18" ht="12.75" hidden="1" customHeight="1" x14ac:dyDescent="0.25">
      <c r="B54" s="195" t="s">
        <v>185</v>
      </c>
      <c r="C54" s="196"/>
      <c r="D54" s="181"/>
      <c r="E54" s="181"/>
      <c r="F54" s="181"/>
      <c r="G54" s="181"/>
      <c r="H54" s="369" t="s">
        <v>186</v>
      </c>
      <c r="I54" s="370"/>
      <c r="J54" s="370"/>
      <c r="K54" s="370"/>
      <c r="L54" s="371"/>
      <c r="M54" s="381">
        <v>2</v>
      </c>
      <c r="N54" s="382"/>
      <c r="O54" s="194"/>
      <c r="P54" s="185"/>
      <c r="Q54" s="185"/>
      <c r="R54" s="186"/>
    </row>
    <row r="55" spans="2:18" ht="12.75" hidden="1" customHeight="1" x14ac:dyDescent="0.25">
      <c r="B55" s="195" t="s">
        <v>187</v>
      </c>
      <c r="C55" s="196"/>
      <c r="D55" s="181"/>
      <c r="E55" s="181"/>
      <c r="F55" s="181"/>
      <c r="G55" s="181"/>
      <c r="H55" s="369" t="s">
        <v>188</v>
      </c>
      <c r="I55" s="370"/>
      <c r="J55" s="370"/>
      <c r="K55" s="370"/>
      <c r="L55" s="371"/>
      <c r="M55" s="381">
        <v>3</v>
      </c>
      <c r="N55" s="382"/>
      <c r="O55" s="194"/>
      <c r="P55" s="185"/>
      <c r="Q55" s="185"/>
      <c r="R55" s="186"/>
    </row>
    <row r="56" spans="2:18" ht="12.75" hidden="1" customHeight="1" x14ac:dyDescent="0.25">
      <c r="B56" s="195" t="s">
        <v>189</v>
      </c>
      <c r="C56" s="196"/>
      <c r="D56" s="181"/>
      <c r="E56" s="181"/>
      <c r="F56" s="181"/>
      <c r="G56" s="181"/>
      <c r="H56" s="369" t="s">
        <v>190</v>
      </c>
      <c r="I56" s="370"/>
      <c r="J56" s="370"/>
      <c r="K56" s="370"/>
      <c r="L56" s="371"/>
      <c r="M56" s="381">
        <v>4</v>
      </c>
      <c r="N56" s="382"/>
      <c r="O56" s="194"/>
      <c r="P56" s="185"/>
      <c r="Q56" s="185"/>
      <c r="R56" s="186"/>
    </row>
    <row r="57" spans="2:18" ht="12.75" hidden="1" customHeight="1" x14ac:dyDescent="0.25">
      <c r="B57" s="195" t="s">
        <v>191</v>
      </c>
      <c r="C57" s="196"/>
      <c r="D57" s="181"/>
      <c r="E57" s="181"/>
      <c r="F57" s="181"/>
      <c r="G57" s="181"/>
      <c r="H57" s="369" t="s">
        <v>192</v>
      </c>
      <c r="I57" s="370"/>
      <c r="J57" s="370"/>
      <c r="K57" s="370"/>
      <c r="L57" s="371"/>
      <c r="M57" s="381">
        <v>5</v>
      </c>
      <c r="N57" s="382"/>
      <c r="O57" s="194"/>
      <c r="P57" s="185"/>
      <c r="Q57" s="185"/>
      <c r="R57" s="186"/>
    </row>
    <row r="58" spans="2:18" ht="12.75" hidden="1" customHeight="1" x14ac:dyDescent="0.25">
      <c r="B58" s="195" t="s">
        <v>193</v>
      </c>
      <c r="C58" s="196"/>
      <c r="D58" s="181"/>
      <c r="E58" s="181"/>
      <c r="F58" s="181"/>
      <c r="G58" s="181"/>
      <c r="H58" s="369" t="s">
        <v>194</v>
      </c>
      <c r="I58" s="370"/>
      <c r="J58" s="370"/>
      <c r="K58" s="370"/>
      <c r="L58" s="371"/>
      <c r="M58" s="381">
        <v>6</v>
      </c>
      <c r="N58" s="382"/>
      <c r="O58" s="194"/>
      <c r="P58" s="185"/>
      <c r="Q58" s="185"/>
      <c r="R58" s="186"/>
    </row>
    <row r="59" spans="2:18" ht="12.75" hidden="1" customHeight="1" x14ac:dyDescent="0.25">
      <c r="B59" s="195" t="s">
        <v>195</v>
      </c>
      <c r="C59" s="196"/>
      <c r="D59" s="181"/>
      <c r="E59" s="181"/>
      <c r="F59" s="181"/>
      <c r="G59" s="181"/>
      <c r="H59" s="369" t="s">
        <v>196</v>
      </c>
      <c r="I59" s="370"/>
      <c r="J59" s="370"/>
      <c r="K59" s="370"/>
      <c r="L59" s="371"/>
      <c r="M59" s="381">
        <v>7</v>
      </c>
      <c r="N59" s="382"/>
      <c r="O59" s="194"/>
      <c r="P59" s="185"/>
      <c r="Q59" s="185"/>
      <c r="R59" s="186"/>
    </row>
    <row r="60" spans="2:18" ht="12.75" hidden="1" customHeight="1" x14ac:dyDescent="0.25">
      <c r="B60" s="195" t="s">
        <v>197</v>
      </c>
      <c r="C60" s="196"/>
      <c r="D60" s="181"/>
      <c r="E60" s="181"/>
      <c r="F60" s="181"/>
      <c r="G60" s="181"/>
      <c r="H60" s="369" t="s">
        <v>182</v>
      </c>
      <c r="I60" s="370"/>
      <c r="J60" s="370"/>
      <c r="K60" s="370"/>
      <c r="L60" s="371"/>
      <c r="M60" s="381">
        <v>8</v>
      </c>
      <c r="N60" s="382"/>
      <c r="O60" s="194"/>
      <c r="P60" s="185"/>
      <c r="Q60" s="185"/>
      <c r="R60" s="186"/>
    </row>
    <row r="61" spans="2:18" ht="12.75" hidden="1" customHeight="1" x14ac:dyDescent="0.25">
      <c r="B61" s="195" t="s">
        <v>198</v>
      </c>
      <c r="C61" s="196"/>
      <c r="D61" s="181"/>
      <c r="E61" s="181"/>
      <c r="F61" s="181"/>
      <c r="G61" s="181"/>
      <c r="H61" s="369" t="s">
        <v>199</v>
      </c>
      <c r="I61" s="370"/>
      <c r="J61" s="370"/>
      <c r="K61" s="370"/>
      <c r="L61" s="371"/>
      <c r="M61" s="381">
        <v>9</v>
      </c>
      <c r="N61" s="382"/>
      <c r="O61" s="194"/>
      <c r="P61" s="185"/>
      <c r="Q61" s="185"/>
      <c r="R61" s="186"/>
    </row>
    <row r="62" spans="2:18" ht="12.75" hidden="1" customHeight="1" x14ac:dyDescent="0.25">
      <c r="B62" s="195" t="s">
        <v>200</v>
      </c>
      <c r="C62" s="196"/>
      <c r="D62" s="181"/>
      <c r="E62" s="181"/>
      <c r="F62" s="181"/>
      <c r="G62" s="181"/>
      <c r="H62" s="369" t="s">
        <v>201</v>
      </c>
      <c r="I62" s="370"/>
      <c r="J62" s="370"/>
      <c r="K62" s="370"/>
      <c r="L62" s="371"/>
      <c r="M62" s="381">
        <v>10</v>
      </c>
      <c r="N62" s="382"/>
      <c r="O62" s="194"/>
      <c r="P62" s="185"/>
      <c r="Q62" s="185"/>
      <c r="R62" s="186"/>
    </row>
    <row r="63" spans="2:18" ht="12.75" hidden="1" customHeight="1" x14ac:dyDescent="0.25">
      <c r="B63" s="195" t="s">
        <v>202</v>
      </c>
      <c r="C63" s="196"/>
      <c r="D63" s="181"/>
      <c r="E63" s="181"/>
      <c r="F63" s="181"/>
      <c r="G63" s="181"/>
      <c r="H63" s="369" t="s">
        <v>203</v>
      </c>
      <c r="I63" s="370"/>
      <c r="J63" s="370"/>
      <c r="K63" s="370"/>
      <c r="L63" s="371"/>
      <c r="M63" s="381">
        <v>11</v>
      </c>
      <c r="N63" s="382"/>
      <c r="O63" s="194"/>
      <c r="P63" s="185"/>
      <c r="Q63" s="185"/>
      <c r="R63" s="186"/>
    </row>
    <row r="64" spans="2:18" ht="12.75" hidden="1" customHeight="1" x14ac:dyDescent="0.25">
      <c r="B64" s="195" t="s">
        <v>204</v>
      </c>
      <c r="C64" s="196"/>
      <c r="D64" s="181"/>
      <c r="E64" s="181"/>
      <c r="F64" s="181"/>
      <c r="G64" s="181"/>
      <c r="H64" s="369" t="s">
        <v>205</v>
      </c>
      <c r="I64" s="370"/>
      <c r="J64" s="370"/>
      <c r="K64" s="370"/>
      <c r="L64" s="371"/>
      <c r="M64" s="381">
        <v>12</v>
      </c>
      <c r="N64" s="382"/>
      <c r="O64" s="194"/>
      <c r="P64" s="185"/>
      <c r="Q64" s="185"/>
      <c r="R64" s="186"/>
    </row>
    <row r="65" spans="2:18" ht="12.75" hidden="1" customHeight="1" x14ac:dyDescent="0.25">
      <c r="B65" s="195" t="s">
        <v>206</v>
      </c>
      <c r="C65" s="196"/>
      <c r="D65" s="181"/>
      <c r="E65" s="181"/>
      <c r="F65" s="181"/>
      <c r="G65" s="181"/>
      <c r="H65" s="369" t="s">
        <v>207</v>
      </c>
      <c r="I65" s="370"/>
      <c r="J65" s="370"/>
      <c r="K65" s="370"/>
      <c r="L65" s="371"/>
      <c r="M65" s="381">
        <v>13</v>
      </c>
      <c r="N65" s="382"/>
      <c r="O65" s="194"/>
      <c r="P65" s="185"/>
      <c r="Q65" s="185"/>
      <c r="R65" s="186"/>
    </row>
    <row r="66" spans="2:18" ht="12.75" hidden="1" customHeight="1" x14ac:dyDescent="0.25">
      <c r="B66" s="195" t="s">
        <v>208</v>
      </c>
      <c r="C66" s="196"/>
      <c r="D66" s="181"/>
      <c r="E66" s="181"/>
      <c r="F66" s="181"/>
      <c r="G66" s="181"/>
      <c r="H66" s="369" t="s">
        <v>209</v>
      </c>
      <c r="I66" s="370"/>
      <c r="J66" s="370"/>
      <c r="K66" s="370"/>
      <c r="L66" s="371"/>
      <c r="M66" s="381">
        <v>14</v>
      </c>
      <c r="N66" s="382"/>
      <c r="O66" s="194"/>
      <c r="P66" s="185"/>
      <c r="Q66" s="185"/>
      <c r="R66" s="186"/>
    </row>
    <row r="67" spans="2:18" hidden="1" x14ac:dyDescent="0.25">
      <c r="B67" s="187">
        <v>5</v>
      </c>
      <c r="C67" s="197"/>
      <c r="D67" s="181"/>
      <c r="E67" s="181"/>
      <c r="F67" s="181"/>
      <c r="G67" s="181"/>
      <c r="H67" s="181"/>
      <c r="I67" s="181"/>
      <c r="J67" s="181"/>
      <c r="K67" s="181"/>
      <c r="L67" s="198" t="s">
        <v>210</v>
      </c>
      <c r="M67" s="381">
        <f>M31+M36+M43+M52</f>
        <v>0</v>
      </c>
      <c r="N67" s="382"/>
      <c r="O67" s="194"/>
      <c r="P67" s="185"/>
      <c r="Q67" s="185"/>
      <c r="R67" s="186"/>
    </row>
    <row r="68" spans="2:18" x14ac:dyDescent="0.25">
      <c r="B68" s="184" t="s">
        <v>211</v>
      </c>
      <c r="C68" s="181"/>
      <c r="D68" s="181"/>
      <c r="E68" s="181"/>
      <c r="F68" s="181"/>
      <c r="G68" s="181"/>
      <c r="H68" s="181"/>
      <c r="I68" s="181"/>
      <c r="J68" s="191"/>
      <c r="K68" s="191"/>
      <c r="L68" s="191"/>
      <c r="M68" s="191"/>
      <c r="N68" s="191"/>
      <c r="O68" s="191"/>
      <c r="P68" s="191"/>
      <c r="Q68" s="191"/>
      <c r="R68" s="192"/>
    </row>
    <row r="69" spans="2:18" ht="26.25" customHeight="1" x14ac:dyDescent="0.25">
      <c r="B69" s="374" t="s">
        <v>142</v>
      </c>
      <c r="C69" s="374"/>
      <c r="D69" s="374"/>
      <c r="E69" s="374"/>
      <c r="F69" s="374"/>
      <c r="G69" s="374"/>
      <c r="H69" s="374"/>
      <c r="I69" s="374"/>
      <c r="J69" s="375"/>
      <c r="K69" s="375"/>
      <c r="L69" s="375"/>
      <c r="M69" s="375" t="s">
        <v>212</v>
      </c>
      <c r="N69" s="375"/>
      <c r="O69" s="375"/>
      <c r="P69" s="375"/>
      <c r="Q69" s="375"/>
      <c r="R69" s="375"/>
    </row>
    <row r="70" spans="2:18" ht="25.5" x14ac:dyDescent="0.25">
      <c r="B70" s="188" t="s">
        <v>42</v>
      </c>
      <c r="C70" s="378" t="s">
        <v>144</v>
      </c>
      <c r="D70" s="379"/>
      <c r="E70" s="374" t="s">
        <v>145</v>
      </c>
      <c r="F70" s="374"/>
      <c r="G70" s="374"/>
      <c r="H70" s="374" t="s">
        <v>146</v>
      </c>
      <c r="I70" s="374"/>
      <c r="J70" s="374"/>
      <c r="K70" s="374"/>
      <c r="L70" s="374"/>
      <c r="M70" s="188" t="s">
        <v>134</v>
      </c>
      <c r="N70" s="188" t="s">
        <v>135</v>
      </c>
      <c r="O70" s="188" t="s">
        <v>136</v>
      </c>
      <c r="P70" s="188" t="s">
        <v>137</v>
      </c>
      <c r="Q70" s="188" t="s">
        <v>138</v>
      </c>
      <c r="R70" s="188" t="s">
        <v>139</v>
      </c>
    </row>
    <row r="71" spans="2:18" ht="53.25" customHeight="1" collapsed="1" x14ac:dyDescent="0.25">
      <c r="B71" s="187">
        <v>1</v>
      </c>
      <c r="C71" s="367" t="s">
        <v>157</v>
      </c>
      <c r="D71" s="368"/>
      <c r="E71" s="383" t="s">
        <v>158</v>
      </c>
      <c r="F71" s="383"/>
      <c r="G71" s="383"/>
      <c r="H71" s="369" t="s">
        <v>159</v>
      </c>
      <c r="I71" s="370"/>
      <c r="J71" s="370"/>
      <c r="K71" s="370"/>
      <c r="L71" s="371"/>
      <c r="M71" s="187">
        <f t="shared" ref="M71:R71" ca="1" si="0">IF(D24="Да",SUMIF($H72:$L77,$H71,M72:M77),0)</f>
        <v>1</v>
      </c>
      <c r="N71" s="187">
        <f t="shared" si="0"/>
        <v>0</v>
      </c>
      <c r="O71" s="187">
        <f t="shared" si="0"/>
        <v>0</v>
      </c>
      <c r="P71" s="187">
        <f t="shared" ca="1" si="0"/>
        <v>1</v>
      </c>
      <c r="Q71" s="187">
        <f t="shared" si="0"/>
        <v>0</v>
      </c>
      <c r="R71" s="187">
        <f t="shared" si="0"/>
        <v>0</v>
      </c>
    </row>
    <row r="72" spans="2:18" ht="53.25" hidden="1" customHeight="1" outlineLevel="1" x14ac:dyDescent="0.25">
      <c r="B72" s="195" t="s">
        <v>24</v>
      </c>
      <c r="C72" s="195"/>
      <c r="D72" s="187"/>
      <c r="E72" s="199"/>
      <c r="F72" s="199"/>
      <c r="G72" s="199"/>
      <c r="H72" s="369" t="s">
        <v>159</v>
      </c>
      <c r="I72" s="370"/>
      <c r="J72" s="370"/>
      <c r="K72" s="370"/>
      <c r="L72" s="371"/>
      <c r="M72" s="187">
        <v>1</v>
      </c>
      <c r="N72" s="187">
        <v>1</v>
      </c>
      <c r="O72" s="187">
        <v>1</v>
      </c>
      <c r="P72" s="187">
        <v>1</v>
      </c>
      <c r="Q72" s="187">
        <v>1</v>
      </c>
      <c r="R72" s="187">
        <v>1</v>
      </c>
    </row>
    <row r="73" spans="2:18" ht="53.25" hidden="1" customHeight="1" outlineLevel="1" x14ac:dyDescent="0.25">
      <c r="B73" s="195" t="s">
        <v>151</v>
      </c>
      <c r="C73" s="195"/>
      <c r="D73" s="187"/>
      <c r="E73" s="199"/>
      <c r="F73" s="199"/>
      <c r="G73" s="199"/>
      <c r="H73" s="369" t="s">
        <v>161</v>
      </c>
      <c r="I73" s="370"/>
      <c r="J73" s="370"/>
      <c r="K73" s="370"/>
      <c r="L73" s="371"/>
      <c r="M73" s="187">
        <v>2</v>
      </c>
      <c r="N73" s="187">
        <v>1</v>
      </c>
      <c r="O73" s="187">
        <v>2</v>
      </c>
      <c r="P73" s="187">
        <v>1</v>
      </c>
      <c r="Q73" s="187">
        <v>2</v>
      </c>
      <c r="R73" s="187">
        <v>2</v>
      </c>
    </row>
    <row r="74" spans="2:18" ht="53.25" hidden="1" customHeight="1" outlineLevel="1" x14ac:dyDescent="0.25">
      <c r="B74" s="195" t="s">
        <v>153</v>
      </c>
      <c r="C74" s="195"/>
      <c r="D74" s="187"/>
      <c r="E74" s="199"/>
      <c r="F74" s="199"/>
      <c r="G74" s="199"/>
      <c r="H74" s="369" t="s">
        <v>163</v>
      </c>
      <c r="I74" s="370"/>
      <c r="J74" s="370"/>
      <c r="K74" s="370"/>
      <c r="L74" s="371"/>
      <c r="M74" s="187">
        <v>3</v>
      </c>
      <c r="N74" s="187">
        <v>3</v>
      </c>
      <c r="O74" s="187">
        <v>3</v>
      </c>
      <c r="P74" s="187">
        <v>3</v>
      </c>
      <c r="Q74" s="187">
        <v>3</v>
      </c>
      <c r="R74" s="187">
        <v>3</v>
      </c>
    </row>
    <row r="75" spans="2:18" ht="53.25" hidden="1" customHeight="1" outlineLevel="1" x14ac:dyDescent="0.25">
      <c r="B75" s="195" t="s">
        <v>155</v>
      </c>
      <c r="C75" s="195"/>
      <c r="D75" s="187"/>
      <c r="E75" s="199"/>
      <c r="F75" s="199"/>
      <c r="G75" s="199"/>
      <c r="H75" s="369" t="s">
        <v>165</v>
      </c>
      <c r="I75" s="370"/>
      <c r="J75" s="370"/>
      <c r="K75" s="370"/>
      <c r="L75" s="371"/>
      <c r="M75" s="187">
        <v>4</v>
      </c>
      <c r="N75" s="187">
        <v>3</v>
      </c>
      <c r="O75" s="187">
        <v>4</v>
      </c>
      <c r="P75" s="187">
        <v>3</v>
      </c>
      <c r="Q75" s="187">
        <v>4</v>
      </c>
      <c r="R75" s="187">
        <v>4</v>
      </c>
    </row>
    <row r="76" spans="2:18" ht="53.25" hidden="1" customHeight="1" outlineLevel="1" x14ac:dyDescent="0.25">
      <c r="B76" s="195" t="s">
        <v>213</v>
      </c>
      <c r="C76" s="195"/>
      <c r="D76" s="187"/>
      <c r="E76" s="199"/>
      <c r="F76" s="199"/>
      <c r="G76" s="199"/>
      <c r="H76" s="369" t="s">
        <v>167</v>
      </c>
      <c r="I76" s="370"/>
      <c r="J76" s="370"/>
      <c r="K76" s="370"/>
      <c r="L76" s="371"/>
      <c r="M76" s="187">
        <v>3</v>
      </c>
      <c r="N76" s="187">
        <v>2</v>
      </c>
      <c r="O76" s="187">
        <v>3</v>
      </c>
      <c r="P76" s="187">
        <v>2</v>
      </c>
      <c r="Q76" s="187">
        <v>3</v>
      </c>
      <c r="R76" s="187">
        <v>3</v>
      </c>
    </row>
    <row r="77" spans="2:18" ht="53.25" hidden="1" customHeight="1" outlineLevel="1" x14ac:dyDescent="0.25">
      <c r="B77" s="195" t="s">
        <v>214</v>
      </c>
      <c r="C77" s="195"/>
      <c r="D77" s="187"/>
      <c r="E77" s="199"/>
      <c r="F77" s="199"/>
      <c r="G77" s="199"/>
      <c r="H77" s="369" t="s">
        <v>169</v>
      </c>
      <c r="I77" s="370"/>
      <c r="J77" s="370"/>
      <c r="K77" s="370"/>
      <c r="L77" s="371"/>
      <c r="M77" s="187">
        <v>2</v>
      </c>
      <c r="N77" s="187">
        <v>2</v>
      </c>
      <c r="O77" s="187">
        <v>2</v>
      </c>
      <c r="P77" s="187">
        <v>2</v>
      </c>
      <c r="Q77" s="187">
        <v>3</v>
      </c>
      <c r="R77" s="187">
        <v>3</v>
      </c>
    </row>
    <row r="78" spans="2:18" ht="53.25" customHeight="1" collapsed="1" x14ac:dyDescent="0.25">
      <c r="B78" s="187">
        <v>2</v>
      </c>
      <c r="C78" s="367" t="s">
        <v>215</v>
      </c>
      <c r="D78" s="368"/>
      <c r="E78" s="383" t="s">
        <v>216</v>
      </c>
      <c r="F78" s="383"/>
      <c r="G78" s="383"/>
      <c r="H78" s="369" t="s">
        <v>173</v>
      </c>
      <c r="I78" s="370"/>
      <c r="J78" s="370"/>
      <c r="K78" s="370"/>
      <c r="L78" s="371"/>
      <c r="M78" s="187">
        <f t="shared" ref="M78:R78" ca="1" si="1">IF(D24="Да",SUMIF($H79:$L85,$H78,M79:M85),0)</f>
        <v>1</v>
      </c>
      <c r="N78" s="187">
        <f t="shared" si="1"/>
        <v>0</v>
      </c>
      <c r="O78" s="187">
        <f t="shared" si="1"/>
        <v>0</v>
      </c>
      <c r="P78" s="187">
        <f t="shared" ca="1" si="1"/>
        <v>1</v>
      </c>
      <c r="Q78" s="187">
        <f t="shared" si="1"/>
        <v>0</v>
      </c>
      <c r="R78" s="187">
        <f t="shared" si="1"/>
        <v>0</v>
      </c>
    </row>
    <row r="79" spans="2:18" ht="53.25" hidden="1" customHeight="1" outlineLevel="1" x14ac:dyDescent="0.25">
      <c r="B79" s="195" t="s">
        <v>25</v>
      </c>
      <c r="C79" s="195"/>
      <c r="D79" s="187"/>
      <c r="E79" s="384" t="s">
        <v>217</v>
      </c>
      <c r="F79" s="385"/>
      <c r="G79" s="199"/>
      <c r="H79" s="369" t="s">
        <v>173</v>
      </c>
      <c r="I79" s="370"/>
      <c r="J79" s="370"/>
      <c r="K79" s="370"/>
      <c r="L79" s="371"/>
      <c r="M79" s="187">
        <v>1</v>
      </c>
      <c r="N79" s="187">
        <v>1</v>
      </c>
      <c r="O79" s="187">
        <v>1</v>
      </c>
      <c r="P79" s="187">
        <v>1</v>
      </c>
      <c r="Q79" s="187">
        <v>1</v>
      </c>
      <c r="R79" s="187">
        <v>1</v>
      </c>
    </row>
    <row r="80" spans="2:18" ht="53.25" hidden="1" customHeight="1" outlineLevel="1" x14ac:dyDescent="0.25">
      <c r="B80" s="195" t="s">
        <v>160</v>
      </c>
      <c r="C80" s="195"/>
      <c r="D80" s="187"/>
      <c r="E80" s="386"/>
      <c r="F80" s="387"/>
      <c r="G80" s="199"/>
      <c r="H80" s="369" t="s">
        <v>174</v>
      </c>
      <c r="I80" s="370"/>
      <c r="J80" s="370"/>
      <c r="K80" s="370"/>
      <c r="L80" s="371"/>
      <c r="M80" s="187">
        <v>2</v>
      </c>
      <c r="N80" s="187">
        <v>2</v>
      </c>
      <c r="O80" s="187">
        <v>2</v>
      </c>
      <c r="P80" s="187">
        <v>2</v>
      </c>
      <c r="Q80" s="187">
        <v>2</v>
      </c>
      <c r="R80" s="187">
        <v>2</v>
      </c>
    </row>
    <row r="81" spans="2:18" ht="53.25" hidden="1" customHeight="1" outlineLevel="1" x14ac:dyDescent="0.25">
      <c r="B81" s="195" t="s">
        <v>162</v>
      </c>
      <c r="C81" s="195"/>
      <c r="D81" s="187"/>
      <c r="E81" s="386"/>
      <c r="F81" s="387"/>
      <c r="G81" s="199"/>
      <c r="H81" s="369" t="s">
        <v>172</v>
      </c>
      <c r="I81" s="370"/>
      <c r="J81" s="370"/>
      <c r="K81" s="370"/>
      <c r="L81" s="371"/>
      <c r="M81" s="187">
        <v>3</v>
      </c>
      <c r="N81" s="187">
        <v>2</v>
      </c>
      <c r="O81" s="187">
        <v>3</v>
      </c>
      <c r="P81" s="187">
        <v>2</v>
      </c>
      <c r="Q81" s="187">
        <v>3</v>
      </c>
      <c r="R81" s="187">
        <v>3</v>
      </c>
    </row>
    <row r="82" spans="2:18" ht="53.25" hidden="1" customHeight="1" outlineLevel="1" x14ac:dyDescent="0.25">
      <c r="B82" s="195" t="s">
        <v>164</v>
      </c>
      <c r="C82" s="195"/>
      <c r="D82" s="187"/>
      <c r="E82" s="386"/>
      <c r="F82" s="387"/>
      <c r="G82" s="199"/>
      <c r="H82" s="369" t="s">
        <v>175</v>
      </c>
      <c r="I82" s="370"/>
      <c r="J82" s="370"/>
      <c r="K82" s="370"/>
      <c r="L82" s="371"/>
      <c r="M82" s="187">
        <v>4</v>
      </c>
      <c r="N82" s="187">
        <v>3</v>
      </c>
      <c r="O82" s="187">
        <v>4</v>
      </c>
      <c r="P82" s="187">
        <v>3</v>
      </c>
      <c r="Q82" s="187">
        <v>4</v>
      </c>
      <c r="R82" s="187">
        <v>4</v>
      </c>
    </row>
    <row r="83" spans="2:18" ht="53.25" hidden="1" customHeight="1" outlineLevel="1" x14ac:dyDescent="0.25">
      <c r="B83" s="195" t="s">
        <v>166</v>
      </c>
      <c r="C83" s="195"/>
      <c r="D83" s="187"/>
      <c r="E83" s="386"/>
      <c r="F83" s="387"/>
      <c r="G83" s="199"/>
      <c r="H83" s="369" t="s">
        <v>176</v>
      </c>
      <c r="I83" s="370"/>
      <c r="J83" s="370"/>
      <c r="K83" s="370"/>
      <c r="L83" s="371"/>
      <c r="M83" s="187">
        <v>5</v>
      </c>
      <c r="N83" s="187">
        <v>3</v>
      </c>
      <c r="O83" s="187">
        <v>5</v>
      </c>
      <c r="P83" s="187">
        <v>3</v>
      </c>
      <c r="Q83" s="187">
        <v>5</v>
      </c>
      <c r="R83" s="187">
        <v>5</v>
      </c>
    </row>
    <row r="84" spans="2:18" ht="53.25" hidden="1" customHeight="1" outlineLevel="1" x14ac:dyDescent="0.25">
      <c r="B84" s="195" t="s">
        <v>168</v>
      </c>
      <c r="C84" s="195"/>
      <c r="D84" s="187"/>
      <c r="E84" s="386"/>
      <c r="F84" s="387"/>
      <c r="G84" s="199"/>
      <c r="H84" s="369" t="s">
        <v>177</v>
      </c>
      <c r="I84" s="370"/>
      <c r="J84" s="370"/>
      <c r="K84" s="370"/>
      <c r="L84" s="371"/>
      <c r="M84" s="187">
        <v>6</v>
      </c>
      <c r="N84" s="187">
        <v>4</v>
      </c>
      <c r="O84" s="187">
        <v>6</v>
      </c>
      <c r="P84" s="187">
        <v>4</v>
      </c>
      <c r="Q84" s="187">
        <v>6</v>
      </c>
      <c r="R84" s="187">
        <v>6</v>
      </c>
    </row>
    <row r="85" spans="2:18" ht="53.25" hidden="1" customHeight="1" outlineLevel="1" x14ac:dyDescent="0.25">
      <c r="B85" s="195" t="s">
        <v>218</v>
      </c>
      <c r="C85" s="195"/>
      <c r="D85" s="187"/>
      <c r="E85" s="388"/>
      <c r="F85" s="389"/>
      <c r="G85" s="199"/>
      <c r="H85" s="369" t="s">
        <v>178</v>
      </c>
      <c r="I85" s="370"/>
      <c r="J85" s="370"/>
      <c r="K85" s="370"/>
      <c r="L85" s="371"/>
      <c r="M85" s="187">
        <v>7</v>
      </c>
      <c r="N85" s="187">
        <v>5</v>
      </c>
      <c r="O85" s="187">
        <v>7</v>
      </c>
      <c r="P85" s="187">
        <v>5</v>
      </c>
      <c r="Q85" s="187">
        <v>7</v>
      </c>
      <c r="R85" s="187">
        <v>7</v>
      </c>
    </row>
    <row r="86" spans="2:18" ht="53.25" customHeight="1" collapsed="1" x14ac:dyDescent="0.25">
      <c r="B86" s="187">
        <v>3</v>
      </c>
      <c r="C86" s="367" t="s">
        <v>219</v>
      </c>
      <c r="D86" s="368"/>
      <c r="E86" s="383" t="s">
        <v>220</v>
      </c>
      <c r="F86" s="383"/>
      <c r="G86" s="383"/>
      <c r="H86" s="369" t="s">
        <v>222</v>
      </c>
      <c r="I86" s="370"/>
      <c r="J86" s="370"/>
      <c r="K86" s="370"/>
      <c r="L86" s="371"/>
      <c r="M86" s="187">
        <f t="shared" ref="M86:R86" ca="1" si="2">IF(D24="Да",SUMIF($H87:$L90,$H86,M87:M90),0)</f>
        <v>1</v>
      </c>
      <c r="N86" s="187">
        <f t="shared" si="2"/>
        <v>0</v>
      </c>
      <c r="O86" s="187">
        <f t="shared" si="2"/>
        <v>0</v>
      </c>
      <c r="P86" s="187">
        <f t="shared" ca="1" si="2"/>
        <v>1</v>
      </c>
      <c r="Q86" s="187">
        <f t="shared" si="2"/>
        <v>0</v>
      </c>
      <c r="R86" s="187">
        <f t="shared" si="2"/>
        <v>0</v>
      </c>
    </row>
    <row r="87" spans="2:18" ht="53.25" hidden="1" customHeight="1" outlineLevel="1" x14ac:dyDescent="0.25">
      <c r="B87" s="195" t="s">
        <v>27</v>
      </c>
      <c r="C87" s="195"/>
      <c r="D87" s="187"/>
      <c r="E87" s="199"/>
      <c r="F87" s="199"/>
      <c r="G87" s="199"/>
      <c r="H87" s="369" t="s">
        <v>222</v>
      </c>
      <c r="I87" s="370"/>
      <c r="J87" s="370"/>
      <c r="K87" s="370"/>
      <c r="L87" s="371"/>
      <c r="M87" s="187">
        <v>1</v>
      </c>
      <c r="N87" s="187">
        <v>1</v>
      </c>
      <c r="O87" s="187">
        <v>1</v>
      </c>
      <c r="P87" s="187">
        <v>1</v>
      </c>
      <c r="Q87" s="187">
        <v>1</v>
      </c>
      <c r="R87" s="187">
        <v>1</v>
      </c>
    </row>
    <row r="88" spans="2:18" ht="53.25" hidden="1" customHeight="1" outlineLevel="1" x14ac:dyDescent="0.25">
      <c r="B88" s="195" t="s">
        <v>28</v>
      </c>
      <c r="C88" s="195"/>
      <c r="D88" s="187"/>
      <c r="E88" s="199"/>
      <c r="F88" s="199"/>
      <c r="G88" s="199"/>
      <c r="H88" s="369" t="s">
        <v>223</v>
      </c>
      <c r="I88" s="370"/>
      <c r="J88" s="370"/>
      <c r="K88" s="370"/>
      <c r="L88" s="371"/>
      <c r="M88" s="187">
        <v>3</v>
      </c>
      <c r="N88" s="187">
        <v>2</v>
      </c>
      <c r="O88" s="187">
        <v>3</v>
      </c>
      <c r="P88" s="187">
        <v>3</v>
      </c>
      <c r="Q88" s="187">
        <v>3</v>
      </c>
      <c r="R88" s="187">
        <v>3</v>
      </c>
    </row>
    <row r="89" spans="2:18" ht="53.25" hidden="1" customHeight="1" outlineLevel="1" x14ac:dyDescent="0.25">
      <c r="B89" s="195" t="s">
        <v>29</v>
      </c>
      <c r="C89" s="195"/>
      <c r="D89" s="187"/>
      <c r="E89" s="199"/>
      <c r="F89" s="199"/>
      <c r="G89" s="199"/>
      <c r="H89" s="369" t="s">
        <v>221</v>
      </c>
      <c r="I89" s="370"/>
      <c r="J89" s="370"/>
      <c r="K89" s="370"/>
      <c r="L89" s="371"/>
      <c r="M89" s="187">
        <v>6</v>
      </c>
      <c r="N89" s="187">
        <v>2</v>
      </c>
      <c r="O89" s="187">
        <v>6</v>
      </c>
      <c r="P89" s="187">
        <v>5</v>
      </c>
      <c r="Q89" s="187">
        <v>6</v>
      </c>
      <c r="R89" s="187">
        <v>6</v>
      </c>
    </row>
    <row r="90" spans="2:18" ht="53.25" hidden="1" customHeight="1" outlineLevel="1" x14ac:dyDescent="0.25">
      <c r="B90" s="195" t="s">
        <v>30</v>
      </c>
      <c r="C90" s="195"/>
      <c r="D90" s="187"/>
      <c r="E90" s="199"/>
      <c r="F90" s="199"/>
      <c r="G90" s="199"/>
      <c r="H90" s="369" t="s">
        <v>224</v>
      </c>
      <c r="I90" s="370"/>
      <c r="J90" s="370"/>
      <c r="K90" s="370"/>
      <c r="L90" s="371"/>
      <c r="M90" s="187">
        <v>9</v>
      </c>
      <c r="N90" s="187">
        <v>3</v>
      </c>
      <c r="O90" s="187">
        <v>9</v>
      </c>
      <c r="P90" s="187">
        <v>8</v>
      </c>
      <c r="Q90" s="187">
        <v>9</v>
      </c>
      <c r="R90" s="187">
        <v>9</v>
      </c>
    </row>
    <row r="91" spans="2:18" ht="53.25" customHeight="1" collapsed="1" x14ac:dyDescent="0.25">
      <c r="B91" s="187">
        <v>4</v>
      </c>
      <c r="C91" s="367" t="s">
        <v>225</v>
      </c>
      <c r="D91" s="368"/>
      <c r="E91" s="383" t="s">
        <v>226</v>
      </c>
      <c r="F91" s="383"/>
      <c r="G91" s="383"/>
      <c r="H91" s="369" t="s">
        <v>228</v>
      </c>
      <c r="I91" s="370"/>
      <c r="J91" s="370"/>
      <c r="K91" s="370"/>
      <c r="L91" s="371"/>
      <c r="M91" s="187">
        <f t="shared" ref="M91:R91" ca="1" si="3">IF(D24="Да",SUMIF($H92:$L98,$H91,M92:M98),0)</f>
        <v>1</v>
      </c>
      <c r="N91" s="187">
        <f t="shared" si="3"/>
        <v>0</v>
      </c>
      <c r="O91" s="187">
        <f t="shared" si="3"/>
        <v>0</v>
      </c>
      <c r="P91" s="187">
        <f t="shared" ca="1" si="3"/>
        <v>1</v>
      </c>
      <c r="Q91" s="187">
        <f t="shared" si="3"/>
        <v>0</v>
      </c>
      <c r="R91" s="187">
        <f t="shared" si="3"/>
        <v>0</v>
      </c>
    </row>
    <row r="92" spans="2:18" ht="53.25" hidden="1" customHeight="1" outlineLevel="1" x14ac:dyDescent="0.25">
      <c r="B92" s="195">
        <v>7.22</v>
      </c>
      <c r="C92" s="195"/>
      <c r="D92" s="187"/>
      <c r="E92" s="199"/>
      <c r="F92" s="199"/>
      <c r="G92" s="199"/>
      <c r="H92" s="369" t="s">
        <v>228</v>
      </c>
      <c r="I92" s="370"/>
      <c r="J92" s="370"/>
      <c r="K92" s="370"/>
      <c r="L92" s="371"/>
      <c r="M92" s="187">
        <v>1</v>
      </c>
      <c r="N92" s="187">
        <v>1</v>
      </c>
      <c r="O92" s="187">
        <v>1</v>
      </c>
      <c r="P92" s="187">
        <v>1</v>
      </c>
      <c r="Q92" s="187">
        <v>1</v>
      </c>
      <c r="R92" s="187">
        <v>1</v>
      </c>
    </row>
    <row r="93" spans="2:18" ht="53.25" hidden="1" customHeight="1" outlineLevel="1" x14ac:dyDescent="0.25">
      <c r="B93" s="195" t="s">
        <v>229</v>
      </c>
      <c r="C93" s="195"/>
      <c r="D93" s="187"/>
      <c r="E93" s="199"/>
      <c r="F93" s="199"/>
      <c r="G93" s="199"/>
      <c r="H93" s="369" t="s">
        <v>230</v>
      </c>
      <c r="I93" s="370"/>
      <c r="J93" s="370"/>
      <c r="K93" s="370"/>
      <c r="L93" s="371"/>
      <c r="M93" s="187">
        <v>3</v>
      </c>
      <c r="N93" s="187">
        <v>2</v>
      </c>
      <c r="O93" s="187">
        <v>3</v>
      </c>
      <c r="P93" s="187">
        <v>3</v>
      </c>
      <c r="Q93" s="187">
        <v>3</v>
      </c>
      <c r="R93" s="187">
        <v>3</v>
      </c>
    </row>
    <row r="94" spans="2:18" ht="53.25" hidden="1" customHeight="1" outlineLevel="1" x14ac:dyDescent="0.25">
      <c r="B94" s="195" t="s">
        <v>231</v>
      </c>
      <c r="C94" s="195"/>
      <c r="D94" s="187"/>
      <c r="E94" s="199"/>
      <c r="F94" s="199"/>
      <c r="G94" s="199"/>
      <c r="H94" s="369" t="s">
        <v>227</v>
      </c>
      <c r="I94" s="370"/>
      <c r="J94" s="370"/>
      <c r="K94" s="370"/>
      <c r="L94" s="371"/>
      <c r="M94" s="187">
        <v>5</v>
      </c>
      <c r="N94" s="187">
        <v>2</v>
      </c>
      <c r="O94" s="187">
        <v>5</v>
      </c>
      <c r="P94" s="187">
        <v>5</v>
      </c>
      <c r="Q94" s="187">
        <v>5</v>
      </c>
      <c r="R94" s="187">
        <v>5</v>
      </c>
    </row>
    <row r="95" spans="2:18" ht="53.25" hidden="1" customHeight="1" outlineLevel="1" x14ac:dyDescent="0.25">
      <c r="B95" s="195" t="s">
        <v>232</v>
      </c>
      <c r="C95" s="195"/>
      <c r="D95" s="187"/>
      <c r="E95" s="199"/>
      <c r="F95" s="199"/>
      <c r="G95" s="199"/>
      <c r="H95" s="369" t="s">
        <v>233</v>
      </c>
      <c r="I95" s="370"/>
      <c r="J95" s="370"/>
      <c r="K95" s="370"/>
      <c r="L95" s="371"/>
      <c r="M95" s="187">
        <v>6</v>
      </c>
      <c r="N95" s="187">
        <v>3</v>
      </c>
      <c r="O95" s="187">
        <v>7</v>
      </c>
      <c r="P95" s="187">
        <v>7</v>
      </c>
      <c r="Q95" s="187">
        <v>7</v>
      </c>
      <c r="R95" s="187">
        <v>7</v>
      </c>
    </row>
    <row r="96" spans="2:18" ht="53.25" hidden="1" customHeight="1" outlineLevel="1" x14ac:dyDescent="0.25">
      <c r="B96" s="195" t="s">
        <v>234</v>
      </c>
      <c r="C96" s="195"/>
      <c r="D96" s="187"/>
      <c r="E96" s="199"/>
      <c r="F96" s="199"/>
      <c r="G96" s="199"/>
      <c r="H96" s="369" t="s">
        <v>235</v>
      </c>
      <c r="I96" s="370"/>
      <c r="J96" s="370"/>
      <c r="K96" s="370"/>
      <c r="L96" s="371"/>
      <c r="M96" s="187">
        <v>8</v>
      </c>
      <c r="N96" s="187">
        <v>4</v>
      </c>
      <c r="O96" s="187">
        <v>10</v>
      </c>
      <c r="P96" s="187">
        <v>9</v>
      </c>
      <c r="Q96" s="187">
        <v>11</v>
      </c>
      <c r="R96" s="187">
        <v>11</v>
      </c>
    </row>
    <row r="97" spans="2:18" ht="53.25" hidden="1" customHeight="1" outlineLevel="1" x14ac:dyDescent="0.25">
      <c r="B97" s="195" t="s">
        <v>236</v>
      </c>
      <c r="C97" s="195"/>
      <c r="D97" s="187"/>
      <c r="E97" s="199"/>
      <c r="F97" s="199"/>
      <c r="G97" s="199"/>
      <c r="H97" s="369" t="s">
        <v>237</v>
      </c>
      <c r="I97" s="370"/>
      <c r="J97" s="370"/>
      <c r="K97" s="370"/>
      <c r="L97" s="371"/>
      <c r="M97" s="187">
        <v>9</v>
      </c>
      <c r="N97" s="187">
        <v>4</v>
      </c>
      <c r="O97" s="187">
        <v>11</v>
      </c>
      <c r="P97" s="187">
        <v>10</v>
      </c>
      <c r="Q97" s="187">
        <v>13</v>
      </c>
      <c r="R97" s="187">
        <v>13</v>
      </c>
    </row>
    <row r="98" spans="2:18" ht="53.25" hidden="1" customHeight="1" outlineLevel="1" x14ac:dyDescent="0.25">
      <c r="B98" s="195" t="s">
        <v>238</v>
      </c>
      <c r="C98" s="195"/>
      <c r="D98" s="187"/>
      <c r="E98" s="199"/>
      <c r="F98" s="199"/>
      <c r="G98" s="199"/>
      <c r="H98" s="369" t="s">
        <v>239</v>
      </c>
      <c r="I98" s="370"/>
      <c r="J98" s="370"/>
      <c r="K98" s="370"/>
      <c r="L98" s="371"/>
      <c r="M98" s="187">
        <v>10</v>
      </c>
      <c r="N98" s="187">
        <v>5</v>
      </c>
      <c r="O98" s="187">
        <v>12</v>
      </c>
      <c r="P98" s="187">
        <v>11</v>
      </c>
      <c r="Q98" s="187">
        <v>14</v>
      </c>
      <c r="R98" s="187">
        <v>14</v>
      </c>
    </row>
    <row r="99" spans="2:18" ht="53.25" customHeight="1" collapsed="1" x14ac:dyDescent="0.25">
      <c r="B99" s="187">
        <v>5</v>
      </c>
      <c r="C99" s="367" t="s">
        <v>240</v>
      </c>
      <c r="D99" s="368"/>
      <c r="E99" s="383" t="s">
        <v>241</v>
      </c>
      <c r="F99" s="383"/>
      <c r="G99" s="383"/>
      <c r="H99" s="369" t="s">
        <v>248</v>
      </c>
      <c r="I99" s="370"/>
      <c r="J99" s="370"/>
      <c r="K99" s="370"/>
      <c r="L99" s="371"/>
      <c r="M99" s="187">
        <f t="shared" ref="M99:R99" ca="1" si="4">IF(D24="Да",SUMIF($H100:$L104,$H99,M100:M104),0)</f>
        <v>2</v>
      </c>
      <c r="N99" s="187">
        <f t="shared" si="4"/>
        <v>0</v>
      </c>
      <c r="O99" s="187">
        <f t="shared" si="4"/>
        <v>0</v>
      </c>
      <c r="P99" s="187">
        <f t="shared" ca="1" si="4"/>
        <v>2</v>
      </c>
      <c r="Q99" s="187">
        <f t="shared" si="4"/>
        <v>0</v>
      </c>
      <c r="R99" s="187">
        <f t="shared" si="4"/>
        <v>0</v>
      </c>
    </row>
    <row r="100" spans="2:18" ht="53.25" hidden="1" customHeight="1" outlineLevel="1" x14ac:dyDescent="0.25">
      <c r="B100" s="195" t="s">
        <v>243</v>
      </c>
      <c r="C100" s="195"/>
      <c r="D100" s="187"/>
      <c r="E100" s="199"/>
      <c r="F100" s="199"/>
      <c r="G100" s="199"/>
      <c r="H100" s="369" t="s">
        <v>244</v>
      </c>
      <c r="I100" s="370"/>
      <c r="J100" s="370"/>
      <c r="K100" s="370"/>
      <c r="L100" s="371"/>
      <c r="M100" s="187">
        <v>1</v>
      </c>
      <c r="N100" s="187">
        <v>1</v>
      </c>
      <c r="O100" s="187">
        <v>1</v>
      </c>
      <c r="P100" s="187">
        <v>1</v>
      </c>
      <c r="Q100" s="187">
        <v>1</v>
      </c>
      <c r="R100" s="187">
        <v>1</v>
      </c>
    </row>
    <row r="101" spans="2:18" ht="53.25" hidden="1" customHeight="1" outlineLevel="1" x14ac:dyDescent="0.25">
      <c r="B101" s="195" t="s">
        <v>245</v>
      </c>
      <c r="C101" s="195"/>
      <c r="D101" s="187"/>
      <c r="E101" s="199"/>
      <c r="F101" s="199"/>
      <c r="G101" s="199"/>
      <c r="H101" s="369" t="s">
        <v>246</v>
      </c>
      <c r="I101" s="370"/>
      <c r="J101" s="370"/>
      <c r="K101" s="370"/>
      <c r="L101" s="371"/>
      <c r="M101" s="187">
        <v>1</v>
      </c>
      <c r="N101" s="187">
        <v>1</v>
      </c>
      <c r="O101" s="187">
        <v>2</v>
      </c>
      <c r="P101" s="187">
        <v>1</v>
      </c>
      <c r="Q101" s="187">
        <v>2</v>
      </c>
      <c r="R101" s="187">
        <v>2</v>
      </c>
    </row>
    <row r="102" spans="2:18" ht="53.25" hidden="1" customHeight="1" outlineLevel="1" x14ac:dyDescent="0.25">
      <c r="B102" s="195" t="s">
        <v>247</v>
      </c>
      <c r="C102" s="195"/>
      <c r="D102" s="187"/>
      <c r="E102" s="199"/>
      <c r="F102" s="199"/>
      <c r="G102" s="199"/>
      <c r="H102" s="369" t="s">
        <v>248</v>
      </c>
      <c r="I102" s="370"/>
      <c r="J102" s="370"/>
      <c r="K102" s="370"/>
      <c r="L102" s="371"/>
      <c r="M102" s="187">
        <v>2</v>
      </c>
      <c r="N102" s="187">
        <v>2</v>
      </c>
      <c r="O102" s="187">
        <v>2</v>
      </c>
      <c r="P102" s="187">
        <v>2</v>
      </c>
      <c r="Q102" s="187">
        <v>3</v>
      </c>
      <c r="R102" s="187">
        <v>3</v>
      </c>
    </row>
    <row r="103" spans="2:18" ht="53.25" hidden="1" customHeight="1" outlineLevel="1" x14ac:dyDescent="0.25">
      <c r="B103" s="195" t="s">
        <v>249</v>
      </c>
      <c r="C103" s="195"/>
      <c r="D103" s="187"/>
      <c r="E103" s="199"/>
      <c r="F103" s="199"/>
      <c r="G103" s="199"/>
      <c r="H103" s="369" t="s">
        <v>250</v>
      </c>
      <c r="I103" s="370"/>
      <c r="J103" s="370"/>
      <c r="K103" s="370"/>
      <c r="L103" s="371"/>
      <c r="M103" s="187">
        <v>3</v>
      </c>
      <c r="N103" s="187">
        <v>2</v>
      </c>
      <c r="O103" s="187">
        <v>3</v>
      </c>
      <c r="P103" s="187">
        <v>4</v>
      </c>
      <c r="Q103" s="187">
        <v>4</v>
      </c>
      <c r="R103" s="187">
        <v>4</v>
      </c>
    </row>
    <row r="104" spans="2:18" ht="53.25" hidden="1" customHeight="1" outlineLevel="1" x14ac:dyDescent="0.25">
      <c r="B104" s="195" t="s">
        <v>251</v>
      </c>
      <c r="C104" s="195"/>
      <c r="D104" s="187"/>
      <c r="E104" s="199"/>
      <c r="F104" s="199"/>
      <c r="G104" s="199"/>
      <c r="H104" s="369" t="s">
        <v>242</v>
      </c>
      <c r="I104" s="370"/>
      <c r="J104" s="370"/>
      <c r="K104" s="370"/>
      <c r="L104" s="371"/>
      <c r="M104" s="187">
        <v>5</v>
      </c>
      <c r="N104" s="187">
        <v>3</v>
      </c>
      <c r="O104" s="187">
        <v>5</v>
      </c>
      <c r="P104" s="187">
        <v>7</v>
      </c>
      <c r="Q104" s="187">
        <v>7</v>
      </c>
      <c r="R104" s="187">
        <v>7</v>
      </c>
    </row>
    <row r="105" spans="2:18" ht="53.25" customHeight="1" collapsed="1" x14ac:dyDescent="0.25">
      <c r="B105" s="187">
        <v>6</v>
      </c>
      <c r="C105" s="367" t="s">
        <v>252</v>
      </c>
      <c r="D105" s="368"/>
      <c r="E105" s="383" t="s">
        <v>253</v>
      </c>
      <c r="F105" s="383"/>
      <c r="G105" s="383"/>
      <c r="H105" s="369" t="s">
        <v>184</v>
      </c>
      <c r="I105" s="370"/>
      <c r="J105" s="370"/>
      <c r="K105" s="370"/>
      <c r="L105" s="371"/>
      <c r="M105" s="187">
        <f t="shared" ref="M105:R105" ca="1" si="5">IF(D24="Да",SUMIF($H106:$L119,$H105,M106:M119),0)</f>
        <v>1</v>
      </c>
      <c r="N105" s="187">
        <f t="shared" si="5"/>
        <v>0</v>
      </c>
      <c r="O105" s="187">
        <f t="shared" si="5"/>
        <v>0</v>
      </c>
      <c r="P105" s="187">
        <f t="shared" ca="1" si="5"/>
        <v>1</v>
      </c>
      <c r="Q105" s="187">
        <f t="shared" si="5"/>
        <v>0</v>
      </c>
      <c r="R105" s="187">
        <f t="shared" si="5"/>
        <v>0</v>
      </c>
    </row>
    <row r="106" spans="2:18" ht="53.25" hidden="1" customHeight="1" outlineLevel="1" x14ac:dyDescent="0.25">
      <c r="B106" s="195" t="s">
        <v>254</v>
      </c>
      <c r="C106" s="195"/>
      <c r="D106" s="187"/>
      <c r="E106" s="199"/>
      <c r="F106" s="199"/>
      <c r="G106" s="199"/>
      <c r="H106" s="369" t="s">
        <v>184</v>
      </c>
      <c r="I106" s="370"/>
      <c r="J106" s="370"/>
      <c r="K106" s="370"/>
      <c r="L106" s="371"/>
      <c r="M106" s="187">
        <v>1</v>
      </c>
      <c r="N106" s="187">
        <v>1</v>
      </c>
      <c r="O106" s="187">
        <v>1</v>
      </c>
      <c r="P106" s="187">
        <v>1</v>
      </c>
      <c r="Q106" s="187">
        <v>1</v>
      </c>
      <c r="R106" s="187">
        <v>1</v>
      </c>
    </row>
    <row r="107" spans="2:18" ht="53.25" hidden="1" customHeight="1" outlineLevel="1" x14ac:dyDescent="0.25">
      <c r="B107" s="195" t="s">
        <v>255</v>
      </c>
      <c r="C107" s="195"/>
      <c r="D107" s="187"/>
      <c r="E107" s="199"/>
      <c r="F107" s="199"/>
      <c r="G107" s="199"/>
      <c r="H107" s="369" t="s">
        <v>186</v>
      </c>
      <c r="I107" s="370"/>
      <c r="J107" s="370"/>
      <c r="K107" s="370"/>
      <c r="L107" s="371"/>
      <c r="M107" s="187">
        <v>2</v>
      </c>
      <c r="N107" s="187">
        <v>1</v>
      </c>
      <c r="O107" s="187">
        <v>2</v>
      </c>
      <c r="P107" s="187">
        <v>2</v>
      </c>
      <c r="Q107" s="187">
        <v>2</v>
      </c>
      <c r="R107" s="187">
        <v>2</v>
      </c>
    </row>
    <row r="108" spans="2:18" ht="53.25" hidden="1" customHeight="1" outlineLevel="1" x14ac:dyDescent="0.25">
      <c r="B108" s="195" t="s">
        <v>256</v>
      </c>
      <c r="C108" s="195"/>
      <c r="D108" s="187"/>
      <c r="E108" s="199"/>
      <c r="F108" s="199"/>
      <c r="G108" s="199"/>
      <c r="H108" s="369" t="s">
        <v>188</v>
      </c>
      <c r="I108" s="370"/>
      <c r="J108" s="370"/>
      <c r="K108" s="370"/>
      <c r="L108" s="371"/>
      <c r="M108" s="187">
        <v>2</v>
      </c>
      <c r="N108" s="187">
        <v>2</v>
      </c>
      <c r="O108" s="187">
        <v>3</v>
      </c>
      <c r="P108" s="187">
        <v>3</v>
      </c>
      <c r="Q108" s="187">
        <v>3</v>
      </c>
      <c r="R108" s="187">
        <v>3</v>
      </c>
    </row>
    <row r="109" spans="2:18" ht="53.25" hidden="1" customHeight="1" outlineLevel="1" x14ac:dyDescent="0.25">
      <c r="B109" s="195" t="s">
        <v>257</v>
      </c>
      <c r="C109" s="195"/>
      <c r="D109" s="187"/>
      <c r="E109" s="199"/>
      <c r="F109" s="199"/>
      <c r="G109" s="199"/>
      <c r="H109" s="369" t="s">
        <v>190</v>
      </c>
      <c r="I109" s="370"/>
      <c r="J109" s="370"/>
      <c r="K109" s="370"/>
      <c r="L109" s="371"/>
      <c r="M109" s="187">
        <v>3</v>
      </c>
      <c r="N109" s="187">
        <v>2</v>
      </c>
      <c r="O109" s="187">
        <v>4</v>
      </c>
      <c r="P109" s="187">
        <v>4</v>
      </c>
      <c r="Q109" s="187">
        <v>4</v>
      </c>
      <c r="R109" s="187">
        <v>4</v>
      </c>
    </row>
    <row r="110" spans="2:18" ht="53.25" hidden="1" customHeight="1" outlineLevel="1" x14ac:dyDescent="0.25">
      <c r="B110" s="195" t="s">
        <v>258</v>
      </c>
      <c r="C110" s="195"/>
      <c r="D110" s="187"/>
      <c r="E110" s="199"/>
      <c r="F110" s="199"/>
      <c r="G110" s="199"/>
      <c r="H110" s="369" t="s">
        <v>192</v>
      </c>
      <c r="I110" s="370"/>
      <c r="J110" s="370"/>
      <c r="K110" s="370"/>
      <c r="L110" s="371"/>
      <c r="M110" s="187">
        <v>3</v>
      </c>
      <c r="N110" s="187">
        <v>3</v>
      </c>
      <c r="O110" s="187">
        <v>5</v>
      </c>
      <c r="P110" s="187">
        <v>5</v>
      </c>
      <c r="Q110" s="187">
        <v>5</v>
      </c>
      <c r="R110" s="187">
        <v>5</v>
      </c>
    </row>
    <row r="111" spans="2:18" ht="53.25" hidden="1" customHeight="1" outlineLevel="1" x14ac:dyDescent="0.25">
      <c r="B111" s="195" t="s">
        <v>259</v>
      </c>
      <c r="C111" s="195"/>
      <c r="D111" s="187"/>
      <c r="E111" s="199"/>
      <c r="F111" s="199"/>
      <c r="G111" s="199"/>
      <c r="H111" s="369" t="s">
        <v>194</v>
      </c>
      <c r="I111" s="370"/>
      <c r="J111" s="370"/>
      <c r="K111" s="370"/>
      <c r="L111" s="371"/>
      <c r="M111" s="187">
        <v>4</v>
      </c>
      <c r="N111" s="187">
        <v>3</v>
      </c>
      <c r="O111" s="187">
        <v>6</v>
      </c>
      <c r="P111" s="187">
        <v>6</v>
      </c>
      <c r="Q111" s="187">
        <v>6</v>
      </c>
      <c r="R111" s="187">
        <v>6</v>
      </c>
    </row>
    <row r="112" spans="2:18" ht="53.25" hidden="1" customHeight="1" outlineLevel="1" x14ac:dyDescent="0.25">
      <c r="B112" s="195" t="s">
        <v>260</v>
      </c>
      <c r="C112" s="195"/>
      <c r="D112" s="187"/>
      <c r="E112" s="199"/>
      <c r="F112" s="199"/>
      <c r="G112" s="199"/>
      <c r="H112" s="369" t="s">
        <v>196</v>
      </c>
      <c r="I112" s="370"/>
      <c r="J112" s="370"/>
      <c r="K112" s="370"/>
      <c r="L112" s="371"/>
      <c r="M112" s="187">
        <v>4</v>
      </c>
      <c r="N112" s="187">
        <v>4</v>
      </c>
      <c r="O112" s="187">
        <v>7</v>
      </c>
      <c r="P112" s="187">
        <v>7</v>
      </c>
      <c r="Q112" s="187">
        <v>7</v>
      </c>
      <c r="R112" s="187">
        <v>7</v>
      </c>
    </row>
    <row r="113" spans="2:18" ht="53.25" hidden="1" customHeight="1" outlineLevel="1" x14ac:dyDescent="0.25">
      <c r="B113" s="195" t="s">
        <v>261</v>
      </c>
      <c r="C113" s="195"/>
      <c r="D113" s="187"/>
      <c r="E113" s="199"/>
      <c r="F113" s="199"/>
      <c r="G113" s="199"/>
      <c r="H113" s="369" t="s">
        <v>182</v>
      </c>
      <c r="I113" s="370"/>
      <c r="J113" s="370"/>
      <c r="K113" s="370"/>
      <c r="L113" s="371"/>
      <c r="M113" s="187">
        <v>5</v>
      </c>
      <c r="N113" s="187">
        <v>4</v>
      </c>
      <c r="O113" s="187">
        <v>8</v>
      </c>
      <c r="P113" s="187">
        <v>8</v>
      </c>
      <c r="Q113" s="187">
        <v>8</v>
      </c>
      <c r="R113" s="187">
        <v>8</v>
      </c>
    </row>
    <row r="114" spans="2:18" ht="53.25" hidden="1" customHeight="1" outlineLevel="1" x14ac:dyDescent="0.25">
      <c r="B114" s="195" t="s">
        <v>262</v>
      </c>
      <c r="C114" s="195"/>
      <c r="D114" s="187"/>
      <c r="E114" s="199"/>
      <c r="F114" s="199"/>
      <c r="G114" s="199"/>
      <c r="H114" s="369" t="s">
        <v>199</v>
      </c>
      <c r="I114" s="370"/>
      <c r="J114" s="370"/>
      <c r="K114" s="370"/>
      <c r="L114" s="371"/>
      <c r="M114" s="187">
        <v>5</v>
      </c>
      <c r="N114" s="187">
        <v>5</v>
      </c>
      <c r="O114" s="187">
        <v>9</v>
      </c>
      <c r="P114" s="187">
        <v>9</v>
      </c>
      <c r="Q114" s="187">
        <v>9</v>
      </c>
      <c r="R114" s="187">
        <v>9</v>
      </c>
    </row>
    <row r="115" spans="2:18" ht="53.25" hidden="1" customHeight="1" outlineLevel="1" x14ac:dyDescent="0.25">
      <c r="B115" s="195" t="s">
        <v>263</v>
      </c>
      <c r="C115" s="195"/>
      <c r="D115" s="187"/>
      <c r="E115" s="199"/>
      <c r="F115" s="199"/>
      <c r="G115" s="199"/>
      <c r="H115" s="369" t="s">
        <v>201</v>
      </c>
      <c r="I115" s="370"/>
      <c r="J115" s="370"/>
      <c r="K115" s="370"/>
      <c r="L115" s="371"/>
      <c r="M115" s="187">
        <v>6</v>
      </c>
      <c r="N115" s="187">
        <v>5</v>
      </c>
      <c r="O115" s="187">
        <v>10</v>
      </c>
      <c r="P115" s="187">
        <v>10</v>
      </c>
      <c r="Q115" s="187">
        <v>10</v>
      </c>
      <c r="R115" s="187">
        <v>10</v>
      </c>
    </row>
    <row r="116" spans="2:18" ht="53.25" hidden="1" customHeight="1" outlineLevel="1" x14ac:dyDescent="0.25">
      <c r="B116" s="195" t="s">
        <v>264</v>
      </c>
      <c r="C116" s="195"/>
      <c r="D116" s="187"/>
      <c r="E116" s="199"/>
      <c r="F116" s="199"/>
      <c r="G116" s="199"/>
      <c r="H116" s="369" t="s">
        <v>203</v>
      </c>
      <c r="I116" s="370"/>
      <c r="J116" s="370"/>
      <c r="K116" s="370"/>
      <c r="L116" s="371"/>
      <c r="M116" s="187">
        <v>7</v>
      </c>
      <c r="N116" s="187">
        <v>6</v>
      </c>
      <c r="O116" s="187">
        <v>11</v>
      </c>
      <c r="P116" s="187">
        <v>11</v>
      </c>
      <c r="Q116" s="187">
        <v>11</v>
      </c>
      <c r="R116" s="187">
        <v>11</v>
      </c>
    </row>
    <row r="117" spans="2:18" ht="53.25" hidden="1" customHeight="1" outlineLevel="1" x14ac:dyDescent="0.25">
      <c r="B117" s="195" t="s">
        <v>265</v>
      </c>
      <c r="C117" s="195"/>
      <c r="D117" s="187"/>
      <c r="E117" s="199"/>
      <c r="F117" s="199"/>
      <c r="G117" s="199"/>
      <c r="H117" s="369" t="s">
        <v>205</v>
      </c>
      <c r="I117" s="370"/>
      <c r="J117" s="370"/>
      <c r="K117" s="370"/>
      <c r="L117" s="371"/>
      <c r="M117" s="187">
        <v>8</v>
      </c>
      <c r="N117" s="187">
        <v>6</v>
      </c>
      <c r="O117" s="187">
        <v>12</v>
      </c>
      <c r="P117" s="187">
        <v>12</v>
      </c>
      <c r="Q117" s="187">
        <v>12</v>
      </c>
      <c r="R117" s="187">
        <v>12</v>
      </c>
    </row>
    <row r="118" spans="2:18" ht="53.25" hidden="1" customHeight="1" outlineLevel="1" x14ac:dyDescent="0.25">
      <c r="B118" s="195" t="s">
        <v>266</v>
      </c>
      <c r="C118" s="195"/>
      <c r="D118" s="187"/>
      <c r="E118" s="199"/>
      <c r="F118" s="199"/>
      <c r="G118" s="199"/>
      <c r="H118" s="369" t="s">
        <v>207</v>
      </c>
      <c r="I118" s="370"/>
      <c r="J118" s="370"/>
      <c r="K118" s="370"/>
      <c r="L118" s="371"/>
      <c r="M118" s="187">
        <v>9</v>
      </c>
      <c r="N118" s="187">
        <v>7</v>
      </c>
      <c r="O118" s="187">
        <v>13</v>
      </c>
      <c r="P118" s="187">
        <v>13</v>
      </c>
      <c r="Q118" s="187">
        <v>13</v>
      </c>
      <c r="R118" s="187">
        <v>13</v>
      </c>
    </row>
    <row r="119" spans="2:18" ht="53.25" hidden="1" customHeight="1" outlineLevel="1" x14ac:dyDescent="0.25">
      <c r="B119" s="195" t="s">
        <v>267</v>
      </c>
      <c r="C119" s="195"/>
      <c r="D119" s="187"/>
      <c r="E119" s="199"/>
      <c r="F119" s="199"/>
      <c r="G119" s="199"/>
      <c r="H119" s="369" t="s">
        <v>209</v>
      </c>
      <c r="I119" s="370"/>
      <c r="J119" s="370"/>
      <c r="K119" s="370"/>
      <c r="L119" s="371"/>
      <c r="M119" s="187">
        <v>1</v>
      </c>
      <c r="N119" s="187">
        <v>1</v>
      </c>
      <c r="O119" s="187">
        <v>1</v>
      </c>
      <c r="P119" s="187">
        <v>1</v>
      </c>
      <c r="Q119" s="187">
        <v>1</v>
      </c>
      <c r="R119" s="187">
        <v>1</v>
      </c>
    </row>
    <row r="120" spans="2:18" ht="53.25" customHeight="1" collapsed="1" x14ac:dyDescent="0.25">
      <c r="B120" s="187">
        <v>7</v>
      </c>
      <c r="C120" s="367" t="s">
        <v>268</v>
      </c>
      <c r="D120" s="368"/>
      <c r="E120" s="383" t="s">
        <v>269</v>
      </c>
      <c r="F120" s="383"/>
      <c r="G120" s="383"/>
      <c r="H120" s="369" t="s">
        <v>173</v>
      </c>
      <c r="I120" s="370"/>
      <c r="J120" s="370"/>
      <c r="K120" s="370"/>
      <c r="L120" s="371"/>
      <c r="M120" s="187">
        <f t="shared" ref="M120:R120" ca="1" si="6">IF(D24="Да",SUMIF($H121:$L134,$H120,M121:M134),0)</f>
        <v>1</v>
      </c>
      <c r="N120" s="187">
        <f t="shared" si="6"/>
        <v>0</v>
      </c>
      <c r="O120" s="187">
        <f t="shared" si="6"/>
        <v>0</v>
      </c>
      <c r="P120" s="187">
        <f t="shared" ca="1" si="6"/>
        <v>1</v>
      </c>
      <c r="Q120" s="187">
        <f t="shared" si="6"/>
        <v>0</v>
      </c>
      <c r="R120" s="187">
        <f t="shared" si="6"/>
        <v>0</v>
      </c>
    </row>
    <row r="121" spans="2:18" ht="53.25" hidden="1" customHeight="1" outlineLevel="1" x14ac:dyDescent="0.25">
      <c r="B121" s="195">
        <v>7.22</v>
      </c>
      <c r="C121" s="196"/>
      <c r="D121" s="197"/>
      <c r="E121" s="200"/>
      <c r="F121" s="200"/>
      <c r="G121" s="200"/>
      <c r="H121" s="369" t="s">
        <v>173</v>
      </c>
      <c r="I121" s="370"/>
      <c r="J121" s="370"/>
      <c r="K121" s="370"/>
      <c r="L121" s="371"/>
      <c r="M121" s="187">
        <v>1</v>
      </c>
      <c r="N121" s="187">
        <v>1</v>
      </c>
      <c r="O121" s="187">
        <v>1</v>
      </c>
      <c r="P121" s="187">
        <v>1</v>
      </c>
      <c r="Q121" s="187">
        <v>1</v>
      </c>
      <c r="R121" s="187">
        <v>1</v>
      </c>
    </row>
    <row r="122" spans="2:18" ht="53.25" hidden="1" customHeight="1" outlineLevel="1" x14ac:dyDescent="0.25">
      <c r="B122" s="195" t="s">
        <v>229</v>
      </c>
      <c r="C122" s="196"/>
      <c r="D122" s="197"/>
      <c r="E122" s="200"/>
      <c r="F122" s="200"/>
      <c r="G122" s="200"/>
      <c r="H122" s="369" t="s">
        <v>174</v>
      </c>
      <c r="I122" s="370"/>
      <c r="J122" s="370"/>
      <c r="K122" s="370"/>
      <c r="L122" s="371"/>
      <c r="M122" s="187">
        <v>2</v>
      </c>
      <c r="N122" s="187">
        <v>1</v>
      </c>
      <c r="O122" s="187">
        <v>2</v>
      </c>
      <c r="P122" s="187">
        <v>2</v>
      </c>
      <c r="Q122" s="187">
        <v>2</v>
      </c>
      <c r="R122" s="187">
        <v>2</v>
      </c>
    </row>
    <row r="123" spans="2:18" ht="53.25" hidden="1" customHeight="1" outlineLevel="1" x14ac:dyDescent="0.25">
      <c r="B123" s="195" t="s">
        <v>231</v>
      </c>
      <c r="C123" s="196"/>
      <c r="D123" s="197"/>
      <c r="E123" s="200"/>
      <c r="F123" s="200"/>
      <c r="G123" s="200"/>
      <c r="H123" s="369" t="s">
        <v>172</v>
      </c>
      <c r="I123" s="370"/>
      <c r="J123" s="370"/>
      <c r="K123" s="370"/>
      <c r="L123" s="371"/>
      <c r="M123" s="187">
        <v>3</v>
      </c>
      <c r="N123" s="187">
        <v>2</v>
      </c>
      <c r="O123" s="187">
        <v>3</v>
      </c>
      <c r="P123" s="187">
        <v>3</v>
      </c>
      <c r="Q123" s="187">
        <v>3</v>
      </c>
      <c r="R123" s="187">
        <v>3</v>
      </c>
    </row>
    <row r="124" spans="2:18" ht="53.25" hidden="1" customHeight="1" outlineLevel="1" x14ac:dyDescent="0.25">
      <c r="B124" s="195" t="s">
        <v>232</v>
      </c>
      <c r="C124" s="196"/>
      <c r="D124" s="197"/>
      <c r="E124" s="200"/>
      <c r="F124" s="200"/>
      <c r="G124" s="200"/>
      <c r="H124" s="369" t="s">
        <v>271</v>
      </c>
      <c r="I124" s="370"/>
      <c r="J124" s="370"/>
      <c r="K124" s="370"/>
      <c r="L124" s="371"/>
      <c r="M124" s="187">
        <v>3</v>
      </c>
      <c r="N124" s="187">
        <v>2</v>
      </c>
      <c r="O124" s="187">
        <v>4</v>
      </c>
      <c r="P124" s="187">
        <v>4</v>
      </c>
      <c r="Q124" s="187">
        <v>4</v>
      </c>
      <c r="R124" s="187">
        <v>4</v>
      </c>
    </row>
    <row r="125" spans="2:18" ht="53.25" hidden="1" customHeight="1" outlineLevel="1" x14ac:dyDescent="0.25">
      <c r="B125" s="195" t="s">
        <v>234</v>
      </c>
      <c r="C125" s="196"/>
      <c r="D125" s="197"/>
      <c r="E125" s="200"/>
      <c r="F125" s="200"/>
      <c r="G125" s="200"/>
      <c r="H125" s="369" t="s">
        <v>272</v>
      </c>
      <c r="I125" s="370"/>
      <c r="J125" s="370"/>
      <c r="K125" s="370"/>
      <c r="L125" s="371"/>
      <c r="M125" s="187">
        <v>4</v>
      </c>
      <c r="N125" s="187">
        <v>3</v>
      </c>
      <c r="O125" s="187">
        <v>5</v>
      </c>
      <c r="P125" s="187">
        <v>5</v>
      </c>
      <c r="Q125" s="187">
        <v>5</v>
      </c>
      <c r="R125" s="187">
        <v>5</v>
      </c>
    </row>
    <row r="126" spans="2:18" ht="53.25" hidden="1" customHeight="1" outlineLevel="1" x14ac:dyDescent="0.25">
      <c r="B126" s="195" t="s">
        <v>236</v>
      </c>
      <c r="C126" s="196"/>
      <c r="D126" s="197"/>
      <c r="E126" s="200"/>
      <c r="F126" s="200"/>
      <c r="G126" s="200"/>
      <c r="H126" s="369" t="s">
        <v>273</v>
      </c>
      <c r="I126" s="370"/>
      <c r="J126" s="370"/>
      <c r="K126" s="370"/>
      <c r="L126" s="371"/>
      <c r="M126" s="187">
        <v>4</v>
      </c>
      <c r="N126" s="187">
        <v>3</v>
      </c>
      <c r="O126" s="187">
        <v>6</v>
      </c>
      <c r="P126" s="187">
        <v>6</v>
      </c>
      <c r="Q126" s="187">
        <v>6</v>
      </c>
      <c r="R126" s="187">
        <v>6</v>
      </c>
    </row>
    <row r="127" spans="2:18" ht="53.25" hidden="1" customHeight="1" outlineLevel="1" x14ac:dyDescent="0.25">
      <c r="B127" s="195" t="s">
        <v>238</v>
      </c>
      <c r="C127" s="196"/>
      <c r="D127" s="197"/>
      <c r="E127" s="200"/>
      <c r="F127" s="200"/>
      <c r="G127" s="200"/>
      <c r="H127" s="369" t="s">
        <v>274</v>
      </c>
      <c r="I127" s="370"/>
      <c r="J127" s="370"/>
      <c r="K127" s="370"/>
      <c r="L127" s="371"/>
      <c r="M127" s="187">
        <v>5</v>
      </c>
      <c r="N127" s="187">
        <v>4</v>
      </c>
      <c r="O127" s="187">
        <v>7</v>
      </c>
      <c r="P127" s="187">
        <v>7</v>
      </c>
      <c r="Q127" s="187">
        <v>7</v>
      </c>
      <c r="R127" s="187">
        <v>7</v>
      </c>
    </row>
    <row r="128" spans="2:18" ht="53.25" hidden="1" customHeight="1" outlineLevel="1" x14ac:dyDescent="0.25">
      <c r="B128" s="195" t="s">
        <v>275</v>
      </c>
      <c r="C128" s="196"/>
      <c r="D128" s="197"/>
      <c r="E128" s="200"/>
      <c r="F128" s="200"/>
      <c r="G128" s="200"/>
      <c r="H128" s="369" t="s">
        <v>276</v>
      </c>
      <c r="I128" s="370"/>
      <c r="J128" s="370"/>
      <c r="K128" s="370"/>
      <c r="L128" s="371"/>
      <c r="M128" s="187">
        <v>5</v>
      </c>
      <c r="N128" s="187">
        <v>4</v>
      </c>
      <c r="O128" s="187">
        <v>8</v>
      </c>
      <c r="P128" s="187">
        <v>8</v>
      </c>
      <c r="Q128" s="187">
        <v>8</v>
      </c>
      <c r="R128" s="187">
        <v>8</v>
      </c>
    </row>
    <row r="129" spans="2:23" ht="53.25" hidden="1" customHeight="1" outlineLevel="1" x14ac:dyDescent="0.25">
      <c r="B129" s="195" t="s">
        <v>277</v>
      </c>
      <c r="C129" s="196"/>
      <c r="D129" s="197"/>
      <c r="E129" s="200"/>
      <c r="F129" s="200"/>
      <c r="G129" s="200"/>
      <c r="H129" s="369" t="s">
        <v>278</v>
      </c>
      <c r="I129" s="370"/>
      <c r="J129" s="370"/>
      <c r="K129" s="370"/>
      <c r="L129" s="371"/>
      <c r="M129" s="187">
        <v>6</v>
      </c>
      <c r="N129" s="187">
        <v>5</v>
      </c>
      <c r="O129" s="187">
        <v>9</v>
      </c>
      <c r="P129" s="187">
        <v>9</v>
      </c>
      <c r="Q129" s="187">
        <v>9</v>
      </c>
      <c r="R129" s="187">
        <v>9</v>
      </c>
    </row>
    <row r="130" spans="2:23" ht="53.25" hidden="1" customHeight="1" outlineLevel="1" x14ac:dyDescent="0.25">
      <c r="B130" s="195">
        <v>7.22</v>
      </c>
      <c r="C130" s="196"/>
      <c r="D130" s="197"/>
      <c r="E130" s="200"/>
      <c r="F130" s="200"/>
      <c r="G130" s="200"/>
      <c r="H130" s="369" t="s">
        <v>279</v>
      </c>
      <c r="I130" s="370"/>
      <c r="J130" s="370"/>
      <c r="K130" s="370"/>
      <c r="L130" s="371"/>
      <c r="M130" s="187">
        <v>7</v>
      </c>
      <c r="N130" s="187">
        <v>5</v>
      </c>
      <c r="O130" s="187">
        <v>10</v>
      </c>
      <c r="P130" s="187">
        <v>10</v>
      </c>
      <c r="Q130" s="187">
        <v>10</v>
      </c>
      <c r="R130" s="187">
        <v>10</v>
      </c>
    </row>
    <row r="131" spans="2:23" ht="53.25" hidden="1" customHeight="1" outlineLevel="1" x14ac:dyDescent="0.25">
      <c r="B131" s="195">
        <v>7.2210000000000001</v>
      </c>
      <c r="C131" s="196"/>
      <c r="D131" s="197"/>
      <c r="E131" s="200"/>
      <c r="F131" s="200"/>
      <c r="G131" s="200"/>
      <c r="H131" s="369" t="s">
        <v>280</v>
      </c>
      <c r="I131" s="370"/>
      <c r="J131" s="370"/>
      <c r="K131" s="370"/>
      <c r="L131" s="371"/>
      <c r="M131" s="187">
        <v>8</v>
      </c>
      <c r="N131" s="187">
        <v>6</v>
      </c>
      <c r="O131" s="187">
        <v>11</v>
      </c>
      <c r="P131" s="187">
        <v>11</v>
      </c>
      <c r="Q131" s="187">
        <v>11</v>
      </c>
      <c r="R131" s="187">
        <v>11</v>
      </c>
    </row>
    <row r="132" spans="2:23" ht="53.25" hidden="1" customHeight="1" outlineLevel="1" x14ac:dyDescent="0.25">
      <c r="B132" s="195">
        <v>7.2220000000000004</v>
      </c>
      <c r="C132" s="196"/>
      <c r="D132" s="197"/>
      <c r="E132" s="200"/>
      <c r="F132" s="200"/>
      <c r="G132" s="200"/>
      <c r="H132" s="369" t="s">
        <v>270</v>
      </c>
      <c r="I132" s="370"/>
      <c r="J132" s="370"/>
      <c r="K132" s="370"/>
      <c r="L132" s="371"/>
      <c r="M132" s="187">
        <v>9</v>
      </c>
      <c r="N132" s="187">
        <v>6</v>
      </c>
      <c r="O132" s="187">
        <v>12</v>
      </c>
      <c r="P132" s="187">
        <v>12</v>
      </c>
      <c r="Q132" s="187">
        <v>12</v>
      </c>
      <c r="R132" s="187">
        <v>12</v>
      </c>
    </row>
    <row r="133" spans="2:23" ht="53.25" hidden="1" customHeight="1" outlineLevel="1" x14ac:dyDescent="0.25">
      <c r="B133" s="195">
        <v>7.2229999999999999</v>
      </c>
      <c r="C133" s="196"/>
      <c r="D133" s="197"/>
      <c r="E133" s="200"/>
      <c r="F133" s="200"/>
      <c r="G133" s="200"/>
      <c r="H133" s="369" t="s">
        <v>281</v>
      </c>
      <c r="I133" s="370"/>
      <c r="J133" s="370"/>
      <c r="K133" s="370"/>
      <c r="L133" s="371"/>
      <c r="M133" s="187">
        <v>10</v>
      </c>
      <c r="N133" s="187">
        <v>7</v>
      </c>
      <c r="O133" s="187">
        <v>13</v>
      </c>
      <c r="P133" s="187">
        <v>13</v>
      </c>
      <c r="Q133" s="187">
        <v>13</v>
      </c>
      <c r="R133" s="187">
        <v>13</v>
      </c>
    </row>
    <row r="134" spans="2:23" ht="53.25" hidden="1" customHeight="1" outlineLevel="1" x14ac:dyDescent="0.25">
      <c r="B134" s="195">
        <v>7.2240000000000002</v>
      </c>
      <c r="C134" s="196"/>
      <c r="D134" s="197"/>
      <c r="E134" s="200"/>
      <c r="F134" s="200"/>
      <c r="G134" s="200"/>
      <c r="H134" s="369" t="s">
        <v>282</v>
      </c>
      <c r="I134" s="370"/>
      <c r="J134" s="370"/>
      <c r="K134" s="370"/>
      <c r="L134" s="371"/>
      <c r="M134" s="187">
        <v>1</v>
      </c>
      <c r="N134" s="187">
        <v>1</v>
      </c>
      <c r="O134" s="187">
        <v>1</v>
      </c>
      <c r="P134" s="187">
        <v>1</v>
      </c>
      <c r="Q134" s="187">
        <v>1</v>
      </c>
      <c r="R134" s="187">
        <v>1</v>
      </c>
    </row>
    <row r="135" spans="2:23" ht="26.25" customHeight="1" collapsed="1" x14ac:dyDescent="0.25">
      <c r="B135" s="187">
        <v>8</v>
      </c>
      <c r="C135" s="197"/>
      <c r="D135" s="197"/>
      <c r="E135" s="180"/>
      <c r="F135" s="180"/>
      <c r="G135" s="180"/>
      <c r="H135" s="180"/>
      <c r="I135" s="180"/>
      <c r="J135" s="180"/>
      <c r="K135" s="180"/>
      <c r="L135" s="198" t="s">
        <v>210</v>
      </c>
      <c r="M135" s="187">
        <f ca="1">M71+M78+M86+M91+M99+M105+M120</f>
        <v>8</v>
      </c>
      <c r="N135" s="187">
        <f t="shared" ref="N135:R135" si="7">N71+N78+N86+N91+N99+N105+N120</f>
        <v>0</v>
      </c>
      <c r="O135" s="187">
        <f>O71+O78+O86+O91+O99+O105+O120</f>
        <v>0</v>
      </c>
      <c r="P135" s="187">
        <f t="shared" ca="1" si="7"/>
        <v>8</v>
      </c>
      <c r="Q135" s="187">
        <f t="shared" si="7"/>
        <v>0</v>
      </c>
      <c r="R135" s="187">
        <f t="shared" si="7"/>
        <v>0</v>
      </c>
    </row>
    <row r="136" spans="2:23" ht="26.25" customHeight="1" x14ac:dyDescent="0.25">
      <c r="B136" s="363" t="s">
        <v>283</v>
      </c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4"/>
      <c r="Q136" s="364"/>
      <c r="R136" s="373"/>
    </row>
    <row r="137" spans="2:23" ht="26.25" customHeight="1" x14ac:dyDescent="0.25">
      <c r="B137" s="374" t="s">
        <v>42</v>
      </c>
      <c r="C137" s="378" t="s">
        <v>284</v>
      </c>
      <c r="D137" s="380"/>
      <c r="E137" s="380"/>
      <c r="F137" s="380"/>
      <c r="G137" s="380"/>
      <c r="H137" s="380"/>
      <c r="I137" s="379"/>
      <c r="J137" s="374" t="s">
        <v>285</v>
      </c>
      <c r="K137" s="374"/>
      <c r="L137" s="374"/>
      <c r="M137" s="374"/>
      <c r="N137" s="374"/>
      <c r="O137" s="374"/>
      <c r="P137" s="374"/>
      <c r="Q137" s="374"/>
      <c r="R137" s="374"/>
    </row>
    <row r="138" spans="2:23" ht="22.5" customHeight="1" x14ac:dyDescent="0.25">
      <c r="B138" s="374"/>
      <c r="C138" s="188" t="s">
        <v>147</v>
      </c>
      <c r="D138" s="188" t="s">
        <v>134</v>
      </c>
      <c r="E138" s="188" t="s">
        <v>135</v>
      </c>
      <c r="F138" s="188" t="s">
        <v>136</v>
      </c>
      <c r="G138" s="188" t="s">
        <v>137</v>
      </c>
      <c r="H138" s="188" t="s">
        <v>138</v>
      </c>
      <c r="I138" s="188" t="s">
        <v>139</v>
      </c>
      <c r="J138" s="188" t="s">
        <v>286</v>
      </c>
      <c r="K138" s="188" t="s">
        <v>287</v>
      </c>
      <c r="L138" s="374" t="s">
        <v>288</v>
      </c>
      <c r="M138" s="374"/>
      <c r="N138" s="374"/>
      <c r="O138" s="374"/>
      <c r="P138" s="374"/>
      <c r="Q138" s="188" t="s">
        <v>289</v>
      </c>
      <c r="R138" s="188" t="s">
        <v>290</v>
      </c>
      <c r="U138" s="176" t="s">
        <v>291</v>
      </c>
    </row>
    <row r="139" spans="2:23" s="203" customFormat="1" ht="39.75" customHeight="1" x14ac:dyDescent="0.2">
      <c r="B139" s="187">
        <v>1</v>
      </c>
      <c r="C139" s="187">
        <f>IF($R139="Да",$Q139,1)</f>
        <v>0.6</v>
      </c>
      <c r="D139" s="187">
        <f>IF($R139="Да",$Q139,1)</f>
        <v>0.6</v>
      </c>
      <c r="E139" s="187">
        <f t="shared" ref="C139:I152" si="8">IF($R139="Да",$Q139,1)</f>
        <v>0.6</v>
      </c>
      <c r="F139" s="187">
        <f t="shared" si="8"/>
        <v>0.6</v>
      </c>
      <c r="G139" s="187">
        <f t="shared" si="8"/>
        <v>0.6</v>
      </c>
      <c r="H139" s="187">
        <f t="shared" si="8"/>
        <v>0.6</v>
      </c>
      <c r="I139" s="187">
        <f t="shared" si="8"/>
        <v>0.6</v>
      </c>
      <c r="J139" s="187" t="s">
        <v>292</v>
      </c>
      <c r="K139" s="201" t="s">
        <v>293</v>
      </c>
      <c r="L139" s="383" t="s">
        <v>294</v>
      </c>
      <c r="M139" s="383"/>
      <c r="N139" s="383"/>
      <c r="O139" s="383"/>
      <c r="P139" s="383"/>
      <c r="Q139" s="202">
        <f t="shared" ref="Q139:Q152" si="9">IF(R139="Да",U139,"-")</f>
        <v>0.6</v>
      </c>
      <c r="R139" s="202" t="s">
        <v>132</v>
      </c>
      <c r="U139" s="204">
        <v>0.6</v>
      </c>
    </row>
    <row r="140" spans="2:23" s="203" customFormat="1" ht="39.75" customHeight="1" x14ac:dyDescent="0.2">
      <c r="B140" s="187">
        <v>2</v>
      </c>
      <c r="C140" s="187">
        <f>IF($R140="Да",$Q140,1)</f>
        <v>1</v>
      </c>
      <c r="D140" s="187">
        <f>IF($R140="Да",$Q140,1)</f>
        <v>1</v>
      </c>
      <c r="E140" s="187">
        <f t="shared" si="8"/>
        <v>1</v>
      </c>
      <c r="F140" s="187">
        <f t="shared" si="8"/>
        <v>1</v>
      </c>
      <c r="G140" s="187">
        <f t="shared" si="8"/>
        <v>1</v>
      </c>
      <c r="H140" s="187">
        <f t="shared" si="8"/>
        <v>1</v>
      </c>
      <c r="I140" s="187">
        <f t="shared" si="8"/>
        <v>1</v>
      </c>
      <c r="J140" s="187" t="s">
        <v>295</v>
      </c>
      <c r="K140" s="201" t="s">
        <v>293</v>
      </c>
      <c r="L140" s="383" t="s">
        <v>296</v>
      </c>
      <c r="M140" s="383"/>
      <c r="N140" s="383"/>
      <c r="O140" s="383"/>
      <c r="P140" s="383"/>
      <c r="Q140" s="202" t="str">
        <f t="shared" si="9"/>
        <v>-</v>
      </c>
      <c r="R140" s="202" t="s">
        <v>131</v>
      </c>
      <c r="U140" s="204">
        <v>0.5</v>
      </c>
      <c r="W140" s="203" t="s">
        <v>132</v>
      </c>
    </row>
    <row r="141" spans="2:23" s="203" customFormat="1" ht="47.25" customHeight="1" x14ac:dyDescent="0.2">
      <c r="B141" s="187">
        <v>3</v>
      </c>
      <c r="C141" s="187">
        <v>1</v>
      </c>
      <c r="D141" s="187">
        <f t="shared" si="8"/>
        <v>1</v>
      </c>
      <c r="E141" s="187">
        <f t="shared" si="8"/>
        <v>1</v>
      </c>
      <c r="F141" s="187">
        <f t="shared" si="8"/>
        <v>1</v>
      </c>
      <c r="G141" s="187">
        <f t="shared" si="8"/>
        <v>1</v>
      </c>
      <c r="H141" s="187">
        <f t="shared" si="8"/>
        <v>1</v>
      </c>
      <c r="I141" s="187">
        <f t="shared" si="8"/>
        <v>1</v>
      </c>
      <c r="J141" s="187" t="s">
        <v>297</v>
      </c>
      <c r="K141" s="201" t="s">
        <v>293</v>
      </c>
      <c r="L141" s="383" t="s">
        <v>298</v>
      </c>
      <c r="M141" s="383"/>
      <c r="N141" s="383"/>
      <c r="O141" s="383"/>
      <c r="P141" s="383"/>
      <c r="Q141" s="202" t="str">
        <f t="shared" si="9"/>
        <v>-</v>
      </c>
      <c r="R141" s="202" t="s">
        <v>131</v>
      </c>
      <c r="U141" s="204">
        <v>0.8</v>
      </c>
      <c r="W141" s="203" t="s">
        <v>131</v>
      </c>
    </row>
    <row r="142" spans="2:23" s="203" customFormat="1" ht="39.75" customHeight="1" x14ac:dyDescent="0.2">
      <c r="B142" s="187">
        <v>4</v>
      </c>
      <c r="C142" s="187">
        <f t="shared" si="8"/>
        <v>1</v>
      </c>
      <c r="D142" s="187">
        <f t="shared" si="8"/>
        <v>1</v>
      </c>
      <c r="E142" s="187">
        <f t="shared" si="8"/>
        <v>1</v>
      </c>
      <c r="F142" s="187">
        <f t="shared" si="8"/>
        <v>1</v>
      </c>
      <c r="G142" s="187">
        <f t="shared" si="8"/>
        <v>1</v>
      </c>
      <c r="H142" s="187">
        <f t="shared" si="8"/>
        <v>1</v>
      </c>
      <c r="I142" s="187">
        <f t="shared" si="8"/>
        <v>1</v>
      </c>
      <c r="J142" s="187" t="s">
        <v>299</v>
      </c>
      <c r="K142" s="201" t="s">
        <v>300</v>
      </c>
      <c r="L142" s="383" t="s">
        <v>301</v>
      </c>
      <c r="M142" s="383"/>
      <c r="N142" s="383"/>
      <c r="O142" s="383"/>
      <c r="P142" s="383"/>
      <c r="Q142" s="202" t="str">
        <f t="shared" si="9"/>
        <v>-</v>
      </c>
      <c r="R142" s="202" t="s">
        <v>131</v>
      </c>
      <c r="U142" s="204">
        <v>1.2</v>
      </c>
    </row>
    <row r="143" spans="2:23" s="203" customFormat="1" ht="60.75" customHeight="1" x14ac:dyDescent="0.2">
      <c r="B143" s="187">
        <v>5</v>
      </c>
      <c r="C143" s="187">
        <f t="shared" si="8"/>
        <v>1</v>
      </c>
      <c r="D143" s="187">
        <v>1</v>
      </c>
      <c r="E143" s="187">
        <v>1</v>
      </c>
      <c r="F143" s="187">
        <v>1</v>
      </c>
      <c r="G143" s="187">
        <v>1</v>
      </c>
      <c r="H143" s="187">
        <v>1</v>
      </c>
      <c r="I143" s="187">
        <v>1</v>
      </c>
      <c r="J143" s="187" t="s">
        <v>302</v>
      </c>
      <c r="K143" s="201" t="s">
        <v>300</v>
      </c>
      <c r="L143" s="383" t="s">
        <v>303</v>
      </c>
      <c r="M143" s="383"/>
      <c r="N143" s="383"/>
      <c r="O143" s="383"/>
      <c r="P143" s="383"/>
      <c r="Q143" s="202" t="str">
        <f t="shared" si="9"/>
        <v>-</v>
      </c>
      <c r="R143" s="202" t="s">
        <v>131</v>
      </c>
      <c r="U143" s="204">
        <v>1.1000000000000001</v>
      </c>
    </row>
    <row r="144" spans="2:23" s="203" customFormat="1" ht="62.25" customHeight="1" x14ac:dyDescent="0.2">
      <c r="B144" s="187">
        <v>6</v>
      </c>
      <c r="C144" s="187">
        <f t="shared" si="8"/>
        <v>1</v>
      </c>
      <c r="D144" s="187">
        <f t="shared" si="8"/>
        <v>1</v>
      </c>
      <c r="E144" s="187">
        <f t="shared" si="8"/>
        <v>1</v>
      </c>
      <c r="F144" s="187">
        <f t="shared" si="8"/>
        <v>1</v>
      </c>
      <c r="G144" s="187">
        <f t="shared" si="8"/>
        <v>1</v>
      </c>
      <c r="H144" s="187">
        <f t="shared" si="8"/>
        <v>1</v>
      </c>
      <c r="I144" s="187">
        <f t="shared" si="8"/>
        <v>1</v>
      </c>
      <c r="J144" s="187" t="s">
        <v>304</v>
      </c>
      <c r="K144" s="201" t="s">
        <v>300</v>
      </c>
      <c r="L144" s="383" t="s">
        <v>305</v>
      </c>
      <c r="M144" s="383"/>
      <c r="N144" s="383"/>
      <c r="O144" s="383"/>
      <c r="P144" s="383"/>
      <c r="Q144" s="202" t="str">
        <f t="shared" si="9"/>
        <v>-</v>
      </c>
      <c r="R144" s="202" t="s">
        <v>131</v>
      </c>
      <c r="U144" s="204">
        <v>1.05</v>
      </c>
    </row>
    <row r="145" spans="2:21" s="203" customFormat="1" ht="53.25" customHeight="1" x14ac:dyDescent="0.2">
      <c r="B145" s="187">
        <v>7</v>
      </c>
      <c r="C145" s="187">
        <v>1</v>
      </c>
      <c r="D145" s="187">
        <f t="shared" si="8"/>
        <v>1</v>
      </c>
      <c r="E145" s="187">
        <f t="shared" si="8"/>
        <v>1</v>
      </c>
      <c r="F145" s="187">
        <f t="shared" si="8"/>
        <v>1</v>
      </c>
      <c r="G145" s="187">
        <f t="shared" si="8"/>
        <v>1</v>
      </c>
      <c r="H145" s="187">
        <f t="shared" si="8"/>
        <v>1</v>
      </c>
      <c r="I145" s="187">
        <f t="shared" si="8"/>
        <v>1</v>
      </c>
      <c r="J145" s="187" t="s">
        <v>306</v>
      </c>
      <c r="K145" s="201" t="s">
        <v>300</v>
      </c>
      <c r="L145" s="383" t="s">
        <v>307</v>
      </c>
      <c r="M145" s="383"/>
      <c r="N145" s="383"/>
      <c r="O145" s="383"/>
      <c r="P145" s="383"/>
      <c r="Q145" s="202" t="str">
        <f t="shared" si="9"/>
        <v>-</v>
      </c>
      <c r="R145" s="202" t="s">
        <v>131</v>
      </c>
      <c r="U145" s="204">
        <v>1.05</v>
      </c>
    </row>
    <row r="146" spans="2:21" s="203" customFormat="1" ht="53.25" customHeight="1" x14ac:dyDescent="0.2">
      <c r="B146" s="187">
        <v>8</v>
      </c>
      <c r="C146" s="187">
        <v>1</v>
      </c>
      <c r="D146" s="187">
        <f t="shared" si="8"/>
        <v>1</v>
      </c>
      <c r="E146" s="187">
        <f t="shared" si="8"/>
        <v>1</v>
      </c>
      <c r="F146" s="187">
        <f t="shared" si="8"/>
        <v>1</v>
      </c>
      <c r="G146" s="187">
        <f t="shared" si="8"/>
        <v>1</v>
      </c>
      <c r="H146" s="187">
        <f t="shared" si="8"/>
        <v>1</v>
      </c>
      <c r="I146" s="187">
        <f t="shared" si="8"/>
        <v>1</v>
      </c>
      <c r="J146" s="187" t="s">
        <v>308</v>
      </c>
      <c r="K146" s="201" t="s">
        <v>300</v>
      </c>
      <c r="L146" s="383" t="s">
        <v>309</v>
      </c>
      <c r="M146" s="383"/>
      <c r="N146" s="383"/>
      <c r="O146" s="383"/>
      <c r="P146" s="383"/>
      <c r="Q146" s="202" t="str">
        <f t="shared" si="9"/>
        <v>-</v>
      </c>
      <c r="R146" s="202" t="s">
        <v>131</v>
      </c>
      <c r="U146" s="204">
        <v>1.25</v>
      </c>
    </row>
    <row r="147" spans="2:21" s="203" customFormat="1" ht="68.25" customHeight="1" x14ac:dyDescent="0.2">
      <c r="B147" s="187">
        <v>9</v>
      </c>
      <c r="C147" s="187">
        <v>1</v>
      </c>
      <c r="D147" s="187">
        <v>1</v>
      </c>
      <c r="E147" s="187">
        <v>1</v>
      </c>
      <c r="F147" s="187">
        <v>1</v>
      </c>
      <c r="G147" s="187">
        <f t="shared" si="8"/>
        <v>1</v>
      </c>
      <c r="H147" s="187">
        <v>1</v>
      </c>
      <c r="I147" s="187">
        <f t="shared" si="8"/>
        <v>1</v>
      </c>
      <c r="J147" s="187" t="s">
        <v>310</v>
      </c>
      <c r="K147" s="201" t="s">
        <v>300</v>
      </c>
      <c r="L147" s="383" t="s">
        <v>311</v>
      </c>
      <c r="M147" s="383"/>
      <c r="N147" s="383"/>
      <c r="O147" s="383"/>
      <c r="P147" s="383"/>
      <c r="Q147" s="202" t="str">
        <f t="shared" si="9"/>
        <v>-</v>
      </c>
      <c r="R147" s="202" t="s">
        <v>131</v>
      </c>
      <c r="U147" s="204">
        <v>1.1000000000000001</v>
      </c>
    </row>
    <row r="148" spans="2:21" s="203" customFormat="1" ht="89.25" customHeight="1" x14ac:dyDescent="0.2">
      <c r="B148" s="187">
        <v>10</v>
      </c>
      <c r="C148" s="187">
        <f t="shared" si="8"/>
        <v>1</v>
      </c>
      <c r="D148" s="187">
        <f t="shared" si="8"/>
        <v>1</v>
      </c>
      <c r="E148" s="187">
        <f t="shared" si="8"/>
        <v>1</v>
      </c>
      <c r="F148" s="187">
        <f t="shared" si="8"/>
        <v>1</v>
      </c>
      <c r="G148" s="187">
        <f t="shared" si="8"/>
        <v>1</v>
      </c>
      <c r="H148" s="187">
        <f t="shared" si="8"/>
        <v>1</v>
      </c>
      <c r="I148" s="187">
        <f t="shared" si="8"/>
        <v>1</v>
      </c>
      <c r="J148" s="187" t="s">
        <v>312</v>
      </c>
      <c r="K148" s="201" t="s">
        <v>300</v>
      </c>
      <c r="L148" s="383" t="s">
        <v>313</v>
      </c>
      <c r="M148" s="383"/>
      <c r="N148" s="383"/>
      <c r="O148" s="383"/>
      <c r="P148" s="383"/>
      <c r="Q148" s="202" t="str">
        <f t="shared" si="9"/>
        <v>-</v>
      </c>
      <c r="R148" s="202" t="s">
        <v>131</v>
      </c>
      <c r="U148" s="204">
        <v>1.3</v>
      </c>
    </row>
    <row r="149" spans="2:21" s="203" customFormat="1" ht="39.75" customHeight="1" x14ac:dyDescent="0.2">
      <c r="B149" s="187">
        <v>11</v>
      </c>
      <c r="C149" s="187">
        <f>IF($R149="Да",$Q149,1)</f>
        <v>1</v>
      </c>
      <c r="D149" s="187">
        <f>IF($R149="Да",$Q149,1)</f>
        <v>1</v>
      </c>
      <c r="E149" s="187">
        <f t="shared" si="8"/>
        <v>1</v>
      </c>
      <c r="F149" s="187">
        <f t="shared" si="8"/>
        <v>1</v>
      </c>
      <c r="G149" s="187">
        <f t="shared" si="8"/>
        <v>1</v>
      </c>
      <c r="H149" s="187">
        <f t="shared" si="8"/>
        <v>1</v>
      </c>
      <c r="I149" s="187">
        <f>IF($R149="Да",$Q149,1)</f>
        <v>1</v>
      </c>
      <c r="J149" s="187" t="s">
        <v>314</v>
      </c>
      <c r="K149" s="201" t="s">
        <v>300</v>
      </c>
      <c r="L149" s="383" t="s">
        <v>315</v>
      </c>
      <c r="M149" s="383"/>
      <c r="N149" s="383"/>
      <c r="O149" s="383"/>
      <c r="P149" s="383"/>
      <c r="Q149" s="202" t="str">
        <f t="shared" si="9"/>
        <v>-</v>
      </c>
      <c r="R149" s="202" t="s">
        <v>131</v>
      </c>
      <c r="U149" s="204">
        <v>1.05</v>
      </c>
    </row>
    <row r="150" spans="2:21" s="203" customFormat="1" ht="39.75" customHeight="1" x14ac:dyDescent="0.2">
      <c r="B150" s="187">
        <v>12</v>
      </c>
      <c r="C150" s="187">
        <f t="shared" si="8"/>
        <v>1</v>
      </c>
      <c r="D150" s="187">
        <v>1</v>
      </c>
      <c r="E150" s="187">
        <v>1</v>
      </c>
      <c r="F150" s="187">
        <v>1</v>
      </c>
      <c r="G150" s="187">
        <f t="shared" si="8"/>
        <v>1</v>
      </c>
      <c r="H150" s="187">
        <v>1</v>
      </c>
      <c r="I150" s="187">
        <v>1</v>
      </c>
      <c r="J150" s="187" t="s">
        <v>316</v>
      </c>
      <c r="K150" s="201" t="s">
        <v>300</v>
      </c>
      <c r="L150" s="383" t="s">
        <v>317</v>
      </c>
      <c r="M150" s="383"/>
      <c r="N150" s="383"/>
      <c r="O150" s="383"/>
      <c r="P150" s="383"/>
      <c r="Q150" s="202" t="str">
        <f t="shared" si="9"/>
        <v>-</v>
      </c>
      <c r="R150" s="202" t="s">
        <v>131</v>
      </c>
      <c r="U150" s="204">
        <v>1.1000000000000001</v>
      </c>
    </row>
    <row r="151" spans="2:21" s="203" customFormat="1" ht="72" customHeight="1" x14ac:dyDescent="0.2">
      <c r="B151" s="187">
        <v>13</v>
      </c>
      <c r="C151" s="187">
        <v>1</v>
      </c>
      <c r="D151" s="187">
        <v>1</v>
      </c>
      <c r="E151" s="187">
        <v>1</v>
      </c>
      <c r="F151" s="187">
        <v>1</v>
      </c>
      <c r="G151" s="187">
        <f t="shared" si="8"/>
        <v>1.2</v>
      </c>
      <c r="H151" s="187">
        <v>1</v>
      </c>
      <c r="I151" s="187">
        <v>1</v>
      </c>
      <c r="J151" s="187" t="s">
        <v>318</v>
      </c>
      <c r="K151" s="201" t="s">
        <v>300</v>
      </c>
      <c r="L151" s="383" t="s">
        <v>319</v>
      </c>
      <c r="M151" s="383"/>
      <c r="N151" s="383"/>
      <c r="O151" s="383"/>
      <c r="P151" s="383"/>
      <c r="Q151" s="202">
        <f t="shared" si="9"/>
        <v>1.2</v>
      </c>
      <c r="R151" s="202" t="s">
        <v>132</v>
      </c>
      <c r="U151" s="204">
        <v>1.2</v>
      </c>
    </row>
    <row r="152" spans="2:21" s="203" customFormat="1" ht="39.75" customHeight="1" x14ac:dyDescent="0.2">
      <c r="B152" s="187">
        <v>14</v>
      </c>
      <c r="C152" s="187">
        <v>1</v>
      </c>
      <c r="D152" s="187">
        <v>1</v>
      </c>
      <c r="E152" s="187">
        <v>1</v>
      </c>
      <c r="F152" s="187">
        <f>IF($R152="Да",$Q152,1)</f>
        <v>1</v>
      </c>
      <c r="G152" s="187">
        <f t="shared" si="8"/>
        <v>1</v>
      </c>
      <c r="H152" s="187">
        <v>1</v>
      </c>
      <c r="I152" s="187">
        <f>IF($R152="Да",$Q152,1)</f>
        <v>1</v>
      </c>
      <c r="J152" s="187" t="s">
        <v>320</v>
      </c>
      <c r="K152" s="201" t="s">
        <v>300</v>
      </c>
      <c r="L152" s="383" t="s">
        <v>321</v>
      </c>
      <c r="M152" s="383"/>
      <c r="N152" s="383"/>
      <c r="O152" s="383"/>
      <c r="P152" s="383"/>
      <c r="Q152" s="202" t="str">
        <f t="shared" si="9"/>
        <v>-</v>
      </c>
      <c r="R152" s="202" t="s">
        <v>131</v>
      </c>
      <c r="U152" s="204">
        <v>1.2</v>
      </c>
    </row>
    <row r="153" spans="2:21" s="203" customFormat="1" ht="24.75" customHeight="1" x14ac:dyDescent="0.2">
      <c r="B153" s="187">
        <v>15</v>
      </c>
      <c r="C153" s="187">
        <f>PRODUCT(C139,C141,C140)</f>
        <v>0.6</v>
      </c>
      <c r="D153" s="187">
        <f>PRODUCT(D139,D141,D140)</f>
        <v>0.6</v>
      </c>
      <c r="E153" s="187">
        <f t="shared" ref="E153:H153" si="10">PRODUCT(E139,E141,E140)</f>
        <v>0.6</v>
      </c>
      <c r="F153" s="187">
        <f t="shared" si="10"/>
        <v>0.6</v>
      </c>
      <c r="G153" s="187">
        <f t="shared" si="10"/>
        <v>0.6</v>
      </c>
      <c r="H153" s="187">
        <f t="shared" si="10"/>
        <v>0.6</v>
      </c>
      <c r="I153" s="187">
        <f>PRODUCT(I139,I141,I140)</f>
        <v>0.6</v>
      </c>
      <c r="J153" s="205"/>
      <c r="K153" s="369" t="s">
        <v>322</v>
      </c>
      <c r="L153" s="370"/>
      <c r="M153" s="370"/>
      <c r="N153" s="370"/>
      <c r="O153" s="370"/>
      <c r="P153" s="370"/>
      <c r="Q153" s="370"/>
      <c r="R153" s="371"/>
    </row>
    <row r="154" spans="2:21" s="203" customFormat="1" ht="24.75" customHeight="1" x14ac:dyDescent="0.2">
      <c r="B154" s="187">
        <v>16</v>
      </c>
      <c r="C154" s="187">
        <f>SUM(C142:C152)-10</f>
        <v>1</v>
      </c>
      <c r="D154" s="187">
        <f>SUM(D142:D152)-10</f>
        <v>1</v>
      </c>
      <c r="E154" s="187">
        <f>SUM(E142:E152)-10</f>
        <v>1</v>
      </c>
      <c r="F154" s="187">
        <f t="shared" ref="F154:I154" si="11">SUM(F142:F152)-10</f>
        <v>1</v>
      </c>
      <c r="G154" s="187">
        <f t="shared" si="11"/>
        <v>1.1999999999999993</v>
      </c>
      <c r="H154" s="187">
        <f t="shared" si="11"/>
        <v>1</v>
      </c>
      <c r="I154" s="187">
        <f t="shared" si="11"/>
        <v>1</v>
      </c>
      <c r="J154" s="205"/>
      <c r="K154" s="369" t="s">
        <v>323</v>
      </c>
      <c r="L154" s="370"/>
      <c r="M154" s="370"/>
      <c r="N154" s="370"/>
      <c r="O154" s="370"/>
      <c r="P154" s="370"/>
      <c r="Q154" s="370"/>
      <c r="R154" s="371"/>
    </row>
    <row r="155" spans="2:21" s="203" customFormat="1" ht="24.75" customHeight="1" x14ac:dyDescent="0.2">
      <c r="B155" s="187">
        <v>17</v>
      </c>
      <c r="C155" s="187">
        <f>C153*C154</f>
        <v>0.6</v>
      </c>
      <c r="D155" s="187">
        <f>D153*D154</f>
        <v>0.6</v>
      </c>
      <c r="E155" s="187">
        <f>E153*E154</f>
        <v>0.6</v>
      </c>
      <c r="F155" s="187">
        <f t="shared" ref="F155:I155" si="12">F153*F154</f>
        <v>0.6</v>
      </c>
      <c r="G155" s="187">
        <f t="shared" si="12"/>
        <v>0.71999999999999953</v>
      </c>
      <c r="H155" s="187">
        <f t="shared" si="12"/>
        <v>0.6</v>
      </c>
      <c r="I155" s="187">
        <f t="shared" si="12"/>
        <v>0.6</v>
      </c>
      <c r="J155" s="205" t="s">
        <v>324</v>
      </c>
      <c r="K155" s="369" t="s">
        <v>325</v>
      </c>
      <c r="L155" s="370"/>
      <c r="M155" s="370"/>
      <c r="N155" s="370"/>
      <c r="O155" s="370"/>
      <c r="P155" s="370"/>
      <c r="Q155" s="370"/>
      <c r="R155" s="371"/>
    </row>
    <row r="156" spans="2:21" s="203" customFormat="1" ht="24.75" customHeight="1" x14ac:dyDescent="0.2">
      <c r="B156" s="187">
        <v>18</v>
      </c>
      <c r="C156" s="187">
        <v>1.08</v>
      </c>
      <c r="D156" s="187">
        <v>1.08</v>
      </c>
      <c r="E156" s="187">
        <v>1.08</v>
      </c>
      <c r="F156" s="187">
        <v>1.08</v>
      </c>
      <c r="G156" s="187">
        <v>1.08</v>
      </c>
      <c r="H156" s="187">
        <v>1.08</v>
      </c>
      <c r="I156" s="187">
        <v>1.08</v>
      </c>
      <c r="J156" s="205" t="s">
        <v>326</v>
      </c>
      <c r="K156" s="369" t="s">
        <v>327</v>
      </c>
      <c r="L156" s="370"/>
      <c r="M156" s="370"/>
      <c r="N156" s="370"/>
      <c r="O156" s="370"/>
      <c r="P156" s="370"/>
      <c r="Q156" s="370"/>
      <c r="R156" s="371"/>
    </row>
    <row r="157" spans="2:21" s="203" customFormat="1" ht="24.75" customHeight="1" x14ac:dyDescent="0.2">
      <c r="B157" s="187">
        <v>19</v>
      </c>
      <c r="C157" s="187">
        <v>7.22</v>
      </c>
      <c r="D157" s="187">
        <v>7.22</v>
      </c>
      <c r="E157" s="187">
        <v>7.22</v>
      </c>
      <c r="F157" s="187">
        <v>7.22</v>
      </c>
      <c r="G157" s="187">
        <v>7.22</v>
      </c>
      <c r="H157" s="187">
        <v>7.22</v>
      </c>
      <c r="I157" s="187">
        <v>7.22</v>
      </c>
      <c r="J157" s="205" t="s">
        <v>328</v>
      </c>
      <c r="K157" s="369" t="s">
        <v>329</v>
      </c>
      <c r="L157" s="370"/>
      <c r="M157" s="370"/>
      <c r="N157" s="370"/>
      <c r="O157" s="370"/>
      <c r="P157" s="370"/>
      <c r="Q157" s="370"/>
      <c r="R157" s="371"/>
    </row>
    <row r="158" spans="2:21" s="203" customFormat="1" ht="24.75" customHeight="1" x14ac:dyDescent="0.2">
      <c r="B158" s="187">
        <v>20</v>
      </c>
      <c r="C158" s="187">
        <v>1</v>
      </c>
      <c r="D158" s="187">
        <v>1</v>
      </c>
      <c r="E158" s="187">
        <v>1</v>
      </c>
      <c r="F158" s="187">
        <v>1</v>
      </c>
      <c r="G158" s="187">
        <v>1</v>
      </c>
      <c r="H158" s="187">
        <v>1</v>
      </c>
      <c r="I158" s="187">
        <v>1</v>
      </c>
      <c r="J158" s="205"/>
      <c r="K158" s="369" t="s">
        <v>330</v>
      </c>
      <c r="L158" s="370"/>
      <c r="M158" s="370"/>
      <c r="N158" s="370"/>
      <c r="O158" s="370"/>
      <c r="P158" s="370"/>
      <c r="Q158" s="370"/>
      <c r="R158" s="371"/>
    </row>
    <row r="159" spans="2:21" s="203" customFormat="1" ht="34.5" hidden="1" customHeight="1" x14ac:dyDescent="0.2">
      <c r="B159" s="187">
        <v>21</v>
      </c>
      <c r="C159" s="187">
        <v>1</v>
      </c>
      <c r="D159" s="187">
        <v>0.7</v>
      </c>
      <c r="E159" s="187">
        <v>0.3</v>
      </c>
      <c r="F159" s="187">
        <v>0.4</v>
      </c>
      <c r="G159" s="187">
        <v>0.4</v>
      </c>
      <c r="H159" s="187">
        <v>0.8</v>
      </c>
      <c r="I159" s="187">
        <v>0.1</v>
      </c>
      <c r="J159" s="205" t="s">
        <v>331</v>
      </c>
      <c r="K159" s="369" t="s">
        <v>332</v>
      </c>
      <c r="L159" s="370"/>
      <c r="M159" s="370"/>
      <c r="N159" s="370"/>
      <c r="O159" s="370"/>
      <c r="P159" s="370"/>
      <c r="Q159" s="370"/>
      <c r="R159" s="371"/>
    </row>
    <row r="160" spans="2:21" s="203" customFormat="1" ht="34.5" customHeight="1" x14ac:dyDescent="0.2">
      <c r="B160" s="187">
        <v>21</v>
      </c>
      <c r="C160" s="187">
        <v>1</v>
      </c>
      <c r="D160" s="187">
        <v>0.3</v>
      </c>
      <c r="E160" s="187">
        <v>0.7</v>
      </c>
      <c r="F160" s="187">
        <v>0.6</v>
      </c>
      <c r="G160" s="187">
        <v>0.6</v>
      </c>
      <c r="H160" s="187">
        <v>0.2</v>
      </c>
      <c r="I160" s="187">
        <v>0.9</v>
      </c>
      <c r="J160" s="205" t="s">
        <v>333</v>
      </c>
      <c r="K160" s="369" t="s">
        <v>334</v>
      </c>
      <c r="L160" s="370"/>
      <c r="M160" s="370"/>
      <c r="N160" s="370"/>
      <c r="O160" s="370"/>
      <c r="P160" s="370"/>
      <c r="Q160" s="370"/>
      <c r="R160" s="371"/>
    </row>
    <row r="161" spans="2:25" ht="27" customHeight="1" x14ac:dyDescent="0.25">
      <c r="B161" s="363" t="s">
        <v>335</v>
      </c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4"/>
      <c r="P161" s="364"/>
      <c r="Q161" s="364"/>
      <c r="R161" s="373"/>
    </row>
    <row r="162" spans="2:25" ht="22.5" customHeight="1" x14ac:dyDescent="0.25">
      <c r="B162" s="374" t="s">
        <v>336</v>
      </c>
      <c r="C162" s="376" t="s">
        <v>337</v>
      </c>
      <c r="D162" s="377"/>
      <c r="E162" s="377"/>
      <c r="F162" s="377"/>
      <c r="G162" s="377"/>
      <c r="H162" s="377"/>
      <c r="I162" s="391"/>
      <c r="J162" s="390" t="s">
        <v>338</v>
      </c>
      <c r="K162" s="390"/>
      <c r="L162" s="390"/>
      <c r="M162" s="390"/>
      <c r="N162" s="390"/>
      <c r="O162" s="390"/>
      <c r="P162" s="390"/>
      <c r="Q162" s="390"/>
      <c r="R162" s="390"/>
    </row>
    <row r="163" spans="2:25" ht="22.5" customHeight="1" x14ac:dyDescent="0.25">
      <c r="B163" s="390"/>
      <c r="C163" s="206" t="s">
        <v>147</v>
      </c>
      <c r="D163" s="206" t="s">
        <v>134</v>
      </c>
      <c r="E163" s="206" t="s">
        <v>135</v>
      </c>
      <c r="F163" s="206" t="s">
        <v>136</v>
      </c>
      <c r="G163" s="206" t="s">
        <v>137</v>
      </c>
      <c r="H163" s="206" t="s">
        <v>138</v>
      </c>
      <c r="I163" s="206" t="s">
        <v>139</v>
      </c>
      <c r="J163" s="390"/>
      <c r="K163" s="390"/>
      <c r="L163" s="390"/>
      <c r="M163" s="390"/>
      <c r="N163" s="390"/>
      <c r="O163" s="390"/>
      <c r="P163" s="390"/>
      <c r="Q163" s="390"/>
      <c r="R163" s="390"/>
    </row>
    <row r="164" spans="2:25" ht="25.5" customHeight="1" x14ac:dyDescent="0.25">
      <c r="B164" s="187">
        <v>1</v>
      </c>
      <c r="C164" s="187">
        <f>M67</f>
        <v>0</v>
      </c>
      <c r="D164" s="187">
        <f t="shared" ref="D164:I164" ca="1" si="13">M135</f>
        <v>8</v>
      </c>
      <c r="E164" s="187">
        <f t="shared" si="13"/>
        <v>0</v>
      </c>
      <c r="F164" s="187">
        <f t="shared" si="13"/>
        <v>0</v>
      </c>
      <c r="G164" s="187">
        <f t="shared" ca="1" si="13"/>
        <v>8</v>
      </c>
      <c r="H164" s="187">
        <f t="shared" si="13"/>
        <v>0</v>
      </c>
      <c r="I164" s="187">
        <f t="shared" si="13"/>
        <v>0</v>
      </c>
      <c r="J164" s="369" t="s">
        <v>339</v>
      </c>
      <c r="K164" s="370"/>
      <c r="L164" s="370"/>
      <c r="M164" s="370"/>
      <c r="N164" s="370"/>
      <c r="O164" s="370"/>
      <c r="P164" s="370"/>
      <c r="Q164" s="370"/>
      <c r="R164" s="371"/>
    </row>
    <row r="165" spans="2:25" ht="25.5" customHeight="1" x14ac:dyDescent="0.25">
      <c r="B165" s="187">
        <v>2</v>
      </c>
      <c r="C165" s="187">
        <v>21.28</v>
      </c>
      <c r="D165" s="207">
        <v>15.73</v>
      </c>
      <c r="E165" s="207">
        <v>9.56</v>
      </c>
      <c r="F165" s="207">
        <v>14.11</v>
      </c>
      <c r="G165" s="207">
        <v>33.770000000000003</v>
      </c>
      <c r="H165" s="207">
        <v>37.93</v>
      </c>
      <c r="I165" s="207">
        <v>46.26</v>
      </c>
      <c r="J165" s="369" t="s">
        <v>340</v>
      </c>
      <c r="K165" s="370"/>
      <c r="L165" s="370"/>
      <c r="M165" s="370"/>
      <c r="N165" s="370"/>
      <c r="O165" s="370"/>
      <c r="P165" s="370"/>
      <c r="Q165" s="370"/>
      <c r="R165" s="371"/>
    </row>
    <row r="166" spans="2:25" ht="25.5" customHeight="1" x14ac:dyDescent="0.25">
      <c r="B166" s="187">
        <v>3</v>
      </c>
      <c r="C166" s="207">
        <v>1</v>
      </c>
      <c r="D166" s="207">
        <v>1</v>
      </c>
      <c r="E166" s="207">
        <v>1</v>
      </c>
      <c r="F166" s="207">
        <v>1</v>
      </c>
      <c r="G166" s="207">
        <v>1</v>
      </c>
      <c r="H166" s="207">
        <v>1</v>
      </c>
      <c r="I166" s="207">
        <v>1</v>
      </c>
      <c r="J166" s="208" t="s">
        <v>341</v>
      </c>
      <c r="K166" s="200"/>
      <c r="L166" s="200"/>
      <c r="M166" s="200"/>
      <c r="N166" s="200"/>
      <c r="O166" s="200"/>
      <c r="P166" s="200"/>
      <c r="Q166" s="200"/>
      <c r="R166" s="209"/>
    </row>
    <row r="167" spans="2:25" ht="25.5" customHeight="1" x14ac:dyDescent="0.25">
      <c r="B167" s="187">
        <v>4</v>
      </c>
      <c r="C167" s="207">
        <f>C164*C165*C166</f>
        <v>0</v>
      </c>
      <c r="D167" s="207">
        <f ca="1">D164*D165*D166</f>
        <v>125.84</v>
      </c>
      <c r="E167" s="207">
        <f>E164*E165*E166</f>
        <v>0</v>
      </c>
      <c r="F167" s="207">
        <f t="shared" ref="F167:I167" si="14">F164*F165*F166</f>
        <v>0</v>
      </c>
      <c r="G167" s="207">
        <f t="shared" ca="1" si="14"/>
        <v>270.16000000000003</v>
      </c>
      <c r="H167" s="207">
        <f t="shared" si="14"/>
        <v>0</v>
      </c>
      <c r="I167" s="207">
        <f t="shared" si="14"/>
        <v>0</v>
      </c>
      <c r="J167" s="369" t="s">
        <v>342</v>
      </c>
      <c r="K167" s="370"/>
      <c r="L167" s="370"/>
      <c r="M167" s="370"/>
      <c r="N167" s="370"/>
      <c r="O167" s="370"/>
      <c r="P167" s="370"/>
      <c r="Q167" s="370"/>
      <c r="R167" s="371"/>
    </row>
    <row r="168" spans="2:25" ht="25.5" customHeight="1" x14ac:dyDescent="0.25">
      <c r="B168" s="187">
        <v>5</v>
      </c>
      <c r="C168" s="207">
        <f t="shared" ref="C168:I168" si="15">C167*C155</f>
        <v>0</v>
      </c>
      <c r="D168" s="207">
        <f t="shared" ca="1" si="15"/>
        <v>75.504000000000005</v>
      </c>
      <c r="E168" s="207">
        <f t="shared" si="15"/>
        <v>0</v>
      </c>
      <c r="F168" s="207">
        <f t="shared" si="15"/>
        <v>0</v>
      </c>
      <c r="G168" s="207">
        <f t="shared" ca="1" si="15"/>
        <v>194.51519999999988</v>
      </c>
      <c r="H168" s="207">
        <f t="shared" si="15"/>
        <v>0</v>
      </c>
      <c r="I168" s="207">
        <f t="shared" si="15"/>
        <v>0</v>
      </c>
      <c r="J168" s="369" t="s">
        <v>343</v>
      </c>
      <c r="K168" s="370"/>
      <c r="L168" s="370"/>
      <c r="M168" s="370"/>
      <c r="N168" s="370"/>
      <c r="O168" s="370"/>
      <c r="P168" s="370"/>
      <c r="Q168" s="370"/>
      <c r="R168" s="371"/>
    </row>
    <row r="169" spans="2:25" ht="25.5" customHeight="1" x14ac:dyDescent="0.25">
      <c r="B169" s="187">
        <v>6</v>
      </c>
      <c r="C169" s="207">
        <f t="shared" ref="C169:I169" si="16">C168*C156*C157*C158</f>
        <v>0</v>
      </c>
      <c r="D169" s="207">
        <f t="shared" ca="1" si="16"/>
        <v>588.74999040000012</v>
      </c>
      <c r="E169" s="207">
        <f t="shared" si="16"/>
        <v>0</v>
      </c>
      <c r="F169" s="207">
        <f t="shared" si="16"/>
        <v>0</v>
      </c>
      <c r="G169" s="207">
        <f t="shared" ca="1" si="16"/>
        <v>1516.7517235199991</v>
      </c>
      <c r="H169" s="207">
        <f t="shared" si="16"/>
        <v>0</v>
      </c>
      <c r="I169" s="207">
        <f t="shared" si="16"/>
        <v>0</v>
      </c>
      <c r="J169" s="369" t="s">
        <v>344</v>
      </c>
      <c r="K169" s="370"/>
      <c r="L169" s="370"/>
      <c r="M169" s="370"/>
      <c r="N169" s="370"/>
      <c r="O169" s="370"/>
      <c r="P169" s="370"/>
      <c r="Q169" s="370"/>
      <c r="R169" s="371"/>
    </row>
    <row r="170" spans="2:25" ht="25.5" customHeight="1" x14ac:dyDescent="0.25">
      <c r="B170" s="187">
        <v>7</v>
      </c>
      <c r="C170" s="210"/>
      <c r="D170" s="210">
        <f t="shared" ref="D170:I170" ca="1" si="17">D169*D160</f>
        <v>176.62499712000002</v>
      </c>
      <c r="E170" s="210">
        <f t="shared" si="17"/>
        <v>0</v>
      </c>
      <c r="F170" s="210">
        <f t="shared" si="17"/>
        <v>0</v>
      </c>
      <c r="G170" s="210">
        <f t="shared" ca="1" si="17"/>
        <v>910.05103411199946</v>
      </c>
      <c r="H170" s="210">
        <f t="shared" si="17"/>
        <v>0</v>
      </c>
      <c r="I170" s="210">
        <f t="shared" si="17"/>
        <v>0</v>
      </c>
      <c r="J170" s="369" t="s">
        <v>345</v>
      </c>
      <c r="K170" s="370"/>
      <c r="L170" s="370"/>
      <c r="M170" s="370"/>
      <c r="N170" s="370"/>
      <c r="O170" s="370"/>
      <c r="P170" s="370"/>
      <c r="Q170" s="370"/>
      <c r="R170" s="371"/>
    </row>
    <row r="171" spans="2:25" ht="46.5" customHeight="1" x14ac:dyDescent="0.25">
      <c r="B171" s="187">
        <v>8</v>
      </c>
      <c r="C171" s="187"/>
      <c r="D171" s="393">
        <f ca="1">SUM(D170:I170)*1000</f>
        <v>1086676.0312319996</v>
      </c>
      <c r="E171" s="393"/>
      <c r="F171" s="393"/>
      <c r="G171" s="393"/>
      <c r="H171" s="393"/>
      <c r="I171" s="393"/>
      <c r="J171" s="369" t="s">
        <v>346</v>
      </c>
      <c r="K171" s="370"/>
      <c r="L171" s="370"/>
      <c r="M171" s="370"/>
      <c r="N171" s="370"/>
      <c r="O171" s="370"/>
      <c r="P171" s="370"/>
      <c r="Q171" s="370"/>
      <c r="R171" s="371"/>
    </row>
    <row r="172" spans="2:25" ht="41.25" customHeight="1" x14ac:dyDescent="0.25">
      <c r="B172" s="187">
        <v>9</v>
      </c>
      <c r="C172" s="187"/>
      <c r="D172" s="394">
        <f ca="1">ROUND(D171*0.8,0)</f>
        <v>869341</v>
      </c>
      <c r="E172" s="395"/>
      <c r="F172" s="395"/>
      <c r="G172" s="395"/>
      <c r="H172" s="395"/>
      <c r="I172" s="396"/>
      <c r="J172" s="369" t="s">
        <v>347</v>
      </c>
      <c r="K172" s="370"/>
      <c r="L172" s="370"/>
      <c r="M172" s="370"/>
      <c r="N172" s="370"/>
      <c r="O172" s="370"/>
      <c r="P172" s="370"/>
      <c r="Q172" s="370"/>
      <c r="R172" s="371"/>
    </row>
    <row r="173" spans="2:25" ht="41.25" customHeight="1" x14ac:dyDescent="0.25">
      <c r="B173" s="187">
        <v>10</v>
      </c>
      <c r="C173" s="187"/>
      <c r="D173" s="394">
        <f ca="1">ROUND(D171*0.7,0)</f>
        <v>760673</v>
      </c>
      <c r="E173" s="395"/>
      <c r="F173" s="395"/>
      <c r="G173" s="395"/>
      <c r="H173" s="395"/>
      <c r="I173" s="396"/>
      <c r="J173" s="369" t="s">
        <v>348</v>
      </c>
      <c r="K173" s="370"/>
      <c r="L173" s="370"/>
      <c r="M173" s="370"/>
      <c r="N173" s="370"/>
      <c r="O173" s="370"/>
      <c r="P173" s="370"/>
      <c r="Q173" s="370"/>
      <c r="R173" s="371"/>
    </row>
    <row r="174" spans="2:25" ht="28.5" customHeight="1" x14ac:dyDescent="0.25">
      <c r="B174" s="187">
        <v>11</v>
      </c>
      <c r="C174" s="187"/>
      <c r="D174" s="392">
        <f ca="1">D173</f>
        <v>760673</v>
      </c>
      <c r="E174" s="392"/>
      <c r="F174" s="392"/>
      <c r="G174" s="392"/>
      <c r="H174" s="392"/>
      <c r="I174" s="392"/>
      <c r="J174" s="369" t="s">
        <v>349</v>
      </c>
      <c r="K174" s="370"/>
      <c r="L174" s="370"/>
      <c r="M174" s="370"/>
      <c r="N174" s="370"/>
      <c r="O174" s="370"/>
      <c r="P174" s="370"/>
      <c r="Q174" s="370"/>
      <c r="R174" s="371"/>
      <c r="Y174" s="211">
        <f ca="1">D174</f>
        <v>760673</v>
      </c>
    </row>
    <row r="175" spans="2:25" ht="14.25" x14ac:dyDescent="0.2">
      <c r="B175" s="212"/>
      <c r="C175" s="212"/>
      <c r="D175" s="45"/>
      <c r="E175" s="213"/>
      <c r="F175" s="213"/>
      <c r="G175" s="213"/>
      <c r="H175" s="213"/>
      <c r="I175" s="213"/>
      <c r="J175" s="214"/>
      <c r="K175" s="213"/>
      <c r="L175" s="215"/>
      <c r="M175" s="213"/>
      <c r="N175" s="213"/>
      <c r="O175" s="213"/>
      <c r="P175" s="213"/>
      <c r="Q175" s="213"/>
      <c r="R175" s="213"/>
    </row>
    <row r="176" spans="2:25" ht="14.25" x14ac:dyDescent="0.2">
      <c r="D176" s="45"/>
      <c r="J176" s="214"/>
      <c r="L176" s="216"/>
    </row>
  </sheetData>
  <mergeCells count="223"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4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Y176"/>
  <sheetViews>
    <sheetView view="pageBreakPreview" topLeftCell="B68" zoomScale="85" zoomScaleNormal="100" zoomScaleSheetLayoutView="85" workbookViewId="0">
      <selection activeCell="C104" sqref="C104"/>
    </sheetView>
  </sheetViews>
  <sheetFormatPr defaultColWidth="9.140625" defaultRowHeight="12.75" outlineLevelRow="1" x14ac:dyDescent="0.25"/>
  <cols>
    <col min="1" max="1" width="4.5703125" style="8" hidden="1" customWidth="1"/>
    <col min="2" max="2" width="4.5703125" style="8" customWidth="1"/>
    <col min="3" max="3" width="11" style="8" hidden="1" customWidth="1"/>
    <col min="4" max="8" width="11" style="8" customWidth="1"/>
    <col min="9" max="9" width="15.5703125" style="8" customWidth="1"/>
    <col min="10" max="11" width="8.7109375" style="8" customWidth="1"/>
    <col min="12" max="12" width="15" style="8" customWidth="1"/>
    <col min="13" max="18" width="8.7109375" style="8" customWidth="1"/>
    <col min="19" max="19" width="0" style="8" hidden="1" customWidth="1"/>
    <col min="20" max="23" width="9.140625" style="8" hidden="1" customWidth="1"/>
    <col min="24" max="24" width="9.140625" style="8"/>
    <col min="25" max="25" width="13.42578125" style="8" bestFit="1" customWidth="1"/>
    <col min="26" max="16384" width="9.140625" style="8"/>
  </cols>
  <sheetData>
    <row r="1" spans="2:20" hidden="1" x14ac:dyDescent="0.25">
      <c r="B1" s="7">
        <v>5</v>
      </c>
      <c r="C1" s="7"/>
    </row>
    <row r="2" spans="2:20" ht="17.25" hidden="1" customHeight="1" x14ac:dyDescent="0.25">
      <c r="O2" s="397"/>
      <c r="P2" s="397"/>
      <c r="Q2" s="397"/>
      <c r="R2" s="397"/>
      <c r="S2" s="9"/>
      <c r="T2" s="9"/>
    </row>
    <row r="3" spans="2:20" hidden="1" x14ac:dyDescent="0.25"/>
    <row r="4" spans="2:20" ht="15.75" customHeight="1" x14ac:dyDescent="0.25">
      <c r="B4" s="398" t="str">
        <f>СВОД!E29</f>
        <v>Смета №1.8</v>
      </c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</row>
    <row r="5" spans="2:20" x14ac:dyDescent="0.25">
      <c r="B5" s="436" t="s">
        <v>354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</row>
    <row r="6" spans="2:20" ht="13.5" customHeight="1" x14ac:dyDescent="0.25">
      <c r="B6" s="8" t="s">
        <v>121</v>
      </c>
      <c r="G6" s="399" t="s">
        <v>355</v>
      </c>
      <c r="H6" s="400"/>
      <c r="I6" s="400"/>
      <c r="J6" s="400"/>
      <c r="K6" s="400"/>
      <c r="L6" s="400"/>
      <c r="M6" s="400"/>
      <c r="N6" s="400"/>
      <c r="O6" s="400"/>
      <c r="P6" s="400"/>
      <c r="Q6" s="400"/>
      <c r="R6" s="400"/>
    </row>
    <row r="7" spans="2:20" ht="63" customHeight="1" x14ac:dyDescent="0.25">
      <c r="G7" s="400"/>
      <c r="H7" s="400"/>
      <c r="I7" s="400"/>
      <c r="J7" s="400"/>
      <c r="K7" s="400"/>
      <c r="L7" s="400"/>
      <c r="M7" s="400"/>
      <c r="N7" s="400"/>
      <c r="O7" s="400"/>
      <c r="P7" s="400"/>
      <c r="Q7" s="400"/>
      <c r="R7" s="400"/>
    </row>
    <row r="8" spans="2:20" x14ac:dyDescent="0.25">
      <c r="B8" s="8" t="s">
        <v>123</v>
      </c>
      <c r="G8" s="8" t="s">
        <v>15</v>
      </c>
    </row>
    <row r="9" spans="2:20" ht="3.75" customHeight="1" x14ac:dyDescent="0.25"/>
    <row r="10" spans="2:20" hidden="1" x14ac:dyDescent="0.25">
      <c r="B10" s="8" t="s">
        <v>124</v>
      </c>
      <c r="G10" s="10"/>
    </row>
    <row r="11" spans="2:20" x14ac:dyDescent="0.25">
      <c r="B11" s="8" t="s">
        <v>125</v>
      </c>
      <c r="G11" s="50" t="str">
        <f>СВОД!D14</f>
        <v>ОАО «СИБНЕФТЕТРАНСПРОЕКТ»</v>
      </c>
    </row>
    <row r="13" spans="2:20" x14ac:dyDescent="0.25">
      <c r="B13" s="401" t="s">
        <v>126</v>
      </c>
      <c r="C13" s="401"/>
      <c r="D13" s="401"/>
      <c r="E13" s="401"/>
      <c r="F13" s="401"/>
      <c r="G13" s="401"/>
      <c r="H13" s="401"/>
      <c r="I13" s="401"/>
      <c r="J13" s="401"/>
      <c r="K13" s="401"/>
      <c r="L13" s="401"/>
      <c r="M13" s="401"/>
      <c r="N13" s="401"/>
      <c r="O13" s="401"/>
      <c r="P13" s="401"/>
      <c r="Q13" s="401"/>
      <c r="R13" s="401"/>
    </row>
    <row r="15" spans="2:20" ht="25.5" customHeight="1" x14ac:dyDescent="0.25">
      <c r="B15" s="402" t="s">
        <v>127</v>
      </c>
      <c r="C15" s="403"/>
      <c r="D15" s="403"/>
      <c r="E15" s="403"/>
      <c r="F15" s="403"/>
      <c r="G15" s="403"/>
      <c r="H15" s="403"/>
      <c r="I15" s="404"/>
      <c r="J15" s="404"/>
      <c r="K15" s="404"/>
      <c r="L15" s="404"/>
      <c r="M15" s="404"/>
      <c r="N15" s="404"/>
      <c r="O15" s="404"/>
      <c r="P15" s="404"/>
      <c r="Q15" s="404"/>
      <c r="R15" s="405"/>
    </row>
    <row r="16" spans="2:20" hidden="1" x14ac:dyDescent="0.25">
      <c r="B16" s="11" t="s">
        <v>128</v>
      </c>
      <c r="C16" s="12"/>
      <c r="D16" s="12"/>
      <c r="E16" s="12"/>
      <c r="F16" s="12"/>
      <c r="G16" s="13"/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5"/>
    </row>
    <row r="17" spans="2:18" hidden="1" x14ac:dyDescent="0.25">
      <c r="B17" s="16" t="s">
        <v>128</v>
      </c>
      <c r="C17" s="13"/>
      <c r="D17" s="13"/>
      <c r="E17" s="13"/>
      <c r="F17" s="13"/>
      <c r="G17" s="13"/>
      <c r="H17" s="13"/>
      <c r="I17" s="17"/>
      <c r="J17" s="17"/>
      <c r="K17" s="17"/>
      <c r="L17" s="17"/>
      <c r="M17" s="17"/>
      <c r="N17" s="17"/>
      <c r="O17" s="17"/>
      <c r="P17" s="17"/>
      <c r="Q17" s="17"/>
      <c r="R17" s="18"/>
    </row>
    <row r="18" spans="2:18" hidden="1" x14ac:dyDescent="0.25">
      <c r="B18" s="16" t="s">
        <v>129</v>
      </c>
      <c r="C18" s="13"/>
      <c r="D18" s="13"/>
      <c r="E18" s="13"/>
      <c r="F18" s="13"/>
      <c r="G18" s="13"/>
      <c r="H18" s="13"/>
      <c r="I18" s="17"/>
      <c r="J18" s="17"/>
      <c r="K18" s="17"/>
      <c r="L18" s="17"/>
      <c r="M18" s="17"/>
      <c r="N18" s="17"/>
      <c r="O18" s="17"/>
      <c r="P18" s="17"/>
      <c r="Q18" s="17"/>
      <c r="R18" s="18"/>
    </row>
    <row r="19" spans="2:18" x14ac:dyDescent="0.25">
      <c r="B19" s="16" t="s">
        <v>130</v>
      </c>
      <c r="C19" s="13"/>
      <c r="D19" s="13"/>
      <c r="E19" s="13"/>
      <c r="F19" s="13"/>
      <c r="G19" s="13"/>
      <c r="H19" s="19" t="s">
        <v>131</v>
      </c>
      <c r="I19" s="17"/>
      <c r="J19" s="17"/>
      <c r="K19" s="17"/>
      <c r="L19" s="17"/>
      <c r="M19" s="17"/>
      <c r="N19" s="17"/>
      <c r="O19" s="17"/>
      <c r="P19" s="17"/>
      <c r="Q19" s="17"/>
      <c r="R19" s="18"/>
    </row>
    <row r="20" spans="2:18" hidden="1" x14ac:dyDescent="0.25">
      <c r="B20" s="16"/>
      <c r="C20" s="13"/>
      <c r="D20" s="13"/>
      <c r="E20" s="13"/>
      <c r="F20" s="13"/>
      <c r="G20" s="13"/>
      <c r="H20" s="13" t="s">
        <v>132</v>
      </c>
      <c r="I20" s="17"/>
      <c r="J20" s="17"/>
      <c r="K20" s="17"/>
      <c r="L20" s="17"/>
      <c r="M20" s="17"/>
      <c r="N20" s="17"/>
      <c r="O20" s="17"/>
      <c r="P20" s="17"/>
      <c r="Q20" s="17"/>
      <c r="R20" s="18"/>
    </row>
    <row r="21" spans="2:18" hidden="1" x14ac:dyDescent="0.25">
      <c r="B21" s="16"/>
      <c r="C21" s="13"/>
      <c r="D21" s="13"/>
      <c r="E21" s="13"/>
      <c r="F21" s="13"/>
      <c r="G21" s="13"/>
      <c r="H21" s="13" t="s">
        <v>131</v>
      </c>
      <c r="I21" s="17"/>
      <c r="J21" s="17"/>
      <c r="K21" s="17"/>
      <c r="L21" s="17"/>
      <c r="M21" s="17"/>
      <c r="N21" s="17"/>
      <c r="O21" s="17"/>
      <c r="P21" s="17"/>
      <c r="Q21" s="17"/>
      <c r="R21" s="18"/>
    </row>
    <row r="22" spans="2:18" x14ac:dyDescent="0.25">
      <c r="B22" s="16" t="s">
        <v>133</v>
      </c>
      <c r="C22" s="13"/>
      <c r="D22" s="13"/>
      <c r="E22" s="13"/>
      <c r="F22" s="13"/>
      <c r="G22" s="13"/>
      <c r="H22" s="13"/>
      <c r="I22" s="17"/>
      <c r="J22" s="17"/>
      <c r="K22" s="17"/>
      <c r="L22" s="17"/>
      <c r="M22" s="17"/>
      <c r="N22" s="17"/>
      <c r="O22" s="17"/>
      <c r="P22" s="17"/>
      <c r="Q22" s="17"/>
      <c r="R22" s="18"/>
    </row>
    <row r="23" spans="2:18" x14ac:dyDescent="0.25">
      <c r="B23" s="16"/>
      <c r="D23" s="20" t="s">
        <v>134</v>
      </c>
      <c r="E23" s="20" t="s">
        <v>135</v>
      </c>
      <c r="F23" s="20" t="s">
        <v>136</v>
      </c>
      <c r="G23" s="20" t="s">
        <v>137</v>
      </c>
      <c r="H23" s="20" t="s">
        <v>138</v>
      </c>
      <c r="I23" s="20" t="s">
        <v>139</v>
      </c>
      <c r="J23" s="17"/>
      <c r="K23" s="17"/>
      <c r="L23" s="17"/>
      <c r="M23" s="17"/>
      <c r="N23" s="17"/>
      <c r="O23" s="17"/>
      <c r="P23" s="17"/>
      <c r="Q23" s="17"/>
      <c r="R23" s="18"/>
    </row>
    <row r="24" spans="2:18" x14ac:dyDescent="0.25">
      <c r="B24" s="16"/>
      <c r="D24" s="19" t="s">
        <v>132</v>
      </c>
      <c r="E24" s="19" t="s">
        <v>131</v>
      </c>
      <c r="F24" s="19" t="s">
        <v>131</v>
      </c>
      <c r="G24" s="19" t="s">
        <v>132</v>
      </c>
      <c r="H24" s="19" t="s">
        <v>131</v>
      </c>
      <c r="I24" s="19" t="s">
        <v>131</v>
      </c>
      <c r="J24" s="17"/>
      <c r="K24" s="17"/>
      <c r="L24" s="17"/>
      <c r="M24" s="17"/>
      <c r="N24" s="17"/>
      <c r="O24" s="17"/>
      <c r="P24" s="17"/>
      <c r="Q24" s="17"/>
      <c r="R24" s="18"/>
    </row>
    <row r="25" spans="2:18" hidden="1" x14ac:dyDescent="0.25">
      <c r="B25" s="16"/>
      <c r="C25" s="13"/>
      <c r="D25" s="21" t="s">
        <v>132</v>
      </c>
      <c r="E25" s="21" t="s">
        <v>132</v>
      </c>
      <c r="F25" s="21" t="s">
        <v>132</v>
      </c>
      <c r="G25" s="21" t="s">
        <v>132</v>
      </c>
      <c r="H25" s="21" t="s">
        <v>132</v>
      </c>
      <c r="I25" s="22" t="s">
        <v>132</v>
      </c>
      <c r="J25" s="23"/>
      <c r="K25" s="23"/>
      <c r="L25" s="23"/>
      <c r="M25" s="23"/>
      <c r="N25" s="23"/>
      <c r="O25" s="23"/>
      <c r="P25" s="23"/>
      <c r="Q25" s="23"/>
      <c r="R25" s="24"/>
    </row>
    <row r="26" spans="2:18" hidden="1" x14ac:dyDescent="0.25">
      <c r="B26" s="16"/>
      <c r="C26" s="13"/>
      <c r="D26" s="21" t="s">
        <v>131</v>
      </c>
      <c r="E26" s="21" t="s">
        <v>131</v>
      </c>
      <c r="F26" s="21" t="s">
        <v>131</v>
      </c>
      <c r="G26" s="21" t="s">
        <v>131</v>
      </c>
      <c r="H26" s="21" t="s">
        <v>131</v>
      </c>
      <c r="I26" s="21" t="s">
        <v>131</v>
      </c>
      <c r="J26" s="13"/>
      <c r="K26" s="13"/>
      <c r="L26" s="13"/>
      <c r="M26" s="13"/>
      <c r="N26" s="13"/>
      <c r="O26" s="13"/>
      <c r="P26" s="13"/>
      <c r="Q26" s="13"/>
      <c r="R26" s="25"/>
    </row>
    <row r="27" spans="2:18" ht="25.5" customHeight="1" x14ac:dyDescent="0.25">
      <c r="B27" s="402" t="s">
        <v>140</v>
      </c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12"/>
    </row>
    <row r="28" spans="2:18" hidden="1" x14ac:dyDescent="0.25">
      <c r="B28" s="16" t="s">
        <v>141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4"/>
      <c r="Q28" s="14"/>
      <c r="R28" s="15"/>
    </row>
    <row r="29" spans="2:18" hidden="1" x14ac:dyDescent="0.25">
      <c r="B29" s="413" t="s">
        <v>142</v>
      </c>
      <c r="C29" s="413"/>
      <c r="D29" s="413"/>
      <c r="E29" s="413"/>
      <c r="F29" s="413"/>
      <c r="G29" s="413"/>
      <c r="H29" s="413"/>
      <c r="I29" s="413"/>
      <c r="J29" s="414"/>
      <c r="K29" s="414"/>
      <c r="L29" s="414"/>
      <c r="M29" s="415" t="s">
        <v>143</v>
      </c>
      <c r="N29" s="416"/>
      <c r="O29" s="26"/>
      <c r="P29" s="17"/>
      <c r="Q29" s="17"/>
      <c r="R29" s="18"/>
    </row>
    <row r="30" spans="2:18" ht="25.5" hidden="1" x14ac:dyDescent="0.25">
      <c r="B30" s="20" t="s">
        <v>42</v>
      </c>
      <c r="C30" s="417" t="s">
        <v>144</v>
      </c>
      <c r="D30" s="418"/>
      <c r="E30" s="417" t="s">
        <v>145</v>
      </c>
      <c r="F30" s="419"/>
      <c r="G30" s="418"/>
      <c r="H30" s="417" t="s">
        <v>146</v>
      </c>
      <c r="I30" s="419"/>
      <c r="J30" s="419"/>
      <c r="K30" s="419"/>
      <c r="L30" s="418"/>
      <c r="M30" s="417" t="s">
        <v>147</v>
      </c>
      <c r="N30" s="419"/>
      <c r="O30" s="26"/>
      <c r="P30" s="17"/>
      <c r="Q30" s="17"/>
      <c r="R30" s="18"/>
    </row>
    <row r="31" spans="2:18" ht="24" hidden="1" customHeight="1" x14ac:dyDescent="0.25">
      <c r="B31" s="19">
        <v>1</v>
      </c>
      <c r="C31" s="406" t="s">
        <v>148</v>
      </c>
      <c r="D31" s="407"/>
      <c r="E31" s="408" t="s">
        <v>149</v>
      </c>
      <c r="F31" s="409"/>
      <c r="G31" s="410"/>
      <c r="H31" s="408" t="s">
        <v>150</v>
      </c>
      <c r="I31" s="409"/>
      <c r="J31" s="409"/>
      <c r="K31" s="409"/>
      <c r="L31" s="410"/>
      <c r="M31" s="406">
        <f>IF(H19="Да",SUMIF($H32:$L35,$H31,M32:N35),0)</f>
        <v>0</v>
      </c>
      <c r="N31" s="411"/>
      <c r="O31" s="26"/>
      <c r="P31" s="17"/>
      <c r="Q31" s="17"/>
      <c r="R31" s="18"/>
    </row>
    <row r="32" spans="2:18" ht="29.25" hidden="1" customHeight="1" x14ac:dyDescent="0.25">
      <c r="B32" s="27" t="s">
        <v>24</v>
      </c>
      <c r="C32" s="28"/>
      <c r="D32" s="13"/>
      <c r="E32" s="13"/>
      <c r="F32" s="13"/>
      <c r="G32" s="13"/>
      <c r="H32" s="408" t="s">
        <v>150</v>
      </c>
      <c r="I32" s="409"/>
      <c r="J32" s="409"/>
      <c r="K32" s="409"/>
      <c r="L32" s="410"/>
      <c r="M32" s="406">
        <v>1</v>
      </c>
      <c r="N32" s="411"/>
      <c r="O32" s="26"/>
      <c r="P32" s="17"/>
      <c r="Q32" s="17"/>
      <c r="R32" s="18"/>
    </row>
    <row r="33" spans="2:18" ht="28.5" hidden="1" customHeight="1" x14ac:dyDescent="0.25">
      <c r="B33" s="27" t="s">
        <v>151</v>
      </c>
      <c r="C33" s="28"/>
      <c r="D33" s="13"/>
      <c r="E33" s="13"/>
      <c r="F33" s="13"/>
      <c r="G33" s="13"/>
      <c r="H33" s="408" t="s">
        <v>152</v>
      </c>
      <c r="I33" s="409"/>
      <c r="J33" s="409"/>
      <c r="K33" s="409"/>
      <c r="L33" s="410"/>
      <c r="M33" s="406">
        <v>2</v>
      </c>
      <c r="N33" s="411"/>
      <c r="O33" s="26"/>
      <c r="P33" s="17"/>
      <c r="Q33" s="17"/>
      <c r="R33" s="18"/>
    </row>
    <row r="34" spans="2:18" ht="39" hidden="1" customHeight="1" x14ac:dyDescent="0.25">
      <c r="B34" s="27" t="s">
        <v>153</v>
      </c>
      <c r="C34" s="28"/>
      <c r="D34" s="13"/>
      <c r="E34" s="13"/>
      <c r="F34" s="13"/>
      <c r="G34" s="13"/>
      <c r="H34" s="408" t="s">
        <v>154</v>
      </c>
      <c r="I34" s="409"/>
      <c r="J34" s="409"/>
      <c r="K34" s="409"/>
      <c r="L34" s="410"/>
      <c r="M34" s="406">
        <v>4</v>
      </c>
      <c r="N34" s="411"/>
      <c r="O34" s="26"/>
      <c r="P34" s="17"/>
      <c r="Q34" s="17"/>
      <c r="R34" s="18"/>
    </row>
    <row r="35" spans="2:18" ht="25.5" hidden="1" customHeight="1" x14ac:dyDescent="0.25">
      <c r="B35" s="27" t="s">
        <v>155</v>
      </c>
      <c r="C35" s="28"/>
      <c r="D35" s="13"/>
      <c r="E35" s="13"/>
      <c r="F35" s="13"/>
      <c r="G35" s="13"/>
      <c r="H35" s="408" t="s">
        <v>156</v>
      </c>
      <c r="I35" s="409"/>
      <c r="J35" s="409"/>
      <c r="K35" s="409"/>
      <c r="L35" s="410"/>
      <c r="M35" s="406">
        <v>8</v>
      </c>
      <c r="N35" s="411"/>
      <c r="O35" s="26"/>
      <c r="P35" s="17"/>
      <c r="Q35" s="17"/>
      <c r="R35" s="18"/>
    </row>
    <row r="36" spans="2:18" ht="25.5" hidden="1" customHeight="1" x14ac:dyDescent="0.25">
      <c r="B36" s="19">
        <v>2</v>
      </c>
      <c r="C36" s="406" t="s">
        <v>157</v>
      </c>
      <c r="D36" s="407"/>
      <c r="E36" s="408" t="s">
        <v>158</v>
      </c>
      <c r="F36" s="409"/>
      <c r="G36" s="410"/>
      <c r="H36" s="408" t="s">
        <v>159</v>
      </c>
      <c r="I36" s="409"/>
      <c r="J36" s="409"/>
      <c r="K36" s="409"/>
      <c r="L36" s="410"/>
      <c r="M36" s="406">
        <f>IF(H19="Да",SUMIF($H37:$L42,$H36,M37:N42),0)</f>
        <v>0</v>
      </c>
      <c r="N36" s="411"/>
      <c r="O36" s="26"/>
      <c r="P36" s="17"/>
      <c r="Q36" s="17"/>
      <c r="R36" s="18"/>
    </row>
    <row r="37" spans="2:18" ht="38.25" hidden="1" customHeight="1" x14ac:dyDescent="0.25">
      <c r="B37" s="27" t="s">
        <v>25</v>
      </c>
      <c r="C37" s="28"/>
      <c r="D37" s="13"/>
      <c r="E37" s="13"/>
      <c r="F37" s="13"/>
      <c r="G37" s="13"/>
      <c r="H37" s="408" t="s">
        <v>159</v>
      </c>
      <c r="I37" s="409"/>
      <c r="J37" s="409"/>
      <c r="K37" s="409"/>
      <c r="L37" s="410"/>
      <c r="M37" s="406">
        <v>1</v>
      </c>
      <c r="N37" s="411"/>
      <c r="O37" s="26"/>
      <c r="P37" s="17"/>
      <c r="Q37" s="17"/>
      <c r="R37" s="18"/>
    </row>
    <row r="38" spans="2:18" ht="50.25" hidden="1" customHeight="1" x14ac:dyDescent="0.25">
      <c r="B38" s="27" t="s">
        <v>160</v>
      </c>
      <c r="C38" s="28"/>
      <c r="D38" s="13"/>
      <c r="E38" s="13"/>
      <c r="F38" s="13"/>
      <c r="G38" s="13"/>
      <c r="H38" s="408" t="s">
        <v>161</v>
      </c>
      <c r="I38" s="409"/>
      <c r="J38" s="409"/>
      <c r="K38" s="409"/>
      <c r="L38" s="410"/>
      <c r="M38" s="406">
        <v>2</v>
      </c>
      <c r="N38" s="411"/>
      <c r="O38" s="26"/>
      <c r="P38" s="17"/>
      <c r="Q38" s="17"/>
      <c r="R38" s="18"/>
    </row>
    <row r="39" spans="2:18" ht="27.75" hidden="1" customHeight="1" x14ac:dyDescent="0.25">
      <c r="B39" s="27" t="s">
        <v>162</v>
      </c>
      <c r="C39" s="28"/>
      <c r="D39" s="13"/>
      <c r="E39" s="13"/>
      <c r="F39" s="13"/>
      <c r="G39" s="13"/>
      <c r="H39" s="408" t="s">
        <v>163</v>
      </c>
      <c r="I39" s="409"/>
      <c r="J39" s="409"/>
      <c r="K39" s="409"/>
      <c r="L39" s="410"/>
      <c r="M39" s="406">
        <v>4</v>
      </c>
      <c r="N39" s="411"/>
      <c r="O39" s="26"/>
      <c r="P39" s="17"/>
      <c r="Q39" s="17"/>
      <c r="R39" s="18"/>
    </row>
    <row r="40" spans="2:18" ht="39" hidden="1" customHeight="1" x14ac:dyDescent="0.25">
      <c r="B40" s="27" t="s">
        <v>164</v>
      </c>
      <c r="C40" s="28"/>
      <c r="D40" s="13"/>
      <c r="E40" s="13"/>
      <c r="F40" s="13"/>
      <c r="G40" s="13"/>
      <c r="H40" s="408" t="s">
        <v>165</v>
      </c>
      <c r="I40" s="409"/>
      <c r="J40" s="409"/>
      <c r="K40" s="409"/>
      <c r="L40" s="410"/>
      <c r="M40" s="406">
        <v>5</v>
      </c>
      <c r="N40" s="411"/>
      <c r="O40" s="26"/>
      <c r="P40" s="17"/>
      <c r="Q40" s="17"/>
      <c r="R40" s="18"/>
    </row>
    <row r="41" spans="2:18" ht="39" hidden="1" customHeight="1" x14ac:dyDescent="0.25">
      <c r="B41" s="27" t="s">
        <v>166</v>
      </c>
      <c r="C41" s="28"/>
      <c r="D41" s="13"/>
      <c r="E41" s="13"/>
      <c r="F41" s="13"/>
      <c r="G41" s="13"/>
      <c r="H41" s="408" t="s">
        <v>167</v>
      </c>
      <c r="I41" s="409"/>
      <c r="J41" s="409"/>
      <c r="K41" s="409"/>
      <c r="L41" s="410"/>
      <c r="M41" s="406">
        <v>4</v>
      </c>
      <c r="N41" s="411"/>
      <c r="O41" s="26"/>
      <c r="P41" s="17"/>
      <c r="Q41" s="17"/>
      <c r="R41" s="18"/>
    </row>
    <row r="42" spans="2:18" ht="26.25" hidden="1" customHeight="1" x14ac:dyDescent="0.25">
      <c r="B42" s="27" t="s">
        <v>168</v>
      </c>
      <c r="C42" s="28"/>
      <c r="D42" s="13"/>
      <c r="E42" s="13"/>
      <c r="F42" s="13"/>
      <c r="G42" s="13"/>
      <c r="H42" s="408" t="s">
        <v>169</v>
      </c>
      <c r="I42" s="409"/>
      <c r="J42" s="409"/>
      <c r="K42" s="409"/>
      <c r="L42" s="410"/>
      <c r="M42" s="406">
        <v>3</v>
      </c>
      <c r="N42" s="411"/>
      <c r="O42" s="26"/>
      <c r="P42" s="17"/>
      <c r="Q42" s="17"/>
      <c r="R42" s="18"/>
    </row>
    <row r="43" spans="2:18" ht="32.25" hidden="1" customHeight="1" x14ac:dyDescent="0.25">
      <c r="B43" s="19">
        <v>3</v>
      </c>
      <c r="C43" s="406" t="s">
        <v>170</v>
      </c>
      <c r="D43" s="407"/>
      <c r="E43" s="408" t="s">
        <v>171</v>
      </c>
      <c r="F43" s="409"/>
      <c r="G43" s="410"/>
      <c r="H43" s="408" t="s">
        <v>172</v>
      </c>
      <c r="I43" s="409"/>
      <c r="J43" s="409"/>
      <c r="K43" s="409"/>
      <c r="L43" s="410"/>
      <c r="M43" s="406">
        <f>IF(H19="Да",SUMIF($H44:$L51,$H43,M44:N51),0)</f>
        <v>0</v>
      </c>
      <c r="N43" s="411"/>
      <c r="O43" s="26"/>
      <c r="P43" s="17"/>
      <c r="Q43" s="17"/>
      <c r="R43" s="18"/>
    </row>
    <row r="44" spans="2:18" hidden="1" x14ac:dyDescent="0.25">
      <c r="B44" s="27" t="s">
        <v>27</v>
      </c>
      <c r="C44" s="28"/>
      <c r="D44" s="13"/>
      <c r="E44" s="13"/>
      <c r="F44" s="13"/>
      <c r="G44" s="13"/>
      <c r="H44" s="408" t="s">
        <v>173</v>
      </c>
      <c r="I44" s="409"/>
      <c r="J44" s="409"/>
      <c r="K44" s="409"/>
      <c r="L44" s="410"/>
      <c r="M44" s="406">
        <v>1</v>
      </c>
      <c r="N44" s="411"/>
      <c r="O44" s="26"/>
      <c r="P44" s="17"/>
      <c r="Q44" s="17"/>
      <c r="R44" s="18"/>
    </row>
    <row r="45" spans="2:18" ht="12.75" hidden="1" customHeight="1" x14ac:dyDescent="0.25">
      <c r="B45" s="27" t="s">
        <v>28</v>
      </c>
      <c r="C45" s="28"/>
      <c r="D45" s="13"/>
      <c r="E45" s="13"/>
      <c r="F45" s="13"/>
      <c r="G45" s="13"/>
      <c r="H45" s="408" t="s">
        <v>174</v>
      </c>
      <c r="I45" s="409"/>
      <c r="J45" s="409"/>
      <c r="K45" s="409"/>
      <c r="L45" s="410"/>
      <c r="M45" s="406">
        <v>2</v>
      </c>
      <c r="N45" s="411"/>
      <c r="O45" s="26"/>
      <c r="P45" s="17"/>
      <c r="Q45" s="17"/>
      <c r="R45" s="18"/>
    </row>
    <row r="46" spans="2:18" ht="12.75" hidden="1" customHeight="1" x14ac:dyDescent="0.25">
      <c r="B46" s="27" t="s">
        <v>29</v>
      </c>
      <c r="C46" s="28"/>
      <c r="D46" s="13"/>
      <c r="E46" s="13"/>
      <c r="F46" s="13"/>
      <c r="G46" s="13"/>
      <c r="H46" s="408" t="s">
        <v>172</v>
      </c>
      <c r="I46" s="409"/>
      <c r="J46" s="409"/>
      <c r="K46" s="409"/>
      <c r="L46" s="410"/>
      <c r="M46" s="406">
        <v>4</v>
      </c>
      <c r="N46" s="411"/>
      <c r="O46" s="26"/>
      <c r="P46" s="17"/>
      <c r="Q46" s="17"/>
      <c r="R46" s="18"/>
    </row>
    <row r="47" spans="2:18" ht="12.75" hidden="1" customHeight="1" x14ac:dyDescent="0.25">
      <c r="B47" s="27" t="s">
        <v>30</v>
      </c>
      <c r="C47" s="28"/>
      <c r="D47" s="13"/>
      <c r="E47" s="13"/>
      <c r="F47" s="13"/>
      <c r="G47" s="13"/>
      <c r="H47" s="408" t="s">
        <v>175</v>
      </c>
      <c r="I47" s="409"/>
      <c r="J47" s="409"/>
      <c r="K47" s="409"/>
      <c r="L47" s="410"/>
      <c r="M47" s="406">
        <v>5</v>
      </c>
      <c r="N47" s="411"/>
      <c r="O47" s="26"/>
      <c r="P47" s="17"/>
      <c r="Q47" s="17"/>
      <c r="R47" s="18"/>
    </row>
    <row r="48" spans="2:18" ht="12.75" hidden="1" customHeight="1" x14ac:dyDescent="0.25">
      <c r="B48" s="27" t="s">
        <v>31</v>
      </c>
      <c r="C48" s="28"/>
      <c r="D48" s="13"/>
      <c r="E48" s="13"/>
      <c r="F48" s="13"/>
      <c r="G48" s="13"/>
      <c r="H48" s="408" t="s">
        <v>176</v>
      </c>
      <c r="I48" s="409"/>
      <c r="J48" s="409"/>
      <c r="K48" s="409"/>
      <c r="L48" s="410"/>
      <c r="M48" s="406">
        <v>7</v>
      </c>
      <c r="N48" s="411"/>
      <c r="O48" s="26"/>
      <c r="P48" s="17"/>
      <c r="Q48" s="17"/>
      <c r="R48" s="18"/>
    </row>
    <row r="49" spans="2:18" ht="12.75" hidden="1" customHeight="1" x14ac:dyDescent="0.25">
      <c r="B49" s="27" t="s">
        <v>32</v>
      </c>
      <c r="C49" s="28"/>
      <c r="D49" s="13"/>
      <c r="E49" s="13"/>
      <c r="F49" s="13"/>
      <c r="G49" s="13"/>
      <c r="H49" s="408" t="s">
        <v>177</v>
      </c>
      <c r="I49" s="409"/>
      <c r="J49" s="409"/>
      <c r="K49" s="409"/>
      <c r="L49" s="410"/>
      <c r="M49" s="406">
        <v>9</v>
      </c>
      <c r="N49" s="411"/>
      <c r="O49" s="26"/>
      <c r="P49" s="17"/>
      <c r="Q49" s="17"/>
      <c r="R49" s="18"/>
    </row>
    <row r="50" spans="2:18" ht="12.75" hidden="1" customHeight="1" x14ac:dyDescent="0.25">
      <c r="B50" s="27" t="s">
        <v>33</v>
      </c>
      <c r="C50" s="28"/>
      <c r="D50" s="13"/>
      <c r="E50" s="13"/>
      <c r="F50" s="13"/>
      <c r="G50" s="13"/>
      <c r="H50" s="408" t="s">
        <v>178</v>
      </c>
      <c r="I50" s="409"/>
      <c r="J50" s="409"/>
      <c r="K50" s="409"/>
      <c r="L50" s="410"/>
      <c r="M50" s="406">
        <v>10</v>
      </c>
      <c r="N50" s="411"/>
      <c r="O50" s="26"/>
      <c r="P50" s="17"/>
      <c r="Q50" s="17"/>
      <c r="R50" s="18"/>
    </row>
    <row r="51" spans="2:18" ht="12.75" hidden="1" customHeight="1" x14ac:dyDescent="0.25">
      <c r="B51" s="27" t="s">
        <v>34</v>
      </c>
      <c r="C51" s="28"/>
      <c r="D51" s="13"/>
      <c r="E51" s="13"/>
      <c r="F51" s="13"/>
      <c r="G51" s="13"/>
      <c r="H51" s="408" t="s">
        <v>179</v>
      </c>
      <c r="I51" s="409"/>
      <c r="J51" s="409"/>
      <c r="K51" s="409"/>
      <c r="L51" s="410"/>
      <c r="M51" s="406">
        <v>11</v>
      </c>
      <c r="N51" s="411"/>
      <c r="O51" s="26"/>
      <c r="P51" s="17"/>
      <c r="Q51" s="17"/>
      <c r="R51" s="18"/>
    </row>
    <row r="52" spans="2:18" ht="27" hidden="1" customHeight="1" x14ac:dyDescent="0.25">
      <c r="B52" s="19">
        <v>4</v>
      </c>
      <c r="C52" s="406" t="s">
        <v>180</v>
      </c>
      <c r="D52" s="407"/>
      <c r="E52" s="408" t="s">
        <v>181</v>
      </c>
      <c r="F52" s="409"/>
      <c r="G52" s="410"/>
      <c r="H52" s="408" t="s">
        <v>182</v>
      </c>
      <c r="I52" s="409"/>
      <c r="J52" s="409"/>
      <c r="K52" s="409"/>
      <c r="L52" s="410"/>
      <c r="M52" s="406">
        <f>IF(H19="Да",SUMIF($H53:$L66,$H52,M53:N66),0)</f>
        <v>0</v>
      </c>
      <c r="N52" s="411"/>
      <c r="O52" s="26"/>
      <c r="P52" s="17"/>
      <c r="Q52" s="17"/>
      <c r="R52" s="18"/>
    </row>
    <row r="53" spans="2:18" hidden="1" x14ac:dyDescent="0.25">
      <c r="B53" s="27" t="s">
        <v>183</v>
      </c>
      <c r="C53" s="28"/>
      <c r="D53" s="13"/>
      <c r="E53" s="13"/>
      <c r="F53" s="13"/>
      <c r="G53" s="13"/>
      <c r="H53" s="408" t="s">
        <v>184</v>
      </c>
      <c r="I53" s="409"/>
      <c r="J53" s="409"/>
      <c r="K53" s="409"/>
      <c r="L53" s="410"/>
      <c r="M53" s="420">
        <v>1</v>
      </c>
      <c r="N53" s="421"/>
      <c r="O53" s="26"/>
      <c r="P53" s="17"/>
      <c r="Q53" s="17"/>
      <c r="R53" s="18"/>
    </row>
    <row r="54" spans="2:18" ht="12.75" hidden="1" customHeight="1" x14ac:dyDescent="0.25">
      <c r="B54" s="27" t="s">
        <v>185</v>
      </c>
      <c r="C54" s="28"/>
      <c r="D54" s="13"/>
      <c r="E54" s="13"/>
      <c r="F54" s="13"/>
      <c r="G54" s="13"/>
      <c r="H54" s="408" t="s">
        <v>186</v>
      </c>
      <c r="I54" s="409"/>
      <c r="J54" s="409"/>
      <c r="K54" s="409"/>
      <c r="L54" s="410"/>
      <c r="M54" s="420">
        <v>2</v>
      </c>
      <c r="N54" s="421"/>
      <c r="O54" s="26"/>
      <c r="P54" s="17"/>
      <c r="Q54" s="17"/>
      <c r="R54" s="18"/>
    </row>
    <row r="55" spans="2:18" ht="12.75" hidden="1" customHeight="1" x14ac:dyDescent="0.25">
      <c r="B55" s="27" t="s">
        <v>187</v>
      </c>
      <c r="C55" s="28"/>
      <c r="D55" s="13"/>
      <c r="E55" s="13"/>
      <c r="F55" s="13"/>
      <c r="G55" s="13"/>
      <c r="H55" s="408" t="s">
        <v>188</v>
      </c>
      <c r="I55" s="409"/>
      <c r="J55" s="409"/>
      <c r="K55" s="409"/>
      <c r="L55" s="410"/>
      <c r="M55" s="420">
        <v>3</v>
      </c>
      <c r="N55" s="421"/>
      <c r="O55" s="26"/>
      <c r="P55" s="17"/>
      <c r="Q55" s="17"/>
      <c r="R55" s="18"/>
    </row>
    <row r="56" spans="2:18" ht="12.75" hidden="1" customHeight="1" x14ac:dyDescent="0.25">
      <c r="B56" s="27" t="s">
        <v>189</v>
      </c>
      <c r="C56" s="28"/>
      <c r="D56" s="13"/>
      <c r="E56" s="13"/>
      <c r="F56" s="13"/>
      <c r="G56" s="13"/>
      <c r="H56" s="408" t="s">
        <v>190</v>
      </c>
      <c r="I56" s="409"/>
      <c r="J56" s="409"/>
      <c r="K56" s="409"/>
      <c r="L56" s="410"/>
      <c r="M56" s="420">
        <v>4</v>
      </c>
      <c r="N56" s="421"/>
      <c r="O56" s="26"/>
      <c r="P56" s="17"/>
      <c r="Q56" s="17"/>
      <c r="R56" s="18"/>
    </row>
    <row r="57" spans="2:18" ht="12.75" hidden="1" customHeight="1" x14ac:dyDescent="0.25">
      <c r="B57" s="27" t="s">
        <v>191</v>
      </c>
      <c r="C57" s="28"/>
      <c r="D57" s="13"/>
      <c r="E57" s="13"/>
      <c r="F57" s="13"/>
      <c r="G57" s="13"/>
      <c r="H57" s="408" t="s">
        <v>192</v>
      </c>
      <c r="I57" s="409"/>
      <c r="J57" s="409"/>
      <c r="K57" s="409"/>
      <c r="L57" s="410"/>
      <c r="M57" s="420">
        <v>5</v>
      </c>
      <c r="N57" s="421"/>
      <c r="O57" s="26"/>
      <c r="P57" s="17"/>
      <c r="Q57" s="17"/>
      <c r="R57" s="18"/>
    </row>
    <row r="58" spans="2:18" ht="12.75" hidden="1" customHeight="1" x14ac:dyDescent="0.25">
      <c r="B58" s="27" t="s">
        <v>193</v>
      </c>
      <c r="C58" s="28"/>
      <c r="D58" s="13"/>
      <c r="E58" s="13"/>
      <c r="F58" s="13"/>
      <c r="G58" s="13"/>
      <c r="H58" s="408" t="s">
        <v>194</v>
      </c>
      <c r="I58" s="409"/>
      <c r="J58" s="409"/>
      <c r="K58" s="409"/>
      <c r="L58" s="410"/>
      <c r="M58" s="420">
        <v>6</v>
      </c>
      <c r="N58" s="421"/>
      <c r="O58" s="26"/>
      <c r="P58" s="17"/>
      <c r="Q58" s="17"/>
      <c r="R58" s="18"/>
    </row>
    <row r="59" spans="2:18" ht="12.75" hidden="1" customHeight="1" x14ac:dyDescent="0.25">
      <c r="B59" s="27" t="s">
        <v>195</v>
      </c>
      <c r="C59" s="28"/>
      <c r="D59" s="13"/>
      <c r="E59" s="13"/>
      <c r="F59" s="13"/>
      <c r="G59" s="13"/>
      <c r="H59" s="408" t="s">
        <v>196</v>
      </c>
      <c r="I59" s="409"/>
      <c r="J59" s="409"/>
      <c r="K59" s="409"/>
      <c r="L59" s="410"/>
      <c r="M59" s="420">
        <v>7</v>
      </c>
      <c r="N59" s="421"/>
      <c r="O59" s="26"/>
      <c r="P59" s="17"/>
      <c r="Q59" s="17"/>
      <c r="R59" s="18"/>
    </row>
    <row r="60" spans="2:18" ht="12.75" hidden="1" customHeight="1" x14ac:dyDescent="0.25">
      <c r="B60" s="27" t="s">
        <v>197</v>
      </c>
      <c r="C60" s="28"/>
      <c r="D60" s="13"/>
      <c r="E60" s="13"/>
      <c r="F60" s="13"/>
      <c r="G60" s="13"/>
      <c r="H60" s="408" t="s">
        <v>182</v>
      </c>
      <c r="I60" s="409"/>
      <c r="J60" s="409"/>
      <c r="K60" s="409"/>
      <c r="L60" s="410"/>
      <c r="M60" s="420">
        <v>8</v>
      </c>
      <c r="N60" s="421"/>
      <c r="O60" s="26"/>
      <c r="P60" s="17"/>
      <c r="Q60" s="17"/>
      <c r="R60" s="18"/>
    </row>
    <row r="61" spans="2:18" ht="12.75" hidden="1" customHeight="1" x14ac:dyDescent="0.25">
      <c r="B61" s="27" t="s">
        <v>198</v>
      </c>
      <c r="C61" s="28"/>
      <c r="D61" s="13"/>
      <c r="E61" s="13"/>
      <c r="F61" s="13"/>
      <c r="G61" s="13"/>
      <c r="H61" s="408" t="s">
        <v>199</v>
      </c>
      <c r="I61" s="409"/>
      <c r="J61" s="409"/>
      <c r="K61" s="409"/>
      <c r="L61" s="410"/>
      <c r="M61" s="420">
        <v>9</v>
      </c>
      <c r="N61" s="421"/>
      <c r="O61" s="26"/>
      <c r="P61" s="17"/>
      <c r="Q61" s="17"/>
      <c r="R61" s="18"/>
    </row>
    <row r="62" spans="2:18" ht="12.75" hidden="1" customHeight="1" x14ac:dyDescent="0.25">
      <c r="B62" s="27" t="s">
        <v>200</v>
      </c>
      <c r="C62" s="28"/>
      <c r="D62" s="13"/>
      <c r="E62" s="13"/>
      <c r="F62" s="13"/>
      <c r="G62" s="13"/>
      <c r="H62" s="408" t="s">
        <v>201</v>
      </c>
      <c r="I62" s="409"/>
      <c r="J62" s="409"/>
      <c r="K62" s="409"/>
      <c r="L62" s="410"/>
      <c r="M62" s="420">
        <v>10</v>
      </c>
      <c r="N62" s="421"/>
      <c r="O62" s="26"/>
      <c r="P62" s="17"/>
      <c r="Q62" s="17"/>
      <c r="R62" s="18"/>
    </row>
    <row r="63" spans="2:18" ht="12.75" hidden="1" customHeight="1" x14ac:dyDescent="0.25">
      <c r="B63" s="27" t="s">
        <v>202</v>
      </c>
      <c r="C63" s="28"/>
      <c r="D63" s="13"/>
      <c r="E63" s="13"/>
      <c r="F63" s="13"/>
      <c r="G63" s="13"/>
      <c r="H63" s="408" t="s">
        <v>203</v>
      </c>
      <c r="I63" s="409"/>
      <c r="J63" s="409"/>
      <c r="K63" s="409"/>
      <c r="L63" s="410"/>
      <c r="M63" s="420">
        <v>11</v>
      </c>
      <c r="N63" s="421"/>
      <c r="O63" s="26"/>
      <c r="P63" s="17"/>
      <c r="Q63" s="17"/>
      <c r="R63" s="18"/>
    </row>
    <row r="64" spans="2:18" ht="12.75" hidden="1" customHeight="1" x14ac:dyDescent="0.25">
      <c r="B64" s="27" t="s">
        <v>204</v>
      </c>
      <c r="C64" s="28"/>
      <c r="D64" s="13"/>
      <c r="E64" s="13"/>
      <c r="F64" s="13"/>
      <c r="G64" s="13"/>
      <c r="H64" s="408" t="s">
        <v>205</v>
      </c>
      <c r="I64" s="409"/>
      <c r="J64" s="409"/>
      <c r="K64" s="409"/>
      <c r="L64" s="410"/>
      <c r="M64" s="420">
        <v>12</v>
      </c>
      <c r="N64" s="421"/>
      <c r="O64" s="26"/>
      <c r="P64" s="17"/>
      <c r="Q64" s="17"/>
      <c r="R64" s="18"/>
    </row>
    <row r="65" spans="2:18" ht="12.75" hidden="1" customHeight="1" x14ac:dyDescent="0.25">
      <c r="B65" s="27" t="s">
        <v>206</v>
      </c>
      <c r="C65" s="28"/>
      <c r="D65" s="13"/>
      <c r="E65" s="13"/>
      <c r="F65" s="13"/>
      <c r="G65" s="13"/>
      <c r="H65" s="408" t="s">
        <v>207</v>
      </c>
      <c r="I65" s="409"/>
      <c r="J65" s="409"/>
      <c r="K65" s="409"/>
      <c r="L65" s="410"/>
      <c r="M65" s="420">
        <v>13</v>
      </c>
      <c r="N65" s="421"/>
      <c r="O65" s="26"/>
      <c r="P65" s="17"/>
      <c r="Q65" s="17"/>
      <c r="R65" s="18"/>
    </row>
    <row r="66" spans="2:18" ht="12.75" hidden="1" customHeight="1" x14ac:dyDescent="0.25">
      <c r="B66" s="27" t="s">
        <v>208</v>
      </c>
      <c r="C66" s="28"/>
      <c r="D66" s="13"/>
      <c r="E66" s="13"/>
      <c r="F66" s="13"/>
      <c r="G66" s="13"/>
      <c r="H66" s="408" t="s">
        <v>209</v>
      </c>
      <c r="I66" s="409"/>
      <c r="J66" s="409"/>
      <c r="K66" s="409"/>
      <c r="L66" s="410"/>
      <c r="M66" s="420">
        <v>14</v>
      </c>
      <c r="N66" s="421"/>
      <c r="O66" s="26"/>
      <c r="P66" s="17"/>
      <c r="Q66" s="17"/>
      <c r="R66" s="18"/>
    </row>
    <row r="67" spans="2:18" hidden="1" x14ac:dyDescent="0.25">
      <c r="B67" s="19">
        <v>5</v>
      </c>
      <c r="C67" s="29"/>
      <c r="D67" s="13"/>
      <c r="E67" s="13"/>
      <c r="F67" s="13"/>
      <c r="G67" s="13"/>
      <c r="H67" s="13"/>
      <c r="I67" s="13"/>
      <c r="J67" s="13"/>
      <c r="K67" s="13"/>
      <c r="L67" s="30" t="s">
        <v>210</v>
      </c>
      <c r="M67" s="420">
        <f>M31+M36+M43+M52</f>
        <v>0</v>
      </c>
      <c r="N67" s="421"/>
      <c r="O67" s="26"/>
      <c r="P67" s="17"/>
      <c r="Q67" s="17"/>
      <c r="R67" s="18"/>
    </row>
    <row r="68" spans="2:18" x14ac:dyDescent="0.25">
      <c r="B68" s="16" t="s">
        <v>211</v>
      </c>
      <c r="C68" s="13"/>
      <c r="D68" s="13"/>
      <c r="E68" s="13"/>
      <c r="F68" s="13"/>
      <c r="G68" s="13"/>
      <c r="H68" s="13"/>
      <c r="I68" s="13"/>
      <c r="J68" s="23"/>
      <c r="K68" s="23"/>
      <c r="L68" s="23"/>
      <c r="M68" s="23"/>
      <c r="N68" s="23"/>
      <c r="O68" s="23"/>
      <c r="P68" s="23"/>
      <c r="Q68" s="23"/>
      <c r="R68" s="24"/>
    </row>
    <row r="69" spans="2:18" ht="26.25" customHeight="1" x14ac:dyDescent="0.25">
      <c r="B69" s="413" t="s">
        <v>142</v>
      </c>
      <c r="C69" s="413"/>
      <c r="D69" s="413"/>
      <c r="E69" s="413"/>
      <c r="F69" s="413"/>
      <c r="G69" s="413"/>
      <c r="H69" s="413"/>
      <c r="I69" s="413"/>
      <c r="J69" s="414"/>
      <c r="K69" s="414"/>
      <c r="L69" s="414"/>
      <c r="M69" s="414" t="s">
        <v>212</v>
      </c>
      <c r="N69" s="414"/>
      <c r="O69" s="414"/>
      <c r="P69" s="414"/>
      <c r="Q69" s="414"/>
      <c r="R69" s="414"/>
    </row>
    <row r="70" spans="2:18" ht="25.5" x14ac:dyDescent="0.25">
      <c r="B70" s="20" t="s">
        <v>42</v>
      </c>
      <c r="C70" s="417" t="s">
        <v>144</v>
      </c>
      <c r="D70" s="418"/>
      <c r="E70" s="413" t="s">
        <v>145</v>
      </c>
      <c r="F70" s="413"/>
      <c r="G70" s="413"/>
      <c r="H70" s="413" t="s">
        <v>146</v>
      </c>
      <c r="I70" s="413"/>
      <c r="J70" s="413"/>
      <c r="K70" s="413"/>
      <c r="L70" s="413"/>
      <c r="M70" s="20" t="s">
        <v>134</v>
      </c>
      <c r="N70" s="20" t="s">
        <v>135</v>
      </c>
      <c r="O70" s="20" t="s">
        <v>136</v>
      </c>
      <c r="P70" s="20" t="s">
        <v>137</v>
      </c>
      <c r="Q70" s="20" t="s">
        <v>138</v>
      </c>
      <c r="R70" s="20" t="s">
        <v>139</v>
      </c>
    </row>
    <row r="71" spans="2:18" ht="53.25" customHeight="1" collapsed="1" x14ac:dyDescent="0.25">
      <c r="B71" s="19">
        <v>1</v>
      </c>
      <c r="C71" s="406" t="s">
        <v>157</v>
      </c>
      <c r="D71" s="407"/>
      <c r="E71" s="422" t="s">
        <v>158</v>
      </c>
      <c r="F71" s="422"/>
      <c r="G71" s="422"/>
      <c r="H71" s="408" t="s">
        <v>163</v>
      </c>
      <c r="I71" s="409"/>
      <c r="J71" s="409"/>
      <c r="K71" s="409"/>
      <c r="L71" s="410"/>
      <c r="M71" s="19">
        <f t="shared" ref="M71:R71" ca="1" si="0">IF(D24="Да",SUMIF($H72:$L77,$H71,M72:M77),0)</f>
        <v>3</v>
      </c>
      <c r="N71" s="19">
        <f t="shared" si="0"/>
        <v>0</v>
      </c>
      <c r="O71" s="19">
        <f t="shared" si="0"/>
        <v>0</v>
      </c>
      <c r="P71" s="19">
        <f t="shared" ca="1" si="0"/>
        <v>3</v>
      </c>
      <c r="Q71" s="19">
        <f t="shared" si="0"/>
        <v>0</v>
      </c>
      <c r="R71" s="19">
        <f t="shared" si="0"/>
        <v>0</v>
      </c>
    </row>
    <row r="72" spans="2:18" ht="53.25" hidden="1" customHeight="1" outlineLevel="1" x14ac:dyDescent="0.25">
      <c r="B72" s="27" t="s">
        <v>24</v>
      </c>
      <c r="C72" s="27"/>
      <c r="D72" s="19"/>
      <c r="E72" s="31"/>
      <c r="F72" s="31"/>
      <c r="G72" s="31"/>
      <c r="H72" s="408" t="s">
        <v>159</v>
      </c>
      <c r="I72" s="409"/>
      <c r="J72" s="409"/>
      <c r="K72" s="409"/>
      <c r="L72" s="410"/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</row>
    <row r="73" spans="2:18" ht="53.25" hidden="1" customHeight="1" outlineLevel="1" x14ac:dyDescent="0.25">
      <c r="B73" s="27" t="s">
        <v>151</v>
      </c>
      <c r="C73" s="27"/>
      <c r="D73" s="19"/>
      <c r="E73" s="31"/>
      <c r="F73" s="31"/>
      <c r="G73" s="31"/>
      <c r="H73" s="408" t="s">
        <v>161</v>
      </c>
      <c r="I73" s="409"/>
      <c r="J73" s="409"/>
      <c r="K73" s="409"/>
      <c r="L73" s="410"/>
      <c r="M73" s="19">
        <v>2</v>
      </c>
      <c r="N73" s="19">
        <v>1</v>
      </c>
      <c r="O73" s="19">
        <v>2</v>
      </c>
      <c r="P73" s="19">
        <v>1</v>
      </c>
      <c r="Q73" s="19">
        <v>2</v>
      </c>
      <c r="R73" s="19">
        <v>2</v>
      </c>
    </row>
    <row r="74" spans="2:18" ht="53.25" hidden="1" customHeight="1" outlineLevel="1" x14ac:dyDescent="0.25">
      <c r="B74" s="27" t="s">
        <v>153</v>
      </c>
      <c r="C74" s="27"/>
      <c r="D74" s="19"/>
      <c r="E74" s="31"/>
      <c r="F74" s="31"/>
      <c r="G74" s="31"/>
      <c r="H74" s="408" t="s">
        <v>163</v>
      </c>
      <c r="I74" s="409"/>
      <c r="J74" s="409"/>
      <c r="K74" s="409"/>
      <c r="L74" s="410"/>
      <c r="M74" s="19">
        <v>3</v>
      </c>
      <c r="N74" s="19">
        <v>3</v>
      </c>
      <c r="O74" s="19">
        <v>3</v>
      </c>
      <c r="P74" s="19">
        <v>3</v>
      </c>
      <c r="Q74" s="19">
        <v>3</v>
      </c>
      <c r="R74" s="19">
        <v>3</v>
      </c>
    </row>
    <row r="75" spans="2:18" ht="53.25" hidden="1" customHeight="1" outlineLevel="1" x14ac:dyDescent="0.25">
      <c r="B75" s="27" t="s">
        <v>155</v>
      </c>
      <c r="C75" s="27"/>
      <c r="D75" s="19"/>
      <c r="E75" s="31"/>
      <c r="F75" s="31"/>
      <c r="G75" s="31"/>
      <c r="H75" s="408" t="s">
        <v>165</v>
      </c>
      <c r="I75" s="409"/>
      <c r="J75" s="409"/>
      <c r="K75" s="409"/>
      <c r="L75" s="410"/>
      <c r="M75" s="19">
        <v>4</v>
      </c>
      <c r="N75" s="19">
        <v>3</v>
      </c>
      <c r="O75" s="19">
        <v>4</v>
      </c>
      <c r="P75" s="19">
        <v>3</v>
      </c>
      <c r="Q75" s="19">
        <v>4</v>
      </c>
      <c r="R75" s="19">
        <v>4</v>
      </c>
    </row>
    <row r="76" spans="2:18" ht="53.25" hidden="1" customHeight="1" outlineLevel="1" x14ac:dyDescent="0.25">
      <c r="B76" s="27" t="s">
        <v>213</v>
      </c>
      <c r="C76" s="27"/>
      <c r="D76" s="19"/>
      <c r="E76" s="31"/>
      <c r="F76" s="31"/>
      <c r="G76" s="31"/>
      <c r="H76" s="408" t="s">
        <v>167</v>
      </c>
      <c r="I76" s="409"/>
      <c r="J76" s="409"/>
      <c r="K76" s="409"/>
      <c r="L76" s="410"/>
      <c r="M76" s="19">
        <v>3</v>
      </c>
      <c r="N76" s="19">
        <v>2</v>
      </c>
      <c r="O76" s="19">
        <v>3</v>
      </c>
      <c r="P76" s="19">
        <v>2</v>
      </c>
      <c r="Q76" s="19">
        <v>3</v>
      </c>
      <c r="R76" s="19">
        <v>3</v>
      </c>
    </row>
    <row r="77" spans="2:18" ht="53.25" hidden="1" customHeight="1" outlineLevel="1" x14ac:dyDescent="0.25">
      <c r="B77" s="27" t="s">
        <v>214</v>
      </c>
      <c r="C77" s="27"/>
      <c r="D77" s="19"/>
      <c r="E77" s="31"/>
      <c r="F77" s="31"/>
      <c r="G77" s="31"/>
      <c r="H77" s="408" t="s">
        <v>169</v>
      </c>
      <c r="I77" s="409"/>
      <c r="J77" s="409"/>
      <c r="K77" s="409"/>
      <c r="L77" s="410"/>
      <c r="M77" s="19">
        <v>2</v>
      </c>
      <c r="N77" s="19">
        <v>2</v>
      </c>
      <c r="O77" s="19">
        <v>2</v>
      </c>
      <c r="P77" s="19">
        <v>2</v>
      </c>
      <c r="Q77" s="19">
        <v>3</v>
      </c>
      <c r="R77" s="19">
        <v>3</v>
      </c>
    </row>
    <row r="78" spans="2:18" ht="53.25" customHeight="1" collapsed="1" x14ac:dyDescent="0.25">
      <c r="B78" s="19">
        <v>2</v>
      </c>
      <c r="C78" s="406" t="s">
        <v>215</v>
      </c>
      <c r="D78" s="407"/>
      <c r="E78" s="422" t="s">
        <v>216</v>
      </c>
      <c r="F78" s="422"/>
      <c r="G78" s="422"/>
      <c r="H78" s="408" t="s">
        <v>174</v>
      </c>
      <c r="I78" s="409"/>
      <c r="J78" s="409"/>
      <c r="K78" s="409"/>
      <c r="L78" s="410"/>
      <c r="M78" s="19">
        <f t="shared" ref="M78:R78" ca="1" si="1">IF(D24="Да",SUMIF($H79:$L85,$H78,M79:M85),0)</f>
        <v>2</v>
      </c>
      <c r="N78" s="19">
        <f t="shared" si="1"/>
        <v>0</v>
      </c>
      <c r="O78" s="19">
        <f t="shared" si="1"/>
        <v>0</v>
      </c>
      <c r="P78" s="19">
        <f t="shared" ca="1" si="1"/>
        <v>2</v>
      </c>
      <c r="Q78" s="19">
        <f t="shared" si="1"/>
        <v>0</v>
      </c>
      <c r="R78" s="19">
        <f t="shared" si="1"/>
        <v>0</v>
      </c>
    </row>
    <row r="79" spans="2:18" ht="53.25" hidden="1" customHeight="1" outlineLevel="1" x14ac:dyDescent="0.25">
      <c r="B79" s="27" t="s">
        <v>25</v>
      </c>
      <c r="C79" s="27"/>
      <c r="D79" s="19"/>
      <c r="E79" s="423" t="s">
        <v>217</v>
      </c>
      <c r="F79" s="424"/>
      <c r="G79" s="31"/>
      <c r="H79" s="408" t="s">
        <v>173</v>
      </c>
      <c r="I79" s="409"/>
      <c r="J79" s="409"/>
      <c r="K79" s="409"/>
      <c r="L79" s="410"/>
      <c r="M79" s="19">
        <v>1</v>
      </c>
      <c r="N79" s="19">
        <v>1</v>
      </c>
      <c r="O79" s="19">
        <v>1</v>
      </c>
      <c r="P79" s="19">
        <v>1</v>
      </c>
      <c r="Q79" s="19">
        <v>1</v>
      </c>
      <c r="R79" s="19">
        <v>1</v>
      </c>
    </row>
    <row r="80" spans="2:18" ht="53.25" hidden="1" customHeight="1" outlineLevel="1" x14ac:dyDescent="0.25">
      <c r="B80" s="27" t="s">
        <v>160</v>
      </c>
      <c r="C80" s="27"/>
      <c r="D80" s="19"/>
      <c r="E80" s="425"/>
      <c r="F80" s="426"/>
      <c r="G80" s="31"/>
      <c r="H80" s="408" t="s">
        <v>174</v>
      </c>
      <c r="I80" s="409"/>
      <c r="J80" s="409"/>
      <c r="K80" s="409"/>
      <c r="L80" s="410"/>
      <c r="M80" s="19">
        <v>2</v>
      </c>
      <c r="N80" s="19">
        <v>2</v>
      </c>
      <c r="O80" s="19">
        <v>2</v>
      </c>
      <c r="P80" s="19">
        <v>2</v>
      </c>
      <c r="Q80" s="19">
        <v>2</v>
      </c>
      <c r="R80" s="19">
        <v>2</v>
      </c>
    </row>
    <row r="81" spans="2:18" ht="53.25" hidden="1" customHeight="1" outlineLevel="1" x14ac:dyDescent="0.25">
      <c r="B81" s="27" t="s">
        <v>162</v>
      </c>
      <c r="C81" s="27"/>
      <c r="D81" s="19"/>
      <c r="E81" s="425"/>
      <c r="F81" s="426"/>
      <c r="G81" s="31"/>
      <c r="H81" s="408" t="s">
        <v>172</v>
      </c>
      <c r="I81" s="409"/>
      <c r="J81" s="409"/>
      <c r="K81" s="409"/>
      <c r="L81" s="410"/>
      <c r="M81" s="19">
        <v>3</v>
      </c>
      <c r="N81" s="19">
        <v>2</v>
      </c>
      <c r="O81" s="19">
        <v>3</v>
      </c>
      <c r="P81" s="19">
        <v>2</v>
      </c>
      <c r="Q81" s="19">
        <v>3</v>
      </c>
      <c r="R81" s="19">
        <v>3</v>
      </c>
    </row>
    <row r="82" spans="2:18" ht="53.25" hidden="1" customHeight="1" outlineLevel="1" x14ac:dyDescent="0.25">
      <c r="B82" s="27" t="s">
        <v>164</v>
      </c>
      <c r="C82" s="27"/>
      <c r="D82" s="19"/>
      <c r="E82" s="425"/>
      <c r="F82" s="426"/>
      <c r="G82" s="31"/>
      <c r="H82" s="408" t="s">
        <v>175</v>
      </c>
      <c r="I82" s="409"/>
      <c r="J82" s="409"/>
      <c r="K82" s="409"/>
      <c r="L82" s="410"/>
      <c r="M82" s="19">
        <v>4</v>
      </c>
      <c r="N82" s="19">
        <v>3</v>
      </c>
      <c r="O82" s="19">
        <v>4</v>
      </c>
      <c r="P82" s="19">
        <v>3</v>
      </c>
      <c r="Q82" s="19">
        <v>4</v>
      </c>
      <c r="R82" s="19">
        <v>4</v>
      </c>
    </row>
    <row r="83" spans="2:18" ht="53.25" hidden="1" customHeight="1" outlineLevel="1" x14ac:dyDescent="0.25">
      <c r="B83" s="27" t="s">
        <v>166</v>
      </c>
      <c r="C83" s="27"/>
      <c r="D83" s="19"/>
      <c r="E83" s="425"/>
      <c r="F83" s="426"/>
      <c r="G83" s="31"/>
      <c r="H83" s="408" t="s">
        <v>176</v>
      </c>
      <c r="I83" s="409"/>
      <c r="J83" s="409"/>
      <c r="K83" s="409"/>
      <c r="L83" s="410"/>
      <c r="M83" s="19">
        <v>5</v>
      </c>
      <c r="N83" s="19">
        <v>3</v>
      </c>
      <c r="O83" s="19">
        <v>5</v>
      </c>
      <c r="P83" s="19">
        <v>3</v>
      </c>
      <c r="Q83" s="19">
        <v>5</v>
      </c>
      <c r="R83" s="19">
        <v>5</v>
      </c>
    </row>
    <row r="84" spans="2:18" ht="53.25" hidden="1" customHeight="1" outlineLevel="1" x14ac:dyDescent="0.25">
      <c r="B84" s="27" t="s">
        <v>168</v>
      </c>
      <c r="C84" s="27"/>
      <c r="D84" s="19"/>
      <c r="E84" s="425"/>
      <c r="F84" s="426"/>
      <c r="G84" s="31"/>
      <c r="H84" s="408" t="s">
        <v>177</v>
      </c>
      <c r="I84" s="409"/>
      <c r="J84" s="409"/>
      <c r="K84" s="409"/>
      <c r="L84" s="410"/>
      <c r="M84" s="19">
        <v>6</v>
      </c>
      <c r="N84" s="19">
        <v>4</v>
      </c>
      <c r="O84" s="19">
        <v>6</v>
      </c>
      <c r="P84" s="19">
        <v>4</v>
      </c>
      <c r="Q84" s="19">
        <v>6</v>
      </c>
      <c r="R84" s="19">
        <v>6</v>
      </c>
    </row>
    <row r="85" spans="2:18" ht="53.25" hidden="1" customHeight="1" outlineLevel="1" x14ac:dyDescent="0.25">
      <c r="B85" s="27" t="s">
        <v>218</v>
      </c>
      <c r="C85" s="27"/>
      <c r="D85" s="19"/>
      <c r="E85" s="427"/>
      <c r="F85" s="428"/>
      <c r="G85" s="31"/>
      <c r="H85" s="408" t="s">
        <v>178</v>
      </c>
      <c r="I85" s="409"/>
      <c r="J85" s="409"/>
      <c r="K85" s="409"/>
      <c r="L85" s="410"/>
      <c r="M85" s="19">
        <v>7</v>
      </c>
      <c r="N85" s="19">
        <v>5</v>
      </c>
      <c r="O85" s="19">
        <v>7</v>
      </c>
      <c r="P85" s="19">
        <v>5</v>
      </c>
      <c r="Q85" s="19">
        <v>7</v>
      </c>
      <c r="R85" s="19">
        <v>7</v>
      </c>
    </row>
    <row r="86" spans="2:18" ht="53.25" customHeight="1" collapsed="1" x14ac:dyDescent="0.25">
      <c r="B86" s="19">
        <v>3</v>
      </c>
      <c r="C86" s="406" t="s">
        <v>219</v>
      </c>
      <c r="D86" s="407"/>
      <c r="E86" s="422" t="s">
        <v>220</v>
      </c>
      <c r="F86" s="422"/>
      <c r="G86" s="422"/>
      <c r="H86" s="408" t="s">
        <v>223</v>
      </c>
      <c r="I86" s="409"/>
      <c r="J86" s="409"/>
      <c r="K86" s="409"/>
      <c r="L86" s="410"/>
      <c r="M86" s="19">
        <f t="shared" ref="M86:R86" ca="1" si="2">IF(D24="Да",SUMIF($H87:$L90,$H86,M87:M90),0)</f>
        <v>3</v>
      </c>
      <c r="N86" s="19">
        <f t="shared" si="2"/>
        <v>0</v>
      </c>
      <c r="O86" s="19">
        <f t="shared" si="2"/>
        <v>0</v>
      </c>
      <c r="P86" s="19">
        <f t="shared" ca="1" si="2"/>
        <v>3</v>
      </c>
      <c r="Q86" s="19">
        <f t="shared" si="2"/>
        <v>0</v>
      </c>
      <c r="R86" s="19">
        <f t="shared" si="2"/>
        <v>0</v>
      </c>
    </row>
    <row r="87" spans="2:18" ht="53.25" hidden="1" customHeight="1" outlineLevel="1" x14ac:dyDescent="0.25">
      <c r="B87" s="27" t="s">
        <v>27</v>
      </c>
      <c r="C87" s="27"/>
      <c r="D87" s="19"/>
      <c r="E87" s="31"/>
      <c r="F87" s="31"/>
      <c r="G87" s="31"/>
      <c r="H87" s="408" t="s">
        <v>222</v>
      </c>
      <c r="I87" s="409"/>
      <c r="J87" s="409"/>
      <c r="K87" s="409"/>
      <c r="L87" s="410"/>
      <c r="M87" s="19">
        <v>1</v>
      </c>
      <c r="N87" s="19">
        <v>1</v>
      </c>
      <c r="O87" s="19">
        <v>1</v>
      </c>
      <c r="P87" s="19">
        <v>1</v>
      </c>
      <c r="Q87" s="19">
        <v>1</v>
      </c>
      <c r="R87" s="19">
        <v>1</v>
      </c>
    </row>
    <row r="88" spans="2:18" ht="53.25" hidden="1" customHeight="1" outlineLevel="1" x14ac:dyDescent="0.25">
      <c r="B88" s="27" t="s">
        <v>28</v>
      </c>
      <c r="C88" s="27"/>
      <c r="D88" s="19"/>
      <c r="E88" s="31"/>
      <c r="F88" s="31"/>
      <c r="G88" s="31"/>
      <c r="H88" s="408" t="s">
        <v>223</v>
      </c>
      <c r="I88" s="409"/>
      <c r="J88" s="409"/>
      <c r="K88" s="409"/>
      <c r="L88" s="410"/>
      <c r="M88" s="19">
        <v>3</v>
      </c>
      <c r="N88" s="19">
        <v>2</v>
      </c>
      <c r="O88" s="19">
        <v>3</v>
      </c>
      <c r="P88" s="19">
        <v>3</v>
      </c>
      <c r="Q88" s="19">
        <v>3</v>
      </c>
      <c r="R88" s="19">
        <v>3</v>
      </c>
    </row>
    <row r="89" spans="2:18" ht="53.25" hidden="1" customHeight="1" outlineLevel="1" x14ac:dyDescent="0.25">
      <c r="B89" s="27" t="s">
        <v>29</v>
      </c>
      <c r="C89" s="27"/>
      <c r="D89" s="19"/>
      <c r="E89" s="31"/>
      <c r="F89" s="31"/>
      <c r="G89" s="31"/>
      <c r="H89" s="408" t="s">
        <v>221</v>
      </c>
      <c r="I89" s="409"/>
      <c r="J89" s="409"/>
      <c r="K89" s="409"/>
      <c r="L89" s="410"/>
      <c r="M89" s="19">
        <v>6</v>
      </c>
      <c r="N89" s="19">
        <v>2</v>
      </c>
      <c r="O89" s="19">
        <v>6</v>
      </c>
      <c r="P89" s="19">
        <v>5</v>
      </c>
      <c r="Q89" s="19">
        <v>6</v>
      </c>
      <c r="R89" s="19">
        <v>6</v>
      </c>
    </row>
    <row r="90" spans="2:18" ht="53.25" hidden="1" customHeight="1" outlineLevel="1" x14ac:dyDescent="0.25">
      <c r="B90" s="27" t="s">
        <v>30</v>
      </c>
      <c r="C90" s="27"/>
      <c r="D90" s="19"/>
      <c r="E90" s="31"/>
      <c r="F90" s="31"/>
      <c r="G90" s="31"/>
      <c r="H90" s="408" t="s">
        <v>224</v>
      </c>
      <c r="I90" s="409"/>
      <c r="J90" s="409"/>
      <c r="K90" s="409"/>
      <c r="L90" s="410"/>
      <c r="M90" s="19">
        <v>9</v>
      </c>
      <c r="N90" s="19">
        <v>3</v>
      </c>
      <c r="O90" s="19">
        <v>9</v>
      </c>
      <c r="P90" s="19">
        <v>8</v>
      </c>
      <c r="Q90" s="19">
        <v>9</v>
      </c>
      <c r="R90" s="19">
        <v>9</v>
      </c>
    </row>
    <row r="91" spans="2:18" ht="53.25" customHeight="1" collapsed="1" x14ac:dyDescent="0.25">
      <c r="B91" s="19">
        <v>4</v>
      </c>
      <c r="C91" s="406" t="s">
        <v>225</v>
      </c>
      <c r="D91" s="407"/>
      <c r="E91" s="422" t="s">
        <v>226</v>
      </c>
      <c r="F91" s="422"/>
      <c r="G91" s="422"/>
      <c r="H91" s="408" t="s">
        <v>230</v>
      </c>
      <c r="I91" s="409"/>
      <c r="J91" s="409"/>
      <c r="K91" s="409"/>
      <c r="L91" s="410"/>
      <c r="M91" s="19">
        <f t="shared" ref="M91:R91" ca="1" si="3">IF(D24="Да",SUMIF($H92:$L98,$H91,M92:M98),0)</f>
        <v>3</v>
      </c>
      <c r="N91" s="19">
        <f t="shared" si="3"/>
        <v>0</v>
      </c>
      <c r="O91" s="19">
        <f t="shared" si="3"/>
        <v>0</v>
      </c>
      <c r="P91" s="19">
        <f t="shared" ca="1" si="3"/>
        <v>3</v>
      </c>
      <c r="Q91" s="19">
        <f t="shared" si="3"/>
        <v>0</v>
      </c>
      <c r="R91" s="19">
        <f t="shared" si="3"/>
        <v>0</v>
      </c>
    </row>
    <row r="92" spans="2:18" ht="53.25" hidden="1" customHeight="1" outlineLevel="1" x14ac:dyDescent="0.25">
      <c r="B92" s="27">
        <v>7.22</v>
      </c>
      <c r="C92" s="27"/>
      <c r="D92" s="19"/>
      <c r="E92" s="31"/>
      <c r="F92" s="31"/>
      <c r="G92" s="31"/>
      <c r="H92" s="408" t="s">
        <v>228</v>
      </c>
      <c r="I92" s="409"/>
      <c r="J92" s="409"/>
      <c r="K92" s="409"/>
      <c r="L92" s="410"/>
      <c r="M92" s="19">
        <v>1</v>
      </c>
      <c r="N92" s="19">
        <v>1</v>
      </c>
      <c r="O92" s="19">
        <v>1</v>
      </c>
      <c r="P92" s="19">
        <v>1</v>
      </c>
      <c r="Q92" s="19">
        <v>1</v>
      </c>
      <c r="R92" s="19">
        <v>1</v>
      </c>
    </row>
    <row r="93" spans="2:18" ht="53.25" hidden="1" customHeight="1" outlineLevel="1" x14ac:dyDescent="0.25">
      <c r="B93" s="27" t="s">
        <v>229</v>
      </c>
      <c r="C93" s="27"/>
      <c r="D93" s="19"/>
      <c r="E93" s="31"/>
      <c r="F93" s="31"/>
      <c r="G93" s="31"/>
      <c r="H93" s="408" t="s">
        <v>230</v>
      </c>
      <c r="I93" s="409"/>
      <c r="J93" s="409"/>
      <c r="K93" s="409"/>
      <c r="L93" s="410"/>
      <c r="M93" s="19">
        <v>3</v>
      </c>
      <c r="N93" s="19">
        <v>2</v>
      </c>
      <c r="O93" s="19">
        <v>3</v>
      </c>
      <c r="P93" s="19">
        <v>3</v>
      </c>
      <c r="Q93" s="19">
        <v>3</v>
      </c>
      <c r="R93" s="19">
        <v>3</v>
      </c>
    </row>
    <row r="94" spans="2:18" ht="53.25" hidden="1" customHeight="1" outlineLevel="1" x14ac:dyDescent="0.25">
      <c r="B94" s="27" t="s">
        <v>231</v>
      </c>
      <c r="C94" s="27"/>
      <c r="D94" s="19"/>
      <c r="E94" s="31"/>
      <c r="F94" s="31"/>
      <c r="G94" s="31"/>
      <c r="H94" s="408" t="s">
        <v>227</v>
      </c>
      <c r="I94" s="409"/>
      <c r="J94" s="409"/>
      <c r="K94" s="409"/>
      <c r="L94" s="410"/>
      <c r="M94" s="19">
        <v>5</v>
      </c>
      <c r="N94" s="19">
        <v>2</v>
      </c>
      <c r="O94" s="19">
        <v>5</v>
      </c>
      <c r="P94" s="19">
        <v>5</v>
      </c>
      <c r="Q94" s="19">
        <v>5</v>
      </c>
      <c r="R94" s="19">
        <v>5</v>
      </c>
    </row>
    <row r="95" spans="2:18" ht="53.25" hidden="1" customHeight="1" outlineLevel="1" x14ac:dyDescent="0.25">
      <c r="B95" s="27" t="s">
        <v>232</v>
      </c>
      <c r="C95" s="27"/>
      <c r="D95" s="19"/>
      <c r="E95" s="31"/>
      <c r="F95" s="31"/>
      <c r="G95" s="31"/>
      <c r="H95" s="408" t="s">
        <v>233</v>
      </c>
      <c r="I95" s="409"/>
      <c r="J95" s="409"/>
      <c r="K95" s="409"/>
      <c r="L95" s="410"/>
      <c r="M95" s="19">
        <v>6</v>
      </c>
      <c r="N95" s="19">
        <v>3</v>
      </c>
      <c r="O95" s="19">
        <v>7</v>
      </c>
      <c r="P95" s="19">
        <v>7</v>
      </c>
      <c r="Q95" s="19">
        <v>7</v>
      </c>
      <c r="R95" s="19">
        <v>7</v>
      </c>
    </row>
    <row r="96" spans="2:18" ht="53.25" hidden="1" customHeight="1" outlineLevel="1" x14ac:dyDescent="0.25">
      <c r="B96" s="27" t="s">
        <v>234</v>
      </c>
      <c r="C96" s="27"/>
      <c r="D96" s="19"/>
      <c r="E96" s="31"/>
      <c r="F96" s="31"/>
      <c r="G96" s="31"/>
      <c r="H96" s="408" t="s">
        <v>235</v>
      </c>
      <c r="I96" s="409"/>
      <c r="J96" s="409"/>
      <c r="K96" s="409"/>
      <c r="L96" s="410"/>
      <c r="M96" s="19">
        <v>8</v>
      </c>
      <c r="N96" s="19">
        <v>4</v>
      </c>
      <c r="O96" s="19">
        <v>10</v>
      </c>
      <c r="P96" s="19">
        <v>9</v>
      </c>
      <c r="Q96" s="19">
        <v>11</v>
      </c>
      <c r="R96" s="19">
        <v>11</v>
      </c>
    </row>
    <row r="97" spans="2:18" ht="53.25" hidden="1" customHeight="1" outlineLevel="1" x14ac:dyDescent="0.25">
      <c r="B97" s="27" t="s">
        <v>236</v>
      </c>
      <c r="C97" s="27"/>
      <c r="D97" s="19"/>
      <c r="E97" s="31"/>
      <c r="F97" s="31"/>
      <c r="G97" s="31"/>
      <c r="H97" s="408" t="s">
        <v>237</v>
      </c>
      <c r="I97" s="409"/>
      <c r="J97" s="409"/>
      <c r="K97" s="409"/>
      <c r="L97" s="410"/>
      <c r="M97" s="19">
        <v>9</v>
      </c>
      <c r="N97" s="19">
        <v>4</v>
      </c>
      <c r="O97" s="19">
        <v>11</v>
      </c>
      <c r="P97" s="19">
        <v>10</v>
      </c>
      <c r="Q97" s="19">
        <v>13</v>
      </c>
      <c r="R97" s="19">
        <v>13</v>
      </c>
    </row>
    <row r="98" spans="2:18" ht="53.25" hidden="1" customHeight="1" outlineLevel="1" x14ac:dyDescent="0.25">
      <c r="B98" s="27" t="s">
        <v>238</v>
      </c>
      <c r="C98" s="27"/>
      <c r="D98" s="19"/>
      <c r="E98" s="31"/>
      <c r="F98" s="31"/>
      <c r="G98" s="31"/>
      <c r="H98" s="408" t="s">
        <v>239</v>
      </c>
      <c r="I98" s="409"/>
      <c r="J98" s="409"/>
      <c r="K98" s="409"/>
      <c r="L98" s="410"/>
      <c r="M98" s="19">
        <v>10</v>
      </c>
      <c r="N98" s="19">
        <v>5</v>
      </c>
      <c r="O98" s="19">
        <v>12</v>
      </c>
      <c r="P98" s="19">
        <v>11</v>
      </c>
      <c r="Q98" s="19">
        <v>14</v>
      </c>
      <c r="R98" s="19">
        <v>14</v>
      </c>
    </row>
    <row r="99" spans="2:18" ht="53.25" customHeight="1" collapsed="1" x14ac:dyDescent="0.25">
      <c r="B99" s="19">
        <v>5</v>
      </c>
      <c r="C99" s="406" t="s">
        <v>240</v>
      </c>
      <c r="D99" s="407"/>
      <c r="E99" s="422" t="s">
        <v>241</v>
      </c>
      <c r="F99" s="422"/>
      <c r="G99" s="422"/>
      <c r="H99" s="408" t="s">
        <v>242</v>
      </c>
      <c r="I99" s="409"/>
      <c r="J99" s="409"/>
      <c r="K99" s="409"/>
      <c r="L99" s="410"/>
      <c r="M99" s="19">
        <f t="shared" ref="M99:R99" ca="1" si="4">IF(D24="Да",SUMIF($H100:$L104,$H99,M100:M104),0)</f>
        <v>5</v>
      </c>
      <c r="N99" s="19">
        <f t="shared" si="4"/>
        <v>0</v>
      </c>
      <c r="O99" s="19">
        <f t="shared" si="4"/>
        <v>0</v>
      </c>
      <c r="P99" s="19">
        <f t="shared" ca="1" si="4"/>
        <v>7</v>
      </c>
      <c r="Q99" s="19">
        <f t="shared" si="4"/>
        <v>0</v>
      </c>
      <c r="R99" s="19">
        <f t="shared" si="4"/>
        <v>0</v>
      </c>
    </row>
    <row r="100" spans="2:18" ht="53.25" hidden="1" customHeight="1" outlineLevel="1" x14ac:dyDescent="0.25">
      <c r="B100" s="27" t="s">
        <v>243</v>
      </c>
      <c r="C100" s="27"/>
      <c r="D100" s="19"/>
      <c r="E100" s="31"/>
      <c r="F100" s="31"/>
      <c r="G100" s="31"/>
      <c r="H100" s="408" t="s">
        <v>244</v>
      </c>
      <c r="I100" s="409"/>
      <c r="J100" s="409"/>
      <c r="K100" s="409"/>
      <c r="L100" s="410"/>
      <c r="M100" s="19">
        <v>1</v>
      </c>
      <c r="N100" s="19">
        <v>1</v>
      </c>
      <c r="O100" s="19">
        <v>1</v>
      </c>
      <c r="P100" s="19">
        <v>1</v>
      </c>
      <c r="Q100" s="19">
        <v>1</v>
      </c>
      <c r="R100" s="19">
        <v>1</v>
      </c>
    </row>
    <row r="101" spans="2:18" ht="53.25" hidden="1" customHeight="1" outlineLevel="1" x14ac:dyDescent="0.25">
      <c r="B101" s="27" t="s">
        <v>245</v>
      </c>
      <c r="C101" s="27"/>
      <c r="D101" s="19"/>
      <c r="E101" s="31"/>
      <c r="F101" s="31"/>
      <c r="G101" s="31"/>
      <c r="H101" s="408" t="s">
        <v>246</v>
      </c>
      <c r="I101" s="409"/>
      <c r="J101" s="409"/>
      <c r="K101" s="409"/>
      <c r="L101" s="410"/>
      <c r="M101" s="19">
        <v>1</v>
      </c>
      <c r="N101" s="19">
        <v>1</v>
      </c>
      <c r="O101" s="19">
        <v>2</v>
      </c>
      <c r="P101" s="19">
        <v>1</v>
      </c>
      <c r="Q101" s="19">
        <v>2</v>
      </c>
      <c r="R101" s="19">
        <v>2</v>
      </c>
    </row>
    <row r="102" spans="2:18" ht="53.25" hidden="1" customHeight="1" outlineLevel="1" x14ac:dyDescent="0.25">
      <c r="B102" s="27" t="s">
        <v>247</v>
      </c>
      <c r="C102" s="27"/>
      <c r="D102" s="19"/>
      <c r="E102" s="31"/>
      <c r="F102" s="31"/>
      <c r="G102" s="31"/>
      <c r="H102" s="408" t="s">
        <v>248</v>
      </c>
      <c r="I102" s="409"/>
      <c r="J102" s="409"/>
      <c r="K102" s="409"/>
      <c r="L102" s="410"/>
      <c r="M102" s="19">
        <v>2</v>
      </c>
      <c r="N102" s="19">
        <v>2</v>
      </c>
      <c r="O102" s="19">
        <v>2</v>
      </c>
      <c r="P102" s="19">
        <v>2</v>
      </c>
      <c r="Q102" s="19">
        <v>3</v>
      </c>
      <c r="R102" s="19">
        <v>3</v>
      </c>
    </row>
    <row r="103" spans="2:18" ht="53.25" hidden="1" customHeight="1" outlineLevel="1" x14ac:dyDescent="0.25">
      <c r="B103" s="27" t="s">
        <v>249</v>
      </c>
      <c r="C103" s="27"/>
      <c r="D103" s="19"/>
      <c r="E103" s="31"/>
      <c r="F103" s="31"/>
      <c r="G103" s="31"/>
      <c r="H103" s="408" t="s">
        <v>250</v>
      </c>
      <c r="I103" s="409"/>
      <c r="J103" s="409"/>
      <c r="K103" s="409"/>
      <c r="L103" s="410"/>
      <c r="M103" s="19">
        <v>3</v>
      </c>
      <c r="N103" s="19">
        <v>2</v>
      </c>
      <c r="O103" s="19">
        <v>3</v>
      </c>
      <c r="P103" s="19">
        <v>4</v>
      </c>
      <c r="Q103" s="19">
        <v>4</v>
      </c>
      <c r="R103" s="19">
        <v>4</v>
      </c>
    </row>
    <row r="104" spans="2:18" ht="53.25" hidden="1" customHeight="1" outlineLevel="1" x14ac:dyDescent="0.25">
      <c r="B104" s="27" t="s">
        <v>251</v>
      </c>
      <c r="C104" s="27"/>
      <c r="D104" s="19"/>
      <c r="E104" s="31"/>
      <c r="F104" s="31"/>
      <c r="G104" s="31"/>
      <c r="H104" s="408" t="s">
        <v>242</v>
      </c>
      <c r="I104" s="409"/>
      <c r="J104" s="409"/>
      <c r="K104" s="409"/>
      <c r="L104" s="410"/>
      <c r="M104" s="19">
        <v>5</v>
      </c>
      <c r="N104" s="19">
        <v>3</v>
      </c>
      <c r="O104" s="19">
        <v>5</v>
      </c>
      <c r="P104" s="19">
        <v>7</v>
      </c>
      <c r="Q104" s="19">
        <v>7</v>
      </c>
      <c r="R104" s="19">
        <v>7</v>
      </c>
    </row>
    <row r="105" spans="2:18" ht="53.25" customHeight="1" collapsed="1" x14ac:dyDescent="0.25">
      <c r="B105" s="19">
        <v>6</v>
      </c>
      <c r="C105" s="406" t="s">
        <v>252</v>
      </c>
      <c r="D105" s="407"/>
      <c r="E105" s="422" t="s">
        <v>253</v>
      </c>
      <c r="F105" s="422"/>
      <c r="G105" s="422"/>
      <c r="H105" s="408" t="s">
        <v>190</v>
      </c>
      <c r="I105" s="409"/>
      <c r="J105" s="409"/>
      <c r="K105" s="409"/>
      <c r="L105" s="410"/>
      <c r="M105" s="19">
        <f t="shared" ref="M105:R105" ca="1" si="5">IF(D24="Да",SUMIF($H106:$L119,$H105,M106:M119),0)</f>
        <v>3</v>
      </c>
      <c r="N105" s="19">
        <f t="shared" si="5"/>
        <v>0</v>
      </c>
      <c r="O105" s="19">
        <f t="shared" si="5"/>
        <v>0</v>
      </c>
      <c r="P105" s="19">
        <f t="shared" ca="1" si="5"/>
        <v>4</v>
      </c>
      <c r="Q105" s="19">
        <f t="shared" si="5"/>
        <v>0</v>
      </c>
      <c r="R105" s="19">
        <f t="shared" si="5"/>
        <v>0</v>
      </c>
    </row>
    <row r="106" spans="2:18" ht="53.25" hidden="1" customHeight="1" outlineLevel="1" x14ac:dyDescent="0.25">
      <c r="B106" s="27" t="s">
        <v>254</v>
      </c>
      <c r="C106" s="27"/>
      <c r="D106" s="19"/>
      <c r="E106" s="31"/>
      <c r="F106" s="31"/>
      <c r="G106" s="31"/>
      <c r="H106" s="408" t="s">
        <v>184</v>
      </c>
      <c r="I106" s="409"/>
      <c r="J106" s="409"/>
      <c r="K106" s="409"/>
      <c r="L106" s="410"/>
      <c r="M106" s="19">
        <v>1</v>
      </c>
      <c r="N106" s="19">
        <v>1</v>
      </c>
      <c r="O106" s="19">
        <v>1</v>
      </c>
      <c r="P106" s="19">
        <v>1</v>
      </c>
      <c r="Q106" s="19">
        <v>1</v>
      </c>
      <c r="R106" s="19">
        <v>1</v>
      </c>
    </row>
    <row r="107" spans="2:18" ht="53.25" hidden="1" customHeight="1" outlineLevel="1" x14ac:dyDescent="0.25">
      <c r="B107" s="27" t="s">
        <v>255</v>
      </c>
      <c r="C107" s="27"/>
      <c r="D107" s="19"/>
      <c r="E107" s="31"/>
      <c r="F107" s="31"/>
      <c r="G107" s="31"/>
      <c r="H107" s="408" t="s">
        <v>186</v>
      </c>
      <c r="I107" s="409"/>
      <c r="J107" s="409"/>
      <c r="K107" s="409"/>
      <c r="L107" s="410"/>
      <c r="M107" s="19">
        <v>2</v>
      </c>
      <c r="N107" s="19">
        <v>1</v>
      </c>
      <c r="O107" s="19">
        <v>2</v>
      </c>
      <c r="P107" s="19">
        <v>2</v>
      </c>
      <c r="Q107" s="19">
        <v>2</v>
      </c>
      <c r="R107" s="19">
        <v>2</v>
      </c>
    </row>
    <row r="108" spans="2:18" ht="53.25" hidden="1" customHeight="1" outlineLevel="1" x14ac:dyDescent="0.25">
      <c r="B108" s="27" t="s">
        <v>256</v>
      </c>
      <c r="C108" s="27"/>
      <c r="D108" s="19"/>
      <c r="E108" s="31"/>
      <c r="F108" s="31"/>
      <c r="G108" s="31"/>
      <c r="H108" s="408" t="s">
        <v>188</v>
      </c>
      <c r="I108" s="409"/>
      <c r="J108" s="409"/>
      <c r="K108" s="409"/>
      <c r="L108" s="410"/>
      <c r="M108" s="19">
        <v>2</v>
      </c>
      <c r="N108" s="19">
        <v>2</v>
      </c>
      <c r="O108" s="19">
        <v>3</v>
      </c>
      <c r="P108" s="19">
        <v>3</v>
      </c>
      <c r="Q108" s="19">
        <v>3</v>
      </c>
      <c r="R108" s="19">
        <v>3</v>
      </c>
    </row>
    <row r="109" spans="2:18" ht="53.25" hidden="1" customHeight="1" outlineLevel="1" x14ac:dyDescent="0.25">
      <c r="B109" s="27" t="s">
        <v>257</v>
      </c>
      <c r="C109" s="27"/>
      <c r="D109" s="19"/>
      <c r="E109" s="31"/>
      <c r="F109" s="31"/>
      <c r="G109" s="31"/>
      <c r="H109" s="408" t="s">
        <v>190</v>
      </c>
      <c r="I109" s="409"/>
      <c r="J109" s="409"/>
      <c r="K109" s="409"/>
      <c r="L109" s="410"/>
      <c r="M109" s="19">
        <v>3</v>
      </c>
      <c r="N109" s="19">
        <v>2</v>
      </c>
      <c r="O109" s="19">
        <v>4</v>
      </c>
      <c r="P109" s="19">
        <v>4</v>
      </c>
      <c r="Q109" s="19">
        <v>4</v>
      </c>
      <c r="R109" s="19">
        <v>4</v>
      </c>
    </row>
    <row r="110" spans="2:18" ht="53.25" hidden="1" customHeight="1" outlineLevel="1" x14ac:dyDescent="0.25">
      <c r="B110" s="27" t="s">
        <v>258</v>
      </c>
      <c r="C110" s="27"/>
      <c r="D110" s="19"/>
      <c r="E110" s="31"/>
      <c r="F110" s="31"/>
      <c r="G110" s="31"/>
      <c r="H110" s="408" t="s">
        <v>192</v>
      </c>
      <c r="I110" s="409"/>
      <c r="J110" s="409"/>
      <c r="K110" s="409"/>
      <c r="L110" s="410"/>
      <c r="M110" s="19">
        <v>3</v>
      </c>
      <c r="N110" s="19">
        <v>3</v>
      </c>
      <c r="O110" s="19">
        <v>5</v>
      </c>
      <c r="P110" s="19">
        <v>5</v>
      </c>
      <c r="Q110" s="19">
        <v>5</v>
      </c>
      <c r="R110" s="19">
        <v>5</v>
      </c>
    </row>
    <row r="111" spans="2:18" ht="53.25" hidden="1" customHeight="1" outlineLevel="1" x14ac:dyDescent="0.25">
      <c r="B111" s="27" t="s">
        <v>259</v>
      </c>
      <c r="C111" s="27"/>
      <c r="D111" s="19"/>
      <c r="E111" s="31"/>
      <c r="F111" s="31"/>
      <c r="G111" s="31"/>
      <c r="H111" s="408" t="s">
        <v>194</v>
      </c>
      <c r="I111" s="409"/>
      <c r="J111" s="409"/>
      <c r="K111" s="409"/>
      <c r="L111" s="410"/>
      <c r="M111" s="19">
        <v>4</v>
      </c>
      <c r="N111" s="19">
        <v>3</v>
      </c>
      <c r="O111" s="19">
        <v>6</v>
      </c>
      <c r="P111" s="19">
        <v>6</v>
      </c>
      <c r="Q111" s="19">
        <v>6</v>
      </c>
      <c r="R111" s="19">
        <v>6</v>
      </c>
    </row>
    <row r="112" spans="2:18" ht="53.25" hidden="1" customHeight="1" outlineLevel="1" x14ac:dyDescent="0.25">
      <c r="B112" s="27" t="s">
        <v>260</v>
      </c>
      <c r="C112" s="27"/>
      <c r="D112" s="19"/>
      <c r="E112" s="31"/>
      <c r="F112" s="31"/>
      <c r="G112" s="31"/>
      <c r="H112" s="408" t="s">
        <v>196</v>
      </c>
      <c r="I112" s="409"/>
      <c r="J112" s="409"/>
      <c r="K112" s="409"/>
      <c r="L112" s="410"/>
      <c r="M112" s="19">
        <v>4</v>
      </c>
      <c r="N112" s="19">
        <v>4</v>
      </c>
      <c r="O112" s="19">
        <v>7</v>
      </c>
      <c r="P112" s="19">
        <v>7</v>
      </c>
      <c r="Q112" s="19">
        <v>7</v>
      </c>
      <c r="R112" s="19">
        <v>7</v>
      </c>
    </row>
    <row r="113" spans="2:18" ht="53.25" hidden="1" customHeight="1" outlineLevel="1" x14ac:dyDescent="0.25">
      <c r="B113" s="27" t="s">
        <v>261</v>
      </c>
      <c r="C113" s="27"/>
      <c r="D113" s="19"/>
      <c r="E113" s="31"/>
      <c r="F113" s="31"/>
      <c r="G113" s="31"/>
      <c r="H113" s="408" t="s">
        <v>182</v>
      </c>
      <c r="I113" s="409"/>
      <c r="J113" s="409"/>
      <c r="K113" s="409"/>
      <c r="L113" s="410"/>
      <c r="M113" s="19">
        <v>5</v>
      </c>
      <c r="N113" s="19">
        <v>4</v>
      </c>
      <c r="O113" s="19">
        <v>8</v>
      </c>
      <c r="P113" s="19">
        <v>8</v>
      </c>
      <c r="Q113" s="19">
        <v>8</v>
      </c>
      <c r="R113" s="19">
        <v>8</v>
      </c>
    </row>
    <row r="114" spans="2:18" ht="53.25" hidden="1" customHeight="1" outlineLevel="1" x14ac:dyDescent="0.25">
      <c r="B114" s="27" t="s">
        <v>262</v>
      </c>
      <c r="C114" s="27"/>
      <c r="D114" s="19"/>
      <c r="E114" s="31"/>
      <c r="F114" s="31"/>
      <c r="G114" s="31"/>
      <c r="H114" s="408" t="s">
        <v>199</v>
      </c>
      <c r="I114" s="409"/>
      <c r="J114" s="409"/>
      <c r="K114" s="409"/>
      <c r="L114" s="410"/>
      <c r="M114" s="19">
        <v>5</v>
      </c>
      <c r="N114" s="19">
        <v>5</v>
      </c>
      <c r="O114" s="19">
        <v>9</v>
      </c>
      <c r="P114" s="19">
        <v>9</v>
      </c>
      <c r="Q114" s="19">
        <v>9</v>
      </c>
      <c r="R114" s="19">
        <v>9</v>
      </c>
    </row>
    <row r="115" spans="2:18" ht="53.25" hidden="1" customHeight="1" outlineLevel="1" x14ac:dyDescent="0.25">
      <c r="B115" s="27" t="s">
        <v>263</v>
      </c>
      <c r="C115" s="27"/>
      <c r="D115" s="19"/>
      <c r="E115" s="31"/>
      <c r="F115" s="31"/>
      <c r="G115" s="31"/>
      <c r="H115" s="408" t="s">
        <v>201</v>
      </c>
      <c r="I115" s="409"/>
      <c r="J115" s="409"/>
      <c r="K115" s="409"/>
      <c r="L115" s="410"/>
      <c r="M115" s="19">
        <v>6</v>
      </c>
      <c r="N115" s="19">
        <v>5</v>
      </c>
      <c r="O115" s="19">
        <v>10</v>
      </c>
      <c r="P115" s="19">
        <v>10</v>
      </c>
      <c r="Q115" s="19">
        <v>10</v>
      </c>
      <c r="R115" s="19">
        <v>10</v>
      </c>
    </row>
    <row r="116" spans="2:18" ht="53.25" hidden="1" customHeight="1" outlineLevel="1" x14ac:dyDescent="0.25">
      <c r="B116" s="27" t="s">
        <v>264</v>
      </c>
      <c r="C116" s="27"/>
      <c r="D116" s="19"/>
      <c r="E116" s="31"/>
      <c r="F116" s="31"/>
      <c r="G116" s="31"/>
      <c r="H116" s="408" t="s">
        <v>203</v>
      </c>
      <c r="I116" s="409"/>
      <c r="J116" s="409"/>
      <c r="K116" s="409"/>
      <c r="L116" s="410"/>
      <c r="M116" s="19">
        <v>7</v>
      </c>
      <c r="N116" s="19">
        <v>6</v>
      </c>
      <c r="O116" s="19">
        <v>11</v>
      </c>
      <c r="P116" s="19">
        <v>11</v>
      </c>
      <c r="Q116" s="19">
        <v>11</v>
      </c>
      <c r="R116" s="19">
        <v>11</v>
      </c>
    </row>
    <row r="117" spans="2:18" ht="53.25" hidden="1" customHeight="1" outlineLevel="1" x14ac:dyDescent="0.25">
      <c r="B117" s="27" t="s">
        <v>265</v>
      </c>
      <c r="C117" s="27"/>
      <c r="D117" s="19"/>
      <c r="E117" s="31"/>
      <c r="F117" s="31"/>
      <c r="G117" s="31"/>
      <c r="H117" s="408" t="s">
        <v>205</v>
      </c>
      <c r="I117" s="409"/>
      <c r="J117" s="409"/>
      <c r="K117" s="409"/>
      <c r="L117" s="410"/>
      <c r="M117" s="19">
        <v>8</v>
      </c>
      <c r="N117" s="19">
        <v>6</v>
      </c>
      <c r="O117" s="19">
        <v>12</v>
      </c>
      <c r="P117" s="19">
        <v>12</v>
      </c>
      <c r="Q117" s="19">
        <v>12</v>
      </c>
      <c r="R117" s="19">
        <v>12</v>
      </c>
    </row>
    <row r="118" spans="2:18" ht="53.25" hidden="1" customHeight="1" outlineLevel="1" x14ac:dyDescent="0.25">
      <c r="B118" s="27" t="s">
        <v>266</v>
      </c>
      <c r="C118" s="27"/>
      <c r="D118" s="19"/>
      <c r="E118" s="31"/>
      <c r="F118" s="31"/>
      <c r="G118" s="31"/>
      <c r="H118" s="408" t="s">
        <v>207</v>
      </c>
      <c r="I118" s="409"/>
      <c r="J118" s="409"/>
      <c r="K118" s="409"/>
      <c r="L118" s="410"/>
      <c r="M118" s="19">
        <v>9</v>
      </c>
      <c r="N118" s="19">
        <v>7</v>
      </c>
      <c r="O118" s="19">
        <v>13</v>
      </c>
      <c r="P118" s="19">
        <v>13</v>
      </c>
      <c r="Q118" s="19">
        <v>13</v>
      </c>
      <c r="R118" s="19">
        <v>13</v>
      </c>
    </row>
    <row r="119" spans="2:18" ht="53.25" hidden="1" customHeight="1" outlineLevel="1" x14ac:dyDescent="0.25">
      <c r="B119" s="27" t="s">
        <v>267</v>
      </c>
      <c r="C119" s="27"/>
      <c r="D119" s="19"/>
      <c r="E119" s="31"/>
      <c r="F119" s="31"/>
      <c r="G119" s="31"/>
      <c r="H119" s="408" t="s">
        <v>209</v>
      </c>
      <c r="I119" s="409"/>
      <c r="J119" s="409"/>
      <c r="K119" s="409"/>
      <c r="L119" s="410"/>
      <c r="M119" s="19">
        <v>1</v>
      </c>
      <c r="N119" s="19">
        <v>1</v>
      </c>
      <c r="O119" s="19">
        <v>1</v>
      </c>
      <c r="P119" s="19">
        <v>1</v>
      </c>
      <c r="Q119" s="19">
        <v>1</v>
      </c>
      <c r="R119" s="19">
        <v>1</v>
      </c>
    </row>
    <row r="120" spans="2:18" ht="53.25" customHeight="1" collapsed="1" x14ac:dyDescent="0.25">
      <c r="B120" s="19">
        <v>7</v>
      </c>
      <c r="C120" s="406" t="s">
        <v>268</v>
      </c>
      <c r="D120" s="407"/>
      <c r="E120" s="422" t="s">
        <v>269</v>
      </c>
      <c r="F120" s="422"/>
      <c r="G120" s="422"/>
      <c r="H120" s="408" t="s">
        <v>278</v>
      </c>
      <c r="I120" s="409"/>
      <c r="J120" s="409"/>
      <c r="K120" s="409"/>
      <c r="L120" s="410"/>
      <c r="M120" s="19">
        <f t="shared" ref="M120:R120" ca="1" si="6">IF(D24="Да",SUMIF($H121:$L134,$H120,M121:M134),0)</f>
        <v>6</v>
      </c>
      <c r="N120" s="19">
        <f t="shared" si="6"/>
        <v>0</v>
      </c>
      <c r="O120" s="19">
        <f t="shared" si="6"/>
        <v>0</v>
      </c>
      <c r="P120" s="19">
        <f t="shared" ca="1" si="6"/>
        <v>9</v>
      </c>
      <c r="Q120" s="19">
        <f t="shared" si="6"/>
        <v>0</v>
      </c>
      <c r="R120" s="19">
        <f t="shared" si="6"/>
        <v>0</v>
      </c>
    </row>
    <row r="121" spans="2:18" ht="53.25" hidden="1" customHeight="1" outlineLevel="1" x14ac:dyDescent="0.25">
      <c r="B121" s="27">
        <v>7.22</v>
      </c>
      <c r="C121" s="28"/>
      <c r="D121" s="29"/>
      <c r="E121" s="32"/>
      <c r="F121" s="32"/>
      <c r="G121" s="32"/>
      <c r="H121" s="408" t="s">
        <v>173</v>
      </c>
      <c r="I121" s="409"/>
      <c r="J121" s="409"/>
      <c r="K121" s="409"/>
      <c r="L121" s="410"/>
      <c r="M121" s="19">
        <v>1</v>
      </c>
      <c r="N121" s="19">
        <v>1</v>
      </c>
      <c r="O121" s="19">
        <v>1</v>
      </c>
      <c r="P121" s="19">
        <v>1</v>
      </c>
      <c r="Q121" s="19">
        <v>1</v>
      </c>
      <c r="R121" s="19">
        <v>1</v>
      </c>
    </row>
    <row r="122" spans="2:18" ht="53.25" hidden="1" customHeight="1" outlineLevel="1" x14ac:dyDescent="0.25">
      <c r="B122" s="27" t="s">
        <v>229</v>
      </c>
      <c r="C122" s="28"/>
      <c r="D122" s="29"/>
      <c r="E122" s="32"/>
      <c r="F122" s="32"/>
      <c r="G122" s="32"/>
      <c r="H122" s="408" t="s">
        <v>174</v>
      </c>
      <c r="I122" s="409"/>
      <c r="J122" s="409"/>
      <c r="K122" s="409"/>
      <c r="L122" s="410"/>
      <c r="M122" s="19">
        <v>2</v>
      </c>
      <c r="N122" s="19">
        <v>1</v>
      </c>
      <c r="O122" s="19">
        <v>2</v>
      </c>
      <c r="P122" s="19">
        <v>2</v>
      </c>
      <c r="Q122" s="19">
        <v>2</v>
      </c>
      <c r="R122" s="19">
        <v>2</v>
      </c>
    </row>
    <row r="123" spans="2:18" ht="53.25" hidden="1" customHeight="1" outlineLevel="1" x14ac:dyDescent="0.25">
      <c r="B123" s="27" t="s">
        <v>231</v>
      </c>
      <c r="C123" s="28"/>
      <c r="D123" s="29"/>
      <c r="E123" s="32"/>
      <c r="F123" s="32"/>
      <c r="G123" s="32"/>
      <c r="H123" s="408" t="s">
        <v>172</v>
      </c>
      <c r="I123" s="409"/>
      <c r="J123" s="409"/>
      <c r="K123" s="409"/>
      <c r="L123" s="410"/>
      <c r="M123" s="19">
        <v>3</v>
      </c>
      <c r="N123" s="19">
        <v>2</v>
      </c>
      <c r="O123" s="19">
        <v>3</v>
      </c>
      <c r="P123" s="19">
        <v>3</v>
      </c>
      <c r="Q123" s="19">
        <v>3</v>
      </c>
      <c r="R123" s="19">
        <v>3</v>
      </c>
    </row>
    <row r="124" spans="2:18" ht="53.25" hidden="1" customHeight="1" outlineLevel="1" x14ac:dyDescent="0.25">
      <c r="B124" s="27" t="s">
        <v>232</v>
      </c>
      <c r="C124" s="28"/>
      <c r="D124" s="29"/>
      <c r="E124" s="32"/>
      <c r="F124" s="32"/>
      <c r="G124" s="32"/>
      <c r="H124" s="408" t="s">
        <v>271</v>
      </c>
      <c r="I124" s="409"/>
      <c r="J124" s="409"/>
      <c r="K124" s="409"/>
      <c r="L124" s="410"/>
      <c r="M124" s="19">
        <v>3</v>
      </c>
      <c r="N124" s="19">
        <v>2</v>
      </c>
      <c r="O124" s="19">
        <v>4</v>
      </c>
      <c r="P124" s="19">
        <v>4</v>
      </c>
      <c r="Q124" s="19">
        <v>4</v>
      </c>
      <c r="R124" s="19">
        <v>4</v>
      </c>
    </row>
    <row r="125" spans="2:18" ht="53.25" hidden="1" customHeight="1" outlineLevel="1" x14ac:dyDescent="0.25">
      <c r="B125" s="27" t="s">
        <v>234</v>
      </c>
      <c r="C125" s="28"/>
      <c r="D125" s="29"/>
      <c r="E125" s="32"/>
      <c r="F125" s="32"/>
      <c r="G125" s="32"/>
      <c r="H125" s="408" t="s">
        <v>272</v>
      </c>
      <c r="I125" s="409"/>
      <c r="J125" s="409"/>
      <c r="K125" s="409"/>
      <c r="L125" s="410"/>
      <c r="M125" s="19">
        <v>4</v>
      </c>
      <c r="N125" s="19">
        <v>3</v>
      </c>
      <c r="O125" s="19">
        <v>5</v>
      </c>
      <c r="P125" s="19">
        <v>5</v>
      </c>
      <c r="Q125" s="19">
        <v>5</v>
      </c>
      <c r="R125" s="19">
        <v>5</v>
      </c>
    </row>
    <row r="126" spans="2:18" ht="53.25" hidden="1" customHeight="1" outlineLevel="1" x14ac:dyDescent="0.25">
      <c r="B126" s="27" t="s">
        <v>236</v>
      </c>
      <c r="C126" s="28"/>
      <c r="D126" s="29"/>
      <c r="E126" s="32"/>
      <c r="F126" s="32"/>
      <c r="G126" s="32"/>
      <c r="H126" s="408" t="s">
        <v>273</v>
      </c>
      <c r="I126" s="409"/>
      <c r="J126" s="409"/>
      <c r="K126" s="409"/>
      <c r="L126" s="410"/>
      <c r="M126" s="19">
        <v>4</v>
      </c>
      <c r="N126" s="19">
        <v>3</v>
      </c>
      <c r="O126" s="19">
        <v>6</v>
      </c>
      <c r="P126" s="19">
        <v>6</v>
      </c>
      <c r="Q126" s="19">
        <v>6</v>
      </c>
      <c r="R126" s="19">
        <v>6</v>
      </c>
    </row>
    <row r="127" spans="2:18" ht="53.25" hidden="1" customHeight="1" outlineLevel="1" x14ac:dyDescent="0.25">
      <c r="B127" s="27" t="s">
        <v>238</v>
      </c>
      <c r="C127" s="28"/>
      <c r="D127" s="29"/>
      <c r="E127" s="32"/>
      <c r="F127" s="32"/>
      <c r="G127" s="32"/>
      <c r="H127" s="408" t="s">
        <v>274</v>
      </c>
      <c r="I127" s="409"/>
      <c r="J127" s="409"/>
      <c r="K127" s="409"/>
      <c r="L127" s="410"/>
      <c r="M127" s="19">
        <v>5</v>
      </c>
      <c r="N127" s="19">
        <v>4</v>
      </c>
      <c r="O127" s="19">
        <v>7</v>
      </c>
      <c r="P127" s="19">
        <v>7</v>
      </c>
      <c r="Q127" s="19">
        <v>7</v>
      </c>
      <c r="R127" s="19">
        <v>7</v>
      </c>
    </row>
    <row r="128" spans="2:18" ht="53.25" hidden="1" customHeight="1" outlineLevel="1" x14ac:dyDescent="0.25">
      <c r="B128" s="27" t="s">
        <v>275</v>
      </c>
      <c r="C128" s="28"/>
      <c r="D128" s="29"/>
      <c r="E128" s="32"/>
      <c r="F128" s="32"/>
      <c r="G128" s="32"/>
      <c r="H128" s="408" t="s">
        <v>276</v>
      </c>
      <c r="I128" s="409"/>
      <c r="J128" s="409"/>
      <c r="K128" s="409"/>
      <c r="L128" s="410"/>
      <c r="M128" s="19">
        <v>5</v>
      </c>
      <c r="N128" s="19">
        <v>4</v>
      </c>
      <c r="O128" s="19">
        <v>8</v>
      </c>
      <c r="P128" s="19">
        <v>8</v>
      </c>
      <c r="Q128" s="19">
        <v>8</v>
      </c>
      <c r="R128" s="19">
        <v>8</v>
      </c>
    </row>
    <row r="129" spans="2:23" ht="53.25" hidden="1" customHeight="1" outlineLevel="1" x14ac:dyDescent="0.25">
      <c r="B129" s="27" t="s">
        <v>277</v>
      </c>
      <c r="C129" s="28"/>
      <c r="D129" s="29"/>
      <c r="E129" s="32"/>
      <c r="F129" s="32"/>
      <c r="G129" s="32"/>
      <c r="H129" s="408" t="s">
        <v>278</v>
      </c>
      <c r="I129" s="409"/>
      <c r="J129" s="409"/>
      <c r="K129" s="409"/>
      <c r="L129" s="410"/>
      <c r="M129" s="19">
        <v>6</v>
      </c>
      <c r="N129" s="19">
        <v>5</v>
      </c>
      <c r="O129" s="19">
        <v>9</v>
      </c>
      <c r="P129" s="19">
        <v>9</v>
      </c>
      <c r="Q129" s="19">
        <v>9</v>
      </c>
      <c r="R129" s="19">
        <v>9</v>
      </c>
    </row>
    <row r="130" spans="2:23" ht="53.25" hidden="1" customHeight="1" outlineLevel="1" x14ac:dyDescent="0.25">
      <c r="B130" s="27">
        <v>7.22</v>
      </c>
      <c r="C130" s="28"/>
      <c r="D130" s="29"/>
      <c r="E130" s="32"/>
      <c r="F130" s="32"/>
      <c r="G130" s="32"/>
      <c r="H130" s="408" t="s">
        <v>279</v>
      </c>
      <c r="I130" s="409"/>
      <c r="J130" s="409"/>
      <c r="K130" s="409"/>
      <c r="L130" s="410"/>
      <c r="M130" s="19">
        <v>7</v>
      </c>
      <c r="N130" s="19">
        <v>5</v>
      </c>
      <c r="O130" s="19">
        <v>10</v>
      </c>
      <c r="P130" s="19">
        <v>10</v>
      </c>
      <c r="Q130" s="19">
        <v>10</v>
      </c>
      <c r="R130" s="19">
        <v>10</v>
      </c>
    </row>
    <row r="131" spans="2:23" ht="53.25" hidden="1" customHeight="1" outlineLevel="1" x14ac:dyDescent="0.25">
      <c r="B131" s="27">
        <v>7.2210000000000001</v>
      </c>
      <c r="C131" s="28"/>
      <c r="D131" s="29"/>
      <c r="E131" s="32"/>
      <c r="F131" s="32"/>
      <c r="G131" s="32"/>
      <c r="H131" s="408" t="s">
        <v>280</v>
      </c>
      <c r="I131" s="409"/>
      <c r="J131" s="409"/>
      <c r="K131" s="409"/>
      <c r="L131" s="410"/>
      <c r="M131" s="19">
        <v>8</v>
      </c>
      <c r="N131" s="19">
        <v>6</v>
      </c>
      <c r="O131" s="19">
        <v>11</v>
      </c>
      <c r="P131" s="19">
        <v>11</v>
      </c>
      <c r="Q131" s="19">
        <v>11</v>
      </c>
      <c r="R131" s="19">
        <v>11</v>
      </c>
    </row>
    <row r="132" spans="2:23" ht="53.25" hidden="1" customHeight="1" outlineLevel="1" x14ac:dyDescent="0.25">
      <c r="B132" s="27">
        <v>7.2220000000000004</v>
      </c>
      <c r="C132" s="28"/>
      <c r="D132" s="29"/>
      <c r="E132" s="32"/>
      <c r="F132" s="32"/>
      <c r="G132" s="32"/>
      <c r="H132" s="408" t="s">
        <v>270</v>
      </c>
      <c r="I132" s="409"/>
      <c r="J132" s="409"/>
      <c r="K132" s="409"/>
      <c r="L132" s="410"/>
      <c r="M132" s="19">
        <v>9</v>
      </c>
      <c r="N132" s="19">
        <v>6</v>
      </c>
      <c r="O132" s="19">
        <v>12</v>
      </c>
      <c r="P132" s="19">
        <v>12</v>
      </c>
      <c r="Q132" s="19">
        <v>12</v>
      </c>
      <c r="R132" s="19">
        <v>12</v>
      </c>
    </row>
    <row r="133" spans="2:23" ht="53.25" hidden="1" customHeight="1" outlineLevel="1" x14ac:dyDescent="0.25">
      <c r="B133" s="27">
        <v>7.2229999999999999</v>
      </c>
      <c r="C133" s="28"/>
      <c r="D133" s="29"/>
      <c r="E133" s="32"/>
      <c r="F133" s="32"/>
      <c r="G133" s="32"/>
      <c r="H133" s="408" t="s">
        <v>281</v>
      </c>
      <c r="I133" s="409"/>
      <c r="J133" s="409"/>
      <c r="K133" s="409"/>
      <c r="L133" s="410"/>
      <c r="M133" s="19">
        <v>10</v>
      </c>
      <c r="N133" s="19">
        <v>7</v>
      </c>
      <c r="O133" s="19">
        <v>13</v>
      </c>
      <c r="P133" s="19">
        <v>13</v>
      </c>
      <c r="Q133" s="19">
        <v>13</v>
      </c>
      <c r="R133" s="19">
        <v>13</v>
      </c>
    </row>
    <row r="134" spans="2:23" ht="53.25" hidden="1" customHeight="1" outlineLevel="1" x14ac:dyDescent="0.25">
      <c r="B134" s="27">
        <v>7.2240000000000002</v>
      </c>
      <c r="C134" s="28"/>
      <c r="D134" s="29"/>
      <c r="E134" s="32"/>
      <c r="F134" s="32"/>
      <c r="G134" s="32"/>
      <c r="H134" s="408" t="s">
        <v>282</v>
      </c>
      <c r="I134" s="409"/>
      <c r="J134" s="409"/>
      <c r="K134" s="409"/>
      <c r="L134" s="410"/>
      <c r="M134" s="19">
        <v>1</v>
      </c>
      <c r="N134" s="19">
        <v>1</v>
      </c>
      <c r="O134" s="19">
        <v>1</v>
      </c>
      <c r="P134" s="19">
        <v>1</v>
      </c>
      <c r="Q134" s="19">
        <v>1</v>
      </c>
      <c r="R134" s="19">
        <v>1</v>
      </c>
    </row>
    <row r="135" spans="2:23" ht="26.25" customHeight="1" collapsed="1" x14ac:dyDescent="0.25">
      <c r="B135" s="19">
        <v>8</v>
      </c>
      <c r="C135" s="29"/>
      <c r="D135" s="29"/>
      <c r="E135" s="12"/>
      <c r="F135" s="12"/>
      <c r="G135" s="12"/>
      <c r="H135" s="12"/>
      <c r="I135" s="12"/>
      <c r="J135" s="12"/>
      <c r="K135" s="12"/>
      <c r="L135" s="30" t="s">
        <v>210</v>
      </c>
      <c r="M135" s="19">
        <f ca="1">M71+M78+M86+M91+M99+M105+M120</f>
        <v>25</v>
      </c>
      <c r="N135" s="19">
        <f t="shared" ref="N135:R135" si="7">N71+N78+N86+N91+N99+N105+N120</f>
        <v>0</v>
      </c>
      <c r="O135" s="19">
        <f>O71+O78+O86+O91+O99+O105+O120</f>
        <v>0</v>
      </c>
      <c r="P135" s="19">
        <f t="shared" ca="1" si="7"/>
        <v>31</v>
      </c>
      <c r="Q135" s="19">
        <f t="shared" si="7"/>
        <v>0</v>
      </c>
      <c r="R135" s="19">
        <f t="shared" si="7"/>
        <v>0</v>
      </c>
    </row>
    <row r="136" spans="2:23" ht="26.25" customHeight="1" x14ac:dyDescent="0.25">
      <c r="B136" s="402" t="s">
        <v>283</v>
      </c>
      <c r="C136" s="403"/>
      <c r="D136" s="403"/>
      <c r="E136" s="403"/>
      <c r="F136" s="403"/>
      <c r="G136" s="403"/>
      <c r="H136" s="403"/>
      <c r="I136" s="403"/>
      <c r="J136" s="403"/>
      <c r="K136" s="403"/>
      <c r="L136" s="403"/>
      <c r="M136" s="403"/>
      <c r="N136" s="403"/>
      <c r="O136" s="403"/>
      <c r="P136" s="403"/>
      <c r="Q136" s="403"/>
      <c r="R136" s="412"/>
    </row>
    <row r="137" spans="2:23" ht="26.25" customHeight="1" x14ac:dyDescent="0.25">
      <c r="B137" s="413" t="s">
        <v>42</v>
      </c>
      <c r="C137" s="417" t="s">
        <v>284</v>
      </c>
      <c r="D137" s="419"/>
      <c r="E137" s="419"/>
      <c r="F137" s="419"/>
      <c r="G137" s="419"/>
      <c r="H137" s="419"/>
      <c r="I137" s="418"/>
      <c r="J137" s="413" t="s">
        <v>285</v>
      </c>
      <c r="K137" s="413"/>
      <c r="L137" s="413"/>
      <c r="M137" s="413"/>
      <c r="N137" s="413"/>
      <c r="O137" s="413"/>
      <c r="P137" s="413"/>
      <c r="Q137" s="413"/>
      <c r="R137" s="413"/>
    </row>
    <row r="138" spans="2:23" ht="22.5" customHeight="1" x14ac:dyDescent="0.25">
      <c r="B138" s="413"/>
      <c r="C138" s="20" t="s">
        <v>147</v>
      </c>
      <c r="D138" s="20" t="s">
        <v>134</v>
      </c>
      <c r="E138" s="20" t="s">
        <v>135</v>
      </c>
      <c r="F138" s="20" t="s">
        <v>136</v>
      </c>
      <c r="G138" s="20" t="s">
        <v>137</v>
      </c>
      <c r="H138" s="20" t="s">
        <v>138</v>
      </c>
      <c r="I138" s="20" t="s">
        <v>139</v>
      </c>
      <c r="J138" s="20" t="s">
        <v>286</v>
      </c>
      <c r="K138" s="20" t="s">
        <v>287</v>
      </c>
      <c r="L138" s="413" t="s">
        <v>288</v>
      </c>
      <c r="M138" s="413"/>
      <c r="N138" s="413"/>
      <c r="O138" s="413"/>
      <c r="P138" s="413"/>
      <c r="Q138" s="20" t="s">
        <v>289</v>
      </c>
      <c r="R138" s="20" t="s">
        <v>290</v>
      </c>
      <c r="U138" s="8" t="s">
        <v>291</v>
      </c>
    </row>
    <row r="139" spans="2:23" s="35" customFormat="1" ht="39.75" customHeight="1" x14ac:dyDescent="0.2">
      <c r="B139" s="19">
        <v>1</v>
      </c>
      <c r="C139" s="19">
        <f>IF($R139="Да",$Q139,1)</f>
        <v>0.6</v>
      </c>
      <c r="D139" s="19">
        <f>IF($R139="Да",$Q139,1)</f>
        <v>0.6</v>
      </c>
      <c r="E139" s="19">
        <f t="shared" ref="C139:I152" si="8">IF($R139="Да",$Q139,1)</f>
        <v>0.6</v>
      </c>
      <c r="F139" s="19">
        <f t="shared" si="8"/>
        <v>0.6</v>
      </c>
      <c r="G139" s="19">
        <f t="shared" si="8"/>
        <v>0.6</v>
      </c>
      <c r="H139" s="19">
        <f t="shared" si="8"/>
        <v>0.6</v>
      </c>
      <c r="I139" s="19">
        <f t="shared" si="8"/>
        <v>0.6</v>
      </c>
      <c r="J139" s="19" t="s">
        <v>292</v>
      </c>
      <c r="K139" s="33" t="s">
        <v>293</v>
      </c>
      <c r="L139" s="422" t="s">
        <v>294</v>
      </c>
      <c r="M139" s="422"/>
      <c r="N139" s="422"/>
      <c r="O139" s="422"/>
      <c r="P139" s="422"/>
      <c r="Q139" s="34">
        <f t="shared" ref="Q139:Q152" si="9">IF(R139="Да",U139,"-")</f>
        <v>0.6</v>
      </c>
      <c r="R139" s="34" t="s">
        <v>132</v>
      </c>
      <c r="U139" s="36">
        <v>0.6</v>
      </c>
    </row>
    <row r="140" spans="2:23" s="35" customFormat="1" ht="39.75" customHeight="1" x14ac:dyDescent="0.2">
      <c r="B140" s="19">
        <v>2</v>
      </c>
      <c r="C140" s="19">
        <f>IF($R140="Да",$Q140,1)</f>
        <v>1</v>
      </c>
      <c r="D140" s="19">
        <f>IF($R140="Да",$Q140,1)</f>
        <v>1</v>
      </c>
      <c r="E140" s="19">
        <f t="shared" si="8"/>
        <v>1</v>
      </c>
      <c r="F140" s="19">
        <f t="shared" si="8"/>
        <v>1</v>
      </c>
      <c r="G140" s="19">
        <f t="shared" si="8"/>
        <v>1</v>
      </c>
      <c r="H140" s="19">
        <f t="shared" si="8"/>
        <v>1</v>
      </c>
      <c r="I140" s="19">
        <f t="shared" si="8"/>
        <v>1</v>
      </c>
      <c r="J140" s="19" t="s">
        <v>295</v>
      </c>
      <c r="K140" s="33" t="s">
        <v>293</v>
      </c>
      <c r="L140" s="422" t="s">
        <v>296</v>
      </c>
      <c r="M140" s="422"/>
      <c r="N140" s="422"/>
      <c r="O140" s="422"/>
      <c r="P140" s="422"/>
      <c r="Q140" s="34" t="str">
        <f t="shared" si="9"/>
        <v>-</v>
      </c>
      <c r="R140" s="34" t="s">
        <v>131</v>
      </c>
      <c r="U140" s="36">
        <v>0.5</v>
      </c>
      <c r="W140" s="35" t="s">
        <v>132</v>
      </c>
    </row>
    <row r="141" spans="2:23" s="35" customFormat="1" ht="47.25" customHeight="1" x14ac:dyDescent="0.2">
      <c r="B141" s="19">
        <v>3</v>
      </c>
      <c r="C141" s="19">
        <v>1</v>
      </c>
      <c r="D141" s="19">
        <f t="shared" si="8"/>
        <v>1</v>
      </c>
      <c r="E141" s="19">
        <f t="shared" si="8"/>
        <v>1</v>
      </c>
      <c r="F141" s="19">
        <f t="shared" si="8"/>
        <v>1</v>
      </c>
      <c r="G141" s="19">
        <f t="shared" si="8"/>
        <v>1</v>
      </c>
      <c r="H141" s="19">
        <f t="shared" si="8"/>
        <v>1</v>
      </c>
      <c r="I141" s="19">
        <f t="shared" si="8"/>
        <v>1</v>
      </c>
      <c r="J141" s="19" t="s">
        <v>297</v>
      </c>
      <c r="K141" s="33" t="s">
        <v>293</v>
      </c>
      <c r="L141" s="422" t="s">
        <v>298</v>
      </c>
      <c r="M141" s="422"/>
      <c r="N141" s="422"/>
      <c r="O141" s="422"/>
      <c r="P141" s="422"/>
      <c r="Q141" s="34" t="str">
        <f t="shared" si="9"/>
        <v>-</v>
      </c>
      <c r="R141" s="34" t="s">
        <v>131</v>
      </c>
      <c r="U141" s="36">
        <v>0.8</v>
      </c>
      <c r="W141" s="35" t="s">
        <v>131</v>
      </c>
    </row>
    <row r="142" spans="2:23" s="35" customFormat="1" ht="39.75" customHeight="1" x14ac:dyDescent="0.2">
      <c r="B142" s="19">
        <v>4</v>
      </c>
      <c r="C142" s="19">
        <f t="shared" si="8"/>
        <v>1</v>
      </c>
      <c r="D142" s="19">
        <f t="shared" si="8"/>
        <v>1</v>
      </c>
      <c r="E142" s="19">
        <f t="shared" si="8"/>
        <v>1</v>
      </c>
      <c r="F142" s="19">
        <f t="shared" si="8"/>
        <v>1</v>
      </c>
      <c r="G142" s="19">
        <f t="shared" si="8"/>
        <v>1</v>
      </c>
      <c r="H142" s="19">
        <f t="shared" si="8"/>
        <v>1</v>
      </c>
      <c r="I142" s="19">
        <f t="shared" si="8"/>
        <v>1</v>
      </c>
      <c r="J142" s="19" t="s">
        <v>299</v>
      </c>
      <c r="K142" s="33" t="s">
        <v>300</v>
      </c>
      <c r="L142" s="422" t="s">
        <v>301</v>
      </c>
      <c r="M142" s="422"/>
      <c r="N142" s="422"/>
      <c r="O142" s="422"/>
      <c r="P142" s="422"/>
      <c r="Q142" s="34" t="str">
        <f t="shared" si="9"/>
        <v>-</v>
      </c>
      <c r="R142" s="34" t="s">
        <v>131</v>
      </c>
      <c r="U142" s="36">
        <v>1.2</v>
      </c>
    </row>
    <row r="143" spans="2:23" s="35" customFormat="1" ht="60.75" customHeight="1" x14ac:dyDescent="0.2">
      <c r="B143" s="19">
        <v>5</v>
      </c>
      <c r="C143" s="19">
        <f t="shared" si="8"/>
        <v>1</v>
      </c>
      <c r="D143" s="19">
        <v>1</v>
      </c>
      <c r="E143" s="19">
        <v>1</v>
      </c>
      <c r="F143" s="19">
        <v>1</v>
      </c>
      <c r="G143" s="19">
        <v>1</v>
      </c>
      <c r="H143" s="19">
        <v>1</v>
      </c>
      <c r="I143" s="19">
        <v>1</v>
      </c>
      <c r="J143" s="19" t="s">
        <v>302</v>
      </c>
      <c r="K143" s="33" t="s">
        <v>300</v>
      </c>
      <c r="L143" s="422" t="s">
        <v>303</v>
      </c>
      <c r="M143" s="422"/>
      <c r="N143" s="422"/>
      <c r="O143" s="422"/>
      <c r="P143" s="422"/>
      <c r="Q143" s="34" t="str">
        <f t="shared" si="9"/>
        <v>-</v>
      </c>
      <c r="R143" s="34" t="s">
        <v>131</v>
      </c>
      <c r="U143" s="36">
        <v>1.1000000000000001</v>
      </c>
    </row>
    <row r="144" spans="2:23" s="35" customFormat="1" ht="62.25" customHeight="1" x14ac:dyDescent="0.2">
      <c r="B144" s="19">
        <v>6</v>
      </c>
      <c r="C144" s="19">
        <f t="shared" si="8"/>
        <v>1</v>
      </c>
      <c r="D144" s="19">
        <f t="shared" si="8"/>
        <v>1</v>
      </c>
      <c r="E144" s="19">
        <f t="shared" si="8"/>
        <v>1</v>
      </c>
      <c r="F144" s="19">
        <f t="shared" si="8"/>
        <v>1</v>
      </c>
      <c r="G144" s="19">
        <f t="shared" si="8"/>
        <v>1</v>
      </c>
      <c r="H144" s="19">
        <f t="shared" si="8"/>
        <v>1</v>
      </c>
      <c r="I144" s="19">
        <f t="shared" si="8"/>
        <v>1</v>
      </c>
      <c r="J144" s="19" t="s">
        <v>304</v>
      </c>
      <c r="K144" s="33" t="s">
        <v>300</v>
      </c>
      <c r="L144" s="422" t="s">
        <v>305</v>
      </c>
      <c r="M144" s="422"/>
      <c r="N144" s="422"/>
      <c r="O144" s="422"/>
      <c r="P144" s="422"/>
      <c r="Q144" s="34" t="str">
        <f t="shared" si="9"/>
        <v>-</v>
      </c>
      <c r="R144" s="34" t="s">
        <v>131</v>
      </c>
      <c r="U144" s="36">
        <v>1.05</v>
      </c>
    </row>
    <row r="145" spans="2:21" s="35" customFormat="1" ht="53.25" customHeight="1" x14ac:dyDescent="0.2">
      <c r="B145" s="19">
        <v>7</v>
      </c>
      <c r="C145" s="19">
        <v>1</v>
      </c>
      <c r="D145" s="19">
        <f t="shared" si="8"/>
        <v>1</v>
      </c>
      <c r="E145" s="19">
        <f t="shared" si="8"/>
        <v>1</v>
      </c>
      <c r="F145" s="19">
        <f t="shared" si="8"/>
        <v>1</v>
      </c>
      <c r="G145" s="19">
        <f t="shared" si="8"/>
        <v>1</v>
      </c>
      <c r="H145" s="19">
        <f t="shared" si="8"/>
        <v>1</v>
      </c>
      <c r="I145" s="19">
        <f t="shared" si="8"/>
        <v>1</v>
      </c>
      <c r="J145" s="19" t="s">
        <v>306</v>
      </c>
      <c r="K145" s="33" t="s">
        <v>300</v>
      </c>
      <c r="L145" s="422" t="s">
        <v>307</v>
      </c>
      <c r="M145" s="422"/>
      <c r="N145" s="422"/>
      <c r="O145" s="422"/>
      <c r="P145" s="422"/>
      <c r="Q145" s="34" t="str">
        <f t="shared" si="9"/>
        <v>-</v>
      </c>
      <c r="R145" s="34" t="s">
        <v>131</v>
      </c>
      <c r="U145" s="36">
        <v>1.05</v>
      </c>
    </row>
    <row r="146" spans="2:21" s="35" customFormat="1" ht="53.25" customHeight="1" x14ac:dyDescent="0.2">
      <c r="B146" s="19">
        <v>8</v>
      </c>
      <c r="C146" s="19">
        <v>1</v>
      </c>
      <c r="D146" s="19">
        <f t="shared" si="8"/>
        <v>1</v>
      </c>
      <c r="E146" s="19">
        <f t="shared" si="8"/>
        <v>1</v>
      </c>
      <c r="F146" s="19">
        <f t="shared" si="8"/>
        <v>1</v>
      </c>
      <c r="G146" s="19">
        <f t="shared" si="8"/>
        <v>1</v>
      </c>
      <c r="H146" s="19">
        <f t="shared" si="8"/>
        <v>1</v>
      </c>
      <c r="I146" s="19">
        <f t="shared" si="8"/>
        <v>1</v>
      </c>
      <c r="J146" s="19" t="s">
        <v>308</v>
      </c>
      <c r="K146" s="33" t="s">
        <v>300</v>
      </c>
      <c r="L146" s="422" t="s">
        <v>309</v>
      </c>
      <c r="M146" s="422"/>
      <c r="N146" s="422"/>
      <c r="O146" s="422"/>
      <c r="P146" s="422"/>
      <c r="Q146" s="34" t="str">
        <f t="shared" si="9"/>
        <v>-</v>
      </c>
      <c r="R146" s="34" t="s">
        <v>131</v>
      </c>
      <c r="U146" s="36">
        <v>1.25</v>
      </c>
    </row>
    <row r="147" spans="2:21" s="35" customFormat="1" ht="68.25" customHeight="1" x14ac:dyDescent="0.2">
      <c r="B147" s="19">
        <v>9</v>
      </c>
      <c r="C147" s="19">
        <v>1</v>
      </c>
      <c r="D147" s="19">
        <v>1</v>
      </c>
      <c r="E147" s="19">
        <v>1</v>
      </c>
      <c r="F147" s="19">
        <v>1</v>
      </c>
      <c r="G147" s="19">
        <f t="shared" si="8"/>
        <v>1</v>
      </c>
      <c r="H147" s="19">
        <v>1</v>
      </c>
      <c r="I147" s="19">
        <f t="shared" si="8"/>
        <v>1</v>
      </c>
      <c r="J147" s="19" t="s">
        <v>310</v>
      </c>
      <c r="K147" s="33" t="s">
        <v>300</v>
      </c>
      <c r="L147" s="422" t="s">
        <v>311</v>
      </c>
      <c r="M147" s="422"/>
      <c r="N147" s="422"/>
      <c r="O147" s="422"/>
      <c r="P147" s="422"/>
      <c r="Q147" s="34" t="str">
        <f t="shared" si="9"/>
        <v>-</v>
      </c>
      <c r="R147" s="34" t="s">
        <v>131</v>
      </c>
      <c r="U147" s="36">
        <v>1.1000000000000001</v>
      </c>
    </row>
    <row r="148" spans="2:21" s="35" customFormat="1" ht="89.25" customHeight="1" x14ac:dyDescent="0.2">
      <c r="B148" s="19">
        <v>10</v>
      </c>
      <c r="C148" s="19">
        <f t="shared" si="8"/>
        <v>1</v>
      </c>
      <c r="D148" s="19">
        <f t="shared" si="8"/>
        <v>1</v>
      </c>
      <c r="E148" s="19">
        <f t="shared" si="8"/>
        <v>1</v>
      </c>
      <c r="F148" s="19">
        <f t="shared" si="8"/>
        <v>1</v>
      </c>
      <c r="G148" s="19">
        <f t="shared" si="8"/>
        <v>1</v>
      </c>
      <c r="H148" s="19">
        <f t="shared" si="8"/>
        <v>1</v>
      </c>
      <c r="I148" s="19">
        <f t="shared" si="8"/>
        <v>1</v>
      </c>
      <c r="J148" s="19" t="s">
        <v>312</v>
      </c>
      <c r="K148" s="33" t="s">
        <v>300</v>
      </c>
      <c r="L148" s="422" t="s">
        <v>313</v>
      </c>
      <c r="M148" s="422"/>
      <c r="N148" s="422"/>
      <c r="O148" s="422"/>
      <c r="P148" s="422"/>
      <c r="Q148" s="34" t="str">
        <f t="shared" si="9"/>
        <v>-</v>
      </c>
      <c r="R148" s="34" t="s">
        <v>131</v>
      </c>
      <c r="U148" s="36">
        <v>1.3</v>
      </c>
    </row>
    <row r="149" spans="2:21" s="35" customFormat="1" ht="39.75" customHeight="1" x14ac:dyDescent="0.2">
      <c r="B149" s="19">
        <v>11</v>
      </c>
      <c r="C149" s="19">
        <f>IF($R149="Да",$Q149,1)</f>
        <v>1.05</v>
      </c>
      <c r="D149" s="19">
        <f>IF($R149="Да",$Q149,1)</f>
        <v>1.05</v>
      </c>
      <c r="E149" s="19">
        <f t="shared" si="8"/>
        <v>1.05</v>
      </c>
      <c r="F149" s="19">
        <f t="shared" si="8"/>
        <v>1.05</v>
      </c>
      <c r="G149" s="19">
        <f t="shared" si="8"/>
        <v>1.05</v>
      </c>
      <c r="H149" s="19">
        <f t="shared" si="8"/>
        <v>1.05</v>
      </c>
      <c r="I149" s="19">
        <f>IF($R149="Да",$Q149,1)</f>
        <v>1.05</v>
      </c>
      <c r="J149" s="19" t="s">
        <v>314</v>
      </c>
      <c r="K149" s="33" t="s">
        <v>300</v>
      </c>
      <c r="L149" s="422" t="s">
        <v>315</v>
      </c>
      <c r="M149" s="422"/>
      <c r="N149" s="422"/>
      <c r="O149" s="422"/>
      <c r="P149" s="422"/>
      <c r="Q149" s="34">
        <f t="shared" si="9"/>
        <v>1.05</v>
      </c>
      <c r="R149" s="34" t="s">
        <v>132</v>
      </c>
      <c r="U149" s="36">
        <v>1.05</v>
      </c>
    </row>
    <row r="150" spans="2:21" s="35" customFormat="1" ht="39.75" customHeight="1" x14ac:dyDescent="0.2">
      <c r="B150" s="19">
        <v>12</v>
      </c>
      <c r="C150" s="19">
        <f t="shared" si="8"/>
        <v>1</v>
      </c>
      <c r="D150" s="19">
        <v>1</v>
      </c>
      <c r="E150" s="19">
        <v>1</v>
      </c>
      <c r="F150" s="19">
        <v>1</v>
      </c>
      <c r="G150" s="19">
        <f t="shared" si="8"/>
        <v>1</v>
      </c>
      <c r="H150" s="19">
        <v>1</v>
      </c>
      <c r="I150" s="19">
        <v>1</v>
      </c>
      <c r="J150" s="19" t="s">
        <v>316</v>
      </c>
      <c r="K150" s="33" t="s">
        <v>300</v>
      </c>
      <c r="L150" s="422" t="s">
        <v>317</v>
      </c>
      <c r="M150" s="422"/>
      <c r="N150" s="422"/>
      <c r="O150" s="422"/>
      <c r="P150" s="422"/>
      <c r="Q150" s="34" t="str">
        <f t="shared" si="9"/>
        <v>-</v>
      </c>
      <c r="R150" s="34" t="s">
        <v>131</v>
      </c>
      <c r="U150" s="36">
        <v>1.1000000000000001</v>
      </c>
    </row>
    <row r="151" spans="2:21" s="35" customFormat="1" ht="72" customHeight="1" x14ac:dyDescent="0.2">
      <c r="B151" s="19">
        <v>13</v>
      </c>
      <c r="C151" s="19">
        <v>1</v>
      </c>
      <c r="D151" s="19">
        <v>1</v>
      </c>
      <c r="E151" s="19">
        <v>1</v>
      </c>
      <c r="F151" s="19">
        <v>1</v>
      </c>
      <c r="G151" s="19">
        <f t="shared" si="8"/>
        <v>1.2</v>
      </c>
      <c r="H151" s="19">
        <v>1</v>
      </c>
      <c r="I151" s="19">
        <v>1</v>
      </c>
      <c r="J151" s="19" t="s">
        <v>318</v>
      </c>
      <c r="K151" s="33" t="s">
        <v>300</v>
      </c>
      <c r="L151" s="422" t="s">
        <v>319</v>
      </c>
      <c r="M151" s="422"/>
      <c r="N151" s="422"/>
      <c r="O151" s="422"/>
      <c r="P151" s="422"/>
      <c r="Q151" s="34">
        <f t="shared" si="9"/>
        <v>1.2</v>
      </c>
      <c r="R151" s="34" t="s">
        <v>132</v>
      </c>
      <c r="U151" s="36">
        <v>1.2</v>
      </c>
    </row>
    <row r="152" spans="2:21" s="35" customFormat="1" ht="39.75" customHeight="1" x14ac:dyDescent="0.2">
      <c r="B152" s="19">
        <v>14</v>
      </c>
      <c r="C152" s="19">
        <v>1</v>
      </c>
      <c r="D152" s="19">
        <v>1</v>
      </c>
      <c r="E152" s="19">
        <v>1</v>
      </c>
      <c r="F152" s="19">
        <f>IF($R152="Да",$Q152,1)</f>
        <v>1</v>
      </c>
      <c r="G152" s="19">
        <f t="shared" si="8"/>
        <v>1</v>
      </c>
      <c r="H152" s="19">
        <v>1</v>
      </c>
      <c r="I152" s="19">
        <f>IF($R152="Да",$Q152,1)</f>
        <v>1</v>
      </c>
      <c r="J152" s="19" t="s">
        <v>320</v>
      </c>
      <c r="K152" s="33" t="s">
        <v>300</v>
      </c>
      <c r="L152" s="422" t="s">
        <v>321</v>
      </c>
      <c r="M152" s="422"/>
      <c r="N152" s="422"/>
      <c r="O152" s="422"/>
      <c r="P152" s="422"/>
      <c r="Q152" s="34" t="str">
        <f t="shared" si="9"/>
        <v>-</v>
      </c>
      <c r="R152" s="34" t="s">
        <v>131</v>
      </c>
      <c r="U152" s="36">
        <v>1.2</v>
      </c>
    </row>
    <row r="153" spans="2:21" s="35" customFormat="1" ht="24.75" customHeight="1" x14ac:dyDescent="0.2">
      <c r="B153" s="19">
        <v>15</v>
      </c>
      <c r="C153" s="19">
        <f>PRODUCT(C139,C141,C140)</f>
        <v>0.6</v>
      </c>
      <c r="D153" s="19">
        <f>PRODUCT(D139,D141,D140)</f>
        <v>0.6</v>
      </c>
      <c r="E153" s="19">
        <f t="shared" ref="E153:H153" si="10">PRODUCT(E139,E141,E140)</f>
        <v>0.6</v>
      </c>
      <c r="F153" s="19">
        <f t="shared" si="10"/>
        <v>0.6</v>
      </c>
      <c r="G153" s="19">
        <f t="shared" si="10"/>
        <v>0.6</v>
      </c>
      <c r="H153" s="19">
        <f t="shared" si="10"/>
        <v>0.6</v>
      </c>
      <c r="I153" s="19">
        <f>PRODUCT(I139,I141,I140)</f>
        <v>0.6</v>
      </c>
      <c r="J153" s="37"/>
      <c r="K153" s="408" t="s">
        <v>322</v>
      </c>
      <c r="L153" s="409"/>
      <c r="M153" s="409"/>
      <c r="N153" s="409"/>
      <c r="O153" s="409"/>
      <c r="P153" s="409"/>
      <c r="Q153" s="409"/>
      <c r="R153" s="410"/>
    </row>
    <row r="154" spans="2:21" s="35" customFormat="1" ht="24.75" customHeight="1" x14ac:dyDescent="0.2">
      <c r="B154" s="19">
        <v>16</v>
      </c>
      <c r="C154" s="19">
        <f>SUM(C142:C152)-10</f>
        <v>1.0500000000000007</v>
      </c>
      <c r="D154" s="19">
        <f>SUM(D142:D152)-10</f>
        <v>1.0500000000000007</v>
      </c>
      <c r="E154" s="19">
        <f>SUM(E142:E152)-10</f>
        <v>1.0500000000000007</v>
      </c>
      <c r="F154" s="19">
        <f t="shared" ref="F154:I154" si="11">SUM(F142:F152)-10</f>
        <v>1.0500000000000007</v>
      </c>
      <c r="G154" s="19">
        <f t="shared" si="11"/>
        <v>1.25</v>
      </c>
      <c r="H154" s="19">
        <f t="shared" si="11"/>
        <v>1.0500000000000007</v>
      </c>
      <c r="I154" s="19">
        <f t="shared" si="11"/>
        <v>1.0500000000000007</v>
      </c>
      <c r="J154" s="37"/>
      <c r="K154" s="408" t="s">
        <v>323</v>
      </c>
      <c r="L154" s="409"/>
      <c r="M154" s="409"/>
      <c r="N154" s="409"/>
      <c r="O154" s="409"/>
      <c r="P154" s="409"/>
      <c r="Q154" s="409"/>
      <c r="R154" s="410"/>
    </row>
    <row r="155" spans="2:21" s="35" customFormat="1" ht="24.75" customHeight="1" x14ac:dyDescent="0.2">
      <c r="B155" s="19">
        <v>17</v>
      </c>
      <c r="C155" s="19">
        <f>C153*C154</f>
        <v>0.63000000000000045</v>
      </c>
      <c r="D155" s="19">
        <f>D153*D154</f>
        <v>0.63000000000000045</v>
      </c>
      <c r="E155" s="19">
        <f>E153*E154</f>
        <v>0.63000000000000045</v>
      </c>
      <c r="F155" s="19">
        <f t="shared" ref="F155:I155" si="12">F153*F154</f>
        <v>0.63000000000000045</v>
      </c>
      <c r="G155" s="19">
        <f t="shared" si="12"/>
        <v>0.75</v>
      </c>
      <c r="H155" s="19">
        <f t="shared" si="12"/>
        <v>0.63000000000000045</v>
      </c>
      <c r="I155" s="19">
        <f t="shared" si="12"/>
        <v>0.63000000000000045</v>
      </c>
      <c r="J155" s="37" t="s">
        <v>324</v>
      </c>
      <c r="K155" s="408" t="s">
        <v>325</v>
      </c>
      <c r="L155" s="409"/>
      <c r="M155" s="409"/>
      <c r="N155" s="409"/>
      <c r="O155" s="409"/>
      <c r="P155" s="409"/>
      <c r="Q155" s="409"/>
      <c r="R155" s="410"/>
    </row>
    <row r="156" spans="2:21" s="35" customFormat="1" ht="24.75" customHeight="1" x14ac:dyDescent="0.2">
      <c r="B156" s="19">
        <v>18</v>
      </c>
      <c r="C156" s="19">
        <v>1.08</v>
      </c>
      <c r="D156" s="19">
        <v>1.08</v>
      </c>
      <c r="E156" s="19">
        <v>1.08</v>
      </c>
      <c r="F156" s="19">
        <v>1.08</v>
      </c>
      <c r="G156" s="19">
        <v>1.08</v>
      </c>
      <c r="H156" s="19">
        <v>1.08</v>
      </c>
      <c r="I156" s="19">
        <v>1.08</v>
      </c>
      <c r="J156" s="37" t="s">
        <v>326</v>
      </c>
      <c r="K156" s="408" t="s">
        <v>327</v>
      </c>
      <c r="L156" s="409"/>
      <c r="M156" s="409"/>
      <c r="N156" s="409"/>
      <c r="O156" s="409"/>
      <c r="P156" s="409"/>
      <c r="Q156" s="409"/>
      <c r="R156" s="410"/>
    </row>
    <row r="157" spans="2:21" s="35" customFormat="1" ht="24.75" customHeight="1" x14ac:dyDescent="0.2">
      <c r="B157" s="19">
        <v>19</v>
      </c>
      <c r="C157" s="19">
        <v>7.22</v>
      </c>
      <c r="D157" s="19">
        <v>7.22</v>
      </c>
      <c r="E157" s="19">
        <v>7.22</v>
      </c>
      <c r="F157" s="19">
        <v>7.22</v>
      </c>
      <c r="G157" s="19">
        <v>7.22</v>
      </c>
      <c r="H157" s="19">
        <v>7.22</v>
      </c>
      <c r="I157" s="19">
        <v>7.22</v>
      </c>
      <c r="J157" s="37" t="s">
        <v>328</v>
      </c>
      <c r="K157" s="408" t="s">
        <v>329</v>
      </c>
      <c r="L157" s="409"/>
      <c r="M157" s="409"/>
      <c r="N157" s="409"/>
      <c r="O157" s="409"/>
      <c r="P157" s="409"/>
      <c r="Q157" s="409"/>
      <c r="R157" s="410"/>
    </row>
    <row r="158" spans="2:21" s="35" customFormat="1" ht="24.75" customHeight="1" x14ac:dyDescent="0.2">
      <c r="B158" s="19">
        <v>20</v>
      </c>
      <c r="C158" s="19">
        <v>1</v>
      </c>
      <c r="D158" s="19">
        <v>1</v>
      </c>
      <c r="E158" s="19">
        <v>1</v>
      </c>
      <c r="F158" s="19">
        <v>1</v>
      </c>
      <c r="G158" s="19">
        <v>1</v>
      </c>
      <c r="H158" s="19">
        <v>1</v>
      </c>
      <c r="I158" s="19">
        <v>1</v>
      </c>
      <c r="J158" s="37"/>
      <c r="K158" s="408" t="s">
        <v>330</v>
      </c>
      <c r="L158" s="409"/>
      <c r="M158" s="409"/>
      <c r="N158" s="409"/>
      <c r="O158" s="409"/>
      <c r="P158" s="409"/>
      <c r="Q158" s="409"/>
      <c r="R158" s="410"/>
    </row>
    <row r="159" spans="2:21" s="35" customFormat="1" ht="34.5" hidden="1" customHeight="1" x14ac:dyDescent="0.2">
      <c r="B159" s="19">
        <v>21</v>
      </c>
      <c r="C159" s="19">
        <v>1</v>
      </c>
      <c r="D159" s="19">
        <v>0.7</v>
      </c>
      <c r="E159" s="19">
        <v>0.3</v>
      </c>
      <c r="F159" s="19">
        <v>0.4</v>
      </c>
      <c r="G159" s="19">
        <v>0.4</v>
      </c>
      <c r="H159" s="19">
        <v>0.8</v>
      </c>
      <c r="I159" s="19">
        <v>0.1</v>
      </c>
      <c r="J159" s="37" t="s">
        <v>331</v>
      </c>
      <c r="K159" s="408" t="s">
        <v>332</v>
      </c>
      <c r="L159" s="409"/>
      <c r="M159" s="409"/>
      <c r="N159" s="409"/>
      <c r="O159" s="409"/>
      <c r="P159" s="409"/>
      <c r="Q159" s="409"/>
      <c r="R159" s="410"/>
    </row>
    <row r="160" spans="2:21" s="35" customFormat="1" ht="34.5" customHeight="1" x14ac:dyDescent="0.2">
      <c r="B160" s="19">
        <v>21</v>
      </c>
      <c r="C160" s="19">
        <v>1</v>
      </c>
      <c r="D160" s="19">
        <v>0.3</v>
      </c>
      <c r="E160" s="19">
        <v>0.7</v>
      </c>
      <c r="F160" s="19">
        <v>0.6</v>
      </c>
      <c r="G160" s="19">
        <v>0.6</v>
      </c>
      <c r="H160" s="19">
        <v>0.2</v>
      </c>
      <c r="I160" s="19">
        <v>0.9</v>
      </c>
      <c r="J160" s="37" t="s">
        <v>333</v>
      </c>
      <c r="K160" s="408" t="s">
        <v>334</v>
      </c>
      <c r="L160" s="409"/>
      <c r="M160" s="409"/>
      <c r="N160" s="409"/>
      <c r="O160" s="409"/>
      <c r="P160" s="409"/>
      <c r="Q160" s="409"/>
      <c r="R160" s="410"/>
    </row>
    <row r="161" spans="2:25" ht="27" customHeight="1" x14ac:dyDescent="0.25">
      <c r="B161" s="402" t="s">
        <v>335</v>
      </c>
      <c r="C161" s="403"/>
      <c r="D161" s="403"/>
      <c r="E161" s="403"/>
      <c r="F161" s="403"/>
      <c r="G161" s="403"/>
      <c r="H161" s="403"/>
      <c r="I161" s="403"/>
      <c r="J161" s="403"/>
      <c r="K161" s="403"/>
      <c r="L161" s="403"/>
      <c r="M161" s="403"/>
      <c r="N161" s="403"/>
      <c r="O161" s="403"/>
      <c r="P161" s="403"/>
      <c r="Q161" s="403"/>
      <c r="R161" s="412"/>
    </row>
    <row r="162" spans="2:25" ht="22.5" customHeight="1" x14ac:dyDescent="0.25">
      <c r="B162" s="413" t="s">
        <v>336</v>
      </c>
      <c r="C162" s="415" t="s">
        <v>337</v>
      </c>
      <c r="D162" s="416"/>
      <c r="E162" s="416"/>
      <c r="F162" s="416"/>
      <c r="G162" s="416"/>
      <c r="H162" s="416"/>
      <c r="I162" s="430"/>
      <c r="J162" s="429" t="s">
        <v>338</v>
      </c>
      <c r="K162" s="429"/>
      <c r="L162" s="429"/>
      <c r="M162" s="429"/>
      <c r="N162" s="429"/>
      <c r="O162" s="429"/>
      <c r="P162" s="429"/>
      <c r="Q162" s="429"/>
      <c r="R162" s="429"/>
    </row>
    <row r="163" spans="2:25" ht="22.5" customHeight="1" x14ac:dyDescent="0.25">
      <c r="B163" s="429"/>
      <c r="C163" s="38" t="s">
        <v>147</v>
      </c>
      <c r="D163" s="38" t="s">
        <v>134</v>
      </c>
      <c r="E163" s="38" t="s">
        <v>135</v>
      </c>
      <c r="F163" s="38" t="s">
        <v>136</v>
      </c>
      <c r="G163" s="38" t="s">
        <v>137</v>
      </c>
      <c r="H163" s="38" t="s">
        <v>138</v>
      </c>
      <c r="I163" s="38" t="s">
        <v>139</v>
      </c>
      <c r="J163" s="429"/>
      <c r="K163" s="429"/>
      <c r="L163" s="429"/>
      <c r="M163" s="429"/>
      <c r="N163" s="429"/>
      <c r="O163" s="429"/>
      <c r="P163" s="429"/>
      <c r="Q163" s="429"/>
      <c r="R163" s="429"/>
    </row>
    <row r="164" spans="2:25" ht="25.5" customHeight="1" x14ac:dyDescent="0.25">
      <c r="B164" s="19">
        <v>1</v>
      </c>
      <c r="C164" s="19">
        <f>M67</f>
        <v>0</v>
      </c>
      <c r="D164" s="19">
        <f t="shared" ref="D164:I164" ca="1" si="13">M135</f>
        <v>25</v>
      </c>
      <c r="E164" s="19">
        <f t="shared" si="13"/>
        <v>0</v>
      </c>
      <c r="F164" s="19">
        <f t="shared" si="13"/>
        <v>0</v>
      </c>
      <c r="G164" s="19">
        <f t="shared" ca="1" si="13"/>
        <v>31</v>
      </c>
      <c r="H164" s="19">
        <f t="shared" si="13"/>
        <v>0</v>
      </c>
      <c r="I164" s="19">
        <f t="shared" si="13"/>
        <v>0</v>
      </c>
      <c r="J164" s="408" t="s">
        <v>339</v>
      </c>
      <c r="K164" s="409"/>
      <c r="L164" s="409"/>
      <c r="M164" s="409"/>
      <c r="N164" s="409"/>
      <c r="O164" s="409"/>
      <c r="P164" s="409"/>
      <c r="Q164" s="409"/>
      <c r="R164" s="410"/>
    </row>
    <row r="165" spans="2:25" ht="25.5" customHeight="1" x14ac:dyDescent="0.25">
      <c r="B165" s="19">
        <v>2</v>
      </c>
      <c r="C165" s="19">
        <v>21.28</v>
      </c>
      <c r="D165" s="39">
        <v>15.73</v>
      </c>
      <c r="E165" s="39">
        <v>9.56</v>
      </c>
      <c r="F165" s="39">
        <v>14.11</v>
      </c>
      <c r="G165" s="39">
        <v>33.770000000000003</v>
      </c>
      <c r="H165" s="39">
        <v>37.93</v>
      </c>
      <c r="I165" s="39">
        <v>46.26</v>
      </c>
      <c r="J165" s="408" t="s">
        <v>340</v>
      </c>
      <c r="K165" s="409"/>
      <c r="L165" s="409"/>
      <c r="M165" s="409"/>
      <c r="N165" s="409"/>
      <c r="O165" s="409"/>
      <c r="P165" s="409"/>
      <c r="Q165" s="409"/>
      <c r="R165" s="410"/>
    </row>
    <row r="166" spans="2:25" ht="25.5" customHeight="1" x14ac:dyDescent="0.25">
      <c r="B166" s="19">
        <v>3</v>
      </c>
      <c r="C166" s="39">
        <v>1</v>
      </c>
      <c r="D166" s="39">
        <v>1</v>
      </c>
      <c r="E166" s="39">
        <v>1</v>
      </c>
      <c r="F166" s="39">
        <v>1</v>
      </c>
      <c r="G166" s="39">
        <v>1</v>
      </c>
      <c r="H166" s="39">
        <v>1</v>
      </c>
      <c r="I166" s="39">
        <v>1</v>
      </c>
      <c r="J166" s="40" t="s">
        <v>341</v>
      </c>
      <c r="K166" s="32"/>
      <c r="L166" s="32"/>
      <c r="M166" s="32"/>
      <c r="N166" s="32"/>
      <c r="O166" s="32"/>
      <c r="P166" s="32"/>
      <c r="Q166" s="32"/>
      <c r="R166" s="41"/>
    </row>
    <row r="167" spans="2:25" ht="25.5" customHeight="1" x14ac:dyDescent="0.25">
      <c r="B167" s="19">
        <v>4</v>
      </c>
      <c r="C167" s="39">
        <f>C164*C165*C166</f>
        <v>0</v>
      </c>
      <c r="D167" s="39">
        <f ca="1">D164*D165*D166</f>
        <v>393.25</v>
      </c>
      <c r="E167" s="39">
        <f>E164*E165*E166</f>
        <v>0</v>
      </c>
      <c r="F167" s="39">
        <f t="shared" ref="F167:I167" si="14">F164*F165*F166</f>
        <v>0</v>
      </c>
      <c r="G167" s="39">
        <f t="shared" ca="1" si="14"/>
        <v>1046.8700000000001</v>
      </c>
      <c r="H167" s="39">
        <f t="shared" si="14"/>
        <v>0</v>
      </c>
      <c r="I167" s="39">
        <f t="shared" si="14"/>
        <v>0</v>
      </c>
      <c r="J167" s="408" t="s">
        <v>342</v>
      </c>
      <c r="K167" s="409"/>
      <c r="L167" s="409"/>
      <c r="M167" s="409"/>
      <c r="N167" s="409"/>
      <c r="O167" s="409"/>
      <c r="P167" s="409"/>
      <c r="Q167" s="409"/>
      <c r="R167" s="410"/>
    </row>
    <row r="168" spans="2:25" ht="25.5" customHeight="1" x14ac:dyDescent="0.25">
      <c r="B168" s="19">
        <v>5</v>
      </c>
      <c r="C168" s="39">
        <f t="shared" ref="C168:I168" si="15">C167*C155</f>
        <v>0</v>
      </c>
      <c r="D168" s="39">
        <f t="shared" ca="1" si="15"/>
        <v>247.74750000000017</v>
      </c>
      <c r="E168" s="39">
        <f t="shared" si="15"/>
        <v>0</v>
      </c>
      <c r="F168" s="39">
        <f t="shared" si="15"/>
        <v>0</v>
      </c>
      <c r="G168" s="39">
        <f t="shared" ca="1" si="15"/>
        <v>785.15250000000015</v>
      </c>
      <c r="H168" s="39">
        <f t="shared" si="15"/>
        <v>0</v>
      </c>
      <c r="I168" s="39">
        <f t="shared" si="15"/>
        <v>0</v>
      </c>
      <c r="J168" s="408" t="s">
        <v>343</v>
      </c>
      <c r="K168" s="409"/>
      <c r="L168" s="409"/>
      <c r="M168" s="409"/>
      <c r="N168" s="409"/>
      <c r="O168" s="409"/>
      <c r="P168" s="409"/>
      <c r="Q168" s="409"/>
      <c r="R168" s="410"/>
    </row>
    <row r="169" spans="2:25" ht="25.5" customHeight="1" x14ac:dyDescent="0.25">
      <c r="B169" s="19">
        <v>6</v>
      </c>
      <c r="C169" s="39">
        <f t="shared" ref="C169:I169" si="16">C168*C156*C157*C158</f>
        <v>0</v>
      </c>
      <c r="D169" s="39">
        <f t="shared" ca="1" si="16"/>
        <v>1931.8359060000014</v>
      </c>
      <c r="E169" s="39">
        <f t="shared" si="16"/>
        <v>0</v>
      </c>
      <c r="F169" s="39">
        <f t="shared" si="16"/>
        <v>0</v>
      </c>
      <c r="G169" s="39">
        <f t="shared" ca="1" si="16"/>
        <v>6122.3051340000011</v>
      </c>
      <c r="H169" s="39">
        <f t="shared" si="16"/>
        <v>0</v>
      </c>
      <c r="I169" s="39">
        <f t="shared" si="16"/>
        <v>0</v>
      </c>
      <c r="J169" s="408" t="s">
        <v>344</v>
      </c>
      <c r="K169" s="409"/>
      <c r="L169" s="409"/>
      <c r="M169" s="409"/>
      <c r="N169" s="409"/>
      <c r="O169" s="409"/>
      <c r="P169" s="409"/>
      <c r="Q169" s="409"/>
      <c r="R169" s="410"/>
    </row>
    <row r="170" spans="2:25" ht="25.5" customHeight="1" x14ac:dyDescent="0.25">
      <c r="B170" s="19">
        <v>7</v>
      </c>
      <c r="C170" s="42"/>
      <c r="D170" s="42">
        <f t="shared" ref="D170:I170" ca="1" si="17">D169*D160</f>
        <v>579.55077180000035</v>
      </c>
      <c r="E170" s="42">
        <f t="shared" si="17"/>
        <v>0</v>
      </c>
      <c r="F170" s="42">
        <f t="shared" si="17"/>
        <v>0</v>
      </c>
      <c r="G170" s="42">
        <f t="shared" ca="1" si="17"/>
        <v>3673.3830804000004</v>
      </c>
      <c r="H170" s="42">
        <f t="shared" si="17"/>
        <v>0</v>
      </c>
      <c r="I170" s="42">
        <f t="shared" si="17"/>
        <v>0</v>
      </c>
      <c r="J170" s="408" t="s">
        <v>345</v>
      </c>
      <c r="K170" s="409"/>
      <c r="L170" s="409"/>
      <c r="M170" s="409"/>
      <c r="N170" s="409"/>
      <c r="O170" s="409"/>
      <c r="P170" s="409"/>
      <c r="Q170" s="409"/>
      <c r="R170" s="410"/>
    </row>
    <row r="171" spans="2:25" ht="46.5" customHeight="1" x14ac:dyDescent="0.25">
      <c r="B171" s="19">
        <v>8</v>
      </c>
      <c r="C171" s="19"/>
      <c r="D171" s="432">
        <f ca="1">SUM(D170:I170)*1000</f>
        <v>4252933.8522000005</v>
      </c>
      <c r="E171" s="432"/>
      <c r="F171" s="432"/>
      <c r="G171" s="432"/>
      <c r="H171" s="432"/>
      <c r="I171" s="432"/>
      <c r="J171" s="408" t="s">
        <v>346</v>
      </c>
      <c r="K171" s="409"/>
      <c r="L171" s="409"/>
      <c r="M171" s="409"/>
      <c r="N171" s="409"/>
      <c r="O171" s="409"/>
      <c r="P171" s="409"/>
      <c r="Q171" s="409"/>
      <c r="R171" s="410"/>
    </row>
    <row r="172" spans="2:25" ht="41.25" customHeight="1" x14ac:dyDescent="0.25">
      <c r="B172" s="19">
        <v>9</v>
      </c>
      <c r="C172" s="19"/>
      <c r="D172" s="433">
        <f ca="1">ROUND(D171*0.8,0)</f>
        <v>3402347</v>
      </c>
      <c r="E172" s="434"/>
      <c r="F172" s="434"/>
      <c r="G172" s="434"/>
      <c r="H172" s="434"/>
      <c r="I172" s="435"/>
      <c r="J172" s="408" t="s">
        <v>347</v>
      </c>
      <c r="K172" s="409"/>
      <c r="L172" s="409"/>
      <c r="M172" s="409"/>
      <c r="N172" s="409"/>
      <c r="O172" s="409"/>
      <c r="P172" s="409"/>
      <c r="Q172" s="409"/>
      <c r="R172" s="410"/>
    </row>
    <row r="173" spans="2:25" ht="41.25" customHeight="1" x14ac:dyDescent="0.25">
      <c r="B173" s="19">
        <v>10</v>
      </c>
      <c r="C173" s="19"/>
      <c r="D173" s="433">
        <f ca="1">ROUND(D171*0.7,0)</f>
        <v>2977054</v>
      </c>
      <c r="E173" s="434"/>
      <c r="F173" s="434"/>
      <c r="G173" s="434"/>
      <c r="H173" s="434"/>
      <c r="I173" s="435"/>
      <c r="J173" s="408" t="s">
        <v>348</v>
      </c>
      <c r="K173" s="409"/>
      <c r="L173" s="409"/>
      <c r="M173" s="409"/>
      <c r="N173" s="409"/>
      <c r="O173" s="409"/>
      <c r="P173" s="409"/>
      <c r="Q173" s="409"/>
      <c r="R173" s="410"/>
    </row>
    <row r="174" spans="2:25" ht="28.5" customHeight="1" x14ac:dyDescent="0.25">
      <c r="B174" s="19">
        <v>11</v>
      </c>
      <c r="C174" s="19"/>
      <c r="D174" s="431">
        <f ca="1">D173</f>
        <v>2977054</v>
      </c>
      <c r="E174" s="431"/>
      <c r="F174" s="431"/>
      <c r="G174" s="431"/>
      <c r="H174" s="431"/>
      <c r="I174" s="431"/>
      <c r="J174" s="408" t="s">
        <v>349</v>
      </c>
      <c r="K174" s="409"/>
      <c r="L174" s="409"/>
      <c r="M174" s="409"/>
      <c r="N174" s="409"/>
      <c r="O174" s="409"/>
      <c r="P174" s="409"/>
      <c r="Q174" s="409"/>
      <c r="R174" s="410"/>
      <c r="Y174" s="43">
        <f ca="1">D174</f>
        <v>2977054</v>
      </c>
    </row>
    <row r="175" spans="2:25" ht="14.25" x14ac:dyDescent="0.2">
      <c r="B175" s="44"/>
      <c r="C175" s="44"/>
      <c r="D175" s="45"/>
      <c r="E175" s="46"/>
      <c r="F175" s="46"/>
      <c r="G175" s="46"/>
      <c r="H175" s="46"/>
      <c r="I175" s="46"/>
      <c r="J175" s="47"/>
      <c r="K175" s="46"/>
      <c r="L175" s="48"/>
      <c r="M175" s="46"/>
      <c r="N175" s="46"/>
      <c r="O175" s="46"/>
      <c r="P175" s="46"/>
      <c r="Q175" s="46"/>
      <c r="R175" s="46"/>
    </row>
    <row r="176" spans="2:25" ht="14.25" x14ac:dyDescent="0.2">
      <c r="D176" s="45"/>
      <c r="J176" s="47"/>
      <c r="L176" s="49"/>
    </row>
  </sheetData>
  <mergeCells count="223">
    <mergeCell ref="D174:I174"/>
    <mergeCell ref="J174:R174"/>
    <mergeCell ref="D171:I171"/>
    <mergeCell ref="J171:R171"/>
    <mergeCell ref="D172:I172"/>
    <mergeCell ref="J172:R172"/>
    <mergeCell ref="D173:I173"/>
    <mergeCell ref="J173:R173"/>
    <mergeCell ref="J164:R164"/>
    <mergeCell ref="J165:R165"/>
    <mergeCell ref="J167:R167"/>
    <mergeCell ref="J168:R168"/>
    <mergeCell ref="J169:R169"/>
    <mergeCell ref="J170:R170"/>
    <mergeCell ref="K158:R158"/>
    <mergeCell ref="K159:R159"/>
    <mergeCell ref="K160:R160"/>
    <mergeCell ref="B161:R161"/>
    <mergeCell ref="B162:B163"/>
    <mergeCell ref="C162:I162"/>
    <mergeCell ref="J162:R163"/>
    <mergeCell ref="L152:P152"/>
    <mergeCell ref="K153:R153"/>
    <mergeCell ref="K154:R154"/>
    <mergeCell ref="K155:R155"/>
    <mergeCell ref="K156:R156"/>
    <mergeCell ref="K157:R157"/>
    <mergeCell ref="L146:P146"/>
    <mergeCell ref="L147:P147"/>
    <mergeCell ref="L148:P148"/>
    <mergeCell ref="L149:P149"/>
    <mergeCell ref="L150:P150"/>
    <mergeCell ref="L151:P151"/>
    <mergeCell ref="L140:P140"/>
    <mergeCell ref="L141:P141"/>
    <mergeCell ref="L142:P142"/>
    <mergeCell ref="L143:P143"/>
    <mergeCell ref="L144:P144"/>
    <mergeCell ref="L145:P145"/>
    <mergeCell ref="B136:R136"/>
    <mergeCell ref="B137:B138"/>
    <mergeCell ref="C137:I137"/>
    <mergeCell ref="J137:R137"/>
    <mergeCell ref="L138:P138"/>
    <mergeCell ref="L139:P139"/>
    <mergeCell ref="H129:L129"/>
    <mergeCell ref="H130:L130"/>
    <mergeCell ref="H131:L131"/>
    <mergeCell ref="H132:L132"/>
    <mergeCell ref="H133:L133"/>
    <mergeCell ref="H134:L134"/>
    <mergeCell ref="H123:L123"/>
    <mergeCell ref="H124:L124"/>
    <mergeCell ref="H125:L125"/>
    <mergeCell ref="H126:L126"/>
    <mergeCell ref="H127:L127"/>
    <mergeCell ref="H128:L128"/>
    <mergeCell ref="H119:L119"/>
    <mergeCell ref="C120:D120"/>
    <mergeCell ref="E120:G120"/>
    <mergeCell ref="H120:L120"/>
    <mergeCell ref="H121:L121"/>
    <mergeCell ref="H122:L122"/>
    <mergeCell ref="H113:L113"/>
    <mergeCell ref="H114:L114"/>
    <mergeCell ref="H115:L115"/>
    <mergeCell ref="H116:L116"/>
    <mergeCell ref="H117:L117"/>
    <mergeCell ref="H118:L118"/>
    <mergeCell ref="H107:L107"/>
    <mergeCell ref="H108:L108"/>
    <mergeCell ref="H109:L109"/>
    <mergeCell ref="H110:L110"/>
    <mergeCell ref="H111:L111"/>
    <mergeCell ref="H112:L112"/>
    <mergeCell ref="H103:L103"/>
    <mergeCell ref="H104:L104"/>
    <mergeCell ref="C105:D105"/>
    <mergeCell ref="E105:G105"/>
    <mergeCell ref="H105:L105"/>
    <mergeCell ref="H106:L106"/>
    <mergeCell ref="C99:D99"/>
    <mergeCell ref="E99:G99"/>
    <mergeCell ref="H99:L99"/>
    <mergeCell ref="H100:L100"/>
    <mergeCell ref="H101:L101"/>
    <mergeCell ref="H102:L102"/>
    <mergeCell ref="H93:L93"/>
    <mergeCell ref="H94:L94"/>
    <mergeCell ref="H95:L95"/>
    <mergeCell ref="H96:L96"/>
    <mergeCell ref="H97:L97"/>
    <mergeCell ref="H98:L98"/>
    <mergeCell ref="H89:L89"/>
    <mergeCell ref="H90:L90"/>
    <mergeCell ref="C91:D91"/>
    <mergeCell ref="E91:G91"/>
    <mergeCell ref="H91:L91"/>
    <mergeCell ref="H92:L92"/>
    <mergeCell ref="H85:L85"/>
    <mergeCell ref="C86:D86"/>
    <mergeCell ref="E86:G86"/>
    <mergeCell ref="H86:L86"/>
    <mergeCell ref="H87:L87"/>
    <mergeCell ref="H88:L88"/>
    <mergeCell ref="C78:D78"/>
    <mergeCell ref="E78:G78"/>
    <mergeCell ref="H78:L78"/>
    <mergeCell ref="E79:F85"/>
    <mergeCell ref="H79:L79"/>
    <mergeCell ref="H80:L80"/>
    <mergeCell ref="H81:L81"/>
    <mergeCell ref="H82:L82"/>
    <mergeCell ref="H83:L83"/>
    <mergeCell ref="H84:L84"/>
    <mergeCell ref="H72:L72"/>
    <mergeCell ref="H73:L73"/>
    <mergeCell ref="H74:L74"/>
    <mergeCell ref="H75:L75"/>
    <mergeCell ref="H76:L76"/>
    <mergeCell ref="H77:L77"/>
    <mergeCell ref="C70:D70"/>
    <mergeCell ref="E70:G70"/>
    <mergeCell ref="H70:L70"/>
    <mergeCell ref="C71:D71"/>
    <mergeCell ref="E71:G71"/>
    <mergeCell ref="H71:L71"/>
    <mergeCell ref="H65:L65"/>
    <mergeCell ref="M65:N65"/>
    <mergeCell ref="H66:L66"/>
    <mergeCell ref="M66:N66"/>
    <mergeCell ref="M67:N67"/>
    <mergeCell ref="B69:L69"/>
    <mergeCell ref="M69:R69"/>
    <mergeCell ref="H62:L62"/>
    <mergeCell ref="M62:N62"/>
    <mergeCell ref="H63:L63"/>
    <mergeCell ref="M63:N63"/>
    <mergeCell ref="H64:L64"/>
    <mergeCell ref="M64:N64"/>
    <mergeCell ref="H59:L59"/>
    <mergeCell ref="M59:N59"/>
    <mergeCell ref="H60:L60"/>
    <mergeCell ref="M60:N60"/>
    <mergeCell ref="H61:L61"/>
    <mergeCell ref="M61:N61"/>
    <mergeCell ref="H56:L56"/>
    <mergeCell ref="M56:N56"/>
    <mergeCell ref="H57:L57"/>
    <mergeCell ref="M57:N57"/>
    <mergeCell ref="H58:L58"/>
    <mergeCell ref="M58:N58"/>
    <mergeCell ref="H53:L53"/>
    <mergeCell ref="M53:N53"/>
    <mergeCell ref="H54:L54"/>
    <mergeCell ref="M54:N54"/>
    <mergeCell ref="H55:L55"/>
    <mergeCell ref="M55:N55"/>
    <mergeCell ref="H50:L50"/>
    <mergeCell ref="M50:N50"/>
    <mergeCell ref="H51:L51"/>
    <mergeCell ref="M51:N51"/>
    <mergeCell ref="C52:D52"/>
    <mergeCell ref="E52:G52"/>
    <mergeCell ref="H52:L52"/>
    <mergeCell ref="M52:N52"/>
    <mergeCell ref="H47:L47"/>
    <mergeCell ref="M47:N47"/>
    <mergeCell ref="H48:L48"/>
    <mergeCell ref="M48:N48"/>
    <mergeCell ref="H49:L49"/>
    <mergeCell ref="M49:N49"/>
    <mergeCell ref="H44:L44"/>
    <mergeCell ref="M44:N44"/>
    <mergeCell ref="H45:L45"/>
    <mergeCell ref="M45:N45"/>
    <mergeCell ref="H46:L46"/>
    <mergeCell ref="M46:N46"/>
    <mergeCell ref="H41:L41"/>
    <mergeCell ref="M41:N41"/>
    <mergeCell ref="H42:L42"/>
    <mergeCell ref="M42:N42"/>
    <mergeCell ref="C43:D43"/>
    <mergeCell ref="E43:G43"/>
    <mergeCell ref="H43:L43"/>
    <mergeCell ref="M43:N43"/>
    <mergeCell ref="H38:L38"/>
    <mergeCell ref="M38:N38"/>
    <mergeCell ref="H39:L39"/>
    <mergeCell ref="M39:N39"/>
    <mergeCell ref="H40:L40"/>
    <mergeCell ref="M40:N40"/>
    <mergeCell ref="C36:D36"/>
    <mergeCell ref="E36:G36"/>
    <mergeCell ref="H36:L36"/>
    <mergeCell ref="M36:N36"/>
    <mergeCell ref="H37:L37"/>
    <mergeCell ref="M37:N37"/>
    <mergeCell ref="H33:L33"/>
    <mergeCell ref="M33:N33"/>
    <mergeCell ref="H34:L34"/>
    <mergeCell ref="M34:N34"/>
    <mergeCell ref="H35:L35"/>
    <mergeCell ref="M35:N35"/>
    <mergeCell ref="H32:L32"/>
    <mergeCell ref="M32:N32"/>
    <mergeCell ref="B27:R27"/>
    <mergeCell ref="B29:L29"/>
    <mergeCell ref="M29:N29"/>
    <mergeCell ref="C30:D30"/>
    <mergeCell ref="E30:G30"/>
    <mergeCell ref="H30:L30"/>
    <mergeCell ref="M30:N30"/>
    <mergeCell ref="O2:R2"/>
    <mergeCell ref="B4:R4"/>
    <mergeCell ref="B5:R5"/>
    <mergeCell ref="G6:R7"/>
    <mergeCell ref="B13:R13"/>
    <mergeCell ref="B15:R15"/>
    <mergeCell ref="C31:D31"/>
    <mergeCell ref="E31:G31"/>
    <mergeCell ref="H31:L31"/>
    <mergeCell ref="M31:N31"/>
  </mergeCells>
  <dataValidations count="15">
    <dataValidation type="list" allowBlank="1" showInputMessage="1" showErrorMessage="1" sqref="H71:L71">
      <formula1>$H$72:$H$77</formula1>
    </dataValidation>
    <dataValidation type="list" allowBlank="1" showInputMessage="1" showErrorMessage="1" sqref="H78:L78">
      <formula1>$H$79:$H$85</formula1>
    </dataValidation>
    <dataValidation type="list" allowBlank="1" showInputMessage="1" showErrorMessage="1" sqref="H86:L86">
      <formula1>$H$87:$H$90</formula1>
    </dataValidation>
    <dataValidation type="list" allowBlank="1" showInputMessage="1" showErrorMessage="1" sqref="H91:L91">
      <formula1>$H$92:$H$98</formula1>
    </dataValidation>
    <dataValidation type="list" allowBlank="1" showInputMessage="1" showErrorMessage="1" sqref="H99:L99">
      <formula1>$H$100:$H$104</formula1>
    </dataValidation>
    <dataValidation type="list" allowBlank="1" showInputMessage="1" showErrorMessage="1" sqref="H105:L105">
      <formula1>$H$106:$H$119</formula1>
    </dataValidation>
    <dataValidation type="list" allowBlank="1" showInputMessage="1" showErrorMessage="1" sqref="H120:L120">
      <formula1>$H$121:$H$134</formula1>
    </dataValidation>
    <dataValidation type="list" allowBlank="1" showInputMessage="1" showErrorMessage="1" sqref="R139:R152">
      <formula1>$W$140:$W$141</formula1>
    </dataValidation>
    <dataValidation type="list" allowBlank="1" showInputMessage="1" showErrorMessage="1" sqref="B16:C16">
      <formula1>$B$17:$B$18</formula1>
    </dataValidation>
    <dataValidation type="list" allowBlank="1" showInputMessage="1" showErrorMessage="1" sqref="H19">
      <formula1>$H$20:$H$21</formula1>
    </dataValidation>
    <dataValidation type="list" allowBlank="1" showInputMessage="1" showErrorMessage="1" sqref="D24:I24">
      <formula1>$D$25:$D$26</formula1>
    </dataValidation>
    <dataValidation type="list" allowBlank="1" showInputMessage="1" showErrorMessage="1" sqref="H31:L31">
      <formula1>$H$32:$H$35</formula1>
    </dataValidation>
    <dataValidation type="list" allowBlank="1" showInputMessage="1" showErrorMessage="1" sqref="H36:L36">
      <formula1>$H$37:$H$42</formula1>
    </dataValidation>
    <dataValidation type="list" allowBlank="1" showInputMessage="1" showErrorMessage="1" sqref="H43:L43">
      <formula1>$H$44:$H$51</formula1>
    </dataValidation>
    <dataValidation type="list" allowBlank="1" showInputMessage="1" showErrorMessage="1" sqref="H52:L52">
      <formula1>$H$53:$H$66</formula1>
    </dataValidation>
  </dataValidations>
  <pageMargins left="0.7" right="0.7" top="0.75" bottom="0.75" header="0.3" footer="0.3"/>
  <pageSetup paperSize="9" scale="54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IV244"/>
  <sheetViews>
    <sheetView topLeftCell="A209" zoomScale="85" zoomScaleNormal="85" workbookViewId="0">
      <selection activeCell="J241" sqref="J241"/>
    </sheetView>
  </sheetViews>
  <sheetFormatPr defaultColWidth="9.140625" defaultRowHeight="12.75" x14ac:dyDescent="0.2"/>
  <cols>
    <col min="1" max="1" width="9.140625" style="58"/>
    <col min="2" max="2" width="34.85546875" style="58" customWidth="1"/>
    <col min="3" max="3" width="42.85546875" style="59" customWidth="1"/>
    <col min="4" max="4" width="26.5703125" style="92" customWidth="1"/>
    <col min="5" max="5" width="17.42578125" style="92" customWidth="1"/>
    <col min="6" max="6" width="9.140625" style="58"/>
    <col min="7" max="7" width="11.7109375" style="58" bestFit="1" customWidth="1"/>
    <col min="8" max="219" width="9.140625" style="58"/>
    <col min="220" max="220" width="28" style="58" customWidth="1"/>
    <col min="221" max="221" width="52" style="58" customWidth="1"/>
    <col min="222" max="222" width="27.28515625" style="58" customWidth="1"/>
    <col min="223" max="223" width="20.5703125" style="58" customWidth="1"/>
    <col min="224" max="225" width="9.140625" style="58"/>
    <col min="226" max="226" width="11.5703125" style="58" bestFit="1" customWidth="1"/>
    <col min="227" max="257" width="9.140625" style="58"/>
    <col min="258" max="258" width="28.7109375" style="58" customWidth="1"/>
    <col min="259" max="259" width="42.85546875" style="58" customWidth="1"/>
    <col min="260" max="260" width="26.28515625" style="58" customWidth="1"/>
    <col min="261" max="261" width="17.42578125" style="58" customWidth="1"/>
    <col min="262" max="475" width="9.140625" style="58"/>
    <col min="476" max="476" width="28" style="58" customWidth="1"/>
    <col min="477" max="477" width="52" style="58" customWidth="1"/>
    <col min="478" max="478" width="27.28515625" style="58" customWidth="1"/>
    <col min="479" max="479" width="20.5703125" style="58" customWidth="1"/>
    <col min="480" max="481" width="9.140625" style="58"/>
    <col min="482" max="482" width="11.5703125" style="58" bestFit="1" customWidth="1"/>
    <col min="483" max="513" width="9.140625" style="58"/>
    <col min="514" max="514" width="28.7109375" style="58" customWidth="1"/>
    <col min="515" max="515" width="42.85546875" style="58" customWidth="1"/>
    <col min="516" max="516" width="26.28515625" style="58" customWidth="1"/>
    <col min="517" max="517" width="17.42578125" style="58" customWidth="1"/>
    <col min="518" max="731" width="9.140625" style="58"/>
    <col min="732" max="732" width="28" style="58" customWidth="1"/>
    <col min="733" max="733" width="52" style="58" customWidth="1"/>
    <col min="734" max="734" width="27.28515625" style="58" customWidth="1"/>
    <col min="735" max="735" width="20.5703125" style="58" customWidth="1"/>
    <col min="736" max="737" width="9.140625" style="58"/>
    <col min="738" max="738" width="11.5703125" style="58" bestFit="1" customWidth="1"/>
    <col min="739" max="769" width="9.140625" style="58"/>
    <col min="770" max="770" width="28.7109375" style="58" customWidth="1"/>
    <col min="771" max="771" width="42.85546875" style="58" customWidth="1"/>
    <col min="772" max="772" width="26.28515625" style="58" customWidth="1"/>
    <col min="773" max="773" width="17.42578125" style="58" customWidth="1"/>
    <col min="774" max="987" width="9.140625" style="58"/>
    <col min="988" max="988" width="28" style="58" customWidth="1"/>
    <col min="989" max="989" width="52" style="58" customWidth="1"/>
    <col min="990" max="990" width="27.28515625" style="58" customWidth="1"/>
    <col min="991" max="991" width="20.5703125" style="58" customWidth="1"/>
    <col min="992" max="993" width="9.140625" style="58"/>
    <col min="994" max="994" width="11.5703125" style="58" bestFit="1" customWidth="1"/>
    <col min="995" max="1025" width="9.140625" style="58"/>
    <col min="1026" max="1026" width="28.7109375" style="58" customWidth="1"/>
    <col min="1027" max="1027" width="42.85546875" style="58" customWidth="1"/>
    <col min="1028" max="1028" width="26.28515625" style="58" customWidth="1"/>
    <col min="1029" max="1029" width="17.42578125" style="58" customWidth="1"/>
    <col min="1030" max="1243" width="9.140625" style="58"/>
    <col min="1244" max="1244" width="28" style="58" customWidth="1"/>
    <col min="1245" max="1245" width="52" style="58" customWidth="1"/>
    <col min="1246" max="1246" width="27.28515625" style="58" customWidth="1"/>
    <col min="1247" max="1247" width="20.5703125" style="58" customWidth="1"/>
    <col min="1248" max="1249" width="9.140625" style="58"/>
    <col min="1250" max="1250" width="11.5703125" style="58" bestFit="1" customWidth="1"/>
    <col min="1251" max="1281" width="9.140625" style="58"/>
    <col min="1282" max="1282" width="28.7109375" style="58" customWidth="1"/>
    <col min="1283" max="1283" width="42.85546875" style="58" customWidth="1"/>
    <col min="1284" max="1284" width="26.28515625" style="58" customWidth="1"/>
    <col min="1285" max="1285" width="17.42578125" style="58" customWidth="1"/>
    <col min="1286" max="1499" width="9.140625" style="58"/>
    <col min="1500" max="1500" width="28" style="58" customWidth="1"/>
    <col min="1501" max="1501" width="52" style="58" customWidth="1"/>
    <col min="1502" max="1502" width="27.28515625" style="58" customWidth="1"/>
    <col min="1503" max="1503" width="20.5703125" style="58" customWidth="1"/>
    <col min="1504" max="1505" width="9.140625" style="58"/>
    <col min="1506" max="1506" width="11.5703125" style="58" bestFit="1" customWidth="1"/>
    <col min="1507" max="1537" width="9.140625" style="58"/>
    <col min="1538" max="1538" width="28.7109375" style="58" customWidth="1"/>
    <col min="1539" max="1539" width="42.85546875" style="58" customWidth="1"/>
    <col min="1540" max="1540" width="26.28515625" style="58" customWidth="1"/>
    <col min="1541" max="1541" width="17.42578125" style="58" customWidth="1"/>
    <col min="1542" max="1755" width="9.140625" style="58"/>
    <col min="1756" max="1756" width="28" style="58" customWidth="1"/>
    <col min="1757" max="1757" width="52" style="58" customWidth="1"/>
    <col min="1758" max="1758" width="27.28515625" style="58" customWidth="1"/>
    <col min="1759" max="1759" width="20.5703125" style="58" customWidth="1"/>
    <col min="1760" max="1761" width="9.140625" style="58"/>
    <col min="1762" max="1762" width="11.5703125" style="58" bestFit="1" customWidth="1"/>
    <col min="1763" max="1793" width="9.140625" style="58"/>
    <col min="1794" max="1794" width="28.7109375" style="58" customWidth="1"/>
    <col min="1795" max="1795" width="42.85546875" style="58" customWidth="1"/>
    <col min="1796" max="1796" width="26.28515625" style="58" customWidth="1"/>
    <col min="1797" max="1797" width="17.42578125" style="58" customWidth="1"/>
    <col min="1798" max="2011" width="9.140625" style="58"/>
    <col min="2012" max="2012" width="28" style="58" customWidth="1"/>
    <col min="2013" max="2013" width="52" style="58" customWidth="1"/>
    <col min="2014" max="2014" width="27.28515625" style="58" customWidth="1"/>
    <col min="2015" max="2015" width="20.5703125" style="58" customWidth="1"/>
    <col min="2016" max="2017" width="9.140625" style="58"/>
    <col min="2018" max="2018" width="11.5703125" style="58" bestFit="1" customWidth="1"/>
    <col min="2019" max="2049" width="9.140625" style="58"/>
    <col min="2050" max="2050" width="28.7109375" style="58" customWidth="1"/>
    <col min="2051" max="2051" width="42.85546875" style="58" customWidth="1"/>
    <col min="2052" max="2052" width="26.28515625" style="58" customWidth="1"/>
    <col min="2053" max="2053" width="17.42578125" style="58" customWidth="1"/>
    <col min="2054" max="2267" width="9.140625" style="58"/>
    <col min="2268" max="2268" width="28" style="58" customWidth="1"/>
    <col min="2269" max="2269" width="52" style="58" customWidth="1"/>
    <col min="2270" max="2270" width="27.28515625" style="58" customWidth="1"/>
    <col min="2271" max="2271" width="20.5703125" style="58" customWidth="1"/>
    <col min="2272" max="2273" width="9.140625" style="58"/>
    <col min="2274" max="2274" width="11.5703125" style="58" bestFit="1" customWidth="1"/>
    <col min="2275" max="2305" width="9.140625" style="58"/>
    <col min="2306" max="2306" width="28.7109375" style="58" customWidth="1"/>
    <col min="2307" max="2307" width="42.85546875" style="58" customWidth="1"/>
    <col min="2308" max="2308" width="26.28515625" style="58" customWidth="1"/>
    <col min="2309" max="2309" width="17.42578125" style="58" customWidth="1"/>
    <col min="2310" max="2523" width="9.140625" style="58"/>
    <col min="2524" max="2524" width="28" style="58" customWidth="1"/>
    <col min="2525" max="2525" width="52" style="58" customWidth="1"/>
    <col min="2526" max="2526" width="27.28515625" style="58" customWidth="1"/>
    <col min="2527" max="2527" width="20.5703125" style="58" customWidth="1"/>
    <col min="2528" max="2529" width="9.140625" style="58"/>
    <col min="2530" max="2530" width="11.5703125" style="58" bestFit="1" customWidth="1"/>
    <col min="2531" max="2561" width="9.140625" style="58"/>
    <col min="2562" max="2562" width="28.7109375" style="58" customWidth="1"/>
    <col min="2563" max="2563" width="42.85546875" style="58" customWidth="1"/>
    <col min="2564" max="2564" width="26.28515625" style="58" customWidth="1"/>
    <col min="2565" max="2565" width="17.42578125" style="58" customWidth="1"/>
    <col min="2566" max="2779" width="9.140625" style="58"/>
    <col min="2780" max="2780" width="28" style="58" customWidth="1"/>
    <col min="2781" max="2781" width="52" style="58" customWidth="1"/>
    <col min="2782" max="2782" width="27.28515625" style="58" customWidth="1"/>
    <col min="2783" max="2783" width="20.5703125" style="58" customWidth="1"/>
    <col min="2784" max="2785" width="9.140625" style="58"/>
    <col min="2786" max="2786" width="11.5703125" style="58" bestFit="1" customWidth="1"/>
    <col min="2787" max="2817" width="9.140625" style="58"/>
    <col min="2818" max="2818" width="28.7109375" style="58" customWidth="1"/>
    <col min="2819" max="2819" width="42.85546875" style="58" customWidth="1"/>
    <col min="2820" max="2820" width="26.28515625" style="58" customWidth="1"/>
    <col min="2821" max="2821" width="17.42578125" style="58" customWidth="1"/>
    <col min="2822" max="3035" width="9.140625" style="58"/>
    <col min="3036" max="3036" width="28" style="58" customWidth="1"/>
    <col min="3037" max="3037" width="52" style="58" customWidth="1"/>
    <col min="3038" max="3038" width="27.28515625" style="58" customWidth="1"/>
    <col min="3039" max="3039" width="20.5703125" style="58" customWidth="1"/>
    <col min="3040" max="3041" width="9.140625" style="58"/>
    <col min="3042" max="3042" width="11.5703125" style="58" bestFit="1" customWidth="1"/>
    <col min="3043" max="3073" width="9.140625" style="58"/>
    <col min="3074" max="3074" width="28.7109375" style="58" customWidth="1"/>
    <col min="3075" max="3075" width="42.85546875" style="58" customWidth="1"/>
    <col min="3076" max="3076" width="26.28515625" style="58" customWidth="1"/>
    <col min="3077" max="3077" width="17.42578125" style="58" customWidth="1"/>
    <col min="3078" max="3291" width="9.140625" style="58"/>
    <col min="3292" max="3292" width="28" style="58" customWidth="1"/>
    <col min="3293" max="3293" width="52" style="58" customWidth="1"/>
    <col min="3294" max="3294" width="27.28515625" style="58" customWidth="1"/>
    <col min="3295" max="3295" width="20.5703125" style="58" customWidth="1"/>
    <col min="3296" max="3297" width="9.140625" style="58"/>
    <col min="3298" max="3298" width="11.5703125" style="58" bestFit="1" customWidth="1"/>
    <col min="3299" max="3329" width="9.140625" style="58"/>
    <col min="3330" max="3330" width="28.7109375" style="58" customWidth="1"/>
    <col min="3331" max="3331" width="42.85546875" style="58" customWidth="1"/>
    <col min="3332" max="3332" width="26.28515625" style="58" customWidth="1"/>
    <col min="3333" max="3333" width="17.42578125" style="58" customWidth="1"/>
    <col min="3334" max="3547" width="9.140625" style="58"/>
    <col min="3548" max="3548" width="28" style="58" customWidth="1"/>
    <col min="3549" max="3549" width="52" style="58" customWidth="1"/>
    <col min="3550" max="3550" width="27.28515625" style="58" customWidth="1"/>
    <col min="3551" max="3551" width="20.5703125" style="58" customWidth="1"/>
    <col min="3552" max="3553" width="9.140625" style="58"/>
    <col min="3554" max="3554" width="11.5703125" style="58" bestFit="1" customWidth="1"/>
    <col min="3555" max="3585" width="9.140625" style="58"/>
    <col min="3586" max="3586" width="28.7109375" style="58" customWidth="1"/>
    <col min="3587" max="3587" width="42.85546875" style="58" customWidth="1"/>
    <col min="3588" max="3588" width="26.28515625" style="58" customWidth="1"/>
    <col min="3589" max="3589" width="17.42578125" style="58" customWidth="1"/>
    <col min="3590" max="3803" width="9.140625" style="58"/>
    <col min="3804" max="3804" width="28" style="58" customWidth="1"/>
    <col min="3805" max="3805" width="52" style="58" customWidth="1"/>
    <col min="3806" max="3806" width="27.28515625" style="58" customWidth="1"/>
    <col min="3807" max="3807" width="20.5703125" style="58" customWidth="1"/>
    <col min="3808" max="3809" width="9.140625" style="58"/>
    <col min="3810" max="3810" width="11.5703125" style="58" bestFit="1" customWidth="1"/>
    <col min="3811" max="3841" width="9.140625" style="58"/>
    <col min="3842" max="3842" width="28.7109375" style="58" customWidth="1"/>
    <col min="3843" max="3843" width="42.85546875" style="58" customWidth="1"/>
    <col min="3844" max="3844" width="26.28515625" style="58" customWidth="1"/>
    <col min="3845" max="3845" width="17.42578125" style="58" customWidth="1"/>
    <col min="3846" max="4059" width="9.140625" style="58"/>
    <col min="4060" max="4060" width="28" style="58" customWidth="1"/>
    <col min="4061" max="4061" width="52" style="58" customWidth="1"/>
    <col min="4062" max="4062" width="27.28515625" style="58" customWidth="1"/>
    <col min="4063" max="4063" width="20.5703125" style="58" customWidth="1"/>
    <col min="4064" max="4065" width="9.140625" style="58"/>
    <col min="4066" max="4066" width="11.5703125" style="58" bestFit="1" customWidth="1"/>
    <col min="4067" max="4097" width="9.140625" style="58"/>
    <col min="4098" max="4098" width="28.7109375" style="58" customWidth="1"/>
    <col min="4099" max="4099" width="42.85546875" style="58" customWidth="1"/>
    <col min="4100" max="4100" width="26.28515625" style="58" customWidth="1"/>
    <col min="4101" max="4101" width="17.42578125" style="58" customWidth="1"/>
    <col min="4102" max="4315" width="9.140625" style="58"/>
    <col min="4316" max="4316" width="28" style="58" customWidth="1"/>
    <col min="4317" max="4317" width="52" style="58" customWidth="1"/>
    <col min="4318" max="4318" width="27.28515625" style="58" customWidth="1"/>
    <col min="4319" max="4319" width="20.5703125" style="58" customWidth="1"/>
    <col min="4320" max="4321" width="9.140625" style="58"/>
    <col min="4322" max="4322" width="11.5703125" style="58" bestFit="1" customWidth="1"/>
    <col min="4323" max="4353" width="9.140625" style="58"/>
    <col min="4354" max="4354" width="28.7109375" style="58" customWidth="1"/>
    <col min="4355" max="4355" width="42.85546875" style="58" customWidth="1"/>
    <col min="4356" max="4356" width="26.28515625" style="58" customWidth="1"/>
    <col min="4357" max="4357" width="17.42578125" style="58" customWidth="1"/>
    <col min="4358" max="4571" width="9.140625" style="58"/>
    <col min="4572" max="4572" width="28" style="58" customWidth="1"/>
    <col min="4573" max="4573" width="52" style="58" customWidth="1"/>
    <col min="4574" max="4574" width="27.28515625" style="58" customWidth="1"/>
    <col min="4575" max="4575" width="20.5703125" style="58" customWidth="1"/>
    <col min="4576" max="4577" width="9.140625" style="58"/>
    <col min="4578" max="4578" width="11.5703125" style="58" bestFit="1" customWidth="1"/>
    <col min="4579" max="4609" width="9.140625" style="58"/>
    <col min="4610" max="4610" width="28.7109375" style="58" customWidth="1"/>
    <col min="4611" max="4611" width="42.85546875" style="58" customWidth="1"/>
    <col min="4612" max="4612" width="26.28515625" style="58" customWidth="1"/>
    <col min="4613" max="4613" width="17.42578125" style="58" customWidth="1"/>
    <col min="4614" max="4827" width="9.140625" style="58"/>
    <col min="4828" max="4828" width="28" style="58" customWidth="1"/>
    <col min="4829" max="4829" width="52" style="58" customWidth="1"/>
    <col min="4830" max="4830" width="27.28515625" style="58" customWidth="1"/>
    <col min="4831" max="4831" width="20.5703125" style="58" customWidth="1"/>
    <col min="4832" max="4833" width="9.140625" style="58"/>
    <col min="4834" max="4834" width="11.5703125" style="58" bestFit="1" customWidth="1"/>
    <col min="4835" max="4865" width="9.140625" style="58"/>
    <col min="4866" max="4866" width="28.7109375" style="58" customWidth="1"/>
    <col min="4867" max="4867" width="42.85546875" style="58" customWidth="1"/>
    <col min="4868" max="4868" width="26.28515625" style="58" customWidth="1"/>
    <col min="4869" max="4869" width="17.42578125" style="58" customWidth="1"/>
    <col min="4870" max="5083" width="9.140625" style="58"/>
    <col min="5084" max="5084" width="28" style="58" customWidth="1"/>
    <col min="5085" max="5085" width="52" style="58" customWidth="1"/>
    <col min="5086" max="5086" width="27.28515625" style="58" customWidth="1"/>
    <col min="5087" max="5087" width="20.5703125" style="58" customWidth="1"/>
    <col min="5088" max="5089" width="9.140625" style="58"/>
    <col min="5090" max="5090" width="11.5703125" style="58" bestFit="1" customWidth="1"/>
    <col min="5091" max="5121" width="9.140625" style="58"/>
    <col min="5122" max="5122" width="28.7109375" style="58" customWidth="1"/>
    <col min="5123" max="5123" width="42.85546875" style="58" customWidth="1"/>
    <col min="5124" max="5124" width="26.28515625" style="58" customWidth="1"/>
    <col min="5125" max="5125" width="17.42578125" style="58" customWidth="1"/>
    <col min="5126" max="5339" width="9.140625" style="58"/>
    <col min="5340" max="5340" width="28" style="58" customWidth="1"/>
    <col min="5341" max="5341" width="52" style="58" customWidth="1"/>
    <col min="5342" max="5342" width="27.28515625" style="58" customWidth="1"/>
    <col min="5343" max="5343" width="20.5703125" style="58" customWidth="1"/>
    <col min="5344" max="5345" width="9.140625" style="58"/>
    <col min="5346" max="5346" width="11.5703125" style="58" bestFit="1" customWidth="1"/>
    <col min="5347" max="5377" width="9.140625" style="58"/>
    <col min="5378" max="5378" width="28.7109375" style="58" customWidth="1"/>
    <col min="5379" max="5379" width="42.85546875" style="58" customWidth="1"/>
    <col min="5380" max="5380" width="26.28515625" style="58" customWidth="1"/>
    <col min="5381" max="5381" width="17.42578125" style="58" customWidth="1"/>
    <col min="5382" max="5595" width="9.140625" style="58"/>
    <col min="5596" max="5596" width="28" style="58" customWidth="1"/>
    <col min="5597" max="5597" width="52" style="58" customWidth="1"/>
    <col min="5598" max="5598" width="27.28515625" style="58" customWidth="1"/>
    <col min="5599" max="5599" width="20.5703125" style="58" customWidth="1"/>
    <col min="5600" max="5601" width="9.140625" style="58"/>
    <col min="5602" max="5602" width="11.5703125" style="58" bestFit="1" customWidth="1"/>
    <col min="5603" max="5633" width="9.140625" style="58"/>
    <col min="5634" max="5634" width="28.7109375" style="58" customWidth="1"/>
    <col min="5635" max="5635" width="42.85546875" style="58" customWidth="1"/>
    <col min="5636" max="5636" width="26.28515625" style="58" customWidth="1"/>
    <col min="5637" max="5637" width="17.42578125" style="58" customWidth="1"/>
    <col min="5638" max="5851" width="9.140625" style="58"/>
    <col min="5852" max="5852" width="28" style="58" customWidth="1"/>
    <col min="5853" max="5853" width="52" style="58" customWidth="1"/>
    <col min="5854" max="5854" width="27.28515625" style="58" customWidth="1"/>
    <col min="5855" max="5855" width="20.5703125" style="58" customWidth="1"/>
    <col min="5856" max="5857" width="9.140625" style="58"/>
    <col min="5858" max="5858" width="11.5703125" style="58" bestFit="1" customWidth="1"/>
    <col min="5859" max="5889" width="9.140625" style="58"/>
    <col min="5890" max="5890" width="28.7109375" style="58" customWidth="1"/>
    <col min="5891" max="5891" width="42.85546875" style="58" customWidth="1"/>
    <col min="5892" max="5892" width="26.28515625" style="58" customWidth="1"/>
    <col min="5893" max="5893" width="17.42578125" style="58" customWidth="1"/>
    <col min="5894" max="6107" width="9.140625" style="58"/>
    <col min="6108" max="6108" width="28" style="58" customWidth="1"/>
    <col min="6109" max="6109" width="52" style="58" customWidth="1"/>
    <col min="6110" max="6110" width="27.28515625" style="58" customWidth="1"/>
    <col min="6111" max="6111" width="20.5703125" style="58" customWidth="1"/>
    <col min="6112" max="6113" width="9.140625" style="58"/>
    <col min="6114" max="6114" width="11.5703125" style="58" bestFit="1" customWidth="1"/>
    <col min="6115" max="6145" width="9.140625" style="58"/>
    <col min="6146" max="6146" width="28.7109375" style="58" customWidth="1"/>
    <col min="6147" max="6147" width="42.85546875" style="58" customWidth="1"/>
    <col min="6148" max="6148" width="26.28515625" style="58" customWidth="1"/>
    <col min="6149" max="6149" width="17.42578125" style="58" customWidth="1"/>
    <col min="6150" max="6363" width="9.140625" style="58"/>
    <col min="6364" max="6364" width="28" style="58" customWidth="1"/>
    <col min="6365" max="6365" width="52" style="58" customWidth="1"/>
    <col min="6366" max="6366" width="27.28515625" style="58" customWidth="1"/>
    <col min="6367" max="6367" width="20.5703125" style="58" customWidth="1"/>
    <col min="6368" max="6369" width="9.140625" style="58"/>
    <col min="6370" max="6370" width="11.5703125" style="58" bestFit="1" customWidth="1"/>
    <col min="6371" max="6401" width="9.140625" style="58"/>
    <col min="6402" max="6402" width="28.7109375" style="58" customWidth="1"/>
    <col min="6403" max="6403" width="42.85546875" style="58" customWidth="1"/>
    <col min="6404" max="6404" width="26.28515625" style="58" customWidth="1"/>
    <col min="6405" max="6405" width="17.42578125" style="58" customWidth="1"/>
    <col min="6406" max="6619" width="9.140625" style="58"/>
    <col min="6620" max="6620" width="28" style="58" customWidth="1"/>
    <col min="6621" max="6621" width="52" style="58" customWidth="1"/>
    <col min="6622" max="6622" width="27.28515625" style="58" customWidth="1"/>
    <col min="6623" max="6623" width="20.5703125" style="58" customWidth="1"/>
    <col min="6624" max="6625" width="9.140625" style="58"/>
    <col min="6626" max="6626" width="11.5703125" style="58" bestFit="1" customWidth="1"/>
    <col min="6627" max="6657" width="9.140625" style="58"/>
    <col min="6658" max="6658" width="28.7109375" style="58" customWidth="1"/>
    <col min="6659" max="6659" width="42.85546875" style="58" customWidth="1"/>
    <col min="6660" max="6660" width="26.28515625" style="58" customWidth="1"/>
    <col min="6661" max="6661" width="17.42578125" style="58" customWidth="1"/>
    <col min="6662" max="6875" width="9.140625" style="58"/>
    <col min="6876" max="6876" width="28" style="58" customWidth="1"/>
    <col min="6877" max="6877" width="52" style="58" customWidth="1"/>
    <col min="6878" max="6878" width="27.28515625" style="58" customWidth="1"/>
    <col min="6879" max="6879" width="20.5703125" style="58" customWidth="1"/>
    <col min="6880" max="6881" width="9.140625" style="58"/>
    <col min="6882" max="6882" width="11.5703125" style="58" bestFit="1" customWidth="1"/>
    <col min="6883" max="6913" width="9.140625" style="58"/>
    <col min="6914" max="6914" width="28.7109375" style="58" customWidth="1"/>
    <col min="6915" max="6915" width="42.85546875" style="58" customWidth="1"/>
    <col min="6916" max="6916" width="26.28515625" style="58" customWidth="1"/>
    <col min="6917" max="6917" width="17.42578125" style="58" customWidth="1"/>
    <col min="6918" max="7131" width="9.140625" style="58"/>
    <col min="7132" max="7132" width="28" style="58" customWidth="1"/>
    <col min="7133" max="7133" width="52" style="58" customWidth="1"/>
    <col min="7134" max="7134" width="27.28515625" style="58" customWidth="1"/>
    <col min="7135" max="7135" width="20.5703125" style="58" customWidth="1"/>
    <col min="7136" max="7137" width="9.140625" style="58"/>
    <col min="7138" max="7138" width="11.5703125" style="58" bestFit="1" customWidth="1"/>
    <col min="7139" max="7169" width="9.140625" style="58"/>
    <col min="7170" max="7170" width="28.7109375" style="58" customWidth="1"/>
    <col min="7171" max="7171" width="42.85546875" style="58" customWidth="1"/>
    <col min="7172" max="7172" width="26.28515625" style="58" customWidth="1"/>
    <col min="7173" max="7173" width="17.42578125" style="58" customWidth="1"/>
    <col min="7174" max="7387" width="9.140625" style="58"/>
    <col min="7388" max="7388" width="28" style="58" customWidth="1"/>
    <col min="7389" max="7389" width="52" style="58" customWidth="1"/>
    <col min="7390" max="7390" width="27.28515625" style="58" customWidth="1"/>
    <col min="7391" max="7391" width="20.5703125" style="58" customWidth="1"/>
    <col min="7392" max="7393" width="9.140625" style="58"/>
    <col min="7394" max="7394" width="11.5703125" style="58" bestFit="1" customWidth="1"/>
    <col min="7395" max="7425" width="9.140625" style="58"/>
    <col min="7426" max="7426" width="28.7109375" style="58" customWidth="1"/>
    <col min="7427" max="7427" width="42.85546875" style="58" customWidth="1"/>
    <col min="7428" max="7428" width="26.28515625" style="58" customWidth="1"/>
    <col min="7429" max="7429" width="17.42578125" style="58" customWidth="1"/>
    <col min="7430" max="7643" width="9.140625" style="58"/>
    <col min="7644" max="7644" width="28" style="58" customWidth="1"/>
    <col min="7645" max="7645" width="52" style="58" customWidth="1"/>
    <col min="7646" max="7646" width="27.28515625" style="58" customWidth="1"/>
    <col min="7647" max="7647" width="20.5703125" style="58" customWidth="1"/>
    <col min="7648" max="7649" width="9.140625" style="58"/>
    <col min="7650" max="7650" width="11.5703125" style="58" bestFit="1" customWidth="1"/>
    <col min="7651" max="7681" width="9.140625" style="58"/>
    <col min="7682" max="7682" width="28.7109375" style="58" customWidth="1"/>
    <col min="7683" max="7683" width="42.85546875" style="58" customWidth="1"/>
    <col min="7684" max="7684" width="26.28515625" style="58" customWidth="1"/>
    <col min="7685" max="7685" width="17.42578125" style="58" customWidth="1"/>
    <col min="7686" max="7899" width="9.140625" style="58"/>
    <col min="7900" max="7900" width="28" style="58" customWidth="1"/>
    <col min="7901" max="7901" width="52" style="58" customWidth="1"/>
    <col min="7902" max="7902" width="27.28515625" style="58" customWidth="1"/>
    <col min="7903" max="7903" width="20.5703125" style="58" customWidth="1"/>
    <col min="7904" max="7905" width="9.140625" style="58"/>
    <col min="7906" max="7906" width="11.5703125" style="58" bestFit="1" customWidth="1"/>
    <col min="7907" max="7937" width="9.140625" style="58"/>
    <col min="7938" max="7938" width="28.7109375" style="58" customWidth="1"/>
    <col min="7939" max="7939" width="42.85546875" style="58" customWidth="1"/>
    <col min="7940" max="7940" width="26.28515625" style="58" customWidth="1"/>
    <col min="7941" max="7941" width="17.42578125" style="58" customWidth="1"/>
    <col min="7942" max="8155" width="9.140625" style="58"/>
    <col min="8156" max="8156" width="28" style="58" customWidth="1"/>
    <col min="8157" max="8157" width="52" style="58" customWidth="1"/>
    <col min="8158" max="8158" width="27.28515625" style="58" customWidth="1"/>
    <col min="8159" max="8159" width="20.5703125" style="58" customWidth="1"/>
    <col min="8160" max="8161" width="9.140625" style="58"/>
    <col min="8162" max="8162" width="11.5703125" style="58" bestFit="1" customWidth="1"/>
    <col min="8163" max="8193" width="9.140625" style="58"/>
    <col min="8194" max="8194" width="28.7109375" style="58" customWidth="1"/>
    <col min="8195" max="8195" width="42.85546875" style="58" customWidth="1"/>
    <col min="8196" max="8196" width="26.28515625" style="58" customWidth="1"/>
    <col min="8197" max="8197" width="17.42578125" style="58" customWidth="1"/>
    <col min="8198" max="8411" width="9.140625" style="58"/>
    <col min="8412" max="8412" width="28" style="58" customWidth="1"/>
    <col min="8413" max="8413" width="52" style="58" customWidth="1"/>
    <col min="8414" max="8414" width="27.28515625" style="58" customWidth="1"/>
    <col min="8415" max="8415" width="20.5703125" style="58" customWidth="1"/>
    <col min="8416" max="8417" width="9.140625" style="58"/>
    <col min="8418" max="8418" width="11.5703125" style="58" bestFit="1" customWidth="1"/>
    <col min="8419" max="8449" width="9.140625" style="58"/>
    <col min="8450" max="8450" width="28.7109375" style="58" customWidth="1"/>
    <col min="8451" max="8451" width="42.85546875" style="58" customWidth="1"/>
    <col min="8452" max="8452" width="26.28515625" style="58" customWidth="1"/>
    <col min="8453" max="8453" width="17.42578125" style="58" customWidth="1"/>
    <col min="8454" max="8667" width="9.140625" style="58"/>
    <col min="8668" max="8668" width="28" style="58" customWidth="1"/>
    <col min="8669" max="8669" width="52" style="58" customWidth="1"/>
    <col min="8670" max="8670" width="27.28515625" style="58" customWidth="1"/>
    <col min="8671" max="8671" width="20.5703125" style="58" customWidth="1"/>
    <col min="8672" max="8673" width="9.140625" style="58"/>
    <col min="8674" max="8674" width="11.5703125" style="58" bestFit="1" customWidth="1"/>
    <col min="8675" max="8705" width="9.140625" style="58"/>
    <col min="8706" max="8706" width="28.7109375" style="58" customWidth="1"/>
    <col min="8707" max="8707" width="42.85546875" style="58" customWidth="1"/>
    <col min="8708" max="8708" width="26.28515625" style="58" customWidth="1"/>
    <col min="8709" max="8709" width="17.42578125" style="58" customWidth="1"/>
    <col min="8710" max="8923" width="9.140625" style="58"/>
    <col min="8924" max="8924" width="28" style="58" customWidth="1"/>
    <col min="8925" max="8925" width="52" style="58" customWidth="1"/>
    <col min="8926" max="8926" width="27.28515625" style="58" customWidth="1"/>
    <col min="8927" max="8927" width="20.5703125" style="58" customWidth="1"/>
    <col min="8928" max="8929" width="9.140625" style="58"/>
    <col min="8930" max="8930" width="11.5703125" style="58" bestFit="1" customWidth="1"/>
    <col min="8931" max="8961" width="9.140625" style="58"/>
    <col min="8962" max="8962" width="28.7109375" style="58" customWidth="1"/>
    <col min="8963" max="8963" width="42.85546875" style="58" customWidth="1"/>
    <col min="8964" max="8964" width="26.28515625" style="58" customWidth="1"/>
    <col min="8965" max="8965" width="17.42578125" style="58" customWidth="1"/>
    <col min="8966" max="9179" width="9.140625" style="58"/>
    <col min="9180" max="9180" width="28" style="58" customWidth="1"/>
    <col min="9181" max="9181" width="52" style="58" customWidth="1"/>
    <col min="9182" max="9182" width="27.28515625" style="58" customWidth="1"/>
    <col min="9183" max="9183" width="20.5703125" style="58" customWidth="1"/>
    <col min="9184" max="9185" width="9.140625" style="58"/>
    <col min="9186" max="9186" width="11.5703125" style="58" bestFit="1" customWidth="1"/>
    <col min="9187" max="9217" width="9.140625" style="58"/>
    <col min="9218" max="9218" width="28.7109375" style="58" customWidth="1"/>
    <col min="9219" max="9219" width="42.85546875" style="58" customWidth="1"/>
    <col min="9220" max="9220" width="26.28515625" style="58" customWidth="1"/>
    <col min="9221" max="9221" width="17.42578125" style="58" customWidth="1"/>
    <col min="9222" max="9435" width="9.140625" style="58"/>
    <col min="9436" max="9436" width="28" style="58" customWidth="1"/>
    <col min="9437" max="9437" width="52" style="58" customWidth="1"/>
    <col min="9438" max="9438" width="27.28515625" style="58" customWidth="1"/>
    <col min="9439" max="9439" width="20.5703125" style="58" customWidth="1"/>
    <col min="9440" max="9441" width="9.140625" style="58"/>
    <col min="9442" max="9442" width="11.5703125" style="58" bestFit="1" customWidth="1"/>
    <col min="9443" max="9473" width="9.140625" style="58"/>
    <col min="9474" max="9474" width="28.7109375" style="58" customWidth="1"/>
    <col min="9475" max="9475" width="42.85546875" style="58" customWidth="1"/>
    <col min="9476" max="9476" width="26.28515625" style="58" customWidth="1"/>
    <col min="9477" max="9477" width="17.42578125" style="58" customWidth="1"/>
    <col min="9478" max="9691" width="9.140625" style="58"/>
    <col min="9692" max="9692" width="28" style="58" customWidth="1"/>
    <col min="9693" max="9693" width="52" style="58" customWidth="1"/>
    <col min="9694" max="9694" width="27.28515625" style="58" customWidth="1"/>
    <col min="9695" max="9695" width="20.5703125" style="58" customWidth="1"/>
    <col min="9696" max="9697" width="9.140625" style="58"/>
    <col min="9698" max="9698" width="11.5703125" style="58" bestFit="1" customWidth="1"/>
    <col min="9699" max="9729" width="9.140625" style="58"/>
    <col min="9730" max="9730" width="28.7109375" style="58" customWidth="1"/>
    <col min="9731" max="9731" width="42.85546875" style="58" customWidth="1"/>
    <col min="9732" max="9732" width="26.28515625" style="58" customWidth="1"/>
    <col min="9733" max="9733" width="17.42578125" style="58" customWidth="1"/>
    <col min="9734" max="9947" width="9.140625" style="58"/>
    <col min="9948" max="9948" width="28" style="58" customWidth="1"/>
    <col min="9949" max="9949" width="52" style="58" customWidth="1"/>
    <col min="9950" max="9950" width="27.28515625" style="58" customWidth="1"/>
    <col min="9951" max="9951" width="20.5703125" style="58" customWidth="1"/>
    <col min="9952" max="9953" width="9.140625" style="58"/>
    <col min="9954" max="9954" width="11.5703125" style="58" bestFit="1" customWidth="1"/>
    <col min="9955" max="9985" width="9.140625" style="58"/>
    <col min="9986" max="9986" width="28.7109375" style="58" customWidth="1"/>
    <col min="9987" max="9987" width="42.85546875" style="58" customWidth="1"/>
    <col min="9988" max="9988" width="26.28515625" style="58" customWidth="1"/>
    <col min="9989" max="9989" width="17.42578125" style="58" customWidth="1"/>
    <col min="9990" max="10203" width="9.140625" style="58"/>
    <col min="10204" max="10204" width="28" style="58" customWidth="1"/>
    <col min="10205" max="10205" width="52" style="58" customWidth="1"/>
    <col min="10206" max="10206" width="27.28515625" style="58" customWidth="1"/>
    <col min="10207" max="10207" width="20.5703125" style="58" customWidth="1"/>
    <col min="10208" max="10209" width="9.140625" style="58"/>
    <col min="10210" max="10210" width="11.5703125" style="58" bestFit="1" customWidth="1"/>
    <col min="10211" max="10241" width="9.140625" style="58"/>
    <col min="10242" max="10242" width="28.7109375" style="58" customWidth="1"/>
    <col min="10243" max="10243" width="42.85546875" style="58" customWidth="1"/>
    <col min="10244" max="10244" width="26.28515625" style="58" customWidth="1"/>
    <col min="10245" max="10245" width="17.42578125" style="58" customWidth="1"/>
    <col min="10246" max="10459" width="9.140625" style="58"/>
    <col min="10460" max="10460" width="28" style="58" customWidth="1"/>
    <col min="10461" max="10461" width="52" style="58" customWidth="1"/>
    <col min="10462" max="10462" width="27.28515625" style="58" customWidth="1"/>
    <col min="10463" max="10463" width="20.5703125" style="58" customWidth="1"/>
    <col min="10464" max="10465" width="9.140625" style="58"/>
    <col min="10466" max="10466" width="11.5703125" style="58" bestFit="1" customWidth="1"/>
    <col min="10467" max="10497" width="9.140625" style="58"/>
    <col min="10498" max="10498" width="28.7109375" style="58" customWidth="1"/>
    <col min="10499" max="10499" width="42.85546875" style="58" customWidth="1"/>
    <col min="10500" max="10500" width="26.28515625" style="58" customWidth="1"/>
    <col min="10501" max="10501" width="17.42578125" style="58" customWidth="1"/>
    <col min="10502" max="10715" width="9.140625" style="58"/>
    <col min="10716" max="10716" width="28" style="58" customWidth="1"/>
    <col min="10717" max="10717" width="52" style="58" customWidth="1"/>
    <col min="10718" max="10718" width="27.28515625" style="58" customWidth="1"/>
    <col min="10719" max="10719" width="20.5703125" style="58" customWidth="1"/>
    <col min="10720" max="10721" width="9.140625" style="58"/>
    <col min="10722" max="10722" width="11.5703125" style="58" bestFit="1" customWidth="1"/>
    <col min="10723" max="10753" width="9.140625" style="58"/>
    <col min="10754" max="10754" width="28.7109375" style="58" customWidth="1"/>
    <col min="10755" max="10755" width="42.85546875" style="58" customWidth="1"/>
    <col min="10756" max="10756" width="26.28515625" style="58" customWidth="1"/>
    <col min="10757" max="10757" width="17.42578125" style="58" customWidth="1"/>
    <col min="10758" max="10971" width="9.140625" style="58"/>
    <col min="10972" max="10972" width="28" style="58" customWidth="1"/>
    <col min="10973" max="10973" width="52" style="58" customWidth="1"/>
    <col min="10974" max="10974" width="27.28515625" style="58" customWidth="1"/>
    <col min="10975" max="10975" width="20.5703125" style="58" customWidth="1"/>
    <col min="10976" max="10977" width="9.140625" style="58"/>
    <col min="10978" max="10978" width="11.5703125" style="58" bestFit="1" customWidth="1"/>
    <col min="10979" max="11009" width="9.140625" style="58"/>
    <col min="11010" max="11010" width="28.7109375" style="58" customWidth="1"/>
    <col min="11011" max="11011" width="42.85546875" style="58" customWidth="1"/>
    <col min="11012" max="11012" width="26.28515625" style="58" customWidth="1"/>
    <col min="11013" max="11013" width="17.42578125" style="58" customWidth="1"/>
    <col min="11014" max="11227" width="9.140625" style="58"/>
    <col min="11228" max="11228" width="28" style="58" customWidth="1"/>
    <col min="11229" max="11229" width="52" style="58" customWidth="1"/>
    <col min="11230" max="11230" width="27.28515625" style="58" customWidth="1"/>
    <col min="11231" max="11231" width="20.5703125" style="58" customWidth="1"/>
    <col min="11232" max="11233" width="9.140625" style="58"/>
    <col min="11234" max="11234" width="11.5703125" style="58" bestFit="1" customWidth="1"/>
    <col min="11235" max="11265" width="9.140625" style="58"/>
    <col min="11266" max="11266" width="28.7109375" style="58" customWidth="1"/>
    <col min="11267" max="11267" width="42.85546875" style="58" customWidth="1"/>
    <col min="11268" max="11268" width="26.28515625" style="58" customWidth="1"/>
    <col min="11269" max="11269" width="17.42578125" style="58" customWidth="1"/>
    <col min="11270" max="11483" width="9.140625" style="58"/>
    <col min="11484" max="11484" width="28" style="58" customWidth="1"/>
    <col min="11485" max="11485" width="52" style="58" customWidth="1"/>
    <col min="11486" max="11486" width="27.28515625" style="58" customWidth="1"/>
    <col min="11487" max="11487" width="20.5703125" style="58" customWidth="1"/>
    <col min="11488" max="11489" width="9.140625" style="58"/>
    <col min="11490" max="11490" width="11.5703125" style="58" bestFit="1" customWidth="1"/>
    <col min="11491" max="11521" width="9.140625" style="58"/>
    <col min="11522" max="11522" width="28.7109375" style="58" customWidth="1"/>
    <col min="11523" max="11523" width="42.85546875" style="58" customWidth="1"/>
    <col min="11524" max="11524" width="26.28515625" style="58" customWidth="1"/>
    <col min="11525" max="11525" width="17.42578125" style="58" customWidth="1"/>
    <col min="11526" max="11739" width="9.140625" style="58"/>
    <col min="11740" max="11740" width="28" style="58" customWidth="1"/>
    <col min="11741" max="11741" width="52" style="58" customWidth="1"/>
    <col min="11742" max="11742" width="27.28515625" style="58" customWidth="1"/>
    <col min="11743" max="11743" width="20.5703125" style="58" customWidth="1"/>
    <col min="11744" max="11745" width="9.140625" style="58"/>
    <col min="11746" max="11746" width="11.5703125" style="58" bestFit="1" customWidth="1"/>
    <col min="11747" max="11777" width="9.140625" style="58"/>
    <col min="11778" max="11778" width="28.7109375" style="58" customWidth="1"/>
    <col min="11779" max="11779" width="42.85546875" style="58" customWidth="1"/>
    <col min="11780" max="11780" width="26.28515625" style="58" customWidth="1"/>
    <col min="11781" max="11781" width="17.42578125" style="58" customWidth="1"/>
    <col min="11782" max="11995" width="9.140625" style="58"/>
    <col min="11996" max="11996" width="28" style="58" customWidth="1"/>
    <col min="11997" max="11997" width="52" style="58" customWidth="1"/>
    <col min="11998" max="11998" width="27.28515625" style="58" customWidth="1"/>
    <col min="11999" max="11999" width="20.5703125" style="58" customWidth="1"/>
    <col min="12000" max="12001" width="9.140625" style="58"/>
    <col min="12002" max="12002" width="11.5703125" style="58" bestFit="1" customWidth="1"/>
    <col min="12003" max="12033" width="9.140625" style="58"/>
    <col min="12034" max="12034" width="28.7109375" style="58" customWidth="1"/>
    <col min="12035" max="12035" width="42.85546875" style="58" customWidth="1"/>
    <col min="12036" max="12036" width="26.28515625" style="58" customWidth="1"/>
    <col min="12037" max="12037" width="17.42578125" style="58" customWidth="1"/>
    <col min="12038" max="12251" width="9.140625" style="58"/>
    <col min="12252" max="12252" width="28" style="58" customWidth="1"/>
    <col min="12253" max="12253" width="52" style="58" customWidth="1"/>
    <col min="12254" max="12254" width="27.28515625" style="58" customWidth="1"/>
    <col min="12255" max="12255" width="20.5703125" style="58" customWidth="1"/>
    <col min="12256" max="12257" width="9.140625" style="58"/>
    <col min="12258" max="12258" width="11.5703125" style="58" bestFit="1" customWidth="1"/>
    <col min="12259" max="12289" width="9.140625" style="58"/>
    <col min="12290" max="12290" width="28.7109375" style="58" customWidth="1"/>
    <col min="12291" max="12291" width="42.85546875" style="58" customWidth="1"/>
    <col min="12292" max="12292" width="26.28515625" style="58" customWidth="1"/>
    <col min="12293" max="12293" width="17.42578125" style="58" customWidth="1"/>
    <col min="12294" max="12507" width="9.140625" style="58"/>
    <col min="12508" max="12508" width="28" style="58" customWidth="1"/>
    <col min="12509" max="12509" width="52" style="58" customWidth="1"/>
    <col min="12510" max="12510" width="27.28515625" style="58" customWidth="1"/>
    <col min="12511" max="12511" width="20.5703125" style="58" customWidth="1"/>
    <col min="12512" max="12513" width="9.140625" style="58"/>
    <col min="12514" max="12514" width="11.5703125" style="58" bestFit="1" customWidth="1"/>
    <col min="12515" max="12545" width="9.140625" style="58"/>
    <col min="12546" max="12546" width="28.7109375" style="58" customWidth="1"/>
    <col min="12547" max="12547" width="42.85546875" style="58" customWidth="1"/>
    <col min="12548" max="12548" width="26.28515625" style="58" customWidth="1"/>
    <col min="12549" max="12549" width="17.42578125" style="58" customWidth="1"/>
    <col min="12550" max="12763" width="9.140625" style="58"/>
    <col min="12764" max="12764" width="28" style="58" customWidth="1"/>
    <col min="12765" max="12765" width="52" style="58" customWidth="1"/>
    <col min="12766" max="12766" width="27.28515625" style="58" customWidth="1"/>
    <col min="12767" max="12767" width="20.5703125" style="58" customWidth="1"/>
    <col min="12768" max="12769" width="9.140625" style="58"/>
    <col min="12770" max="12770" width="11.5703125" style="58" bestFit="1" customWidth="1"/>
    <col min="12771" max="12801" width="9.140625" style="58"/>
    <col min="12802" max="12802" width="28.7109375" style="58" customWidth="1"/>
    <col min="12803" max="12803" width="42.85546875" style="58" customWidth="1"/>
    <col min="12804" max="12804" width="26.28515625" style="58" customWidth="1"/>
    <col min="12805" max="12805" width="17.42578125" style="58" customWidth="1"/>
    <col min="12806" max="13019" width="9.140625" style="58"/>
    <col min="13020" max="13020" width="28" style="58" customWidth="1"/>
    <col min="13021" max="13021" width="52" style="58" customWidth="1"/>
    <col min="13022" max="13022" width="27.28515625" style="58" customWidth="1"/>
    <col min="13023" max="13023" width="20.5703125" style="58" customWidth="1"/>
    <col min="13024" max="13025" width="9.140625" style="58"/>
    <col min="13026" max="13026" width="11.5703125" style="58" bestFit="1" customWidth="1"/>
    <col min="13027" max="13057" width="9.140625" style="58"/>
    <col min="13058" max="13058" width="28.7109375" style="58" customWidth="1"/>
    <col min="13059" max="13059" width="42.85546875" style="58" customWidth="1"/>
    <col min="13060" max="13060" width="26.28515625" style="58" customWidth="1"/>
    <col min="13061" max="13061" width="17.42578125" style="58" customWidth="1"/>
    <col min="13062" max="13275" width="9.140625" style="58"/>
    <col min="13276" max="13276" width="28" style="58" customWidth="1"/>
    <col min="13277" max="13277" width="52" style="58" customWidth="1"/>
    <col min="13278" max="13278" width="27.28515625" style="58" customWidth="1"/>
    <col min="13279" max="13279" width="20.5703125" style="58" customWidth="1"/>
    <col min="13280" max="13281" width="9.140625" style="58"/>
    <col min="13282" max="13282" width="11.5703125" style="58" bestFit="1" customWidth="1"/>
    <col min="13283" max="13313" width="9.140625" style="58"/>
    <col min="13314" max="13314" width="28.7109375" style="58" customWidth="1"/>
    <col min="13315" max="13315" width="42.85546875" style="58" customWidth="1"/>
    <col min="13316" max="13316" width="26.28515625" style="58" customWidth="1"/>
    <col min="13317" max="13317" width="17.42578125" style="58" customWidth="1"/>
    <col min="13318" max="13531" width="9.140625" style="58"/>
    <col min="13532" max="13532" width="28" style="58" customWidth="1"/>
    <col min="13533" max="13533" width="52" style="58" customWidth="1"/>
    <col min="13534" max="13534" width="27.28515625" style="58" customWidth="1"/>
    <col min="13535" max="13535" width="20.5703125" style="58" customWidth="1"/>
    <col min="13536" max="13537" width="9.140625" style="58"/>
    <col min="13538" max="13538" width="11.5703125" style="58" bestFit="1" customWidth="1"/>
    <col min="13539" max="13569" width="9.140625" style="58"/>
    <col min="13570" max="13570" width="28.7109375" style="58" customWidth="1"/>
    <col min="13571" max="13571" width="42.85546875" style="58" customWidth="1"/>
    <col min="13572" max="13572" width="26.28515625" style="58" customWidth="1"/>
    <col min="13573" max="13573" width="17.42578125" style="58" customWidth="1"/>
    <col min="13574" max="13787" width="9.140625" style="58"/>
    <col min="13788" max="13788" width="28" style="58" customWidth="1"/>
    <col min="13789" max="13789" width="52" style="58" customWidth="1"/>
    <col min="13790" max="13790" width="27.28515625" style="58" customWidth="1"/>
    <col min="13791" max="13791" width="20.5703125" style="58" customWidth="1"/>
    <col min="13792" max="13793" width="9.140625" style="58"/>
    <col min="13794" max="13794" width="11.5703125" style="58" bestFit="1" customWidth="1"/>
    <col min="13795" max="13825" width="9.140625" style="58"/>
    <col min="13826" max="13826" width="28.7109375" style="58" customWidth="1"/>
    <col min="13827" max="13827" width="42.85546875" style="58" customWidth="1"/>
    <col min="13828" max="13828" width="26.28515625" style="58" customWidth="1"/>
    <col min="13829" max="13829" width="17.42578125" style="58" customWidth="1"/>
    <col min="13830" max="14043" width="9.140625" style="58"/>
    <col min="14044" max="14044" width="28" style="58" customWidth="1"/>
    <col min="14045" max="14045" width="52" style="58" customWidth="1"/>
    <col min="14046" max="14046" width="27.28515625" style="58" customWidth="1"/>
    <col min="14047" max="14047" width="20.5703125" style="58" customWidth="1"/>
    <col min="14048" max="14049" width="9.140625" style="58"/>
    <col min="14050" max="14050" width="11.5703125" style="58" bestFit="1" customWidth="1"/>
    <col min="14051" max="14081" width="9.140625" style="58"/>
    <col min="14082" max="14082" width="28.7109375" style="58" customWidth="1"/>
    <col min="14083" max="14083" width="42.85546875" style="58" customWidth="1"/>
    <col min="14084" max="14084" width="26.28515625" style="58" customWidth="1"/>
    <col min="14085" max="14085" width="17.42578125" style="58" customWidth="1"/>
    <col min="14086" max="14299" width="9.140625" style="58"/>
    <col min="14300" max="14300" width="28" style="58" customWidth="1"/>
    <col min="14301" max="14301" width="52" style="58" customWidth="1"/>
    <col min="14302" max="14302" width="27.28515625" style="58" customWidth="1"/>
    <col min="14303" max="14303" width="20.5703125" style="58" customWidth="1"/>
    <col min="14304" max="14305" width="9.140625" style="58"/>
    <col min="14306" max="14306" width="11.5703125" style="58" bestFit="1" customWidth="1"/>
    <col min="14307" max="14337" width="9.140625" style="58"/>
    <col min="14338" max="14338" width="28.7109375" style="58" customWidth="1"/>
    <col min="14339" max="14339" width="42.85546875" style="58" customWidth="1"/>
    <col min="14340" max="14340" width="26.28515625" style="58" customWidth="1"/>
    <col min="14341" max="14341" width="17.42578125" style="58" customWidth="1"/>
    <col min="14342" max="14555" width="9.140625" style="58"/>
    <col min="14556" max="14556" width="28" style="58" customWidth="1"/>
    <col min="14557" max="14557" width="52" style="58" customWidth="1"/>
    <col min="14558" max="14558" width="27.28515625" style="58" customWidth="1"/>
    <col min="14559" max="14559" width="20.5703125" style="58" customWidth="1"/>
    <col min="14560" max="14561" width="9.140625" style="58"/>
    <col min="14562" max="14562" width="11.5703125" style="58" bestFit="1" customWidth="1"/>
    <col min="14563" max="14593" width="9.140625" style="58"/>
    <col min="14594" max="14594" width="28.7109375" style="58" customWidth="1"/>
    <col min="14595" max="14595" width="42.85546875" style="58" customWidth="1"/>
    <col min="14596" max="14596" width="26.28515625" style="58" customWidth="1"/>
    <col min="14597" max="14597" width="17.42578125" style="58" customWidth="1"/>
    <col min="14598" max="14811" width="9.140625" style="58"/>
    <col min="14812" max="14812" width="28" style="58" customWidth="1"/>
    <col min="14813" max="14813" width="52" style="58" customWidth="1"/>
    <col min="14814" max="14814" width="27.28515625" style="58" customWidth="1"/>
    <col min="14815" max="14815" width="20.5703125" style="58" customWidth="1"/>
    <col min="14816" max="14817" width="9.140625" style="58"/>
    <col min="14818" max="14818" width="11.5703125" style="58" bestFit="1" customWidth="1"/>
    <col min="14819" max="14849" width="9.140625" style="58"/>
    <col min="14850" max="14850" width="28.7109375" style="58" customWidth="1"/>
    <col min="14851" max="14851" width="42.85546875" style="58" customWidth="1"/>
    <col min="14852" max="14852" width="26.28515625" style="58" customWidth="1"/>
    <col min="14853" max="14853" width="17.42578125" style="58" customWidth="1"/>
    <col min="14854" max="15067" width="9.140625" style="58"/>
    <col min="15068" max="15068" width="28" style="58" customWidth="1"/>
    <col min="15069" max="15069" width="52" style="58" customWidth="1"/>
    <col min="15070" max="15070" width="27.28515625" style="58" customWidth="1"/>
    <col min="15071" max="15071" width="20.5703125" style="58" customWidth="1"/>
    <col min="15072" max="15073" width="9.140625" style="58"/>
    <col min="15074" max="15074" width="11.5703125" style="58" bestFit="1" customWidth="1"/>
    <col min="15075" max="15105" width="9.140625" style="58"/>
    <col min="15106" max="15106" width="28.7109375" style="58" customWidth="1"/>
    <col min="15107" max="15107" width="42.85546875" style="58" customWidth="1"/>
    <col min="15108" max="15108" width="26.28515625" style="58" customWidth="1"/>
    <col min="15109" max="15109" width="17.42578125" style="58" customWidth="1"/>
    <col min="15110" max="15323" width="9.140625" style="58"/>
    <col min="15324" max="15324" width="28" style="58" customWidth="1"/>
    <col min="15325" max="15325" width="52" style="58" customWidth="1"/>
    <col min="15326" max="15326" width="27.28515625" style="58" customWidth="1"/>
    <col min="15327" max="15327" width="20.5703125" style="58" customWidth="1"/>
    <col min="15328" max="15329" width="9.140625" style="58"/>
    <col min="15330" max="15330" width="11.5703125" style="58" bestFit="1" customWidth="1"/>
    <col min="15331" max="15361" width="9.140625" style="58"/>
    <col min="15362" max="15362" width="28.7109375" style="58" customWidth="1"/>
    <col min="15363" max="15363" width="42.85546875" style="58" customWidth="1"/>
    <col min="15364" max="15364" width="26.28515625" style="58" customWidth="1"/>
    <col min="15365" max="15365" width="17.42578125" style="58" customWidth="1"/>
    <col min="15366" max="15579" width="9.140625" style="58"/>
    <col min="15580" max="15580" width="28" style="58" customWidth="1"/>
    <col min="15581" max="15581" width="52" style="58" customWidth="1"/>
    <col min="15582" max="15582" width="27.28515625" style="58" customWidth="1"/>
    <col min="15583" max="15583" width="20.5703125" style="58" customWidth="1"/>
    <col min="15584" max="15585" width="9.140625" style="58"/>
    <col min="15586" max="15586" width="11.5703125" style="58" bestFit="1" customWidth="1"/>
    <col min="15587" max="15617" width="9.140625" style="58"/>
    <col min="15618" max="15618" width="28.7109375" style="58" customWidth="1"/>
    <col min="15619" max="15619" width="42.85546875" style="58" customWidth="1"/>
    <col min="15620" max="15620" width="26.28515625" style="58" customWidth="1"/>
    <col min="15621" max="15621" width="17.42578125" style="58" customWidth="1"/>
    <col min="15622" max="15835" width="9.140625" style="58"/>
    <col min="15836" max="15836" width="28" style="58" customWidth="1"/>
    <col min="15837" max="15837" width="52" style="58" customWidth="1"/>
    <col min="15838" max="15838" width="27.28515625" style="58" customWidth="1"/>
    <col min="15839" max="15839" width="20.5703125" style="58" customWidth="1"/>
    <col min="15840" max="15841" width="9.140625" style="58"/>
    <col min="15842" max="15842" width="11.5703125" style="58" bestFit="1" customWidth="1"/>
    <col min="15843" max="15873" width="9.140625" style="58"/>
    <col min="15874" max="15874" width="28.7109375" style="58" customWidth="1"/>
    <col min="15875" max="15875" width="42.85546875" style="58" customWidth="1"/>
    <col min="15876" max="15876" width="26.28515625" style="58" customWidth="1"/>
    <col min="15877" max="15877" width="17.42578125" style="58" customWidth="1"/>
    <col min="15878" max="16091" width="9.140625" style="58"/>
    <col min="16092" max="16092" width="28" style="58" customWidth="1"/>
    <col min="16093" max="16093" width="52" style="58" customWidth="1"/>
    <col min="16094" max="16094" width="27.28515625" style="58" customWidth="1"/>
    <col min="16095" max="16095" width="20.5703125" style="58" customWidth="1"/>
    <col min="16096" max="16097" width="9.140625" style="58"/>
    <col min="16098" max="16098" width="11.5703125" style="58" bestFit="1" customWidth="1"/>
    <col min="16099" max="16129" width="9.140625" style="58"/>
    <col min="16130" max="16130" width="28.7109375" style="58" customWidth="1"/>
    <col min="16131" max="16131" width="42.85546875" style="58" customWidth="1"/>
    <col min="16132" max="16132" width="26.28515625" style="58" customWidth="1"/>
    <col min="16133" max="16133" width="17.42578125" style="58" customWidth="1"/>
    <col min="16134" max="16347" width="9.140625" style="58"/>
    <col min="16348" max="16348" width="28" style="58" customWidth="1"/>
    <col min="16349" max="16349" width="52" style="58" customWidth="1"/>
    <col min="16350" max="16350" width="27.28515625" style="58" customWidth="1"/>
    <col min="16351" max="16351" width="20.5703125" style="58" customWidth="1"/>
    <col min="16352" max="16353" width="9.140625" style="58"/>
    <col min="16354" max="16354" width="11.5703125" style="58" bestFit="1" customWidth="1"/>
    <col min="16355" max="16384" width="9.140625" style="58"/>
  </cols>
  <sheetData>
    <row r="1" spans="1:256" x14ac:dyDescent="0.2">
      <c r="A1" s="51"/>
      <c r="B1" s="52"/>
      <c r="C1" s="53"/>
      <c r="D1" s="54"/>
      <c r="E1" s="275" t="s">
        <v>383</v>
      </c>
      <c r="F1" s="55"/>
      <c r="G1" s="56"/>
      <c r="H1" s="55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  <c r="FK1" s="57"/>
      <c r="FL1" s="57"/>
      <c r="FM1" s="57"/>
      <c r="FN1" s="57"/>
      <c r="FO1" s="57"/>
      <c r="FP1" s="57"/>
      <c r="FQ1" s="57"/>
      <c r="FR1" s="57"/>
      <c r="FS1" s="57"/>
      <c r="FT1" s="57"/>
      <c r="FU1" s="57"/>
      <c r="FV1" s="57"/>
      <c r="FW1" s="57"/>
      <c r="FX1" s="57"/>
      <c r="FY1" s="57"/>
      <c r="FZ1" s="57"/>
      <c r="GA1" s="57"/>
      <c r="GB1" s="57"/>
      <c r="GC1" s="57"/>
      <c r="GD1" s="57"/>
      <c r="GE1" s="57"/>
      <c r="GF1" s="57"/>
      <c r="GG1" s="57"/>
      <c r="GH1" s="57"/>
      <c r="GI1" s="57"/>
      <c r="GJ1" s="57"/>
      <c r="GK1" s="57"/>
      <c r="GL1" s="57"/>
      <c r="GM1" s="57"/>
      <c r="GN1" s="57"/>
      <c r="GO1" s="57"/>
      <c r="GP1" s="57"/>
      <c r="GQ1" s="57"/>
      <c r="GR1" s="57"/>
      <c r="GS1" s="57"/>
      <c r="GT1" s="57"/>
      <c r="GU1" s="57"/>
      <c r="GV1" s="57"/>
      <c r="GW1" s="57"/>
      <c r="GX1" s="57"/>
      <c r="GY1" s="57"/>
      <c r="GZ1" s="57"/>
      <c r="HA1" s="57"/>
      <c r="HB1" s="57"/>
      <c r="HC1" s="57"/>
      <c r="HD1" s="57"/>
      <c r="HE1" s="57"/>
      <c r="HF1" s="57"/>
      <c r="HG1" s="57"/>
      <c r="HH1" s="57"/>
      <c r="HI1" s="57"/>
      <c r="HJ1" s="57"/>
      <c r="HK1" s="57"/>
      <c r="HL1" s="57"/>
      <c r="HM1" s="57"/>
      <c r="HN1" s="57"/>
      <c r="HO1" s="57"/>
      <c r="HP1" s="57"/>
      <c r="HQ1" s="57"/>
      <c r="HR1" s="57"/>
      <c r="HS1" s="57"/>
      <c r="HT1" s="57"/>
      <c r="HU1" s="57"/>
      <c r="HV1" s="57"/>
      <c r="HW1" s="57"/>
      <c r="HX1" s="57"/>
      <c r="HY1" s="57"/>
      <c r="HZ1" s="57"/>
      <c r="IA1" s="57"/>
      <c r="IB1" s="57"/>
      <c r="IC1" s="57"/>
      <c r="ID1" s="57"/>
      <c r="IE1" s="57"/>
      <c r="IF1" s="57"/>
      <c r="IG1" s="57"/>
      <c r="IH1" s="57"/>
      <c r="II1" s="57"/>
      <c r="IJ1" s="57"/>
      <c r="IK1" s="57"/>
      <c r="IL1" s="57"/>
      <c r="IM1" s="57"/>
      <c r="IN1" s="57"/>
      <c r="IO1" s="57"/>
      <c r="IP1" s="57"/>
      <c r="IQ1" s="57"/>
      <c r="IR1" s="57"/>
      <c r="IS1" s="57"/>
      <c r="IT1" s="57"/>
      <c r="IU1" s="57"/>
      <c r="IV1" s="57"/>
    </row>
    <row r="2" spans="1:256" x14ac:dyDescent="0.2">
      <c r="A2" s="51"/>
      <c r="B2" s="54"/>
      <c r="C2" s="93"/>
      <c r="D2" s="54"/>
      <c r="E2" s="276"/>
      <c r="F2" s="55"/>
      <c r="G2" s="56"/>
      <c r="H2" s="55"/>
      <c r="I2" s="56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  <c r="GL2" s="57"/>
      <c r="GM2" s="57"/>
      <c r="GN2" s="57"/>
      <c r="GO2" s="57"/>
      <c r="GP2" s="57"/>
      <c r="GQ2" s="57"/>
      <c r="GR2" s="57"/>
      <c r="GS2" s="57"/>
      <c r="GT2" s="57"/>
      <c r="GU2" s="57"/>
      <c r="GV2" s="57"/>
      <c r="GW2" s="57"/>
      <c r="GX2" s="57"/>
      <c r="GY2" s="57"/>
      <c r="GZ2" s="57"/>
      <c r="HA2" s="57"/>
      <c r="HB2" s="57"/>
      <c r="HC2" s="57"/>
      <c r="HD2" s="57"/>
      <c r="HE2" s="57"/>
      <c r="HF2" s="57"/>
      <c r="HG2" s="57"/>
      <c r="HH2" s="57"/>
      <c r="HI2" s="57"/>
      <c r="HJ2" s="57"/>
      <c r="HK2" s="57"/>
      <c r="HL2" s="57"/>
      <c r="HM2" s="57"/>
      <c r="HN2" s="57"/>
      <c r="HO2" s="57"/>
      <c r="HP2" s="57"/>
      <c r="HQ2" s="57"/>
      <c r="HR2" s="57"/>
      <c r="HS2" s="57"/>
      <c r="HT2" s="57"/>
      <c r="HU2" s="57"/>
      <c r="HV2" s="57"/>
      <c r="HW2" s="57"/>
      <c r="HX2" s="57"/>
      <c r="HY2" s="57"/>
      <c r="HZ2" s="57"/>
      <c r="IA2" s="57"/>
      <c r="IB2" s="57"/>
      <c r="IC2" s="57"/>
      <c r="ID2" s="57"/>
      <c r="IE2" s="57"/>
      <c r="IF2" s="57"/>
      <c r="IG2" s="57"/>
      <c r="IH2" s="57"/>
      <c r="II2" s="57"/>
      <c r="IJ2" s="57"/>
      <c r="IK2" s="57"/>
      <c r="IL2" s="57"/>
      <c r="IM2" s="57"/>
      <c r="IN2" s="57"/>
      <c r="IO2" s="57"/>
      <c r="IP2" s="57"/>
      <c r="IQ2" s="57"/>
      <c r="IR2" s="57"/>
      <c r="IS2" s="57"/>
      <c r="IT2" s="57"/>
      <c r="IU2" s="57"/>
      <c r="IV2" s="57"/>
    </row>
    <row r="3" spans="1:256" x14ac:dyDescent="0.2">
      <c r="A3" s="449" t="str">
        <f>СВОД!E30</f>
        <v>Смета №1.9</v>
      </c>
      <c r="B3" s="449"/>
      <c r="C3" s="449"/>
      <c r="D3" s="449"/>
      <c r="E3" s="449"/>
      <c r="F3" s="60"/>
      <c r="G3" s="60"/>
      <c r="H3" s="60"/>
      <c r="I3" s="60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57"/>
      <c r="GH3" s="57"/>
      <c r="GI3" s="57"/>
      <c r="GJ3" s="57"/>
      <c r="GK3" s="57"/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7"/>
      <c r="HK3" s="57"/>
      <c r="HL3" s="57"/>
      <c r="HM3" s="57"/>
      <c r="HN3" s="57"/>
      <c r="HO3" s="57"/>
      <c r="HP3" s="57"/>
      <c r="HQ3" s="57"/>
      <c r="HR3" s="57"/>
      <c r="HS3" s="57"/>
      <c r="HT3" s="57"/>
      <c r="HU3" s="57"/>
      <c r="HV3" s="57"/>
      <c r="HW3" s="57"/>
      <c r="HX3" s="57"/>
      <c r="HY3" s="57"/>
      <c r="HZ3" s="57"/>
      <c r="IA3" s="57"/>
      <c r="IB3" s="57"/>
      <c r="IC3" s="57"/>
      <c r="ID3" s="57"/>
      <c r="IE3" s="57"/>
      <c r="IF3" s="57"/>
      <c r="IG3" s="57"/>
      <c r="IH3" s="57"/>
      <c r="II3" s="57"/>
      <c r="IJ3" s="57"/>
      <c r="IK3" s="57"/>
      <c r="IL3" s="57"/>
      <c r="IM3" s="57"/>
      <c r="IN3" s="57"/>
      <c r="IO3" s="57"/>
      <c r="IP3" s="57"/>
      <c r="IQ3" s="57"/>
      <c r="IR3" s="57"/>
      <c r="IS3" s="57"/>
      <c r="IT3" s="57"/>
      <c r="IU3" s="57"/>
      <c r="IV3" s="57"/>
    </row>
    <row r="4" spans="1:256" x14ac:dyDescent="0.2">
      <c r="A4" s="450" t="s">
        <v>384</v>
      </c>
      <c r="B4" s="450"/>
      <c r="C4" s="450"/>
      <c r="D4" s="450"/>
      <c r="E4" s="450"/>
      <c r="F4" s="61"/>
      <c r="G4" s="61"/>
      <c r="H4" s="61"/>
      <c r="I4" s="61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7"/>
      <c r="EL4" s="57"/>
      <c r="EM4" s="57"/>
      <c r="EN4" s="57"/>
      <c r="EO4" s="57"/>
      <c r="EP4" s="57"/>
      <c r="EQ4" s="57"/>
      <c r="ER4" s="57"/>
      <c r="ES4" s="57"/>
      <c r="ET4" s="57"/>
      <c r="EU4" s="57"/>
      <c r="EV4" s="57"/>
      <c r="EW4" s="57"/>
      <c r="EX4" s="57"/>
      <c r="EY4" s="57"/>
      <c r="EZ4" s="57"/>
      <c r="FA4" s="57"/>
      <c r="FB4" s="57"/>
      <c r="FC4" s="57"/>
      <c r="FD4" s="57"/>
      <c r="FE4" s="57"/>
      <c r="FF4" s="57"/>
      <c r="FG4" s="57"/>
      <c r="FH4" s="57"/>
      <c r="FI4" s="57"/>
      <c r="FJ4" s="57"/>
      <c r="FK4" s="57"/>
      <c r="FL4" s="57"/>
      <c r="FM4" s="57"/>
      <c r="FN4" s="57"/>
      <c r="FO4" s="57"/>
      <c r="FP4" s="57"/>
      <c r="FQ4" s="57"/>
      <c r="FR4" s="57"/>
      <c r="FS4" s="57"/>
      <c r="FT4" s="57"/>
      <c r="FU4" s="57"/>
      <c r="FV4" s="57"/>
      <c r="FW4" s="57"/>
      <c r="FX4" s="57"/>
      <c r="FY4" s="57"/>
      <c r="FZ4" s="57"/>
      <c r="GA4" s="57"/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  <c r="GS4" s="57"/>
      <c r="GT4" s="57"/>
      <c r="GU4" s="57"/>
      <c r="GV4" s="57"/>
      <c r="GW4" s="57"/>
      <c r="GX4" s="57"/>
      <c r="GY4" s="57"/>
      <c r="GZ4" s="57"/>
      <c r="HA4" s="57"/>
      <c r="HB4" s="57"/>
      <c r="HC4" s="57"/>
      <c r="HD4" s="57"/>
      <c r="HE4" s="57"/>
      <c r="HF4" s="57"/>
      <c r="HG4" s="57"/>
      <c r="HH4" s="57"/>
      <c r="HI4" s="57"/>
      <c r="HJ4" s="57"/>
      <c r="HK4" s="57"/>
      <c r="HL4" s="57"/>
      <c r="HM4" s="57"/>
      <c r="HN4" s="57"/>
      <c r="HO4" s="57"/>
      <c r="HP4" s="57"/>
      <c r="HQ4" s="57"/>
      <c r="HR4" s="57"/>
      <c r="HS4" s="57"/>
      <c r="HT4" s="57"/>
      <c r="HU4" s="57"/>
      <c r="HV4" s="57"/>
      <c r="HW4" s="57"/>
      <c r="HX4" s="57"/>
      <c r="HY4" s="57"/>
      <c r="HZ4" s="57"/>
      <c r="IA4" s="57"/>
      <c r="IB4" s="57"/>
      <c r="IC4" s="57"/>
      <c r="ID4" s="57"/>
      <c r="IE4" s="57"/>
      <c r="IF4" s="57"/>
      <c r="IG4" s="57"/>
      <c r="IH4" s="57"/>
      <c r="II4" s="57"/>
      <c r="IJ4" s="57"/>
      <c r="IK4" s="57"/>
      <c r="IL4" s="57"/>
      <c r="IM4" s="57"/>
      <c r="IN4" s="57"/>
      <c r="IO4" s="57"/>
      <c r="IP4" s="57"/>
      <c r="IQ4" s="57"/>
      <c r="IR4" s="57"/>
      <c r="IS4" s="57"/>
      <c r="IT4" s="57"/>
      <c r="IU4" s="57"/>
      <c r="IV4" s="57"/>
    </row>
    <row r="5" spans="1:256" x14ac:dyDescent="0.2">
      <c r="A5" s="51"/>
      <c r="B5" s="54"/>
      <c r="C5" s="62"/>
      <c r="D5" s="54"/>
      <c r="E5" s="276"/>
      <c r="F5" s="55"/>
      <c r="G5" s="56"/>
      <c r="H5" s="55"/>
      <c r="I5" s="56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7"/>
      <c r="BS5" s="57"/>
      <c r="BT5" s="57"/>
      <c r="BU5" s="57"/>
      <c r="BV5" s="57"/>
      <c r="BW5" s="57"/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57"/>
      <c r="EX5" s="57"/>
      <c r="EY5" s="57"/>
      <c r="EZ5" s="57"/>
      <c r="FA5" s="57"/>
      <c r="FB5" s="57"/>
      <c r="FC5" s="57"/>
      <c r="FD5" s="57"/>
      <c r="FE5" s="57"/>
      <c r="FF5" s="57"/>
      <c r="FG5" s="57"/>
      <c r="FH5" s="57"/>
      <c r="FI5" s="57"/>
      <c r="FJ5" s="57"/>
      <c r="FK5" s="57"/>
      <c r="FL5" s="57"/>
      <c r="FM5" s="57"/>
      <c r="FN5" s="57"/>
      <c r="FO5" s="57"/>
      <c r="FP5" s="57"/>
      <c r="FQ5" s="57"/>
      <c r="FR5" s="57"/>
      <c r="FS5" s="57"/>
      <c r="FT5" s="57"/>
      <c r="FU5" s="57"/>
      <c r="FV5" s="57"/>
      <c r="FW5" s="57"/>
      <c r="FX5" s="57"/>
      <c r="FY5" s="57"/>
      <c r="FZ5" s="57"/>
      <c r="GA5" s="57"/>
      <c r="GB5" s="57"/>
      <c r="GC5" s="57"/>
      <c r="GD5" s="57"/>
      <c r="GE5" s="57"/>
      <c r="GF5" s="57"/>
      <c r="GG5" s="57"/>
      <c r="GH5" s="57"/>
      <c r="GI5" s="57"/>
      <c r="GJ5" s="57"/>
      <c r="GK5" s="57"/>
      <c r="GL5" s="57"/>
      <c r="GM5" s="57"/>
      <c r="GN5" s="57"/>
      <c r="GO5" s="57"/>
      <c r="GP5" s="57"/>
      <c r="GQ5" s="57"/>
      <c r="GR5" s="57"/>
      <c r="GS5" s="57"/>
      <c r="GT5" s="57"/>
      <c r="GU5" s="57"/>
      <c r="GV5" s="57"/>
      <c r="GW5" s="57"/>
      <c r="GX5" s="57"/>
      <c r="GY5" s="57"/>
      <c r="GZ5" s="57"/>
      <c r="HA5" s="57"/>
      <c r="HB5" s="57"/>
      <c r="HC5" s="57"/>
      <c r="HD5" s="57"/>
      <c r="HE5" s="57"/>
      <c r="HF5" s="57"/>
      <c r="HG5" s="57"/>
      <c r="HH5" s="57"/>
      <c r="HI5" s="57"/>
      <c r="HJ5" s="57"/>
      <c r="HK5" s="57"/>
      <c r="HL5" s="57"/>
      <c r="HM5" s="57"/>
      <c r="HN5" s="57"/>
      <c r="HO5" s="57"/>
      <c r="HP5" s="57"/>
      <c r="HQ5" s="57"/>
      <c r="HR5" s="57"/>
      <c r="HS5" s="57"/>
      <c r="HT5" s="57"/>
      <c r="HU5" s="57"/>
      <c r="HV5" s="57"/>
      <c r="HW5" s="57"/>
      <c r="HX5" s="57"/>
      <c r="HY5" s="57"/>
      <c r="HZ5" s="57"/>
      <c r="IA5" s="57"/>
      <c r="IB5" s="57"/>
      <c r="IC5" s="57"/>
      <c r="ID5" s="57"/>
      <c r="IE5" s="57"/>
      <c r="IF5" s="57"/>
      <c r="IG5" s="57"/>
      <c r="IH5" s="57"/>
      <c r="II5" s="57"/>
      <c r="IJ5" s="57"/>
      <c r="IK5" s="57"/>
      <c r="IL5" s="57"/>
      <c r="IM5" s="57"/>
      <c r="IN5" s="57"/>
      <c r="IO5" s="57"/>
      <c r="IP5" s="57"/>
      <c r="IQ5" s="57"/>
      <c r="IR5" s="57"/>
      <c r="IS5" s="57"/>
      <c r="IT5" s="57"/>
      <c r="IU5" s="57"/>
      <c r="IV5" s="57"/>
    </row>
    <row r="6" spans="1:256" ht="25.5" x14ac:dyDescent="0.2">
      <c r="A6" s="51"/>
      <c r="B6" s="63" t="s">
        <v>385</v>
      </c>
      <c r="C6" s="451" t="str">
        <f>СВОД!B30</f>
        <v>Сети связи и сигнализации</v>
      </c>
      <c r="D6" s="451"/>
      <c r="E6" s="451"/>
      <c r="F6" s="64"/>
      <c r="G6" s="64"/>
      <c r="H6" s="64"/>
      <c r="I6" s="64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  <c r="DZ6" s="57"/>
      <c r="EA6" s="57"/>
      <c r="EB6" s="57"/>
      <c r="EC6" s="57"/>
      <c r="ED6" s="57"/>
      <c r="EE6" s="57"/>
      <c r="EF6" s="57"/>
      <c r="EG6" s="57"/>
      <c r="EH6" s="57"/>
      <c r="EI6" s="57"/>
      <c r="EJ6" s="57"/>
      <c r="EK6" s="57"/>
      <c r="EL6" s="57"/>
      <c r="EM6" s="57"/>
      <c r="EN6" s="57"/>
      <c r="EO6" s="57"/>
      <c r="EP6" s="57"/>
      <c r="EQ6" s="57"/>
      <c r="ER6" s="57"/>
      <c r="ES6" s="57"/>
      <c r="ET6" s="57"/>
      <c r="EU6" s="57"/>
      <c r="EV6" s="57"/>
      <c r="EW6" s="57"/>
      <c r="EX6" s="57"/>
      <c r="EY6" s="57"/>
      <c r="EZ6" s="57"/>
      <c r="FA6" s="57"/>
      <c r="FB6" s="57"/>
      <c r="FC6" s="57"/>
      <c r="FD6" s="57"/>
      <c r="FE6" s="57"/>
      <c r="FF6" s="57"/>
      <c r="FG6" s="57"/>
      <c r="FH6" s="57"/>
      <c r="FI6" s="57"/>
      <c r="FJ6" s="57"/>
      <c r="FK6" s="57"/>
      <c r="FL6" s="57"/>
      <c r="FM6" s="57"/>
      <c r="FN6" s="57"/>
      <c r="FO6" s="57"/>
      <c r="FP6" s="57"/>
      <c r="FQ6" s="57"/>
      <c r="FR6" s="57"/>
      <c r="FS6" s="57"/>
      <c r="FT6" s="57"/>
      <c r="FU6" s="57"/>
      <c r="FV6" s="57"/>
      <c r="FW6" s="57"/>
      <c r="FX6" s="57"/>
      <c r="FY6" s="57"/>
      <c r="FZ6" s="57"/>
      <c r="GA6" s="57"/>
      <c r="GB6" s="57"/>
      <c r="GC6" s="57"/>
      <c r="GD6" s="57"/>
      <c r="GE6" s="57"/>
      <c r="GF6" s="57"/>
      <c r="GG6" s="57"/>
      <c r="GH6" s="57"/>
      <c r="GI6" s="57"/>
      <c r="GJ6" s="57"/>
      <c r="GK6" s="57"/>
      <c r="GL6" s="57"/>
      <c r="GM6" s="57"/>
      <c r="GN6" s="57"/>
      <c r="GO6" s="57"/>
      <c r="GP6" s="57"/>
      <c r="GQ6" s="57"/>
      <c r="GR6" s="57"/>
      <c r="GS6" s="57"/>
      <c r="GT6" s="57"/>
      <c r="GU6" s="57"/>
      <c r="GV6" s="57"/>
      <c r="GW6" s="57"/>
      <c r="GX6" s="57"/>
      <c r="GY6" s="57"/>
      <c r="GZ6" s="57"/>
      <c r="HA6" s="57"/>
      <c r="HB6" s="57"/>
      <c r="HC6" s="57"/>
      <c r="HD6" s="57"/>
      <c r="HE6" s="57"/>
      <c r="HF6" s="57"/>
      <c r="HG6" s="57"/>
      <c r="HH6" s="57"/>
      <c r="HI6" s="57"/>
      <c r="HJ6" s="57"/>
      <c r="HK6" s="57"/>
      <c r="HL6" s="57"/>
      <c r="HM6" s="57"/>
      <c r="HN6" s="57"/>
      <c r="HO6" s="57"/>
      <c r="HP6" s="57"/>
      <c r="HQ6" s="57"/>
      <c r="HR6" s="57"/>
      <c r="HS6" s="57"/>
      <c r="HT6" s="57"/>
      <c r="HU6" s="57"/>
      <c r="HV6" s="57"/>
      <c r="HW6" s="57"/>
      <c r="HX6" s="57"/>
      <c r="HY6" s="57"/>
      <c r="HZ6" s="57"/>
      <c r="IA6" s="57"/>
      <c r="IB6" s="57"/>
      <c r="IC6" s="57"/>
      <c r="ID6" s="57"/>
      <c r="IE6" s="57"/>
      <c r="IF6" s="57"/>
      <c r="IG6" s="57"/>
      <c r="IH6" s="57"/>
      <c r="II6" s="57"/>
      <c r="IJ6" s="57"/>
      <c r="IK6" s="57"/>
      <c r="IL6" s="57"/>
      <c r="IM6" s="57"/>
      <c r="IN6" s="57"/>
      <c r="IO6" s="57"/>
      <c r="IP6" s="57"/>
      <c r="IQ6" s="57"/>
      <c r="IR6" s="57"/>
      <c r="IS6" s="57"/>
      <c r="IT6" s="57"/>
      <c r="IU6" s="57"/>
      <c r="IV6" s="57"/>
    </row>
    <row r="7" spans="1:256" x14ac:dyDescent="0.2">
      <c r="A7" s="51"/>
      <c r="B7" s="65"/>
      <c r="C7" s="115" t="s">
        <v>471</v>
      </c>
      <c r="D7" s="65"/>
      <c r="E7" s="277"/>
      <c r="F7" s="66"/>
      <c r="G7" s="66"/>
      <c r="H7" s="66"/>
      <c r="I7" s="66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  <c r="CB7" s="67"/>
      <c r="CC7" s="67"/>
      <c r="CD7" s="67"/>
      <c r="CE7" s="67"/>
      <c r="CF7" s="67"/>
      <c r="CG7" s="67"/>
      <c r="CH7" s="67"/>
      <c r="CI7" s="67"/>
      <c r="CJ7" s="67"/>
      <c r="CK7" s="67"/>
      <c r="CL7" s="67"/>
      <c r="CM7" s="67"/>
      <c r="CN7" s="67"/>
      <c r="CO7" s="67"/>
      <c r="CP7" s="67"/>
      <c r="CQ7" s="67"/>
      <c r="CR7" s="67"/>
      <c r="CS7" s="67"/>
      <c r="CT7" s="67"/>
      <c r="CU7" s="67"/>
      <c r="CV7" s="67"/>
      <c r="CW7" s="67"/>
      <c r="CX7" s="67"/>
      <c r="CY7" s="67"/>
      <c r="CZ7" s="67"/>
      <c r="DA7" s="67"/>
      <c r="DB7" s="67"/>
      <c r="DC7" s="67"/>
      <c r="DD7" s="67"/>
      <c r="DE7" s="67"/>
      <c r="DF7" s="67"/>
      <c r="DG7" s="67"/>
      <c r="DH7" s="67"/>
      <c r="DI7" s="67"/>
      <c r="DJ7" s="67"/>
      <c r="DK7" s="67"/>
      <c r="DL7" s="67"/>
      <c r="DM7" s="67"/>
      <c r="DN7" s="67"/>
      <c r="DO7" s="67"/>
      <c r="DP7" s="67"/>
      <c r="DQ7" s="67"/>
      <c r="DR7" s="67"/>
      <c r="DS7" s="67"/>
      <c r="DT7" s="67"/>
      <c r="DU7" s="67"/>
      <c r="DV7" s="67"/>
      <c r="DW7" s="67"/>
      <c r="DX7" s="67"/>
      <c r="DY7" s="67"/>
      <c r="DZ7" s="67"/>
      <c r="EA7" s="67"/>
      <c r="EB7" s="67"/>
      <c r="EC7" s="67"/>
      <c r="ED7" s="67"/>
      <c r="EE7" s="67"/>
      <c r="EF7" s="67"/>
      <c r="EG7" s="67"/>
      <c r="EH7" s="67"/>
      <c r="EI7" s="67"/>
      <c r="EJ7" s="67"/>
      <c r="EK7" s="67"/>
      <c r="EL7" s="67"/>
      <c r="EM7" s="67"/>
      <c r="EN7" s="67"/>
      <c r="EO7" s="67"/>
      <c r="EP7" s="67"/>
      <c r="EQ7" s="67"/>
      <c r="ER7" s="67"/>
      <c r="ES7" s="67"/>
      <c r="ET7" s="67"/>
      <c r="EU7" s="67"/>
      <c r="EV7" s="67"/>
      <c r="EW7" s="67"/>
      <c r="EX7" s="67"/>
      <c r="EY7" s="67"/>
      <c r="EZ7" s="67"/>
      <c r="FA7" s="67"/>
      <c r="FB7" s="67"/>
      <c r="FC7" s="67"/>
      <c r="FD7" s="67"/>
      <c r="FE7" s="67"/>
      <c r="FF7" s="67"/>
      <c r="FG7" s="67"/>
      <c r="FH7" s="67"/>
      <c r="FI7" s="67"/>
      <c r="FJ7" s="67"/>
      <c r="FK7" s="67"/>
      <c r="FL7" s="67"/>
      <c r="FM7" s="67"/>
      <c r="FN7" s="67"/>
      <c r="FO7" s="67"/>
      <c r="FP7" s="67"/>
      <c r="FQ7" s="67"/>
      <c r="FR7" s="67"/>
      <c r="FS7" s="67"/>
      <c r="FT7" s="67"/>
      <c r="FU7" s="67"/>
      <c r="FV7" s="67"/>
      <c r="FW7" s="67"/>
      <c r="FX7" s="67"/>
      <c r="FY7" s="67"/>
      <c r="FZ7" s="67"/>
      <c r="GA7" s="67"/>
      <c r="GB7" s="67"/>
      <c r="GC7" s="67"/>
      <c r="GD7" s="67"/>
      <c r="GE7" s="67"/>
      <c r="GF7" s="67"/>
      <c r="GG7" s="67"/>
      <c r="GH7" s="67"/>
      <c r="GI7" s="67"/>
      <c r="GJ7" s="67"/>
      <c r="GK7" s="67"/>
      <c r="GL7" s="67"/>
      <c r="GM7" s="67"/>
      <c r="GN7" s="67"/>
      <c r="GO7" s="67"/>
      <c r="GP7" s="67"/>
      <c r="GQ7" s="67"/>
      <c r="GR7" s="67"/>
      <c r="GS7" s="67"/>
      <c r="GT7" s="67"/>
      <c r="GU7" s="67"/>
      <c r="GV7" s="67"/>
      <c r="GW7" s="67"/>
      <c r="GX7" s="67"/>
      <c r="GY7" s="67"/>
      <c r="GZ7" s="67"/>
      <c r="HA7" s="67"/>
      <c r="HB7" s="67"/>
      <c r="HC7" s="67"/>
      <c r="HD7" s="67"/>
      <c r="HE7" s="67"/>
      <c r="HF7" s="67"/>
      <c r="HG7" s="67"/>
      <c r="HH7" s="67"/>
      <c r="HI7" s="67"/>
      <c r="HJ7" s="67"/>
      <c r="HK7" s="67"/>
      <c r="HL7" s="67"/>
      <c r="HM7" s="67"/>
      <c r="HN7" s="67"/>
      <c r="HO7" s="67"/>
      <c r="HP7" s="67"/>
      <c r="HQ7" s="67"/>
      <c r="HR7" s="67"/>
      <c r="HS7" s="67"/>
      <c r="HT7" s="67"/>
      <c r="HU7" s="67"/>
      <c r="HV7" s="67"/>
      <c r="HW7" s="67"/>
      <c r="HX7" s="67"/>
      <c r="HY7" s="67"/>
      <c r="HZ7" s="67"/>
      <c r="IA7" s="67"/>
      <c r="IB7" s="67"/>
      <c r="IC7" s="67"/>
      <c r="ID7" s="67"/>
      <c r="IE7" s="67"/>
      <c r="IF7" s="67"/>
      <c r="IG7" s="67"/>
      <c r="IH7" s="67"/>
      <c r="II7" s="67"/>
      <c r="IJ7" s="67"/>
      <c r="IK7" s="67"/>
      <c r="IL7" s="67"/>
      <c r="IM7" s="67"/>
      <c r="IN7" s="67"/>
      <c r="IO7" s="67"/>
      <c r="IP7" s="67"/>
      <c r="IQ7" s="67"/>
      <c r="IR7" s="67"/>
      <c r="IS7" s="67"/>
      <c r="IT7" s="67"/>
      <c r="IU7" s="67"/>
      <c r="IV7" s="67"/>
    </row>
    <row r="8" spans="1:256" x14ac:dyDescent="0.2">
      <c r="A8" s="51"/>
      <c r="B8" s="68" t="s">
        <v>386</v>
      </c>
      <c r="C8" s="69" t="str">
        <f>СВОД!D14</f>
        <v>ОАО «СИБНЕФТЕТРАНСПРОЕКТ»</v>
      </c>
      <c r="D8" s="65"/>
      <c r="E8" s="278"/>
      <c r="F8" s="70"/>
      <c r="G8" s="71"/>
      <c r="H8" s="72"/>
      <c r="I8" s="73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/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57"/>
      <c r="DA8" s="57"/>
      <c r="DB8" s="57"/>
      <c r="DC8" s="57"/>
      <c r="DD8" s="57"/>
      <c r="DE8" s="57"/>
      <c r="DF8" s="57"/>
      <c r="DG8" s="57"/>
      <c r="DH8" s="57"/>
      <c r="DI8" s="57"/>
      <c r="DJ8" s="57"/>
      <c r="DK8" s="57"/>
      <c r="DL8" s="57"/>
      <c r="DM8" s="57"/>
      <c r="DN8" s="57"/>
      <c r="DO8" s="57"/>
      <c r="DP8" s="57"/>
      <c r="DQ8" s="57"/>
      <c r="DR8" s="57"/>
      <c r="DS8" s="57"/>
      <c r="DT8" s="57"/>
      <c r="DU8" s="57"/>
      <c r="DV8" s="57"/>
      <c r="DW8" s="57"/>
      <c r="DX8" s="57"/>
      <c r="DY8" s="57"/>
      <c r="DZ8" s="57"/>
      <c r="EA8" s="57"/>
      <c r="EB8" s="57"/>
      <c r="EC8" s="57"/>
      <c r="ED8" s="57"/>
      <c r="EE8" s="57"/>
      <c r="EF8" s="57"/>
      <c r="EG8" s="57"/>
      <c r="EH8" s="57"/>
      <c r="EI8" s="57"/>
      <c r="EJ8" s="57"/>
      <c r="EK8" s="57"/>
      <c r="EL8" s="57"/>
      <c r="EM8" s="57"/>
      <c r="EN8" s="57"/>
      <c r="EO8" s="57"/>
      <c r="EP8" s="57"/>
      <c r="EQ8" s="57"/>
      <c r="ER8" s="57"/>
      <c r="ES8" s="57"/>
      <c r="ET8" s="57"/>
      <c r="EU8" s="57"/>
      <c r="EV8" s="57"/>
      <c r="EW8" s="57"/>
      <c r="EX8" s="57"/>
      <c r="EY8" s="57"/>
      <c r="EZ8" s="57"/>
      <c r="FA8" s="57"/>
      <c r="FB8" s="57"/>
      <c r="FC8" s="57"/>
      <c r="FD8" s="57"/>
      <c r="FE8" s="57"/>
      <c r="FF8" s="57"/>
      <c r="FG8" s="57"/>
      <c r="FH8" s="57"/>
      <c r="FI8" s="57"/>
      <c r="FJ8" s="57"/>
      <c r="FK8" s="57"/>
      <c r="FL8" s="57"/>
      <c r="FM8" s="57"/>
      <c r="FN8" s="57"/>
      <c r="FO8" s="57"/>
      <c r="FP8" s="57"/>
      <c r="FQ8" s="57"/>
      <c r="FR8" s="57"/>
      <c r="FS8" s="57"/>
      <c r="FT8" s="57"/>
      <c r="FU8" s="57"/>
      <c r="FV8" s="57"/>
      <c r="FW8" s="57"/>
      <c r="FX8" s="57"/>
      <c r="FY8" s="57"/>
      <c r="FZ8" s="57"/>
      <c r="GA8" s="57"/>
      <c r="GB8" s="57"/>
      <c r="GC8" s="57"/>
      <c r="GD8" s="57"/>
      <c r="GE8" s="57"/>
      <c r="GF8" s="57"/>
      <c r="GG8" s="57"/>
      <c r="GH8" s="57"/>
      <c r="GI8" s="57"/>
      <c r="GJ8" s="57"/>
      <c r="GK8" s="57"/>
      <c r="GL8" s="57"/>
      <c r="GM8" s="57"/>
      <c r="GN8" s="57"/>
      <c r="GO8" s="57"/>
      <c r="GP8" s="57"/>
      <c r="GQ8" s="57"/>
      <c r="GR8" s="57"/>
      <c r="GS8" s="57"/>
      <c r="GT8" s="57"/>
      <c r="GU8" s="57"/>
      <c r="GV8" s="57"/>
      <c r="GW8" s="57"/>
      <c r="GX8" s="57"/>
      <c r="GY8" s="57"/>
      <c r="GZ8" s="57"/>
      <c r="HA8" s="57"/>
      <c r="HB8" s="57"/>
      <c r="HC8" s="57"/>
      <c r="HD8" s="57"/>
      <c r="HE8" s="57"/>
      <c r="HF8" s="57"/>
      <c r="HG8" s="57"/>
      <c r="HH8" s="57"/>
      <c r="HI8" s="57"/>
      <c r="HJ8" s="57"/>
      <c r="HK8" s="57"/>
      <c r="HL8" s="57"/>
      <c r="HM8" s="57"/>
      <c r="HN8" s="57"/>
      <c r="HO8" s="57"/>
      <c r="HP8" s="57"/>
      <c r="HQ8" s="57"/>
      <c r="HR8" s="57"/>
      <c r="HS8" s="57"/>
      <c r="HT8" s="57"/>
      <c r="HU8" s="57"/>
      <c r="HV8" s="57"/>
      <c r="HW8" s="57"/>
      <c r="HX8" s="57"/>
      <c r="HY8" s="57"/>
      <c r="HZ8" s="57"/>
      <c r="IA8" s="57"/>
      <c r="IB8" s="57"/>
      <c r="IC8" s="57"/>
      <c r="ID8" s="57"/>
      <c r="IE8" s="57"/>
      <c r="IF8" s="57"/>
      <c r="IG8" s="57"/>
      <c r="IH8" s="57"/>
      <c r="II8" s="57"/>
      <c r="IJ8" s="57"/>
      <c r="IK8" s="57"/>
      <c r="IL8" s="57"/>
      <c r="IM8" s="57"/>
      <c r="IN8" s="57"/>
      <c r="IO8" s="57"/>
      <c r="IP8" s="57"/>
      <c r="IQ8" s="57"/>
      <c r="IR8" s="57"/>
      <c r="IS8" s="57"/>
      <c r="IT8" s="57"/>
      <c r="IU8" s="57"/>
      <c r="IV8" s="57"/>
    </row>
    <row r="9" spans="1:256" x14ac:dyDescent="0.2">
      <c r="A9" s="51"/>
      <c r="B9" s="68" t="s">
        <v>387</v>
      </c>
      <c r="C9" s="62"/>
      <c r="D9" s="65"/>
      <c r="E9" s="278"/>
      <c r="F9" s="70"/>
      <c r="G9" s="74"/>
      <c r="H9" s="75"/>
      <c r="I9" s="74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7"/>
      <c r="EG9" s="57"/>
      <c r="EH9" s="57"/>
      <c r="EI9" s="57"/>
      <c r="EJ9" s="57"/>
      <c r="EK9" s="57"/>
      <c r="EL9" s="57"/>
      <c r="EM9" s="57"/>
      <c r="EN9" s="57"/>
      <c r="EO9" s="57"/>
      <c r="EP9" s="57"/>
      <c r="EQ9" s="57"/>
      <c r="ER9" s="57"/>
      <c r="ES9" s="57"/>
      <c r="ET9" s="57"/>
      <c r="EU9" s="57"/>
      <c r="EV9" s="57"/>
      <c r="EW9" s="57"/>
      <c r="EX9" s="57"/>
      <c r="EY9" s="57"/>
      <c r="EZ9" s="57"/>
      <c r="FA9" s="57"/>
      <c r="FB9" s="57"/>
      <c r="FC9" s="57"/>
      <c r="FD9" s="57"/>
      <c r="FE9" s="57"/>
      <c r="FF9" s="57"/>
      <c r="FG9" s="57"/>
      <c r="FH9" s="57"/>
      <c r="FI9" s="57"/>
      <c r="FJ9" s="57"/>
      <c r="FK9" s="57"/>
      <c r="FL9" s="57"/>
      <c r="FM9" s="57"/>
      <c r="FN9" s="57"/>
      <c r="FO9" s="57"/>
      <c r="FP9" s="57"/>
      <c r="FQ9" s="57"/>
      <c r="FR9" s="57"/>
      <c r="FS9" s="57"/>
      <c r="FT9" s="57"/>
      <c r="FU9" s="57"/>
      <c r="FV9" s="57"/>
      <c r="FW9" s="57"/>
      <c r="FX9" s="57"/>
      <c r="FY9" s="57"/>
      <c r="FZ9" s="57"/>
      <c r="GA9" s="57"/>
      <c r="GB9" s="57"/>
      <c r="GC9" s="57"/>
      <c r="GD9" s="57"/>
      <c r="GE9" s="57"/>
      <c r="GF9" s="57"/>
      <c r="GG9" s="57"/>
      <c r="GH9" s="57"/>
      <c r="GI9" s="57"/>
      <c r="GJ9" s="57"/>
      <c r="GK9" s="57"/>
      <c r="GL9" s="57"/>
      <c r="GM9" s="57"/>
      <c r="GN9" s="57"/>
      <c r="GO9" s="57"/>
      <c r="GP9" s="57"/>
      <c r="GQ9" s="57"/>
      <c r="GR9" s="57"/>
      <c r="GS9" s="57"/>
      <c r="GT9" s="57"/>
      <c r="GU9" s="57"/>
      <c r="GV9" s="57"/>
      <c r="GW9" s="57"/>
      <c r="GX9" s="57"/>
      <c r="GY9" s="57"/>
      <c r="GZ9" s="57"/>
      <c r="HA9" s="57"/>
      <c r="HB9" s="57"/>
      <c r="HC9" s="57"/>
      <c r="HD9" s="57"/>
      <c r="HE9" s="57"/>
      <c r="HF9" s="57"/>
      <c r="HG9" s="57"/>
      <c r="HH9" s="57"/>
      <c r="HI9" s="57"/>
      <c r="HJ9" s="57"/>
      <c r="HK9" s="57"/>
      <c r="HL9" s="57"/>
      <c r="HM9" s="57"/>
      <c r="HN9" s="57"/>
      <c r="HO9" s="57"/>
      <c r="HP9" s="57"/>
      <c r="HQ9" s="57"/>
      <c r="HR9" s="57"/>
      <c r="HS9" s="57"/>
      <c r="HT9" s="57"/>
      <c r="HU9" s="57"/>
      <c r="HV9" s="57"/>
      <c r="HW9" s="57"/>
      <c r="HX9" s="57"/>
      <c r="HY9" s="57"/>
      <c r="HZ9" s="57"/>
      <c r="IA9" s="57"/>
      <c r="IB9" s="57"/>
      <c r="IC9" s="57"/>
      <c r="ID9" s="57"/>
      <c r="IE9" s="57"/>
      <c r="IF9" s="57"/>
      <c r="IG9" s="57"/>
      <c r="IH9" s="57"/>
      <c r="II9" s="57"/>
      <c r="IJ9" s="57"/>
      <c r="IK9" s="57"/>
      <c r="IL9" s="57"/>
      <c r="IM9" s="57"/>
      <c r="IN9" s="57"/>
      <c r="IO9" s="57"/>
      <c r="IP9" s="57"/>
      <c r="IQ9" s="57"/>
      <c r="IR9" s="57"/>
      <c r="IS9" s="57"/>
      <c r="IT9" s="57"/>
      <c r="IU9" s="57"/>
      <c r="IV9" s="57"/>
    </row>
    <row r="10" spans="1:256" x14ac:dyDescent="0.2">
      <c r="A10" s="51"/>
      <c r="B10" s="68"/>
      <c r="C10" s="69"/>
      <c r="D10" s="65"/>
      <c r="E10" s="278"/>
      <c r="F10" s="70"/>
      <c r="G10" s="74"/>
      <c r="H10" s="75"/>
      <c r="I10" s="74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  <c r="BO10" s="57"/>
      <c r="BP10" s="57"/>
      <c r="BQ10" s="57"/>
      <c r="BR10" s="57"/>
      <c r="BS10" s="57"/>
      <c r="BT10" s="57"/>
      <c r="BU10" s="57"/>
      <c r="BV10" s="57"/>
      <c r="BW10" s="57"/>
      <c r="BX10" s="57"/>
      <c r="BY10" s="57"/>
      <c r="BZ10" s="57"/>
      <c r="CA10" s="57"/>
      <c r="CB10" s="57"/>
      <c r="CC10" s="57"/>
      <c r="CD10" s="57"/>
      <c r="CE10" s="57"/>
      <c r="CF10" s="57"/>
      <c r="CG10" s="57"/>
      <c r="CH10" s="57"/>
      <c r="CI10" s="57"/>
      <c r="CJ10" s="57"/>
      <c r="CK10" s="57"/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57"/>
      <c r="DA10" s="57"/>
      <c r="DB10" s="57"/>
      <c r="DC10" s="57"/>
      <c r="DD10" s="57"/>
      <c r="DE10" s="57"/>
      <c r="DF10" s="57"/>
      <c r="DG10" s="57"/>
      <c r="DH10" s="57"/>
      <c r="DI10" s="57"/>
      <c r="DJ10" s="57"/>
      <c r="DK10" s="57"/>
      <c r="DL10" s="57"/>
      <c r="DM10" s="57"/>
      <c r="DN10" s="57"/>
      <c r="DO10" s="57"/>
      <c r="DP10" s="57"/>
      <c r="DQ10" s="57"/>
      <c r="DR10" s="57"/>
      <c r="DS10" s="57"/>
      <c r="DT10" s="57"/>
      <c r="DU10" s="57"/>
      <c r="DV10" s="57"/>
      <c r="DW10" s="57"/>
      <c r="DX10" s="57"/>
      <c r="DY10" s="57"/>
      <c r="DZ10" s="57"/>
      <c r="EA10" s="57"/>
      <c r="EB10" s="57"/>
      <c r="EC10" s="57"/>
      <c r="ED10" s="57"/>
      <c r="EE10" s="57"/>
      <c r="EF10" s="57"/>
      <c r="EG10" s="57"/>
      <c r="EH10" s="57"/>
      <c r="EI10" s="57"/>
      <c r="EJ10" s="57"/>
      <c r="EK10" s="57"/>
      <c r="EL10" s="57"/>
      <c r="EM10" s="57"/>
      <c r="EN10" s="57"/>
      <c r="EO10" s="57"/>
      <c r="EP10" s="57"/>
      <c r="EQ10" s="57"/>
      <c r="ER10" s="57"/>
      <c r="ES10" s="57"/>
      <c r="ET10" s="57"/>
      <c r="EU10" s="57"/>
      <c r="EV10" s="57"/>
      <c r="EW10" s="57"/>
      <c r="EX10" s="57"/>
      <c r="EY10" s="57"/>
      <c r="EZ10" s="57"/>
      <c r="FA10" s="57"/>
      <c r="FB10" s="57"/>
      <c r="FC10" s="57"/>
      <c r="FD10" s="57"/>
      <c r="FE10" s="57"/>
      <c r="FF10" s="57"/>
      <c r="FG10" s="57"/>
      <c r="FH10" s="57"/>
      <c r="FI10" s="57"/>
      <c r="FJ10" s="57"/>
      <c r="FK10" s="57"/>
      <c r="FL10" s="57"/>
      <c r="FM10" s="57"/>
      <c r="FN10" s="57"/>
      <c r="FO10" s="57"/>
      <c r="FP10" s="57"/>
      <c r="FQ10" s="57"/>
      <c r="FR10" s="57"/>
      <c r="FS10" s="57"/>
      <c r="FT10" s="57"/>
      <c r="FU10" s="57"/>
      <c r="FV10" s="57"/>
      <c r="FW10" s="57"/>
      <c r="FX10" s="57"/>
      <c r="FY10" s="57"/>
      <c r="FZ10" s="57"/>
      <c r="GA10" s="57"/>
      <c r="GB10" s="57"/>
      <c r="GC10" s="57"/>
      <c r="GD10" s="57"/>
      <c r="GE10" s="57"/>
      <c r="GF10" s="57"/>
      <c r="GG10" s="57"/>
      <c r="GH10" s="57"/>
      <c r="GI10" s="57"/>
      <c r="GJ10" s="57"/>
      <c r="GK10" s="57"/>
      <c r="GL10" s="57"/>
      <c r="GM10" s="57"/>
      <c r="GN10" s="57"/>
      <c r="GO10" s="57"/>
      <c r="GP10" s="57"/>
      <c r="GQ10" s="57"/>
      <c r="GR10" s="57"/>
      <c r="GS10" s="57"/>
      <c r="GT10" s="57"/>
      <c r="GU10" s="57"/>
      <c r="GV10" s="57"/>
      <c r="GW10" s="57"/>
      <c r="GX10" s="57"/>
      <c r="GY10" s="57"/>
      <c r="GZ10" s="57"/>
      <c r="HA10" s="57"/>
      <c r="HB10" s="57"/>
      <c r="HC10" s="57"/>
      <c r="HD10" s="57"/>
      <c r="HE10" s="57"/>
      <c r="HF10" s="57"/>
      <c r="HG10" s="57"/>
      <c r="HH10" s="57"/>
      <c r="HI10" s="57"/>
      <c r="HJ10" s="57"/>
      <c r="HK10" s="57"/>
      <c r="HL10" s="57"/>
      <c r="HM10" s="57"/>
      <c r="HN10" s="57"/>
      <c r="HO10" s="57"/>
      <c r="HP10" s="57"/>
      <c r="HQ10" s="57"/>
      <c r="HR10" s="57"/>
      <c r="HS10" s="57"/>
      <c r="HT10" s="57"/>
      <c r="HU10" s="57"/>
      <c r="HV10" s="57"/>
      <c r="HW10" s="57"/>
      <c r="HX10" s="57"/>
      <c r="HY10" s="57"/>
      <c r="HZ10" s="57"/>
      <c r="IA10" s="57"/>
      <c r="IB10" s="57"/>
      <c r="IC10" s="57"/>
      <c r="ID10" s="57"/>
      <c r="IE10" s="57"/>
      <c r="IF10" s="57"/>
      <c r="IG10" s="57"/>
      <c r="IH10" s="57"/>
      <c r="II10" s="57"/>
      <c r="IJ10" s="57"/>
      <c r="IK10" s="57"/>
      <c r="IL10" s="57"/>
      <c r="IM10" s="57"/>
      <c r="IN10" s="57"/>
      <c r="IO10" s="57"/>
      <c r="IP10" s="57"/>
      <c r="IQ10" s="57"/>
      <c r="IR10" s="57"/>
      <c r="IS10" s="57"/>
      <c r="IT10" s="57"/>
      <c r="IU10" s="57"/>
      <c r="IV10" s="57"/>
    </row>
    <row r="11" spans="1:256" x14ac:dyDescent="0.2">
      <c r="A11" s="51"/>
      <c r="B11" s="76" t="s">
        <v>388</v>
      </c>
      <c r="C11" s="69" t="str">
        <f>СВОД!D16</f>
        <v>ООО «Газпром проектирование»</v>
      </c>
      <c r="D11" s="65"/>
      <c r="E11" s="278"/>
      <c r="F11" s="75"/>
      <c r="G11" s="74"/>
      <c r="H11" s="75"/>
      <c r="I11" s="74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s="57"/>
      <c r="BZ11" s="57"/>
      <c r="CA11" s="57"/>
      <c r="CB11" s="57"/>
      <c r="CC11" s="57"/>
      <c r="CD11" s="57"/>
      <c r="CE11" s="57"/>
      <c r="CF11" s="57"/>
      <c r="CG11" s="57"/>
      <c r="CH11" s="57"/>
      <c r="CI11" s="57"/>
      <c r="CJ11" s="57"/>
      <c r="CK11" s="57"/>
      <c r="CL11" s="57"/>
      <c r="CM11" s="57"/>
      <c r="CN11" s="57"/>
      <c r="CO11" s="57"/>
      <c r="CP11" s="57"/>
      <c r="CQ11" s="57"/>
      <c r="CR11" s="57"/>
      <c r="CS11" s="57"/>
      <c r="CT11" s="57"/>
      <c r="CU11" s="57"/>
      <c r="CV11" s="57"/>
      <c r="CW11" s="57"/>
      <c r="CX11" s="57"/>
      <c r="CY11" s="57"/>
      <c r="CZ11" s="57"/>
      <c r="DA11" s="57"/>
      <c r="DB11" s="57"/>
      <c r="DC11" s="57"/>
      <c r="DD11" s="57"/>
      <c r="DE11" s="57"/>
      <c r="DF11" s="57"/>
      <c r="DG11" s="57"/>
      <c r="DH11" s="57"/>
      <c r="DI11" s="57"/>
      <c r="DJ11" s="57"/>
      <c r="DK11" s="57"/>
      <c r="DL11" s="57"/>
      <c r="DM11" s="57"/>
      <c r="DN11" s="57"/>
      <c r="DO11" s="57"/>
      <c r="DP11" s="57"/>
      <c r="DQ11" s="57"/>
      <c r="DR11" s="57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</row>
    <row r="12" spans="1:256" x14ac:dyDescent="0.2">
      <c r="A12" s="51"/>
      <c r="B12" s="76" t="s">
        <v>389</v>
      </c>
      <c r="C12" s="69"/>
      <c r="D12" s="65"/>
      <c r="E12" s="279"/>
      <c r="F12" s="75"/>
      <c r="G12" s="74"/>
      <c r="H12" s="75"/>
      <c r="I12" s="74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7"/>
      <c r="EJ12" s="57"/>
      <c r="EK12" s="57"/>
      <c r="EL12" s="57"/>
      <c r="EM12" s="57"/>
      <c r="EN12" s="57"/>
      <c r="EO12" s="57"/>
      <c r="EP12" s="57"/>
      <c r="EQ12" s="57"/>
      <c r="ER12" s="57"/>
      <c r="ES12" s="57"/>
      <c r="ET12" s="57"/>
      <c r="EU12" s="57"/>
      <c r="EV12" s="57"/>
      <c r="EW12" s="57"/>
      <c r="EX12" s="57"/>
      <c r="EY12" s="57"/>
      <c r="EZ12" s="57"/>
      <c r="FA12" s="57"/>
      <c r="FB12" s="57"/>
      <c r="FC12" s="57"/>
      <c r="FD12" s="57"/>
      <c r="FE12" s="57"/>
      <c r="FF12" s="57"/>
      <c r="FG12" s="57"/>
      <c r="FH12" s="57"/>
      <c r="FI12" s="57"/>
      <c r="FJ12" s="57"/>
      <c r="FK12" s="57"/>
      <c r="FL12" s="57"/>
      <c r="FM12" s="57"/>
      <c r="FN12" s="57"/>
      <c r="FO12" s="57"/>
      <c r="FP12" s="57"/>
      <c r="FQ12" s="57"/>
      <c r="FR12" s="57"/>
      <c r="FS12" s="57"/>
      <c r="FT12" s="57"/>
      <c r="FU12" s="57"/>
      <c r="FV12" s="57"/>
      <c r="FW12" s="57"/>
      <c r="FX12" s="57"/>
      <c r="FY12" s="57"/>
      <c r="FZ12" s="57"/>
      <c r="GA12" s="57"/>
      <c r="GB12" s="57"/>
      <c r="GC12" s="57"/>
      <c r="GD12" s="57"/>
      <c r="GE12" s="57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57"/>
      <c r="HB12" s="57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57"/>
      <c r="HZ12" s="57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</row>
    <row r="13" spans="1:256" ht="13.5" thickBot="1" x14ac:dyDescent="0.25">
      <c r="A13" s="51"/>
      <c r="B13" s="77" t="s">
        <v>3</v>
      </c>
      <c r="C13" s="62"/>
      <c r="D13" s="54"/>
      <c r="E13" s="276"/>
      <c r="F13" s="55"/>
      <c r="G13" s="78"/>
      <c r="H13" s="56"/>
      <c r="I13" s="56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</row>
    <row r="14" spans="1:256" ht="70.5" customHeight="1" thickBot="1" x14ac:dyDescent="0.25">
      <c r="A14" s="79" t="s">
        <v>390</v>
      </c>
      <c r="B14" s="80" t="s">
        <v>391</v>
      </c>
      <c r="C14" s="81" t="s">
        <v>392</v>
      </c>
      <c r="D14" s="80" t="s">
        <v>393</v>
      </c>
      <c r="E14" s="280" t="s">
        <v>46</v>
      </c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  <c r="DK14" s="82"/>
      <c r="DL14" s="82"/>
      <c r="DM14" s="82"/>
      <c r="DN14" s="82"/>
      <c r="DO14" s="82"/>
      <c r="DP14" s="82"/>
      <c r="DQ14" s="82"/>
      <c r="DR14" s="82"/>
      <c r="DS14" s="82"/>
      <c r="DT14" s="82"/>
      <c r="DU14" s="82"/>
      <c r="DV14" s="82"/>
      <c r="DW14" s="82"/>
      <c r="DX14" s="82"/>
      <c r="DY14" s="82"/>
      <c r="DZ14" s="82"/>
      <c r="EA14" s="82"/>
      <c r="EB14" s="82"/>
      <c r="EC14" s="82"/>
      <c r="ED14" s="82"/>
      <c r="EE14" s="82"/>
      <c r="EF14" s="82"/>
      <c r="EG14" s="82"/>
      <c r="EH14" s="82"/>
      <c r="EI14" s="82"/>
      <c r="EJ14" s="82"/>
      <c r="EK14" s="82"/>
      <c r="EL14" s="82"/>
      <c r="EM14" s="82"/>
      <c r="EN14" s="82"/>
      <c r="EO14" s="82"/>
      <c r="EP14" s="82"/>
      <c r="EQ14" s="82"/>
      <c r="ER14" s="82"/>
      <c r="ES14" s="82"/>
      <c r="ET14" s="82"/>
      <c r="EU14" s="82"/>
      <c r="EV14" s="82"/>
      <c r="EW14" s="82"/>
      <c r="EX14" s="82"/>
      <c r="EY14" s="82"/>
      <c r="EZ14" s="82"/>
      <c r="FA14" s="82"/>
      <c r="FB14" s="82"/>
      <c r="FC14" s="82"/>
      <c r="FD14" s="82"/>
      <c r="FE14" s="82"/>
      <c r="FF14" s="82"/>
      <c r="FG14" s="82"/>
      <c r="FH14" s="82"/>
      <c r="FI14" s="82"/>
      <c r="FJ14" s="82"/>
      <c r="FK14" s="82"/>
      <c r="FL14" s="82"/>
      <c r="FM14" s="82"/>
      <c r="FN14" s="82"/>
      <c r="FO14" s="82"/>
      <c r="FP14" s="82"/>
      <c r="FQ14" s="82"/>
      <c r="FR14" s="82"/>
      <c r="FS14" s="82"/>
      <c r="FT14" s="82"/>
      <c r="FU14" s="82"/>
      <c r="FV14" s="82"/>
      <c r="FW14" s="82"/>
      <c r="FX14" s="82"/>
      <c r="FY14" s="82"/>
      <c r="FZ14" s="82"/>
      <c r="GA14" s="82"/>
      <c r="GB14" s="82"/>
      <c r="GC14" s="82"/>
      <c r="GD14" s="82"/>
      <c r="GE14" s="82"/>
      <c r="GF14" s="82"/>
      <c r="GG14" s="82"/>
      <c r="GH14" s="82"/>
      <c r="GI14" s="82"/>
      <c r="GJ14" s="82"/>
      <c r="GK14" s="82"/>
      <c r="GL14" s="82"/>
      <c r="GM14" s="82"/>
      <c r="GN14" s="82"/>
      <c r="GO14" s="82"/>
      <c r="GP14" s="82"/>
      <c r="GQ14" s="82"/>
      <c r="GR14" s="82"/>
      <c r="GS14" s="82"/>
      <c r="GT14" s="82"/>
      <c r="GU14" s="82"/>
      <c r="GV14" s="82"/>
      <c r="GW14" s="82"/>
      <c r="GX14" s="82"/>
      <c r="GY14" s="82"/>
      <c r="GZ14" s="82"/>
      <c r="HA14" s="82"/>
      <c r="HB14" s="82"/>
      <c r="HC14" s="82"/>
      <c r="HD14" s="82"/>
      <c r="HE14" s="82"/>
      <c r="HF14" s="82"/>
      <c r="HG14" s="82"/>
      <c r="HH14" s="82"/>
      <c r="HI14" s="82"/>
      <c r="HJ14" s="82"/>
      <c r="HK14" s="82"/>
      <c r="HL14" s="82"/>
      <c r="HM14" s="82"/>
      <c r="HN14" s="82"/>
      <c r="HO14" s="82"/>
      <c r="HP14" s="82"/>
      <c r="HQ14" s="82"/>
      <c r="HR14" s="82"/>
      <c r="HS14" s="82"/>
      <c r="HT14" s="82"/>
      <c r="HU14" s="82"/>
      <c r="HV14" s="82"/>
      <c r="HW14" s="82"/>
      <c r="HX14" s="82"/>
      <c r="HY14" s="82"/>
      <c r="HZ14" s="82"/>
      <c r="IA14" s="82"/>
      <c r="IB14" s="82"/>
      <c r="IC14" s="82"/>
      <c r="ID14" s="82"/>
      <c r="IE14" s="82"/>
      <c r="IF14" s="82"/>
      <c r="IG14" s="82"/>
      <c r="IH14" s="82"/>
      <c r="II14" s="82"/>
      <c r="IJ14" s="82"/>
      <c r="IK14" s="82"/>
      <c r="IL14" s="82"/>
      <c r="IM14" s="82"/>
      <c r="IN14" s="82"/>
      <c r="IO14" s="82"/>
      <c r="IP14" s="82"/>
      <c r="IQ14" s="82"/>
      <c r="IR14" s="82"/>
      <c r="IS14" s="82"/>
      <c r="IT14" s="82"/>
      <c r="IU14" s="82"/>
      <c r="IV14" s="82"/>
    </row>
    <row r="15" spans="1:256" ht="13.5" thickBot="1" x14ac:dyDescent="0.25">
      <c r="A15" s="83">
        <v>1</v>
      </c>
      <c r="B15" s="83">
        <v>2</v>
      </c>
      <c r="C15" s="84">
        <v>3</v>
      </c>
      <c r="D15" s="83">
        <v>4</v>
      </c>
      <c r="E15" s="281">
        <v>5</v>
      </c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82"/>
      <c r="DT15" s="82"/>
      <c r="DU15" s="82"/>
      <c r="DV15" s="82"/>
      <c r="DW15" s="82"/>
      <c r="DX15" s="82"/>
      <c r="DY15" s="82"/>
      <c r="DZ15" s="82"/>
      <c r="EA15" s="82"/>
      <c r="EB15" s="82"/>
      <c r="EC15" s="82"/>
      <c r="ED15" s="82"/>
      <c r="EE15" s="82"/>
      <c r="EF15" s="82"/>
      <c r="EG15" s="82"/>
      <c r="EH15" s="82"/>
      <c r="EI15" s="82"/>
      <c r="EJ15" s="82"/>
      <c r="EK15" s="82"/>
      <c r="EL15" s="82"/>
      <c r="EM15" s="82"/>
      <c r="EN15" s="82"/>
      <c r="EO15" s="82"/>
      <c r="EP15" s="82"/>
      <c r="EQ15" s="82"/>
      <c r="ER15" s="82"/>
      <c r="ES15" s="82"/>
      <c r="ET15" s="82"/>
      <c r="EU15" s="82"/>
      <c r="EV15" s="82"/>
      <c r="EW15" s="82"/>
      <c r="EX15" s="82"/>
      <c r="EY15" s="82"/>
      <c r="EZ15" s="82"/>
      <c r="FA15" s="82"/>
      <c r="FB15" s="82"/>
      <c r="FC15" s="82"/>
      <c r="FD15" s="82"/>
      <c r="FE15" s="82"/>
      <c r="FF15" s="82"/>
      <c r="FG15" s="82"/>
      <c r="FH15" s="82"/>
      <c r="FI15" s="82"/>
      <c r="FJ15" s="82"/>
      <c r="FK15" s="82"/>
      <c r="FL15" s="82"/>
      <c r="FM15" s="82"/>
      <c r="FN15" s="82"/>
      <c r="FO15" s="82"/>
      <c r="FP15" s="82"/>
      <c r="FQ15" s="82"/>
      <c r="FR15" s="82"/>
      <c r="FS15" s="82"/>
      <c r="FT15" s="82"/>
      <c r="FU15" s="82"/>
      <c r="FV15" s="82"/>
      <c r="FW15" s="82"/>
      <c r="FX15" s="82"/>
      <c r="FY15" s="82"/>
      <c r="FZ15" s="82"/>
      <c r="GA15" s="82"/>
      <c r="GB15" s="82"/>
      <c r="GC15" s="82"/>
      <c r="GD15" s="82"/>
      <c r="GE15" s="82"/>
      <c r="GF15" s="82"/>
      <c r="GG15" s="82"/>
      <c r="GH15" s="82"/>
      <c r="GI15" s="82"/>
      <c r="GJ15" s="82"/>
      <c r="GK15" s="82"/>
      <c r="GL15" s="82"/>
      <c r="GM15" s="82"/>
      <c r="GN15" s="82"/>
      <c r="GO15" s="82"/>
      <c r="GP15" s="82"/>
      <c r="GQ15" s="82"/>
      <c r="GR15" s="82"/>
      <c r="GS15" s="82"/>
      <c r="GT15" s="82"/>
      <c r="GU15" s="82"/>
      <c r="GV15" s="82"/>
      <c r="GW15" s="82"/>
      <c r="GX15" s="82"/>
      <c r="GY15" s="82"/>
      <c r="GZ15" s="82"/>
      <c r="HA15" s="82"/>
      <c r="HB15" s="82"/>
      <c r="HC15" s="82"/>
      <c r="HD15" s="82"/>
      <c r="HE15" s="82"/>
      <c r="HF15" s="82"/>
      <c r="HG15" s="82"/>
      <c r="HH15" s="82"/>
      <c r="HI15" s="82"/>
      <c r="HJ15" s="82"/>
      <c r="HK15" s="82"/>
      <c r="HL15" s="82"/>
      <c r="HM15" s="82"/>
      <c r="HN15" s="82"/>
      <c r="HO15" s="82"/>
      <c r="HP15" s="82"/>
      <c r="HQ15" s="82"/>
      <c r="HR15" s="82"/>
      <c r="HS15" s="82"/>
      <c r="HT15" s="82"/>
      <c r="HU15" s="82"/>
      <c r="HV15" s="82"/>
      <c r="HW15" s="82"/>
      <c r="HX15" s="82"/>
      <c r="HY15" s="82"/>
      <c r="HZ15" s="82"/>
      <c r="IA15" s="82"/>
      <c r="IB15" s="82"/>
      <c r="IC15" s="82"/>
      <c r="ID15" s="82"/>
      <c r="IE15" s="82"/>
      <c r="IF15" s="82"/>
      <c r="IG15" s="82"/>
      <c r="IH15" s="82"/>
      <c r="II15" s="82"/>
      <c r="IJ15" s="82"/>
      <c r="IK15" s="82"/>
      <c r="IL15" s="82"/>
      <c r="IM15" s="82"/>
      <c r="IN15" s="82"/>
      <c r="IO15" s="82"/>
      <c r="IP15" s="82"/>
      <c r="IQ15" s="82"/>
      <c r="IR15" s="82"/>
      <c r="IS15" s="82"/>
      <c r="IT15" s="82"/>
      <c r="IU15" s="82"/>
      <c r="IV15" s="82"/>
    </row>
    <row r="16" spans="1:256" ht="3.75" customHeight="1" thickBot="1" x14ac:dyDescent="0.25">
      <c r="A16" s="85"/>
      <c r="B16" s="86"/>
      <c r="C16" s="87"/>
      <c r="D16" s="87"/>
      <c r="E16" s="282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  <c r="EX16" s="88"/>
      <c r="EY16" s="88"/>
      <c r="EZ16" s="88"/>
      <c r="FA16" s="88"/>
      <c r="FB16" s="88"/>
      <c r="FC16" s="88"/>
      <c r="FD16" s="88"/>
      <c r="FE16" s="88"/>
      <c r="FF16" s="88"/>
      <c r="FG16" s="8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88"/>
      <c r="FU16" s="88"/>
      <c r="FV16" s="88"/>
      <c r="FW16" s="88"/>
      <c r="FX16" s="88"/>
      <c r="FY16" s="88"/>
      <c r="FZ16" s="88"/>
      <c r="GA16" s="88"/>
      <c r="GB16" s="88"/>
      <c r="GC16" s="88"/>
      <c r="GD16" s="88"/>
      <c r="GE16" s="88"/>
      <c r="GF16" s="88"/>
      <c r="GG16" s="88"/>
      <c r="GH16" s="88"/>
      <c r="GI16" s="88"/>
      <c r="GJ16" s="88"/>
      <c r="GK16" s="88"/>
      <c r="GL16" s="88"/>
      <c r="GM16" s="88"/>
      <c r="GN16" s="88"/>
      <c r="GO16" s="88"/>
      <c r="GP16" s="88"/>
      <c r="GQ16" s="88"/>
      <c r="GR16" s="88"/>
      <c r="GS16" s="88"/>
      <c r="GT16" s="88"/>
      <c r="GU16" s="88"/>
      <c r="GV16" s="88"/>
      <c r="GW16" s="88"/>
      <c r="GX16" s="88"/>
      <c r="GY16" s="88"/>
      <c r="GZ16" s="88"/>
      <c r="HA16" s="88"/>
      <c r="HB16" s="88"/>
      <c r="HC16" s="88"/>
      <c r="HD16" s="88"/>
      <c r="HE16" s="88"/>
      <c r="HF16" s="88"/>
      <c r="HG16" s="88"/>
      <c r="HH16" s="88"/>
      <c r="HI16" s="88"/>
      <c r="HJ16" s="88"/>
      <c r="HK16" s="88"/>
      <c r="HL16" s="88"/>
      <c r="HM16" s="88"/>
      <c r="HN16" s="88"/>
      <c r="HO16" s="88"/>
      <c r="HP16" s="88"/>
      <c r="HQ16" s="88"/>
      <c r="HR16" s="88"/>
      <c r="HS16" s="88"/>
      <c r="HT16" s="88"/>
      <c r="HU16" s="88"/>
      <c r="HV16" s="88"/>
      <c r="HW16" s="88"/>
      <c r="HX16" s="88"/>
      <c r="HY16" s="88"/>
      <c r="HZ16" s="88"/>
      <c r="IA16" s="88"/>
      <c r="IB16" s="88"/>
      <c r="IC16" s="88"/>
      <c r="ID16" s="88"/>
      <c r="IE16" s="88"/>
      <c r="IF16" s="88"/>
      <c r="IG16" s="88"/>
      <c r="IH16" s="88"/>
      <c r="II16" s="88"/>
      <c r="IJ16" s="88"/>
      <c r="IK16" s="88"/>
      <c r="IL16" s="88"/>
      <c r="IM16" s="88"/>
      <c r="IN16" s="88"/>
      <c r="IO16" s="88"/>
      <c r="IP16" s="88"/>
      <c r="IQ16" s="88"/>
      <c r="IR16" s="88"/>
      <c r="IS16" s="88"/>
      <c r="IT16" s="88"/>
      <c r="IU16" s="88"/>
      <c r="IV16" s="89"/>
    </row>
    <row r="17" spans="1:5" ht="13.5" thickBot="1" x14ac:dyDescent="0.25">
      <c r="A17" s="446" t="s">
        <v>629</v>
      </c>
      <c r="B17" s="447"/>
      <c r="C17" s="447"/>
      <c r="D17" s="447"/>
      <c r="E17" s="448"/>
    </row>
    <row r="18" spans="1:5" ht="25.5" x14ac:dyDescent="0.2">
      <c r="A18" s="437">
        <v>1</v>
      </c>
      <c r="B18" s="440" t="s">
        <v>401</v>
      </c>
      <c r="C18" s="111" t="s">
        <v>402</v>
      </c>
      <c r="D18" s="437" t="s">
        <v>1012</v>
      </c>
      <c r="E18" s="443">
        <f>2304*0.6*55.26*1.5*1.2*1.1*1.3</f>
        <v>196631.52537599995</v>
      </c>
    </row>
    <row r="19" spans="1:5" x14ac:dyDescent="0.2">
      <c r="A19" s="438"/>
      <c r="B19" s="441"/>
      <c r="C19" s="111" t="s">
        <v>403</v>
      </c>
      <c r="D19" s="438"/>
      <c r="E19" s="444"/>
    </row>
    <row r="20" spans="1:5" x14ac:dyDescent="0.2">
      <c r="A20" s="438"/>
      <c r="B20" s="441"/>
      <c r="C20" s="111" t="s">
        <v>1013</v>
      </c>
      <c r="D20" s="438"/>
      <c r="E20" s="444"/>
    </row>
    <row r="21" spans="1:5" x14ac:dyDescent="0.2">
      <c r="A21" s="438"/>
      <c r="B21" s="441"/>
      <c r="C21" s="111" t="s">
        <v>404</v>
      </c>
      <c r="D21" s="438"/>
      <c r="E21" s="444"/>
    </row>
    <row r="22" spans="1:5" x14ac:dyDescent="0.2">
      <c r="A22" s="438"/>
      <c r="B22" s="441"/>
      <c r="C22" s="111" t="s">
        <v>405</v>
      </c>
      <c r="D22" s="438"/>
      <c r="E22" s="444"/>
    </row>
    <row r="23" spans="1:5" x14ac:dyDescent="0.2">
      <c r="A23" s="438"/>
      <c r="B23" s="441"/>
      <c r="C23" s="111" t="s">
        <v>406</v>
      </c>
      <c r="D23" s="438"/>
      <c r="E23" s="444"/>
    </row>
    <row r="24" spans="1:5" ht="13.5" thickBot="1" x14ac:dyDescent="0.25">
      <c r="A24" s="439"/>
      <c r="B24" s="442"/>
      <c r="C24" s="112" t="s">
        <v>407</v>
      </c>
      <c r="D24" s="439"/>
      <c r="E24" s="445"/>
    </row>
    <row r="25" spans="1:5" ht="25.5" x14ac:dyDescent="0.2">
      <c r="A25" s="437">
        <v>2</v>
      </c>
      <c r="B25" s="440" t="s">
        <v>408</v>
      </c>
      <c r="C25" s="111" t="s">
        <v>409</v>
      </c>
      <c r="D25" s="437" t="s">
        <v>1014</v>
      </c>
      <c r="E25" s="443">
        <f>1843*0.6*55.26*1.4*1.1*1.3</f>
        <v>122335.22901599998</v>
      </c>
    </row>
    <row r="26" spans="1:5" x14ac:dyDescent="0.2">
      <c r="A26" s="438"/>
      <c r="B26" s="441"/>
      <c r="C26" s="111" t="s">
        <v>403</v>
      </c>
      <c r="D26" s="438"/>
      <c r="E26" s="444"/>
    </row>
    <row r="27" spans="1:5" x14ac:dyDescent="0.2">
      <c r="A27" s="438"/>
      <c r="B27" s="441"/>
      <c r="C27" s="111" t="s">
        <v>1013</v>
      </c>
      <c r="D27" s="438"/>
      <c r="E27" s="444"/>
    </row>
    <row r="28" spans="1:5" x14ac:dyDescent="0.2">
      <c r="A28" s="438"/>
      <c r="B28" s="441"/>
      <c r="C28" s="111" t="s">
        <v>410</v>
      </c>
      <c r="D28" s="438"/>
      <c r="E28" s="444"/>
    </row>
    <row r="29" spans="1:5" x14ac:dyDescent="0.2">
      <c r="A29" s="438"/>
      <c r="B29" s="441"/>
      <c r="C29" s="111" t="s">
        <v>406</v>
      </c>
      <c r="D29" s="438"/>
      <c r="E29" s="444"/>
    </row>
    <row r="30" spans="1:5" ht="13.5" thickBot="1" x14ac:dyDescent="0.25">
      <c r="A30" s="439"/>
      <c r="B30" s="442"/>
      <c r="C30" s="112" t="s">
        <v>411</v>
      </c>
      <c r="D30" s="439"/>
      <c r="E30" s="445"/>
    </row>
    <row r="31" spans="1:5" ht="25.5" x14ac:dyDescent="0.2">
      <c r="A31" s="437">
        <v>3</v>
      </c>
      <c r="B31" s="440" t="s">
        <v>412</v>
      </c>
      <c r="C31" s="111" t="s">
        <v>413</v>
      </c>
      <c r="D31" s="437" t="s">
        <v>962</v>
      </c>
      <c r="E31" s="443">
        <f>(1020+15*15)*0.52*7.22</f>
        <v>4674.2280000000001</v>
      </c>
    </row>
    <row r="32" spans="1:5" x14ac:dyDescent="0.2">
      <c r="A32" s="438"/>
      <c r="B32" s="441"/>
      <c r="C32" s="111" t="s">
        <v>414</v>
      </c>
      <c r="D32" s="438"/>
      <c r="E32" s="444"/>
    </row>
    <row r="33" spans="1:5" ht="13.5" thickBot="1" x14ac:dyDescent="0.25">
      <c r="A33" s="439"/>
      <c r="B33" s="442"/>
      <c r="C33" s="112" t="s">
        <v>963</v>
      </c>
      <c r="D33" s="439"/>
      <c r="E33" s="445"/>
    </row>
    <row r="34" spans="1:5" ht="25.5" x14ac:dyDescent="0.2">
      <c r="A34" s="437">
        <v>4</v>
      </c>
      <c r="B34" s="440" t="s">
        <v>415</v>
      </c>
      <c r="C34" s="111" t="s">
        <v>416</v>
      </c>
      <c r="D34" s="437" t="s">
        <v>964</v>
      </c>
      <c r="E34" s="443">
        <f>(1650+76*15)*0.52*7.22</f>
        <v>10474.776</v>
      </c>
    </row>
    <row r="35" spans="1:5" x14ac:dyDescent="0.2">
      <c r="A35" s="438"/>
      <c r="B35" s="441"/>
      <c r="C35" s="111" t="s">
        <v>414</v>
      </c>
      <c r="D35" s="438"/>
      <c r="E35" s="444"/>
    </row>
    <row r="36" spans="1:5" ht="13.5" thickBot="1" x14ac:dyDescent="0.25">
      <c r="A36" s="439"/>
      <c r="B36" s="442"/>
      <c r="C36" s="112" t="s">
        <v>963</v>
      </c>
      <c r="D36" s="439"/>
      <c r="E36" s="445"/>
    </row>
    <row r="37" spans="1:5" ht="25.5" x14ac:dyDescent="0.2">
      <c r="A37" s="437">
        <v>5</v>
      </c>
      <c r="B37" s="440" t="s">
        <v>417</v>
      </c>
      <c r="C37" s="111" t="s">
        <v>418</v>
      </c>
      <c r="D37" s="437" t="s">
        <v>965</v>
      </c>
      <c r="E37" s="443">
        <f>(1950+19*10)*0.52*7.22</f>
        <v>8034.4159999999993</v>
      </c>
    </row>
    <row r="38" spans="1:5" x14ac:dyDescent="0.2">
      <c r="A38" s="438"/>
      <c r="B38" s="441"/>
      <c r="C38" s="111" t="s">
        <v>414</v>
      </c>
      <c r="D38" s="438"/>
      <c r="E38" s="444"/>
    </row>
    <row r="39" spans="1:5" ht="13.5" thickBot="1" x14ac:dyDescent="0.25">
      <c r="A39" s="439"/>
      <c r="B39" s="442"/>
      <c r="C39" s="112" t="s">
        <v>963</v>
      </c>
      <c r="D39" s="439"/>
      <c r="E39" s="445"/>
    </row>
    <row r="40" spans="1:5" ht="25.5" x14ac:dyDescent="0.2">
      <c r="A40" s="437">
        <v>6</v>
      </c>
      <c r="B40" s="440" t="s">
        <v>419</v>
      </c>
      <c r="C40" s="111" t="s">
        <v>420</v>
      </c>
      <c r="D40" s="437" t="s">
        <v>966</v>
      </c>
      <c r="E40" s="443">
        <f>(2450+3680*1)*0.5*7.22</f>
        <v>22129.3</v>
      </c>
    </row>
    <row r="41" spans="1:5" x14ac:dyDescent="0.2">
      <c r="A41" s="438"/>
      <c r="B41" s="441"/>
      <c r="C41" s="111" t="s">
        <v>421</v>
      </c>
      <c r="D41" s="438"/>
      <c r="E41" s="444"/>
    </row>
    <row r="42" spans="1:5" ht="13.5" thickBot="1" x14ac:dyDescent="0.25">
      <c r="A42" s="439"/>
      <c r="B42" s="442"/>
      <c r="C42" s="112" t="s">
        <v>963</v>
      </c>
      <c r="D42" s="439"/>
      <c r="E42" s="445"/>
    </row>
    <row r="43" spans="1:5" ht="25.5" x14ac:dyDescent="0.2">
      <c r="A43" s="437">
        <v>7</v>
      </c>
      <c r="B43" s="440" t="s">
        <v>422</v>
      </c>
      <c r="C43" s="111" t="s">
        <v>423</v>
      </c>
      <c r="D43" s="437" t="s">
        <v>967</v>
      </c>
      <c r="E43" s="443">
        <f>(2450+3680*15)*0.5*7.22</f>
        <v>208116.5</v>
      </c>
    </row>
    <row r="44" spans="1:5" x14ac:dyDescent="0.2">
      <c r="A44" s="438"/>
      <c r="B44" s="441"/>
      <c r="C44" s="111" t="s">
        <v>421</v>
      </c>
      <c r="D44" s="438"/>
      <c r="E44" s="444"/>
    </row>
    <row r="45" spans="1:5" ht="13.5" thickBot="1" x14ac:dyDescent="0.25">
      <c r="A45" s="439"/>
      <c r="B45" s="442"/>
      <c r="C45" s="112" t="s">
        <v>963</v>
      </c>
      <c r="D45" s="439"/>
      <c r="E45" s="445"/>
    </row>
    <row r="46" spans="1:5" ht="25.5" x14ac:dyDescent="0.2">
      <c r="A46" s="437">
        <v>8</v>
      </c>
      <c r="B46" s="440" t="s">
        <v>424</v>
      </c>
      <c r="C46" s="111" t="s">
        <v>425</v>
      </c>
      <c r="D46" s="437" t="s">
        <v>968</v>
      </c>
      <c r="E46" s="443">
        <f>(25980+4623*20)*0.58*7.22</f>
        <v>495979.34399999998</v>
      </c>
    </row>
    <row r="47" spans="1:5" x14ac:dyDescent="0.2">
      <c r="A47" s="438"/>
      <c r="B47" s="441"/>
      <c r="C47" s="111" t="s">
        <v>426</v>
      </c>
      <c r="D47" s="438"/>
      <c r="E47" s="444"/>
    </row>
    <row r="48" spans="1:5" ht="13.5" thickBot="1" x14ac:dyDescent="0.25">
      <c r="A48" s="439"/>
      <c r="B48" s="442"/>
      <c r="C48" s="112" t="s">
        <v>963</v>
      </c>
      <c r="D48" s="439"/>
      <c r="E48" s="445"/>
    </row>
    <row r="49" spans="1:5" ht="26.25" thickBot="1" x14ac:dyDescent="0.25">
      <c r="A49" s="164"/>
      <c r="B49" s="112" t="s">
        <v>427</v>
      </c>
      <c r="C49" s="112"/>
      <c r="D49" s="114"/>
      <c r="E49" s="283">
        <f>SUM(E18:E48)</f>
        <v>1068375.3183919999</v>
      </c>
    </row>
    <row r="50" spans="1:5" ht="13.5" thickBot="1" x14ac:dyDescent="0.25">
      <c r="A50" s="446" t="s">
        <v>428</v>
      </c>
      <c r="B50" s="447"/>
      <c r="C50" s="447"/>
      <c r="D50" s="447"/>
      <c r="E50" s="448"/>
    </row>
    <row r="51" spans="1:5" ht="25.5" x14ac:dyDescent="0.2">
      <c r="A51" s="437">
        <v>9</v>
      </c>
      <c r="B51" s="440" t="s">
        <v>429</v>
      </c>
      <c r="C51" s="111" t="s">
        <v>402</v>
      </c>
      <c r="D51" s="437" t="s">
        <v>1012</v>
      </c>
      <c r="E51" s="443">
        <f>2304*0.6*55.26*1.5*1.2*1.1*1.3</f>
        <v>196631.52537599995</v>
      </c>
    </row>
    <row r="52" spans="1:5" x14ac:dyDescent="0.2">
      <c r="A52" s="438"/>
      <c r="B52" s="441"/>
      <c r="C52" s="111" t="s">
        <v>403</v>
      </c>
      <c r="D52" s="438"/>
      <c r="E52" s="444"/>
    </row>
    <row r="53" spans="1:5" x14ac:dyDescent="0.2">
      <c r="A53" s="438"/>
      <c r="B53" s="441"/>
      <c r="C53" s="111" t="s">
        <v>1013</v>
      </c>
      <c r="D53" s="438"/>
      <c r="E53" s="444"/>
    </row>
    <row r="54" spans="1:5" x14ac:dyDescent="0.2">
      <c r="A54" s="438"/>
      <c r="B54" s="441"/>
      <c r="C54" s="111" t="s">
        <v>404</v>
      </c>
      <c r="D54" s="438"/>
      <c r="E54" s="444"/>
    </row>
    <row r="55" spans="1:5" x14ac:dyDescent="0.2">
      <c r="A55" s="438"/>
      <c r="B55" s="441"/>
      <c r="C55" s="111" t="s">
        <v>405</v>
      </c>
      <c r="D55" s="438"/>
      <c r="E55" s="444"/>
    </row>
    <row r="56" spans="1:5" x14ac:dyDescent="0.2">
      <c r="A56" s="438"/>
      <c r="B56" s="441"/>
      <c r="C56" s="111" t="s">
        <v>406</v>
      </c>
      <c r="D56" s="438"/>
      <c r="E56" s="444"/>
    </row>
    <row r="57" spans="1:5" ht="13.5" thickBot="1" x14ac:dyDescent="0.25">
      <c r="A57" s="439"/>
      <c r="B57" s="442"/>
      <c r="C57" s="112" t="s">
        <v>407</v>
      </c>
      <c r="D57" s="439"/>
      <c r="E57" s="445"/>
    </row>
    <row r="58" spans="1:5" ht="25.5" x14ac:dyDescent="0.2">
      <c r="A58" s="437">
        <v>10</v>
      </c>
      <c r="B58" s="440" t="s">
        <v>430</v>
      </c>
      <c r="C58" s="111" t="s">
        <v>409</v>
      </c>
      <c r="D58" s="437" t="s">
        <v>1014</v>
      </c>
      <c r="E58" s="443">
        <f>1843*0.6*55.26*1.4*1.1*1.3</f>
        <v>122335.22901599998</v>
      </c>
    </row>
    <row r="59" spans="1:5" x14ac:dyDescent="0.2">
      <c r="A59" s="438"/>
      <c r="B59" s="441"/>
      <c r="C59" s="111" t="s">
        <v>403</v>
      </c>
      <c r="D59" s="438"/>
      <c r="E59" s="444"/>
    </row>
    <row r="60" spans="1:5" x14ac:dyDescent="0.2">
      <c r="A60" s="438"/>
      <c r="B60" s="441"/>
      <c r="C60" s="111" t="s">
        <v>1013</v>
      </c>
      <c r="D60" s="438"/>
      <c r="E60" s="444"/>
    </row>
    <row r="61" spans="1:5" x14ac:dyDescent="0.2">
      <c r="A61" s="438"/>
      <c r="B61" s="441"/>
      <c r="C61" s="111" t="s">
        <v>410</v>
      </c>
      <c r="D61" s="438"/>
      <c r="E61" s="444"/>
    </row>
    <row r="62" spans="1:5" x14ac:dyDescent="0.2">
      <c r="A62" s="438"/>
      <c r="B62" s="441"/>
      <c r="C62" s="111" t="s">
        <v>406</v>
      </c>
      <c r="D62" s="438"/>
      <c r="E62" s="444"/>
    </row>
    <row r="63" spans="1:5" ht="13.5" thickBot="1" x14ac:dyDescent="0.25">
      <c r="A63" s="439"/>
      <c r="B63" s="442"/>
      <c r="C63" s="112" t="s">
        <v>411</v>
      </c>
      <c r="D63" s="439"/>
      <c r="E63" s="445"/>
    </row>
    <row r="64" spans="1:5" ht="25.5" x14ac:dyDescent="0.2">
      <c r="A64" s="437">
        <v>11</v>
      </c>
      <c r="B64" s="440" t="s">
        <v>412</v>
      </c>
      <c r="C64" s="111" t="s">
        <v>413</v>
      </c>
      <c r="D64" s="437" t="s">
        <v>962</v>
      </c>
      <c r="E64" s="443">
        <f>(1020+15*15)*0.52*7.22</f>
        <v>4674.2280000000001</v>
      </c>
    </row>
    <row r="65" spans="1:5" x14ac:dyDescent="0.2">
      <c r="A65" s="438"/>
      <c r="B65" s="441"/>
      <c r="C65" s="111" t="s">
        <v>414</v>
      </c>
      <c r="D65" s="438"/>
      <c r="E65" s="444"/>
    </row>
    <row r="66" spans="1:5" ht="13.5" thickBot="1" x14ac:dyDescent="0.25">
      <c r="A66" s="439"/>
      <c r="B66" s="442"/>
      <c r="C66" s="112" t="s">
        <v>963</v>
      </c>
      <c r="D66" s="439"/>
      <c r="E66" s="445"/>
    </row>
    <row r="67" spans="1:5" ht="25.5" x14ac:dyDescent="0.2">
      <c r="A67" s="437">
        <v>12</v>
      </c>
      <c r="B67" s="440" t="s">
        <v>415</v>
      </c>
      <c r="C67" s="111" t="s">
        <v>416</v>
      </c>
      <c r="D67" s="437" t="s">
        <v>964</v>
      </c>
      <c r="E67" s="443">
        <f>(1650+76*15)*0.52*7.22</f>
        <v>10474.776</v>
      </c>
    </row>
    <row r="68" spans="1:5" x14ac:dyDescent="0.2">
      <c r="A68" s="438"/>
      <c r="B68" s="441"/>
      <c r="C68" s="111" t="s">
        <v>414</v>
      </c>
      <c r="D68" s="438"/>
      <c r="E68" s="444"/>
    </row>
    <row r="69" spans="1:5" ht="13.5" thickBot="1" x14ac:dyDescent="0.25">
      <c r="A69" s="439"/>
      <c r="B69" s="442"/>
      <c r="C69" s="112" t="s">
        <v>963</v>
      </c>
      <c r="D69" s="439"/>
      <c r="E69" s="445"/>
    </row>
    <row r="70" spans="1:5" ht="25.5" x14ac:dyDescent="0.2">
      <c r="A70" s="437">
        <v>13</v>
      </c>
      <c r="B70" s="440" t="s">
        <v>417</v>
      </c>
      <c r="C70" s="111" t="s">
        <v>418</v>
      </c>
      <c r="D70" s="437" t="s">
        <v>965</v>
      </c>
      <c r="E70" s="443">
        <f>(1950+19*10)*0.52*7.22</f>
        <v>8034.4159999999993</v>
      </c>
    </row>
    <row r="71" spans="1:5" x14ac:dyDescent="0.2">
      <c r="A71" s="438"/>
      <c r="B71" s="441"/>
      <c r="C71" s="111" t="s">
        <v>414</v>
      </c>
      <c r="D71" s="438"/>
      <c r="E71" s="444"/>
    </row>
    <row r="72" spans="1:5" ht="13.5" thickBot="1" x14ac:dyDescent="0.25">
      <c r="A72" s="439"/>
      <c r="B72" s="442"/>
      <c r="C72" s="112" t="s">
        <v>963</v>
      </c>
      <c r="D72" s="439"/>
      <c r="E72" s="445"/>
    </row>
    <row r="73" spans="1:5" ht="25.5" x14ac:dyDescent="0.2">
      <c r="A73" s="437">
        <v>14</v>
      </c>
      <c r="B73" s="440" t="s">
        <v>419</v>
      </c>
      <c r="C73" s="111" t="s">
        <v>420</v>
      </c>
      <c r="D73" s="437" t="s">
        <v>966</v>
      </c>
      <c r="E73" s="443">
        <f>(2450+3680*1)*0.5*7.22</f>
        <v>22129.3</v>
      </c>
    </row>
    <row r="74" spans="1:5" x14ac:dyDescent="0.2">
      <c r="A74" s="438"/>
      <c r="B74" s="441"/>
      <c r="C74" s="111" t="s">
        <v>421</v>
      </c>
      <c r="D74" s="438"/>
      <c r="E74" s="444"/>
    </row>
    <row r="75" spans="1:5" ht="13.5" thickBot="1" x14ac:dyDescent="0.25">
      <c r="A75" s="439"/>
      <c r="B75" s="442"/>
      <c r="C75" s="112" t="s">
        <v>963</v>
      </c>
      <c r="D75" s="439"/>
      <c r="E75" s="445"/>
    </row>
    <row r="76" spans="1:5" ht="25.5" x14ac:dyDescent="0.2">
      <c r="A76" s="437">
        <v>15</v>
      </c>
      <c r="B76" s="440" t="s">
        <v>422</v>
      </c>
      <c r="C76" s="111" t="s">
        <v>423</v>
      </c>
      <c r="D76" s="437" t="s">
        <v>967</v>
      </c>
      <c r="E76" s="443">
        <f>(2450+3680*15)*0.5*7.22</f>
        <v>208116.5</v>
      </c>
    </row>
    <row r="77" spans="1:5" x14ac:dyDescent="0.2">
      <c r="A77" s="438"/>
      <c r="B77" s="441"/>
      <c r="C77" s="111" t="s">
        <v>421</v>
      </c>
      <c r="D77" s="438"/>
      <c r="E77" s="444"/>
    </row>
    <row r="78" spans="1:5" ht="13.5" thickBot="1" x14ac:dyDescent="0.25">
      <c r="A78" s="439"/>
      <c r="B78" s="442"/>
      <c r="C78" s="112" t="s">
        <v>963</v>
      </c>
      <c r="D78" s="439"/>
      <c r="E78" s="445"/>
    </row>
    <row r="79" spans="1:5" ht="25.5" x14ac:dyDescent="0.2">
      <c r="A79" s="437">
        <v>16</v>
      </c>
      <c r="B79" s="440" t="s">
        <v>424</v>
      </c>
      <c r="C79" s="111" t="s">
        <v>425</v>
      </c>
      <c r="D79" s="437" t="s">
        <v>968</v>
      </c>
      <c r="E79" s="443">
        <f>(25980+4623*20)*0.58*7.22</f>
        <v>495979.34399999998</v>
      </c>
    </row>
    <row r="80" spans="1:5" x14ac:dyDescent="0.2">
      <c r="A80" s="438"/>
      <c r="B80" s="441"/>
      <c r="C80" s="111" t="s">
        <v>426</v>
      </c>
      <c r="D80" s="438"/>
      <c r="E80" s="444"/>
    </row>
    <row r="81" spans="1:5" ht="13.5" thickBot="1" x14ac:dyDescent="0.25">
      <c r="A81" s="439"/>
      <c r="B81" s="442"/>
      <c r="C81" s="112" t="s">
        <v>963</v>
      </c>
      <c r="D81" s="439"/>
      <c r="E81" s="445"/>
    </row>
    <row r="82" spans="1:5" ht="26.25" thickBot="1" x14ac:dyDescent="0.25">
      <c r="A82" s="164"/>
      <c r="B82" s="112" t="s">
        <v>431</v>
      </c>
      <c r="C82" s="112"/>
      <c r="D82" s="114"/>
      <c r="E82" s="283">
        <f>SUM(E51:E81)</f>
        <v>1068375.3183919999</v>
      </c>
    </row>
    <row r="83" spans="1:5" ht="13.5" thickBot="1" x14ac:dyDescent="0.25">
      <c r="A83" s="446" t="s">
        <v>432</v>
      </c>
      <c r="B83" s="447"/>
      <c r="C83" s="447"/>
      <c r="D83" s="447"/>
      <c r="E83" s="448"/>
    </row>
    <row r="84" spans="1:5" ht="25.5" x14ac:dyDescent="0.2">
      <c r="A84" s="437">
        <v>17</v>
      </c>
      <c r="B84" s="440" t="s">
        <v>433</v>
      </c>
      <c r="C84" s="111" t="s">
        <v>434</v>
      </c>
      <c r="D84" s="437" t="s">
        <v>1015</v>
      </c>
      <c r="E84" s="443">
        <f>820*0.6*55.26*1.5*1.2*1.1*1.3</f>
        <v>69981.706080000004</v>
      </c>
    </row>
    <row r="85" spans="1:5" x14ac:dyDescent="0.2">
      <c r="A85" s="438"/>
      <c r="B85" s="441"/>
      <c r="C85" s="111" t="s">
        <v>403</v>
      </c>
      <c r="D85" s="438"/>
      <c r="E85" s="444"/>
    </row>
    <row r="86" spans="1:5" x14ac:dyDescent="0.2">
      <c r="A86" s="438"/>
      <c r="B86" s="441"/>
      <c r="C86" s="111" t="s">
        <v>1013</v>
      </c>
      <c r="D86" s="438"/>
      <c r="E86" s="444"/>
    </row>
    <row r="87" spans="1:5" x14ac:dyDescent="0.2">
      <c r="A87" s="438"/>
      <c r="B87" s="441"/>
      <c r="C87" s="111" t="s">
        <v>404</v>
      </c>
      <c r="D87" s="438"/>
      <c r="E87" s="444"/>
    </row>
    <row r="88" spans="1:5" x14ac:dyDescent="0.2">
      <c r="A88" s="438"/>
      <c r="B88" s="441"/>
      <c r="C88" s="111" t="s">
        <v>405</v>
      </c>
      <c r="D88" s="438"/>
      <c r="E88" s="444"/>
    </row>
    <row r="89" spans="1:5" x14ac:dyDescent="0.2">
      <c r="A89" s="438"/>
      <c r="B89" s="441"/>
      <c r="C89" s="111" t="s">
        <v>406</v>
      </c>
      <c r="D89" s="438"/>
      <c r="E89" s="444"/>
    </row>
    <row r="90" spans="1:5" ht="13.5" thickBot="1" x14ac:dyDescent="0.25">
      <c r="A90" s="439"/>
      <c r="B90" s="442"/>
      <c r="C90" s="112" t="s">
        <v>407</v>
      </c>
      <c r="D90" s="439"/>
      <c r="E90" s="445"/>
    </row>
    <row r="91" spans="1:5" ht="25.5" x14ac:dyDescent="0.2">
      <c r="A91" s="437">
        <v>18</v>
      </c>
      <c r="B91" s="440" t="s">
        <v>435</v>
      </c>
      <c r="C91" s="111" t="s">
        <v>436</v>
      </c>
      <c r="D91" s="437" t="s">
        <v>1016</v>
      </c>
      <c r="E91" s="443">
        <f>656*0.6*55.26*1.4*1.1*1.3</f>
        <v>43544.172671999993</v>
      </c>
    </row>
    <row r="92" spans="1:5" x14ac:dyDescent="0.2">
      <c r="A92" s="438"/>
      <c r="B92" s="441"/>
      <c r="C92" s="111" t="s">
        <v>403</v>
      </c>
      <c r="D92" s="438"/>
      <c r="E92" s="444"/>
    </row>
    <row r="93" spans="1:5" x14ac:dyDescent="0.2">
      <c r="A93" s="438"/>
      <c r="B93" s="441"/>
      <c r="C93" s="111" t="s">
        <v>1013</v>
      </c>
      <c r="D93" s="438"/>
      <c r="E93" s="444"/>
    </row>
    <row r="94" spans="1:5" x14ac:dyDescent="0.2">
      <c r="A94" s="438"/>
      <c r="B94" s="441"/>
      <c r="C94" s="111" t="s">
        <v>410</v>
      </c>
      <c r="D94" s="438"/>
      <c r="E94" s="444"/>
    </row>
    <row r="95" spans="1:5" x14ac:dyDescent="0.2">
      <c r="A95" s="438"/>
      <c r="B95" s="441"/>
      <c r="C95" s="111" t="s">
        <v>406</v>
      </c>
      <c r="D95" s="438"/>
      <c r="E95" s="444"/>
    </row>
    <row r="96" spans="1:5" ht="13.5" thickBot="1" x14ac:dyDescent="0.25">
      <c r="A96" s="439"/>
      <c r="B96" s="442"/>
      <c r="C96" s="112" t="s">
        <v>411</v>
      </c>
      <c r="D96" s="439"/>
      <c r="E96" s="445"/>
    </row>
    <row r="97" spans="1:5" ht="25.5" x14ac:dyDescent="0.2">
      <c r="A97" s="437">
        <v>19</v>
      </c>
      <c r="B97" s="440" t="s">
        <v>412</v>
      </c>
      <c r="C97" s="111" t="s">
        <v>413</v>
      </c>
      <c r="D97" s="437" t="s">
        <v>969</v>
      </c>
      <c r="E97" s="443">
        <f>(1020+15*11)*0.52*7.22</f>
        <v>4448.9639999999999</v>
      </c>
    </row>
    <row r="98" spans="1:5" x14ac:dyDescent="0.2">
      <c r="A98" s="438"/>
      <c r="B98" s="441"/>
      <c r="C98" s="111" t="s">
        <v>414</v>
      </c>
      <c r="D98" s="438"/>
      <c r="E98" s="444"/>
    </row>
    <row r="99" spans="1:5" ht="13.5" thickBot="1" x14ac:dyDescent="0.25">
      <c r="A99" s="439"/>
      <c r="B99" s="442"/>
      <c r="C99" s="112" t="s">
        <v>963</v>
      </c>
      <c r="D99" s="439"/>
      <c r="E99" s="445"/>
    </row>
    <row r="100" spans="1:5" ht="25.5" x14ac:dyDescent="0.2">
      <c r="A100" s="437">
        <v>20</v>
      </c>
      <c r="B100" s="440" t="s">
        <v>415</v>
      </c>
      <c r="C100" s="111" t="s">
        <v>416</v>
      </c>
      <c r="D100" s="437" t="s">
        <v>970</v>
      </c>
      <c r="E100" s="443">
        <f>(1650+76*11)*0.52*7.22</f>
        <v>9333.4383999999991</v>
      </c>
    </row>
    <row r="101" spans="1:5" x14ac:dyDescent="0.2">
      <c r="A101" s="438"/>
      <c r="B101" s="441"/>
      <c r="C101" s="111" t="s">
        <v>414</v>
      </c>
      <c r="D101" s="438"/>
      <c r="E101" s="444"/>
    </row>
    <row r="102" spans="1:5" ht="13.5" thickBot="1" x14ac:dyDescent="0.25">
      <c r="A102" s="439"/>
      <c r="B102" s="442"/>
      <c r="C102" s="112" t="s">
        <v>963</v>
      </c>
      <c r="D102" s="439"/>
      <c r="E102" s="445"/>
    </row>
    <row r="103" spans="1:5" ht="25.5" x14ac:dyDescent="0.2">
      <c r="A103" s="437">
        <v>21</v>
      </c>
      <c r="B103" s="440" t="s">
        <v>417</v>
      </c>
      <c r="C103" s="111" t="s">
        <v>418</v>
      </c>
      <c r="D103" s="437" t="s">
        <v>965</v>
      </c>
      <c r="E103" s="443">
        <f>(1950+19*10)*0.52*7.22</f>
        <v>8034.4159999999993</v>
      </c>
    </row>
    <row r="104" spans="1:5" x14ac:dyDescent="0.2">
      <c r="A104" s="438"/>
      <c r="B104" s="441"/>
      <c r="C104" s="111" t="s">
        <v>414</v>
      </c>
      <c r="D104" s="438"/>
      <c r="E104" s="444"/>
    </row>
    <row r="105" spans="1:5" ht="13.5" thickBot="1" x14ac:dyDescent="0.25">
      <c r="A105" s="439"/>
      <c r="B105" s="442"/>
      <c r="C105" s="112" t="s">
        <v>963</v>
      </c>
      <c r="D105" s="439"/>
      <c r="E105" s="445"/>
    </row>
    <row r="106" spans="1:5" ht="25.5" x14ac:dyDescent="0.2">
      <c r="A106" s="437">
        <v>22</v>
      </c>
      <c r="B106" s="440" t="s">
        <v>419</v>
      </c>
      <c r="C106" s="111" t="s">
        <v>420</v>
      </c>
      <c r="D106" s="437" t="s">
        <v>966</v>
      </c>
      <c r="E106" s="443">
        <f>(2450+3680*1)*0.5*7.22</f>
        <v>22129.3</v>
      </c>
    </row>
    <row r="107" spans="1:5" x14ac:dyDescent="0.2">
      <c r="A107" s="438"/>
      <c r="B107" s="441"/>
      <c r="C107" s="111" t="s">
        <v>421</v>
      </c>
      <c r="D107" s="438"/>
      <c r="E107" s="444"/>
    </row>
    <row r="108" spans="1:5" ht="13.5" thickBot="1" x14ac:dyDescent="0.25">
      <c r="A108" s="439"/>
      <c r="B108" s="442"/>
      <c r="C108" s="112" t="s">
        <v>963</v>
      </c>
      <c r="D108" s="439"/>
      <c r="E108" s="445"/>
    </row>
    <row r="109" spans="1:5" ht="25.5" x14ac:dyDescent="0.2">
      <c r="A109" s="437">
        <v>23</v>
      </c>
      <c r="B109" s="440" t="s">
        <v>422</v>
      </c>
      <c r="C109" s="111" t="s">
        <v>423</v>
      </c>
      <c r="D109" s="437" t="s">
        <v>971</v>
      </c>
      <c r="E109" s="443">
        <f>(2450+3680*11)*0.5*7.22</f>
        <v>154977.29999999999</v>
      </c>
    </row>
    <row r="110" spans="1:5" x14ac:dyDescent="0.2">
      <c r="A110" s="438"/>
      <c r="B110" s="441"/>
      <c r="C110" s="111" t="s">
        <v>421</v>
      </c>
      <c r="D110" s="438"/>
      <c r="E110" s="444"/>
    </row>
    <row r="111" spans="1:5" ht="13.5" thickBot="1" x14ac:dyDescent="0.25">
      <c r="A111" s="439"/>
      <c r="B111" s="442"/>
      <c r="C111" s="112" t="s">
        <v>963</v>
      </c>
      <c r="D111" s="439"/>
      <c r="E111" s="445"/>
    </row>
    <row r="112" spans="1:5" ht="25.5" x14ac:dyDescent="0.2">
      <c r="A112" s="437">
        <v>24</v>
      </c>
      <c r="B112" s="440" t="s">
        <v>437</v>
      </c>
      <c r="C112" s="111" t="s">
        <v>425</v>
      </c>
      <c r="D112" s="437" t="s">
        <v>972</v>
      </c>
      <c r="E112" s="443">
        <f>(25980+4623*10)*0.58*7.22</f>
        <v>302386.59599999996</v>
      </c>
    </row>
    <row r="113" spans="1:5" x14ac:dyDescent="0.2">
      <c r="A113" s="438"/>
      <c r="B113" s="441"/>
      <c r="C113" s="111" t="s">
        <v>426</v>
      </c>
      <c r="D113" s="438"/>
      <c r="E113" s="444"/>
    </row>
    <row r="114" spans="1:5" ht="13.5" thickBot="1" x14ac:dyDescent="0.25">
      <c r="A114" s="439"/>
      <c r="B114" s="442"/>
      <c r="C114" s="112" t="s">
        <v>963</v>
      </c>
      <c r="D114" s="439"/>
      <c r="E114" s="445"/>
    </row>
    <row r="115" spans="1:5" ht="13.5" thickBot="1" x14ac:dyDescent="0.25">
      <c r="A115" s="164"/>
      <c r="B115" s="112" t="s">
        <v>438</v>
      </c>
      <c r="C115" s="112"/>
      <c r="D115" s="114"/>
      <c r="E115" s="283">
        <f>SUM(E84:E114)</f>
        <v>614835.89315199992</v>
      </c>
    </row>
    <row r="116" spans="1:5" ht="13.5" thickBot="1" x14ac:dyDescent="0.25">
      <c r="A116" s="446" t="s">
        <v>439</v>
      </c>
      <c r="B116" s="447"/>
      <c r="C116" s="447"/>
      <c r="D116" s="447"/>
      <c r="E116" s="448"/>
    </row>
    <row r="117" spans="1:5" ht="25.5" x14ac:dyDescent="0.2">
      <c r="A117" s="437">
        <v>25</v>
      </c>
      <c r="B117" s="440" t="s">
        <v>440</v>
      </c>
      <c r="C117" s="111" t="s">
        <v>441</v>
      </c>
      <c r="D117" s="437" t="s">
        <v>1017</v>
      </c>
      <c r="E117" s="443">
        <f>600*0.6*55.26*1.5*1.2*1.1*1.3</f>
        <v>51206.126400000001</v>
      </c>
    </row>
    <row r="118" spans="1:5" x14ac:dyDescent="0.2">
      <c r="A118" s="438"/>
      <c r="B118" s="441"/>
      <c r="C118" s="111" t="s">
        <v>403</v>
      </c>
      <c r="D118" s="438"/>
      <c r="E118" s="444"/>
    </row>
    <row r="119" spans="1:5" x14ac:dyDescent="0.2">
      <c r="A119" s="438"/>
      <c r="B119" s="441"/>
      <c r="C119" s="111" t="s">
        <v>1013</v>
      </c>
      <c r="D119" s="438"/>
      <c r="E119" s="444"/>
    </row>
    <row r="120" spans="1:5" x14ac:dyDescent="0.2">
      <c r="A120" s="438"/>
      <c r="B120" s="441"/>
      <c r="C120" s="111" t="s">
        <v>404</v>
      </c>
      <c r="D120" s="438"/>
      <c r="E120" s="444"/>
    </row>
    <row r="121" spans="1:5" x14ac:dyDescent="0.2">
      <c r="A121" s="438"/>
      <c r="B121" s="441"/>
      <c r="C121" s="111" t="s">
        <v>405</v>
      </c>
      <c r="D121" s="438"/>
      <c r="E121" s="444"/>
    </row>
    <row r="122" spans="1:5" x14ac:dyDescent="0.2">
      <c r="A122" s="438"/>
      <c r="B122" s="441"/>
      <c r="C122" s="111" t="s">
        <v>406</v>
      </c>
      <c r="D122" s="438"/>
      <c r="E122" s="444"/>
    </row>
    <row r="123" spans="1:5" ht="13.5" thickBot="1" x14ac:dyDescent="0.25">
      <c r="A123" s="439"/>
      <c r="B123" s="442"/>
      <c r="C123" s="112" t="s">
        <v>407</v>
      </c>
      <c r="D123" s="439"/>
      <c r="E123" s="445"/>
    </row>
    <row r="124" spans="1:5" ht="25.5" x14ac:dyDescent="0.2">
      <c r="A124" s="437">
        <v>26</v>
      </c>
      <c r="B124" s="440" t="s">
        <v>442</v>
      </c>
      <c r="C124" s="111" t="s">
        <v>443</v>
      </c>
      <c r="D124" s="437" t="s">
        <v>1018</v>
      </c>
      <c r="E124" s="443">
        <f>480*0.6*55.26*1.4*1.1*1.3</f>
        <v>31861.589759999999</v>
      </c>
    </row>
    <row r="125" spans="1:5" x14ac:dyDescent="0.2">
      <c r="A125" s="438"/>
      <c r="B125" s="441"/>
      <c r="C125" s="111" t="s">
        <v>403</v>
      </c>
      <c r="D125" s="438"/>
      <c r="E125" s="444"/>
    </row>
    <row r="126" spans="1:5" x14ac:dyDescent="0.2">
      <c r="A126" s="438"/>
      <c r="B126" s="441"/>
      <c r="C126" s="111" t="s">
        <v>1013</v>
      </c>
      <c r="D126" s="438"/>
      <c r="E126" s="444"/>
    </row>
    <row r="127" spans="1:5" x14ac:dyDescent="0.2">
      <c r="A127" s="438"/>
      <c r="B127" s="441"/>
      <c r="C127" s="111" t="s">
        <v>410</v>
      </c>
      <c r="D127" s="438"/>
      <c r="E127" s="444"/>
    </row>
    <row r="128" spans="1:5" x14ac:dyDescent="0.2">
      <c r="A128" s="438"/>
      <c r="B128" s="441"/>
      <c r="C128" s="111" t="s">
        <v>406</v>
      </c>
      <c r="D128" s="438"/>
      <c r="E128" s="444"/>
    </row>
    <row r="129" spans="1:5" ht="13.5" thickBot="1" x14ac:dyDescent="0.25">
      <c r="A129" s="439"/>
      <c r="B129" s="442"/>
      <c r="C129" s="112" t="s">
        <v>411</v>
      </c>
      <c r="D129" s="439"/>
      <c r="E129" s="445"/>
    </row>
    <row r="130" spans="1:5" ht="25.5" x14ac:dyDescent="0.2">
      <c r="A130" s="437">
        <v>27</v>
      </c>
      <c r="B130" s="440" t="s">
        <v>412</v>
      </c>
      <c r="C130" s="111" t="s">
        <v>413</v>
      </c>
      <c r="D130" s="437" t="s">
        <v>969</v>
      </c>
      <c r="E130" s="443">
        <f>(1020+15*11)*0.52*7.22</f>
        <v>4448.9639999999999</v>
      </c>
    </row>
    <row r="131" spans="1:5" x14ac:dyDescent="0.2">
      <c r="A131" s="438"/>
      <c r="B131" s="441"/>
      <c r="C131" s="111" t="s">
        <v>414</v>
      </c>
      <c r="D131" s="438"/>
      <c r="E131" s="444"/>
    </row>
    <row r="132" spans="1:5" ht="13.5" thickBot="1" x14ac:dyDescent="0.25">
      <c r="A132" s="439"/>
      <c r="B132" s="442"/>
      <c r="C132" s="112" t="s">
        <v>963</v>
      </c>
      <c r="D132" s="439"/>
      <c r="E132" s="445"/>
    </row>
    <row r="133" spans="1:5" ht="25.5" x14ac:dyDescent="0.2">
      <c r="A133" s="437">
        <v>28</v>
      </c>
      <c r="B133" s="440" t="s">
        <v>415</v>
      </c>
      <c r="C133" s="111" t="s">
        <v>416</v>
      </c>
      <c r="D133" s="437" t="s">
        <v>970</v>
      </c>
      <c r="E133" s="443">
        <f>(1650+76*11)*0.52*7.22</f>
        <v>9333.4383999999991</v>
      </c>
    </row>
    <row r="134" spans="1:5" x14ac:dyDescent="0.2">
      <c r="A134" s="438"/>
      <c r="B134" s="441"/>
      <c r="C134" s="111" t="s">
        <v>414</v>
      </c>
      <c r="D134" s="438"/>
      <c r="E134" s="444"/>
    </row>
    <row r="135" spans="1:5" ht="13.5" thickBot="1" x14ac:dyDescent="0.25">
      <c r="A135" s="439"/>
      <c r="B135" s="442"/>
      <c r="C135" s="112" t="s">
        <v>963</v>
      </c>
      <c r="D135" s="439"/>
      <c r="E135" s="445"/>
    </row>
    <row r="136" spans="1:5" ht="25.5" x14ac:dyDescent="0.2">
      <c r="A136" s="437">
        <v>29</v>
      </c>
      <c r="B136" s="440" t="s">
        <v>417</v>
      </c>
      <c r="C136" s="111" t="s">
        <v>418</v>
      </c>
      <c r="D136" s="437" t="s">
        <v>965</v>
      </c>
      <c r="E136" s="443">
        <f>(1950+19*10)*0.52*7.22</f>
        <v>8034.4159999999993</v>
      </c>
    </row>
    <row r="137" spans="1:5" x14ac:dyDescent="0.2">
      <c r="A137" s="438"/>
      <c r="B137" s="441"/>
      <c r="C137" s="111" t="s">
        <v>414</v>
      </c>
      <c r="D137" s="438"/>
      <c r="E137" s="444"/>
    </row>
    <row r="138" spans="1:5" ht="13.5" thickBot="1" x14ac:dyDescent="0.25">
      <c r="A138" s="439"/>
      <c r="B138" s="442"/>
      <c r="C138" s="112" t="s">
        <v>963</v>
      </c>
      <c r="D138" s="439"/>
      <c r="E138" s="445"/>
    </row>
    <row r="139" spans="1:5" ht="25.5" x14ac:dyDescent="0.2">
      <c r="A139" s="437">
        <v>30</v>
      </c>
      <c r="B139" s="440" t="s">
        <v>419</v>
      </c>
      <c r="C139" s="111" t="s">
        <v>420</v>
      </c>
      <c r="D139" s="437" t="s">
        <v>966</v>
      </c>
      <c r="E139" s="443">
        <f>(2450+3680*1)*0.5*7.22</f>
        <v>22129.3</v>
      </c>
    </row>
    <row r="140" spans="1:5" x14ac:dyDescent="0.2">
      <c r="A140" s="438"/>
      <c r="B140" s="441"/>
      <c r="C140" s="111" t="s">
        <v>421</v>
      </c>
      <c r="D140" s="438"/>
      <c r="E140" s="444"/>
    </row>
    <row r="141" spans="1:5" ht="13.5" thickBot="1" x14ac:dyDescent="0.25">
      <c r="A141" s="439"/>
      <c r="B141" s="442"/>
      <c r="C141" s="112" t="s">
        <v>963</v>
      </c>
      <c r="D141" s="439"/>
      <c r="E141" s="445"/>
    </row>
    <row r="142" spans="1:5" ht="25.5" x14ac:dyDescent="0.2">
      <c r="A142" s="437">
        <v>31</v>
      </c>
      <c r="B142" s="440" t="s">
        <v>422</v>
      </c>
      <c r="C142" s="111" t="s">
        <v>423</v>
      </c>
      <c r="D142" s="437" t="s">
        <v>971</v>
      </c>
      <c r="E142" s="443">
        <f>(2450+3680*11)*0.5*7.22</f>
        <v>154977.29999999999</v>
      </c>
    </row>
    <row r="143" spans="1:5" x14ac:dyDescent="0.2">
      <c r="A143" s="438"/>
      <c r="B143" s="441"/>
      <c r="C143" s="111" t="s">
        <v>421</v>
      </c>
      <c r="D143" s="438"/>
      <c r="E143" s="444"/>
    </row>
    <row r="144" spans="1:5" ht="13.5" thickBot="1" x14ac:dyDescent="0.25">
      <c r="A144" s="439"/>
      <c r="B144" s="442"/>
      <c r="C144" s="112" t="s">
        <v>963</v>
      </c>
      <c r="D144" s="439"/>
      <c r="E144" s="445"/>
    </row>
    <row r="145" spans="1:5" ht="25.5" x14ac:dyDescent="0.2">
      <c r="A145" s="437">
        <v>32</v>
      </c>
      <c r="B145" s="440" t="s">
        <v>444</v>
      </c>
      <c r="C145" s="111" t="s">
        <v>425</v>
      </c>
      <c r="D145" s="437" t="s">
        <v>973</v>
      </c>
      <c r="E145" s="443">
        <f>(25980+4623*5)*0.58*7.22</f>
        <v>205590.22199999998</v>
      </c>
    </row>
    <row r="146" spans="1:5" x14ac:dyDescent="0.2">
      <c r="A146" s="438"/>
      <c r="B146" s="441"/>
      <c r="C146" s="111" t="s">
        <v>426</v>
      </c>
      <c r="D146" s="438"/>
      <c r="E146" s="444"/>
    </row>
    <row r="147" spans="1:5" ht="13.5" thickBot="1" x14ac:dyDescent="0.25">
      <c r="A147" s="439"/>
      <c r="B147" s="442"/>
      <c r="C147" s="112" t="s">
        <v>963</v>
      </c>
      <c r="D147" s="439"/>
      <c r="E147" s="445"/>
    </row>
    <row r="148" spans="1:5" ht="39" thickBot="1" x14ac:dyDescent="0.25">
      <c r="A148" s="164"/>
      <c r="B148" s="112" t="s">
        <v>445</v>
      </c>
      <c r="C148" s="112"/>
      <c r="D148" s="114"/>
      <c r="E148" s="283">
        <f>SUM(E117:E147)</f>
        <v>487581.35655999999</v>
      </c>
    </row>
    <row r="149" spans="1:5" ht="13.5" thickBot="1" x14ac:dyDescent="0.25">
      <c r="A149" s="446" t="s">
        <v>99</v>
      </c>
      <c r="B149" s="447"/>
      <c r="C149" s="447"/>
      <c r="D149" s="447"/>
      <c r="E149" s="448"/>
    </row>
    <row r="150" spans="1:5" ht="25.5" x14ac:dyDescent="0.2">
      <c r="A150" s="437">
        <v>33</v>
      </c>
      <c r="B150" s="440" t="s">
        <v>446</v>
      </c>
      <c r="C150" s="111" t="s">
        <v>434</v>
      </c>
      <c r="D150" s="437" t="s">
        <v>1019</v>
      </c>
      <c r="E150" s="443">
        <f>820*0.6*55.26*1.5*1.2</f>
        <v>48938.255999999994</v>
      </c>
    </row>
    <row r="151" spans="1:5" x14ac:dyDescent="0.2">
      <c r="A151" s="438"/>
      <c r="B151" s="441"/>
      <c r="C151" s="111" t="s">
        <v>403</v>
      </c>
      <c r="D151" s="438"/>
      <c r="E151" s="444"/>
    </row>
    <row r="152" spans="1:5" x14ac:dyDescent="0.2">
      <c r="A152" s="438"/>
      <c r="B152" s="441"/>
      <c r="C152" s="111" t="s">
        <v>1013</v>
      </c>
      <c r="D152" s="438"/>
      <c r="E152" s="444"/>
    </row>
    <row r="153" spans="1:5" x14ac:dyDescent="0.2">
      <c r="A153" s="438"/>
      <c r="B153" s="441"/>
      <c r="C153" s="111" t="s">
        <v>404</v>
      </c>
      <c r="D153" s="438"/>
      <c r="E153" s="444"/>
    </row>
    <row r="154" spans="1:5" ht="13.5" thickBot="1" x14ac:dyDescent="0.25">
      <c r="A154" s="439"/>
      <c r="B154" s="442"/>
      <c r="C154" s="112" t="s">
        <v>405</v>
      </c>
      <c r="D154" s="439"/>
      <c r="E154" s="445"/>
    </row>
    <row r="155" spans="1:5" ht="25.5" x14ac:dyDescent="0.2">
      <c r="A155" s="437">
        <v>34</v>
      </c>
      <c r="B155" s="440" t="s">
        <v>447</v>
      </c>
      <c r="C155" s="111" t="s">
        <v>436</v>
      </c>
      <c r="D155" s="437" t="s">
        <v>1020</v>
      </c>
      <c r="E155" s="443">
        <f>656*0.6*55.26*1.4*1.1</f>
        <v>33495.517439999996</v>
      </c>
    </row>
    <row r="156" spans="1:5" x14ac:dyDescent="0.2">
      <c r="A156" s="438"/>
      <c r="B156" s="441"/>
      <c r="C156" s="111" t="s">
        <v>403</v>
      </c>
      <c r="D156" s="438"/>
      <c r="E156" s="444"/>
    </row>
    <row r="157" spans="1:5" x14ac:dyDescent="0.2">
      <c r="A157" s="438"/>
      <c r="B157" s="441"/>
      <c r="C157" s="111" t="s">
        <v>1013</v>
      </c>
      <c r="D157" s="438"/>
      <c r="E157" s="444"/>
    </row>
    <row r="158" spans="1:5" x14ac:dyDescent="0.2">
      <c r="A158" s="438"/>
      <c r="B158" s="441"/>
      <c r="C158" s="111" t="s">
        <v>410</v>
      </c>
      <c r="D158" s="438"/>
      <c r="E158" s="444"/>
    </row>
    <row r="159" spans="1:5" ht="13.5" thickBot="1" x14ac:dyDescent="0.25">
      <c r="A159" s="439"/>
      <c r="B159" s="442"/>
      <c r="C159" s="112" t="s">
        <v>406</v>
      </c>
      <c r="D159" s="439"/>
      <c r="E159" s="445"/>
    </row>
    <row r="160" spans="1:5" ht="25.5" x14ac:dyDescent="0.2">
      <c r="A160" s="437">
        <v>35</v>
      </c>
      <c r="B160" s="440" t="s">
        <v>412</v>
      </c>
      <c r="C160" s="111" t="s">
        <v>413</v>
      </c>
      <c r="D160" s="437" t="s">
        <v>969</v>
      </c>
      <c r="E160" s="443">
        <f>(1020+15*11)*0.52*7.22</f>
        <v>4448.9639999999999</v>
      </c>
    </row>
    <row r="161" spans="1:5" x14ac:dyDescent="0.2">
      <c r="A161" s="438"/>
      <c r="B161" s="441"/>
      <c r="C161" s="111" t="s">
        <v>414</v>
      </c>
      <c r="D161" s="438"/>
      <c r="E161" s="444"/>
    </row>
    <row r="162" spans="1:5" ht="13.5" thickBot="1" x14ac:dyDescent="0.25">
      <c r="A162" s="439"/>
      <c r="B162" s="442"/>
      <c r="C162" s="112" t="s">
        <v>963</v>
      </c>
      <c r="D162" s="439"/>
      <c r="E162" s="445"/>
    </row>
    <row r="163" spans="1:5" ht="25.5" x14ac:dyDescent="0.2">
      <c r="A163" s="437">
        <v>36</v>
      </c>
      <c r="B163" s="440" t="s">
        <v>415</v>
      </c>
      <c r="C163" s="111" t="s">
        <v>416</v>
      </c>
      <c r="D163" s="437" t="s">
        <v>970</v>
      </c>
      <c r="E163" s="443">
        <f>(1650+76*11)*0.52*7.22</f>
        <v>9333.4383999999991</v>
      </c>
    </row>
    <row r="164" spans="1:5" x14ac:dyDescent="0.2">
      <c r="A164" s="438"/>
      <c r="B164" s="441"/>
      <c r="C164" s="111" t="s">
        <v>414</v>
      </c>
      <c r="D164" s="438"/>
      <c r="E164" s="444"/>
    </row>
    <row r="165" spans="1:5" ht="13.5" thickBot="1" x14ac:dyDescent="0.25">
      <c r="A165" s="439"/>
      <c r="B165" s="442"/>
      <c r="C165" s="112" t="s">
        <v>963</v>
      </c>
      <c r="D165" s="439"/>
      <c r="E165" s="445"/>
    </row>
    <row r="166" spans="1:5" ht="25.5" x14ac:dyDescent="0.2">
      <c r="A166" s="437">
        <v>37</v>
      </c>
      <c r="B166" s="440" t="s">
        <v>417</v>
      </c>
      <c r="C166" s="111" t="s">
        <v>418</v>
      </c>
      <c r="D166" s="437" t="s">
        <v>965</v>
      </c>
      <c r="E166" s="443">
        <f>(1950+19*10)*0.52*7.22</f>
        <v>8034.4159999999993</v>
      </c>
    </row>
    <row r="167" spans="1:5" x14ac:dyDescent="0.2">
      <c r="A167" s="438"/>
      <c r="B167" s="441"/>
      <c r="C167" s="111" t="s">
        <v>414</v>
      </c>
      <c r="D167" s="438"/>
      <c r="E167" s="444"/>
    </row>
    <row r="168" spans="1:5" ht="13.5" thickBot="1" x14ac:dyDescent="0.25">
      <c r="A168" s="439"/>
      <c r="B168" s="442"/>
      <c r="C168" s="112" t="s">
        <v>963</v>
      </c>
      <c r="D168" s="439"/>
      <c r="E168" s="445"/>
    </row>
    <row r="169" spans="1:5" ht="25.5" x14ac:dyDescent="0.2">
      <c r="A169" s="437">
        <v>38</v>
      </c>
      <c r="B169" s="440" t="s">
        <v>419</v>
      </c>
      <c r="C169" s="111" t="s">
        <v>420</v>
      </c>
      <c r="D169" s="437" t="s">
        <v>966</v>
      </c>
      <c r="E169" s="443">
        <f>(2450+3680*1)*0.5*7.22</f>
        <v>22129.3</v>
      </c>
    </row>
    <row r="170" spans="1:5" x14ac:dyDescent="0.2">
      <c r="A170" s="438"/>
      <c r="B170" s="441"/>
      <c r="C170" s="111" t="s">
        <v>421</v>
      </c>
      <c r="D170" s="438"/>
      <c r="E170" s="444"/>
    </row>
    <row r="171" spans="1:5" ht="13.5" thickBot="1" x14ac:dyDescent="0.25">
      <c r="A171" s="439"/>
      <c r="B171" s="442"/>
      <c r="C171" s="112" t="s">
        <v>963</v>
      </c>
      <c r="D171" s="439"/>
      <c r="E171" s="445"/>
    </row>
    <row r="172" spans="1:5" ht="25.5" x14ac:dyDescent="0.2">
      <c r="A172" s="437">
        <v>39</v>
      </c>
      <c r="B172" s="440" t="s">
        <v>422</v>
      </c>
      <c r="C172" s="111" t="s">
        <v>423</v>
      </c>
      <c r="D172" s="437" t="s">
        <v>971</v>
      </c>
      <c r="E172" s="443">
        <f>(2450+3680*11)*0.5*7.22</f>
        <v>154977.29999999999</v>
      </c>
    </row>
    <row r="173" spans="1:5" x14ac:dyDescent="0.2">
      <c r="A173" s="438"/>
      <c r="B173" s="441"/>
      <c r="C173" s="111" t="s">
        <v>421</v>
      </c>
      <c r="D173" s="438"/>
      <c r="E173" s="444"/>
    </row>
    <row r="174" spans="1:5" ht="13.5" thickBot="1" x14ac:dyDescent="0.25">
      <c r="A174" s="439"/>
      <c r="B174" s="442"/>
      <c r="C174" s="112" t="s">
        <v>963</v>
      </c>
      <c r="D174" s="439"/>
      <c r="E174" s="445"/>
    </row>
    <row r="175" spans="1:5" ht="25.5" x14ac:dyDescent="0.2">
      <c r="A175" s="437">
        <v>40</v>
      </c>
      <c r="B175" s="440" t="s">
        <v>437</v>
      </c>
      <c r="C175" s="111" t="s">
        <v>425</v>
      </c>
      <c r="D175" s="437" t="s">
        <v>974</v>
      </c>
      <c r="E175" s="443">
        <f>(25980+4623*30)*0.58*7.22</f>
        <v>689572.09199999995</v>
      </c>
    </row>
    <row r="176" spans="1:5" x14ac:dyDescent="0.2">
      <c r="A176" s="438"/>
      <c r="B176" s="441"/>
      <c r="C176" s="111" t="s">
        <v>426</v>
      </c>
      <c r="D176" s="438"/>
      <c r="E176" s="444"/>
    </row>
    <row r="177" spans="1:5" ht="13.5" thickBot="1" x14ac:dyDescent="0.25">
      <c r="A177" s="439"/>
      <c r="B177" s="442"/>
      <c r="C177" s="112" t="s">
        <v>963</v>
      </c>
      <c r="D177" s="439"/>
      <c r="E177" s="445"/>
    </row>
    <row r="178" spans="1:5" ht="13.5" thickBot="1" x14ac:dyDescent="0.25">
      <c r="A178" s="164"/>
      <c r="B178" s="112" t="s">
        <v>448</v>
      </c>
      <c r="C178" s="112"/>
      <c r="D178" s="114"/>
      <c r="E178" s="283">
        <f>SUM(E150:E177)</f>
        <v>970929.28383999993</v>
      </c>
    </row>
    <row r="179" spans="1:5" ht="13.5" thickBot="1" x14ac:dyDescent="0.25">
      <c r="A179" s="446" t="s">
        <v>449</v>
      </c>
      <c r="B179" s="447"/>
      <c r="C179" s="447"/>
      <c r="D179" s="447"/>
      <c r="E179" s="448"/>
    </row>
    <row r="180" spans="1:5" ht="25.5" x14ac:dyDescent="0.2">
      <c r="A180" s="437">
        <v>41</v>
      </c>
      <c r="B180" s="440" t="s">
        <v>450</v>
      </c>
      <c r="C180" s="111" t="s">
        <v>441</v>
      </c>
      <c r="D180" s="437" t="s">
        <v>1021</v>
      </c>
      <c r="E180" s="443">
        <f>600*0.6*55.26*1.5*1.2</f>
        <v>35808.479999999996</v>
      </c>
    </row>
    <row r="181" spans="1:5" x14ac:dyDescent="0.2">
      <c r="A181" s="438"/>
      <c r="B181" s="441"/>
      <c r="C181" s="111" t="s">
        <v>403</v>
      </c>
      <c r="D181" s="438"/>
      <c r="E181" s="444"/>
    </row>
    <row r="182" spans="1:5" x14ac:dyDescent="0.2">
      <c r="A182" s="438"/>
      <c r="B182" s="441"/>
      <c r="C182" s="111" t="s">
        <v>1013</v>
      </c>
      <c r="D182" s="438"/>
      <c r="E182" s="444"/>
    </row>
    <row r="183" spans="1:5" x14ac:dyDescent="0.2">
      <c r="A183" s="438"/>
      <c r="B183" s="441"/>
      <c r="C183" s="111" t="s">
        <v>404</v>
      </c>
      <c r="D183" s="438"/>
      <c r="E183" s="444"/>
    </row>
    <row r="184" spans="1:5" ht="13.5" thickBot="1" x14ac:dyDescent="0.25">
      <c r="A184" s="439"/>
      <c r="B184" s="442"/>
      <c r="C184" s="112" t="s">
        <v>405</v>
      </c>
      <c r="D184" s="439"/>
      <c r="E184" s="445"/>
    </row>
    <row r="185" spans="1:5" ht="25.5" x14ac:dyDescent="0.2">
      <c r="A185" s="437">
        <v>42</v>
      </c>
      <c r="B185" s="440" t="s">
        <v>451</v>
      </c>
      <c r="C185" s="111" t="s">
        <v>443</v>
      </c>
      <c r="D185" s="437" t="s">
        <v>1022</v>
      </c>
      <c r="E185" s="443">
        <f>480*0.6*55.26*1.4</f>
        <v>22280.831999999999</v>
      </c>
    </row>
    <row r="186" spans="1:5" x14ac:dyDescent="0.2">
      <c r="A186" s="438"/>
      <c r="B186" s="441"/>
      <c r="C186" s="111" t="s">
        <v>403</v>
      </c>
      <c r="D186" s="438"/>
      <c r="E186" s="444"/>
    </row>
    <row r="187" spans="1:5" x14ac:dyDescent="0.2">
      <c r="A187" s="438"/>
      <c r="B187" s="441"/>
      <c r="C187" s="111" t="s">
        <v>1013</v>
      </c>
      <c r="D187" s="438"/>
      <c r="E187" s="444"/>
    </row>
    <row r="188" spans="1:5" ht="13.5" thickBot="1" x14ac:dyDescent="0.25">
      <c r="A188" s="439"/>
      <c r="B188" s="442"/>
      <c r="C188" s="112" t="s">
        <v>410</v>
      </c>
      <c r="D188" s="439"/>
      <c r="E188" s="445"/>
    </row>
    <row r="189" spans="1:5" ht="25.5" x14ac:dyDescent="0.2">
      <c r="A189" s="437">
        <v>43</v>
      </c>
      <c r="B189" s="440" t="s">
        <v>412</v>
      </c>
      <c r="C189" s="111" t="s">
        <v>413</v>
      </c>
      <c r="D189" s="437" t="s">
        <v>975</v>
      </c>
      <c r="E189" s="443">
        <f>(1020+15*10)*0.52*7.22</f>
        <v>4392.6480000000001</v>
      </c>
    </row>
    <row r="190" spans="1:5" x14ac:dyDescent="0.2">
      <c r="A190" s="438"/>
      <c r="B190" s="441"/>
      <c r="C190" s="111" t="s">
        <v>414</v>
      </c>
      <c r="D190" s="438"/>
      <c r="E190" s="444"/>
    </row>
    <row r="191" spans="1:5" ht="13.5" thickBot="1" x14ac:dyDescent="0.25">
      <c r="A191" s="439"/>
      <c r="B191" s="442"/>
      <c r="C191" s="112" t="s">
        <v>963</v>
      </c>
      <c r="D191" s="439"/>
      <c r="E191" s="445"/>
    </row>
    <row r="192" spans="1:5" ht="25.5" x14ac:dyDescent="0.2">
      <c r="A192" s="437">
        <v>44</v>
      </c>
      <c r="B192" s="440" t="s">
        <v>415</v>
      </c>
      <c r="C192" s="111" t="s">
        <v>416</v>
      </c>
      <c r="D192" s="437" t="s">
        <v>976</v>
      </c>
      <c r="E192" s="443">
        <f>(1650+76*10)*0.52*7.22</f>
        <v>9048.1039999999994</v>
      </c>
    </row>
    <row r="193" spans="1:5" x14ac:dyDescent="0.2">
      <c r="A193" s="438"/>
      <c r="B193" s="441"/>
      <c r="C193" s="111" t="s">
        <v>414</v>
      </c>
      <c r="D193" s="438"/>
      <c r="E193" s="444"/>
    </row>
    <row r="194" spans="1:5" ht="13.5" thickBot="1" x14ac:dyDescent="0.25">
      <c r="A194" s="439"/>
      <c r="B194" s="442"/>
      <c r="C194" s="112" t="s">
        <v>963</v>
      </c>
      <c r="D194" s="439"/>
      <c r="E194" s="445"/>
    </row>
    <row r="195" spans="1:5" ht="25.5" x14ac:dyDescent="0.2">
      <c r="A195" s="437">
        <v>45</v>
      </c>
      <c r="B195" s="440" t="s">
        <v>417</v>
      </c>
      <c r="C195" s="111" t="s">
        <v>418</v>
      </c>
      <c r="D195" s="437" t="s">
        <v>965</v>
      </c>
      <c r="E195" s="443">
        <f>(1950+19*10)*0.52*7.22</f>
        <v>8034.4159999999993</v>
      </c>
    </row>
    <row r="196" spans="1:5" x14ac:dyDescent="0.2">
      <c r="A196" s="438"/>
      <c r="B196" s="441"/>
      <c r="C196" s="111" t="s">
        <v>414</v>
      </c>
      <c r="D196" s="438"/>
      <c r="E196" s="444"/>
    </row>
    <row r="197" spans="1:5" ht="13.5" thickBot="1" x14ac:dyDescent="0.25">
      <c r="A197" s="439"/>
      <c r="B197" s="442"/>
      <c r="C197" s="112" t="s">
        <v>963</v>
      </c>
      <c r="D197" s="439"/>
      <c r="E197" s="445"/>
    </row>
    <row r="198" spans="1:5" ht="25.5" x14ac:dyDescent="0.2">
      <c r="A198" s="437">
        <v>46</v>
      </c>
      <c r="B198" s="440" t="s">
        <v>419</v>
      </c>
      <c r="C198" s="111" t="s">
        <v>420</v>
      </c>
      <c r="D198" s="437" t="s">
        <v>966</v>
      </c>
      <c r="E198" s="443">
        <f>(2450+3680*1)*0.5*7.22</f>
        <v>22129.3</v>
      </c>
    </row>
    <row r="199" spans="1:5" x14ac:dyDescent="0.2">
      <c r="A199" s="438"/>
      <c r="B199" s="441"/>
      <c r="C199" s="111" t="s">
        <v>421</v>
      </c>
      <c r="D199" s="438"/>
      <c r="E199" s="444"/>
    </row>
    <row r="200" spans="1:5" ht="13.5" thickBot="1" x14ac:dyDescent="0.25">
      <c r="A200" s="439"/>
      <c r="B200" s="442"/>
      <c r="C200" s="112" t="s">
        <v>963</v>
      </c>
      <c r="D200" s="439"/>
      <c r="E200" s="445"/>
    </row>
    <row r="201" spans="1:5" ht="25.5" x14ac:dyDescent="0.2">
      <c r="A201" s="437">
        <v>47</v>
      </c>
      <c r="B201" s="440" t="s">
        <v>422</v>
      </c>
      <c r="C201" s="111" t="s">
        <v>423</v>
      </c>
      <c r="D201" s="437" t="s">
        <v>977</v>
      </c>
      <c r="E201" s="443">
        <f>(2450+3680*10)*0.5*7.22</f>
        <v>141692.5</v>
      </c>
    </row>
    <row r="202" spans="1:5" x14ac:dyDescent="0.2">
      <c r="A202" s="438"/>
      <c r="B202" s="441"/>
      <c r="C202" s="111" t="s">
        <v>421</v>
      </c>
      <c r="D202" s="438"/>
      <c r="E202" s="444"/>
    </row>
    <row r="203" spans="1:5" ht="13.5" thickBot="1" x14ac:dyDescent="0.25">
      <c r="A203" s="439"/>
      <c r="B203" s="442"/>
      <c r="C203" s="112" t="s">
        <v>963</v>
      </c>
      <c r="D203" s="439"/>
      <c r="E203" s="445"/>
    </row>
    <row r="204" spans="1:5" ht="25.5" x14ac:dyDescent="0.2">
      <c r="A204" s="437">
        <v>48</v>
      </c>
      <c r="B204" s="440" t="s">
        <v>444</v>
      </c>
      <c r="C204" s="111" t="s">
        <v>425</v>
      </c>
      <c r="D204" s="437" t="s">
        <v>972</v>
      </c>
      <c r="E204" s="443">
        <f>(25980+4623*10)*0.58*7.22</f>
        <v>302386.59599999996</v>
      </c>
    </row>
    <row r="205" spans="1:5" x14ac:dyDescent="0.2">
      <c r="A205" s="438"/>
      <c r="B205" s="441"/>
      <c r="C205" s="111" t="s">
        <v>426</v>
      </c>
      <c r="D205" s="438"/>
      <c r="E205" s="444"/>
    </row>
    <row r="206" spans="1:5" ht="13.5" thickBot="1" x14ac:dyDescent="0.25">
      <c r="A206" s="439"/>
      <c r="B206" s="442"/>
      <c r="C206" s="112" t="s">
        <v>963</v>
      </c>
      <c r="D206" s="439"/>
      <c r="E206" s="445"/>
    </row>
    <row r="207" spans="1:5" ht="26.25" thickBot="1" x14ac:dyDescent="0.25">
      <c r="A207" s="164"/>
      <c r="B207" s="112" t="s">
        <v>452</v>
      </c>
      <c r="C207" s="112"/>
      <c r="D207" s="114"/>
      <c r="E207" s="283">
        <f>SUM(E180:E206)</f>
        <v>545772.87599999993</v>
      </c>
    </row>
    <row r="208" spans="1:5" ht="13.5" thickBot="1" x14ac:dyDescent="0.25">
      <c r="A208" s="446" t="s">
        <v>352</v>
      </c>
      <c r="B208" s="447"/>
      <c r="C208" s="447"/>
      <c r="D208" s="447"/>
      <c r="E208" s="448"/>
    </row>
    <row r="209" spans="1:5" ht="25.5" x14ac:dyDescent="0.2">
      <c r="A209" s="437">
        <v>49</v>
      </c>
      <c r="B209" s="440" t="s">
        <v>453</v>
      </c>
      <c r="C209" s="111" t="s">
        <v>434</v>
      </c>
      <c r="D209" s="437" t="s">
        <v>1019</v>
      </c>
      <c r="E209" s="443">
        <f>820*0.6*55.26*1.5*1.2</f>
        <v>48938.255999999994</v>
      </c>
    </row>
    <row r="210" spans="1:5" x14ac:dyDescent="0.2">
      <c r="A210" s="438"/>
      <c r="B210" s="441"/>
      <c r="C210" s="111" t="s">
        <v>403</v>
      </c>
      <c r="D210" s="438"/>
      <c r="E210" s="444"/>
    </row>
    <row r="211" spans="1:5" x14ac:dyDescent="0.2">
      <c r="A211" s="438"/>
      <c r="B211" s="441"/>
      <c r="C211" s="111" t="s">
        <v>1013</v>
      </c>
      <c r="D211" s="438"/>
      <c r="E211" s="444"/>
    </row>
    <row r="212" spans="1:5" x14ac:dyDescent="0.2">
      <c r="A212" s="438"/>
      <c r="B212" s="441"/>
      <c r="C212" s="111" t="s">
        <v>404</v>
      </c>
      <c r="D212" s="438"/>
      <c r="E212" s="444"/>
    </row>
    <row r="213" spans="1:5" ht="13.5" thickBot="1" x14ac:dyDescent="0.25">
      <c r="A213" s="439"/>
      <c r="B213" s="442"/>
      <c r="C213" s="112" t="s">
        <v>405</v>
      </c>
      <c r="D213" s="439"/>
      <c r="E213" s="445"/>
    </row>
    <row r="214" spans="1:5" ht="25.5" x14ac:dyDescent="0.2">
      <c r="A214" s="437">
        <v>50</v>
      </c>
      <c r="B214" s="440" t="s">
        <v>454</v>
      </c>
      <c r="C214" s="111" t="s">
        <v>455</v>
      </c>
      <c r="D214" s="437" t="s">
        <v>978</v>
      </c>
      <c r="E214" s="443">
        <f>(2290+5510*3.68)*0.62*7.22</f>
        <v>101018.02351999999</v>
      </c>
    </row>
    <row r="215" spans="1:5" x14ac:dyDescent="0.2">
      <c r="A215" s="438"/>
      <c r="B215" s="441"/>
      <c r="C215" s="111" t="s">
        <v>456</v>
      </c>
      <c r="D215" s="438"/>
      <c r="E215" s="444"/>
    </row>
    <row r="216" spans="1:5" ht="13.5" thickBot="1" x14ac:dyDescent="0.25">
      <c r="A216" s="439"/>
      <c r="B216" s="442"/>
      <c r="C216" s="112" t="s">
        <v>963</v>
      </c>
      <c r="D216" s="439"/>
      <c r="E216" s="445"/>
    </row>
    <row r="217" spans="1:5" ht="25.5" x14ac:dyDescent="0.2">
      <c r="A217" s="437">
        <v>51</v>
      </c>
      <c r="B217" s="440" t="s">
        <v>457</v>
      </c>
      <c r="C217" s="111" t="s">
        <v>425</v>
      </c>
      <c r="D217" s="437" t="s">
        <v>972</v>
      </c>
      <c r="E217" s="443">
        <f>(25980+4623*10)*0.58*7.22</f>
        <v>302386.59599999996</v>
      </c>
    </row>
    <row r="218" spans="1:5" x14ac:dyDescent="0.2">
      <c r="A218" s="438"/>
      <c r="B218" s="441"/>
      <c r="C218" s="111" t="s">
        <v>426</v>
      </c>
      <c r="D218" s="438"/>
      <c r="E218" s="444"/>
    </row>
    <row r="219" spans="1:5" ht="13.5" thickBot="1" x14ac:dyDescent="0.25">
      <c r="A219" s="439"/>
      <c r="B219" s="442"/>
      <c r="C219" s="112" t="s">
        <v>963</v>
      </c>
      <c r="D219" s="439"/>
      <c r="E219" s="445"/>
    </row>
    <row r="220" spans="1:5" ht="25.5" x14ac:dyDescent="0.2">
      <c r="A220" s="437">
        <v>52</v>
      </c>
      <c r="B220" s="440" t="s">
        <v>458</v>
      </c>
      <c r="C220" s="111" t="s">
        <v>455</v>
      </c>
      <c r="D220" s="437" t="s">
        <v>979</v>
      </c>
      <c r="E220" s="443">
        <f>(2290+5510*1.8)*0.62*7.22</f>
        <v>54647.891199999998</v>
      </c>
    </row>
    <row r="221" spans="1:5" x14ac:dyDescent="0.2">
      <c r="A221" s="438"/>
      <c r="B221" s="441"/>
      <c r="C221" s="111" t="s">
        <v>456</v>
      </c>
      <c r="D221" s="438"/>
      <c r="E221" s="444"/>
    </row>
    <row r="222" spans="1:5" ht="13.5" thickBot="1" x14ac:dyDescent="0.25">
      <c r="A222" s="439"/>
      <c r="B222" s="442"/>
      <c r="C222" s="112" t="s">
        <v>963</v>
      </c>
      <c r="D222" s="439"/>
      <c r="E222" s="445"/>
    </row>
    <row r="223" spans="1:5" ht="25.5" x14ac:dyDescent="0.2">
      <c r="A223" s="437">
        <v>53</v>
      </c>
      <c r="B223" s="440" t="s">
        <v>459</v>
      </c>
      <c r="C223" s="111" t="s">
        <v>460</v>
      </c>
      <c r="D223" s="437" t="s">
        <v>980</v>
      </c>
      <c r="E223" s="443">
        <f>85450*0.5*7.22</f>
        <v>308474.5</v>
      </c>
    </row>
    <row r="224" spans="1:5" x14ac:dyDescent="0.2">
      <c r="A224" s="438"/>
      <c r="B224" s="441"/>
      <c r="C224" s="111" t="s">
        <v>461</v>
      </c>
      <c r="D224" s="438"/>
      <c r="E224" s="444"/>
    </row>
    <row r="225" spans="1:5" ht="13.5" thickBot="1" x14ac:dyDescent="0.25">
      <c r="A225" s="439"/>
      <c r="B225" s="442"/>
      <c r="C225" s="112" t="s">
        <v>963</v>
      </c>
      <c r="D225" s="439"/>
      <c r="E225" s="445"/>
    </row>
    <row r="226" spans="1:5" ht="25.5" x14ac:dyDescent="0.2">
      <c r="A226" s="437">
        <v>54</v>
      </c>
      <c r="B226" s="440" t="s">
        <v>462</v>
      </c>
      <c r="C226" s="111" t="s">
        <v>463</v>
      </c>
      <c r="D226" s="437" t="s">
        <v>981</v>
      </c>
      <c r="E226" s="443">
        <f>(36610+4570*26.4)*0.5*1.1*7.22</f>
        <v>624471.51800000004</v>
      </c>
    </row>
    <row r="227" spans="1:5" x14ac:dyDescent="0.2">
      <c r="A227" s="438"/>
      <c r="B227" s="441"/>
      <c r="C227" s="111" t="s">
        <v>461</v>
      </c>
      <c r="D227" s="438"/>
      <c r="E227" s="444"/>
    </row>
    <row r="228" spans="1:5" x14ac:dyDescent="0.2">
      <c r="A228" s="438"/>
      <c r="B228" s="441"/>
      <c r="C228" s="111" t="s">
        <v>464</v>
      </c>
      <c r="D228" s="438"/>
      <c r="E228" s="444"/>
    </row>
    <row r="229" spans="1:5" ht="13.5" thickBot="1" x14ac:dyDescent="0.25">
      <c r="A229" s="439"/>
      <c r="B229" s="442"/>
      <c r="C229" s="112" t="s">
        <v>963</v>
      </c>
      <c r="D229" s="439"/>
      <c r="E229" s="445"/>
    </row>
    <row r="230" spans="1:5" ht="25.5" x14ac:dyDescent="0.2">
      <c r="A230" s="437">
        <v>55</v>
      </c>
      <c r="B230" s="440" t="s">
        <v>465</v>
      </c>
      <c r="C230" s="111" t="s">
        <v>466</v>
      </c>
      <c r="D230" s="437" t="s">
        <v>982</v>
      </c>
      <c r="E230" s="443">
        <f>2400*0.5*7.22</f>
        <v>8664</v>
      </c>
    </row>
    <row r="231" spans="1:5" x14ac:dyDescent="0.2">
      <c r="A231" s="438"/>
      <c r="B231" s="441"/>
      <c r="C231" s="111" t="s">
        <v>461</v>
      </c>
      <c r="D231" s="438"/>
      <c r="E231" s="444"/>
    </row>
    <row r="232" spans="1:5" ht="13.5" thickBot="1" x14ac:dyDescent="0.25">
      <c r="A232" s="439"/>
      <c r="B232" s="442"/>
      <c r="C232" s="112" t="s">
        <v>963</v>
      </c>
      <c r="D232" s="439"/>
      <c r="E232" s="445"/>
    </row>
    <row r="233" spans="1:5" ht="25.5" x14ac:dyDescent="0.2">
      <c r="A233" s="437">
        <v>56</v>
      </c>
      <c r="B233" s="440" t="s">
        <v>467</v>
      </c>
      <c r="C233" s="111" t="s">
        <v>455</v>
      </c>
      <c r="D233" s="437" t="s">
        <v>983</v>
      </c>
      <c r="E233" s="443">
        <f>(2290+5510*5)*0.62*7.22</f>
        <v>133575.77599999998</v>
      </c>
    </row>
    <row r="234" spans="1:5" x14ac:dyDescent="0.2">
      <c r="A234" s="438"/>
      <c r="B234" s="441"/>
      <c r="C234" s="111" t="s">
        <v>456</v>
      </c>
      <c r="D234" s="438"/>
      <c r="E234" s="444"/>
    </row>
    <row r="235" spans="1:5" ht="13.5" thickBot="1" x14ac:dyDescent="0.25">
      <c r="A235" s="439"/>
      <c r="B235" s="442"/>
      <c r="C235" s="112" t="s">
        <v>963</v>
      </c>
      <c r="D235" s="439"/>
      <c r="E235" s="445"/>
    </row>
    <row r="236" spans="1:5" ht="25.5" x14ac:dyDescent="0.2">
      <c r="A236" s="437">
        <v>57</v>
      </c>
      <c r="B236" s="440" t="s">
        <v>468</v>
      </c>
      <c r="C236" s="111" t="s">
        <v>420</v>
      </c>
      <c r="D236" s="437" t="s">
        <v>977</v>
      </c>
      <c r="E236" s="443">
        <f>(2450+3680*10)*0.5*7.22</f>
        <v>141692.5</v>
      </c>
    </row>
    <row r="237" spans="1:5" x14ac:dyDescent="0.2">
      <c r="A237" s="438"/>
      <c r="B237" s="441"/>
      <c r="C237" s="111" t="s">
        <v>461</v>
      </c>
      <c r="D237" s="438"/>
      <c r="E237" s="444"/>
    </row>
    <row r="238" spans="1:5" ht="13.5" thickBot="1" x14ac:dyDescent="0.25">
      <c r="A238" s="439"/>
      <c r="B238" s="442"/>
      <c r="C238" s="112" t="s">
        <v>963</v>
      </c>
      <c r="D238" s="439"/>
      <c r="E238" s="445"/>
    </row>
    <row r="239" spans="1:5" ht="13.5" thickBot="1" x14ac:dyDescent="0.25">
      <c r="A239" s="164">
        <v>58</v>
      </c>
      <c r="B239" s="112" t="s">
        <v>469</v>
      </c>
      <c r="C239" s="112"/>
      <c r="D239" s="114"/>
      <c r="E239" s="283">
        <f>SUM(E209:E238)</f>
        <v>1723869.06072</v>
      </c>
    </row>
    <row r="240" spans="1:5" ht="26.25" thickBot="1" x14ac:dyDescent="0.25">
      <c r="A240" s="164">
        <v>59</v>
      </c>
      <c r="B240" s="112" t="s">
        <v>470</v>
      </c>
      <c r="C240" s="112"/>
      <c r="D240" s="114"/>
      <c r="E240" s="218">
        <f>E239+E207+E178+E148+E115+E82+E49</f>
        <v>6479739.1070559993</v>
      </c>
    </row>
    <row r="241" spans="1:5" ht="51.75" thickBot="1" x14ac:dyDescent="0.25">
      <c r="A241" s="96">
        <v>60</v>
      </c>
      <c r="B241" s="94" t="s">
        <v>395</v>
      </c>
      <c r="C241" s="94" t="s">
        <v>400</v>
      </c>
      <c r="D241" s="94" t="s">
        <v>396</v>
      </c>
      <c r="E241" s="97">
        <f>E240*0.8</f>
        <v>5183791.2856447995</v>
      </c>
    </row>
    <row r="242" spans="1:5" ht="26.25" thickBot="1" x14ac:dyDescent="0.25">
      <c r="A242" s="96">
        <v>61</v>
      </c>
      <c r="B242" s="94" t="s">
        <v>398</v>
      </c>
      <c r="C242" s="94" t="s">
        <v>399</v>
      </c>
      <c r="D242" s="94" t="s">
        <v>397</v>
      </c>
      <c r="E242" s="97">
        <f>E241*1.08</f>
        <v>5598494.5884963842</v>
      </c>
    </row>
    <row r="243" spans="1:5" ht="13.5" thickBot="1" x14ac:dyDescent="0.25">
      <c r="A243" s="452" t="s">
        <v>394</v>
      </c>
      <c r="B243" s="453"/>
      <c r="C243" s="453"/>
      <c r="D243" s="454"/>
      <c r="E243" s="95">
        <f>E242</f>
        <v>5598494.5884963842</v>
      </c>
    </row>
    <row r="244" spans="1:5" x14ac:dyDescent="0.2">
      <c r="A244" s="90"/>
      <c r="B244" s="90"/>
      <c r="C244" s="90"/>
      <c r="D244" s="90"/>
      <c r="E244" s="91"/>
    </row>
  </sheetData>
  <mergeCells count="239">
    <mergeCell ref="A236:A238"/>
    <mergeCell ref="B236:B238"/>
    <mergeCell ref="D236:D238"/>
    <mergeCell ref="E236:E238"/>
    <mergeCell ref="A226:A229"/>
    <mergeCell ref="B226:B229"/>
    <mergeCell ref="D226:D229"/>
    <mergeCell ref="E226:E229"/>
    <mergeCell ref="A230:A232"/>
    <mergeCell ref="B230:B232"/>
    <mergeCell ref="D230:D232"/>
    <mergeCell ref="E230:E232"/>
    <mergeCell ref="A233:A235"/>
    <mergeCell ref="B233:B235"/>
    <mergeCell ref="D233:D235"/>
    <mergeCell ref="E233:E235"/>
    <mergeCell ref="B201:B203"/>
    <mergeCell ref="D201:D203"/>
    <mergeCell ref="E201:E203"/>
    <mergeCell ref="A208:E208"/>
    <mergeCell ref="A209:A213"/>
    <mergeCell ref="B209:B213"/>
    <mergeCell ref="D209:D213"/>
    <mergeCell ref="E209:E213"/>
    <mergeCell ref="A214:A216"/>
    <mergeCell ref="B214:B216"/>
    <mergeCell ref="D214:D216"/>
    <mergeCell ref="E214:E216"/>
    <mergeCell ref="A204:A206"/>
    <mergeCell ref="B204:B206"/>
    <mergeCell ref="D204:D206"/>
    <mergeCell ref="E204:E206"/>
    <mergeCell ref="A155:A159"/>
    <mergeCell ref="B155:B159"/>
    <mergeCell ref="D155:D159"/>
    <mergeCell ref="E155:E159"/>
    <mergeCell ref="A172:A174"/>
    <mergeCell ref="B172:B174"/>
    <mergeCell ref="D172:D174"/>
    <mergeCell ref="E172:E174"/>
    <mergeCell ref="A175:A177"/>
    <mergeCell ref="B175:B177"/>
    <mergeCell ref="D175:D177"/>
    <mergeCell ref="E175:E177"/>
    <mergeCell ref="B163:B165"/>
    <mergeCell ref="D163:D165"/>
    <mergeCell ref="E163:E165"/>
    <mergeCell ref="A166:A168"/>
    <mergeCell ref="B166:B168"/>
    <mergeCell ref="D166:D168"/>
    <mergeCell ref="E166:E168"/>
    <mergeCell ref="A160:A162"/>
    <mergeCell ref="B160:B162"/>
    <mergeCell ref="D160:D162"/>
    <mergeCell ref="E160:E162"/>
    <mergeCell ref="A169:A171"/>
    <mergeCell ref="A136:A138"/>
    <mergeCell ref="B136:B138"/>
    <mergeCell ref="D136:D138"/>
    <mergeCell ref="E136:E138"/>
    <mergeCell ref="A139:A141"/>
    <mergeCell ref="B139:B141"/>
    <mergeCell ref="D139:D141"/>
    <mergeCell ref="E139:E141"/>
    <mergeCell ref="A142:A144"/>
    <mergeCell ref="B142:B144"/>
    <mergeCell ref="D142:D144"/>
    <mergeCell ref="E142:E144"/>
    <mergeCell ref="E103:E105"/>
    <mergeCell ref="B117:B123"/>
    <mergeCell ref="D117:D123"/>
    <mergeCell ref="E117:E123"/>
    <mergeCell ref="A124:A129"/>
    <mergeCell ref="B124:B129"/>
    <mergeCell ref="D124:D129"/>
    <mergeCell ref="E124:E129"/>
    <mergeCell ref="A130:A132"/>
    <mergeCell ref="B130:B132"/>
    <mergeCell ref="D130:D132"/>
    <mergeCell ref="E130:E132"/>
    <mergeCell ref="A103:A105"/>
    <mergeCell ref="B103:B105"/>
    <mergeCell ref="D103:D105"/>
    <mergeCell ref="A97:A99"/>
    <mergeCell ref="B97:B99"/>
    <mergeCell ref="D97:D99"/>
    <mergeCell ref="E97:E99"/>
    <mergeCell ref="A100:A102"/>
    <mergeCell ref="B100:B102"/>
    <mergeCell ref="D100:D102"/>
    <mergeCell ref="E100:E102"/>
    <mergeCell ref="B79:B81"/>
    <mergeCell ref="D79:D81"/>
    <mergeCell ref="E79:E81"/>
    <mergeCell ref="A83:E83"/>
    <mergeCell ref="A84:A90"/>
    <mergeCell ref="A79:A81"/>
    <mergeCell ref="A17:E17"/>
    <mergeCell ref="A18:A24"/>
    <mergeCell ref="B18:B24"/>
    <mergeCell ref="D18:D24"/>
    <mergeCell ref="E18:E24"/>
    <mergeCell ref="A25:A30"/>
    <mergeCell ref="B25:B30"/>
    <mergeCell ref="D25:D30"/>
    <mergeCell ref="E25:E30"/>
    <mergeCell ref="A192:A194"/>
    <mergeCell ref="B192:B194"/>
    <mergeCell ref="A198:A200"/>
    <mergeCell ref="B198:B200"/>
    <mergeCell ref="D198:D200"/>
    <mergeCell ref="E198:E200"/>
    <mergeCell ref="A201:A203"/>
    <mergeCell ref="A31:A33"/>
    <mergeCell ref="B31:B33"/>
    <mergeCell ref="D31:D33"/>
    <mergeCell ref="E31:E33"/>
    <mergeCell ref="A34:A36"/>
    <mergeCell ref="B34:B36"/>
    <mergeCell ref="D34:D36"/>
    <mergeCell ref="E34:E36"/>
    <mergeCell ref="A37:A39"/>
    <mergeCell ref="B37:B39"/>
    <mergeCell ref="D37:D39"/>
    <mergeCell ref="A50:E50"/>
    <mergeCell ref="A51:A57"/>
    <mergeCell ref="B51:B57"/>
    <mergeCell ref="D51:D57"/>
    <mergeCell ref="E51:E57"/>
    <mergeCell ref="A58:A63"/>
    <mergeCell ref="D180:D184"/>
    <mergeCell ref="E180:E184"/>
    <mergeCell ref="A185:A188"/>
    <mergeCell ref="B185:B188"/>
    <mergeCell ref="D185:D188"/>
    <mergeCell ref="E185:E188"/>
    <mergeCell ref="A189:A191"/>
    <mergeCell ref="B189:B191"/>
    <mergeCell ref="D189:D191"/>
    <mergeCell ref="E189:E191"/>
    <mergeCell ref="A145:A147"/>
    <mergeCell ref="B145:B147"/>
    <mergeCell ref="D145:D147"/>
    <mergeCell ref="E145:E147"/>
    <mergeCell ref="A149:E149"/>
    <mergeCell ref="A150:A154"/>
    <mergeCell ref="B150:B154"/>
    <mergeCell ref="D150:D154"/>
    <mergeCell ref="E150:E154"/>
    <mergeCell ref="A133:A135"/>
    <mergeCell ref="B133:B135"/>
    <mergeCell ref="D133:D135"/>
    <mergeCell ref="E133:E135"/>
    <mergeCell ref="A106:A108"/>
    <mergeCell ref="B106:B108"/>
    <mergeCell ref="D106:D108"/>
    <mergeCell ref="E106:E108"/>
    <mergeCell ref="A109:A111"/>
    <mergeCell ref="B109:B111"/>
    <mergeCell ref="D109:D111"/>
    <mergeCell ref="E109:E111"/>
    <mergeCell ref="A112:A114"/>
    <mergeCell ref="B112:B114"/>
    <mergeCell ref="D112:D114"/>
    <mergeCell ref="E112:E114"/>
    <mergeCell ref="A116:E116"/>
    <mergeCell ref="A117:A123"/>
    <mergeCell ref="E37:E39"/>
    <mergeCell ref="A40:A42"/>
    <mergeCell ref="B40:B42"/>
    <mergeCell ref="D40:D42"/>
    <mergeCell ref="E40:E42"/>
    <mergeCell ref="A43:A45"/>
    <mergeCell ref="B43:B45"/>
    <mergeCell ref="D43:D45"/>
    <mergeCell ref="E43:E45"/>
    <mergeCell ref="A46:A48"/>
    <mergeCell ref="B46:B48"/>
    <mergeCell ref="D46:D48"/>
    <mergeCell ref="E46:E48"/>
    <mergeCell ref="A73:A75"/>
    <mergeCell ref="B73:B75"/>
    <mergeCell ref="D73:D75"/>
    <mergeCell ref="E73:E75"/>
    <mergeCell ref="A76:A78"/>
    <mergeCell ref="B76:B78"/>
    <mergeCell ref="D76:D78"/>
    <mergeCell ref="E76:E78"/>
    <mergeCell ref="B58:B63"/>
    <mergeCell ref="D58:D63"/>
    <mergeCell ref="E58:E63"/>
    <mergeCell ref="A3:E3"/>
    <mergeCell ref="A4:E4"/>
    <mergeCell ref="C6:E6"/>
    <mergeCell ref="A243:D243"/>
    <mergeCell ref="A64:A66"/>
    <mergeCell ref="B64:B66"/>
    <mergeCell ref="D64:D66"/>
    <mergeCell ref="E64:E66"/>
    <mergeCell ref="A67:A69"/>
    <mergeCell ref="B67:B69"/>
    <mergeCell ref="D67:D69"/>
    <mergeCell ref="E67:E69"/>
    <mergeCell ref="A70:A72"/>
    <mergeCell ref="B70:B72"/>
    <mergeCell ref="D70:D72"/>
    <mergeCell ref="E70:E72"/>
    <mergeCell ref="B84:B90"/>
    <mergeCell ref="D84:D90"/>
    <mergeCell ref="E84:E90"/>
    <mergeCell ref="A91:A96"/>
    <mergeCell ref="B91:B96"/>
    <mergeCell ref="D91:D96"/>
    <mergeCell ref="E91:E96"/>
    <mergeCell ref="A163:A165"/>
    <mergeCell ref="A220:A222"/>
    <mergeCell ref="B220:B222"/>
    <mergeCell ref="D220:D222"/>
    <mergeCell ref="E220:E222"/>
    <mergeCell ref="A223:A225"/>
    <mergeCell ref="B223:B225"/>
    <mergeCell ref="D223:D225"/>
    <mergeCell ref="E223:E225"/>
    <mergeCell ref="B169:B171"/>
    <mergeCell ref="D169:D171"/>
    <mergeCell ref="E169:E171"/>
    <mergeCell ref="D192:D194"/>
    <mergeCell ref="E192:E194"/>
    <mergeCell ref="A195:A197"/>
    <mergeCell ref="B195:B197"/>
    <mergeCell ref="D195:D197"/>
    <mergeCell ref="E195:E197"/>
    <mergeCell ref="A217:A219"/>
    <mergeCell ref="B217:B219"/>
    <mergeCell ref="D217:D219"/>
    <mergeCell ref="E217:E219"/>
    <mergeCell ref="A179:E179"/>
    <mergeCell ref="A180:A184"/>
    <mergeCell ref="B180:B184"/>
  </mergeCells>
  <pageMargins left="0.23622047244094491" right="0.23622047244094491" top="0.74803149606299213" bottom="0.74803149606299213" header="0.31496062992125984" footer="0.31496062992125984"/>
  <pageSetup paperSize="9" scale="75" fitToHeight="0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IV381"/>
  <sheetViews>
    <sheetView topLeftCell="A352" zoomScale="85" zoomScaleNormal="85" workbookViewId="0">
      <selection activeCell="E381" sqref="E381"/>
    </sheetView>
  </sheetViews>
  <sheetFormatPr defaultColWidth="9.140625" defaultRowHeight="12.75" x14ac:dyDescent="0.2"/>
  <cols>
    <col min="1" max="1" width="9.140625" style="116"/>
    <col min="2" max="2" width="34.85546875" style="116" customWidth="1"/>
    <col min="3" max="3" width="42.85546875" style="154" customWidth="1"/>
    <col min="4" max="4" width="26.5703125" style="155" customWidth="1"/>
    <col min="5" max="5" width="17.42578125" style="155" customWidth="1"/>
    <col min="6" max="219" width="9.140625" style="116"/>
    <col min="220" max="220" width="28" style="116" customWidth="1"/>
    <col min="221" max="221" width="52" style="116" customWidth="1"/>
    <col min="222" max="222" width="27.28515625" style="116" customWidth="1"/>
    <col min="223" max="223" width="20.5703125" style="116" customWidth="1"/>
    <col min="224" max="225" width="9.140625" style="116"/>
    <col min="226" max="226" width="11.5703125" style="116" bestFit="1" customWidth="1"/>
    <col min="227" max="257" width="9.140625" style="116"/>
    <col min="258" max="258" width="28.7109375" style="116" customWidth="1"/>
    <col min="259" max="259" width="42.85546875" style="116" customWidth="1"/>
    <col min="260" max="260" width="26.28515625" style="116" customWidth="1"/>
    <col min="261" max="261" width="17.42578125" style="116" customWidth="1"/>
    <col min="262" max="475" width="9.140625" style="116"/>
    <col min="476" max="476" width="28" style="116" customWidth="1"/>
    <col min="477" max="477" width="52" style="116" customWidth="1"/>
    <col min="478" max="478" width="27.28515625" style="116" customWidth="1"/>
    <col min="479" max="479" width="20.5703125" style="116" customWidth="1"/>
    <col min="480" max="481" width="9.140625" style="116"/>
    <col min="482" max="482" width="11.5703125" style="116" bestFit="1" customWidth="1"/>
    <col min="483" max="513" width="9.140625" style="116"/>
    <col min="514" max="514" width="28.7109375" style="116" customWidth="1"/>
    <col min="515" max="515" width="42.85546875" style="116" customWidth="1"/>
    <col min="516" max="516" width="26.28515625" style="116" customWidth="1"/>
    <col min="517" max="517" width="17.42578125" style="116" customWidth="1"/>
    <col min="518" max="731" width="9.140625" style="116"/>
    <col min="732" max="732" width="28" style="116" customWidth="1"/>
    <col min="733" max="733" width="52" style="116" customWidth="1"/>
    <col min="734" max="734" width="27.28515625" style="116" customWidth="1"/>
    <col min="735" max="735" width="20.5703125" style="116" customWidth="1"/>
    <col min="736" max="737" width="9.140625" style="116"/>
    <col min="738" max="738" width="11.5703125" style="116" bestFit="1" customWidth="1"/>
    <col min="739" max="769" width="9.140625" style="116"/>
    <col min="770" max="770" width="28.7109375" style="116" customWidth="1"/>
    <col min="771" max="771" width="42.85546875" style="116" customWidth="1"/>
    <col min="772" max="772" width="26.28515625" style="116" customWidth="1"/>
    <col min="773" max="773" width="17.42578125" style="116" customWidth="1"/>
    <col min="774" max="987" width="9.140625" style="116"/>
    <col min="988" max="988" width="28" style="116" customWidth="1"/>
    <col min="989" max="989" width="52" style="116" customWidth="1"/>
    <col min="990" max="990" width="27.28515625" style="116" customWidth="1"/>
    <col min="991" max="991" width="20.5703125" style="116" customWidth="1"/>
    <col min="992" max="993" width="9.140625" style="116"/>
    <col min="994" max="994" width="11.5703125" style="116" bestFit="1" customWidth="1"/>
    <col min="995" max="1025" width="9.140625" style="116"/>
    <col min="1026" max="1026" width="28.7109375" style="116" customWidth="1"/>
    <col min="1027" max="1027" width="42.85546875" style="116" customWidth="1"/>
    <col min="1028" max="1028" width="26.28515625" style="116" customWidth="1"/>
    <col min="1029" max="1029" width="17.42578125" style="116" customWidth="1"/>
    <col min="1030" max="1243" width="9.140625" style="116"/>
    <col min="1244" max="1244" width="28" style="116" customWidth="1"/>
    <col min="1245" max="1245" width="52" style="116" customWidth="1"/>
    <col min="1246" max="1246" width="27.28515625" style="116" customWidth="1"/>
    <col min="1247" max="1247" width="20.5703125" style="116" customWidth="1"/>
    <col min="1248" max="1249" width="9.140625" style="116"/>
    <col min="1250" max="1250" width="11.5703125" style="116" bestFit="1" customWidth="1"/>
    <col min="1251" max="1281" width="9.140625" style="116"/>
    <col min="1282" max="1282" width="28.7109375" style="116" customWidth="1"/>
    <col min="1283" max="1283" width="42.85546875" style="116" customWidth="1"/>
    <col min="1284" max="1284" width="26.28515625" style="116" customWidth="1"/>
    <col min="1285" max="1285" width="17.42578125" style="116" customWidth="1"/>
    <col min="1286" max="1499" width="9.140625" style="116"/>
    <col min="1500" max="1500" width="28" style="116" customWidth="1"/>
    <col min="1501" max="1501" width="52" style="116" customWidth="1"/>
    <col min="1502" max="1502" width="27.28515625" style="116" customWidth="1"/>
    <col min="1503" max="1503" width="20.5703125" style="116" customWidth="1"/>
    <col min="1504" max="1505" width="9.140625" style="116"/>
    <col min="1506" max="1506" width="11.5703125" style="116" bestFit="1" customWidth="1"/>
    <col min="1507" max="1537" width="9.140625" style="116"/>
    <col min="1538" max="1538" width="28.7109375" style="116" customWidth="1"/>
    <col min="1539" max="1539" width="42.85546875" style="116" customWidth="1"/>
    <col min="1540" max="1540" width="26.28515625" style="116" customWidth="1"/>
    <col min="1541" max="1541" width="17.42578125" style="116" customWidth="1"/>
    <col min="1542" max="1755" width="9.140625" style="116"/>
    <col min="1756" max="1756" width="28" style="116" customWidth="1"/>
    <col min="1757" max="1757" width="52" style="116" customWidth="1"/>
    <col min="1758" max="1758" width="27.28515625" style="116" customWidth="1"/>
    <col min="1759" max="1759" width="20.5703125" style="116" customWidth="1"/>
    <col min="1760" max="1761" width="9.140625" style="116"/>
    <col min="1762" max="1762" width="11.5703125" style="116" bestFit="1" customWidth="1"/>
    <col min="1763" max="1793" width="9.140625" style="116"/>
    <col min="1794" max="1794" width="28.7109375" style="116" customWidth="1"/>
    <col min="1795" max="1795" width="42.85546875" style="116" customWidth="1"/>
    <col min="1796" max="1796" width="26.28515625" style="116" customWidth="1"/>
    <col min="1797" max="1797" width="17.42578125" style="116" customWidth="1"/>
    <col min="1798" max="2011" width="9.140625" style="116"/>
    <col min="2012" max="2012" width="28" style="116" customWidth="1"/>
    <col min="2013" max="2013" width="52" style="116" customWidth="1"/>
    <col min="2014" max="2014" width="27.28515625" style="116" customWidth="1"/>
    <col min="2015" max="2015" width="20.5703125" style="116" customWidth="1"/>
    <col min="2016" max="2017" width="9.140625" style="116"/>
    <col min="2018" max="2018" width="11.5703125" style="116" bestFit="1" customWidth="1"/>
    <col min="2019" max="2049" width="9.140625" style="116"/>
    <col min="2050" max="2050" width="28.7109375" style="116" customWidth="1"/>
    <col min="2051" max="2051" width="42.85546875" style="116" customWidth="1"/>
    <col min="2052" max="2052" width="26.28515625" style="116" customWidth="1"/>
    <col min="2053" max="2053" width="17.42578125" style="116" customWidth="1"/>
    <col min="2054" max="2267" width="9.140625" style="116"/>
    <col min="2268" max="2268" width="28" style="116" customWidth="1"/>
    <col min="2269" max="2269" width="52" style="116" customWidth="1"/>
    <col min="2270" max="2270" width="27.28515625" style="116" customWidth="1"/>
    <col min="2271" max="2271" width="20.5703125" style="116" customWidth="1"/>
    <col min="2272" max="2273" width="9.140625" style="116"/>
    <col min="2274" max="2274" width="11.5703125" style="116" bestFit="1" customWidth="1"/>
    <col min="2275" max="2305" width="9.140625" style="116"/>
    <col min="2306" max="2306" width="28.7109375" style="116" customWidth="1"/>
    <col min="2307" max="2307" width="42.85546875" style="116" customWidth="1"/>
    <col min="2308" max="2308" width="26.28515625" style="116" customWidth="1"/>
    <col min="2309" max="2309" width="17.42578125" style="116" customWidth="1"/>
    <col min="2310" max="2523" width="9.140625" style="116"/>
    <col min="2524" max="2524" width="28" style="116" customWidth="1"/>
    <col min="2525" max="2525" width="52" style="116" customWidth="1"/>
    <col min="2526" max="2526" width="27.28515625" style="116" customWidth="1"/>
    <col min="2527" max="2527" width="20.5703125" style="116" customWidth="1"/>
    <col min="2528" max="2529" width="9.140625" style="116"/>
    <col min="2530" max="2530" width="11.5703125" style="116" bestFit="1" customWidth="1"/>
    <col min="2531" max="2561" width="9.140625" style="116"/>
    <col min="2562" max="2562" width="28.7109375" style="116" customWidth="1"/>
    <col min="2563" max="2563" width="42.85546875" style="116" customWidth="1"/>
    <col min="2564" max="2564" width="26.28515625" style="116" customWidth="1"/>
    <col min="2565" max="2565" width="17.42578125" style="116" customWidth="1"/>
    <col min="2566" max="2779" width="9.140625" style="116"/>
    <col min="2780" max="2780" width="28" style="116" customWidth="1"/>
    <col min="2781" max="2781" width="52" style="116" customWidth="1"/>
    <col min="2782" max="2782" width="27.28515625" style="116" customWidth="1"/>
    <col min="2783" max="2783" width="20.5703125" style="116" customWidth="1"/>
    <col min="2784" max="2785" width="9.140625" style="116"/>
    <col min="2786" max="2786" width="11.5703125" style="116" bestFit="1" customWidth="1"/>
    <col min="2787" max="2817" width="9.140625" style="116"/>
    <col min="2818" max="2818" width="28.7109375" style="116" customWidth="1"/>
    <col min="2819" max="2819" width="42.85546875" style="116" customWidth="1"/>
    <col min="2820" max="2820" width="26.28515625" style="116" customWidth="1"/>
    <col min="2821" max="2821" width="17.42578125" style="116" customWidth="1"/>
    <col min="2822" max="3035" width="9.140625" style="116"/>
    <col min="3036" max="3036" width="28" style="116" customWidth="1"/>
    <col min="3037" max="3037" width="52" style="116" customWidth="1"/>
    <col min="3038" max="3038" width="27.28515625" style="116" customWidth="1"/>
    <col min="3039" max="3039" width="20.5703125" style="116" customWidth="1"/>
    <col min="3040" max="3041" width="9.140625" style="116"/>
    <col min="3042" max="3042" width="11.5703125" style="116" bestFit="1" customWidth="1"/>
    <col min="3043" max="3073" width="9.140625" style="116"/>
    <col min="3074" max="3074" width="28.7109375" style="116" customWidth="1"/>
    <col min="3075" max="3075" width="42.85546875" style="116" customWidth="1"/>
    <col min="3076" max="3076" width="26.28515625" style="116" customWidth="1"/>
    <col min="3077" max="3077" width="17.42578125" style="116" customWidth="1"/>
    <col min="3078" max="3291" width="9.140625" style="116"/>
    <col min="3292" max="3292" width="28" style="116" customWidth="1"/>
    <col min="3293" max="3293" width="52" style="116" customWidth="1"/>
    <col min="3294" max="3294" width="27.28515625" style="116" customWidth="1"/>
    <col min="3295" max="3295" width="20.5703125" style="116" customWidth="1"/>
    <col min="3296" max="3297" width="9.140625" style="116"/>
    <col min="3298" max="3298" width="11.5703125" style="116" bestFit="1" customWidth="1"/>
    <col min="3299" max="3329" width="9.140625" style="116"/>
    <col min="3330" max="3330" width="28.7109375" style="116" customWidth="1"/>
    <col min="3331" max="3331" width="42.85546875" style="116" customWidth="1"/>
    <col min="3332" max="3332" width="26.28515625" style="116" customWidth="1"/>
    <col min="3333" max="3333" width="17.42578125" style="116" customWidth="1"/>
    <col min="3334" max="3547" width="9.140625" style="116"/>
    <col min="3548" max="3548" width="28" style="116" customWidth="1"/>
    <col min="3549" max="3549" width="52" style="116" customWidth="1"/>
    <col min="3550" max="3550" width="27.28515625" style="116" customWidth="1"/>
    <col min="3551" max="3551" width="20.5703125" style="116" customWidth="1"/>
    <col min="3552" max="3553" width="9.140625" style="116"/>
    <col min="3554" max="3554" width="11.5703125" style="116" bestFit="1" customWidth="1"/>
    <col min="3555" max="3585" width="9.140625" style="116"/>
    <col min="3586" max="3586" width="28.7109375" style="116" customWidth="1"/>
    <col min="3587" max="3587" width="42.85546875" style="116" customWidth="1"/>
    <col min="3588" max="3588" width="26.28515625" style="116" customWidth="1"/>
    <col min="3589" max="3589" width="17.42578125" style="116" customWidth="1"/>
    <col min="3590" max="3803" width="9.140625" style="116"/>
    <col min="3804" max="3804" width="28" style="116" customWidth="1"/>
    <col min="3805" max="3805" width="52" style="116" customWidth="1"/>
    <col min="3806" max="3806" width="27.28515625" style="116" customWidth="1"/>
    <col min="3807" max="3807" width="20.5703125" style="116" customWidth="1"/>
    <col min="3808" max="3809" width="9.140625" style="116"/>
    <col min="3810" max="3810" width="11.5703125" style="116" bestFit="1" customWidth="1"/>
    <col min="3811" max="3841" width="9.140625" style="116"/>
    <col min="3842" max="3842" width="28.7109375" style="116" customWidth="1"/>
    <col min="3843" max="3843" width="42.85546875" style="116" customWidth="1"/>
    <col min="3844" max="3844" width="26.28515625" style="116" customWidth="1"/>
    <col min="3845" max="3845" width="17.42578125" style="116" customWidth="1"/>
    <col min="3846" max="4059" width="9.140625" style="116"/>
    <col min="4060" max="4060" width="28" style="116" customWidth="1"/>
    <col min="4061" max="4061" width="52" style="116" customWidth="1"/>
    <col min="4062" max="4062" width="27.28515625" style="116" customWidth="1"/>
    <col min="4063" max="4063" width="20.5703125" style="116" customWidth="1"/>
    <col min="4064" max="4065" width="9.140625" style="116"/>
    <col min="4066" max="4066" width="11.5703125" style="116" bestFit="1" customWidth="1"/>
    <col min="4067" max="4097" width="9.140625" style="116"/>
    <col min="4098" max="4098" width="28.7109375" style="116" customWidth="1"/>
    <col min="4099" max="4099" width="42.85546875" style="116" customWidth="1"/>
    <col min="4100" max="4100" width="26.28515625" style="116" customWidth="1"/>
    <col min="4101" max="4101" width="17.42578125" style="116" customWidth="1"/>
    <col min="4102" max="4315" width="9.140625" style="116"/>
    <col min="4316" max="4316" width="28" style="116" customWidth="1"/>
    <col min="4317" max="4317" width="52" style="116" customWidth="1"/>
    <col min="4318" max="4318" width="27.28515625" style="116" customWidth="1"/>
    <col min="4319" max="4319" width="20.5703125" style="116" customWidth="1"/>
    <col min="4320" max="4321" width="9.140625" style="116"/>
    <col min="4322" max="4322" width="11.5703125" style="116" bestFit="1" customWidth="1"/>
    <col min="4323" max="4353" width="9.140625" style="116"/>
    <col min="4354" max="4354" width="28.7109375" style="116" customWidth="1"/>
    <col min="4355" max="4355" width="42.85546875" style="116" customWidth="1"/>
    <col min="4356" max="4356" width="26.28515625" style="116" customWidth="1"/>
    <col min="4357" max="4357" width="17.42578125" style="116" customWidth="1"/>
    <col min="4358" max="4571" width="9.140625" style="116"/>
    <col min="4572" max="4572" width="28" style="116" customWidth="1"/>
    <col min="4573" max="4573" width="52" style="116" customWidth="1"/>
    <col min="4574" max="4574" width="27.28515625" style="116" customWidth="1"/>
    <col min="4575" max="4575" width="20.5703125" style="116" customWidth="1"/>
    <col min="4576" max="4577" width="9.140625" style="116"/>
    <col min="4578" max="4578" width="11.5703125" style="116" bestFit="1" customWidth="1"/>
    <col min="4579" max="4609" width="9.140625" style="116"/>
    <col min="4610" max="4610" width="28.7109375" style="116" customWidth="1"/>
    <col min="4611" max="4611" width="42.85546875" style="116" customWidth="1"/>
    <col min="4612" max="4612" width="26.28515625" style="116" customWidth="1"/>
    <col min="4613" max="4613" width="17.42578125" style="116" customWidth="1"/>
    <col min="4614" max="4827" width="9.140625" style="116"/>
    <col min="4828" max="4828" width="28" style="116" customWidth="1"/>
    <col min="4829" max="4829" width="52" style="116" customWidth="1"/>
    <col min="4830" max="4830" width="27.28515625" style="116" customWidth="1"/>
    <col min="4831" max="4831" width="20.5703125" style="116" customWidth="1"/>
    <col min="4832" max="4833" width="9.140625" style="116"/>
    <col min="4834" max="4834" width="11.5703125" style="116" bestFit="1" customWidth="1"/>
    <col min="4835" max="4865" width="9.140625" style="116"/>
    <col min="4866" max="4866" width="28.7109375" style="116" customWidth="1"/>
    <col min="4867" max="4867" width="42.85546875" style="116" customWidth="1"/>
    <col min="4868" max="4868" width="26.28515625" style="116" customWidth="1"/>
    <col min="4869" max="4869" width="17.42578125" style="116" customWidth="1"/>
    <col min="4870" max="5083" width="9.140625" style="116"/>
    <col min="5084" max="5084" width="28" style="116" customWidth="1"/>
    <col min="5085" max="5085" width="52" style="116" customWidth="1"/>
    <col min="5086" max="5086" width="27.28515625" style="116" customWidth="1"/>
    <col min="5087" max="5087" width="20.5703125" style="116" customWidth="1"/>
    <col min="5088" max="5089" width="9.140625" style="116"/>
    <col min="5090" max="5090" width="11.5703125" style="116" bestFit="1" customWidth="1"/>
    <col min="5091" max="5121" width="9.140625" style="116"/>
    <col min="5122" max="5122" width="28.7109375" style="116" customWidth="1"/>
    <col min="5123" max="5123" width="42.85546875" style="116" customWidth="1"/>
    <col min="5124" max="5124" width="26.28515625" style="116" customWidth="1"/>
    <col min="5125" max="5125" width="17.42578125" style="116" customWidth="1"/>
    <col min="5126" max="5339" width="9.140625" style="116"/>
    <col min="5340" max="5340" width="28" style="116" customWidth="1"/>
    <col min="5341" max="5341" width="52" style="116" customWidth="1"/>
    <col min="5342" max="5342" width="27.28515625" style="116" customWidth="1"/>
    <col min="5343" max="5343" width="20.5703125" style="116" customWidth="1"/>
    <col min="5344" max="5345" width="9.140625" style="116"/>
    <col min="5346" max="5346" width="11.5703125" style="116" bestFit="1" customWidth="1"/>
    <col min="5347" max="5377" width="9.140625" style="116"/>
    <col min="5378" max="5378" width="28.7109375" style="116" customWidth="1"/>
    <col min="5379" max="5379" width="42.85546875" style="116" customWidth="1"/>
    <col min="5380" max="5380" width="26.28515625" style="116" customWidth="1"/>
    <col min="5381" max="5381" width="17.42578125" style="116" customWidth="1"/>
    <col min="5382" max="5595" width="9.140625" style="116"/>
    <col min="5596" max="5596" width="28" style="116" customWidth="1"/>
    <col min="5597" max="5597" width="52" style="116" customWidth="1"/>
    <col min="5598" max="5598" width="27.28515625" style="116" customWidth="1"/>
    <col min="5599" max="5599" width="20.5703125" style="116" customWidth="1"/>
    <col min="5600" max="5601" width="9.140625" style="116"/>
    <col min="5602" max="5602" width="11.5703125" style="116" bestFit="1" customWidth="1"/>
    <col min="5603" max="5633" width="9.140625" style="116"/>
    <col min="5634" max="5634" width="28.7109375" style="116" customWidth="1"/>
    <col min="5635" max="5635" width="42.85546875" style="116" customWidth="1"/>
    <col min="5636" max="5636" width="26.28515625" style="116" customWidth="1"/>
    <col min="5637" max="5637" width="17.42578125" style="116" customWidth="1"/>
    <col min="5638" max="5851" width="9.140625" style="116"/>
    <col min="5852" max="5852" width="28" style="116" customWidth="1"/>
    <col min="5853" max="5853" width="52" style="116" customWidth="1"/>
    <col min="5854" max="5854" width="27.28515625" style="116" customWidth="1"/>
    <col min="5855" max="5855" width="20.5703125" style="116" customWidth="1"/>
    <col min="5856" max="5857" width="9.140625" style="116"/>
    <col min="5858" max="5858" width="11.5703125" style="116" bestFit="1" customWidth="1"/>
    <col min="5859" max="5889" width="9.140625" style="116"/>
    <col min="5890" max="5890" width="28.7109375" style="116" customWidth="1"/>
    <col min="5891" max="5891" width="42.85546875" style="116" customWidth="1"/>
    <col min="5892" max="5892" width="26.28515625" style="116" customWidth="1"/>
    <col min="5893" max="5893" width="17.42578125" style="116" customWidth="1"/>
    <col min="5894" max="6107" width="9.140625" style="116"/>
    <col min="6108" max="6108" width="28" style="116" customWidth="1"/>
    <col min="6109" max="6109" width="52" style="116" customWidth="1"/>
    <col min="6110" max="6110" width="27.28515625" style="116" customWidth="1"/>
    <col min="6111" max="6111" width="20.5703125" style="116" customWidth="1"/>
    <col min="6112" max="6113" width="9.140625" style="116"/>
    <col min="6114" max="6114" width="11.5703125" style="116" bestFit="1" customWidth="1"/>
    <col min="6115" max="6145" width="9.140625" style="116"/>
    <col min="6146" max="6146" width="28.7109375" style="116" customWidth="1"/>
    <col min="6147" max="6147" width="42.85546875" style="116" customWidth="1"/>
    <col min="6148" max="6148" width="26.28515625" style="116" customWidth="1"/>
    <col min="6149" max="6149" width="17.42578125" style="116" customWidth="1"/>
    <col min="6150" max="6363" width="9.140625" style="116"/>
    <col min="6364" max="6364" width="28" style="116" customWidth="1"/>
    <col min="6365" max="6365" width="52" style="116" customWidth="1"/>
    <col min="6366" max="6366" width="27.28515625" style="116" customWidth="1"/>
    <col min="6367" max="6367" width="20.5703125" style="116" customWidth="1"/>
    <col min="6368" max="6369" width="9.140625" style="116"/>
    <col min="6370" max="6370" width="11.5703125" style="116" bestFit="1" customWidth="1"/>
    <col min="6371" max="6401" width="9.140625" style="116"/>
    <col min="6402" max="6402" width="28.7109375" style="116" customWidth="1"/>
    <col min="6403" max="6403" width="42.85546875" style="116" customWidth="1"/>
    <col min="6404" max="6404" width="26.28515625" style="116" customWidth="1"/>
    <col min="6405" max="6405" width="17.42578125" style="116" customWidth="1"/>
    <col min="6406" max="6619" width="9.140625" style="116"/>
    <col min="6620" max="6620" width="28" style="116" customWidth="1"/>
    <col min="6621" max="6621" width="52" style="116" customWidth="1"/>
    <col min="6622" max="6622" width="27.28515625" style="116" customWidth="1"/>
    <col min="6623" max="6623" width="20.5703125" style="116" customWidth="1"/>
    <col min="6624" max="6625" width="9.140625" style="116"/>
    <col min="6626" max="6626" width="11.5703125" style="116" bestFit="1" customWidth="1"/>
    <col min="6627" max="6657" width="9.140625" style="116"/>
    <col min="6658" max="6658" width="28.7109375" style="116" customWidth="1"/>
    <col min="6659" max="6659" width="42.85546875" style="116" customWidth="1"/>
    <col min="6660" max="6660" width="26.28515625" style="116" customWidth="1"/>
    <col min="6661" max="6661" width="17.42578125" style="116" customWidth="1"/>
    <col min="6662" max="6875" width="9.140625" style="116"/>
    <col min="6876" max="6876" width="28" style="116" customWidth="1"/>
    <col min="6877" max="6877" width="52" style="116" customWidth="1"/>
    <col min="6878" max="6878" width="27.28515625" style="116" customWidth="1"/>
    <col min="6879" max="6879" width="20.5703125" style="116" customWidth="1"/>
    <col min="6880" max="6881" width="9.140625" style="116"/>
    <col min="6882" max="6882" width="11.5703125" style="116" bestFit="1" customWidth="1"/>
    <col min="6883" max="6913" width="9.140625" style="116"/>
    <col min="6914" max="6914" width="28.7109375" style="116" customWidth="1"/>
    <col min="6915" max="6915" width="42.85546875" style="116" customWidth="1"/>
    <col min="6916" max="6916" width="26.28515625" style="116" customWidth="1"/>
    <col min="6917" max="6917" width="17.42578125" style="116" customWidth="1"/>
    <col min="6918" max="7131" width="9.140625" style="116"/>
    <col min="7132" max="7132" width="28" style="116" customWidth="1"/>
    <col min="7133" max="7133" width="52" style="116" customWidth="1"/>
    <col min="7134" max="7134" width="27.28515625" style="116" customWidth="1"/>
    <col min="7135" max="7135" width="20.5703125" style="116" customWidth="1"/>
    <col min="7136" max="7137" width="9.140625" style="116"/>
    <col min="7138" max="7138" width="11.5703125" style="116" bestFit="1" customWidth="1"/>
    <col min="7139" max="7169" width="9.140625" style="116"/>
    <col min="7170" max="7170" width="28.7109375" style="116" customWidth="1"/>
    <col min="7171" max="7171" width="42.85546875" style="116" customWidth="1"/>
    <col min="7172" max="7172" width="26.28515625" style="116" customWidth="1"/>
    <col min="7173" max="7173" width="17.42578125" style="116" customWidth="1"/>
    <col min="7174" max="7387" width="9.140625" style="116"/>
    <col min="7388" max="7388" width="28" style="116" customWidth="1"/>
    <col min="7389" max="7389" width="52" style="116" customWidth="1"/>
    <col min="7390" max="7390" width="27.28515625" style="116" customWidth="1"/>
    <col min="7391" max="7391" width="20.5703125" style="116" customWidth="1"/>
    <col min="7392" max="7393" width="9.140625" style="116"/>
    <col min="7394" max="7394" width="11.5703125" style="116" bestFit="1" customWidth="1"/>
    <col min="7395" max="7425" width="9.140625" style="116"/>
    <col min="7426" max="7426" width="28.7109375" style="116" customWidth="1"/>
    <col min="7427" max="7427" width="42.85546875" style="116" customWidth="1"/>
    <col min="7428" max="7428" width="26.28515625" style="116" customWidth="1"/>
    <col min="7429" max="7429" width="17.42578125" style="116" customWidth="1"/>
    <col min="7430" max="7643" width="9.140625" style="116"/>
    <col min="7644" max="7644" width="28" style="116" customWidth="1"/>
    <col min="7645" max="7645" width="52" style="116" customWidth="1"/>
    <col min="7646" max="7646" width="27.28515625" style="116" customWidth="1"/>
    <col min="7647" max="7647" width="20.5703125" style="116" customWidth="1"/>
    <col min="7648" max="7649" width="9.140625" style="116"/>
    <col min="7650" max="7650" width="11.5703125" style="116" bestFit="1" customWidth="1"/>
    <col min="7651" max="7681" width="9.140625" style="116"/>
    <col min="7682" max="7682" width="28.7109375" style="116" customWidth="1"/>
    <col min="7683" max="7683" width="42.85546875" style="116" customWidth="1"/>
    <col min="7684" max="7684" width="26.28515625" style="116" customWidth="1"/>
    <col min="7685" max="7685" width="17.42578125" style="116" customWidth="1"/>
    <col min="7686" max="7899" width="9.140625" style="116"/>
    <col min="7900" max="7900" width="28" style="116" customWidth="1"/>
    <col min="7901" max="7901" width="52" style="116" customWidth="1"/>
    <col min="7902" max="7902" width="27.28515625" style="116" customWidth="1"/>
    <col min="7903" max="7903" width="20.5703125" style="116" customWidth="1"/>
    <col min="7904" max="7905" width="9.140625" style="116"/>
    <col min="7906" max="7906" width="11.5703125" style="116" bestFit="1" customWidth="1"/>
    <col min="7907" max="7937" width="9.140625" style="116"/>
    <col min="7938" max="7938" width="28.7109375" style="116" customWidth="1"/>
    <col min="7939" max="7939" width="42.85546875" style="116" customWidth="1"/>
    <col min="7940" max="7940" width="26.28515625" style="116" customWidth="1"/>
    <col min="7941" max="7941" width="17.42578125" style="116" customWidth="1"/>
    <col min="7942" max="8155" width="9.140625" style="116"/>
    <col min="8156" max="8156" width="28" style="116" customWidth="1"/>
    <col min="8157" max="8157" width="52" style="116" customWidth="1"/>
    <col min="8158" max="8158" width="27.28515625" style="116" customWidth="1"/>
    <col min="8159" max="8159" width="20.5703125" style="116" customWidth="1"/>
    <col min="8160" max="8161" width="9.140625" style="116"/>
    <col min="8162" max="8162" width="11.5703125" style="116" bestFit="1" customWidth="1"/>
    <col min="8163" max="8193" width="9.140625" style="116"/>
    <col min="8194" max="8194" width="28.7109375" style="116" customWidth="1"/>
    <col min="8195" max="8195" width="42.85546875" style="116" customWidth="1"/>
    <col min="8196" max="8196" width="26.28515625" style="116" customWidth="1"/>
    <col min="8197" max="8197" width="17.42578125" style="116" customWidth="1"/>
    <col min="8198" max="8411" width="9.140625" style="116"/>
    <col min="8412" max="8412" width="28" style="116" customWidth="1"/>
    <col min="8413" max="8413" width="52" style="116" customWidth="1"/>
    <col min="8414" max="8414" width="27.28515625" style="116" customWidth="1"/>
    <col min="8415" max="8415" width="20.5703125" style="116" customWidth="1"/>
    <col min="8416" max="8417" width="9.140625" style="116"/>
    <col min="8418" max="8418" width="11.5703125" style="116" bestFit="1" customWidth="1"/>
    <col min="8419" max="8449" width="9.140625" style="116"/>
    <col min="8450" max="8450" width="28.7109375" style="116" customWidth="1"/>
    <col min="8451" max="8451" width="42.85546875" style="116" customWidth="1"/>
    <col min="8452" max="8452" width="26.28515625" style="116" customWidth="1"/>
    <col min="8453" max="8453" width="17.42578125" style="116" customWidth="1"/>
    <col min="8454" max="8667" width="9.140625" style="116"/>
    <col min="8668" max="8668" width="28" style="116" customWidth="1"/>
    <col min="8669" max="8669" width="52" style="116" customWidth="1"/>
    <col min="8670" max="8670" width="27.28515625" style="116" customWidth="1"/>
    <col min="8671" max="8671" width="20.5703125" style="116" customWidth="1"/>
    <col min="8672" max="8673" width="9.140625" style="116"/>
    <col min="8674" max="8674" width="11.5703125" style="116" bestFit="1" customWidth="1"/>
    <col min="8675" max="8705" width="9.140625" style="116"/>
    <col min="8706" max="8706" width="28.7109375" style="116" customWidth="1"/>
    <col min="8707" max="8707" width="42.85546875" style="116" customWidth="1"/>
    <col min="8708" max="8708" width="26.28515625" style="116" customWidth="1"/>
    <col min="8709" max="8709" width="17.42578125" style="116" customWidth="1"/>
    <col min="8710" max="8923" width="9.140625" style="116"/>
    <col min="8924" max="8924" width="28" style="116" customWidth="1"/>
    <col min="8925" max="8925" width="52" style="116" customWidth="1"/>
    <col min="8926" max="8926" width="27.28515625" style="116" customWidth="1"/>
    <col min="8927" max="8927" width="20.5703125" style="116" customWidth="1"/>
    <col min="8928" max="8929" width="9.140625" style="116"/>
    <col min="8930" max="8930" width="11.5703125" style="116" bestFit="1" customWidth="1"/>
    <col min="8931" max="8961" width="9.140625" style="116"/>
    <col min="8962" max="8962" width="28.7109375" style="116" customWidth="1"/>
    <col min="8963" max="8963" width="42.85546875" style="116" customWidth="1"/>
    <col min="8964" max="8964" width="26.28515625" style="116" customWidth="1"/>
    <col min="8965" max="8965" width="17.42578125" style="116" customWidth="1"/>
    <col min="8966" max="9179" width="9.140625" style="116"/>
    <col min="9180" max="9180" width="28" style="116" customWidth="1"/>
    <col min="9181" max="9181" width="52" style="116" customWidth="1"/>
    <col min="9182" max="9182" width="27.28515625" style="116" customWidth="1"/>
    <col min="9183" max="9183" width="20.5703125" style="116" customWidth="1"/>
    <col min="9184" max="9185" width="9.140625" style="116"/>
    <col min="9186" max="9186" width="11.5703125" style="116" bestFit="1" customWidth="1"/>
    <col min="9187" max="9217" width="9.140625" style="116"/>
    <col min="9218" max="9218" width="28.7109375" style="116" customWidth="1"/>
    <col min="9219" max="9219" width="42.85546875" style="116" customWidth="1"/>
    <col min="9220" max="9220" width="26.28515625" style="116" customWidth="1"/>
    <col min="9221" max="9221" width="17.42578125" style="116" customWidth="1"/>
    <col min="9222" max="9435" width="9.140625" style="116"/>
    <col min="9436" max="9436" width="28" style="116" customWidth="1"/>
    <col min="9437" max="9437" width="52" style="116" customWidth="1"/>
    <col min="9438" max="9438" width="27.28515625" style="116" customWidth="1"/>
    <col min="9439" max="9439" width="20.5703125" style="116" customWidth="1"/>
    <col min="9440" max="9441" width="9.140625" style="116"/>
    <col min="9442" max="9442" width="11.5703125" style="116" bestFit="1" customWidth="1"/>
    <col min="9443" max="9473" width="9.140625" style="116"/>
    <col min="9474" max="9474" width="28.7109375" style="116" customWidth="1"/>
    <col min="9475" max="9475" width="42.85546875" style="116" customWidth="1"/>
    <col min="9476" max="9476" width="26.28515625" style="116" customWidth="1"/>
    <col min="9477" max="9477" width="17.42578125" style="116" customWidth="1"/>
    <col min="9478" max="9691" width="9.140625" style="116"/>
    <col min="9692" max="9692" width="28" style="116" customWidth="1"/>
    <col min="9693" max="9693" width="52" style="116" customWidth="1"/>
    <col min="9694" max="9694" width="27.28515625" style="116" customWidth="1"/>
    <col min="9695" max="9695" width="20.5703125" style="116" customWidth="1"/>
    <col min="9696" max="9697" width="9.140625" style="116"/>
    <col min="9698" max="9698" width="11.5703125" style="116" bestFit="1" customWidth="1"/>
    <col min="9699" max="9729" width="9.140625" style="116"/>
    <col min="9730" max="9730" width="28.7109375" style="116" customWidth="1"/>
    <col min="9731" max="9731" width="42.85546875" style="116" customWidth="1"/>
    <col min="9732" max="9732" width="26.28515625" style="116" customWidth="1"/>
    <col min="9733" max="9733" width="17.42578125" style="116" customWidth="1"/>
    <col min="9734" max="9947" width="9.140625" style="116"/>
    <col min="9948" max="9948" width="28" style="116" customWidth="1"/>
    <col min="9949" max="9949" width="52" style="116" customWidth="1"/>
    <col min="9950" max="9950" width="27.28515625" style="116" customWidth="1"/>
    <col min="9951" max="9951" width="20.5703125" style="116" customWidth="1"/>
    <col min="9952" max="9953" width="9.140625" style="116"/>
    <col min="9954" max="9954" width="11.5703125" style="116" bestFit="1" customWidth="1"/>
    <col min="9955" max="9985" width="9.140625" style="116"/>
    <col min="9986" max="9986" width="28.7109375" style="116" customWidth="1"/>
    <col min="9987" max="9987" width="42.85546875" style="116" customWidth="1"/>
    <col min="9988" max="9988" width="26.28515625" style="116" customWidth="1"/>
    <col min="9989" max="9989" width="17.42578125" style="116" customWidth="1"/>
    <col min="9990" max="10203" width="9.140625" style="116"/>
    <col min="10204" max="10204" width="28" style="116" customWidth="1"/>
    <col min="10205" max="10205" width="52" style="116" customWidth="1"/>
    <col min="10206" max="10206" width="27.28515625" style="116" customWidth="1"/>
    <col min="10207" max="10207" width="20.5703125" style="116" customWidth="1"/>
    <col min="10208" max="10209" width="9.140625" style="116"/>
    <col min="10210" max="10210" width="11.5703125" style="116" bestFit="1" customWidth="1"/>
    <col min="10211" max="10241" width="9.140625" style="116"/>
    <col min="10242" max="10242" width="28.7109375" style="116" customWidth="1"/>
    <col min="10243" max="10243" width="42.85546875" style="116" customWidth="1"/>
    <col min="10244" max="10244" width="26.28515625" style="116" customWidth="1"/>
    <col min="10245" max="10245" width="17.42578125" style="116" customWidth="1"/>
    <col min="10246" max="10459" width="9.140625" style="116"/>
    <col min="10460" max="10460" width="28" style="116" customWidth="1"/>
    <col min="10461" max="10461" width="52" style="116" customWidth="1"/>
    <col min="10462" max="10462" width="27.28515625" style="116" customWidth="1"/>
    <col min="10463" max="10463" width="20.5703125" style="116" customWidth="1"/>
    <col min="10464" max="10465" width="9.140625" style="116"/>
    <col min="10466" max="10466" width="11.5703125" style="116" bestFit="1" customWidth="1"/>
    <col min="10467" max="10497" width="9.140625" style="116"/>
    <col min="10498" max="10498" width="28.7109375" style="116" customWidth="1"/>
    <col min="10499" max="10499" width="42.85546875" style="116" customWidth="1"/>
    <col min="10500" max="10500" width="26.28515625" style="116" customWidth="1"/>
    <col min="10501" max="10501" width="17.42578125" style="116" customWidth="1"/>
    <col min="10502" max="10715" width="9.140625" style="116"/>
    <col min="10716" max="10716" width="28" style="116" customWidth="1"/>
    <col min="10717" max="10717" width="52" style="116" customWidth="1"/>
    <col min="10718" max="10718" width="27.28515625" style="116" customWidth="1"/>
    <col min="10719" max="10719" width="20.5703125" style="116" customWidth="1"/>
    <col min="10720" max="10721" width="9.140625" style="116"/>
    <col min="10722" max="10722" width="11.5703125" style="116" bestFit="1" customWidth="1"/>
    <col min="10723" max="10753" width="9.140625" style="116"/>
    <col min="10754" max="10754" width="28.7109375" style="116" customWidth="1"/>
    <col min="10755" max="10755" width="42.85546875" style="116" customWidth="1"/>
    <col min="10756" max="10756" width="26.28515625" style="116" customWidth="1"/>
    <col min="10757" max="10757" width="17.42578125" style="116" customWidth="1"/>
    <col min="10758" max="10971" width="9.140625" style="116"/>
    <col min="10972" max="10972" width="28" style="116" customWidth="1"/>
    <col min="10973" max="10973" width="52" style="116" customWidth="1"/>
    <col min="10974" max="10974" width="27.28515625" style="116" customWidth="1"/>
    <col min="10975" max="10975" width="20.5703125" style="116" customWidth="1"/>
    <col min="10976" max="10977" width="9.140625" style="116"/>
    <col min="10978" max="10978" width="11.5703125" style="116" bestFit="1" customWidth="1"/>
    <col min="10979" max="11009" width="9.140625" style="116"/>
    <col min="11010" max="11010" width="28.7109375" style="116" customWidth="1"/>
    <col min="11011" max="11011" width="42.85546875" style="116" customWidth="1"/>
    <col min="11012" max="11012" width="26.28515625" style="116" customWidth="1"/>
    <col min="11013" max="11013" width="17.42578125" style="116" customWidth="1"/>
    <col min="11014" max="11227" width="9.140625" style="116"/>
    <col min="11228" max="11228" width="28" style="116" customWidth="1"/>
    <col min="11229" max="11229" width="52" style="116" customWidth="1"/>
    <col min="11230" max="11230" width="27.28515625" style="116" customWidth="1"/>
    <col min="11231" max="11231" width="20.5703125" style="116" customWidth="1"/>
    <col min="11232" max="11233" width="9.140625" style="116"/>
    <col min="11234" max="11234" width="11.5703125" style="116" bestFit="1" customWidth="1"/>
    <col min="11235" max="11265" width="9.140625" style="116"/>
    <col min="11266" max="11266" width="28.7109375" style="116" customWidth="1"/>
    <col min="11267" max="11267" width="42.85546875" style="116" customWidth="1"/>
    <col min="11268" max="11268" width="26.28515625" style="116" customWidth="1"/>
    <col min="11269" max="11269" width="17.42578125" style="116" customWidth="1"/>
    <col min="11270" max="11483" width="9.140625" style="116"/>
    <col min="11484" max="11484" width="28" style="116" customWidth="1"/>
    <col min="11485" max="11485" width="52" style="116" customWidth="1"/>
    <col min="11486" max="11486" width="27.28515625" style="116" customWidth="1"/>
    <col min="11487" max="11487" width="20.5703125" style="116" customWidth="1"/>
    <col min="11488" max="11489" width="9.140625" style="116"/>
    <col min="11490" max="11490" width="11.5703125" style="116" bestFit="1" customWidth="1"/>
    <col min="11491" max="11521" width="9.140625" style="116"/>
    <col min="11522" max="11522" width="28.7109375" style="116" customWidth="1"/>
    <col min="11523" max="11523" width="42.85546875" style="116" customWidth="1"/>
    <col min="11524" max="11524" width="26.28515625" style="116" customWidth="1"/>
    <col min="11525" max="11525" width="17.42578125" style="116" customWidth="1"/>
    <col min="11526" max="11739" width="9.140625" style="116"/>
    <col min="11740" max="11740" width="28" style="116" customWidth="1"/>
    <col min="11741" max="11741" width="52" style="116" customWidth="1"/>
    <col min="11742" max="11742" width="27.28515625" style="116" customWidth="1"/>
    <col min="11743" max="11743" width="20.5703125" style="116" customWidth="1"/>
    <col min="11744" max="11745" width="9.140625" style="116"/>
    <col min="11746" max="11746" width="11.5703125" style="116" bestFit="1" customWidth="1"/>
    <col min="11747" max="11777" width="9.140625" style="116"/>
    <col min="11778" max="11778" width="28.7109375" style="116" customWidth="1"/>
    <col min="11779" max="11779" width="42.85546875" style="116" customWidth="1"/>
    <col min="11780" max="11780" width="26.28515625" style="116" customWidth="1"/>
    <col min="11781" max="11781" width="17.42578125" style="116" customWidth="1"/>
    <col min="11782" max="11995" width="9.140625" style="116"/>
    <col min="11996" max="11996" width="28" style="116" customWidth="1"/>
    <col min="11997" max="11997" width="52" style="116" customWidth="1"/>
    <col min="11998" max="11998" width="27.28515625" style="116" customWidth="1"/>
    <col min="11999" max="11999" width="20.5703125" style="116" customWidth="1"/>
    <col min="12000" max="12001" width="9.140625" style="116"/>
    <col min="12002" max="12002" width="11.5703125" style="116" bestFit="1" customWidth="1"/>
    <col min="12003" max="12033" width="9.140625" style="116"/>
    <col min="12034" max="12034" width="28.7109375" style="116" customWidth="1"/>
    <col min="12035" max="12035" width="42.85546875" style="116" customWidth="1"/>
    <col min="12036" max="12036" width="26.28515625" style="116" customWidth="1"/>
    <col min="12037" max="12037" width="17.42578125" style="116" customWidth="1"/>
    <col min="12038" max="12251" width="9.140625" style="116"/>
    <col min="12252" max="12252" width="28" style="116" customWidth="1"/>
    <col min="12253" max="12253" width="52" style="116" customWidth="1"/>
    <col min="12254" max="12254" width="27.28515625" style="116" customWidth="1"/>
    <col min="12255" max="12255" width="20.5703125" style="116" customWidth="1"/>
    <col min="12256" max="12257" width="9.140625" style="116"/>
    <col min="12258" max="12258" width="11.5703125" style="116" bestFit="1" customWidth="1"/>
    <col min="12259" max="12289" width="9.140625" style="116"/>
    <col min="12290" max="12290" width="28.7109375" style="116" customWidth="1"/>
    <col min="12291" max="12291" width="42.85546875" style="116" customWidth="1"/>
    <col min="12292" max="12292" width="26.28515625" style="116" customWidth="1"/>
    <col min="12293" max="12293" width="17.42578125" style="116" customWidth="1"/>
    <col min="12294" max="12507" width="9.140625" style="116"/>
    <col min="12508" max="12508" width="28" style="116" customWidth="1"/>
    <col min="12509" max="12509" width="52" style="116" customWidth="1"/>
    <col min="12510" max="12510" width="27.28515625" style="116" customWidth="1"/>
    <col min="12511" max="12511" width="20.5703125" style="116" customWidth="1"/>
    <col min="12512" max="12513" width="9.140625" style="116"/>
    <col min="12514" max="12514" width="11.5703125" style="116" bestFit="1" customWidth="1"/>
    <col min="12515" max="12545" width="9.140625" style="116"/>
    <col min="12546" max="12546" width="28.7109375" style="116" customWidth="1"/>
    <col min="12547" max="12547" width="42.85546875" style="116" customWidth="1"/>
    <col min="12548" max="12548" width="26.28515625" style="116" customWidth="1"/>
    <col min="12549" max="12549" width="17.42578125" style="116" customWidth="1"/>
    <col min="12550" max="12763" width="9.140625" style="116"/>
    <col min="12764" max="12764" width="28" style="116" customWidth="1"/>
    <col min="12765" max="12765" width="52" style="116" customWidth="1"/>
    <col min="12766" max="12766" width="27.28515625" style="116" customWidth="1"/>
    <col min="12767" max="12767" width="20.5703125" style="116" customWidth="1"/>
    <col min="12768" max="12769" width="9.140625" style="116"/>
    <col min="12770" max="12770" width="11.5703125" style="116" bestFit="1" customWidth="1"/>
    <col min="12771" max="12801" width="9.140625" style="116"/>
    <col min="12802" max="12802" width="28.7109375" style="116" customWidth="1"/>
    <col min="12803" max="12803" width="42.85546875" style="116" customWidth="1"/>
    <col min="12804" max="12804" width="26.28515625" style="116" customWidth="1"/>
    <col min="12805" max="12805" width="17.42578125" style="116" customWidth="1"/>
    <col min="12806" max="13019" width="9.140625" style="116"/>
    <col min="13020" max="13020" width="28" style="116" customWidth="1"/>
    <col min="13021" max="13021" width="52" style="116" customWidth="1"/>
    <col min="13022" max="13022" width="27.28515625" style="116" customWidth="1"/>
    <col min="13023" max="13023" width="20.5703125" style="116" customWidth="1"/>
    <col min="13024" max="13025" width="9.140625" style="116"/>
    <col min="13026" max="13026" width="11.5703125" style="116" bestFit="1" customWidth="1"/>
    <col min="13027" max="13057" width="9.140625" style="116"/>
    <col min="13058" max="13058" width="28.7109375" style="116" customWidth="1"/>
    <col min="13059" max="13059" width="42.85546875" style="116" customWidth="1"/>
    <col min="13060" max="13060" width="26.28515625" style="116" customWidth="1"/>
    <col min="13061" max="13061" width="17.42578125" style="116" customWidth="1"/>
    <col min="13062" max="13275" width="9.140625" style="116"/>
    <col min="13276" max="13276" width="28" style="116" customWidth="1"/>
    <col min="13277" max="13277" width="52" style="116" customWidth="1"/>
    <col min="13278" max="13278" width="27.28515625" style="116" customWidth="1"/>
    <col min="13279" max="13279" width="20.5703125" style="116" customWidth="1"/>
    <col min="13280" max="13281" width="9.140625" style="116"/>
    <col min="13282" max="13282" width="11.5703125" style="116" bestFit="1" customWidth="1"/>
    <col min="13283" max="13313" width="9.140625" style="116"/>
    <col min="13314" max="13314" width="28.7109375" style="116" customWidth="1"/>
    <col min="13315" max="13315" width="42.85546875" style="116" customWidth="1"/>
    <col min="13316" max="13316" width="26.28515625" style="116" customWidth="1"/>
    <col min="13317" max="13317" width="17.42578125" style="116" customWidth="1"/>
    <col min="13318" max="13531" width="9.140625" style="116"/>
    <col min="13532" max="13532" width="28" style="116" customWidth="1"/>
    <col min="13533" max="13533" width="52" style="116" customWidth="1"/>
    <col min="13534" max="13534" width="27.28515625" style="116" customWidth="1"/>
    <col min="13535" max="13535" width="20.5703125" style="116" customWidth="1"/>
    <col min="13536" max="13537" width="9.140625" style="116"/>
    <col min="13538" max="13538" width="11.5703125" style="116" bestFit="1" customWidth="1"/>
    <col min="13539" max="13569" width="9.140625" style="116"/>
    <col min="13570" max="13570" width="28.7109375" style="116" customWidth="1"/>
    <col min="13571" max="13571" width="42.85546875" style="116" customWidth="1"/>
    <col min="13572" max="13572" width="26.28515625" style="116" customWidth="1"/>
    <col min="13573" max="13573" width="17.42578125" style="116" customWidth="1"/>
    <col min="13574" max="13787" width="9.140625" style="116"/>
    <col min="13788" max="13788" width="28" style="116" customWidth="1"/>
    <col min="13789" max="13789" width="52" style="116" customWidth="1"/>
    <col min="13790" max="13790" width="27.28515625" style="116" customWidth="1"/>
    <col min="13791" max="13791" width="20.5703125" style="116" customWidth="1"/>
    <col min="13792" max="13793" width="9.140625" style="116"/>
    <col min="13794" max="13794" width="11.5703125" style="116" bestFit="1" customWidth="1"/>
    <col min="13795" max="13825" width="9.140625" style="116"/>
    <col min="13826" max="13826" width="28.7109375" style="116" customWidth="1"/>
    <col min="13827" max="13827" width="42.85546875" style="116" customWidth="1"/>
    <col min="13828" max="13828" width="26.28515625" style="116" customWidth="1"/>
    <col min="13829" max="13829" width="17.42578125" style="116" customWidth="1"/>
    <col min="13830" max="14043" width="9.140625" style="116"/>
    <col min="14044" max="14044" width="28" style="116" customWidth="1"/>
    <col min="14045" max="14045" width="52" style="116" customWidth="1"/>
    <col min="14046" max="14046" width="27.28515625" style="116" customWidth="1"/>
    <col min="14047" max="14047" width="20.5703125" style="116" customWidth="1"/>
    <col min="14048" max="14049" width="9.140625" style="116"/>
    <col min="14050" max="14050" width="11.5703125" style="116" bestFit="1" customWidth="1"/>
    <col min="14051" max="14081" width="9.140625" style="116"/>
    <col min="14082" max="14082" width="28.7109375" style="116" customWidth="1"/>
    <col min="14083" max="14083" width="42.85546875" style="116" customWidth="1"/>
    <col min="14084" max="14084" width="26.28515625" style="116" customWidth="1"/>
    <col min="14085" max="14085" width="17.42578125" style="116" customWidth="1"/>
    <col min="14086" max="14299" width="9.140625" style="116"/>
    <col min="14300" max="14300" width="28" style="116" customWidth="1"/>
    <col min="14301" max="14301" width="52" style="116" customWidth="1"/>
    <col min="14302" max="14302" width="27.28515625" style="116" customWidth="1"/>
    <col min="14303" max="14303" width="20.5703125" style="116" customWidth="1"/>
    <col min="14304" max="14305" width="9.140625" style="116"/>
    <col min="14306" max="14306" width="11.5703125" style="116" bestFit="1" customWidth="1"/>
    <col min="14307" max="14337" width="9.140625" style="116"/>
    <col min="14338" max="14338" width="28.7109375" style="116" customWidth="1"/>
    <col min="14339" max="14339" width="42.85546875" style="116" customWidth="1"/>
    <col min="14340" max="14340" width="26.28515625" style="116" customWidth="1"/>
    <col min="14341" max="14341" width="17.42578125" style="116" customWidth="1"/>
    <col min="14342" max="14555" width="9.140625" style="116"/>
    <col min="14556" max="14556" width="28" style="116" customWidth="1"/>
    <col min="14557" max="14557" width="52" style="116" customWidth="1"/>
    <col min="14558" max="14558" width="27.28515625" style="116" customWidth="1"/>
    <col min="14559" max="14559" width="20.5703125" style="116" customWidth="1"/>
    <col min="14560" max="14561" width="9.140625" style="116"/>
    <col min="14562" max="14562" width="11.5703125" style="116" bestFit="1" customWidth="1"/>
    <col min="14563" max="14593" width="9.140625" style="116"/>
    <col min="14594" max="14594" width="28.7109375" style="116" customWidth="1"/>
    <col min="14595" max="14595" width="42.85546875" style="116" customWidth="1"/>
    <col min="14596" max="14596" width="26.28515625" style="116" customWidth="1"/>
    <col min="14597" max="14597" width="17.42578125" style="116" customWidth="1"/>
    <col min="14598" max="14811" width="9.140625" style="116"/>
    <col min="14812" max="14812" width="28" style="116" customWidth="1"/>
    <col min="14813" max="14813" width="52" style="116" customWidth="1"/>
    <col min="14814" max="14814" width="27.28515625" style="116" customWidth="1"/>
    <col min="14815" max="14815" width="20.5703125" style="116" customWidth="1"/>
    <col min="14816" max="14817" width="9.140625" style="116"/>
    <col min="14818" max="14818" width="11.5703125" style="116" bestFit="1" customWidth="1"/>
    <col min="14819" max="14849" width="9.140625" style="116"/>
    <col min="14850" max="14850" width="28.7109375" style="116" customWidth="1"/>
    <col min="14851" max="14851" width="42.85546875" style="116" customWidth="1"/>
    <col min="14852" max="14852" width="26.28515625" style="116" customWidth="1"/>
    <col min="14853" max="14853" width="17.42578125" style="116" customWidth="1"/>
    <col min="14854" max="15067" width="9.140625" style="116"/>
    <col min="15068" max="15068" width="28" style="116" customWidth="1"/>
    <col min="15069" max="15069" width="52" style="116" customWidth="1"/>
    <col min="15070" max="15070" width="27.28515625" style="116" customWidth="1"/>
    <col min="15071" max="15071" width="20.5703125" style="116" customWidth="1"/>
    <col min="15072" max="15073" width="9.140625" style="116"/>
    <col min="15074" max="15074" width="11.5703125" style="116" bestFit="1" customWidth="1"/>
    <col min="15075" max="15105" width="9.140625" style="116"/>
    <col min="15106" max="15106" width="28.7109375" style="116" customWidth="1"/>
    <col min="15107" max="15107" width="42.85546875" style="116" customWidth="1"/>
    <col min="15108" max="15108" width="26.28515625" style="116" customWidth="1"/>
    <col min="15109" max="15109" width="17.42578125" style="116" customWidth="1"/>
    <col min="15110" max="15323" width="9.140625" style="116"/>
    <col min="15324" max="15324" width="28" style="116" customWidth="1"/>
    <col min="15325" max="15325" width="52" style="116" customWidth="1"/>
    <col min="15326" max="15326" width="27.28515625" style="116" customWidth="1"/>
    <col min="15327" max="15327" width="20.5703125" style="116" customWidth="1"/>
    <col min="15328" max="15329" width="9.140625" style="116"/>
    <col min="15330" max="15330" width="11.5703125" style="116" bestFit="1" customWidth="1"/>
    <col min="15331" max="15361" width="9.140625" style="116"/>
    <col min="15362" max="15362" width="28.7109375" style="116" customWidth="1"/>
    <col min="15363" max="15363" width="42.85546875" style="116" customWidth="1"/>
    <col min="15364" max="15364" width="26.28515625" style="116" customWidth="1"/>
    <col min="15365" max="15365" width="17.42578125" style="116" customWidth="1"/>
    <col min="15366" max="15579" width="9.140625" style="116"/>
    <col min="15580" max="15580" width="28" style="116" customWidth="1"/>
    <col min="15581" max="15581" width="52" style="116" customWidth="1"/>
    <col min="15582" max="15582" width="27.28515625" style="116" customWidth="1"/>
    <col min="15583" max="15583" width="20.5703125" style="116" customWidth="1"/>
    <col min="15584" max="15585" width="9.140625" style="116"/>
    <col min="15586" max="15586" width="11.5703125" style="116" bestFit="1" customWidth="1"/>
    <col min="15587" max="15617" width="9.140625" style="116"/>
    <col min="15618" max="15618" width="28.7109375" style="116" customWidth="1"/>
    <col min="15619" max="15619" width="42.85546875" style="116" customWidth="1"/>
    <col min="15620" max="15620" width="26.28515625" style="116" customWidth="1"/>
    <col min="15621" max="15621" width="17.42578125" style="116" customWidth="1"/>
    <col min="15622" max="15835" width="9.140625" style="116"/>
    <col min="15836" max="15836" width="28" style="116" customWidth="1"/>
    <col min="15837" max="15837" width="52" style="116" customWidth="1"/>
    <col min="15838" max="15838" width="27.28515625" style="116" customWidth="1"/>
    <col min="15839" max="15839" width="20.5703125" style="116" customWidth="1"/>
    <col min="15840" max="15841" width="9.140625" style="116"/>
    <col min="15842" max="15842" width="11.5703125" style="116" bestFit="1" customWidth="1"/>
    <col min="15843" max="15873" width="9.140625" style="116"/>
    <col min="15874" max="15874" width="28.7109375" style="116" customWidth="1"/>
    <col min="15875" max="15875" width="42.85546875" style="116" customWidth="1"/>
    <col min="15876" max="15876" width="26.28515625" style="116" customWidth="1"/>
    <col min="15877" max="15877" width="17.42578125" style="116" customWidth="1"/>
    <col min="15878" max="16091" width="9.140625" style="116"/>
    <col min="16092" max="16092" width="28" style="116" customWidth="1"/>
    <col min="16093" max="16093" width="52" style="116" customWidth="1"/>
    <col min="16094" max="16094" width="27.28515625" style="116" customWidth="1"/>
    <col min="16095" max="16095" width="20.5703125" style="116" customWidth="1"/>
    <col min="16096" max="16097" width="9.140625" style="116"/>
    <col min="16098" max="16098" width="11.5703125" style="116" bestFit="1" customWidth="1"/>
    <col min="16099" max="16129" width="9.140625" style="116"/>
    <col min="16130" max="16130" width="28.7109375" style="116" customWidth="1"/>
    <col min="16131" max="16131" width="42.85546875" style="116" customWidth="1"/>
    <col min="16132" max="16132" width="26.28515625" style="116" customWidth="1"/>
    <col min="16133" max="16133" width="17.42578125" style="116" customWidth="1"/>
    <col min="16134" max="16347" width="9.140625" style="116"/>
    <col min="16348" max="16348" width="28" style="116" customWidth="1"/>
    <col min="16349" max="16349" width="52" style="116" customWidth="1"/>
    <col min="16350" max="16350" width="27.28515625" style="116" customWidth="1"/>
    <col min="16351" max="16351" width="20.5703125" style="116" customWidth="1"/>
    <col min="16352" max="16353" width="9.140625" style="116"/>
    <col min="16354" max="16354" width="11.5703125" style="116" bestFit="1" customWidth="1"/>
    <col min="16355" max="16384" width="9.140625" style="116"/>
  </cols>
  <sheetData>
    <row r="1" spans="1:256" x14ac:dyDescent="0.2">
      <c r="A1" s="118"/>
      <c r="B1" s="52"/>
      <c r="C1" s="119"/>
      <c r="D1" s="120"/>
      <c r="E1" s="284" t="s">
        <v>383</v>
      </c>
      <c r="F1" s="121"/>
      <c r="G1" s="122"/>
      <c r="H1" s="121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</row>
    <row r="2" spans="1:256" x14ac:dyDescent="0.2">
      <c r="A2" s="118"/>
      <c r="B2" s="120"/>
      <c r="C2" s="124"/>
      <c r="D2" s="120"/>
      <c r="E2" s="285"/>
      <c r="F2" s="121"/>
      <c r="G2" s="122"/>
      <c r="H2" s="121"/>
      <c r="I2" s="122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</row>
    <row r="3" spans="1:256" x14ac:dyDescent="0.2">
      <c r="A3" s="458" t="str">
        <f>СВОД!E31</f>
        <v>Смета №1.10</v>
      </c>
      <c r="B3" s="458"/>
      <c r="C3" s="458"/>
      <c r="D3" s="458"/>
      <c r="E3" s="458"/>
      <c r="F3" s="125"/>
      <c r="G3" s="125"/>
      <c r="H3" s="125"/>
      <c r="I3" s="125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</row>
    <row r="4" spans="1:256" x14ac:dyDescent="0.2">
      <c r="A4" s="459" t="s">
        <v>384</v>
      </c>
      <c r="B4" s="459"/>
      <c r="C4" s="459"/>
      <c r="D4" s="459"/>
      <c r="E4" s="459"/>
      <c r="F4" s="126"/>
      <c r="G4" s="126"/>
      <c r="H4" s="126"/>
      <c r="I4" s="126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</row>
    <row r="5" spans="1:256" x14ac:dyDescent="0.2">
      <c r="A5" s="118"/>
      <c r="B5" s="120"/>
      <c r="C5" s="127"/>
      <c r="D5" s="120"/>
      <c r="E5" s="285"/>
      <c r="F5" s="121"/>
      <c r="G5" s="122"/>
      <c r="H5" s="121"/>
      <c r="I5" s="122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</row>
    <row r="6" spans="1:256" ht="25.5" x14ac:dyDescent="0.2">
      <c r="A6" s="118"/>
      <c r="B6" s="128" t="s">
        <v>385</v>
      </c>
      <c r="C6" s="460" t="str">
        <f>СВОД!B31</f>
        <v>Электроснабжение</v>
      </c>
      <c r="D6" s="460"/>
      <c r="E6" s="460"/>
      <c r="F6" s="129"/>
      <c r="G6" s="129"/>
      <c r="H6" s="129"/>
      <c r="I6" s="129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</row>
    <row r="7" spans="1:256" x14ac:dyDescent="0.2">
      <c r="A7" s="118"/>
      <c r="B7" s="130"/>
      <c r="C7" s="131"/>
      <c r="D7" s="130"/>
      <c r="E7" s="286"/>
      <c r="F7" s="132"/>
      <c r="G7" s="132"/>
      <c r="H7" s="132"/>
      <c r="I7" s="132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  <c r="CW7" s="133"/>
      <c r="CX7" s="133"/>
      <c r="CY7" s="133"/>
      <c r="CZ7" s="133"/>
      <c r="DA7" s="133"/>
      <c r="DB7" s="133"/>
      <c r="DC7" s="133"/>
      <c r="DD7" s="133"/>
      <c r="DE7" s="133"/>
      <c r="DF7" s="133"/>
      <c r="DG7" s="133"/>
      <c r="DH7" s="133"/>
      <c r="DI7" s="133"/>
      <c r="DJ7" s="133"/>
      <c r="DK7" s="133"/>
      <c r="DL7" s="133"/>
      <c r="DM7" s="133"/>
      <c r="DN7" s="133"/>
      <c r="DO7" s="133"/>
      <c r="DP7" s="133"/>
      <c r="DQ7" s="133"/>
      <c r="DR7" s="133"/>
      <c r="DS7" s="133"/>
      <c r="DT7" s="133"/>
      <c r="DU7" s="133"/>
      <c r="DV7" s="133"/>
      <c r="DW7" s="133"/>
      <c r="DX7" s="133"/>
      <c r="DY7" s="133"/>
      <c r="DZ7" s="133"/>
      <c r="EA7" s="133"/>
      <c r="EB7" s="133"/>
      <c r="EC7" s="133"/>
      <c r="ED7" s="133"/>
      <c r="EE7" s="133"/>
      <c r="EF7" s="133"/>
      <c r="EG7" s="133"/>
      <c r="EH7" s="133"/>
      <c r="EI7" s="133"/>
      <c r="EJ7" s="133"/>
      <c r="EK7" s="133"/>
      <c r="EL7" s="133"/>
      <c r="EM7" s="133"/>
      <c r="EN7" s="133"/>
      <c r="EO7" s="133"/>
      <c r="EP7" s="133"/>
      <c r="EQ7" s="133"/>
      <c r="ER7" s="133"/>
      <c r="ES7" s="133"/>
      <c r="ET7" s="133"/>
      <c r="EU7" s="133"/>
      <c r="EV7" s="133"/>
      <c r="EW7" s="133"/>
      <c r="EX7" s="133"/>
      <c r="EY7" s="133"/>
      <c r="EZ7" s="133"/>
      <c r="FA7" s="133"/>
      <c r="FB7" s="133"/>
      <c r="FC7" s="133"/>
      <c r="FD7" s="133"/>
      <c r="FE7" s="133"/>
      <c r="FF7" s="133"/>
      <c r="FG7" s="133"/>
      <c r="FH7" s="133"/>
      <c r="FI7" s="133"/>
      <c r="FJ7" s="133"/>
      <c r="FK7" s="133"/>
      <c r="FL7" s="133"/>
      <c r="FM7" s="133"/>
      <c r="FN7" s="133"/>
      <c r="FO7" s="133"/>
      <c r="FP7" s="133"/>
      <c r="FQ7" s="133"/>
      <c r="FR7" s="133"/>
      <c r="FS7" s="133"/>
      <c r="FT7" s="133"/>
      <c r="FU7" s="133"/>
      <c r="FV7" s="133"/>
      <c r="FW7" s="133"/>
      <c r="FX7" s="133"/>
      <c r="FY7" s="133"/>
      <c r="FZ7" s="133"/>
      <c r="GA7" s="133"/>
      <c r="GB7" s="133"/>
      <c r="GC7" s="133"/>
      <c r="GD7" s="133"/>
      <c r="GE7" s="133"/>
      <c r="GF7" s="133"/>
      <c r="GG7" s="133"/>
      <c r="GH7" s="133"/>
      <c r="GI7" s="133"/>
      <c r="GJ7" s="133"/>
      <c r="GK7" s="133"/>
      <c r="GL7" s="133"/>
      <c r="GM7" s="133"/>
      <c r="GN7" s="133"/>
      <c r="GO7" s="133"/>
      <c r="GP7" s="133"/>
      <c r="GQ7" s="133"/>
      <c r="GR7" s="133"/>
      <c r="GS7" s="133"/>
      <c r="GT7" s="133"/>
      <c r="GU7" s="133"/>
      <c r="GV7" s="133"/>
      <c r="GW7" s="133"/>
      <c r="GX7" s="133"/>
      <c r="GY7" s="133"/>
      <c r="GZ7" s="133"/>
      <c r="HA7" s="133"/>
      <c r="HB7" s="133"/>
      <c r="HC7" s="133"/>
      <c r="HD7" s="133"/>
      <c r="HE7" s="133"/>
      <c r="HF7" s="133"/>
      <c r="HG7" s="133"/>
      <c r="HH7" s="133"/>
      <c r="HI7" s="133"/>
      <c r="HJ7" s="133"/>
      <c r="HK7" s="133"/>
      <c r="HL7" s="133"/>
      <c r="HM7" s="133"/>
      <c r="HN7" s="133"/>
      <c r="HO7" s="133"/>
      <c r="HP7" s="133"/>
      <c r="HQ7" s="133"/>
      <c r="HR7" s="133"/>
      <c r="HS7" s="133"/>
      <c r="HT7" s="133"/>
      <c r="HU7" s="133"/>
      <c r="HV7" s="133"/>
      <c r="HW7" s="133"/>
      <c r="HX7" s="133"/>
      <c r="HY7" s="133"/>
      <c r="HZ7" s="133"/>
      <c r="IA7" s="133"/>
      <c r="IB7" s="133"/>
      <c r="IC7" s="133"/>
      <c r="ID7" s="133"/>
      <c r="IE7" s="133"/>
      <c r="IF7" s="133"/>
      <c r="IG7" s="133"/>
      <c r="IH7" s="133"/>
      <c r="II7" s="133"/>
      <c r="IJ7" s="133"/>
      <c r="IK7" s="133"/>
      <c r="IL7" s="133"/>
      <c r="IM7" s="133"/>
      <c r="IN7" s="133"/>
      <c r="IO7" s="133"/>
      <c r="IP7" s="133"/>
      <c r="IQ7" s="133"/>
      <c r="IR7" s="133"/>
      <c r="IS7" s="133"/>
      <c r="IT7" s="133"/>
      <c r="IU7" s="133"/>
      <c r="IV7" s="133"/>
    </row>
    <row r="8" spans="1:256" x14ac:dyDescent="0.2">
      <c r="A8" s="118"/>
      <c r="B8" s="134" t="s">
        <v>386</v>
      </c>
      <c r="C8" s="135" t="str">
        <f>СВОД!D14</f>
        <v>ОАО «СИБНЕФТЕТРАНСПРОЕКТ»</v>
      </c>
      <c r="D8" s="130"/>
      <c r="E8" s="287"/>
      <c r="F8" s="70"/>
      <c r="G8" s="136"/>
      <c r="H8" s="137"/>
      <c r="I8" s="138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</row>
    <row r="9" spans="1:256" x14ac:dyDescent="0.2">
      <c r="A9" s="118"/>
      <c r="B9" s="134" t="s">
        <v>387</v>
      </c>
      <c r="C9" s="127"/>
      <c r="D9" s="130"/>
      <c r="E9" s="287"/>
      <c r="F9" s="70"/>
      <c r="G9" s="74"/>
      <c r="H9" s="75"/>
      <c r="I9" s="74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3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  <c r="HC9" s="123"/>
      <c r="HD9" s="123"/>
      <c r="HE9" s="123"/>
      <c r="HF9" s="123"/>
      <c r="HG9" s="123"/>
      <c r="HH9" s="123"/>
      <c r="HI9" s="123"/>
      <c r="HJ9" s="123"/>
      <c r="HK9" s="123"/>
      <c r="HL9" s="123"/>
      <c r="HM9" s="123"/>
      <c r="HN9" s="123"/>
      <c r="HO9" s="123"/>
      <c r="HP9" s="123"/>
      <c r="HQ9" s="123"/>
      <c r="HR9" s="123"/>
      <c r="HS9" s="123"/>
      <c r="HT9" s="123"/>
      <c r="HU9" s="123"/>
      <c r="HV9" s="123"/>
      <c r="HW9" s="123"/>
      <c r="HX9" s="123"/>
      <c r="HY9" s="123"/>
      <c r="HZ9" s="123"/>
      <c r="IA9" s="123"/>
      <c r="IB9" s="123"/>
      <c r="IC9" s="123"/>
      <c r="ID9" s="123"/>
      <c r="IE9" s="123"/>
      <c r="IF9" s="123"/>
      <c r="IG9" s="123"/>
      <c r="IH9" s="123"/>
      <c r="II9" s="123"/>
      <c r="IJ9" s="123"/>
      <c r="IK9" s="123"/>
      <c r="IL9" s="123"/>
      <c r="IM9" s="123"/>
      <c r="IN9" s="123"/>
      <c r="IO9" s="123"/>
      <c r="IP9" s="123"/>
      <c r="IQ9" s="123"/>
      <c r="IR9" s="123"/>
      <c r="IS9" s="123"/>
      <c r="IT9" s="123"/>
      <c r="IU9" s="123"/>
      <c r="IV9" s="123"/>
    </row>
    <row r="10" spans="1:256" x14ac:dyDescent="0.2">
      <c r="A10" s="118"/>
      <c r="B10" s="134"/>
      <c r="C10" s="135"/>
      <c r="D10" s="130"/>
      <c r="E10" s="287"/>
      <c r="F10" s="70"/>
      <c r="G10" s="74"/>
      <c r="H10" s="75"/>
      <c r="I10" s="74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3"/>
      <c r="EB10" s="123"/>
      <c r="EC10" s="123"/>
      <c r="ED10" s="123"/>
      <c r="EE10" s="12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  <c r="HI10" s="12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3"/>
      <c r="HV10" s="123"/>
      <c r="HW10" s="123"/>
      <c r="HX10" s="123"/>
      <c r="HY10" s="12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3"/>
      <c r="IL10" s="123"/>
      <c r="IM10" s="123"/>
      <c r="IN10" s="123"/>
      <c r="IO10" s="123"/>
      <c r="IP10" s="123"/>
      <c r="IQ10" s="123"/>
      <c r="IR10" s="123"/>
      <c r="IS10" s="123"/>
      <c r="IT10" s="123"/>
      <c r="IU10" s="123"/>
      <c r="IV10" s="123"/>
    </row>
    <row r="11" spans="1:256" x14ac:dyDescent="0.2">
      <c r="A11" s="118"/>
      <c r="B11" s="139" t="s">
        <v>388</v>
      </c>
      <c r="C11" s="135" t="str">
        <f>СВОД!D16</f>
        <v>ООО «Газпром проектирование»</v>
      </c>
      <c r="D11" s="130"/>
      <c r="E11" s="287"/>
      <c r="F11" s="75"/>
      <c r="G11" s="74"/>
      <c r="H11" s="75"/>
      <c r="I11" s="74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  <c r="EB11" s="123"/>
      <c r="EC11" s="123"/>
      <c r="ED11" s="123"/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  <c r="HI11" s="12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3"/>
      <c r="HV11" s="123"/>
      <c r="HW11" s="123"/>
      <c r="HX11" s="123"/>
      <c r="HY11" s="12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3"/>
      <c r="IL11" s="123"/>
      <c r="IM11" s="123"/>
      <c r="IN11" s="123"/>
      <c r="IO11" s="123"/>
      <c r="IP11" s="123"/>
      <c r="IQ11" s="123"/>
      <c r="IR11" s="123"/>
      <c r="IS11" s="123"/>
      <c r="IT11" s="123"/>
      <c r="IU11" s="123"/>
      <c r="IV11" s="123"/>
    </row>
    <row r="12" spans="1:256" x14ac:dyDescent="0.2">
      <c r="A12" s="118"/>
      <c r="B12" s="139" t="s">
        <v>389</v>
      </c>
      <c r="C12" s="135"/>
      <c r="D12" s="130"/>
      <c r="E12" s="288"/>
      <c r="F12" s="75"/>
      <c r="G12" s="74"/>
      <c r="H12" s="75"/>
      <c r="I12" s="74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  <c r="HI12" s="12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IQ12" s="123"/>
      <c r="IR12" s="123"/>
      <c r="IS12" s="123"/>
      <c r="IT12" s="123"/>
      <c r="IU12" s="123"/>
      <c r="IV12" s="123"/>
    </row>
    <row r="13" spans="1:256" ht="13.5" thickBot="1" x14ac:dyDescent="0.25">
      <c r="A13" s="118"/>
      <c r="B13" s="140" t="s">
        <v>3</v>
      </c>
      <c r="C13" s="127"/>
      <c r="D13" s="120"/>
      <c r="E13" s="285"/>
      <c r="F13" s="121"/>
      <c r="G13" s="141"/>
      <c r="H13" s="122"/>
      <c r="I13" s="122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</row>
    <row r="14" spans="1:256" ht="70.5" customHeight="1" thickBot="1" x14ac:dyDescent="0.25">
      <c r="A14" s="142" t="s">
        <v>390</v>
      </c>
      <c r="B14" s="143" t="s">
        <v>391</v>
      </c>
      <c r="C14" s="144" t="s">
        <v>392</v>
      </c>
      <c r="D14" s="143" t="s">
        <v>393</v>
      </c>
      <c r="E14" s="289" t="s">
        <v>46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  <c r="GF14" s="145"/>
      <c r="GG14" s="145"/>
      <c r="GH14" s="145"/>
      <c r="GI14" s="145"/>
      <c r="GJ14" s="145"/>
      <c r="GK14" s="145"/>
      <c r="GL14" s="145"/>
      <c r="GM14" s="145"/>
      <c r="GN14" s="145"/>
      <c r="GO14" s="145"/>
      <c r="GP14" s="145"/>
      <c r="GQ14" s="145"/>
      <c r="GR14" s="145"/>
      <c r="GS14" s="145"/>
      <c r="GT14" s="145"/>
      <c r="GU14" s="145"/>
      <c r="GV14" s="145"/>
      <c r="GW14" s="145"/>
      <c r="GX14" s="145"/>
      <c r="GY14" s="145"/>
      <c r="GZ14" s="145"/>
      <c r="HA14" s="145"/>
      <c r="HB14" s="145"/>
      <c r="HC14" s="145"/>
      <c r="HD14" s="145"/>
      <c r="HE14" s="145"/>
      <c r="HF14" s="145"/>
      <c r="HG14" s="145"/>
      <c r="HH14" s="145"/>
      <c r="HI14" s="145"/>
      <c r="HJ14" s="145"/>
      <c r="HK14" s="145"/>
      <c r="HL14" s="145"/>
      <c r="HM14" s="145"/>
      <c r="HN14" s="145"/>
      <c r="HO14" s="145"/>
      <c r="HP14" s="145"/>
      <c r="HQ14" s="145"/>
      <c r="HR14" s="145"/>
      <c r="HS14" s="145"/>
      <c r="HT14" s="145"/>
      <c r="HU14" s="145"/>
      <c r="HV14" s="145"/>
      <c r="HW14" s="145"/>
      <c r="HX14" s="145"/>
      <c r="HY14" s="145"/>
      <c r="HZ14" s="145"/>
      <c r="IA14" s="145"/>
      <c r="IB14" s="145"/>
      <c r="IC14" s="145"/>
      <c r="ID14" s="145"/>
      <c r="IE14" s="145"/>
      <c r="IF14" s="145"/>
      <c r="IG14" s="145"/>
      <c r="IH14" s="145"/>
      <c r="II14" s="145"/>
      <c r="IJ14" s="145"/>
      <c r="IK14" s="145"/>
      <c r="IL14" s="145"/>
      <c r="IM14" s="145"/>
      <c r="IN14" s="145"/>
      <c r="IO14" s="145"/>
      <c r="IP14" s="145"/>
      <c r="IQ14" s="145"/>
      <c r="IR14" s="145"/>
      <c r="IS14" s="145"/>
      <c r="IT14" s="145"/>
      <c r="IU14" s="145"/>
      <c r="IV14" s="145"/>
    </row>
    <row r="15" spans="1:256" ht="13.5" thickBot="1" x14ac:dyDescent="0.25">
      <c r="A15" s="146">
        <v>1</v>
      </c>
      <c r="B15" s="146">
        <v>2</v>
      </c>
      <c r="C15" s="147">
        <v>3</v>
      </c>
      <c r="D15" s="146">
        <v>4</v>
      </c>
      <c r="E15" s="290">
        <v>5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</row>
    <row r="16" spans="1:256" ht="3.75" customHeight="1" thickBot="1" x14ac:dyDescent="0.25">
      <c r="A16" s="148"/>
      <c r="B16" s="149"/>
      <c r="C16" s="150"/>
      <c r="D16" s="150"/>
      <c r="E16" s="29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51"/>
      <c r="EC16" s="151"/>
      <c r="ED16" s="151"/>
      <c r="EE16" s="151"/>
      <c r="EF16" s="151"/>
      <c r="EG16" s="151"/>
      <c r="EH16" s="151"/>
      <c r="EI16" s="151"/>
      <c r="EJ16" s="151"/>
      <c r="EK16" s="151"/>
      <c r="EL16" s="151"/>
      <c r="EM16" s="151"/>
      <c r="EN16" s="151"/>
      <c r="EO16" s="151"/>
      <c r="EP16" s="151"/>
      <c r="EQ16" s="151"/>
      <c r="ER16" s="151"/>
      <c r="ES16" s="151"/>
      <c r="ET16" s="151"/>
      <c r="EU16" s="151"/>
      <c r="EV16" s="151"/>
      <c r="EW16" s="151"/>
      <c r="EX16" s="151"/>
      <c r="EY16" s="151"/>
      <c r="EZ16" s="151"/>
      <c r="FA16" s="151"/>
      <c r="FB16" s="151"/>
      <c r="FC16" s="151"/>
      <c r="FD16" s="151"/>
      <c r="FE16" s="151"/>
      <c r="FF16" s="151"/>
      <c r="FG16" s="151"/>
      <c r="FH16" s="151"/>
      <c r="FI16" s="151"/>
      <c r="FJ16" s="151"/>
      <c r="FK16" s="151"/>
      <c r="FL16" s="151"/>
      <c r="FM16" s="151"/>
      <c r="FN16" s="151"/>
      <c r="FO16" s="151"/>
      <c r="FP16" s="151"/>
      <c r="FQ16" s="151"/>
      <c r="FR16" s="151"/>
      <c r="FS16" s="151"/>
      <c r="FT16" s="151"/>
      <c r="FU16" s="151"/>
      <c r="FV16" s="151"/>
      <c r="FW16" s="151"/>
      <c r="FX16" s="151"/>
      <c r="FY16" s="151"/>
      <c r="FZ16" s="151"/>
      <c r="GA16" s="151"/>
      <c r="GB16" s="151"/>
      <c r="GC16" s="151"/>
      <c r="GD16" s="151"/>
      <c r="GE16" s="151"/>
      <c r="GF16" s="151"/>
      <c r="GG16" s="151"/>
      <c r="GH16" s="151"/>
      <c r="GI16" s="151"/>
      <c r="GJ16" s="151"/>
      <c r="GK16" s="151"/>
      <c r="GL16" s="151"/>
      <c r="GM16" s="151"/>
      <c r="GN16" s="151"/>
      <c r="GO16" s="151"/>
      <c r="GP16" s="151"/>
      <c r="GQ16" s="151"/>
      <c r="GR16" s="151"/>
      <c r="GS16" s="151"/>
      <c r="GT16" s="151"/>
      <c r="GU16" s="151"/>
      <c r="GV16" s="151"/>
      <c r="GW16" s="151"/>
      <c r="GX16" s="151"/>
      <c r="GY16" s="151"/>
      <c r="GZ16" s="151"/>
      <c r="HA16" s="151"/>
      <c r="HB16" s="151"/>
      <c r="HC16" s="151"/>
      <c r="HD16" s="151"/>
      <c r="HE16" s="151"/>
      <c r="HF16" s="151"/>
      <c r="HG16" s="151"/>
      <c r="HH16" s="151"/>
      <c r="HI16" s="151"/>
      <c r="HJ16" s="151"/>
      <c r="HK16" s="151"/>
      <c r="HL16" s="151"/>
      <c r="HM16" s="151"/>
      <c r="HN16" s="151"/>
      <c r="HO16" s="151"/>
      <c r="HP16" s="151"/>
      <c r="HQ16" s="151"/>
      <c r="HR16" s="151"/>
      <c r="HS16" s="151"/>
      <c r="HT16" s="151"/>
      <c r="HU16" s="151"/>
      <c r="HV16" s="151"/>
      <c r="HW16" s="151"/>
      <c r="HX16" s="151"/>
      <c r="HY16" s="151"/>
      <c r="HZ16" s="151"/>
      <c r="IA16" s="151"/>
      <c r="IB16" s="151"/>
      <c r="IC16" s="151"/>
      <c r="ID16" s="151"/>
      <c r="IE16" s="151"/>
      <c r="IF16" s="151"/>
      <c r="IG16" s="151"/>
      <c r="IH16" s="151"/>
      <c r="II16" s="151"/>
      <c r="IJ16" s="151"/>
      <c r="IK16" s="151"/>
      <c r="IL16" s="151"/>
      <c r="IM16" s="151"/>
      <c r="IN16" s="151"/>
      <c r="IO16" s="151"/>
      <c r="IP16" s="151"/>
      <c r="IQ16" s="151"/>
      <c r="IR16" s="151"/>
      <c r="IS16" s="151"/>
      <c r="IT16" s="151"/>
      <c r="IU16" s="151"/>
      <c r="IV16" s="152"/>
    </row>
    <row r="17" spans="1:7" ht="13.5" thickBot="1" x14ac:dyDescent="0.25">
      <c r="A17" s="446" t="s">
        <v>80</v>
      </c>
      <c r="B17" s="447"/>
      <c r="C17" s="447"/>
      <c r="D17" s="447"/>
      <c r="E17" s="448"/>
      <c r="F17" s="219"/>
      <c r="G17" s="219"/>
    </row>
    <row r="18" spans="1:7" ht="13.5" thickBot="1" x14ac:dyDescent="0.25">
      <c r="A18" s="446" t="s">
        <v>821</v>
      </c>
      <c r="B18" s="447"/>
      <c r="C18" s="447"/>
      <c r="D18" s="447"/>
      <c r="E18" s="448"/>
      <c r="F18" s="219"/>
      <c r="G18" s="219"/>
    </row>
    <row r="19" spans="1:7" ht="38.25" x14ac:dyDescent="0.2">
      <c r="A19" s="437">
        <v>1</v>
      </c>
      <c r="B19" s="440" t="s">
        <v>485</v>
      </c>
      <c r="C19" s="111" t="s">
        <v>480</v>
      </c>
      <c r="D19" s="437" t="s">
        <v>823</v>
      </c>
      <c r="E19" s="443">
        <f>21120*6*7.22*0.6*1.08</f>
        <v>592867.12320000003</v>
      </c>
    </row>
    <row r="20" spans="1:7" x14ac:dyDescent="0.2">
      <c r="A20" s="438"/>
      <c r="B20" s="441"/>
      <c r="C20" s="111" t="s">
        <v>822</v>
      </c>
      <c r="D20" s="438"/>
      <c r="E20" s="444"/>
    </row>
    <row r="21" spans="1:7" x14ac:dyDescent="0.2">
      <c r="A21" s="438"/>
      <c r="B21" s="441"/>
      <c r="C21" s="111" t="s">
        <v>472</v>
      </c>
      <c r="D21" s="438"/>
      <c r="E21" s="444"/>
    </row>
    <row r="22" spans="1:7" ht="13.5" thickBot="1" x14ac:dyDescent="0.25">
      <c r="A22" s="439"/>
      <c r="B22" s="442"/>
      <c r="C22" s="112" t="s">
        <v>475</v>
      </c>
      <c r="D22" s="439"/>
      <c r="E22" s="445"/>
    </row>
    <row r="23" spans="1:7" ht="38.25" x14ac:dyDescent="0.2">
      <c r="A23" s="437">
        <v>2</v>
      </c>
      <c r="B23" s="440" t="s">
        <v>486</v>
      </c>
      <c r="C23" s="111" t="s">
        <v>487</v>
      </c>
      <c r="D23" s="437" t="s">
        <v>824</v>
      </c>
      <c r="E23" s="443" t="s">
        <v>1027</v>
      </c>
    </row>
    <row r="24" spans="1:7" x14ac:dyDescent="0.2">
      <c r="A24" s="438"/>
      <c r="B24" s="441"/>
      <c r="C24" s="111" t="s">
        <v>822</v>
      </c>
      <c r="D24" s="438"/>
      <c r="E24" s="444"/>
    </row>
    <row r="25" spans="1:7" x14ac:dyDescent="0.2">
      <c r="A25" s="438"/>
      <c r="B25" s="441"/>
      <c r="C25" s="111" t="s">
        <v>488</v>
      </c>
      <c r="D25" s="438"/>
      <c r="E25" s="444"/>
    </row>
    <row r="26" spans="1:7" ht="13.5" thickBot="1" x14ac:dyDescent="0.25">
      <c r="A26" s="439"/>
      <c r="B26" s="442"/>
      <c r="C26" s="112" t="s">
        <v>475</v>
      </c>
      <c r="D26" s="439"/>
      <c r="E26" s="445"/>
    </row>
    <row r="27" spans="1:7" ht="38.25" x14ac:dyDescent="0.2">
      <c r="A27" s="437">
        <v>3</v>
      </c>
      <c r="B27" s="440" t="s">
        <v>489</v>
      </c>
      <c r="C27" s="111" t="s">
        <v>477</v>
      </c>
      <c r="D27" s="437" t="s">
        <v>825</v>
      </c>
      <c r="E27" s="443">
        <f>433690*0.6*7.22*0.6*1.08</f>
        <v>1217426.8118400001</v>
      </c>
    </row>
    <row r="28" spans="1:7" x14ac:dyDescent="0.2">
      <c r="A28" s="438"/>
      <c r="B28" s="441"/>
      <c r="C28" s="111" t="s">
        <v>822</v>
      </c>
      <c r="D28" s="438"/>
      <c r="E28" s="444"/>
    </row>
    <row r="29" spans="1:7" x14ac:dyDescent="0.2">
      <c r="A29" s="438"/>
      <c r="B29" s="441"/>
      <c r="C29" s="111" t="s">
        <v>472</v>
      </c>
      <c r="D29" s="438"/>
      <c r="E29" s="444"/>
    </row>
    <row r="30" spans="1:7" ht="13.5" thickBot="1" x14ac:dyDescent="0.25">
      <c r="A30" s="439"/>
      <c r="B30" s="442"/>
      <c r="C30" s="112" t="s">
        <v>475</v>
      </c>
      <c r="D30" s="439"/>
      <c r="E30" s="445"/>
    </row>
    <row r="31" spans="1:7" ht="38.25" x14ac:dyDescent="0.2">
      <c r="A31" s="437">
        <v>4</v>
      </c>
      <c r="B31" s="440" t="s">
        <v>490</v>
      </c>
      <c r="C31" s="111" t="s">
        <v>474</v>
      </c>
      <c r="D31" s="437" t="s">
        <v>826</v>
      </c>
      <c r="E31" s="443">
        <f>10070*9*7.22*0.6*1.08</f>
        <v>424017.89279999997</v>
      </c>
    </row>
    <row r="32" spans="1:7" x14ac:dyDescent="0.2">
      <c r="A32" s="438"/>
      <c r="B32" s="441"/>
      <c r="C32" s="111" t="s">
        <v>822</v>
      </c>
      <c r="D32" s="438"/>
      <c r="E32" s="444"/>
    </row>
    <row r="33" spans="1:5" x14ac:dyDescent="0.2">
      <c r="A33" s="438"/>
      <c r="B33" s="441"/>
      <c r="C33" s="111" t="s">
        <v>472</v>
      </c>
      <c r="D33" s="438"/>
      <c r="E33" s="444"/>
    </row>
    <row r="34" spans="1:5" ht="13.5" thickBot="1" x14ac:dyDescent="0.25">
      <c r="A34" s="439"/>
      <c r="B34" s="442"/>
      <c r="C34" s="112" t="s">
        <v>475</v>
      </c>
      <c r="D34" s="439"/>
      <c r="E34" s="445"/>
    </row>
    <row r="35" spans="1:5" ht="38.25" x14ac:dyDescent="0.2">
      <c r="A35" s="437">
        <v>5</v>
      </c>
      <c r="B35" s="440" t="s">
        <v>491</v>
      </c>
      <c r="C35" s="111" t="s">
        <v>492</v>
      </c>
      <c r="D35" s="437" t="s">
        <v>827</v>
      </c>
      <c r="E35" s="443">
        <f>8870*1*7.22*0.6*1.08</f>
        <v>41498.8272</v>
      </c>
    </row>
    <row r="36" spans="1:5" x14ac:dyDescent="0.2">
      <c r="A36" s="438"/>
      <c r="B36" s="441"/>
      <c r="C36" s="111" t="s">
        <v>822</v>
      </c>
      <c r="D36" s="438"/>
      <c r="E36" s="444"/>
    </row>
    <row r="37" spans="1:5" x14ac:dyDescent="0.2">
      <c r="A37" s="438"/>
      <c r="B37" s="441"/>
      <c r="C37" s="111" t="s">
        <v>472</v>
      </c>
      <c r="D37" s="438"/>
      <c r="E37" s="444"/>
    </row>
    <row r="38" spans="1:5" ht="13.5" thickBot="1" x14ac:dyDescent="0.25">
      <c r="A38" s="439"/>
      <c r="B38" s="442"/>
      <c r="C38" s="112" t="s">
        <v>475</v>
      </c>
      <c r="D38" s="439"/>
      <c r="E38" s="445"/>
    </row>
    <row r="39" spans="1:5" ht="128.25" thickBot="1" x14ac:dyDescent="0.25">
      <c r="A39" s="254">
        <v>6</v>
      </c>
      <c r="B39" s="112" t="s">
        <v>478</v>
      </c>
      <c r="C39" s="112" t="s">
        <v>483</v>
      </c>
      <c r="D39" s="114" t="s">
        <v>828</v>
      </c>
      <c r="E39" s="218">
        <f>800277.04512*0.02</f>
        <v>16005.5409024</v>
      </c>
    </row>
    <row r="40" spans="1:5" ht="13.5" thickBot="1" x14ac:dyDescent="0.25">
      <c r="A40" s="446" t="s">
        <v>829</v>
      </c>
      <c r="B40" s="447"/>
      <c r="C40" s="447"/>
      <c r="D40" s="447"/>
      <c r="E40" s="448"/>
    </row>
    <row r="41" spans="1:5" ht="38.25" x14ac:dyDescent="0.2">
      <c r="A41" s="437">
        <v>1</v>
      </c>
      <c r="B41" s="440" t="s">
        <v>485</v>
      </c>
      <c r="C41" s="111" t="s">
        <v>480</v>
      </c>
      <c r="D41" s="437" t="s">
        <v>823</v>
      </c>
      <c r="E41" s="443">
        <f>21120*6*7.22*0.6*1.08</f>
        <v>592867.12320000003</v>
      </c>
    </row>
    <row r="42" spans="1:5" x14ac:dyDescent="0.2">
      <c r="A42" s="438"/>
      <c r="B42" s="441"/>
      <c r="C42" s="111" t="s">
        <v>822</v>
      </c>
      <c r="D42" s="438"/>
      <c r="E42" s="444"/>
    </row>
    <row r="43" spans="1:5" x14ac:dyDescent="0.2">
      <c r="A43" s="438"/>
      <c r="B43" s="441"/>
      <c r="C43" s="111" t="s">
        <v>472</v>
      </c>
      <c r="D43" s="438"/>
      <c r="E43" s="444"/>
    </row>
    <row r="44" spans="1:5" ht="13.5" thickBot="1" x14ac:dyDescent="0.25">
      <c r="A44" s="439"/>
      <c r="B44" s="442"/>
      <c r="C44" s="112" t="s">
        <v>475</v>
      </c>
      <c r="D44" s="439"/>
      <c r="E44" s="445"/>
    </row>
    <row r="45" spans="1:5" ht="38.25" x14ac:dyDescent="0.2">
      <c r="A45" s="437">
        <v>2</v>
      </c>
      <c r="B45" s="440" t="s">
        <v>486</v>
      </c>
      <c r="C45" s="111" t="s">
        <v>487</v>
      </c>
      <c r="D45" s="437" t="s">
        <v>824</v>
      </c>
      <c r="E45" s="443">
        <f>11083*4*7.22*0.6*1.08</f>
        <v>207409.92191999999</v>
      </c>
    </row>
    <row r="46" spans="1:5" x14ac:dyDescent="0.2">
      <c r="A46" s="438"/>
      <c r="B46" s="441"/>
      <c r="C46" s="111" t="s">
        <v>822</v>
      </c>
      <c r="D46" s="438"/>
      <c r="E46" s="444"/>
    </row>
    <row r="47" spans="1:5" x14ac:dyDescent="0.2">
      <c r="A47" s="438"/>
      <c r="B47" s="441"/>
      <c r="C47" s="111" t="s">
        <v>488</v>
      </c>
      <c r="D47" s="438"/>
      <c r="E47" s="444"/>
    </row>
    <row r="48" spans="1:5" ht="13.5" thickBot="1" x14ac:dyDescent="0.25">
      <c r="A48" s="439"/>
      <c r="B48" s="442"/>
      <c r="C48" s="112" t="s">
        <v>475</v>
      </c>
      <c r="D48" s="439"/>
      <c r="E48" s="445"/>
    </row>
    <row r="49" spans="1:5" ht="38.25" x14ac:dyDescent="0.2">
      <c r="A49" s="437">
        <v>3</v>
      </c>
      <c r="B49" s="440" t="s">
        <v>489</v>
      </c>
      <c r="C49" s="111" t="s">
        <v>477</v>
      </c>
      <c r="D49" s="437" t="s">
        <v>825</v>
      </c>
      <c r="E49" s="443">
        <f>433690*0.6*7.22*0.6*1.08</f>
        <v>1217426.8118400001</v>
      </c>
    </row>
    <row r="50" spans="1:5" x14ac:dyDescent="0.2">
      <c r="A50" s="438"/>
      <c r="B50" s="441"/>
      <c r="C50" s="111" t="s">
        <v>822</v>
      </c>
      <c r="D50" s="438"/>
      <c r="E50" s="444"/>
    </row>
    <row r="51" spans="1:5" x14ac:dyDescent="0.2">
      <c r="A51" s="438"/>
      <c r="B51" s="441"/>
      <c r="C51" s="111" t="s">
        <v>472</v>
      </c>
      <c r="D51" s="438"/>
      <c r="E51" s="444"/>
    </row>
    <row r="52" spans="1:5" ht="13.5" thickBot="1" x14ac:dyDescent="0.25">
      <c r="A52" s="439"/>
      <c r="B52" s="442"/>
      <c r="C52" s="112" t="s">
        <v>475</v>
      </c>
      <c r="D52" s="439"/>
      <c r="E52" s="445"/>
    </row>
    <row r="53" spans="1:5" ht="38.25" x14ac:dyDescent="0.2">
      <c r="A53" s="437">
        <v>4</v>
      </c>
      <c r="B53" s="440" t="s">
        <v>490</v>
      </c>
      <c r="C53" s="111" t="s">
        <v>474</v>
      </c>
      <c r="D53" s="437" t="s">
        <v>826</v>
      </c>
      <c r="E53" s="443">
        <f>10070*9*7.22*0.6*1.08</f>
        <v>424017.89279999997</v>
      </c>
    </row>
    <row r="54" spans="1:5" x14ac:dyDescent="0.2">
      <c r="A54" s="438"/>
      <c r="B54" s="441"/>
      <c r="C54" s="111" t="s">
        <v>822</v>
      </c>
      <c r="D54" s="438"/>
      <c r="E54" s="444"/>
    </row>
    <row r="55" spans="1:5" x14ac:dyDescent="0.2">
      <c r="A55" s="438"/>
      <c r="B55" s="441"/>
      <c r="C55" s="111" t="s">
        <v>472</v>
      </c>
      <c r="D55" s="438"/>
      <c r="E55" s="444"/>
    </row>
    <row r="56" spans="1:5" ht="13.5" thickBot="1" x14ac:dyDescent="0.25">
      <c r="A56" s="439"/>
      <c r="B56" s="442"/>
      <c r="C56" s="112" t="s">
        <v>475</v>
      </c>
      <c r="D56" s="439"/>
      <c r="E56" s="445"/>
    </row>
    <row r="57" spans="1:5" ht="38.25" x14ac:dyDescent="0.2">
      <c r="A57" s="437">
        <v>5</v>
      </c>
      <c r="B57" s="440" t="s">
        <v>491</v>
      </c>
      <c r="C57" s="111" t="s">
        <v>492</v>
      </c>
      <c r="D57" s="437" t="s">
        <v>827</v>
      </c>
      <c r="E57" s="443">
        <f>8870*1*7.22*0.6*1.08</f>
        <v>41498.8272</v>
      </c>
    </row>
    <row r="58" spans="1:5" x14ac:dyDescent="0.2">
      <c r="A58" s="438"/>
      <c r="B58" s="441"/>
      <c r="C58" s="111" t="s">
        <v>822</v>
      </c>
      <c r="D58" s="438"/>
      <c r="E58" s="444"/>
    </row>
    <row r="59" spans="1:5" x14ac:dyDescent="0.2">
      <c r="A59" s="438"/>
      <c r="B59" s="441"/>
      <c r="C59" s="111" t="s">
        <v>472</v>
      </c>
      <c r="D59" s="438"/>
      <c r="E59" s="444"/>
    </row>
    <row r="60" spans="1:5" ht="13.5" thickBot="1" x14ac:dyDescent="0.25">
      <c r="A60" s="439"/>
      <c r="B60" s="442"/>
      <c r="C60" s="112" t="s">
        <v>475</v>
      </c>
      <c r="D60" s="439"/>
      <c r="E60" s="445"/>
    </row>
    <row r="61" spans="1:5" ht="128.25" thickBot="1" x14ac:dyDescent="0.25">
      <c r="A61" s="254">
        <v>6</v>
      </c>
      <c r="B61" s="112" t="s">
        <v>478</v>
      </c>
      <c r="C61" s="112" t="s">
        <v>483</v>
      </c>
      <c r="D61" s="114" t="s">
        <v>828</v>
      </c>
      <c r="E61" s="218">
        <f>800277.04512*0.02</f>
        <v>16005.5409024</v>
      </c>
    </row>
    <row r="62" spans="1:5" ht="13.5" thickBot="1" x14ac:dyDescent="0.25">
      <c r="A62" s="446" t="s">
        <v>830</v>
      </c>
      <c r="B62" s="447"/>
      <c r="C62" s="447"/>
      <c r="D62" s="447"/>
      <c r="E62" s="448"/>
    </row>
    <row r="63" spans="1:5" ht="38.25" x14ac:dyDescent="0.2">
      <c r="A63" s="437">
        <v>1</v>
      </c>
      <c r="B63" s="440" t="s">
        <v>493</v>
      </c>
      <c r="C63" s="111" t="s">
        <v>480</v>
      </c>
      <c r="D63" s="437" t="s">
        <v>831</v>
      </c>
      <c r="E63" s="443">
        <f>21120*5*7.22*0.6*1.08</f>
        <v>494055.93600000005</v>
      </c>
    </row>
    <row r="64" spans="1:5" x14ac:dyDescent="0.2">
      <c r="A64" s="438"/>
      <c r="B64" s="441"/>
      <c r="C64" s="111" t="s">
        <v>822</v>
      </c>
      <c r="D64" s="438"/>
      <c r="E64" s="444"/>
    </row>
    <row r="65" spans="1:5" x14ac:dyDescent="0.2">
      <c r="A65" s="438"/>
      <c r="B65" s="441"/>
      <c r="C65" s="111" t="s">
        <v>472</v>
      </c>
      <c r="D65" s="438"/>
      <c r="E65" s="444"/>
    </row>
    <row r="66" spans="1:5" ht="13.5" thickBot="1" x14ac:dyDescent="0.25">
      <c r="A66" s="439"/>
      <c r="B66" s="442"/>
      <c r="C66" s="112" t="s">
        <v>475</v>
      </c>
      <c r="D66" s="439"/>
      <c r="E66" s="445"/>
    </row>
    <row r="67" spans="1:5" ht="25.5" x14ac:dyDescent="0.2">
      <c r="A67" s="437">
        <v>2</v>
      </c>
      <c r="B67" s="440" t="s">
        <v>494</v>
      </c>
      <c r="C67" s="111" t="s">
        <v>481</v>
      </c>
      <c r="D67" s="437" t="s">
        <v>832</v>
      </c>
      <c r="E67" s="443">
        <f>400910*(1+(1*0.5))*7.22*0.6*0.35*1.08</f>
        <v>984732.78203999996</v>
      </c>
    </row>
    <row r="68" spans="1:5" x14ac:dyDescent="0.2">
      <c r="A68" s="438"/>
      <c r="B68" s="441"/>
      <c r="C68" s="111" t="s">
        <v>822</v>
      </c>
      <c r="D68" s="438"/>
      <c r="E68" s="444"/>
    </row>
    <row r="69" spans="1:5" x14ac:dyDescent="0.2">
      <c r="A69" s="438"/>
      <c r="B69" s="441"/>
      <c r="C69" s="111" t="s">
        <v>472</v>
      </c>
      <c r="D69" s="438"/>
      <c r="E69" s="444"/>
    </row>
    <row r="70" spans="1:5" ht="25.5" x14ac:dyDescent="0.2">
      <c r="A70" s="438"/>
      <c r="B70" s="441"/>
      <c r="C70" s="111" t="s">
        <v>482</v>
      </c>
      <c r="D70" s="438"/>
      <c r="E70" s="444"/>
    </row>
    <row r="71" spans="1:5" ht="13.5" thickBot="1" x14ac:dyDescent="0.25">
      <c r="A71" s="439"/>
      <c r="B71" s="442"/>
      <c r="C71" s="112" t="s">
        <v>495</v>
      </c>
      <c r="D71" s="439"/>
      <c r="E71" s="445"/>
    </row>
    <row r="72" spans="1:5" ht="38.25" x14ac:dyDescent="0.2">
      <c r="A72" s="437">
        <v>3</v>
      </c>
      <c r="B72" s="440" t="s">
        <v>496</v>
      </c>
      <c r="C72" s="111" t="s">
        <v>477</v>
      </c>
      <c r="D72" s="437" t="s">
        <v>833</v>
      </c>
      <c r="E72" s="443">
        <f>433690*0.3*7.22*0.6*1.08</f>
        <v>608713.40592000005</v>
      </c>
    </row>
    <row r="73" spans="1:5" x14ac:dyDescent="0.2">
      <c r="A73" s="438"/>
      <c r="B73" s="441"/>
      <c r="C73" s="111" t="s">
        <v>822</v>
      </c>
      <c r="D73" s="438"/>
      <c r="E73" s="444"/>
    </row>
    <row r="74" spans="1:5" x14ac:dyDescent="0.2">
      <c r="A74" s="438"/>
      <c r="B74" s="441"/>
      <c r="C74" s="111" t="s">
        <v>472</v>
      </c>
      <c r="D74" s="438"/>
      <c r="E74" s="444"/>
    </row>
    <row r="75" spans="1:5" ht="13.5" thickBot="1" x14ac:dyDescent="0.25">
      <c r="A75" s="439"/>
      <c r="B75" s="442"/>
      <c r="C75" s="112" t="s">
        <v>475</v>
      </c>
      <c r="D75" s="439"/>
      <c r="E75" s="445"/>
    </row>
    <row r="76" spans="1:5" ht="38.25" x14ac:dyDescent="0.2">
      <c r="A76" s="437">
        <v>4</v>
      </c>
      <c r="B76" s="440" t="s">
        <v>490</v>
      </c>
      <c r="C76" s="111" t="s">
        <v>474</v>
      </c>
      <c r="D76" s="437" t="s">
        <v>826</v>
      </c>
      <c r="E76" s="443">
        <f>10070*9*7.22*0.6*1.08</f>
        <v>424017.89279999997</v>
      </c>
    </row>
    <row r="77" spans="1:5" x14ac:dyDescent="0.2">
      <c r="A77" s="438"/>
      <c r="B77" s="441"/>
      <c r="C77" s="111" t="s">
        <v>822</v>
      </c>
      <c r="D77" s="438"/>
      <c r="E77" s="444"/>
    </row>
    <row r="78" spans="1:5" x14ac:dyDescent="0.2">
      <c r="A78" s="438"/>
      <c r="B78" s="441"/>
      <c r="C78" s="111" t="s">
        <v>472</v>
      </c>
      <c r="D78" s="438"/>
      <c r="E78" s="444"/>
    </row>
    <row r="79" spans="1:5" ht="13.5" thickBot="1" x14ac:dyDescent="0.25">
      <c r="A79" s="439"/>
      <c r="B79" s="442"/>
      <c r="C79" s="112" t="s">
        <v>475</v>
      </c>
      <c r="D79" s="439"/>
      <c r="E79" s="445"/>
    </row>
    <row r="80" spans="1:5" ht="38.25" x14ac:dyDescent="0.2">
      <c r="A80" s="437">
        <v>5</v>
      </c>
      <c r="B80" s="440" t="s">
        <v>497</v>
      </c>
      <c r="C80" s="111" t="s">
        <v>492</v>
      </c>
      <c r="D80" s="437" t="s">
        <v>827</v>
      </c>
      <c r="E80" s="443">
        <f>8870*1*7.22*0.6*1.08</f>
        <v>41498.8272</v>
      </c>
    </row>
    <row r="81" spans="1:5" x14ac:dyDescent="0.2">
      <c r="A81" s="438"/>
      <c r="B81" s="441"/>
      <c r="C81" s="111" t="s">
        <v>822</v>
      </c>
      <c r="D81" s="438"/>
      <c r="E81" s="444"/>
    </row>
    <row r="82" spans="1:5" x14ac:dyDescent="0.2">
      <c r="A82" s="438"/>
      <c r="B82" s="441"/>
      <c r="C82" s="111" t="s">
        <v>472</v>
      </c>
      <c r="D82" s="438"/>
      <c r="E82" s="444"/>
    </row>
    <row r="83" spans="1:5" ht="13.5" thickBot="1" x14ac:dyDescent="0.25">
      <c r="A83" s="439"/>
      <c r="B83" s="442"/>
      <c r="C83" s="112" t="s">
        <v>475</v>
      </c>
      <c r="D83" s="439"/>
      <c r="E83" s="445"/>
    </row>
    <row r="84" spans="1:5" ht="128.25" thickBot="1" x14ac:dyDescent="0.25">
      <c r="A84" s="254">
        <v>6</v>
      </c>
      <c r="B84" s="112" t="s">
        <v>478</v>
      </c>
      <c r="C84" s="112" t="s">
        <v>483</v>
      </c>
      <c r="D84" s="114" t="s">
        <v>834</v>
      </c>
      <c r="E84" s="218">
        <f>1478788.71804*0.02</f>
        <v>29575.774360799998</v>
      </c>
    </row>
    <row r="85" spans="1:5" ht="13.5" thickBot="1" x14ac:dyDescent="0.25">
      <c r="A85" s="446" t="s">
        <v>835</v>
      </c>
      <c r="B85" s="447"/>
      <c r="C85" s="447"/>
      <c r="D85" s="447"/>
      <c r="E85" s="448"/>
    </row>
    <row r="86" spans="1:5" ht="38.25" x14ac:dyDescent="0.2">
      <c r="A86" s="437">
        <v>1</v>
      </c>
      <c r="B86" s="440" t="s">
        <v>493</v>
      </c>
      <c r="C86" s="111" t="s">
        <v>480</v>
      </c>
      <c r="D86" s="437" t="s">
        <v>831</v>
      </c>
      <c r="E86" s="443">
        <f>21120*5*7.22*0.6*1.08</f>
        <v>494055.93600000005</v>
      </c>
    </row>
    <row r="87" spans="1:5" x14ac:dyDescent="0.2">
      <c r="A87" s="438"/>
      <c r="B87" s="441"/>
      <c r="C87" s="111" t="s">
        <v>822</v>
      </c>
      <c r="D87" s="438"/>
      <c r="E87" s="444"/>
    </row>
    <row r="88" spans="1:5" x14ac:dyDescent="0.2">
      <c r="A88" s="438"/>
      <c r="B88" s="441"/>
      <c r="C88" s="111" t="s">
        <v>472</v>
      </c>
      <c r="D88" s="438"/>
      <c r="E88" s="444"/>
    </row>
    <row r="89" spans="1:5" ht="13.5" thickBot="1" x14ac:dyDescent="0.25">
      <c r="A89" s="439"/>
      <c r="B89" s="442"/>
      <c r="C89" s="112" t="s">
        <v>475</v>
      </c>
      <c r="D89" s="439"/>
      <c r="E89" s="445"/>
    </row>
    <row r="90" spans="1:5" ht="38.25" x14ac:dyDescent="0.2">
      <c r="A90" s="437">
        <v>2</v>
      </c>
      <c r="B90" s="440" t="s">
        <v>498</v>
      </c>
      <c r="C90" s="111" t="s">
        <v>477</v>
      </c>
      <c r="D90" s="437" t="s">
        <v>836</v>
      </c>
      <c r="E90" s="443">
        <f>433690*0.15*7.22*0.6*1.08</f>
        <v>304356.70296000002</v>
      </c>
    </row>
    <row r="91" spans="1:5" x14ac:dyDescent="0.2">
      <c r="A91" s="438"/>
      <c r="B91" s="441"/>
      <c r="C91" s="111" t="s">
        <v>822</v>
      </c>
      <c r="D91" s="438"/>
      <c r="E91" s="444"/>
    </row>
    <row r="92" spans="1:5" x14ac:dyDescent="0.2">
      <c r="A92" s="438"/>
      <c r="B92" s="441"/>
      <c r="C92" s="111" t="s">
        <v>472</v>
      </c>
      <c r="D92" s="438"/>
      <c r="E92" s="444"/>
    </row>
    <row r="93" spans="1:5" ht="13.5" thickBot="1" x14ac:dyDescent="0.25">
      <c r="A93" s="439"/>
      <c r="B93" s="442"/>
      <c r="C93" s="112" t="s">
        <v>475</v>
      </c>
      <c r="D93" s="439"/>
      <c r="E93" s="445"/>
    </row>
    <row r="94" spans="1:5" ht="38.25" x14ac:dyDescent="0.2">
      <c r="A94" s="437">
        <v>3</v>
      </c>
      <c r="B94" s="440" t="s">
        <v>490</v>
      </c>
      <c r="C94" s="111" t="s">
        <v>474</v>
      </c>
      <c r="D94" s="437" t="s">
        <v>826</v>
      </c>
      <c r="E94" s="443">
        <f>10070*9*7.22*0.6*1.08</f>
        <v>424017.89279999997</v>
      </c>
    </row>
    <row r="95" spans="1:5" x14ac:dyDescent="0.2">
      <c r="A95" s="438"/>
      <c r="B95" s="441"/>
      <c r="C95" s="111" t="s">
        <v>822</v>
      </c>
      <c r="D95" s="438"/>
      <c r="E95" s="444"/>
    </row>
    <row r="96" spans="1:5" x14ac:dyDescent="0.2">
      <c r="A96" s="438"/>
      <c r="B96" s="441"/>
      <c r="C96" s="111" t="s">
        <v>472</v>
      </c>
      <c r="D96" s="438"/>
      <c r="E96" s="444"/>
    </row>
    <row r="97" spans="1:5" ht="13.5" thickBot="1" x14ac:dyDescent="0.25">
      <c r="A97" s="439"/>
      <c r="B97" s="442"/>
      <c r="C97" s="112" t="s">
        <v>475</v>
      </c>
      <c r="D97" s="439"/>
      <c r="E97" s="445"/>
    </row>
    <row r="98" spans="1:5" ht="38.25" x14ac:dyDescent="0.2">
      <c r="A98" s="437">
        <v>4</v>
      </c>
      <c r="B98" s="440" t="s">
        <v>497</v>
      </c>
      <c r="C98" s="111" t="s">
        <v>492</v>
      </c>
      <c r="D98" s="437" t="s">
        <v>827</v>
      </c>
      <c r="E98" s="443">
        <f>8870*1*7.22*0.6*1.08</f>
        <v>41498.8272</v>
      </c>
    </row>
    <row r="99" spans="1:5" x14ac:dyDescent="0.2">
      <c r="A99" s="438"/>
      <c r="B99" s="441"/>
      <c r="C99" s="111" t="s">
        <v>822</v>
      </c>
      <c r="D99" s="438"/>
      <c r="E99" s="444"/>
    </row>
    <row r="100" spans="1:5" x14ac:dyDescent="0.2">
      <c r="A100" s="438"/>
      <c r="B100" s="441"/>
      <c r="C100" s="111" t="s">
        <v>472</v>
      </c>
      <c r="D100" s="438"/>
      <c r="E100" s="444"/>
    </row>
    <row r="101" spans="1:5" ht="13.5" thickBot="1" x14ac:dyDescent="0.25">
      <c r="A101" s="439"/>
      <c r="B101" s="442"/>
      <c r="C101" s="112" t="s">
        <v>475</v>
      </c>
      <c r="D101" s="439"/>
      <c r="E101" s="445"/>
    </row>
    <row r="102" spans="1:5" ht="128.25" thickBot="1" x14ac:dyDescent="0.25">
      <c r="A102" s="254">
        <v>5</v>
      </c>
      <c r="B102" s="112" t="s">
        <v>478</v>
      </c>
      <c r="C102" s="112" t="s">
        <v>483</v>
      </c>
      <c r="D102" s="114" t="s">
        <v>837</v>
      </c>
      <c r="E102" s="218">
        <f>798412.63896*0.02</f>
        <v>15968.2527792</v>
      </c>
    </row>
    <row r="103" spans="1:5" ht="13.5" thickBot="1" x14ac:dyDescent="0.25">
      <c r="A103" s="446" t="s">
        <v>838</v>
      </c>
      <c r="B103" s="447"/>
      <c r="C103" s="447"/>
      <c r="D103" s="447"/>
      <c r="E103" s="448"/>
    </row>
    <row r="104" spans="1:5" ht="25.5" x14ac:dyDescent="0.2">
      <c r="A104" s="437">
        <v>1</v>
      </c>
      <c r="B104" s="440" t="s">
        <v>499</v>
      </c>
      <c r="C104" s="111" t="s">
        <v>484</v>
      </c>
      <c r="D104" s="437" t="s">
        <v>841</v>
      </c>
      <c r="E104" s="443">
        <f>(224900+1742*400)*1.71*0.6*1.08*0.35</f>
        <v>357461.06760000001</v>
      </c>
    </row>
    <row r="105" spans="1:5" x14ac:dyDescent="0.2">
      <c r="A105" s="438"/>
      <c r="B105" s="441"/>
      <c r="C105" s="111" t="s">
        <v>839</v>
      </c>
      <c r="D105" s="438"/>
      <c r="E105" s="444"/>
    </row>
    <row r="106" spans="1:5" x14ac:dyDescent="0.2">
      <c r="A106" s="438"/>
      <c r="B106" s="441"/>
      <c r="C106" s="111" t="s">
        <v>472</v>
      </c>
      <c r="D106" s="438"/>
      <c r="E106" s="444"/>
    </row>
    <row r="107" spans="1:5" x14ac:dyDescent="0.2">
      <c r="A107" s="438"/>
      <c r="B107" s="441"/>
      <c r="C107" s="111" t="s">
        <v>475</v>
      </c>
      <c r="D107" s="438"/>
      <c r="E107" s="444"/>
    </row>
    <row r="108" spans="1:5" ht="26.25" thickBot="1" x14ac:dyDescent="0.25">
      <c r="A108" s="439"/>
      <c r="B108" s="442"/>
      <c r="C108" s="112" t="s">
        <v>840</v>
      </c>
      <c r="D108" s="439"/>
      <c r="E108" s="445"/>
    </row>
    <row r="109" spans="1:5" ht="128.25" thickBot="1" x14ac:dyDescent="0.25">
      <c r="A109" s="254">
        <v>2</v>
      </c>
      <c r="B109" s="112" t="s">
        <v>478</v>
      </c>
      <c r="C109" s="112" t="s">
        <v>500</v>
      </c>
      <c r="D109" s="114" t="s">
        <v>842</v>
      </c>
      <c r="E109" s="218">
        <f>357461.0676*0.02</f>
        <v>7149.2213520000005</v>
      </c>
    </row>
    <row r="110" spans="1:5" ht="13.5" thickBot="1" x14ac:dyDescent="0.25">
      <c r="A110" s="446" t="s">
        <v>843</v>
      </c>
      <c r="B110" s="447"/>
      <c r="C110" s="447"/>
      <c r="D110" s="447"/>
      <c r="E110" s="448"/>
    </row>
    <row r="111" spans="1:5" ht="38.25" x14ac:dyDescent="0.2">
      <c r="A111" s="437">
        <v>1</v>
      </c>
      <c r="B111" s="440" t="s">
        <v>485</v>
      </c>
      <c r="C111" s="111" t="s">
        <v>480</v>
      </c>
      <c r="D111" s="437" t="s">
        <v>823</v>
      </c>
      <c r="E111" s="443">
        <f>21120*6*7.22*0.6*1.08</f>
        <v>592867.12320000003</v>
      </c>
    </row>
    <row r="112" spans="1:5" x14ac:dyDescent="0.2">
      <c r="A112" s="438"/>
      <c r="B112" s="441"/>
      <c r="C112" s="111" t="s">
        <v>822</v>
      </c>
      <c r="D112" s="438"/>
      <c r="E112" s="444"/>
    </row>
    <row r="113" spans="1:5" x14ac:dyDescent="0.2">
      <c r="A113" s="438"/>
      <c r="B113" s="441"/>
      <c r="C113" s="111" t="s">
        <v>472</v>
      </c>
      <c r="D113" s="438"/>
      <c r="E113" s="444"/>
    </row>
    <row r="114" spans="1:5" ht="13.5" thickBot="1" x14ac:dyDescent="0.25">
      <c r="A114" s="439"/>
      <c r="B114" s="442"/>
      <c r="C114" s="112" t="s">
        <v>475</v>
      </c>
      <c r="D114" s="439"/>
      <c r="E114" s="445"/>
    </row>
    <row r="115" spans="1:5" ht="38.25" x14ac:dyDescent="0.2">
      <c r="A115" s="437">
        <v>2</v>
      </c>
      <c r="B115" s="440" t="s">
        <v>501</v>
      </c>
      <c r="C115" s="111" t="s">
        <v>487</v>
      </c>
      <c r="D115" s="437" t="s">
        <v>824</v>
      </c>
      <c r="E115" s="443">
        <f>11083*4*7.22*0.6*1.08</f>
        <v>207409.92191999999</v>
      </c>
    </row>
    <row r="116" spans="1:5" x14ac:dyDescent="0.2">
      <c r="A116" s="438"/>
      <c r="B116" s="441"/>
      <c r="C116" s="111" t="s">
        <v>822</v>
      </c>
      <c r="D116" s="438"/>
      <c r="E116" s="444"/>
    </row>
    <row r="117" spans="1:5" x14ac:dyDescent="0.2">
      <c r="A117" s="438"/>
      <c r="B117" s="441"/>
      <c r="C117" s="111" t="s">
        <v>488</v>
      </c>
      <c r="D117" s="438"/>
      <c r="E117" s="444"/>
    </row>
    <row r="118" spans="1:5" ht="13.5" thickBot="1" x14ac:dyDescent="0.25">
      <c r="A118" s="439"/>
      <c r="B118" s="442"/>
      <c r="C118" s="112" t="s">
        <v>475</v>
      </c>
      <c r="D118" s="439"/>
      <c r="E118" s="445"/>
    </row>
    <row r="119" spans="1:5" ht="38.25" x14ac:dyDescent="0.2">
      <c r="A119" s="437">
        <v>3</v>
      </c>
      <c r="B119" s="440" t="s">
        <v>502</v>
      </c>
      <c r="C119" s="111" t="s">
        <v>477</v>
      </c>
      <c r="D119" s="437" t="s">
        <v>833</v>
      </c>
      <c r="E119" s="443">
        <f>433690*0.3*7.22*0.6*1.08</f>
        <v>608713.40592000005</v>
      </c>
    </row>
    <row r="120" spans="1:5" x14ac:dyDescent="0.2">
      <c r="A120" s="438"/>
      <c r="B120" s="441"/>
      <c r="C120" s="111" t="s">
        <v>822</v>
      </c>
      <c r="D120" s="438"/>
      <c r="E120" s="444"/>
    </row>
    <row r="121" spans="1:5" x14ac:dyDescent="0.2">
      <c r="A121" s="438"/>
      <c r="B121" s="441"/>
      <c r="C121" s="111" t="s">
        <v>472</v>
      </c>
      <c r="D121" s="438"/>
      <c r="E121" s="444"/>
    </row>
    <row r="122" spans="1:5" ht="13.5" thickBot="1" x14ac:dyDescent="0.25">
      <c r="A122" s="439"/>
      <c r="B122" s="442"/>
      <c r="C122" s="112" t="s">
        <v>475</v>
      </c>
      <c r="D122" s="439"/>
      <c r="E122" s="445"/>
    </row>
    <row r="123" spans="1:5" ht="38.25" x14ac:dyDescent="0.2">
      <c r="A123" s="437">
        <v>4</v>
      </c>
      <c r="B123" s="440" t="s">
        <v>490</v>
      </c>
      <c r="C123" s="111" t="s">
        <v>474</v>
      </c>
      <c r="D123" s="437" t="s">
        <v>826</v>
      </c>
      <c r="E123" s="443">
        <f>10070*9*7.22*0.6*1.08</f>
        <v>424017.89279999997</v>
      </c>
    </row>
    <row r="124" spans="1:5" x14ac:dyDescent="0.2">
      <c r="A124" s="438"/>
      <c r="B124" s="441"/>
      <c r="C124" s="111" t="s">
        <v>822</v>
      </c>
      <c r="D124" s="438"/>
      <c r="E124" s="444"/>
    </row>
    <row r="125" spans="1:5" x14ac:dyDescent="0.2">
      <c r="A125" s="438"/>
      <c r="B125" s="441"/>
      <c r="C125" s="111" t="s">
        <v>472</v>
      </c>
      <c r="D125" s="438"/>
      <c r="E125" s="444"/>
    </row>
    <row r="126" spans="1:5" ht="13.5" thickBot="1" x14ac:dyDescent="0.25">
      <c r="A126" s="439"/>
      <c r="B126" s="442"/>
      <c r="C126" s="112" t="s">
        <v>475</v>
      </c>
      <c r="D126" s="439"/>
      <c r="E126" s="445"/>
    </row>
    <row r="127" spans="1:5" ht="38.25" x14ac:dyDescent="0.2">
      <c r="A127" s="437">
        <v>5</v>
      </c>
      <c r="B127" s="440" t="s">
        <v>491</v>
      </c>
      <c r="C127" s="111" t="s">
        <v>492</v>
      </c>
      <c r="D127" s="437" t="s">
        <v>827</v>
      </c>
      <c r="E127" s="443">
        <f>8870*1*7.22*0.6*1.08</f>
        <v>41498.8272</v>
      </c>
    </row>
    <row r="128" spans="1:5" x14ac:dyDescent="0.2">
      <c r="A128" s="438"/>
      <c r="B128" s="441"/>
      <c r="C128" s="111" t="s">
        <v>822</v>
      </c>
      <c r="D128" s="438"/>
      <c r="E128" s="444"/>
    </row>
    <row r="129" spans="1:5" x14ac:dyDescent="0.2">
      <c r="A129" s="438"/>
      <c r="B129" s="441"/>
      <c r="C129" s="111" t="s">
        <v>472</v>
      </c>
      <c r="D129" s="438"/>
      <c r="E129" s="444"/>
    </row>
    <row r="130" spans="1:5" ht="13.5" thickBot="1" x14ac:dyDescent="0.25">
      <c r="A130" s="439"/>
      <c r="B130" s="442"/>
      <c r="C130" s="112" t="s">
        <v>475</v>
      </c>
      <c r="D130" s="439"/>
      <c r="E130" s="445"/>
    </row>
    <row r="131" spans="1:5" ht="128.25" thickBot="1" x14ac:dyDescent="0.25">
      <c r="A131" s="254">
        <v>6</v>
      </c>
      <c r="B131" s="112" t="s">
        <v>478</v>
      </c>
      <c r="C131" s="112" t="s">
        <v>483</v>
      </c>
      <c r="D131" s="114" t="s">
        <v>828</v>
      </c>
      <c r="E131" s="218">
        <f>800277.04512*0.02</f>
        <v>16005.5409024</v>
      </c>
    </row>
    <row r="132" spans="1:5" ht="13.5" thickBot="1" x14ac:dyDescent="0.25">
      <c r="A132" s="446" t="s">
        <v>844</v>
      </c>
      <c r="B132" s="447"/>
      <c r="C132" s="447"/>
      <c r="D132" s="447"/>
      <c r="E132" s="448"/>
    </row>
    <row r="133" spans="1:5" ht="38.25" x14ac:dyDescent="0.2">
      <c r="A133" s="437">
        <v>1</v>
      </c>
      <c r="B133" s="440" t="s">
        <v>503</v>
      </c>
      <c r="C133" s="111" t="s">
        <v>480</v>
      </c>
      <c r="D133" s="437" t="s">
        <v>845</v>
      </c>
      <c r="E133" s="443">
        <f>21120*4*7.22*0.6*1.08</f>
        <v>395244.7488</v>
      </c>
    </row>
    <row r="134" spans="1:5" x14ac:dyDescent="0.2">
      <c r="A134" s="438"/>
      <c r="B134" s="441"/>
      <c r="C134" s="111" t="s">
        <v>822</v>
      </c>
      <c r="D134" s="438"/>
      <c r="E134" s="444"/>
    </row>
    <row r="135" spans="1:5" x14ac:dyDescent="0.2">
      <c r="A135" s="438"/>
      <c r="B135" s="441"/>
      <c r="C135" s="111" t="s">
        <v>472</v>
      </c>
      <c r="D135" s="438"/>
      <c r="E135" s="444"/>
    </row>
    <row r="136" spans="1:5" ht="13.5" thickBot="1" x14ac:dyDescent="0.25">
      <c r="A136" s="439"/>
      <c r="B136" s="442"/>
      <c r="C136" s="112" t="s">
        <v>475</v>
      </c>
      <c r="D136" s="439"/>
      <c r="E136" s="445"/>
    </row>
    <row r="137" spans="1:5" ht="38.25" x14ac:dyDescent="0.2">
      <c r="A137" s="437">
        <v>2</v>
      </c>
      <c r="B137" s="440" t="s">
        <v>504</v>
      </c>
      <c r="C137" s="111" t="s">
        <v>477</v>
      </c>
      <c r="D137" s="437" t="s">
        <v>846</v>
      </c>
      <c r="E137" s="443">
        <f>433690*0.2*7.22*0.6*1.08</f>
        <v>405808.93728000001</v>
      </c>
    </row>
    <row r="138" spans="1:5" x14ac:dyDescent="0.2">
      <c r="A138" s="438"/>
      <c r="B138" s="441"/>
      <c r="C138" s="111" t="s">
        <v>822</v>
      </c>
      <c r="D138" s="438"/>
      <c r="E138" s="444"/>
    </row>
    <row r="139" spans="1:5" x14ac:dyDescent="0.2">
      <c r="A139" s="438"/>
      <c r="B139" s="441"/>
      <c r="C139" s="111" t="s">
        <v>472</v>
      </c>
      <c r="D139" s="438"/>
      <c r="E139" s="444"/>
    </row>
    <row r="140" spans="1:5" ht="13.5" thickBot="1" x14ac:dyDescent="0.25">
      <c r="A140" s="439"/>
      <c r="B140" s="442"/>
      <c r="C140" s="112" t="s">
        <v>475</v>
      </c>
      <c r="D140" s="439"/>
      <c r="E140" s="445"/>
    </row>
    <row r="141" spans="1:5" ht="38.25" x14ac:dyDescent="0.2">
      <c r="A141" s="437">
        <v>3</v>
      </c>
      <c r="B141" s="440" t="s">
        <v>505</v>
      </c>
      <c r="C141" s="111" t="s">
        <v>474</v>
      </c>
      <c r="D141" s="437" t="s">
        <v>826</v>
      </c>
      <c r="E141" s="443">
        <f>10070*9*7.22*0.6*1.08</f>
        <v>424017.89279999997</v>
      </c>
    </row>
    <row r="142" spans="1:5" x14ac:dyDescent="0.2">
      <c r="A142" s="438"/>
      <c r="B142" s="441"/>
      <c r="C142" s="111" t="s">
        <v>822</v>
      </c>
      <c r="D142" s="438"/>
      <c r="E142" s="444"/>
    </row>
    <row r="143" spans="1:5" x14ac:dyDescent="0.2">
      <c r="A143" s="438"/>
      <c r="B143" s="441"/>
      <c r="C143" s="111" t="s">
        <v>472</v>
      </c>
      <c r="D143" s="438"/>
      <c r="E143" s="444"/>
    </row>
    <row r="144" spans="1:5" ht="13.5" thickBot="1" x14ac:dyDescent="0.25">
      <c r="A144" s="439"/>
      <c r="B144" s="442"/>
      <c r="C144" s="112" t="s">
        <v>475</v>
      </c>
      <c r="D144" s="439"/>
      <c r="E144" s="445"/>
    </row>
    <row r="145" spans="1:5" ht="38.25" x14ac:dyDescent="0.2">
      <c r="A145" s="437">
        <v>4</v>
      </c>
      <c r="B145" s="440" t="s">
        <v>491</v>
      </c>
      <c r="C145" s="111" t="s">
        <v>492</v>
      </c>
      <c r="D145" s="437" t="s">
        <v>827</v>
      </c>
      <c r="E145" s="443">
        <f>8870*1*7.22*0.6*1.08</f>
        <v>41498.8272</v>
      </c>
    </row>
    <row r="146" spans="1:5" x14ac:dyDescent="0.2">
      <c r="A146" s="438"/>
      <c r="B146" s="441"/>
      <c r="C146" s="111" t="s">
        <v>822</v>
      </c>
      <c r="D146" s="438"/>
      <c r="E146" s="444"/>
    </row>
    <row r="147" spans="1:5" x14ac:dyDescent="0.2">
      <c r="A147" s="438"/>
      <c r="B147" s="441"/>
      <c r="C147" s="111" t="s">
        <v>472</v>
      </c>
      <c r="D147" s="438"/>
      <c r="E147" s="444"/>
    </row>
    <row r="148" spans="1:5" ht="13.5" thickBot="1" x14ac:dyDescent="0.25">
      <c r="A148" s="439"/>
      <c r="B148" s="442"/>
      <c r="C148" s="112" t="s">
        <v>475</v>
      </c>
      <c r="D148" s="439"/>
      <c r="E148" s="445"/>
    </row>
    <row r="149" spans="1:5" ht="128.25" thickBot="1" x14ac:dyDescent="0.25">
      <c r="A149" s="254">
        <v>5</v>
      </c>
      <c r="B149" s="112" t="s">
        <v>478</v>
      </c>
      <c r="C149" s="112" t="s">
        <v>479</v>
      </c>
      <c r="D149" s="114" t="s">
        <v>847</v>
      </c>
      <c r="E149" s="218">
        <f>395244.7488*0.02</f>
        <v>7904.8949760000005</v>
      </c>
    </row>
    <row r="150" spans="1:5" ht="13.5" thickBot="1" x14ac:dyDescent="0.25">
      <c r="A150" s="446" t="s">
        <v>848</v>
      </c>
      <c r="B150" s="447"/>
      <c r="C150" s="447"/>
      <c r="D150" s="447"/>
      <c r="E150" s="448"/>
    </row>
    <row r="151" spans="1:5" ht="38.25" x14ac:dyDescent="0.2">
      <c r="A151" s="437">
        <v>1</v>
      </c>
      <c r="B151" s="440" t="s">
        <v>506</v>
      </c>
      <c r="C151" s="111" t="s">
        <v>507</v>
      </c>
      <c r="D151" s="437" t="s">
        <v>849</v>
      </c>
      <c r="E151" s="443">
        <f>59070*1*7.22*0.6*1.08*1.15</f>
        <v>317816.92007999995</v>
      </c>
    </row>
    <row r="152" spans="1:5" x14ac:dyDescent="0.2">
      <c r="A152" s="438"/>
      <c r="B152" s="441"/>
      <c r="C152" s="111" t="s">
        <v>822</v>
      </c>
      <c r="D152" s="438"/>
      <c r="E152" s="444"/>
    </row>
    <row r="153" spans="1:5" x14ac:dyDescent="0.2">
      <c r="A153" s="438"/>
      <c r="B153" s="441"/>
      <c r="C153" s="111" t="s">
        <v>472</v>
      </c>
      <c r="D153" s="438"/>
      <c r="E153" s="444"/>
    </row>
    <row r="154" spans="1:5" x14ac:dyDescent="0.2">
      <c r="A154" s="438"/>
      <c r="B154" s="441"/>
      <c r="C154" s="111" t="s">
        <v>475</v>
      </c>
      <c r="D154" s="438"/>
      <c r="E154" s="444"/>
    </row>
    <row r="155" spans="1:5" ht="26.25" thickBot="1" x14ac:dyDescent="0.25">
      <c r="A155" s="439"/>
      <c r="B155" s="442"/>
      <c r="C155" s="112" t="s">
        <v>508</v>
      </c>
      <c r="D155" s="439"/>
      <c r="E155" s="445"/>
    </row>
    <row r="156" spans="1:5" ht="38.25" x14ac:dyDescent="0.2">
      <c r="A156" s="437">
        <v>2</v>
      </c>
      <c r="B156" s="440" t="s">
        <v>509</v>
      </c>
      <c r="C156" s="111" t="s">
        <v>480</v>
      </c>
      <c r="D156" s="437" t="s">
        <v>845</v>
      </c>
      <c r="E156" s="443">
        <f>21120*4*7.22*0.6*1.08</f>
        <v>395244.7488</v>
      </c>
    </row>
    <row r="157" spans="1:5" x14ac:dyDescent="0.2">
      <c r="A157" s="438"/>
      <c r="B157" s="441"/>
      <c r="C157" s="111" t="s">
        <v>822</v>
      </c>
      <c r="D157" s="438"/>
      <c r="E157" s="444"/>
    </row>
    <row r="158" spans="1:5" x14ac:dyDescent="0.2">
      <c r="A158" s="438"/>
      <c r="B158" s="441"/>
      <c r="C158" s="111" t="s">
        <v>472</v>
      </c>
      <c r="D158" s="438"/>
      <c r="E158" s="444"/>
    </row>
    <row r="159" spans="1:5" ht="13.5" thickBot="1" x14ac:dyDescent="0.25">
      <c r="A159" s="439"/>
      <c r="B159" s="442"/>
      <c r="C159" s="112" t="s">
        <v>475</v>
      </c>
      <c r="D159" s="439"/>
      <c r="E159" s="445"/>
    </row>
    <row r="160" spans="1:5" ht="38.25" x14ac:dyDescent="0.2">
      <c r="A160" s="437">
        <v>3</v>
      </c>
      <c r="B160" s="440" t="s">
        <v>510</v>
      </c>
      <c r="C160" s="111" t="s">
        <v>511</v>
      </c>
      <c r="D160" s="437" t="s">
        <v>850</v>
      </c>
      <c r="E160" s="443">
        <f>2640*6*7.22*0.6*1.08</f>
        <v>74108.390400000004</v>
      </c>
    </row>
    <row r="161" spans="1:5" x14ac:dyDescent="0.2">
      <c r="A161" s="438"/>
      <c r="B161" s="441"/>
      <c r="C161" s="111" t="s">
        <v>822</v>
      </c>
      <c r="D161" s="438"/>
      <c r="E161" s="444"/>
    </row>
    <row r="162" spans="1:5" x14ac:dyDescent="0.2">
      <c r="A162" s="438"/>
      <c r="B162" s="441"/>
      <c r="C162" s="111" t="s">
        <v>472</v>
      </c>
      <c r="D162" s="438"/>
      <c r="E162" s="444"/>
    </row>
    <row r="163" spans="1:5" ht="13.5" thickBot="1" x14ac:dyDescent="0.25">
      <c r="A163" s="439"/>
      <c r="B163" s="442"/>
      <c r="C163" s="112" t="s">
        <v>475</v>
      </c>
      <c r="D163" s="439"/>
      <c r="E163" s="445"/>
    </row>
    <row r="164" spans="1:5" ht="38.25" x14ac:dyDescent="0.2">
      <c r="A164" s="437">
        <v>4</v>
      </c>
      <c r="B164" s="440" t="s">
        <v>476</v>
      </c>
      <c r="C164" s="111" t="s">
        <v>512</v>
      </c>
      <c r="D164" s="437" t="s">
        <v>851</v>
      </c>
      <c r="E164" s="443">
        <f>4790*4*7.22*0.6*1.08</f>
        <v>89641.209599999987</v>
      </c>
    </row>
    <row r="165" spans="1:5" x14ac:dyDescent="0.2">
      <c r="A165" s="438"/>
      <c r="B165" s="441"/>
      <c r="C165" s="111" t="s">
        <v>822</v>
      </c>
      <c r="D165" s="438"/>
      <c r="E165" s="444"/>
    </row>
    <row r="166" spans="1:5" x14ac:dyDescent="0.2">
      <c r="A166" s="438"/>
      <c r="B166" s="441"/>
      <c r="C166" s="111" t="s">
        <v>472</v>
      </c>
      <c r="D166" s="438"/>
      <c r="E166" s="444"/>
    </row>
    <row r="167" spans="1:5" ht="13.5" thickBot="1" x14ac:dyDescent="0.25">
      <c r="A167" s="439"/>
      <c r="B167" s="442"/>
      <c r="C167" s="112" t="s">
        <v>475</v>
      </c>
      <c r="D167" s="439"/>
      <c r="E167" s="445"/>
    </row>
    <row r="168" spans="1:5" ht="25.5" x14ac:dyDescent="0.2">
      <c r="A168" s="437">
        <v>5</v>
      </c>
      <c r="B168" s="440" t="s">
        <v>513</v>
      </c>
      <c r="C168" s="111" t="s">
        <v>514</v>
      </c>
      <c r="D168" s="437" t="s">
        <v>852</v>
      </c>
      <c r="E168" s="443">
        <f>11800*2*1.71*0.6*1.08</f>
        <v>26150.688000000002</v>
      </c>
    </row>
    <row r="169" spans="1:5" x14ac:dyDescent="0.2">
      <c r="A169" s="438"/>
      <c r="B169" s="441"/>
      <c r="C169" s="111" t="s">
        <v>839</v>
      </c>
      <c r="D169" s="438"/>
      <c r="E169" s="444"/>
    </row>
    <row r="170" spans="1:5" x14ac:dyDescent="0.2">
      <c r="A170" s="438"/>
      <c r="B170" s="441"/>
      <c r="C170" s="111" t="s">
        <v>472</v>
      </c>
      <c r="D170" s="438"/>
      <c r="E170" s="444"/>
    </row>
    <row r="171" spans="1:5" ht="13.5" thickBot="1" x14ac:dyDescent="0.25">
      <c r="A171" s="439"/>
      <c r="B171" s="442"/>
      <c r="C171" s="112" t="s">
        <v>475</v>
      </c>
      <c r="D171" s="439"/>
      <c r="E171" s="445"/>
    </row>
    <row r="172" spans="1:5" ht="38.25" x14ac:dyDescent="0.2">
      <c r="A172" s="437">
        <v>6</v>
      </c>
      <c r="B172" s="440" t="s">
        <v>515</v>
      </c>
      <c r="C172" s="111" t="s">
        <v>516</v>
      </c>
      <c r="D172" s="437" t="s">
        <v>853</v>
      </c>
      <c r="E172" s="443">
        <f>4130*2*7.22*0.6*1.08</f>
        <v>38644.905600000006</v>
      </c>
    </row>
    <row r="173" spans="1:5" x14ac:dyDescent="0.2">
      <c r="A173" s="438"/>
      <c r="B173" s="441"/>
      <c r="C173" s="111" t="s">
        <v>822</v>
      </c>
      <c r="D173" s="438"/>
      <c r="E173" s="444"/>
    </row>
    <row r="174" spans="1:5" x14ac:dyDescent="0.2">
      <c r="A174" s="438"/>
      <c r="B174" s="441"/>
      <c r="C174" s="111" t="s">
        <v>472</v>
      </c>
      <c r="D174" s="438"/>
      <c r="E174" s="444"/>
    </row>
    <row r="175" spans="1:5" ht="13.5" thickBot="1" x14ac:dyDescent="0.25">
      <c r="A175" s="439"/>
      <c r="B175" s="442"/>
      <c r="C175" s="112" t="s">
        <v>475</v>
      </c>
      <c r="D175" s="439"/>
      <c r="E175" s="445"/>
    </row>
    <row r="176" spans="1:5" ht="128.25" thickBot="1" x14ac:dyDescent="0.25">
      <c r="A176" s="254">
        <v>7</v>
      </c>
      <c r="B176" s="112" t="s">
        <v>478</v>
      </c>
      <c r="C176" s="112" t="s">
        <v>517</v>
      </c>
      <c r="D176" s="114" t="s">
        <v>854</v>
      </c>
      <c r="E176" s="218">
        <f>739212.35688*0.02</f>
        <v>14784.247137599999</v>
      </c>
    </row>
    <row r="177" spans="1:5" ht="13.5" thickBot="1" x14ac:dyDescent="0.25">
      <c r="A177" s="446" t="s">
        <v>352</v>
      </c>
      <c r="B177" s="447"/>
      <c r="C177" s="447"/>
      <c r="D177" s="447"/>
      <c r="E177" s="448"/>
    </row>
    <row r="178" spans="1:5" ht="13.5" thickBot="1" x14ac:dyDescent="0.25">
      <c r="A178" s="446" t="s">
        <v>855</v>
      </c>
      <c r="B178" s="447"/>
      <c r="C178" s="447"/>
      <c r="D178" s="447"/>
      <c r="E178" s="448"/>
    </row>
    <row r="179" spans="1:5" ht="38.25" x14ac:dyDescent="0.2">
      <c r="A179" s="437">
        <v>1</v>
      </c>
      <c r="B179" s="440" t="s">
        <v>518</v>
      </c>
      <c r="C179" s="111" t="s">
        <v>477</v>
      </c>
      <c r="D179" s="437" t="s">
        <v>856</v>
      </c>
      <c r="E179" s="443">
        <f>433690*1*7.22*0.6*1.08</f>
        <v>2029044.6864</v>
      </c>
    </row>
    <row r="180" spans="1:5" x14ac:dyDescent="0.2">
      <c r="A180" s="438"/>
      <c r="B180" s="441"/>
      <c r="C180" s="111" t="s">
        <v>822</v>
      </c>
      <c r="D180" s="438"/>
      <c r="E180" s="444"/>
    </row>
    <row r="181" spans="1:5" x14ac:dyDescent="0.2">
      <c r="A181" s="438"/>
      <c r="B181" s="441"/>
      <c r="C181" s="111" t="s">
        <v>472</v>
      </c>
      <c r="D181" s="438"/>
      <c r="E181" s="444"/>
    </row>
    <row r="182" spans="1:5" ht="13.5" thickBot="1" x14ac:dyDescent="0.25">
      <c r="A182" s="439"/>
      <c r="B182" s="442"/>
      <c r="C182" s="112" t="s">
        <v>475</v>
      </c>
      <c r="D182" s="439"/>
      <c r="E182" s="445"/>
    </row>
    <row r="183" spans="1:5" ht="38.25" x14ac:dyDescent="0.2">
      <c r="A183" s="437">
        <v>2</v>
      </c>
      <c r="B183" s="440" t="s">
        <v>519</v>
      </c>
      <c r="C183" s="111" t="s">
        <v>511</v>
      </c>
      <c r="D183" s="437" t="s">
        <v>857</v>
      </c>
      <c r="E183" s="443">
        <f>2640*25*7.22*0.6*1.08</f>
        <v>308784.96000000002</v>
      </c>
    </row>
    <row r="184" spans="1:5" x14ac:dyDescent="0.2">
      <c r="A184" s="438"/>
      <c r="B184" s="441"/>
      <c r="C184" s="111" t="s">
        <v>822</v>
      </c>
      <c r="D184" s="438"/>
      <c r="E184" s="444"/>
    </row>
    <row r="185" spans="1:5" x14ac:dyDescent="0.2">
      <c r="A185" s="438"/>
      <c r="B185" s="441"/>
      <c r="C185" s="111" t="s">
        <v>472</v>
      </c>
      <c r="D185" s="438"/>
      <c r="E185" s="444"/>
    </row>
    <row r="186" spans="1:5" ht="13.5" thickBot="1" x14ac:dyDescent="0.25">
      <c r="A186" s="439"/>
      <c r="B186" s="442"/>
      <c r="C186" s="112" t="s">
        <v>475</v>
      </c>
      <c r="D186" s="439"/>
      <c r="E186" s="445"/>
    </row>
    <row r="187" spans="1:5" ht="13.5" thickBot="1" x14ac:dyDescent="0.25">
      <c r="A187" s="446" t="s">
        <v>858</v>
      </c>
      <c r="B187" s="447"/>
      <c r="C187" s="447"/>
      <c r="D187" s="447"/>
      <c r="E187" s="448"/>
    </row>
    <row r="188" spans="1:5" ht="38.25" x14ac:dyDescent="0.2">
      <c r="A188" s="437">
        <v>1</v>
      </c>
      <c r="B188" s="440" t="s">
        <v>520</v>
      </c>
      <c r="C188" s="111" t="s">
        <v>521</v>
      </c>
      <c r="D188" s="437" t="s">
        <v>859</v>
      </c>
      <c r="E188" s="443">
        <f>34650*3*7.22*0.6*1.08</f>
        <v>486336.31199999998</v>
      </c>
    </row>
    <row r="189" spans="1:5" x14ac:dyDescent="0.2">
      <c r="A189" s="438"/>
      <c r="B189" s="441"/>
      <c r="C189" s="111" t="s">
        <v>822</v>
      </c>
      <c r="D189" s="438"/>
      <c r="E189" s="444"/>
    </row>
    <row r="190" spans="1:5" x14ac:dyDescent="0.2">
      <c r="A190" s="438"/>
      <c r="B190" s="441"/>
      <c r="C190" s="111" t="s">
        <v>472</v>
      </c>
      <c r="D190" s="438"/>
      <c r="E190" s="444"/>
    </row>
    <row r="191" spans="1:5" ht="13.5" thickBot="1" x14ac:dyDescent="0.25">
      <c r="A191" s="439"/>
      <c r="B191" s="442"/>
      <c r="C191" s="112" t="s">
        <v>475</v>
      </c>
      <c r="D191" s="439"/>
      <c r="E191" s="445"/>
    </row>
    <row r="192" spans="1:5" ht="38.25" x14ac:dyDescent="0.2">
      <c r="A192" s="437">
        <v>2</v>
      </c>
      <c r="B192" s="440" t="s">
        <v>522</v>
      </c>
      <c r="C192" s="111" t="s">
        <v>523</v>
      </c>
      <c r="D192" s="437" t="s">
        <v>860</v>
      </c>
      <c r="E192" s="443">
        <f>8450*1*7.22*0.6*1.08</f>
        <v>39533.832000000002</v>
      </c>
    </row>
    <row r="193" spans="1:5" x14ac:dyDescent="0.2">
      <c r="A193" s="438"/>
      <c r="B193" s="441"/>
      <c r="C193" s="111" t="s">
        <v>822</v>
      </c>
      <c r="D193" s="438"/>
      <c r="E193" s="444"/>
    </row>
    <row r="194" spans="1:5" x14ac:dyDescent="0.2">
      <c r="A194" s="438"/>
      <c r="B194" s="441"/>
      <c r="C194" s="111" t="s">
        <v>472</v>
      </c>
      <c r="D194" s="438"/>
      <c r="E194" s="444"/>
    </row>
    <row r="195" spans="1:5" ht="13.5" thickBot="1" x14ac:dyDescent="0.25">
      <c r="A195" s="439"/>
      <c r="B195" s="442"/>
      <c r="C195" s="112" t="s">
        <v>475</v>
      </c>
      <c r="D195" s="439"/>
      <c r="E195" s="445"/>
    </row>
    <row r="196" spans="1:5" ht="38.25" x14ac:dyDescent="0.2">
      <c r="A196" s="437">
        <v>3</v>
      </c>
      <c r="B196" s="440" t="s">
        <v>524</v>
      </c>
      <c r="C196" s="111" t="s">
        <v>492</v>
      </c>
      <c r="D196" s="437" t="s">
        <v>827</v>
      </c>
      <c r="E196" s="443">
        <f>8870*1*7.22*0.6*1.08</f>
        <v>41498.8272</v>
      </c>
    </row>
    <row r="197" spans="1:5" x14ac:dyDescent="0.2">
      <c r="A197" s="438"/>
      <c r="B197" s="441"/>
      <c r="C197" s="111" t="s">
        <v>822</v>
      </c>
      <c r="D197" s="438"/>
      <c r="E197" s="444"/>
    </row>
    <row r="198" spans="1:5" x14ac:dyDescent="0.2">
      <c r="A198" s="438"/>
      <c r="B198" s="441"/>
      <c r="C198" s="111" t="s">
        <v>472</v>
      </c>
      <c r="D198" s="438"/>
      <c r="E198" s="444"/>
    </row>
    <row r="199" spans="1:5" ht="13.5" thickBot="1" x14ac:dyDescent="0.25">
      <c r="A199" s="439"/>
      <c r="B199" s="442"/>
      <c r="C199" s="112" t="s">
        <v>475</v>
      </c>
      <c r="D199" s="439"/>
      <c r="E199" s="445"/>
    </row>
    <row r="200" spans="1:5" ht="13.5" thickBot="1" x14ac:dyDescent="0.25">
      <c r="A200" s="446" t="s">
        <v>861</v>
      </c>
      <c r="B200" s="447"/>
      <c r="C200" s="447"/>
      <c r="D200" s="447"/>
      <c r="E200" s="448"/>
    </row>
    <row r="201" spans="1:5" ht="38.25" x14ac:dyDescent="0.2">
      <c r="A201" s="437">
        <v>1</v>
      </c>
      <c r="B201" s="440" t="s">
        <v>525</v>
      </c>
      <c r="C201" s="111" t="s">
        <v>480</v>
      </c>
      <c r="D201" s="437" t="s">
        <v>862</v>
      </c>
      <c r="E201" s="443">
        <f>21120*1*7.22*0.6*1.08</f>
        <v>98811.1872</v>
      </c>
    </row>
    <row r="202" spans="1:5" x14ac:dyDescent="0.2">
      <c r="A202" s="438"/>
      <c r="B202" s="441"/>
      <c r="C202" s="111" t="s">
        <v>822</v>
      </c>
      <c r="D202" s="438"/>
      <c r="E202" s="444"/>
    </row>
    <row r="203" spans="1:5" x14ac:dyDescent="0.2">
      <c r="A203" s="438"/>
      <c r="B203" s="441"/>
      <c r="C203" s="111" t="s">
        <v>472</v>
      </c>
      <c r="D203" s="438"/>
      <c r="E203" s="444"/>
    </row>
    <row r="204" spans="1:5" ht="13.5" thickBot="1" x14ac:dyDescent="0.25">
      <c r="A204" s="439"/>
      <c r="B204" s="442"/>
      <c r="C204" s="112" t="s">
        <v>475</v>
      </c>
      <c r="D204" s="439"/>
      <c r="E204" s="445"/>
    </row>
    <row r="205" spans="1:5" ht="38.25" x14ac:dyDescent="0.2">
      <c r="A205" s="437">
        <v>1</v>
      </c>
      <c r="B205" s="440" t="s">
        <v>526</v>
      </c>
      <c r="C205" s="111" t="s">
        <v>477</v>
      </c>
      <c r="D205" s="437" t="s">
        <v>833</v>
      </c>
      <c r="E205" s="443">
        <f>433690*0.3*7.22*0.6*1.08</f>
        <v>608713.40592000005</v>
      </c>
    </row>
    <row r="206" spans="1:5" x14ac:dyDescent="0.2">
      <c r="A206" s="438"/>
      <c r="B206" s="441"/>
      <c r="C206" s="111" t="s">
        <v>822</v>
      </c>
      <c r="D206" s="438"/>
      <c r="E206" s="444"/>
    </row>
    <row r="207" spans="1:5" x14ac:dyDescent="0.2">
      <c r="A207" s="438"/>
      <c r="B207" s="441"/>
      <c r="C207" s="111" t="s">
        <v>472</v>
      </c>
      <c r="D207" s="438"/>
      <c r="E207" s="444"/>
    </row>
    <row r="208" spans="1:5" ht="13.5" thickBot="1" x14ac:dyDescent="0.25">
      <c r="A208" s="439"/>
      <c r="B208" s="442"/>
      <c r="C208" s="112" t="s">
        <v>475</v>
      </c>
      <c r="D208" s="439"/>
      <c r="E208" s="445"/>
    </row>
    <row r="209" spans="1:5" ht="38.25" x14ac:dyDescent="0.2">
      <c r="A209" s="437">
        <v>2</v>
      </c>
      <c r="B209" s="440" t="s">
        <v>527</v>
      </c>
      <c r="C209" s="111" t="s">
        <v>511</v>
      </c>
      <c r="D209" s="437" t="s">
        <v>863</v>
      </c>
      <c r="E209" s="443">
        <f>2640*12*7.22*0.6*1.08</f>
        <v>148216.78080000001</v>
      </c>
    </row>
    <row r="210" spans="1:5" x14ac:dyDescent="0.2">
      <c r="A210" s="438"/>
      <c r="B210" s="441"/>
      <c r="C210" s="111" t="s">
        <v>822</v>
      </c>
      <c r="D210" s="438"/>
      <c r="E210" s="444"/>
    </row>
    <row r="211" spans="1:5" x14ac:dyDescent="0.2">
      <c r="A211" s="438"/>
      <c r="B211" s="441"/>
      <c r="C211" s="111" t="s">
        <v>472</v>
      </c>
      <c r="D211" s="438"/>
      <c r="E211" s="444"/>
    </row>
    <row r="212" spans="1:5" ht="13.5" thickBot="1" x14ac:dyDescent="0.25">
      <c r="A212" s="439"/>
      <c r="B212" s="442"/>
      <c r="C212" s="112" t="s">
        <v>475</v>
      </c>
      <c r="D212" s="439"/>
      <c r="E212" s="445"/>
    </row>
    <row r="213" spans="1:5" ht="13.5" thickBot="1" x14ac:dyDescent="0.25">
      <c r="A213" s="446" t="s">
        <v>864</v>
      </c>
      <c r="B213" s="447"/>
      <c r="C213" s="447"/>
      <c r="D213" s="447"/>
      <c r="E213" s="448"/>
    </row>
    <row r="214" spans="1:5" ht="38.25" x14ac:dyDescent="0.2">
      <c r="A214" s="437">
        <v>1</v>
      </c>
      <c r="B214" s="440" t="s">
        <v>528</v>
      </c>
      <c r="C214" s="111" t="s">
        <v>529</v>
      </c>
      <c r="D214" s="437" t="s">
        <v>865</v>
      </c>
      <c r="E214" s="443">
        <f>(11000+550*725)*7.22*0.6*1.08</f>
        <v>1917039.9600000002</v>
      </c>
    </row>
    <row r="215" spans="1:5" x14ac:dyDescent="0.2">
      <c r="A215" s="438"/>
      <c r="B215" s="441"/>
      <c r="C215" s="111" t="s">
        <v>822</v>
      </c>
      <c r="D215" s="438"/>
      <c r="E215" s="444"/>
    </row>
    <row r="216" spans="1:5" x14ac:dyDescent="0.2">
      <c r="A216" s="438"/>
      <c r="B216" s="441"/>
      <c r="C216" s="111" t="s">
        <v>472</v>
      </c>
      <c r="D216" s="438"/>
      <c r="E216" s="444"/>
    </row>
    <row r="217" spans="1:5" ht="13.5" thickBot="1" x14ac:dyDescent="0.25">
      <c r="A217" s="439"/>
      <c r="B217" s="442"/>
      <c r="C217" s="112" t="s">
        <v>475</v>
      </c>
      <c r="D217" s="439"/>
      <c r="E217" s="445"/>
    </row>
    <row r="218" spans="1:5" ht="128.25" thickBot="1" x14ac:dyDescent="0.25">
      <c r="A218" s="254">
        <v>2</v>
      </c>
      <c r="B218" s="112" t="s">
        <v>478</v>
      </c>
      <c r="C218" s="112" t="s">
        <v>479</v>
      </c>
      <c r="D218" s="114" t="s">
        <v>866</v>
      </c>
      <c r="E218" s="218">
        <f>1917039.96*0.02</f>
        <v>38340.799200000001</v>
      </c>
    </row>
    <row r="219" spans="1:5" ht="13.5" thickBot="1" x14ac:dyDescent="0.25">
      <c r="A219" s="446" t="s">
        <v>867</v>
      </c>
      <c r="B219" s="447"/>
      <c r="C219" s="447"/>
      <c r="D219" s="447"/>
      <c r="E219" s="448"/>
    </row>
    <row r="220" spans="1:5" ht="38.25" x14ac:dyDescent="0.2">
      <c r="A220" s="437">
        <v>1</v>
      </c>
      <c r="B220" s="440" t="s">
        <v>530</v>
      </c>
      <c r="C220" s="111" t="s">
        <v>477</v>
      </c>
      <c r="D220" s="437" t="s">
        <v>868</v>
      </c>
      <c r="E220" s="443">
        <f>433690*0.5*7.22*0.6*1.08</f>
        <v>1014522.3432</v>
      </c>
    </row>
    <row r="221" spans="1:5" x14ac:dyDescent="0.2">
      <c r="A221" s="438"/>
      <c r="B221" s="441"/>
      <c r="C221" s="111" t="s">
        <v>822</v>
      </c>
      <c r="D221" s="438"/>
      <c r="E221" s="444"/>
    </row>
    <row r="222" spans="1:5" x14ac:dyDescent="0.2">
      <c r="A222" s="438"/>
      <c r="B222" s="441"/>
      <c r="C222" s="111" t="s">
        <v>472</v>
      </c>
      <c r="D222" s="438"/>
      <c r="E222" s="444"/>
    </row>
    <row r="223" spans="1:5" ht="13.5" thickBot="1" x14ac:dyDescent="0.25">
      <c r="A223" s="439"/>
      <c r="B223" s="442"/>
      <c r="C223" s="112" t="s">
        <v>475</v>
      </c>
      <c r="D223" s="439"/>
      <c r="E223" s="445"/>
    </row>
    <row r="224" spans="1:5" ht="38.25" x14ac:dyDescent="0.2">
      <c r="A224" s="437">
        <v>2</v>
      </c>
      <c r="B224" s="440" t="s">
        <v>527</v>
      </c>
      <c r="C224" s="111" t="s">
        <v>511</v>
      </c>
      <c r="D224" s="437" t="s">
        <v>863</v>
      </c>
      <c r="E224" s="443">
        <f>2640*12*7.22*0.6*1.08</f>
        <v>148216.78080000001</v>
      </c>
    </row>
    <row r="225" spans="1:5" x14ac:dyDescent="0.2">
      <c r="A225" s="438"/>
      <c r="B225" s="441"/>
      <c r="C225" s="111" t="s">
        <v>822</v>
      </c>
      <c r="D225" s="438"/>
      <c r="E225" s="444"/>
    </row>
    <row r="226" spans="1:5" x14ac:dyDescent="0.2">
      <c r="A226" s="438"/>
      <c r="B226" s="441"/>
      <c r="C226" s="111" t="s">
        <v>472</v>
      </c>
      <c r="D226" s="438"/>
      <c r="E226" s="444"/>
    </row>
    <row r="227" spans="1:5" ht="13.5" thickBot="1" x14ac:dyDescent="0.25">
      <c r="A227" s="439"/>
      <c r="B227" s="442"/>
      <c r="C227" s="112" t="s">
        <v>475</v>
      </c>
      <c r="D227" s="439"/>
      <c r="E227" s="445"/>
    </row>
    <row r="228" spans="1:5" ht="13.5" thickBot="1" x14ac:dyDescent="0.25">
      <c r="A228" s="446" t="s">
        <v>540</v>
      </c>
      <c r="B228" s="447"/>
      <c r="C228" s="447"/>
      <c r="D228" s="447"/>
      <c r="E228" s="448"/>
    </row>
    <row r="229" spans="1:5" ht="38.25" x14ac:dyDescent="0.2">
      <c r="A229" s="437">
        <v>1</v>
      </c>
      <c r="B229" s="440" t="s">
        <v>541</v>
      </c>
      <c r="C229" s="111" t="s">
        <v>531</v>
      </c>
      <c r="D229" s="437" t="s">
        <v>869</v>
      </c>
      <c r="E229" s="443">
        <f>(33000+39900*0.15)*1.71*0.6*1.08</f>
        <v>43198.498800000001</v>
      </c>
    </row>
    <row r="230" spans="1:5" x14ac:dyDescent="0.2">
      <c r="A230" s="438"/>
      <c r="B230" s="441"/>
      <c r="C230" s="111" t="s">
        <v>839</v>
      </c>
      <c r="D230" s="438"/>
      <c r="E230" s="444"/>
    </row>
    <row r="231" spans="1:5" x14ac:dyDescent="0.2">
      <c r="A231" s="438"/>
      <c r="B231" s="441"/>
      <c r="C231" s="111" t="s">
        <v>472</v>
      </c>
      <c r="D231" s="438"/>
      <c r="E231" s="444"/>
    </row>
    <row r="232" spans="1:5" ht="13.5" thickBot="1" x14ac:dyDescent="0.25">
      <c r="A232" s="439"/>
      <c r="B232" s="442"/>
      <c r="C232" s="112" t="s">
        <v>475</v>
      </c>
      <c r="D232" s="439"/>
      <c r="E232" s="445"/>
    </row>
    <row r="233" spans="1:5" ht="38.25" x14ac:dyDescent="0.2">
      <c r="A233" s="437">
        <v>2</v>
      </c>
      <c r="B233" s="440" t="s">
        <v>532</v>
      </c>
      <c r="C233" s="111" t="s">
        <v>533</v>
      </c>
      <c r="D233" s="437" t="s">
        <v>870</v>
      </c>
      <c r="E233" s="443">
        <f>13400*3*1.71*0.6*1.08</f>
        <v>44544.815999999999</v>
      </c>
    </row>
    <row r="234" spans="1:5" x14ac:dyDescent="0.2">
      <c r="A234" s="438"/>
      <c r="B234" s="441"/>
      <c r="C234" s="111" t="s">
        <v>839</v>
      </c>
      <c r="D234" s="438"/>
      <c r="E234" s="444"/>
    </row>
    <row r="235" spans="1:5" x14ac:dyDescent="0.2">
      <c r="A235" s="438"/>
      <c r="B235" s="441"/>
      <c r="C235" s="111" t="s">
        <v>472</v>
      </c>
      <c r="D235" s="438"/>
      <c r="E235" s="444"/>
    </row>
    <row r="236" spans="1:5" ht="13.5" thickBot="1" x14ac:dyDescent="0.25">
      <c r="A236" s="439"/>
      <c r="B236" s="442"/>
      <c r="C236" s="112" t="s">
        <v>475</v>
      </c>
      <c r="D236" s="439"/>
      <c r="E236" s="445"/>
    </row>
    <row r="237" spans="1:5" ht="38.25" x14ac:dyDescent="0.2">
      <c r="A237" s="437">
        <v>3</v>
      </c>
      <c r="B237" s="440" t="s">
        <v>534</v>
      </c>
      <c r="C237" s="111" t="s">
        <v>535</v>
      </c>
      <c r="D237" s="437" t="s">
        <v>871</v>
      </c>
      <c r="E237" s="443">
        <f>9200*1*1.71*0.6*1.08</f>
        <v>10194.335999999999</v>
      </c>
    </row>
    <row r="238" spans="1:5" x14ac:dyDescent="0.2">
      <c r="A238" s="438"/>
      <c r="B238" s="441"/>
      <c r="C238" s="111" t="s">
        <v>839</v>
      </c>
      <c r="D238" s="438"/>
      <c r="E238" s="444"/>
    </row>
    <row r="239" spans="1:5" x14ac:dyDescent="0.2">
      <c r="A239" s="438"/>
      <c r="B239" s="441"/>
      <c r="C239" s="111" t="s">
        <v>472</v>
      </c>
      <c r="D239" s="438"/>
      <c r="E239" s="444"/>
    </row>
    <row r="240" spans="1:5" ht="13.5" thickBot="1" x14ac:dyDescent="0.25">
      <c r="A240" s="439"/>
      <c r="B240" s="442"/>
      <c r="C240" s="112" t="s">
        <v>475</v>
      </c>
      <c r="D240" s="439"/>
      <c r="E240" s="445"/>
    </row>
    <row r="241" spans="1:5" ht="51" x14ac:dyDescent="0.2">
      <c r="A241" s="437">
        <v>4</v>
      </c>
      <c r="B241" s="440" t="s">
        <v>536</v>
      </c>
      <c r="C241" s="111" t="s">
        <v>537</v>
      </c>
      <c r="D241" s="437" t="s">
        <v>872</v>
      </c>
      <c r="E241" s="443">
        <f>33700*1*1.71*0.6*1.08</f>
        <v>37342.296000000002</v>
      </c>
    </row>
    <row r="242" spans="1:5" x14ac:dyDescent="0.2">
      <c r="A242" s="438"/>
      <c r="B242" s="441"/>
      <c r="C242" s="111" t="s">
        <v>839</v>
      </c>
      <c r="D242" s="438"/>
      <c r="E242" s="444"/>
    </row>
    <row r="243" spans="1:5" x14ac:dyDescent="0.2">
      <c r="A243" s="438"/>
      <c r="B243" s="441"/>
      <c r="C243" s="111" t="s">
        <v>472</v>
      </c>
      <c r="D243" s="438"/>
      <c r="E243" s="444"/>
    </row>
    <row r="244" spans="1:5" ht="13.5" thickBot="1" x14ac:dyDescent="0.25">
      <c r="A244" s="439"/>
      <c r="B244" s="442"/>
      <c r="C244" s="112" t="s">
        <v>475</v>
      </c>
      <c r="D244" s="439"/>
      <c r="E244" s="445"/>
    </row>
    <row r="245" spans="1:5" ht="38.25" x14ac:dyDescent="0.2">
      <c r="A245" s="437">
        <v>5</v>
      </c>
      <c r="B245" s="440" t="s">
        <v>538</v>
      </c>
      <c r="C245" s="111" t="s">
        <v>539</v>
      </c>
      <c r="D245" s="437" t="s">
        <v>873</v>
      </c>
      <c r="E245" s="443">
        <f>7700*2*1.71*0.6*1.08</f>
        <v>17064.432000000001</v>
      </c>
    </row>
    <row r="246" spans="1:5" x14ac:dyDescent="0.2">
      <c r="A246" s="438"/>
      <c r="B246" s="441"/>
      <c r="C246" s="111" t="s">
        <v>839</v>
      </c>
      <c r="D246" s="438"/>
      <c r="E246" s="444"/>
    </row>
    <row r="247" spans="1:5" x14ac:dyDescent="0.2">
      <c r="A247" s="438"/>
      <c r="B247" s="441"/>
      <c r="C247" s="111" t="s">
        <v>472</v>
      </c>
      <c r="D247" s="438"/>
      <c r="E247" s="444"/>
    </row>
    <row r="248" spans="1:5" ht="13.5" thickBot="1" x14ac:dyDescent="0.25">
      <c r="A248" s="439"/>
      <c r="B248" s="442"/>
      <c r="C248" s="112" t="s">
        <v>475</v>
      </c>
      <c r="D248" s="439"/>
      <c r="E248" s="445"/>
    </row>
    <row r="249" spans="1:5" ht="38.25" x14ac:dyDescent="0.2">
      <c r="A249" s="437">
        <v>6</v>
      </c>
      <c r="B249" s="440" t="s">
        <v>542</v>
      </c>
      <c r="C249" s="111" t="s">
        <v>477</v>
      </c>
      <c r="D249" s="437" t="s">
        <v>874</v>
      </c>
      <c r="E249" s="443">
        <f>433690*0.735*7.22*0.6*1.08</f>
        <v>1491347.8445040004</v>
      </c>
    </row>
    <row r="250" spans="1:5" x14ac:dyDescent="0.2">
      <c r="A250" s="438"/>
      <c r="B250" s="441"/>
      <c r="C250" s="111" t="s">
        <v>822</v>
      </c>
      <c r="D250" s="438"/>
      <c r="E250" s="444"/>
    </row>
    <row r="251" spans="1:5" x14ac:dyDescent="0.2">
      <c r="A251" s="438"/>
      <c r="B251" s="441"/>
      <c r="C251" s="111" t="s">
        <v>472</v>
      </c>
      <c r="D251" s="438"/>
      <c r="E251" s="444"/>
    </row>
    <row r="252" spans="1:5" ht="13.5" thickBot="1" x14ac:dyDescent="0.25">
      <c r="A252" s="439"/>
      <c r="B252" s="442"/>
      <c r="C252" s="112" t="s">
        <v>475</v>
      </c>
      <c r="D252" s="439"/>
      <c r="E252" s="445"/>
    </row>
    <row r="253" spans="1:5" ht="38.25" x14ac:dyDescent="0.2">
      <c r="A253" s="437">
        <v>7</v>
      </c>
      <c r="B253" s="440" t="s">
        <v>543</v>
      </c>
      <c r="C253" s="111" t="s">
        <v>511</v>
      </c>
      <c r="D253" s="437" t="s">
        <v>875</v>
      </c>
      <c r="E253" s="443">
        <f>2640*2*7.22*0.6*1.08</f>
        <v>24702.7968</v>
      </c>
    </row>
    <row r="254" spans="1:5" x14ac:dyDescent="0.2">
      <c r="A254" s="438"/>
      <c r="B254" s="441"/>
      <c r="C254" s="111" t="s">
        <v>822</v>
      </c>
      <c r="D254" s="438"/>
      <c r="E254" s="444"/>
    </row>
    <row r="255" spans="1:5" x14ac:dyDescent="0.2">
      <c r="A255" s="438"/>
      <c r="B255" s="441"/>
      <c r="C255" s="111" t="s">
        <v>472</v>
      </c>
      <c r="D255" s="438"/>
      <c r="E255" s="444"/>
    </row>
    <row r="256" spans="1:5" ht="13.5" thickBot="1" x14ac:dyDescent="0.25">
      <c r="A256" s="439"/>
      <c r="B256" s="442"/>
      <c r="C256" s="112" t="s">
        <v>475</v>
      </c>
      <c r="D256" s="439"/>
      <c r="E256" s="445"/>
    </row>
    <row r="257" spans="1:5" ht="128.25" thickBot="1" x14ac:dyDescent="0.25">
      <c r="A257" s="254">
        <v>8</v>
      </c>
      <c r="B257" s="112" t="s">
        <v>478</v>
      </c>
      <c r="C257" s="112" t="s">
        <v>544</v>
      </c>
      <c r="D257" s="114" t="s">
        <v>876</v>
      </c>
      <c r="E257" s="218">
        <f>80540.7948*0.02</f>
        <v>1610.8158960000001</v>
      </c>
    </row>
    <row r="258" spans="1:5" ht="13.5" thickBot="1" x14ac:dyDescent="0.25">
      <c r="A258" s="446" t="s">
        <v>545</v>
      </c>
      <c r="B258" s="447"/>
      <c r="C258" s="447"/>
      <c r="D258" s="447"/>
      <c r="E258" s="448"/>
    </row>
    <row r="259" spans="1:5" ht="38.25" x14ac:dyDescent="0.2">
      <c r="A259" s="437">
        <v>1</v>
      </c>
      <c r="B259" s="440" t="s">
        <v>546</v>
      </c>
      <c r="C259" s="111" t="s">
        <v>531</v>
      </c>
      <c r="D259" s="437" t="s">
        <v>877</v>
      </c>
      <c r="E259" s="443">
        <f>(85000+31509*13.541)*1.71*0.6*1.08</f>
        <v>566963.94592151989</v>
      </c>
    </row>
    <row r="260" spans="1:5" x14ac:dyDescent="0.2">
      <c r="A260" s="438"/>
      <c r="B260" s="441"/>
      <c r="C260" s="111" t="s">
        <v>839</v>
      </c>
      <c r="D260" s="438"/>
      <c r="E260" s="444"/>
    </row>
    <row r="261" spans="1:5" x14ac:dyDescent="0.2">
      <c r="A261" s="438"/>
      <c r="B261" s="441"/>
      <c r="C261" s="111" t="s">
        <v>472</v>
      </c>
      <c r="D261" s="438"/>
      <c r="E261" s="444"/>
    </row>
    <row r="262" spans="1:5" ht="13.5" thickBot="1" x14ac:dyDescent="0.25">
      <c r="A262" s="439"/>
      <c r="B262" s="442"/>
      <c r="C262" s="112" t="s">
        <v>475</v>
      </c>
      <c r="D262" s="439"/>
      <c r="E262" s="445"/>
    </row>
    <row r="263" spans="1:5" ht="38.25" x14ac:dyDescent="0.2">
      <c r="A263" s="437">
        <v>2</v>
      </c>
      <c r="B263" s="440" t="s">
        <v>547</v>
      </c>
      <c r="C263" s="111" t="s">
        <v>533</v>
      </c>
      <c r="D263" s="437" t="s">
        <v>878</v>
      </c>
      <c r="E263" s="443">
        <f>13400*19*1.71*0.6*1.08</f>
        <v>282117.16800000001</v>
      </c>
    </row>
    <row r="264" spans="1:5" x14ac:dyDescent="0.2">
      <c r="A264" s="438"/>
      <c r="B264" s="441"/>
      <c r="C264" s="111" t="s">
        <v>839</v>
      </c>
      <c r="D264" s="438"/>
      <c r="E264" s="444"/>
    </row>
    <row r="265" spans="1:5" x14ac:dyDescent="0.2">
      <c r="A265" s="438"/>
      <c r="B265" s="441"/>
      <c r="C265" s="111" t="s">
        <v>472</v>
      </c>
      <c r="D265" s="438"/>
      <c r="E265" s="444"/>
    </row>
    <row r="266" spans="1:5" ht="13.5" thickBot="1" x14ac:dyDescent="0.25">
      <c r="A266" s="439"/>
      <c r="B266" s="442"/>
      <c r="C266" s="112" t="s">
        <v>475</v>
      </c>
      <c r="D266" s="439"/>
      <c r="E266" s="445"/>
    </row>
    <row r="267" spans="1:5" ht="38.25" x14ac:dyDescent="0.2">
      <c r="A267" s="437">
        <v>3</v>
      </c>
      <c r="B267" s="440" t="s">
        <v>548</v>
      </c>
      <c r="C267" s="111" t="s">
        <v>535</v>
      </c>
      <c r="D267" s="437" t="s">
        <v>879</v>
      </c>
      <c r="E267" s="443">
        <f>9200*7*1.71*0.6*1.08</f>
        <v>71360.351999999999</v>
      </c>
    </row>
    <row r="268" spans="1:5" x14ac:dyDescent="0.2">
      <c r="A268" s="438"/>
      <c r="B268" s="441"/>
      <c r="C268" s="111" t="s">
        <v>839</v>
      </c>
      <c r="D268" s="438"/>
      <c r="E268" s="444"/>
    </row>
    <row r="269" spans="1:5" x14ac:dyDescent="0.2">
      <c r="A269" s="438"/>
      <c r="B269" s="441"/>
      <c r="C269" s="111" t="s">
        <v>472</v>
      </c>
      <c r="D269" s="438"/>
      <c r="E269" s="444"/>
    </row>
    <row r="270" spans="1:5" ht="13.5" thickBot="1" x14ac:dyDescent="0.25">
      <c r="A270" s="439"/>
      <c r="B270" s="442"/>
      <c r="C270" s="112" t="s">
        <v>475</v>
      </c>
      <c r="D270" s="439"/>
      <c r="E270" s="445"/>
    </row>
    <row r="271" spans="1:5" ht="51" x14ac:dyDescent="0.2">
      <c r="A271" s="437">
        <v>4</v>
      </c>
      <c r="B271" s="440" t="s">
        <v>549</v>
      </c>
      <c r="C271" s="111" t="s">
        <v>537</v>
      </c>
      <c r="D271" s="437" t="s">
        <v>880</v>
      </c>
      <c r="E271" s="443">
        <f>33700*4*1.71*0.6*1.08</f>
        <v>149369.18400000001</v>
      </c>
    </row>
    <row r="272" spans="1:5" x14ac:dyDescent="0.2">
      <c r="A272" s="438"/>
      <c r="B272" s="441"/>
      <c r="C272" s="111" t="s">
        <v>839</v>
      </c>
      <c r="D272" s="438"/>
      <c r="E272" s="444"/>
    </row>
    <row r="273" spans="1:5" x14ac:dyDescent="0.2">
      <c r="A273" s="438"/>
      <c r="B273" s="441"/>
      <c r="C273" s="111" t="s">
        <v>472</v>
      </c>
      <c r="D273" s="438"/>
      <c r="E273" s="444"/>
    </row>
    <row r="274" spans="1:5" ht="13.5" thickBot="1" x14ac:dyDescent="0.25">
      <c r="A274" s="439"/>
      <c r="B274" s="442"/>
      <c r="C274" s="112" t="s">
        <v>475</v>
      </c>
      <c r="D274" s="439"/>
      <c r="E274" s="445"/>
    </row>
    <row r="275" spans="1:5" ht="51" x14ac:dyDescent="0.2">
      <c r="A275" s="437">
        <v>5</v>
      </c>
      <c r="B275" s="440" t="s">
        <v>550</v>
      </c>
      <c r="C275" s="111" t="s">
        <v>537</v>
      </c>
      <c r="D275" s="437" t="s">
        <v>881</v>
      </c>
      <c r="E275" s="443">
        <f>33700*(1+(30*0.5))*1.71*0.6*1.08</f>
        <v>597476.73600000003</v>
      </c>
    </row>
    <row r="276" spans="1:5" x14ac:dyDescent="0.2">
      <c r="A276" s="438"/>
      <c r="B276" s="441"/>
      <c r="C276" s="111" t="s">
        <v>839</v>
      </c>
      <c r="D276" s="438"/>
      <c r="E276" s="444"/>
    </row>
    <row r="277" spans="1:5" x14ac:dyDescent="0.2">
      <c r="A277" s="438"/>
      <c r="B277" s="441"/>
      <c r="C277" s="111" t="s">
        <v>472</v>
      </c>
      <c r="D277" s="438"/>
      <c r="E277" s="444"/>
    </row>
    <row r="278" spans="1:5" ht="13.5" thickBot="1" x14ac:dyDescent="0.25">
      <c r="A278" s="439"/>
      <c r="B278" s="442"/>
      <c r="C278" s="112" t="s">
        <v>475</v>
      </c>
      <c r="D278" s="439"/>
      <c r="E278" s="445"/>
    </row>
    <row r="279" spans="1:5" ht="38.25" x14ac:dyDescent="0.2">
      <c r="A279" s="437">
        <v>6</v>
      </c>
      <c r="B279" s="440" t="s">
        <v>551</v>
      </c>
      <c r="C279" s="111" t="s">
        <v>539</v>
      </c>
      <c r="D279" s="437" t="s">
        <v>882</v>
      </c>
      <c r="E279" s="443">
        <f>7700*19*1.71*0.6*1.08</f>
        <v>162112.10399999999</v>
      </c>
    </row>
    <row r="280" spans="1:5" x14ac:dyDescent="0.2">
      <c r="A280" s="438"/>
      <c r="B280" s="441"/>
      <c r="C280" s="111" t="s">
        <v>839</v>
      </c>
      <c r="D280" s="438"/>
      <c r="E280" s="444"/>
    </row>
    <row r="281" spans="1:5" x14ac:dyDescent="0.2">
      <c r="A281" s="438"/>
      <c r="B281" s="441"/>
      <c r="C281" s="111" t="s">
        <v>472</v>
      </c>
      <c r="D281" s="438"/>
      <c r="E281" s="444"/>
    </row>
    <row r="282" spans="1:5" ht="13.5" thickBot="1" x14ac:dyDescent="0.25">
      <c r="A282" s="439"/>
      <c r="B282" s="442"/>
      <c r="C282" s="112" t="s">
        <v>475</v>
      </c>
      <c r="D282" s="439"/>
      <c r="E282" s="445"/>
    </row>
    <row r="283" spans="1:5" ht="38.25" x14ac:dyDescent="0.2">
      <c r="A283" s="437">
        <v>7</v>
      </c>
      <c r="B283" s="440" t="s">
        <v>552</v>
      </c>
      <c r="C283" s="111" t="s">
        <v>507</v>
      </c>
      <c r="D283" s="437" t="s">
        <v>883</v>
      </c>
      <c r="E283" s="443">
        <f>59070*18*7.22*0.6*1.15*1.08*0.5</f>
        <v>2860352.2807200002</v>
      </c>
    </row>
    <row r="284" spans="1:5" x14ac:dyDescent="0.2">
      <c r="A284" s="438"/>
      <c r="B284" s="441"/>
      <c r="C284" s="111" t="s">
        <v>822</v>
      </c>
      <c r="D284" s="438"/>
      <c r="E284" s="444"/>
    </row>
    <row r="285" spans="1:5" x14ac:dyDescent="0.2">
      <c r="A285" s="438"/>
      <c r="B285" s="441"/>
      <c r="C285" s="111" t="s">
        <v>488</v>
      </c>
      <c r="D285" s="438"/>
      <c r="E285" s="444"/>
    </row>
    <row r="286" spans="1:5" ht="25.5" x14ac:dyDescent="0.2">
      <c r="A286" s="438"/>
      <c r="B286" s="441"/>
      <c r="C286" s="111" t="s">
        <v>473</v>
      </c>
      <c r="D286" s="438"/>
      <c r="E286" s="444"/>
    </row>
    <row r="287" spans="1:5" x14ac:dyDescent="0.2">
      <c r="A287" s="438"/>
      <c r="B287" s="441"/>
      <c r="C287" s="111" t="s">
        <v>495</v>
      </c>
      <c r="D287" s="438"/>
      <c r="E287" s="444"/>
    </row>
    <row r="288" spans="1:5" ht="13.5" thickBot="1" x14ac:dyDescent="0.25">
      <c r="A288" s="439"/>
      <c r="B288" s="442"/>
      <c r="C288" s="112" t="s">
        <v>553</v>
      </c>
      <c r="D288" s="439"/>
      <c r="E288" s="445"/>
    </row>
    <row r="289" spans="1:5" ht="38.25" x14ac:dyDescent="0.2">
      <c r="A289" s="437">
        <v>8</v>
      </c>
      <c r="B289" s="440" t="s">
        <v>554</v>
      </c>
      <c r="C289" s="111" t="s">
        <v>511</v>
      </c>
      <c r="D289" s="437" t="s">
        <v>884</v>
      </c>
      <c r="E289" s="443">
        <f>2640*18*7.22*0.6*1.08</f>
        <v>222325.17120000001</v>
      </c>
    </row>
    <row r="290" spans="1:5" x14ac:dyDescent="0.2">
      <c r="A290" s="438"/>
      <c r="B290" s="441"/>
      <c r="C290" s="111" t="s">
        <v>822</v>
      </c>
      <c r="D290" s="438"/>
      <c r="E290" s="444"/>
    </row>
    <row r="291" spans="1:5" x14ac:dyDescent="0.2">
      <c r="A291" s="438"/>
      <c r="B291" s="441"/>
      <c r="C291" s="111" t="s">
        <v>472</v>
      </c>
      <c r="D291" s="438"/>
      <c r="E291" s="444"/>
    </row>
    <row r="292" spans="1:5" ht="13.5" thickBot="1" x14ac:dyDescent="0.25">
      <c r="A292" s="439"/>
      <c r="B292" s="442"/>
      <c r="C292" s="112" t="s">
        <v>475</v>
      </c>
      <c r="D292" s="439"/>
      <c r="E292" s="445"/>
    </row>
    <row r="293" spans="1:5" ht="38.25" x14ac:dyDescent="0.2">
      <c r="A293" s="437">
        <v>9</v>
      </c>
      <c r="B293" s="440" t="s">
        <v>476</v>
      </c>
      <c r="C293" s="111" t="s">
        <v>512</v>
      </c>
      <c r="D293" s="437" t="s">
        <v>885</v>
      </c>
      <c r="E293" s="443">
        <f>4790*18*7.22*0.6*1.08</f>
        <v>403385.44319999998</v>
      </c>
    </row>
    <row r="294" spans="1:5" x14ac:dyDescent="0.2">
      <c r="A294" s="438"/>
      <c r="B294" s="441"/>
      <c r="C294" s="111" t="s">
        <v>822</v>
      </c>
      <c r="D294" s="438"/>
      <c r="E294" s="444"/>
    </row>
    <row r="295" spans="1:5" x14ac:dyDescent="0.2">
      <c r="A295" s="438"/>
      <c r="B295" s="441"/>
      <c r="C295" s="111" t="s">
        <v>472</v>
      </c>
      <c r="D295" s="438"/>
      <c r="E295" s="444"/>
    </row>
    <row r="296" spans="1:5" ht="13.5" thickBot="1" x14ac:dyDescent="0.25">
      <c r="A296" s="439"/>
      <c r="B296" s="442"/>
      <c r="C296" s="112" t="s">
        <v>475</v>
      </c>
      <c r="D296" s="439"/>
      <c r="E296" s="445"/>
    </row>
    <row r="297" spans="1:5" ht="25.5" x14ac:dyDescent="0.2">
      <c r="A297" s="437">
        <v>10</v>
      </c>
      <c r="B297" s="440" t="s">
        <v>555</v>
      </c>
      <c r="C297" s="111" t="s">
        <v>514</v>
      </c>
      <c r="D297" s="437" t="s">
        <v>886</v>
      </c>
      <c r="E297" s="443">
        <f>11800*18*1.71*0.6*1.08</f>
        <v>235356.19200000001</v>
      </c>
    </row>
    <row r="298" spans="1:5" x14ac:dyDescent="0.2">
      <c r="A298" s="438"/>
      <c r="B298" s="441"/>
      <c r="C298" s="111" t="s">
        <v>839</v>
      </c>
      <c r="D298" s="438"/>
      <c r="E298" s="444"/>
    </row>
    <row r="299" spans="1:5" x14ac:dyDescent="0.2">
      <c r="A299" s="438"/>
      <c r="B299" s="441"/>
      <c r="C299" s="111" t="s">
        <v>472</v>
      </c>
      <c r="D299" s="438"/>
      <c r="E299" s="444"/>
    </row>
    <row r="300" spans="1:5" ht="13.5" thickBot="1" x14ac:dyDescent="0.25">
      <c r="A300" s="439"/>
      <c r="B300" s="442"/>
      <c r="C300" s="112" t="s">
        <v>475</v>
      </c>
      <c r="D300" s="439"/>
      <c r="E300" s="445"/>
    </row>
    <row r="301" spans="1:5" ht="38.25" x14ac:dyDescent="0.2">
      <c r="A301" s="437">
        <v>11</v>
      </c>
      <c r="B301" s="440" t="s">
        <v>515</v>
      </c>
      <c r="C301" s="111" t="s">
        <v>516</v>
      </c>
      <c r="D301" s="437" t="s">
        <v>984</v>
      </c>
      <c r="E301" s="443">
        <f>4130*18*7.22*0.6*1.08</f>
        <v>347804.15039999998</v>
      </c>
    </row>
    <row r="302" spans="1:5" x14ac:dyDescent="0.2">
      <c r="A302" s="438"/>
      <c r="B302" s="441"/>
      <c r="C302" s="111" t="s">
        <v>822</v>
      </c>
      <c r="D302" s="438"/>
      <c r="E302" s="444"/>
    </row>
    <row r="303" spans="1:5" x14ac:dyDescent="0.2">
      <c r="A303" s="438"/>
      <c r="B303" s="441"/>
      <c r="C303" s="111" t="s">
        <v>472</v>
      </c>
      <c r="D303" s="438"/>
      <c r="E303" s="444"/>
    </row>
    <row r="304" spans="1:5" ht="13.5" thickBot="1" x14ac:dyDescent="0.25">
      <c r="A304" s="439"/>
      <c r="B304" s="442"/>
      <c r="C304" s="112" t="s">
        <v>475</v>
      </c>
      <c r="D304" s="439"/>
      <c r="E304" s="445"/>
    </row>
    <row r="305" spans="1:5" ht="38.25" x14ac:dyDescent="0.2">
      <c r="A305" s="437">
        <v>12</v>
      </c>
      <c r="B305" s="440" t="s">
        <v>556</v>
      </c>
      <c r="C305" s="111" t="s">
        <v>492</v>
      </c>
      <c r="D305" s="437" t="s">
        <v>887</v>
      </c>
      <c r="E305" s="443">
        <f>8870*18*7.22*0.6*1.08*0.25</f>
        <v>186744.7224</v>
      </c>
    </row>
    <row r="306" spans="1:5" x14ac:dyDescent="0.2">
      <c r="A306" s="438"/>
      <c r="B306" s="441"/>
      <c r="C306" s="111" t="s">
        <v>822</v>
      </c>
      <c r="D306" s="438"/>
      <c r="E306" s="444"/>
    </row>
    <row r="307" spans="1:5" x14ac:dyDescent="0.2">
      <c r="A307" s="438"/>
      <c r="B307" s="441"/>
      <c r="C307" s="111" t="s">
        <v>472</v>
      </c>
      <c r="D307" s="438"/>
      <c r="E307" s="444"/>
    </row>
    <row r="308" spans="1:5" x14ac:dyDescent="0.2">
      <c r="A308" s="438"/>
      <c r="B308" s="441"/>
      <c r="C308" s="111" t="s">
        <v>475</v>
      </c>
      <c r="D308" s="438"/>
      <c r="E308" s="444"/>
    </row>
    <row r="309" spans="1:5" ht="13.5" thickBot="1" x14ac:dyDescent="0.25">
      <c r="A309" s="439"/>
      <c r="B309" s="442"/>
      <c r="C309" s="112" t="s">
        <v>557</v>
      </c>
      <c r="D309" s="439"/>
      <c r="E309" s="445"/>
    </row>
    <row r="310" spans="1:5" ht="128.25" thickBot="1" x14ac:dyDescent="0.25">
      <c r="A310" s="254">
        <v>13</v>
      </c>
      <c r="B310" s="112" t="s">
        <v>478</v>
      </c>
      <c r="C310" s="112" t="s">
        <v>985</v>
      </c>
      <c r="D310" s="114" t="s">
        <v>888</v>
      </c>
      <c r="E310" s="218">
        <f>4409518.33864152*0.02</f>
        <v>88190.366772830399</v>
      </c>
    </row>
    <row r="311" spans="1:5" ht="13.5" thickBot="1" x14ac:dyDescent="0.25">
      <c r="A311" s="446" t="s">
        <v>889</v>
      </c>
      <c r="B311" s="447"/>
      <c r="C311" s="447"/>
      <c r="D311" s="447"/>
      <c r="E311" s="448"/>
    </row>
    <row r="312" spans="1:5" ht="38.25" x14ac:dyDescent="0.2">
      <c r="A312" s="437">
        <v>1</v>
      </c>
      <c r="B312" s="440" t="s">
        <v>890</v>
      </c>
      <c r="C312" s="111" t="s">
        <v>531</v>
      </c>
      <c r="D312" s="437" t="s">
        <v>893</v>
      </c>
      <c r="E312" s="443">
        <f>(33000+39900*4.5)*1.71*0.6*1.08</f>
        <v>235522.40400000001</v>
      </c>
    </row>
    <row r="313" spans="1:5" x14ac:dyDescent="0.2">
      <c r="A313" s="438"/>
      <c r="B313" s="441"/>
      <c r="C313" s="111" t="s">
        <v>891</v>
      </c>
      <c r="D313" s="438"/>
      <c r="E313" s="444"/>
    </row>
    <row r="314" spans="1:5" x14ac:dyDescent="0.2">
      <c r="A314" s="438"/>
      <c r="B314" s="441"/>
      <c r="C314" s="111" t="s">
        <v>892</v>
      </c>
      <c r="D314" s="438"/>
      <c r="E314" s="444"/>
    </row>
    <row r="315" spans="1:5" ht="13.5" thickBot="1" x14ac:dyDescent="0.25">
      <c r="A315" s="439"/>
      <c r="B315" s="442"/>
      <c r="C315" s="112" t="s">
        <v>475</v>
      </c>
      <c r="D315" s="439"/>
      <c r="E315" s="445"/>
    </row>
    <row r="316" spans="1:5" ht="38.25" x14ac:dyDescent="0.2">
      <c r="A316" s="437">
        <v>2</v>
      </c>
      <c r="B316" s="440" t="s">
        <v>894</v>
      </c>
      <c r="C316" s="111" t="s">
        <v>531</v>
      </c>
      <c r="D316" s="437" t="s">
        <v>895</v>
      </c>
      <c r="E316" s="443">
        <f>(85000+31509*15)*1.71*0.6*1.08</f>
        <v>617904.1908000001</v>
      </c>
    </row>
    <row r="317" spans="1:5" x14ac:dyDescent="0.2">
      <c r="A317" s="438"/>
      <c r="B317" s="441"/>
      <c r="C317" s="111" t="s">
        <v>891</v>
      </c>
      <c r="D317" s="438"/>
      <c r="E317" s="444"/>
    </row>
    <row r="318" spans="1:5" x14ac:dyDescent="0.2">
      <c r="A318" s="438"/>
      <c r="B318" s="441"/>
      <c r="C318" s="111" t="s">
        <v>892</v>
      </c>
      <c r="D318" s="438"/>
      <c r="E318" s="444"/>
    </row>
    <row r="319" spans="1:5" ht="13.5" thickBot="1" x14ac:dyDescent="0.25">
      <c r="A319" s="439"/>
      <c r="B319" s="442"/>
      <c r="C319" s="112" t="s">
        <v>475</v>
      </c>
      <c r="D319" s="439"/>
      <c r="E319" s="445"/>
    </row>
    <row r="320" spans="1:5" ht="38.25" x14ac:dyDescent="0.2">
      <c r="A320" s="437">
        <v>2</v>
      </c>
      <c r="B320" s="440" t="s">
        <v>547</v>
      </c>
      <c r="C320" s="111" t="s">
        <v>533</v>
      </c>
      <c r="D320" s="437" t="s">
        <v>896</v>
      </c>
      <c r="E320" s="443">
        <f>13400*(1+(18*0.5))*1.71*0.6*1.08</f>
        <v>148482.72</v>
      </c>
    </row>
    <row r="321" spans="1:5" x14ac:dyDescent="0.2">
      <c r="A321" s="438"/>
      <c r="B321" s="441"/>
      <c r="C321" s="111" t="s">
        <v>891</v>
      </c>
      <c r="D321" s="438"/>
      <c r="E321" s="444"/>
    </row>
    <row r="322" spans="1:5" x14ac:dyDescent="0.2">
      <c r="A322" s="438"/>
      <c r="B322" s="441"/>
      <c r="C322" s="111" t="s">
        <v>892</v>
      </c>
      <c r="D322" s="438"/>
      <c r="E322" s="444"/>
    </row>
    <row r="323" spans="1:5" ht="13.5" thickBot="1" x14ac:dyDescent="0.25">
      <c r="A323" s="439"/>
      <c r="B323" s="442"/>
      <c r="C323" s="112" t="s">
        <v>475</v>
      </c>
      <c r="D323" s="439"/>
      <c r="E323" s="445"/>
    </row>
    <row r="324" spans="1:5" ht="51" x14ac:dyDescent="0.2">
      <c r="A324" s="437">
        <v>3</v>
      </c>
      <c r="B324" s="440" t="s">
        <v>897</v>
      </c>
      <c r="C324" s="111" t="s">
        <v>898</v>
      </c>
      <c r="D324" s="437" t="s">
        <v>900</v>
      </c>
      <c r="E324" s="443">
        <f>(14200+138*50)*1.71*0.6*1.08*33</f>
        <v>771556.10400000005</v>
      </c>
    </row>
    <row r="325" spans="1:5" x14ac:dyDescent="0.2">
      <c r="A325" s="438"/>
      <c r="B325" s="441"/>
      <c r="C325" s="111" t="s">
        <v>891</v>
      </c>
      <c r="D325" s="438"/>
      <c r="E325" s="444"/>
    </row>
    <row r="326" spans="1:5" x14ac:dyDescent="0.2">
      <c r="A326" s="438"/>
      <c r="B326" s="441"/>
      <c r="C326" s="111" t="s">
        <v>892</v>
      </c>
      <c r="D326" s="438"/>
      <c r="E326" s="444"/>
    </row>
    <row r="327" spans="1:5" x14ac:dyDescent="0.2">
      <c r="A327" s="438"/>
      <c r="B327" s="441"/>
      <c r="C327" s="111" t="s">
        <v>475</v>
      </c>
      <c r="D327" s="438"/>
      <c r="E327" s="444"/>
    </row>
    <row r="328" spans="1:5" ht="13.5" thickBot="1" x14ac:dyDescent="0.25">
      <c r="A328" s="439"/>
      <c r="B328" s="442"/>
      <c r="C328" s="112" t="s">
        <v>899</v>
      </c>
      <c r="D328" s="439"/>
      <c r="E328" s="445"/>
    </row>
    <row r="329" spans="1:5" ht="38.25" x14ac:dyDescent="0.2">
      <c r="A329" s="437">
        <v>4</v>
      </c>
      <c r="B329" s="440" t="s">
        <v>901</v>
      </c>
      <c r="C329" s="111" t="s">
        <v>535</v>
      </c>
      <c r="D329" s="437" t="s">
        <v>902</v>
      </c>
      <c r="E329" s="443">
        <f>9200*14*1.71*0.6*1.08</f>
        <v>142720.704</v>
      </c>
    </row>
    <row r="330" spans="1:5" x14ac:dyDescent="0.2">
      <c r="A330" s="438"/>
      <c r="B330" s="441"/>
      <c r="C330" s="111" t="s">
        <v>891</v>
      </c>
      <c r="D330" s="438"/>
      <c r="E330" s="444"/>
    </row>
    <row r="331" spans="1:5" x14ac:dyDescent="0.2">
      <c r="A331" s="438"/>
      <c r="B331" s="441"/>
      <c r="C331" s="111" t="s">
        <v>892</v>
      </c>
      <c r="D331" s="438"/>
      <c r="E331" s="444"/>
    </row>
    <row r="332" spans="1:5" ht="13.5" thickBot="1" x14ac:dyDescent="0.25">
      <c r="A332" s="439"/>
      <c r="B332" s="442"/>
      <c r="C332" s="112" t="s">
        <v>475</v>
      </c>
      <c r="D332" s="439"/>
      <c r="E332" s="445"/>
    </row>
    <row r="333" spans="1:5" ht="51" x14ac:dyDescent="0.2">
      <c r="A333" s="437">
        <v>5</v>
      </c>
      <c r="B333" s="440" t="s">
        <v>903</v>
      </c>
      <c r="C333" s="111" t="s">
        <v>537</v>
      </c>
      <c r="D333" s="437" t="s">
        <v>880</v>
      </c>
      <c r="E333" s="443">
        <f>33700*4*1.71*0.6*1.08</f>
        <v>149369.18400000001</v>
      </c>
    </row>
    <row r="334" spans="1:5" x14ac:dyDescent="0.2">
      <c r="A334" s="438"/>
      <c r="B334" s="441"/>
      <c r="C334" s="111" t="s">
        <v>891</v>
      </c>
      <c r="D334" s="438"/>
      <c r="E334" s="444"/>
    </row>
    <row r="335" spans="1:5" x14ac:dyDescent="0.2">
      <c r="A335" s="438"/>
      <c r="B335" s="441"/>
      <c r="C335" s="111" t="s">
        <v>892</v>
      </c>
      <c r="D335" s="438"/>
      <c r="E335" s="444"/>
    </row>
    <row r="336" spans="1:5" ht="13.5" thickBot="1" x14ac:dyDescent="0.25">
      <c r="A336" s="439"/>
      <c r="B336" s="442"/>
      <c r="C336" s="112" t="s">
        <v>475</v>
      </c>
      <c r="D336" s="439"/>
      <c r="E336" s="445"/>
    </row>
    <row r="337" spans="1:5" ht="51" x14ac:dyDescent="0.2">
      <c r="A337" s="437">
        <v>6</v>
      </c>
      <c r="B337" s="440" t="s">
        <v>904</v>
      </c>
      <c r="C337" s="111" t="s">
        <v>905</v>
      </c>
      <c r="D337" s="437" t="s">
        <v>906</v>
      </c>
      <c r="E337" s="443">
        <f>2900*36*1.71*0.6*1.08</f>
        <v>115683.552</v>
      </c>
    </row>
    <row r="338" spans="1:5" x14ac:dyDescent="0.2">
      <c r="A338" s="438"/>
      <c r="B338" s="441"/>
      <c r="C338" s="111" t="s">
        <v>891</v>
      </c>
      <c r="D338" s="438"/>
      <c r="E338" s="444"/>
    </row>
    <row r="339" spans="1:5" x14ac:dyDescent="0.2">
      <c r="A339" s="438"/>
      <c r="B339" s="441"/>
      <c r="C339" s="111" t="s">
        <v>892</v>
      </c>
      <c r="D339" s="438"/>
      <c r="E339" s="444"/>
    </row>
    <row r="340" spans="1:5" ht="13.5" thickBot="1" x14ac:dyDescent="0.25">
      <c r="A340" s="439"/>
      <c r="B340" s="442"/>
      <c r="C340" s="112" t="s">
        <v>475</v>
      </c>
      <c r="D340" s="439"/>
      <c r="E340" s="445"/>
    </row>
    <row r="341" spans="1:5" ht="38.25" x14ac:dyDescent="0.2">
      <c r="A341" s="437">
        <v>7</v>
      </c>
      <c r="B341" s="440" t="s">
        <v>907</v>
      </c>
      <c r="C341" s="111" t="s">
        <v>539</v>
      </c>
      <c r="D341" s="437" t="s">
        <v>908</v>
      </c>
      <c r="E341" s="443">
        <f>7700*5*1.71*0.6*1.08</f>
        <v>42661.08</v>
      </c>
    </row>
    <row r="342" spans="1:5" x14ac:dyDescent="0.2">
      <c r="A342" s="438"/>
      <c r="B342" s="441"/>
      <c r="C342" s="111" t="s">
        <v>891</v>
      </c>
      <c r="D342" s="438"/>
      <c r="E342" s="444"/>
    </row>
    <row r="343" spans="1:5" x14ac:dyDescent="0.2">
      <c r="A343" s="438"/>
      <c r="B343" s="441"/>
      <c r="C343" s="111" t="s">
        <v>892</v>
      </c>
      <c r="D343" s="438"/>
      <c r="E343" s="444"/>
    </row>
    <row r="344" spans="1:5" ht="13.5" thickBot="1" x14ac:dyDescent="0.25">
      <c r="A344" s="439"/>
      <c r="B344" s="442"/>
      <c r="C344" s="112" t="s">
        <v>475</v>
      </c>
      <c r="D344" s="439"/>
      <c r="E344" s="445"/>
    </row>
    <row r="345" spans="1:5" ht="38.25" x14ac:dyDescent="0.2">
      <c r="A345" s="437">
        <v>8</v>
      </c>
      <c r="B345" s="440" t="s">
        <v>909</v>
      </c>
      <c r="C345" s="111" t="s">
        <v>507</v>
      </c>
      <c r="D345" s="437" t="s">
        <v>911</v>
      </c>
      <c r="E345" s="443">
        <f>59070*(1+(19*0.8))*7.22*0.6*1.15*1.08*0.5</f>
        <v>2574317.052648</v>
      </c>
    </row>
    <row r="346" spans="1:5" x14ac:dyDescent="0.2">
      <c r="A346" s="438"/>
      <c r="B346" s="441"/>
      <c r="C346" s="111" t="s">
        <v>715</v>
      </c>
      <c r="D346" s="438"/>
      <c r="E346" s="444"/>
    </row>
    <row r="347" spans="1:5" x14ac:dyDescent="0.2">
      <c r="A347" s="438"/>
      <c r="B347" s="441"/>
      <c r="C347" s="111" t="s">
        <v>892</v>
      </c>
      <c r="D347" s="438"/>
      <c r="E347" s="444"/>
    </row>
    <row r="348" spans="1:5" ht="25.5" x14ac:dyDescent="0.2">
      <c r="A348" s="438"/>
      <c r="B348" s="441"/>
      <c r="C348" s="111" t="s">
        <v>473</v>
      </c>
      <c r="D348" s="438"/>
      <c r="E348" s="444"/>
    </row>
    <row r="349" spans="1:5" x14ac:dyDescent="0.2">
      <c r="A349" s="438"/>
      <c r="B349" s="441"/>
      <c r="C349" s="111" t="s">
        <v>495</v>
      </c>
      <c r="D349" s="438"/>
      <c r="E349" s="444"/>
    </row>
    <row r="350" spans="1:5" ht="26.25" thickBot="1" x14ac:dyDescent="0.25">
      <c r="A350" s="439"/>
      <c r="B350" s="442"/>
      <c r="C350" s="112" t="s">
        <v>910</v>
      </c>
      <c r="D350" s="439"/>
      <c r="E350" s="445"/>
    </row>
    <row r="351" spans="1:5" ht="38.25" x14ac:dyDescent="0.2">
      <c r="A351" s="437">
        <v>9</v>
      </c>
      <c r="B351" s="440" t="s">
        <v>912</v>
      </c>
      <c r="C351" s="111" t="s">
        <v>480</v>
      </c>
      <c r="D351" s="437" t="s">
        <v>913</v>
      </c>
      <c r="E351" s="443">
        <f>21120*(1+(19*0.8))*7.22*0.6*1.08</f>
        <v>1600741.2326400001</v>
      </c>
    </row>
    <row r="352" spans="1:5" x14ac:dyDescent="0.2">
      <c r="A352" s="438"/>
      <c r="B352" s="441"/>
      <c r="C352" s="111" t="s">
        <v>715</v>
      </c>
      <c r="D352" s="438"/>
      <c r="E352" s="444"/>
    </row>
    <row r="353" spans="1:5" x14ac:dyDescent="0.2">
      <c r="A353" s="438"/>
      <c r="B353" s="441"/>
      <c r="C353" s="111" t="s">
        <v>892</v>
      </c>
      <c r="D353" s="438"/>
      <c r="E353" s="444"/>
    </row>
    <row r="354" spans="1:5" ht="13.5" thickBot="1" x14ac:dyDescent="0.25">
      <c r="A354" s="439"/>
      <c r="B354" s="442"/>
      <c r="C354" s="112" t="s">
        <v>475</v>
      </c>
      <c r="D354" s="439"/>
      <c r="E354" s="445"/>
    </row>
    <row r="355" spans="1:5" ht="38.25" x14ac:dyDescent="0.2">
      <c r="A355" s="437">
        <v>10</v>
      </c>
      <c r="B355" s="440" t="s">
        <v>914</v>
      </c>
      <c r="C355" s="111" t="s">
        <v>477</v>
      </c>
      <c r="D355" s="437" t="s">
        <v>915</v>
      </c>
      <c r="E355" s="443">
        <f>433690*0.4*7.22*0.6*1.08</f>
        <v>811617.87456000003</v>
      </c>
    </row>
    <row r="356" spans="1:5" x14ac:dyDescent="0.2">
      <c r="A356" s="438"/>
      <c r="B356" s="441"/>
      <c r="C356" s="111" t="s">
        <v>715</v>
      </c>
      <c r="D356" s="438"/>
      <c r="E356" s="444"/>
    </row>
    <row r="357" spans="1:5" x14ac:dyDescent="0.2">
      <c r="A357" s="438"/>
      <c r="B357" s="441"/>
      <c r="C357" s="111" t="s">
        <v>892</v>
      </c>
      <c r="D357" s="438"/>
      <c r="E357" s="444"/>
    </row>
    <row r="358" spans="1:5" ht="13.5" thickBot="1" x14ac:dyDescent="0.25">
      <c r="A358" s="439"/>
      <c r="B358" s="442"/>
      <c r="C358" s="112" t="s">
        <v>475</v>
      </c>
      <c r="D358" s="439"/>
      <c r="E358" s="445"/>
    </row>
    <row r="359" spans="1:5" ht="38.25" x14ac:dyDescent="0.2">
      <c r="A359" s="437">
        <v>11</v>
      </c>
      <c r="B359" s="440" t="s">
        <v>916</v>
      </c>
      <c r="C359" s="111" t="s">
        <v>511</v>
      </c>
      <c r="D359" s="437" t="s">
        <v>917</v>
      </c>
      <c r="E359" s="443">
        <f>2640*20*7.22*0.6*1.08</f>
        <v>247027.96800000002</v>
      </c>
    </row>
    <row r="360" spans="1:5" x14ac:dyDescent="0.2">
      <c r="A360" s="438"/>
      <c r="B360" s="441"/>
      <c r="C360" s="111" t="s">
        <v>715</v>
      </c>
      <c r="D360" s="438"/>
      <c r="E360" s="444"/>
    </row>
    <row r="361" spans="1:5" x14ac:dyDescent="0.2">
      <c r="A361" s="438"/>
      <c r="B361" s="441"/>
      <c r="C361" s="111" t="s">
        <v>892</v>
      </c>
      <c r="D361" s="438"/>
      <c r="E361" s="444"/>
    </row>
    <row r="362" spans="1:5" ht="13.5" thickBot="1" x14ac:dyDescent="0.25">
      <c r="A362" s="439"/>
      <c r="B362" s="442"/>
      <c r="C362" s="112" t="s">
        <v>475</v>
      </c>
      <c r="D362" s="439"/>
      <c r="E362" s="445"/>
    </row>
    <row r="363" spans="1:5" ht="25.5" x14ac:dyDescent="0.2">
      <c r="A363" s="437">
        <v>12</v>
      </c>
      <c r="B363" s="440" t="s">
        <v>918</v>
      </c>
      <c r="C363" s="111" t="s">
        <v>919</v>
      </c>
      <c r="D363" s="437" t="s">
        <v>920</v>
      </c>
      <c r="E363" s="443">
        <f>11800*(1+(19*0.5))*1.71*0.6*1.08</f>
        <v>137291.11199999999</v>
      </c>
    </row>
    <row r="364" spans="1:5" x14ac:dyDescent="0.2">
      <c r="A364" s="438"/>
      <c r="B364" s="441"/>
      <c r="C364" s="111" t="s">
        <v>891</v>
      </c>
      <c r="D364" s="438"/>
      <c r="E364" s="444"/>
    </row>
    <row r="365" spans="1:5" x14ac:dyDescent="0.2">
      <c r="A365" s="438"/>
      <c r="B365" s="441"/>
      <c r="C365" s="111" t="s">
        <v>892</v>
      </c>
      <c r="D365" s="438"/>
      <c r="E365" s="444"/>
    </row>
    <row r="366" spans="1:5" ht="13.5" thickBot="1" x14ac:dyDescent="0.25">
      <c r="A366" s="439"/>
      <c r="B366" s="442"/>
      <c r="C366" s="112" t="s">
        <v>475</v>
      </c>
      <c r="D366" s="439"/>
      <c r="E366" s="445"/>
    </row>
    <row r="367" spans="1:5" ht="38.25" x14ac:dyDescent="0.2">
      <c r="A367" s="437">
        <v>13</v>
      </c>
      <c r="B367" s="440" t="s">
        <v>921</v>
      </c>
      <c r="C367" s="111" t="s">
        <v>523</v>
      </c>
      <c r="D367" s="437" t="s">
        <v>923</v>
      </c>
      <c r="E367" s="443">
        <f>8450*20*7.22*0.6*1.08*0.2</f>
        <v>158135.32800000001</v>
      </c>
    </row>
    <row r="368" spans="1:5" x14ac:dyDescent="0.2">
      <c r="A368" s="438"/>
      <c r="B368" s="441"/>
      <c r="C368" s="111" t="s">
        <v>715</v>
      </c>
      <c r="D368" s="438"/>
      <c r="E368" s="444"/>
    </row>
    <row r="369" spans="1:5" x14ac:dyDescent="0.2">
      <c r="A369" s="438"/>
      <c r="B369" s="441"/>
      <c r="C369" s="111" t="s">
        <v>892</v>
      </c>
      <c r="D369" s="438"/>
      <c r="E369" s="444"/>
    </row>
    <row r="370" spans="1:5" x14ac:dyDescent="0.2">
      <c r="A370" s="438"/>
      <c r="B370" s="441"/>
      <c r="C370" s="111" t="s">
        <v>475</v>
      </c>
      <c r="D370" s="438"/>
      <c r="E370" s="444"/>
    </row>
    <row r="371" spans="1:5" ht="13.5" thickBot="1" x14ac:dyDescent="0.25">
      <c r="A371" s="439"/>
      <c r="B371" s="442"/>
      <c r="C371" s="112" t="s">
        <v>922</v>
      </c>
      <c r="D371" s="439"/>
      <c r="E371" s="445"/>
    </row>
    <row r="372" spans="1:5" ht="38.25" x14ac:dyDescent="0.2">
      <c r="A372" s="437">
        <v>14</v>
      </c>
      <c r="B372" s="440" t="s">
        <v>924</v>
      </c>
      <c r="C372" s="111" t="s">
        <v>492</v>
      </c>
      <c r="D372" s="437" t="s">
        <v>926</v>
      </c>
      <c r="E372" s="443">
        <f>8870*20*7.22*0.6*1.08*0.25</f>
        <v>207494.136</v>
      </c>
    </row>
    <row r="373" spans="1:5" x14ac:dyDescent="0.2">
      <c r="A373" s="438"/>
      <c r="B373" s="441"/>
      <c r="C373" s="111" t="s">
        <v>715</v>
      </c>
      <c r="D373" s="438"/>
      <c r="E373" s="444"/>
    </row>
    <row r="374" spans="1:5" x14ac:dyDescent="0.2">
      <c r="A374" s="438"/>
      <c r="B374" s="441"/>
      <c r="C374" s="111" t="s">
        <v>892</v>
      </c>
      <c r="D374" s="438"/>
      <c r="E374" s="444"/>
    </row>
    <row r="375" spans="1:5" x14ac:dyDescent="0.2">
      <c r="A375" s="438"/>
      <c r="B375" s="441"/>
      <c r="C375" s="111" t="s">
        <v>475</v>
      </c>
      <c r="D375" s="438"/>
      <c r="E375" s="444"/>
    </row>
    <row r="376" spans="1:5" ht="13.5" thickBot="1" x14ac:dyDescent="0.25">
      <c r="A376" s="439"/>
      <c r="B376" s="442"/>
      <c r="C376" s="112" t="s">
        <v>925</v>
      </c>
      <c r="D376" s="439"/>
      <c r="E376" s="445"/>
    </row>
    <row r="377" spans="1:5" ht="128.25" thickBot="1" x14ac:dyDescent="0.25">
      <c r="A377" s="254">
        <v>15</v>
      </c>
      <c r="B377" s="112" t="s">
        <v>478</v>
      </c>
      <c r="C377" s="112" t="s">
        <v>927</v>
      </c>
      <c r="D377" s="114" t="s">
        <v>928</v>
      </c>
      <c r="E377" s="218">
        <f>1272074.6088*0.02</f>
        <v>25441.492176</v>
      </c>
    </row>
    <row r="378" spans="1:5" ht="13.5" thickBot="1" x14ac:dyDescent="0.25">
      <c r="A378" s="254">
        <v>1</v>
      </c>
      <c r="B378" s="112" t="s">
        <v>558</v>
      </c>
      <c r="C378" s="112"/>
      <c r="D378" s="114"/>
      <c r="E378" s="218">
        <f>SUM(E19:E377)</f>
        <v>35848113.61759115</v>
      </c>
    </row>
    <row r="379" spans="1:5" ht="51.75" thickBot="1" x14ac:dyDescent="0.25">
      <c r="A379" s="113">
        <v>2</v>
      </c>
      <c r="B379" s="110" t="s">
        <v>395</v>
      </c>
      <c r="C379" s="110" t="s">
        <v>400</v>
      </c>
      <c r="D379" s="110" t="s">
        <v>396</v>
      </c>
      <c r="E379" s="117">
        <f>E378*0.8</f>
        <v>28678490.89407292</v>
      </c>
    </row>
    <row r="380" spans="1:5" ht="26.25" thickBot="1" x14ac:dyDescent="0.25">
      <c r="A380" s="113">
        <v>3</v>
      </c>
      <c r="B380" s="110" t="s">
        <v>398</v>
      </c>
      <c r="C380" s="110" t="s">
        <v>399</v>
      </c>
      <c r="D380" s="110" t="s">
        <v>397</v>
      </c>
      <c r="E380" s="117">
        <f>E379*1.08</f>
        <v>30972770.165598758</v>
      </c>
    </row>
    <row r="381" spans="1:5" ht="13.5" thickBot="1" x14ac:dyDescent="0.25">
      <c r="A381" s="455" t="s">
        <v>394</v>
      </c>
      <c r="B381" s="456"/>
      <c r="C381" s="456"/>
      <c r="D381" s="457"/>
      <c r="E381" s="153">
        <f>E380</f>
        <v>30972770.165598758</v>
      </c>
    </row>
  </sheetData>
  <mergeCells count="342">
    <mergeCell ref="A267:A270"/>
    <mergeCell ref="B267:B270"/>
    <mergeCell ref="D267:D270"/>
    <mergeCell ref="E267:E270"/>
    <mergeCell ref="A259:A262"/>
    <mergeCell ref="B259:B262"/>
    <mergeCell ref="D259:D262"/>
    <mergeCell ref="A381:D381"/>
    <mergeCell ref="A3:E3"/>
    <mergeCell ref="A4:E4"/>
    <mergeCell ref="C6:E6"/>
    <mergeCell ref="A57:A60"/>
    <mergeCell ref="B57:B60"/>
    <mergeCell ref="D57:D60"/>
    <mergeCell ref="E57:E60"/>
    <mergeCell ref="A62:E62"/>
    <mergeCell ref="A76:A79"/>
    <mergeCell ref="B76:B79"/>
    <mergeCell ref="D76:D79"/>
    <mergeCell ref="A80:A83"/>
    <mergeCell ref="B80:B83"/>
    <mergeCell ref="D80:D83"/>
    <mergeCell ref="E80:E83"/>
    <mergeCell ref="A85:E85"/>
    <mergeCell ref="A98:A101"/>
    <mergeCell ref="B98:B101"/>
    <mergeCell ref="D98:D101"/>
    <mergeCell ref="E98:E101"/>
    <mergeCell ref="A103:E103"/>
    <mergeCell ref="A119:A122"/>
    <mergeCell ref="B119:B122"/>
    <mergeCell ref="A27:A30"/>
    <mergeCell ref="B27:B30"/>
    <mergeCell ref="D27:D30"/>
    <mergeCell ref="E27:E30"/>
    <mergeCell ref="A49:A52"/>
    <mergeCell ref="B49:B52"/>
    <mergeCell ref="D49:D52"/>
    <mergeCell ref="E49:E52"/>
    <mergeCell ref="A45:A48"/>
    <mergeCell ref="B45:B48"/>
    <mergeCell ref="D45:D48"/>
    <mergeCell ref="E45:E48"/>
    <mergeCell ref="A41:A44"/>
    <mergeCell ref="B41:B44"/>
    <mergeCell ref="D41:D44"/>
    <mergeCell ref="E41:E44"/>
    <mergeCell ref="A31:A34"/>
    <mergeCell ref="E72:E75"/>
    <mergeCell ref="E76:E79"/>
    <mergeCell ref="A72:A75"/>
    <mergeCell ref="B72:B75"/>
    <mergeCell ref="D72:D75"/>
    <mergeCell ref="A63:A66"/>
    <mergeCell ref="B63:B66"/>
    <mergeCell ref="D63:D66"/>
    <mergeCell ref="E63:E66"/>
    <mergeCell ref="A67:A71"/>
    <mergeCell ref="B67:B71"/>
    <mergeCell ref="D67:D71"/>
    <mergeCell ref="E67:E71"/>
    <mergeCell ref="A104:A108"/>
    <mergeCell ref="B104:B108"/>
    <mergeCell ref="D104:D108"/>
    <mergeCell ref="E104:E108"/>
    <mergeCell ref="A110:E110"/>
    <mergeCell ref="A86:A89"/>
    <mergeCell ref="B86:B89"/>
    <mergeCell ref="D86:D89"/>
    <mergeCell ref="E86:E89"/>
    <mergeCell ref="A90:A93"/>
    <mergeCell ref="B90:B93"/>
    <mergeCell ref="D90:D93"/>
    <mergeCell ref="E90:E93"/>
    <mergeCell ref="A94:A97"/>
    <mergeCell ref="B94:B97"/>
    <mergeCell ref="D94:D97"/>
    <mergeCell ref="E94:E97"/>
    <mergeCell ref="A127:A130"/>
    <mergeCell ref="B127:B130"/>
    <mergeCell ref="D127:D130"/>
    <mergeCell ref="E127:E130"/>
    <mergeCell ref="A132:E132"/>
    <mergeCell ref="E115:E118"/>
    <mergeCell ref="A111:A114"/>
    <mergeCell ref="B111:B114"/>
    <mergeCell ref="D111:D114"/>
    <mergeCell ref="E111:E114"/>
    <mergeCell ref="A115:A118"/>
    <mergeCell ref="B115:B118"/>
    <mergeCell ref="D115:D118"/>
    <mergeCell ref="D119:D122"/>
    <mergeCell ref="E119:E122"/>
    <mergeCell ref="A123:A126"/>
    <mergeCell ref="B123:B126"/>
    <mergeCell ref="D123:D126"/>
    <mergeCell ref="E123:E126"/>
    <mergeCell ref="A151:A155"/>
    <mergeCell ref="B151:B155"/>
    <mergeCell ref="D151:D155"/>
    <mergeCell ref="E151:E155"/>
    <mergeCell ref="A133:A136"/>
    <mergeCell ref="B133:B136"/>
    <mergeCell ref="D133:D136"/>
    <mergeCell ref="E133:E136"/>
    <mergeCell ref="E137:E140"/>
    <mergeCell ref="A137:A140"/>
    <mergeCell ref="B137:B140"/>
    <mergeCell ref="D137:D140"/>
    <mergeCell ref="A141:A144"/>
    <mergeCell ref="B141:B144"/>
    <mergeCell ref="D141:D144"/>
    <mergeCell ref="E141:E144"/>
    <mergeCell ref="A145:A148"/>
    <mergeCell ref="B145:B148"/>
    <mergeCell ref="D145:D148"/>
    <mergeCell ref="E145:E148"/>
    <mergeCell ref="A150:E150"/>
    <mergeCell ref="A164:A167"/>
    <mergeCell ref="B164:B167"/>
    <mergeCell ref="D164:D167"/>
    <mergeCell ref="E164:E167"/>
    <mergeCell ref="A168:A171"/>
    <mergeCell ref="B168:B171"/>
    <mergeCell ref="D168:D171"/>
    <mergeCell ref="E168:E171"/>
    <mergeCell ref="A156:A159"/>
    <mergeCell ref="B156:B159"/>
    <mergeCell ref="D156:D159"/>
    <mergeCell ref="E156:E159"/>
    <mergeCell ref="A160:A163"/>
    <mergeCell ref="B160:B163"/>
    <mergeCell ref="D160:D163"/>
    <mergeCell ref="E160:E163"/>
    <mergeCell ref="A183:A186"/>
    <mergeCell ref="B183:B186"/>
    <mergeCell ref="D183:D186"/>
    <mergeCell ref="E183:E186"/>
    <mergeCell ref="A187:E187"/>
    <mergeCell ref="A192:A195"/>
    <mergeCell ref="B192:B195"/>
    <mergeCell ref="D192:D195"/>
    <mergeCell ref="A172:A175"/>
    <mergeCell ref="B172:B175"/>
    <mergeCell ref="D172:D175"/>
    <mergeCell ref="E172:E175"/>
    <mergeCell ref="A177:E177"/>
    <mergeCell ref="A178:E178"/>
    <mergeCell ref="A179:A182"/>
    <mergeCell ref="B179:B182"/>
    <mergeCell ref="D179:D182"/>
    <mergeCell ref="E179:E182"/>
    <mergeCell ref="E263:E266"/>
    <mergeCell ref="E259:E262"/>
    <mergeCell ref="A237:A240"/>
    <mergeCell ref="B237:B240"/>
    <mergeCell ref="D237:D240"/>
    <mergeCell ref="A224:A227"/>
    <mergeCell ref="B224:B227"/>
    <mergeCell ref="E192:E195"/>
    <mergeCell ref="A188:A191"/>
    <mergeCell ref="B188:B191"/>
    <mergeCell ref="D188:D191"/>
    <mergeCell ref="E188:E191"/>
    <mergeCell ref="E201:E204"/>
    <mergeCell ref="A201:A204"/>
    <mergeCell ref="B201:B204"/>
    <mergeCell ref="D201:D204"/>
    <mergeCell ref="A196:A199"/>
    <mergeCell ref="B196:B199"/>
    <mergeCell ref="A263:A266"/>
    <mergeCell ref="B263:B266"/>
    <mergeCell ref="D263:D266"/>
    <mergeCell ref="A293:A296"/>
    <mergeCell ref="B293:B296"/>
    <mergeCell ref="D293:D296"/>
    <mergeCell ref="E293:E296"/>
    <mergeCell ref="A289:A292"/>
    <mergeCell ref="B289:B292"/>
    <mergeCell ref="D289:D292"/>
    <mergeCell ref="E289:E292"/>
    <mergeCell ref="A283:A288"/>
    <mergeCell ref="B283:B288"/>
    <mergeCell ref="D283:D288"/>
    <mergeCell ref="E283:E288"/>
    <mergeCell ref="A17:E17"/>
    <mergeCell ref="A18:E18"/>
    <mergeCell ref="A19:A22"/>
    <mergeCell ref="B19:B22"/>
    <mergeCell ref="D19:D22"/>
    <mergeCell ref="E19:E22"/>
    <mergeCell ref="A23:A26"/>
    <mergeCell ref="B23:B26"/>
    <mergeCell ref="D23:D26"/>
    <mergeCell ref="E23:E26"/>
    <mergeCell ref="B31:B34"/>
    <mergeCell ref="D31:D34"/>
    <mergeCell ref="E31:E34"/>
    <mergeCell ref="A35:A38"/>
    <mergeCell ref="B35:B38"/>
    <mergeCell ref="D35:D38"/>
    <mergeCell ref="E35:E38"/>
    <mergeCell ref="A40:E40"/>
    <mergeCell ref="A53:A56"/>
    <mergeCell ref="B53:B56"/>
    <mergeCell ref="D53:D56"/>
    <mergeCell ref="E53:E56"/>
    <mergeCell ref="D196:D199"/>
    <mergeCell ref="E196:E199"/>
    <mergeCell ref="A200:E200"/>
    <mergeCell ref="A205:A208"/>
    <mergeCell ref="B205:B208"/>
    <mergeCell ref="D205:D208"/>
    <mergeCell ref="E205:E208"/>
    <mergeCell ref="A209:A212"/>
    <mergeCell ref="B209:B212"/>
    <mergeCell ref="D209:D212"/>
    <mergeCell ref="E209:E212"/>
    <mergeCell ref="A213:E213"/>
    <mergeCell ref="A214:A217"/>
    <mergeCell ref="B214:B217"/>
    <mergeCell ref="D214:D217"/>
    <mergeCell ref="E214:E217"/>
    <mergeCell ref="A219:E219"/>
    <mergeCell ref="A220:A223"/>
    <mergeCell ref="B220:B223"/>
    <mergeCell ref="D220:D223"/>
    <mergeCell ref="E220:E223"/>
    <mergeCell ref="D224:D227"/>
    <mergeCell ref="E224:E227"/>
    <mergeCell ref="A228:E228"/>
    <mergeCell ref="A229:A232"/>
    <mergeCell ref="B229:B232"/>
    <mergeCell ref="D229:D232"/>
    <mergeCell ref="E229:E232"/>
    <mergeCell ref="A233:A236"/>
    <mergeCell ref="B233:B236"/>
    <mergeCell ref="D233:D236"/>
    <mergeCell ref="E233:E236"/>
    <mergeCell ref="E237:E240"/>
    <mergeCell ref="A241:A244"/>
    <mergeCell ref="B241:B244"/>
    <mergeCell ref="D241:D244"/>
    <mergeCell ref="E241:E244"/>
    <mergeCell ref="A245:A248"/>
    <mergeCell ref="B245:B248"/>
    <mergeCell ref="D245:D248"/>
    <mergeCell ref="E245:E248"/>
    <mergeCell ref="A249:A252"/>
    <mergeCell ref="B249:B252"/>
    <mergeCell ref="D249:D252"/>
    <mergeCell ref="E249:E252"/>
    <mergeCell ref="A253:A256"/>
    <mergeCell ref="B253:B256"/>
    <mergeCell ref="D253:D256"/>
    <mergeCell ref="E253:E256"/>
    <mergeCell ref="A258:E258"/>
    <mergeCell ref="A271:A274"/>
    <mergeCell ref="B271:B274"/>
    <mergeCell ref="D271:D274"/>
    <mergeCell ref="E271:E274"/>
    <mergeCell ref="A275:A278"/>
    <mergeCell ref="B275:B278"/>
    <mergeCell ref="D275:D278"/>
    <mergeCell ref="E275:E278"/>
    <mergeCell ref="A279:A282"/>
    <mergeCell ref="B279:B282"/>
    <mergeCell ref="D279:D282"/>
    <mergeCell ref="E279:E282"/>
    <mergeCell ref="A297:A300"/>
    <mergeCell ref="B297:B300"/>
    <mergeCell ref="D297:D300"/>
    <mergeCell ref="E297:E300"/>
    <mergeCell ref="A301:A304"/>
    <mergeCell ref="B301:B304"/>
    <mergeCell ref="D301:D304"/>
    <mergeCell ref="E301:E304"/>
    <mergeCell ref="A305:A309"/>
    <mergeCell ref="B305:B309"/>
    <mergeCell ref="D305:D309"/>
    <mergeCell ref="E305:E309"/>
    <mergeCell ref="A311:E311"/>
    <mergeCell ref="A312:A315"/>
    <mergeCell ref="B312:B315"/>
    <mergeCell ref="D312:D315"/>
    <mergeCell ref="E312:E315"/>
    <mergeCell ref="A316:A319"/>
    <mergeCell ref="B316:B319"/>
    <mergeCell ref="D316:D319"/>
    <mergeCell ref="E316:E319"/>
    <mergeCell ref="A320:A323"/>
    <mergeCell ref="B320:B323"/>
    <mergeCell ref="D320:D323"/>
    <mergeCell ref="E320:E323"/>
    <mergeCell ref="A324:A328"/>
    <mergeCell ref="B324:B328"/>
    <mergeCell ref="D324:D328"/>
    <mergeCell ref="E324:E328"/>
    <mergeCell ref="A329:A332"/>
    <mergeCell ref="B329:B332"/>
    <mergeCell ref="D329:D332"/>
    <mergeCell ref="E329:E332"/>
    <mergeCell ref="A333:A336"/>
    <mergeCell ref="B333:B336"/>
    <mergeCell ref="D333:D336"/>
    <mergeCell ref="E333:E336"/>
    <mergeCell ref="A337:A340"/>
    <mergeCell ref="B337:B340"/>
    <mergeCell ref="D337:D340"/>
    <mergeCell ref="E337:E340"/>
    <mergeCell ref="A341:A344"/>
    <mergeCell ref="B341:B344"/>
    <mergeCell ref="D341:D344"/>
    <mergeCell ref="E341:E344"/>
    <mergeCell ref="A345:A350"/>
    <mergeCell ref="B345:B350"/>
    <mergeCell ref="D345:D350"/>
    <mergeCell ref="E345:E350"/>
    <mergeCell ref="A351:A354"/>
    <mergeCell ref="B351:B354"/>
    <mergeCell ref="D351:D354"/>
    <mergeCell ref="E351:E354"/>
    <mergeCell ref="A355:A358"/>
    <mergeCell ref="B355:B358"/>
    <mergeCell ref="D355:D358"/>
    <mergeCell ref="E355:E358"/>
    <mergeCell ref="A372:A376"/>
    <mergeCell ref="B372:B376"/>
    <mergeCell ref="D372:D376"/>
    <mergeCell ref="E372:E376"/>
    <mergeCell ref="A359:A362"/>
    <mergeCell ref="B359:B362"/>
    <mergeCell ref="D359:D362"/>
    <mergeCell ref="E359:E362"/>
    <mergeCell ref="A363:A366"/>
    <mergeCell ref="B363:B366"/>
    <mergeCell ref="D363:D366"/>
    <mergeCell ref="E363:E366"/>
    <mergeCell ref="A367:A371"/>
    <mergeCell ref="B367:B371"/>
    <mergeCell ref="D367:D371"/>
    <mergeCell ref="E367:E371"/>
  </mergeCells>
  <conditionalFormatting sqref="C1 C381:C63356 C3:C16">
    <cfRule type="containsText" dxfId="2" priority="1" operator="containsText" text="стадия Р">
      <formula>NOT(ISERROR(SEARCH("стадия Р",C1)))</formula>
    </cfRule>
  </conditionalFormatting>
  <pageMargins left="0.23622047244094491" right="0.23622047244094491" top="0.74803149606299213" bottom="0.74803149606299213" header="0.31496062992125984" footer="0.31496062992125984"/>
  <pageSetup paperSize="9" scale="75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V283"/>
  <sheetViews>
    <sheetView topLeftCell="A256" zoomScale="85" zoomScaleNormal="85" workbookViewId="0">
      <selection activeCell="J257" sqref="J257"/>
    </sheetView>
  </sheetViews>
  <sheetFormatPr defaultColWidth="9.140625" defaultRowHeight="12.75" x14ac:dyDescent="0.2"/>
  <cols>
    <col min="1" max="1" width="5.7109375" style="116" customWidth="1"/>
    <col min="2" max="2" width="34.85546875" style="116" customWidth="1"/>
    <col min="3" max="3" width="42.85546875" style="154" customWidth="1"/>
    <col min="4" max="4" width="26.5703125" style="155" customWidth="1"/>
    <col min="5" max="5" width="17.42578125" style="155" customWidth="1"/>
    <col min="6" max="219" width="9.140625" style="116"/>
    <col min="220" max="220" width="28" style="116" customWidth="1"/>
    <col min="221" max="221" width="52" style="116" customWidth="1"/>
    <col min="222" max="222" width="27.28515625" style="116" customWidth="1"/>
    <col min="223" max="223" width="20.5703125" style="116" customWidth="1"/>
    <col min="224" max="225" width="9.140625" style="116"/>
    <col min="226" max="226" width="11.5703125" style="116" bestFit="1" customWidth="1"/>
    <col min="227" max="257" width="9.140625" style="116"/>
    <col min="258" max="258" width="28.7109375" style="116" customWidth="1"/>
    <col min="259" max="259" width="42.85546875" style="116" customWidth="1"/>
    <col min="260" max="260" width="26.28515625" style="116" customWidth="1"/>
    <col min="261" max="261" width="17.42578125" style="116" customWidth="1"/>
    <col min="262" max="475" width="9.140625" style="116"/>
    <col min="476" max="476" width="28" style="116" customWidth="1"/>
    <col min="477" max="477" width="52" style="116" customWidth="1"/>
    <col min="478" max="478" width="27.28515625" style="116" customWidth="1"/>
    <col min="479" max="479" width="20.5703125" style="116" customWidth="1"/>
    <col min="480" max="481" width="9.140625" style="116"/>
    <col min="482" max="482" width="11.5703125" style="116" bestFit="1" customWidth="1"/>
    <col min="483" max="513" width="9.140625" style="116"/>
    <col min="514" max="514" width="28.7109375" style="116" customWidth="1"/>
    <col min="515" max="515" width="42.85546875" style="116" customWidth="1"/>
    <col min="516" max="516" width="26.28515625" style="116" customWidth="1"/>
    <col min="517" max="517" width="17.42578125" style="116" customWidth="1"/>
    <col min="518" max="731" width="9.140625" style="116"/>
    <col min="732" max="732" width="28" style="116" customWidth="1"/>
    <col min="733" max="733" width="52" style="116" customWidth="1"/>
    <col min="734" max="734" width="27.28515625" style="116" customWidth="1"/>
    <col min="735" max="735" width="20.5703125" style="116" customWidth="1"/>
    <col min="736" max="737" width="9.140625" style="116"/>
    <col min="738" max="738" width="11.5703125" style="116" bestFit="1" customWidth="1"/>
    <col min="739" max="769" width="9.140625" style="116"/>
    <col min="770" max="770" width="28.7109375" style="116" customWidth="1"/>
    <col min="771" max="771" width="42.85546875" style="116" customWidth="1"/>
    <col min="772" max="772" width="26.28515625" style="116" customWidth="1"/>
    <col min="773" max="773" width="17.42578125" style="116" customWidth="1"/>
    <col min="774" max="987" width="9.140625" style="116"/>
    <col min="988" max="988" width="28" style="116" customWidth="1"/>
    <col min="989" max="989" width="52" style="116" customWidth="1"/>
    <col min="990" max="990" width="27.28515625" style="116" customWidth="1"/>
    <col min="991" max="991" width="20.5703125" style="116" customWidth="1"/>
    <col min="992" max="993" width="9.140625" style="116"/>
    <col min="994" max="994" width="11.5703125" style="116" bestFit="1" customWidth="1"/>
    <col min="995" max="1025" width="9.140625" style="116"/>
    <col min="1026" max="1026" width="28.7109375" style="116" customWidth="1"/>
    <col min="1027" max="1027" width="42.85546875" style="116" customWidth="1"/>
    <col min="1028" max="1028" width="26.28515625" style="116" customWidth="1"/>
    <col min="1029" max="1029" width="17.42578125" style="116" customWidth="1"/>
    <col min="1030" max="1243" width="9.140625" style="116"/>
    <col min="1244" max="1244" width="28" style="116" customWidth="1"/>
    <col min="1245" max="1245" width="52" style="116" customWidth="1"/>
    <col min="1246" max="1246" width="27.28515625" style="116" customWidth="1"/>
    <col min="1247" max="1247" width="20.5703125" style="116" customWidth="1"/>
    <col min="1248" max="1249" width="9.140625" style="116"/>
    <col min="1250" max="1250" width="11.5703125" style="116" bestFit="1" customWidth="1"/>
    <col min="1251" max="1281" width="9.140625" style="116"/>
    <col min="1282" max="1282" width="28.7109375" style="116" customWidth="1"/>
    <col min="1283" max="1283" width="42.85546875" style="116" customWidth="1"/>
    <col min="1284" max="1284" width="26.28515625" style="116" customWidth="1"/>
    <col min="1285" max="1285" width="17.42578125" style="116" customWidth="1"/>
    <col min="1286" max="1499" width="9.140625" style="116"/>
    <col min="1500" max="1500" width="28" style="116" customWidth="1"/>
    <col min="1501" max="1501" width="52" style="116" customWidth="1"/>
    <col min="1502" max="1502" width="27.28515625" style="116" customWidth="1"/>
    <col min="1503" max="1503" width="20.5703125" style="116" customWidth="1"/>
    <col min="1504" max="1505" width="9.140625" style="116"/>
    <col min="1506" max="1506" width="11.5703125" style="116" bestFit="1" customWidth="1"/>
    <col min="1507" max="1537" width="9.140625" style="116"/>
    <col min="1538" max="1538" width="28.7109375" style="116" customWidth="1"/>
    <col min="1539" max="1539" width="42.85546875" style="116" customWidth="1"/>
    <col min="1540" max="1540" width="26.28515625" style="116" customWidth="1"/>
    <col min="1541" max="1541" width="17.42578125" style="116" customWidth="1"/>
    <col min="1542" max="1755" width="9.140625" style="116"/>
    <col min="1756" max="1756" width="28" style="116" customWidth="1"/>
    <col min="1757" max="1757" width="52" style="116" customWidth="1"/>
    <col min="1758" max="1758" width="27.28515625" style="116" customWidth="1"/>
    <col min="1759" max="1759" width="20.5703125" style="116" customWidth="1"/>
    <col min="1760" max="1761" width="9.140625" style="116"/>
    <col min="1762" max="1762" width="11.5703125" style="116" bestFit="1" customWidth="1"/>
    <col min="1763" max="1793" width="9.140625" style="116"/>
    <col min="1794" max="1794" width="28.7109375" style="116" customWidth="1"/>
    <col min="1795" max="1795" width="42.85546875" style="116" customWidth="1"/>
    <col min="1796" max="1796" width="26.28515625" style="116" customWidth="1"/>
    <col min="1797" max="1797" width="17.42578125" style="116" customWidth="1"/>
    <col min="1798" max="2011" width="9.140625" style="116"/>
    <col min="2012" max="2012" width="28" style="116" customWidth="1"/>
    <col min="2013" max="2013" width="52" style="116" customWidth="1"/>
    <col min="2014" max="2014" width="27.28515625" style="116" customWidth="1"/>
    <col min="2015" max="2015" width="20.5703125" style="116" customWidth="1"/>
    <col min="2016" max="2017" width="9.140625" style="116"/>
    <col min="2018" max="2018" width="11.5703125" style="116" bestFit="1" customWidth="1"/>
    <col min="2019" max="2049" width="9.140625" style="116"/>
    <col min="2050" max="2050" width="28.7109375" style="116" customWidth="1"/>
    <col min="2051" max="2051" width="42.85546875" style="116" customWidth="1"/>
    <col min="2052" max="2052" width="26.28515625" style="116" customWidth="1"/>
    <col min="2053" max="2053" width="17.42578125" style="116" customWidth="1"/>
    <col min="2054" max="2267" width="9.140625" style="116"/>
    <col min="2268" max="2268" width="28" style="116" customWidth="1"/>
    <col min="2269" max="2269" width="52" style="116" customWidth="1"/>
    <col min="2270" max="2270" width="27.28515625" style="116" customWidth="1"/>
    <col min="2271" max="2271" width="20.5703125" style="116" customWidth="1"/>
    <col min="2272" max="2273" width="9.140625" style="116"/>
    <col min="2274" max="2274" width="11.5703125" style="116" bestFit="1" customWidth="1"/>
    <col min="2275" max="2305" width="9.140625" style="116"/>
    <col min="2306" max="2306" width="28.7109375" style="116" customWidth="1"/>
    <col min="2307" max="2307" width="42.85546875" style="116" customWidth="1"/>
    <col min="2308" max="2308" width="26.28515625" style="116" customWidth="1"/>
    <col min="2309" max="2309" width="17.42578125" style="116" customWidth="1"/>
    <col min="2310" max="2523" width="9.140625" style="116"/>
    <col min="2524" max="2524" width="28" style="116" customWidth="1"/>
    <col min="2525" max="2525" width="52" style="116" customWidth="1"/>
    <col min="2526" max="2526" width="27.28515625" style="116" customWidth="1"/>
    <col min="2527" max="2527" width="20.5703125" style="116" customWidth="1"/>
    <col min="2528" max="2529" width="9.140625" style="116"/>
    <col min="2530" max="2530" width="11.5703125" style="116" bestFit="1" customWidth="1"/>
    <col min="2531" max="2561" width="9.140625" style="116"/>
    <col min="2562" max="2562" width="28.7109375" style="116" customWidth="1"/>
    <col min="2563" max="2563" width="42.85546875" style="116" customWidth="1"/>
    <col min="2564" max="2564" width="26.28515625" style="116" customWidth="1"/>
    <col min="2565" max="2565" width="17.42578125" style="116" customWidth="1"/>
    <col min="2566" max="2779" width="9.140625" style="116"/>
    <col min="2780" max="2780" width="28" style="116" customWidth="1"/>
    <col min="2781" max="2781" width="52" style="116" customWidth="1"/>
    <col min="2782" max="2782" width="27.28515625" style="116" customWidth="1"/>
    <col min="2783" max="2783" width="20.5703125" style="116" customWidth="1"/>
    <col min="2784" max="2785" width="9.140625" style="116"/>
    <col min="2786" max="2786" width="11.5703125" style="116" bestFit="1" customWidth="1"/>
    <col min="2787" max="2817" width="9.140625" style="116"/>
    <col min="2818" max="2818" width="28.7109375" style="116" customWidth="1"/>
    <col min="2819" max="2819" width="42.85546875" style="116" customWidth="1"/>
    <col min="2820" max="2820" width="26.28515625" style="116" customWidth="1"/>
    <col min="2821" max="2821" width="17.42578125" style="116" customWidth="1"/>
    <col min="2822" max="3035" width="9.140625" style="116"/>
    <col min="3036" max="3036" width="28" style="116" customWidth="1"/>
    <col min="3037" max="3037" width="52" style="116" customWidth="1"/>
    <col min="3038" max="3038" width="27.28515625" style="116" customWidth="1"/>
    <col min="3039" max="3039" width="20.5703125" style="116" customWidth="1"/>
    <col min="3040" max="3041" width="9.140625" style="116"/>
    <col min="3042" max="3042" width="11.5703125" style="116" bestFit="1" customWidth="1"/>
    <col min="3043" max="3073" width="9.140625" style="116"/>
    <col min="3074" max="3074" width="28.7109375" style="116" customWidth="1"/>
    <col min="3075" max="3075" width="42.85546875" style="116" customWidth="1"/>
    <col min="3076" max="3076" width="26.28515625" style="116" customWidth="1"/>
    <col min="3077" max="3077" width="17.42578125" style="116" customWidth="1"/>
    <col min="3078" max="3291" width="9.140625" style="116"/>
    <col min="3292" max="3292" width="28" style="116" customWidth="1"/>
    <col min="3293" max="3293" width="52" style="116" customWidth="1"/>
    <col min="3294" max="3294" width="27.28515625" style="116" customWidth="1"/>
    <col min="3295" max="3295" width="20.5703125" style="116" customWidth="1"/>
    <col min="3296" max="3297" width="9.140625" style="116"/>
    <col min="3298" max="3298" width="11.5703125" style="116" bestFit="1" customWidth="1"/>
    <col min="3299" max="3329" width="9.140625" style="116"/>
    <col min="3330" max="3330" width="28.7109375" style="116" customWidth="1"/>
    <col min="3331" max="3331" width="42.85546875" style="116" customWidth="1"/>
    <col min="3332" max="3332" width="26.28515625" style="116" customWidth="1"/>
    <col min="3333" max="3333" width="17.42578125" style="116" customWidth="1"/>
    <col min="3334" max="3547" width="9.140625" style="116"/>
    <col min="3548" max="3548" width="28" style="116" customWidth="1"/>
    <col min="3549" max="3549" width="52" style="116" customWidth="1"/>
    <col min="3550" max="3550" width="27.28515625" style="116" customWidth="1"/>
    <col min="3551" max="3551" width="20.5703125" style="116" customWidth="1"/>
    <col min="3552" max="3553" width="9.140625" style="116"/>
    <col min="3554" max="3554" width="11.5703125" style="116" bestFit="1" customWidth="1"/>
    <col min="3555" max="3585" width="9.140625" style="116"/>
    <col min="3586" max="3586" width="28.7109375" style="116" customWidth="1"/>
    <col min="3587" max="3587" width="42.85546875" style="116" customWidth="1"/>
    <col min="3588" max="3588" width="26.28515625" style="116" customWidth="1"/>
    <col min="3589" max="3589" width="17.42578125" style="116" customWidth="1"/>
    <col min="3590" max="3803" width="9.140625" style="116"/>
    <col min="3804" max="3804" width="28" style="116" customWidth="1"/>
    <col min="3805" max="3805" width="52" style="116" customWidth="1"/>
    <col min="3806" max="3806" width="27.28515625" style="116" customWidth="1"/>
    <col min="3807" max="3807" width="20.5703125" style="116" customWidth="1"/>
    <col min="3808" max="3809" width="9.140625" style="116"/>
    <col min="3810" max="3810" width="11.5703125" style="116" bestFit="1" customWidth="1"/>
    <col min="3811" max="3841" width="9.140625" style="116"/>
    <col min="3842" max="3842" width="28.7109375" style="116" customWidth="1"/>
    <col min="3843" max="3843" width="42.85546875" style="116" customWidth="1"/>
    <col min="3844" max="3844" width="26.28515625" style="116" customWidth="1"/>
    <col min="3845" max="3845" width="17.42578125" style="116" customWidth="1"/>
    <col min="3846" max="4059" width="9.140625" style="116"/>
    <col min="4060" max="4060" width="28" style="116" customWidth="1"/>
    <col min="4061" max="4061" width="52" style="116" customWidth="1"/>
    <col min="4062" max="4062" width="27.28515625" style="116" customWidth="1"/>
    <col min="4063" max="4063" width="20.5703125" style="116" customWidth="1"/>
    <col min="4064" max="4065" width="9.140625" style="116"/>
    <col min="4066" max="4066" width="11.5703125" style="116" bestFit="1" customWidth="1"/>
    <col min="4067" max="4097" width="9.140625" style="116"/>
    <col min="4098" max="4098" width="28.7109375" style="116" customWidth="1"/>
    <col min="4099" max="4099" width="42.85546875" style="116" customWidth="1"/>
    <col min="4100" max="4100" width="26.28515625" style="116" customWidth="1"/>
    <col min="4101" max="4101" width="17.42578125" style="116" customWidth="1"/>
    <col min="4102" max="4315" width="9.140625" style="116"/>
    <col min="4316" max="4316" width="28" style="116" customWidth="1"/>
    <col min="4317" max="4317" width="52" style="116" customWidth="1"/>
    <col min="4318" max="4318" width="27.28515625" style="116" customWidth="1"/>
    <col min="4319" max="4319" width="20.5703125" style="116" customWidth="1"/>
    <col min="4320" max="4321" width="9.140625" style="116"/>
    <col min="4322" max="4322" width="11.5703125" style="116" bestFit="1" customWidth="1"/>
    <col min="4323" max="4353" width="9.140625" style="116"/>
    <col min="4354" max="4354" width="28.7109375" style="116" customWidth="1"/>
    <col min="4355" max="4355" width="42.85546875" style="116" customWidth="1"/>
    <col min="4356" max="4356" width="26.28515625" style="116" customWidth="1"/>
    <col min="4357" max="4357" width="17.42578125" style="116" customWidth="1"/>
    <col min="4358" max="4571" width="9.140625" style="116"/>
    <col min="4572" max="4572" width="28" style="116" customWidth="1"/>
    <col min="4573" max="4573" width="52" style="116" customWidth="1"/>
    <col min="4574" max="4574" width="27.28515625" style="116" customWidth="1"/>
    <col min="4575" max="4575" width="20.5703125" style="116" customWidth="1"/>
    <col min="4576" max="4577" width="9.140625" style="116"/>
    <col min="4578" max="4578" width="11.5703125" style="116" bestFit="1" customWidth="1"/>
    <col min="4579" max="4609" width="9.140625" style="116"/>
    <col min="4610" max="4610" width="28.7109375" style="116" customWidth="1"/>
    <col min="4611" max="4611" width="42.85546875" style="116" customWidth="1"/>
    <col min="4612" max="4612" width="26.28515625" style="116" customWidth="1"/>
    <col min="4613" max="4613" width="17.42578125" style="116" customWidth="1"/>
    <col min="4614" max="4827" width="9.140625" style="116"/>
    <col min="4828" max="4828" width="28" style="116" customWidth="1"/>
    <col min="4829" max="4829" width="52" style="116" customWidth="1"/>
    <col min="4830" max="4830" width="27.28515625" style="116" customWidth="1"/>
    <col min="4831" max="4831" width="20.5703125" style="116" customWidth="1"/>
    <col min="4832" max="4833" width="9.140625" style="116"/>
    <col min="4834" max="4834" width="11.5703125" style="116" bestFit="1" customWidth="1"/>
    <col min="4835" max="4865" width="9.140625" style="116"/>
    <col min="4866" max="4866" width="28.7109375" style="116" customWidth="1"/>
    <col min="4867" max="4867" width="42.85546875" style="116" customWidth="1"/>
    <col min="4868" max="4868" width="26.28515625" style="116" customWidth="1"/>
    <col min="4869" max="4869" width="17.42578125" style="116" customWidth="1"/>
    <col min="4870" max="5083" width="9.140625" style="116"/>
    <col min="5084" max="5084" width="28" style="116" customWidth="1"/>
    <col min="5085" max="5085" width="52" style="116" customWidth="1"/>
    <col min="5086" max="5086" width="27.28515625" style="116" customWidth="1"/>
    <col min="5087" max="5087" width="20.5703125" style="116" customWidth="1"/>
    <col min="5088" max="5089" width="9.140625" style="116"/>
    <col min="5090" max="5090" width="11.5703125" style="116" bestFit="1" customWidth="1"/>
    <col min="5091" max="5121" width="9.140625" style="116"/>
    <col min="5122" max="5122" width="28.7109375" style="116" customWidth="1"/>
    <col min="5123" max="5123" width="42.85546875" style="116" customWidth="1"/>
    <col min="5124" max="5124" width="26.28515625" style="116" customWidth="1"/>
    <col min="5125" max="5125" width="17.42578125" style="116" customWidth="1"/>
    <col min="5126" max="5339" width="9.140625" style="116"/>
    <col min="5340" max="5340" width="28" style="116" customWidth="1"/>
    <col min="5341" max="5341" width="52" style="116" customWidth="1"/>
    <col min="5342" max="5342" width="27.28515625" style="116" customWidth="1"/>
    <col min="5343" max="5343" width="20.5703125" style="116" customWidth="1"/>
    <col min="5344" max="5345" width="9.140625" style="116"/>
    <col min="5346" max="5346" width="11.5703125" style="116" bestFit="1" customWidth="1"/>
    <col min="5347" max="5377" width="9.140625" style="116"/>
    <col min="5378" max="5378" width="28.7109375" style="116" customWidth="1"/>
    <col min="5379" max="5379" width="42.85546875" style="116" customWidth="1"/>
    <col min="5380" max="5380" width="26.28515625" style="116" customWidth="1"/>
    <col min="5381" max="5381" width="17.42578125" style="116" customWidth="1"/>
    <col min="5382" max="5595" width="9.140625" style="116"/>
    <col min="5596" max="5596" width="28" style="116" customWidth="1"/>
    <col min="5597" max="5597" width="52" style="116" customWidth="1"/>
    <col min="5598" max="5598" width="27.28515625" style="116" customWidth="1"/>
    <col min="5599" max="5599" width="20.5703125" style="116" customWidth="1"/>
    <col min="5600" max="5601" width="9.140625" style="116"/>
    <col min="5602" max="5602" width="11.5703125" style="116" bestFit="1" customWidth="1"/>
    <col min="5603" max="5633" width="9.140625" style="116"/>
    <col min="5634" max="5634" width="28.7109375" style="116" customWidth="1"/>
    <col min="5635" max="5635" width="42.85546875" style="116" customWidth="1"/>
    <col min="5636" max="5636" width="26.28515625" style="116" customWidth="1"/>
    <col min="5637" max="5637" width="17.42578125" style="116" customWidth="1"/>
    <col min="5638" max="5851" width="9.140625" style="116"/>
    <col min="5852" max="5852" width="28" style="116" customWidth="1"/>
    <col min="5853" max="5853" width="52" style="116" customWidth="1"/>
    <col min="5854" max="5854" width="27.28515625" style="116" customWidth="1"/>
    <col min="5855" max="5855" width="20.5703125" style="116" customWidth="1"/>
    <col min="5856" max="5857" width="9.140625" style="116"/>
    <col min="5858" max="5858" width="11.5703125" style="116" bestFit="1" customWidth="1"/>
    <col min="5859" max="5889" width="9.140625" style="116"/>
    <col min="5890" max="5890" width="28.7109375" style="116" customWidth="1"/>
    <col min="5891" max="5891" width="42.85546875" style="116" customWidth="1"/>
    <col min="5892" max="5892" width="26.28515625" style="116" customWidth="1"/>
    <col min="5893" max="5893" width="17.42578125" style="116" customWidth="1"/>
    <col min="5894" max="6107" width="9.140625" style="116"/>
    <col min="6108" max="6108" width="28" style="116" customWidth="1"/>
    <col min="6109" max="6109" width="52" style="116" customWidth="1"/>
    <col min="6110" max="6110" width="27.28515625" style="116" customWidth="1"/>
    <col min="6111" max="6111" width="20.5703125" style="116" customWidth="1"/>
    <col min="6112" max="6113" width="9.140625" style="116"/>
    <col min="6114" max="6114" width="11.5703125" style="116" bestFit="1" customWidth="1"/>
    <col min="6115" max="6145" width="9.140625" style="116"/>
    <col min="6146" max="6146" width="28.7109375" style="116" customWidth="1"/>
    <col min="6147" max="6147" width="42.85546875" style="116" customWidth="1"/>
    <col min="6148" max="6148" width="26.28515625" style="116" customWidth="1"/>
    <col min="6149" max="6149" width="17.42578125" style="116" customWidth="1"/>
    <col min="6150" max="6363" width="9.140625" style="116"/>
    <col min="6364" max="6364" width="28" style="116" customWidth="1"/>
    <col min="6365" max="6365" width="52" style="116" customWidth="1"/>
    <col min="6366" max="6366" width="27.28515625" style="116" customWidth="1"/>
    <col min="6367" max="6367" width="20.5703125" style="116" customWidth="1"/>
    <col min="6368" max="6369" width="9.140625" style="116"/>
    <col min="6370" max="6370" width="11.5703125" style="116" bestFit="1" customWidth="1"/>
    <col min="6371" max="6401" width="9.140625" style="116"/>
    <col min="6402" max="6402" width="28.7109375" style="116" customWidth="1"/>
    <col min="6403" max="6403" width="42.85546875" style="116" customWidth="1"/>
    <col min="6404" max="6404" width="26.28515625" style="116" customWidth="1"/>
    <col min="6405" max="6405" width="17.42578125" style="116" customWidth="1"/>
    <col min="6406" max="6619" width="9.140625" style="116"/>
    <col min="6620" max="6620" width="28" style="116" customWidth="1"/>
    <col min="6621" max="6621" width="52" style="116" customWidth="1"/>
    <col min="6622" max="6622" width="27.28515625" style="116" customWidth="1"/>
    <col min="6623" max="6623" width="20.5703125" style="116" customWidth="1"/>
    <col min="6624" max="6625" width="9.140625" style="116"/>
    <col min="6626" max="6626" width="11.5703125" style="116" bestFit="1" customWidth="1"/>
    <col min="6627" max="6657" width="9.140625" style="116"/>
    <col min="6658" max="6658" width="28.7109375" style="116" customWidth="1"/>
    <col min="6659" max="6659" width="42.85546875" style="116" customWidth="1"/>
    <col min="6660" max="6660" width="26.28515625" style="116" customWidth="1"/>
    <col min="6661" max="6661" width="17.42578125" style="116" customWidth="1"/>
    <col min="6662" max="6875" width="9.140625" style="116"/>
    <col min="6876" max="6876" width="28" style="116" customWidth="1"/>
    <col min="6877" max="6877" width="52" style="116" customWidth="1"/>
    <col min="6878" max="6878" width="27.28515625" style="116" customWidth="1"/>
    <col min="6879" max="6879" width="20.5703125" style="116" customWidth="1"/>
    <col min="6880" max="6881" width="9.140625" style="116"/>
    <col min="6882" max="6882" width="11.5703125" style="116" bestFit="1" customWidth="1"/>
    <col min="6883" max="6913" width="9.140625" style="116"/>
    <col min="6914" max="6914" width="28.7109375" style="116" customWidth="1"/>
    <col min="6915" max="6915" width="42.85546875" style="116" customWidth="1"/>
    <col min="6916" max="6916" width="26.28515625" style="116" customWidth="1"/>
    <col min="6917" max="6917" width="17.42578125" style="116" customWidth="1"/>
    <col min="6918" max="7131" width="9.140625" style="116"/>
    <col min="7132" max="7132" width="28" style="116" customWidth="1"/>
    <col min="7133" max="7133" width="52" style="116" customWidth="1"/>
    <col min="7134" max="7134" width="27.28515625" style="116" customWidth="1"/>
    <col min="7135" max="7135" width="20.5703125" style="116" customWidth="1"/>
    <col min="7136" max="7137" width="9.140625" style="116"/>
    <col min="7138" max="7138" width="11.5703125" style="116" bestFit="1" customWidth="1"/>
    <col min="7139" max="7169" width="9.140625" style="116"/>
    <col min="7170" max="7170" width="28.7109375" style="116" customWidth="1"/>
    <col min="7171" max="7171" width="42.85546875" style="116" customWidth="1"/>
    <col min="7172" max="7172" width="26.28515625" style="116" customWidth="1"/>
    <col min="7173" max="7173" width="17.42578125" style="116" customWidth="1"/>
    <col min="7174" max="7387" width="9.140625" style="116"/>
    <col min="7388" max="7388" width="28" style="116" customWidth="1"/>
    <col min="7389" max="7389" width="52" style="116" customWidth="1"/>
    <col min="7390" max="7390" width="27.28515625" style="116" customWidth="1"/>
    <col min="7391" max="7391" width="20.5703125" style="116" customWidth="1"/>
    <col min="7392" max="7393" width="9.140625" style="116"/>
    <col min="7394" max="7394" width="11.5703125" style="116" bestFit="1" customWidth="1"/>
    <col min="7395" max="7425" width="9.140625" style="116"/>
    <col min="7426" max="7426" width="28.7109375" style="116" customWidth="1"/>
    <col min="7427" max="7427" width="42.85546875" style="116" customWidth="1"/>
    <col min="7428" max="7428" width="26.28515625" style="116" customWidth="1"/>
    <col min="7429" max="7429" width="17.42578125" style="116" customWidth="1"/>
    <col min="7430" max="7643" width="9.140625" style="116"/>
    <col min="7644" max="7644" width="28" style="116" customWidth="1"/>
    <col min="7645" max="7645" width="52" style="116" customWidth="1"/>
    <col min="7646" max="7646" width="27.28515625" style="116" customWidth="1"/>
    <col min="7647" max="7647" width="20.5703125" style="116" customWidth="1"/>
    <col min="7648" max="7649" width="9.140625" style="116"/>
    <col min="7650" max="7650" width="11.5703125" style="116" bestFit="1" customWidth="1"/>
    <col min="7651" max="7681" width="9.140625" style="116"/>
    <col min="7682" max="7682" width="28.7109375" style="116" customWidth="1"/>
    <col min="7683" max="7683" width="42.85546875" style="116" customWidth="1"/>
    <col min="7684" max="7684" width="26.28515625" style="116" customWidth="1"/>
    <col min="7685" max="7685" width="17.42578125" style="116" customWidth="1"/>
    <col min="7686" max="7899" width="9.140625" style="116"/>
    <col min="7900" max="7900" width="28" style="116" customWidth="1"/>
    <col min="7901" max="7901" width="52" style="116" customWidth="1"/>
    <col min="7902" max="7902" width="27.28515625" style="116" customWidth="1"/>
    <col min="7903" max="7903" width="20.5703125" style="116" customWidth="1"/>
    <col min="7904" max="7905" width="9.140625" style="116"/>
    <col min="7906" max="7906" width="11.5703125" style="116" bestFit="1" customWidth="1"/>
    <col min="7907" max="7937" width="9.140625" style="116"/>
    <col min="7938" max="7938" width="28.7109375" style="116" customWidth="1"/>
    <col min="7939" max="7939" width="42.85546875" style="116" customWidth="1"/>
    <col min="7940" max="7940" width="26.28515625" style="116" customWidth="1"/>
    <col min="7941" max="7941" width="17.42578125" style="116" customWidth="1"/>
    <col min="7942" max="8155" width="9.140625" style="116"/>
    <col min="8156" max="8156" width="28" style="116" customWidth="1"/>
    <col min="8157" max="8157" width="52" style="116" customWidth="1"/>
    <col min="8158" max="8158" width="27.28515625" style="116" customWidth="1"/>
    <col min="8159" max="8159" width="20.5703125" style="116" customWidth="1"/>
    <col min="8160" max="8161" width="9.140625" style="116"/>
    <col min="8162" max="8162" width="11.5703125" style="116" bestFit="1" customWidth="1"/>
    <col min="8163" max="8193" width="9.140625" style="116"/>
    <col min="8194" max="8194" width="28.7109375" style="116" customWidth="1"/>
    <col min="8195" max="8195" width="42.85546875" style="116" customWidth="1"/>
    <col min="8196" max="8196" width="26.28515625" style="116" customWidth="1"/>
    <col min="8197" max="8197" width="17.42578125" style="116" customWidth="1"/>
    <col min="8198" max="8411" width="9.140625" style="116"/>
    <col min="8412" max="8412" width="28" style="116" customWidth="1"/>
    <col min="8413" max="8413" width="52" style="116" customWidth="1"/>
    <col min="8414" max="8414" width="27.28515625" style="116" customWidth="1"/>
    <col min="8415" max="8415" width="20.5703125" style="116" customWidth="1"/>
    <col min="8416" max="8417" width="9.140625" style="116"/>
    <col min="8418" max="8418" width="11.5703125" style="116" bestFit="1" customWidth="1"/>
    <col min="8419" max="8449" width="9.140625" style="116"/>
    <col min="8450" max="8450" width="28.7109375" style="116" customWidth="1"/>
    <col min="8451" max="8451" width="42.85546875" style="116" customWidth="1"/>
    <col min="8452" max="8452" width="26.28515625" style="116" customWidth="1"/>
    <col min="8453" max="8453" width="17.42578125" style="116" customWidth="1"/>
    <col min="8454" max="8667" width="9.140625" style="116"/>
    <col min="8668" max="8668" width="28" style="116" customWidth="1"/>
    <col min="8669" max="8669" width="52" style="116" customWidth="1"/>
    <col min="8670" max="8670" width="27.28515625" style="116" customWidth="1"/>
    <col min="8671" max="8671" width="20.5703125" style="116" customWidth="1"/>
    <col min="8672" max="8673" width="9.140625" style="116"/>
    <col min="8674" max="8674" width="11.5703125" style="116" bestFit="1" customWidth="1"/>
    <col min="8675" max="8705" width="9.140625" style="116"/>
    <col min="8706" max="8706" width="28.7109375" style="116" customWidth="1"/>
    <col min="8707" max="8707" width="42.85546875" style="116" customWidth="1"/>
    <col min="8708" max="8708" width="26.28515625" style="116" customWidth="1"/>
    <col min="8709" max="8709" width="17.42578125" style="116" customWidth="1"/>
    <col min="8710" max="8923" width="9.140625" style="116"/>
    <col min="8924" max="8924" width="28" style="116" customWidth="1"/>
    <col min="8925" max="8925" width="52" style="116" customWidth="1"/>
    <col min="8926" max="8926" width="27.28515625" style="116" customWidth="1"/>
    <col min="8927" max="8927" width="20.5703125" style="116" customWidth="1"/>
    <col min="8928" max="8929" width="9.140625" style="116"/>
    <col min="8930" max="8930" width="11.5703125" style="116" bestFit="1" customWidth="1"/>
    <col min="8931" max="8961" width="9.140625" style="116"/>
    <col min="8962" max="8962" width="28.7109375" style="116" customWidth="1"/>
    <col min="8963" max="8963" width="42.85546875" style="116" customWidth="1"/>
    <col min="8964" max="8964" width="26.28515625" style="116" customWidth="1"/>
    <col min="8965" max="8965" width="17.42578125" style="116" customWidth="1"/>
    <col min="8966" max="9179" width="9.140625" style="116"/>
    <col min="9180" max="9180" width="28" style="116" customWidth="1"/>
    <col min="9181" max="9181" width="52" style="116" customWidth="1"/>
    <col min="9182" max="9182" width="27.28515625" style="116" customWidth="1"/>
    <col min="9183" max="9183" width="20.5703125" style="116" customWidth="1"/>
    <col min="9184" max="9185" width="9.140625" style="116"/>
    <col min="9186" max="9186" width="11.5703125" style="116" bestFit="1" customWidth="1"/>
    <col min="9187" max="9217" width="9.140625" style="116"/>
    <col min="9218" max="9218" width="28.7109375" style="116" customWidth="1"/>
    <col min="9219" max="9219" width="42.85546875" style="116" customWidth="1"/>
    <col min="9220" max="9220" width="26.28515625" style="116" customWidth="1"/>
    <col min="9221" max="9221" width="17.42578125" style="116" customWidth="1"/>
    <col min="9222" max="9435" width="9.140625" style="116"/>
    <col min="9436" max="9436" width="28" style="116" customWidth="1"/>
    <col min="9437" max="9437" width="52" style="116" customWidth="1"/>
    <col min="9438" max="9438" width="27.28515625" style="116" customWidth="1"/>
    <col min="9439" max="9439" width="20.5703125" style="116" customWidth="1"/>
    <col min="9440" max="9441" width="9.140625" style="116"/>
    <col min="9442" max="9442" width="11.5703125" style="116" bestFit="1" customWidth="1"/>
    <col min="9443" max="9473" width="9.140625" style="116"/>
    <col min="9474" max="9474" width="28.7109375" style="116" customWidth="1"/>
    <col min="9475" max="9475" width="42.85546875" style="116" customWidth="1"/>
    <col min="9476" max="9476" width="26.28515625" style="116" customWidth="1"/>
    <col min="9477" max="9477" width="17.42578125" style="116" customWidth="1"/>
    <col min="9478" max="9691" width="9.140625" style="116"/>
    <col min="9692" max="9692" width="28" style="116" customWidth="1"/>
    <col min="9693" max="9693" width="52" style="116" customWidth="1"/>
    <col min="9694" max="9694" width="27.28515625" style="116" customWidth="1"/>
    <col min="9695" max="9695" width="20.5703125" style="116" customWidth="1"/>
    <col min="9696" max="9697" width="9.140625" style="116"/>
    <col min="9698" max="9698" width="11.5703125" style="116" bestFit="1" customWidth="1"/>
    <col min="9699" max="9729" width="9.140625" style="116"/>
    <col min="9730" max="9730" width="28.7109375" style="116" customWidth="1"/>
    <col min="9731" max="9731" width="42.85546875" style="116" customWidth="1"/>
    <col min="9732" max="9732" width="26.28515625" style="116" customWidth="1"/>
    <col min="9733" max="9733" width="17.42578125" style="116" customWidth="1"/>
    <col min="9734" max="9947" width="9.140625" style="116"/>
    <col min="9948" max="9948" width="28" style="116" customWidth="1"/>
    <col min="9949" max="9949" width="52" style="116" customWidth="1"/>
    <col min="9950" max="9950" width="27.28515625" style="116" customWidth="1"/>
    <col min="9951" max="9951" width="20.5703125" style="116" customWidth="1"/>
    <col min="9952" max="9953" width="9.140625" style="116"/>
    <col min="9954" max="9954" width="11.5703125" style="116" bestFit="1" customWidth="1"/>
    <col min="9955" max="9985" width="9.140625" style="116"/>
    <col min="9986" max="9986" width="28.7109375" style="116" customWidth="1"/>
    <col min="9987" max="9987" width="42.85546875" style="116" customWidth="1"/>
    <col min="9988" max="9988" width="26.28515625" style="116" customWidth="1"/>
    <col min="9989" max="9989" width="17.42578125" style="116" customWidth="1"/>
    <col min="9990" max="10203" width="9.140625" style="116"/>
    <col min="10204" max="10204" width="28" style="116" customWidth="1"/>
    <col min="10205" max="10205" width="52" style="116" customWidth="1"/>
    <col min="10206" max="10206" width="27.28515625" style="116" customWidth="1"/>
    <col min="10207" max="10207" width="20.5703125" style="116" customWidth="1"/>
    <col min="10208" max="10209" width="9.140625" style="116"/>
    <col min="10210" max="10210" width="11.5703125" style="116" bestFit="1" customWidth="1"/>
    <col min="10211" max="10241" width="9.140625" style="116"/>
    <col min="10242" max="10242" width="28.7109375" style="116" customWidth="1"/>
    <col min="10243" max="10243" width="42.85546875" style="116" customWidth="1"/>
    <col min="10244" max="10244" width="26.28515625" style="116" customWidth="1"/>
    <col min="10245" max="10245" width="17.42578125" style="116" customWidth="1"/>
    <col min="10246" max="10459" width="9.140625" style="116"/>
    <col min="10460" max="10460" width="28" style="116" customWidth="1"/>
    <col min="10461" max="10461" width="52" style="116" customWidth="1"/>
    <col min="10462" max="10462" width="27.28515625" style="116" customWidth="1"/>
    <col min="10463" max="10463" width="20.5703125" style="116" customWidth="1"/>
    <col min="10464" max="10465" width="9.140625" style="116"/>
    <col min="10466" max="10466" width="11.5703125" style="116" bestFit="1" customWidth="1"/>
    <col min="10467" max="10497" width="9.140625" style="116"/>
    <col min="10498" max="10498" width="28.7109375" style="116" customWidth="1"/>
    <col min="10499" max="10499" width="42.85546875" style="116" customWidth="1"/>
    <col min="10500" max="10500" width="26.28515625" style="116" customWidth="1"/>
    <col min="10501" max="10501" width="17.42578125" style="116" customWidth="1"/>
    <col min="10502" max="10715" width="9.140625" style="116"/>
    <col min="10716" max="10716" width="28" style="116" customWidth="1"/>
    <col min="10717" max="10717" width="52" style="116" customWidth="1"/>
    <col min="10718" max="10718" width="27.28515625" style="116" customWidth="1"/>
    <col min="10719" max="10719" width="20.5703125" style="116" customWidth="1"/>
    <col min="10720" max="10721" width="9.140625" style="116"/>
    <col min="10722" max="10722" width="11.5703125" style="116" bestFit="1" customWidth="1"/>
    <col min="10723" max="10753" width="9.140625" style="116"/>
    <col min="10754" max="10754" width="28.7109375" style="116" customWidth="1"/>
    <col min="10755" max="10755" width="42.85546875" style="116" customWidth="1"/>
    <col min="10756" max="10756" width="26.28515625" style="116" customWidth="1"/>
    <col min="10757" max="10757" width="17.42578125" style="116" customWidth="1"/>
    <col min="10758" max="10971" width="9.140625" style="116"/>
    <col min="10972" max="10972" width="28" style="116" customWidth="1"/>
    <col min="10973" max="10973" width="52" style="116" customWidth="1"/>
    <col min="10974" max="10974" width="27.28515625" style="116" customWidth="1"/>
    <col min="10975" max="10975" width="20.5703125" style="116" customWidth="1"/>
    <col min="10976" max="10977" width="9.140625" style="116"/>
    <col min="10978" max="10978" width="11.5703125" style="116" bestFit="1" customWidth="1"/>
    <col min="10979" max="11009" width="9.140625" style="116"/>
    <col min="11010" max="11010" width="28.7109375" style="116" customWidth="1"/>
    <col min="11011" max="11011" width="42.85546875" style="116" customWidth="1"/>
    <col min="11012" max="11012" width="26.28515625" style="116" customWidth="1"/>
    <col min="11013" max="11013" width="17.42578125" style="116" customWidth="1"/>
    <col min="11014" max="11227" width="9.140625" style="116"/>
    <col min="11228" max="11228" width="28" style="116" customWidth="1"/>
    <col min="11229" max="11229" width="52" style="116" customWidth="1"/>
    <col min="11230" max="11230" width="27.28515625" style="116" customWidth="1"/>
    <col min="11231" max="11231" width="20.5703125" style="116" customWidth="1"/>
    <col min="11232" max="11233" width="9.140625" style="116"/>
    <col min="11234" max="11234" width="11.5703125" style="116" bestFit="1" customWidth="1"/>
    <col min="11235" max="11265" width="9.140625" style="116"/>
    <col min="11266" max="11266" width="28.7109375" style="116" customWidth="1"/>
    <col min="11267" max="11267" width="42.85546875" style="116" customWidth="1"/>
    <col min="11268" max="11268" width="26.28515625" style="116" customWidth="1"/>
    <col min="11269" max="11269" width="17.42578125" style="116" customWidth="1"/>
    <col min="11270" max="11483" width="9.140625" style="116"/>
    <col min="11484" max="11484" width="28" style="116" customWidth="1"/>
    <col min="11485" max="11485" width="52" style="116" customWidth="1"/>
    <col min="11486" max="11486" width="27.28515625" style="116" customWidth="1"/>
    <col min="11487" max="11487" width="20.5703125" style="116" customWidth="1"/>
    <col min="11488" max="11489" width="9.140625" style="116"/>
    <col min="11490" max="11490" width="11.5703125" style="116" bestFit="1" customWidth="1"/>
    <col min="11491" max="11521" width="9.140625" style="116"/>
    <col min="11522" max="11522" width="28.7109375" style="116" customWidth="1"/>
    <col min="11523" max="11523" width="42.85546875" style="116" customWidth="1"/>
    <col min="11524" max="11524" width="26.28515625" style="116" customWidth="1"/>
    <col min="11525" max="11525" width="17.42578125" style="116" customWidth="1"/>
    <col min="11526" max="11739" width="9.140625" style="116"/>
    <col min="11740" max="11740" width="28" style="116" customWidth="1"/>
    <col min="11741" max="11741" width="52" style="116" customWidth="1"/>
    <col min="11742" max="11742" width="27.28515625" style="116" customWidth="1"/>
    <col min="11743" max="11743" width="20.5703125" style="116" customWidth="1"/>
    <col min="11744" max="11745" width="9.140625" style="116"/>
    <col min="11746" max="11746" width="11.5703125" style="116" bestFit="1" customWidth="1"/>
    <col min="11747" max="11777" width="9.140625" style="116"/>
    <col min="11778" max="11778" width="28.7109375" style="116" customWidth="1"/>
    <col min="11779" max="11779" width="42.85546875" style="116" customWidth="1"/>
    <col min="11780" max="11780" width="26.28515625" style="116" customWidth="1"/>
    <col min="11781" max="11781" width="17.42578125" style="116" customWidth="1"/>
    <col min="11782" max="11995" width="9.140625" style="116"/>
    <col min="11996" max="11996" width="28" style="116" customWidth="1"/>
    <col min="11997" max="11997" width="52" style="116" customWidth="1"/>
    <col min="11998" max="11998" width="27.28515625" style="116" customWidth="1"/>
    <col min="11999" max="11999" width="20.5703125" style="116" customWidth="1"/>
    <col min="12000" max="12001" width="9.140625" style="116"/>
    <col min="12002" max="12002" width="11.5703125" style="116" bestFit="1" customWidth="1"/>
    <col min="12003" max="12033" width="9.140625" style="116"/>
    <col min="12034" max="12034" width="28.7109375" style="116" customWidth="1"/>
    <col min="12035" max="12035" width="42.85546875" style="116" customWidth="1"/>
    <col min="12036" max="12036" width="26.28515625" style="116" customWidth="1"/>
    <col min="12037" max="12037" width="17.42578125" style="116" customWidth="1"/>
    <col min="12038" max="12251" width="9.140625" style="116"/>
    <col min="12252" max="12252" width="28" style="116" customWidth="1"/>
    <col min="12253" max="12253" width="52" style="116" customWidth="1"/>
    <col min="12254" max="12254" width="27.28515625" style="116" customWidth="1"/>
    <col min="12255" max="12255" width="20.5703125" style="116" customWidth="1"/>
    <col min="12256" max="12257" width="9.140625" style="116"/>
    <col min="12258" max="12258" width="11.5703125" style="116" bestFit="1" customWidth="1"/>
    <col min="12259" max="12289" width="9.140625" style="116"/>
    <col min="12290" max="12290" width="28.7109375" style="116" customWidth="1"/>
    <col min="12291" max="12291" width="42.85546875" style="116" customWidth="1"/>
    <col min="12292" max="12292" width="26.28515625" style="116" customWidth="1"/>
    <col min="12293" max="12293" width="17.42578125" style="116" customWidth="1"/>
    <col min="12294" max="12507" width="9.140625" style="116"/>
    <col min="12508" max="12508" width="28" style="116" customWidth="1"/>
    <col min="12509" max="12509" width="52" style="116" customWidth="1"/>
    <col min="12510" max="12510" width="27.28515625" style="116" customWidth="1"/>
    <col min="12511" max="12511" width="20.5703125" style="116" customWidth="1"/>
    <col min="12512" max="12513" width="9.140625" style="116"/>
    <col min="12514" max="12514" width="11.5703125" style="116" bestFit="1" customWidth="1"/>
    <col min="12515" max="12545" width="9.140625" style="116"/>
    <col min="12546" max="12546" width="28.7109375" style="116" customWidth="1"/>
    <col min="12547" max="12547" width="42.85546875" style="116" customWidth="1"/>
    <col min="12548" max="12548" width="26.28515625" style="116" customWidth="1"/>
    <col min="12549" max="12549" width="17.42578125" style="116" customWidth="1"/>
    <col min="12550" max="12763" width="9.140625" style="116"/>
    <col min="12764" max="12764" width="28" style="116" customWidth="1"/>
    <col min="12765" max="12765" width="52" style="116" customWidth="1"/>
    <col min="12766" max="12766" width="27.28515625" style="116" customWidth="1"/>
    <col min="12767" max="12767" width="20.5703125" style="116" customWidth="1"/>
    <col min="12768" max="12769" width="9.140625" style="116"/>
    <col min="12770" max="12770" width="11.5703125" style="116" bestFit="1" customWidth="1"/>
    <col min="12771" max="12801" width="9.140625" style="116"/>
    <col min="12802" max="12802" width="28.7109375" style="116" customWidth="1"/>
    <col min="12803" max="12803" width="42.85546875" style="116" customWidth="1"/>
    <col min="12804" max="12804" width="26.28515625" style="116" customWidth="1"/>
    <col min="12805" max="12805" width="17.42578125" style="116" customWidth="1"/>
    <col min="12806" max="13019" width="9.140625" style="116"/>
    <col min="13020" max="13020" width="28" style="116" customWidth="1"/>
    <col min="13021" max="13021" width="52" style="116" customWidth="1"/>
    <col min="13022" max="13022" width="27.28515625" style="116" customWidth="1"/>
    <col min="13023" max="13023" width="20.5703125" style="116" customWidth="1"/>
    <col min="13024" max="13025" width="9.140625" style="116"/>
    <col min="13026" max="13026" width="11.5703125" style="116" bestFit="1" customWidth="1"/>
    <col min="13027" max="13057" width="9.140625" style="116"/>
    <col min="13058" max="13058" width="28.7109375" style="116" customWidth="1"/>
    <col min="13059" max="13059" width="42.85546875" style="116" customWidth="1"/>
    <col min="13060" max="13060" width="26.28515625" style="116" customWidth="1"/>
    <col min="13061" max="13061" width="17.42578125" style="116" customWidth="1"/>
    <col min="13062" max="13275" width="9.140625" style="116"/>
    <col min="13276" max="13276" width="28" style="116" customWidth="1"/>
    <col min="13277" max="13277" width="52" style="116" customWidth="1"/>
    <col min="13278" max="13278" width="27.28515625" style="116" customWidth="1"/>
    <col min="13279" max="13279" width="20.5703125" style="116" customWidth="1"/>
    <col min="13280" max="13281" width="9.140625" style="116"/>
    <col min="13282" max="13282" width="11.5703125" style="116" bestFit="1" customWidth="1"/>
    <col min="13283" max="13313" width="9.140625" style="116"/>
    <col min="13314" max="13314" width="28.7109375" style="116" customWidth="1"/>
    <col min="13315" max="13315" width="42.85546875" style="116" customWidth="1"/>
    <col min="13316" max="13316" width="26.28515625" style="116" customWidth="1"/>
    <col min="13317" max="13317" width="17.42578125" style="116" customWidth="1"/>
    <col min="13318" max="13531" width="9.140625" style="116"/>
    <col min="13532" max="13532" width="28" style="116" customWidth="1"/>
    <col min="13533" max="13533" width="52" style="116" customWidth="1"/>
    <col min="13534" max="13534" width="27.28515625" style="116" customWidth="1"/>
    <col min="13535" max="13535" width="20.5703125" style="116" customWidth="1"/>
    <col min="13536" max="13537" width="9.140625" style="116"/>
    <col min="13538" max="13538" width="11.5703125" style="116" bestFit="1" customWidth="1"/>
    <col min="13539" max="13569" width="9.140625" style="116"/>
    <col min="13570" max="13570" width="28.7109375" style="116" customWidth="1"/>
    <col min="13571" max="13571" width="42.85546875" style="116" customWidth="1"/>
    <col min="13572" max="13572" width="26.28515625" style="116" customWidth="1"/>
    <col min="13573" max="13573" width="17.42578125" style="116" customWidth="1"/>
    <col min="13574" max="13787" width="9.140625" style="116"/>
    <col min="13788" max="13788" width="28" style="116" customWidth="1"/>
    <col min="13789" max="13789" width="52" style="116" customWidth="1"/>
    <col min="13790" max="13790" width="27.28515625" style="116" customWidth="1"/>
    <col min="13791" max="13791" width="20.5703125" style="116" customWidth="1"/>
    <col min="13792" max="13793" width="9.140625" style="116"/>
    <col min="13794" max="13794" width="11.5703125" style="116" bestFit="1" customWidth="1"/>
    <col min="13795" max="13825" width="9.140625" style="116"/>
    <col min="13826" max="13826" width="28.7109375" style="116" customWidth="1"/>
    <col min="13827" max="13827" width="42.85546875" style="116" customWidth="1"/>
    <col min="13828" max="13828" width="26.28515625" style="116" customWidth="1"/>
    <col min="13829" max="13829" width="17.42578125" style="116" customWidth="1"/>
    <col min="13830" max="14043" width="9.140625" style="116"/>
    <col min="14044" max="14044" width="28" style="116" customWidth="1"/>
    <col min="14045" max="14045" width="52" style="116" customWidth="1"/>
    <col min="14046" max="14046" width="27.28515625" style="116" customWidth="1"/>
    <col min="14047" max="14047" width="20.5703125" style="116" customWidth="1"/>
    <col min="14048" max="14049" width="9.140625" style="116"/>
    <col min="14050" max="14050" width="11.5703125" style="116" bestFit="1" customWidth="1"/>
    <col min="14051" max="14081" width="9.140625" style="116"/>
    <col min="14082" max="14082" width="28.7109375" style="116" customWidth="1"/>
    <col min="14083" max="14083" width="42.85546875" style="116" customWidth="1"/>
    <col min="14084" max="14084" width="26.28515625" style="116" customWidth="1"/>
    <col min="14085" max="14085" width="17.42578125" style="116" customWidth="1"/>
    <col min="14086" max="14299" width="9.140625" style="116"/>
    <col min="14300" max="14300" width="28" style="116" customWidth="1"/>
    <col min="14301" max="14301" width="52" style="116" customWidth="1"/>
    <col min="14302" max="14302" width="27.28515625" style="116" customWidth="1"/>
    <col min="14303" max="14303" width="20.5703125" style="116" customWidth="1"/>
    <col min="14304" max="14305" width="9.140625" style="116"/>
    <col min="14306" max="14306" width="11.5703125" style="116" bestFit="1" customWidth="1"/>
    <col min="14307" max="14337" width="9.140625" style="116"/>
    <col min="14338" max="14338" width="28.7109375" style="116" customWidth="1"/>
    <col min="14339" max="14339" width="42.85546875" style="116" customWidth="1"/>
    <col min="14340" max="14340" width="26.28515625" style="116" customWidth="1"/>
    <col min="14341" max="14341" width="17.42578125" style="116" customWidth="1"/>
    <col min="14342" max="14555" width="9.140625" style="116"/>
    <col min="14556" max="14556" width="28" style="116" customWidth="1"/>
    <col min="14557" max="14557" width="52" style="116" customWidth="1"/>
    <col min="14558" max="14558" width="27.28515625" style="116" customWidth="1"/>
    <col min="14559" max="14559" width="20.5703125" style="116" customWidth="1"/>
    <col min="14560" max="14561" width="9.140625" style="116"/>
    <col min="14562" max="14562" width="11.5703125" style="116" bestFit="1" customWidth="1"/>
    <col min="14563" max="14593" width="9.140625" style="116"/>
    <col min="14594" max="14594" width="28.7109375" style="116" customWidth="1"/>
    <col min="14595" max="14595" width="42.85546875" style="116" customWidth="1"/>
    <col min="14596" max="14596" width="26.28515625" style="116" customWidth="1"/>
    <col min="14597" max="14597" width="17.42578125" style="116" customWidth="1"/>
    <col min="14598" max="14811" width="9.140625" style="116"/>
    <col min="14812" max="14812" width="28" style="116" customWidth="1"/>
    <col min="14813" max="14813" width="52" style="116" customWidth="1"/>
    <col min="14814" max="14814" width="27.28515625" style="116" customWidth="1"/>
    <col min="14815" max="14815" width="20.5703125" style="116" customWidth="1"/>
    <col min="14816" max="14817" width="9.140625" style="116"/>
    <col min="14818" max="14818" width="11.5703125" style="116" bestFit="1" customWidth="1"/>
    <col min="14819" max="14849" width="9.140625" style="116"/>
    <col min="14850" max="14850" width="28.7109375" style="116" customWidth="1"/>
    <col min="14851" max="14851" width="42.85546875" style="116" customWidth="1"/>
    <col min="14852" max="14852" width="26.28515625" style="116" customWidth="1"/>
    <col min="14853" max="14853" width="17.42578125" style="116" customWidth="1"/>
    <col min="14854" max="15067" width="9.140625" style="116"/>
    <col min="15068" max="15068" width="28" style="116" customWidth="1"/>
    <col min="15069" max="15069" width="52" style="116" customWidth="1"/>
    <col min="15070" max="15070" width="27.28515625" style="116" customWidth="1"/>
    <col min="15071" max="15071" width="20.5703125" style="116" customWidth="1"/>
    <col min="15072" max="15073" width="9.140625" style="116"/>
    <col min="15074" max="15074" width="11.5703125" style="116" bestFit="1" customWidth="1"/>
    <col min="15075" max="15105" width="9.140625" style="116"/>
    <col min="15106" max="15106" width="28.7109375" style="116" customWidth="1"/>
    <col min="15107" max="15107" width="42.85546875" style="116" customWidth="1"/>
    <col min="15108" max="15108" width="26.28515625" style="116" customWidth="1"/>
    <col min="15109" max="15109" width="17.42578125" style="116" customWidth="1"/>
    <col min="15110" max="15323" width="9.140625" style="116"/>
    <col min="15324" max="15324" width="28" style="116" customWidth="1"/>
    <col min="15325" max="15325" width="52" style="116" customWidth="1"/>
    <col min="15326" max="15326" width="27.28515625" style="116" customWidth="1"/>
    <col min="15327" max="15327" width="20.5703125" style="116" customWidth="1"/>
    <col min="15328" max="15329" width="9.140625" style="116"/>
    <col min="15330" max="15330" width="11.5703125" style="116" bestFit="1" customWidth="1"/>
    <col min="15331" max="15361" width="9.140625" style="116"/>
    <col min="15362" max="15362" width="28.7109375" style="116" customWidth="1"/>
    <col min="15363" max="15363" width="42.85546875" style="116" customWidth="1"/>
    <col min="15364" max="15364" width="26.28515625" style="116" customWidth="1"/>
    <col min="15365" max="15365" width="17.42578125" style="116" customWidth="1"/>
    <col min="15366" max="15579" width="9.140625" style="116"/>
    <col min="15580" max="15580" width="28" style="116" customWidth="1"/>
    <col min="15581" max="15581" width="52" style="116" customWidth="1"/>
    <col min="15582" max="15582" width="27.28515625" style="116" customWidth="1"/>
    <col min="15583" max="15583" width="20.5703125" style="116" customWidth="1"/>
    <col min="15584" max="15585" width="9.140625" style="116"/>
    <col min="15586" max="15586" width="11.5703125" style="116" bestFit="1" customWidth="1"/>
    <col min="15587" max="15617" width="9.140625" style="116"/>
    <col min="15618" max="15618" width="28.7109375" style="116" customWidth="1"/>
    <col min="15619" max="15619" width="42.85546875" style="116" customWidth="1"/>
    <col min="15620" max="15620" width="26.28515625" style="116" customWidth="1"/>
    <col min="15621" max="15621" width="17.42578125" style="116" customWidth="1"/>
    <col min="15622" max="15835" width="9.140625" style="116"/>
    <col min="15836" max="15836" width="28" style="116" customWidth="1"/>
    <col min="15837" max="15837" width="52" style="116" customWidth="1"/>
    <col min="15838" max="15838" width="27.28515625" style="116" customWidth="1"/>
    <col min="15839" max="15839" width="20.5703125" style="116" customWidth="1"/>
    <col min="15840" max="15841" width="9.140625" style="116"/>
    <col min="15842" max="15842" width="11.5703125" style="116" bestFit="1" customWidth="1"/>
    <col min="15843" max="15873" width="9.140625" style="116"/>
    <col min="15874" max="15874" width="28.7109375" style="116" customWidth="1"/>
    <col min="15875" max="15875" width="42.85546875" style="116" customWidth="1"/>
    <col min="15876" max="15876" width="26.28515625" style="116" customWidth="1"/>
    <col min="15877" max="15877" width="17.42578125" style="116" customWidth="1"/>
    <col min="15878" max="16091" width="9.140625" style="116"/>
    <col min="16092" max="16092" width="28" style="116" customWidth="1"/>
    <col min="16093" max="16093" width="52" style="116" customWidth="1"/>
    <col min="16094" max="16094" width="27.28515625" style="116" customWidth="1"/>
    <col min="16095" max="16095" width="20.5703125" style="116" customWidth="1"/>
    <col min="16096" max="16097" width="9.140625" style="116"/>
    <col min="16098" max="16098" width="11.5703125" style="116" bestFit="1" customWidth="1"/>
    <col min="16099" max="16129" width="9.140625" style="116"/>
    <col min="16130" max="16130" width="28.7109375" style="116" customWidth="1"/>
    <col min="16131" max="16131" width="42.85546875" style="116" customWidth="1"/>
    <col min="16132" max="16132" width="26.28515625" style="116" customWidth="1"/>
    <col min="16133" max="16133" width="17.42578125" style="116" customWidth="1"/>
    <col min="16134" max="16347" width="9.140625" style="116"/>
    <col min="16348" max="16348" width="28" style="116" customWidth="1"/>
    <col min="16349" max="16349" width="52" style="116" customWidth="1"/>
    <col min="16350" max="16350" width="27.28515625" style="116" customWidth="1"/>
    <col min="16351" max="16351" width="20.5703125" style="116" customWidth="1"/>
    <col min="16352" max="16353" width="9.140625" style="116"/>
    <col min="16354" max="16354" width="11.5703125" style="116" bestFit="1" customWidth="1"/>
    <col min="16355" max="16384" width="9.140625" style="116"/>
  </cols>
  <sheetData>
    <row r="1" spans="1:256" x14ac:dyDescent="0.2">
      <c r="A1" s="118"/>
      <c r="B1" s="52"/>
      <c r="C1" s="119"/>
      <c r="D1" s="120"/>
      <c r="E1" s="284" t="s">
        <v>383</v>
      </c>
      <c r="F1" s="121"/>
      <c r="G1" s="122"/>
      <c r="H1" s="121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</row>
    <row r="2" spans="1:256" x14ac:dyDescent="0.2">
      <c r="A2" s="118"/>
      <c r="B2" s="120"/>
      <c r="C2" s="124"/>
      <c r="D2" s="120"/>
      <c r="E2" s="285"/>
      <c r="F2" s="121"/>
      <c r="G2" s="122"/>
      <c r="H2" s="121"/>
      <c r="I2" s="122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</row>
    <row r="3" spans="1:256" x14ac:dyDescent="0.2">
      <c r="A3" s="458" t="str">
        <f>СВОД!E32</f>
        <v>Смета №1.11</v>
      </c>
      <c r="B3" s="458"/>
      <c r="C3" s="458"/>
      <c r="D3" s="458"/>
      <c r="E3" s="458"/>
      <c r="F3" s="125"/>
      <c r="G3" s="125"/>
      <c r="H3" s="125"/>
      <c r="I3" s="125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</row>
    <row r="4" spans="1:256" x14ac:dyDescent="0.2">
      <c r="A4" s="459" t="s">
        <v>384</v>
      </c>
      <c r="B4" s="459"/>
      <c r="C4" s="459"/>
      <c r="D4" s="459"/>
      <c r="E4" s="459"/>
      <c r="F4" s="126"/>
      <c r="G4" s="126"/>
      <c r="H4" s="126"/>
      <c r="I4" s="126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</row>
    <row r="5" spans="1:256" x14ac:dyDescent="0.2">
      <c r="A5" s="118"/>
      <c r="B5" s="120"/>
      <c r="C5" s="127"/>
      <c r="D5" s="120"/>
      <c r="E5" s="285"/>
      <c r="F5" s="121"/>
      <c r="G5" s="122"/>
      <c r="H5" s="121"/>
      <c r="I5" s="122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</row>
    <row r="6" spans="1:256" ht="25.5" x14ac:dyDescent="0.2">
      <c r="A6" s="118"/>
      <c r="B6" s="128" t="s">
        <v>385</v>
      </c>
      <c r="C6" s="460" t="str">
        <f>СВОД!B32</f>
        <v>Электрохимическая защита</v>
      </c>
      <c r="D6" s="460"/>
      <c r="E6" s="460"/>
      <c r="F6" s="129"/>
      <c r="G6" s="129"/>
      <c r="H6" s="129"/>
      <c r="I6" s="129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</row>
    <row r="7" spans="1:256" x14ac:dyDescent="0.2">
      <c r="A7" s="118"/>
      <c r="B7" s="130"/>
      <c r="C7" s="131"/>
      <c r="D7" s="130"/>
      <c r="E7" s="286"/>
      <c r="F7" s="132"/>
      <c r="G7" s="132"/>
      <c r="H7" s="132"/>
      <c r="I7" s="132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  <c r="CW7" s="133"/>
      <c r="CX7" s="133"/>
      <c r="CY7" s="133"/>
      <c r="CZ7" s="133"/>
      <c r="DA7" s="133"/>
      <c r="DB7" s="133"/>
      <c r="DC7" s="133"/>
      <c r="DD7" s="133"/>
      <c r="DE7" s="133"/>
      <c r="DF7" s="133"/>
      <c r="DG7" s="133"/>
      <c r="DH7" s="133"/>
      <c r="DI7" s="133"/>
      <c r="DJ7" s="133"/>
      <c r="DK7" s="133"/>
      <c r="DL7" s="133"/>
      <c r="DM7" s="133"/>
      <c r="DN7" s="133"/>
      <c r="DO7" s="133"/>
      <c r="DP7" s="133"/>
      <c r="DQ7" s="133"/>
      <c r="DR7" s="133"/>
      <c r="DS7" s="133"/>
      <c r="DT7" s="133"/>
      <c r="DU7" s="133"/>
      <c r="DV7" s="133"/>
      <c r="DW7" s="133"/>
      <c r="DX7" s="133"/>
      <c r="DY7" s="133"/>
      <c r="DZ7" s="133"/>
      <c r="EA7" s="133"/>
      <c r="EB7" s="133"/>
      <c r="EC7" s="133"/>
      <c r="ED7" s="133"/>
      <c r="EE7" s="133"/>
      <c r="EF7" s="133"/>
      <c r="EG7" s="133"/>
      <c r="EH7" s="133"/>
      <c r="EI7" s="133"/>
      <c r="EJ7" s="133"/>
      <c r="EK7" s="133"/>
      <c r="EL7" s="133"/>
      <c r="EM7" s="133"/>
      <c r="EN7" s="133"/>
      <c r="EO7" s="133"/>
      <c r="EP7" s="133"/>
      <c r="EQ7" s="133"/>
      <c r="ER7" s="133"/>
      <c r="ES7" s="133"/>
      <c r="ET7" s="133"/>
      <c r="EU7" s="133"/>
      <c r="EV7" s="133"/>
      <c r="EW7" s="133"/>
      <c r="EX7" s="133"/>
      <c r="EY7" s="133"/>
      <c r="EZ7" s="133"/>
      <c r="FA7" s="133"/>
      <c r="FB7" s="133"/>
      <c r="FC7" s="133"/>
      <c r="FD7" s="133"/>
      <c r="FE7" s="133"/>
      <c r="FF7" s="133"/>
      <c r="FG7" s="133"/>
      <c r="FH7" s="133"/>
      <c r="FI7" s="133"/>
      <c r="FJ7" s="133"/>
      <c r="FK7" s="133"/>
      <c r="FL7" s="133"/>
      <c r="FM7" s="133"/>
      <c r="FN7" s="133"/>
      <c r="FO7" s="133"/>
      <c r="FP7" s="133"/>
      <c r="FQ7" s="133"/>
      <c r="FR7" s="133"/>
      <c r="FS7" s="133"/>
      <c r="FT7" s="133"/>
      <c r="FU7" s="133"/>
      <c r="FV7" s="133"/>
      <c r="FW7" s="133"/>
      <c r="FX7" s="133"/>
      <c r="FY7" s="133"/>
      <c r="FZ7" s="133"/>
      <c r="GA7" s="133"/>
      <c r="GB7" s="133"/>
      <c r="GC7" s="133"/>
      <c r="GD7" s="133"/>
      <c r="GE7" s="133"/>
      <c r="GF7" s="133"/>
      <c r="GG7" s="133"/>
      <c r="GH7" s="133"/>
      <c r="GI7" s="133"/>
      <c r="GJ7" s="133"/>
      <c r="GK7" s="133"/>
      <c r="GL7" s="133"/>
      <c r="GM7" s="133"/>
      <c r="GN7" s="133"/>
      <c r="GO7" s="133"/>
      <c r="GP7" s="133"/>
      <c r="GQ7" s="133"/>
      <c r="GR7" s="133"/>
      <c r="GS7" s="133"/>
      <c r="GT7" s="133"/>
      <c r="GU7" s="133"/>
      <c r="GV7" s="133"/>
      <c r="GW7" s="133"/>
      <c r="GX7" s="133"/>
      <c r="GY7" s="133"/>
      <c r="GZ7" s="133"/>
      <c r="HA7" s="133"/>
      <c r="HB7" s="133"/>
      <c r="HC7" s="133"/>
      <c r="HD7" s="133"/>
      <c r="HE7" s="133"/>
      <c r="HF7" s="133"/>
      <c r="HG7" s="133"/>
      <c r="HH7" s="133"/>
      <c r="HI7" s="133"/>
      <c r="HJ7" s="133"/>
      <c r="HK7" s="133"/>
      <c r="HL7" s="133"/>
      <c r="HM7" s="133"/>
      <c r="HN7" s="133"/>
      <c r="HO7" s="133"/>
      <c r="HP7" s="133"/>
      <c r="HQ7" s="133"/>
      <c r="HR7" s="133"/>
      <c r="HS7" s="133"/>
      <c r="HT7" s="133"/>
      <c r="HU7" s="133"/>
      <c r="HV7" s="133"/>
      <c r="HW7" s="133"/>
      <c r="HX7" s="133"/>
      <c r="HY7" s="133"/>
      <c r="HZ7" s="133"/>
      <c r="IA7" s="133"/>
      <c r="IB7" s="133"/>
      <c r="IC7" s="133"/>
      <c r="ID7" s="133"/>
      <c r="IE7" s="133"/>
      <c r="IF7" s="133"/>
      <c r="IG7" s="133"/>
      <c r="IH7" s="133"/>
      <c r="II7" s="133"/>
      <c r="IJ7" s="133"/>
      <c r="IK7" s="133"/>
      <c r="IL7" s="133"/>
      <c r="IM7" s="133"/>
      <c r="IN7" s="133"/>
      <c r="IO7" s="133"/>
      <c r="IP7" s="133"/>
      <c r="IQ7" s="133"/>
      <c r="IR7" s="133"/>
      <c r="IS7" s="133"/>
      <c r="IT7" s="133"/>
      <c r="IU7" s="133"/>
      <c r="IV7" s="133"/>
    </row>
    <row r="8" spans="1:256" x14ac:dyDescent="0.2">
      <c r="A8" s="118"/>
      <c r="B8" s="134" t="s">
        <v>386</v>
      </c>
      <c r="C8" s="135" t="str">
        <f>СВОД!D14</f>
        <v>ОАО «СИБНЕФТЕТРАНСПРОЕКТ»</v>
      </c>
      <c r="D8" s="130"/>
      <c r="E8" s="287"/>
      <c r="F8" s="70"/>
      <c r="G8" s="136"/>
      <c r="H8" s="137"/>
      <c r="I8" s="138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</row>
    <row r="9" spans="1:256" x14ac:dyDescent="0.2">
      <c r="A9" s="118"/>
      <c r="B9" s="134" t="s">
        <v>387</v>
      </c>
      <c r="C9" s="127"/>
      <c r="D9" s="130"/>
      <c r="E9" s="287"/>
      <c r="F9" s="70"/>
      <c r="G9" s="74"/>
      <c r="H9" s="75"/>
      <c r="I9" s="74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3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  <c r="HC9" s="123"/>
      <c r="HD9" s="123"/>
      <c r="HE9" s="123"/>
      <c r="HF9" s="123"/>
      <c r="HG9" s="123"/>
      <c r="HH9" s="123"/>
      <c r="HI9" s="123"/>
      <c r="HJ9" s="123"/>
      <c r="HK9" s="123"/>
      <c r="HL9" s="123"/>
      <c r="HM9" s="123"/>
      <c r="HN9" s="123"/>
      <c r="HO9" s="123"/>
      <c r="HP9" s="123"/>
      <c r="HQ9" s="123"/>
      <c r="HR9" s="123"/>
      <c r="HS9" s="123"/>
      <c r="HT9" s="123"/>
      <c r="HU9" s="123"/>
      <c r="HV9" s="123"/>
      <c r="HW9" s="123"/>
      <c r="HX9" s="123"/>
      <c r="HY9" s="123"/>
      <c r="HZ9" s="123"/>
      <c r="IA9" s="123"/>
      <c r="IB9" s="123"/>
      <c r="IC9" s="123"/>
      <c r="ID9" s="123"/>
      <c r="IE9" s="123"/>
      <c r="IF9" s="123"/>
      <c r="IG9" s="123"/>
      <c r="IH9" s="123"/>
      <c r="II9" s="123"/>
      <c r="IJ9" s="123"/>
      <c r="IK9" s="123"/>
      <c r="IL9" s="123"/>
      <c r="IM9" s="123"/>
      <c r="IN9" s="123"/>
      <c r="IO9" s="123"/>
      <c r="IP9" s="123"/>
      <c r="IQ9" s="123"/>
      <c r="IR9" s="123"/>
      <c r="IS9" s="123"/>
      <c r="IT9" s="123"/>
      <c r="IU9" s="123"/>
      <c r="IV9" s="123"/>
    </row>
    <row r="10" spans="1:256" x14ac:dyDescent="0.2">
      <c r="A10" s="118"/>
      <c r="B10" s="134"/>
      <c r="C10" s="135"/>
      <c r="D10" s="130"/>
      <c r="E10" s="287"/>
      <c r="F10" s="70"/>
      <c r="G10" s="74"/>
      <c r="H10" s="75"/>
      <c r="I10" s="74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3"/>
      <c r="EB10" s="123"/>
      <c r="EC10" s="123"/>
      <c r="ED10" s="123"/>
      <c r="EE10" s="12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  <c r="HI10" s="12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3"/>
      <c r="HV10" s="123"/>
      <c r="HW10" s="123"/>
      <c r="HX10" s="123"/>
      <c r="HY10" s="12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3"/>
      <c r="IL10" s="123"/>
      <c r="IM10" s="123"/>
      <c r="IN10" s="123"/>
      <c r="IO10" s="123"/>
      <c r="IP10" s="123"/>
      <c r="IQ10" s="123"/>
      <c r="IR10" s="123"/>
      <c r="IS10" s="123"/>
      <c r="IT10" s="123"/>
      <c r="IU10" s="123"/>
      <c r="IV10" s="123"/>
    </row>
    <row r="11" spans="1:256" x14ac:dyDescent="0.2">
      <c r="A11" s="118"/>
      <c r="B11" s="139" t="s">
        <v>388</v>
      </c>
      <c r="C11" s="135" t="str">
        <f>СВОД!D16</f>
        <v>ООО «Газпром проектирование»</v>
      </c>
      <c r="D11" s="130"/>
      <c r="E11" s="287"/>
      <c r="F11" s="75"/>
      <c r="G11" s="74"/>
      <c r="H11" s="75"/>
      <c r="I11" s="74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  <c r="EB11" s="123"/>
      <c r="EC11" s="123"/>
      <c r="ED11" s="123"/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  <c r="HI11" s="12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3"/>
      <c r="HV11" s="123"/>
      <c r="HW11" s="123"/>
      <c r="HX11" s="123"/>
      <c r="HY11" s="12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3"/>
      <c r="IL11" s="123"/>
      <c r="IM11" s="123"/>
      <c r="IN11" s="123"/>
      <c r="IO11" s="123"/>
      <c r="IP11" s="123"/>
      <c r="IQ11" s="123"/>
      <c r="IR11" s="123"/>
      <c r="IS11" s="123"/>
      <c r="IT11" s="123"/>
      <c r="IU11" s="123"/>
      <c r="IV11" s="123"/>
    </row>
    <row r="12" spans="1:256" x14ac:dyDescent="0.2">
      <c r="A12" s="118"/>
      <c r="B12" s="139" t="s">
        <v>389</v>
      </c>
      <c r="C12" s="135"/>
      <c r="D12" s="130"/>
      <c r="E12" s="288"/>
      <c r="F12" s="75"/>
      <c r="G12" s="74"/>
      <c r="H12" s="75"/>
      <c r="I12" s="74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  <c r="HI12" s="12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IQ12" s="123"/>
      <c r="IR12" s="123"/>
      <c r="IS12" s="123"/>
      <c r="IT12" s="123"/>
      <c r="IU12" s="123"/>
      <c r="IV12" s="123"/>
    </row>
    <row r="13" spans="1:256" ht="13.5" thickBot="1" x14ac:dyDescent="0.25">
      <c r="A13" s="118"/>
      <c r="B13" s="140" t="s">
        <v>3</v>
      </c>
      <c r="C13" s="127"/>
      <c r="D13" s="120"/>
      <c r="E13" s="285"/>
      <c r="F13" s="121"/>
      <c r="G13" s="141"/>
      <c r="H13" s="122"/>
      <c r="I13" s="122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</row>
    <row r="14" spans="1:256" ht="70.5" customHeight="1" thickBot="1" x14ac:dyDescent="0.25">
      <c r="A14" s="142" t="s">
        <v>390</v>
      </c>
      <c r="B14" s="143" t="s">
        <v>391</v>
      </c>
      <c r="C14" s="144" t="s">
        <v>392</v>
      </c>
      <c r="D14" s="143" t="s">
        <v>393</v>
      </c>
      <c r="E14" s="289" t="s">
        <v>46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  <c r="GF14" s="145"/>
      <c r="GG14" s="145"/>
      <c r="GH14" s="145"/>
      <c r="GI14" s="145"/>
      <c r="GJ14" s="145"/>
      <c r="GK14" s="145"/>
      <c r="GL14" s="145"/>
      <c r="GM14" s="145"/>
      <c r="GN14" s="145"/>
      <c r="GO14" s="145"/>
      <c r="GP14" s="145"/>
      <c r="GQ14" s="145"/>
      <c r="GR14" s="145"/>
      <c r="GS14" s="145"/>
      <c r="GT14" s="145"/>
      <c r="GU14" s="145"/>
      <c r="GV14" s="145"/>
      <c r="GW14" s="145"/>
      <c r="GX14" s="145"/>
      <c r="GY14" s="145"/>
      <c r="GZ14" s="145"/>
      <c r="HA14" s="145"/>
      <c r="HB14" s="145"/>
      <c r="HC14" s="145"/>
      <c r="HD14" s="145"/>
      <c r="HE14" s="145"/>
      <c r="HF14" s="145"/>
      <c r="HG14" s="145"/>
      <c r="HH14" s="145"/>
      <c r="HI14" s="145"/>
      <c r="HJ14" s="145"/>
      <c r="HK14" s="145"/>
      <c r="HL14" s="145"/>
      <c r="HM14" s="145"/>
      <c r="HN14" s="145"/>
      <c r="HO14" s="145"/>
      <c r="HP14" s="145"/>
      <c r="HQ14" s="145"/>
      <c r="HR14" s="145"/>
      <c r="HS14" s="145"/>
      <c r="HT14" s="145"/>
      <c r="HU14" s="145"/>
      <c r="HV14" s="145"/>
      <c r="HW14" s="145"/>
      <c r="HX14" s="145"/>
      <c r="HY14" s="145"/>
      <c r="HZ14" s="145"/>
      <c r="IA14" s="145"/>
      <c r="IB14" s="145"/>
      <c r="IC14" s="145"/>
      <c r="ID14" s="145"/>
      <c r="IE14" s="145"/>
      <c r="IF14" s="145"/>
      <c r="IG14" s="145"/>
      <c r="IH14" s="145"/>
      <c r="II14" s="145"/>
      <c r="IJ14" s="145"/>
      <c r="IK14" s="145"/>
      <c r="IL14" s="145"/>
      <c r="IM14" s="145"/>
      <c r="IN14" s="145"/>
      <c r="IO14" s="145"/>
      <c r="IP14" s="145"/>
      <c r="IQ14" s="145"/>
      <c r="IR14" s="145"/>
      <c r="IS14" s="145"/>
      <c r="IT14" s="145"/>
      <c r="IU14" s="145"/>
      <c r="IV14" s="145"/>
    </row>
    <row r="15" spans="1:256" ht="13.5" thickBot="1" x14ac:dyDescent="0.25">
      <c r="A15" s="146">
        <v>1</v>
      </c>
      <c r="B15" s="146">
        <v>2</v>
      </c>
      <c r="C15" s="147">
        <v>3</v>
      </c>
      <c r="D15" s="146">
        <v>4</v>
      </c>
      <c r="E15" s="290">
        <v>5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</row>
    <row r="16" spans="1:256" ht="3.75" customHeight="1" thickBot="1" x14ac:dyDescent="0.25">
      <c r="A16" s="148"/>
      <c r="B16" s="149"/>
      <c r="C16" s="150"/>
      <c r="D16" s="150"/>
      <c r="E16" s="29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51"/>
      <c r="EC16" s="151"/>
      <c r="ED16" s="151"/>
      <c r="EE16" s="151"/>
      <c r="EF16" s="151"/>
      <c r="EG16" s="151"/>
      <c r="EH16" s="151"/>
      <c r="EI16" s="151"/>
      <c r="EJ16" s="151"/>
      <c r="EK16" s="151"/>
      <c r="EL16" s="151"/>
      <c r="EM16" s="151"/>
      <c r="EN16" s="151"/>
      <c r="EO16" s="151"/>
      <c r="EP16" s="151"/>
      <c r="EQ16" s="151"/>
      <c r="ER16" s="151"/>
      <c r="ES16" s="151"/>
      <c r="ET16" s="151"/>
      <c r="EU16" s="151"/>
      <c r="EV16" s="151"/>
      <c r="EW16" s="151"/>
      <c r="EX16" s="151"/>
      <c r="EY16" s="151"/>
      <c r="EZ16" s="151"/>
      <c r="FA16" s="151"/>
      <c r="FB16" s="151"/>
      <c r="FC16" s="151"/>
      <c r="FD16" s="151"/>
      <c r="FE16" s="151"/>
      <c r="FF16" s="151"/>
      <c r="FG16" s="151"/>
      <c r="FH16" s="151"/>
      <c r="FI16" s="151"/>
      <c r="FJ16" s="151"/>
      <c r="FK16" s="151"/>
      <c r="FL16" s="151"/>
      <c r="FM16" s="151"/>
      <c r="FN16" s="151"/>
      <c r="FO16" s="151"/>
      <c r="FP16" s="151"/>
      <c r="FQ16" s="151"/>
      <c r="FR16" s="151"/>
      <c r="FS16" s="151"/>
      <c r="FT16" s="151"/>
      <c r="FU16" s="151"/>
      <c r="FV16" s="151"/>
      <c r="FW16" s="151"/>
      <c r="FX16" s="151"/>
      <c r="FY16" s="151"/>
      <c r="FZ16" s="151"/>
      <c r="GA16" s="151"/>
      <c r="GB16" s="151"/>
      <c r="GC16" s="151"/>
      <c r="GD16" s="151"/>
      <c r="GE16" s="151"/>
      <c r="GF16" s="151"/>
      <c r="GG16" s="151"/>
      <c r="GH16" s="151"/>
      <c r="GI16" s="151"/>
      <c r="GJ16" s="151"/>
      <c r="GK16" s="151"/>
      <c r="GL16" s="151"/>
      <c r="GM16" s="151"/>
      <c r="GN16" s="151"/>
      <c r="GO16" s="151"/>
      <c r="GP16" s="151"/>
      <c r="GQ16" s="151"/>
      <c r="GR16" s="151"/>
      <c r="GS16" s="151"/>
      <c r="GT16" s="151"/>
      <c r="GU16" s="151"/>
      <c r="GV16" s="151"/>
      <c r="GW16" s="151"/>
      <c r="GX16" s="151"/>
      <c r="GY16" s="151"/>
      <c r="GZ16" s="151"/>
      <c r="HA16" s="151"/>
      <c r="HB16" s="151"/>
      <c r="HC16" s="151"/>
      <c r="HD16" s="151"/>
      <c r="HE16" s="151"/>
      <c r="HF16" s="151"/>
      <c r="HG16" s="151"/>
      <c r="HH16" s="151"/>
      <c r="HI16" s="151"/>
      <c r="HJ16" s="151"/>
      <c r="HK16" s="151"/>
      <c r="HL16" s="151"/>
      <c r="HM16" s="151"/>
      <c r="HN16" s="151"/>
      <c r="HO16" s="151"/>
      <c r="HP16" s="151"/>
      <c r="HQ16" s="151"/>
      <c r="HR16" s="151"/>
      <c r="HS16" s="151"/>
      <c r="HT16" s="151"/>
      <c r="HU16" s="151"/>
      <c r="HV16" s="151"/>
      <c r="HW16" s="151"/>
      <c r="HX16" s="151"/>
      <c r="HY16" s="151"/>
      <c r="HZ16" s="151"/>
      <c r="IA16" s="151"/>
      <c r="IB16" s="151"/>
      <c r="IC16" s="151"/>
      <c r="ID16" s="151"/>
      <c r="IE16" s="151"/>
      <c r="IF16" s="151"/>
      <c r="IG16" s="151"/>
      <c r="IH16" s="151"/>
      <c r="II16" s="151"/>
      <c r="IJ16" s="151"/>
      <c r="IK16" s="151"/>
      <c r="IL16" s="151"/>
      <c r="IM16" s="151"/>
      <c r="IN16" s="151"/>
      <c r="IO16" s="151"/>
      <c r="IP16" s="151"/>
      <c r="IQ16" s="151"/>
      <c r="IR16" s="151"/>
      <c r="IS16" s="151"/>
      <c r="IT16" s="151"/>
      <c r="IU16" s="151"/>
      <c r="IV16" s="152"/>
    </row>
    <row r="17" spans="1:10" ht="13.5" thickBot="1" x14ac:dyDescent="0.25">
      <c r="A17" s="446" t="s">
        <v>80</v>
      </c>
      <c r="B17" s="447"/>
      <c r="C17" s="447"/>
      <c r="D17" s="447"/>
      <c r="E17" s="448"/>
      <c r="F17" s="219"/>
      <c r="G17" s="219"/>
      <c r="H17" s="219"/>
      <c r="I17" s="219"/>
      <c r="J17" s="219"/>
    </row>
    <row r="18" spans="1:10" ht="13.5" thickBot="1" x14ac:dyDescent="0.25">
      <c r="A18" s="446" t="s">
        <v>560</v>
      </c>
      <c r="B18" s="447"/>
      <c r="C18" s="447"/>
      <c r="D18" s="447"/>
      <c r="E18" s="448"/>
      <c r="F18" s="219"/>
      <c r="G18" s="219"/>
      <c r="H18" s="219"/>
      <c r="I18" s="219"/>
      <c r="J18" s="219"/>
    </row>
    <row r="19" spans="1:10" ht="63.75" x14ac:dyDescent="0.2">
      <c r="A19" s="437">
        <v>1</v>
      </c>
      <c r="B19" s="440" t="s">
        <v>561</v>
      </c>
      <c r="C19" s="111" t="s">
        <v>562</v>
      </c>
      <c r="D19" s="437" t="s">
        <v>729</v>
      </c>
      <c r="E19" s="443">
        <f>(5148+30850*1)*7.22*0.6</f>
        <v>155943.33599999998</v>
      </c>
      <c r="F19" s="219"/>
      <c r="G19" s="219"/>
      <c r="H19" s="219"/>
      <c r="I19" s="219"/>
      <c r="J19" s="219"/>
    </row>
    <row r="20" spans="1:10" x14ac:dyDescent="0.2">
      <c r="A20" s="438"/>
      <c r="B20" s="441"/>
      <c r="C20" s="111" t="s">
        <v>715</v>
      </c>
      <c r="D20" s="438"/>
      <c r="E20" s="444"/>
      <c r="F20" s="219"/>
      <c r="G20" s="219"/>
      <c r="H20" s="219"/>
      <c r="I20" s="219"/>
      <c r="J20" s="219"/>
    </row>
    <row r="21" spans="1:10" ht="13.5" thickBot="1" x14ac:dyDescent="0.25">
      <c r="A21" s="439"/>
      <c r="B21" s="442"/>
      <c r="C21" s="112" t="s">
        <v>563</v>
      </c>
      <c r="D21" s="439"/>
      <c r="E21" s="445"/>
      <c r="F21" s="219"/>
      <c r="G21" s="219"/>
      <c r="H21" s="219"/>
      <c r="I21" s="219"/>
      <c r="J21" s="219"/>
    </row>
    <row r="22" spans="1:10" ht="63.75" x14ac:dyDescent="0.2">
      <c r="A22" s="437">
        <v>2</v>
      </c>
      <c r="B22" s="440" t="s">
        <v>564</v>
      </c>
      <c r="C22" s="111" t="s">
        <v>562</v>
      </c>
      <c r="D22" s="437" t="s">
        <v>986</v>
      </c>
      <c r="E22" s="443">
        <f>(5148+30850*4)*7.22*0.6*0.031</f>
        <v>17262.968015999999</v>
      </c>
      <c r="F22" s="219"/>
      <c r="G22" s="219"/>
      <c r="H22" s="219"/>
      <c r="I22" s="219"/>
      <c r="J22" s="219"/>
    </row>
    <row r="23" spans="1:10" x14ac:dyDescent="0.2">
      <c r="A23" s="438"/>
      <c r="B23" s="441"/>
      <c r="C23" s="111" t="s">
        <v>715</v>
      </c>
      <c r="D23" s="438"/>
      <c r="E23" s="444"/>
      <c r="F23" s="219"/>
      <c r="G23" s="219"/>
      <c r="H23" s="219"/>
      <c r="I23" s="219"/>
      <c r="J23" s="219"/>
    </row>
    <row r="24" spans="1:10" x14ac:dyDescent="0.2">
      <c r="A24" s="438"/>
      <c r="B24" s="441"/>
      <c r="C24" s="111" t="s">
        <v>563</v>
      </c>
      <c r="D24" s="438"/>
      <c r="E24" s="444"/>
      <c r="F24" s="219"/>
      <c r="G24" s="219"/>
      <c r="H24" s="219"/>
      <c r="I24" s="219"/>
      <c r="J24" s="219"/>
    </row>
    <row r="25" spans="1:10" ht="13.5" thickBot="1" x14ac:dyDescent="0.25">
      <c r="A25" s="439"/>
      <c r="B25" s="442"/>
      <c r="C25" s="112" t="s">
        <v>565</v>
      </c>
      <c r="D25" s="439"/>
      <c r="E25" s="445"/>
      <c r="F25" s="219"/>
      <c r="G25" s="219"/>
      <c r="H25" s="219"/>
      <c r="I25" s="219"/>
      <c r="J25" s="219"/>
    </row>
    <row r="26" spans="1:10" ht="51" x14ac:dyDescent="0.2">
      <c r="A26" s="437">
        <v>3</v>
      </c>
      <c r="B26" s="440" t="s">
        <v>566</v>
      </c>
      <c r="C26" s="111" t="s">
        <v>567</v>
      </c>
      <c r="D26" s="437" t="s">
        <v>987</v>
      </c>
      <c r="E26" s="443">
        <f>20435*7.22*0.6*8</f>
        <v>708195.35999999987</v>
      </c>
      <c r="F26" s="219"/>
      <c r="G26" s="219"/>
      <c r="H26" s="219"/>
      <c r="I26" s="219"/>
      <c r="J26" s="219"/>
    </row>
    <row r="27" spans="1:10" x14ac:dyDescent="0.2">
      <c r="A27" s="438"/>
      <c r="B27" s="441"/>
      <c r="C27" s="111" t="s">
        <v>715</v>
      </c>
      <c r="D27" s="438"/>
      <c r="E27" s="444"/>
      <c r="F27" s="219"/>
      <c r="G27" s="219"/>
      <c r="H27" s="219"/>
      <c r="I27" s="219"/>
      <c r="J27" s="219"/>
    </row>
    <row r="28" spans="1:10" x14ac:dyDescent="0.2">
      <c r="A28" s="438"/>
      <c r="B28" s="441"/>
      <c r="C28" s="111" t="s">
        <v>563</v>
      </c>
      <c r="D28" s="438"/>
      <c r="E28" s="444"/>
      <c r="F28" s="219"/>
      <c r="G28" s="219"/>
      <c r="H28" s="219"/>
      <c r="I28" s="219"/>
      <c r="J28" s="219"/>
    </row>
    <row r="29" spans="1:10" ht="13.5" thickBot="1" x14ac:dyDescent="0.25">
      <c r="A29" s="439"/>
      <c r="B29" s="442"/>
      <c r="C29" s="112" t="s">
        <v>568</v>
      </c>
      <c r="D29" s="439"/>
      <c r="E29" s="445"/>
      <c r="F29" s="219"/>
      <c r="G29" s="219"/>
      <c r="H29" s="219"/>
      <c r="I29" s="219"/>
      <c r="J29" s="219"/>
    </row>
    <row r="30" spans="1:10" ht="63.75" x14ac:dyDescent="0.2">
      <c r="A30" s="437">
        <v>4</v>
      </c>
      <c r="B30" s="440" t="s">
        <v>569</v>
      </c>
      <c r="C30" s="111" t="s">
        <v>570</v>
      </c>
      <c r="D30" s="437" t="s">
        <v>988</v>
      </c>
      <c r="E30" s="443">
        <f>495483*7.22*0.6*0.007*40</f>
        <v>601001.05967999995</v>
      </c>
      <c r="F30" s="219"/>
      <c r="G30" s="219"/>
      <c r="H30" s="219"/>
      <c r="I30" s="219"/>
      <c r="J30" s="219"/>
    </row>
    <row r="31" spans="1:10" x14ac:dyDescent="0.2">
      <c r="A31" s="438"/>
      <c r="B31" s="441"/>
      <c r="C31" s="111" t="s">
        <v>715</v>
      </c>
      <c r="D31" s="438"/>
      <c r="E31" s="444"/>
      <c r="F31" s="219"/>
      <c r="G31" s="219"/>
      <c r="H31" s="219"/>
      <c r="I31" s="219"/>
      <c r="J31" s="219"/>
    </row>
    <row r="32" spans="1:10" x14ac:dyDescent="0.2">
      <c r="A32" s="438"/>
      <c r="B32" s="441"/>
      <c r="C32" s="111" t="s">
        <v>563</v>
      </c>
      <c r="D32" s="438"/>
      <c r="E32" s="444"/>
      <c r="F32" s="219"/>
      <c r="G32" s="219"/>
      <c r="H32" s="219"/>
      <c r="I32" s="219"/>
      <c r="J32" s="219"/>
    </row>
    <row r="33" spans="1:7" x14ac:dyDescent="0.2">
      <c r="A33" s="438"/>
      <c r="B33" s="441"/>
      <c r="C33" s="111" t="s">
        <v>571</v>
      </c>
      <c r="D33" s="438"/>
      <c r="E33" s="444"/>
    </row>
    <row r="34" spans="1:7" ht="13.5" thickBot="1" x14ac:dyDescent="0.25">
      <c r="A34" s="439"/>
      <c r="B34" s="442"/>
      <c r="C34" s="112" t="s">
        <v>572</v>
      </c>
      <c r="D34" s="439"/>
      <c r="E34" s="445"/>
    </row>
    <row r="35" spans="1:7" ht="38.25" x14ac:dyDescent="0.2">
      <c r="A35" s="437">
        <v>5</v>
      </c>
      <c r="B35" s="440" t="s">
        <v>573</v>
      </c>
      <c r="C35" s="111" t="s">
        <v>574</v>
      </c>
      <c r="D35" s="437" t="s">
        <v>989</v>
      </c>
      <c r="E35" s="443">
        <f>20435*7.22*0.6*40*0.1</f>
        <v>354097.67999999993</v>
      </c>
    </row>
    <row r="36" spans="1:7" x14ac:dyDescent="0.2">
      <c r="A36" s="438"/>
      <c r="B36" s="441"/>
      <c r="C36" s="111" t="s">
        <v>715</v>
      </c>
      <c r="D36" s="438"/>
      <c r="E36" s="444"/>
    </row>
    <row r="37" spans="1:7" x14ac:dyDescent="0.2">
      <c r="A37" s="438"/>
      <c r="B37" s="441"/>
      <c r="C37" s="111" t="s">
        <v>563</v>
      </c>
      <c r="D37" s="438"/>
      <c r="E37" s="444"/>
    </row>
    <row r="38" spans="1:7" x14ac:dyDescent="0.2">
      <c r="A38" s="438"/>
      <c r="B38" s="441"/>
      <c r="C38" s="111" t="s">
        <v>575</v>
      </c>
      <c r="D38" s="438"/>
      <c r="E38" s="444"/>
    </row>
    <row r="39" spans="1:7" ht="13.5" thickBot="1" x14ac:dyDescent="0.25">
      <c r="A39" s="439"/>
      <c r="B39" s="442"/>
      <c r="C39" s="112" t="s">
        <v>576</v>
      </c>
      <c r="D39" s="439"/>
      <c r="E39" s="445"/>
    </row>
    <row r="40" spans="1:7" ht="51" x14ac:dyDescent="0.2">
      <c r="A40" s="437">
        <v>6</v>
      </c>
      <c r="B40" s="440" t="s">
        <v>577</v>
      </c>
      <c r="C40" s="111" t="s">
        <v>578</v>
      </c>
      <c r="D40" s="437" t="s">
        <v>990</v>
      </c>
      <c r="E40" s="443">
        <f>(9996+22090*4)*7.22*0.6</f>
        <v>426078.19199999998</v>
      </c>
    </row>
    <row r="41" spans="1:7" x14ac:dyDescent="0.2">
      <c r="A41" s="438"/>
      <c r="B41" s="441"/>
      <c r="C41" s="111" t="s">
        <v>715</v>
      </c>
      <c r="D41" s="438"/>
      <c r="E41" s="444"/>
    </row>
    <row r="42" spans="1:7" ht="13.5" thickBot="1" x14ac:dyDescent="0.25">
      <c r="A42" s="439"/>
      <c r="B42" s="442"/>
      <c r="C42" s="112" t="s">
        <v>563</v>
      </c>
      <c r="D42" s="439"/>
      <c r="E42" s="445"/>
    </row>
    <row r="43" spans="1:7" ht="13.5" thickBot="1" x14ac:dyDescent="0.25">
      <c r="A43" s="470" t="s">
        <v>712</v>
      </c>
      <c r="B43" s="471"/>
      <c r="C43" s="471"/>
      <c r="D43" s="471"/>
      <c r="E43" s="472"/>
      <c r="G43" s="250" t="s">
        <v>807</v>
      </c>
    </row>
    <row r="44" spans="1:7" ht="13.5" thickBot="1" x14ac:dyDescent="0.25">
      <c r="A44" s="470" t="s">
        <v>713</v>
      </c>
      <c r="B44" s="471"/>
      <c r="C44" s="471"/>
      <c r="D44" s="471"/>
      <c r="E44" s="472"/>
    </row>
    <row r="45" spans="1:7" ht="63.75" x14ac:dyDescent="0.2">
      <c r="A45" s="461">
        <v>1</v>
      </c>
      <c r="B45" s="464" t="s">
        <v>714</v>
      </c>
      <c r="C45" s="247" t="s">
        <v>570</v>
      </c>
      <c r="D45" s="461" t="s">
        <v>717</v>
      </c>
      <c r="E45" s="467">
        <v>2042760</v>
      </c>
    </row>
    <row r="46" spans="1:7" x14ac:dyDescent="0.2">
      <c r="A46" s="462"/>
      <c r="B46" s="465"/>
      <c r="C46" s="247" t="s">
        <v>715</v>
      </c>
      <c r="D46" s="462"/>
      <c r="E46" s="468"/>
    </row>
    <row r="47" spans="1:7" x14ac:dyDescent="0.2">
      <c r="A47" s="462"/>
      <c r="B47" s="465"/>
      <c r="C47" s="247" t="s">
        <v>563</v>
      </c>
      <c r="D47" s="462"/>
      <c r="E47" s="468"/>
    </row>
    <row r="48" spans="1:7" x14ac:dyDescent="0.2">
      <c r="A48" s="462"/>
      <c r="B48" s="465"/>
      <c r="C48" s="247" t="s">
        <v>565</v>
      </c>
      <c r="D48" s="462"/>
      <c r="E48" s="468"/>
    </row>
    <row r="49" spans="1:5" ht="13.5" thickBot="1" x14ac:dyDescent="0.25">
      <c r="A49" s="463"/>
      <c r="B49" s="466"/>
      <c r="C49" s="110" t="s">
        <v>716</v>
      </c>
      <c r="D49" s="463"/>
      <c r="E49" s="469"/>
    </row>
    <row r="50" spans="1:5" ht="63.75" x14ac:dyDescent="0.2">
      <c r="A50" s="461">
        <v>2</v>
      </c>
      <c r="B50" s="464" t="s">
        <v>718</v>
      </c>
      <c r="C50" s="247" t="s">
        <v>570</v>
      </c>
      <c r="D50" s="461" t="s">
        <v>720</v>
      </c>
      <c r="E50" s="467">
        <v>596494</v>
      </c>
    </row>
    <row r="51" spans="1:5" x14ac:dyDescent="0.2">
      <c r="A51" s="462"/>
      <c r="B51" s="465"/>
      <c r="C51" s="247" t="s">
        <v>715</v>
      </c>
      <c r="D51" s="462"/>
      <c r="E51" s="468"/>
    </row>
    <row r="52" spans="1:5" x14ac:dyDescent="0.2">
      <c r="A52" s="462"/>
      <c r="B52" s="465"/>
      <c r="C52" s="247" t="s">
        <v>563</v>
      </c>
      <c r="D52" s="462"/>
      <c r="E52" s="468"/>
    </row>
    <row r="53" spans="1:5" x14ac:dyDescent="0.2">
      <c r="A53" s="462"/>
      <c r="B53" s="465"/>
      <c r="C53" s="247" t="s">
        <v>571</v>
      </c>
      <c r="D53" s="462"/>
      <c r="E53" s="468"/>
    </row>
    <row r="54" spans="1:5" ht="13.5" thickBot="1" x14ac:dyDescent="0.25">
      <c r="A54" s="463"/>
      <c r="B54" s="466"/>
      <c r="C54" s="110" t="s">
        <v>719</v>
      </c>
      <c r="D54" s="463"/>
      <c r="E54" s="469"/>
    </row>
    <row r="55" spans="1:5" ht="38.25" x14ac:dyDescent="0.2">
      <c r="A55" s="461">
        <v>3</v>
      </c>
      <c r="B55" s="464" t="s">
        <v>721</v>
      </c>
      <c r="C55" s="247" t="s">
        <v>574</v>
      </c>
      <c r="D55" s="461" t="s">
        <v>723</v>
      </c>
      <c r="E55" s="467">
        <v>298327</v>
      </c>
    </row>
    <row r="56" spans="1:5" x14ac:dyDescent="0.2">
      <c r="A56" s="462"/>
      <c r="B56" s="465"/>
      <c r="C56" s="247" t="s">
        <v>715</v>
      </c>
      <c r="D56" s="462"/>
      <c r="E56" s="468"/>
    </row>
    <row r="57" spans="1:5" x14ac:dyDescent="0.2">
      <c r="A57" s="462"/>
      <c r="B57" s="465"/>
      <c r="C57" s="247" t="s">
        <v>563</v>
      </c>
      <c r="D57" s="462"/>
      <c r="E57" s="468"/>
    </row>
    <row r="58" spans="1:5" x14ac:dyDescent="0.2">
      <c r="A58" s="462"/>
      <c r="B58" s="465"/>
      <c r="C58" s="247" t="s">
        <v>722</v>
      </c>
      <c r="D58" s="462"/>
      <c r="E58" s="468"/>
    </row>
    <row r="59" spans="1:5" ht="13.5" thickBot="1" x14ac:dyDescent="0.25">
      <c r="A59" s="463"/>
      <c r="B59" s="466"/>
      <c r="C59" s="110" t="s">
        <v>576</v>
      </c>
      <c r="D59" s="463"/>
      <c r="E59" s="469"/>
    </row>
    <row r="60" spans="1:5" ht="51" x14ac:dyDescent="0.2">
      <c r="A60" s="461">
        <v>4</v>
      </c>
      <c r="B60" s="464" t="s">
        <v>724</v>
      </c>
      <c r="C60" s="247" t="s">
        <v>725</v>
      </c>
      <c r="D60" s="461" t="s">
        <v>726</v>
      </c>
      <c r="E60" s="467">
        <v>330384</v>
      </c>
    </row>
    <row r="61" spans="1:5" x14ac:dyDescent="0.2">
      <c r="A61" s="462"/>
      <c r="B61" s="465"/>
      <c r="C61" s="247" t="s">
        <v>715</v>
      </c>
      <c r="D61" s="462"/>
      <c r="E61" s="468"/>
    </row>
    <row r="62" spans="1:5" ht="13.5" thickBot="1" x14ac:dyDescent="0.25">
      <c r="A62" s="463"/>
      <c r="B62" s="466"/>
      <c r="C62" s="110" t="s">
        <v>563</v>
      </c>
      <c r="D62" s="463"/>
      <c r="E62" s="469"/>
    </row>
    <row r="63" spans="1:5" ht="13.5" thickBot="1" x14ac:dyDescent="0.25">
      <c r="A63" s="470" t="s">
        <v>727</v>
      </c>
      <c r="B63" s="471"/>
      <c r="C63" s="471"/>
      <c r="D63" s="471"/>
      <c r="E63" s="472"/>
    </row>
    <row r="64" spans="1:5" ht="63.75" x14ac:dyDescent="0.2">
      <c r="A64" s="461">
        <v>1</v>
      </c>
      <c r="B64" s="464" t="s">
        <v>714</v>
      </c>
      <c r="C64" s="247" t="s">
        <v>570</v>
      </c>
      <c r="D64" s="461" t="s">
        <v>717</v>
      </c>
      <c r="E64" s="467">
        <v>2042760</v>
      </c>
    </row>
    <row r="65" spans="1:5" x14ac:dyDescent="0.2">
      <c r="A65" s="462"/>
      <c r="B65" s="465"/>
      <c r="C65" s="247" t="s">
        <v>715</v>
      </c>
      <c r="D65" s="462"/>
      <c r="E65" s="468"/>
    </row>
    <row r="66" spans="1:5" x14ac:dyDescent="0.2">
      <c r="A66" s="462"/>
      <c r="B66" s="465"/>
      <c r="C66" s="247" t="s">
        <v>563</v>
      </c>
      <c r="D66" s="462"/>
      <c r="E66" s="468"/>
    </row>
    <row r="67" spans="1:5" x14ac:dyDescent="0.2">
      <c r="A67" s="462"/>
      <c r="B67" s="465"/>
      <c r="C67" s="247" t="s">
        <v>565</v>
      </c>
      <c r="D67" s="462"/>
      <c r="E67" s="468"/>
    </row>
    <row r="68" spans="1:5" ht="13.5" thickBot="1" x14ac:dyDescent="0.25">
      <c r="A68" s="463"/>
      <c r="B68" s="466"/>
      <c r="C68" s="110" t="s">
        <v>716</v>
      </c>
      <c r="D68" s="463"/>
      <c r="E68" s="469"/>
    </row>
    <row r="69" spans="1:5" ht="63.75" x14ac:dyDescent="0.2">
      <c r="A69" s="461">
        <v>2</v>
      </c>
      <c r="B69" s="464" t="s">
        <v>718</v>
      </c>
      <c r="C69" s="247" t="s">
        <v>570</v>
      </c>
      <c r="D69" s="461" t="s">
        <v>720</v>
      </c>
      <c r="E69" s="467">
        <v>596494</v>
      </c>
    </row>
    <row r="70" spans="1:5" x14ac:dyDescent="0.2">
      <c r="A70" s="462"/>
      <c r="B70" s="465"/>
      <c r="C70" s="247" t="s">
        <v>715</v>
      </c>
      <c r="D70" s="462"/>
      <c r="E70" s="468"/>
    </row>
    <row r="71" spans="1:5" x14ac:dyDescent="0.2">
      <c r="A71" s="462"/>
      <c r="B71" s="465"/>
      <c r="C71" s="247" t="s">
        <v>563</v>
      </c>
      <c r="D71" s="462"/>
      <c r="E71" s="468"/>
    </row>
    <row r="72" spans="1:5" x14ac:dyDescent="0.2">
      <c r="A72" s="462"/>
      <c r="B72" s="465"/>
      <c r="C72" s="247" t="s">
        <v>571</v>
      </c>
      <c r="D72" s="462"/>
      <c r="E72" s="468"/>
    </row>
    <row r="73" spans="1:5" ht="13.5" thickBot="1" x14ac:dyDescent="0.25">
      <c r="A73" s="463"/>
      <c r="B73" s="466"/>
      <c r="C73" s="110" t="s">
        <v>719</v>
      </c>
      <c r="D73" s="463"/>
      <c r="E73" s="469"/>
    </row>
    <row r="74" spans="1:5" ht="38.25" x14ac:dyDescent="0.2">
      <c r="A74" s="461">
        <v>3</v>
      </c>
      <c r="B74" s="464" t="s">
        <v>721</v>
      </c>
      <c r="C74" s="247" t="s">
        <v>574</v>
      </c>
      <c r="D74" s="461" t="s">
        <v>723</v>
      </c>
      <c r="E74" s="467">
        <v>298327</v>
      </c>
    </row>
    <row r="75" spans="1:5" x14ac:dyDescent="0.2">
      <c r="A75" s="462"/>
      <c r="B75" s="465"/>
      <c r="C75" s="247" t="s">
        <v>715</v>
      </c>
      <c r="D75" s="462"/>
      <c r="E75" s="468"/>
    </row>
    <row r="76" spans="1:5" x14ac:dyDescent="0.2">
      <c r="A76" s="462"/>
      <c r="B76" s="465"/>
      <c r="C76" s="247" t="s">
        <v>563</v>
      </c>
      <c r="D76" s="462"/>
      <c r="E76" s="468"/>
    </row>
    <row r="77" spans="1:5" x14ac:dyDescent="0.2">
      <c r="A77" s="462"/>
      <c r="B77" s="465"/>
      <c r="C77" s="247" t="s">
        <v>722</v>
      </c>
      <c r="D77" s="462"/>
      <c r="E77" s="468"/>
    </row>
    <row r="78" spans="1:5" ht="13.5" thickBot="1" x14ac:dyDescent="0.25">
      <c r="A78" s="463"/>
      <c r="B78" s="466"/>
      <c r="C78" s="110" t="s">
        <v>576</v>
      </c>
      <c r="D78" s="463"/>
      <c r="E78" s="469"/>
    </row>
    <row r="79" spans="1:5" ht="51" x14ac:dyDescent="0.2">
      <c r="A79" s="461">
        <v>4</v>
      </c>
      <c r="B79" s="464" t="s">
        <v>724</v>
      </c>
      <c r="C79" s="247" t="s">
        <v>725</v>
      </c>
      <c r="D79" s="461" t="s">
        <v>726</v>
      </c>
      <c r="E79" s="467">
        <v>330384</v>
      </c>
    </row>
    <row r="80" spans="1:5" x14ac:dyDescent="0.2">
      <c r="A80" s="462"/>
      <c r="B80" s="465"/>
      <c r="C80" s="247" t="s">
        <v>715</v>
      </c>
      <c r="D80" s="462"/>
      <c r="E80" s="468"/>
    </row>
    <row r="81" spans="1:5" ht="13.5" thickBot="1" x14ac:dyDescent="0.25">
      <c r="A81" s="463"/>
      <c r="B81" s="466"/>
      <c r="C81" s="110" t="s">
        <v>563</v>
      </c>
      <c r="D81" s="463"/>
      <c r="E81" s="469"/>
    </row>
    <row r="82" spans="1:5" ht="13.5" thickBot="1" x14ac:dyDescent="0.25">
      <c r="A82" s="470" t="s">
        <v>639</v>
      </c>
      <c r="B82" s="471"/>
      <c r="C82" s="471"/>
      <c r="D82" s="471"/>
      <c r="E82" s="472"/>
    </row>
    <row r="83" spans="1:5" ht="13.5" thickBot="1" x14ac:dyDescent="0.25">
      <c r="A83" s="470" t="s">
        <v>728</v>
      </c>
      <c r="B83" s="471"/>
      <c r="C83" s="471"/>
      <c r="D83" s="471"/>
      <c r="E83" s="472"/>
    </row>
    <row r="84" spans="1:5" ht="63.75" x14ac:dyDescent="0.2">
      <c r="A84" s="461">
        <v>1</v>
      </c>
      <c r="B84" s="464" t="s">
        <v>561</v>
      </c>
      <c r="C84" s="247" t="s">
        <v>562</v>
      </c>
      <c r="D84" s="461" t="s">
        <v>729</v>
      </c>
      <c r="E84" s="467">
        <v>155943</v>
      </c>
    </row>
    <row r="85" spans="1:5" x14ac:dyDescent="0.2">
      <c r="A85" s="462"/>
      <c r="B85" s="465"/>
      <c r="C85" s="247" t="s">
        <v>715</v>
      </c>
      <c r="D85" s="462"/>
      <c r="E85" s="468"/>
    </row>
    <row r="86" spans="1:5" ht="13.5" thickBot="1" x14ac:dyDescent="0.25">
      <c r="A86" s="463"/>
      <c r="B86" s="466"/>
      <c r="C86" s="110" t="s">
        <v>563</v>
      </c>
      <c r="D86" s="463"/>
      <c r="E86" s="469"/>
    </row>
    <row r="87" spans="1:5" ht="63.75" x14ac:dyDescent="0.2">
      <c r="A87" s="461">
        <v>2</v>
      </c>
      <c r="B87" s="464" t="s">
        <v>730</v>
      </c>
      <c r="C87" s="247" t="s">
        <v>731</v>
      </c>
      <c r="D87" s="461" t="s">
        <v>732</v>
      </c>
      <c r="E87" s="467">
        <v>31889</v>
      </c>
    </row>
    <row r="88" spans="1:5" x14ac:dyDescent="0.2">
      <c r="A88" s="462"/>
      <c r="B88" s="465"/>
      <c r="C88" s="247" t="s">
        <v>715</v>
      </c>
      <c r="D88" s="462"/>
      <c r="E88" s="468"/>
    </row>
    <row r="89" spans="1:5" x14ac:dyDescent="0.2">
      <c r="A89" s="462"/>
      <c r="B89" s="465"/>
      <c r="C89" s="247" t="s">
        <v>563</v>
      </c>
      <c r="D89" s="462"/>
      <c r="E89" s="468"/>
    </row>
    <row r="90" spans="1:5" ht="13.5" thickBot="1" x14ac:dyDescent="0.25">
      <c r="A90" s="463"/>
      <c r="B90" s="466"/>
      <c r="C90" s="110" t="s">
        <v>565</v>
      </c>
      <c r="D90" s="463"/>
      <c r="E90" s="469"/>
    </row>
    <row r="91" spans="1:5" ht="51" x14ac:dyDescent="0.2">
      <c r="A91" s="461">
        <v>3</v>
      </c>
      <c r="B91" s="464" t="s">
        <v>733</v>
      </c>
      <c r="C91" s="247" t="s">
        <v>567</v>
      </c>
      <c r="D91" s="461" t="s">
        <v>735</v>
      </c>
      <c r="E91" s="467">
        <v>88524</v>
      </c>
    </row>
    <row r="92" spans="1:5" x14ac:dyDescent="0.2">
      <c r="A92" s="462"/>
      <c r="B92" s="465"/>
      <c r="C92" s="247" t="s">
        <v>715</v>
      </c>
      <c r="D92" s="462"/>
      <c r="E92" s="468"/>
    </row>
    <row r="93" spans="1:5" x14ac:dyDescent="0.2">
      <c r="A93" s="462"/>
      <c r="B93" s="465"/>
      <c r="C93" s="247" t="s">
        <v>563</v>
      </c>
      <c r="D93" s="462"/>
      <c r="E93" s="468"/>
    </row>
    <row r="94" spans="1:5" ht="13.5" thickBot="1" x14ac:dyDescent="0.25">
      <c r="A94" s="463"/>
      <c r="B94" s="466"/>
      <c r="C94" s="110" t="s">
        <v>734</v>
      </c>
      <c r="D94" s="463"/>
      <c r="E94" s="469"/>
    </row>
    <row r="95" spans="1:5" ht="63.75" x14ac:dyDescent="0.2">
      <c r="A95" s="461">
        <v>4</v>
      </c>
      <c r="B95" s="464" t="s">
        <v>736</v>
      </c>
      <c r="C95" s="247" t="s">
        <v>570</v>
      </c>
      <c r="D95" s="461" t="s">
        <v>738</v>
      </c>
      <c r="E95" s="467">
        <v>1858596</v>
      </c>
    </row>
    <row r="96" spans="1:5" x14ac:dyDescent="0.2">
      <c r="A96" s="462"/>
      <c r="B96" s="465"/>
      <c r="C96" s="247" t="s">
        <v>715</v>
      </c>
      <c r="D96" s="462"/>
      <c r="E96" s="468"/>
    </row>
    <row r="97" spans="1:5" x14ac:dyDescent="0.2">
      <c r="A97" s="462"/>
      <c r="B97" s="465"/>
      <c r="C97" s="247" t="s">
        <v>563</v>
      </c>
      <c r="D97" s="462"/>
      <c r="E97" s="468"/>
    </row>
    <row r="98" spans="1:5" x14ac:dyDescent="0.2">
      <c r="A98" s="462"/>
      <c r="B98" s="465"/>
      <c r="C98" s="247" t="s">
        <v>571</v>
      </c>
      <c r="D98" s="462"/>
      <c r="E98" s="468"/>
    </row>
    <row r="99" spans="1:5" ht="13.5" thickBot="1" x14ac:dyDescent="0.25">
      <c r="A99" s="463"/>
      <c r="B99" s="466"/>
      <c r="C99" s="110" t="s">
        <v>737</v>
      </c>
      <c r="D99" s="463"/>
      <c r="E99" s="469"/>
    </row>
    <row r="100" spans="1:5" ht="38.25" x14ac:dyDescent="0.2">
      <c r="A100" s="461">
        <v>5</v>
      </c>
      <c r="B100" s="464" t="s">
        <v>739</v>
      </c>
      <c r="C100" s="247" t="s">
        <v>574</v>
      </c>
      <c r="D100" s="461" t="s">
        <v>741</v>
      </c>
      <c r="E100" s="467">
        <v>590458</v>
      </c>
    </row>
    <row r="101" spans="1:5" x14ac:dyDescent="0.2">
      <c r="A101" s="462"/>
      <c r="B101" s="465"/>
      <c r="C101" s="247" t="s">
        <v>715</v>
      </c>
      <c r="D101" s="462"/>
      <c r="E101" s="468"/>
    </row>
    <row r="102" spans="1:5" x14ac:dyDescent="0.2">
      <c r="A102" s="462"/>
      <c r="B102" s="465"/>
      <c r="C102" s="247" t="s">
        <v>563</v>
      </c>
      <c r="D102" s="462"/>
      <c r="E102" s="468"/>
    </row>
    <row r="103" spans="1:5" x14ac:dyDescent="0.2">
      <c r="A103" s="462"/>
      <c r="B103" s="465"/>
      <c r="C103" s="247" t="s">
        <v>740</v>
      </c>
      <c r="D103" s="462"/>
      <c r="E103" s="468"/>
    </row>
    <row r="104" spans="1:5" ht="13.5" thickBot="1" x14ac:dyDescent="0.25">
      <c r="A104" s="463"/>
      <c r="B104" s="466"/>
      <c r="C104" s="110" t="s">
        <v>576</v>
      </c>
      <c r="D104" s="463"/>
      <c r="E104" s="469"/>
    </row>
    <row r="105" spans="1:5" ht="51" x14ac:dyDescent="0.2">
      <c r="A105" s="461">
        <v>6</v>
      </c>
      <c r="B105" s="464" t="s">
        <v>742</v>
      </c>
      <c r="C105" s="247" t="s">
        <v>725</v>
      </c>
      <c r="D105" s="461" t="s">
        <v>743</v>
      </c>
      <c r="E105" s="467">
        <v>1574405</v>
      </c>
    </row>
    <row r="106" spans="1:5" x14ac:dyDescent="0.2">
      <c r="A106" s="462"/>
      <c r="B106" s="465"/>
      <c r="C106" s="247" t="s">
        <v>715</v>
      </c>
      <c r="D106" s="462"/>
      <c r="E106" s="468"/>
    </row>
    <row r="107" spans="1:5" ht="13.5" thickBot="1" x14ac:dyDescent="0.25">
      <c r="A107" s="463"/>
      <c r="B107" s="466"/>
      <c r="C107" s="110" t="s">
        <v>563</v>
      </c>
      <c r="D107" s="463"/>
      <c r="E107" s="469"/>
    </row>
    <row r="108" spans="1:5" ht="13.5" thickBot="1" x14ac:dyDescent="0.25">
      <c r="A108" s="470" t="s">
        <v>744</v>
      </c>
      <c r="B108" s="471"/>
      <c r="C108" s="471"/>
      <c r="D108" s="471"/>
      <c r="E108" s="472"/>
    </row>
    <row r="109" spans="1:5" ht="63.75" x14ac:dyDescent="0.2">
      <c r="A109" s="461">
        <v>1</v>
      </c>
      <c r="B109" s="464" t="s">
        <v>745</v>
      </c>
      <c r="C109" s="247" t="s">
        <v>746</v>
      </c>
      <c r="D109" s="461" t="s">
        <v>747</v>
      </c>
      <c r="E109" s="467">
        <v>8616</v>
      </c>
    </row>
    <row r="110" spans="1:5" x14ac:dyDescent="0.2">
      <c r="A110" s="462"/>
      <c r="B110" s="465"/>
      <c r="C110" s="247" t="s">
        <v>715</v>
      </c>
      <c r="D110" s="462"/>
      <c r="E110" s="468"/>
    </row>
    <row r="111" spans="1:5" x14ac:dyDescent="0.2">
      <c r="A111" s="462"/>
      <c r="B111" s="465"/>
      <c r="C111" s="247" t="s">
        <v>563</v>
      </c>
      <c r="D111" s="462"/>
      <c r="E111" s="468"/>
    </row>
    <row r="112" spans="1:5" ht="13.5" thickBot="1" x14ac:dyDescent="0.25">
      <c r="A112" s="463"/>
      <c r="B112" s="466"/>
      <c r="C112" s="110" t="s">
        <v>571</v>
      </c>
      <c r="D112" s="463"/>
      <c r="E112" s="469"/>
    </row>
    <row r="113" spans="1:5" ht="38.25" x14ac:dyDescent="0.2">
      <c r="A113" s="461">
        <v>2</v>
      </c>
      <c r="B113" s="464" t="s">
        <v>748</v>
      </c>
      <c r="C113" s="247" t="s">
        <v>574</v>
      </c>
      <c r="D113" s="461" t="s">
        <v>750</v>
      </c>
      <c r="E113" s="467">
        <v>132787</v>
      </c>
    </row>
    <row r="114" spans="1:5" x14ac:dyDescent="0.2">
      <c r="A114" s="462"/>
      <c r="B114" s="465"/>
      <c r="C114" s="247" t="s">
        <v>715</v>
      </c>
      <c r="D114" s="462"/>
      <c r="E114" s="468"/>
    </row>
    <row r="115" spans="1:5" x14ac:dyDescent="0.2">
      <c r="A115" s="462"/>
      <c r="B115" s="465"/>
      <c r="C115" s="247" t="s">
        <v>563</v>
      </c>
      <c r="D115" s="462"/>
      <c r="E115" s="468"/>
    </row>
    <row r="116" spans="1:5" x14ac:dyDescent="0.2">
      <c r="A116" s="462"/>
      <c r="B116" s="465"/>
      <c r="C116" s="247" t="s">
        <v>749</v>
      </c>
      <c r="D116" s="462"/>
      <c r="E116" s="468"/>
    </row>
    <row r="117" spans="1:5" ht="13.5" thickBot="1" x14ac:dyDescent="0.25">
      <c r="A117" s="463"/>
      <c r="B117" s="466"/>
      <c r="C117" s="110" t="s">
        <v>576</v>
      </c>
      <c r="D117" s="463"/>
      <c r="E117" s="469"/>
    </row>
    <row r="118" spans="1:5" ht="51" x14ac:dyDescent="0.2">
      <c r="A118" s="461">
        <v>3</v>
      </c>
      <c r="B118" s="464" t="s">
        <v>751</v>
      </c>
      <c r="C118" s="247" t="s">
        <v>578</v>
      </c>
      <c r="D118" s="461" t="s">
        <v>752</v>
      </c>
      <c r="E118" s="467">
        <v>36167</v>
      </c>
    </row>
    <row r="119" spans="1:5" x14ac:dyDescent="0.2">
      <c r="A119" s="462"/>
      <c r="B119" s="465"/>
      <c r="C119" s="247" t="s">
        <v>715</v>
      </c>
      <c r="D119" s="462"/>
      <c r="E119" s="468"/>
    </row>
    <row r="120" spans="1:5" ht="13.5" thickBot="1" x14ac:dyDescent="0.25">
      <c r="A120" s="463"/>
      <c r="B120" s="466"/>
      <c r="C120" s="110" t="s">
        <v>563</v>
      </c>
      <c r="D120" s="463"/>
      <c r="E120" s="469"/>
    </row>
    <row r="121" spans="1:5" ht="13.5" thickBot="1" x14ac:dyDescent="0.25">
      <c r="A121" s="470" t="s">
        <v>753</v>
      </c>
      <c r="B121" s="471"/>
      <c r="C121" s="471"/>
      <c r="D121" s="471"/>
      <c r="E121" s="472"/>
    </row>
    <row r="122" spans="1:5" ht="63.75" x14ac:dyDescent="0.2">
      <c r="A122" s="461">
        <v>1</v>
      </c>
      <c r="B122" s="464" t="s">
        <v>745</v>
      </c>
      <c r="C122" s="247" t="s">
        <v>746</v>
      </c>
      <c r="D122" s="461" t="s">
        <v>747</v>
      </c>
      <c r="E122" s="467">
        <v>8616</v>
      </c>
    </row>
    <row r="123" spans="1:5" x14ac:dyDescent="0.2">
      <c r="A123" s="462"/>
      <c r="B123" s="465"/>
      <c r="C123" s="247" t="s">
        <v>715</v>
      </c>
      <c r="D123" s="462"/>
      <c r="E123" s="468"/>
    </row>
    <row r="124" spans="1:5" x14ac:dyDescent="0.2">
      <c r="A124" s="462"/>
      <c r="B124" s="465"/>
      <c r="C124" s="247" t="s">
        <v>563</v>
      </c>
      <c r="D124" s="462"/>
      <c r="E124" s="468"/>
    </row>
    <row r="125" spans="1:5" ht="13.5" thickBot="1" x14ac:dyDescent="0.25">
      <c r="A125" s="463"/>
      <c r="B125" s="466"/>
      <c r="C125" s="110" t="s">
        <v>571</v>
      </c>
      <c r="D125" s="463"/>
      <c r="E125" s="469"/>
    </row>
    <row r="126" spans="1:5" ht="38.25" x14ac:dyDescent="0.2">
      <c r="A126" s="461">
        <v>2</v>
      </c>
      <c r="B126" s="464" t="s">
        <v>748</v>
      </c>
      <c r="C126" s="247" t="s">
        <v>574</v>
      </c>
      <c r="D126" s="461" t="s">
        <v>750</v>
      </c>
      <c r="E126" s="467">
        <v>132787</v>
      </c>
    </row>
    <row r="127" spans="1:5" x14ac:dyDescent="0.2">
      <c r="A127" s="462"/>
      <c r="B127" s="465"/>
      <c r="C127" s="247" t="s">
        <v>715</v>
      </c>
      <c r="D127" s="462"/>
      <c r="E127" s="468"/>
    </row>
    <row r="128" spans="1:5" x14ac:dyDescent="0.2">
      <c r="A128" s="462"/>
      <c r="B128" s="465"/>
      <c r="C128" s="247" t="s">
        <v>563</v>
      </c>
      <c r="D128" s="462"/>
      <c r="E128" s="468"/>
    </row>
    <row r="129" spans="1:5" x14ac:dyDescent="0.2">
      <c r="A129" s="462"/>
      <c r="B129" s="465"/>
      <c r="C129" s="247" t="s">
        <v>749</v>
      </c>
      <c r="D129" s="462"/>
      <c r="E129" s="468"/>
    </row>
    <row r="130" spans="1:5" ht="13.5" thickBot="1" x14ac:dyDescent="0.25">
      <c r="A130" s="463"/>
      <c r="B130" s="466"/>
      <c r="C130" s="110" t="s">
        <v>576</v>
      </c>
      <c r="D130" s="463"/>
      <c r="E130" s="469"/>
    </row>
    <row r="131" spans="1:5" ht="51" x14ac:dyDescent="0.2">
      <c r="A131" s="461">
        <v>3</v>
      </c>
      <c r="B131" s="464" t="s">
        <v>754</v>
      </c>
      <c r="C131" s="247" t="s">
        <v>578</v>
      </c>
      <c r="D131" s="461" t="s">
        <v>755</v>
      </c>
      <c r="E131" s="467">
        <v>39673</v>
      </c>
    </row>
    <row r="132" spans="1:5" x14ac:dyDescent="0.2">
      <c r="A132" s="462"/>
      <c r="B132" s="465"/>
      <c r="C132" s="247" t="s">
        <v>715</v>
      </c>
      <c r="D132" s="462"/>
      <c r="E132" s="468"/>
    </row>
    <row r="133" spans="1:5" ht="13.5" thickBot="1" x14ac:dyDescent="0.25">
      <c r="A133" s="463"/>
      <c r="B133" s="466"/>
      <c r="C133" s="110" t="s">
        <v>563</v>
      </c>
      <c r="D133" s="463"/>
      <c r="E133" s="469"/>
    </row>
    <row r="134" spans="1:5" ht="13.5" thickBot="1" x14ac:dyDescent="0.25">
      <c r="A134" s="470" t="s">
        <v>756</v>
      </c>
      <c r="B134" s="471"/>
      <c r="C134" s="471"/>
      <c r="D134" s="471"/>
      <c r="E134" s="472"/>
    </row>
    <row r="135" spans="1:5" ht="63.75" x14ac:dyDescent="0.2">
      <c r="A135" s="461">
        <v>1</v>
      </c>
      <c r="B135" s="464" t="s">
        <v>561</v>
      </c>
      <c r="C135" s="247" t="s">
        <v>562</v>
      </c>
      <c r="D135" s="461" t="s">
        <v>729</v>
      </c>
      <c r="E135" s="467">
        <v>155943</v>
      </c>
    </row>
    <row r="136" spans="1:5" x14ac:dyDescent="0.2">
      <c r="A136" s="462"/>
      <c r="B136" s="465"/>
      <c r="C136" s="247" t="s">
        <v>715</v>
      </c>
      <c r="D136" s="462"/>
      <c r="E136" s="468"/>
    </row>
    <row r="137" spans="1:5" ht="13.5" thickBot="1" x14ac:dyDescent="0.25">
      <c r="A137" s="463"/>
      <c r="B137" s="466"/>
      <c r="C137" s="110" t="s">
        <v>563</v>
      </c>
      <c r="D137" s="463"/>
      <c r="E137" s="469"/>
    </row>
    <row r="138" spans="1:5" ht="63.75" x14ac:dyDescent="0.2">
      <c r="A138" s="461">
        <v>2</v>
      </c>
      <c r="B138" s="464" t="s">
        <v>730</v>
      </c>
      <c r="C138" s="247" t="s">
        <v>731</v>
      </c>
      <c r="D138" s="461" t="s">
        <v>732</v>
      </c>
      <c r="E138" s="467">
        <v>31889</v>
      </c>
    </row>
    <row r="139" spans="1:5" x14ac:dyDescent="0.2">
      <c r="A139" s="462"/>
      <c r="B139" s="465"/>
      <c r="C139" s="247" t="s">
        <v>715</v>
      </c>
      <c r="D139" s="462"/>
      <c r="E139" s="468"/>
    </row>
    <row r="140" spans="1:5" x14ac:dyDescent="0.2">
      <c r="A140" s="462"/>
      <c r="B140" s="465"/>
      <c r="C140" s="247" t="s">
        <v>563</v>
      </c>
      <c r="D140" s="462"/>
      <c r="E140" s="468"/>
    </row>
    <row r="141" spans="1:5" ht="13.5" thickBot="1" x14ac:dyDescent="0.25">
      <c r="A141" s="463"/>
      <c r="B141" s="466"/>
      <c r="C141" s="110" t="s">
        <v>565</v>
      </c>
      <c r="D141" s="463"/>
      <c r="E141" s="469"/>
    </row>
    <row r="142" spans="1:5" ht="51" x14ac:dyDescent="0.2">
      <c r="A142" s="461">
        <v>3</v>
      </c>
      <c r="B142" s="464" t="s">
        <v>757</v>
      </c>
      <c r="C142" s="247" t="s">
        <v>567</v>
      </c>
      <c r="D142" s="461" t="s">
        <v>735</v>
      </c>
      <c r="E142" s="467">
        <v>88524</v>
      </c>
    </row>
    <row r="143" spans="1:5" x14ac:dyDescent="0.2">
      <c r="A143" s="462"/>
      <c r="B143" s="465"/>
      <c r="C143" s="247" t="s">
        <v>715</v>
      </c>
      <c r="D143" s="462"/>
      <c r="E143" s="468"/>
    </row>
    <row r="144" spans="1:5" x14ac:dyDescent="0.2">
      <c r="A144" s="462"/>
      <c r="B144" s="465"/>
      <c r="C144" s="247" t="s">
        <v>563</v>
      </c>
      <c r="D144" s="462"/>
      <c r="E144" s="468"/>
    </row>
    <row r="145" spans="1:5" ht="13.5" thickBot="1" x14ac:dyDescent="0.25">
      <c r="A145" s="463"/>
      <c r="B145" s="466"/>
      <c r="C145" s="110" t="s">
        <v>734</v>
      </c>
      <c r="D145" s="463"/>
      <c r="E145" s="469"/>
    </row>
    <row r="146" spans="1:5" ht="63.75" x14ac:dyDescent="0.2">
      <c r="A146" s="461">
        <v>4</v>
      </c>
      <c r="B146" s="464" t="s">
        <v>758</v>
      </c>
      <c r="C146" s="247" t="s">
        <v>570</v>
      </c>
      <c r="D146" s="461" t="s">
        <v>760</v>
      </c>
      <c r="E146" s="467">
        <v>3391148</v>
      </c>
    </row>
    <row r="147" spans="1:5" x14ac:dyDescent="0.2">
      <c r="A147" s="462"/>
      <c r="B147" s="465"/>
      <c r="C147" s="247" t="s">
        <v>715</v>
      </c>
      <c r="D147" s="462"/>
      <c r="E147" s="468"/>
    </row>
    <row r="148" spans="1:5" x14ac:dyDescent="0.2">
      <c r="A148" s="462"/>
      <c r="B148" s="465"/>
      <c r="C148" s="247" t="s">
        <v>563</v>
      </c>
      <c r="D148" s="462"/>
      <c r="E148" s="468"/>
    </row>
    <row r="149" spans="1:5" x14ac:dyDescent="0.2">
      <c r="A149" s="462"/>
      <c r="B149" s="465"/>
      <c r="C149" s="247" t="s">
        <v>571</v>
      </c>
      <c r="D149" s="462"/>
      <c r="E149" s="468"/>
    </row>
    <row r="150" spans="1:5" ht="13.5" thickBot="1" x14ac:dyDescent="0.25">
      <c r="A150" s="463"/>
      <c r="B150" s="466"/>
      <c r="C150" s="110" t="s">
        <v>759</v>
      </c>
      <c r="D150" s="463"/>
      <c r="E150" s="469"/>
    </row>
    <row r="151" spans="1:5" ht="38.25" x14ac:dyDescent="0.2">
      <c r="A151" s="461">
        <v>5</v>
      </c>
      <c r="B151" s="464" t="s">
        <v>761</v>
      </c>
      <c r="C151" s="247" t="s">
        <v>574</v>
      </c>
      <c r="D151" s="461" t="s">
        <v>763</v>
      </c>
      <c r="E151" s="467">
        <v>1785538</v>
      </c>
    </row>
    <row r="152" spans="1:5" x14ac:dyDescent="0.2">
      <c r="A152" s="462"/>
      <c r="B152" s="465"/>
      <c r="C152" s="247" t="s">
        <v>715</v>
      </c>
      <c r="D152" s="462"/>
      <c r="E152" s="468"/>
    </row>
    <row r="153" spans="1:5" x14ac:dyDescent="0.2">
      <c r="A153" s="462"/>
      <c r="B153" s="465"/>
      <c r="C153" s="247" t="s">
        <v>563</v>
      </c>
      <c r="D153" s="462"/>
      <c r="E153" s="468"/>
    </row>
    <row r="154" spans="1:5" x14ac:dyDescent="0.2">
      <c r="A154" s="462"/>
      <c r="B154" s="465"/>
      <c r="C154" s="247" t="s">
        <v>762</v>
      </c>
      <c r="D154" s="462"/>
      <c r="E154" s="468"/>
    </row>
    <row r="155" spans="1:5" ht="13.5" thickBot="1" x14ac:dyDescent="0.25">
      <c r="A155" s="463"/>
      <c r="B155" s="466"/>
      <c r="C155" s="110" t="s">
        <v>576</v>
      </c>
      <c r="D155" s="463"/>
      <c r="E155" s="469"/>
    </row>
    <row r="156" spans="1:5" ht="51" x14ac:dyDescent="0.2">
      <c r="A156" s="461">
        <v>6</v>
      </c>
      <c r="B156" s="464" t="s">
        <v>764</v>
      </c>
      <c r="C156" s="247" t="s">
        <v>725</v>
      </c>
      <c r="D156" s="461" t="s">
        <v>765</v>
      </c>
      <c r="E156" s="467">
        <v>2148568</v>
      </c>
    </row>
    <row r="157" spans="1:5" x14ac:dyDescent="0.2">
      <c r="A157" s="462"/>
      <c r="B157" s="465"/>
      <c r="C157" s="247" t="s">
        <v>715</v>
      </c>
      <c r="D157" s="462"/>
      <c r="E157" s="468"/>
    </row>
    <row r="158" spans="1:5" ht="13.5" thickBot="1" x14ac:dyDescent="0.25">
      <c r="A158" s="463"/>
      <c r="B158" s="466"/>
      <c r="C158" s="110" t="s">
        <v>563</v>
      </c>
      <c r="D158" s="463"/>
      <c r="E158" s="469"/>
    </row>
    <row r="159" spans="1:5" ht="13.5" thickBot="1" x14ac:dyDescent="0.25">
      <c r="A159" s="470" t="s">
        <v>766</v>
      </c>
      <c r="B159" s="471"/>
      <c r="C159" s="471"/>
      <c r="D159" s="471"/>
      <c r="E159" s="472"/>
    </row>
    <row r="160" spans="1:5" ht="63.75" x14ac:dyDescent="0.2">
      <c r="A160" s="461">
        <v>1</v>
      </c>
      <c r="B160" s="464" t="s">
        <v>767</v>
      </c>
      <c r="C160" s="247" t="s">
        <v>562</v>
      </c>
      <c r="D160" s="461" t="s">
        <v>768</v>
      </c>
      <c r="E160" s="467">
        <v>4834</v>
      </c>
    </row>
    <row r="161" spans="1:5" x14ac:dyDescent="0.2">
      <c r="A161" s="462"/>
      <c r="B161" s="465"/>
      <c r="C161" s="247" t="s">
        <v>715</v>
      </c>
      <c r="D161" s="462"/>
      <c r="E161" s="468"/>
    </row>
    <row r="162" spans="1:5" x14ac:dyDescent="0.2">
      <c r="A162" s="462"/>
      <c r="B162" s="465"/>
      <c r="C162" s="247" t="s">
        <v>563</v>
      </c>
      <c r="D162" s="462"/>
      <c r="E162" s="468"/>
    </row>
    <row r="163" spans="1:5" ht="13.5" thickBot="1" x14ac:dyDescent="0.25">
      <c r="A163" s="463"/>
      <c r="B163" s="466"/>
      <c r="C163" s="110" t="s">
        <v>571</v>
      </c>
      <c r="D163" s="463"/>
      <c r="E163" s="469"/>
    </row>
    <row r="164" spans="1:5" ht="38.25" x14ac:dyDescent="0.2">
      <c r="A164" s="461">
        <v>2</v>
      </c>
      <c r="B164" s="464" t="s">
        <v>769</v>
      </c>
      <c r="C164" s="247" t="s">
        <v>574</v>
      </c>
      <c r="D164" s="461" t="s">
        <v>771</v>
      </c>
      <c r="E164" s="467">
        <v>88524</v>
      </c>
    </row>
    <row r="165" spans="1:5" x14ac:dyDescent="0.2">
      <c r="A165" s="462"/>
      <c r="B165" s="465"/>
      <c r="C165" s="247" t="s">
        <v>715</v>
      </c>
      <c r="D165" s="462"/>
      <c r="E165" s="468"/>
    </row>
    <row r="166" spans="1:5" x14ac:dyDescent="0.2">
      <c r="A166" s="462"/>
      <c r="B166" s="465"/>
      <c r="C166" s="247" t="s">
        <v>563</v>
      </c>
      <c r="D166" s="462"/>
      <c r="E166" s="468"/>
    </row>
    <row r="167" spans="1:5" x14ac:dyDescent="0.2">
      <c r="A167" s="462"/>
      <c r="B167" s="465"/>
      <c r="C167" s="247" t="s">
        <v>770</v>
      </c>
      <c r="D167" s="462"/>
      <c r="E167" s="468"/>
    </row>
    <row r="168" spans="1:5" ht="13.5" thickBot="1" x14ac:dyDescent="0.25">
      <c r="A168" s="463"/>
      <c r="B168" s="466"/>
      <c r="C168" s="110" t="s">
        <v>576</v>
      </c>
      <c r="D168" s="463"/>
      <c r="E168" s="469"/>
    </row>
    <row r="169" spans="1:5" ht="51" x14ac:dyDescent="0.2">
      <c r="A169" s="461">
        <v>3</v>
      </c>
      <c r="B169" s="464" t="s">
        <v>772</v>
      </c>
      <c r="C169" s="247" t="s">
        <v>578</v>
      </c>
      <c r="D169" s="461" t="s">
        <v>773</v>
      </c>
      <c r="E169" s="467">
        <v>33830</v>
      </c>
    </row>
    <row r="170" spans="1:5" x14ac:dyDescent="0.2">
      <c r="A170" s="462"/>
      <c r="B170" s="465"/>
      <c r="C170" s="247" t="s">
        <v>715</v>
      </c>
      <c r="D170" s="462"/>
      <c r="E170" s="468"/>
    </row>
    <row r="171" spans="1:5" ht="13.5" thickBot="1" x14ac:dyDescent="0.25">
      <c r="A171" s="463"/>
      <c r="B171" s="466"/>
      <c r="C171" s="110" t="s">
        <v>563</v>
      </c>
      <c r="D171" s="463"/>
      <c r="E171" s="469"/>
    </row>
    <row r="172" spans="1:5" ht="13.5" thickBot="1" x14ac:dyDescent="0.25">
      <c r="A172" s="470" t="s">
        <v>774</v>
      </c>
      <c r="B172" s="471"/>
      <c r="C172" s="471"/>
      <c r="D172" s="471"/>
      <c r="E172" s="472"/>
    </row>
    <row r="173" spans="1:5" ht="63.75" x14ac:dyDescent="0.2">
      <c r="A173" s="461">
        <v>1</v>
      </c>
      <c r="B173" s="464" t="s">
        <v>745</v>
      </c>
      <c r="C173" s="247" t="s">
        <v>746</v>
      </c>
      <c r="D173" s="461" t="s">
        <v>747</v>
      </c>
      <c r="E173" s="467">
        <v>8616</v>
      </c>
    </row>
    <row r="174" spans="1:5" x14ac:dyDescent="0.2">
      <c r="A174" s="462"/>
      <c r="B174" s="465"/>
      <c r="C174" s="247" t="s">
        <v>715</v>
      </c>
      <c r="D174" s="462"/>
      <c r="E174" s="468"/>
    </row>
    <row r="175" spans="1:5" x14ac:dyDescent="0.2">
      <c r="A175" s="462"/>
      <c r="B175" s="465"/>
      <c r="C175" s="247" t="s">
        <v>563</v>
      </c>
      <c r="D175" s="462"/>
      <c r="E175" s="468"/>
    </row>
    <row r="176" spans="1:5" ht="13.5" thickBot="1" x14ac:dyDescent="0.25">
      <c r="A176" s="463"/>
      <c r="B176" s="466"/>
      <c r="C176" s="110" t="s">
        <v>571</v>
      </c>
      <c r="D176" s="463"/>
      <c r="E176" s="469"/>
    </row>
    <row r="177" spans="1:5" ht="38.25" x14ac:dyDescent="0.2">
      <c r="A177" s="461">
        <v>2</v>
      </c>
      <c r="B177" s="464" t="s">
        <v>775</v>
      </c>
      <c r="C177" s="247" t="s">
        <v>574</v>
      </c>
      <c r="D177" s="461" t="s">
        <v>777</v>
      </c>
      <c r="E177" s="467">
        <v>265573</v>
      </c>
    </row>
    <row r="178" spans="1:5" x14ac:dyDescent="0.2">
      <c r="A178" s="462"/>
      <c r="B178" s="465"/>
      <c r="C178" s="247" t="s">
        <v>715</v>
      </c>
      <c r="D178" s="462"/>
      <c r="E178" s="468"/>
    </row>
    <row r="179" spans="1:5" x14ac:dyDescent="0.2">
      <c r="A179" s="462"/>
      <c r="B179" s="465"/>
      <c r="C179" s="247" t="s">
        <v>563</v>
      </c>
      <c r="D179" s="462"/>
      <c r="E179" s="468"/>
    </row>
    <row r="180" spans="1:5" x14ac:dyDescent="0.2">
      <c r="A180" s="462"/>
      <c r="B180" s="465"/>
      <c r="C180" s="247" t="s">
        <v>776</v>
      </c>
      <c r="D180" s="462"/>
      <c r="E180" s="468"/>
    </row>
    <row r="181" spans="1:5" ht="13.5" thickBot="1" x14ac:dyDescent="0.25">
      <c r="A181" s="463"/>
      <c r="B181" s="466"/>
      <c r="C181" s="110" t="s">
        <v>576</v>
      </c>
      <c r="D181" s="463"/>
      <c r="E181" s="469"/>
    </row>
    <row r="182" spans="1:5" ht="51" x14ac:dyDescent="0.2">
      <c r="A182" s="461">
        <v>3</v>
      </c>
      <c r="B182" s="464" t="s">
        <v>778</v>
      </c>
      <c r="C182" s="247" t="s">
        <v>578</v>
      </c>
      <c r="D182" s="461" t="s">
        <v>779</v>
      </c>
      <c r="E182" s="467">
        <v>57201</v>
      </c>
    </row>
    <row r="183" spans="1:5" x14ac:dyDescent="0.2">
      <c r="A183" s="462"/>
      <c r="B183" s="465"/>
      <c r="C183" s="247" t="s">
        <v>715</v>
      </c>
      <c r="D183" s="462"/>
      <c r="E183" s="468"/>
    </row>
    <row r="184" spans="1:5" ht="13.5" thickBot="1" x14ac:dyDescent="0.25">
      <c r="A184" s="463"/>
      <c r="B184" s="466"/>
      <c r="C184" s="110" t="s">
        <v>563</v>
      </c>
      <c r="D184" s="463"/>
      <c r="E184" s="469"/>
    </row>
    <row r="185" spans="1:5" ht="13.5" thickBot="1" x14ac:dyDescent="0.25">
      <c r="A185" s="470" t="s">
        <v>780</v>
      </c>
      <c r="B185" s="471"/>
      <c r="C185" s="471"/>
      <c r="D185" s="471"/>
      <c r="E185" s="472"/>
    </row>
    <row r="186" spans="1:5" ht="63.75" x14ac:dyDescent="0.2">
      <c r="A186" s="461">
        <v>1</v>
      </c>
      <c r="B186" s="464" t="s">
        <v>767</v>
      </c>
      <c r="C186" s="247" t="s">
        <v>562</v>
      </c>
      <c r="D186" s="461" t="s">
        <v>768</v>
      </c>
      <c r="E186" s="467">
        <v>4834</v>
      </c>
    </row>
    <row r="187" spans="1:5" x14ac:dyDescent="0.2">
      <c r="A187" s="462"/>
      <c r="B187" s="465"/>
      <c r="C187" s="247" t="s">
        <v>715</v>
      </c>
      <c r="D187" s="462"/>
      <c r="E187" s="468"/>
    </row>
    <row r="188" spans="1:5" x14ac:dyDescent="0.2">
      <c r="A188" s="462"/>
      <c r="B188" s="465"/>
      <c r="C188" s="247" t="s">
        <v>563</v>
      </c>
      <c r="D188" s="462"/>
      <c r="E188" s="468"/>
    </row>
    <row r="189" spans="1:5" ht="13.5" thickBot="1" x14ac:dyDescent="0.25">
      <c r="A189" s="463"/>
      <c r="B189" s="466"/>
      <c r="C189" s="110" t="s">
        <v>571</v>
      </c>
      <c r="D189" s="463"/>
      <c r="E189" s="469"/>
    </row>
    <row r="190" spans="1:5" ht="38.25" x14ac:dyDescent="0.2">
      <c r="A190" s="461">
        <v>2</v>
      </c>
      <c r="B190" s="464" t="s">
        <v>769</v>
      </c>
      <c r="C190" s="247" t="s">
        <v>574</v>
      </c>
      <c r="D190" s="461" t="s">
        <v>771</v>
      </c>
      <c r="E190" s="467">
        <v>88524</v>
      </c>
    </row>
    <row r="191" spans="1:5" x14ac:dyDescent="0.2">
      <c r="A191" s="462"/>
      <c r="B191" s="465"/>
      <c r="C191" s="247" t="s">
        <v>715</v>
      </c>
      <c r="D191" s="462"/>
      <c r="E191" s="468"/>
    </row>
    <row r="192" spans="1:5" x14ac:dyDescent="0.2">
      <c r="A192" s="462"/>
      <c r="B192" s="465"/>
      <c r="C192" s="247" t="s">
        <v>563</v>
      </c>
      <c r="D192" s="462"/>
      <c r="E192" s="468"/>
    </row>
    <row r="193" spans="1:5" x14ac:dyDescent="0.2">
      <c r="A193" s="462"/>
      <c r="B193" s="465"/>
      <c r="C193" s="247" t="s">
        <v>770</v>
      </c>
      <c r="D193" s="462"/>
      <c r="E193" s="468"/>
    </row>
    <row r="194" spans="1:5" ht="13.5" thickBot="1" x14ac:dyDescent="0.25">
      <c r="A194" s="463"/>
      <c r="B194" s="466"/>
      <c r="C194" s="110" t="s">
        <v>576</v>
      </c>
      <c r="D194" s="463"/>
      <c r="E194" s="469"/>
    </row>
    <row r="195" spans="1:5" ht="51" x14ac:dyDescent="0.2">
      <c r="A195" s="461">
        <v>3</v>
      </c>
      <c r="B195" s="464" t="s">
        <v>772</v>
      </c>
      <c r="C195" s="247" t="s">
        <v>578</v>
      </c>
      <c r="D195" s="461" t="s">
        <v>773</v>
      </c>
      <c r="E195" s="467">
        <v>33830</v>
      </c>
    </row>
    <row r="196" spans="1:5" x14ac:dyDescent="0.2">
      <c r="A196" s="462"/>
      <c r="B196" s="465"/>
      <c r="C196" s="247" t="s">
        <v>715</v>
      </c>
      <c r="D196" s="462"/>
      <c r="E196" s="468"/>
    </row>
    <row r="197" spans="1:5" ht="13.5" thickBot="1" x14ac:dyDescent="0.25">
      <c r="A197" s="463"/>
      <c r="B197" s="466"/>
      <c r="C197" s="110" t="s">
        <v>563</v>
      </c>
      <c r="D197" s="463"/>
      <c r="E197" s="469"/>
    </row>
    <row r="198" spans="1:5" ht="13.5" thickBot="1" x14ac:dyDescent="0.25">
      <c r="A198" s="470" t="s">
        <v>781</v>
      </c>
      <c r="B198" s="471"/>
      <c r="C198" s="471"/>
      <c r="D198" s="471"/>
      <c r="E198" s="472"/>
    </row>
    <row r="199" spans="1:5" ht="63.75" x14ac:dyDescent="0.2">
      <c r="A199" s="461">
        <v>1</v>
      </c>
      <c r="B199" s="464" t="s">
        <v>745</v>
      </c>
      <c r="C199" s="247" t="s">
        <v>746</v>
      </c>
      <c r="D199" s="461" t="s">
        <v>747</v>
      </c>
      <c r="E199" s="467">
        <v>8616</v>
      </c>
    </row>
    <row r="200" spans="1:5" x14ac:dyDescent="0.2">
      <c r="A200" s="462"/>
      <c r="B200" s="465"/>
      <c r="C200" s="247" t="s">
        <v>715</v>
      </c>
      <c r="D200" s="462"/>
      <c r="E200" s="468"/>
    </row>
    <row r="201" spans="1:5" x14ac:dyDescent="0.2">
      <c r="A201" s="462"/>
      <c r="B201" s="465"/>
      <c r="C201" s="247" t="s">
        <v>563</v>
      </c>
      <c r="D201" s="462"/>
      <c r="E201" s="468"/>
    </row>
    <row r="202" spans="1:5" ht="13.5" thickBot="1" x14ac:dyDescent="0.25">
      <c r="A202" s="463"/>
      <c r="B202" s="466"/>
      <c r="C202" s="110" t="s">
        <v>571</v>
      </c>
      <c r="D202" s="463"/>
      <c r="E202" s="469"/>
    </row>
    <row r="203" spans="1:5" ht="38.25" x14ac:dyDescent="0.2">
      <c r="A203" s="461">
        <v>2</v>
      </c>
      <c r="B203" s="464" t="s">
        <v>748</v>
      </c>
      <c r="C203" s="247" t="s">
        <v>574</v>
      </c>
      <c r="D203" s="461" t="s">
        <v>750</v>
      </c>
      <c r="E203" s="467">
        <v>132787</v>
      </c>
    </row>
    <row r="204" spans="1:5" x14ac:dyDescent="0.2">
      <c r="A204" s="462"/>
      <c r="B204" s="465"/>
      <c r="C204" s="247" t="s">
        <v>715</v>
      </c>
      <c r="D204" s="462"/>
      <c r="E204" s="468"/>
    </row>
    <row r="205" spans="1:5" x14ac:dyDescent="0.2">
      <c r="A205" s="462"/>
      <c r="B205" s="465"/>
      <c r="C205" s="247" t="s">
        <v>563</v>
      </c>
      <c r="D205" s="462"/>
      <c r="E205" s="468"/>
    </row>
    <row r="206" spans="1:5" x14ac:dyDescent="0.2">
      <c r="A206" s="462"/>
      <c r="B206" s="465"/>
      <c r="C206" s="247" t="s">
        <v>749</v>
      </c>
      <c r="D206" s="462"/>
      <c r="E206" s="468"/>
    </row>
    <row r="207" spans="1:5" ht="13.5" thickBot="1" x14ac:dyDescent="0.25">
      <c r="A207" s="463"/>
      <c r="B207" s="466"/>
      <c r="C207" s="110" t="s">
        <v>576</v>
      </c>
      <c r="D207" s="463"/>
      <c r="E207" s="469"/>
    </row>
    <row r="208" spans="1:5" ht="51" x14ac:dyDescent="0.2">
      <c r="A208" s="461">
        <v>3</v>
      </c>
      <c r="B208" s="464" t="s">
        <v>754</v>
      </c>
      <c r="C208" s="247" t="s">
        <v>578</v>
      </c>
      <c r="D208" s="461" t="s">
        <v>755</v>
      </c>
      <c r="E208" s="467">
        <v>39673</v>
      </c>
    </row>
    <row r="209" spans="1:5" x14ac:dyDescent="0.2">
      <c r="A209" s="462"/>
      <c r="B209" s="465"/>
      <c r="C209" s="247" t="s">
        <v>715</v>
      </c>
      <c r="D209" s="462"/>
      <c r="E209" s="468"/>
    </row>
    <row r="210" spans="1:5" ht="13.5" thickBot="1" x14ac:dyDescent="0.25">
      <c r="A210" s="463"/>
      <c r="B210" s="466"/>
      <c r="C210" s="110" t="s">
        <v>563</v>
      </c>
      <c r="D210" s="463"/>
      <c r="E210" s="469"/>
    </row>
    <row r="211" spans="1:5" ht="13.5" thickBot="1" x14ac:dyDescent="0.25">
      <c r="A211" s="470" t="s">
        <v>782</v>
      </c>
      <c r="B211" s="471"/>
      <c r="C211" s="471"/>
      <c r="D211" s="471"/>
      <c r="E211" s="472"/>
    </row>
    <row r="212" spans="1:5" ht="63.75" x14ac:dyDescent="0.2">
      <c r="A212" s="461">
        <v>1</v>
      </c>
      <c r="B212" s="464" t="s">
        <v>745</v>
      </c>
      <c r="C212" s="247" t="s">
        <v>746</v>
      </c>
      <c r="D212" s="461" t="s">
        <v>747</v>
      </c>
      <c r="E212" s="467">
        <v>8616</v>
      </c>
    </row>
    <row r="213" spans="1:5" x14ac:dyDescent="0.2">
      <c r="A213" s="462"/>
      <c r="B213" s="465"/>
      <c r="C213" s="247" t="s">
        <v>715</v>
      </c>
      <c r="D213" s="462"/>
      <c r="E213" s="468"/>
    </row>
    <row r="214" spans="1:5" x14ac:dyDescent="0.2">
      <c r="A214" s="462"/>
      <c r="B214" s="465"/>
      <c r="C214" s="247" t="s">
        <v>563</v>
      </c>
      <c r="D214" s="462"/>
      <c r="E214" s="468"/>
    </row>
    <row r="215" spans="1:5" ht="13.5" thickBot="1" x14ac:dyDescent="0.25">
      <c r="A215" s="463"/>
      <c r="B215" s="466"/>
      <c r="C215" s="110" t="s">
        <v>571</v>
      </c>
      <c r="D215" s="463"/>
      <c r="E215" s="469"/>
    </row>
    <row r="216" spans="1:5" ht="38.25" x14ac:dyDescent="0.2">
      <c r="A216" s="461">
        <v>2</v>
      </c>
      <c r="B216" s="464" t="s">
        <v>748</v>
      </c>
      <c r="C216" s="247" t="s">
        <v>574</v>
      </c>
      <c r="D216" s="461" t="s">
        <v>750</v>
      </c>
      <c r="E216" s="467">
        <v>132787</v>
      </c>
    </row>
    <row r="217" spans="1:5" x14ac:dyDescent="0.2">
      <c r="A217" s="462"/>
      <c r="B217" s="465"/>
      <c r="C217" s="247" t="s">
        <v>715</v>
      </c>
      <c r="D217" s="462"/>
      <c r="E217" s="468"/>
    </row>
    <row r="218" spans="1:5" x14ac:dyDescent="0.2">
      <c r="A218" s="462"/>
      <c r="B218" s="465"/>
      <c r="C218" s="247" t="s">
        <v>563</v>
      </c>
      <c r="D218" s="462"/>
      <c r="E218" s="468"/>
    </row>
    <row r="219" spans="1:5" x14ac:dyDescent="0.2">
      <c r="A219" s="462"/>
      <c r="B219" s="465"/>
      <c r="C219" s="247" t="s">
        <v>749</v>
      </c>
      <c r="D219" s="462"/>
      <c r="E219" s="468"/>
    </row>
    <row r="220" spans="1:5" ht="13.5" thickBot="1" x14ac:dyDescent="0.25">
      <c r="A220" s="463"/>
      <c r="B220" s="466"/>
      <c r="C220" s="110" t="s">
        <v>576</v>
      </c>
      <c r="D220" s="463"/>
      <c r="E220" s="469"/>
    </row>
    <row r="221" spans="1:5" ht="51" x14ac:dyDescent="0.2">
      <c r="A221" s="461">
        <v>3</v>
      </c>
      <c r="B221" s="464" t="s">
        <v>783</v>
      </c>
      <c r="C221" s="247" t="s">
        <v>578</v>
      </c>
      <c r="D221" s="461" t="s">
        <v>784</v>
      </c>
      <c r="E221" s="467">
        <v>45515</v>
      </c>
    </row>
    <row r="222" spans="1:5" x14ac:dyDescent="0.2">
      <c r="A222" s="462"/>
      <c r="B222" s="465"/>
      <c r="C222" s="247" t="s">
        <v>715</v>
      </c>
      <c r="D222" s="462"/>
      <c r="E222" s="468"/>
    </row>
    <row r="223" spans="1:5" ht="13.5" thickBot="1" x14ac:dyDescent="0.25">
      <c r="A223" s="463"/>
      <c r="B223" s="466"/>
      <c r="C223" s="110" t="s">
        <v>563</v>
      </c>
      <c r="D223" s="463"/>
      <c r="E223" s="469"/>
    </row>
    <row r="224" spans="1:5" ht="13.5" thickBot="1" x14ac:dyDescent="0.25">
      <c r="A224" s="470" t="s">
        <v>785</v>
      </c>
      <c r="B224" s="471"/>
      <c r="C224" s="471"/>
      <c r="D224" s="471"/>
      <c r="E224" s="472"/>
    </row>
    <row r="225" spans="1:5" ht="63.75" x14ac:dyDescent="0.2">
      <c r="A225" s="461">
        <v>1</v>
      </c>
      <c r="B225" s="464" t="s">
        <v>767</v>
      </c>
      <c r="C225" s="247" t="s">
        <v>562</v>
      </c>
      <c r="D225" s="461" t="s">
        <v>768</v>
      </c>
      <c r="E225" s="467">
        <v>4834</v>
      </c>
    </row>
    <row r="226" spans="1:5" x14ac:dyDescent="0.2">
      <c r="A226" s="462"/>
      <c r="B226" s="465"/>
      <c r="C226" s="247" t="s">
        <v>715</v>
      </c>
      <c r="D226" s="462"/>
      <c r="E226" s="468"/>
    </row>
    <row r="227" spans="1:5" x14ac:dyDescent="0.2">
      <c r="A227" s="462"/>
      <c r="B227" s="465"/>
      <c r="C227" s="247" t="s">
        <v>563</v>
      </c>
      <c r="D227" s="462"/>
      <c r="E227" s="468"/>
    </row>
    <row r="228" spans="1:5" ht="13.5" thickBot="1" x14ac:dyDescent="0.25">
      <c r="A228" s="463"/>
      <c r="B228" s="466"/>
      <c r="C228" s="110" t="s">
        <v>571</v>
      </c>
      <c r="D228" s="463"/>
      <c r="E228" s="469"/>
    </row>
    <row r="229" spans="1:5" ht="38.25" x14ac:dyDescent="0.2">
      <c r="A229" s="461">
        <v>2</v>
      </c>
      <c r="B229" s="464" t="s">
        <v>769</v>
      </c>
      <c r="C229" s="247" t="s">
        <v>574</v>
      </c>
      <c r="D229" s="461" t="s">
        <v>771</v>
      </c>
      <c r="E229" s="467">
        <v>88524</v>
      </c>
    </row>
    <row r="230" spans="1:5" x14ac:dyDescent="0.2">
      <c r="A230" s="462"/>
      <c r="B230" s="465"/>
      <c r="C230" s="247" t="s">
        <v>715</v>
      </c>
      <c r="D230" s="462"/>
      <c r="E230" s="468"/>
    </row>
    <row r="231" spans="1:5" x14ac:dyDescent="0.2">
      <c r="A231" s="462"/>
      <c r="B231" s="465"/>
      <c r="C231" s="247" t="s">
        <v>563</v>
      </c>
      <c r="D231" s="462"/>
      <c r="E231" s="468"/>
    </row>
    <row r="232" spans="1:5" x14ac:dyDescent="0.2">
      <c r="A232" s="462"/>
      <c r="B232" s="465"/>
      <c r="C232" s="247" t="s">
        <v>770</v>
      </c>
      <c r="D232" s="462"/>
      <c r="E232" s="468"/>
    </row>
    <row r="233" spans="1:5" ht="13.5" thickBot="1" x14ac:dyDescent="0.25">
      <c r="A233" s="463"/>
      <c r="B233" s="466"/>
      <c r="C233" s="110" t="s">
        <v>576</v>
      </c>
      <c r="D233" s="463"/>
      <c r="E233" s="469"/>
    </row>
    <row r="234" spans="1:5" ht="51" x14ac:dyDescent="0.2">
      <c r="A234" s="461">
        <v>3</v>
      </c>
      <c r="B234" s="464" t="s">
        <v>772</v>
      </c>
      <c r="C234" s="247" t="s">
        <v>578</v>
      </c>
      <c r="D234" s="461" t="s">
        <v>773</v>
      </c>
      <c r="E234" s="467">
        <v>33830</v>
      </c>
    </row>
    <row r="235" spans="1:5" x14ac:dyDescent="0.2">
      <c r="A235" s="462"/>
      <c r="B235" s="465"/>
      <c r="C235" s="247" t="s">
        <v>715</v>
      </c>
      <c r="D235" s="462"/>
      <c r="E235" s="468"/>
    </row>
    <row r="236" spans="1:5" ht="13.5" thickBot="1" x14ac:dyDescent="0.25">
      <c r="A236" s="463"/>
      <c r="B236" s="466"/>
      <c r="C236" s="110" t="s">
        <v>563</v>
      </c>
      <c r="D236" s="463"/>
      <c r="E236" s="469"/>
    </row>
    <row r="237" spans="1:5" ht="13.5" thickBot="1" x14ac:dyDescent="0.25">
      <c r="A237" s="470" t="s">
        <v>786</v>
      </c>
      <c r="B237" s="471"/>
      <c r="C237" s="471"/>
      <c r="D237" s="471"/>
      <c r="E237" s="472"/>
    </row>
    <row r="238" spans="1:5" ht="63.75" x14ac:dyDescent="0.2">
      <c r="A238" s="461">
        <v>1</v>
      </c>
      <c r="B238" s="464" t="s">
        <v>787</v>
      </c>
      <c r="C238" s="247" t="s">
        <v>570</v>
      </c>
      <c r="D238" s="461" t="s">
        <v>789</v>
      </c>
      <c r="E238" s="467">
        <v>190818</v>
      </c>
    </row>
    <row r="239" spans="1:5" x14ac:dyDescent="0.2">
      <c r="A239" s="462"/>
      <c r="B239" s="465"/>
      <c r="C239" s="247" t="s">
        <v>715</v>
      </c>
      <c r="D239" s="462"/>
      <c r="E239" s="468"/>
    </row>
    <row r="240" spans="1:5" x14ac:dyDescent="0.2">
      <c r="A240" s="462"/>
      <c r="B240" s="465"/>
      <c r="C240" s="247" t="s">
        <v>563</v>
      </c>
      <c r="D240" s="462"/>
      <c r="E240" s="468"/>
    </row>
    <row r="241" spans="1:5" x14ac:dyDescent="0.2">
      <c r="A241" s="462"/>
      <c r="B241" s="465"/>
      <c r="C241" s="247" t="s">
        <v>571</v>
      </c>
      <c r="D241" s="462"/>
      <c r="E241" s="468"/>
    </row>
    <row r="242" spans="1:5" ht="13.5" thickBot="1" x14ac:dyDescent="0.25">
      <c r="A242" s="463"/>
      <c r="B242" s="466"/>
      <c r="C242" s="110" t="s">
        <v>788</v>
      </c>
      <c r="D242" s="463"/>
      <c r="E242" s="469"/>
    </row>
    <row r="243" spans="1:5" ht="38.25" x14ac:dyDescent="0.2">
      <c r="A243" s="461">
        <v>2</v>
      </c>
      <c r="B243" s="464" t="s">
        <v>790</v>
      </c>
      <c r="C243" s="247" t="s">
        <v>574</v>
      </c>
      <c r="D243" s="461" t="s">
        <v>792</v>
      </c>
      <c r="E243" s="467">
        <v>324885</v>
      </c>
    </row>
    <row r="244" spans="1:5" x14ac:dyDescent="0.2">
      <c r="A244" s="462"/>
      <c r="B244" s="465"/>
      <c r="C244" s="247" t="s">
        <v>715</v>
      </c>
      <c r="D244" s="462"/>
      <c r="E244" s="468"/>
    </row>
    <row r="245" spans="1:5" x14ac:dyDescent="0.2">
      <c r="A245" s="462"/>
      <c r="B245" s="465"/>
      <c r="C245" s="247" t="s">
        <v>563</v>
      </c>
      <c r="D245" s="462"/>
      <c r="E245" s="468"/>
    </row>
    <row r="246" spans="1:5" x14ac:dyDescent="0.2">
      <c r="A246" s="462"/>
      <c r="B246" s="465"/>
      <c r="C246" s="247" t="s">
        <v>791</v>
      </c>
      <c r="D246" s="462"/>
      <c r="E246" s="468"/>
    </row>
    <row r="247" spans="1:5" ht="13.5" thickBot="1" x14ac:dyDescent="0.25">
      <c r="A247" s="463"/>
      <c r="B247" s="466"/>
      <c r="C247" s="110" t="s">
        <v>576</v>
      </c>
      <c r="D247" s="463"/>
      <c r="E247" s="469"/>
    </row>
    <row r="248" spans="1:5" ht="51" x14ac:dyDescent="0.2">
      <c r="A248" s="461">
        <v>3</v>
      </c>
      <c r="B248" s="464" t="s">
        <v>793</v>
      </c>
      <c r="C248" s="247" t="s">
        <v>578</v>
      </c>
      <c r="D248" s="461" t="s">
        <v>794</v>
      </c>
      <c r="E248" s="467">
        <v>186843</v>
      </c>
    </row>
    <row r="249" spans="1:5" x14ac:dyDescent="0.2">
      <c r="A249" s="462"/>
      <c r="B249" s="465"/>
      <c r="C249" s="247" t="s">
        <v>715</v>
      </c>
      <c r="D249" s="462"/>
      <c r="E249" s="468"/>
    </row>
    <row r="250" spans="1:5" ht="13.5" thickBot="1" x14ac:dyDescent="0.25">
      <c r="A250" s="463"/>
      <c r="B250" s="466"/>
      <c r="C250" s="110" t="s">
        <v>563</v>
      </c>
      <c r="D250" s="463"/>
      <c r="E250" s="469"/>
    </row>
    <row r="251" spans="1:5" ht="13.5" thickBot="1" x14ac:dyDescent="0.25">
      <c r="A251" s="470" t="s">
        <v>795</v>
      </c>
      <c r="B251" s="471"/>
      <c r="C251" s="471"/>
      <c r="D251" s="471"/>
      <c r="E251" s="472"/>
    </row>
    <row r="252" spans="1:5" ht="63.75" x14ac:dyDescent="0.2">
      <c r="A252" s="461">
        <v>1</v>
      </c>
      <c r="B252" s="464" t="s">
        <v>787</v>
      </c>
      <c r="C252" s="247" t="s">
        <v>570</v>
      </c>
      <c r="D252" s="461" t="s">
        <v>789</v>
      </c>
      <c r="E252" s="467">
        <v>190818</v>
      </c>
    </row>
    <row r="253" spans="1:5" x14ac:dyDescent="0.2">
      <c r="A253" s="462"/>
      <c r="B253" s="465"/>
      <c r="C253" s="247" t="s">
        <v>715</v>
      </c>
      <c r="D253" s="462"/>
      <c r="E253" s="468"/>
    </row>
    <row r="254" spans="1:5" x14ac:dyDescent="0.2">
      <c r="A254" s="462"/>
      <c r="B254" s="465"/>
      <c r="C254" s="247" t="s">
        <v>563</v>
      </c>
      <c r="D254" s="462"/>
      <c r="E254" s="468"/>
    </row>
    <row r="255" spans="1:5" x14ac:dyDescent="0.2">
      <c r="A255" s="462"/>
      <c r="B255" s="465"/>
      <c r="C255" s="247" t="s">
        <v>571</v>
      </c>
      <c r="D255" s="462"/>
      <c r="E255" s="468"/>
    </row>
    <row r="256" spans="1:5" ht="13.5" thickBot="1" x14ac:dyDescent="0.25">
      <c r="A256" s="463"/>
      <c r="B256" s="466"/>
      <c r="C256" s="110" t="s">
        <v>788</v>
      </c>
      <c r="D256" s="463"/>
      <c r="E256" s="469"/>
    </row>
    <row r="257" spans="1:5" ht="51" x14ac:dyDescent="0.2">
      <c r="A257" s="461">
        <v>2</v>
      </c>
      <c r="B257" s="464" t="s">
        <v>796</v>
      </c>
      <c r="C257" s="247" t="s">
        <v>567</v>
      </c>
      <c r="D257" s="461" t="s">
        <v>798</v>
      </c>
      <c r="E257" s="467">
        <v>593114</v>
      </c>
    </row>
    <row r="258" spans="1:5" x14ac:dyDescent="0.2">
      <c r="A258" s="462"/>
      <c r="B258" s="465"/>
      <c r="C258" s="247" t="s">
        <v>715</v>
      </c>
      <c r="D258" s="462"/>
      <c r="E258" s="468"/>
    </row>
    <row r="259" spans="1:5" x14ac:dyDescent="0.2">
      <c r="A259" s="462"/>
      <c r="B259" s="465"/>
      <c r="C259" s="247" t="s">
        <v>563</v>
      </c>
      <c r="D259" s="462"/>
      <c r="E259" s="468"/>
    </row>
    <row r="260" spans="1:5" ht="13.5" thickBot="1" x14ac:dyDescent="0.25">
      <c r="A260" s="463"/>
      <c r="B260" s="466"/>
      <c r="C260" s="110" t="s">
        <v>797</v>
      </c>
      <c r="D260" s="463"/>
      <c r="E260" s="469"/>
    </row>
    <row r="261" spans="1:5" ht="51" x14ac:dyDescent="0.2">
      <c r="A261" s="461">
        <v>3</v>
      </c>
      <c r="B261" s="464" t="s">
        <v>799</v>
      </c>
      <c r="C261" s="247" t="s">
        <v>578</v>
      </c>
      <c r="D261" s="461" t="s">
        <v>800</v>
      </c>
      <c r="E261" s="467">
        <v>1957180</v>
      </c>
    </row>
    <row r="262" spans="1:5" x14ac:dyDescent="0.2">
      <c r="A262" s="462"/>
      <c r="B262" s="465"/>
      <c r="C262" s="247" t="s">
        <v>715</v>
      </c>
      <c r="D262" s="462"/>
      <c r="E262" s="468"/>
    </row>
    <row r="263" spans="1:5" ht="13.5" thickBot="1" x14ac:dyDescent="0.25">
      <c r="A263" s="463"/>
      <c r="B263" s="466"/>
      <c r="C263" s="110" t="s">
        <v>563</v>
      </c>
      <c r="D263" s="463"/>
      <c r="E263" s="469"/>
    </row>
    <row r="264" spans="1:5" ht="13.5" thickBot="1" x14ac:dyDescent="0.25">
      <c r="A264" s="470" t="s">
        <v>801</v>
      </c>
      <c r="B264" s="471"/>
      <c r="C264" s="471"/>
      <c r="D264" s="471"/>
      <c r="E264" s="472"/>
    </row>
    <row r="265" spans="1:5" ht="63.75" x14ac:dyDescent="0.2">
      <c r="A265" s="461">
        <v>1</v>
      </c>
      <c r="B265" s="464" t="s">
        <v>745</v>
      </c>
      <c r="C265" s="247" t="s">
        <v>746</v>
      </c>
      <c r="D265" s="461" t="s">
        <v>747</v>
      </c>
      <c r="E265" s="467">
        <v>8616</v>
      </c>
    </row>
    <row r="266" spans="1:5" x14ac:dyDescent="0.2">
      <c r="A266" s="462"/>
      <c r="B266" s="465"/>
      <c r="C266" s="247" t="s">
        <v>715</v>
      </c>
      <c r="D266" s="462"/>
      <c r="E266" s="468"/>
    </row>
    <row r="267" spans="1:5" x14ac:dyDescent="0.2">
      <c r="A267" s="462"/>
      <c r="B267" s="465"/>
      <c r="C267" s="247" t="s">
        <v>563</v>
      </c>
      <c r="D267" s="462"/>
      <c r="E267" s="468"/>
    </row>
    <row r="268" spans="1:5" ht="13.5" thickBot="1" x14ac:dyDescent="0.25">
      <c r="A268" s="463"/>
      <c r="B268" s="466"/>
      <c r="C268" s="110" t="s">
        <v>571</v>
      </c>
      <c r="D268" s="463"/>
      <c r="E268" s="469"/>
    </row>
    <row r="269" spans="1:5" ht="51" x14ac:dyDescent="0.2">
      <c r="A269" s="461">
        <v>2</v>
      </c>
      <c r="B269" s="464" t="s">
        <v>802</v>
      </c>
      <c r="C269" s="247" t="s">
        <v>567</v>
      </c>
      <c r="D269" s="461" t="s">
        <v>804</v>
      </c>
      <c r="E269" s="467">
        <v>327540</v>
      </c>
    </row>
    <row r="270" spans="1:5" x14ac:dyDescent="0.2">
      <c r="A270" s="462"/>
      <c r="B270" s="465"/>
      <c r="C270" s="247" t="s">
        <v>715</v>
      </c>
      <c r="D270" s="462"/>
      <c r="E270" s="468"/>
    </row>
    <row r="271" spans="1:5" x14ac:dyDescent="0.2">
      <c r="A271" s="462"/>
      <c r="B271" s="465"/>
      <c r="C271" s="247" t="s">
        <v>563</v>
      </c>
      <c r="D271" s="462"/>
      <c r="E271" s="468"/>
    </row>
    <row r="272" spans="1:5" ht="13.5" thickBot="1" x14ac:dyDescent="0.25">
      <c r="A272" s="463"/>
      <c r="B272" s="466"/>
      <c r="C272" s="110" t="s">
        <v>803</v>
      </c>
      <c r="D272" s="463"/>
      <c r="E272" s="469"/>
    </row>
    <row r="273" spans="1:9" ht="51" x14ac:dyDescent="0.2">
      <c r="A273" s="461">
        <v>3</v>
      </c>
      <c r="B273" s="464" t="s">
        <v>805</v>
      </c>
      <c r="C273" s="247" t="s">
        <v>578</v>
      </c>
      <c r="D273" s="461" t="s">
        <v>806</v>
      </c>
      <c r="E273" s="467">
        <v>80571</v>
      </c>
    </row>
    <row r="274" spans="1:9" x14ac:dyDescent="0.2">
      <c r="A274" s="462"/>
      <c r="B274" s="465"/>
      <c r="C274" s="247" t="s">
        <v>715</v>
      </c>
      <c r="D274" s="462"/>
      <c r="E274" s="468"/>
    </row>
    <row r="275" spans="1:9" ht="13.5" thickBot="1" x14ac:dyDescent="0.25">
      <c r="A275" s="463"/>
      <c r="B275" s="466"/>
      <c r="C275" s="110" t="s">
        <v>563</v>
      </c>
      <c r="D275" s="463"/>
      <c r="E275" s="469"/>
    </row>
    <row r="276" spans="1:9" ht="13.5" thickBot="1" x14ac:dyDescent="0.25">
      <c r="A276" s="248">
        <v>1</v>
      </c>
      <c r="B276" s="110" t="s">
        <v>57</v>
      </c>
      <c r="C276" s="110"/>
      <c r="D276" s="249"/>
      <c r="E276" s="117">
        <f>SUM(E19:E274)</f>
        <v>25999912.595696002</v>
      </c>
      <c r="F276" s="219"/>
      <c r="G276" s="219"/>
      <c r="H276" s="219"/>
      <c r="I276" s="219"/>
    </row>
    <row r="277" spans="1:9" ht="51.75" thickBot="1" x14ac:dyDescent="0.25">
      <c r="A277" s="227">
        <v>2</v>
      </c>
      <c r="B277" s="110" t="s">
        <v>395</v>
      </c>
      <c r="C277" s="110" t="s">
        <v>400</v>
      </c>
      <c r="D277" s="110" t="s">
        <v>396</v>
      </c>
      <c r="E277" s="117">
        <f>E276*0.8</f>
        <v>20799930.076556802</v>
      </c>
      <c r="F277" s="219"/>
      <c r="G277" s="219"/>
      <c r="H277" s="219"/>
      <c r="I277" s="219"/>
    </row>
    <row r="278" spans="1:9" ht="26.25" thickBot="1" x14ac:dyDescent="0.25">
      <c r="A278" s="227">
        <v>3</v>
      </c>
      <c r="B278" s="110" t="s">
        <v>398</v>
      </c>
      <c r="C278" s="110" t="s">
        <v>399</v>
      </c>
      <c r="D278" s="110" t="s">
        <v>397</v>
      </c>
      <c r="E278" s="117">
        <f>E277*1.08</f>
        <v>22463924.482681349</v>
      </c>
      <c r="F278" s="219"/>
      <c r="G278" s="219"/>
      <c r="H278" s="219"/>
      <c r="I278" s="219"/>
    </row>
    <row r="279" spans="1:9" ht="13.5" thickBot="1" x14ac:dyDescent="0.25">
      <c r="A279" s="455" t="s">
        <v>394</v>
      </c>
      <c r="B279" s="456"/>
      <c r="C279" s="456"/>
      <c r="D279" s="457"/>
      <c r="E279" s="153">
        <f>E278</f>
        <v>22463924.482681349</v>
      </c>
      <c r="F279" s="219"/>
      <c r="G279" s="219"/>
      <c r="H279" s="219"/>
      <c r="I279" s="219"/>
    </row>
    <row r="280" spans="1:9" x14ac:dyDescent="0.2">
      <c r="F280" s="219"/>
      <c r="G280" s="219"/>
      <c r="H280" s="219"/>
      <c r="I280" s="219"/>
    </row>
    <row r="281" spans="1:9" x14ac:dyDescent="0.2">
      <c r="F281" s="219"/>
      <c r="G281" s="219"/>
      <c r="H281" s="219"/>
      <c r="I281" s="219"/>
    </row>
    <row r="282" spans="1:9" x14ac:dyDescent="0.2">
      <c r="F282" s="219"/>
      <c r="G282" s="219"/>
      <c r="H282" s="219"/>
      <c r="I282" s="219"/>
    </row>
    <row r="283" spans="1:9" x14ac:dyDescent="0.2">
      <c r="F283" s="219"/>
      <c r="G283" s="219"/>
      <c r="H283" s="219"/>
      <c r="I283" s="219"/>
    </row>
  </sheetData>
  <mergeCells count="259">
    <mergeCell ref="A269:A272"/>
    <mergeCell ref="B269:B272"/>
    <mergeCell ref="D269:D272"/>
    <mergeCell ref="E269:E272"/>
    <mergeCell ref="A273:A275"/>
    <mergeCell ref="B273:B275"/>
    <mergeCell ref="D273:D275"/>
    <mergeCell ref="E273:E275"/>
    <mergeCell ref="A264:E264"/>
    <mergeCell ref="A265:A268"/>
    <mergeCell ref="B265:B268"/>
    <mergeCell ref="D265:D268"/>
    <mergeCell ref="E265:E268"/>
    <mergeCell ref="A257:A260"/>
    <mergeCell ref="B257:B260"/>
    <mergeCell ref="D257:D260"/>
    <mergeCell ref="E257:E260"/>
    <mergeCell ref="A261:A263"/>
    <mergeCell ref="B261:B263"/>
    <mergeCell ref="D261:D263"/>
    <mergeCell ref="E261:E263"/>
    <mergeCell ref="A251:E251"/>
    <mergeCell ref="A252:A256"/>
    <mergeCell ref="B252:B256"/>
    <mergeCell ref="D252:D256"/>
    <mergeCell ref="E252:E256"/>
    <mergeCell ref="A243:A247"/>
    <mergeCell ref="B243:B247"/>
    <mergeCell ref="D243:D247"/>
    <mergeCell ref="E243:E247"/>
    <mergeCell ref="A248:A250"/>
    <mergeCell ref="B248:B250"/>
    <mergeCell ref="D248:D250"/>
    <mergeCell ref="E248:E250"/>
    <mergeCell ref="A237:E237"/>
    <mergeCell ref="A238:A242"/>
    <mergeCell ref="B238:B242"/>
    <mergeCell ref="D238:D242"/>
    <mergeCell ref="E238:E242"/>
    <mergeCell ref="A229:A233"/>
    <mergeCell ref="B229:B233"/>
    <mergeCell ref="D229:D233"/>
    <mergeCell ref="E229:E233"/>
    <mergeCell ref="A234:A236"/>
    <mergeCell ref="B234:B236"/>
    <mergeCell ref="D234:D236"/>
    <mergeCell ref="E234:E236"/>
    <mergeCell ref="A224:E224"/>
    <mergeCell ref="A225:A228"/>
    <mergeCell ref="B225:B228"/>
    <mergeCell ref="D225:D228"/>
    <mergeCell ref="E225:E228"/>
    <mergeCell ref="A216:A220"/>
    <mergeCell ref="B216:B220"/>
    <mergeCell ref="D216:D220"/>
    <mergeCell ref="E216:E220"/>
    <mergeCell ref="A221:A223"/>
    <mergeCell ref="B221:B223"/>
    <mergeCell ref="D221:D223"/>
    <mergeCell ref="E221:E223"/>
    <mergeCell ref="A211:E211"/>
    <mergeCell ref="A212:A215"/>
    <mergeCell ref="B212:B215"/>
    <mergeCell ref="D212:D215"/>
    <mergeCell ref="E212:E215"/>
    <mergeCell ref="A203:A207"/>
    <mergeCell ref="B203:B207"/>
    <mergeCell ref="D203:D207"/>
    <mergeCell ref="E203:E207"/>
    <mergeCell ref="A208:A210"/>
    <mergeCell ref="B208:B210"/>
    <mergeCell ref="D208:D210"/>
    <mergeCell ref="E208:E210"/>
    <mergeCell ref="A198:E198"/>
    <mergeCell ref="A199:A202"/>
    <mergeCell ref="B199:B202"/>
    <mergeCell ref="D199:D202"/>
    <mergeCell ref="E199:E202"/>
    <mergeCell ref="A190:A194"/>
    <mergeCell ref="B190:B194"/>
    <mergeCell ref="D190:D194"/>
    <mergeCell ref="E190:E194"/>
    <mergeCell ref="A195:A197"/>
    <mergeCell ref="B195:B197"/>
    <mergeCell ref="D195:D197"/>
    <mergeCell ref="E195:E197"/>
    <mergeCell ref="A185:E185"/>
    <mergeCell ref="A186:A189"/>
    <mergeCell ref="B186:B189"/>
    <mergeCell ref="D186:D189"/>
    <mergeCell ref="E186:E189"/>
    <mergeCell ref="A177:A181"/>
    <mergeCell ref="B177:B181"/>
    <mergeCell ref="D177:D181"/>
    <mergeCell ref="E177:E181"/>
    <mergeCell ref="A182:A184"/>
    <mergeCell ref="B182:B184"/>
    <mergeCell ref="D182:D184"/>
    <mergeCell ref="E182:E184"/>
    <mergeCell ref="A172:E172"/>
    <mergeCell ref="A173:A176"/>
    <mergeCell ref="B173:B176"/>
    <mergeCell ref="D173:D176"/>
    <mergeCell ref="E173:E176"/>
    <mergeCell ref="A164:A168"/>
    <mergeCell ref="B164:B168"/>
    <mergeCell ref="D164:D168"/>
    <mergeCell ref="E164:E168"/>
    <mergeCell ref="A169:A171"/>
    <mergeCell ref="B169:B171"/>
    <mergeCell ref="D169:D171"/>
    <mergeCell ref="E169:E171"/>
    <mergeCell ref="A159:E159"/>
    <mergeCell ref="A160:A163"/>
    <mergeCell ref="B160:B163"/>
    <mergeCell ref="D160:D163"/>
    <mergeCell ref="E160:E163"/>
    <mergeCell ref="A151:A155"/>
    <mergeCell ref="B151:B155"/>
    <mergeCell ref="D151:D155"/>
    <mergeCell ref="E151:E155"/>
    <mergeCell ref="A156:A158"/>
    <mergeCell ref="B156:B158"/>
    <mergeCell ref="D156:D158"/>
    <mergeCell ref="E156:E158"/>
    <mergeCell ref="A142:A145"/>
    <mergeCell ref="B142:B145"/>
    <mergeCell ref="D142:D145"/>
    <mergeCell ref="E142:E145"/>
    <mergeCell ref="A146:A150"/>
    <mergeCell ref="B146:B150"/>
    <mergeCell ref="D146:D150"/>
    <mergeCell ref="E146:E150"/>
    <mergeCell ref="A135:A137"/>
    <mergeCell ref="B135:B137"/>
    <mergeCell ref="D135:D137"/>
    <mergeCell ref="E135:E137"/>
    <mergeCell ref="A138:A141"/>
    <mergeCell ref="B138:B141"/>
    <mergeCell ref="D138:D141"/>
    <mergeCell ref="E138:E141"/>
    <mergeCell ref="A131:A133"/>
    <mergeCell ref="B131:B133"/>
    <mergeCell ref="D131:D133"/>
    <mergeCell ref="E131:E133"/>
    <mergeCell ref="A134:E134"/>
    <mergeCell ref="A122:A125"/>
    <mergeCell ref="B122:B125"/>
    <mergeCell ref="D122:D125"/>
    <mergeCell ref="E122:E125"/>
    <mergeCell ref="A126:A130"/>
    <mergeCell ref="B126:B130"/>
    <mergeCell ref="D126:D130"/>
    <mergeCell ref="E126:E130"/>
    <mergeCell ref="A118:A120"/>
    <mergeCell ref="B118:B120"/>
    <mergeCell ref="D118:D120"/>
    <mergeCell ref="E118:E120"/>
    <mergeCell ref="A121:E121"/>
    <mergeCell ref="A109:A112"/>
    <mergeCell ref="B109:B112"/>
    <mergeCell ref="D109:D112"/>
    <mergeCell ref="E109:E112"/>
    <mergeCell ref="A113:A117"/>
    <mergeCell ref="B113:B117"/>
    <mergeCell ref="D113:D117"/>
    <mergeCell ref="E113:E117"/>
    <mergeCell ref="A105:A107"/>
    <mergeCell ref="B105:B107"/>
    <mergeCell ref="D105:D107"/>
    <mergeCell ref="E105:E107"/>
    <mergeCell ref="A108:E108"/>
    <mergeCell ref="A95:A99"/>
    <mergeCell ref="B95:B99"/>
    <mergeCell ref="D95:D99"/>
    <mergeCell ref="E95:E99"/>
    <mergeCell ref="A100:A104"/>
    <mergeCell ref="B100:B104"/>
    <mergeCell ref="D100:D104"/>
    <mergeCell ref="E100:E104"/>
    <mergeCell ref="A87:A90"/>
    <mergeCell ref="B87:B90"/>
    <mergeCell ref="D87:D90"/>
    <mergeCell ref="E87:E90"/>
    <mergeCell ref="A91:A94"/>
    <mergeCell ref="B91:B94"/>
    <mergeCell ref="D91:D94"/>
    <mergeCell ref="E91:E94"/>
    <mergeCell ref="A82:E82"/>
    <mergeCell ref="A83:E83"/>
    <mergeCell ref="A84:A86"/>
    <mergeCell ref="B84:B86"/>
    <mergeCell ref="D84:D86"/>
    <mergeCell ref="E84:E86"/>
    <mergeCell ref="A74:A78"/>
    <mergeCell ref="B74:B78"/>
    <mergeCell ref="D74:D78"/>
    <mergeCell ref="E74:E78"/>
    <mergeCell ref="A79:A81"/>
    <mergeCell ref="B79:B81"/>
    <mergeCell ref="D79:D81"/>
    <mergeCell ref="E79:E81"/>
    <mergeCell ref="A69:A73"/>
    <mergeCell ref="B69:B73"/>
    <mergeCell ref="D69:D73"/>
    <mergeCell ref="E69:E73"/>
    <mergeCell ref="A60:A62"/>
    <mergeCell ref="B60:B62"/>
    <mergeCell ref="D60:D62"/>
    <mergeCell ref="E60:E62"/>
    <mergeCell ref="A63:E63"/>
    <mergeCell ref="A44:E44"/>
    <mergeCell ref="A45:A49"/>
    <mergeCell ref="B45:B49"/>
    <mergeCell ref="D45:D49"/>
    <mergeCell ref="E45:E49"/>
    <mergeCell ref="A64:A68"/>
    <mergeCell ref="B64:B68"/>
    <mergeCell ref="D64:D68"/>
    <mergeCell ref="E64:E68"/>
    <mergeCell ref="A279:D279"/>
    <mergeCell ref="A17:E17"/>
    <mergeCell ref="A18:E18"/>
    <mergeCell ref="A19:A21"/>
    <mergeCell ref="B19:B21"/>
    <mergeCell ref="D19:D21"/>
    <mergeCell ref="E19:E21"/>
    <mergeCell ref="A22:A25"/>
    <mergeCell ref="B22:B25"/>
    <mergeCell ref="D22:D25"/>
    <mergeCell ref="E22:E25"/>
    <mergeCell ref="A40:A42"/>
    <mergeCell ref="B40:B42"/>
    <mergeCell ref="D40:D42"/>
    <mergeCell ref="E40:E42"/>
    <mergeCell ref="A50:A54"/>
    <mergeCell ref="B50:B54"/>
    <mergeCell ref="D50:D54"/>
    <mergeCell ref="E50:E54"/>
    <mergeCell ref="A55:A59"/>
    <mergeCell ref="B55:B59"/>
    <mergeCell ref="D55:D59"/>
    <mergeCell ref="E55:E59"/>
    <mergeCell ref="A43:E43"/>
    <mergeCell ref="A3:E3"/>
    <mergeCell ref="A4:E4"/>
    <mergeCell ref="C6:E6"/>
    <mergeCell ref="A35:A39"/>
    <mergeCell ref="B35:B39"/>
    <mergeCell ref="D35:D39"/>
    <mergeCell ref="E35:E39"/>
    <mergeCell ref="A26:A29"/>
    <mergeCell ref="B26:B29"/>
    <mergeCell ref="D26:D29"/>
    <mergeCell ref="E26:E29"/>
    <mergeCell ref="A30:A34"/>
    <mergeCell ref="B30:B34"/>
    <mergeCell ref="D30:D34"/>
    <mergeCell ref="E30:E34"/>
  </mergeCells>
  <pageMargins left="0.23622047244094491" right="0.23622047244094491" top="0.74803149606299213" bottom="0.74803149606299213" header="0.31496062992125984" footer="0.31496062992125984"/>
  <pageSetup paperSize="9" scale="77" fitToHeight="0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FF"/>
    <pageSetUpPr fitToPage="1"/>
  </sheetPr>
  <dimension ref="A1:IV108"/>
  <sheetViews>
    <sheetView topLeftCell="A32" zoomScale="85" zoomScaleNormal="85" workbookViewId="0">
      <selection activeCell="E56" sqref="E1:E1048576"/>
    </sheetView>
  </sheetViews>
  <sheetFormatPr defaultColWidth="9.140625" defaultRowHeight="12.75" x14ac:dyDescent="0.2"/>
  <cols>
    <col min="1" max="1" width="9.140625" style="116"/>
    <col min="2" max="2" width="34.85546875" style="116" customWidth="1"/>
    <col min="3" max="3" width="42.85546875" style="154" customWidth="1"/>
    <col min="4" max="4" width="26.5703125" style="155" customWidth="1"/>
    <col min="5" max="5" width="17.42578125" style="155" customWidth="1"/>
    <col min="6" max="219" width="9.140625" style="116"/>
    <col min="220" max="220" width="28" style="116" customWidth="1"/>
    <col min="221" max="221" width="52" style="116" customWidth="1"/>
    <col min="222" max="222" width="27.28515625" style="116" customWidth="1"/>
    <col min="223" max="223" width="20.5703125" style="116" customWidth="1"/>
    <col min="224" max="225" width="9.140625" style="116"/>
    <col min="226" max="226" width="11.5703125" style="116" bestFit="1" customWidth="1"/>
    <col min="227" max="257" width="9.140625" style="116"/>
    <col min="258" max="258" width="28.7109375" style="116" customWidth="1"/>
    <col min="259" max="259" width="42.85546875" style="116" customWidth="1"/>
    <col min="260" max="260" width="26.28515625" style="116" customWidth="1"/>
    <col min="261" max="261" width="17.42578125" style="116" customWidth="1"/>
    <col min="262" max="475" width="9.140625" style="116"/>
    <col min="476" max="476" width="28" style="116" customWidth="1"/>
    <col min="477" max="477" width="52" style="116" customWidth="1"/>
    <col min="478" max="478" width="27.28515625" style="116" customWidth="1"/>
    <col min="479" max="479" width="20.5703125" style="116" customWidth="1"/>
    <col min="480" max="481" width="9.140625" style="116"/>
    <col min="482" max="482" width="11.5703125" style="116" bestFit="1" customWidth="1"/>
    <col min="483" max="513" width="9.140625" style="116"/>
    <col min="514" max="514" width="28.7109375" style="116" customWidth="1"/>
    <col min="515" max="515" width="42.85546875" style="116" customWidth="1"/>
    <col min="516" max="516" width="26.28515625" style="116" customWidth="1"/>
    <col min="517" max="517" width="17.42578125" style="116" customWidth="1"/>
    <col min="518" max="731" width="9.140625" style="116"/>
    <col min="732" max="732" width="28" style="116" customWidth="1"/>
    <col min="733" max="733" width="52" style="116" customWidth="1"/>
    <col min="734" max="734" width="27.28515625" style="116" customWidth="1"/>
    <col min="735" max="735" width="20.5703125" style="116" customWidth="1"/>
    <col min="736" max="737" width="9.140625" style="116"/>
    <col min="738" max="738" width="11.5703125" style="116" bestFit="1" customWidth="1"/>
    <col min="739" max="769" width="9.140625" style="116"/>
    <col min="770" max="770" width="28.7109375" style="116" customWidth="1"/>
    <col min="771" max="771" width="42.85546875" style="116" customWidth="1"/>
    <col min="772" max="772" width="26.28515625" style="116" customWidth="1"/>
    <col min="773" max="773" width="17.42578125" style="116" customWidth="1"/>
    <col min="774" max="987" width="9.140625" style="116"/>
    <col min="988" max="988" width="28" style="116" customWidth="1"/>
    <col min="989" max="989" width="52" style="116" customWidth="1"/>
    <col min="990" max="990" width="27.28515625" style="116" customWidth="1"/>
    <col min="991" max="991" width="20.5703125" style="116" customWidth="1"/>
    <col min="992" max="993" width="9.140625" style="116"/>
    <col min="994" max="994" width="11.5703125" style="116" bestFit="1" customWidth="1"/>
    <col min="995" max="1025" width="9.140625" style="116"/>
    <col min="1026" max="1026" width="28.7109375" style="116" customWidth="1"/>
    <col min="1027" max="1027" width="42.85546875" style="116" customWidth="1"/>
    <col min="1028" max="1028" width="26.28515625" style="116" customWidth="1"/>
    <col min="1029" max="1029" width="17.42578125" style="116" customWidth="1"/>
    <col min="1030" max="1243" width="9.140625" style="116"/>
    <col min="1244" max="1244" width="28" style="116" customWidth="1"/>
    <col min="1245" max="1245" width="52" style="116" customWidth="1"/>
    <col min="1246" max="1246" width="27.28515625" style="116" customWidth="1"/>
    <col min="1247" max="1247" width="20.5703125" style="116" customWidth="1"/>
    <col min="1248" max="1249" width="9.140625" style="116"/>
    <col min="1250" max="1250" width="11.5703125" style="116" bestFit="1" customWidth="1"/>
    <col min="1251" max="1281" width="9.140625" style="116"/>
    <col min="1282" max="1282" width="28.7109375" style="116" customWidth="1"/>
    <col min="1283" max="1283" width="42.85546875" style="116" customWidth="1"/>
    <col min="1284" max="1284" width="26.28515625" style="116" customWidth="1"/>
    <col min="1285" max="1285" width="17.42578125" style="116" customWidth="1"/>
    <col min="1286" max="1499" width="9.140625" style="116"/>
    <col min="1500" max="1500" width="28" style="116" customWidth="1"/>
    <col min="1501" max="1501" width="52" style="116" customWidth="1"/>
    <col min="1502" max="1502" width="27.28515625" style="116" customWidth="1"/>
    <col min="1503" max="1503" width="20.5703125" style="116" customWidth="1"/>
    <col min="1504" max="1505" width="9.140625" style="116"/>
    <col min="1506" max="1506" width="11.5703125" style="116" bestFit="1" customWidth="1"/>
    <col min="1507" max="1537" width="9.140625" style="116"/>
    <col min="1538" max="1538" width="28.7109375" style="116" customWidth="1"/>
    <col min="1539" max="1539" width="42.85546875" style="116" customWidth="1"/>
    <col min="1540" max="1540" width="26.28515625" style="116" customWidth="1"/>
    <col min="1541" max="1541" width="17.42578125" style="116" customWidth="1"/>
    <col min="1542" max="1755" width="9.140625" style="116"/>
    <col min="1756" max="1756" width="28" style="116" customWidth="1"/>
    <col min="1757" max="1757" width="52" style="116" customWidth="1"/>
    <col min="1758" max="1758" width="27.28515625" style="116" customWidth="1"/>
    <col min="1759" max="1759" width="20.5703125" style="116" customWidth="1"/>
    <col min="1760" max="1761" width="9.140625" style="116"/>
    <col min="1762" max="1762" width="11.5703125" style="116" bestFit="1" customWidth="1"/>
    <col min="1763" max="1793" width="9.140625" style="116"/>
    <col min="1794" max="1794" width="28.7109375" style="116" customWidth="1"/>
    <col min="1795" max="1795" width="42.85546875" style="116" customWidth="1"/>
    <col min="1796" max="1796" width="26.28515625" style="116" customWidth="1"/>
    <col min="1797" max="1797" width="17.42578125" style="116" customWidth="1"/>
    <col min="1798" max="2011" width="9.140625" style="116"/>
    <col min="2012" max="2012" width="28" style="116" customWidth="1"/>
    <col min="2013" max="2013" width="52" style="116" customWidth="1"/>
    <col min="2014" max="2014" width="27.28515625" style="116" customWidth="1"/>
    <col min="2015" max="2015" width="20.5703125" style="116" customWidth="1"/>
    <col min="2016" max="2017" width="9.140625" style="116"/>
    <col min="2018" max="2018" width="11.5703125" style="116" bestFit="1" customWidth="1"/>
    <col min="2019" max="2049" width="9.140625" style="116"/>
    <col min="2050" max="2050" width="28.7109375" style="116" customWidth="1"/>
    <col min="2051" max="2051" width="42.85546875" style="116" customWidth="1"/>
    <col min="2052" max="2052" width="26.28515625" style="116" customWidth="1"/>
    <col min="2053" max="2053" width="17.42578125" style="116" customWidth="1"/>
    <col min="2054" max="2267" width="9.140625" style="116"/>
    <col min="2268" max="2268" width="28" style="116" customWidth="1"/>
    <col min="2269" max="2269" width="52" style="116" customWidth="1"/>
    <col min="2270" max="2270" width="27.28515625" style="116" customWidth="1"/>
    <col min="2271" max="2271" width="20.5703125" style="116" customWidth="1"/>
    <col min="2272" max="2273" width="9.140625" style="116"/>
    <col min="2274" max="2274" width="11.5703125" style="116" bestFit="1" customWidth="1"/>
    <col min="2275" max="2305" width="9.140625" style="116"/>
    <col min="2306" max="2306" width="28.7109375" style="116" customWidth="1"/>
    <col min="2307" max="2307" width="42.85546875" style="116" customWidth="1"/>
    <col min="2308" max="2308" width="26.28515625" style="116" customWidth="1"/>
    <col min="2309" max="2309" width="17.42578125" style="116" customWidth="1"/>
    <col min="2310" max="2523" width="9.140625" style="116"/>
    <col min="2524" max="2524" width="28" style="116" customWidth="1"/>
    <col min="2525" max="2525" width="52" style="116" customWidth="1"/>
    <col min="2526" max="2526" width="27.28515625" style="116" customWidth="1"/>
    <col min="2527" max="2527" width="20.5703125" style="116" customWidth="1"/>
    <col min="2528" max="2529" width="9.140625" style="116"/>
    <col min="2530" max="2530" width="11.5703125" style="116" bestFit="1" customWidth="1"/>
    <col min="2531" max="2561" width="9.140625" style="116"/>
    <col min="2562" max="2562" width="28.7109375" style="116" customWidth="1"/>
    <col min="2563" max="2563" width="42.85546875" style="116" customWidth="1"/>
    <col min="2564" max="2564" width="26.28515625" style="116" customWidth="1"/>
    <col min="2565" max="2565" width="17.42578125" style="116" customWidth="1"/>
    <col min="2566" max="2779" width="9.140625" style="116"/>
    <col min="2780" max="2780" width="28" style="116" customWidth="1"/>
    <col min="2781" max="2781" width="52" style="116" customWidth="1"/>
    <col min="2782" max="2782" width="27.28515625" style="116" customWidth="1"/>
    <col min="2783" max="2783" width="20.5703125" style="116" customWidth="1"/>
    <col min="2784" max="2785" width="9.140625" style="116"/>
    <col min="2786" max="2786" width="11.5703125" style="116" bestFit="1" customWidth="1"/>
    <col min="2787" max="2817" width="9.140625" style="116"/>
    <col min="2818" max="2818" width="28.7109375" style="116" customWidth="1"/>
    <col min="2819" max="2819" width="42.85546875" style="116" customWidth="1"/>
    <col min="2820" max="2820" width="26.28515625" style="116" customWidth="1"/>
    <col min="2821" max="2821" width="17.42578125" style="116" customWidth="1"/>
    <col min="2822" max="3035" width="9.140625" style="116"/>
    <col min="3036" max="3036" width="28" style="116" customWidth="1"/>
    <col min="3037" max="3037" width="52" style="116" customWidth="1"/>
    <col min="3038" max="3038" width="27.28515625" style="116" customWidth="1"/>
    <col min="3039" max="3039" width="20.5703125" style="116" customWidth="1"/>
    <col min="3040" max="3041" width="9.140625" style="116"/>
    <col min="3042" max="3042" width="11.5703125" style="116" bestFit="1" customWidth="1"/>
    <col min="3043" max="3073" width="9.140625" style="116"/>
    <col min="3074" max="3074" width="28.7109375" style="116" customWidth="1"/>
    <col min="3075" max="3075" width="42.85546875" style="116" customWidth="1"/>
    <col min="3076" max="3076" width="26.28515625" style="116" customWidth="1"/>
    <col min="3077" max="3077" width="17.42578125" style="116" customWidth="1"/>
    <col min="3078" max="3291" width="9.140625" style="116"/>
    <col min="3292" max="3292" width="28" style="116" customWidth="1"/>
    <col min="3293" max="3293" width="52" style="116" customWidth="1"/>
    <col min="3294" max="3294" width="27.28515625" style="116" customWidth="1"/>
    <col min="3295" max="3295" width="20.5703125" style="116" customWidth="1"/>
    <col min="3296" max="3297" width="9.140625" style="116"/>
    <col min="3298" max="3298" width="11.5703125" style="116" bestFit="1" customWidth="1"/>
    <col min="3299" max="3329" width="9.140625" style="116"/>
    <col min="3330" max="3330" width="28.7109375" style="116" customWidth="1"/>
    <col min="3331" max="3331" width="42.85546875" style="116" customWidth="1"/>
    <col min="3332" max="3332" width="26.28515625" style="116" customWidth="1"/>
    <col min="3333" max="3333" width="17.42578125" style="116" customWidth="1"/>
    <col min="3334" max="3547" width="9.140625" style="116"/>
    <col min="3548" max="3548" width="28" style="116" customWidth="1"/>
    <col min="3549" max="3549" width="52" style="116" customWidth="1"/>
    <col min="3550" max="3550" width="27.28515625" style="116" customWidth="1"/>
    <col min="3551" max="3551" width="20.5703125" style="116" customWidth="1"/>
    <col min="3552" max="3553" width="9.140625" style="116"/>
    <col min="3554" max="3554" width="11.5703125" style="116" bestFit="1" customWidth="1"/>
    <col min="3555" max="3585" width="9.140625" style="116"/>
    <col min="3586" max="3586" width="28.7109375" style="116" customWidth="1"/>
    <col min="3587" max="3587" width="42.85546875" style="116" customWidth="1"/>
    <col min="3588" max="3588" width="26.28515625" style="116" customWidth="1"/>
    <col min="3589" max="3589" width="17.42578125" style="116" customWidth="1"/>
    <col min="3590" max="3803" width="9.140625" style="116"/>
    <col min="3804" max="3804" width="28" style="116" customWidth="1"/>
    <col min="3805" max="3805" width="52" style="116" customWidth="1"/>
    <col min="3806" max="3806" width="27.28515625" style="116" customWidth="1"/>
    <col min="3807" max="3807" width="20.5703125" style="116" customWidth="1"/>
    <col min="3808" max="3809" width="9.140625" style="116"/>
    <col min="3810" max="3810" width="11.5703125" style="116" bestFit="1" customWidth="1"/>
    <col min="3811" max="3841" width="9.140625" style="116"/>
    <col min="3842" max="3842" width="28.7109375" style="116" customWidth="1"/>
    <col min="3843" max="3843" width="42.85546875" style="116" customWidth="1"/>
    <col min="3844" max="3844" width="26.28515625" style="116" customWidth="1"/>
    <col min="3845" max="3845" width="17.42578125" style="116" customWidth="1"/>
    <col min="3846" max="4059" width="9.140625" style="116"/>
    <col min="4060" max="4060" width="28" style="116" customWidth="1"/>
    <col min="4061" max="4061" width="52" style="116" customWidth="1"/>
    <col min="4062" max="4062" width="27.28515625" style="116" customWidth="1"/>
    <col min="4063" max="4063" width="20.5703125" style="116" customWidth="1"/>
    <col min="4064" max="4065" width="9.140625" style="116"/>
    <col min="4066" max="4066" width="11.5703125" style="116" bestFit="1" customWidth="1"/>
    <col min="4067" max="4097" width="9.140625" style="116"/>
    <col min="4098" max="4098" width="28.7109375" style="116" customWidth="1"/>
    <col min="4099" max="4099" width="42.85546875" style="116" customWidth="1"/>
    <col min="4100" max="4100" width="26.28515625" style="116" customWidth="1"/>
    <col min="4101" max="4101" width="17.42578125" style="116" customWidth="1"/>
    <col min="4102" max="4315" width="9.140625" style="116"/>
    <col min="4316" max="4316" width="28" style="116" customWidth="1"/>
    <col min="4317" max="4317" width="52" style="116" customWidth="1"/>
    <col min="4318" max="4318" width="27.28515625" style="116" customWidth="1"/>
    <col min="4319" max="4319" width="20.5703125" style="116" customWidth="1"/>
    <col min="4320" max="4321" width="9.140625" style="116"/>
    <col min="4322" max="4322" width="11.5703125" style="116" bestFit="1" customWidth="1"/>
    <col min="4323" max="4353" width="9.140625" style="116"/>
    <col min="4354" max="4354" width="28.7109375" style="116" customWidth="1"/>
    <col min="4355" max="4355" width="42.85546875" style="116" customWidth="1"/>
    <col min="4356" max="4356" width="26.28515625" style="116" customWidth="1"/>
    <col min="4357" max="4357" width="17.42578125" style="116" customWidth="1"/>
    <col min="4358" max="4571" width="9.140625" style="116"/>
    <col min="4572" max="4572" width="28" style="116" customWidth="1"/>
    <col min="4573" max="4573" width="52" style="116" customWidth="1"/>
    <col min="4574" max="4574" width="27.28515625" style="116" customWidth="1"/>
    <col min="4575" max="4575" width="20.5703125" style="116" customWidth="1"/>
    <col min="4576" max="4577" width="9.140625" style="116"/>
    <col min="4578" max="4578" width="11.5703125" style="116" bestFit="1" customWidth="1"/>
    <col min="4579" max="4609" width="9.140625" style="116"/>
    <col min="4610" max="4610" width="28.7109375" style="116" customWidth="1"/>
    <col min="4611" max="4611" width="42.85546875" style="116" customWidth="1"/>
    <col min="4612" max="4612" width="26.28515625" style="116" customWidth="1"/>
    <col min="4613" max="4613" width="17.42578125" style="116" customWidth="1"/>
    <col min="4614" max="4827" width="9.140625" style="116"/>
    <col min="4828" max="4828" width="28" style="116" customWidth="1"/>
    <col min="4829" max="4829" width="52" style="116" customWidth="1"/>
    <col min="4830" max="4830" width="27.28515625" style="116" customWidth="1"/>
    <col min="4831" max="4831" width="20.5703125" style="116" customWidth="1"/>
    <col min="4832" max="4833" width="9.140625" style="116"/>
    <col min="4834" max="4834" width="11.5703125" style="116" bestFit="1" customWidth="1"/>
    <col min="4835" max="4865" width="9.140625" style="116"/>
    <col min="4866" max="4866" width="28.7109375" style="116" customWidth="1"/>
    <col min="4867" max="4867" width="42.85546875" style="116" customWidth="1"/>
    <col min="4868" max="4868" width="26.28515625" style="116" customWidth="1"/>
    <col min="4869" max="4869" width="17.42578125" style="116" customWidth="1"/>
    <col min="4870" max="5083" width="9.140625" style="116"/>
    <col min="5084" max="5084" width="28" style="116" customWidth="1"/>
    <col min="5085" max="5085" width="52" style="116" customWidth="1"/>
    <col min="5086" max="5086" width="27.28515625" style="116" customWidth="1"/>
    <col min="5087" max="5087" width="20.5703125" style="116" customWidth="1"/>
    <col min="5088" max="5089" width="9.140625" style="116"/>
    <col min="5090" max="5090" width="11.5703125" style="116" bestFit="1" customWidth="1"/>
    <col min="5091" max="5121" width="9.140625" style="116"/>
    <col min="5122" max="5122" width="28.7109375" style="116" customWidth="1"/>
    <col min="5123" max="5123" width="42.85546875" style="116" customWidth="1"/>
    <col min="5124" max="5124" width="26.28515625" style="116" customWidth="1"/>
    <col min="5125" max="5125" width="17.42578125" style="116" customWidth="1"/>
    <col min="5126" max="5339" width="9.140625" style="116"/>
    <col min="5340" max="5340" width="28" style="116" customWidth="1"/>
    <col min="5341" max="5341" width="52" style="116" customWidth="1"/>
    <col min="5342" max="5342" width="27.28515625" style="116" customWidth="1"/>
    <col min="5343" max="5343" width="20.5703125" style="116" customWidth="1"/>
    <col min="5344" max="5345" width="9.140625" style="116"/>
    <col min="5346" max="5346" width="11.5703125" style="116" bestFit="1" customWidth="1"/>
    <col min="5347" max="5377" width="9.140625" style="116"/>
    <col min="5378" max="5378" width="28.7109375" style="116" customWidth="1"/>
    <col min="5379" max="5379" width="42.85546875" style="116" customWidth="1"/>
    <col min="5380" max="5380" width="26.28515625" style="116" customWidth="1"/>
    <col min="5381" max="5381" width="17.42578125" style="116" customWidth="1"/>
    <col min="5382" max="5595" width="9.140625" style="116"/>
    <col min="5596" max="5596" width="28" style="116" customWidth="1"/>
    <col min="5597" max="5597" width="52" style="116" customWidth="1"/>
    <col min="5598" max="5598" width="27.28515625" style="116" customWidth="1"/>
    <col min="5599" max="5599" width="20.5703125" style="116" customWidth="1"/>
    <col min="5600" max="5601" width="9.140625" style="116"/>
    <col min="5602" max="5602" width="11.5703125" style="116" bestFit="1" customWidth="1"/>
    <col min="5603" max="5633" width="9.140625" style="116"/>
    <col min="5634" max="5634" width="28.7109375" style="116" customWidth="1"/>
    <col min="5635" max="5635" width="42.85546875" style="116" customWidth="1"/>
    <col min="5636" max="5636" width="26.28515625" style="116" customWidth="1"/>
    <col min="5637" max="5637" width="17.42578125" style="116" customWidth="1"/>
    <col min="5638" max="5851" width="9.140625" style="116"/>
    <col min="5852" max="5852" width="28" style="116" customWidth="1"/>
    <col min="5853" max="5853" width="52" style="116" customWidth="1"/>
    <col min="5854" max="5854" width="27.28515625" style="116" customWidth="1"/>
    <col min="5855" max="5855" width="20.5703125" style="116" customWidth="1"/>
    <col min="5856" max="5857" width="9.140625" style="116"/>
    <col min="5858" max="5858" width="11.5703125" style="116" bestFit="1" customWidth="1"/>
    <col min="5859" max="5889" width="9.140625" style="116"/>
    <col min="5890" max="5890" width="28.7109375" style="116" customWidth="1"/>
    <col min="5891" max="5891" width="42.85546875" style="116" customWidth="1"/>
    <col min="5892" max="5892" width="26.28515625" style="116" customWidth="1"/>
    <col min="5893" max="5893" width="17.42578125" style="116" customWidth="1"/>
    <col min="5894" max="6107" width="9.140625" style="116"/>
    <col min="6108" max="6108" width="28" style="116" customWidth="1"/>
    <col min="6109" max="6109" width="52" style="116" customWidth="1"/>
    <col min="6110" max="6110" width="27.28515625" style="116" customWidth="1"/>
    <col min="6111" max="6111" width="20.5703125" style="116" customWidth="1"/>
    <col min="6112" max="6113" width="9.140625" style="116"/>
    <col min="6114" max="6114" width="11.5703125" style="116" bestFit="1" customWidth="1"/>
    <col min="6115" max="6145" width="9.140625" style="116"/>
    <col min="6146" max="6146" width="28.7109375" style="116" customWidth="1"/>
    <col min="6147" max="6147" width="42.85546875" style="116" customWidth="1"/>
    <col min="6148" max="6148" width="26.28515625" style="116" customWidth="1"/>
    <col min="6149" max="6149" width="17.42578125" style="116" customWidth="1"/>
    <col min="6150" max="6363" width="9.140625" style="116"/>
    <col min="6364" max="6364" width="28" style="116" customWidth="1"/>
    <col min="6365" max="6365" width="52" style="116" customWidth="1"/>
    <col min="6366" max="6366" width="27.28515625" style="116" customWidth="1"/>
    <col min="6367" max="6367" width="20.5703125" style="116" customWidth="1"/>
    <col min="6368" max="6369" width="9.140625" style="116"/>
    <col min="6370" max="6370" width="11.5703125" style="116" bestFit="1" customWidth="1"/>
    <col min="6371" max="6401" width="9.140625" style="116"/>
    <col min="6402" max="6402" width="28.7109375" style="116" customWidth="1"/>
    <col min="6403" max="6403" width="42.85546875" style="116" customWidth="1"/>
    <col min="6404" max="6404" width="26.28515625" style="116" customWidth="1"/>
    <col min="6405" max="6405" width="17.42578125" style="116" customWidth="1"/>
    <col min="6406" max="6619" width="9.140625" style="116"/>
    <col min="6620" max="6620" width="28" style="116" customWidth="1"/>
    <col min="6621" max="6621" width="52" style="116" customWidth="1"/>
    <col min="6622" max="6622" width="27.28515625" style="116" customWidth="1"/>
    <col min="6623" max="6623" width="20.5703125" style="116" customWidth="1"/>
    <col min="6624" max="6625" width="9.140625" style="116"/>
    <col min="6626" max="6626" width="11.5703125" style="116" bestFit="1" customWidth="1"/>
    <col min="6627" max="6657" width="9.140625" style="116"/>
    <col min="6658" max="6658" width="28.7109375" style="116" customWidth="1"/>
    <col min="6659" max="6659" width="42.85546875" style="116" customWidth="1"/>
    <col min="6660" max="6660" width="26.28515625" style="116" customWidth="1"/>
    <col min="6661" max="6661" width="17.42578125" style="116" customWidth="1"/>
    <col min="6662" max="6875" width="9.140625" style="116"/>
    <col min="6876" max="6876" width="28" style="116" customWidth="1"/>
    <col min="6877" max="6877" width="52" style="116" customWidth="1"/>
    <col min="6878" max="6878" width="27.28515625" style="116" customWidth="1"/>
    <col min="6879" max="6879" width="20.5703125" style="116" customWidth="1"/>
    <col min="6880" max="6881" width="9.140625" style="116"/>
    <col min="6882" max="6882" width="11.5703125" style="116" bestFit="1" customWidth="1"/>
    <col min="6883" max="6913" width="9.140625" style="116"/>
    <col min="6914" max="6914" width="28.7109375" style="116" customWidth="1"/>
    <col min="6915" max="6915" width="42.85546875" style="116" customWidth="1"/>
    <col min="6916" max="6916" width="26.28515625" style="116" customWidth="1"/>
    <col min="6917" max="6917" width="17.42578125" style="116" customWidth="1"/>
    <col min="6918" max="7131" width="9.140625" style="116"/>
    <col min="7132" max="7132" width="28" style="116" customWidth="1"/>
    <col min="7133" max="7133" width="52" style="116" customWidth="1"/>
    <col min="7134" max="7134" width="27.28515625" style="116" customWidth="1"/>
    <col min="7135" max="7135" width="20.5703125" style="116" customWidth="1"/>
    <col min="7136" max="7137" width="9.140625" style="116"/>
    <col min="7138" max="7138" width="11.5703125" style="116" bestFit="1" customWidth="1"/>
    <col min="7139" max="7169" width="9.140625" style="116"/>
    <col min="7170" max="7170" width="28.7109375" style="116" customWidth="1"/>
    <col min="7171" max="7171" width="42.85546875" style="116" customWidth="1"/>
    <col min="7172" max="7172" width="26.28515625" style="116" customWidth="1"/>
    <col min="7173" max="7173" width="17.42578125" style="116" customWidth="1"/>
    <col min="7174" max="7387" width="9.140625" style="116"/>
    <col min="7388" max="7388" width="28" style="116" customWidth="1"/>
    <col min="7389" max="7389" width="52" style="116" customWidth="1"/>
    <col min="7390" max="7390" width="27.28515625" style="116" customWidth="1"/>
    <col min="7391" max="7391" width="20.5703125" style="116" customWidth="1"/>
    <col min="7392" max="7393" width="9.140625" style="116"/>
    <col min="7394" max="7394" width="11.5703125" style="116" bestFit="1" customWidth="1"/>
    <col min="7395" max="7425" width="9.140625" style="116"/>
    <col min="7426" max="7426" width="28.7109375" style="116" customWidth="1"/>
    <col min="7427" max="7427" width="42.85546875" style="116" customWidth="1"/>
    <col min="7428" max="7428" width="26.28515625" style="116" customWidth="1"/>
    <col min="7429" max="7429" width="17.42578125" style="116" customWidth="1"/>
    <col min="7430" max="7643" width="9.140625" style="116"/>
    <col min="7644" max="7644" width="28" style="116" customWidth="1"/>
    <col min="7645" max="7645" width="52" style="116" customWidth="1"/>
    <col min="7646" max="7646" width="27.28515625" style="116" customWidth="1"/>
    <col min="7647" max="7647" width="20.5703125" style="116" customWidth="1"/>
    <col min="7648" max="7649" width="9.140625" style="116"/>
    <col min="7650" max="7650" width="11.5703125" style="116" bestFit="1" customWidth="1"/>
    <col min="7651" max="7681" width="9.140625" style="116"/>
    <col min="7682" max="7682" width="28.7109375" style="116" customWidth="1"/>
    <col min="7683" max="7683" width="42.85546875" style="116" customWidth="1"/>
    <col min="7684" max="7684" width="26.28515625" style="116" customWidth="1"/>
    <col min="7685" max="7685" width="17.42578125" style="116" customWidth="1"/>
    <col min="7686" max="7899" width="9.140625" style="116"/>
    <col min="7900" max="7900" width="28" style="116" customWidth="1"/>
    <col min="7901" max="7901" width="52" style="116" customWidth="1"/>
    <col min="7902" max="7902" width="27.28515625" style="116" customWidth="1"/>
    <col min="7903" max="7903" width="20.5703125" style="116" customWidth="1"/>
    <col min="7904" max="7905" width="9.140625" style="116"/>
    <col min="7906" max="7906" width="11.5703125" style="116" bestFit="1" customWidth="1"/>
    <col min="7907" max="7937" width="9.140625" style="116"/>
    <col min="7938" max="7938" width="28.7109375" style="116" customWidth="1"/>
    <col min="7939" max="7939" width="42.85546875" style="116" customWidth="1"/>
    <col min="7940" max="7940" width="26.28515625" style="116" customWidth="1"/>
    <col min="7941" max="7941" width="17.42578125" style="116" customWidth="1"/>
    <col min="7942" max="8155" width="9.140625" style="116"/>
    <col min="8156" max="8156" width="28" style="116" customWidth="1"/>
    <col min="8157" max="8157" width="52" style="116" customWidth="1"/>
    <col min="8158" max="8158" width="27.28515625" style="116" customWidth="1"/>
    <col min="8159" max="8159" width="20.5703125" style="116" customWidth="1"/>
    <col min="8160" max="8161" width="9.140625" style="116"/>
    <col min="8162" max="8162" width="11.5703125" style="116" bestFit="1" customWidth="1"/>
    <col min="8163" max="8193" width="9.140625" style="116"/>
    <col min="8194" max="8194" width="28.7109375" style="116" customWidth="1"/>
    <col min="8195" max="8195" width="42.85546875" style="116" customWidth="1"/>
    <col min="8196" max="8196" width="26.28515625" style="116" customWidth="1"/>
    <col min="8197" max="8197" width="17.42578125" style="116" customWidth="1"/>
    <col min="8198" max="8411" width="9.140625" style="116"/>
    <col min="8412" max="8412" width="28" style="116" customWidth="1"/>
    <col min="8413" max="8413" width="52" style="116" customWidth="1"/>
    <col min="8414" max="8414" width="27.28515625" style="116" customWidth="1"/>
    <col min="8415" max="8415" width="20.5703125" style="116" customWidth="1"/>
    <col min="8416" max="8417" width="9.140625" style="116"/>
    <col min="8418" max="8418" width="11.5703125" style="116" bestFit="1" customWidth="1"/>
    <col min="8419" max="8449" width="9.140625" style="116"/>
    <col min="8450" max="8450" width="28.7109375" style="116" customWidth="1"/>
    <col min="8451" max="8451" width="42.85546875" style="116" customWidth="1"/>
    <col min="8452" max="8452" width="26.28515625" style="116" customWidth="1"/>
    <col min="8453" max="8453" width="17.42578125" style="116" customWidth="1"/>
    <col min="8454" max="8667" width="9.140625" style="116"/>
    <col min="8668" max="8668" width="28" style="116" customWidth="1"/>
    <col min="8669" max="8669" width="52" style="116" customWidth="1"/>
    <col min="8670" max="8670" width="27.28515625" style="116" customWidth="1"/>
    <col min="8671" max="8671" width="20.5703125" style="116" customWidth="1"/>
    <col min="8672" max="8673" width="9.140625" style="116"/>
    <col min="8674" max="8674" width="11.5703125" style="116" bestFit="1" customWidth="1"/>
    <col min="8675" max="8705" width="9.140625" style="116"/>
    <col min="8706" max="8706" width="28.7109375" style="116" customWidth="1"/>
    <col min="8707" max="8707" width="42.85546875" style="116" customWidth="1"/>
    <col min="8708" max="8708" width="26.28515625" style="116" customWidth="1"/>
    <col min="8709" max="8709" width="17.42578125" style="116" customWidth="1"/>
    <col min="8710" max="8923" width="9.140625" style="116"/>
    <col min="8924" max="8924" width="28" style="116" customWidth="1"/>
    <col min="8925" max="8925" width="52" style="116" customWidth="1"/>
    <col min="8926" max="8926" width="27.28515625" style="116" customWidth="1"/>
    <col min="8927" max="8927" width="20.5703125" style="116" customWidth="1"/>
    <col min="8928" max="8929" width="9.140625" style="116"/>
    <col min="8930" max="8930" width="11.5703125" style="116" bestFit="1" customWidth="1"/>
    <col min="8931" max="8961" width="9.140625" style="116"/>
    <col min="8962" max="8962" width="28.7109375" style="116" customWidth="1"/>
    <col min="8963" max="8963" width="42.85546875" style="116" customWidth="1"/>
    <col min="8964" max="8964" width="26.28515625" style="116" customWidth="1"/>
    <col min="8965" max="8965" width="17.42578125" style="116" customWidth="1"/>
    <col min="8966" max="9179" width="9.140625" style="116"/>
    <col min="9180" max="9180" width="28" style="116" customWidth="1"/>
    <col min="9181" max="9181" width="52" style="116" customWidth="1"/>
    <col min="9182" max="9182" width="27.28515625" style="116" customWidth="1"/>
    <col min="9183" max="9183" width="20.5703125" style="116" customWidth="1"/>
    <col min="9184" max="9185" width="9.140625" style="116"/>
    <col min="9186" max="9186" width="11.5703125" style="116" bestFit="1" customWidth="1"/>
    <col min="9187" max="9217" width="9.140625" style="116"/>
    <col min="9218" max="9218" width="28.7109375" style="116" customWidth="1"/>
    <col min="9219" max="9219" width="42.85546875" style="116" customWidth="1"/>
    <col min="9220" max="9220" width="26.28515625" style="116" customWidth="1"/>
    <col min="9221" max="9221" width="17.42578125" style="116" customWidth="1"/>
    <col min="9222" max="9435" width="9.140625" style="116"/>
    <col min="9436" max="9436" width="28" style="116" customWidth="1"/>
    <col min="9437" max="9437" width="52" style="116" customWidth="1"/>
    <col min="9438" max="9438" width="27.28515625" style="116" customWidth="1"/>
    <col min="9439" max="9439" width="20.5703125" style="116" customWidth="1"/>
    <col min="9440" max="9441" width="9.140625" style="116"/>
    <col min="9442" max="9442" width="11.5703125" style="116" bestFit="1" customWidth="1"/>
    <col min="9443" max="9473" width="9.140625" style="116"/>
    <col min="9474" max="9474" width="28.7109375" style="116" customWidth="1"/>
    <col min="9475" max="9475" width="42.85546875" style="116" customWidth="1"/>
    <col min="9476" max="9476" width="26.28515625" style="116" customWidth="1"/>
    <col min="9477" max="9477" width="17.42578125" style="116" customWidth="1"/>
    <col min="9478" max="9691" width="9.140625" style="116"/>
    <col min="9692" max="9692" width="28" style="116" customWidth="1"/>
    <col min="9693" max="9693" width="52" style="116" customWidth="1"/>
    <col min="9694" max="9694" width="27.28515625" style="116" customWidth="1"/>
    <col min="9695" max="9695" width="20.5703125" style="116" customWidth="1"/>
    <col min="9696" max="9697" width="9.140625" style="116"/>
    <col min="9698" max="9698" width="11.5703125" style="116" bestFit="1" customWidth="1"/>
    <col min="9699" max="9729" width="9.140625" style="116"/>
    <col min="9730" max="9730" width="28.7109375" style="116" customWidth="1"/>
    <col min="9731" max="9731" width="42.85546875" style="116" customWidth="1"/>
    <col min="9732" max="9732" width="26.28515625" style="116" customWidth="1"/>
    <col min="9733" max="9733" width="17.42578125" style="116" customWidth="1"/>
    <col min="9734" max="9947" width="9.140625" style="116"/>
    <col min="9948" max="9948" width="28" style="116" customWidth="1"/>
    <col min="9949" max="9949" width="52" style="116" customWidth="1"/>
    <col min="9950" max="9950" width="27.28515625" style="116" customWidth="1"/>
    <col min="9951" max="9951" width="20.5703125" style="116" customWidth="1"/>
    <col min="9952" max="9953" width="9.140625" style="116"/>
    <col min="9954" max="9954" width="11.5703125" style="116" bestFit="1" customWidth="1"/>
    <col min="9955" max="9985" width="9.140625" style="116"/>
    <col min="9986" max="9986" width="28.7109375" style="116" customWidth="1"/>
    <col min="9987" max="9987" width="42.85546875" style="116" customWidth="1"/>
    <col min="9988" max="9988" width="26.28515625" style="116" customWidth="1"/>
    <col min="9989" max="9989" width="17.42578125" style="116" customWidth="1"/>
    <col min="9990" max="10203" width="9.140625" style="116"/>
    <col min="10204" max="10204" width="28" style="116" customWidth="1"/>
    <col min="10205" max="10205" width="52" style="116" customWidth="1"/>
    <col min="10206" max="10206" width="27.28515625" style="116" customWidth="1"/>
    <col min="10207" max="10207" width="20.5703125" style="116" customWidth="1"/>
    <col min="10208" max="10209" width="9.140625" style="116"/>
    <col min="10210" max="10210" width="11.5703125" style="116" bestFit="1" customWidth="1"/>
    <col min="10211" max="10241" width="9.140625" style="116"/>
    <col min="10242" max="10242" width="28.7109375" style="116" customWidth="1"/>
    <col min="10243" max="10243" width="42.85546875" style="116" customWidth="1"/>
    <col min="10244" max="10244" width="26.28515625" style="116" customWidth="1"/>
    <col min="10245" max="10245" width="17.42578125" style="116" customWidth="1"/>
    <col min="10246" max="10459" width="9.140625" style="116"/>
    <col min="10460" max="10460" width="28" style="116" customWidth="1"/>
    <col min="10461" max="10461" width="52" style="116" customWidth="1"/>
    <col min="10462" max="10462" width="27.28515625" style="116" customWidth="1"/>
    <col min="10463" max="10463" width="20.5703125" style="116" customWidth="1"/>
    <col min="10464" max="10465" width="9.140625" style="116"/>
    <col min="10466" max="10466" width="11.5703125" style="116" bestFit="1" customWidth="1"/>
    <col min="10467" max="10497" width="9.140625" style="116"/>
    <col min="10498" max="10498" width="28.7109375" style="116" customWidth="1"/>
    <col min="10499" max="10499" width="42.85546875" style="116" customWidth="1"/>
    <col min="10500" max="10500" width="26.28515625" style="116" customWidth="1"/>
    <col min="10501" max="10501" width="17.42578125" style="116" customWidth="1"/>
    <col min="10502" max="10715" width="9.140625" style="116"/>
    <col min="10716" max="10716" width="28" style="116" customWidth="1"/>
    <col min="10717" max="10717" width="52" style="116" customWidth="1"/>
    <col min="10718" max="10718" width="27.28515625" style="116" customWidth="1"/>
    <col min="10719" max="10719" width="20.5703125" style="116" customWidth="1"/>
    <col min="10720" max="10721" width="9.140625" style="116"/>
    <col min="10722" max="10722" width="11.5703125" style="116" bestFit="1" customWidth="1"/>
    <col min="10723" max="10753" width="9.140625" style="116"/>
    <col min="10754" max="10754" width="28.7109375" style="116" customWidth="1"/>
    <col min="10755" max="10755" width="42.85546875" style="116" customWidth="1"/>
    <col min="10756" max="10756" width="26.28515625" style="116" customWidth="1"/>
    <col min="10757" max="10757" width="17.42578125" style="116" customWidth="1"/>
    <col min="10758" max="10971" width="9.140625" style="116"/>
    <col min="10972" max="10972" width="28" style="116" customWidth="1"/>
    <col min="10973" max="10973" width="52" style="116" customWidth="1"/>
    <col min="10974" max="10974" width="27.28515625" style="116" customWidth="1"/>
    <col min="10975" max="10975" width="20.5703125" style="116" customWidth="1"/>
    <col min="10976" max="10977" width="9.140625" style="116"/>
    <col min="10978" max="10978" width="11.5703125" style="116" bestFit="1" customWidth="1"/>
    <col min="10979" max="11009" width="9.140625" style="116"/>
    <col min="11010" max="11010" width="28.7109375" style="116" customWidth="1"/>
    <col min="11011" max="11011" width="42.85546875" style="116" customWidth="1"/>
    <col min="11012" max="11012" width="26.28515625" style="116" customWidth="1"/>
    <col min="11013" max="11013" width="17.42578125" style="116" customWidth="1"/>
    <col min="11014" max="11227" width="9.140625" style="116"/>
    <col min="11228" max="11228" width="28" style="116" customWidth="1"/>
    <col min="11229" max="11229" width="52" style="116" customWidth="1"/>
    <col min="11230" max="11230" width="27.28515625" style="116" customWidth="1"/>
    <col min="11231" max="11231" width="20.5703125" style="116" customWidth="1"/>
    <col min="11232" max="11233" width="9.140625" style="116"/>
    <col min="11234" max="11234" width="11.5703125" style="116" bestFit="1" customWidth="1"/>
    <col min="11235" max="11265" width="9.140625" style="116"/>
    <col min="11266" max="11266" width="28.7109375" style="116" customWidth="1"/>
    <col min="11267" max="11267" width="42.85546875" style="116" customWidth="1"/>
    <col min="11268" max="11268" width="26.28515625" style="116" customWidth="1"/>
    <col min="11269" max="11269" width="17.42578125" style="116" customWidth="1"/>
    <col min="11270" max="11483" width="9.140625" style="116"/>
    <col min="11484" max="11484" width="28" style="116" customWidth="1"/>
    <col min="11485" max="11485" width="52" style="116" customWidth="1"/>
    <col min="11486" max="11486" width="27.28515625" style="116" customWidth="1"/>
    <col min="11487" max="11487" width="20.5703125" style="116" customWidth="1"/>
    <col min="11488" max="11489" width="9.140625" style="116"/>
    <col min="11490" max="11490" width="11.5703125" style="116" bestFit="1" customWidth="1"/>
    <col min="11491" max="11521" width="9.140625" style="116"/>
    <col min="11522" max="11522" width="28.7109375" style="116" customWidth="1"/>
    <col min="11523" max="11523" width="42.85546875" style="116" customWidth="1"/>
    <col min="11524" max="11524" width="26.28515625" style="116" customWidth="1"/>
    <col min="11525" max="11525" width="17.42578125" style="116" customWidth="1"/>
    <col min="11526" max="11739" width="9.140625" style="116"/>
    <col min="11740" max="11740" width="28" style="116" customWidth="1"/>
    <col min="11741" max="11741" width="52" style="116" customWidth="1"/>
    <col min="11742" max="11742" width="27.28515625" style="116" customWidth="1"/>
    <col min="11743" max="11743" width="20.5703125" style="116" customWidth="1"/>
    <col min="11744" max="11745" width="9.140625" style="116"/>
    <col min="11746" max="11746" width="11.5703125" style="116" bestFit="1" customWidth="1"/>
    <col min="11747" max="11777" width="9.140625" style="116"/>
    <col min="11778" max="11778" width="28.7109375" style="116" customWidth="1"/>
    <col min="11779" max="11779" width="42.85546875" style="116" customWidth="1"/>
    <col min="11780" max="11780" width="26.28515625" style="116" customWidth="1"/>
    <col min="11781" max="11781" width="17.42578125" style="116" customWidth="1"/>
    <col min="11782" max="11995" width="9.140625" style="116"/>
    <col min="11996" max="11996" width="28" style="116" customWidth="1"/>
    <col min="11997" max="11997" width="52" style="116" customWidth="1"/>
    <col min="11998" max="11998" width="27.28515625" style="116" customWidth="1"/>
    <col min="11999" max="11999" width="20.5703125" style="116" customWidth="1"/>
    <col min="12000" max="12001" width="9.140625" style="116"/>
    <col min="12002" max="12002" width="11.5703125" style="116" bestFit="1" customWidth="1"/>
    <col min="12003" max="12033" width="9.140625" style="116"/>
    <col min="12034" max="12034" width="28.7109375" style="116" customWidth="1"/>
    <col min="12035" max="12035" width="42.85546875" style="116" customWidth="1"/>
    <col min="12036" max="12036" width="26.28515625" style="116" customWidth="1"/>
    <col min="12037" max="12037" width="17.42578125" style="116" customWidth="1"/>
    <col min="12038" max="12251" width="9.140625" style="116"/>
    <col min="12252" max="12252" width="28" style="116" customWidth="1"/>
    <col min="12253" max="12253" width="52" style="116" customWidth="1"/>
    <col min="12254" max="12254" width="27.28515625" style="116" customWidth="1"/>
    <col min="12255" max="12255" width="20.5703125" style="116" customWidth="1"/>
    <col min="12256" max="12257" width="9.140625" style="116"/>
    <col min="12258" max="12258" width="11.5703125" style="116" bestFit="1" customWidth="1"/>
    <col min="12259" max="12289" width="9.140625" style="116"/>
    <col min="12290" max="12290" width="28.7109375" style="116" customWidth="1"/>
    <col min="12291" max="12291" width="42.85546875" style="116" customWidth="1"/>
    <col min="12292" max="12292" width="26.28515625" style="116" customWidth="1"/>
    <col min="12293" max="12293" width="17.42578125" style="116" customWidth="1"/>
    <col min="12294" max="12507" width="9.140625" style="116"/>
    <col min="12508" max="12508" width="28" style="116" customWidth="1"/>
    <col min="12509" max="12509" width="52" style="116" customWidth="1"/>
    <col min="12510" max="12510" width="27.28515625" style="116" customWidth="1"/>
    <col min="12511" max="12511" width="20.5703125" style="116" customWidth="1"/>
    <col min="12512" max="12513" width="9.140625" style="116"/>
    <col min="12514" max="12514" width="11.5703125" style="116" bestFit="1" customWidth="1"/>
    <col min="12515" max="12545" width="9.140625" style="116"/>
    <col min="12546" max="12546" width="28.7109375" style="116" customWidth="1"/>
    <col min="12547" max="12547" width="42.85546875" style="116" customWidth="1"/>
    <col min="12548" max="12548" width="26.28515625" style="116" customWidth="1"/>
    <col min="12549" max="12549" width="17.42578125" style="116" customWidth="1"/>
    <col min="12550" max="12763" width="9.140625" style="116"/>
    <col min="12764" max="12764" width="28" style="116" customWidth="1"/>
    <col min="12765" max="12765" width="52" style="116" customWidth="1"/>
    <col min="12766" max="12766" width="27.28515625" style="116" customWidth="1"/>
    <col min="12767" max="12767" width="20.5703125" style="116" customWidth="1"/>
    <col min="12768" max="12769" width="9.140625" style="116"/>
    <col min="12770" max="12770" width="11.5703125" style="116" bestFit="1" customWidth="1"/>
    <col min="12771" max="12801" width="9.140625" style="116"/>
    <col min="12802" max="12802" width="28.7109375" style="116" customWidth="1"/>
    <col min="12803" max="12803" width="42.85546875" style="116" customWidth="1"/>
    <col min="12804" max="12804" width="26.28515625" style="116" customWidth="1"/>
    <col min="12805" max="12805" width="17.42578125" style="116" customWidth="1"/>
    <col min="12806" max="13019" width="9.140625" style="116"/>
    <col min="13020" max="13020" width="28" style="116" customWidth="1"/>
    <col min="13021" max="13021" width="52" style="116" customWidth="1"/>
    <col min="13022" max="13022" width="27.28515625" style="116" customWidth="1"/>
    <col min="13023" max="13023" width="20.5703125" style="116" customWidth="1"/>
    <col min="13024" max="13025" width="9.140625" style="116"/>
    <col min="13026" max="13026" width="11.5703125" style="116" bestFit="1" customWidth="1"/>
    <col min="13027" max="13057" width="9.140625" style="116"/>
    <col min="13058" max="13058" width="28.7109375" style="116" customWidth="1"/>
    <col min="13059" max="13059" width="42.85546875" style="116" customWidth="1"/>
    <col min="13060" max="13060" width="26.28515625" style="116" customWidth="1"/>
    <col min="13061" max="13061" width="17.42578125" style="116" customWidth="1"/>
    <col min="13062" max="13275" width="9.140625" style="116"/>
    <col min="13276" max="13276" width="28" style="116" customWidth="1"/>
    <col min="13277" max="13277" width="52" style="116" customWidth="1"/>
    <col min="13278" max="13278" width="27.28515625" style="116" customWidth="1"/>
    <col min="13279" max="13279" width="20.5703125" style="116" customWidth="1"/>
    <col min="13280" max="13281" width="9.140625" style="116"/>
    <col min="13282" max="13282" width="11.5703125" style="116" bestFit="1" customWidth="1"/>
    <col min="13283" max="13313" width="9.140625" style="116"/>
    <col min="13314" max="13314" width="28.7109375" style="116" customWidth="1"/>
    <col min="13315" max="13315" width="42.85546875" style="116" customWidth="1"/>
    <col min="13316" max="13316" width="26.28515625" style="116" customWidth="1"/>
    <col min="13317" max="13317" width="17.42578125" style="116" customWidth="1"/>
    <col min="13318" max="13531" width="9.140625" style="116"/>
    <col min="13532" max="13532" width="28" style="116" customWidth="1"/>
    <col min="13533" max="13533" width="52" style="116" customWidth="1"/>
    <col min="13534" max="13534" width="27.28515625" style="116" customWidth="1"/>
    <col min="13535" max="13535" width="20.5703125" style="116" customWidth="1"/>
    <col min="13536" max="13537" width="9.140625" style="116"/>
    <col min="13538" max="13538" width="11.5703125" style="116" bestFit="1" customWidth="1"/>
    <col min="13539" max="13569" width="9.140625" style="116"/>
    <col min="13570" max="13570" width="28.7109375" style="116" customWidth="1"/>
    <col min="13571" max="13571" width="42.85546875" style="116" customWidth="1"/>
    <col min="13572" max="13572" width="26.28515625" style="116" customWidth="1"/>
    <col min="13573" max="13573" width="17.42578125" style="116" customWidth="1"/>
    <col min="13574" max="13787" width="9.140625" style="116"/>
    <col min="13788" max="13788" width="28" style="116" customWidth="1"/>
    <col min="13789" max="13789" width="52" style="116" customWidth="1"/>
    <col min="13790" max="13790" width="27.28515625" style="116" customWidth="1"/>
    <col min="13791" max="13791" width="20.5703125" style="116" customWidth="1"/>
    <col min="13792" max="13793" width="9.140625" style="116"/>
    <col min="13794" max="13794" width="11.5703125" style="116" bestFit="1" customWidth="1"/>
    <col min="13795" max="13825" width="9.140625" style="116"/>
    <col min="13826" max="13826" width="28.7109375" style="116" customWidth="1"/>
    <col min="13827" max="13827" width="42.85546875" style="116" customWidth="1"/>
    <col min="13828" max="13828" width="26.28515625" style="116" customWidth="1"/>
    <col min="13829" max="13829" width="17.42578125" style="116" customWidth="1"/>
    <col min="13830" max="14043" width="9.140625" style="116"/>
    <col min="14044" max="14044" width="28" style="116" customWidth="1"/>
    <col min="14045" max="14045" width="52" style="116" customWidth="1"/>
    <col min="14046" max="14046" width="27.28515625" style="116" customWidth="1"/>
    <col min="14047" max="14047" width="20.5703125" style="116" customWidth="1"/>
    <col min="14048" max="14049" width="9.140625" style="116"/>
    <col min="14050" max="14050" width="11.5703125" style="116" bestFit="1" customWidth="1"/>
    <col min="14051" max="14081" width="9.140625" style="116"/>
    <col min="14082" max="14082" width="28.7109375" style="116" customWidth="1"/>
    <col min="14083" max="14083" width="42.85546875" style="116" customWidth="1"/>
    <col min="14084" max="14084" width="26.28515625" style="116" customWidth="1"/>
    <col min="14085" max="14085" width="17.42578125" style="116" customWidth="1"/>
    <col min="14086" max="14299" width="9.140625" style="116"/>
    <col min="14300" max="14300" width="28" style="116" customWidth="1"/>
    <col min="14301" max="14301" width="52" style="116" customWidth="1"/>
    <col min="14302" max="14302" width="27.28515625" style="116" customWidth="1"/>
    <col min="14303" max="14303" width="20.5703125" style="116" customWidth="1"/>
    <col min="14304" max="14305" width="9.140625" style="116"/>
    <col min="14306" max="14306" width="11.5703125" style="116" bestFit="1" customWidth="1"/>
    <col min="14307" max="14337" width="9.140625" style="116"/>
    <col min="14338" max="14338" width="28.7109375" style="116" customWidth="1"/>
    <col min="14339" max="14339" width="42.85546875" style="116" customWidth="1"/>
    <col min="14340" max="14340" width="26.28515625" style="116" customWidth="1"/>
    <col min="14341" max="14341" width="17.42578125" style="116" customWidth="1"/>
    <col min="14342" max="14555" width="9.140625" style="116"/>
    <col min="14556" max="14556" width="28" style="116" customWidth="1"/>
    <col min="14557" max="14557" width="52" style="116" customWidth="1"/>
    <col min="14558" max="14558" width="27.28515625" style="116" customWidth="1"/>
    <col min="14559" max="14559" width="20.5703125" style="116" customWidth="1"/>
    <col min="14560" max="14561" width="9.140625" style="116"/>
    <col min="14562" max="14562" width="11.5703125" style="116" bestFit="1" customWidth="1"/>
    <col min="14563" max="14593" width="9.140625" style="116"/>
    <col min="14594" max="14594" width="28.7109375" style="116" customWidth="1"/>
    <col min="14595" max="14595" width="42.85546875" style="116" customWidth="1"/>
    <col min="14596" max="14596" width="26.28515625" style="116" customWidth="1"/>
    <col min="14597" max="14597" width="17.42578125" style="116" customWidth="1"/>
    <col min="14598" max="14811" width="9.140625" style="116"/>
    <col min="14812" max="14812" width="28" style="116" customWidth="1"/>
    <col min="14813" max="14813" width="52" style="116" customWidth="1"/>
    <col min="14814" max="14814" width="27.28515625" style="116" customWidth="1"/>
    <col min="14815" max="14815" width="20.5703125" style="116" customWidth="1"/>
    <col min="14816" max="14817" width="9.140625" style="116"/>
    <col min="14818" max="14818" width="11.5703125" style="116" bestFit="1" customWidth="1"/>
    <col min="14819" max="14849" width="9.140625" style="116"/>
    <col min="14850" max="14850" width="28.7109375" style="116" customWidth="1"/>
    <col min="14851" max="14851" width="42.85546875" style="116" customWidth="1"/>
    <col min="14852" max="14852" width="26.28515625" style="116" customWidth="1"/>
    <col min="14853" max="14853" width="17.42578125" style="116" customWidth="1"/>
    <col min="14854" max="15067" width="9.140625" style="116"/>
    <col min="15068" max="15068" width="28" style="116" customWidth="1"/>
    <col min="15069" max="15069" width="52" style="116" customWidth="1"/>
    <col min="15070" max="15070" width="27.28515625" style="116" customWidth="1"/>
    <col min="15071" max="15071" width="20.5703125" style="116" customWidth="1"/>
    <col min="15072" max="15073" width="9.140625" style="116"/>
    <col min="15074" max="15074" width="11.5703125" style="116" bestFit="1" customWidth="1"/>
    <col min="15075" max="15105" width="9.140625" style="116"/>
    <col min="15106" max="15106" width="28.7109375" style="116" customWidth="1"/>
    <col min="15107" max="15107" width="42.85546875" style="116" customWidth="1"/>
    <col min="15108" max="15108" width="26.28515625" style="116" customWidth="1"/>
    <col min="15109" max="15109" width="17.42578125" style="116" customWidth="1"/>
    <col min="15110" max="15323" width="9.140625" style="116"/>
    <col min="15324" max="15324" width="28" style="116" customWidth="1"/>
    <col min="15325" max="15325" width="52" style="116" customWidth="1"/>
    <col min="15326" max="15326" width="27.28515625" style="116" customWidth="1"/>
    <col min="15327" max="15327" width="20.5703125" style="116" customWidth="1"/>
    <col min="15328" max="15329" width="9.140625" style="116"/>
    <col min="15330" max="15330" width="11.5703125" style="116" bestFit="1" customWidth="1"/>
    <col min="15331" max="15361" width="9.140625" style="116"/>
    <col min="15362" max="15362" width="28.7109375" style="116" customWidth="1"/>
    <col min="15363" max="15363" width="42.85546875" style="116" customWidth="1"/>
    <col min="15364" max="15364" width="26.28515625" style="116" customWidth="1"/>
    <col min="15365" max="15365" width="17.42578125" style="116" customWidth="1"/>
    <col min="15366" max="15579" width="9.140625" style="116"/>
    <col min="15580" max="15580" width="28" style="116" customWidth="1"/>
    <col min="15581" max="15581" width="52" style="116" customWidth="1"/>
    <col min="15582" max="15582" width="27.28515625" style="116" customWidth="1"/>
    <col min="15583" max="15583" width="20.5703125" style="116" customWidth="1"/>
    <col min="15584" max="15585" width="9.140625" style="116"/>
    <col min="15586" max="15586" width="11.5703125" style="116" bestFit="1" customWidth="1"/>
    <col min="15587" max="15617" width="9.140625" style="116"/>
    <col min="15618" max="15618" width="28.7109375" style="116" customWidth="1"/>
    <col min="15619" max="15619" width="42.85546875" style="116" customWidth="1"/>
    <col min="15620" max="15620" width="26.28515625" style="116" customWidth="1"/>
    <col min="15621" max="15621" width="17.42578125" style="116" customWidth="1"/>
    <col min="15622" max="15835" width="9.140625" style="116"/>
    <col min="15836" max="15836" width="28" style="116" customWidth="1"/>
    <col min="15837" max="15837" width="52" style="116" customWidth="1"/>
    <col min="15838" max="15838" width="27.28515625" style="116" customWidth="1"/>
    <col min="15839" max="15839" width="20.5703125" style="116" customWidth="1"/>
    <col min="15840" max="15841" width="9.140625" style="116"/>
    <col min="15842" max="15842" width="11.5703125" style="116" bestFit="1" customWidth="1"/>
    <col min="15843" max="15873" width="9.140625" style="116"/>
    <col min="15874" max="15874" width="28.7109375" style="116" customWidth="1"/>
    <col min="15875" max="15875" width="42.85546875" style="116" customWidth="1"/>
    <col min="15876" max="15876" width="26.28515625" style="116" customWidth="1"/>
    <col min="15877" max="15877" width="17.42578125" style="116" customWidth="1"/>
    <col min="15878" max="16091" width="9.140625" style="116"/>
    <col min="16092" max="16092" width="28" style="116" customWidth="1"/>
    <col min="16093" max="16093" width="52" style="116" customWidth="1"/>
    <col min="16094" max="16094" width="27.28515625" style="116" customWidth="1"/>
    <col min="16095" max="16095" width="20.5703125" style="116" customWidth="1"/>
    <col min="16096" max="16097" width="9.140625" style="116"/>
    <col min="16098" max="16098" width="11.5703125" style="116" bestFit="1" customWidth="1"/>
    <col min="16099" max="16129" width="9.140625" style="116"/>
    <col min="16130" max="16130" width="28.7109375" style="116" customWidth="1"/>
    <col min="16131" max="16131" width="42.85546875" style="116" customWidth="1"/>
    <col min="16132" max="16132" width="26.28515625" style="116" customWidth="1"/>
    <col min="16133" max="16133" width="17.42578125" style="116" customWidth="1"/>
    <col min="16134" max="16347" width="9.140625" style="116"/>
    <col min="16348" max="16348" width="28" style="116" customWidth="1"/>
    <col min="16349" max="16349" width="52" style="116" customWidth="1"/>
    <col min="16350" max="16350" width="27.28515625" style="116" customWidth="1"/>
    <col min="16351" max="16351" width="20.5703125" style="116" customWidth="1"/>
    <col min="16352" max="16353" width="9.140625" style="116"/>
    <col min="16354" max="16354" width="11.5703125" style="116" bestFit="1" customWidth="1"/>
    <col min="16355" max="16384" width="9.140625" style="116"/>
  </cols>
  <sheetData>
    <row r="1" spans="1:256" x14ac:dyDescent="0.2">
      <c r="A1" s="118"/>
      <c r="B1" s="52"/>
      <c r="C1" s="119"/>
      <c r="D1" s="120"/>
      <c r="E1" s="284" t="s">
        <v>383</v>
      </c>
      <c r="F1" s="121"/>
      <c r="G1" s="122"/>
      <c r="H1" s="121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123"/>
      <c r="BY1" s="123"/>
      <c r="BZ1" s="123"/>
      <c r="CA1" s="123"/>
      <c r="CB1" s="123"/>
      <c r="CC1" s="123"/>
      <c r="CD1" s="123"/>
      <c r="CE1" s="123"/>
      <c r="CF1" s="123"/>
      <c r="CG1" s="123"/>
      <c r="CH1" s="123"/>
      <c r="CI1" s="123"/>
      <c r="CJ1" s="123"/>
      <c r="CK1" s="123"/>
      <c r="CL1" s="123"/>
      <c r="CM1" s="123"/>
      <c r="CN1" s="123"/>
      <c r="CO1" s="123"/>
      <c r="CP1" s="123"/>
      <c r="CQ1" s="123"/>
      <c r="CR1" s="123"/>
      <c r="CS1" s="123"/>
      <c r="CT1" s="123"/>
      <c r="CU1" s="123"/>
      <c r="CV1" s="123"/>
      <c r="CW1" s="123"/>
      <c r="CX1" s="123"/>
      <c r="CY1" s="123"/>
      <c r="CZ1" s="123"/>
      <c r="DA1" s="123"/>
      <c r="DB1" s="123"/>
      <c r="DC1" s="123"/>
      <c r="DD1" s="123"/>
      <c r="DE1" s="123"/>
      <c r="DF1" s="123"/>
      <c r="DG1" s="123"/>
      <c r="DH1" s="123"/>
      <c r="DI1" s="123"/>
      <c r="DJ1" s="123"/>
      <c r="DK1" s="123"/>
      <c r="DL1" s="123"/>
      <c r="DM1" s="123"/>
      <c r="DN1" s="123"/>
      <c r="DO1" s="123"/>
      <c r="DP1" s="123"/>
      <c r="DQ1" s="123"/>
      <c r="DR1" s="123"/>
      <c r="DS1" s="123"/>
      <c r="DT1" s="123"/>
      <c r="DU1" s="123"/>
      <c r="DV1" s="123"/>
      <c r="DW1" s="123"/>
      <c r="DX1" s="123"/>
      <c r="DY1" s="123"/>
      <c r="DZ1" s="123"/>
      <c r="EA1" s="123"/>
      <c r="EB1" s="123"/>
      <c r="EC1" s="123"/>
      <c r="ED1" s="123"/>
      <c r="EE1" s="123"/>
      <c r="EF1" s="123"/>
      <c r="EG1" s="123"/>
      <c r="EH1" s="123"/>
      <c r="EI1" s="123"/>
      <c r="EJ1" s="123"/>
      <c r="EK1" s="123"/>
      <c r="EL1" s="123"/>
      <c r="EM1" s="123"/>
      <c r="EN1" s="123"/>
      <c r="EO1" s="123"/>
      <c r="EP1" s="123"/>
      <c r="EQ1" s="123"/>
      <c r="ER1" s="123"/>
      <c r="ES1" s="123"/>
      <c r="ET1" s="123"/>
      <c r="EU1" s="123"/>
      <c r="EV1" s="123"/>
      <c r="EW1" s="123"/>
      <c r="EX1" s="123"/>
      <c r="EY1" s="123"/>
      <c r="EZ1" s="123"/>
      <c r="FA1" s="123"/>
      <c r="FB1" s="123"/>
      <c r="FC1" s="123"/>
      <c r="FD1" s="123"/>
      <c r="FE1" s="123"/>
      <c r="FF1" s="123"/>
      <c r="FG1" s="123"/>
      <c r="FH1" s="123"/>
      <c r="FI1" s="123"/>
      <c r="FJ1" s="123"/>
      <c r="FK1" s="123"/>
      <c r="FL1" s="123"/>
      <c r="FM1" s="123"/>
      <c r="FN1" s="123"/>
      <c r="FO1" s="123"/>
      <c r="FP1" s="123"/>
      <c r="FQ1" s="123"/>
      <c r="FR1" s="123"/>
      <c r="FS1" s="123"/>
      <c r="FT1" s="123"/>
      <c r="FU1" s="123"/>
      <c r="FV1" s="123"/>
      <c r="FW1" s="123"/>
      <c r="FX1" s="123"/>
      <c r="FY1" s="123"/>
      <c r="FZ1" s="123"/>
      <c r="GA1" s="123"/>
      <c r="GB1" s="123"/>
      <c r="GC1" s="123"/>
      <c r="GD1" s="123"/>
      <c r="GE1" s="123"/>
      <c r="GF1" s="123"/>
      <c r="GG1" s="123"/>
      <c r="GH1" s="123"/>
      <c r="GI1" s="123"/>
      <c r="GJ1" s="123"/>
      <c r="GK1" s="123"/>
      <c r="GL1" s="123"/>
      <c r="GM1" s="123"/>
      <c r="GN1" s="123"/>
      <c r="GO1" s="123"/>
      <c r="GP1" s="123"/>
      <c r="GQ1" s="123"/>
      <c r="GR1" s="123"/>
      <c r="GS1" s="123"/>
      <c r="GT1" s="123"/>
      <c r="GU1" s="123"/>
      <c r="GV1" s="123"/>
      <c r="GW1" s="123"/>
      <c r="GX1" s="123"/>
      <c r="GY1" s="123"/>
      <c r="GZ1" s="123"/>
      <c r="HA1" s="123"/>
      <c r="HB1" s="123"/>
      <c r="HC1" s="123"/>
      <c r="HD1" s="123"/>
      <c r="HE1" s="123"/>
      <c r="HF1" s="123"/>
      <c r="HG1" s="123"/>
      <c r="HH1" s="123"/>
      <c r="HI1" s="123"/>
      <c r="HJ1" s="123"/>
      <c r="HK1" s="123"/>
      <c r="HL1" s="123"/>
      <c r="HM1" s="123"/>
      <c r="HN1" s="123"/>
      <c r="HO1" s="123"/>
      <c r="HP1" s="123"/>
      <c r="HQ1" s="123"/>
      <c r="HR1" s="123"/>
      <c r="HS1" s="123"/>
      <c r="HT1" s="123"/>
      <c r="HU1" s="123"/>
      <c r="HV1" s="123"/>
      <c r="HW1" s="123"/>
      <c r="HX1" s="123"/>
      <c r="HY1" s="123"/>
      <c r="HZ1" s="123"/>
      <c r="IA1" s="123"/>
      <c r="IB1" s="123"/>
      <c r="IC1" s="123"/>
      <c r="ID1" s="123"/>
      <c r="IE1" s="123"/>
      <c r="IF1" s="123"/>
      <c r="IG1" s="123"/>
      <c r="IH1" s="123"/>
      <c r="II1" s="123"/>
      <c r="IJ1" s="123"/>
      <c r="IK1" s="123"/>
      <c r="IL1" s="123"/>
      <c r="IM1" s="123"/>
      <c r="IN1" s="123"/>
      <c r="IO1" s="123"/>
      <c r="IP1" s="123"/>
      <c r="IQ1" s="123"/>
      <c r="IR1" s="123"/>
      <c r="IS1" s="123"/>
      <c r="IT1" s="123"/>
      <c r="IU1" s="123"/>
      <c r="IV1" s="123"/>
    </row>
    <row r="2" spans="1:256" x14ac:dyDescent="0.2">
      <c r="A2" s="118"/>
      <c r="B2" s="120"/>
      <c r="C2" s="124"/>
      <c r="D2" s="120"/>
      <c r="E2" s="285"/>
      <c r="F2" s="121"/>
      <c r="G2" s="122"/>
      <c r="H2" s="121"/>
      <c r="I2" s="122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  <c r="HO2" s="123"/>
      <c r="HP2" s="123"/>
      <c r="HQ2" s="123"/>
      <c r="HR2" s="123"/>
      <c r="HS2" s="123"/>
      <c r="HT2" s="123"/>
      <c r="HU2" s="123"/>
      <c r="HV2" s="123"/>
      <c r="HW2" s="123"/>
      <c r="HX2" s="123"/>
      <c r="HY2" s="123"/>
      <c r="HZ2" s="123"/>
      <c r="IA2" s="123"/>
      <c r="IB2" s="123"/>
      <c r="IC2" s="123"/>
      <c r="ID2" s="123"/>
      <c r="IE2" s="123"/>
      <c r="IF2" s="123"/>
      <c r="IG2" s="123"/>
      <c r="IH2" s="123"/>
      <c r="II2" s="123"/>
      <c r="IJ2" s="123"/>
      <c r="IK2" s="123"/>
      <c r="IL2" s="123"/>
      <c r="IM2" s="123"/>
      <c r="IN2" s="123"/>
      <c r="IO2" s="123"/>
      <c r="IP2" s="123"/>
      <c r="IQ2" s="123"/>
      <c r="IR2" s="123"/>
      <c r="IS2" s="123"/>
      <c r="IT2" s="123"/>
      <c r="IU2" s="123"/>
      <c r="IV2" s="123"/>
    </row>
    <row r="3" spans="1:256" x14ac:dyDescent="0.2">
      <c r="A3" s="458" t="str">
        <f>СВОД!E33</f>
        <v>Смета №1.12</v>
      </c>
      <c r="B3" s="458"/>
      <c r="C3" s="458"/>
      <c r="D3" s="458"/>
      <c r="E3" s="458"/>
      <c r="F3" s="125"/>
      <c r="G3" s="125"/>
      <c r="H3" s="125"/>
      <c r="I3" s="125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  <c r="BK3" s="123"/>
      <c r="BL3" s="123"/>
      <c r="BM3" s="123"/>
      <c r="BN3" s="123"/>
      <c r="BO3" s="123"/>
      <c r="BP3" s="123"/>
      <c r="BQ3" s="123"/>
      <c r="BR3" s="123"/>
      <c r="BS3" s="123"/>
      <c r="BT3" s="123"/>
      <c r="BU3" s="123"/>
      <c r="BV3" s="123"/>
      <c r="BW3" s="123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3"/>
      <c r="CI3" s="123"/>
      <c r="CJ3" s="123"/>
      <c r="CK3" s="123"/>
      <c r="CL3" s="123"/>
      <c r="CM3" s="123"/>
      <c r="CN3" s="123"/>
      <c r="CO3" s="123"/>
      <c r="CP3" s="123"/>
      <c r="CQ3" s="123"/>
      <c r="CR3" s="123"/>
      <c r="CS3" s="123"/>
      <c r="CT3" s="123"/>
      <c r="CU3" s="123"/>
      <c r="CV3" s="123"/>
      <c r="CW3" s="123"/>
      <c r="CX3" s="123"/>
      <c r="CY3" s="123"/>
      <c r="CZ3" s="123"/>
      <c r="DA3" s="123"/>
      <c r="DB3" s="123"/>
      <c r="DC3" s="123"/>
      <c r="DD3" s="123"/>
      <c r="DE3" s="123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3"/>
      <c r="EA3" s="123"/>
      <c r="EB3" s="123"/>
      <c r="EC3" s="123"/>
      <c r="ED3" s="123"/>
      <c r="EE3" s="123"/>
      <c r="EF3" s="123"/>
      <c r="EG3" s="123"/>
      <c r="EH3" s="123"/>
      <c r="EI3" s="123"/>
      <c r="EJ3" s="123"/>
      <c r="EK3" s="123"/>
      <c r="EL3" s="123"/>
      <c r="EM3" s="123"/>
      <c r="EN3" s="123"/>
      <c r="EO3" s="123"/>
      <c r="EP3" s="123"/>
      <c r="EQ3" s="123"/>
      <c r="ER3" s="123"/>
      <c r="ES3" s="123"/>
      <c r="ET3" s="123"/>
      <c r="EU3" s="123"/>
      <c r="EV3" s="123"/>
      <c r="EW3" s="123"/>
      <c r="EX3" s="123"/>
      <c r="EY3" s="123"/>
      <c r="EZ3" s="123"/>
      <c r="FA3" s="123"/>
      <c r="FB3" s="123"/>
      <c r="FC3" s="123"/>
      <c r="FD3" s="123"/>
      <c r="FE3" s="123"/>
      <c r="FF3" s="123"/>
      <c r="FG3" s="123"/>
      <c r="FH3" s="123"/>
      <c r="FI3" s="123"/>
      <c r="FJ3" s="123"/>
      <c r="FK3" s="123"/>
      <c r="FL3" s="123"/>
      <c r="FM3" s="123"/>
      <c r="FN3" s="123"/>
      <c r="FO3" s="123"/>
      <c r="FP3" s="123"/>
      <c r="FQ3" s="123"/>
      <c r="FR3" s="123"/>
      <c r="FS3" s="123"/>
      <c r="FT3" s="123"/>
      <c r="FU3" s="123"/>
      <c r="FV3" s="123"/>
      <c r="FW3" s="123"/>
      <c r="FX3" s="123"/>
      <c r="FY3" s="123"/>
      <c r="FZ3" s="123"/>
      <c r="GA3" s="123"/>
      <c r="GB3" s="123"/>
      <c r="GC3" s="123"/>
      <c r="GD3" s="123"/>
      <c r="GE3" s="123"/>
      <c r="GF3" s="123"/>
      <c r="GG3" s="123"/>
      <c r="GH3" s="123"/>
      <c r="GI3" s="123"/>
      <c r="GJ3" s="123"/>
      <c r="GK3" s="123"/>
      <c r="GL3" s="123"/>
      <c r="GM3" s="123"/>
      <c r="GN3" s="123"/>
      <c r="GO3" s="123"/>
      <c r="GP3" s="123"/>
      <c r="GQ3" s="123"/>
      <c r="GR3" s="123"/>
      <c r="GS3" s="123"/>
      <c r="GT3" s="123"/>
      <c r="GU3" s="123"/>
      <c r="GV3" s="123"/>
      <c r="GW3" s="123"/>
      <c r="GX3" s="123"/>
      <c r="GY3" s="123"/>
      <c r="GZ3" s="123"/>
      <c r="HA3" s="123"/>
      <c r="HB3" s="123"/>
      <c r="HC3" s="123"/>
      <c r="HD3" s="123"/>
      <c r="HE3" s="123"/>
      <c r="HF3" s="123"/>
      <c r="HG3" s="123"/>
      <c r="HH3" s="123"/>
      <c r="HI3" s="123"/>
      <c r="HJ3" s="123"/>
      <c r="HK3" s="123"/>
      <c r="HL3" s="123"/>
      <c r="HM3" s="123"/>
      <c r="HN3" s="123"/>
      <c r="HO3" s="123"/>
      <c r="HP3" s="123"/>
      <c r="HQ3" s="123"/>
      <c r="HR3" s="123"/>
      <c r="HS3" s="123"/>
      <c r="HT3" s="123"/>
      <c r="HU3" s="123"/>
      <c r="HV3" s="123"/>
      <c r="HW3" s="123"/>
      <c r="HX3" s="123"/>
      <c r="HY3" s="123"/>
      <c r="HZ3" s="123"/>
      <c r="IA3" s="123"/>
      <c r="IB3" s="123"/>
      <c r="IC3" s="123"/>
      <c r="ID3" s="123"/>
      <c r="IE3" s="123"/>
      <c r="IF3" s="123"/>
      <c r="IG3" s="123"/>
      <c r="IH3" s="123"/>
      <c r="II3" s="123"/>
      <c r="IJ3" s="123"/>
      <c r="IK3" s="123"/>
      <c r="IL3" s="123"/>
      <c r="IM3" s="123"/>
      <c r="IN3" s="123"/>
      <c r="IO3" s="123"/>
      <c r="IP3" s="123"/>
      <c r="IQ3" s="123"/>
      <c r="IR3" s="123"/>
      <c r="IS3" s="123"/>
      <c r="IT3" s="123"/>
      <c r="IU3" s="123"/>
      <c r="IV3" s="123"/>
    </row>
    <row r="4" spans="1:256" x14ac:dyDescent="0.2">
      <c r="A4" s="459" t="s">
        <v>384</v>
      </c>
      <c r="B4" s="459"/>
      <c r="C4" s="459"/>
      <c r="D4" s="459"/>
      <c r="E4" s="459"/>
      <c r="F4" s="126"/>
      <c r="G4" s="126"/>
      <c r="H4" s="126"/>
      <c r="I4" s="126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/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</row>
    <row r="5" spans="1:256" x14ac:dyDescent="0.2">
      <c r="A5" s="118"/>
      <c r="B5" s="120"/>
      <c r="C5" s="127"/>
      <c r="D5" s="120"/>
      <c r="E5" s="285"/>
      <c r="F5" s="121"/>
      <c r="G5" s="122"/>
      <c r="H5" s="121"/>
      <c r="I5" s="122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/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/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</row>
    <row r="6" spans="1:256" ht="25.5" x14ac:dyDescent="0.2">
      <c r="A6" s="118"/>
      <c r="B6" s="128" t="s">
        <v>385</v>
      </c>
      <c r="C6" s="460" t="str">
        <f>СВОД!B33</f>
        <v>Сети водоснабжения и канализации</v>
      </c>
      <c r="D6" s="460"/>
      <c r="E6" s="460"/>
      <c r="F6" s="129"/>
      <c r="G6" s="129"/>
      <c r="H6" s="129"/>
      <c r="I6" s="129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/>
      <c r="FS6" s="123"/>
      <c r="FT6" s="123"/>
      <c r="FU6" s="123"/>
      <c r="FV6" s="123"/>
      <c r="FW6" s="123"/>
      <c r="FX6" s="123"/>
      <c r="FY6" s="123"/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</row>
    <row r="7" spans="1:256" x14ac:dyDescent="0.2">
      <c r="A7" s="118"/>
      <c r="B7" s="130"/>
      <c r="C7" s="131"/>
      <c r="D7" s="130"/>
      <c r="E7" s="286"/>
      <c r="F7" s="132"/>
      <c r="G7" s="132"/>
      <c r="H7" s="132"/>
      <c r="I7" s="132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  <c r="CW7" s="133"/>
      <c r="CX7" s="133"/>
      <c r="CY7" s="133"/>
      <c r="CZ7" s="133"/>
      <c r="DA7" s="133"/>
      <c r="DB7" s="133"/>
      <c r="DC7" s="133"/>
      <c r="DD7" s="133"/>
      <c r="DE7" s="133"/>
      <c r="DF7" s="133"/>
      <c r="DG7" s="133"/>
      <c r="DH7" s="133"/>
      <c r="DI7" s="133"/>
      <c r="DJ7" s="133"/>
      <c r="DK7" s="133"/>
      <c r="DL7" s="133"/>
      <c r="DM7" s="133"/>
      <c r="DN7" s="133"/>
      <c r="DO7" s="133"/>
      <c r="DP7" s="133"/>
      <c r="DQ7" s="133"/>
      <c r="DR7" s="133"/>
      <c r="DS7" s="133"/>
      <c r="DT7" s="133"/>
      <c r="DU7" s="133"/>
      <c r="DV7" s="133"/>
      <c r="DW7" s="133"/>
      <c r="DX7" s="133"/>
      <c r="DY7" s="133"/>
      <c r="DZ7" s="133"/>
      <c r="EA7" s="133"/>
      <c r="EB7" s="133"/>
      <c r="EC7" s="133"/>
      <c r="ED7" s="133"/>
      <c r="EE7" s="133"/>
      <c r="EF7" s="133"/>
      <c r="EG7" s="133"/>
      <c r="EH7" s="133"/>
      <c r="EI7" s="133"/>
      <c r="EJ7" s="133"/>
      <c r="EK7" s="133"/>
      <c r="EL7" s="133"/>
      <c r="EM7" s="133"/>
      <c r="EN7" s="133"/>
      <c r="EO7" s="133"/>
      <c r="EP7" s="133"/>
      <c r="EQ7" s="133"/>
      <c r="ER7" s="133"/>
      <c r="ES7" s="133"/>
      <c r="ET7" s="133"/>
      <c r="EU7" s="133"/>
      <c r="EV7" s="133"/>
      <c r="EW7" s="133"/>
      <c r="EX7" s="133"/>
      <c r="EY7" s="133"/>
      <c r="EZ7" s="133"/>
      <c r="FA7" s="133"/>
      <c r="FB7" s="133"/>
      <c r="FC7" s="133"/>
      <c r="FD7" s="133"/>
      <c r="FE7" s="133"/>
      <c r="FF7" s="133"/>
      <c r="FG7" s="133"/>
      <c r="FH7" s="133"/>
      <c r="FI7" s="133"/>
      <c r="FJ7" s="133"/>
      <c r="FK7" s="133"/>
      <c r="FL7" s="133"/>
      <c r="FM7" s="133"/>
      <c r="FN7" s="133"/>
      <c r="FO7" s="133"/>
      <c r="FP7" s="133"/>
      <c r="FQ7" s="133"/>
      <c r="FR7" s="133"/>
      <c r="FS7" s="133"/>
      <c r="FT7" s="133"/>
      <c r="FU7" s="133"/>
      <c r="FV7" s="133"/>
      <c r="FW7" s="133"/>
      <c r="FX7" s="133"/>
      <c r="FY7" s="133"/>
      <c r="FZ7" s="133"/>
      <c r="GA7" s="133"/>
      <c r="GB7" s="133"/>
      <c r="GC7" s="133"/>
      <c r="GD7" s="133"/>
      <c r="GE7" s="133"/>
      <c r="GF7" s="133"/>
      <c r="GG7" s="133"/>
      <c r="GH7" s="133"/>
      <c r="GI7" s="133"/>
      <c r="GJ7" s="133"/>
      <c r="GK7" s="133"/>
      <c r="GL7" s="133"/>
      <c r="GM7" s="133"/>
      <c r="GN7" s="133"/>
      <c r="GO7" s="133"/>
      <c r="GP7" s="133"/>
      <c r="GQ7" s="133"/>
      <c r="GR7" s="133"/>
      <c r="GS7" s="133"/>
      <c r="GT7" s="133"/>
      <c r="GU7" s="133"/>
      <c r="GV7" s="133"/>
      <c r="GW7" s="133"/>
      <c r="GX7" s="133"/>
      <c r="GY7" s="133"/>
      <c r="GZ7" s="133"/>
      <c r="HA7" s="133"/>
      <c r="HB7" s="133"/>
      <c r="HC7" s="133"/>
      <c r="HD7" s="133"/>
      <c r="HE7" s="133"/>
      <c r="HF7" s="133"/>
      <c r="HG7" s="133"/>
      <c r="HH7" s="133"/>
      <c r="HI7" s="133"/>
      <c r="HJ7" s="133"/>
      <c r="HK7" s="133"/>
      <c r="HL7" s="133"/>
      <c r="HM7" s="133"/>
      <c r="HN7" s="133"/>
      <c r="HO7" s="133"/>
      <c r="HP7" s="133"/>
      <c r="HQ7" s="133"/>
      <c r="HR7" s="133"/>
      <c r="HS7" s="133"/>
      <c r="HT7" s="133"/>
      <c r="HU7" s="133"/>
      <c r="HV7" s="133"/>
      <c r="HW7" s="133"/>
      <c r="HX7" s="133"/>
      <c r="HY7" s="133"/>
      <c r="HZ7" s="133"/>
      <c r="IA7" s="133"/>
      <c r="IB7" s="133"/>
      <c r="IC7" s="133"/>
      <c r="ID7" s="133"/>
      <c r="IE7" s="133"/>
      <c r="IF7" s="133"/>
      <c r="IG7" s="133"/>
      <c r="IH7" s="133"/>
      <c r="II7" s="133"/>
      <c r="IJ7" s="133"/>
      <c r="IK7" s="133"/>
      <c r="IL7" s="133"/>
      <c r="IM7" s="133"/>
      <c r="IN7" s="133"/>
      <c r="IO7" s="133"/>
      <c r="IP7" s="133"/>
      <c r="IQ7" s="133"/>
      <c r="IR7" s="133"/>
      <c r="IS7" s="133"/>
      <c r="IT7" s="133"/>
      <c r="IU7" s="133"/>
      <c r="IV7" s="133"/>
    </row>
    <row r="8" spans="1:256" x14ac:dyDescent="0.2">
      <c r="A8" s="118"/>
      <c r="B8" s="134" t="s">
        <v>386</v>
      </c>
      <c r="C8" s="135" t="str">
        <f>СВОД!D14</f>
        <v>ОАО «СИБНЕФТЕТРАНСПРОЕКТ»</v>
      </c>
      <c r="D8" s="130"/>
      <c r="E8" s="287"/>
      <c r="F8" s="70"/>
      <c r="G8" s="136"/>
      <c r="H8" s="137"/>
      <c r="I8" s="138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</row>
    <row r="9" spans="1:256" x14ac:dyDescent="0.2">
      <c r="A9" s="118"/>
      <c r="B9" s="134" t="s">
        <v>387</v>
      </c>
      <c r="C9" s="127"/>
      <c r="D9" s="130"/>
      <c r="E9" s="287"/>
      <c r="F9" s="70"/>
      <c r="G9" s="74"/>
      <c r="H9" s="75"/>
      <c r="I9" s="74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  <c r="BQ9" s="123"/>
      <c r="BR9" s="123"/>
      <c r="BS9" s="123"/>
      <c r="BT9" s="123"/>
      <c r="BU9" s="123"/>
      <c r="BV9" s="123"/>
      <c r="BW9" s="123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3"/>
      <c r="CI9" s="123"/>
      <c r="CJ9" s="123"/>
      <c r="CK9" s="123"/>
      <c r="CL9" s="123"/>
      <c r="CM9" s="123"/>
      <c r="CN9" s="123"/>
      <c r="CO9" s="123"/>
      <c r="CP9" s="123"/>
      <c r="CQ9" s="123"/>
      <c r="CR9" s="123"/>
      <c r="CS9" s="123"/>
      <c r="CT9" s="123"/>
      <c r="CU9" s="123"/>
      <c r="CV9" s="123"/>
      <c r="CW9" s="123"/>
      <c r="CX9" s="123"/>
      <c r="CY9" s="123"/>
      <c r="CZ9" s="123"/>
      <c r="DA9" s="123"/>
      <c r="DB9" s="123"/>
      <c r="DC9" s="123"/>
      <c r="DD9" s="123"/>
      <c r="DE9" s="123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3"/>
      <c r="EA9" s="123"/>
      <c r="EB9" s="123"/>
      <c r="EC9" s="123"/>
      <c r="ED9" s="123"/>
      <c r="EE9" s="123"/>
      <c r="EF9" s="123"/>
      <c r="EG9" s="123"/>
      <c r="EH9" s="123"/>
      <c r="EI9" s="123"/>
      <c r="EJ9" s="123"/>
      <c r="EK9" s="123"/>
      <c r="EL9" s="123"/>
      <c r="EM9" s="123"/>
      <c r="EN9" s="123"/>
      <c r="EO9" s="123"/>
      <c r="EP9" s="123"/>
      <c r="EQ9" s="123"/>
      <c r="ER9" s="123"/>
      <c r="ES9" s="123"/>
      <c r="ET9" s="123"/>
      <c r="EU9" s="123"/>
      <c r="EV9" s="123"/>
      <c r="EW9" s="123"/>
      <c r="EX9" s="123"/>
      <c r="EY9" s="123"/>
      <c r="EZ9" s="123"/>
      <c r="FA9" s="123"/>
      <c r="FB9" s="123"/>
      <c r="FC9" s="123"/>
      <c r="FD9" s="123"/>
      <c r="FE9" s="123"/>
      <c r="FF9" s="123"/>
      <c r="FG9" s="123"/>
      <c r="FH9" s="123"/>
      <c r="FI9" s="123"/>
      <c r="FJ9" s="123"/>
      <c r="FK9" s="123"/>
      <c r="FL9" s="123"/>
      <c r="FM9" s="123"/>
      <c r="FN9" s="123"/>
      <c r="FO9" s="123"/>
      <c r="FP9" s="123"/>
      <c r="FQ9" s="123"/>
      <c r="FR9" s="123"/>
      <c r="FS9" s="123"/>
      <c r="FT9" s="123"/>
      <c r="FU9" s="123"/>
      <c r="FV9" s="123"/>
      <c r="FW9" s="123"/>
      <c r="FX9" s="123"/>
      <c r="FY9" s="123"/>
      <c r="FZ9" s="123"/>
      <c r="GA9" s="123"/>
      <c r="GB9" s="123"/>
      <c r="GC9" s="123"/>
      <c r="GD9" s="123"/>
      <c r="GE9" s="123"/>
      <c r="GF9" s="123"/>
      <c r="GG9" s="123"/>
      <c r="GH9" s="123"/>
      <c r="GI9" s="123"/>
      <c r="GJ9" s="123"/>
      <c r="GK9" s="123"/>
      <c r="GL9" s="123"/>
      <c r="GM9" s="123"/>
      <c r="GN9" s="123"/>
      <c r="GO9" s="123"/>
      <c r="GP9" s="123"/>
      <c r="GQ9" s="123"/>
      <c r="GR9" s="123"/>
      <c r="GS9" s="123"/>
      <c r="GT9" s="123"/>
      <c r="GU9" s="123"/>
      <c r="GV9" s="123"/>
      <c r="GW9" s="123"/>
      <c r="GX9" s="123"/>
      <c r="GY9" s="123"/>
      <c r="GZ9" s="123"/>
      <c r="HA9" s="123"/>
      <c r="HB9" s="123"/>
      <c r="HC9" s="123"/>
      <c r="HD9" s="123"/>
      <c r="HE9" s="123"/>
      <c r="HF9" s="123"/>
      <c r="HG9" s="123"/>
      <c r="HH9" s="123"/>
      <c r="HI9" s="123"/>
      <c r="HJ9" s="123"/>
      <c r="HK9" s="123"/>
      <c r="HL9" s="123"/>
      <c r="HM9" s="123"/>
      <c r="HN9" s="123"/>
      <c r="HO9" s="123"/>
      <c r="HP9" s="123"/>
      <c r="HQ9" s="123"/>
      <c r="HR9" s="123"/>
      <c r="HS9" s="123"/>
      <c r="HT9" s="123"/>
      <c r="HU9" s="123"/>
      <c r="HV9" s="123"/>
      <c r="HW9" s="123"/>
      <c r="HX9" s="123"/>
      <c r="HY9" s="123"/>
      <c r="HZ9" s="123"/>
      <c r="IA9" s="123"/>
      <c r="IB9" s="123"/>
      <c r="IC9" s="123"/>
      <c r="ID9" s="123"/>
      <c r="IE9" s="123"/>
      <c r="IF9" s="123"/>
      <c r="IG9" s="123"/>
      <c r="IH9" s="123"/>
      <c r="II9" s="123"/>
      <c r="IJ9" s="123"/>
      <c r="IK9" s="123"/>
      <c r="IL9" s="123"/>
      <c r="IM9" s="123"/>
      <c r="IN9" s="123"/>
      <c r="IO9" s="123"/>
      <c r="IP9" s="123"/>
      <c r="IQ9" s="123"/>
      <c r="IR9" s="123"/>
      <c r="IS9" s="123"/>
      <c r="IT9" s="123"/>
      <c r="IU9" s="123"/>
      <c r="IV9" s="123"/>
    </row>
    <row r="10" spans="1:256" x14ac:dyDescent="0.2">
      <c r="A10" s="118"/>
      <c r="B10" s="134"/>
      <c r="C10" s="135"/>
      <c r="D10" s="130"/>
      <c r="E10" s="287"/>
      <c r="F10" s="70"/>
      <c r="G10" s="74"/>
      <c r="H10" s="75"/>
      <c r="I10" s="74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3"/>
      <c r="BP10" s="123"/>
      <c r="BQ10" s="123"/>
      <c r="BR10" s="123"/>
      <c r="BS10" s="123"/>
      <c r="BT10" s="123"/>
      <c r="BU10" s="123"/>
      <c r="BV10" s="123"/>
      <c r="BW10" s="123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3"/>
      <c r="CI10" s="123"/>
      <c r="CJ10" s="123"/>
      <c r="CK10" s="123"/>
      <c r="CL10" s="123"/>
      <c r="CM10" s="123"/>
      <c r="CN10" s="123"/>
      <c r="CO10" s="123"/>
      <c r="CP10" s="123"/>
      <c r="CQ10" s="123"/>
      <c r="CR10" s="123"/>
      <c r="CS10" s="123"/>
      <c r="CT10" s="123"/>
      <c r="CU10" s="123"/>
      <c r="CV10" s="123"/>
      <c r="CW10" s="123"/>
      <c r="CX10" s="123"/>
      <c r="CY10" s="123"/>
      <c r="CZ10" s="123"/>
      <c r="DA10" s="123"/>
      <c r="DB10" s="123"/>
      <c r="DC10" s="123"/>
      <c r="DD10" s="123"/>
      <c r="DE10" s="123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3"/>
      <c r="EA10" s="123"/>
      <c r="EB10" s="123"/>
      <c r="EC10" s="123"/>
      <c r="ED10" s="123"/>
      <c r="EE10" s="123"/>
      <c r="EF10" s="123"/>
      <c r="EG10" s="123"/>
      <c r="EH10" s="123"/>
      <c r="EI10" s="123"/>
      <c r="EJ10" s="123"/>
      <c r="EK10" s="123"/>
      <c r="EL10" s="123"/>
      <c r="EM10" s="123"/>
      <c r="EN10" s="123"/>
      <c r="EO10" s="123"/>
      <c r="EP10" s="123"/>
      <c r="EQ10" s="123"/>
      <c r="ER10" s="123"/>
      <c r="ES10" s="123"/>
      <c r="ET10" s="123"/>
      <c r="EU10" s="123"/>
      <c r="EV10" s="123"/>
      <c r="EW10" s="123"/>
      <c r="EX10" s="123"/>
      <c r="EY10" s="123"/>
      <c r="EZ10" s="123"/>
      <c r="FA10" s="123"/>
      <c r="FB10" s="123"/>
      <c r="FC10" s="123"/>
      <c r="FD10" s="123"/>
      <c r="FE10" s="123"/>
      <c r="FF10" s="123"/>
      <c r="FG10" s="123"/>
      <c r="FH10" s="123"/>
      <c r="FI10" s="123"/>
      <c r="FJ10" s="123"/>
      <c r="FK10" s="123"/>
      <c r="FL10" s="123"/>
      <c r="FM10" s="123"/>
      <c r="FN10" s="123"/>
      <c r="FO10" s="123"/>
      <c r="FP10" s="123"/>
      <c r="FQ10" s="123"/>
      <c r="FR10" s="123"/>
      <c r="FS10" s="123"/>
      <c r="FT10" s="123"/>
      <c r="FU10" s="123"/>
      <c r="FV10" s="123"/>
      <c r="FW10" s="123"/>
      <c r="FX10" s="123"/>
      <c r="FY10" s="123"/>
      <c r="FZ10" s="123"/>
      <c r="GA10" s="123"/>
      <c r="GB10" s="123"/>
      <c r="GC10" s="123"/>
      <c r="GD10" s="123"/>
      <c r="GE10" s="123"/>
      <c r="GF10" s="123"/>
      <c r="GG10" s="123"/>
      <c r="GH10" s="123"/>
      <c r="GI10" s="123"/>
      <c r="GJ10" s="123"/>
      <c r="GK10" s="123"/>
      <c r="GL10" s="123"/>
      <c r="GM10" s="123"/>
      <c r="GN10" s="123"/>
      <c r="GO10" s="123"/>
      <c r="GP10" s="123"/>
      <c r="GQ10" s="123"/>
      <c r="GR10" s="123"/>
      <c r="GS10" s="123"/>
      <c r="GT10" s="123"/>
      <c r="GU10" s="123"/>
      <c r="GV10" s="123"/>
      <c r="GW10" s="123"/>
      <c r="GX10" s="123"/>
      <c r="GY10" s="123"/>
      <c r="GZ10" s="123"/>
      <c r="HA10" s="123"/>
      <c r="HB10" s="123"/>
      <c r="HC10" s="123"/>
      <c r="HD10" s="123"/>
      <c r="HE10" s="123"/>
      <c r="HF10" s="123"/>
      <c r="HG10" s="123"/>
      <c r="HH10" s="123"/>
      <c r="HI10" s="123"/>
      <c r="HJ10" s="123"/>
      <c r="HK10" s="123"/>
      <c r="HL10" s="123"/>
      <c r="HM10" s="123"/>
      <c r="HN10" s="123"/>
      <c r="HO10" s="123"/>
      <c r="HP10" s="123"/>
      <c r="HQ10" s="123"/>
      <c r="HR10" s="123"/>
      <c r="HS10" s="123"/>
      <c r="HT10" s="123"/>
      <c r="HU10" s="123"/>
      <c r="HV10" s="123"/>
      <c r="HW10" s="123"/>
      <c r="HX10" s="123"/>
      <c r="HY10" s="123"/>
      <c r="HZ10" s="123"/>
      <c r="IA10" s="123"/>
      <c r="IB10" s="123"/>
      <c r="IC10" s="123"/>
      <c r="ID10" s="123"/>
      <c r="IE10" s="123"/>
      <c r="IF10" s="123"/>
      <c r="IG10" s="123"/>
      <c r="IH10" s="123"/>
      <c r="II10" s="123"/>
      <c r="IJ10" s="123"/>
      <c r="IK10" s="123"/>
      <c r="IL10" s="123"/>
      <c r="IM10" s="123"/>
      <c r="IN10" s="123"/>
      <c r="IO10" s="123"/>
      <c r="IP10" s="123"/>
      <c r="IQ10" s="123"/>
      <c r="IR10" s="123"/>
      <c r="IS10" s="123"/>
      <c r="IT10" s="123"/>
      <c r="IU10" s="123"/>
      <c r="IV10" s="123"/>
    </row>
    <row r="11" spans="1:256" x14ac:dyDescent="0.2">
      <c r="A11" s="118"/>
      <c r="B11" s="139" t="s">
        <v>388</v>
      </c>
      <c r="C11" s="135" t="str">
        <f>СВОД!D16</f>
        <v>ООО «Газпром проектирование»</v>
      </c>
      <c r="D11" s="130"/>
      <c r="E11" s="287"/>
      <c r="F11" s="75"/>
      <c r="G11" s="74"/>
      <c r="H11" s="75"/>
      <c r="I11" s="74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3"/>
      <c r="BP11" s="123"/>
      <c r="BQ11" s="123"/>
      <c r="BR11" s="123"/>
      <c r="BS11" s="123"/>
      <c r="BT11" s="123"/>
      <c r="BU11" s="123"/>
      <c r="BV11" s="123"/>
      <c r="BW11" s="123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3"/>
      <c r="CI11" s="123"/>
      <c r="CJ11" s="123"/>
      <c r="CK11" s="123"/>
      <c r="CL11" s="123"/>
      <c r="CM11" s="123"/>
      <c r="CN11" s="123"/>
      <c r="CO11" s="123"/>
      <c r="CP11" s="123"/>
      <c r="CQ11" s="123"/>
      <c r="CR11" s="123"/>
      <c r="CS11" s="123"/>
      <c r="CT11" s="123"/>
      <c r="CU11" s="123"/>
      <c r="CV11" s="123"/>
      <c r="CW11" s="123"/>
      <c r="CX11" s="123"/>
      <c r="CY11" s="123"/>
      <c r="CZ11" s="123"/>
      <c r="DA11" s="123"/>
      <c r="DB11" s="123"/>
      <c r="DC11" s="123"/>
      <c r="DD11" s="123"/>
      <c r="DE11" s="123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3"/>
      <c r="EA11" s="123"/>
      <c r="EB11" s="123"/>
      <c r="EC11" s="123"/>
      <c r="ED11" s="123"/>
      <c r="EE11" s="123"/>
      <c r="EF11" s="123"/>
      <c r="EG11" s="123"/>
      <c r="EH11" s="123"/>
      <c r="EI11" s="123"/>
      <c r="EJ11" s="123"/>
      <c r="EK11" s="123"/>
      <c r="EL11" s="123"/>
      <c r="EM11" s="123"/>
      <c r="EN11" s="123"/>
      <c r="EO11" s="123"/>
      <c r="EP11" s="123"/>
      <c r="EQ11" s="123"/>
      <c r="ER11" s="123"/>
      <c r="ES11" s="123"/>
      <c r="ET11" s="123"/>
      <c r="EU11" s="123"/>
      <c r="EV11" s="123"/>
      <c r="EW11" s="123"/>
      <c r="EX11" s="123"/>
      <c r="EY11" s="123"/>
      <c r="EZ11" s="123"/>
      <c r="FA11" s="123"/>
      <c r="FB11" s="123"/>
      <c r="FC11" s="123"/>
      <c r="FD11" s="123"/>
      <c r="FE11" s="123"/>
      <c r="FF11" s="123"/>
      <c r="FG11" s="123"/>
      <c r="FH11" s="123"/>
      <c r="FI11" s="123"/>
      <c r="FJ11" s="123"/>
      <c r="FK11" s="123"/>
      <c r="FL11" s="123"/>
      <c r="FM11" s="123"/>
      <c r="FN11" s="123"/>
      <c r="FO11" s="123"/>
      <c r="FP11" s="123"/>
      <c r="FQ11" s="123"/>
      <c r="FR11" s="123"/>
      <c r="FS11" s="123"/>
      <c r="FT11" s="123"/>
      <c r="FU11" s="123"/>
      <c r="FV11" s="123"/>
      <c r="FW11" s="123"/>
      <c r="FX11" s="123"/>
      <c r="FY11" s="123"/>
      <c r="FZ11" s="123"/>
      <c r="GA11" s="123"/>
      <c r="GB11" s="123"/>
      <c r="GC11" s="123"/>
      <c r="GD11" s="123"/>
      <c r="GE11" s="123"/>
      <c r="GF11" s="123"/>
      <c r="GG11" s="123"/>
      <c r="GH11" s="123"/>
      <c r="GI11" s="123"/>
      <c r="GJ11" s="123"/>
      <c r="GK11" s="123"/>
      <c r="GL11" s="123"/>
      <c r="GM11" s="123"/>
      <c r="GN11" s="123"/>
      <c r="GO11" s="123"/>
      <c r="GP11" s="123"/>
      <c r="GQ11" s="123"/>
      <c r="GR11" s="123"/>
      <c r="GS11" s="123"/>
      <c r="GT11" s="123"/>
      <c r="GU11" s="123"/>
      <c r="GV11" s="123"/>
      <c r="GW11" s="123"/>
      <c r="GX11" s="123"/>
      <c r="GY11" s="123"/>
      <c r="GZ11" s="123"/>
      <c r="HA11" s="123"/>
      <c r="HB11" s="123"/>
      <c r="HC11" s="123"/>
      <c r="HD11" s="123"/>
      <c r="HE11" s="123"/>
      <c r="HF11" s="123"/>
      <c r="HG11" s="123"/>
      <c r="HH11" s="123"/>
      <c r="HI11" s="123"/>
      <c r="HJ11" s="123"/>
      <c r="HK11" s="123"/>
      <c r="HL11" s="123"/>
      <c r="HM11" s="123"/>
      <c r="HN11" s="123"/>
      <c r="HO11" s="123"/>
      <c r="HP11" s="123"/>
      <c r="HQ11" s="123"/>
      <c r="HR11" s="123"/>
      <c r="HS11" s="123"/>
      <c r="HT11" s="123"/>
      <c r="HU11" s="123"/>
      <c r="HV11" s="123"/>
      <c r="HW11" s="123"/>
      <c r="HX11" s="123"/>
      <c r="HY11" s="123"/>
      <c r="HZ11" s="123"/>
      <c r="IA11" s="123"/>
      <c r="IB11" s="123"/>
      <c r="IC11" s="123"/>
      <c r="ID11" s="123"/>
      <c r="IE11" s="123"/>
      <c r="IF11" s="123"/>
      <c r="IG11" s="123"/>
      <c r="IH11" s="123"/>
      <c r="II11" s="123"/>
      <c r="IJ11" s="123"/>
      <c r="IK11" s="123"/>
      <c r="IL11" s="123"/>
      <c r="IM11" s="123"/>
      <c r="IN11" s="123"/>
      <c r="IO11" s="123"/>
      <c r="IP11" s="123"/>
      <c r="IQ11" s="123"/>
      <c r="IR11" s="123"/>
      <c r="IS11" s="123"/>
      <c r="IT11" s="123"/>
      <c r="IU11" s="123"/>
      <c r="IV11" s="123"/>
    </row>
    <row r="12" spans="1:256" x14ac:dyDescent="0.2">
      <c r="A12" s="118"/>
      <c r="B12" s="139" t="s">
        <v>389</v>
      </c>
      <c r="C12" s="135"/>
      <c r="D12" s="130"/>
      <c r="E12" s="288"/>
      <c r="F12" s="75"/>
      <c r="G12" s="74"/>
      <c r="H12" s="75"/>
      <c r="I12" s="74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  <c r="HI12" s="12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IQ12" s="123"/>
      <c r="IR12" s="123"/>
      <c r="IS12" s="123"/>
      <c r="IT12" s="123"/>
      <c r="IU12" s="123"/>
      <c r="IV12" s="123"/>
    </row>
    <row r="13" spans="1:256" ht="13.5" thickBot="1" x14ac:dyDescent="0.25">
      <c r="A13" s="118"/>
      <c r="B13" s="140" t="s">
        <v>3</v>
      </c>
      <c r="C13" s="127"/>
      <c r="D13" s="120"/>
      <c r="E13" s="285"/>
      <c r="F13" s="121"/>
      <c r="G13" s="141"/>
      <c r="H13" s="122"/>
      <c r="I13" s="122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</row>
    <row r="14" spans="1:256" ht="70.5" customHeight="1" thickBot="1" x14ac:dyDescent="0.25">
      <c r="A14" s="142" t="s">
        <v>390</v>
      </c>
      <c r="B14" s="143" t="s">
        <v>391</v>
      </c>
      <c r="C14" s="144" t="s">
        <v>392</v>
      </c>
      <c r="D14" s="143" t="s">
        <v>393</v>
      </c>
      <c r="E14" s="289" t="s">
        <v>46</v>
      </c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5"/>
      <c r="BL14" s="145"/>
      <c r="BM14" s="145"/>
      <c r="BN14" s="145"/>
      <c r="BO14" s="145"/>
      <c r="BP14" s="145"/>
      <c r="BQ14" s="145"/>
      <c r="BR14" s="145"/>
      <c r="BS14" s="145"/>
      <c r="BT14" s="145"/>
      <c r="BU14" s="145"/>
      <c r="BV14" s="145"/>
      <c r="BW14" s="145"/>
      <c r="BX14" s="145"/>
      <c r="BY14" s="145"/>
      <c r="BZ14" s="145"/>
      <c r="CA14" s="145"/>
      <c r="CB14" s="145"/>
      <c r="CC14" s="145"/>
      <c r="CD14" s="145"/>
      <c r="CE14" s="145"/>
      <c r="CF14" s="145"/>
      <c r="CG14" s="145"/>
      <c r="CH14" s="145"/>
      <c r="CI14" s="145"/>
      <c r="CJ14" s="145"/>
      <c r="CK14" s="145"/>
      <c r="CL14" s="145"/>
      <c r="CM14" s="145"/>
      <c r="CN14" s="145"/>
      <c r="CO14" s="145"/>
      <c r="CP14" s="145"/>
      <c r="CQ14" s="145"/>
      <c r="CR14" s="145"/>
      <c r="CS14" s="145"/>
      <c r="CT14" s="145"/>
      <c r="CU14" s="145"/>
      <c r="CV14" s="145"/>
      <c r="CW14" s="145"/>
      <c r="CX14" s="145"/>
      <c r="CY14" s="145"/>
      <c r="CZ14" s="145"/>
      <c r="DA14" s="145"/>
      <c r="DB14" s="145"/>
      <c r="DC14" s="145"/>
      <c r="DD14" s="145"/>
      <c r="DE14" s="145"/>
      <c r="DF14" s="145"/>
      <c r="DG14" s="145"/>
      <c r="DH14" s="145"/>
      <c r="DI14" s="145"/>
      <c r="DJ14" s="145"/>
      <c r="DK14" s="145"/>
      <c r="DL14" s="145"/>
      <c r="DM14" s="145"/>
      <c r="DN14" s="145"/>
      <c r="DO14" s="145"/>
      <c r="DP14" s="145"/>
      <c r="DQ14" s="145"/>
      <c r="DR14" s="145"/>
      <c r="DS14" s="145"/>
      <c r="DT14" s="145"/>
      <c r="DU14" s="145"/>
      <c r="DV14" s="145"/>
      <c r="DW14" s="145"/>
      <c r="DX14" s="145"/>
      <c r="DY14" s="145"/>
      <c r="DZ14" s="145"/>
      <c r="EA14" s="145"/>
      <c r="EB14" s="145"/>
      <c r="EC14" s="145"/>
      <c r="ED14" s="145"/>
      <c r="EE14" s="145"/>
      <c r="EF14" s="145"/>
      <c r="EG14" s="145"/>
      <c r="EH14" s="145"/>
      <c r="EI14" s="145"/>
      <c r="EJ14" s="145"/>
      <c r="EK14" s="145"/>
      <c r="EL14" s="145"/>
      <c r="EM14" s="145"/>
      <c r="EN14" s="145"/>
      <c r="EO14" s="145"/>
      <c r="EP14" s="145"/>
      <c r="EQ14" s="145"/>
      <c r="ER14" s="145"/>
      <c r="ES14" s="145"/>
      <c r="ET14" s="145"/>
      <c r="EU14" s="145"/>
      <c r="EV14" s="145"/>
      <c r="EW14" s="145"/>
      <c r="EX14" s="145"/>
      <c r="EY14" s="145"/>
      <c r="EZ14" s="145"/>
      <c r="FA14" s="145"/>
      <c r="FB14" s="145"/>
      <c r="FC14" s="145"/>
      <c r="FD14" s="145"/>
      <c r="FE14" s="145"/>
      <c r="FF14" s="145"/>
      <c r="FG14" s="145"/>
      <c r="FH14" s="145"/>
      <c r="FI14" s="145"/>
      <c r="FJ14" s="145"/>
      <c r="FK14" s="145"/>
      <c r="FL14" s="145"/>
      <c r="FM14" s="145"/>
      <c r="FN14" s="145"/>
      <c r="FO14" s="145"/>
      <c r="FP14" s="145"/>
      <c r="FQ14" s="145"/>
      <c r="FR14" s="145"/>
      <c r="FS14" s="145"/>
      <c r="FT14" s="145"/>
      <c r="FU14" s="145"/>
      <c r="FV14" s="145"/>
      <c r="FW14" s="145"/>
      <c r="FX14" s="145"/>
      <c r="FY14" s="145"/>
      <c r="FZ14" s="145"/>
      <c r="GA14" s="145"/>
      <c r="GB14" s="145"/>
      <c r="GC14" s="145"/>
      <c r="GD14" s="145"/>
      <c r="GE14" s="145"/>
      <c r="GF14" s="145"/>
      <c r="GG14" s="145"/>
      <c r="GH14" s="145"/>
      <c r="GI14" s="145"/>
      <c r="GJ14" s="145"/>
      <c r="GK14" s="145"/>
      <c r="GL14" s="145"/>
      <c r="GM14" s="145"/>
      <c r="GN14" s="145"/>
      <c r="GO14" s="145"/>
      <c r="GP14" s="145"/>
      <c r="GQ14" s="145"/>
      <c r="GR14" s="145"/>
      <c r="GS14" s="145"/>
      <c r="GT14" s="145"/>
      <c r="GU14" s="145"/>
      <c r="GV14" s="145"/>
      <c r="GW14" s="145"/>
      <c r="GX14" s="145"/>
      <c r="GY14" s="145"/>
      <c r="GZ14" s="145"/>
      <c r="HA14" s="145"/>
      <c r="HB14" s="145"/>
      <c r="HC14" s="145"/>
      <c r="HD14" s="145"/>
      <c r="HE14" s="145"/>
      <c r="HF14" s="145"/>
      <c r="HG14" s="145"/>
      <c r="HH14" s="145"/>
      <c r="HI14" s="145"/>
      <c r="HJ14" s="145"/>
      <c r="HK14" s="145"/>
      <c r="HL14" s="145"/>
      <c r="HM14" s="145"/>
      <c r="HN14" s="145"/>
      <c r="HO14" s="145"/>
      <c r="HP14" s="145"/>
      <c r="HQ14" s="145"/>
      <c r="HR14" s="145"/>
      <c r="HS14" s="145"/>
      <c r="HT14" s="145"/>
      <c r="HU14" s="145"/>
      <c r="HV14" s="145"/>
      <c r="HW14" s="145"/>
      <c r="HX14" s="145"/>
      <c r="HY14" s="145"/>
      <c r="HZ14" s="145"/>
      <c r="IA14" s="145"/>
      <c r="IB14" s="145"/>
      <c r="IC14" s="145"/>
      <c r="ID14" s="145"/>
      <c r="IE14" s="145"/>
      <c r="IF14" s="145"/>
      <c r="IG14" s="145"/>
      <c r="IH14" s="145"/>
      <c r="II14" s="145"/>
      <c r="IJ14" s="145"/>
      <c r="IK14" s="145"/>
      <c r="IL14" s="145"/>
      <c r="IM14" s="145"/>
      <c r="IN14" s="145"/>
      <c r="IO14" s="145"/>
      <c r="IP14" s="145"/>
      <c r="IQ14" s="145"/>
      <c r="IR14" s="145"/>
      <c r="IS14" s="145"/>
      <c r="IT14" s="145"/>
      <c r="IU14" s="145"/>
      <c r="IV14" s="145"/>
    </row>
    <row r="15" spans="1:256" ht="13.5" thickBot="1" x14ac:dyDescent="0.25">
      <c r="A15" s="146">
        <v>1</v>
      </c>
      <c r="B15" s="146">
        <v>2</v>
      </c>
      <c r="C15" s="147">
        <v>3</v>
      </c>
      <c r="D15" s="146">
        <v>4</v>
      </c>
      <c r="E15" s="290">
        <v>5</v>
      </c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  <c r="BH15" s="145"/>
      <c r="BI15" s="145"/>
      <c r="BJ15" s="145"/>
      <c r="BK15" s="145"/>
      <c r="BL15" s="145"/>
      <c r="BM15" s="145"/>
      <c r="BN15" s="145"/>
      <c r="BO15" s="145"/>
      <c r="BP15" s="145"/>
      <c r="BQ15" s="145"/>
      <c r="BR15" s="145"/>
      <c r="BS15" s="145"/>
      <c r="BT15" s="145"/>
      <c r="BU15" s="145"/>
      <c r="BV15" s="145"/>
      <c r="BW15" s="145"/>
      <c r="BX15" s="145"/>
      <c r="BY15" s="145"/>
      <c r="BZ15" s="145"/>
      <c r="CA15" s="145"/>
      <c r="CB15" s="145"/>
      <c r="CC15" s="145"/>
      <c r="CD15" s="145"/>
      <c r="CE15" s="145"/>
      <c r="CF15" s="145"/>
      <c r="CG15" s="145"/>
      <c r="CH15" s="145"/>
      <c r="CI15" s="145"/>
      <c r="CJ15" s="145"/>
      <c r="CK15" s="145"/>
      <c r="CL15" s="145"/>
      <c r="CM15" s="145"/>
      <c r="CN15" s="145"/>
      <c r="CO15" s="145"/>
      <c r="CP15" s="145"/>
      <c r="CQ15" s="145"/>
      <c r="CR15" s="145"/>
      <c r="CS15" s="145"/>
      <c r="CT15" s="145"/>
      <c r="CU15" s="145"/>
      <c r="CV15" s="145"/>
      <c r="CW15" s="145"/>
      <c r="CX15" s="145"/>
      <c r="CY15" s="145"/>
      <c r="CZ15" s="145"/>
      <c r="DA15" s="145"/>
      <c r="DB15" s="145"/>
      <c r="DC15" s="145"/>
      <c r="DD15" s="145"/>
      <c r="DE15" s="145"/>
      <c r="DF15" s="145"/>
      <c r="DG15" s="145"/>
      <c r="DH15" s="145"/>
      <c r="DI15" s="145"/>
      <c r="DJ15" s="145"/>
      <c r="DK15" s="145"/>
      <c r="DL15" s="145"/>
      <c r="DM15" s="145"/>
      <c r="DN15" s="14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</row>
    <row r="16" spans="1:256" ht="3.75" customHeight="1" thickBot="1" x14ac:dyDescent="0.25">
      <c r="A16" s="148"/>
      <c r="B16" s="149"/>
      <c r="C16" s="150"/>
      <c r="D16" s="150"/>
      <c r="E16" s="29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51"/>
      <c r="DQ16" s="151"/>
      <c r="DR16" s="151"/>
      <c r="DS16" s="151"/>
      <c r="DT16" s="151"/>
      <c r="DU16" s="151"/>
      <c r="DV16" s="151"/>
      <c r="DW16" s="151"/>
      <c r="DX16" s="151"/>
      <c r="DY16" s="151"/>
      <c r="DZ16" s="151"/>
      <c r="EA16" s="151"/>
      <c r="EB16" s="151"/>
      <c r="EC16" s="151"/>
      <c r="ED16" s="151"/>
      <c r="EE16" s="151"/>
      <c r="EF16" s="151"/>
      <c r="EG16" s="151"/>
      <c r="EH16" s="151"/>
      <c r="EI16" s="151"/>
      <c r="EJ16" s="151"/>
      <c r="EK16" s="151"/>
      <c r="EL16" s="151"/>
      <c r="EM16" s="151"/>
      <c r="EN16" s="151"/>
      <c r="EO16" s="151"/>
      <c r="EP16" s="151"/>
      <c r="EQ16" s="151"/>
      <c r="ER16" s="151"/>
      <c r="ES16" s="151"/>
      <c r="ET16" s="151"/>
      <c r="EU16" s="151"/>
      <c r="EV16" s="151"/>
      <c r="EW16" s="151"/>
      <c r="EX16" s="151"/>
      <c r="EY16" s="151"/>
      <c r="EZ16" s="151"/>
      <c r="FA16" s="151"/>
      <c r="FB16" s="151"/>
      <c r="FC16" s="151"/>
      <c r="FD16" s="151"/>
      <c r="FE16" s="151"/>
      <c r="FF16" s="151"/>
      <c r="FG16" s="151"/>
      <c r="FH16" s="151"/>
      <c r="FI16" s="151"/>
      <c r="FJ16" s="151"/>
      <c r="FK16" s="151"/>
      <c r="FL16" s="151"/>
      <c r="FM16" s="151"/>
      <c r="FN16" s="151"/>
      <c r="FO16" s="151"/>
      <c r="FP16" s="151"/>
      <c r="FQ16" s="151"/>
      <c r="FR16" s="151"/>
      <c r="FS16" s="151"/>
      <c r="FT16" s="151"/>
      <c r="FU16" s="151"/>
      <c r="FV16" s="151"/>
      <c r="FW16" s="151"/>
      <c r="FX16" s="151"/>
      <c r="FY16" s="151"/>
      <c r="FZ16" s="151"/>
      <c r="GA16" s="151"/>
      <c r="GB16" s="151"/>
      <c r="GC16" s="151"/>
      <c r="GD16" s="151"/>
      <c r="GE16" s="151"/>
      <c r="GF16" s="151"/>
      <c r="GG16" s="151"/>
      <c r="GH16" s="151"/>
      <c r="GI16" s="151"/>
      <c r="GJ16" s="151"/>
      <c r="GK16" s="151"/>
      <c r="GL16" s="151"/>
      <c r="GM16" s="151"/>
      <c r="GN16" s="151"/>
      <c r="GO16" s="151"/>
      <c r="GP16" s="151"/>
      <c r="GQ16" s="151"/>
      <c r="GR16" s="151"/>
      <c r="GS16" s="151"/>
      <c r="GT16" s="151"/>
      <c r="GU16" s="151"/>
      <c r="GV16" s="151"/>
      <c r="GW16" s="151"/>
      <c r="GX16" s="151"/>
      <c r="GY16" s="151"/>
      <c r="GZ16" s="151"/>
      <c r="HA16" s="151"/>
      <c r="HB16" s="151"/>
      <c r="HC16" s="151"/>
      <c r="HD16" s="151"/>
      <c r="HE16" s="151"/>
      <c r="HF16" s="151"/>
      <c r="HG16" s="151"/>
      <c r="HH16" s="151"/>
      <c r="HI16" s="151"/>
      <c r="HJ16" s="151"/>
      <c r="HK16" s="151"/>
      <c r="HL16" s="151"/>
      <c r="HM16" s="151"/>
      <c r="HN16" s="151"/>
      <c r="HO16" s="151"/>
      <c r="HP16" s="151"/>
      <c r="HQ16" s="151"/>
      <c r="HR16" s="151"/>
      <c r="HS16" s="151"/>
      <c r="HT16" s="151"/>
      <c r="HU16" s="151"/>
      <c r="HV16" s="151"/>
      <c r="HW16" s="151"/>
      <c r="HX16" s="151"/>
      <c r="HY16" s="151"/>
      <c r="HZ16" s="151"/>
      <c r="IA16" s="151"/>
      <c r="IB16" s="151"/>
      <c r="IC16" s="151"/>
      <c r="ID16" s="151"/>
      <c r="IE16" s="151"/>
      <c r="IF16" s="151"/>
      <c r="IG16" s="151"/>
      <c r="IH16" s="151"/>
      <c r="II16" s="151"/>
      <c r="IJ16" s="151"/>
      <c r="IK16" s="151"/>
      <c r="IL16" s="151"/>
      <c r="IM16" s="151"/>
      <c r="IN16" s="151"/>
      <c r="IO16" s="151"/>
      <c r="IP16" s="151"/>
      <c r="IQ16" s="151"/>
      <c r="IR16" s="151"/>
      <c r="IS16" s="151"/>
      <c r="IT16" s="151"/>
      <c r="IU16" s="151"/>
      <c r="IV16" s="152"/>
    </row>
    <row r="17" spans="1:10" ht="13.5" thickBot="1" x14ac:dyDescent="0.25">
      <c r="A17" s="446" t="s">
        <v>579</v>
      </c>
      <c r="B17" s="447"/>
      <c r="C17" s="447"/>
      <c r="D17" s="447"/>
      <c r="E17" s="448"/>
      <c r="F17" s="219"/>
      <c r="G17" s="219"/>
      <c r="H17" s="219"/>
      <c r="I17" s="219"/>
      <c r="J17" s="219"/>
    </row>
    <row r="18" spans="1:10" ht="25.5" x14ac:dyDescent="0.2">
      <c r="A18" s="437">
        <v>1</v>
      </c>
      <c r="B18" s="440" t="s">
        <v>580</v>
      </c>
      <c r="C18" s="111" t="s">
        <v>581</v>
      </c>
      <c r="D18" s="437" t="s">
        <v>1023</v>
      </c>
      <c r="E18" s="443">
        <f>3814*55.26*1.3*1.3*0.9*1</f>
        <v>320568.45444</v>
      </c>
      <c r="F18" s="219"/>
      <c r="G18" s="219"/>
      <c r="H18" s="219"/>
      <c r="I18" s="219"/>
      <c r="J18" s="219"/>
    </row>
    <row r="19" spans="1:10" x14ac:dyDescent="0.2">
      <c r="A19" s="438"/>
      <c r="B19" s="441"/>
      <c r="C19" s="111" t="s">
        <v>1024</v>
      </c>
      <c r="D19" s="438"/>
      <c r="E19" s="444"/>
      <c r="F19" s="219"/>
      <c r="G19" s="219"/>
      <c r="H19" s="219"/>
      <c r="I19" s="219"/>
      <c r="J19" s="219"/>
    </row>
    <row r="20" spans="1:10" x14ac:dyDescent="0.2">
      <c r="A20" s="438"/>
      <c r="B20" s="441"/>
      <c r="C20" s="111" t="s">
        <v>582</v>
      </c>
      <c r="D20" s="438"/>
      <c r="E20" s="444"/>
      <c r="F20" s="219"/>
      <c r="G20" s="219"/>
      <c r="H20" s="219"/>
      <c r="I20" s="219"/>
      <c r="J20" s="219"/>
    </row>
    <row r="21" spans="1:10" x14ac:dyDescent="0.2">
      <c r="A21" s="438"/>
      <c r="B21" s="441"/>
      <c r="C21" s="111" t="s">
        <v>583</v>
      </c>
      <c r="D21" s="438"/>
      <c r="E21" s="444"/>
      <c r="F21" s="219"/>
      <c r="G21" s="219"/>
      <c r="H21" s="219"/>
      <c r="I21" s="219"/>
      <c r="J21" s="219"/>
    </row>
    <row r="22" spans="1:10" x14ac:dyDescent="0.2">
      <c r="A22" s="438"/>
      <c r="B22" s="441"/>
      <c r="C22" s="111" t="s">
        <v>584</v>
      </c>
      <c r="D22" s="438"/>
      <c r="E22" s="444"/>
      <c r="F22" s="219"/>
      <c r="G22" s="219"/>
      <c r="H22" s="219"/>
      <c r="I22" s="219"/>
      <c r="J22" s="219"/>
    </row>
    <row r="23" spans="1:10" ht="13.5" thickBot="1" x14ac:dyDescent="0.25">
      <c r="A23" s="439"/>
      <c r="B23" s="442"/>
      <c r="C23" s="112" t="s">
        <v>585</v>
      </c>
      <c r="D23" s="439"/>
      <c r="E23" s="445"/>
      <c r="F23" s="219"/>
      <c r="G23" s="219"/>
      <c r="H23" s="219"/>
      <c r="I23" s="219"/>
      <c r="J23" s="219"/>
    </row>
    <row r="24" spans="1:10" ht="25.5" x14ac:dyDescent="0.2">
      <c r="A24" s="437">
        <v>2</v>
      </c>
      <c r="B24" s="440" t="s">
        <v>586</v>
      </c>
      <c r="C24" s="111" t="s">
        <v>581</v>
      </c>
      <c r="D24" s="437" t="s">
        <v>1023</v>
      </c>
      <c r="E24" s="443">
        <f>3814*55.26*1.3*1.3*0.9*1</f>
        <v>320568.45444</v>
      </c>
      <c r="F24" s="219"/>
      <c r="G24" s="219"/>
      <c r="H24" s="219"/>
      <c r="I24" s="219"/>
      <c r="J24" s="219"/>
    </row>
    <row r="25" spans="1:10" x14ac:dyDescent="0.2">
      <c r="A25" s="438"/>
      <c r="B25" s="441"/>
      <c r="C25" s="111" t="s">
        <v>1024</v>
      </c>
      <c r="D25" s="438"/>
      <c r="E25" s="444"/>
      <c r="F25" s="219"/>
      <c r="G25" s="219"/>
      <c r="H25" s="219"/>
      <c r="I25" s="219"/>
      <c r="J25" s="219"/>
    </row>
    <row r="26" spans="1:10" x14ac:dyDescent="0.2">
      <c r="A26" s="438"/>
      <c r="B26" s="441"/>
      <c r="C26" s="111" t="s">
        <v>582</v>
      </c>
      <c r="D26" s="438"/>
      <c r="E26" s="444"/>
      <c r="F26" s="219"/>
      <c r="G26" s="219"/>
      <c r="H26" s="219"/>
      <c r="I26" s="219"/>
      <c r="J26" s="219"/>
    </row>
    <row r="27" spans="1:10" x14ac:dyDescent="0.2">
      <c r="A27" s="438"/>
      <c r="B27" s="441"/>
      <c r="C27" s="111" t="s">
        <v>583</v>
      </c>
      <c r="D27" s="438"/>
      <c r="E27" s="444"/>
      <c r="F27" s="219"/>
      <c r="G27" s="219"/>
      <c r="H27" s="219"/>
      <c r="I27" s="219"/>
      <c r="J27" s="219"/>
    </row>
    <row r="28" spans="1:10" x14ac:dyDescent="0.2">
      <c r="A28" s="438"/>
      <c r="B28" s="441"/>
      <c r="C28" s="111" t="s">
        <v>584</v>
      </c>
      <c r="D28" s="438"/>
      <c r="E28" s="444"/>
      <c r="F28" s="219"/>
      <c r="G28" s="219"/>
      <c r="H28" s="219"/>
      <c r="I28" s="219"/>
      <c r="J28" s="219"/>
    </row>
    <row r="29" spans="1:10" ht="13.5" thickBot="1" x14ac:dyDescent="0.25">
      <c r="A29" s="439"/>
      <c r="B29" s="442"/>
      <c r="C29" s="112" t="s">
        <v>585</v>
      </c>
      <c r="D29" s="439"/>
      <c r="E29" s="445"/>
      <c r="F29" s="219"/>
      <c r="G29" s="219"/>
      <c r="H29" s="219"/>
      <c r="I29" s="219"/>
      <c r="J29" s="219"/>
    </row>
    <row r="30" spans="1:10" ht="25.5" x14ac:dyDescent="0.2">
      <c r="A30" s="437">
        <v>3</v>
      </c>
      <c r="B30" s="440" t="s">
        <v>587</v>
      </c>
      <c r="C30" s="111" t="s">
        <v>588</v>
      </c>
      <c r="D30" s="437" t="s">
        <v>1025</v>
      </c>
      <c r="E30" s="443">
        <f>2560*55.26*1.3*1.3*0.9*1</f>
        <v>215169.17760000002</v>
      </c>
      <c r="F30" s="219"/>
      <c r="G30" s="219"/>
      <c r="H30" s="219"/>
      <c r="I30" s="219"/>
      <c r="J30" s="219"/>
    </row>
    <row r="31" spans="1:10" x14ac:dyDescent="0.2">
      <c r="A31" s="438"/>
      <c r="B31" s="441"/>
      <c r="C31" s="111" t="s">
        <v>1024</v>
      </c>
      <c r="D31" s="438"/>
      <c r="E31" s="444"/>
      <c r="F31" s="219"/>
      <c r="G31" s="219"/>
      <c r="H31" s="219"/>
      <c r="I31" s="219"/>
      <c r="J31" s="219"/>
    </row>
    <row r="32" spans="1:10" x14ac:dyDescent="0.2">
      <c r="A32" s="438"/>
      <c r="B32" s="441"/>
      <c r="C32" s="111" t="s">
        <v>582</v>
      </c>
      <c r="D32" s="438"/>
      <c r="E32" s="444"/>
      <c r="F32" s="219"/>
      <c r="G32" s="219"/>
      <c r="H32" s="219"/>
      <c r="I32" s="219"/>
      <c r="J32" s="219"/>
    </row>
    <row r="33" spans="1:5" x14ac:dyDescent="0.2">
      <c r="A33" s="438"/>
      <c r="B33" s="441"/>
      <c r="C33" s="111" t="s">
        <v>583</v>
      </c>
      <c r="D33" s="438"/>
      <c r="E33" s="444"/>
    </row>
    <row r="34" spans="1:5" x14ac:dyDescent="0.2">
      <c r="A34" s="438"/>
      <c r="B34" s="441"/>
      <c r="C34" s="111" t="s">
        <v>584</v>
      </c>
      <c r="D34" s="438"/>
      <c r="E34" s="444"/>
    </row>
    <row r="35" spans="1:5" ht="13.5" thickBot="1" x14ac:dyDescent="0.25">
      <c r="A35" s="439"/>
      <c r="B35" s="442"/>
      <c r="C35" s="112" t="s">
        <v>585</v>
      </c>
      <c r="D35" s="439"/>
      <c r="E35" s="445"/>
    </row>
    <row r="36" spans="1:5" ht="25.5" x14ac:dyDescent="0.2">
      <c r="A36" s="437">
        <v>4</v>
      </c>
      <c r="B36" s="440" t="s">
        <v>589</v>
      </c>
      <c r="C36" s="111" t="s">
        <v>588</v>
      </c>
      <c r="D36" s="437" t="s">
        <v>1026</v>
      </c>
      <c r="E36" s="443">
        <f>2560*55.26*1.3*0.75*0.7</f>
        <v>96550.272000000012</v>
      </c>
    </row>
    <row r="37" spans="1:5" x14ac:dyDescent="0.2">
      <c r="A37" s="438"/>
      <c r="B37" s="441"/>
      <c r="C37" s="111" t="s">
        <v>1024</v>
      </c>
      <c r="D37" s="438"/>
      <c r="E37" s="444"/>
    </row>
    <row r="38" spans="1:5" x14ac:dyDescent="0.2">
      <c r="A38" s="438"/>
      <c r="B38" s="441"/>
      <c r="C38" s="111" t="s">
        <v>583</v>
      </c>
      <c r="D38" s="438"/>
      <c r="E38" s="444"/>
    </row>
    <row r="39" spans="1:5" x14ac:dyDescent="0.2">
      <c r="A39" s="438"/>
      <c r="B39" s="441"/>
      <c r="C39" s="111" t="s">
        <v>590</v>
      </c>
      <c r="D39" s="438"/>
      <c r="E39" s="444"/>
    </row>
    <row r="40" spans="1:5" ht="13.5" thickBot="1" x14ac:dyDescent="0.25">
      <c r="A40" s="439"/>
      <c r="B40" s="442"/>
      <c r="C40" s="112" t="s">
        <v>591</v>
      </c>
      <c r="D40" s="439"/>
      <c r="E40" s="445"/>
    </row>
    <row r="41" spans="1:5" x14ac:dyDescent="0.2">
      <c r="A41" s="437">
        <v>5</v>
      </c>
      <c r="B41" s="440" t="s">
        <v>592</v>
      </c>
      <c r="C41" s="111" t="s">
        <v>593</v>
      </c>
      <c r="D41" s="437" t="s">
        <v>991</v>
      </c>
      <c r="E41" s="443">
        <f>(179590+353530*0.2)*7.22*1.1*0.4*0.7</f>
        <v>556598.23295999994</v>
      </c>
    </row>
    <row r="42" spans="1:5" x14ac:dyDescent="0.2">
      <c r="A42" s="438"/>
      <c r="B42" s="441"/>
      <c r="C42" s="111" t="s">
        <v>992</v>
      </c>
      <c r="D42" s="438"/>
      <c r="E42" s="444"/>
    </row>
    <row r="43" spans="1:5" x14ac:dyDescent="0.2">
      <c r="A43" s="438"/>
      <c r="B43" s="441"/>
      <c r="C43" s="111" t="s">
        <v>594</v>
      </c>
      <c r="D43" s="438"/>
      <c r="E43" s="444"/>
    </row>
    <row r="44" spans="1:5" x14ac:dyDescent="0.2">
      <c r="A44" s="438"/>
      <c r="B44" s="441"/>
      <c r="C44" s="111" t="s">
        <v>595</v>
      </c>
      <c r="D44" s="438"/>
      <c r="E44" s="444"/>
    </row>
    <row r="45" spans="1:5" ht="13.5" thickBot="1" x14ac:dyDescent="0.25">
      <c r="A45" s="439"/>
      <c r="B45" s="442"/>
      <c r="C45" s="112" t="s">
        <v>591</v>
      </c>
      <c r="D45" s="439"/>
      <c r="E45" s="445"/>
    </row>
    <row r="46" spans="1:5" x14ac:dyDescent="0.2">
      <c r="A46" s="437">
        <v>6</v>
      </c>
      <c r="B46" s="440" t="s">
        <v>596</v>
      </c>
      <c r="C46" s="111" t="s">
        <v>597</v>
      </c>
      <c r="D46" s="437" t="s">
        <v>993</v>
      </c>
      <c r="E46" s="443">
        <f>(21960+79880*0.2)*7.22*2*0.4*0.7</f>
        <v>153382.8352</v>
      </c>
    </row>
    <row r="47" spans="1:5" x14ac:dyDescent="0.2">
      <c r="A47" s="438"/>
      <c r="B47" s="441"/>
      <c r="C47" s="111" t="s">
        <v>992</v>
      </c>
      <c r="D47" s="438"/>
      <c r="E47" s="444"/>
    </row>
    <row r="48" spans="1:5" x14ac:dyDescent="0.2">
      <c r="A48" s="438"/>
      <c r="B48" s="441"/>
      <c r="C48" s="111" t="s">
        <v>598</v>
      </c>
      <c r="D48" s="438"/>
      <c r="E48" s="444"/>
    </row>
    <row r="49" spans="1:5" x14ac:dyDescent="0.2">
      <c r="A49" s="438"/>
      <c r="B49" s="441"/>
      <c r="C49" s="111" t="s">
        <v>595</v>
      </c>
      <c r="D49" s="438"/>
      <c r="E49" s="444"/>
    </row>
    <row r="50" spans="1:5" ht="13.5" thickBot="1" x14ac:dyDescent="0.25">
      <c r="A50" s="439"/>
      <c r="B50" s="442"/>
      <c r="C50" s="112" t="s">
        <v>591</v>
      </c>
      <c r="D50" s="439"/>
      <c r="E50" s="445"/>
    </row>
    <row r="51" spans="1:5" ht="38.25" x14ac:dyDescent="0.2">
      <c r="A51" s="437">
        <v>7</v>
      </c>
      <c r="B51" s="440" t="s">
        <v>599</v>
      </c>
      <c r="C51" s="111" t="s">
        <v>600</v>
      </c>
      <c r="D51" s="437" t="s">
        <v>994</v>
      </c>
      <c r="E51" s="443">
        <f>146600*1*7.22*2*0.6*0.7</f>
        <v>889099.67999999993</v>
      </c>
    </row>
    <row r="52" spans="1:5" x14ac:dyDescent="0.2">
      <c r="A52" s="438"/>
      <c r="B52" s="441"/>
      <c r="C52" s="111" t="s">
        <v>992</v>
      </c>
      <c r="D52" s="438"/>
      <c r="E52" s="444"/>
    </row>
    <row r="53" spans="1:5" x14ac:dyDescent="0.2">
      <c r="A53" s="438"/>
      <c r="B53" s="441"/>
      <c r="C53" s="111" t="s">
        <v>598</v>
      </c>
      <c r="D53" s="438"/>
      <c r="E53" s="444"/>
    </row>
    <row r="54" spans="1:5" x14ac:dyDescent="0.2">
      <c r="A54" s="438"/>
      <c r="B54" s="441"/>
      <c r="C54" s="111" t="s">
        <v>601</v>
      </c>
      <c r="D54" s="438"/>
      <c r="E54" s="444"/>
    </row>
    <row r="55" spans="1:5" ht="13.5" thickBot="1" x14ac:dyDescent="0.25">
      <c r="A55" s="439"/>
      <c r="B55" s="442"/>
      <c r="C55" s="112" t="s">
        <v>591</v>
      </c>
      <c r="D55" s="439"/>
      <c r="E55" s="445"/>
    </row>
    <row r="56" spans="1:5" x14ac:dyDescent="0.2">
      <c r="A56" s="437">
        <v>8</v>
      </c>
      <c r="B56" s="440" t="s">
        <v>602</v>
      </c>
      <c r="C56" s="111" t="s">
        <v>597</v>
      </c>
      <c r="D56" s="437" t="s">
        <v>995</v>
      </c>
      <c r="E56" s="443">
        <f>(21960+79880*0.188)*7.22*0.4*0.7</f>
        <v>74753.59270400001</v>
      </c>
    </row>
    <row r="57" spans="1:5" x14ac:dyDescent="0.2">
      <c r="A57" s="438"/>
      <c r="B57" s="441"/>
      <c r="C57" s="111" t="s">
        <v>992</v>
      </c>
      <c r="D57" s="438"/>
      <c r="E57" s="444"/>
    </row>
    <row r="58" spans="1:5" x14ac:dyDescent="0.2">
      <c r="A58" s="438"/>
      <c r="B58" s="441"/>
      <c r="C58" s="111" t="s">
        <v>595</v>
      </c>
      <c r="D58" s="438"/>
      <c r="E58" s="444"/>
    </row>
    <row r="59" spans="1:5" ht="13.5" thickBot="1" x14ac:dyDescent="0.25">
      <c r="A59" s="439"/>
      <c r="B59" s="442"/>
      <c r="C59" s="112" t="s">
        <v>591</v>
      </c>
      <c r="D59" s="439"/>
      <c r="E59" s="445"/>
    </row>
    <row r="60" spans="1:5" ht="25.5" x14ac:dyDescent="0.2">
      <c r="A60" s="437">
        <v>9</v>
      </c>
      <c r="B60" s="440" t="s">
        <v>603</v>
      </c>
      <c r="C60" s="111" t="s">
        <v>604</v>
      </c>
      <c r="D60" s="437" t="s">
        <v>996</v>
      </c>
      <c r="E60" s="443">
        <f>(64940+34770*0.8)*7.22*1.5*1.15*0.4*0.7</f>
        <v>323464.28855999996</v>
      </c>
    </row>
    <row r="61" spans="1:5" x14ac:dyDescent="0.2">
      <c r="A61" s="438"/>
      <c r="B61" s="441"/>
      <c r="C61" s="111" t="s">
        <v>992</v>
      </c>
      <c r="D61" s="438"/>
      <c r="E61" s="444"/>
    </row>
    <row r="62" spans="1:5" x14ac:dyDescent="0.2">
      <c r="A62" s="438"/>
      <c r="B62" s="441"/>
      <c r="C62" s="111" t="s">
        <v>605</v>
      </c>
      <c r="D62" s="438"/>
      <c r="E62" s="444"/>
    </row>
    <row r="63" spans="1:5" x14ac:dyDescent="0.2">
      <c r="A63" s="438"/>
      <c r="B63" s="441"/>
      <c r="C63" s="111" t="s">
        <v>606</v>
      </c>
      <c r="D63" s="438"/>
      <c r="E63" s="444"/>
    </row>
    <row r="64" spans="1:5" x14ac:dyDescent="0.2">
      <c r="A64" s="438"/>
      <c r="B64" s="441"/>
      <c r="C64" s="111" t="s">
        <v>595</v>
      </c>
      <c r="D64" s="438"/>
      <c r="E64" s="444"/>
    </row>
    <row r="65" spans="1:5" ht="13.5" thickBot="1" x14ac:dyDescent="0.25">
      <c r="A65" s="439"/>
      <c r="B65" s="442"/>
      <c r="C65" s="112" t="s">
        <v>591</v>
      </c>
      <c r="D65" s="439"/>
      <c r="E65" s="445"/>
    </row>
    <row r="66" spans="1:5" ht="25.5" x14ac:dyDescent="0.2">
      <c r="A66" s="437">
        <v>10</v>
      </c>
      <c r="B66" s="440" t="s">
        <v>607</v>
      </c>
      <c r="C66" s="111" t="s">
        <v>604</v>
      </c>
      <c r="D66" s="437" t="s">
        <v>997</v>
      </c>
      <c r="E66" s="443">
        <f>(64940+34770*0.24)*7.22*1.5*1.15*0.4*0.7</f>
        <v>255563.15164799997</v>
      </c>
    </row>
    <row r="67" spans="1:5" x14ac:dyDescent="0.2">
      <c r="A67" s="438"/>
      <c r="B67" s="441"/>
      <c r="C67" s="111" t="s">
        <v>992</v>
      </c>
      <c r="D67" s="438"/>
      <c r="E67" s="444"/>
    </row>
    <row r="68" spans="1:5" x14ac:dyDescent="0.2">
      <c r="A68" s="438"/>
      <c r="B68" s="441"/>
      <c r="C68" s="111" t="s">
        <v>605</v>
      </c>
      <c r="D68" s="438"/>
      <c r="E68" s="444"/>
    </row>
    <row r="69" spans="1:5" x14ac:dyDescent="0.2">
      <c r="A69" s="438"/>
      <c r="B69" s="441"/>
      <c r="C69" s="111" t="s">
        <v>606</v>
      </c>
      <c r="D69" s="438"/>
      <c r="E69" s="444"/>
    </row>
    <row r="70" spans="1:5" x14ac:dyDescent="0.2">
      <c r="A70" s="438"/>
      <c r="B70" s="441"/>
      <c r="C70" s="111" t="s">
        <v>595</v>
      </c>
      <c r="D70" s="438"/>
      <c r="E70" s="444"/>
    </row>
    <row r="71" spans="1:5" ht="13.5" thickBot="1" x14ac:dyDescent="0.25">
      <c r="A71" s="439"/>
      <c r="B71" s="442"/>
      <c r="C71" s="112" t="s">
        <v>591</v>
      </c>
      <c r="D71" s="439"/>
      <c r="E71" s="445"/>
    </row>
    <row r="72" spans="1:5" x14ac:dyDescent="0.2">
      <c r="A72" s="437">
        <v>11</v>
      </c>
      <c r="B72" s="440" t="s">
        <v>608</v>
      </c>
      <c r="C72" s="111" t="s">
        <v>609</v>
      </c>
      <c r="D72" s="437" t="s">
        <v>998</v>
      </c>
      <c r="E72" s="443">
        <f>(114690+16850*0.08)*7.22*1.15*0.4*0.7</f>
        <v>269769.78391999996</v>
      </c>
    </row>
    <row r="73" spans="1:5" x14ac:dyDescent="0.2">
      <c r="A73" s="438"/>
      <c r="B73" s="441"/>
      <c r="C73" s="111" t="s">
        <v>992</v>
      </c>
      <c r="D73" s="438"/>
      <c r="E73" s="444"/>
    </row>
    <row r="74" spans="1:5" x14ac:dyDescent="0.2">
      <c r="A74" s="438"/>
      <c r="B74" s="441"/>
      <c r="C74" s="111" t="s">
        <v>606</v>
      </c>
      <c r="D74" s="438"/>
      <c r="E74" s="444"/>
    </row>
    <row r="75" spans="1:5" x14ac:dyDescent="0.2">
      <c r="A75" s="438"/>
      <c r="B75" s="441"/>
      <c r="C75" s="111" t="s">
        <v>595</v>
      </c>
      <c r="D75" s="438"/>
      <c r="E75" s="444"/>
    </row>
    <row r="76" spans="1:5" ht="13.5" thickBot="1" x14ac:dyDescent="0.25">
      <c r="A76" s="439"/>
      <c r="B76" s="442"/>
      <c r="C76" s="112" t="s">
        <v>591</v>
      </c>
      <c r="D76" s="439"/>
      <c r="E76" s="445"/>
    </row>
    <row r="77" spans="1:5" x14ac:dyDescent="0.2">
      <c r="A77" s="437">
        <v>12</v>
      </c>
      <c r="B77" s="440" t="s">
        <v>610</v>
      </c>
      <c r="C77" s="111" t="s">
        <v>609</v>
      </c>
      <c r="D77" s="437" t="s">
        <v>999</v>
      </c>
      <c r="E77" s="443">
        <f>(114690+16850*0.11)*7.22*0.4*0.7</f>
        <v>235604.33960000001</v>
      </c>
    </row>
    <row r="78" spans="1:5" x14ac:dyDescent="0.2">
      <c r="A78" s="438"/>
      <c r="B78" s="441"/>
      <c r="C78" s="111" t="s">
        <v>992</v>
      </c>
      <c r="D78" s="438"/>
      <c r="E78" s="444"/>
    </row>
    <row r="79" spans="1:5" x14ac:dyDescent="0.2">
      <c r="A79" s="438"/>
      <c r="B79" s="441"/>
      <c r="C79" s="111" t="s">
        <v>595</v>
      </c>
      <c r="D79" s="438"/>
      <c r="E79" s="444"/>
    </row>
    <row r="80" spans="1:5" ht="13.5" thickBot="1" x14ac:dyDescent="0.25">
      <c r="A80" s="439"/>
      <c r="B80" s="442"/>
      <c r="C80" s="112" t="s">
        <v>591</v>
      </c>
      <c r="D80" s="439"/>
      <c r="E80" s="445"/>
    </row>
    <row r="81" spans="1:10" ht="38.25" x14ac:dyDescent="0.2">
      <c r="A81" s="437">
        <v>13</v>
      </c>
      <c r="B81" s="440" t="s">
        <v>611</v>
      </c>
      <c r="C81" s="111" t="s">
        <v>612</v>
      </c>
      <c r="D81" s="437" t="s">
        <v>1000</v>
      </c>
      <c r="E81" s="443">
        <f>(64940+34770*1.1)*7.22*1.15*0.4*0.7</f>
        <v>239893.26507999998</v>
      </c>
    </row>
    <row r="82" spans="1:10" x14ac:dyDescent="0.2">
      <c r="A82" s="438"/>
      <c r="B82" s="441"/>
      <c r="C82" s="111" t="s">
        <v>992</v>
      </c>
      <c r="D82" s="438"/>
      <c r="E82" s="444"/>
    </row>
    <row r="83" spans="1:10" x14ac:dyDescent="0.2">
      <c r="A83" s="438"/>
      <c r="B83" s="441"/>
      <c r="C83" s="111" t="s">
        <v>606</v>
      </c>
      <c r="D83" s="438"/>
      <c r="E83" s="444"/>
    </row>
    <row r="84" spans="1:10" x14ac:dyDescent="0.2">
      <c r="A84" s="438"/>
      <c r="B84" s="441"/>
      <c r="C84" s="111" t="s">
        <v>595</v>
      </c>
      <c r="D84" s="438"/>
      <c r="E84" s="444"/>
    </row>
    <row r="85" spans="1:10" ht="13.5" thickBot="1" x14ac:dyDescent="0.25">
      <c r="A85" s="439"/>
      <c r="B85" s="442"/>
      <c r="C85" s="112" t="s">
        <v>591</v>
      </c>
      <c r="D85" s="439"/>
      <c r="E85" s="445"/>
    </row>
    <row r="86" spans="1:10" ht="25.5" x14ac:dyDescent="0.2">
      <c r="A86" s="437">
        <v>14</v>
      </c>
      <c r="B86" s="440" t="s">
        <v>613</v>
      </c>
      <c r="C86" s="111" t="s">
        <v>604</v>
      </c>
      <c r="D86" s="437" t="s">
        <v>1001</v>
      </c>
      <c r="E86" s="443">
        <f>(64940+34770*1.9)*7.22*1.5*1.15*1.15*0.4*0.7</f>
        <v>525367.75004699978</v>
      </c>
    </row>
    <row r="87" spans="1:10" x14ac:dyDescent="0.2">
      <c r="A87" s="438"/>
      <c r="B87" s="441"/>
      <c r="C87" s="111" t="s">
        <v>992</v>
      </c>
      <c r="D87" s="438"/>
      <c r="E87" s="444"/>
    </row>
    <row r="88" spans="1:10" x14ac:dyDescent="0.2">
      <c r="A88" s="438"/>
      <c r="B88" s="441"/>
      <c r="C88" s="111" t="s">
        <v>605</v>
      </c>
      <c r="D88" s="438"/>
      <c r="E88" s="444"/>
    </row>
    <row r="89" spans="1:10" x14ac:dyDescent="0.2">
      <c r="A89" s="438"/>
      <c r="B89" s="441"/>
      <c r="C89" s="111" t="s">
        <v>614</v>
      </c>
      <c r="D89" s="438"/>
      <c r="E89" s="444"/>
    </row>
    <row r="90" spans="1:10" x14ac:dyDescent="0.2">
      <c r="A90" s="438"/>
      <c r="B90" s="441"/>
      <c r="C90" s="111" t="s">
        <v>606</v>
      </c>
      <c r="D90" s="438"/>
      <c r="E90" s="444"/>
    </row>
    <row r="91" spans="1:10" x14ac:dyDescent="0.2">
      <c r="A91" s="438"/>
      <c r="B91" s="441"/>
      <c r="C91" s="111" t="s">
        <v>595</v>
      </c>
      <c r="D91" s="438"/>
      <c r="E91" s="444"/>
    </row>
    <row r="92" spans="1:10" ht="13.5" thickBot="1" x14ac:dyDescent="0.25">
      <c r="A92" s="439"/>
      <c r="B92" s="442"/>
      <c r="C92" s="112" t="s">
        <v>591</v>
      </c>
      <c r="D92" s="439"/>
      <c r="E92" s="445"/>
    </row>
    <row r="93" spans="1:10" ht="13.5" thickBot="1" x14ac:dyDescent="0.25">
      <c r="A93" s="113">
        <v>15</v>
      </c>
      <c r="B93" s="112" t="s">
        <v>628</v>
      </c>
      <c r="C93" s="112"/>
      <c r="D93" s="114"/>
      <c r="E93" s="218">
        <f>SUM(E18:E92)</f>
        <v>4476353.2781989994</v>
      </c>
    </row>
    <row r="94" spans="1:10" ht="13.5" thickBot="1" x14ac:dyDescent="0.25">
      <c r="A94" s="113">
        <v>16</v>
      </c>
      <c r="B94" s="112" t="s">
        <v>382</v>
      </c>
      <c r="C94" s="112"/>
      <c r="D94" s="114"/>
      <c r="E94" s="218">
        <f>E93</f>
        <v>4476353.2781989994</v>
      </c>
      <c r="F94" s="219"/>
      <c r="G94" s="219"/>
      <c r="H94" s="219"/>
      <c r="I94" s="219"/>
      <c r="J94" s="219"/>
    </row>
    <row r="95" spans="1:10" ht="51.75" thickBot="1" x14ac:dyDescent="0.25">
      <c r="A95" s="113">
        <v>17</v>
      </c>
      <c r="B95" s="110" t="s">
        <v>395</v>
      </c>
      <c r="C95" s="110" t="s">
        <v>400</v>
      </c>
      <c r="D95" s="110" t="s">
        <v>396</v>
      </c>
      <c r="E95" s="117">
        <f>E94*0.8</f>
        <v>3581082.6225591996</v>
      </c>
      <c r="F95" s="219"/>
      <c r="G95" s="219"/>
      <c r="H95" s="219"/>
      <c r="I95" s="219"/>
      <c r="J95" s="219"/>
    </row>
    <row r="96" spans="1:10" ht="26.25" thickBot="1" x14ac:dyDescent="0.25">
      <c r="A96" s="113">
        <v>18</v>
      </c>
      <c r="B96" s="110" t="s">
        <v>398</v>
      </c>
      <c r="C96" s="110" t="s">
        <v>399</v>
      </c>
      <c r="D96" s="110" t="s">
        <v>397</v>
      </c>
      <c r="E96" s="117">
        <f>E95*1.08</f>
        <v>3867569.232363936</v>
      </c>
      <c r="F96" s="219"/>
      <c r="G96" s="219"/>
      <c r="H96" s="219"/>
      <c r="I96" s="219"/>
      <c r="J96" s="219"/>
    </row>
    <row r="97" spans="1:10" ht="13.5" thickBot="1" x14ac:dyDescent="0.25">
      <c r="A97" s="455" t="s">
        <v>394</v>
      </c>
      <c r="B97" s="456"/>
      <c r="C97" s="456"/>
      <c r="D97" s="457"/>
      <c r="E97" s="153">
        <f>E96</f>
        <v>3867569.232363936</v>
      </c>
      <c r="F97" s="219"/>
      <c r="G97" s="219"/>
      <c r="H97" s="219"/>
      <c r="I97" s="219"/>
      <c r="J97" s="219"/>
    </row>
    <row r="98" spans="1:10" x14ac:dyDescent="0.2">
      <c r="F98" s="219"/>
      <c r="G98" s="219"/>
      <c r="H98" s="219"/>
      <c r="I98" s="219"/>
      <c r="J98" s="219"/>
    </row>
    <row r="99" spans="1:10" x14ac:dyDescent="0.2">
      <c r="F99" s="219"/>
      <c r="G99" s="219"/>
      <c r="H99" s="219"/>
      <c r="I99" s="219"/>
      <c r="J99" s="219"/>
    </row>
    <row r="100" spans="1:10" x14ac:dyDescent="0.2">
      <c r="F100" s="219"/>
      <c r="G100" s="219"/>
      <c r="H100" s="219"/>
      <c r="I100" s="219"/>
      <c r="J100" s="219"/>
    </row>
    <row r="101" spans="1:10" x14ac:dyDescent="0.2">
      <c r="F101" s="219"/>
      <c r="G101" s="219"/>
      <c r="H101" s="219"/>
      <c r="I101" s="219"/>
      <c r="J101" s="219"/>
    </row>
    <row r="102" spans="1:10" x14ac:dyDescent="0.2">
      <c r="F102" s="219"/>
      <c r="G102" s="219"/>
      <c r="H102" s="219"/>
      <c r="I102" s="219"/>
      <c r="J102" s="219"/>
    </row>
    <row r="103" spans="1:10" x14ac:dyDescent="0.2">
      <c r="F103" s="219"/>
      <c r="G103" s="219"/>
      <c r="H103" s="219"/>
      <c r="I103" s="219"/>
      <c r="J103" s="219"/>
    </row>
    <row r="104" spans="1:10" x14ac:dyDescent="0.2">
      <c r="F104" s="219"/>
      <c r="G104" s="219"/>
      <c r="H104" s="219"/>
      <c r="I104" s="219"/>
      <c r="J104" s="219"/>
    </row>
    <row r="105" spans="1:10" x14ac:dyDescent="0.2">
      <c r="F105" s="219"/>
      <c r="G105" s="219"/>
      <c r="H105" s="219"/>
      <c r="I105" s="219"/>
      <c r="J105" s="219"/>
    </row>
    <row r="106" spans="1:10" x14ac:dyDescent="0.2">
      <c r="F106" s="219"/>
      <c r="G106" s="219"/>
      <c r="H106" s="219"/>
      <c r="I106" s="219"/>
      <c r="J106" s="219"/>
    </row>
    <row r="107" spans="1:10" x14ac:dyDescent="0.2">
      <c r="F107" s="219"/>
      <c r="G107" s="219"/>
      <c r="H107" s="219"/>
      <c r="I107" s="219"/>
      <c r="J107" s="219"/>
    </row>
    <row r="108" spans="1:10" x14ac:dyDescent="0.2">
      <c r="F108" s="219"/>
      <c r="G108" s="219"/>
      <c r="H108" s="219"/>
      <c r="I108" s="219"/>
      <c r="J108" s="219"/>
    </row>
  </sheetData>
  <mergeCells count="61">
    <mergeCell ref="A60:A65"/>
    <mergeCell ref="B60:B65"/>
    <mergeCell ref="D60:D65"/>
    <mergeCell ref="E60:E65"/>
    <mergeCell ref="B30:B35"/>
    <mergeCell ref="D30:D35"/>
    <mergeCell ref="E30:E35"/>
    <mergeCell ref="A36:A40"/>
    <mergeCell ref="B36:B40"/>
    <mergeCell ref="D36:D40"/>
    <mergeCell ref="E36:E40"/>
    <mergeCell ref="A51:A55"/>
    <mergeCell ref="B51:B55"/>
    <mergeCell ref="E41:E45"/>
    <mergeCell ref="A46:A50"/>
    <mergeCell ref="B46:B50"/>
    <mergeCell ref="A86:A92"/>
    <mergeCell ref="B86:B92"/>
    <mergeCell ref="D86:D92"/>
    <mergeCell ref="E86:E92"/>
    <mergeCell ref="A66:A71"/>
    <mergeCell ref="A72:A76"/>
    <mergeCell ref="B72:B76"/>
    <mergeCell ref="D72:D76"/>
    <mergeCell ref="E72:E76"/>
    <mergeCell ref="A77:A80"/>
    <mergeCell ref="B77:B80"/>
    <mergeCell ref="D77:D80"/>
    <mergeCell ref="E77:E80"/>
    <mergeCell ref="A81:A85"/>
    <mergeCell ref="B81:B85"/>
    <mergeCell ref="D81:D85"/>
    <mergeCell ref="A24:A29"/>
    <mergeCell ref="B24:B29"/>
    <mergeCell ref="D24:D29"/>
    <mergeCell ref="E24:E29"/>
    <mergeCell ref="A3:E3"/>
    <mergeCell ref="A4:E4"/>
    <mergeCell ref="C6:E6"/>
    <mergeCell ref="A97:D97"/>
    <mergeCell ref="A17:E17"/>
    <mergeCell ref="A18:A23"/>
    <mergeCell ref="B18:B23"/>
    <mergeCell ref="D18:D23"/>
    <mergeCell ref="E18:E23"/>
    <mergeCell ref="D51:D55"/>
    <mergeCell ref="E51:E55"/>
    <mergeCell ref="A56:A59"/>
    <mergeCell ref="B56:B59"/>
    <mergeCell ref="D56:D59"/>
    <mergeCell ref="E56:E59"/>
    <mergeCell ref="A41:A45"/>
    <mergeCell ref="A30:A35"/>
    <mergeCell ref="B41:B45"/>
    <mergeCell ref="D41:D45"/>
    <mergeCell ref="E81:E85"/>
    <mergeCell ref="D46:D50"/>
    <mergeCell ref="E46:E50"/>
    <mergeCell ref="B66:B71"/>
    <mergeCell ref="D66:D71"/>
    <mergeCell ref="E66:E71"/>
  </mergeCells>
  <conditionalFormatting sqref="C1 C3:C16 C97:C65057">
    <cfRule type="containsText" dxfId="1" priority="2" operator="containsText" text="стадия Р">
      <formula>NOT(ISERROR(SEARCH("стадия Р",C1)))</formula>
    </cfRule>
  </conditionalFormatting>
  <conditionalFormatting sqref="A1:O1048576">
    <cfRule type="containsText" dxfId="0" priority="1" operator="containsText" text="этап 3">
      <formula>NOT(ISERROR(SEARCH("этап 3",A1)))</formula>
    </cfRule>
  </conditionalFormatting>
  <pageMargins left="0.23622047244094491" right="0.23622047244094491" top="0.74803149606299213" bottom="0.74803149606299213" header="0.31496062992125984" footer="0.31496062992125984"/>
  <pageSetup paperSize="9" scale="75" fitToHeight="0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X94"/>
  <sheetViews>
    <sheetView showRuler="0" topLeftCell="A64" zoomScale="85" zoomScaleNormal="85" workbookViewId="0">
      <selection activeCell="M110" sqref="M110"/>
    </sheetView>
  </sheetViews>
  <sheetFormatPr defaultRowHeight="15" x14ac:dyDescent="0.25"/>
  <cols>
    <col min="1" max="1" width="6.42578125" style="228" customWidth="1"/>
    <col min="2" max="17" width="8" style="228" customWidth="1"/>
    <col min="18" max="18" width="11.7109375" style="228" bestFit="1" customWidth="1"/>
    <col min="19" max="50" width="8" style="228" customWidth="1"/>
  </cols>
  <sheetData>
    <row r="1" spans="1:16" ht="27.2" customHeight="1" x14ac:dyDescent="0.25">
      <c r="A1" s="476" t="s">
        <v>637</v>
      </c>
      <c r="B1" s="476"/>
      <c r="C1" s="476"/>
      <c r="D1" s="476"/>
      <c r="E1" s="477" t="s">
        <v>38</v>
      </c>
      <c r="F1" s="477"/>
      <c r="G1" s="477"/>
      <c r="H1" s="477"/>
      <c r="I1" s="477"/>
      <c r="J1" s="477"/>
      <c r="K1" s="477"/>
      <c r="L1" s="477"/>
      <c r="M1" s="477"/>
      <c r="N1" s="477"/>
      <c r="O1" s="477"/>
      <c r="P1" s="477"/>
    </row>
    <row r="2" spans="1:16" ht="15" customHeight="1" x14ac:dyDescent="0.25"/>
    <row r="3" spans="1:16" ht="15" customHeight="1" x14ac:dyDescent="0.25">
      <c r="A3" s="478" t="s">
        <v>638</v>
      </c>
      <c r="B3" s="478"/>
      <c r="C3" s="478"/>
      <c r="D3" s="478"/>
      <c r="E3" s="478"/>
      <c r="F3" s="478"/>
      <c r="G3" s="478"/>
      <c r="H3" s="478"/>
      <c r="I3" s="478"/>
      <c r="J3" s="478"/>
      <c r="K3" s="478"/>
      <c r="L3" s="478"/>
      <c r="M3" s="478"/>
      <c r="N3" s="478"/>
      <c r="O3" s="478"/>
      <c r="P3" s="478"/>
    </row>
    <row r="4" spans="1:16" ht="15" customHeight="1" x14ac:dyDescent="0.25">
      <c r="A4" s="479" t="s">
        <v>39</v>
      </c>
      <c r="B4" s="479"/>
      <c r="C4" s="479"/>
      <c r="D4" s="479"/>
      <c r="E4" s="479"/>
      <c r="F4" s="479"/>
      <c r="G4" s="479"/>
      <c r="H4" s="479"/>
      <c r="I4" s="479"/>
      <c r="J4" s="479"/>
      <c r="K4" s="479"/>
      <c r="L4" s="479"/>
      <c r="M4" s="479"/>
      <c r="N4" s="479"/>
      <c r="O4" s="479"/>
      <c r="P4" s="479"/>
    </row>
    <row r="5" spans="1:16" ht="15" customHeight="1" x14ac:dyDescent="0.25"/>
    <row r="6" spans="1:16" ht="54.4" customHeight="1" x14ac:dyDescent="0.25">
      <c r="A6" s="473" t="s">
        <v>40</v>
      </c>
      <c r="B6" s="473"/>
      <c r="C6" s="473"/>
      <c r="D6" s="473"/>
      <c r="E6" s="473"/>
      <c r="F6" s="474" t="str">
        <f>СВОД!B34</f>
        <v>Линейная часть</v>
      </c>
      <c r="G6" s="474"/>
      <c r="H6" s="474"/>
      <c r="I6" s="474"/>
      <c r="J6" s="474"/>
      <c r="K6" s="474"/>
      <c r="L6" s="474"/>
      <c r="M6" s="474"/>
      <c r="N6" s="474"/>
      <c r="O6" s="474"/>
      <c r="P6" s="474"/>
    </row>
    <row r="7" spans="1:16" ht="15" customHeight="1" x14ac:dyDescent="0.25"/>
    <row r="8" spans="1:16" ht="27.2" customHeight="1" x14ac:dyDescent="0.25">
      <c r="A8" s="473" t="s">
        <v>41</v>
      </c>
      <c r="B8" s="473"/>
      <c r="C8" s="473"/>
      <c r="D8" s="473"/>
      <c r="E8" s="473"/>
      <c r="F8" s="474" t="str">
        <f>СВОД!D14</f>
        <v>ОАО «СИБНЕФТЕТРАНСПРОЕКТ»</v>
      </c>
      <c r="G8" s="474"/>
      <c r="H8" s="474"/>
      <c r="I8" s="474"/>
      <c r="J8" s="474"/>
      <c r="K8" s="474"/>
      <c r="L8" s="474"/>
      <c r="M8" s="474"/>
      <c r="N8" s="474"/>
      <c r="O8" s="474"/>
      <c r="P8" s="474"/>
    </row>
    <row r="9" spans="1:16" ht="15" customHeight="1" x14ac:dyDescent="0.25"/>
    <row r="10" spans="1:16" ht="15" customHeight="1" x14ac:dyDescent="0.25">
      <c r="A10" s="473" t="s">
        <v>5</v>
      </c>
      <c r="B10" s="473"/>
      <c r="C10" s="473"/>
      <c r="D10" s="473"/>
      <c r="E10" s="473"/>
      <c r="F10" s="474" t="str">
        <f>СВОД!D16</f>
        <v>ООО «Газпром проектирование»</v>
      </c>
      <c r="G10" s="474"/>
      <c r="H10" s="474"/>
      <c r="I10" s="474"/>
      <c r="J10" s="474"/>
      <c r="K10" s="474"/>
      <c r="L10" s="474"/>
      <c r="M10" s="474"/>
      <c r="N10" s="474"/>
      <c r="O10" s="474"/>
      <c r="P10" s="474"/>
    </row>
    <row r="11" spans="1:16" ht="15" customHeight="1" x14ac:dyDescent="0.25"/>
    <row r="12" spans="1:16" ht="40.9" customHeight="1" x14ac:dyDescent="0.25">
      <c r="A12" s="233" t="s">
        <v>42</v>
      </c>
      <c r="B12" s="475" t="s">
        <v>43</v>
      </c>
      <c r="C12" s="475"/>
      <c r="D12" s="475"/>
      <c r="E12" s="475"/>
      <c r="F12" s="475"/>
      <c r="G12" s="475" t="s">
        <v>44</v>
      </c>
      <c r="H12" s="475"/>
      <c r="I12" s="475"/>
      <c r="J12" s="475"/>
      <c r="K12" s="475" t="s">
        <v>45</v>
      </c>
      <c r="L12" s="475"/>
      <c r="M12" s="475"/>
      <c r="N12" s="475"/>
      <c r="O12" s="475" t="s">
        <v>46</v>
      </c>
      <c r="P12" s="475"/>
    </row>
    <row r="13" spans="1:16" ht="15" customHeight="1" x14ac:dyDescent="0.25">
      <c r="A13" s="233">
        <v>1</v>
      </c>
      <c r="B13" s="475">
        <v>2</v>
      </c>
      <c r="C13" s="475"/>
      <c r="D13" s="475"/>
      <c r="E13" s="475"/>
      <c r="F13" s="475"/>
      <c r="G13" s="475">
        <v>3</v>
      </c>
      <c r="H13" s="475"/>
      <c r="I13" s="475"/>
      <c r="J13" s="475"/>
      <c r="K13" s="475">
        <v>4</v>
      </c>
      <c r="L13" s="475"/>
      <c r="M13" s="475"/>
      <c r="N13" s="475"/>
      <c r="O13" s="475">
        <v>5</v>
      </c>
      <c r="P13" s="475"/>
    </row>
    <row r="14" spans="1:16" ht="15" customHeight="1" x14ac:dyDescent="0.25">
      <c r="A14" s="313" t="s">
        <v>639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</row>
    <row r="15" spans="1:16" ht="15" customHeight="1" x14ac:dyDescent="0.25">
      <c r="A15" s="313" t="s">
        <v>640</v>
      </c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  <c r="N15" s="313"/>
      <c r="O15" s="313"/>
      <c r="P15" s="313"/>
    </row>
    <row r="16" spans="1:16" ht="122.45" customHeight="1" x14ac:dyDescent="0.25">
      <c r="A16" s="229" t="s">
        <v>13</v>
      </c>
      <c r="B16" s="316" t="s">
        <v>641</v>
      </c>
      <c r="C16" s="317"/>
      <c r="D16" s="317"/>
      <c r="E16" s="317"/>
      <c r="F16" s="317"/>
      <c r="G16" s="317" t="s">
        <v>642</v>
      </c>
      <c r="H16" s="317"/>
      <c r="I16" s="317"/>
      <c r="J16" s="317"/>
      <c r="K16" s="317" t="s">
        <v>946</v>
      </c>
      <c r="L16" s="317"/>
      <c r="M16" s="317"/>
      <c r="N16" s="317"/>
      <c r="O16" s="318">
        <f>ROUND((61900 + 15484 * 1.0125) * 1 * 1.56 * 0.6, 2)</f>
        <v>72612.59</v>
      </c>
      <c r="P16" s="317"/>
    </row>
    <row r="17" spans="1:16" ht="15" customHeight="1" x14ac:dyDescent="0.25">
      <c r="A17" s="230"/>
      <c r="B17" s="319" t="s">
        <v>50</v>
      </c>
      <c r="C17" s="319"/>
      <c r="D17" s="319"/>
      <c r="E17" s="319"/>
      <c r="F17" s="319"/>
      <c r="G17" s="319" t="s">
        <v>3</v>
      </c>
      <c r="H17" s="319"/>
      <c r="I17" s="319"/>
      <c r="J17" s="319"/>
      <c r="K17" s="319" t="s">
        <v>3</v>
      </c>
      <c r="L17" s="319"/>
      <c r="M17" s="319"/>
      <c r="N17" s="319"/>
      <c r="O17" s="319"/>
      <c r="P17" s="319"/>
    </row>
    <row r="18" spans="1:16" ht="15" customHeight="1" x14ac:dyDescent="0.25">
      <c r="A18" s="231"/>
      <c r="B18" s="315" t="s">
        <v>51</v>
      </c>
      <c r="C18" s="315"/>
      <c r="D18" s="315"/>
      <c r="E18" s="315"/>
      <c r="F18" s="315"/>
      <c r="G18" s="315" t="s">
        <v>52</v>
      </c>
      <c r="H18" s="315"/>
      <c r="I18" s="315"/>
      <c r="J18" s="315"/>
      <c r="K18" s="315" t="s">
        <v>3</v>
      </c>
      <c r="L18" s="315"/>
      <c r="M18" s="315"/>
      <c r="N18" s="315"/>
      <c r="O18" s="315"/>
      <c r="P18" s="315"/>
    </row>
    <row r="19" spans="1:16" ht="40.9" customHeight="1" x14ac:dyDescent="0.25">
      <c r="A19" s="231"/>
      <c r="B19" s="315" t="s">
        <v>929</v>
      </c>
      <c r="C19" s="315"/>
      <c r="D19" s="315"/>
      <c r="E19" s="315"/>
      <c r="F19" s="315"/>
      <c r="G19" s="315" t="s">
        <v>933</v>
      </c>
      <c r="H19" s="315"/>
      <c r="I19" s="315"/>
      <c r="J19" s="315"/>
      <c r="K19" s="315" t="s">
        <v>3</v>
      </c>
      <c r="L19" s="315"/>
      <c r="M19" s="315"/>
      <c r="N19" s="315"/>
      <c r="O19" s="315"/>
      <c r="P19" s="315"/>
    </row>
    <row r="20" spans="1:16" ht="122.45" customHeight="1" x14ac:dyDescent="0.25">
      <c r="A20" s="229" t="s">
        <v>14</v>
      </c>
      <c r="B20" s="316" t="s">
        <v>641</v>
      </c>
      <c r="C20" s="317"/>
      <c r="D20" s="317"/>
      <c r="E20" s="317"/>
      <c r="F20" s="317"/>
      <c r="G20" s="317" t="s">
        <v>643</v>
      </c>
      <c r="H20" s="317"/>
      <c r="I20" s="317"/>
      <c r="J20" s="317"/>
      <c r="K20" s="317" t="s">
        <v>947</v>
      </c>
      <c r="L20" s="317"/>
      <c r="M20" s="317"/>
      <c r="N20" s="317"/>
      <c r="O20" s="318">
        <f>ROUND((61900 + 15484 * 2.33152) * 1 * 1.56 * 0.6, 2)</f>
        <v>91729.18</v>
      </c>
      <c r="P20" s="317"/>
    </row>
    <row r="21" spans="1:16" ht="15" customHeight="1" x14ac:dyDescent="0.25">
      <c r="A21" s="230"/>
      <c r="B21" s="319" t="s">
        <v>50</v>
      </c>
      <c r="C21" s="319"/>
      <c r="D21" s="319"/>
      <c r="E21" s="319"/>
      <c r="F21" s="319"/>
      <c r="G21" s="319" t="s">
        <v>3</v>
      </c>
      <c r="H21" s="319"/>
      <c r="I21" s="319"/>
      <c r="J21" s="319"/>
      <c r="K21" s="319" t="s">
        <v>3</v>
      </c>
      <c r="L21" s="319"/>
      <c r="M21" s="319"/>
      <c r="N21" s="319"/>
      <c r="O21" s="319"/>
      <c r="P21" s="319"/>
    </row>
    <row r="22" spans="1:16" ht="15" customHeight="1" x14ac:dyDescent="0.25">
      <c r="A22" s="231"/>
      <c r="B22" s="315" t="s">
        <v>51</v>
      </c>
      <c r="C22" s="315"/>
      <c r="D22" s="315"/>
      <c r="E22" s="315"/>
      <c r="F22" s="315"/>
      <c r="G22" s="315" t="s">
        <v>52</v>
      </c>
      <c r="H22" s="315"/>
      <c r="I22" s="315"/>
      <c r="J22" s="315"/>
      <c r="K22" s="315" t="s">
        <v>3</v>
      </c>
      <c r="L22" s="315"/>
      <c r="M22" s="315"/>
      <c r="N22" s="315"/>
      <c r="O22" s="315"/>
      <c r="P22" s="315"/>
    </row>
    <row r="23" spans="1:16" ht="40.9" customHeight="1" x14ac:dyDescent="0.25">
      <c r="A23" s="231"/>
      <c r="B23" s="315" t="s">
        <v>929</v>
      </c>
      <c r="C23" s="315"/>
      <c r="D23" s="315"/>
      <c r="E23" s="315"/>
      <c r="F23" s="315"/>
      <c r="G23" s="315" t="s">
        <v>933</v>
      </c>
      <c r="H23" s="315"/>
      <c r="I23" s="315"/>
      <c r="J23" s="315"/>
      <c r="K23" s="315" t="s">
        <v>3</v>
      </c>
      <c r="L23" s="315"/>
      <c r="M23" s="315"/>
      <c r="N23" s="315"/>
      <c r="O23" s="315"/>
      <c r="P23" s="315"/>
    </row>
    <row r="24" spans="1:16" ht="15" customHeight="1" x14ac:dyDescent="0.25">
      <c r="A24" s="313" t="s">
        <v>644</v>
      </c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313"/>
      <c r="N24" s="313"/>
      <c r="O24" s="313"/>
      <c r="P24" s="313"/>
    </row>
    <row r="25" spans="1:16" ht="122.45" customHeight="1" x14ac:dyDescent="0.25">
      <c r="A25" s="229" t="s">
        <v>16</v>
      </c>
      <c r="B25" s="316" t="s">
        <v>641</v>
      </c>
      <c r="C25" s="317"/>
      <c r="D25" s="317"/>
      <c r="E25" s="317"/>
      <c r="F25" s="317"/>
      <c r="G25" s="317" t="s">
        <v>645</v>
      </c>
      <c r="H25" s="317"/>
      <c r="I25" s="317"/>
      <c r="J25" s="317"/>
      <c r="K25" s="317" t="s">
        <v>948</v>
      </c>
      <c r="L25" s="317"/>
      <c r="M25" s="317"/>
      <c r="N25" s="317"/>
      <c r="O25" s="318">
        <f>ROUND((61900 + 15484 * 2.73962) * 1 * 1.56 * 0.6, 2)</f>
        <v>97643.78</v>
      </c>
      <c r="P25" s="317"/>
    </row>
    <row r="26" spans="1:16" ht="15" customHeight="1" x14ac:dyDescent="0.25">
      <c r="A26" s="230"/>
      <c r="B26" s="319" t="s">
        <v>50</v>
      </c>
      <c r="C26" s="319"/>
      <c r="D26" s="319"/>
      <c r="E26" s="319"/>
      <c r="F26" s="319"/>
      <c r="G26" s="319" t="s">
        <v>3</v>
      </c>
      <c r="H26" s="319"/>
      <c r="I26" s="319"/>
      <c r="J26" s="319"/>
      <c r="K26" s="319" t="s">
        <v>3</v>
      </c>
      <c r="L26" s="319"/>
      <c r="M26" s="319"/>
      <c r="N26" s="319"/>
      <c r="O26" s="319"/>
      <c r="P26" s="319"/>
    </row>
    <row r="27" spans="1:16" ht="15" customHeight="1" x14ac:dyDescent="0.25">
      <c r="A27" s="231"/>
      <c r="B27" s="315" t="s">
        <v>51</v>
      </c>
      <c r="C27" s="315"/>
      <c r="D27" s="315"/>
      <c r="E27" s="315"/>
      <c r="F27" s="315"/>
      <c r="G27" s="315" t="s">
        <v>52</v>
      </c>
      <c r="H27" s="315"/>
      <c r="I27" s="315"/>
      <c r="J27" s="315"/>
      <c r="K27" s="315" t="s">
        <v>3</v>
      </c>
      <c r="L27" s="315"/>
      <c r="M27" s="315"/>
      <c r="N27" s="315"/>
      <c r="O27" s="315"/>
      <c r="P27" s="315"/>
    </row>
    <row r="28" spans="1:16" ht="40.9" customHeight="1" x14ac:dyDescent="0.25">
      <c r="A28" s="231"/>
      <c r="B28" s="315" t="s">
        <v>929</v>
      </c>
      <c r="C28" s="315"/>
      <c r="D28" s="315"/>
      <c r="E28" s="315"/>
      <c r="F28" s="315"/>
      <c r="G28" s="315" t="s">
        <v>933</v>
      </c>
      <c r="H28" s="315"/>
      <c r="I28" s="315"/>
      <c r="J28" s="315"/>
      <c r="K28" s="315" t="s">
        <v>3</v>
      </c>
      <c r="L28" s="315"/>
      <c r="M28" s="315"/>
      <c r="N28" s="315"/>
      <c r="O28" s="315"/>
      <c r="P28" s="315"/>
    </row>
    <row r="29" spans="1:16" ht="135.94999999999999" customHeight="1" x14ac:dyDescent="0.25">
      <c r="A29" s="229" t="s">
        <v>18</v>
      </c>
      <c r="B29" s="316" t="s">
        <v>641</v>
      </c>
      <c r="C29" s="317"/>
      <c r="D29" s="317"/>
      <c r="E29" s="317"/>
      <c r="F29" s="317"/>
      <c r="G29" s="317" t="s">
        <v>646</v>
      </c>
      <c r="H29" s="317"/>
      <c r="I29" s="317"/>
      <c r="J29" s="317"/>
      <c r="K29" s="317" t="s">
        <v>949</v>
      </c>
      <c r="L29" s="317"/>
      <c r="M29" s="317"/>
      <c r="N29" s="317"/>
      <c r="O29" s="318">
        <f>ROUND((61900 + 15484 * (0.4 * 1 + 0.6 * 0.5418)) * 1 * 1.56 * 0.6, 2)</f>
        <v>68447</v>
      </c>
      <c r="P29" s="317"/>
    </row>
    <row r="30" spans="1:16" ht="15" customHeight="1" x14ac:dyDescent="0.25">
      <c r="A30" s="230"/>
      <c r="B30" s="319" t="s">
        <v>50</v>
      </c>
      <c r="C30" s="319"/>
      <c r="D30" s="319"/>
      <c r="E30" s="319"/>
      <c r="F30" s="319"/>
      <c r="G30" s="319" t="s">
        <v>3</v>
      </c>
      <c r="H30" s="319"/>
      <c r="I30" s="319"/>
      <c r="J30" s="319"/>
      <c r="K30" s="319" t="s">
        <v>3</v>
      </c>
      <c r="L30" s="319"/>
      <c r="M30" s="319"/>
      <c r="N30" s="319"/>
      <c r="O30" s="319"/>
      <c r="P30" s="319"/>
    </row>
    <row r="31" spans="1:16" ht="15" customHeight="1" x14ac:dyDescent="0.25">
      <c r="A31" s="231"/>
      <c r="B31" s="315" t="s">
        <v>51</v>
      </c>
      <c r="C31" s="315"/>
      <c r="D31" s="315"/>
      <c r="E31" s="315"/>
      <c r="F31" s="315"/>
      <c r="G31" s="315" t="s">
        <v>52</v>
      </c>
      <c r="H31" s="315"/>
      <c r="I31" s="315"/>
      <c r="J31" s="315"/>
      <c r="K31" s="315" t="s">
        <v>3</v>
      </c>
      <c r="L31" s="315"/>
      <c r="M31" s="315"/>
      <c r="N31" s="315"/>
      <c r="O31" s="315"/>
      <c r="P31" s="315"/>
    </row>
    <row r="32" spans="1:16" ht="40.9" customHeight="1" x14ac:dyDescent="0.25">
      <c r="A32" s="231"/>
      <c r="B32" s="315" t="s">
        <v>929</v>
      </c>
      <c r="C32" s="315"/>
      <c r="D32" s="315"/>
      <c r="E32" s="315"/>
      <c r="F32" s="315"/>
      <c r="G32" s="315" t="s">
        <v>933</v>
      </c>
      <c r="H32" s="315"/>
      <c r="I32" s="315"/>
      <c r="J32" s="315"/>
      <c r="K32" s="315" t="s">
        <v>3</v>
      </c>
      <c r="L32" s="315"/>
      <c r="M32" s="315"/>
      <c r="N32" s="315"/>
      <c r="O32" s="315"/>
      <c r="P32" s="315"/>
    </row>
    <row r="33" spans="1:16" ht="15" customHeight="1" x14ac:dyDescent="0.25">
      <c r="A33" s="313" t="s">
        <v>647</v>
      </c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  <c r="N33" s="313"/>
      <c r="O33" s="313"/>
      <c r="P33" s="313"/>
    </row>
    <row r="34" spans="1:16" ht="122.45" customHeight="1" x14ac:dyDescent="0.25">
      <c r="A34" s="229" t="s">
        <v>19</v>
      </c>
      <c r="B34" s="316" t="s">
        <v>641</v>
      </c>
      <c r="C34" s="317"/>
      <c r="D34" s="317"/>
      <c r="E34" s="317"/>
      <c r="F34" s="317"/>
      <c r="G34" s="317" t="s">
        <v>648</v>
      </c>
      <c r="H34" s="317"/>
      <c r="I34" s="317"/>
      <c r="J34" s="317"/>
      <c r="K34" s="317" t="s">
        <v>950</v>
      </c>
      <c r="L34" s="317"/>
      <c r="M34" s="317"/>
      <c r="N34" s="317"/>
      <c r="O34" s="318">
        <f>ROUND((61900 + 15484 * 3.16977) * 1 * 1.56 * 0.6, 2)</f>
        <v>103877.95</v>
      </c>
      <c r="P34" s="317"/>
    </row>
    <row r="35" spans="1:16" ht="15" customHeight="1" x14ac:dyDescent="0.25">
      <c r="A35" s="230"/>
      <c r="B35" s="319" t="s">
        <v>50</v>
      </c>
      <c r="C35" s="319"/>
      <c r="D35" s="319"/>
      <c r="E35" s="319"/>
      <c r="F35" s="319"/>
      <c r="G35" s="319" t="s">
        <v>3</v>
      </c>
      <c r="H35" s="319"/>
      <c r="I35" s="319"/>
      <c r="J35" s="319"/>
      <c r="K35" s="319" t="s">
        <v>3</v>
      </c>
      <c r="L35" s="319"/>
      <c r="M35" s="319"/>
      <c r="N35" s="319"/>
      <c r="O35" s="319"/>
      <c r="P35" s="319"/>
    </row>
    <row r="36" spans="1:16" ht="15" customHeight="1" x14ac:dyDescent="0.25">
      <c r="A36" s="231"/>
      <c r="B36" s="315" t="s">
        <v>51</v>
      </c>
      <c r="C36" s="315"/>
      <c r="D36" s="315"/>
      <c r="E36" s="315"/>
      <c r="F36" s="315"/>
      <c r="G36" s="315" t="s">
        <v>52</v>
      </c>
      <c r="H36" s="315"/>
      <c r="I36" s="315"/>
      <c r="J36" s="315"/>
      <c r="K36" s="315" t="s">
        <v>3</v>
      </c>
      <c r="L36" s="315"/>
      <c r="M36" s="315"/>
      <c r="N36" s="315"/>
      <c r="O36" s="315"/>
      <c r="P36" s="315"/>
    </row>
    <row r="37" spans="1:16" ht="40.9" customHeight="1" x14ac:dyDescent="0.25">
      <c r="A37" s="231"/>
      <c r="B37" s="315" t="s">
        <v>929</v>
      </c>
      <c r="C37" s="315"/>
      <c r="D37" s="315"/>
      <c r="E37" s="315"/>
      <c r="F37" s="315"/>
      <c r="G37" s="315" t="s">
        <v>933</v>
      </c>
      <c r="H37" s="315"/>
      <c r="I37" s="315"/>
      <c r="J37" s="315"/>
      <c r="K37" s="315" t="s">
        <v>3</v>
      </c>
      <c r="L37" s="315"/>
      <c r="M37" s="315"/>
      <c r="N37" s="315"/>
      <c r="O37" s="315"/>
      <c r="P37" s="315"/>
    </row>
    <row r="38" spans="1:16" ht="135.94999999999999" customHeight="1" x14ac:dyDescent="0.25">
      <c r="A38" s="229" t="s">
        <v>54</v>
      </c>
      <c r="B38" s="316" t="s">
        <v>641</v>
      </c>
      <c r="C38" s="317"/>
      <c r="D38" s="317"/>
      <c r="E38" s="317"/>
      <c r="F38" s="317"/>
      <c r="G38" s="317" t="s">
        <v>649</v>
      </c>
      <c r="H38" s="317"/>
      <c r="I38" s="317"/>
      <c r="J38" s="317"/>
      <c r="K38" s="317" t="s">
        <v>951</v>
      </c>
      <c r="L38" s="317"/>
      <c r="M38" s="317"/>
      <c r="N38" s="317"/>
      <c r="O38" s="318">
        <f>ROUND((61900 + 15484 * (0.4 * 1 + 0.6 * (1 / 2))) * 1 * 0.79 * 1.56 * 0.6, 2)</f>
        <v>53785.98</v>
      </c>
      <c r="P38" s="317"/>
    </row>
    <row r="39" spans="1:16" ht="15" customHeight="1" x14ac:dyDescent="0.25">
      <c r="A39" s="230"/>
      <c r="B39" s="319" t="s">
        <v>50</v>
      </c>
      <c r="C39" s="319"/>
      <c r="D39" s="319"/>
      <c r="E39" s="319"/>
      <c r="F39" s="319"/>
      <c r="G39" s="319" t="s">
        <v>3</v>
      </c>
      <c r="H39" s="319"/>
      <c r="I39" s="319"/>
      <c r="J39" s="319"/>
      <c r="K39" s="319" t="s">
        <v>3</v>
      </c>
      <c r="L39" s="319"/>
      <c r="M39" s="319"/>
      <c r="N39" s="319"/>
      <c r="O39" s="319"/>
      <c r="P39" s="319"/>
    </row>
    <row r="40" spans="1:16" ht="15" customHeight="1" x14ac:dyDescent="0.25">
      <c r="A40" s="231"/>
      <c r="B40" s="315" t="s">
        <v>51</v>
      </c>
      <c r="C40" s="315"/>
      <c r="D40" s="315"/>
      <c r="E40" s="315"/>
      <c r="F40" s="315"/>
      <c r="G40" s="315" t="s">
        <v>52</v>
      </c>
      <c r="H40" s="315"/>
      <c r="I40" s="315"/>
      <c r="J40" s="315"/>
      <c r="K40" s="315" t="s">
        <v>3</v>
      </c>
      <c r="L40" s="315"/>
      <c r="M40" s="315"/>
      <c r="N40" s="315"/>
      <c r="O40" s="315"/>
      <c r="P40" s="315"/>
    </row>
    <row r="41" spans="1:16" ht="40.9" customHeight="1" x14ac:dyDescent="0.25">
      <c r="A41" s="231"/>
      <c r="B41" s="315" t="s">
        <v>929</v>
      </c>
      <c r="C41" s="315"/>
      <c r="D41" s="315"/>
      <c r="E41" s="315"/>
      <c r="F41" s="315"/>
      <c r="G41" s="315" t="s">
        <v>933</v>
      </c>
      <c r="H41" s="315"/>
      <c r="I41" s="315"/>
      <c r="J41" s="315"/>
      <c r="K41" s="315" t="s">
        <v>3</v>
      </c>
      <c r="L41" s="315"/>
      <c r="M41" s="315"/>
      <c r="N41" s="315"/>
      <c r="O41" s="315"/>
      <c r="P41" s="315"/>
    </row>
    <row r="42" spans="1:16" ht="95.25" customHeight="1" x14ac:dyDescent="0.25">
      <c r="A42" s="231"/>
      <c r="B42" s="315" t="s">
        <v>97</v>
      </c>
      <c r="C42" s="315"/>
      <c r="D42" s="315"/>
      <c r="E42" s="315"/>
      <c r="F42" s="315"/>
      <c r="G42" s="315" t="s">
        <v>650</v>
      </c>
      <c r="H42" s="315"/>
      <c r="I42" s="315"/>
      <c r="J42" s="315"/>
      <c r="K42" s="315" t="s">
        <v>3</v>
      </c>
      <c r="L42" s="315"/>
      <c r="M42" s="315"/>
      <c r="N42" s="315"/>
      <c r="O42" s="315"/>
      <c r="P42" s="315"/>
    </row>
    <row r="43" spans="1:16" ht="15" customHeight="1" x14ac:dyDescent="0.25">
      <c r="A43" s="313" t="s">
        <v>651</v>
      </c>
      <c r="B43" s="313"/>
      <c r="C43" s="313"/>
      <c r="D43" s="313"/>
      <c r="E43" s="313"/>
      <c r="F43" s="313"/>
      <c r="G43" s="313"/>
      <c r="H43" s="313"/>
      <c r="I43" s="313"/>
      <c r="J43" s="313"/>
      <c r="K43" s="313"/>
      <c r="L43" s="313"/>
      <c r="M43" s="313"/>
      <c r="N43" s="313"/>
      <c r="O43" s="313"/>
      <c r="P43" s="313"/>
    </row>
    <row r="44" spans="1:16" ht="122.45" customHeight="1" x14ac:dyDescent="0.25">
      <c r="A44" s="229" t="s">
        <v>55</v>
      </c>
      <c r="B44" s="316" t="s">
        <v>652</v>
      </c>
      <c r="C44" s="317"/>
      <c r="D44" s="317"/>
      <c r="E44" s="317"/>
      <c r="F44" s="317"/>
      <c r="G44" s="317" t="s">
        <v>653</v>
      </c>
      <c r="H44" s="317"/>
      <c r="I44" s="317"/>
      <c r="J44" s="317"/>
      <c r="K44" s="317" t="s">
        <v>952</v>
      </c>
      <c r="L44" s="317"/>
      <c r="M44" s="317"/>
      <c r="N44" s="317"/>
      <c r="O44" s="318">
        <f>ROUND((88500 + 10167 * 5.1931) * 1 * 1.56 * 0.6, 2)</f>
        <v>132255.16</v>
      </c>
      <c r="P44" s="317"/>
    </row>
    <row r="45" spans="1:16" ht="15" customHeight="1" x14ac:dyDescent="0.25">
      <c r="A45" s="230"/>
      <c r="B45" s="319" t="s">
        <v>50</v>
      </c>
      <c r="C45" s="319"/>
      <c r="D45" s="319"/>
      <c r="E45" s="319"/>
      <c r="F45" s="319"/>
      <c r="G45" s="319" t="s">
        <v>3</v>
      </c>
      <c r="H45" s="319"/>
      <c r="I45" s="319"/>
      <c r="J45" s="319"/>
      <c r="K45" s="319" t="s">
        <v>3</v>
      </c>
      <c r="L45" s="319"/>
      <c r="M45" s="319"/>
      <c r="N45" s="319"/>
      <c r="O45" s="319"/>
      <c r="P45" s="319"/>
    </row>
    <row r="46" spans="1:16" ht="15" customHeight="1" x14ac:dyDescent="0.25">
      <c r="A46" s="231"/>
      <c r="B46" s="315" t="s">
        <v>51</v>
      </c>
      <c r="C46" s="315"/>
      <c r="D46" s="315"/>
      <c r="E46" s="315"/>
      <c r="F46" s="315"/>
      <c r="G46" s="315" t="s">
        <v>52</v>
      </c>
      <c r="H46" s="315"/>
      <c r="I46" s="315"/>
      <c r="J46" s="315"/>
      <c r="K46" s="315" t="s">
        <v>3</v>
      </c>
      <c r="L46" s="315"/>
      <c r="M46" s="315"/>
      <c r="N46" s="315"/>
      <c r="O46" s="315"/>
      <c r="P46" s="315"/>
    </row>
    <row r="47" spans="1:16" ht="40.9" customHeight="1" x14ac:dyDescent="0.25">
      <c r="A47" s="231"/>
      <c r="B47" s="315" t="s">
        <v>929</v>
      </c>
      <c r="C47" s="315"/>
      <c r="D47" s="315"/>
      <c r="E47" s="315"/>
      <c r="F47" s="315"/>
      <c r="G47" s="315" t="s">
        <v>933</v>
      </c>
      <c r="H47" s="315"/>
      <c r="I47" s="315"/>
      <c r="J47" s="315"/>
      <c r="K47" s="315" t="s">
        <v>3</v>
      </c>
      <c r="L47" s="315"/>
      <c r="M47" s="315"/>
      <c r="N47" s="315"/>
      <c r="O47" s="315"/>
      <c r="P47" s="315"/>
    </row>
    <row r="48" spans="1:16" ht="135.94999999999999" customHeight="1" x14ac:dyDescent="0.25">
      <c r="A48" s="229" t="s">
        <v>56</v>
      </c>
      <c r="B48" s="316" t="s">
        <v>641</v>
      </c>
      <c r="C48" s="317"/>
      <c r="D48" s="317"/>
      <c r="E48" s="317"/>
      <c r="F48" s="317"/>
      <c r="G48" s="317" t="s">
        <v>654</v>
      </c>
      <c r="H48" s="317"/>
      <c r="I48" s="317"/>
      <c r="J48" s="317"/>
      <c r="K48" s="317" t="s">
        <v>953</v>
      </c>
      <c r="L48" s="317"/>
      <c r="M48" s="317"/>
      <c r="N48" s="317"/>
      <c r="O48" s="318">
        <f>ROUND((61900 + 15484 * (0.4 * 1 + 0.6 * (1 / 2))) * 1 * 0.1 * 1.56 * 0.6, 2)</f>
        <v>6808.35</v>
      </c>
      <c r="P48" s="317"/>
    </row>
    <row r="49" spans="1:16" ht="15" customHeight="1" x14ac:dyDescent="0.25">
      <c r="A49" s="230"/>
      <c r="B49" s="319" t="s">
        <v>50</v>
      </c>
      <c r="C49" s="319"/>
      <c r="D49" s="319"/>
      <c r="E49" s="319"/>
      <c r="F49" s="319"/>
      <c r="G49" s="319" t="s">
        <v>3</v>
      </c>
      <c r="H49" s="319"/>
      <c r="I49" s="319"/>
      <c r="J49" s="319"/>
      <c r="K49" s="319" t="s">
        <v>3</v>
      </c>
      <c r="L49" s="319"/>
      <c r="M49" s="319"/>
      <c r="N49" s="319"/>
      <c r="O49" s="319"/>
      <c r="P49" s="319"/>
    </row>
    <row r="50" spans="1:16" ht="15" customHeight="1" x14ac:dyDescent="0.25">
      <c r="A50" s="231"/>
      <c r="B50" s="315" t="s">
        <v>51</v>
      </c>
      <c r="C50" s="315"/>
      <c r="D50" s="315"/>
      <c r="E50" s="315"/>
      <c r="F50" s="315"/>
      <c r="G50" s="315" t="s">
        <v>52</v>
      </c>
      <c r="H50" s="315"/>
      <c r="I50" s="315"/>
      <c r="J50" s="315"/>
      <c r="K50" s="315" t="s">
        <v>3</v>
      </c>
      <c r="L50" s="315"/>
      <c r="M50" s="315"/>
      <c r="N50" s="315"/>
      <c r="O50" s="315"/>
      <c r="P50" s="315"/>
    </row>
    <row r="51" spans="1:16" ht="40.9" customHeight="1" x14ac:dyDescent="0.25">
      <c r="A51" s="231"/>
      <c r="B51" s="315" t="s">
        <v>929</v>
      </c>
      <c r="C51" s="315"/>
      <c r="D51" s="315"/>
      <c r="E51" s="315"/>
      <c r="F51" s="315"/>
      <c r="G51" s="315" t="s">
        <v>933</v>
      </c>
      <c r="H51" s="315"/>
      <c r="I51" s="315"/>
      <c r="J51" s="315"/>
      <c r="K51" s="315" t="s">
        <v>3</v>
      </c>
      <c r="L51" s="315"/>
      <c r="M51" s="315"/>
      <c r="N51" s="315"/>
      <c r="O51" s="315"/>
      <c r="P51" s="315"/>
    </row>
    <row r="52" spans="1:16" ht="95.25" customHeight="1" x14ac:dyDescent="0.25">
      <c r="A52" s="231"/>
      <c r="B52" s="315" t="s">
        <v>97</v>
      </c>
      <c r="C52" s="315"/>
      <c r="D52" s="315"/>
      <c r="E52" s="315"/>
      <c r="F52" s="315"/>
      <c r="G52" s="315" t="s">
        <v>655</v>
      </c>
      <c r="H52" s="315"/>
      <c r="I52" s="315"/>
      <c r="J52" s="315"/>
      <c r="K52" s="315" t="s">
        <v>3</v>
      </c>
      <c r="L52" s="315"/>
      <c r="M52" s="315"/>
      <c r="N52" s="315"/>
      <c r="O52" s="315"/>
      <c r="P52" s="315"/>
    </row>
    <row r="53" spans="1:16" ht="122.45" customHeight="1" x14ac:dyDescent="0.25">
      <c r="A53" s="229" t="s">
        <v>58</v>
      </c>
      <c r="B53" s="316" t="s">
        <v>641</v>
      </c>
      <c r="C53" s="317"/>
      <c r="D53" s="317"/>
      <c r="E53" s="317"/>
      <c r="F53" s="317"/>
      <c r="G53" s="317" t="s">
        <v>656</v>
      </c>
      <c r="H53" s="317"/>
      <c r="I53" s="317"/>
      <c r="J53" s="317"/>
      <c r="K53" s="317" t="s">
        <v>954</v>
      </c>
      <c r="L53" s="317"/>
      <c r="M53" s="317"/>
      <c r="N53" s="317"/>
      <c r="O53" s="318">
        <f>ROUND((61900 + 15484 * 3.61309) * 1 * 1.56 * 0.6, 2)</f>
        <v>110303</v>
      </c>
      <c r="P53" s="317"/>
    </row>
    <row r="54" spans="1:16" x14ac:dyDescent="0.25">
      <c r="A54" s="230"/>
      <c r="B54" s="319" t="s">
        <v>50</v>
      </c>
      <c r="C54" s="319"/>
      <c r="D54" s="319"/>
      <c r="E54" s="319"/>
      <c r="F54" s="319"/>
      <c r="G54" s="319" t="s">
        <v>3</v>
      </c>
      <c r="H54" s="319"/>
      <c r="I54" s="319"/>
      <c r="J54" s="319"/>
      <c r="K54" s="319" t="s">
        <v>3</v>
      </c>
      <c r="L54" s="319"/>
      <c r="M54" s="319"/>
      <c r="N54" s="319"/>
      <c r="O54" s="319"/>
      <c r="P54" s="319"/>
    </row>
    <row r="55" spans="1:16" x14ac:dyDescent="0.25">
      <c r="A55" s="231"/>
      <c r="B55" s="315" t="s">
        <v>51</v>
      </c>
      <c r="C55" s="315"/>
      <c r="D55" s="315"/>
      <c r="E55" s="315"/>
      <c r="F55" s="315"/>
      <c r="G55" s="315" t="s">
        <v>52</v>
      </c>
      <c r="H55" s="315"/>
      <c r="I55" s="315"/>
      <c r="J55" s="315"/>
      <c r="K55" s="315" t="s">
        <v>3</v>
      </c>
      <c r="L55" s="315"/>
      <c r="M55" s="315"/>
      <c r="N55" s="315"/>
      <c r="O55" s="315"/>
      <c r="P55" s="315"/>
    </row>
    <row r="56" spans="1:16" ht="40.9" customHeight="1" x14ac:dyDescent="0.25">
      <c r="A56" s="231"/>
      <c r="B56" s="315" t="s">
        <v>929</v>
      </c>
      <c r="C56" s="315"/>
      <c r="D56" s="315"/>
      <c r="E56" s="315"/>
      <c r="F56" s="315"/>
      <c r="G56" s="315" t="s">
        <v>933</v>
      </c>
      <c r="H56" s="315"/>
      <c r="I56" s="315"/>
      <c r="J56" s="315"/>
      <c r="K56" s="315" t="s">
        <v>3</v>
      </c>
      <c r="L56" s="315"/>
      <c r="M56" s="315"/>
      <c r="N56" s="315"/>
      <c r="O56" s="315"/>
      <c r="P56" s="315"/>
    </row>
    <row r="57" spans="1:16" ht="135.94999999999999" customHeight="1" x14ac:dyDescent="0.25">
      <c r="A57" s="229" t="s">
        <v>61</v>
      </c>
      <c r="B57" s="316" t="s">
        <v>641</v>
      </c>
      <c r="C57" s="317"/>
      <c r="D57" s="317"/>
      <c r="E57" s="317"/>
      <c r="F57" s="317"/>
      <c r="G57" s="317" t="s">
        <v>657</v>
      </c>
      <c r="H57" s="317"/>
      <c r="I57" s="317"/>
      <c r="J57" s="317"/>
      <c r="K57" s="317" t="s">
        <v>955</v>
      </c>
      <c r="L57" s="317"/>
      <c r="M57" s="317"/>
      <c r="N57" s="317"/>
      <c r="O57" s="318">
        <f>ROUND((61900 + 15484 * (0.4 * 1 + 0.6 * (1 / 2))) * 1 * 0.52 * 1.56 * 0.6, 2)</f>
        <v>35403.43</v>
      </c>
      <c r="P57" s="317"/>
    </row>
    <row r="58" spans="1:16" x14ac:dyDescent="0.25">
      <c r="A58" s="230"/>
      <c r="B58" s="319" t="s">
        <v>50</v>
      </c>
      <c r="C58" s="319"/>
      <c r="D58" s="319"/>
      <c r="E58" s="319"/>
      <c r="F58" s="319"/>
      <c r="G58" s="319" t="s">
        <v>3</v>
      </c>
      <c r="H58" s="319"/>
      <c r="I58" s="319"/>
      <c r="J58" s="319"/>
      <c r="K58" s="319" t="s">
        <v>3</v>
      </c>
      <c r="L58" s="319"/>
      <c r="M58" s="319"/>
      <c r="N58" s="319"/>
      <c r="O58" s="319"/>
      <c r="P58" s="319"/>
    </row>
    <row r="59" spans="1:16" x14ac:dyDescent="0.25">
      <c r="A59" s="231"/>
      <c r="B59" s="315" t="s">
        <v>51</v>
      </c>
      <c r="C59" s="315"/>
      <c r="D59" s="315"/>
      <c r="E59" s="315"/>
      <c r="F59" s="315"/>
      <c r="G59" s="315" t="s">
        <v>52</v>
      </c>
      <c r="H59" s="315"/>
      <c r="I59" s="315"/>
      <c r="J59" s="315"/>
      <c r="K59" s="315" t="s">
        <v>3</v>
      </c>
      <c r="L59" s="315"/>
      <c r="M59" s="315"/>
      <c r="N59" s="315"/>
      <c r="O59" s="315"/>
      <c r="P59" s="315"/>
    </row>
    <row r="60" spans="1:16" ht="40.9" customHeight="1" x14ac:dyDescent="0.25">
      <c r="A60" s="231"/>
      <c r="B60" s="315" t="s">
        <v>929</v>
      </c>
      <c r="C60" s="315"/>
      <c r="D60" s="315"/>
      <c r="E60" s="315"/>
      <c r="F60" s="315"/>
      <c r="G60" s="315" t="s">
        <v>933</v>
      </c>
      <c r="H60" s="315"/>
      <c r="I60" s="315"/>
      <c r="J60" s="315"/>
      <c r="K60" s="315" t="s">
        <v>3</v>
      </c>
      <c r="L60" s="315"/>
      <c r="M60" s="315"/>
      <c r="N60" s="315"/>
      <c r="O60" s="315"/>
      <c r="P60" s="315"/>
    </row>
    <row r="61" spans="1:16" ht="95.25" customHeight="1" x14ac:dyDescent="0.25">
      <c r="A61" s="231"/>
      <c r="B61" s="315" t="s">
        <v>97</v>
      </c>
      <c r="C61" s="315"/>
      <c r="D61" s="315"/>
      <c r="E61" s="315"/>
      <c r="F61" s="315"/>
      <c r="G61" s="315" t="s">
        <v>658</v>
      </c>
      <c r="H61" s="315"/>
      <c r="I61" s="315"/>
      <c r="J61" s="315"/>
      <c r="K61" s="315" t="s">
        <v>3</v>
      </c>
      <c r="L61" s="315"/>
      <c r="M61" s="315"/>
      <c r="N61" s="315"/>
      <c r="O61" s="315"/>
      <c r="P61" s="315"/>
    </row>
    <row r="62" spans="1:16" x14ac:dyDescent="0.25">
      <c r="A62" s="313" t="s">
        <v>659</v>
      </c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</row>
    <row r="63" spans="1:16" ht="122.45" customHeight="1" x14ac:dyDescent="0.25">
      <c r="A63" s="229" t="s">
        <v>63</v>
      </c>
      <c r="B63" s="316" t="s">
        <v>641</v>
      </c>
      <c r="C63" s="317"/>
      <c r="D63" s="317"/>
      <c r="E63" s="317"/>
      <c r="F63" s="317"/>
      <c r="G63" s="317" t="s">
        <v>660</v>
      </c>
      <c r="H63" s="317"/>
      <c r="I63" s="317"/>
      <c r="J63" s="317"/>
      <c r="K63" s="317" t="s">
        <v>956</v>
      </c>
      <c r="L63" s="317"/>
      <c r="M63" s="317"/>
      <c r="N63" s="317"/>
      <c r="O63" s="318">
        <f>ROUND((61900 + 15484 * 2.005) * 1 * 1.56 * 0.6, 2)</f>
        <v>86996.91</v>
      </c>
      <c r="P63" s="317"/>
    </row>
    <row r="64" spans="1:16" x14ac:dyDescent="0.25">
      <c r="A64" s="230"/>
      <c r="B64" s="319" t="s">
        <v>50</v>
      </c>
      <c r="C64" s="319"/>
      <c r="D64" s="319"/>
      <c r="E64" s="319"/>
      <c r="F64" s="319"/>
      <c r="G64" s="319" t="s">
        <v>3</v>
      </c>
      <c r="H64" s="319"/>
      <c r="I64" s="319"/>
      <c r="J64" s="319"/>
      <c r="K64" s="319" t="s">
        <v>3</v>
      </c>
      <c r="L64" s="319"/>
      <c r="M64" s="319"/>
      <c r="N64" s="319"/>
      <c r="O64" s="319"/>
      <c r="P64" s="319"/>
    </row>
    <row r="65" spans="1:16" x14ac:dyDescent="0.25">
      <c r="A65" s="231"/>
      <c r="B65" s="315" t="s">
        <v>51</v>
      </c>
      <c r="C65" s="315"/>
      <c r="D65" s="315"/>
      <c r="E65" s="315"/>
      <c r="F65" s="315"/>
      <c r="G65" s="315" t="s">
        <v>52</v>
      </c>
      <c r="H65" s="315"/>
      <c r="I65" s="315"/>
      <c r="J65" s="315"/>
      <c r="K65" s="315" t="s">
        <v>3</v>
      </c>
      <c r="L65" s="315"/>
      <c r="M65" s="315"/>
      <c r="N65" s="315"/>
      <c r="O65" s="315"/>
      <c r="P65" s="315"/>
    </row>
    <row r="66" spans="1:16" ht="40.9" customHeight="1" x14ac:dyDescent="0.25">
      <c r="A66" s="231"/>
      <c r="B66" s="315" t="s">
        <v>929</v>
      </c>
      <c r="C66" s="315"/>
      <c r="D66" s="315"/>
      <c r="E66" s="315"/>
      <c r="F66" s="315"/>
      <c r="G66" s="315" t="s">
        <v>933</v>
      </c>
      <c r="H66" s="315"/>
      <c r="I66" s="315"/>
      <c r="J66" s="315"/>
      <c r="K66" s="315" t="s">
        <v>3</v>
      </c>
      <c r="L66" s="315"/>
      <c r="M66" s="315"/>
      <c r="N66" s="315"/>
      <c r="O66" s="315"/>
      <c r="P66" s="315"/>
    </row>
    <row r="67" spans="1:16" ht="122.45" customHeight="1" x14ac:dyDescent="0.25">
      <c r="A67" s="229" t="s">
        <v>73</v>
      </c>
      <c r="B67" s="316" t="s">
        <v>641</v>
      </c>
      <c r="C67" s="317"/>
      <c r="D67" s="317"/>
      <c r="E67" s="317"/>
      <c r="F67" s="317"/>
      <c r="G67" s="317" t="s">
        <v>661</v>
      </c>
      <c r="H67" s="317"/>
      <c r="I67" s="317"/>
      <c r="J67" s="317"/>
      <c r="K67" s="317" t="s">
        <v>957</v>
      </c>
      <c r="L67" s="317"/>
      <c r="M67" s="317"/>
      <c r="N67" s="317"/>
      <c r="O67" s="318">
        <f>ROUND((61900 + 15484 * 2.129) * 1 * 1.56 * 0.6, 2)</f>
        <v>88794.05</v>
      </c>
      <c r="P67" s="317"/>
    </row>
    <row r="68" spans="1:16" x14ac:dyDescent="0.25">
      <c r="A68" s="230"/>
      <c r="B68" s="319" t="s">
        <v>50</v>
      </c>
      <c r="C68" s="319"/>
      <c r="D68" s="319"/>
      <c r="E68" s="319"/>
      <c r="F68" s="319"/>
      <c r="G68" s="319" t="s">
        <v>3</v>
      </c>
      <c r="H68" s="319"/>
      <c r="I68" s="319"/>
      <c r="J68" s="319"/>
      <c r="K68" s="319" t="s">
        <v>3</v>
      </c>
      <c r="L68" s="319"/>
      <c r="M68" s="319"/>
      <c r="N68" s="319"/>
      <c r="O68" s="319"/>
      <c r="P68" s="319"/>
    </row>
    <row r="69" spans="1:16" x14ac:dyDescent="0.25">
      <c r="A69" s="231"/>
      <c r="B69" s="315" t="s">
        <v>51</v>
      </c>
      <c r="C69" s="315"/>
      <c r="D69" s="315"/>
      <c r="E69" s="315"/>
      <c r="F69" s="315"/>
      <c r="G69" s="315" t="s">
        <v>52</v>
      </c>
      <c r="H69" s="315"/>
      <c r="I69" s="315"/>
      <c r="J69" s="315"/>
      <c r="K69" s="315" t="s">
        <v>3</v>
      </c>
      <c r="L69" s="315"/>
      <c r="M69" s="315"/>
      <c r="N69" s="315"/>
      <c r="O69" s="315"/>
      <c r="P69" s="315"/>
    </row>
    <row r="70" spans="1:16" ht="40.9" customHeight="1" x14ac:dyDescent="0.25">
      <c r="A70" s="231"/>
      <c r="B70" s="315" t="s">
        <v>929</v>
      </c>
      <c r="C70" s="315"/>
      <c r="D70" s="315"/>
      <c r="E70" s="315"/>
      <c r="F70" s="315"/>
      <c r="G70" s="315" t="s">
        <v>933</v>
      </c>
      <c r="H70" s="315"/>
      <c r="I70" s="315"/>
      <c r="J70" s="315"/>
      <c r="K70" s="315" t="s">
        <v>3</v>
      </c>
      <c r="L70" s="315"/>
      <c r="M70" s="315"/>
      <c r="N70" s="315"/>
      <c r="O70" s="315"/>
      <c r="P70" s="315"/>
    </row>
    <row r="71" spans="1:16" x14ac:dyDescent="0.25">
      <c r="A71" s="313" t="s">
        <v>662</v>
      </c>
      <c r="B71" s="313"/>
      <c r="C71" s="313"/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</row>
    <row r="72" spans="1:16" ht="122.45" customHeight="1" x14ac:dyDescent="0.25">
      <c r="A72" s="229" t="s">
        <v>74</v>
      </c>
      <c r="B72" s="316" t="s">
        <v>652</v>
      </c>
      <c r="C72" s="317"/>
      <c r="D72" s="317"/>
      <c r="E72" s="317"/>
      <c r="F72" s="317"/>
      <c r="G72" s="317" t="s">
        <v>663</v>
      </c>
      <c r="H72" s="317"/>
      <c r="I72" s="317"/>
      <c r="J72" s="317"/>
      <c r="K72" s="317" t="s">
        <v>958</v>
      </c>
      <c r="L72" s="317"/>
      <c r="M72" s="317"/>
      <c r="N72" s="317"/>
      <c r="O72" s="318">
        <f>ROUND((88500 + 10167 * 6.116) * 1 * 1.56 * 0.6, 2)</f>
        <v>141037.76000000001</v>
      </c>
      <c r="P72" s="317"/>
    </row>
    <row r="73" spans="1:16" x14ac:dyDescent="0.25">
      <c r="A73" s="230"/>
      <c r="B73" s="319" t="s">
        <v>50</v>
      </c>
      <c r="C73" s="319"/>
      <c r="D73" s="319"/>
      <c r="E73" s="319"/>
      <c r="F73" s="319"/>
      <c r="G73" s="319" t="s">
        <v>3</v>
      </c>
      <c r="H73" s="319"/>
      <c r="I73" s="319"/>
      <c r="J73" s="319"/>
      <c r="K73" s="319" t="s">
        <v>3</v>
      </c>
      <c r="L73" s="319"/>
      <c r="M73" s="319"/>
      <c r="N73" s="319"/>
      <c r="O73" s="319"/>
      <c r="P73" s="319"/>
    </row>
    <row r="74" spans="1:16" x14ac:dyDescent="0.25">
      <c r="A74" s="231"/>
      <c r="B74" s="315" t="s">
        <v>51</v>
      </c>
      <c r="C74" s="315"/>
      <c r="D74" s="315"/>
      <c r="E74" s="315"/>
      <c r="F74" s="315"/>
      <c r="G74" s="315" t="s">
        <v>52</v>
      </c>
      <c r="H74" s="315"/>
      <c r="I74" s="315"/>
      <c r="J74" s="315"/>
      <c r="K74" s="315" t="s">
        <v>3</v>
      </c>
      <c r="L74" s="315"/>
      <c r="M74" s="315"/>
      <c r="N74" s="315"/>
      <c r="O74" s="315"/>
      <c r="P74" s="315"/>
    </row>
    <row r="75" spans="1:16" ht="40.9" customHeight="1" x14ac:dyDescent="0.25">
      <c r="A75" s="231"/>
      <c r="B75" s="315" t="s">
        <v>929</v>
      </c>
      <c r="C75" s="315"/>
      <c r="D75" s="315"/>
      <c r="E75" s="315"/>
      <c r="F75" s="315"/>
      <c r="G75" s="315" t="s">
        <v>933</v>
      </c>
      <c r="H75" s="315"/>
      <c r="I75" s="315"/>
      <c r="J75" s="315"/>
      <c r="K75" s="315" t="s">
        <v>3</v>
      </c>
      <c r="L75" s="315"/>
      <c r="M75" s="315"/>
      <c r="N75" s="315"/>
      <c r="O75" s="315"/>
      <c r="P75" s="315"/>
    </row>
    <row r="76" spans="1:16" ht="135.94999999999999" customHeight="1" x14ac:dyDescent="0.25">
      <c r="A76" s="229" t="s">
        <v>75</v>
      </c>
      <c r="B76" s="316" t="s">
        <v>641</v>
      </c>
      <c r="C76" s="317"/>
      <c r="D76" s="317"/>
      <c r="E76" s="317"/>
      <c r="F76" s="317"/>
      <c r="G76" s="317" t="s">
        <v>664</v>
      </c>
      <c r="H76" s="317"/>
      <c r="I76" s="317"/>
      <c r="J76" s="317"/>
      <c r="K76" s="317" t="s">
        <v>959</v>
      </c>
      <c r="L76" s="317"/>
      <c r="M76" s="317"/>
      <c r="N76" s="317"/>
      <c r="O76" s="318">
        <f>ROUND((61900 + 15484 * (0.4 * 1 + 0.6 * (1 / 2))) * 1 * 0.87 * 1.56 * 0.6, 2)</f>
        <v>59232.66</v>
      </c>
      <c r="P76" s="317"/>
    </row>
    <row r="77" spans="1:16" x14ac:dyDescent="0.25">
      <c r="A77" s="230"/>
      <c r="B77" s="319" t="s">
        <v>50</v>
      </c>
      <c r="C77" s="319"/>
      <c r="D77" s="319"/>
      <c r="E77" s="319"/>
      <c r="F77" s="319"/>
      <c r="G77" s="319" t="s">
        <v>3</v>
      </c>
      <c r="H77" s="319"/>
      <c r="I77" s="319"/>
      <c r="J77" s="319"/>
      <c r="K77" s="319" t="s">
        <v>3</v>
      </c>
      <c r="L77" s="319"/>
      <c r="M77" s="319"/>
      <c r="N77" s="319"/>
      <c r="O77" s="319"/>
      <c r="P77" s="319"/>
    </row>
    <row r="78" spans="1:16" x14ac:dyDescent="0.25">
      <c r="A78" s="231"/>
      <c r="B78" s="315" t="s">
        <v>51</v>
      </c>
      <c r="C78" s="315"/>
      <c r="D78" s="315"/>
      <c r="E78" s="315"/>
      <c r="F78" s="315"/>
      <c r="G78" s="315" t="s">
        <v>52</v>
      </c>
      <c r="H78" s="315"/>
      <c r="I78" s="315"/>
      <c r="J78" s="315"/>
      <c r="K78" s="315" t="s">
        <v>3</v>
      </c>
      <c r="L78" s="315"/>
      <c r="M78" s="315"/>
      <c r="N78" s="315"/>
      <c r="O78" s="315"/>
      <c r="P78" s="315"/>
    </row>
    <row r="79" spans="1:16" ht="40.9" customHeight="1" x14ac:dyDescent="0.25">
      <c r="A79" s="231"/>
      <c r="B79" s="315" t="s">
        <v>929</v>
      </c>
      <c r="C79" s="315"/>
      <c r="D79" s="315"/>
      <c r="E79" s="315"/>
      <c r="F79" s="315"/>
      <c r="G79" s="315" t="s">
        <v>933</v>
      </c>
      <c r="H79" s="315"/>
      <c r="I79" s="315"/>
      <c r="J79" s="315"/>
      <c r="K79" s="315" t="s">
        <v>3</v>
      </c>
      <c r="L79" s="315"/>
      <c r="M79" s="315"/>
      <c r="N79" s="315"/>
      <c r="O79" s="315"/>
      <c r="P79" s="315"/>
    </row>
    <row r="80" spans="1:16" ht="95.25" customHeight="1" x14ac:dyDescent="0.25">
      <c r="A80" s="231"/>
      <c r="B80" s="315" t="s">
        <v>97</v>
      </c>
      <c r="C80" s="315"/>
      <c r="D80" s="315"/>
      <c r="E80" s="315"/>
      <c r="F80" s="315"/>
      <c r="G80" s="315" t="s">
        <v>665</v>
      </c>
      <c r="H80" s="315"/>
      <c r="I80" s="315"/>
      <c r="J80" s="315"/>
      <c r="K80" s="315" t="s">
        <v>3</v>
      </c>
      <c r="L80" s="315"/>
      <c r="M80" s="315"/>
      <c r="N80" s="315"/>
      <c r="O80" s="315"/>
      <c r="P80" s="315"/>
    </row>
    <row r="81" spans="1:18" x14ac:dyDescent="0.25">
      <c r="A81" s="313" t="s">
        <v>666</v>
      </c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</row>
    <row r="82" spans="1:18" ht="122.45" customHeight="1" x14ac:dyDescent="0.25">
      <c r="A82" s="229" t="s">
        <v>76</v>
      </c>
      <c r="B82" s="316" t="s">
        <v>641</v>
      </c>
      <c r="C82" s="317"/>
      <c r="D82" s="317"/>
      <c r="E82" s="317"/>
      <c r="F82" s="317"/>
      <c r="G82" s="317" t="s">
        <v>667</v>
      </c>
      <c r="H82" s="317"/>
      <c r="I82" s="317"/>
      <c r="J82" s="317"/>
      <c r="K82" s="317" t="s">
        <v>960</v>
      </c>
      <c r="L82" s="317"/>
      <c r="M82" s="317"/>
      <c r="N82" s="317"/>
      <c r="O82" s="318">
        <f>ROUND((61900 + 15484 * 3.754) * 1 * 1.56 * 0.6, 2)</f>
        <v>112345.21</v>
      </c>
      <c r="P82" s="317"/>
    </row>
    <row r="83" spans="1:18" x14ac:dyDescent="0.25">
      <c r="A83" s="230"/>
      <c r="B83" s="319" t="s">
        <v>50</v>
      </c>
      <c r="C83" s="319"/>
      <c r="D83" s="319"/>
      <c r="E83" s="319"/>
      <c r="F83" s="319"/>
      <c r="G83" s="319" t="s">
        <v>3</v>
      </c>
      <c r="H83" s="319"/>
      <c r="I83" s="319"/>
      <c r="J83" s="319"/>
      <c r="K83" s="319" t="s">
        <v>3</v>
      </c>
      <c r="L83" s="319"/>
      <c r="M83" s="319"/>
      <c r="N83" s="319"/>
      <c r="O83" s="319"/>
      <c r="P83" s="319"/>
    </row>
    <row r="84" spans="1:18" x14ac:dyDescent="0.25">
      <c r="A84" s="231"/>
      <c r="B84" s="315" t="s">
        <v>51</v>
      </c>
      <c r="C84" s="315"/>
      <c r="D84" s="315"/>
      <c r="E84" s="315"/>
      <c r="F84" s="315"/>
      <c r="G84" s="315" t="s">
        <v>52</v>
      </c>
      <c r="H84" s="315"/>
      <c r="I84" s="315"/>
      <c r="J84" s="315"/>
      <c r="K84" s="315" t="s">
        <v>3</v>
      </c>
      <c r="L84" s="315"/>
      <c r="M84" s="315"/>
      <c r="N84" s="315"/>
      <c r="O84" s="315"/>
      <c r="P84" s="315"/>
    </row>
    <row r="85" spans="1:18" ht="40.9" customHeight="1" x14ac:dyDescent="0.25">
      <c r="A85" s="231"/>
      <c r="B85" s="315" t="s">
        <v>929</v>
      </c>
      <c r="C85" s="315"/>
      <c r="D85" s="315"/>
      <c r="E85" s="315"/>
      <c r="F85" s="315"/>
      <c r="G85" s="315" t="s">
        <v>933</v>
      </c>
      <c r="H85" s="315"/>
      <c r="I85" s="315"/>
      <c r="J85" s="315"/>
      <c r="K85" s="315" t="s">
        <v>3</v>
      </c>
      <c r="L85" s="315"/>
      <c r="M85" s="315"/>
      <c r="N85" s="315"/>
      <c r="O85" s="315"/>
      <c r="P85" s="315"/>
    </row>
    <row r="86" spans="1:18" ht="135.94999999999999" customHeight="1" x14ac:dyDescent="0.25">
      <c r="A86" s="229" t="s">
        <v>77</v>
      </c>
      <c r="B86" s="316" t="s">
        <v>641</v>
      </c>
      <c r="C86" s="317"/>
      <c r="D86" s="317"/>
      <c r="E86" s="317"/>
      <c r="F86" s="317"/>
      <c r="G86" s="317" t="s">
        <v>668</v>
      </c>
      <c r="H86" s="317"/>
      <c r="I86" s="317"/>
      <c r="J86" s="317"/>
      <c r="K86" s="317" t="s">
        <v>961</v>
      </c>
      <c r="L86" s="317"/>
      <c r="M86" s="317"/>
      <c r="N86" s="317"/>
      <c r="O86" s="318">
        <f>ROUND((61900 + 15484 * (0.4 * 1 + 0.6 * (1 / 2))) * 1 * 0.27 * 1.56 * 0.6, 2)</f>
        <v>18382.55</v>
      </c>
      <c r="P86" s="317"/>
    </row>
    <row r="87" spans="1:18" x14ac:dyDescent="0.25">
      <c r="A87" s="230"/>
      <c r="B87" s="319" t="s">
        <v>50</v>
      </c>
      <c r="C87" s="319"/>
      <c r="D87" s="319"/>
      <c r="E87" s="319"/>
      <c r="F87" s="319"/>
      <c r="G87" s="319" t="s">
        <v>3</v>
      </c>
      <c r="H87" s="319"/>
      <c r="I87" s="319"/>
      <c r="J87" s="319"/>
      <c r="K87" s="319" t="s">
        <v>3</v>
      </c>
      <c r="L87" s="319"/>
      <c r="M87" s="319"/>
      <c r="N87" s="319"/>
      <c r="O87" s="319"/>
      <c r="P87" s="319"/>
    </row>
    <row r="88" spans="1:18" x14ac:dyDescent="0.25">
      <c r="A88" s="231"/>
      <c r="B88" s="315" t="s">
        <v>51</v>
      </c>
      <c r="C88" s="315"/>
      <c r="D88" s="315"/>
      <c r="E88" s="315"/>
      <c r="F88" s="315"/>
      <c r="G88" s="315" t="s">
        <v>52</v>
      </c>
      <c r="H88" s="315"/>
      <c r="I88" s="315"/>
      <c r="J88" s="315"/>
      <c r="K88" s="315" t="s">
        <v>3</v>
      </c>
      <c r="L88" s="315"/>
      <c r="M88" s="315"/>
      <c r="N88" s="315"/>
      <c r="O88" s="315"/>
      <c r="P88" s="315"/>
    </row>
    <row r="89" spans="1:18" ht="40.9" customHeight="1" x14ac:dyDescent="0.25">
      <c r="A89" s="231"/>
      <c r="B89" s="315" t="s">
        <v>929</v>
      </c>
      <c r="C89" s="315"/>
      <c r="D89" s="315"/>
      <c r="E89" s="315"/>
      <c r="F89" s="315"/>
      <c r="G89" s="315" t="s">
        <v>933</v>
      </c>
      <c r="H89" s="315"/>
      <c r="I89" s="315"/>
      <c r="J89" s="315"/>
      <c r="K89" s="315" t="s">
        <v>3</v>
      </c>
      <c r="L89" s="315"/>
      <c r="M89" s="315"/>
      <c r="N89" s="315"/>
      <c r="O89" s="315"/>
      <c r="P89" s="315"/>
    </row>
    <row r="90" spans="1:18" ht="95.25" customHeight="1" x14ac:dyDescent="0.25">
      <c r="A90" s="231"/>
      <c r="B90" s="315" t="s">
        <v>97</v>
      </c>
      <c r="C90" s="315"/>
      <c r="D90" s="315"/>
      <c r="E90" s="315"/>
      <c r="F90" s="315"/>
      <c r="G90" s="315" t="s">
        <v>669</v>
      </c>
      <c r="H90" s="315"/>
      <c r="I90" s="315"/>
      <c r="J90" s="315"/>
      <c r="K90" s="315" t="s">
        <v>3</v>
      </c>
      <c r="L90" s="315"/>
      <c r="M90" s="315"/>
      <c r="N90" s="315"/>
      <c r="O90" s="315"/>
      <c r="P90" s="315"/>
    </row>
    <row r="91" spans="1:18" x14ac:dyDescent="0.25">
      <c r="A91" s="232" t="s">
        <v>670</v>
      </c>
      <c r="B91" s="311" t="s">
        <v>57</v>
      </c>
      <c r="C91" s="311"/>
      <c r="D91" s="311"/>
      <c r="E91" s="311"/>
      <c r="F91" s="311"/>
      <c r="G91" s="311"/>
      <c r="H91" s="311"/>
      <c r="I91" s="311"/>
      <c r="J91" s="311"/>
      <c r="K91" s="311" t="s">
        <v>3</v>
      </c>
      <c r="L91" s="311"/>
      <c r="M91" s="311"/>
      <c r="N91" s="311"/>
      <c r="O91" s="312">
        <f>ROUND(SUM($O$16:$O$86),2)</f>
        <v>1279655.56</v>
      </c>
      <c r="P91" s="311"/>
    </row>
    <row r="92" spans="1:18" ht="108.75" customHeight="1" x14ac:dyDescent="0.25">
      <c r="A92" s="232" t="s">
        <v>671</v>
      </c>
      <c r="B92" s="313" t="s">
        <v>59</v>
      </c>
      <c r="C92" s="313"/>
      <c r="D92" s="313"/>
      <c r="E92" s="313"/>
      <c r="F92" s="313"/>
      <c r="G92" s="313" t="s">
        <v>60</v>
      </c>
      <c r="H92" s="313"/>
      <c r="I92" s="313"/>
      <c r="J92" s="313"/>
      <c r="K92" s="313" t="s">
        <v>672</v>
      </c>
      <c r="L92" s="313"/>
      <c r="M92" s="313"/>
      <c r="N92" s="313"/>
      <c r="O92" s="314">
        <f>ROUND(($O$91) * 1  * 0.8,2)</f>
        <v>1023724.45</v>
      </c>
      <c r="P92" s="313"/>
    </row>
    <row r="93" spans="1:18" ht="68.099999999999994" customHeight="1" x14ac:dyDescent="0.25">
      <c r="A93" s="232" t="s">
        <v>673</v>
      </c>
      <c r="B93" s="313" t="s">
        <v>59</v>
      </c>
      <c r="C93" s="313"/>
      <c r="D93" s="313"/>
      <c r="E93" s="313"/>
      <c r="F93" s="313"/>
      <c r="G93" s="313" t="s">
        <v>62</v>
      </c>
      <c r="H93" s="313"/>
      <c r="I93" s="313"/>
      <c r="J93" s="313"/>
      <c r="K93" s="313" t="s">
        <v>674</v>
      </c>
      <c r="L93" s="313"/>
      <c r="M93" s="313"/>
      <c r="N93" s="313"/>
      <c r="O93" s="314">
        <f>ROUND(($O$92) * 1  * 1.08,2)</f>
        <v>1105622.4099999999</v>
      </c>
      <c r="P93" s="313"/>
    </row>
    <row r="94" spans="1:18" x14ac:dyDescent="0.25">
      <c r="A94" s="232" t="s">
        <v>675</v>
      </c>
      <c r="B94" s="311" t="s">
        <v>64</v>
      </c>
      <c r="C94" s="311"/>
      <c r="D94" s="311"/>
      <c r="E94" s="311"/>
      <c r="F94" s="311"/>
      <c r="G94" s="311"/>
      <c r="H94" s="311"/>
      <c r="I94" s="311"/>
      <c r="J94" s="311"/>
      <c r="K94" s="311" t="s">
        <v>3</v>
      </c>
      <c r="L94" s="311"/>
      <c r="M94" s="311"/>
      <c r="N94" s="311"/>
      <c r="O94" s="312">
        <f>ROUND(($O$93),2)</f>
        <v>1105622.4099999999</v>
      </c>
      <c r="P94" s="311"/>
      <c r="R94" s="234">
        <f>O94</f>
        <v>1105622.4099999999</v>
      </c>
    </row>
  </sheetData>
  <mergeCells count="318">
    <mergeCell ref="A1:D1"/>
    <mergeCell ref="E1:P1"/>
    <mergeCell ref="A3:P3"/>
    <mergeCell ref="A4:P4"/>
    <mergeCell ref="A6:E6"/>
    <mergeCell ref="F6:P6"/>
    <mergeCell ref="B13:F13"/>
    <mergeCell ref="G13:J13"/>
    <mergeCell ref="K13:N13"/>
    <mergeCell ref="O13:P13"/>
    <mergeCell ref="A14:P14"/>
    <mergeCell ref="A15:P15"/>
    <mergeCell ref="A8:E8"/>
    <mergeCell ref="F8:P8"/>
    <mergeCell ref="A10:E10"/>
    <mergeCell ref="F10:P10"/>
    <mergeCell ref="B12:F12"/>
    <mergeCell ref="G12:J12"/>
    <mergeCell ref="K12:N12"/>
    <mergeCell ref="O12:P12"/>
    <mergeCell ref="B18:F18"/>
    <mergeCell ref="G18:J18"/>
    <mergeCell ref="K18:N18"/>
    <mergeCell ref="O18:P18"/>
    <mergeCell ref="B19:F19"/>
    <mergeCell ref="G19:J19"/>
    <mergeCell ref="K19:N19"/>
    <mergeCell ref="O19:P19"/>
    <mergeCell ref="B16:F16"/>
    <mergeCell ref="G16:J16"/>
    <mergeCell ref="K16:N16"/>
    <mergeCell ref="O16:P16"/>
    <mergeCell ref="B17:F17"/>
    <mergeCell ref="G17:J17"/>
    <mergeCell ref="K17:N17"/>
    <mergeCell ref="O17:P17"/>
    <mergeCell ref="B22:F22"/>
    <mergeCell ref="G22:J22"/>
    <mergeCell ref="K22:N22"/>
    <mergeCell ref="O22:P22"/>
    <mergeCell ref="B23:F23"/>
    <mergeCell ref="G23:J23"/>
    <mergeCell ref="K23:N23"/>
    <mergeCell ref="O23:P23"/>
    <mergeCell ref="B20:F20"/>
    <mergeCell ref="G20:J20"/>
    <mergeCell ref="K20:N20"/>
    <mergeCell ref="O20:P20"/>
    <mergeCell ref="B21:F21"/>
    <mergeCell ref="G21:J21"/>
    <mergeCell ref="K21:N21"/>
    <mergeCell ref="O21:P21"/>
    <mergeCell ref="B27:F27"/>
    <mergeCell ref="G27:J27"/>
    <mergeCell ref="K27:N27"/>
    <mergeCell ref="O27:P27"/>
    <mergeCell ref="B28:F28"/>
    <mergeCell ref="G28:J28"/>
    <mergeCell ref="K28:N28"/>
    <mergeCell ref="O28:P28"/>
    <mergeCell ref="A24:P24"/>
    <mergeCell ref="B25:F25"/>
    <mergeCell ref="G25:J25"/>
    <mergeCell ref="K25:N25"/>
    <mergeCell ref="O25:P25"/>
    <mergeCell ref="B26:F26"/>
    <mergeCell ref="G26:J26"/>
    <mergeCell ref="K26:N26"/>
    <mergeCell ref="O26:P26"/>
    <mergeCell ref="B31:F31"/>
    <mergeCell ref="G31:J31"/>
    <mergeCell ref="K31:N31"/>
    <mergeCell ref="O31:P31"/>
    <mergeCell ref="B32:F32"/>
    <mergeCell ref="G32:J32"/>
    <mergeCell ref="K32:N32"/>
    <mergeCell ref="O32:P32"/>
    <mergeCell ref="B29:F29"/>
    <mergeCell ref="G29:J29"/>
    <mergeCell ref="K29:N29"/>
    <mergeCell ref="O29:P29"/>
    <mergeCell ref="B30:F30"/>
    <mergeCell ref="G30:J30"/>
    <mergeCell ref="K30:N30"/>
    <mergeCell ref="O30:P30"/>
    <mergeCell ref="B36:F36"/>
    <mergeCell ref="G36:J36"/>
    <mergeCell ref="K36:N36"/>
    <mergeCell ref="O36:P36"/>
    <mergeCell ref="B37:F37"/>
    <mergeCell ref="G37:J37"/>
    <mergeCell ref="K37:N37"/>
    <mergeCell ref="O37:P37"/>
    <mergeCell ref="A33:P33"/>
    <mergeCell ref="B34:F34"/>
    <mergeCell ref="G34:J34"/>
    <mergeCell ref="K34:N34"/>
    <mergeCell ref="O34:P34"/>
    <mergeCell ref="B35:F35"/>
    <mergeCell ref="G35:J35"/>
    <mergeCell ref="K35:N35"/>
    <mergeCell ref="O35:P35"/>
    <mergeCell ref="B40:F40"/>
    <mergeCell ref="G40:J40"/>
    <mergeCell ref="K40:N40"/>
    <mergeCell ref="O40:P40"/>
    <mergeCell ref="B41:F41"/>
    <mergeCell ref="G41:J41"/>
    <mergeCell ref="K41:N41"/>
    <mergeCell ref="O41:P41"/>
    <mergeCell ref="B38:F38"/>
    <mergeCell ref="G38:J38"/>
    <mergeCell ref="K38:N38"/>
    <mergeCell ref="O38:P38"/>
    <mergeCell ref="B39:F39"/>
    <mergeCell ref="G39:J39"/>
    <mergeCell ref="K39:N39"/>
    <mergeCell ref="O39:P39"/>
    <mergeCell ref="B42:F42"/>
    <mergeCell ref="G42:J42"/>
    <mergeCell ref="K42:N42"/>
    <mergeCell ref="O42:P42"/>
    <mergeCell ref="A43:P43"/>
    <mergeCell ref="B44:F44"/>
    <mergeCell ref="G44:J44"/>
    <mergeCell ref="K44:N44"/>
    <mergeCell ref="O44:P44"/>
    <mergeCell ref="B47:F47"/>
    <mergeCell ref="G47:J47"/>
    <mergeCell ref="K47:N47"/>
    <mergeCell ref="O47:P47"/>
    <mergeCell ref="B48:F48"/>
    <mergeCell ref="G48:J48"/>
    <mergeCell ref="K48:N48"/>
    <mergeCell ref="O48:P48"/>
    <mergeCell ref="B45:F45"/>
    <mergeCell ref="G45:J45"/>
    <mergeCell ref="K45:N45"/>
    <mergeCell ref="O45:P45"/>
    <mergeCell ref="B46:F46"/>
    <mergeCell ref="G46:J46"/>
    <mergeCell ref="K46:N46"/>
    <mergeCell ref="O46:P46"/>
    <mergeCell ref="B51:F51"/>
    <mergeCell ref="G51:J51"/>
    <mergeCell ref="K51:N51"/>
    <mergeCell ref="O51:P51"/>
    <mergeCell ref="B52:F52"/>
    <mergeCell ref="G52:J52"/>
    <mergeCell ref="K52:N52"/>
    <mergeCell ref="O52:P52"/>
    <mergeCell ref="B49:F49"/>
    <mergeCell ref="G49:J49"/>
    <mergeCell ref="K49:N49"/>
    <mergeCell ref="O49:P49"/>
    <mergeCell ref="B50:F50"/>
    <mergeCell ref="G50:J50"/>
    <mergeCell ref="K50:N50"/>
    <mergeCell ref="O50:P50"/>
    <mergeCell ref="B55:F55"/>
    <mergeCell ref="G55:J55"/>
    <mergeCell ref="K55:N55"/>
    <mergeCell ref="O55:P55"/>
    <mergeCell ref="B56:F56"/>
    <mergeCell ref="G56:J56"/>
    <mergeCell ref="K56:N56"/>
    <mergeCell ref="O56:P56"/>
    <mergeCell ref="B53:F53"/>
    <mergeCell ref="G53:J53"/>
    <mergeCell ref="K53:N53"/>
    <mergeCell ref="O53:P53"/>
    <mergeCell ref="B54:F54"/>
    <mergeCell ref="G54:J54"/>
    <mergeCell ref="K54:N54"/>
    <mergeCell ref="O54:P54"/>
    <mergeCell ref="B59:F59"/>
    <mergeCell ref="G59:J59"/>
    <mergeCell ref="K59:N59"/>
    <mergeCell ref="O59:P59"/>
    <mergeCell ref="B60:F60"/>
    <mergeCell ref="G60:J60"/>
    <mergeCell ref="K60:N60"/>
    <mergeCell ref="O60:P60"/>
    <mergeCell ref="B57:F57"/>
    <mergeCell ref="G57:J57"/>
    <mergeCell ref="K57:N57"/>
    <mergeCell ref="O57:P57"/>
    <mergeCell ref="B58:F58"/>
    <mergeCell ref="G58:J58"/>
    <mergeCell ref="K58:N58"/>
    <mergeCell ref="O58:P58"/>
    <mergeCell ref="B64:F64"/>
    <mergeCell ref="G64:J64"/>
    <mergeCell ref="K64:N64"/>
    <mergeCell ref="O64:P64"/>
    <mergeCell ref="B65:F65"/>
    <mergeCell ref="G65:J65"/>
    <mergeCell ref="K65:N65"/>
    <mergeCell ref="O65:P65"/>
    <mergeCell ref="B61:F61"/>
    <mergeCell ref="G61:J61"/>
    <mergeCell ref="K61:N61"/>
    <mergeCell ref="O61:P61"/>
    <mergeCell ref="A62:P62"/>
    <mergeCell ref="B63:F63"/>
    <mergeCell ref="G63:J63"/>
    <mergeCell ref="K63:N63"/>
    <mergeCell ref="O63:P63"/>
    <mergeCell ref="B68:F68"/>
    <mergeCell ref="G68:J68"/>
    <mergeCell ref="K68:N68"/>
    <mergeCell ref="O68:P68"/>
    <mergeCell ref="B69:F69"/>
    <mergeCell ref="G69:J69"/>
    <mergeCell ref="K69:N69"/>
    <mergeCell ref="O69:P69"/>
    <mergeCell ref="B66:F66"/>
    <mergeCell ref="G66:J66"/>
    <mergeCell ref="K66:N66"/>
    <mergeCell ref="O66:P66"/>
    <mergeCell ref="B67:F67"/>
    <mergeCell ref="G67:J67"/>
    <mergeCell ref="K67:N67"/>
    <mergeCell ref="O67:P67"/>
    <mergeCell ref="B70:F70"/>
    <mergeCell ref="G70:J70"/>
    <mergeCell ref="K70:N70"/>
    <mergeCell ref="O70:P70"/>
    <mergeCell ref="A71:P71"/>
    <mergeCell ref="B72:F72"/>
    <mergeCell ref="G72:J72"/>
    <mergeCell ref="K72:N72"/>
    <mergeCell ref="O72:P72"/>
    <mergeCell ref="B75:F75"/>
    <mergeCell ref="G75:J75"/>
    <mergeCell ref="K75:N75"/>
    <mergeCell ref="O75:P75"/>
    <mergeCell ref="B76:F76"/>
    <mergeCell ref="G76:J76"/>
    <mergeCell ref="K76:N76"/>
    <mergeCell ref="O76:P76"/>
    <mergeCell ref="B73:F73"/>
    <mergeCell ref="G73:J73"/>
    <mergeCell ref="K73:N73"/>
    <mergeCell ref="O73:P73"/>
    <mergeCell ref="B74:F74"/>
    <mergeCell ref="G74:J74"/>
    <mergeCell ref="K74:N74"/>
    <mergeCell ref="O74:P74"/>
    <mergeCell ref="B79:F79"/>
    <mergeCell ref="G79:J79"/>
    <mergeCell ref="K79:N79"/>
    <mergeCell ref="O79:P79"/>
    <mergeCell ref="B80:F80"/>
    <mergeCell ref="G80:J80"/>
    <mergeCell ref="K80:N80"/>
    <mergeCell ref="O80:P80"/>
    <mergeCell ref="B77:F77"/>
    <mergeCell ref="G77:J77"/>
    <mergeCell ref="K77:N77"/>
    <mergeCell ref="O77:P77"/>
    <mergeCell ref="B78:F78"/>
    <mergeCell ref="G78:J78"/>
    <mergeCell ref="K78:N78"/>
    <mergeCell ref="O78:P78"/>
    <mergeCell ref="A81:P81"/>
    <mergeCell ref="B82:F82"/>
    <mergeCell ref="G82:J82"/>
    <mergeCell ref="K82:N82"/>
    <mergeCell ref="O82:P82"/>
    <mergeCell ref="B83:F83"/>
    <mergeCell ref="G83:J83"/>
    <mergeCell ref="K83:N83"/>
    <mergeCell ref="O83:P83"/>
    <mergeCell ref="B86:F86"/>
    <mergeCell ref="G86:J86"/>
    <mergeCell ref="K86:N86"/>
    <mergeCell ref="O86:P86"/>
    <mergeCell ref="B87:F87"/>
    <mergeCell ref="G87:J87"/>
    <mergeCell ref="K87:N87"/>
    <mergeCell ref="O87:P87"/>
    <mergeCell ref="B84:F84"/>
    <mergeCell ref="G84:J84"/>
    <mergeCell ref="K84:N84"/>
    <mergeCell ref="O84:P84"/>
    <mergeCell ref="B85:F85"/>
    <mergeCell ref="G85:J85"/>
    <mergeCell ref="K85:N85"/>
    <mergeCell ref="O85:P85"/>
    <mergeCell ref="B90:F90"/>
    <mergeCell ref="G90:J90"/>
    <mergeCell ref="K90:N90"/>
    <mergeCell ref="O90:P90"/>
    <mergeCell ref="B91:F91"/>
    <mergeCell ref="G91:J91"/>
    <mergeCell ref="K91:N91"/>
    <mergeCell ref="O91:P91"/>
    <mergeCell ref="B88:F88"/>
    <mergeCell ref="G88:J88"/>
    <mergeCell ref="K88:N88"/>
    <mergeCell ref="O88:P88"/>
    <mergeCell ref="B89:F89"/>
    <mergeCell ref="G89:J89"/>
    <mergeCell ref="K89:N89"/>
    <mergeCell ref="O89:P89"/>
    <mergeCell ref="B94:F94"/>
    <mergeCell ref="G94:J94"/>
    <mergeCell ref="K94:N94"/>
    <mergeCell ref="O94:P94"/>
    <mergeCell ref="B92:F92"/>
    <mergeCell ref="G92:J92"/>
    <mergeCell ref="K92:N92"/>
    <mergeCell ref="O92:P92"/>
    <mergeCell ref="B93:F93"/>
    <mergeCell ref="G93:J93"/>
    <mergeCell ref="K93:N93"/>
    <mergeCell ref="O93:P93"/>
  </mergeCells>
  <pageMargins left="0.4" right="0.4" top="0.75" bottom="0.75" header="0.3" footer="0.3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theme="0"/>
  </sheetPr>
  <dimension ref="A1:G37"/>
  <sheetViews>
    <sheetView zoomScale="85" zoomScaleNormal="85" workbookViewId="0">
      <selection activeCell="J32" sqref="J32"/>
    </sheetView>
  </sheetViews>
  <sheetFormatPr defaultColWidth="11.5703125" defaultRowHeight="12.75" x14ac:dyDescent="0.2"/>
  <cols>
    <col min="1" max="1" width="4.7109375" style="236" customWidth="1"/>
    <col min="2" max="2" width="22.85546875" style="236" customWidth="1"/>
    <col min="3" max="3" width="13.140625" style="236" customWidth="1"/>
    <col min="4" max="4" width="12.85546875" style="236" customWidth="1"/>
    <col min="5" max="5" width="14.28515625" style="236" customWidth="1"/>
    <col min="6" max="6" width="15.28515625" style="264" customWidth="1"/>
    <col min="7" max="7" width="16.28515625" style="264" customWidth="1"/>
    <col min="8" max="256" width="11.5703125" style="264"/>
    <col min="257" max="257" width="4.7109375" style="264" customWidth="1"/>
    <col min="258" max="258" width="20.42578125" style="264" customWidth="1"/>
    <col min="259" max="259" width="13.140625" style="264" customWidth="1"/>
    <col min="260" max="260" width="12.85546875" style="264" customWidth="1"/>
    <col min="261" max="261" width="14.28515625" style="264" customWidth="1"/>
    <col min="262" max="262" width="15.28515625" style="264" customWidth="1"/>
    <col min="263" max="263" width="16.28515625" style="264" customWidth="1"/>
    <col min="264" max="512" width="11.5703125" style="264"/>
    <col min="513" max="513" width="4.7109375" style="264" customWidth="1"/>
    <col min="514" max="514" width="20.42578125" style="264" customWidth="1"/>
    <col min="515" max="515" width="13.140625" style="264" customWidth="1"/>
    <col min="516" max="516" width="12.85546875" style="264" customWidth="1"/>
    <col min="517" max="517" width="14.28515625" style="264" customWidth="1"/>
    <col min="518" max="518" width="15.28515625" style="264" customWidth="1"/>
    <col min="519" max="519" width="16.28515625" style="264" customWidth="1"/>
    <col min="520" max="768" width="11.5703125" style="264"/>
    <col min="769" max="769" width="4.7109375" style="264" customWidth="1"/>
    <col min="770" max="770" width="20.42578125" style="264" customWidth="1"/>
    <col min="771" max="771" width="13.140625" style="264" customWidth="1"/>
    <col min="772" max="772" width="12.85546875" style="264" customWidth="1"/>
    <col min="773" max="773" width="14.28515625" style="264" customWidth="1"/>
    <col min="774" max="774" width="15.28515625" style="264" customWidth="1"/>
    <col min="775" max="775" width="16.28515625" style="264" customWidth="1"/>
    <col min="776" max="1024" width="11.5703125" style="264"/>
    <col min="1025" max="1025" width="4.7109375" style="264" customWidth="1"/>
    <col min="1026" max="1026" width="20.42578125" style="264" customWidth="1"/>
    <col min="1027" max="1027" width="13.140625" style="264" customWidth="1"/>
    <col min="1028" max="1028" width="12.85546875" style="264" customWidth="1"/>
    <col min="1029" max="1029" width="14.28515625" style="264" customWidth="1"/>
    <col min="1030" max="1030" width="15.28515625" style="264" customWidth="1"/>
    <col min="1031" max="1031" width="16.28515625" style="264" customWidth="1"/>
    <col min="1032" max="1280" width="11.5703125" style="264"/>
    <col min="1281" max="1281" width="4.7109375" style="264" customWidth="1"/>
    <col min="1282" max="1282" width="20.42578125" style="264" customWidth="1"/>
    <col min="1283" max="1283" width="13.140625" style="264" customWidth="1"/>
    <col min="1284" max="1284" width="12.85546875" style="264" customWidth="1"/>
    <col min="1285" max="1285" width="14.28515625" style="264" customWidth="1"/>
    <col min="1286" max="1286" width="15.28515625" style="264" customWidth="1"/>
    <col min="1287" max="1287" width="16.28515625" style="264" customWidth="1"/>
    <col min="1288" max="1536" width="11.5703125" style="264"/>
    <col min="1537" max="1537" width="4.7109375" style="264" customWidth="1"/>
    <col min="1538" max="1538" width="20.42578125" style="264" customWidth="1"/>
    <col min="1539" max="1539" width="13.140625" style="264" customWidth="1"/>
    <col min="1540" max="1540" width="12.85546875" style="264" customWidth="1"/>
    <col min="1541" max="1541" width="14.28515625" style="264" customWidth="1"/>
    <col min="1542" max="1542" width="15.28515625" style="264" customWidth="1"/>
    <col min="1543" max="1543" width="16.28515625" style="264" customWidth="1"/>
    <col min="1544" max="1792" width="11.5703125" style="264"/>
    <col min="1793" max="1793" width="4.7109375" style="264" customWidth="1"/>
    <col min="1794" max="1794" width="20.42578125" style="264" customWidth="1"/>
    <col min="1795" max="1795" width="13.140625" style="264" customWidth="1"/>
    <col min="1796" max="1796" width="12.85546875" style="264" customWidth="1"/>
    <col min="1797" max="1797" width="14.28515625" style="264" customWidth="1"/>
    <col min="1798" max="1798" width="15.28515625" style="264" customWidth="1"/>
    <col min="1799" max="1799" width="16.28515625" style="264" customWidth="1"/>
    <col min="1800" max="2048" width="11.5703125" style="264"/>
    <col min="2049" max="2049" width="4.7109375" style="264" customWidth="1"/>
    <col min="2050" max="2050" width="20.42578125" style="264" customWidth="1"/>
    <col min="2051" max="2051" width="13.140625" style="264" customWidth="1"/>
    <col min="2052" max="2052" width="12.85546875" style="264" customWidth="1"/>
    <col min="2053" max="2053" width="14.28515625" style="264" customWidth="1"/>
    <col min="2054" max="2054" width="15.28515625" style="264" customWidth="1"/>
    <col min="2055" max="2055" width="16.28515625" style="264" customWidth="1"/>
    <col min="2056" max="2304" width="11.5703125" style="264"/>
    <col min="2305" max="2305" width="4.7109375" style="264" customWidth="1"/>
    <col min="2306" max="2306" width="20.42578125" style="264" customWidth="1"/>
    <col min="2307" max="2307" width="13.140625" style="264" customWidth="1"/>
    <col min="2308" max="2308" width="12.85546875" style="264" customWidth="1"/>
    <col min="2309" max="2309" width="14.28515625" style="264" customWidth="1"/>
    <col min="2310" max="2310" width="15.28515625" style="264" customWidth="1"/>
    <col min="2311" max="2311" width="16.28515625" style="264" customWidth="1"/>
    <col min="2312" max="2560" width="11.5703125" style="264"/>
    <col min="2561" max="2561" width="4.7109375" style="264" customWidth="1"/>
    <col min="2562" max="2562" width="20.42578125" style="264" customWidth="1"/>
    <col min="2563" max="2563" width="13.140625" style="264" customWidth="1"/>
    <col min="2564" max="2564" width="12.85546875" style="264" customWidth="1"/>
    <col min="2565" max="2565" width="14.28515625" style="264" customWidth="1"/>
    <col min="2566" max="2566" width="15.28515625" style="264" customWidth="1"/>
    <col min="2567" max="2567" width="16.28515625" style="264" customWidth="1"/>
    <col min="2568" max="2816" width="11.5703125" style="264"/>
    <col min="2817" max="2817" width="4.7109375" style="264" customWidth="1"/>
    <col min="2818" max="2818" width="20.42578125" style="264" customWidth="1"/>
    <col min="2819" max="2819" width="13.140625" style="264" customWidth="1"/>
    <col min="2820" max="2820" width="12.85546875" style="264" customWidth="1"/>
    <col min="2821" max="2821" width="14.28515625" style="264" customWidth="1"/>
    <col min="2822" max="2822" width="15.28515625" style="264" customWidth="1"/>
    <col min="2823" max="2823" width="16.28515625" style="264" customWidth="1"/>
    <col min="2824" max="3072" width="11.5703125" style="264"/>
    <col min="3073" max="3073" width="4.7109375" style="264" customWidth="1"/>
    <col min="3074" max="3074" width="20.42578125" style="264" customWidth="1"/>
    <col min="3075" max="3075" width="13.140625" style="264" customWidth="1"/>
    <col min="3076" max="3076" width="12.85546875" style="264" customWidth="1"/>
    <col min="3077" max="3077" width="14.28515625" style="264" customWidth="1"/>
    <col min="3078" max="3078" width="15.28515625" style="264" customWidth="1"/>
    <col min="3079" max="3079" width="16.28515625" style="264" customWidth="1"/>
    <col min="3080" max="3328" width="11.5703125" style="264"/>
    <col min="3329" max="3329" width="4.7109375" style="264" customWidth="1"/>
    <col min="3330" max="3330" width="20.42578125" style="264" customWidth="1"/>
    <col min="3331" max="3331" width="13.140625" style="264" customWidth="1"/>
    <col min="3332" max="3332" width="12.85546875" style="264" customWidth="1"/>
    <col min="3333" max="3333" width="14.28515625" style="264" customWidth="1"/>
    <col min="3334" max="3334" width="15.28515625" style="264" customWidth="1"/>
    <col min="3335" max="3335" width="16.28515625" style="264" customWidth="1"/>
    <col min="3336" max="3584" width="11.5703125" style="264"/>
    <col min="3585" max="3585" width="4.7109375" style="264" customWidth="1"/>
    <col min="3586" max="3586" width="20.42578125" style="264" customWidth="1"/>
    <col min="3587" max="3587" width="13.140625" style="264" customWidth="1"/>
    <col min="3588" max="3588" width="12.85546875" style="264" customWidth="1"/>
    <col min="3589" max="3589" width="14.28515625" style="264" customWidth="1"/>
    <col min="3590" max="3590" width="15.28515625" style="264" customWidth="1"/>
    <col min="3591" max="3591" width="16.28515625" style="264" customWidth="1"/>
    <col min="3592" max="3840" width="11.5703125" style="264"/>
    <col min="3841" max="3841" width="4.7109375" style="264" customWidth="1"/>
    <col min="3842" max="3842" width="20.42578125" style="264" customWidth="1"/>
    <col min="3843" max="3843" width="13.140625" style="264" customWidth="1"/>
    <col min="3844" max="3844" width="12.85546875" style="264" customWidth="1"/>
    <col min="3845" max="3845" width="14.28515625" style="264" customWidth="1"/>
    <col min="3846" max="3846" width="15.28515625" style="264" customWidth="1"/>
    <col min="3847" max="3847" width="16.28515625" style="264" customWidth="1"/>
    <col min="3848" max="4096" width="11.5703125" style="264"/>
    <col min="4097" max="4097" width="4.7109375" style="264" customWidth="1"/>
    <col min="4098" max="4098" width="20.42578125" style="264" customWidth="1"/>
    <col min="4099" max="4099" width="13.140625" style="264" customWidth="1"/>
    <col min="4100" max="4100" width="12.85546875" style="264" customWidth="1"/>
    <col min="4101" max="4101" width="14.28515625" style="264" customWidth="1"/>
    <col min="4102" max="4102" width="15.28515625" style="264" customWidth="1"/>
    <col min="4103" max="4103" width="16.28515625" style="264" customWidth="1"/>
    <col min="4104" max="4352" width="11.5703125" style="264"/>
    <col min="4353" max="4353" width="4.7109375" style="264" customWidth="1"/>
    <col min="4354" max="4354" width="20.42578125" style="264" customWidth="1"/>
    <col min="4355" max="4355" width="13.140625" style="264" customWidth="1"/>
    <col min="4356" max="4356" width="12.85546875" style="264" customWidth="1"/>
    <col min="4357" max="4357" width="14.28515625" style="264" customWidth="1"/>
    <col min="4358" max="4358" width="15.28515625" style="264" customWidth="1"/>
    <col min="4359" max="4359" width="16.28515625" style="264" customWidth="1"/>
    <col min="4360" max="4608" width="11.5703125" style="264"/>
    <col min="4609" max="4609" width="4.7109375" style="264" customWidth="1"/>
    <col min="4610" max="4610" width="20.42578125" style="264" customWidth="1"/>
    <col min="4611" max="4611" width="13.140625" style="264" customWidth="1"/>
    <col min="4612" max="4612" width="12.85546875" style="264" customWidth="1"/>
    <col min="4613" max="4613" width="14.28515625" style="264" customWidth="1"/>
    <col min="4614" max="4614" width="15.28515625" style="264" customWidth="1"/>
    <col min="4615" max="4615" width="16.28515625" style="264" customWidth="1"/>
    <col min="4616" max="4864" width="11.5703125" style="264"/>
    <col min="4865" max="4865" width="4.7109375" style="264" customWidth="1"/>
    <col min="4866" max="4866" width="20.42578125" style="264" customWidth="1"/>
    <col min="4867" max="4867" width="13.140625" style="264" customWidth="1"/>
    <col min="4868" max="4868" width="12.85546875" style="264" customWidth="1"/>
    <col min="4869" max="4869" width="14.28515625" style="264" customWidth="1"/>
    <col min="4870" max="4870" width="15.28515625" style="264" customWidth="1"/>
    <col min="4871" max="4871" width="16.28515625" style="264" customWidth="1"/>
    <col min="4872" max="5120" width="11.5703125" style="264"/>
    <col min="5121" max="5121" width="4.7109375" style="264" customWidth="1"/>
    <col min="5122" max="5122" width="20.42578125" style="264" customWidth="1"/>
    <col min="5123" max="5123" width="13.140625" style="264" customWidth="1"/>
    <col min="5124" max="5124" width="12.85546875" style="264" customWidth="1"/>
    <col min="5125" max="5125" width="14.28515625" style="264" customWidth="1"/>
    <col min="5126" max="5126" width="15.28515625" style="264" customWidth="1"/>
    <col min="5127" max="5127" width="16.28515625" style="264" customWidth="1"/>
    <col min="5128" max="5376" width="11.5703125" style="264"/>
    <col min="5377" max="5377" width="4.7109375" style="264" customWidth="1"/>
    <col min="5378" max="5378" width="20.42578125" style="264" customWidth="1"/>
    <col min="5379" max="5379" width="13.140625" style="264" customWidth="1"/>
    <col min="5380" max="5380" width="12.85546875" style="264" customWidth="1"/>
    <col min="5381" max="5381" width="14.28515625" style="264" customWidth="1"/>
    <col min="5382" max="5382" width="15.28515625" style="264" customWidth="1"/>
    <col min="5383" max="5383" width="16.28515625" style="264" customWidth="1"/>
    <col min="5384" max="5632" width="11.5703125" style="264"/>
    <col min="5633" max="5633" width="4.7109375" style="264" customWidth="1"/>
    <col min="5634" max="5634" width="20.42578125" style="264" customWidth="1"/>
    <col min="5635" max="5635" width="13.140625" style="264" customWidth="1"/>
    <col min="5636" max="5636" width="12.85546875" style="264" customWidth="1"/>
    <col min="5637" max="5637" width="14.28515625" style="264" customWidth="1"/>
    <col min="5638" max="5638" width="15.28515625" style="264" customWidth="1"/>
    <col min="5639" max="5639" width="16.28515625" style="264" customWidth="1"/>
    <col min="5640" max="5888" width="11.5703125" style="264"/>
    <col min="5889" max="5889" width="4.7109375" style="264" customWidth="1"/>
    <col min="5890" max="5890" width="20.42578125" style="264" customWidth="1"/>
    <col min="5891" max="5891" width="13.140625" style="264" customWidth="1"/>
    <col min="5892" max="5892" width="12.85546875" style="264" customWidth="1"/>
    <col min="5893" max="5893" width="14.28515625" style="264" customWidth="1"/>
    <col min="5894" max="5894" width="15.28515625" style="264" customWidth="1"/>
    <col min="5895" max="5895" width="16.28515625" style="264" customWidth="1"/>
    <col min="5896" max="6144" width="11.5703125" style="264"/>
    <col min="6145" max="6145" width="4.7109375" style="264" customWidth="1"/>
    <col min="6146" max="6146" width="20.42578125" style="264" customWidth="1"/>
    <col min="6147" max="6147" width="13.140625" style="264" customWidth="1"/>
    <col min="6148" max="6148" width="12.85546875" style="264" customWidth="1"/>
    <col min="6149" max="6149" width="14.28515625" style="264" customWidth="1"/>
    <col min="6150" max="6150" width="15.28515625" style="264" customWidth="1"/>
    <col min="6151" max="6151" width="16.28515625" style="264" customWidth="1"/>
    <col min="6152" max="6400" width="11.5703125" style="264"/>
    <col min="6401" max="6401" width="4.7109375" style="264" customWidth="1"/>
    <col min="6402" max="6402" width="20.42578125" style="264" customWidth="1"/>
    <col min="6403" max="6403" width="13.140625" style="264" customWidth="1"/>
    <col min="6404" max="6404" width="12.85546875" style="264" customWidth="1"/>
    <col min="6405" max="6405" width="14.28515625" style="264" customWidth="1"/>
    <col min="6406" max="6406" width="15.28515625" style="264" customWidth="1"/>
    <col min="6407" max="6407" width="16.28515625" style="264" customWidth="1"/>
    <col min="6408" max="6656" width="11.5703125" style="264"/>
    <col min="6657" max="6657" width="4.7109375" style="264" customWidth="1"/>
    <col min="6658" max="6658" width="20.42578125" style="264" customWidth="1"/>
    <col min="6659" max="6659" width="13.140625" style="264" customWidth="1"/>
    <col min="6660" max="6660" width="12.85546875" style="264" customWidth="1"/>
    <col min="6661" max="6661" width="14.28515625" style="264" customWidth="1"/>
    <col min="6662" max="6662" width="15.28515625" style="264" customWidth="1"/>
    <col min="6663" max="6663" width="16.28515625" style="264" customWidth="1"/>
    <col min="6664" max="6912" width="11.5703125" style="264"/>
    <col min="6913" max="6913" width="4.7109375" style="264" customWidth="1"/>
    <col min="6914" max="6914" width="20.42578125" style="264" customWidth="1"/>
    <col min="6915" max="6915" width="13.140625" style="264" customWidth="1"/>
    <col min="6916" max="6916" width="12.85546875" style="264" customWidth="1"/>
    <col min="6917" max="6917" width="14.28515625" style="264" customWidth="1"/>
    <col min="6918" max="6918" width="15.28515625" style="264" customWidth="1"/>
    <col min="6919" max="6919" width="16.28515625" style="264" customWidth="1"/>
    <col min="6920" max="7168" width="11.5703125" style="264"/>
    <col min="7169" max="7169" width="4.7109375" style="264" customWidth="1"/>
    <col min="7170" max="7170" width="20.42578125" style="264" customWidth="1"/>
    <col min="7171" max="7171" width="13.140625" style="264" customWidth="1"/>
    <col min="7172" max="7172" width="12.85546875" style="264" customWidth="1"/>
    <col min="7173" max="7173" width="14.28515625" style="264" customWidth="1"/>
    <col min="7174" max="7174" width="15.28515625" style="264" customWidth="1"/>
    <col min="7175" max="7175" width="16.28515625" style="264" customWidth="1"/>
    <col min="7176" max="7424" width="11.5703125" style="264"/>
    <col min="7425" max="7425" width="4.7109375" style="264" customWidth="1"/>
    <col min="7426" max="7426" width="20.42578125" style="264" customWidth="1"/>
    <col min="7427" max="7427" width="13.140625" style="264" customWidth="1"/>
    <col min="7428" max="7428" width="12.85546875" style="264" customWidth="1"/>
    <col min="7429" max="7429" width="14.28515625" style="264" customWidth="1"/>
    <col min="7430" max="7430" width="15.28515625" style="264" customWidth="1"/>
    <col min="7431" max="7431" width="16.28515625" style="264" customWidth="1"/>
    <col min="7432" max="7680" width="11.5703125" style="264"/>
    <col min="7681" max="7681" width="4.7109375" style="264" customWidth="1"/>
    <col min="7682" max="7682" width="20.42578125" style="264" customWidth="1"/>
    <col min="7683" max="7683" width="13.140625" style="264" customWidth="1"/>
    <col min="7684" max="7684" width="12.85546875" style="264" customWidth="1"/>
    <col min="7685" max="7685" width="14.28515625" style="264" customWidth="1"/>
    <col min="7686" max="7686" width="15.28515625" style="264" customWidth="1"/>
    <col min="7687" max="7687" width="16.28515625" style="264" customWidth="1"/>
    <col min="7688" max="7936" width="11.5703125" style="264"/>
    <col min="7937" max="7937" width="4.7109375" style="264" customWidth="1"/>
    <col min="7938" max="7938" width="20.42578125" style="264" customWidth="1"/>
    <col min="7939" max="7939" width="13.140625" style="264" customWidth="1"/>
    <col min="7940" max="7940" width="12.85546875" style="264" customWidth="1"/>
    <col min="7941" max="7941" width="14.28515625" style="264" customWidth="1"/>
    <col min="7942" max="7942" width="15.28515625" style="264" customWidth="1"/>
    <col min="7943" max="7943" width="16.28515625" style="264" customWidth="1"/>
    <col min="7944" max="8192" width="11.5703125" style="264"/>
    <col min="8193" max="8193" width="4.7109375" style="264" customWidth="1"/>
    <col min="8194" max="8194" width="20.42578125" style="264" customWidth="1"/>
    <col min="8195" max="8195" width="13.140625" style="264" customWidth="1"/>
    <col min="8196" max="8196" width="12.85546875" style="264" customWidth="1"/>
    <col min="8197" max="8197" width="14.28515625" style="264" customWidth="1"/>
    <col min="8198" max="8198" width="15.28515625" style="264" customWidth="1"/>
    <col min="8199" max="8199" width="16.28515625" style="264" customWidth="1"/>
    <col min="8200" max="8448" width="11.5703125" style="264"/>
    <col min="8449" max="8449" width="4.7109375" style="264" customWidth="1"/>
    <col min="8450" max="8450" width="20.42578125" style="264" customWidth="1"/>
    <col min="8451" max="8451" width="13.140625" style="264" customWidth="1"/>
    <col min="8452" max="8452" width="12.85546875" style="264" customWidth="1"/>
    <col min="8453" max="8453" width="14.28515625" style="264" customWidth="1"/>
    <col min="8454" max="8454" width="15.28515625" style="264" customWidth="1"/>
    <col min="8455" max="8455" width="16.28515625" style="264" customWidth="1"/>
    <col min="8456" max="8704" width="11.5703125" style="264"/>
    <col min="8705" max="8705" width="4.7109375" style="264" customWidth="1"/>
    <col min="8706" max="8706" width="20.42578125" style="264" customWidth="1"/>
    <col min="8707" max="8707" width="13.140625" style="264" customWidth="1"/>
    <col min="8708" max="8708" width="12.85546875" style="264" customWidth="1"/>
    <col min="8709" max="8709" width="14.28515625" style="264" customWidth="1"/>
    <col min="8710" max="8710" width="15.28515625" style="264" customWidth="1"/>
    <col min="8711" max="8711" width="16.28515625" style="264" customWidth="1"/>
    <col min="8712" max="8960" width="11.5703125" style="264"/>
    <col min="8961" max="8961" width="4.7109375" style="264" customWidth="1"/>
    <col min="8962" max="8962" width="20.42578125" style="264" customWidth="1"/>
    <col min="8963" max="8963" width="13.140625" style="264" customWidth="1"/>
    <col min="8964" max="8964" width="12.85546875" style="264" customWidth="1"/>
    <col min="8965" max="8965" width="14.28515625" style="264" customWidth="1"/>
    <col min="8966" max="8966" width="15.28515625" style="264" customWidth="1"/>
    <col min="8967" max="8967" width="16.28515625" style="264" customWidth="1"/>
    <col min="8968" max="9216" width="11.5703125" style="264"/>
    <col min="9217" max="9217" width="4.7109375" style="264" customWidth="1"/>
    <col min="9218" max="9218" width="20.42578125" style="264" customWidth="1"/>
    <col min="9219" max="9219" width="13.140625" style="264" customWidth="1"/>
    <col min="9220" max="9220" width="12.85546875" style="264" customWidth="1"/>
    <col min="9221" max="9221" width="14.28515625" style="264" customWidth="1"/>
    <col min="9222" max="9222" width="15.28515625" style="264" customWidth="1"/>
    <col min="9223" max="9223" width="16.28515625" style="264" customWidth="1"/>
    <col min="9224" max="9472" width="11.5703125" style="264"/>
    <col min="9473" max="9473" width="4.7109375" style="264" customWidth="1"/>
    <col min="9474" max="9474" width="20.42578125" style="264" customWidth="1"/>
    <col min="9475" max="9475" width="13.140625" style="264" customWidth="1"/>
    <col min="9476" max="9476" width="12.85546875" style="264" customWidth="1"/>
    <col min="9477" max="9477" width="14.28515625" style="264" customWidth="1"/>
    <col min="9478" max="9478" width="15.28515625" style="264" customWidth="1"/>
    <col min="9479" max="9479" width="16.28515625" style="264" customWidth="1"/>
    <col min="9480" max="9728" width="11.5703125" style="264"/>
    <col min="9729" max="9729" width="4.7109375" style="264" customWidth="1"/>
    <col min="9730" max="9730" width="20.42578125" style="264" customWidth="1"/>
    <col min="9731" max="9731" width="13.140625" style="264" customWidth="1"/>
    <col min="9732" max="9732" width="12.85546875" style="264" customWidth="1"/>
    <col min="9733" max="9733" width="14.28515625" style="264" customWidth="1"/>
    <col min="9734" max="9734" width="15.28515625" style="264" customWidth="1"/>
    <col min="9735" max="9735" width="16.28515625" style="264" customWidth="1"/>
    <col min="9736" max="9984" width="11.5703125" style="264"/>
    <col min="9985" max="9985" width="4.7109375" style="264" customWidth="1"/>
    <col min="9986" max="9986" width="20.42578125" style="264" customWidth="1"/>
    <col min="9987" max="9987" width="13.140625" style="264" customWidth="1"/>
    <col min="9988" max="9988" width="12.85546875" style="264" customWidth="1"/>
    <col min="9989" max="9989" width="14.28515625" style="264" customWidth="1"/>
    <col min="9990" max="9990" width="15.28515625" style="264" customWidth="1"/>
    <col min="9991" max="9991" width="16.28515625" style="264" customWidth="1"/>
    <col min="9992" max="10240" width="11.5703125" style="264"/>
    <col min="10241" max="10241" width="4.7109375" style="264" customWidth="1"/>
    <col min="10242" max="10242" width="20.42578125" style="264" customWidth="1"/>
    <col min="10243" max="10243" width="13.140625" style="264" customWidth="1"/>
    <col min="10244" max="10244" width="12.85546875" style="264" customWidth="1"/>
    <col min="10245" max="10245" width="14.28515625" style="264" customWidth="1"/>
    <col min="10246" max="10246" width="15.28515625" style="264" customWidth="1"/>
    <col min="10247" max="10247" width="16.28515625" style="264" customWidth="1"/>
    <col min="10248" max="10496" width="11.5703125" style="264"/>
    <col min="10497" max="10497" width="4.7109375" style="264" customWidth="1"/>
    <col min="10498" max="10498" width="20.42578125" style="264" customWidth="1"/>
    <col min="10499" max="10499" width="13.140625" style="264" customWidth="1"/>
    <col min="10500" max="10500" width="12.85546875" style="264" customWidth="1"/>
    <col min="10501" max="10501" width="14.28515625" style="264" customWidth="1"/>
    <col min="10502" max="10502" width="15.28515625" style="264" customWidth="1"/>
    <col min="10503" max="10503" width="16.28515625" style="264" customWidth="1"/>
    <col min="10504" max="10752" width="11.5703125" style="264"/>
    <col min="10753" max="10753" width="4.7109375" style="264" customWidth="1"/>
    <col min="10754" max="10754" width="20.42578125" style="264" customWidth="1"/>
    <col min="10755" max="10755" width="13.140625" style="264" customWidth="1"/>
    <col min="10756" max="10756" width="12.85546875" style="264" customWidth="1"/>
    <col min="10757" max="10757" width="14.28515625" style="264" customWidth="1"/>
    <col min="10758" max="10758" width="15.28515625" style="264" customWidth="1"/>
    <col min="10759" max="10759" width="16.28515625" style="264" customWidth="1"/>
    <col min="10760" max="11008" width="11.5703125" style="264"/>
    <col min="11009" max="11009" width="4.7109375" style="264" customWidth="1"/>
    <col min="11010" max="11010" width="20.42578125" style="264" customWidth="1"/>
    <col min="11011" max="11011" width="13.140625" style="264" customWidth="1"/>
    <col min="11012" max="11012" width="12.85546875" style="264" customWidth="1"/>
    <col min="11013" max="11013" width="14.28515625" style="264" customWidth="1"/>
    <col min="11014" max="11014" width="15.28515625" style="264" customWidth="1"/>
    <col min="11015" max="11015" width="16.28515625" style="264" customWidth="1"/>
    <col min="11016" max="11264" width="11.5703125" style="264"/>
    <col min="11265" max="11265" width="4.7109375" style="264" customWidth="1"/>
    <col min="11266" max="11266" width="20.42578125" style="264" customWidth="1"/>
    <col min="11267" max="11267" width="13.140625" style="264" customWidth="1"/>
    <col min="11268" max="11268" width="12.85546875" style="264" customWidth="1"/>
    <col min="11269" max="11269" width="14.28515625" style="264" customWidth="1"/>
    <col min="11270" max="11270" width="15.28515625" style="264" customWidth="1"/>
    <col min="11271" max="11271" width="16.28515625" style="264" customWidth="1"/>
    <col min="11272" max="11520" width="11.5703125" style="264"/>
    <col min="11521" max="11521" width="4.7109375" style="264" customWidth="1"/>
    <col min="11522" max="11522" width="20.42578125" style="264" customWidth="1"/>
    <col min="11523" max="11523" width="13.140625" style="264" customWidth="1"/>
    <col min="11524" max="11524" width="12.85546875" style="264" customWidth="1"/>
    <col min="11525" max="11525" width="14.28515625" style="264" customWidth="1"/>
    <col min="11526" max="11526" width="15.28515625" style="264" customWidth="1"/>
    <col min="11527" max="11527" width="16.28515625" style="264" customWidth="1"/>
    <col min="11528" max="11776" width="11.5703125" style="264"/>
    <col min="11777" max="11777" width="4.7109375" style="264" customWidth="1"/>
    <col min="11778" max="11778" width="20.42578125" style="264" customWidth="1"/>
    <col min="11779" max="11779" width="13.140625" style="264" customWidth="1"/>
    <col min="11780" max="11780" width="12.85546875" style="264" customWidth="1"/>
    <col min="11781" max="11781" width="14.28515625" style="264" customWidth="1"/>
    <col min="11782" max="11782" width="15.28515625" style="264" customWidth="1"/>
    <col min="11783" max="11783" width="16.28515625" style="264" customWidth="1"/>
    <col min="11784" max="12032" width="11.5703125" style="264"/>
    <col min="12033" max="12033" width="4.7109375" style="264" customWidth="1"/>
    <col min="12034" max="12034" width="20.42578125" style="264" customWidth="1"/>
    <col min="12035" max="12035" width="13.140625" style="264" customWidth="1"/>
    <col min="12036" max="12036" width="12.85546875" style="264" customWidth="1"/>
    <col min="12037" max="12037" width="14.28515625" style="264" customWidth="1"/>
    <col min="12038" max="12038" width="15.28515625" style="264" customWidth="1"/>
    <col min="12039" max="12039" width="16.28515625" style="264" customWidth="1"/>
    <col min="12040" max="12288" width="11.5703125" style="264"/>
    <col min="12289" max="12289" width="4.7109375" style="264" customWidth="1"/>
    <col min="12290" max="12290" width="20.42578125" style="264" customWidth="1"/>
    <col min="12291" max="12291" width="13.140625" style="264" customWidth="1"/>
    <col min="12292" max="12292" width="12.85546875" style="264" customWidth="1"/>
    <col min="12293" max="12293" width="14.28515625" style="264" customWidth="1"/>
    <col min="12294" max="12294" width="15.28515625" style="264" customWidth="1"/>
    <col min="12295" max="12295" width="16.28515625" style="264" customWidth="1"/>
    <col min="12296" max="12544" width="11.5703125" style="264"/>
    <col min="12545" max="12545" width="4.7109375" style="264" customWidth="1"/>
    <col min="12546" max="12546" width="20.42578125" style="264" customWidth="1"/>
    <col min="12547" max="12547" width="13.140625" style="264" customWidth="1"/>
    <col min="12548" max="12548" width="12.85546875" style="264" customWidth="1"/>
    <col min="12549" max="12549" width="14.28515625" style="264" customWidth="1"/>
    <col min="12550" max="12550" width="15.28515625" style="264" customWidth="1"/>
    <col min="12551" max="12551" width="16.28515625" style="264" customWidth="1"/>
    <col min="12552" max="12800" width="11.5703125" style="264"/>
    <col min="12801" max="12801" width="4.7109375" style="264" customWidth="1"/>
    <col min="12802" max="12802" width="20.42578125" style="264" customWidth="1"/>
    <col min="12803" max="12803" width="13.140625" style="264" customWidth="1"/>
    <col min="12804" max="12804" width="12.85546875" style="264" customWidth="1"/>
    <col min="12805" max="12805" width="14.28515625" style="264" customWidth="1"/>
    <col min="12806" max="12806" width="15.28515625" style="264" customWidth="1"/>
    <col min="12807" max="12807" width="16.28515625" style="264" customWidth="1"/>
    <col min="12808" max="13056" width="11.5703125" style="264"/>
    <col min="13057" max="13057" width="4.7109375" style="264" customWidth="1"/>
    <col min="13058" max="13058" width="20.42578125" style="264" customWidth="1"/>
    <col min="13059" max="13059" width="13.140625" style="264" customWidth="1"/>
    <col min="13060" max="13060" width="12.85546875" style="264" customWidth="1"/>
    <col min="13061" max="13061" width="14.28515625" style="264" customWidth="1"/>
    <col min="13062" max="13062" width="15.28515625" style="264" customWidth="1"/>
    <col min="13063" max="13063" width="16.28515625" style="264" customWidth="1"/>
    <col min="13064" max="13312" width="11.5703125" style="264"/>
    <col min="13313" max="13313" width="4.7109375" style="264" customWidth="1"/>
    <col min="13314" max="13314" width="20.42578125" style="264" customWidth="1"/>
    <col min="13315" max="13315" width="13.140625" style="264" customWidth="1"/>
    <col min="13316" max="13316" width="12.85546875" style="264" customWidth="1"/>
    <col min="13317" max="13317" width="14.28515625" style="264" customWidth="1"/>
    <col min="13318" max="13318" width="15.28515625" style="264" customWidth="1"/>
    <col min="13319" max="13319" width="16.28515625" style="264" customWidth="1"/>
    <col min="13320" max="13568" width="11.5703125" style="264"/>
    <col min="13569" max="13569" width="4.7109375" style="264" customWidth="1"/>
    <col min="13570" max="13570" width="20.42578125" style="264" customWidth="1"/>
    <col min="13571" max="13571" width="13.140625" style="264" customWidth="1"/>
    <col min="13572" max="13572" width="12.85546875" style="264" customWidth="1"/>
    <col min="13573" max="13573" width="14.28515625" style="264" customWidth="1"/>
    <col min="13574" max="13574" width="15.28515625" style="264" customWidth="1"/>
    <col min="13575" max="13575" width="16.28515625" style="264" customWidth="1"/>
    <col min="13576" max="13824" width="11.5703125" style="264"/>
    <col min="13825" max="13825" width="4.7109375" style="264" customWidth="1"/>
    <col min="13826" max="13826" width="20.42578125" style="264" customWidth="1"/>
    <col min="13827" max="13827" width="13.140625" style="264" customWidth="1"/>
    <col min="13828" max="13828" width="12.85546875" style="264" customWidth="1"/>
    <col min="13829" max="13829" width="14.28515625" style="264" customWidth="1"/>
    <col min="13830" max="13830" width="15.28515625" style="264" customWidth="1"/>
    <col min="13831" max="13831" width="16.28515625" style="264" customWidth="1"/>
    <col min="13832" max="14080" width="11.5703125" style="264"/>
    <col min="14081" max="14081" width="4.7109375" style="264" customWidth="1"/>
    <col min="14082" max="14082" width="20.42578125" style="264" customWidth="1"/>
    <col min="14083" max="14083" width="13.140625" style="264" customWidth="1"/>
    <col min="14084" max="14084" width="12.85546875" style="264" customWidth="1"/>
    <col min="14085" max="14085" width="14.28515625" style="264" customWidth="1"/>
    <col min="14086" max="14086" width="15.28515625" style="264" customWidth="1"/>
    <col min="14087" max="14087" width="16.28515625" style="264" customWidth="1"/>
    <col min="14088" max="14336" width="11.5703125" style="264"/>
    <col min="14337" max="14337" width="4.7109375" style="264" customWidth="1"/>
    <col min="14338" max="14338" width="20.42578125" style="264" customWidth="1"/>
    <col min="14339" max="14339" width="13.140625" style="264" customWidth="1"/>
    <col min="14340" max="14340" width="12.85546875" style="264" customWidth="1"/>
    <col min="14341" max="14341" width="14.28515625" style="264" customWidth="1"/>
    <col min="14342" max="14342" width="15.28515625" style="264" customWidth="1"/>
    <col min="14343" max="14343" width="16.28515625" style="264" customWidth="1"/>
    <col min="14344" max="14592" width="11.5703125" style="264"/>
    <col min="14593" max="14593" width="4.7109375" style="264" customWidth="1"/>
    <col min="14594" max="14594" width="20.42578125" style="264" customWidth="1"/>
    <col min="14595" max="14595" width="13.140625" style="264" customWidth="1"/>
    <col min="14596" max="14596" width="12.85546875" style="264" customWidth="1"/>
    <col min="14597" max="14597" width="14.28515625" style="264" customWidth="1"/>
    <col min="14598" max="14598" width="15.28515625" style="264" customWidth="1"/>
    <col min="14599" max="14599" width="16.28515625" style="264" customWidth="1"/>
    <col min="14600" max="14848" width="11.5703125" style="264"/>
    <col min="14849" max="14849" width="4.7109375" style="264" customWidth="1"/>
    <col min="14850" max="14850" width="20.42578125" style="264" customWidth="1"/>
    <col min="14851" max="14851" width="13.140625" style="264" customWidth="1"/>
    <col min="14852" max="14852" width="12.85546875" style="264" customWidth="1"/>
    <col min="14853" max="14853" width="14.28515625" style="264" customWidth="1"/>
    <col min="14854" max="14854" width="15.28515625" style="264" customWidth="1"/>
    <col min="14855" max="14855" width="16.28515625" style="264" customWidth="1"/>
    <col min="14856" max="15104" width="11.5703125" style="264"/>
    <col min="15105" max="15105" width="4.7109375" style="264" customWidth="1"/>
    <col min="15106" max="15106" width="20.42578125" style="264" customWidth="1"/>
    <col min="15107" max="15107" width="13.140625" style="264" customWidth="1"/>
    <col min="15108" max="15108" width="12.85546875" style="264" customWidth="1"/>
    <col min="15109" max="15109" width="14.28515625" style="264" customWidth="1"/>
    <col min="15110" max="15110" width="15.28515625" style="264" customWidth="1"/>
    <col min="15111" max="15111" width="16.28515625" style="264" customWidth="1"/>
    <col min="15112" max="15360" width="11.5703125" style="264"/>
    <col min="15361" max="15361" width="4.7109375" style="264" customWidth="1"/>
    <col min="15362" max="15362" width="20.42578125" style="264" customWidth="1"/>
    <col min="15363" max="15363" width="13.140625" style="264" customWidth="1"/>
    <col min="15364" max="15364" width="12.85546875" style="264" customWidth="1"/>
    <col min="15365" max="15365" width="14.28515625" style="264" customWidth="1"/>
    <col min="15366" max="15366" width="15.28515625" style="264" customWidth="1"/>
    <col min="15367" max="15367" width="16.28515625" style="264" customWidth="1"/>
    <col min="15368" max="15616" width="11.5703125" style="264"/>
    <col min="15617" max="15617" width="4.7109375" style="264" customWidth="1"/>
    <col min="15618" max="15618" width="20.42578125" style="264" customWidth="1"/>
    <col min="15619" max="15619" width="13.140625" style="264" customWidth="1"/>
    <col min="15620" max="15620" width="12.85546875" style="264" customWidth="1"/>
    <col min="15621" max="15621" width="14.28515625" style="264" customWidth="1"/>
    <col min="15622" max="15622" width="15.28515625" style="264" customWidth="1"/>
    <col min="15623" max="15623" width="16.28515625" style="264" customWidth="1"/>
    <col min="15624" max="15872" width="11.5703125" style="264"/>
    <col min="15873" max="15873" width="4.7109375" style="264" customWidth="1"/>
    <col min="15874" max="15874" width="20.42578125" style="264" customWidth="1"/>
    <col min="15875" max="15875" width="13.140625" style="264" customWidth="1"/>
    <col min="15876" max="15876" width="12.85546875" style="264" customWidth="1"/>
    <col min="15877" max="15877" width="14.28515625" style="264" customWidth="1"/>
    <col min="15878" max="15878" width="15.28515625" style="264" customWidth="1"/>
    <col min="15879" max="15879" width="16.28515625" style="264" customWidth="1"/>
    <col min="15880" max="16128" width="11.5703125" style="264"/>
    <col min="16129" max="16129" width="4.7109375" style="264" customWidth="1"/>
    <col min="16130" max="16130" width="20.42578125" style="264" customWidth="1"/>
    <col min="16131" max="16131" width="13.140625" style="264" customWidth="1"/>
    <col min="16132" max="16132" width="12.85546875" style="264" customWidth="1"/>
    <col min="16133" max="16133" width="14.28515625" style="264" customWidth="1"/>
    <col min="16134" max="16134" width="15.28515625" style="264" customWidth="1"/>
    <col min="16135" max="16135" width="16.28515625" style="264" customWidth="1"/>
    <col min="16136" max="16384" width="11.5703125" style="264"/>
  </cols>
  <sheetData>
    <row r="1" spans="1:7" x14ac:dyDescent="0.2">
      <c r="B1" s="482" t="str">
        <f>СВОД!E35</f>
        <v>Смета №1.14</v>
      </c>
      <c r="C1" s="482"/>
      <c r="D1" s="482"/>
      <c r="E1" s="482"/>
      <c r="F1" s="482"/>
    </row>
    <row r="2" spans="1:7" s="265" customFormat="1" x14ac:dyDescent="0.2">
      <c r="A2" s="236"/>
      <c r="B2" s="483" t="s">
        <v>39</v>
      </c>
      <c r="C2" s="483" t="s">
        <v>678</v>
      </c>
      <c r="D2" s="483" t="s">
        <v>678</v>
      </c>
      <c r="E2" s="483"/>
      <c r="F2" s="483"/>
      <c r="G2" s="264"/>
    </row>
    <row r="3" spans="1:7" x14ac:dyDescent="0.2">
      <c r="C3" s="266"/>
      <c r="D3" s="266"/>
    </row>
    <row r="4" spans="1:7" ht="117" customHeight="1" x14ac:dyDescent="0.2">
      <c r="A4" s="484" t="s">
        <v>40</v>
      </c>
      <c r="B4" s="484"/>
      <c r="C4" s="484"/>
      <c r="D4" s="484"/>
      <c r="E4" s="484" t="s">
        <v>679</v>
      </c>
      <c r="F4" s="484"/>
      <c r="G4" s="484"/>
    </row>
    <row r="5" spans="1:7" ht="0.75" customHeight="1" x14ac:dyDescent="0.2">
      <c r="A5" s="485"/>
      <c r="B5" s="485"/>
      <c r="C5" s="255"/>
      <c r="D5" s="255"/>
      <c r="E5" s="255"/>
      <c r="F5" s="255"/>
      <c r="G5" s="255"/>
    </row>
    <row r="7" spans="1:7" ht="27.95" customHeight="1" x14ac:dyDescent="0.2">
      <c r="A7" s="484" t="s">
        <v>41</v>
      </c>
      <c r="B7" s="484"/>
      <c r="C7" s="484"/>
      <c r="D7" s="484"/>
      <c r="E7" s="486" t="str">
        <f>СВОД!D14</f>
        <v>ОАО «СИБНЕФТЕТРАНСПРОЕКТ»</v>
      </c>
      <c r="F7" s="486"/>
      <c r="G7" s="486"/>
    </row>
    <row r="8" spans="1:7" hidden="1" x14ac:dyDescent="0.2"/>
    <row r="9" spans="1:7" x14ac:dyDescent="0.2">
      <c r="A9" s="484" t="s">
        <v>5</v>
      </c>
      <c r="B9" s="484"/>
      <c r="C9" s="484"/>
      <c r="D9" s="484"/>
      <c r="E9" s="486" t="str">
        <f>СВОД!D16</f>
        <v>ООО «Газпром проектирование»</v>
      </c>
      <c r="F9" s="486"/>
      <c r="G9" s="486"/>
    </row>
    <row r="10" spans="1:7" x14ac:dyDescent="0.2">
      <c r="A10" s="237"/>
      <c r="B10" s="237"/>
      <c r="C10" s="267"/>
      <c r="D10" s="237"/>
      <c r="E10" s="237"/>
    </row>
    <row r="11" spans="1:7" ht="27.75" customHeight="1" x14ac:dyDescent="0.2">
      <c r="A11" s="237"/>
      <c r="B11" s="480" t="s">
        <v>680</v>
      </c>
      <c r="C11" s="481"/>
      <c r="D11" s="481"/>
      <c r="E11" s="481"/>
      <c r="F11" s="481"/>
    </row>
    <row r="12" spans="1:7" ht="12.75" customHeight="1" x14ac:dyDescent="0.2">
      <c r="A12" s="237"/>
      <c r="B12" s="480" t="s">
        <v>681</v>
      </c>
      <c r="C12" s="488"/>
      <c r="D12" s="488"/>
      <c r="E12" s="488"/>
      <c r="F12" s="488"/>
    </row>
    <row r="14" spans="1:7" x14ac:dyDescent="0.2">
      <c r="A14" s="489" t="s">
        <v>682</v>
      </c>
      <c r="B14" s="489" t="s">
        <v>7</v>
      </c>
      <c r="C14" s="491" t="s">
        <v>683</v>
      </c>
      <c r="D14" s="492"/>
      <c r="E14" s="489" t="s">
        <v>684</v>
      </c>
      <c r="F14" s="489" t="s">
        <v>685</v>
      </c>
      <c r="G14" s="489" t="s">
        <v>686</v>
      </c>
    </row>
    <row r="15" spans="1:7" x14ac:dyDescent="0.2">
      <c r="A15" s="490"/>
      <c r="B15" s="490"/>
      <c r="C15" s="238" t="s">
        <v>687</v>
      </c>
      <c r="D15" s="238" t="s">
        <v>688</v>
      </c>
      <c r="E15" s="490"/>
      <c r="F15" s="490"/>
      <c r="G15" s="490"/>
    </row>
    <row r="16" spans="1:7" x14ac:dyDescent="0.2">
      <c r="A16" s="239">
        <v>1</v>
      </c>
      <c r="B16" s="239">
        <v>2</v>
      </c>
      <c r="C16" s="239">
        <v>3</v>
      </c>
      <c r="D16" s="239">
        <v>4</v>
      </c>
      <c r="E16" s="239">
        <v>5</v>
      </c>
      <c r="F16" s="240">
        <v>6</v>
      </c>
      <c r="G16" s="240">
        <v>7</v>
      </c>
    </row>
    <row r="17" spans="1:7" ht="39.6" customHeight="1" x14ac:dyDescent="0.2">
      <c r="A17" s="493">
        <v>1</v>
      </c>
      <c r="B17" s="494" t="s">
        <v>820</v>
      </c>
      <c r="C17" s="272">
        <v>1</v>
      </c>
      <c r="D17" s="273" t="s">
        <v>689</v>
      </c>
      <c r="E17" s="272">
        <v>1</v>
      </c>
      <c r="F17" s="274">
        <v>22082</v>
      </c>
      <c r="G17" s="495">
        <f>ROUND((C17*E17*F17+C18*E18*F18+C19*E19*F19+ C20*E20*F20+C21*E21*F21+C22*E22*F22+C23*E23*F23),2)</f>
        <v>219320.5</v>
      </c>
    </row>
    <row r="18" spans="1:7" ht="39.6" customHeight="1" x14ac:dyDescent="0.2">
      <c r="A18" s="493"/>
      <c r="B18" s="494"/>
      <c r="C18" s="272">
        <v>1</v>
      </c>
      <c r="D18" s="273" t="s">
        <v>690</v>
      </c>
      <c r="E18" s="272">
        <v>0.5</v>
      </c>
      <c r="F18" s="274">
        <v>19733</v>
      </c>
      <c r="G18" s="495"/>
    </row>
    <row r="19" spans="1:7" ht="39.6" customHeight="1" x14ac:dyDescent="0.2">
      <c r="A19" s="493"/>
      <c r="B19" s="494"/>
      <c r="C19" s="272">
        <v>1</v>
      </c>
      <c r="D19" s="273" t="s">
        <v>691</v>
      </c>
      <c r="E19" s="272">
        <v>2</v>
      </c>
      <c r="F19" s="274">
        <v>22082</v>
      </c>
      <c r="G19" s="495"/>
    </row>
    <row r="20" spans="1:7" ht="25.5" x14ac:dyDescent="0.2">
      <c r="A20" s="493"/>
      <c r="B20" s="494"/>
      <c r="C20" s="272">
        <v>1</v>
      </c>
      <c r="D20" s="273" t="s">
        <v>692</v>
      </c>
      <c r="E20" s="272">
        <v>2</v>
      </c>
      <c r="F20" s="274">
        <v>17599</v>
      </c>
      <c r="G20" s="495"/>
    </row>
    <row r="21" spans="1:7" ht="38.25" x14ac:dyDescent="0.2">
      <c r="A21" s="493"/>
      <c r="B21" s="494"/>
      <c r="C21" s="272">
        <v>1</v>
      </c>
      <c r="D21" s="273" t="s">
        <v>693</v>
      </c>
      <c r="E21" s="272">
        <v>2</v>
      </c>
      <c r="F21" s="274">
        <v>15758</v>
      </c>
      <c r="G21" s="495"/>
    </row>
    <row r="22" spans="1:7" ht="25.5" x14ac:dyDescent="0.2">
      <c r="A22" s="493"/>
      <c r="B22" s="494"/>
      <c r="C22" s="272">
        <v>1</v>
      </c>
      <c r="D22" s="273" t="s">
        <v>694</v>
      </c>
      <c r="E22" s="272">
        <v>3</v>
      </c>
      <c r="F22" s="274">
        <v>14027</v>
      </c>
      <c r="G22" s="495"/>
    </row>
    <row r="23" spans="1:7" ht="25.5" x14ac:dyDescent="0.2">
      <c r="A23" s="493"/>
      <c r="B23" s="494"/>
      <c r="C23" s="272">
        <v>1</v>
      </c>
      <c r="D23" s="273" t="s">
        <v>695</v>
      </c>
      <c r="E23" s="272">
        <v>3</v>
      </c>
      <c r="F23" s="274">
        <v>11471</v>
      </c>
      <c r="G23" s="495"/>
    </row>
    <row r="24" spans="1:7" ht="38.25" x14ac:dyDescent="0.2">
      <c r="A24" s="257">
        <v>2</v>
      </c>
      <c r="B24" s="242" t="s">
        <v>696</v>
      </c>
      <c r="C24" s="241"/>
      <c r="D24" s="242"/>
      <c r="E24" s="241"/>
      <c r="F24" s="268"/>
      <c r="G24" s="269">
        <f>G17</f>
        <v>219320.5</v>
      </c>
    </row>
    <row r="26" spans="1:7" x14ac:dyDescent="0.2">
      <c r="B26" s="496" t="s">
        <v>697</v>
      </c>
      <c r="C26" s="497"/>
      <c r="D26" s="497"/>
      <c r="E26" s="497"/>
      <c r="F26" s="497"/>
    </row>
    <row r="28" spans="1:7" ht="25.5" x14ac:dyDescent="0.2">
      <c r="A28" s="256" t="s">
        <v>698</v>
      </c>
      <c r="B28" s="487" t="s">
        <v>699</v>
      </c>
      <c r="C28" s="487"/>
      <c r="D28" s="487"/>
      <c r="E28" s="487"/>
      <c r="F28" s="256" t="s">
        <v>700</v>
      </c>
      <c r="G28" s="256" t="s">
        <v>701</v>
      </c>
    </row>
    <row r="29" spans="1:7" ht="25.5" customHeight="1" x14ac:dyDescent="0.2">
      <c r="A29" s="243">
        <v>1</v>
      </c>
      <c r="B29" s="498" t="s">
        <v>702</v>
      </c>
      <c r="C29" s="498"/>
      <c r="D29" s="498"/>
      <c r="E29" s="498"/>
      <c r="F29" s="243" t="s">
        <v>703</v>
      </c>
      <c r="G29" s="270">
        <f>ROUND(($G$24),2)</f>
        <v>219320.5</v>
      </c>
    </row>
    <row r="30" spans="1:7" ht="25.5" customHeight="1" x14ac:dyDescent="0.2">
      <c r="A30" s="243"/>
      <c r="B30" s="498" t="s">
        <v>704</v>
      </c>
      <c r="C30" s="498"/>
      <c r="D30" s="498"/>
      <c r="E30" s="498"/>
      <c r="F30" s="243"/>
      <c r="G30" s="243">
        <v>0.45</v>
      </c>
    </row>
    <row r="31" spans="1:7" ht="25.5" customHeight="1" x14ac:dyDescent="0.2">
      <c r="A31" s="243">
        <v>2</v>
      </c>
      <c r="B31" s="498" t="s">
        <v>705</v>
      </c>
      <c r="C31" s="498"/>
      <c r="D31" s="498"/>
      <c r="E31" s="498"/>
      <c r="F31" s="243" t="s">
        <v>703</v>
      </c>
      <c r="G31" s="270">
        <f>ROUND(($G$29) * 1/0.45 * 1,2)</f>
        <v>487378.89</v>
      </c>
    </row>
    <row r="32" spans="1:7" ht="12.75" customHeight="1" x14ac:dyDescent="0.2">
      <c r="A32" s="243"/>
      <c r="B32" s="498" t="s">
        <v>706</v>
      </c>
      <c r="C32" s="498"/>
      <c r="D32" s="498"/>
      <c r="E32" s="498"/>
      <c r="F32" s="243" t="s">
        <v>707</v>
      </c>
      <c r="G32" s="243">
        <v>8</v>
      </c>
    </row>
    <row r="33" spans="1:7" ht="25.5" customHeight="1" x14ac:dyDescent="0.2">
      <c r="A33" s="243">
        <v>3</v>
      </c>
      <c r="B33" s="498" t="s">
        <v>708</v>
      </c>
      <c r="C33" s="498"/>
      <c r="D33" s="498"/>
      <c r="E33" s="498"/>
      <c r="F33" s="243" t="s">
        <v>703</v>
      </c>
      <c r="G33" s="270">
        <f>ROUND(($G$31) * 8 / 100 * 1,2)</f>
        <v>38990.31</v>
      </c>
    </row>
    <row r="34" spans="1:7" ht="25.5" customHeight="1" x14ac:dyDescent="0.2">
      <c r="A34" s="243">
        <v>4</v>
      </c>
      <c r="B34" s="498" t="s">
        <v>709</v>
      </c>
      <c r="C34" s="498"/>
      <c r="D34" s="498"/>
      <c r="E34" s="498"/>
      <c r="F34" s="243" t="s">
        <v>703</v>
      </c>
      <c r="G34" s="270">
        <f>ROUND(($G$31 + $G$33),2)</f>
        <v>526369.19999999995</v>
      </c>
    </row>
    <row r="35" spans="1:7" ht="63.75" customHeight="1" x14ac:dyDescent="0.2">
      <c r="A35" s="243"/>
      <c r="B35" s="498" t="s">
        <v>710</v>
      </c>
      <c r="C35" s="498"/>
      <c r="D35" s="498"/>
      <c r="E35" s="498"/>
      <c r="F35" s="243"/>
      <c r="G35" s="243">
        <v>1</v>
      </c>
    </row>
    <row r="36" spans="1:7" ht="25.5" customHeight="1" x14ac:dyDescent="0.2">
      <c r="A36" s="243">
        <v>5</v>
      </c>
      <c r="B36" s="498" t="s">
        <v>711</v>
      </c>
      <c r="C36" s="498"/>
      <c r="D36" s="498"/>
      <c r="E36" s="498"/>
      <c r="F36" s="243" t="s">
        <v>703</v>
      </c>
      <c r="G36" s="270">
        <f>ROUND(($G$34) * 1 * 1,2)</f>
        <v>526369.19999999995</v>
      </c>
    </row>
    <row r="37" spans="1:7" ht="12.75" customHeight="1" x14ac:dyDescent="0.2">
      <c r="A37" s="244"/>
      <c r="B37" s="499" t="s">
        <v>64</v>
      </c>
      <c r="C37" s="499"/>
      <c r="D37" s="499"/>
      <c r="E37" s="499"/>
      <c r="F37" s="271" t="s">
        <v>703</v>
      </c>
      <c r="G37" s="245">
        <f>G36</f>
        <v>526369.19999999995</v>
      </c>
    </row>
  </sheetData>
  <mergeCells count="31">
    <mergeCell ref="B35:E35"/>
    <mergeCell ref="B36:E36"/>
    <mergeCell ref="B37:E37"/>
    <mergeCell ref="B29:E29"/>
    <mergeCell ref="B30:E30"/>
    <mergeCell ref="B31:E31"/>
    <mergeCell ref="B32:E32"/>
    <mergeCell ref="B33:E33"/>
    <mergeCell ref="B34:E34"/>
    <mergeCell ref="G14:G15"/>
    <mergeCell ref="A17:A23"/>
    <mergeCell ref="B17:B23"/>
    <mergeCell ref="G17:G23"/>
    <mergeCell ref="B26:F26"/>
    <mergeCell ref="B28:E28"/>
    <mergeCell ref="B12:F12"/>
    <mergeCell ref="A14:A15"/>
    <mergeCell ref="B14:B15"/>
    <mergeCell ref="C14:D14"/>
    <mergeCell ref="E14:E15"/>
    <mergeCell ref="F14:F15"/>
    <mergeCell ref="B11:F11"/>
    <mergeCell ref="B1:F1"/>
    <mergeCell ref="B2:F2"/>
    <mergeCell ref="A4:D4"/>
    <mergeCell ref="E4:G4"/>
    <mergeCell ref="A5:B5"/>
    <mergeCell ref="A7:D7"/>
    <mergeCell ref="E7:G7"/>
    <mergeCell ref="A9:D9"/>
    <mergeCell ref="E9:G9"/>
  </mergeCells>
  <pageMargins left="0.39374999999999999" right="0.39374999999999999" top="0.59027777777777779" bottom="0.82777777777777783" header="0.51180555555555562" footer="0.59027777777777779"/>
  <pageSetup paperSize="9" orientation="portrait" useFirstPageNumber="1" horizontalDpi="300" verticalDpi="300" r:id="rId1"/>
  <headerFooter alignWithMargins="0"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6</vt:i4>
      </vt:variant>
    </vt:vector>
  </HeadingPairs>
  <TitlesOfParts>
    <vt:vector size="22" baseType="lpstr">
      <vt:lpstr>СВОД</vt:lpstr>
      <vt:lpstr>РД 1.1 ГП+</vt:lpstr>
      <vt:lpstr>1.2 Автодороги</vt:lpstr>
      <vt:lpstr>1.3.1 ТХ</vt:lpstr>
      <vt:lpstr>1.3.2 ТХ+</vt:lpstr>
      <vt:lpstr>1.4 ОВ</vt:lpstr>
      <vt:lpstr>1.5 АСУТП этап3</vt:lpstr>
      <vt:lpstr>1.6 АСУЭ этап3</vt:lpstr>
      <vt:lpstr>1.7 АЭО этап3</vt:lpstr>
      <vt:lpstr>1.8 СПБА этап3</vt:lpstr>
      <vt:lpstr>1.9 СС</vt:lpstr>
      <vt:lpstr>1.10 ЭС+</vt:lpstr>
      <vt:lpstr>1.11 ЭХЗ+</vt:lpstr>
      <vt:lpstr>1.12 ВК</vt:lpstr>
      <vt:lpstr>1.13 ЛЧ+</vt:lpstr>
      <vt:lpstr>1.14 ПроектБур+</vt:lpstr>
      <vt:lpstr>'1.14 ПроектБур+'!Заголовки_для_печати</vt:lpstr>
      <vt:lpstr>'1.5 АСУТП этап3'!Область_печати</vt:lpstr>
      <vt:lpstr>'1.6 АСУЭ этап3'!Область_печати</vt:lpstr>
      <vt:lpstr>'1.7 АЭО этап3'!Область_печати</vt:lpstr>
      <vt:lpstr>'1.8 СПБА этап3'!Область_печати</vt:lpstr>
      <vt:lpstr>СВОД!Область_печати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Степаненко Марина Юрьевна</cp:lastModifiedBy>
  <cp:lastPrinted>2026-07-24T03:41:07Z</cp:lastPrinted>
  <dcterms:created xsi:type="dcterms:W3CDTF">2026-07-21T14:01:19Z</dcterms:created>
  <dcterms:modified xsi:type="dcterms:W3CDTF">2026-08-14T08:51:20Z</dcterms:modified>
</cp:coreProperties>
</file>